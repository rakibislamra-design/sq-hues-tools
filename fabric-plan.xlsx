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Running Backup\Downloads\"/>
    </mc:Choice>
  </mc:AlternateContent>
  <xr:revisionPtr revIDLastSave="0" documentId="13_ncr:1_{E836416E-2516-4620-A4CC-949596F8BE7A}" xr6:coauthVersionLast="47" xr6:coauthVersionMax="47" xr10:uidLastSave="{00000000-0000-0000-0000-000000000000}"/>
  <bookViews>
    <workbookView xWindow="-108" yWindow="-108" windowWidth="23256" windowHeight="12456" tabRatio="709" activeTab="1" xr2:uid="{00000000-000D-0000-FFFF-FFFF00000000}"/>
  </bookViews>
  <sheets>
    <sheet name="Buyer Wise OTT Hit Rate" sheetId="1" r:id="rId1"/>
    <sheet name="Fab Plan-Final" sheetId="2" r:id="rId2"/>
    <sheet name="Date Wise Pivot -Hues" sheetId="3" r:id="rId3"/>
  </sheets>
  <definedNames>
    <definedName name="_xlnm._FilterDatabase" localSheetId="1" hidden="1">'Fab Plan-Final'!$A$2:$AX$2844</definedName>
  </definedNames>
  <calcPr calcId="191029" fullCalcOnLoad="1"/>
  <pivotCaches>
    <pivotCache cacheId="111" r:id="rId4"/>
  </pivotCaches>
</workbook>
</file>

<file path=xl/sharedStrings.xml><?xml version="1.0" encoding="utf-8"?>
<sst xmlns="http://schemas.openxmlformats.org/spreadsheetml/2006/main" count="21612" uniqueCount="863">
  <si>
    <t>qqTRIM(AJ3)&amp;TRIM(AL3)&amp;TRIM(AK3)</t>
  </si>
  <si>
    <t>QQSUMIFS('[DOC -280+217.xlsx]217'!$AQ:$AQ,'[DOC -280+217.xlsx]217'!$AP:$AP,AM3)</t>
  </si>
  <si>
    <t>QQIF(AN3=0,"#NA",SUMIFS('[DOC -280+217.xlsx]217'!$AR:$AR,'[DOC -280+217.xlsx]217'!$AP:$AP,AM3))</t>
  </si>
  <si>
    <t>qqSUMIFS(M:M,AM:AM,AM3)+SUMIFS(O:O,AM:AM,AM3)</t>
  </si>
  <si>
    <t>qqSUMIFS(L:L,AM:AM,AM3)</t>
  </si>
  <si>
    <t>qqAQ3-AP3</t>
  </si>
  <si>
    <t>qqIF(AN3&gt;=AQ3,"ok","ck")</t>
  </si>
  <si>
    <t>qq-p3</t>
  </si>
  <si>
    <t>qqIF(SUMIFS(AT:AT,AM:AM,AM3)&gt;AO3,(SUMIFS(AT:AT,AM:AM,AM3)-AO3))</t>
  </si>
  <si>
    <t>qqVLOOKUP(AM3,'[DOC -280+217.xlsx]217'!$AP:$AQ,2,FALSE)</t>
  </si>
  <si>
    <t>qqINDEX('[DOC -280+217.xlsx]217'!$AF:$AF,MATCH(AM3,'[DOC -280+217.xlsx]217'!$AP:$AP,0))</t>
  </si>
  <si>
    <t>qqAN3-AP3</t>
  </si>
  <si>
    <t>Buyer</t>
  </si>
  <si>
    <t>Main OC</t>
  </si>
  <si>
    <t>line plan oc match</t>
  </si>
  <si>
    <t>Season</t>
  </si>
  <si>
    <t>Fabric Req Date</t>
  </si>
  <si>
    <t>Style Name</t>
  </si>
  <si>
    <t>Psbl RFD</t>
  </si>
  <si>
    <t>Hues Code</t>
  </si>
  <si>
    <t>Article Name</t>
  </si>
  <si>
    <t>Color</t>
  </si>
  <si>
    <t>Req Qty Kg</t>
  </si>
  <si>
    <t>Req Qty(Mtr)</t>
  </si>
  <si>
    <t>RFD Qty.</t>
  </si>
  <si>
    <t>Balance to RFD</t>
  </si>
  <si>
    <t>Recovered Qty</t>
  </si>
  <si>
    <t>Final Balance</t>
  </si>
  <si>
    <t>PO/PRPO No(Supplier Name)</t>
  </si>
  <si>
    <t>Category</t>
  </si>
  <si>
    <t>Agreed RFD Date-Hues</t>
  </si>
  <si>
    <t>Agreed RFD Date.</t>
  </si>
  <si>
    <t>Hues Proposed RFD Date/Flow</t>
  </si>
  <si>
    <t>Hues Feedback</t>
  </si>
  <si>
    <t>Plan Remarks</t>
  </si>
  <si>
    <t>Plan Month</t>
  </si>
  <si>
    <t>Scm Req date</t>
  </si>
  <si>
    <t>Dye Batch</t>
  </si>
  <si>
    <t>Dye Date</t>
  </si>
  <si>
    <t>Finish Date</t>
  </si>
  <si>
    <t>Rfd Date</t>
  </si>
  <si>
    <t>Dye Plan Date</t>
  </si>
  <si>
    <t>Finish Plan Date</t>
  </si>
  <si>
    <t>Rfd Plan date</t>
  </si>
  <si>
    <t>Remarks</t>
  </si>
  <si>
    <t>Huees Po</t>
  </si>
  <si>
    <t>Hues Color</t>
  </si>
  <si>
    <t>Hues Fabric</t>
  </si>
  <si>
    <t>And</t>
  </si>
  <si>
    <t>Tps Rfd Qty</t>
  </si>
  <si>
    <t>Taps Balance</t>
  </si>
  <si>
    <t xml:space="preserve">Ott Rdf Qty </t>
  </si>
  <si>
    <t>Ott Req</t>
  </si>
  <si>
    <t>Ott Blnc</t>
  </si>
  <si>
    <t>Recheck</t>
  </si>
  <si>
    <t>Final Balance OTT</t>
  </si>
  <si>
    <t>Psbl to rfd</t>
  </si>
  <si>
    <t>Po Findable Test/RFD QTY</t>
  </si>
  <si>
    <t>Po compleate %</t>
  </si>
  <si>
    <t>Psbl to rfd another view</t>
  </si>
  <si>
    <t>Sainsbury</t>
  </si>
  <si>
    <t>S/J 95% Cotton 5% Investa Lycra 140gsm CW66”</t>
  </si>
  <si>
    <t>436590</t>
  </si>
  <si>
    <t>Solid</t>
  </si>
  <si>
    <t>436590/442546</t>
  </si>
  <si>
    <t>SINGLE JERSEY 100% COTTON 110GSM</t>
  </si>
  <si>
    <t>Black</t>
  </si>
  <si>
    <t>446252</t>
  </si>
  <si>
    <t>Nude</t>
  </si>
  <si>
    <t>NUDE</t>
  </si>
  <si>
    <t>S/J- Solid  95%Cot 5%Inv Lycra 140gsm with PCF 66</t>
  </si>
  <si>
    <t>White</t>
  </si>
  <si>
    <t>435313</t>
  </si>
  <si>
    <t>PANTONE 11-0601 TCX</t>
  </si>
  <si>
    <t>Plan TBC</t>
  </si>
  <si>
    <t>Not Found</t>
  </si>
  <si>
    <t>Lane Bryant</t>
  </si>
  <si>
    <t>95% Cotton 5% Elastane 150GSM CW66</t>
  </si>
  <si>
    <t>452132</t>
  </si>
  <si>
    <t>B08</t>
  </si>
  <si>
    <t>459875</t>
  </si>
  <si>
    <t>453508</t>
  </si>
  <si>
    <t>LIDL</t>
  </si>
  <si>
    <t xml:space="preserve">KNIT SINGLE JERSEY CMIA COTTON 95% ELASTANE CRERORA 5% GSM-160 CW-167.6 CM/66 INCH  </t>
  </si>
  <si>
    <t>MID GREY MELANGE</t>
  </si>
  <si>
    <t>459174</t>
  </si>
  <si>
    <t>459174#Style-2607 (MENS)-Creora</t>
  </si>
  <si>
    <t>Mid Grey Melange</t>
  </si>
  <si>
    <t>Navy Blazer 19-3923-TCX</t>
  </si>
  <si>
    <t>Navy Blazer 19-3923 tcx</t>
  </si>
  <si>
    <t>Tap Shoe</t>
  </si>
  <si>
    <t>TAP SHOE</t>
  </si>
  <si>
    <t>446460</t>
  </si>
  <si>
    <t>Tesco</t>
  </si>
  <si>
    <t>SOLID 100%BCI CTN GSM140 68IN</t>
  </si>
  <si>
    <t>445617</t>
  </si>
  <si>
    <t>Navy</t>
  </si>
  <si>
    <t>459780</t>
  </si>
  <si>
    <t>459780#Style-2607 (MENS)-Creora</t>
  </si>
  <si>
    <t>NAVY</t>
  </si>
  <si>
    <t>DARK BLUE</t>
  </si>
  <si>
    <t>Dark Blue</t>
  </si>
  <si>
    <t>16-4019TCX Forever Blue</t>
  </si>
  <si>
    <t>Forever Blue 16-4019 TCX</t>
  </si>
  <si>
    <t>HUSHED VIOLET</t>
  </si>
  <si>
    <t>Hushed Violet 14-3803 Tcx</t>
  </si>
  <si>
    <t xml:space="preserve">KNIT WEFT KNITTED JERSEY BCI COTTON 95% ELASTANE 5% GSM-150 CW-160 CM/63 INCH </t>
  </si>
  <si>
    <t>100% BCI Cotton 140gsm CW68”</t>
  </si>
  <si>
    <t>Potpourri</t>
  </si>
  <si>
    <t>POTPOURRI 13-2004 tcx</t>
  </si>
  <si>
    <t>PARISIAN PINK</t>
  </si>
  <si>
    <t>parisian pink</t>
  </si>
  <si>
    <t>458617</t>
  </si>
  <si>
    <t>Light Blue</t>
  </si>
  <si>
    <t>Bright White</t>
  </si>
  <si>
    <t>BRIGHT WHITE</t>
  </si>
  <si>
    <t>442546</t>
  </si>
  <si>
    <t>436829</t>
  </si>
  <si>
    <t>PANTONE 12-1706 TCX</t>
  </si>
  <si>
    <t>Maritime Blue</t>
  </si>
  <si>
    <t>MARITIME BLUE</t>
  </si>
  <si>
    <t>TU BLACK 25</t>
  </si>
  <si>
    <t>TU WHITE 25</t>
  </si>
  <si>
    <t>S/J 93% Cot 2% Vis 5% Inv Lyc 140gsm CW66”</t>
  </si>
  <si>
    <t>BC02</t>
  </si>
  <si>
    <t>Primark Limited</t>
  </si>
  <si>
    <t xml:space="preserve">KNIT WEFT KNITTED JERSEY PSCP COTTON 95% LYCRA 5% GSM-160 CW-168 CM/66 INCH  </t>
  </si>
  <si>
    <t>11-0602 TCX Snow White</t>
  </si>
  <si>
    <t>461374</t>
  </si>
  <si>
    <t>Snow White (11-0602 TCX)</t>
  </si>
  <si>
    <t>PINK-1</t>
  </si>
  <si>
    <t>Pink 1</t>
  </si>
  <si>
    <t xml:space="preserve">KNIT WEFT KNITTED JERSEY PSCP COTTON 100% GSM-140 CW-172 CM/68 INCH </t>
  </si>
  <si>
    <t xml:space="preserve">KNIT WEFT KNITTED JERSEY PSCP COTTON 100% GSM-160 CW-172 CM/68 INCH </t>
  </si>
  <si>
    <t>Black Coffee / Ganache 19-1111 TCX</t>
  </si>
  <si>
    <t>11-0515 TCX Lemon Icing</t>
  </si>
  <si>
    <t>Lemon Icing (11-0515 TCX)</t>
  </si>
  <si>
    <t>465119</t>
  </si>
  <si>
    <t>Brush / Honey 16-1317 TCX</t>
  </si>
  <si>
    <t>448769</t>
  </si>
  <si>
    <t>465127</t>
  </si>
  <si>
    <t>Pink-2</t>
  </si>
  <si>
    <t>459135</t>
  </si>
  <si>
    <t>465120</t>
  </si>
  <si>
    <t>448757</t>
  </si>
  <si>
    <t>448781</t>
  </si>
  <si>
    <t>BLACK COFFEE 19-1111 TCX</t>
  </si>
  <si>
    <t>465121</t>
  </si>
  <si>
    <t>Salt Water Slide 12-4611 TCX</t>
  </si>
  <si>
    <t>Saltwater Slide 12-4602 TCX</t>
  </si>
  <si>
    <t>448768</t>
  </si>
  <si>
    <t>Hema</t>
  </si>
  <si>
    <t xml:space="preserve"> 96% BCI COTTON 4% ELASTANE JERSEY GSM-160 CW-167CM/66INCH </t>
  </si>
  <si>
    <t>14-1307TCX ROSE DUST</t>
  </si>
  <si>
    <t>457842</t>
  </si>
  <si>
    <t>Rose Dust 14-1307 TCX</t>
  </si>
  <si>
    <t>Black Onyx</t>
  </si>
  <si>
    <t>457850</t>
  </si>
  <si>
    <t>Black Onyx (19-4003 TCX)</t>
  </si>
  <si>
    <t>Gardenia 11-0604 TCX</t>
  </si>
  <si>
    <t>457876</t>
  </si>
  <si>
    <t>454495</t>
  </si>
  <si>
    <t>Black Onyx 19-4003 Tcx</t>
  </si>
  <si>
    <t xml:space="preserve"> 96% ORGANIC COTTON 4% ELASTANE JERSEY GSM-160 CW-167CM/66INCH </t>
  </si>
  <si>
    <t>Pastel Lilac</t>
  </si>
  <si>
    <t>456306</t>
  </si>
  <si>
    <t>PASTEL LILAC 14-3812 TCX</t>
  </si>
  <si>
    <t xml:space="preserve">KNIT WEFT KNITTED RIB Non-Molded BCI Cotton (2X2) 95% ELASTANE 5% GSM-210 CW-107 CM/42 INCH </t>
  </si>
  <si>
    <t>453421</t>
  </si>
  <si>
    <t>454597</t>
  </si>
  <si>
    <t>MANGANO CALCITE-13-1501-TCX</t>
  </si>
  <si>
    <t>Mangano Calcite 13-1501 TCX</t>
  </si>
  <si>
    <t>Chambray blue-15-4030-TCX</t>
  </si>
  <si>
    <t>Chambray Blue 15-4030 tcx</t>
  </si>
  <si>
    <t xml:space="preserve"> 96% BCI COTTON 4% ELASTANE SINGLE JERSEY GSM-160 CW-167CM/66INCH </t>
  </si>
  <si>
    <t>YD Smoke Green 15-6315 TCX 7mm Gardenia 11-0604 TCX 1.5mm Smoke Green 15-6315 TCX 2mm Gardenia 11-0604 TCX 1.5mm</t>
  </si>
  <si>
    <t>454213</t>
  </si>
  <si>
    <t>Smoke Green 15-6315 TCX 7mm Gardenia 11-0604 TCX 1.5mm Smoke Green 15-6315 TCX 2mm Gardenia 11-0604 TCX 1.5mm</t>
  </si>
  <si>
    <t>GRAY MIST 15-4706 TCX</t>
  </si>
  <si>
    <t>Gray Mist 15-4706 TCX</t>
  </si>
  <si>
    <t>PASTEL YELLOW 11-0616 TCX</t>
  </si>
  <si>
    <t>Pastel Yellow 11-0616 TCX</t>
  </si>
  <si>
    <t>Lavendula</t>
  </si>
  <si>
    <t>456385</t>
  </si>
  <si>
    <t>LAVENDULA 15-3620TCX</t>
  </si>
  <si>
    <t>459626</t>
  </si>
  <si>
    <t>Sea-Spray-17-6212-TCX</t>
  </si>
  <si>
    <t>Sea Spray 17-6212 TCx</t>
  </si>
  <si>
    <t xml:space="preserve"> 95% LENZING MODAL 5% ELASTANE JERSEY GSM-165 CW-167CM/66INCH </t>
  </si>
  <si>
    <t>Smoke-Green-15-6315-TCX</t>
  </si>
  <si>
    <t>Smoke Green 15-6315 TCx</t>
  </si>
  <si>
    <t>Bright White (11-0601 TCX)</t>
  </si>
  <si>
    <t xml:space="preserve"> 95% BCI COTTON 5% ELASTANE RIB 2X2 GSM-180 CW-111 CM/44 INCH </t>
  </si>
  <si>
    <t>Xenon Blue-14-3949-TCX</t>
  </si>
  <si>
    <t>453391</t>
  </si>
  <si>
    <t>Xenon Blue 14-3949 TCX</t>
  </si>
  <si>
    <t>YD Black Onyx 19-4003 TCX 7MM Gardenia 11-0604 TCX 1MM</t>
  </si>
  <si>
    <t>454434</t>
  </si>
  <si>
    <t>TAWNY PORT 19-1725 TCX</t>
  </si>
  <si>
    <t>Tawny Port 19-1725 TCX</t>
  </si>
  <si>
    <t>BUTTERCREAM 11-0110TCX</t>
  </si>
  <si>
    <t>Butter Cream 11-0110 TCX</t>
  </si>
  <si>
    <t>454616</t>
  </si>
  <si>
    <t>Pink Lemonade - 16-1735 TCX</t>
  </si>
  <si>
    <t>Pink Lemonade 16-1735 tcx</t>
  </si>
  <si>
    <t>PEONY-15-1816TCX</t>
  </si>
  <si>
    <t>Peony 15-1816 TCX</t>
  </si>
  <si>
    <t>Bark 16-1506TCX</t>
  </si>
  <si>
    <t>Bark 16-1506 tcx</t>
  </si>
  <si>
    <t>95% BCI Cotton 5% Elastane S/J 160GSM CW 66in</t>
  </si>
  <si>
    <t>Medieval blue 19-3933TCX</t>
  </si>
  <si>
    <t>453667</t>
  </si>
  <si>
    <t>Medieval Blue 19-3933 TCX</t>
  </si>
  <si>
    <t>454619</t>
  </si>
  <si>
    <t>GARDENIA 11-0604TCX</t>
  </si>
  <si>
    <t>454805</t>
  </si>
  <si>
    <t xml:space="preserve"> 95% BCI COTTON 4% ELASTANE 1% VISCOSE SINGLE JERSEY GSM-160 CW-167CM/66INCH </t>
  </si>
  <si>
    <t>Oatmeal Melange</t>
  </si>
  <si>
    <t>SUNLIGHT-13-0822-TCX</t>
  </si>
  <si>
    <t>Sun light 13-0822 tcx</t>
  </si>
  <si>
    <t xml:space="preserve"> 94% BCI COTTON 5% ELASTANE 1% VISCOSE RIB 2X2 GSM-210 CW-106 CM/ 42 INCH </t>
  </si>
  <si>
    <t>STONE WASH-17-3917 TCX</t>
  </si>
  <si>
    <t>STONE WASH 17-3917 TCX</t>
  </si>
  <si>
    <t>454615</t>
  </si>
  <si>
    <t>ROSE ELEGANCE 15-1614 TCX</t>
  </si>
  <si>
    <t>Rose Elegance (15-1614 TCX)</t>
  </si>
  <si>
    <t xml:space="preserve"> 95% ORGANIC COTTON 4% ELASTANE 1% VISCOSE SINGLE JERSEY GSM-160 CW-167CM/66INCH </t>
  </si>
  <si>
    <t>Bright White 11-0601 tcx</t>
  </si>
  <si>
    <t>DARK DENIM 19-4118 TCX</t>
  </si>
  <si>
    <t>Dark Denim 19-4118 tcx</t>
  </si>
  <si>
    <t>CHRYSANTHEMUM-17-1641-TCX</t>
  </si>
  <si>
    <t>CHRYSANTHEMUM 17-1641 TCX</t>
  </si>
  <si>
    <t>466256</t>
  </si>
  <si>
    <t>454612</t>
  </si>
  <si>
    <t>454613</t>
  </si>
  <si>
    <t>454614</t>
  </si>
  <si>
    <t>454458</t>
  </si>
  <si>
    <t>BONBON</t>
  </si>
  <si>
    <t>Bonbon 15-2213 TCX</t>
  </si>
  <si>
    <t>Brush 16-1317 tcx</t>
  </si>
  <si>
    <t xml:space="preserve"> 48% LYOCELL 47% CMIA COTTON 5% ELASTANE RIB 2X2 GSM-190 CW-111 CM/44 INCH </t>
  </si>
  <si>
    <t>Micro Chip</t>
  </si>
  <si>
    <t>438197</t>
  </si>
  <si>
    <t>438197#Style-2604 (MENS)-Creora</t>
  </si>
  <si>
    <t>Micro Chip 14-4105 TCX</t>
  </si>
  <si>
    <t>Coronet Blue</t>
  </si>
  <si>
    <t>Coronet Blue 18-3922 Tcx</t>
  </si>
  <si>
    <t>Ultimate Grey</t>
  </si>
  <si>
    <t>Ultimate Grey (17-5104 TCX)</t>
  </si>
  <si>
    <t>Sky Captain</t>
  </si>
  <si>
    <t>Sky Captain 19-3922 TCX</t>
  </si>
  <si>
    <t>Tornado</t>
  </si>
  <si>
    <t>18-3907 TCX(Tornado)</t>
  </si>
  <si>
    <t>M&amp;S T14</t>
  </si>
  <si>
    <t xml:space="preserve"> 95% BCI COTTON 5% LYCRA JERSEY GSM-150 CW-160 CM/63 INCH </t>
  </si>
  <si>
    <t>DARK SLATE 23891</t>
  </si>
  <si>
    <t>458011</t>
  </si>
  <si>
    <t>458011-Lycra</t>
  </si>
  <si>
    <t>Dark Slate 23891</t>
  </si>
  <si>
    <t>GREEN 64512</t>
  </si>
  <si>
    <t>Green 64512</t>
  </si>
  <si>
    <t>MEDIUM BLUE 80772</t>
  </si>
  <si>
    <t>Medium Blue 80772</t>
  </si>
  <si>
    <t>M &amp; S - T61 (SHK)</t>
  </si>
  <si>
    <t>SJ BCI 100% CTN NORMAL FINISH 120GSM CUT WIDTH 62</t>
  </si>
  <si>
    <t>WHITE 10001</t>
  </si>
  <si>
    <t>451557</t>
  </si>
  <si>
    <t>White 10001</t>
  </si>
  <si>
    <t>M &amp; S - T61 (KPK)</t>
  </si>
  <si>
    <t>SJ 95% BCI Cmd Cmpt CTN 5% Inv Ly 140gsm CW63”</t>
  </si>
  <si>
    <t>62551 PINK</t>
  </si>
  <si>
    <t>441109</t>
  </si>
  <si>
    <t>62551 Pink</t>
  </si>
  <si>
    <t>MOONDAST</t>
  </si>
  <si>
    <t>33396 Moondust</t>
  </si>
  <si>
    <t xml:space="preserve"> 95% BCI COTTON 5% ELASTANE JERSEY GSM-150 CW-160 CM/63 INCH </t>
  </si>
  <si>
    <t>CHAMBRAY 47330</t>
  </si>
  <si>
    <t>Chambray 47330</t>
  </si>
  <si>
    <t>SJ 100% BCI Combed Compact Cotton 120gsm CW62”</t>
  </si>
  <si>
    <t>64270 PINK</t>
  </si>
  <si>
    <t>64270 Pink</t>
  </si>
  <si>
    <t>Black 10005</t>
  </si>
  <si>
    <t>M &amp; S - T51</t>
  </si>
  <si>
    <t>DARK NAVY 33016</t>
  </si>
  <si>
    <t>465410</t>
  </si>
  <si>
    <t>Dark Navy 33016</t>
  </si>
  <si>
    <t>BLACK</t>
  </si>
  <si>
    <t>440575</t>
  </si>
  <si>
    <t>M &amp; S - T33</t>
  </si>
  <si>
    <t>94% Cotton 6% Spandex 235 GSM No Molding CW 64  S/</t>
  </si>
  <si>
    <t>WHITE</t>
  </si>
  <si>
    <t>451547</t>
  </si>
  <si>
    <t>451547-SP27 7250</t>
  </si>
  <si>
    <t>White AOP Gusset 10001</t>
  </si>
  <si>
    <t>WHITE 10001 AOP-G</t>
  </si>
  <si>
    <t>94% Cotton 6% Spandex 180 GSM No Molding CW 63  S/</t>
  </si>
  <si>
    <t>451241</t>
  </si>
  <si>
    <t>94% Cotton 6% Spandex 190 GSM Molding CW 61 S/J</t>
  </si>
  <si>
    <t>Vanilla</t>
  </si>
  <si>
    <t>451550</t>
  </si>
  <si>
    <t>Vanilla 47956</t>
  </si>
  <si>
    <t>Bros</t>
  </si>
  <si>
    <t>Bros B2692</t>
  </si>
  <si>
    <t>DARK PEWTER</t>
  </si>
  <si>
    <t>Dark Pewter 46702</t>
  </si>
  <si>
    <t>463564</t>
  </si>
  <si>
    <t>450951</t>
  </si>
  <si>
    <t>450951-Creora</t>
  </si>
  <si>
    <t>Navy 48633</t>
  </si>
  <si>
    <t>457079</t>
  </si>
  <si>
    <t>NAVY 48633</t>
  </si>
  <si>
    <t>M &amp; S - T71</t>
  </si>
  <si>
    <t>100% BCI COTTON 150 GSM CW 69 IN</t>
  </si>
  <si>
    <t>Powder Blue</t>
  </si>
  <si>
    <t>461085</t>
  </si>
  <si>
    <t>Powder Blue 17492-AOP</t>
  </si>
  <si>
    <t>441099</t>
  </si>
  <si>
    <t>Light Cream 81001</t>
  </si>
  <si>
    <t>452474</t>
  </si>
  <si>
    <t>452474-SP27 9643</t>
  </si>
  <si>
    <t>DARK INK</t>
  </si>
  <si>
    <t>Dark Ink 17613</t>
  </si>
  <si>
    <t>Black AOP Gusset</t>
  </si>
  <si>
    <t>Black 10005-AOP-G</t>
  </si>
  <si>
    <t>Bros B0284</t>
  </si>
  <si>
    <t>10001 WHITE</t>
  </si>
  <si>
    <t>Pink Cloud</t>
  </si>
  <si>
    <t>Pink Cloud 23853</t>
  </si>
  <si>
    <t>PRALINE 22001</t>
  </si>
  <si>
    <t>Praline 22001</t>
  </si>
  <si>
    <t>451237</t>
  </si>
  <si>
    <t>451237-Lycra</t>
  </si>
  <si>
    <t>451147</t>
  </si>
  <si>
    <t>Bluebell</t>
  </si>
  <si>
    <t>BLUEBELL 23981</t>
  </si>
  <si>
    <t>32312 Soft Blue</t>
  </si>
  <si>
    <t>Royal Blue</t>
  </si>
  <si>
    <t>Royal Blue 47316-AOP</t>
  </si>
  <si>
    <t>Blue Bell 23981</t>
  </si>
  <si>
    <t>ECRU 48055</t>
  </si>
  <si>
    <t>Ecru 48055 AOP</t>
  </si>
  <si>
    <t>PFD</t>
  </si>
  <si>
    <t>PFD-AOP</t>
  </si>
  <si>
    <t>462079</t>
  </si>
  <si>
    <t>463358</t>
  </si>
  <si>
    <t>Cornflower 23687 AOP</t>
  </si>
  <si>
    <t>465758</t>
  </si>
  <si>
    <t>Cornflower 23687-AOP</t>
  </si>
  <si>
    <t>451243</t>
  </si>
  <si>
    <t>451243-Lycra</t>
  </si>
  <si>
    <t>M &amp; S - T32</t>
  </si>
  <si>
    <t>449668</t>
  </si>
  <si>
    <t>451551</t>
  </si>
  <si>
    <t>ROSE QUARTZ 23830</t>
  </si>
  <si>
    <t>Rose Quartz 23830</t>
  </si>
  <si>
    <t>Light cream 81001 Aop</t>
  </si>
  <si>
    <t>Light Cream 81001-AOP-G</t>
  </si>
  <si>
    <t>OPALINE 32548</t>
  </si>
  <si>
    <t>Soft Turquoise</t>
  </si>
  <si>
    <t>Soft Turquoise 21030</t>
  </si>
  <si>
    <t>SQH020077-02 SJ 87% Cotton 13% Spx 245gsm MMF 68”</t>
  </si>
  <si>
    <t>441046</t>
  </si>
  <si>
    <t>Black 10005 MMF</t>
  </si>
  <si>
    <t>MOSS GREEN</t>
  </si>
  <si>
    <t>441327</t>
  </si>
  <si>
    <t>Moss Green 47977</t>
  </si>
  <si>
    <t>IVORY 80762</t>
  </si>
  <si>
    <t>BLACK 10005..</t>
  </si>
  <si>
    <t>White AOP Gusset</t>
  </si>
  <si>
    <t xml:space="preserve">KNIT WEFT KNITTED SINGLE JERSEY BCI COMBED COTTON 100% GSM-150 CW-150CM/59INCH  </t>
  </si>
  <si>
    <t>T71SU26 SAILING Stripe base 64447 Medium Coral-YD</t>
  </si>
  <si>
    <t>T71 SU26 SAILING Stripe base 64447 Medium Coral</t>
  </si>
  <si>
    <t xml:space="preserve"> 95% COTTON 5% ELASTANE JERSEY GSM-160 CW-165 CM/65 INCH </t>
  </si>
  <si>
    <t>458330</t>
  </si>
  <si>
    <t>T71SU26 SAILING Stripe</t>
  </si>
  <si>
    <t>T71 SU26 SAILING Stripe</t>
  </si>
  <si>
    <t>Straw 62925 AOP</t>
  </si>
  <si>
    <t>Straw 62925-AOP</t>
  </si>
  <si>
    <t>450921</t>
  </si>
  <si>
    <t>450921-Creora</t>
  </si>
  <si>
    <t>OPALINE</t>
  </si>
  <si>
    <t>ROSE QUARTS 23830</t>
  </si>
  <si>
    <t>ROSE QUARTS 23830-MMF</t>
  </si>
  <si>
    <t>GREY MARL</t>
  </si>
  <si>
    <t>GREY MARL BC05</t>
  </si>
  <si>
    <t>Light Aqua 47199 AOP</t>
  </si>
  <si>
    <t>Light Aqua 47199-AOP</t>
  </si>
  <si>
    <t>BROSS B1123</t>
  </si>
  <si>
    <t>81001 light cream stripe</t>
  </si>
  <si>
    <t>WHITE 10001 AOP</t>
  </si>
  <si>
    <t>SJ 95% BCI Cmd Cmpt CTN 5% Inv Ly 140gsm CW61”</t>
  </si>
  <si>
    <t>SUM25 L T61 MINI DOT DUSTYGREEN</t>
  </si>
  <si>
    <t>AOP</t>
  </si>
  <si>
    <t>95%Ctn 5%Elastane 150GSM CW 64</t>
  </si>
  <si>
    <t>Citrus-Buds-004-Bright-White-CSP27208b</t>
  </si>
  <si>
    <t>461071</t>
  </si>
  <si>
    <t>Serene-Floral-034-Pale-Denim-Blue-CSP27025</t>
  </si>
  <si>
    <t>Lunar-Dot-047-LHG-Maritime-Blue-CSP27079</t>
  </si>
  <si>
    <t>458743</t>
  </si>
  <si>
    <t>SP27 L T61 MEADOW FLORAL STRIPE GREEN</t>
  </si>
  <si>
    <t>Coastal-Gingham-001-Maritime-Blue-CSU26004b</t>
  </si>
  <si>
    <t>SP27 L T61 MEADOW FLORA LWHITE</t>
  </si>
  <si>
    <t>Lunar-Dot-013-LHG-CSP27079</t>
  </si>
  <si>
    <t>SU25 L T61 SCRIMBLE FLORA IVORY</t>
  </si>
  <si>
    <t>AU26 L T61 RANDOM SPOT BLACK LIGHTCREAM SPEC</t>
  </si>
  <si>
    <t>AU26 L T61 CROWDED SPOT LIGHTCREAM SPEC</t>
  </si>
  <si>
    <t>Cleo-Stripe-024-Arctic-Dawn-CSP27034b</t>
  </si>
  <si>
    <t>Jenna-Floral-033-Maritime-Blue-CSP27080c</t>
  </si>
  <si>
    <t>Lunar-Dot-033-Rosy-Future-CSP27079</t>
  </si>
  <si>
    <t xml:space="preserve">KNIT WEFT KNITTED SINGLE JERSEY BCI COMBED COTTON 100% GSM-150 CW-168 CM/66 INCH  </t>
  </si>
  <si>
    <t>T71SU26 ANIMAL FACES BASE 23687 Cornflower</t>
  </si>
  <si>
    <t>T71SU26 ANIMAL FACES BASE 23987 Aqua</t>
  </si>
  <si>
    <t>Delicate-Ditsy-032-Maritime-Blue-CSP27045</t>
  </si>
  <si>
    <t>Garden-Blooms-008-Maritime-Blue-CSP27115</t>
  </si>
  <si>
    <t>T71SU26 ANIMAL FACES BASE 47199 Light Aqua</t>
  </si>
  <si>
    <t>KNIT JERSEY BCI COTTON 100% GSM-150 CW-170/67CM/INCH AOP</t>
  </si>
  <si>
    <t>T71 DINOSAURS 23275 Cobalt</t>
  </si>
  <si>
    <t>T71SU26 SAILING AOP BASE 17492 Powder Blue</t>
  </si>
  <si>
    <t>Floating-Petals-Stripe-032-Skywriting-CSP27223</t>
  </si>
  <si>
    <t>Vivid-Stripe-006-Maritime-Blue-CSP27075c</t>
  </si>
  <si>
    <t>Butterfly Bouquet-012-LHG-CSP27099</t>
  </si>
  <si>
    <t>Butterfly Bouquet-013-Arctic Dawn-CSP27099</t>
  </si>
  <si>
    <t>Darling-Animal-020-Bright-White-CSP27035</t>
  </si>
  <si>
    <t>Darling-Animal-021-Tap-Shoe-CSP27035</t>
  </si>
  <si>
    <t>Vivid-Stripe-026-Bright-White-CSP27075c</t>
  </si>
  <si>
    <t>Bee Gingham-006-Pale Denim Blue-CSP27227</t>
  </si>
  <si>
    <t>Lunar-Dot-007-Garden-Topiary-CSP27079</t>
  </si>
  <si>
    <t>T71SU26 SAILING AOP BASE 47316 Royal Blue</t>
  </si>
  <si>
    <t>T71SU26 ANIMAL FACES BASE 62925 Straw</t>
  </si>
  <si>
    <t>Botanical Beauty-014-Rosy Future-CSP27019e</t>
  </si>
  <si>
    <t>459775</t>
  </si>
  <si>
    <t>Floating-Buds-029-LHG-CSP27221</t>
  </si>
  <si>
    <t>T71 DINOSAURS 47848 Fresh Blue</t>
  </si>
  <si>
    <t>Jenna-Floral-014-Garden-Topiary-CSP27080</t>
  </si>
  <si>
    <t>Jenna-Floral-024-Maritime-Blue-CSP27080</t>
  </si>
  <si>
    <t>Ditsy-Blooms-034-Bright-White-CSP27006</t>
  </si>
  <si>
    <t>Ditsy-Blooms-037-Tap-Shoe-CSP27006</t>
  </si>
  <si>
    <t>Lunar-Dot-021-Maritime-Blue-CSP27079</t>
  </si>
  <si>
    <t>Butterfly Bouquet-005-Maritime Blue-CSP27099</t>
  </si>
  <si>
    <t>Lunar-Dot-004-Tap-Shoe-CSP27079</t>
  </si>
  <si>
    <t>460989</t>
  </si>
  <si>
    <t>Lunar-Dot-026-Maritime-Blue-CSP27079</t>
  </si>
  <si>
    <t xml:space="preserve"> 96% BCI COTTON 4% ELASTANE SINGLE JERSEY GSM-160 CW-163 CM </t>
  </si>
  <si>
    <t>Dark denim Flower AOP on Gardenia-11-0604TCX</t>
  </si>
  <si>
    <t>Gardenia Flower AOP on Black Onyx-19-4003 TCX</t>
  </si>
  <si>
    <t>SQ Biricina OTT Vs Actual RFD Status</t>
  </si>
  <si>
    <t>Report Date</t>
  </si>
  <si>
    <t>Buyer's</t>
  </si>
  <si>
    <t xml:space="preserve">MTD  </t>
  </si>
  <si>
    <t>Recovered &amp; RFD done quantity</t>
  </si>
  <si>
    <t xml:space="preserve"> Actual RFD Balance</t>
  </si>
  <si>
    <t>Sign off line plan Qty</t>
  </si>
  <si>
    <t>MTD RFD Qty</t>
  </si>
  <si>
    <t>To be delivered qty</t>
  </si>
  <si>
    <t>Plan</t>
  </si>
  <si>
    <t>Actual</t>
  </si>
  <si>
    <t>Deviation</t>
  </si>
  <si>
    <t>%</t>
  </si>
  <si>
    <t>Plan Vs Actual %</t>
  </si>
  <si>
    <t>MTD Deviation</t>
  </si>
  <si>
    <t xml:space="preserve">Advance RFD </t>
  </si>
  <si>
    <t>Advance %</t>
  </si>
  <si>
    <t>YamamaY</t>
  </si>
  <si>
    <t>H &amp; M</t>
  </si>
  <si>
    <t>Grand Total</t>
  </si>
  <si>
    <t>SQ Biricina · Hues Date-wise RFD Status</t>
  </si>
  <si>
    <t>Agreed RFD Date (Hues) vs Required / RFD quantity — Oct'26 Fabric Plan</t>
  </si>
  <si>
    <t xml:space="preserve">  Req Qty(Mtr)</t>
  </si>
  <si>
    <t xml:space="preserve">  RFD Qty.</t>
  </si>
  <si>
    <t xml:space="preserve">   Balance to RFD</t>
  </si>
  <si>
    <t xml:space="preserve">   Recovered Qty</t>
  </si>
  <si>
    <t xml:space="preserve">  Final Balance</t>
  </si>
  <si>
    <t>Achievement %</t>
  </si>
  <si>
    <t>(blank)</t>
  </si>
  <si>
    <t>Values</t>
  </si>
  <si>
    <t>#NA</t>
  </si>
  <si>
    <t>For the month of Oct' 2026</t>
  </si>
  <si>
    <t>451551-SP27 9602-Without Cup</t>
  </si>
  <si>
    <t>451550-SP27 2231-Without Cup</t>
  </si>
  <si>
    <t>451241-SP27 3276-Cup</t>
  </si>
  <si>
    <t>Rawbought</t>
  </si>
  <si>
    <t>HEMA</t>
  </si>
  <si>
    <t>S/J Gusset 100% Cotton 110gsm CW64</t>
  </si>
  <si>
    <t xml:space="preserve">KNIT WEFT KNITTED JERSEY LENZING MODAL 95% LYCRA 5% GSM-165 CW-155 CM/61 INCH  </t>
  </si>
  <si>
    <t xml:space="preserve">KNIT WEFT KNITTED JERSEY Lenzing  Modal 3x1 Rib 95% LYCRA 5% GSM-200 CW-114 CM/45 INCH </t>
  </si>
  <si>
    <t>S/J - 100% COTTON 140 GSM CW 68 INCH</t>
  </si>
  <si>
    <t>SJ 95% Lenzing Modal 5% Lycra 165gsm CW63”</t>
  </si>
  <si>
    <t>SINGLE JERSEY 100% COTTON 160 GSM</t>
  </si>
  <si>
    <t xml:space="preserve"> 62% POLYESTER 33% BCI COTTON 5% LYCRA JERSEY GSM-140 CW-160 CM/63 INCH </t>
  </si>
  <si>
    <t xml:space="preserve"> 94% PSCP COTTON 6% Elastane (Lycra) JERSEY GSM-190 CW-155 CM/61 INCH </t>
  </si>
  <si>
    <t>S/J- AOP 95% Cot 5% Inves Lyc 140 GSM CW64”</t>
  </si>
  <si>
    <t>SJ 95% BCI Cotton 5% Elastane 160gsm CW64”</t>
  </si>
  <si>
    <t>SJ AOP 100% COTTON 160 GSM</t>
  </si>
  <si>
    <t>S/J - AOP 100% Cotton 140 GSM CW66</t>
  </si>
  <si>
    <t xml:space="preserve">KNIT RIB 2X1 COTTON 95% ELASTANE 5% GSM-210 CW-107 CM/42 INCH </t>
  </si>
  <si>
    <t>95%BCI COTTON 5%ELASTANE 160GSM CW66</t>
  </si>
  <si>
    <t>92% Cotton 8% El 210 GSM CW 165 CM SJ</t>
  </si>
  <si>
    <t>Ivory 80762</t>
  </si>
  <si>
    <t>TU BLACK</t>
  </si>
  <si>
    <t>Sepia Rose 14-1803 TCX</t>
  </si>
  <si>
    <t>TWILIGHT MAUVE</t>
  </si>
  <si>
    <t>81002 SILVER GREY</t>
  </si>
  <si>
    <t>Mistletoe Mood</t>
  </si>
  <si>
    <t>21282 PINK ICE</t>
  </si>
  <si>
    <t>OATMEAL MARL B0201</t>
  </si>
  <si>
    <t>YD SIMPLE STRIPE - 4CM RPT-PINK AND WHITE</t>
  </si>
  <si>
    <t>46499 SOFT PINK</t>
  </si>
  <si>
    <t>32740 Ivory aop</t>
  </si>
  <si>
    <t>EGRET 11-0103 TCX</t>
  </si>
  <si>
    <t>21282 pink ice aop</t>
  </si>
  <si>
    <t>47958 DARK GREY</t>
  </si>
  <si>
    <t>BROS BC03</t>
  </si>
  <si>
    <t>LIGHT BLUE MARL</t>
  </si>
  <si>
    <t>Malt</t>
  </si>
  <si>
    <t>Burgundy</t>
  </si>
  <si>
    <t>white.</t>
  </si>
  <si>
    <t>11-0615 TCX</t>
  </si>
  <si>
    <t>17-2619TCX</t>
  </si>
  <si>
    <t>12-5806 TCX</t>
  </si>
  <si>
    <t>15-3214</t>
  </si>
  <si>
    <t>DARK GREY Blackened Pearl</t>
  </si>
  <si>
    <t>Dark Sapphire</t>
  </si>
  <si>
    <t>18-1807 TCX</t>
  </si>
  <si>
    <t>Ivory AOP Gusset 80762</t>
  </si>
  <si>
    <t>Blue Horizon 18-3929 TCX</t>
  </si>
  <si>
    <t>CHOCOLATE PLUM 19-1110 TCX</t>
  </si>
  <si>
    <t>Burnt Sienna</t>
  </si>
  <si>
    <t>32032 PALE ROSE</t>
  </si>
  <si>
    <t>GRAPEMIST 16-3929 TCX</t>
  </si>
  <si>
    <t>India Ink 19-4019 TCX</t>
  </si>
  <si>
    <t>DARK BLUE MARL</t>
  </si>
  <si>
    <t>OATMEAL MARL B 0201 VOL 32</t>
  </si>
  <si>
    <t>19-1110 TCX</t>
  </si>
  <si>
    <t>SLATE BLUE 32200</t>
  </si>
  <si>
    <t>SOFT PINK 31636</t>
  </si>
  <si>
    <t>18303 PALE STRAW</t>
  </si>
  <si>
    <t>14-5706 TCX</t>
  </si>
  <si>
    <t>SHINKING VIOLET 11-2511 TCX</t>
  </si>
  <si>
    <t>14-4130 TCX</t>
  </si>
  <si>
    <t>15-2718 TCX</t>
  </si>
  <si>
    <t>15-3214 TCX</t>
  </si>
  <si>
    <t>Pearled Ivory 11-0907 TCX</t>
  </si>
  <si>
    <t>PEARLED IVORY</t>
  </si>
  <si>
    <t>Aloe</t>
  </si>
  <si>
    <t>MID BLUE MARL</t>
  </si>
  <si>
    <t>Green Piping</t>
  </si>
  <si>
    <t>TU WHITE</t>
  </si>
  <si>
    <t>BEGONIA PINK 15-2215 TCX</t>
  </si>
  <si>
    <t>Cornflower</t>
  </si>
  <si>
    <t>YD Navy Blazer-Micro Chip</t>
  </si>
  <si>
    <t>32338 MEDIUM PINK</t>
  </si>
  <si>
    <t>16-1357 TCX</t>
  </si>
  <si>
    <t>18-3949 TCX</t>
  </si>
  <si>
    <t>14-4514 TCX</t>
  </si>
  <si>
    <t>SILTGREEN 14-5706TCX</t>
  </si>
  <si>
    <t>QDP415 YD STRIPE</t>
  </si>
  <si>
    <t>11-0602 TCX</t>
  </si>
  <si>
    <t>123C</t>
  </si>
  <si>
    <t>19-3921 TCX</t>
  </si>
  <si>
    <t>Light Mint</t>
  </si>
  <si>
    <t>Golden Sands</t>
  </si>
  <si>
    <t>Opaline 19653</t>
  </si>
  <si>
    <t>WHITE 11-0601 TCX</t>
  </si>
  <si>
    <t>Snow White 11-0602 TCX</t>
  </si>
  <si>
    <t>DUSTY GREEN 46742 AOP</t>
  </si>
  <si>
    <t>14-4130TCX</t>
  </si>
  <si>
    <t>11-1305TCX ANGEL WING</t>
  </si>
  <si>
    <t>Blue Horizon</t>
  </si>
  <si>
    <t>Forever Blue</t>
  </si>
  <si>
    <t>11-4202 TCX</t>
  </si>
  <si>
    <t>Dusty Aqua</t>
  </si>
  <si>
    <t>19-6050TCX Eden</t>
  </si>
  <si>
    <t>PANTONE 12-5506 TCX</t>
  </si>
  <si>
    <t>BTC50</t>
  </si>
  <si>
    <t>BIKING RED 19-1650 TCX</t>
  </si>
  <si>
    <t>Sky Blue MTS</t>
  </si>
  <si>
    <t>Grape Leaf</t>
  </si>
  <si>
    <t>Conch Schell 15-1624 TCX</t>
  </si>
  <si>
    <t>CLOUD DANCER 11-4201TCX</t>
  </si>
  <si>
    <t>BD230 HEARTS AOP- UW CW pink</t>
  </si>
  <si>
    <t>Heathers 152 Ultra LHG CF26072</t>
  </si>
  <si>
    <t>SU25 L T61 LEOPARD BLACK</t>
  </si>
  <si>
    <t>BD230 HEARTS AOP- UW CW CREAM</t>
  </si>
  <si>
    <t>SKETCHY STRIPE</t>
  </si>
  <si>
    <t>Sunday CitrusAOP</t>
  </si>
  <si>
    <t>AU26 L T61 FLORAL DITSY SPACED WHITE SPEC</t>
  </si>
  <si>
    <t>WHITE VINTAGE DITSY</t>
  </si>
  <si>
    <t>HUSHED VIOLET PINK VINTAGE DITSY</t>
  </si>
  <si>
    <t>Eyelet-Dot-003-Maritime-Blue-CSP27125</t>
  </si>
  <si>
    <t>Eyelet-Dot-011-Pale-Denim-Blue-CSP27125</t>
  </si>
  <si>
    <t>DESERT LEOPARD</t>
  </si>
  <si>
    <t>QDP248 BRETON STRIPE</t>
  </si>
  <si>
    <t>Zebra Aop On Bright white 11-0601 TCX</t>
  </si>
  <si>
    <t>DITSY AOP</t>
  </si>
  <si>
    <t>SPOT RANDOM IVORY</t>
  </si>
  <si>
    <t>SU26 L T61 Meadow Ditsy Floral Light Cream pink</t>
  </si>
  <si>
    <t>QDP234 FUN CHARACTER AOP ON TU WHITE 25</t>
  </si>
  <si>
    <t>W26 L T61 FLORAL DITSY SPACED BLACK SPEC</t>
  </si>
  <si>
    <t>SUM25 L T61 STRIPE MONO</t>
  </si>
  <si>
    <t>Jenna-Floral-034-ULHG-CSP27080</t>
  </si>
  <si>
    <t>Paw AOP on 11-0601 TCX</t>
  </si>
  <si>
    <t>DITSY SPRIG PINK</t>
  </si>
  <si>
    <t>SU26 L T61 Pin Stripe Light Cream Pink</t>
  </si>
  <si>
    <t>Serene-Floral-028-Garden-Topiary-CSP27025</t>
  </si>
  <si>
    <t>SKETCHY STRIPE BOW</t>
  </si>
  <si>
    <t>SKETCHY STAR OP2</t>
  </si>
  <si>
    <t>QDP119 DANCER AOP ON PEAR SORBET 11-0615 TCX</t>
  </si>
  <si>
    <t>QDP235 GADDINALL FLORAL ON TU WHITE 25</t>
  </si>
  <si>
    <t>Vivid-Stripe-023-Lilac-Breeze-CSP27075c</t>
  </si>
  <si>
    <t>QDP249 CHERRY</t>
  </si>
  <si>
    <t>Cherry AOP on Cloud Dancer</t>
  </si>
  <si>
    <t>Strawberry AOP on Cloud Dancer</t>
  </si>
  <si>
    <t>QDP240 GRUFFALO AOP</t>
  </si>
  <si>
    <t>Arctic Dawn 652-211</t>
  </si>
  <si>
    <t>Zephyr 15-1906 TCX</t>
  </si>
  <si>
    <t>Nostalgia Rose-17-1512 TCX</t>
  </si>
  <si>
    <t>Pot Pourri 13-2004 TCX</t>
  </si>
  <si>
    <t>Lilac Breeze</t>
  </si>
  <si>
    <t>Pale-Denim-Blue-654-280</t>
  </si>
  <si>
    <t>Pale Lilac 13-2803 TCX</t>
  </si>
  <si>
    <t>Pale lilac 13-2803TCX</t>
  </si>
  <si>
    <t>Fox Glove 16-1710 TCX</t>
  </si>
  <si>
    <t>Gardenia</t>
  </si>
  <si>
    <t>Zephyr</t>
  </si>
  <si>
    <t>FOXGLOVE 16-1710TCX</t>
  </si>
  <si>
    <t>Nostalgia Rose 17-1512 TCX</t>
  </si>
  <si>
    <t>BRIGHT WHITE 11-0601 TCX</t>
  </si>
  <si>
    <t>Loden Frost</t>
  </si>
  <si>
    <t>17-0210TCX Loden frost</t>
  </si>
  <si>
    <t>Medieval Blue</t>
  </si>
  <si>
    <t>18th Nov-2,894 mtr, 21st Nov-1,106 mtr, 22nd Nov-2,728 mtr, Rest Qty-23rd Nov</t>
  </si>
  <si>
    <t>1st Nov-10th Nov-1.5k mtr/day, 11th Nov-25th Nov- 2.5k mtr, FOC will deliver on 26th Nov</t>
  </si>
  <si>
    <t>1st-20th Nov-2k mtr/day, 21st-28th- 3k mtr/day, FOC closed by 29th-30th</t>
  </si>
  <si>
    <t>5th Nov-1,003 mtr, 19th Nov-3,010 mtr, Rest Qty-21st Nov</t>
  </si>
  <si>
    <t>4th Nov-1655 mtr, 7th Nov-3021 mtr, rest-10 Nov</t>
  </si>
  <si>
    <t>10th Nov-3,052 mtr, Rest Qty-16th Nov</t>
  </si>
  <si>
    <t>3rd Nov-2k, rest close-6th</t>
  </si>
  <si>
    <t>6th Nov-405 mtr, Rest Qty-10th Nov</t>
  </si>
  <si>
    <t>(15th Nov-17th Nov)-2,900 mtr every alternate day, Rest Qty-23rd Nov</t>
  </si>
  <si>
    <t>9th Nov-976 mtr, Rest Qty-11th Nov</t>
  </si>
  <si>
    <t>(14th Nov-16th Nov)-3,053 mtr every alternate day, Rest Qty-20th Nov</t>
  </si>
  <si>
    <t>4th Nov-976 mtr, Rest Qty-18th Nov</t>
  </si>
  <si>
    <t>10th-2200 mtr, 14th-800 mtr, 22nd-rest qty</t>
  </si>
  <si>
    <t>7th Nov-2,932 mtr, 8th Nov-2,932 mtr, 9th Nov-2,932 mtr, 10th Nov-2,932 mtr, 12th Nov-2,558 mtr.</t>
  </si>
  <si>
    <t>3rd Nov-1,687 mtr, Rest Qty-10th Nov</t>
  </si>
  <si>
    <t>11th Nov-151 mtr, Rest Qty-14th Nov</t>
  </si>
  <si>
    <t>3k mtr/day from 8th Nov-16th Nov</t>
  </si>
  <si>
    <t>6th Nov-986 mtr, 7th Nov-1,979 mtr, 8th Nov-1,979 mtr, 9th Nov- Rest Qty</t>
  </si>
  <si>
    <t>13th Nov-3,052 mtr, Rest Qty-14th Nov</t>
  </si>
  <si>
    <t>8th Nov-3,048 mtr, Rest Qty-14th Nov</t>
  </si>
  <si>
    <t>10th Nov onwards-750 mtr/day, close by 26th</t>
  </si>
  <si>
    <t>16 Nov- 6th Dec-1.5k mtr/day, Need Approval by 10th by fabric tech</t>
  </si>
  <si>
    <t>15th Nov-18th Nov-1.7k mtr/day</t>
  </si>
  <si>
    <t>2nd Nov-986 mtr, 5th Nov-125 mtr, 15th Nov-3,014 mtr, Rest Qty-23rd Nov</t>
  </si>
  <si>
    <t>(5-Nov-6- Nov)-1200 mtr/ day,
(10-Nov-13- Nov)-1200 mtr/ day</t>
  </si>
  <si>
    <t>7th Nov-1,000 mtr, 20th Nov-1,229 mtr, Rest Qty-22nd Nov</t>
  </si>
  <si>
    <t>(21-Nov-03- Dec)-2300 mtr in every alternative day</t>
  </si>
  <si>
    <t>3rd Nov-800 mtr, close by 9th Nov</t>
  </si>
  <si>
    <t>(10-Nov-15th Nov)-538 mtr/Day</t>
  </si>
  <si>
    <t>25-Oct-2143 mtr,
8-Nov-299 mtr</t>
  </si>
  <si>
    <t>(11-Nov-24- Nov)-alternative day-700 mtr</t>
  </si>
  <si>
    <t>(21-Nov-23-Nov)-1k mtr/day</t>
  </si>
  <si>
    <t>31st Oct-3,027 mtr, 5th Nov-Rest Qty</t>
  </si>
  <si>
    <t>31st Oct-2,045 mtr, 2nd Nov-2,045 mtr, 3rd Nov-2,045 mtr, 4th Nov-Rest Qty</t>
  </si>
  <si>
    <t>(5th Nov-15th Nov)-3,029 mtr every alternate day, Rest Qty-18th Nov</t>
  </si>
  <si>
    <t>5th Nov-2,047 mtr, (7th Nov-16th Nov)-2,047 mtr/Day, 17th Nov-4,094 mtr, Rest Qty-18th Nov</t>
  </si>
  <si>
    <t>(15th Nov-21st Nov)-2,989 mtr every alternate day, 22nd Nov-2,989 mtr, 24th Nov-2,989 mtr, Rest Qty-28th Nov</t>
  </si>
  <si>
    <t>(19th Nov-27th Nov)-2,041 mtr/Day, Rest Qty-28th Nov</t>
  </si>
  <si>
    <t>(1-Nov-15-Nov)-1k mtr/day</t>
  </si>
  <si>
    <t>(28-oct-5-Nov)-1k mtr/day</t>
  </si>
  <si>
    <t>1st-12th Nov -1.5k mtr/Day, Closes by 12th Nov</t>
  </si>
  <si>
    <t>(12-Nov to 16-Nov)-3k mtr/day</t>
  </si>
  <si>
    <t>(10-Nov to 20-Nov)-2.5k meter/day</t>
  </si>
  <si>
    <t>(5-Nov-15-Nov)-3k mtr/day</t>
  </si>
  <si>
    <t>1-10th Nov 4000 mtr/day, 11th Nov onwards- 6000 mtr/day</t>
  </si>
  <si>
    <t>(15-Nov-30-Nov)-3k mtr/day</t>
  </si>
  <si>
    <t>(1-Nov-10-Nov)-1.8k mtr/day</t>
  </si>
  <si>
    <t>(8-Nov-25-Nov)-2k mtr/day</t>
  </si>
  <si>
    <t>(8-Nov-25-Nov)-2.5k mtr/day</t>
  </si>
  <si>
    <t>5th Nov-15th-2.5k mtr/Day</t>
  </si>
  <si>
    <t>1st Nov-1k, (12-Nov to 16-Nov)-3k mtr/day</t>
  </si>
  <si>
    <t>(1-Nov-5-nov)-2k mtr/day</t>
  </si>
  <si>
    <t>4th Nov-1,006 mtr, (5th Nov-6th Nov)-2,437 mtr/Day, (8th Nov-12th Nov)-2,437 mtr every alternate day, Rest Qty-13th Nov</t>
  </si>
  <si>
    <t>4th Nov-1,682 mtr, Rest Qty-20th Nov</t>
  </si>
  <si>
    <t>7th Nov-101 mtr, Rest Qty-10th Nov</t>
  </si>
  <si>
    <t>22nd Nov-24th Nov)-2,413 mtr every alternate day, Rest Qty-26th Nov</t>
  </si>
  <si>
    <t>1st-2nd Nov-1.9k mtr, 12th Nov- 16th Nov- 1.9k mtr, closed by 16th</t>
  </si>
  <si>
    <t>20th Nov-1,899 mtr, 21st Nov-877 mtr, 22nd Nov-1,899 mtr, 24th Nov-1,899 mtr, Rest Qty-25th Nov</t>
  </si>
  <si>
    <t>10th Nov-3,123 mtr, (23rd Nov-3rd Dec)-911 mtr every alternate day, (4th Dec-6th Dec)-911 mtr/Day, (8th Dec-9th Dec)-911 mtr/Day, Rest Qty-10th Dec</t>
  </si>
  <si>
    <t>14th Nov-775 mtr, 22nd Nov-2,388 mtr, Rest Qty-23rd Nov</t>
  </si>
  <si>
    <t>30th Oct- 1.9k mtr, 2nd-4th-1.9k mtr, 9th-16th-1.9k mtr</t>
  </si>
  <si>
    <t>Tu Black</t>
  </si>
  <si>
    <t>TU White 25</t>
  </si>
  <si>
    <t>SEPIA ROSE 14-1803 TCX</t>
  </si>
  <si>
    <t>TWILIGHT MAUVE 18-1807 TCX</t>
  </si>
  <si>
    <t>81002 Silver Grey</t>
  </si>
  <si>
    <t>Aloe 17-0620 TCX</t>
  </si>
  <si>
    <t>Pink Ice 21282</t>
  </si>
  <si>
    <t>OATMEAL MARL B0201 VOL-32</t>
  </si>
  <si>
    <t>SIMPLE STRIPE-4CM RPT-PINK AND WHITE</t>
  </si>
  <si>
    <t>Soft Pink 46499</t>
  </si>
  <si>
    <t>Ivory 32740-AOP-G</t>
  </si>
  <si>
    <t>Egret 11-0103 TCX</t>
  </si>
  <si>
    <t>Pink Ice 21282-AOP-G</t>
  </si>
  <si>
    <t>PFD-AOP-G</t>
  </si>
  <si>
    <t>Dark Grey 47958</t>
  </si>
  <si>
    <t>LIGHT BLUE MARL BROS-B0824</t>
  </si>
  <si>
    <t>Malt 19-1215 TCX</t>
  </si>
  <si>
    <t>11-0615 TCX-AOP-G</t>
  </si>
  <si>
    <t>17-2619 TCX-AOP-G</t>
  </si>
  <si>
    <t>Blackened Pearl (19-3917 TCX)</t>
  </si>
  <si>
    <t>Dark Sapphire 19-4020 TCX</t>
  </si>
  <si>
    <t>18-1807 Tcx</t>
  </si>
  <si>
    <t>Ivory 80762-AOP-G</t>
  </si>
  <si>
    <t>Burnt Sienna 23741</t>
  </si>
  <si>
    <t>Pale Rose 32032</t>
  </si>
  <si>
    <t>PANTONE 11-0601 TCX ESS080</t>
  </si>
  <si>
    <t>DARK BLUE MARL BROS-B8889</t>
  </si>
  <si>
    <t>Slate Blue 32200</t>
  </si>
  <si>
    <t>Pale Straw 18303</t>
  </si>
  <si>
    <t>MID BLUE MARL BROS-B8986</t>
  </si>
  <si>
    <t>Green Piping 19-0231 TCX</t>
  </si>
  <si>
    <t>TU White</t>
  </si>
  <si>
    <t>Begonia Pink 15-2215 TCX</t>
  </si>
  <si>
    <t>Cornflower 31827</t>
  </si>
  <si>
    <t>Medium Pink 32338</t>
  </si>
  <si>
    <t>16-1357 Tcx</t>
  </si>
  <si>
    <t>PANTONE 18-3949 TCX</t>
  </si>
  <si>
    <t>14-4514 tcx</t>
  </si>
  <si>
    <t>Silt Green 14-5706 Tcx</t>
  </si>
  <si>
    <t>YD STRIPE 12-5506 TCX 0.4 CM 11-4202 TCX 0.6 CM 14-3710 TCX 0.4 CM 11-4202 TCX 0.6 CM</t>
  </si>
  <si>
    <t>123 C</t>
  </si>
  <si>
    <t>19-3921 Tcx</t>
  </si>
  <si>
    <t>Light Mint 20910</t>
  </si>
  <si>
    <t>Golden Sands 47765</t>
  </si>
  <si>
    <t>White 11-0601 TCX-AOP-G</t>
  </si>
  <si>
    <t>Snow White 11-0602 TCX-AOP-G</t>
  </si>
  <si>
    <t>Dusty Green 46742-AOP-G</t>
  </si>
  <si>
    <t>12-1706 TCX</t>
  </si>
  <si>
    <t>Angel Wing 11-1305 TCX</t>
  </si>
  <si>
    <t>Dusty Aqua 12-5506 TCX</t>
  </si>
  <si>
    <t>TU WHITE 25-AOP-G</t>
  </si>
  <si>
    <t>Green (Eden 19-6050 TCX)</t>
  </si>
  <si>
    <t>Grape Leaf-19-0511 Tcx</t>
  </si>
  <si>
    <t>Conch Shell (15-1624 TCX)</t>
  </si>
  <si>
    <t>Cloud Dancer-AOP</t>
  </si>
  <si>
    <t>12-1706 TCX- AOP</t>
  </si>
  <si>
    <t>GARDENIA 11-0604 TCX-AOP</t>
  </si>
  <si>
    <t>Bright White 11-0601 TCX-AOP</t>
  </si>
  <si>
    <t>Maritime Blue 19-3831 TCX-AOP</t>
  </si>
  <si>
    <t>Egret 11-0103 TCX-AOP</t>
  </si>
  <si>
    <t>Black Onyx 19-4003 TCX-AOP</t>
  </si>
  <si>
    <t>TU White-AOP</t>
  </si>
  <si>
    <t>Arctic Dawn Archroma 652-211-AOP</t>
  </si>
  <si>
    <t>Pale Denim Blue 654-280</t>
  </si>
  <si>
    <t>11-0602 TCX-AOP</t>
  </si>
  <si>
    <t>Light Cream 81001-AOP</t>
  </si>
  <si>
    <t>Ivory 32740-AOP</t>
  </si>
  <si>
    <t>Black 10005-AOP</t>
  </si>
  <si>
    <t>TU WHITE 25-AOP</t>
  </si>
  <si>
    <t>11-0601 TCX-AOP</t>
  </si>
  <si>
    <t>Pink Ice 21282-AOP</t>
  </si>
  <si>
    <t>Ivory 80762-AOP</t>
  </si>
  <si>
    <t>17-2619 TCX-AOP</t>
  </si>
  <si>
    <t>Pear Sorbet 11-0615 TCX-AOP</t>
  </si>
  <si>
    <t>Tap shoe 19-4004 TCX-AOP</t>
  </si>
  <si>
    <t>Dusty Green 46742-AOP</t>
  </si>
  <si>
    <t>NOSTALGIA ROSE 17-1512 TCX</t>
  </si>
  <si>
    <t>Foxglove-16-1710 TCX</t>
  </si>
  <si>
    <t>Foxglove 16-1710 TCX</t>
  </si>
  <si>
    <t>Loden Frost (17-0210 TCX)</t>
  </si>
  <si>
    <t>427783</t>
  </si>
  <si>
    <t>457136</t>
  </si>
  <si>
    <t>468883</t>
  </si>
  <si>
    <t>468884</t>
  </si>
  <si>
    <t>457575#Style-2604(Menswear/ Boxer)-Creora</t>
  </si>
  <si>
    <t>454634</t>
  </si>
  <si>
    <t>440400#Style-2604 (MENS)-Creora</t>
  </si>
  <si>
    <t>466842</t>
  </si>
  <si>
    <t>467667</t>
  </si>
  <si>
    <t>464904</t>
  </si>
  <si>
    <t>454568</t>
  </si>
  <si>
    <t>467286</t>
  </si>
  <si>
    <t>451147-SP27 3276-Cup</t>
  </si>
  <si>
    <t>437983#Style-2604 (MENS)-Creora- 36 Dia</t>
  </si>
  <si>
    <t>455095</t>
  </si>
  <si>
    <t>454733</t>
  </si>
  <si>
    <t>457186</t>
  </si>
  <si>
    <t>458361</t>
  </si>
  <si>
    <t>465209-Lycra</t>
  </si>
  <si>
    <t>454456</t>
  </si>
  <si>
    <t>455104</t>
  </si>
  <si>
    <t>455139</t>
  </si>
  <si>
    <t>467954</t>
  </si>
  <si>
    <t>460115-SP27 3276-Cup</t>
  </si>
  <si>
    <t>464461</t>
  </si>
  <si>
    <t>469772</t>
  </si>
  <si>
    <t>440427</t>
  </si>
  <si>
    <t>459189#Style-2607 (MENS)-Creora</t>
  </si>
  <si>
    <t>445768</t>
  </si>
  <si>
    <t>468885</t>
  </si>
  <si>
    <t>459186#Style-2607 (MENS)-Creora</t>
  </si>
  <si>
    <t>445737</t>
  </si>
  <si>
    <t>470708</t>
  </si>
  <si>
    <t>451585#Style-2604 (MENS)-Creora</t>
  </si>
  <si>
    <t>468567</t>
  </si>
  <si>
    <t>456042</t>
  </si>
  <si>
    <t>467355</t>
  </si>
  <si>
    <t>459829#Style-2607 (MENS)-Creora</t>
  </si>
  <si>
    <t>459222</t>
  </si>
  <si>
    <t>454443</t>
  </si>
  <si>
    <t>466440</t>
  </si>
  <si>
    <t>467046</t>
  </si>
  <si>
    <t>460118-SP27 6810-Cup</t>
  </si>
  <si>
    <t>438588</t>
  </si>
  <si>
    <t>463123</t>
  </si>
  <si>
    <t>467990</t>
  </si>
  <si>
    <t>462452</t>
  </si>
  <si>
    <t>469231</t>
  </si>
  <si>
    <t>462251</t>
  </si>
  <si>
    <t>448779</t>
  </si>
  <si>
    <t>466465</t>
  </si>
  <si>
    <t>457844</t>
  </si>
  <si>
    <t>462252</t>
  </si>
  <si>
    <t>466446</t>
  </si>
  <si>
    <t>466929-Srilanka Order</t>
  </si>
  <si>
    <t>466932-Srilanka Order</t>
  </si>
  <si>
    <t>466936-Srilanka Order</t>
  </si>
  <si>
    <t>468644</t>
  </si>
  <si>
    <t>448782</t>
  </si>
  <si>
    <t>448739</t>
  </si>
  <si>
    <t>448758</t>
  </si>
  <si>
    <t>448740</t>
  </si>
  <si>
    <t>461410</t>
  </si>
  <si>
    <t>463856</t>
  </si>
  <si>
    <t>466141</t>
  </si>
  <si>
    <t>468586</t>
  </si>
  <si>
    <t>464905</t>
  </si>
  <si>
    <t>469230</t>
  </si>
  <si>
    <t>466169</t>
  </si>
  <si>
    <t>464529</t>
  </si>
  <si>
    <t>468913</t>
  </si>
  <si>
    <t>456698</t>
  </si>
  <si>
    <t>471218</t>
  </si>
  <si>
    <t>464152</t>
  </si>
  <si>
    <t>443495</t>
  </si>
  <si>
    <t>470746</t>
  </si>
  <si>
    <t>469678</t>
  </si>
  <si>
    <t>457575</t>
  </si>
  <si>
    <t>440400</t>
  </si>
  <si>
    <t>437983</t>
  </si>
  <si>
    <t>465209</t>
  </si>
  <si>
    <t>460115</t>
  </si>
  <si>
    <t>459189</t>
  </si>
  <si>
    <t>459186</t>
  </si>
  <si>
    <t>451585</t>
  </si>
  <si>
    <t>459829</t>
  </si>
  <si>
    <t>460118</t>
  </si>
  <si>
    <t>466929</t>
  </si>
  <si>
    <t>466932</t>
  </si>
  <si>
    <t>466936</t>
  </si>
  <si>
    <t>469741</t>
  </si>
  <si>
    <t>T61-KPK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</si>
</sst>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[$-409]d/mmm;@"/>
    <numFmt numFmtId="166" formatCode="0_);[Red]\(0\)"/>
    <numFmt numFmtId="167" formatCode="[$-409]d\-mmm;@"/>
    <numFmt numFmtId="168" formatCode="dd\-mmm\-yy"/>
    <numFmt numFmtId="169" formatCode="0.0%"/>
    <numFmt numFmtId="170" formatCode="#,##0;\-#,##0;&quot;-&quot;"/>
    <numFmt numFmtId="171" formatCode="#,##0.00;\-#,##0.00;&quot;-&quot;"/>
    <numFmt numFmtId="172" formatCode="&quot;Date : &quot;dd\-mmm\-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4"/>
      <name val="Calibri"/>
      <family val="2"/>
    </font>
    <font>
      <sz val="20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664356"/>
      <name val="Calibri"/>
      <family val="2"/>
    </font>
    <font>
      <i/>
      <sz val="8"/>
      <color rgb="FF929597"/>
      <name val="Calibri"/>
      <family val="2"/>
    </font>
    <font>
      <b/>
      <sz val="10"/>
      <color rgb="FFFFFFFF"/>
      <name val="Calibri"/>
      <family val="2"/>
    </font>
    <font>
      <sz val="10"/>
      <color rgb="FF262626"/>
      <name val="Calibri"/>
      <family val="2"/>
    </font>
    <font>
      <sz val="10"/>
      <color rgb="FFAF4F5A"/>
      <name val="Calibri"/>
      <family val="2"/>
    </font>
    <font>
      <b/>
      <sz val="14"/>
      <color rgb="FF664356"/>
      <name val="Calibri"/>
      <family val="2"/>
    </font>
    <font>
      <i/>
      <sz val="9"/>
      <color rgb="FF929597"/>
      <name val="Calibri"/>
      <family val="2"/>
    </font>
    <font>
      <sz val="8"/>
      <color rgb="FFCFCDCD"/>
      <name val="Calibri"/>
      <family val="2"/>
    </font>
    <font>
      <sz val="10"/>
      <color rgb="FF929597"/>
      <name val="Calibri"/>
      <family val="2"/>
    </font>
    <font>
      <sz val="3"/>
      <color rgb="FF929597"/>
      <name val="Calibri"/>
      <family val="2"/>
    </font>
    <font>
      <b/>
      <sz val="10"/>
      <color rgb="FFFFFFFF"/>
      <name val="Calibri"/>
      <family val="2"/>
    </font>
    <font>
      <b/>
      <sz val="22"/>
      <color theme="1"/>
      <name val="Calibri"/>
      <family val="2"/>
      <scheme val="minor"/>
    </font>
    <font>
      <b/>
      <sz val="12"/>
      <color rgb="FF664356"/>
      <name val="Calibri"/>
      <family val="2"/>
    </font>
    <font>
      <b/>
      <sz val="12"/>
      <name val="Calibri"/>
      <family val="2"/>
    </font>
    <font>
      <sz val="12"/>
      <color rgb="FF929597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262626"/>
      <name val="Calibri"/>
      <family val="2"/>
    </font>
    <font>
      <sz val="10"/>
      <color rgb="FFAF4F5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6DFE1"/>
        <bgColor rgb="FFE6DFE1"/>
      </patternFill>
    </fill>
    <fill>
      <patternFill patternType="solid">
        <fgColor rgb="FF664356"/>
        <bgColor rgb="FF664356"/>
      </patternFill>
    </fill>
    <fill>
      <patternFill patternType="solid">
        <fgColor rgb="FF7C5D6D"/>
        <bgColor rgb="FF7C5D6D"/>
      </patternFill>
    </fill>
    <fill>
      <patternFill patternType="solid">
        <fgColor rgb="FFD2C7CB"/>
        <bgColor rgb="FFD2C7CB"/>
      </patternFill>
    </fill>
    <fill>
      <patternFill patternType="solid">
        <fgColor rgb="FFFFFFFF"/>
        <bgColor rgb="FFFFFFFF"/>
      </patternFill>
    </fill>
    <fill>
      <patternFill patternType="solid">
        <fgColor rgb="FFEFECED"/>
        <bgColor rgb="FFEFECED"/>
      </patternFill>
    </fill>
    <fill>
      <patternFill patternType="solid">
        <fgColor rgb="FFECE6E3"/>
        <bgColor rgb="FFECE6E3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C5D6D"/>
      </left>
      <right style="thin">
        <color rgb="FF7C5D6D"/>
      </right>
      <top style="thin">
        <color rgb="FF664356"/>
      </top>
      <bottom style="thin">
        <color rgb="FF664356"/>
      </bottom>
      <diagonal/>
    </border>
    <border>
      <left style="thin">
        <color rgb="FFE4E4E3"/>
      </left>
      <right style="thin">
        <color rgb="FFE4E4E3"/>
      </right>
      <top style="thin">
        <color rgb="FFE4E4E3"/>
      </top>
      <bottom style="thin">
        <color rgb="FFE4E4E3"/>
      </bottom>
      <diagonal/>
    </border>
    <border>
      <left style="thin">
        <color rgb="FFB29EA6"/>
      </left>
      <right style="thin">
        <color rgb="FFB29EA6"/>
      </right>
      <top style="medium">
        <color rgb="FF664356"/>
      </top>
      <bottom style="medium">
        <color rgb="FF664356"/>
      </bottom>
      <diagonal/>
    </border>
    <border>
      <left/>
      <right/>
      <top/>
      <bottom/>
      <diagonal/>
    </border>
    <border>
      <left style="thin">
        <color rgb="FF957B87"/>
      </left>
      <right style="thin">
        <color rgb="FF957B87"/>
      </right>
      <top style="thin">
        <color rgb="FF957B87"/>
      </top>
      <bottom/>
      <diagonal/>
    </border>
    <border>
      <left style="thin">
        <color indexed="64"/>
      </left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rgb="FF7C5D6D"/>
      </left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rgb="FF7C5D6D"/>
      </left>
      <right style="thin">
        <color indexed="64"/>
      </right>
      <top style="thin">
        <color indexed="64"/>
      </top>
      <bottom style="thin">
        <color rgb="FF664356"/>
      </bottom>
      <diagonal/>
    </border>
    <border>
      <left style="thin">
        <color indexed="64"/>
      </left>
      <right style="thin">
        <color rgb="FFE4E4E3"/>
      </right>
      <top style="thin">
        <color rgb="FFE4E4E3"/>
      </top>
      <bottom style="thin">
        <color rgb="FFE4E4E3"/>
      </bottom>
      <diagonal/>
    </border>
    <border>
      <left style="thin">
        <color rgb="FFE4E4E3"/>
      </left>
      <right style="thin">
        <color indexed="64"/>
      </right>
      <top style="thin">
        <color rgb="FFE4E4E3"/>
      </top>
      <bottom style="thin">
        <color rgb="FFE4E4E3"/>
      </bottom>
      <diagonal/>
    </border>
    <border>
      <left style="thin">
        <color indexed="64"/>
      </left>
      <right style="thin">
        <color rgb="FFB29EA6"/>
      </right>
      <top style="medium">
        <color rgb="FF664356"/>
      </top>
      <bottom style="thin">
        <color indexed="64"/>
      </bottom>
      <diagonal/>
    </border>
    <border>
      <left style="thin">
        <color rgb="FFB29EA6"/>
      </left>
      <right style="thin">
        <color rgb="FFB29EA6"/>
      </right>
      <top style="medium">
        <color rgb="FF664356"/>
      </top>
      <bottom style="thin">
        <color indexed="64"/>
      </bottom>
      <diagonal/>
    </border>
    <border>
      <left style="thin">
        <color rgb="FFB29EA6"/>
      </left>
      <right style="thin">
        <color indexed="64"/>
      </right>
      <top style="medium">
        <color rgb="FF664356"/>
      </top>
      <bottom style="thin">
        <color indexed="64"/>
      </bottom>
      <diagonal/>
    </border>
    <border>
      <left style="thin">
        <color indexed="64"/>
      </left>
      <right style="thin">
        <color rgb="FFE4E4E3"/>
      </right>
      <top/>
      <bottom style="thin">
        <color rgb="FFE4E4E3"/>
      </bottom>
      <diagonal/>
    </border>
    <border>
      <left style="thin">
        <color rgb="FFE4E4E3"/>
      </left>
      <right style="thin">
        <color rgb="FFE4E4E3"/>
      </right>
      <top/>
      <bottom style="thin">
        <color rgb="FFE4E4E3"/>
      </bottom>
      <diagonal/>
    </border>
    <border>
      <left style="thin">
        <color rgb="FFE4E4E3"/>
      </left>
      <right style="thin">
        <color indexed="64"/>
      </right>
      <top/>
      <bottom style="thin">
        <color rgb="FFE4E4E3"/>
      </bottom>
      <diagonal/>
    </border>
    <border>
      <left style="thin">
        <color indexed="64"/>
      </left>
      <right style="thin">
        <color rgb="FF7C5D6D"/>
      </right>
      <top style="thin">
        <color rgb="FF664356"/>
      </top>
      <bottom style="thin">
        <color indexed="64"/>
      </bottom>
      <diagonal/>
    </border>
    <border>
      <left style="thin">
        <color rgb="FF7C5D6D"/>
      </left>
      <right style="thin">
        <color rgb="FF7C5D6D"/>
      </right>
      <top style="thin">
        <color rgb="FF664356"/>
      </top>
      <bottom style="thin">
        <color indexed="64"/>
      </bottom>
      <diagonal/>
    </border>
    <border>
      <left style="thin">
        <color rgb="FF7C5D6D"/>
      </left>
      <right style="thin">
        <color indexed="64"/>
      </right>
      <top style="thin">
        <color rgb="FF664356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64356"/>
      </bottom>
      <diagonal/>
    </border>
    <border>
      <left/>
      <right style="thin">
        <color rgb="FF7C5D6D"/>
      </right>
      <top style="thin">
        <color indexed="64"/>
      </top>
      <bottom style="thin">
        <color rgb="FF664356"/>
      </bottom>
      <diagonal/>
    </border>
    <border>
      <left style="thin">
        <color indexed="64"/>
      </left>
      <right style="thin">
        <color rgb="FF7C5D6D"/>
      </right>
      <top/>
      <bottom style="thin">
        <color rgb="FF664356"/>
      </bottom>
      <diagonal/>
    </border>
    <border>
      <left style="thin">
        <color rgb="FF7C5D6D"/>
      </left>
      <right style="thin">
        <color indexed="64"/>
      </right>
      <top/>
      <bottom style="thin">
        <color rgb="FF6643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C5D6D"/>
      </left>
      <right style="thin">
        <color rgb="FF7C5D6D"/>
      </right>
      <top/>
      <bottom style="thin">
        <color rgb="FF664356"/>
      </bottom>
      <diagonal/>
    </border>
  </borders>
  <cellStyleXfs count="11">
    <xf numFmtId="0" fontId="0" fillId="0" borderId="5"/>
    <xf numFmtId="43" fontId="1" fillId="0" borderId="5"/>
    <xf numFmtId="9" fontId="1" fillId="0" borderId="5"/>
    <xf numFmtId="0" fontId="4" fillId="0" borderId="5"/>
    <xf numFmtId="9" fontId="4" fillId="0" borderId="5"/>
    <xf numFmtId="0" fontId="2" fillId="0" borderId="5"/>
    <xf numFmtId="0" fontId="9" fillId="0" borderId="5"/>
    <xf numFmtId="0" fontId="1" fillId="0" borderId="5"/>
    <xf numFmtId="43" fontId="4" fillId="0" borderId="5"/>
    <xf numFmtId="9" fontId="1" fillId="0" borderId="5"/>
    <xf numFmtId="9" fontId="4" fillId="0" borderId="5"/>
  </cellStyleXfs>
  <cellXfs count="140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164" fontId="0" fillId="0" borderId="0" xfId="1" applyNumberFormat="1" applyFont="1" applyBorder="1" applyAlignment="1">
      <alignment horizontal="center" vertical="center"/>
    </xf>
    <xf numFmtId="165" fontId="0" fillId="0" borderId="0" xfId="0" applyNumberFormat="1" applyBorder="1"/>
    <xf numFmtId="165" fontId="0" fillId="0" borderId="0" xfId="0" applyNumberFormat="1" applyBorder="1" applyAlignment="1">
      <alignment wrapText="1"/>
    </xf>
    <xf numFmtId="38" fontId="0" fillId="0" borderId="0" xfId="0" applyNumberFormat="1" applyBorder="1"/>
    <xf numFmtId="9" fontId="0" fillId="0" borderId="0" xfId="2" applyFont="1" applyBorder="1"/>
    <xf numFmtId="16" fontId="0" fillId="0" borderId="0" xfId="0" applyNumberFormat="1" applyBorder="1"/>
    <xf numFmtId="165" fontId="0" fillId="0" borderId="0" xfId="0" applyNumberFormat="1" applyBorder="1" applyAlignment="1">
      <alignment horizontal="center" vertical="center"/>
    </xf>
    <xf numFmtId="165" fontId="0" fillId="0" borderId="0" xfId="0" pivotButton="1" applyNumberFormat="1" applyBorder="1"/>
    <xf numFmtId="14" fontId="0" fillId="0" borderId="0" xfId="0" applyNumberFormat="1" applyBorder="1" applyAlignment="1">
      <alignment horizontal="left"/>
    </xf>
    <xf numFmtId="166" fontId="2" fillId="0" borderId="0" xfId="3" applyNumberFormat="1" applyFont="1" applyBorder="1"/>
    <xf numFmtId="9" fontId="3" fillId="0" borderId="0" xfId="4" applyFont="1" applyBorder="1"/>
    <xf numFmtId="0" fontId="2" fillId="0" borderId="0" xfId="3" applyFont="1" applyBorder="1"/>
    <xf numFmtId="38" fontId="2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2" fillId="0" borderId="0" xfId="3" applyNumberFormat="1" applyFont="1" applyBorder="1"/>
    <xf numFmtId="43" fontId="2" fillId="0" borderId="0" xfId="3" applyNumberFormat="1" applyFont="1" applyBorder="1"/>
    <xf numFmtId="3" fontId="2" fillId="0" borderId="0" xfId="3" applyNumberFormat="1" applyFont="1" applyBorder="1"/>
    <xf numFmtId="3" fontId="7" fillId="0" borderId="0" xfId="3" applyNumberFormat="1" applyFont="1" applyBorder="1"/>
    <xf numFmtId="167" fontId="0" fillId="0" borderId="0" xfId="0" applyNumberFormat="1" applyBorder="1"/>
    <xf numFmtId="0" fontId="5" fillId="0" borderId="0" xfId="3" applyFont="1" applyBorder="1" applyAlignment="1">
      <alignment horizontal="left" vertical="center" indent="1"/>
    </xf>
    <xf numFmtId="38" fontId="2" fillId="0" borderId="0" xfId="3" applyNumberFormat="1" applyFont="1" applyBorder="1"/>
    <xf numFmtId="1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left" vertical="top"/>
    </xf>
    <xf numFmtId="0" fontId="17" fillId="0" borderId="0" xfId="0" applyFont="1" applyBorder="1"/>
    <xf numFmtId="38" fontId="17" fillId="0" borderId="0" xfId="0" applyNumberFormat="1" applyFont="1" applyBorder="1"/>
    <xf numFmtId="0" fontId="6" fillId="0" borderId="5" xfId="5" applyFont="1" applyAlignment="1">
      <alignment horizontal="center" vertical="center"/>
    </xf>
    <xf numFmtId="0" fontId="18" fillId="0" borderId="5" xfId="3" applyFont="1"/>
    <xf numFmtId="0" fontId="8" fillId="0" borderId="5" xfId="3" applyFont="1"/>
    <xf numFmtId="168" fontId="18" fillId="0" borderId="5" xfId="3" applyNumberFormat="1" applyFont="1" applyAlignment="1">
      <alignment horizontal="center"/>
    </xf>
    <xf numFmtId="0" fontId="12" fillId="3" borderId="2" xfId="0" applyFont="1" applyFill="1" applyBorder="1" applyAlignment="1">
      <alignment horizontal="center" vertical="center" wrapText="1"/>
    </xf>
    <xf numFmtId="169" fontId="10" fillId="5" borderId="4" xfId="2" applyNumberFormat="1" applyFont="1" applyFill="1" applyBorder="1" applyAlignment="1">
      <alignment horizontal="center" vertical="center"/>
    </xf>
    <xf numFmtId="0" fontId="15" fillId="0" borderId="0" xfId="0" applyFont="1" applyBorder="1"/>
    <xf numFmtId="0" fontId="16" fillId="0" borderId="0" xfId="0" applyFont="1" applyBorder="1"/>
    <xf numFmtId="169" fontId="13" fillId="0" borderId="3" xfId="2" applyNumberFormat="1" applyFont="1" applyBorder="1" applyAlignment="1">
      <alignment horizontal="center" vertical="center"/>
    </xf>
    <xf numFmtId="0" fontId="7" fillId="0" borderId="5" xfId="3" applyFont="1"/>
    <xf numFmtId="3" fontId="7" fillId="0" borderId="5" xfId="3" applyNumberFormat="1" applyFont="1"/>
    <xf numFmtId="168" fontId="22" fillId="8" borderId="6" xfId="3" applyNumberFormat="1" applyFont="1" applyFill="1" applyBorder="1" applyAlignment="1">
      <alignment horizontal="center" vertical="center"/>
    </xf>
    <xf numFmtId="166" fontId="23" fillId="0" borderId="5" xfId="3" applyNumberFormat="1" applyFont="1" applyAlignment="1">
      <alignment horizontal="center" vertical="center"/>
    </xf>
    <xf numFmtId="16" fontId="24" fillId="0" borderId="5" xfId="3" applyNumberFormat="1" applyFont="1" applyAlignment="1">
      <alignment horizontal="center" vertical="center"/>
    </xf>
    <xf numFmtId="38" fontId="25" fillId="0" borderId="5" xfId="1" applyNumberFormat="1" applyFont="1" applyAlignment="1">
      <alignment horizontal="center" vertical="center"/>
    </xf>
    <xf numFmtId="0" fontId="25" fillId="0" borderId="5" xfId="3" applyFont="1"/>
    <xf numFmtId="0" fontId="26" fillId="0" borderId="5" xfId="0" applyFont="1"/>
    <xf numFmtId="0" fontId="23" fillId="0" borderId="5" xfId="3" applyFont="1"/>
    <xf numFmtId="166" fontId="27" fillId="4" borderId="19" xfId="3" applyNumberFormat="1" applyFont="1" applyFill="1" applyBorder="1" applyAlignment="1">
      <alignment horizontal="center" vertical="center" wrapText="1"/>
    </xf>
    <xf numFmtId="9" fontId="27" fillId="4" borderId="20" xfId="4" applyFont="1" applyFill="1" applyBorder="1" applyAlignment="1">
      <alignment horizontal="center" vertical="center" wrapText="1"/>
    </xf>
    <xf numFmtId="9" fontId="23" fillId="0" borderId="5" xfId="4" applyFont="1" applyAlignment="1">
      <alignment horizontal="center" vertical="center" wrapText="1"/>
    </xf>
    <xf numFmtId="166" fontId="27" fillId="4" borderId="18" xfId="3" applyNumberFormat="1" applyFont="1" applyFill="1" applyBorder="1" applyAlignment="1">
      <alignment horizontal="center" vertical="center" wrapText="1"/>
    </xf>
    <xf numFmtId="9" fontId="27" fillId="4" borderId="19" xfId="4" applyFont="1" applyFill="1" applyBorder="1" applyAlignment="1">
      <alignment horizontal="center" vertical="center" wrapText="1"/>
    </xf>
    <xf numFmtId="0" fontId="22" fillId="6" borderId="15" xfId="3" applyFont="1" applyFill="1" applyBorder="1" applyAlignment="1">
      <alignment horizontal="left" vertical="center"/>
    </xf>
    <xf numFmtId="170" fontId="28" fillId="6" borderId="16" xfId="0" applyNumberFormat="1" applyFont="1" applyFill="1" applyBorder="1" applyAlignment="1">
      <alignment horizontal="right" vertical="center"/>
    </xf>
    <xf numFmtId="170" fontId="28" fillId="6" borderId="16" xfId="3" applyNumberFormat="1" applyFont="1" applyFill="1" applyBorder="1" applyAlignment="1">
      <alignment horizontal="right" vertical="center"/>
    </xf>
    <xf numFmtId="169" fontId="28" fillId="6" borderId="17" xfId="4" applyNumberFormat="1" applyFont="1" applyFill="1" applyBorder="1" applyAlignment="1">
      <alignment horizontal="center" vertical="center"/>
    </xf>
    <xf numFmtId="9" fontId="25" fillId="0" borderId="5" xfId="4" applyFont="1" applyAlignment="1">
      <alignment horizontal="right" vertical="center"/>
    </xf>
    <xf numFmtId="170" fontId="28" fillId="6" borderId="15" xfId="0" applyNumberFormat="1" applyFont="1" applyFill="1" applyBorder="1" applyAlignment="1">
      <alignment horizontal="right" vertical="center"/>
    </xf>
    <xf numFmtId="169" fontId="28" fillId="6" borderId="16" xfId="2" applyNumberFormat="1" applyFont="1" applyFill="1" applyBorder="1" applyAlignment="1">
      <alignment horizontal="center" vertical="center"/>
    </xf>
    <xf numFmtId="170" fontId="28" fillId="6" borderId="15" xfId="1" applyNumberFormat="1" applyFont="1" applyFill="1" applyBorder="1" applyAlignment="1">
      <alignment horizontal="right" vertical="center"/>
    </xf>
    <xf numFmtId="170" fontId="28" fillId="6" borderId="17" xfId="3" applyNumberFormat="1" applyFont="1" applyFill="1" applyBorder="1" applyAlignment="1">
      <alignment horizontal="right" vertical="center"/>
    </xf>
    <xf numFmtId="166" fontId="25" fillId="0" borderId="5" xfId="3" applyNumberFormat="1" applyFont="1"/>
    <xf numFmtId="170" fontId="28" fillId="6" borderId="10" xfId="0" applyNumberFormat="1" applyFont="1" applyFill="1" applyBorder="1" applyAlignment="1">
      <alignment horizontal="right" vertical="center"/>
    </xf>
    <xf numFmtId="170" fontId="28" fillId="6" borderId="3" xfId="1" applyNumberFormat="1" applyFont="1" applyFill="1" applyBorder="1" applyAlignment="1">
      <alignment horizontal="right" vertical="center"/>
    </xf>
    <xf numFmtId="170" fontId="28" fillId="6" borderId="11" xfId="1" applyNumberFormat="1" applyFont="1" applyFill="1" applyBorder="1" applyAlignment="1">
      <alignment horizontal="right" vertical="center"/>
    </xf>
    <xf numFmtId="0" fontId="22" fillId="7" borderId="10" xfId="3" applyFont="1" applyFill="1" applyBorder="1" applyAlignment="1">
      <alignment horizontal="left" vertical="center"/>
    </xf>
    <xf numFmtId="170" fontId="28" fillId="7" borderId="3" xfId="0" applyNumberFormat="1" applyFont="1" applyFill="1" applyBorder="1" applyAlignment="1">
      <alignment horizontal="right" vertical="center"/>
    </xf>
    <xf numFmtId="170" fontId="28" fillId="7" borderId="3" xfId="3" applyNumberFormat="1" applyFont="1" applyFill="1" applyBorder="1" applyAlignment="1">
      <alignment horizontal="right" vertical="center"/>
    </xf>
    <xf numFmtId="169" fontId="28" fillId="7" borderId="11" xfId="4" applyNumberFormat="1" applyFont="1" applyFill="1" applyBorder="1" applyAlignment="1">
      <alignment horizontal="center" vertical="center"/>
    </xf>
    <xf numFmtId="170" fontId="28" fillId="7" borderId="10" xfId="0" applyNumberFormat="1" applyFont="1" applyFill="1" applyBorder="1" applyAlignment="1">
      <alignment horizontal="right" vertical="center"/>
    </xf>
    <xf numFmtId="169" fontId="28" fillId="7" borderId="3" xfId="2" applyNumberFormat="1" applyFont="1" applyFill="1" applyBorder="1" applyAlignment="1">
      <alignment horizontal="center" vertical="center"/>
    </xf>
    <xf numFmtId="170" fontId="28" fillId="7" borderId="10" xfId="1" applyNumberFormat="1" applyFont="1" applyFill="1" applyBorder="1" applyAlignment="1">
      <alignment horizontal="right" vertical="center"/>
    </xf>
    <xf numFmtId="170" fontId="28" fillId="7" borderId="11" xfId="3" applyNumberFormat="1" applyFont="1" applyFill="1" applyBorder="1" applyAlignment="1">
      <alignment horizontal="right" vertical="center"/>
    </xf>
    <xf numFmtId="170" fontId="28" fillId="7" borderId="3" xfId="1" applyNumberFormat="1" applyFont="1" applyFill="1" applyBorder="1" applyAlignment="1">
      <alignment horizontal="right" vertical="center"/>
    </xf>
    <xf numFmtId="170" fontId="28" fillId="7" borderId="11" xfId="1" applyNumberFormat="1" applyFont="1" applyFill="1" applyBorder="1" applyAlignment="1">
      <alignment horizontal="right" vertical="center"/>
    </xf>
    <xf numFmtId="0" fontId="22" fillId="6" borderId="10" xfId="3" applyFont="1" applyFill="1" applyBorder="1" applyAlignment="1">
      <alignment horizontal="left" vertical="center"/>
    </xf>
    <xf numFmtId="170" fontId="28" fillId="6" borderId="3" xfId="0" applyNumberFormat="1" applyFont="1" applyFill="1" applyBorder="1" applyAlignment="1">
      <alignment horizontal="right" vertical="center"/>
    </xf>
    <xf numFmtId="170" fontId="28" fillId="6" borderId="3" xfId="3" applyNumberFormat="1" applyFont="1" applyFill="1" applyBorder="1" applyAlignment="1">
      <alignment horizontal="right" vertical="center"/>
    </xf>
    <xf numFmtId="169" fontId="28" fillId="6" borderId="11" xfId="4" applyNumberFormat="1" applyFont="1" applyFill="1" applyBorder="1" applyAlignment="1">
      <alignment horizontal="center" vertical="center"/>
    </xf>
    <xf numFmtId="169" fontId="28" fillId="6" borderId="3" xfId="2" applyNumberFormat="1" applyFont="1" applyFill="1" applyBorder="1" applyAlignment="1">
      <alignment horizontal="center" vertical="center"/>
    </xf>
    <xf numFmtId="170" fontId="28" fillId="6" borderId="10" xfId="1" applyNumberFormat="1" applyFont="1" applyFill="1" applyBorder="1" applyAlignment="1">
      <alignment horizontal="right" vertical="center"/>
    </xf>
    <xf numFmtId="170" fontId="28" fillId="6" borderId="11" xfId="3" applyNumberFormat="1" applyFont="1" applyFill="1" applyBorder="1" applyAlignment="1">
      <alignment horizontal="right" vertical="center"/>
    </xf>
    <xf numFmtId="0" fontId="22" fillId="5" borderId="12" xfId="3" applyFont="1" applyFill="1" applyBorder="1" applyAlignment="1">
      <alignment horizontal="left" vertical="center"/>
    </xf>
    <xf numFmtId="170" fontId="22" fillId="5" borderId="13" xfId="3" applyNumberFormat="1" applyFont="1" applyFill="1" applyBorder="1" applyAlignment="1">
      <alignment horizontal="right" vertical="center"/>
    </xf>
    <xf numFmtId="169" fontId="22" fillId="5" borderId="14" xfId="2" applyNumberFormat="1" applyFont="1" applyFill="1" applyBorder="1" applyAlignment="1">
      <alignment horizontal="center" vertical="center"/>
    </xf>
    <xf numFmtId="9" fontId="23" fillId="0" borderId="5" xfId="4" applyFont="1" applyAlignment="1">
      <alignment horizontal="center" vertical="center"/>
    </xf>
    <xf numFmtId="170" fontId="22" fillId="5" borderId="12" xfId="3" applyNumberFormat="1" applyFont="1" applyFill="1" applyBorder="1" applyAlignment="1">
      <alignment horizontal="right" vertical="center"/>
    </xf>
    <xf numFmtId="169" fontId="22" fillId="5" borderId="13" xfId="4" applyNumberFormat="1" applyFont="1" applyFill="1" applyBorder="1" applyAlignment="1">
      <alignment horizontal="center" vertical="center"/>
    </xf>
    <xf numFmtId="169" fontId="22" fillId="5" borderId="14" xfId="4" applyNumberFormat="1" applyFont="1" applyFill="1" applyBorder="1" applyAlignment="1">
      <alignment horizontal="center" vertical="center"/>
    </xf>
    <xf numFmtId="170" fontId="22" fillId="5" borderId="14" xfId="3" applyNumberFormat="1" applyFont="1" applyFill="1" applyBorder="1" applyAlignment="1">
      <alignment horizontal="right" vertical="center"/>
    </xf>
    <xf numFmtId="166" fontId="25" fillId="0" borderId="5" xfId="3" applyNumberFormat="1" applyFont="1" applyAlignment="1">
      <alignment horizontal="center" vertical="center"/>
    </xf>
    <xf numFmtId="0" fontId="0" fillId="0" borderId="0" xfId="0" pivotButton="1" applyBorder="1"/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70" fontId="10" fillId="2" borderId="1" xfId="0" applyNumberFormat="1" applyFont="1" applyFill="1" applyBorder="1" applyAlignment="1">
      <alignment horizontal="left" vertical="top"/>
    </xf>
    <xf numFmtId="170" fontId="10" fillId="2" borderId="1" xfId="1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164" fontId="19" fillId="0" borderId="1" xfId="1" applyNumberFormat="1" applyFont="1" applyBorder="1" applyAlignment="1">
      <alignment horizontal="left" vertical="top"/>
    </xf>
    <xf numFmtId="43" fontId="19" fillId="0" borderId="1" xfId="0" applyNumberFormat="1" applyFont="1" applyBorder="1" applyAlignment="1">
      <alignment horizontal="left" vertical="top"/>
    </xf>
    <xf numFmtId="1" fontId="19" fillId="0" borderId="1" xfId="0" applyNumberFormat="1" applyFont="1" applyBorder="1" applyAlignment="1">
      <alignment horizontal="left" vertical="top"/>
    </xf>
    <xf numFmtId="9" fontId="19" fillId="0" borderId="1" xfId="2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1" fontId="12" fillId="3" borderId="1" xfId="0" applyNumberFormat="1" applyFont="1" applyFill="1" applyBorder="1" applyAlignment="1">
      <alignment horizontal="left" vertical="top" wrapText="1"/>
    </xf>
    <xf numFmtId="164" fontId="12" fillId="3" borderId="1" xfId="1" applyNumberFormat="1" applyFont="1" applyFill="1" applyBorder="1" applyAlignment="1">
      <alignment horizontal="left" vertical="top" wrapText="1"/>
    </xf>
    <xf numFmtId="166" fontId="12" fillId="3" borderId="1" xfId="0" applyNumberFormat="1" applyFont="1" applyFill="1" applyBorder="1" applyAlignment="1">
      <alignment horizontal="left" vertical="top" wrapText="1"/>
    </xf>
    <xf numFmtId="165" fontId="12" fillId="3" borderId="1" xfId="0" applyNumberFormat="1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164" fontId="12" fillId="4" borderId="1" xfId="1" applyNumberFormat="1" applyFont="1" applyFill="1" applyBorder="1" applyAlignment="1">
      <alignment horizontal="left" vertical="top" wrapText="1"/>
    </xf>
    <xf numFmtId="9" fontId="12" fillId="4" borderId="1" xfId="2" applyFont="1" applyFill="1" applyBorder="1" applyAlignment="1">
      <alignment horizontal="left" vertical="top" wrapText="1"/>
    </xf>
    <xf numFmtId="170" fontId="14" fillId="0" borderId="1" xfId="0" applyNumberFormat="1" applyFont="1" applyBorder="1" applyAlignment="1">
      <alignment horizontal="left" vertical="top"/>
    </xf>
    <xf numFmtId="1" fontId="13" fillId="0" borderId="1" xfId="0" applyNumberFormat="1" applyFont="1" applyBorder="1" applyAlignment="1">
      <alignment horizontal="left" vertical="top"/>
    </xf>
    <xf numFmtId="171" fontId="14" fillId="0" borderId="1" xfId="0" applyNumberFormat="1" applyFont="1" applyBorder="1" applyAlignment="1">
      <alignment horizontal="left" vertical="top"/>
    </xf>
    <xf numFmtId="170" fontId="13" fillId="0" borderId="1" xfId="1" applyNumberFormat="1" applyFont="1" applyBorder="1" applyAlignment="1">
      <alignment horizontal="left" vertical="top"/>
    </xf>
    <xf numFmtId="170" fontId="13" fillId="0" borderId="1" xfId="0" applyNumberFormat="1" applyFont="1" applyBorder="1" applyAlignment="1">
      <alignment horizontal="left" vertical="top"/>
    </xf>
    <xf numFmtId="2" fontId="29" fillId="0" borderId="1" xfId="0" applyNumberFormat="1" applyFont="1" applyBorder="1" applyAlignment="1">
      <alignment horizontal="left" vertical="top"/>
    </xf>
    <xf numFmtId="3" fontId="29" fillId="0" borderId="1" xfId="0" applyNumberFormat="1" applyFont="1" applyBorder="1" applyAlignment="1">
      <alignment horizontal="left" vertical="top"/>
    </xf>
    <xf numFmtId="168" fontId="13" fillId="0" borderId="1" xfId="0" applyNumberFormat="1" applyFont="1" applyBorder="1" applyAlignment="1">
      <alignment horizontal="left" vertical="top"/>
    </xf>
    <xf numFmtId="165" fontId="13" fillId="0" borderId="1" xfId="0" applyNumberFormat="1" applyFont="1" applyBorder="1" applyAlignment="1">
      <alignment horizontal="left" vertical="top"/>
    </xf>
    <xf numFmtId="9" fontId="13" fillId="0" borderId="1" xfId="2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1" applyNumberFormat="1" applyFont="1" applyBorder="1" applyAlignment="1">
      <alignment horizontal="left" vertical="top"/>
    </xf>
    <xf numFmtId="165" fontId="0" fillId="0" borderId="1" xfId="0" applyNumberFormat="1" applyBorder="1" applyAlignment="1">
      <alignment horizontal="left" vertical="top" wrapText="1"/>
    </xf>
    <xf numFmtId="0" fontId="21" fillId="0" borderId="1" xfId="5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6" fillId="0" borderId="1" xfId="5" applyFont="1" applyBorder="1" applyAlignment="1">
      <alignment horizontal="center" vertical="center"/>
    </xf>
    <xf numFmtId="0" fontId="27" fillId="3" borderId="7" xfId="3" applyFont="1" applyFill="1" applyBorder="1" applyAlignment="1">
      <alignment horizontal="center" vertical="center" wrapText="1"/>
    </xf>
    <xf numFmtId="0" fontId="0" fillId="0" borderId="23" xfId="0" applyBorder="1"/>
    <xf numFmtId="0" fontId="27" fillId="3" borderId="9" xfId="3" applyFont="1" applyFill="1" applyBorder="1" applyAlignment="1">
      <alignment horizontal="center" vertical="center" wrapText="1"/>
    </xf>
    <xf numFmtId="0" fontId="0" fillId="0" borderId="24" xfId="0" applyBorder="1"/>
    <xf numFmtId="172" fontId="27" fillId="3" borderId="8" xfId="3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38" fontId="27" fillId="3" borderId="7" xfId="1" applyNumberFormat="1" applyFont="1" applyFill="1" applyBorder="1" applyAlignment="1">
      <alignment horizontal="center" vertical="center" wrapText="1"/>
    </xf>
    <xf numFmtId="166" fontId="27" fillId="3" borderId="7" xfId="3" applyNumberFormat="1" applyFont="1" applyFill="1" applyBorder="1" applyAlignment="1">
      <alignment horizontal="center" vertical="center" wrapText="1"/>
    </xf>
    <xf numFmtId="0" fontId="27" fillId="3" borderId="8" xfId="3" applyFont="1" applyFill="1" applyBorder="1" applyAlignment="1">
      <alignment horizontal="center" vertical="center" wrapText="1"/>
    </xf>
    <xf numFmtId="0" fontId="0" fillId="0" borderId="27" xfId="0" applyBorder="1"/>
  </cellXfs>
  <cellStyles count="11">
    <cellStyle name="Comma" xfId="1" builtinId="3"/>
    <cellStyle name="Comma 2" xfId="8" xr:uid="{00000000-0005-0000-0000-000008000000}"/>
    <cellStyle name="Normal" xfId="0" builtinId="0"/>
    <cellStyle name="Normal 2 3 2 2" xfId="7" xr:uid="{00000000-0005-0000-0000-000007000000}"/>
    <cellStyle name="Normal 3" xfId="3" xr:uid="{00000000-0005-0000-0000-000003000000}"/>
    <cellStyle name="Normal 3 2" xfId="6" xr:uid="{00000000-0005-0000-0000-000006000000}"/>
    <cellStyle name="Normal 4 3" xfId="5" xr:uid="{00000000-0005-0000-0000-000005000000}"/>
    <cellStyle name="Percent" xfId="2" builtinId="5"/>
    <cellStyle name="Percent 2" xfId="4" xr:uid="{00000000-0005-0000-0000-000004000000}"/>
    <cellStyle name="Percent 2 2 2 2" xfId="9" xr:uid="{00000000-0005-0000-0000-000009000000}"/>
    <cellStyle name="Percent 3" xfId="10" xr:uid="{00000000-0005-0000-0000-00000A000000}"/>
  </cellStyles>
  <dxfs count="15">
    <dxf>
      <font>
        <b/>
        <color rgb="FFAF4F5A"/>
      </font>
    </dxf>
    <dxf>
      <font>
        <b/>
        <color rgb="FF366083"/>
      </font>
    </dxf>
    <dxf>
      <font>
        <color rgb="FF929597"/>
      </font>
      <fill>
        <patternFill patternType="solid">
          <fgColor rgb="FFE4E4E3"/>
          <bgColor rgb="FFE4E4E3"/>
        </patternFill>
      </fill>
    </dxf>
    <dxf>
      <font>
        <b/>
        <color rgb="FF366083"/>
      </font>
      <fill>
        <patternFill patternType="solid">
          <fgColor rgb="FFCCD0DB"/>
          <bgColor rgb="FFCCD0DB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color rgb="FFAF4F5A"/>
      </font>
      <fill>
        <patternFill patternType="solid">
          <fgColor rgb="FFE7D1CE"/>
          <bgColor rgb="FFE7D1CE"/>
        </patternFill>
      </fill>
    </dxf>
    <dxf>
      <font>
        <b/>
        <color rgb="FFAF4F5A"/>
      </font>
    </dxf>
    <dxf>
      <numFmt numFmtId="165" formatCode="[$-409]d/mmm;@"/>
    </dxf>
    <dxf>
      <numFmt numFmtId="165" formatCode="[$-409]d/mmm;@"/>
    </dxf>
    <dxf>
      <numFmt numFmtId="165" formatCode="[$-409]d/mmm;@"/>
    </dxf>
    <dxf>
      <alignment horizontal="center"/>
    </dxf>
    <dxf>
      <alignment vertical="center"/>
    </dxf>
    <dxf>
      <numFmt numFmtId="6" formatCode="#,##0_);[Red]\(#,##0\)"/>
    </dxf>
    <dxf>
      <numFmt numFmtId="6" formatCode="#,##0_);[Red]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ibulHasan(SeniorE" refreshedDate="46316.546568055557" missingItemsLimit="0" createdVersion="8" refreshedVersion="8" minRefreshableVersion="3" recordCount="2782" xr:uid="{00000000-000A-0000-FFFF-FFFF90000000}">
  <cacheSource type="worksheet">
    <worksheetSource ref="A2:AX1048576" sheet="Fab Plan-Final"/>
  </cacheSource>
  <cacheFields count="50">
    <cacheField name="Buyer" numFmtId="0">
      <sharedItems containsBlank="1"/>
    </cacheField>
    <cacheField name="Main OC" numFmtId="0">
      <sharedItems containsBlank="1"/>
    </cacheField>
    <cacheField name="line plan oc match" numFmtId="0">
      <sharedItems containsNonDate="0" containsString="0" containsBlank="1"/>
    </cacheField>
    <cacheField name="Season" numFmtId="0">
      <sharedItems containsNonDate="0" containsString="0" containsBlank="1"/>
    </cacheField>
    <cacheField name="Fabric Req Date" numFmtId="0">
      <sharedItems containsNonDate="0" containsString="0" containsBlank="1"/>
    </cacheField>
    <cacheField name="Style Name" numFmtId="0">
      <sharedItems containsNonDate="0" containsString="0" containsBlank="1"/>
    </cacheField>
    <cacheField name="Psbl RFD" numFmtId="0">
      <sharedItems containsBlank="1" containsMixedTypes="1" containsNumber="1" minValue="5.6843418860808015E-14" maxValue="429.91"/>
    </cacheField>
    <cacheField name="Hues Code" numFmtId="0">
      <sharedItems containsString="0" containsBlank="1" containsNumber="1" containsInteger="1" minValue="1" maxValue="2268"/>
    </cacheField>
    <cacheField name="Article Name" numFmtId="0">
      <sharedItems containsBlank="1"/>
    </cacheField>
    <cacheField name="Color" numFmtId="0">
      <sharedItems containsBlank="1"/>
    </cacheField>
    <cacheField name="Req Qty Kg" numFmtId="0">
      <sharedItems containsBlank="1" containsMixedTypes="1" containsNumber="1" minValue="-8859.4390000000003" maxValue="0.15000000000001515"/>
    </cacheField>
    <cacheField name="Req Qty(Mtr)" numFmtId="0">
      <sharedItems containsString="0" containsBlank="1" containsNumber="1" minValue="-2145.875" maxValue="34779.072"/>
    </cacheField>
    <cacheField name="RFD Qty." numFmtId="0">
      <sharedItems containsString="0" containsBlank="1" containsNumber="1" minValue="-2145.875" maxValue="15000"/>
    </cacheField>
    <cacheField name="Balance to RFD" numFmtId="0">
      <sharedItems containsString="0" containsBlank="1" containsNumber="1" minValue="-34779.072" maxValue="0.45000000000004547"/>
    </cacheField>
    <cacheField name="Recovered Qty" numFmtId="0">
      <sharedItems containsNonDate="0" containsString="0" containsBlank="1"/>
    </cacheField>
    <cacheField name="Final Balance" numFmtId="0">
      <sharedItems containsString="0" containsBlank="1" containsNumber="1" minValue="-34779.072" maxValue="0.45000000000004547"/>
    </cacheField>
    <cacheField name="PO/PRPO No(Supplier Name)" numFmtId="0">
      <sharedItems containsBlank="1" containsMixedTypes="1" containsNumber="1" containsInteger="1" minValue="453391" maxValue="466256"/>
    </cacheField>
    <cacheField name="Category" numFmtId="0">
      <sharedItems containsBlank="1"/>
    </cacheField>
    <cacheField name="Agreed RFD Date-Hues" numFmtId="0">
      <sharedItems containsDate="1" containsBlank="1" containsMixedTypes="1" minDate="2026-10-01T00:00:00" maxDate="2026-11-26T00:00:00" count="58">
        <d v="2026-10-05T00:00:00"/>
        <d v="2026-10-01T00:00:00"/>
        <d v="2026-10-11T00:00:00"/>
        <d v="2026-10-04T00:00:00"/>
        <d v="2026-10-26T00:00:00"/>
        <s v="Plan TBC"/>
        <d v="2026-10-03T00:00:00"/>
        <d v="2026-10-23T00:00:00"/>
        <d v="2026-10-31T00:00:00"/>
        <d v="2026-11-01T00:00:00"/>
        <d v="2026-11-02T00:00:00"/>
        <d v="2026-11-03T00:00:00"/>
        <d v="2026-10-25T00:00:00"/>
        <d v="2026-10-24T00:00:00"/>
        <d v="2026-10-27T00:00:00"/>
        <d v="2026-10-28T00:00:00"/>
        <d v="2026-10-29T00:00:00"/>
        <d v="2026-10-22T00:00:00"/>
        <d v="2026-10-30T00:00:00"/>
        <d v="2026-11-04T00:00:00"/>
        <d v="2026-11-05T00:00:00"/>
        <d v="2026-11-06T00:00:00"/>
        <d v="2026-10-07T00:00:00"/>
        <d v="2026-10-09T00:00:00"/>
        <d v="2026-10-06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1-07T00:00:00"/>
        <d v="2026-11-08T00:00:00"/>
        <d v="2026-10-13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0-02T00:00:00"/>
        <d v="2026-10-12T00:00:00"/>
        <d v="2026-10-10T00:00:00"/>
        <d v="2026-10-14T00:00:00"/>
        <d v="2026-10-08T00:00:00"/>
        <m/>
      </sharedItems>
    </cacheField>
    <cacheField name="Agreed RFD Date." numFmtId="0">
      <sharedItems containsDate="1" containsBlank="1" containsMixedTypes="1" minDate="2026-10-01T00:00:00" maxDate="2026-11-26T00:00:00"/>
    </cacheField>
    <cacheField name="Hues Proposed RFD Date/Flow" numFmtId="0">
      <sharedItems containsDate="1" containsBlank="1" containsMixedTypes="1" minDate="2026-10-01T00:00:00" maxDate="2026-11-01T00:00:00"/>
    </cacheField>
    <cacheField name="Hues Feedback" numFmtId="0">
      <sharedItems containsBlank="1"/>
    </cacheField>
    <cacheField name="Plan Remarks" numFmtId="0">
      <sharedItems containsBlank="1"/>
    </cacheField>
    <cacheField name="Plan Month" numFmtId="0">
      <sharedItems containsBlank="1"/>
    </cacheField>
    <cacheField name="Scm Req date" numFmtId="0">
      <sharedItems containsNonDate="0" containsDate="1" containsString="0" containsBlank="1" minDate="2026-10-01T00:00:00" maxDate="2026-10-31T00:00:00"/>
    </cacheField>
    <cacheField name="Dye Batch" numFmtId="0">
      <sharedItems containsNonDate="0" containsString="0" containsBlank="1"/>
    </cacheField>
    <cacheField name="Dye Date" numFmtId="165">
      <sharedItems containsNonDate="0" containsString="0" containsBlank="1"/>
    </cacheField>
    <cacheField name="Finish Date" numFmtId="165">
      <sharedItems containsNonDate="0" containsString="0" containsBlank="1"/>
    </cacheField>
    <cacheField name="Rfd Date" numFmtId="165">
      <sharedItems containsNonDate="0" containsString="0" containsBlank="1"/>
    </cacheField>
    <cacheField name="Dye Plan Date" numFmtId="165">
      <sharedItems containsNonDate="0" containsString="0" containsBlank="1"/>
    </cacheField>
    <cacheField name="Finish Plan Date" numFmtId="165">
      <sharedItems containsNonDate="0" containsString="0" containsBlank="1"/>
    </cacheField>
    <cacheField name="Rfd Plan date" numFmtId="165">
      <sharedItems containsNonDate="0" containsString="0" containsBlank="1"/>
    </cacheField>
    <cacheField name="Remarks" numFmtId="0">
      <sharedItems containsBlank="1"/>
    </cacheField>
    <cacheField name="Hues Proposed RFD Date/Flow2" numFmtId="165">
      <sharedItems containsNonDate="0" containsString="0" containsBlank="1"/>
    </cacheField>
    <cacheField name="Plan Remarks2" numFmtId="0">
      <sharedItems containsNonDate="0" containsString="0" containsBlank="1"/>
    </cacheField>
    <cacheField name="Huees Po" numFmtId="0">
      <sharedItems containsBlank="1"/>
    </cacheField>
    <cacheField name="Hues Color" numFmtId="0">
      <sharedItems containsBlank="1"/>
    </cacheField>
    <cacheField name="Hues Fabric" numFmtId="0">
      <sharedItems containsString="0" containsBlank="1" containsNumber="1" containsInteger="1" minValue="110" maxValue="245"/>
    </cacheField>
    <cacheField name="And" numFmtId="0">
      <sharedItems containsBlank="1"/>
    </cacheField>
    <cacheField name="Tps Rfd Qty" numFmtId="0">
      <sharedItems containsString="0" containsBlank="1" containsNumber="1" minValue="0" maxValue="66250.490000000005"/>
    </cacheField>
    <cacheField name="Taps Balance" numFmtId="0">
      <sharedItems containsBlank="1" containsMixedTypes="1" containsNumber="1" minValue="-2945.26" maxValue="125400.48"/>
    </cacheField>
    <cacheField name="Ott Rdf Qty " numFmtId="0">
      <sharedItems containsBlank="1" containsMixedTypes="1" containsNumber="1" minValue="-2145.875" maxValue="66250.52"/>
    </cacheField>
    <cacheField name="Ott Req" numFmtId="0">
      <sharedItems containsBlank="1" containsMixedTypes="1" containsNumber="1" minValue="-2145.875" maxValue="191651.00000000003"/>
    </cacheField>
    <cacheField name="Ott Blnc" numFmtId="0">
      <sharedItems containsBlank="1" containsMixedTypes="1" containsNumber="1" minValue="0" maxValue="161.39999999999964"/>
    </cacheField>
    <cacheField name="Recheck" numFmtId="0">
      <sharedItems containsBlank="1"/>
    </cacheField>
    <cacheField name="Final Balance OTT" numFmtId="0">
      <sharedItems containsBlank="1" containsMixedTypes="1" containsNumber="1" minValue="-0.45000000000004547" maxValue="34779.072"/>
    </cacheField>
    <cacheField name="Psbl to rfd" numFmtId="0">
      <sharedItems containsBlank="1" containsMixedTypes="1" containsNumber="1" minValue="5.6843418860808015E-14" maxValue="429.91"/>
    </cacheField>
    <cacheField name="Po Findable Test/RFD QTY" numFmtId="0">
      <sharedItems containsBlank="1" containsMixedTypes="1" containsNumber="1" minValue="0" maxValue="34635.129999999997"/>
    </cacheField>
    <cacheField name="Po compleate %" numFmtId="9">
      <sharedItems containsBlank="1" containsMixedTypes="1" containsNumber="1" minValue="0" maxValue="1.9590000000000001"/>
    </cacheField>
    <cacheField name="Psbl to rfd another view" numFmtId="0">
      <sharedItems containsBlank="1" containsMixedTypes="1" containsNumber="1" minValue="-20000" maxValue="48692.9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2">
  <r>
    <s v="Sainsbury"/>
    <s v="SQBIR.SAINSBURYS.279.FY25-26.3"/>
    <m/>
    <m/>
    <m/>
    <m/>
    <b v="0"/>
    <n v="10"/>
    <s v="S/J 95% Cotton 5% Investa Lycra 140gsm CW66”"/>
    <s v="Thistle Down 16-3930TCX"/>
    <n v="0"/>
    <n v="1"/>
    <n v="1"/>
    <n v="0"/>
    <m/>
    <n v="0"/>
    <s v="436590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Thistle Down 16-3930 TCX"/>
    <n v="140"/>
    <s v="436590/442546140Thistle Down 16-3930 TCX"/>
    <n v="674"/>
    <n v="1"/>
    <n v="1"/>
    <n v="1"/>
    <s v=""/>
    <s v=""/>
    <n v="0"/>
    <b v="0"/>
    <n v="674"/>
    <n v="0.999"/>
    <n v="673"/>
  </r>
  <r>
    <s v="Sainsbury"/>
    <s v="SQBIR.SAINSBURYS.330.FY25-26.6"/>
    <m/>
    <m/>
    <m/>
    <m/>
    <s v=""/>
    <n v="28"/>
    <s v="SINGLE JERSEY 100% COTTON 110GSM"/>
    <s v="Black"/>
    <n v="0"/>
    <n v="39.220999999999997"/>
    <n v="39.220999999999997"/>
    <n v="0"/>
    <m/>
    <n v="0"/>
    <s v="446252"/>
    <s v="Solid"/>
    <x v="1"/>
    <d v="2026-10-01T00:00:00"/>
    <s v="(1st Oct-15th Oct)-150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6.FY25-26.1"/>
    <m/>
    <m/>
    <m/>
    <m/>
    <s v=""/>
    <n v="29"/>
    <s v="SINGLE JERSEY 100% COTTON 110GSM"/>
    <s v="Nude"/>
    <n v="0"/>
    <n v="44"/>
    <n v="44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n v="0"/>
    <s v="ok"/>
    <n v="0"/>
    <s v=""/>
    <n v="269"/>
    <n v="1.0549999999999999"/>
    <n v="93.378999999999991"/>
  </r>
  <r>
    <s v="Sainsbury"/>
    <s v="SQBIR.SAINSBURYS.329.FY25-26.1"/>
    <m/>
    <m/>
    <m/>
    <m/>
    <s v=""/>
    <n v="30"/>
    <s v="SINGLE JERSEY 100% COTTON 110GSM"/>
    <s v="Nude"/>
    <n v="0"/>
    <n v="92.4"/>
    <n v="92.4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s v=""/>
    <s v=""/>
    <n v="0"/>
    <s v=""/>
    <n v="269"/>
    <n v="1.0549999999999999"/>
    <n v="93.378999999999991"/>
  </r>
  <r>
    <s v="Sainsbury"/>
    <s v="SQBIR.SAINSBURYS.288.FY25-26.3"/>
    <m/>
    <m/>
    <m/>
    <m/>
    <n v="429.91"/>
    <n v="52"/>
    <s v="S/J- Solid  95%Cot 5%Inv Lycra 140gsm with PCF 66"/>
    <s v="White"/>
    <n v="0"/>
    <n v="58.69"/>
    <n v="58.69"/>
    <n v="0"/>
    <m/>
    <n v="0"/>
    <s v="435313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35313"/>
    <s v="White"/>
    <n v="140"/>
    <s v="435313140White"/>
    <n v="15529.91"/>
    <n v="-429.91"/>
    <n v="58.69"/>
    <n v="58.69"/>
    <s v=""/>
    <s v=""/>
    <n v="0"/>
    <n v="429.91"/>
    <n v="1191.9100000000001"/>
    <n v="1.375"/>
    <n v="15471.22"/>
  </r>
  <r>
    <s v="SAINSBURYS"/>
    <s v="SQBIR.SAINSBURYS.292.FY25-26.4"/>
    <m/>
    <m/>
    <m/>
    <m/>
    <s v=""/>
    <n v="53"/>
    <s v="S/J- Solid  95%Cot 5%Inv Lycra 140gsm with PCF 66"/>
    <s v="PANTONE 11-0601 TCX"/>
    <n v="-9.5723333333333329"/>
    <n v="28.716999999999999"/>
    <n v="0"/>
    <n v="-28.716999999999999"/>
    <m/>
    <n v="-28.716999999999999"/>
    <s v="453620"/>
    <s v="Solid"/>
    <x v="5"/>
    <s v="Plan TBC"/>
    <s v="Plan TBC"/>
    <s v="PO not yet received from SCM but it's visible in the line plan"/>
    <m/>
    <s v="Oct"/>
    <d v="2026-10-25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28.716999999999999"/>
    <s v=""/>
    <e v="#N/A"/>
    <e v="#N/A"/>
    <n v="0"/>
  </r>
  <r>
    <s v="Lane Bryant"/>
    <s v="SQBIR.MGFLaneBryant.006.FY26-27.1"/>
    <m/>
    <m/>
    <m/>
    <m/>
    <s v=""/>
    <n v="67"/>
    <s v="95% Cotton 5% Elastane 150GSM CW66"/>
    <s v="PANTONE Chocolate Plum"/>
    <n v="0"/>
    <n v="629"/>
    <n v="62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s v=""/>
    <n v="6608.97"/>
    <n v="1.008"/>
    <n v="49.221999999999753"/>
  </r>
  <r>
    <s v="Lane Bryant"/>
    <s v="SQBIR.MGFLaneBryant.006.FY26-27.2"/>
    <m/>
    <m/>
    <m/>
    <m/>
    <n v="49.23"/>
    <n v="68"/>
    <s v="95% Cotton 5% Elastane 150GSM CW66"/>
    <s v="PANTONE Chocolate Plum"/>
    <n v="0"/>
    <n v="493"/>
    <n v="493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n v="49.23"/>
    <n v="6608.97"/>
    <n v="1.008"/>
    <n v="49.221999999999753"/>
  </r>
  <r>
    <s v="Lane Bryant"/>
    <s v="SQBIR.MGFLaneBryant.006.FY26-27.3"/>
    <m/>
    <m/>
    <m/>
    <m/>
    <s v=""/>
    <n v="69"/>
    <s v="95% Cotton 5% Elastane 150GSM CW66"/>
    <s v="PANTONE Chocolate Plum"/>
    <n v="0"/>
    <n v="1.87"/>
    <n v="1.87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ok"/>
    <n v="0"/>
    <s v=""/>
    <n v="6608.97"/>
    <n v="1.008"/>
    <n v="49.221999999999753"/>
  </r>
  <r>
    <s v="Lane Bryant"/>
    <s v="SQBIR.MGFLaneBryant.008.FY26-27.1"/>
    <m/>
    <m/>
    <m/>
    <m/>
    <s v=""/>
    <n v="70"/>
    <s v="95% Cotton 5% Elastane 150GSM CW66"/>
    <s v="PANTONE Chocolate Plum"/>
    <n v="0"/>
    <n v="176.48"/>
    <n v="176.48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s v=""/>
    <n v="6608.97"/>
    <n v="1.008"/>
    <n v="49.221999999999753"/>
  </r>
  <r>
    <s v="Lane Bryant"/>
    <s v="SQBIR.MGFLaneBryant.008.FY26-27.2"/>
    <m/>
    <m/>
    <m/>
    <m/>
    <n v="49.23"/>
    <n v="71"/>
    <s v="95% Cotton 5% Elastane 150GSM CW66"/>
    <s v="PANTONE Chocolate Plum"/>
    <n v="0"/>
    <n v="2415.5700000000002"/>
    <n v="2415.57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ok"/>
    <n v="0"/>
    <n v="49.23"/>
    <n v="6608.97"/>
    <n v="1.008"/>
    <n v="49.221999999999753"/>
  </r>
  <r>
    <s v="Lane Bryant"/>
    <s v="SQBIR.MGFLaneBryant.008.FY26-27.3"/>
    <m/>
    <m/>
    <m/>
    <m/>
    <s v=""/>
    <n v="72"/>
    <s v="95% Cotton 5% Elastane 150GSM CW66"/>
    <s v="PANTONE Chocolate Plum"/>
    <n v="0"/>
    <n v="3.3090000000000002"/>
    <n v="3.30900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s v=""/>
    <n v="6608.97"/>
    <n v="1.008"/>
    <n v="49.221999999999753"/>
  </r>
  <r>
    <s v="Lane Bryant"/>
    <s v="SQBIR.MGFLaneBryant.010.FY26-27.1"/>
    <m/>
    <m/>
    <m/>
    <m/>
    <n v="49.23"/>
    <n v="73"/>
    <s v="95% Cotton 5% Elastane 150GSM CW66"/>
    <s v="PANTONE Chocolate Plum"/>
    <n v="0"/>
    <n v="875.16"/>
    <n v="875.16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n v="49.23"/>
    <n v="6608.97"/>
    <n v="1.008"/>
    <n v="49.221999999999753"/>
  </r>
  <r>
    <s v="Lane Bryant"/>
    <s v="SQBIR.MGFLaneBryant.010.FY26-27.2"/>
    <m/>
    <m/>
    <m/>
    <m/>
    <s v=""/>
    <n v="74"/>
    <s v="95% Cotton 5% Elastane 150GSM CW66"/>
    <s v="PANTONE Chocolate Plum"/>
    <n v="0"/>
    <n v="1349.2049999999999"/>
    <n v="1349.204999999999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s v=""/>
    <n v="6608.97"/>
    <n v="1.008"/>
    <n v="49.221999999999753"/>
  </r>
  <r>
    <s v="Lane Bryant"/>
    <s v="SQBIR.MGFLaneBryant.010.FY26-27.3"/>
    <m/>
    <m/>
    <m/>
    <m/>
    <s v=""/>
    <n v="75"/>
    <s v="95% Cotton 5% Elastane 150GSM CW66"/>
    <s v="PANTONE Chocolate Plum"/>
    <n v="0"/>
    <n v="3.6469999999999998"/>
    <n v="3.6469999999999998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s v=""/>
    <n v="6608.97"/>
    <n v="1.008"/>
    <n v="49.221999999999753"/>
  </r>
  <r>
    <s v="Lane Bryant"/>
    <s v="SQBIR.MGFLaneBryant.004.FY26-27.1"/>
    <m/>
    <m/>
    <m/>
    <m/>
    <s v=""/>
    <n v="76"/>
    <s v="95% Cotton 5% Elastane 150GSM CW66"/>
    <s v="B08"/>
    <n v="0"/>
    <n v="203.57300000000001"/>
    <n v="203.57300000000001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s v=""/>
    <n v="1462.22"/>
    <n v="0.97199999999999998"/>
    <n v="-3.0000000001564331E-3"/>
  </r>
  <r>
    <s v="Sainsbury"/>
    <s v="SQBIR.SAINSBURYS.328.FY25-26.1"/>
    <m/>
    <m/>
    <m/>
    <m/>
    <s v=""/>
    <n v="93"/>
    <s v="SINGLE JERSEY 100% COTTON 110GSM"/>
    <s v="Black"/>
    <n v="-42.102333333333334"/>
    <n v="126.307"/>
    <m/>
    <n v="-126.307"/>
    <m/>
    <n v="-126.307"/>
    <s v="459875"/>
    <s v="Solid"/>
    <x v="7"/>
    <d v="2026-10-23T00:00:00"/>
    <s v="23rd Oct-200 mtr_x000a_31st Oct-200 mtr_x000a_(1st Nov-6th Nov)-200 mtr/day_x000a_"/>
    <s v="Hues Agreed qty as per SQBL required date"/>
    <m/>
    <s v="Oct"/>
    <d v="2026-10-01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126.307"/>
    <s v=""/>
    <n v="126.76"/>
    <n v="7.0999999999999994E-2"/>
    <n v="126.76"/>
  </r>
  <r>
    <s v="Sainsbury"/>
    <s v="SQBIR.SAINSBURYS.326.FY25-26.3"/>
    <m/>
    <m/>
    <m/>
    <m/>
    <s v=""/>
    <n v="94"/>
    <s v="SINGLE JERSEY 100% COTTON 110GSM"/>
    <s v="Black"/>
    <n v="-24.564333333333334"/>
    <n v="73.692999999999998"/>
    <m/>
    <n v="-73.692999999999998"/>
    <m/>
    <n v="-73.692999999999998"/>
    <s v="459875"/>
    <s v="Solid"/>
    <x v="7"/>
    <d v="2026-10-2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73.692999999999998"/>
    <s v=""/>
    <n v="126.76"/>
    <n v="7.0999999999999994E-2"/>
    <n v="126.76"/>
  </r>
  <r>
    <s v="Sainsbury"/>
    <s v="SQBIR.SAINSBURYS.326.FY25-26.3"/>
    <m/>
    <m/>
    <m/>
    <m/>
    <s v=""/>
    <n v="94"/>
    <s v="SINGLE JERSEY 100% COTTON 110GSM"/>
    <s v="Black"/>
    <n v="-48.785333333333334"/>
    <n v="146.35599999999999"/>
    <m/>
    <n v="-146.35599999999999"/>
    <m/>
    <n v="-146.35599999999999"/>
    <s v="459875"/>
    <s v="Solid"/>
    <x v="8"/>
    <d v="2026-10-3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146.35599999999999"/>
    <s v=""/>
    <n v="126.76"/>
    <n v="7.0999999999999994E-2"/>
    <n v="126.76"/>
  </r>
  <r>
    <s v="Sainsbury"/>
    <s v="SQBIR.SAINSBURYS.325.FY25-26.3"/>
    <m/>
    <m/>
    <m/>
    <m/>
    <s v=""/>
    <n v="95"/>
    <s v="SINGLE JERSEY 100% COTTON 110GSM"/>
    <s v="Black"/>
    <n v="-17.881333333333334"/>
    <n v="53.643999999999998"/>
    <m/>
    <n v="-53.643999999999998"/>
    <m/>
    <n v="-53.643999999999998"/>
    <s v="459875"/>
    <s v="Solid"/>
    <x v="8"/>
    <d v="2026-10-3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53.643999999999998"/>
    <s v=""/>
    <n v="126.76"/>
    <n v="7.0999999999999994E-2"/>
    <n v="126.76"/>
  </r>
  <r>
    <s v="Sainsbury"/>
    <s v="SQBIR.SAINSBURYS.325.FY25-26.3"/>
    <m/>
    <m/>
    <m/>
    <m/>
    <s v=""/>
    <n v="95"/>
    <s v="SINGLE JERSEY 100% COTTON 110GSM"/>
    <s v="Black"/>
    <n v="-66.666666666666671"/>
    <n v="200"/>
    <m/>
    <n v="-200"/>
    <m/>
    <n v="-200"/>
    <s v="459875"/>
    <s v="Solid"/>
    <x v="9"/>
    <d v="2026-11-01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200"/>
    <s v=""/>
    <n v="126.76"/>
    <n v="7.0999999999999994E-2"/>
    <n v="126.76"/>
  </r>
  <r>
    <s v="Sainsbury"/>
    <s v="SQBIR.SAINSBURYS.325.FY25-26.3"/>
    <m/>
    <m/>
    <m/>
    <m/>
    <s v=""/>
    <n v="95"/>
    <s v="SINGLE JERSEY 100% COTTON 110GSM"/>
    <s v="Black"/>
    <n v="-66.666666666666671"/>
    <n v="200"/>
    <m/>
    <n v="-200"/>
    <m/>
    <n v="-200"/>
    <s v="459875"/>
    <s v="Solid"/>
    <x v="10"/>
    <d v="2026-11-02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200"/>
    <s v=""/>
    <n v="126.76"/>
    <n v="7.0999999999999994E-2"/>
    <n v="126.76"/>
  </r>
  <r>
    <s v="Sainsbury"/>
    <s v="SQBIR.SAINSBURYS.325.FY25-26.3"/>
    <m/>
    <m/>
    <m/>
    <m/>
    <s v=""/>
    <n v="95"/>
    <s v="SINGLE JERSEY 100% COTTON 110GSM"/>
    <s v="Black"/>
    <n v="-57.768000000000001"/>
    <n v="173.304"/>
    <m/>
    <n v="-173.304"/>
    <m/>
    <n v="-173.304"/>
    <s v="459875"/>
    <s v="Solid"/>
    <x v="11"/>
    <d v="2026-11-0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173.304"/>
    <s v=""/>
    <n v="126.76"/>
    <n v="7.0999999999999994E-2"/>
    <n v="126.76"/>
  </r>
  <r>
    <s v="Sainsbury"/>
    <s v="SQBIR.SAINSBURYS.288.FY25-26.3"/>
    <m/>
    <m/>
    <m/>
    <m/>
    <b v="0"/>
    <n v="98"/>
    <s v="S/J- Solid  95%Cot 5%Inv Lycra 140gsm with PCF 66"/>
    <s v="White"/>
    <n v="0"/>
    <n v="36"/>
    <n v="36"/>
    <n v="0"/>
    <m/>
    <n v="0"/>
    <s v="45350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3508"/>
    <s v="White"/>
    <n v="140"/>
    <s v="453508140White"/>
    <n v="420"/>
    <n v="37"/>
    <n v="36"/>
    <n v="36"/>
    <s v=""/>
    <s v=""/>
    <n v="0"/>
    <b v="0"/>
    <n v="420"/>
    <n v="0.91900000000000004"/>
    <n v="384"/>
  </r>
  <r>
    <s v="LIDL"/>
    <s v="SQBIR.LIDLASIAPTELIMIT.002.FY26-27.3"/>
    <m/>
    <m/>
    <m/>
    <m/>
    <s v=""/>
    <n v="119"/>
    <s v="KNIT SINGLE JERSEY CMIA COTTON 95% ELASTANE CRERORA 5% GSM-160 CW-167.6 CM/66 INCH  "/>
    <s v="MID GREY MELANGE"/>
    <n v="0"/>
    <n v="1500"/>
    <n v="1500"/>
    <n v="0"/>
    <m/>
    <n v="0"/>
    <s v="459174"/>
    <s v="Solid"/>
    <x v="7"/>
    <d v="2026-10-23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0"/>
    <s v=""/>
    <n v="9154.2800000000007"/>
    <n v="0.442"/>
    <n v="0"/>
  </r>
  <r>
    <s v="LIDL"/>
    <s v="SQBIR.LIDLASIAPTELIMIT.002.FY26-27.3"/>
    <m/>
    <m/>
    <m/>
    <m/>
    <s v=""/>
    <n v="119"/>
    <s v="KNIT SINGLE JERSEY CMIA COTTON 95% ELASTANE CRERORA 5% GSM-160 CW-167.6 CM/66 INCH  "/>
    <s v="MID GREY MELANGE"/>
    <n v="0"/>
    <n v="1500"/>
    <n v="1500"/>
    <n v="0"/>
    <m/>
    <n v="0"/>
    <s v="459174"/>
    <s v="Solid"/>
    <x v="13"/>
    <d v="2026-10-24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0"/>
    <s v=""/>
    <n v="9154.2800000000007"/>
    <n v="0.442"/>
    <n v="0"/>
  </r>
  <r>
    <s v="LIDL"/>
    <s v="SQBIR.LIDLASIAPTELIMIT.002.FY26-27.3"/>
    <m/>
    <m/>
    <m/>
    <m/>
    <s v=""/>
    <n v="119"/>
    <s v="KNIT SINGLE JERSEY CMIA COTTON 95% ELASTANE CRERORA 5% GSM-160 CW-167.6 CM/66 INCH  "/>
    <s v="MID GREY MELANGE"/>
    <n v="0"/>
    <n v="507.02199999999999"/>
    <n v="507.02199999999999"/>
    <n v="0"/>
    <m/>
    <n v="0"/>
    <s v="459174"/>
    <s v="Solid"/>
    <x v="12"/>
    <d v="2026-10-25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0"/>
    <s v=""/>
    <n v="9154.2800000000007"/>
    <n v="0.442"/>
    <n v="0"/>
  </r>
  <r>
    <s v="LIDL"/>
    <s v="SQBIR.LIDLASIAPTELIMIT.002.FY26-27.4"/>
    <m/>
    <m/>
    <m/>
    <m/>
    <s v=""/>
    <n v="120"/>
    <s v="KNIT SINGLE JERSEY CMIA COTTON 95% ELASTANE CRERORA 5% GSM-160 CW-167.6 CM/66 INCH  "/>
    <s v="MID GREY MELANGE"/>
    <n v="0"/>
    <n v="992.97799999999995"/>
    <n v="992.97799999999995"/>
    <n v="0"/>
    <m/>
    <n v="0"/>
    <s v="459174"/>
    <s v="Solid"/>
    <x v="12"/>
    <d v="2026-10-25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0"/>
    <s v=""/>
    <n v="9154.2800000000007"/>
    <n v="0.442"/>
    <n v="0"/>
  </r>
  <r>
    <s v="LIDL"/>
    <s v="SQBIR.LIDLASIAPTELIMIT.002.FY26-27.4"/>
    <m/>
    <m/>
    <m/>
    <m/>
    <s v=""/>
    <n v="120"/>
    <s v="KNIT SINGLE JERSEY CMIA COTTON 95% ELASTANE CRERORA 5% GSM-160 CW-167.6 CM/66 INCH  "/>
    <s v="MID GREY MELANGE"/>
    <n v="0"/>
    <n v="1500"/>
    <n v="1500"/>
    <n v="0"/>
    <m/>
    <n v="0"/>
    <s v="459174"/>
    <s v="Solid"/>
    <x v="4"/>
    <d v="2026-10-26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0"/>
    <s v=""/>
    <n v="9154.2800000000007"/>
    <n v="0.442"/>
    <n v="0"/>
  </r>
  <r>
    <s v="LIDL"/>
    <s v="SQBIR.LIDLASIAPTELIMIT.002.FY26-27.4"/>
    <m/>
    <m/>
    <m/>
    <m/>
    <s v=""/>
    <n v="120"/>
    <s v="KNIT SINGLE JERSEY CMIA COTTON 95% ELASTANE CRERORA 5% GSM-160 CW-167.6 CM/66 INCH  "/>
    <s v="MID GREY MELANGE"/>
    <n v="0"/>
    <n v="1500"/>
    <n v="1500"/>
    <n v="0"/>
    <m/>
    <n v="0"/>
    <s v="459174"/>
    <s v="Solid"/>
    <x v="14"/>
    <d v="2026-10-27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ck"/>
    <n v="0"/>
    <s v=""/>
    <n v="9154.2800000000007"/>
    <n v="0.442"/>
    <n v="0"/>
  </r>
  <r>
    <s v="LIDL"/>
    <s v="SQBIR.LIDLASIAPTELIMIT.002.FY26-27.4"/>
    <m/>
    <m/>
    <m/>
    <m/>
    <s v=""/>
    <n v="120"/>
    <s v="KNIT SINGLE JERSEY CMIA COTTON 95% ELASTANE CRERORA 5% GSM-160 CW-167.6 CM/66 INCH  "/>
    <s v="MID GREY MELANGE"/>
    <n v="0"/>
    <n v="1500"/>
    <n v="1500"/>
    <n v="0"/>
    <m/>
    <n v="0"/>
    <s v="459174"/>
    <s v="Solid"/>
    <x v="15"/>
    <d v="2026-10-28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0"/>
    <s v=""/>
    <n v="9154.2800000000007"/>
    <n v="0.442"/>
    <n v="0"/>
  </r>
  <r>
    <s v="LIDL"/>
    <s v="SQBIR.LIDLASIAPTELIMIT.002.FY26-27.4"/>
    <m/>
    <m/>
    <m/>
    <m/>
    <s v=""/>
    <n v="120"/>
    <s v="KNIT SINGLE JERSEY CMIA COTTON 95% ELASTANE CRERORA 5% GSM-160 CW-167.6 CM/66 INCH  "/>
    <s v="MID GREY MELANGE"/>
    <n v="-432.5453333333333"/>
    <n v="1451.9159999999999"/>
    <n v="154.28"/>
    <n v="-1297.636"/>
    <m/>
    <n v="-1297.636"/>
    <s v="459174"/>
    <s v="Solid"/>
    <x v="16"/>
    <d v="2026-10-29T00:00:00"/>
    <s v="(23rd Oct-30th Oct)-1.5 k mtr/day"/>
    <s v="Revised Plan given as per revised date"/>
    <m/>
    <s v="Oct"/>
    <d v="2026-10-19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1297.636"/>
    <s v=""/>
    <n v="9154.2800000000007"/>
    <n v="0.442"/>
    <n v="0"/>
  </r>
  <r>
    <s v="LIDL"/>
    <s v="SQBIR.LIDLASIAPTELIMIT.002.FY26-27.5"/>
    <m/>
    <m/>
    <m/>
    <m/>
    <s v=""/>
    <n v="121"/>
    <s v="KNIT SINGLE JERSEY CMIA COTTON 95% ELASTANE CRERORA 5% GSM-160 CW-167.6 CM/66 INCH  "/>
    <s v="MID GREY MELANGE"/>
    <n v="-727.92066666666676"/>
    <n v="2183.7620000000002"/>
    <m/>
    <n v="-2183.7620000000002"/>
    <m/>
    <n v="-2183.7620000000002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2183.7620000000002"/>
    <s v=""/>
    <n v="9154.2800000000007"/>
    <n v="0.442"/>
    <n v="0"/>
  </r>
  <r>
    <s v="LIDL"/>
    <s v="SQBIR.LIDLASIAPTELIMIT.002.FY26-27.6"/>
    <m/>
    <m/>
    <m/>
    <m/>
    <s v=""/>
    <n v="122"/>
    <s v="KNIT SINGLE JERSEY CMIA COTTON 95% ELASTANE CRERORA 5% GSM-160 CW-167.6 CM/66 INCH  "/>
    <s v="MID GREY MELANGE"/>
    <n v="-465.86899999999997"/>
    <n v="1397.607"/>
    <m/>
    <n v="-1397.607"/>
    <m/>
    <n v="-1397.607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1397.607"/>
    <s v=""/>
    <n v="9154.2800000000007"/>
    <n v="0.442"/>
    <n v="0"/>
  </r>
  <r>
    <s v="LIDL"/>
    <s v="SQBIR.LIDLASIAPTELIMIT.002.FY26-27.7"/>
    <m/>
    <m/>
    <m/>
    <m/>
    <s v=""/>
    <n v="123"/>
    <s v="KNIT SINGLE JERSEY CMIA COTTON 95% ELASTANE CRERORA 5% GSM-160 CW-167.6 CM/66 INCH  "/>
    <s v="MID GREY MELANGE"/>
    <n v="-16.028000000000002"/>
    <n v="48.084000000000003"/>
    <m/>
    <n v="-48.084000000000003"/>
    <m/>
    <n v="-48.084000000000003"/>
    <s v="459174"/>
    <s v="Solid"/>
    <x v="16"/>
    <d v="2026-10-29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48.084000000000003"/>
    <s v=""/>
    <n v="9154.2800000000007"/>
    <n v="0.442"/>
    <n v="0"/>
  </r>
  <r>
    <s v="LIDL"/>
    <s v="SQBIR.LIDLASIAPTELIMIT.002.FY26-27.7"/>
    <m/>
    <m/>
    <m/>
    <m/>
    <s v=""/>
    <n v="123"/>
    <s v="KNIT SINGLE JERSEY CMIA COTTON 95% ELASTANE CRERORA 5% GSM-160 CW-167.6 CM/66 INCH  "/>
    <s v="MID GREY MELANGE"/>
    <n v="-1281.2940000000001"/>
    <n v="3843.8820000000001"/>
    <m/>
    <n v="-3843.8820000000001"/>
    <m/>
    <n v="-3843.8820000000001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3843.8820000000001"/>
    <s v=""/>
    <n v="9154.2800000000007"/>
    <n v="0.442"/>
    <n v="0"/>
  </r>
  <r>
    <s v="LIDL"/>
    <s v="SQBIR.LIDLASIAPTELIMIT.002.FY26-27.8"/>
    <m/>
    <m/>
    <m/>
    <m/>
    <s v=""/>
    <n v="124"/>
    <s v="KNIT SINGLE JERSEY CMIA COTTON 95% ELASTANE CRERORA 5% GSM-160 CW-167.6 CM/66 INCH  "/>
    <s v="MID GREY MELANGE"/>
    <n v="-21.097333333333335"/>
    <n v="63.292000000000002"/>
    <m/>
    <n v="-63.292000000000002"/>
    <m/>
    <n v="-63.292000000000002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63.292000000000002"/>
    <s v=""/>
    <n v="9154.2800000000007"/>
    <n v="0.442"/>
    <n v="0"/>
  </r>
  <r>
    <s v="LIDL"/>
    <s v="SQBIR.LIDLASIAPTELIMIT.002.FY26-27.9"/>
    <m/>
    <m/>
    <m/>
    <m/>
    <s v=""/>
    <n v="125"/>
    <s v="KNIT SINGLE JERSEY CMIA COTTON 95% ELASTANE CRERORA 5% GSM-160 CW-167.6 CM/66 INCH  "/>
    <s v="MID GREY MELANGE"/>
    <n v="-3.3236666666666665"/>
    <n v="9.9710000000000001"/>
    <m/>
    <n v="-9.9710000000000001"/>
    <m/>
    <n v="-9.9710000000000001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9.9710000000000001"/>
    <s v=""/>
    <n v="9154.2800000000007"/>
    <n v="0.442"/>
    <n v="0"/>
  </r>
  <r>
    <s v="LIDL"/>
    <s v="SQBIR.LIDLASIAPTELIMIT.005.FY26-27.1"/>
    <m/>
    <m/>
    <m/>
    <m/>
    <s v=""/>
    <n v="126"/>
    <s v="KNIT SINGLE JERSEY CMIA COTTON 95% ELASTANE CRERORA 5% GSM-160 CW-167.6 CM/66 INCH  "/>
    <s v="MID GREY MELANGE"/>
    <n v="-124.08666666666666"/>
    <n v="372.26"/>
    <m/>
    <n v="-372.26"/>
    <m/>
    <n v="-372.26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372.26"/>
    <s v=""/>
    <n v="9154.2800000000007"/>
    <n v="0.442"/>
    <n v="0"/>
  </r>
  <r>
    <s v="LIDL"/>
    <s v="SQBIR.LIDLASIAPTELIMIT.005.FY26-27.2"/>
    <m/>
    <m/>
    <m/>
    <m/>
    <s v=""/>
    <n v="127"/>
    <s v="KNIT SINGLE JERSEY CMIA COTTON 95% ELASTANE CRERORA 5% GSM-160 CW-167.6 CM/66 INCH  "/>
    <s v="MID GREY MELANGE"/>
    <n v="-78.107666666666674"/>
    <n v="234.32300000000001"/>
    <m/>
    <n v="-234.32300000000001"/>
    <m/>
    <n v="-234.32300000000001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234.32300000000001"/>
    <s v=""/>
    <n v="9154.2800000000007"/>
    <n v="0.442"/>
    <n v="0"/>
  </r>
  <r>
    <s v="LIDL"/>
    <s v="SQBIR.LIDLASIAPTELIMIT.005.FY26-27.3"/>
    <m/>
    <m/>
    <m/>
    <m/>
    <s v=""/>
    <n v="128"/>
    <s v="KNIT SINGLE JERSEY CMIA COTTON 95% ELASTANE CRERORA 5% GSM-160 CW-167.6 CM/66 INCH  "/>
    <s v="MID GREY MELANGE"/>
    <n v="-405.80099999999999"/>
    <n v="1217.403"/>
    <m/>
    <n v="-1217.403"/>
    <m/>
    <n v="-1217.403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1217.403"/>
    <s v=""/>
    <n v="9154.2800000000007"/>
    <n v="0.442"/>
    <n v="0"/>
  </r>
  <r>
    <s v="Lane Bryant"/>
    <s v="SQBIR.MGFLaneBryant.004.FY26-27.2"/>
    <m/>
    <m/>
    <m/>
    <m/>
    <s v=""/>
    <n v="130"/>
    <s v="95% Cotton 5% Elastane 150GSM CW66"/>
    <s v="B08"/>
    <n v="0"/>
    <n v="237.85499999999999"/>
    <n v="237.854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s v=""/>
    <n v="1462.22"/>
    <n v="0.97199999999999998"/>
    <n v="-3.0000000001564331E-3"/>
  </r>
  <r>
    <s v="Lane Bryant"/>
    <s v="SQBIR.MGFLaneBryant.004.FY26-27.3"/>
    <m/>
    <m/>
    <m/>
    <m/>
    <s v=""/>
    <n v="131"/>
    <s v="95% Cotton 5% Elastane 150GSM CW66"/>
    <s v="B08"/>
    <n v="0"/>
    <n v="3.5249999999999999"/>
    <n v="3.52499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s v=""/>
    <n v="1462.22"/>
    <n v="0.97199999999999998"/>
    <n v="-3.0000000001564331E-3"/>
  </r>
  <r>
    <s v="Lane Bryant"/>
    <s v="SQBIR.MGFLaneBryant.014.FY26-27.1"/>
    <m/>
    <m/>
    <m/>
    <m/>
    <s v=""/>
    <n v="132"/>
    <s v="95% Cotton 5% Elastane 150GSM CW66"/>
    <s v="B08"/>
    <n v="0"/>
    <n v="230.00299999999999"/>
    <n v="230.002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s v=""/>
    <n v="1462.22"/>
    <n v="0.97199999999999998"/>
    <n v="-3.0000000001564331E-3"/>
  </r>
  <r>
    <s v="Lane Bryant"/>
    <s v="SQBIR.MGFLaneBryant.014.FY26-27.2"/>
    <m/>
    <m/>
    <m/>
    <m/>
    <s v=""/>
    <n v="133"/>
    <s v="95% Cotton 5% Elastane 150GSM CW66"/>
    <s v="B08"/>
    <n v="0"/>
    <n v="185.35"/>
    <n v="185.35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s v=""/>
    <n v="1462.22"/>
    <n v="0.97199999999999998"/>
    <n v="-3.0000000001564331E-3"/>
  </r>
  <r>
    <s v="Lane Bryant"/>
    <s v="SQBIR.MGFLaneBryant.014.FY26-27.3"/>
    <m/>
    <m/>
    <m/>
    <m/>
    <s v=""/>
    <n v="134"/>
    <s v="95% Cotton 5% Elastane 150GSM CW66"/>
    <s v="B08"/>
    <n v="0"/>
    <n v="1.5169999999999999"/>
    <n v="1.516999999999999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ck"/>
    <n v="0"/>
    <s v=""/>
    <n v="1462.22"/>
    <n v="0.97199999999999998"/>
    <n v="-3.0000000001564331E-3"/>
  </r>
  <r>
    <s v="Lane Bryant"/>
    <s v="SQBIR.MGFLaneBryant.016.FY26-27.1"/>
    <m/>
    <m/>
    <m/>
    <m/>
    <s v=""/>
    <n v="135"/>
    <s v="95% Cotton 5% Elastane 150GSM CW66"/>
    <s v="B08"/>
    <n v="0"/>
    <n v="232.26"/>
    <n v="232.26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s v=""/>
    <n v="1462.22"/>
    <n v="0.97199999999999998"/>
    <n v="-3.0000000001564331E-3"/>
  </r>
  <r>
    <s v="LIDL"/>
    <s v="SQBIR.LIDLASIAPTELIMIT.003.FY26-27.5"/>
    <m/>
    <m/>
    <m/>
    <m/>
    <s v=""/>
    <n v="142"/>
    <s v="KNIT SINGLE JERSEY CMIA COTTON 95% ELASTANE CRERORA 5% GSM-160 CW-167.6 CM/66 INCH  "/>
    <s v="Navy Blazer 19-3923-TCX"/>
    <n v="0"/>
    <n v="2912.5529999999999"/>
    <n v="2912.5529999999999"/>
    <n v="0"/>
    <m/>
    <n v="0"/>
    <s v="459174"/>
    <s v="Solid"/>
    <x v="9"/>
    <d v="2026-11-0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3.FY26-27.6"/>
    <m/>
    <m/>
    <m/>
    <m/>
    <s v=""/>
    <n v="143"/>
    <s v="KNIT SINGLE JERSEY CMIA COTTON 95% ELASTANE CRERORA 5% GSM-160 CW-167.6 CM/66 INCH  "/>
    <s v="Navy Blazer 19-3923-TCX"/>
    <n v="0"/>
    <n v="87.447000000000003"/>
    <n v="87.447000000000003"/>
    <n v="0"/>
    <m/>
    <n v="0"/>
    <s v="459174"/>
    <s v="Solid"/>
    <x v="9"/>
    <d v="2026-11-0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3.FY26-27.6"/>
    <m/>
    <m/>
    <m/>
    <m/>
    <s v=""/>
    <n v="143"/>
    <s v="KNIT SINGLE JERSEY CMIA COTTON 95% ELASTANE CRERORA 5% GSM-160 CW-167.6 CM/66 INCH  "/>
    <s v="Navy Blazer 19-3923-TCX"/>
    <n v="0"/>
    <n v="1776.5609999999999"/>
    <n v="1776.5609999999999"/>
    <n v="0"/>
    <m/>
    <n v="0"/>
    <s v="459174"/>
    <s v="Solid"/>
    <x v="10"/>
    <d v="2026-11-02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3.FY26-27.7"/>
    <m/>
    <m/>
    <m/>
    <m/>
    <s v=""/>
    <n v="144"/>
    <s v="KNIT SINGLE JERSEY CMIA COTTON 95% ELASTANE CRERORA 5% GSM-160 CW-167.6 CM/66 INCH  "/>
    <s v="Navy Blazer 19-3923-TCX"/>
    <n v="0"/>
    <n v="1223.4390000000001"/>
    <n v="1223.4390000000001"/>
    <n v="0"/>
    <m/>
    <n v="0"/>
    <s v="459174"/>
    <s v="Solid"/>
    <x v="10"/>
    <d v="2026-11-02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3.FY26-27.7"/>
    <m/>
    <m/>
    <m/>
    <m/>
    <s v=""/>
    <n v="144"/>
    <s v="KNIT SINGLE JERSEY CMIA COTTON 95% ELASTANE CRERORA 5% GSM-160 CW-167.6 CM/66 INCH  "/>
    <s v="Navy Blazer 19-3923-TCX"/>
    <n v="0"/>
    <n v="3000"/>
    <n v="3000"/>
    <n v="0"/>
    <m/>
    <n v="0"/>
    <s v="459174"/>
    <s v="Solid"/>
    <x v="11"/>
    <d v="2026-11-03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3.FY26-27.7"/>
    <m/>
    <m/>
    <m/>
    <m/>
    <s v=""/>
    <n v="144"/>
    <s v="KNIT SINGLE JERSEY CMIA COTTON 95% ELASTANE CRERORA 5% GSM-160 CW-167.6 CM/66 INCH  "/>
    <s v="Navy Blazer 19-3923-TCX"/>
    <n v="0"/>
    <n v="967.46299999999997"/>
    <n v="967.46299999999997"/>
    <n v="0"/>
    <m/>
    <n v="0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3.FY26-27.8"/>
    <m/>
    <m/>
    <m/>
    <m/>
    <s v=""/>
    <n v="145"/>
    <s v="KNIT SINGLE JERSEY CMIA COTTON 95% ELASTANE CRERORA 5% GSM-160 CW-167.6 CM/66 INCH  "/>
    <s v="Navy Blazer 19-3923-TCX"/>
    <n v="0"/>
    <n v="84.343999999999994"/>
    <n v="84.343999999999994"/>
    <n v="0"/>
    <m/>
    <n v="0"/>
    <s v="459174"/>
    <s v="Solid"/>
    <x v="19"/>
    <d v="2026-11-04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3.FY26-27.9"/>
    <m/>
    <m/>
    <m/>
    <m/>
    <s v=""/>
    <n v="146"/>
    <s v="KNIT SINGLE JERSEY CMIA COTTON 95% ELASTANE CRERORA 5% GSM-160 CW-167.6 CM/66 INCH  "/>
    <s v="Navy Blazer 19-3923-TCX"/>
    <n v="0"/>
    <n v="13.226000000000001"/>
    <n v="13.226000000000001"/>
    <n v="0"/>
    <m/>
    <n v="0"/>
    <s v="459174"/>
    <s v="Solid"/>
    <x v="19"/>
    <d v="2026-11-04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6.FY26-27.1"/>
    <m/>
    <m/>
    <m/>
    <m/>
    <s v=""/>
    <n v="147"/>
    <s v="KNIT SINGLE JERSEY CMIA COTTON 95% ELASTANE CRERORA 5% GSM-160 CW-167.6 CM/66 INCH  "/>
    <s v="Navy Blazer 19-3923-TCX"/>
    <n v="0"/>
    <n v="1151.498"/>
    <n v="1151.498"/>
    <n v="0"/>
    <m/>
    <n v="0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6.FY26-27.2"/>
    <m/>
    <m/>
    <m/>
    <m/>
    <s v=""/>
    <n v="148"/>
    <s v="KNIT SINGLE JERSEY CMIA COTTON 95% ELASTANE CRERORA 5% GSM-160 CW-167.6 CM/66 INCH  "/>
    <s v="Navy Blazer 19-3923-TCX"/>
    <n v="0"/>
    <n v="724.5"/>
    <n v="724.5"/>
    <n v="0"/>
    <m/>
    <n v="0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6.FY26-27.3"/>
    <m/>
    <m/>
    <m/>
    <m/>
    <s v=""/>
    <n v="150"/>
    <s v="KNIT SINGLE JERSEY CMIA COTTON 95% ELASTANE CRERORA 5% GSM-160 CW-167.6 CM/66 INCH  "/>
    <s v="Navy Blazer 19-3923-TCX"/>
    <n v="0"/>
    <n v="58.969000000000001"/>
    <n v="58.969000000000001"/>
    <n v="0"/>
    <m/>
    <n v="0"/>
    <s v="459174"/>
    <s v="Solid"/>
    <x v="19"/>
    <d v="2026-11-04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0"/>
    <s v=""/>
    <n v="13076.44"/>
    <n v="0.377"/>
    <n v="0"/>
  </r>
  <r>
    <s v="LIDL"/>
    <s v="SQBIR.LIDLASIAPTELIMIT.006.FY26-27.3"/>
    <m/>
    <m/>
    <m/>
    <m/>
    <s v=""/>
    <n v="150"/>
    <s v="KNIT SINGLE JERSEY CMIA COTTON 95% ELASTANE CRERORA 5% GSM-160 CW-167.6 CM/66 INCH  "/>
    <s v="Navy Blazer 19-3923-TCX"/>
    <n v="-641.18666666666661"/>
    <n v="3000"/>
    <n v="1076.44"/>
    <n v="-1923.56"/>
    <m/>
    <n v="-1923.56"/>
    <s v="459174"/>
    <s v="Solid"/>
    <x v="20"/>
    <d v="2026-11-05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1923.56"/>
    <s v=""/>
    <n v="13076.44"/>
    <n v="0.377"/>
    <n v="0"/>
  </r>
  <r>
    <s v="LIDL"/>
    <s v="SQBIR.LIDLASIAPTELIMIT.006.FY26-27.3"/>
    <m/>
    <m/>
    <m/>
    <m/>
    <s v=""/>
    <n v="150"/>
    <s v="KNIT SINGLE JERSEY CMIA COTTON 95% ELASTANE CRERORA 5% GSM-160 CW-167.6 CM/66 INCH  "/>
    <s v="Navy Blazer 19-3923-TCX"/>
    <n v="-236.25699999999998"/>
    <n v="708.77099999999996"/>
    <m/>
    <n v="-708.77099999999996"/>
    <m/>
    <n v="-708.77099999999996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708.77099999999996"/>
    <s v=""/>
    <n v="13076.44"/>
    <n v="0.377"/>
    <n v="0"/>
  </r>
  <r>
    <s v="Lane Bryant"/>
    <s v="SQBIR.MGFLaneBryant.015.FY26-27.3"/>
    <m/>
    <m/>
    <m/>
    <m/>
    <s v=""/>
    <n v="151"/>
    <s v="95% Cotton 5% Elastane 150GSM CW66"/>
    <s v="Tap Shoe"/>
    <n v="0"/>
    <n v="9.5449999999999999"/>
    <n v="9.5449999999999999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6.FY26-27.2"/>
    <m/>
    <m/>
    <m/>
    <m/>
    <s v=""/>
    <n v="152"/>
    <s v="95% Cotton 5% Elastane 150GSM CW66"/>
    <s v="Tap Shoe"/>
    <n v="0"/>
    <n v="231"/>
    <n v="231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6.FY26-27.3"/>
    <m/>
    <m/>
    <m/>
    <m/>
    <s v=""/>
    <n v="153"/>
    <s v="95% Cotton 5% Elastane 150GSM CW66"/>
    <s v="Tap Shoe"/>
    <n v="0"/>
    <n v="3.78"/>
    <n v="3.78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7.FY26-27.1"/>
    <m/>
    <m/>
    <m/>
    <m/>
    <s v=""/>
    <n v="154"/>
    <s v="95% Cotton 5% Elastane 150GSM CW66"/>
    <s v="Tap Shoe"/>
    <n v="0"/>
    <n v="442.8"/>
    <n v="442.8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7.FY26-27.2"/>
    <m/>
    <m/>
    <m/>
    <m/>
    <s v=""/>
    <n v="155"/>
    <s v="95% Cotton 5% Elastane 150GSM CW66"/>
    <s v="Tap Shoe"/>
    <n v="0"/>
    <n v="140"/>
    <n v="140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n v="161.39999999999964"/>
    <s v="ok"/>
    <n v="0"/>
    <s v=""/>
    <n v="11712.82"/>
    <n v="0.98599999999999999"/>
    <n v="881.70799999999872"/>
  </r>
  <r>
    <s v="Lane Bryant"/>
    <s v="SQBIR.MGFLaneBryant.017.FY26-27.3"/>
    <m/>
    <m/>
    <m/>
    <m/>
    <s v=""/>
    <n v="156"/>
    <s v="95% Cotton 5% Elastane 150GSM CW66"/>
    <s v="Tap Shoe"/>
    <n v="0"/>
    <n v="3.6"/>
    <n v="3.6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3.FY26-27.1"/>
    <m/>
    <m/>
    <m/>
    <m/>
    <s v=""/>
    <n v="157"/>
    <s v="95% Cotton 5% Elastane 150GSM CW66"/>
    <s v="Tap Shoe"/>
    <n v="0"/>
    <n v="50.274999999999999"/>
    <n v="50.274999999999999"/>
    <n v="0"/>
    <m/>
    <n v="0"/>
    <s v="452132"/>
    <s v="Solid"/>
    <x v="6"/>
    <d v="2026-10-0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3.FY26-27.1"/>
    <m/>
    <m/>
    <m/>
    <m/>
    <s v=""/>
    <n v="157"/>
    <s v="95% Cotton 5% Elastane 150GSM CW66"/>
    <s v="Tap Shoe"/>
    <n v="0"/>
    <n v="1087.453"/>
    <n v="1087.453"/>
    <n v="0"/>
    <m/>
    <n v="0"/>
    <s v="452132"/>
    <s v="Solid"/>
    <x v="22"/>
    <d v="2026-10-07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3.FY26-27.2"/>
    <m/>
    <m/>
    <m/>
    <m/>
    <s v=""/>
    <n v="158"/>
    <s v="95% Cotton 5% Elastane 150GSM CW66"/>
    <s v="Tap Shoe"/>
    <n v="0"/>
    <n v="912.54700000000003"/>
    <n v="912.54700000000003"/>
    <n v="0"/>
    <m/>
    <n v="0"/>
    <s v="452132"/>
    <s v="Solid"/>
    <x v="22"/>
    <d v="2026-10-07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3.FY26-27.2"/>
    <m/>
    <m/>
    <m/>
    <m/>
    <s v=""/>
    <n v="158"/>
    <s v="95% Cotton 5% Elastane 150GSM CW66"/>
    <s v="Tap Shoe"/>
    <n v="0"/>
    <n v="129.328"/>
    <n v="129.328"/>
    <n v="0"/>
    <m/>
    <n v="0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3.FY26-27.3"/>
    <m/>
    <m/>
    <m/>
    <m/>
    <s v=""/>
    <n v="159"/>
    <s v="95% Cotton 5% Elastane 150GSM CW66"/>
    <s v="Tap Shoe"/>
    <n v="0"/>
    <n v="7.5019999999999998"/>
    <n v="7.5019999999999998"/>
    <n v="0"/>
    <m/>
    <n v="0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Sainsbury"/>
    <s v="SQBIR.SAINSBURYS.329.FY25-26.1"/>
    <m/>
    <m/>
    <m/>
    <m/>
    <s v=""/>
    <n v="180"/>
    <s v="SINGLE JERSEY 100% COTTON 110GSM"/>
    <s v="White"/>
    <n v="-7.0699999999999976"/>
    <n v="138.6"/>
    <n v="117.39"/>
    <n v="-21.209999999999994"/>
    <m/>
    <n v="-21.209999999999994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10"/>
    <s v="446252110White"/>
    <n v="163.79"/>
    <n v="21.21"/>
    <n v="117.39"/>
    <n v="138.6"/>
    <s v=""/>
    <s v=""/>
    <n v="21.209999999999994"/>
    <s v=""/>
    <n v="163.79"/>
    <n v="0.88500000000000001"/>
    <n v="46.399999999999991"/>
  </r>
  <r>
    <s v="Lane Bryant"/>
    <s v="SQBIR.MGFLaneBryant.014.FY26-27.2"/>
    <m/>
    <m/>
    <m/>
    <m/>
    <s v=""/>
    <n v="182"/>
    <s v="95% Cotton 5% Elastane 150GSM CW66"/>
    <s v="Tap Shoe"/>
    <n v="0"/>
    <n v="370.7"/>
    <n v="370.7"/>
    <n v="0"/>
    <m/>
    <n v="0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4.FY26-27.3"/>
    <m/>
    <m/>
    <m/>
    <m/>
    <s v=""/>
    <n v="183"/>
    <s v="95% Cotton 5% Elastane 150GSM CW66"/>
    <s v="Tap Shoe"/>
    <n v="0"/>
    <n v="3.0329999999999999"/>
    <n v="3.0329999999999999"/>
    <n v="0"/>
    <m/>
    <n v="0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5.FY26-27.1"/>
    <m/>
    <m/>
    <m/>
    <m/>
    <s v=""/>
    <n v="184"/>
    <s v="95% Cotton 5% Elastane 150GSM CW66"/>
    <s v="Tap Shoe"/>
    <n v="0"/>
    <n v="1172.914"/>
    <n v="1172.914"/>
    <n v="0"/>
    <m/>
    <n v="0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5.FY26-27.2"/>
    <m/>
    <m/>
    <m/>
    <m/>
    <s v=""/>
    <n v="185"/>
    <s v="95% Cotton 5% Elastane 150GSM CW66"/>
    <s v="Tap Shoe"/>
    <n v="0"/>
    <n v="316.52300000000002"/>
    <n v="316.52300000000002"/>
    <n v="0"/>
    <m/>
    <n v="0"/>
    <s v="452132"/>
    <s v="Solid"/>
    <x v="23"/>
    <d v="2026-10-09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5.FY26-27.2"/>
    <m/>
    <m/>
    <m/>
    <m/>
    <s v=""/>
    <n v="185"/>
    <s v="95% Cotton 5% Elastane 150GSM CW66"/>
    <s v="Tap Shoe"/>
    <n v="0"/>
    <n v="478.85199999999998"/>
    <n v="478.85199999999998"/>
    <n v="0"/>
    <m/>
    <n v="0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Sainsbury"/>
    <s v="SQBIR.SAINSBURYS.324.FY25-26.2"/>
    <m/>
    <m/>
    <m/>
    <m/>
    <s v=""/>
    <n v="190"/>
    <s v="S/J- Solid  95%Cot 5%Inv Lycra 140gsm with PCF 66"/>
    <s v="White"/>
    <n v="-2.6153333333333335"/>
    <n v="7.8460000000000001"/>
    <n v="0"/>
    <n v="-7.8460000000000001"/>
    <m/>
    <n v="-7.8460000000000001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s v=""/>
    <s v=""/>
    <n v="7.8460000000000001"/>
    <s v=""/>
    <n v="0"/>
    <n v="0"/>
    <n v="0"/>
  </r>
  <r>
    <s v="Tesco"/>
    <s v="SQBIR.TESCO.132.FY25-26.1"/>
    <m/>
    <m/>
    <m/>
    <m/>
    <n v="14"/>
    <n v="224"/>
    <s v="SOLID 100%BCI CTN GSM140 68IN"/>
    <s v="Black"/>
    <n v="0"/>
    <n v="7.53"/>
    <n v="7.53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Black"/>
    <n v="140"/>
    <s v="445617140Black"/>
    <n v="747"/>
    <n v="-14"/>
    <n v="7.53"/>
    <n v="7.53"/>
    <s v=""/>
    <s v=""/>
    <n v="0"/>
    <n v="14"/>
    <n v="747"/>
    <n v="1.0189999999999999"/>
    <n v="739.47"/>
  </r>
  <r>
    <s v="LIDL"/>
    <s v="SQBIR.LIDLASIAPTELIMIT.022.FY26-27.4"/>
    <m/>
    <m/>
    <m/>
    <m/>
    <s v=""/>
    <n v="227"/>
    <s v="KNIT SINGLE JERSEY CMIA COTTON 95% ELASTANE CRERORA 5% GSM-160 CW-167.6 CM/66 INCH  "/>
    <s v="Navy"/>
    <n v="0"/>
    <n v="1252.492"/>
    <n v="1252.49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0"/>
    <s v=""/>
    <n v="4028.3"/>
    <n v="0.8"/>
    <n v="-9.9999999997635314E-3"/>
  </r>
  <r>
    <s v="LIDL"/>
    <s v="SQBIR.LIDLASIAPTELIMIT.022.FY26-27.5"/>
    <m/>
    <m/>
    <m/>
    <m/>
    <s v=""/>
    <n v="228"/>
    <s v="KNIT SINGLE JERSEY CMIA COTTON 95% ELASTANE CRERORA 5% GSM-160 CW-167.6 CM/66 INCH  "/>
    <s v="Navy"/>
    <n v="0"/>
    <n v="276.07600000000002"/>
    <n v="276.0760000000000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0"/>
    <s v=""/>
    <n v="4028.3"/>
    <n v="0.8"/>
    <n v="-9.9999999997635314E-3"/>
  </r>
  <r>
    <s v="LIDL"/>
    <s v="SQBIR.LIDLASIAPTELIMIT.022.FY26-27.6"/>
    <m/>
    <m/>
    <m/>
    <m/>
    <s v=""/>
    <n v="229"/>
    <s v="KNIT SINGLE JERSEY CMIA COTTON 95% ELASTANE CRERORA 5% GSM-160 CW-167.6 CM/66 INCH  "/>
    <s v="Navy"/>
    <n v="0"/>
    <n v="471.43200000000002"/>
    <n v="471.43200000000002"/>
    <n v="0"/>
    <m/>
    <n v="0"/>
    <s v="459780"/>
    <s v="Solid"/>
    <x v="24"/>
    <d v="2026-10-06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0"/>
    <s v=""/>
    <n v="4028.3"/>
    <n v="0.8"/>
    <n v="-9.9999999997635314E-3"/>
  </r>
  <r>
    <s v="LIDL"/>
    <s v="SQBIR.LIDLASIAPTELIMIT.022.FY26-27.6"/>
    <m/>
    <m/>
    <m/>
    <m/>
    <s v=""/>
    <n v="229"/>
    <s v="KNIT SINGLE JERSEY CMIA COTTON 95% ELASTANE CRERORA 5% GSM-160 CW-167.6 CM/66 INCH  "/>
    <s v="Navy"/>
    <n v="0"/>
    <n v="1000"/>
    <n v="1000"/>
    <n v="0"/>
    <m/>
    <n v="0"/>
    <s v="459780"/>
    <s v="Solid"/>
    <x v="22"/>
    <d v="2026-10-07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0"/>
    <s v=""/>
    <n v="4028.3"/>
    <n v="0.8"/>
    <n v="-9.9999999997635314E-3"/>
  </r>
  <r>
    <s v="LIDL"/>
    <s v="SQBIR.LIDLASIAPTELIMIT.022.FY26-27.6"/>
    <m/>
    <m/>
    <m/>
    <m/>
    <b v="0"/>
    <n v="229"/>
    <s v="KNIT SINGLE JERSEY CMIA COTTON 95% ELASTANE CRERORA 5% GSM-160 CW-167.6 CM/66 INCH  "/>
    <s v="Navy"/>
    <n v="0"/>
    <n v="555.89200000000005"/>
    <n v="555.89200000000005"/>
    <n v="0"/>
    <m/>
    <n v="0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0"/>
    <b v="0"/>
    <n v="4028.3"/>
    <n v="0.8"/>
    <n v="-9.9999999997635314E-3"/>
  </r>
  <r>
    <s v="LIDL"/>
    <s v="SQBIR.LIDLASIAPTELIMIT.002.FY26-27.4"/>
    <m/>
    <m/>
    <m/>
    <m/>
    <s v=""/>
    <n v="245"/>
    <s v="KNIT SINGLE JERSEY CMIA COTTON 95% ELASTANE CRERORA 5% GSM-160 CW-167.6 CM/66 INCH  "/>
    <s v="Black"/>
    <n v="0"/>
    <n v="1500"/>
    <n v="1500"/>
    <n v="0"/>
    <m/>
    <n v="0"/>
    <s v="459174"/>
    <s v="Solid"/>
    <x v="25"/>
    <d v="2026-10-15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4"/>
    <m/>
    <m/>
    <m/>
    <m/>
    <s v=""/>
    <n v="245"/>
    <s v="KNIT SINGLE JERSEY CMIA COTTON 95% ELASTANE CRERORA 5% GSM-160 CW-167.6 CM/66 INCH  "/>
    <s v="Black"/>
    <n v="0"/>
    <n v="1500"/>
    <n v="1500"/>
    <n v="0"/>
    <m/>
    <n v="0"/>
    <s v="459174"/>
    <s v="Solid"/>
    <x v="26"/>
    <d v="2026-10-16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4"/>
    <m/>
    <m/>
    <m/>
    <m/>
    <s v=""/>
    <n v="245"/>
    <s v="KNIT SINGLE JERSEY CMIA COTTON 95% ELASTANE CRERORA 5% GSM-160 CW-167.6 CM/66 INCH  "/>
    <s v="Black"/>
    <n v="0"/>
    <n v="1500"/>
    <n v="1500"/>
    <n v="0"/>
    <m/>
    <n v="0"/>
    <s v="459174"/>
    <s v="Solid"/>
    <x v="27"/>
    <d v="2026-10-17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4"/>
    <m/>
    <m/>
    <m/>
    <m/>
    <s v=""/>
    <n v="245"/>
    <s v="KNIT SINGLE JERSEY CMIA COTTON 95% ELASTANE CRERORA 5% GSM-160 CW-167.6 CM/66 INCH  "/>
    <s v="Black"/>
    <n v="0"/>
    <n v="1500"/>
    <n v="1500"/>
    <n v="0"/>
    <m/>
    <n v="0"/>
    <s v="459174"/>
    <s v="Solid"/>
    <x v="28"/>
    <d v="2026-10-18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4"/>
    <m/>
    <m/>
    <m/>
    <m/>
    <s v=""/>
    <n v="245"/>
    <s v="KNIT SINGLE JERSEY CMIA COTTON 95% ELASTANE CRERORA 5% GSM-160 CW-167.6 CM/66 INCH  "/>
    <s v="Black"/>
    <n v="0"/>
    <n v="940.50599999999997"/>
    <n v="940.50599999999997"/>
    <n v="0"/>
    <m/>
    <n v="0"/>
    <s v="459174"/>
    <s v="Solid"/>
    <x v="29"/>
    <d v="2026-10-19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5"/>
    <m/>
    <m/>
    <m/>
    <m/>
    <s v=""/>
    <n v="246"/>
    <s v="KNIT SINGLE JERSEY CMIA COTTON 95% ELASTANE CRERORA 5% GSM-160 CW-167.6 CM/66 INCH  "/>
    <s v="Black"/>
    <n v="0"/>
    <n v="559.49400000000003"/>
    <n v="559.49400000000003"/>
    <n v="0"/>
    <m/>
    <n v="0"/>
    <s v="459174"/>
    <s v="Solid"/>
    <x v="29"/>
    <d v="2026-10-1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5"/>
    <m/>
    <m/>
    <m/>
    <m/>
    <s v=""/>
    <n v="246"/>
    <s v="KNIT SINGLE JERSEY CMIA COTTON 95% ELASTANE CRERORA 5% GSM-160 CW-167.6 CM/66 INCH  "/>
    <s v="Black"/>
    <n v="0"/>
    <n v="1500"/>
    <n v="1500"/>
    <n v="0"/>
    <m/>
    <n v="0"/>
    <s v="459174"/>
    <s v="Solid"/>
    <x v="30"/>
    <d v="2026-10-2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5"/>
    <m/>
    <m/>
    <m/>
    <m/>
    <s v=""/>
    <n v="246"/>
    <s v="KNIT SINGLE JERSEY CMIA COTTON 95% ELASTANE CRERORA 5% GSM-160 CW-167.6 CM/66 INCH  "/>
    <s v="Black"/>
    <n v="0"/>
    <n v="122.887"/>
    <n v="122.887"/>
    <n v="0"/>
    <m/>
    <n v="0"/>
    <s v="459174"/>
    <s v="Solid"/>
    <x v="31"/>
    <d v="2026-10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6"/>
    <m/>
    <m/>
    <m/>
    <m/>
    <s v=""/>
    <n v="247"/>
    <s v="KNIT SINGLE JERSEY CMIA COTTON 95% ELASTANE CRERORA 5% GSM-160 CW-167.6 CM/66 INCH  "/>
    <s v="Black"/>
    <n v="0"/>
    <n v="1377.1130000000001"/>
    <n v="1377.1130000000001"/>
    <n v="0"/>
    <m/>
    <n v="0"/>
    <s v="459174"/>
    <s v="Solid"/>
    <x v="31"/>
    <d v="2026-10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6"/>
    <m/>
    <m/>
    <m/>
    <m/>
    <s v=""/>
    <n v="247"/>
    <s v="KNIT SINGLE JERSEY CMIA COTTON 95% ELASTANE CRERORA 5% GSM-160 CW-167.6 CM/66 INCH  "/>
    <s v="Black"/>
    <n v="0"/>
    <n v="19.61"/>
    <n v="19.61"/>
    <n v="0"/>
    <m/>
    <n v="0"/>
    <s v="459174"/>
    <s v="Solid"/>
    <x v="17"/>
    <d v="2026-10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7"/>
    <m/>
    <m/>
    <m/>
    <m/>
    <s v=""/>
    <n v="248"/>
    <s v="KNIT SINGLE JERSEY CMIA COTTON 95% ELASTANE CRERORA 5% GSM-160 CW-167.6 CM/66 INCH  "/>
    <s v="Black"/>
    <n v="0"/>
    <n v="1480.39"/>
    <n v="1480.39"/>
    <n v="0"/>
    <m/>
    <n v="0"/>
    <s v="459174"/>
    <s v="Solid"/>
    <x v="17"/>
    <d v="2026-10-22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7"/>
    <m/>
    <m/>
    <m/>
    <m/>
    <s v=""/>
    <n v="248"/>
    <s v="KNIT SINGLE JERSEY CMIA COTTON 95% ELASTANE CRERORA 5% GSM-160 CW-167.6 CM/66 INCH  "/>
    <s v="Black"/>
    <n v="0"/>
    <n v="1500"/>
    <n v="1500"/>
    <n v="0"/>
    <m/>
    <n v="0"/>
    <s v="459174"/>
    <s v="Solid"/>
    <x v="7"/>
    <d v="2026-10-23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7"/>
    <m/>
    <m/>
    <m/>
    <m/>
    <s v=""/>
    <n v="248"/>
    <s v="KNIT SINGLE JERSEY CMIA COTTON 95% ELASTANE CRERORA 5% GSM-160 CW-167.6 CM/66 INCH  "/>
    <s v="Black"/>
    <n v="0"/>
    <n v="909.11699999999996"/>
    <n v="909.11699999999996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8"/>
    <m/>
    <m/>
    <m/>
    <m/>
    <s v=""/>
    <n v="249"/>
    <s v="KNIT SINGLE JERSEY CMIA COTTON 95% ELASTANE CRERORA 5% GSM-160 CW-167.6 CM/66 INCH  "/>
    <s v="Black"/>
    <n v="0"/>
    <n v="63.252000000000002"/>
    <n v="63.252000000000002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2.FY26-27.9"/>
    <m/>
    <m/>
    <m/>
    <m/>
    <s v=""/>
    <n v="250"/>
    <s v="KNIT SINGLE JERSEY CMIA COTTON 95% ELASTANE CRERORA 5% GSM-160 CW-167.6 CM/66 INCH  "/>
    <s v="Black"/>
    <n v="0"/>
    <n v="9.9640000000000004"/>
    <n v="9.9640000000000004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4.FY26-27.1"/>
    <m/>
    <m/>
    <m/>
    <m/>
    <s v=""/>
    <n v="251"/>
    <s v="KNIT SINGLE JERSEY CMIA COTTON 95% ELASTANE CRERORA 5% GSM-160 CW-167.6 CM/66 INCH  "/>
    <s v="Black"/>
    <n v="0"/>
    <n v="517.66700000000003"/>
    <n v="517.66700000000003"/>
    <n v="0"/>
    <m/>
    <n v="0"/>
    <s v="459174"/>
    <s v="Solid"/>
    <x v="13"/>
    <d v="2026-10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4.FY26-27.1"/>
    <m/>
    <m/>
    <m/>
    <m/>
    <s v=""/>
    <n v="251"/>
    <s v="KNIT SINGLE JERSEY CMIA COTTON 95% ELASTANE CRERORA 5% GSM-160 CW-167.6 CM/66 INCH  "/>
    <s v="Black"/>
    <n v="0"/>
    <n v="1500"/>
    <n v="1500"/>
    <n v="0"/>
    <m/>
    <n v="0"/>
    <s v="459174"/>
    <s v="Solid"/>
    <x v="12"/>
    <d v="2026-10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4.FY26-27.1"/>
    <m/>
    <m/>
    <m/>
    <m/>
    <s v=""/>
    <n v="251"/>
    <s v="KNIT SINGLE JERSEY CMIA COTTON 95% ELASTANE CRERORA 5% GSM-160 CW-167.6 CM/66 INCH  "/>
    <s v="Black"/>
    <n v="0"/>
    <n v="1421.664"/>
    <n v="1421.664"/>
    <n v="0"/>
    <m/>
    <n v="0"/>
    <s v="459174"/>
    <s v="Solid"/>
    <x v="4"/>
    <d v="2026-10-26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4.FY26-27.2"/>
    <m/>
    <m/>
    <m/>
    <m/>
    <s v=""/>
    <n v="252"/>
    <s v="KNIT SINGLE JERSEY CMIA COTTON 95% ELASTANE CRERORA 5% GSM-160 CW-167.6 CM/66 INCH  "/>
    <s v="Black"/>
    <n v="0"/>
    <n v="78.335999999999999"/>
    <n v="78.335999999999999"/>
    <n v="0"/>
    <m/>
    <n v="0"/>
    <s v="459174"/>
    <s v="Solid"/>
    <x v="4"/>
    <d v="2026-10-26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4.FY26-27.2"/>
    <m/>
    <m/>
    <m/>
    <m/>
    <s v=""/>
    <n v="252"/>
    <s v="KNIT SINGLE JERSEY CMIA COTTON 95% ELASTANE CRERORA 5% GSM-160 CW-167.6 CM/66 INCH  "/>
    <s v="Black"/>
    <n v="0"/>
    <n v="1500"/>
    <n v="1500"/>
    <n v="0"/>
    <m/>
    <n v="0"/>
    <s v="459174"/>
    <s v="Solid"/>
    <x v="14"/>
    <d v="2026-10-27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4.FY26-27.2"/>
    <m/>
    <m/>
    <m/>
    <m/>
    <s v=""/>
    <n v="252"/>
    <s v="KNIT SINGLE JERSEY CMIA COTTON 95% ELASTANE CRERORA 5% GSM-160 CW-167.6 CM/66 INCH  "/>
    <s v="Black"/>
    <n v="0"/>
    <n v="585.62099999999998"/>
    <n v="585.62099999999998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22.FY26-27.10"/>
    <m/>
    <m/>
    <m/>
    <m/>
    <s v=""/>
    <n v="254"/>
    <s v="KNIT SINGLE JERSEY CMIA COTTON 95% ELASTANE CRERORA 5% GSM-160 CW-167.6 CM/66 INCH  "/>
    <s v="DARK BLUE"/>
    <n v="0"/>
    <n v="11.811999999999999"/>
    <n v="11.811999999999999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0"/>
    <s v=""/>
    <n v="4801.7299999999996"/>
    <n v="0.95299999999999996"/>
    <n v="0"/>
  </r>
  <r>
    <s v="LIDL"/>
    <s v="SQBIR.LIDLASIAPTELIMIT.022.FY26-27.3"/>
    <m/>
    <m/>
    <m/>
    <m/>
    <s v=""/>
    <n v="255"/>
    <s v="KNIT SINGLE JERSEY CMIA COTTON 95% ELASTANE CRERORA 5% GSM-160 CW-167.6 CM/66 INCH  "/>
    <s v="DARK BLUE"/>
    <n v="0"/>
    <n v="380.64699999999999"/>
    <n v="380.64699999999999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0"/>
    <s v=""/>
    <n v="4801.7299999999996"/>
    <n v="0.95299999999999996"/>
    <n v="0"/>
  </r>
  <r>
    <s v="Sainsbury"/>
    <s v="SQBIR.SAINSBURYS.323.FY25-26.2"/>
    <m/>
    <m/>
    <m/>
    <m/>
    <s v=""/>
    <n v="306"/>
    <s v="S/J- Solid  95%Cot 5%Inv Lycra 140gsm with PCF 66"/>
    <s v="Black"/>
    <n v="-666.66666666666663"/>
    <n v="2000"/>
    <m/>
    <n v="-2000"/>
    <m/>
    <n v="-2000"/>
    <s v="446460"/>
    <s v="Solid"/>
    <x v="13"/>
    <d v="2026-10-24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2000"/>
    <s v=""/>
    <n v="1226"/>
    <n v="0.92500000000000004"/>
    <n v="1226"/>
  </r>
  <r>
    <s v="Sainsbury"/>
    <s v="SQBIR.SAINSBURYS.323.FY25-26.2"/>
    <m/>
    <m/>
    <m/>
    <m/>
    <s v=""/>
    <n v="306"/>
    <s v="S/J- Solid  95%Cot 5%Inv Lycra 140gsm with PCF 66"/>
    <s v="Black"/>
    <n v="-666.66666666666663"/>
    <n v="2000"/>
    <m/>
    <n v="-2000"/>
    <m/>
    <n v="-2000"/>
    <s v="446460"/>
    <s v="Solid"/>
    <x v="12"/>
    <d v="2026-10-25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2000"/>
    <s v=""/>
    <n v="1226"/>
    <n v="0.92500000000000004"/>
    <n v="1226"/>
  </r>
  <r>
    <s v="Sainsbury"/>
    <s v="SQBIR.SAINSBURYS.323.FY25-26.2"/>
    <m/>
    <m/>
    <m/>
    <m/>
    <s v=""/>
    <n v="306"/>
    <s v="S/J- Solid  95%Cot 5%Inv Lycra 140gsm with PCF 66"/>
    <s v="Black"/>
    <n v="-666.66666666666663"/>
    <n v="2000"/>
    <m/>
    <n v="-2000"/>
    <m/>
    <n v="-2000"/>
    <s v="446460"/>
    <s v="Solid"/>
    <x v="4"/>
    <d v="2026-10-26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2000"/>
    <s v=""/>
    <n v="1226"/>
    <n v="0.92500000000000004"/>
    <n v="1226"/>
  </r>
  <r>
    <s v="Sainsbury"/>
    <s v="SQBIR.SAINSBURYS.323.FY25-26.2"/>
    <m/>
    <m/>
    <m/>
    <m/>
    <s v=""/>
    <n v="306"/>
    <s v="S/J- Solid  95%Cot 5%Inv Lycra 140gsm with PCF 66"/>
    <s v="Black"/>
    <n v="-666.66666666666663"/>
    <n v="2000"/>
    <m/>
    <n v="-2000"/>
    <m/>
    <n v="-2000"/>
    <s v="446460"/>
    <s v="Solid"/>
    <x v="14"/>
    <d v="2026-10-27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2000"/>
    <s v=""/>
    <n v="1226"/>
    <n v="0.92500000000000004"/>
    <n v="1226"/>
  </r>
  <r>
    <s v="Sainsbury"/>
    <s v="SQBIR.SAINSBURYS.323.FY25-26.2"/>
    <m/>
    <m/>
    <m/>
    <m/>
    <s v=""/>
    <n v="306"/>
    <s v="S/J- Solid  95%Cot 5%Inv Lycra 140gsm with PCF 66"/>
    <s v="Black"/>
    <n v="-666.66666666666663"/>
    <n v="2000"/>
    <m/>
    <n v="-2000"/>
    <m/>
    <n v="-2000"/>
    <s v="446460"/>
    <s v="Solid"/>
    <x v="15"/>
    <d v="2026-10-28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2000"/>
    <s v=""/>
    <n v="1226"/>
    <n v="0.92500000000000004"/>
    <n v="1226"/>
  </r>
  <r>
    <s v="Sainsbury"/>
    <s v="SQBIR.SAINSBURYS.323.FY25-26.2"/>
    <m/>
    <m/>
    <m/>
    <m/>
    <s v=""/>
    <n v="306"/>
    <s v="S/J- Solid  95%Cot 5%Inv Lycra 140gsm with PCF 66"/>
    <s v="Black"/>
    <n v="-12.405333333333333"/>
    <n v="37.216000000000001"/>
    <m/>
    <n v="-37.216000000000001"/>
    <m/>
    <n v="-37.216000000000001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37.216000000000001"/>
    <s v=""/>
    <n v="1226"/>
    <n v="0.92500000000000004"/>
    <n v="1226"/>
  </r>
  <r>
    <s v="Sainsbury"/>
    <s v="SQBIR.SAINSBURYS.329.FY25-26.2"/>
    <m/>
    <m/>
    <m/>
    <m/>
    <s v=""/>
    <n v="307"/>
    <s v="S/J- Solid  95%Cot 5%Inv Lycra 140gsm with PCF 66"/>
    <s v="Black"/>
    <n v="-319.56166666666667"/>
    <n v="958.68499999999995"/>
    <n v="0"/>
    <n v="-958.68499999999995"/>
    <m/>
    <n v="-958.68499999999995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958.68499999999995"/>
    <s v=""/>
    <n v="1226"/>
    <n v="0.92500000000000004"/>
    <n v="1226"/>
  </r>
  <r>
    <s v="LIDL"/>
    <s v="SQBIR.LIDLASIAPTELIMIT.003.FY26-27.1"/>
    <m/>
    <m/>
    <m/>
    <m/>
    <s v=""/>
    <n v="314"/>
    <s v="KNIT SINGLE JERSEY CMIA COTTON 95% ELASTANE CRERORA 5% GSM-160 CW-167.6 CM/66 INCH  "/>
    <s v="16-4019TCX Forever Blue"/>
    <n v="0"/>
    <n v="150.28"/>
    <n v="150.28"/>
    <n v="0"/>
    <m/>
    <n v="0"/>
    <s v="459174"/>
    <s v="Solid"/>
    <x v="15"/>
    <d v="2026-10-28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2"/>
    <m/>
    <m/>
    <m/>
    <m/>
    <b v="0"/>
    <n v="315"/>
    <s v="KNIT SINGLE JERSEY CMIA COTTON 95% ELASTANE CRERORA 5% GSM-160 CW-167.6 CM/66 INCH  "/>
    <s v="16-4019TCX Forever Blue"/>
    <n v="0"/>
    <n v="2347.9029999999998"/>
    <n v="2347.9029999999998"/>
    <n v="0"/>
    <m/>
    <n v="0"/>
    <s v="459174"/>
    <s v="Solid"/>
    <x v="15"/>
    <d v="2026-10-28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b v="0"/>
    <n v="26990.42"/>
    <n v="0.83199999999999996"/>
    <n v="0"/>
  </r>
  <r>
    <s v="LIDL"/>
    <s v="SQBIR.LIDLASIAPTELIMIT.003.FY26-27.3"/>
    <m/>
    <m/>
    <m/>
    <m/>
    <s v=""/>
    <n v="316"/>
    <s v="KNIT SINGLE JERSEY CMIA COTTON 95% ELASTANE CRERORA 5% GSM-160 CW-167.6 CM/66 INCH  "/>
    <s v="16-4019TCX Forever Blue"/>
    <n v="0"/>
    <n v="1.8169999999999999"/>
    <n v="1.8169999999999999"/>
    <n v="0"/>
    <m/>
    <n v="0"/>
    <s v="459174"/>
    <s v="Solid"/>
    <x v="15"/>
    <d v="2026-10-2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3"/>
    <m/>
    <m/>
    <m/>
    <m/>
    <s v=""/>
    <n v="316"/>
    <s v="KNIT SINGLE JERSEY CMIA COTTON 95% ELASTANE CRERORA 5% GSM-160 CW-167.6 CM/66 INCH  "/>
    <s v="16-4019TCX Forever Blue"/>
    <n v="0"/>
    <n v="2500"/>
    <n v="2500"/>
    <n v="0"/>
    <m/>
    <n v="0"/>
    <s v="459174"/>
    <s v="Solid"/>
    <x v="16"/>
    <d v="2026-10-2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3"/>
    <m/>
    <m/>
    <m/>
    <m/>
    <b v="0"/>
    <n v="316"/>
    <s v="KNIT SINGLE JERSEY CMIA COTTON 95% ELASTANE CRERORA 5% GSM-160 CW-167.6 CM/66 INCH  "/>
    <s v="16-4019TCX Forever Blue"/>
    <n v="0"/>
    <n v="2176.2860000000001"/>
    <n v="2176.2860000000001"/>
    <n v="0"/>
    <m/>
    <n v="0"/>
    <s v="459174"/>
    <s v="Solid"/>
    <x v="18"/>
    <d v="2026-10-30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b v="0"/>
    <n v="26990.42"/>
    <n v="0.83199999999999996"/>
    <n v="0"/>
  </r>
  <r>
    <s v="LIDL"/>
    <s v="SQBIR.LIDLASIAPTELIMIT.003.FY26-27.4"/>
    <m/>
    <m/>
    <m/>
    <m/>
    <s v=""/>
    <n v="317"/>
    <s v="KNIT SINGLE JERSEY CMIA COTTON 95% ELASTANE CRERORA 5% GSM-160 CW-167.6 CM/66 INCH  "/>
    <s v="16-4019TCX Forever Blue"/>
    <n v="0"/>
    <n v="323.714"/>
    <n v="323.714"/>
    <n v="0"/>
    <m/>
    <n v="0"/>
    <s v="459174"/>
    <s v="Solid"/>
    <x v="18"/>
    <d v="2026-10-30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4"/>
    <m/>
    <m/>
    <m/>
    <m/>
    <s v="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8"/>
    <d v="2026-10-31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4"/>
    <m/>
    <m/>
    <m/>
    <m/>
    <s v="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9"/>
    <d v="2026-11-01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4"/>
    <m/>
    <m/>
    <m/>
    <m/>
    <s v=""/>
    <n v="317"/>
    <s v="KNIT SINGLE JERSEY CMIA COTTON 95% ELASTANE CRERORA 5% GSM-160 CW-167.6 CM/66 INCH  "/>
    <s v="16-4019TCX Forever Blue"/>
    <n v="0"/>
    <n v="2500"/>
    <n v="2500"/>
    <n v="0"/>
    <m/>
    <n v="0"/>
    <s v="459174"/>
    <s v="Solid"/>
    <x v="10"/>
    <d v="2026-11-02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4"/>
    <m/>
    <m/>
    <m/>
    <m/>
    <s v=""/>
    <n v="317"/>
    <s v="KNIT SINGLE JERSEY CMIA COTTON 95% ELASTANE CRERORA 5% GSM-160 CW-167.6 CM/66 INCH  "/>
    <s v="16-4019TCX Forever Blue"/>
    <n v="0"/>
    <n v="1440.326"/>
    <n v="1440.326"/>
    <n v="0"/>
    <m/>
    <n v="0"/>
    <s v="459174"/>
    <s v="Solid"/>
    <x v="11"/>
    <d v="2026-11-03T00:00:00"/>
    <s v="(28th Oct-10th Nov)-2.5k mtr/day"/>
    <s v="Revised Plan given as per revised date"/>
    <m/>
    <s v="Oct"/>
    <d v="2026-10-19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5"/>
    <m/>
    <m/>
    <m/>
    <m/>
    <s v=""/>
    <n v="318"/>
    <s v="KNIT SINGLE JERSEY CMIA COTTON 95% ELASTANE CRERORA 5% GSM-160 CW-167.6 CM/66 INCH  "/>
    <s v="16-4019TCX Forever Blue"/>
    <n v="0"/>
    <n v="1059.674"/>
    <n v="1059.674"/>
    <n v="0"/>
    <m/>
    <n v="0"/>
    <s v="459174"/>
    <s v="Solid"/>
    <x v="11"/>
    <d v="2026-11-03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5"/>
    <m/>
    <m/>
    <m/>
    <m/>
    <s v=""/>
    <n v="318"/>
    <s v="KNIT SINGLE JERSEY CMIA COTTON 95% ELASTANE CRERORA 5% GSM-160 CW-167.6 CM/66 INCH  "/>
    <s v="16-4019TCX Forever Blue"/>
    <n v="0"/>
    <n v="1853.271"/>
    <n v="1853.271"/>
    <n v="0"/>
    <m/>
    <n v="0"/>
    <s v="459174"/>
    <s v="Solid"/>
    <x v="19"/>
    <d v="2026-11-04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6"/>
    <m/>
    <m/>
    <m/>
    <m/>
    <s v=""/>
    <n v="319"/>
    <s v="KNIT SINGLE JERSEY CMIA COTTON 95% ELASTANE CRERORA 5% GSM-160 CW-167.6 CM/66 INCH  "/>
    <s v="16-4019TCX Forever Blue"/>
    <n v="0"/>
    <n v="646.72900000000004"/>
    <n v="646.72900000000004"/>
    <n v="0"/>
    <m/>
    <n v="0"/>
    <s v="459174"/>
    <s v="Solid"/>
    <x v="19"/>
    <d v="2026-11-04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6"/>
    <m/>
    <m/>
    <m/>
    <m/>
    <s v=""/>
    <n v="319"/>
    <s v="KNIT SINGLE JERSEY CMIA COTTON 95% ELASTANE CRERORA 5% GSM-160 CW-167.6 CM/66 INCH  "/>
    <s v="16-4019TCX Forever Blue"/>
    <n v="0"/>
    <n v="1217.53"/>
    <n v="1217.53"/>
    <n v="0"/>
    <m/>
    <n v="0"/>
    <s v="459174"/>
    <s v="Solid"/>
    <x v="20"/>
    <d v="2026-11-05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7"/>
    <m/>
    <m/>
    <m/>
    <m/>
    <s v=""/>
    <n v="320"/>
    <s v="KNIT SINGLE JERSEY CMIA COTTON 95% ELASTANE CRERORA 5% GSM-160 CW-167.6 CM/66 INCH  "/>
    <s v="16-4019TCX Forever Blue"/>
    <n v="0"/>
    <n v="1282.47"/>
    <n v="1282.47"/>
    <n v="0"/>
    <m/>
    <n v="0"/>
    <s v="459174"/>
    <s v="Solid"/>
    <x v="20"/>
    <d v="2026-11-05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7"/>
    <m/>
    <m/>
    <m/>
    <m/>
    <s v=""/>
    <n v="320"/>
    <s v="KNIT SINGLE JERSEY CMIA COTTON 95% ELASTANE CRERORA 5% GSM-160 CW-167.6 CM/66 INCH  "/>
    <s v="16-4019TCX Forever Blue"/>
    <n v="0"/>
    <n v="2500"/>
    <n v="2500"/>
    <n v="0"/>
    <m/>
    <n v="0"/>
    <s v="459174"/>
    <s v="Solid"/>
    <x v="21"/>
    <d v="2026-11-06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7"/>
    <m/>
    <m/>
    <m/>
    <m/>
    <s v=""/>
    <n v="320"/>
    <s v="KNIT SINGLE JERSEY CMIA COTTON 95% ELASTANE CRERORA 5% GSM-160 CW-167.6 CM/66 INCH  "/>
    <s v="16-4019TCX Forever Blue"/>
    <n v="0"/>
    <n v="1409.13"/>
    <n v="1409.13"/>
    <n v="0"/>
    <m/>
    <n v="0"/>
    <s v="459174"/>
    <s v="Solid"/>
    <x v="32"/>
    <d v="2026-11-07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8"/>
    <m/>
    <m/>
    <m/>
    <m/>
    <s v=""/>
    <n v="321"/>
    <s v="KNIT SINGLE JERSEY CMIA COTTON 95% ELASTANE CRERORA 5% GSM-160 CW-167.6 CM/66 INCH  "/>
    <s v="16-4019TCX Forever Blue"/>
    <n v="0"/>
    <n v="84.355000000000004"/>
    <n v="84.355000000000004"/>
    <n v="0"/>
    <m/>
    <n v="0"/>
    <s v="459174"/>
    <s v="Solid"/>
    <x v="32"/>
    <d v="2026-11-07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s v=""/>
    <n v="26990.42"/>
    <n v="0.83199999999999996"/>
    <n v="0"/>
  </r>
  <r>
    <s v="LIDL"/>
    <s v="SQBIR.LIDLASIAPTELIMIT.003.FY26-27.9"/>
    <m/>
    <m/>
    <m/>
    <m/>
    <b v="0"/>
    <n v="322"/>
    <s v="KNIT SINGLE JERSEY CMIA COTTON 95% ELASTANE CRERORA 5% GSM-160 CW-167.6 CM/66 INCH  "/>
    <s v="16-4019TCX Forever Blue"/>
    <n v="0"/>
    <n v="13.228"/>
    <n v="13.228"/>
    <n v="0"/>
    <m/>
    <n v="0"/>
    <s v="459174"/>
    <s v="Solid"/>
    <x v="32"/>
    <d v="2026-11-07T00:00:00"/>
    <s v="(28th Oct-10th Nov)-2.5k mtr/day"/>
    <s v="Revised Plan given as per revised date"/>
    <m/>
    <s v="Oct"/>
    <d v="2026-10-08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0"/>
    <b v="0"/>
    <n v="26990.42"/>
    <n v="0.83199999999999996"/>
    <n v="0"/>
  </r>
  <r>
    <s v="LIDL"/>
    <s v="SQBIR.LIDLASIAPTELIMIT.006.FY26-27.1"/>
    <m/>
    <m/>
    <m/>
    <m/>
    <s v=""/>
    <n v="323"/>
    <s v="KNIT SINGLE JERSEY CMIA COTTON 95% ELASTANE CRERORA 5% GSM-160 CW-167.6 CM/66 INCH  "/>
    <s v="16-4019TCX Forever Blue"/>
    <n v="-169.86"/>
    <n v="993.28700000000003"/>
    <n v="483.70699999999999"/>
    <n v="-509.58000000000004"/>
    <m/>
    <n v="-509.58000000000004"/>
    <s v="459174"/>
    <s v="Solid"/>
    <x v="32"/>
    <d v="2026-11-07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509.58000000000004"/>
    <s v=""/>
    <n v="26990.42"/>
    <n v="0.83199999999999996"/>
    <n v="0"/>
  </r>
  <r>
    <s v="LIDL"/>
    <s v="SQBIR.LIDLASIAPTELIMIT.006.FY26-27.1"/>
    <m/>
    <m/>
    <m/>
    <m/>
    <s v=""/>
    <n v="323"/>
    <s v="KNIT SINGLE JERSEY CMIA COTTON 95% ELASTANE CRERORA 5% GSM-160 CW-167.6 CM/66 INCH  "/>
    <s v="16-4019TCX Forever Blue"/>
    <n v="-52.788666666666671"/>
    <n v="158.36600000000001"/>
    <m/>
    <n v="-158.36600000000001"/>
    <m/>
    <n v="-158.36600000000001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158.36600000000001"/>
    <s v=""/>
    <n v="26990.42"/>
    <n v="0.83199999999999996"/>
    <n v="0"/>
  </r>
  <r>
    <s v="LIDL"/>
    <s v="SQBIR.LIDLASIAPTELIMIT.006.FY26-27.2"/>
    <m/>
    <m/>
    <m/>
    <m/>
    <s v=""/>
    <n v="324"/>
    <s v="KNIT SINGLE JERSEY CMIA COTTON 95% ELASTANE CRERORA 5% GSM-160 CW-167.6 CM/66 INCH  "/>
    <s v="16-4019TCX Forever Blue"/>
    <n v="-241.53233333333333"/>
    <n v="724.59699999999998"/>
    <m/>
    <n v="-724.59699999999998"/>
    <m/>
    <n v="-724.59699999999998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724.59699999999998"/>
    <s v=""/>
    <n v="26990.42"/>
    <n v="0.83199999999999996"/>
    <n v="0"/>
  </r>
  <r>
    <s v="LIDL"/>
    <s v="SQBIR.LIDLASIAPTELIMIT.002.FY26-27.2"/>
    <m/>
    <m/>
    <m/>
    <m/>
    <s v=""/>
    <n v="326"/>
    <s v="KNIT SINGLE JERSEY CMIA COTTON 95% ELASTANE CRERORA 5% GSM-160 CW-167.6 CM/66 INCH  "/>
    <s v="White"/>
    <n v="0"/>
    <n v="702.46400000000006"/>
    <n v="702.46400000000006"/>
    <n v="0"/>
    <m/>
    <n v="0"/>
    <s v="459174"/>
    <s v="Solid"/>
    <x v="28"/>
    <d v="2026-10-18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0"/>
    <s v=""/>
    <n v="844"/>
    <n v="4.1000000000000002E-2"/>
    <n v="-9.9999999999909051E-3"/>
  </r>
  <r>
    <s v="Sainsbury"/>
    <s v="SQBIR.SAINSBURYS.280.FY25-26.3"/>
    <m/>
    <m/>
    <m/>
    <m/>
    <n v="0.5"/>
    <n v="331"/>
    <s v="SINGLE JERSEY 100% COTTON 110GSM"/>
    <s v="HUSHED VIOLET"/>
    <n v="0"/>
    <n v="1.4419999999999999"/>
    <n v="1.4419999999999999"/>
    <n v="0"/>
    <m/>
    <n v="0"/>
    <s v="436590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Hushed Violet 14-3803 Tcx"/>
    <n v="110"/>
    <s v="436590/442546110Hushed Violet 14-3803 Tcx"/>
    <n v="233"/>
    <n v="-0.5"/>
    <n v="1.4419999999999999"/>
    <n v="1.4419999999999999"/>
    <s v=""/>
    <s v=""/>
    <n v="0"/>
    <n v="0.5"/>
    <n v="233"/>
    <n v="1.002"/>
    <n v="231.55799999999999"/>
  </r>
  <r>
    <s v="LIDL"/>
    <s v="SQBIR.LIDLASIAPTELIMIT.006.FY26-27.4"/>
    <m/>
    <m/>
    <m/>
    <m/>
    <s v=""/>
    <n v="340"/>
    <s v="KNIT SINGLE JERSEY CMIA COTTON 95% ELASTANE CRERORA 5% GSM-160 CW-167.6 CM/66 INCH  "/>
    <s v="Navy Blazer 19-3923-TCX"/>
    <n v="-82.834000000000003"/>
    <n v="248.50200000000001"/>
    <m/>
    <n v="-248.50200000000001"/>
    <m/>
    <n v="-248.5020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248.50200000000001"/>
    <s v=""/>
    <n v="13076.44"/>
    <n v="0.377"/>
    <n v="0"/>
  </r>
  <r>
    <s v="LIDL"/>
    <s v="SQBIR.LIDLASIAPTELIMIT.006.FY26-27.5"/>
    <m/>
    <m/>
    <m/>
    <m/>
    <s v=""/>
    <n v="341"/>
    <s v="KNIT SINGLE JERSEY CMIA COTTON 95% ELASTANE CRERORA 5% GSM-160 CW-167.6 CM/66 INCH  "/>
    <s v="Navy Blazer 19-3923-TCX"/>
    <n v="-8.7503333333333337"/>
    <n v="26.251000000000001"/>
    <m/>
    <n v="-26.251000000000001"/>
    <m/>
    <n v="-26.25100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26.251000000000001"/>
    <s v=""/>
    <n v="13076.44"/>
    <n v="0.377"/>
    <n v="0"/>
  </r>
  <r>
    <s v="Sainsbury"/>
    <s v="SQBIR.SAINSBURYS.322.FY25-26.3"/>
    <m/>
    <m/>
    <m/>
    <m/>
    <s v=""/>
    <n v="345"/>
    <s v="S/J- Solid  95%Cot 5%Inv Lycra 140gsm with PCF 66"/>
    <s v="Black"/>
    <n v="0"/>
    <n v="8.7149999999999999"/>
    <n v="8.7149999999999999"/>
    <n v="0"/>
    <m/>
    <n v="0"/>
    <s v="446252"/>
    <s v="Solid"/>
    <x v="1"/>
    <d v="2026-10-0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s v=""/>
    <n v="317"/>
    <n v="0.74399999999999999"/>
    <n v="594.89200000000164"/>
  </r>
  <r>
    <s v="Sainsbury"/>
    <s v="SQBIR.SAINSBURYS.323.FY25-26.1"/>
    <m/>
    <m/>
    <m/>
    <m/>
    <s v=""/>
    <n v="346"/>
    <s v="S/J- Solid  95%Cot 5%Inv Lycra 140gsm with PCF 66"/>
    <s v="Black"/>
    <n v="0"/>
    <n v="1991.2850000000001"/>
    <n v="1991.2850000000001"/>
    <n v="0"/>
    <m/>
    <n v="0"/>
    <s v="446252"/>
    <s v="Solid"/>
    <x v="1"/>
    <d v="2026-10-0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s v=""/>
    <n v="317"/>
    <n v="0.74399999999999999"/>
    <n v="594.89200000000164"/>
  </r>
  <r>
    <s v="Sainsbury"/>
    <s v="SQBIR.SAINSBURYS.323.FY25-26.1"/>
    <m/>
    <m/>
    <m/>
    <m/>
    <s v=""/>
    <n v="346"/>
    <s v="S/J- Solid  95%Cot 5%Inv Lycra 140gsm with PCF 66"/>
    <s v="Black"/>
    <n v="0"/>
    <n v="2000"/>
    <n v="2000"/>
    <n v="0"/>
    <m/>
    <n v="0"/>
    <s v="446252"/>
    <s v="Solid"/>
    <x v="6"/>
    <d v="2026-10-03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s v="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2000"/>
    <n v="2000"/>
    <n v="0"/>
    <m/>
    <n v="0"/>
    <s v="446252"/>
    <s v="Solid"/>
    <x v="0"/>
    <d v="2026-10-05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b v="0"/>
    <n v="317"/>
    <n v="0.74399999999999999"/>
    <n v="594.89200000000164"/>
  </r>
  <r>
    <s v="Sainsbury"/>
    <s v="SQBIR.SAINSBURYS.323.FY25-26.1"/>
    <m/>
    <m/>
    <m/>
    <m/>
    <s v=""/>
    <n v="346"/>
    <s v="S/J- Solid  95%Cot 5%Inv Lycra 140gsm with PCF 66"/>
    <s v="Black"/>
    <n v="0"/>
    <n v="2000"/>
    <n v="2000"/>
    <n v="0"/>
    <m/>
    <n v="0"/>
    <s v="446252"/>
    <s v="Solid"/>
    <x v="22"/>
    <d v="2026-10-07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s v=""/>
    <n v="317"/>
    <n v="0.74399999999999999"/>
    <n v="594.89200000000164"/>
  </r>
  <r>
    <s v="Sainsbury"/>
    <s v="SQBIR.SAINSBURYS.323.FY25-26.1"/>
    <m/>
    <m/>
    <m/>
    <m/>
    <b v="0"/>
    <n v="346"/>
    <s v="S/J- Solid  95%Cot 5%Inv Lycra 140gsm with PCF 66"/>
    <s v="Black"/>
    <n v="0"/>
    <n v="495.51499999999999"/>
    <n v="495.51499999999999"/>
    <n v="0"/>
    <m/>
    <n v="0"/>
    <s v="446252"/>
    <s v="Solid"/>
    <x v="23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b v="0"/>
    <n v="317"/>
    <n v="0.74399999999999999"/>
    <n v="594.89200000000164"/>
  </r>
  <r>
    <s v="Sainsbury"/>
    <s v="SQBIR.SAINSBURYS.323.FY25-26.3"/>
    <m/>
    <m/>
    <m/>
    <m/>
    <s v=""/>
    <n v="347"/>
    <s v="S/J- Solid  95%Cot 5%Inv Lycra 140gsm with PCF 66"/>
    <s v="Black"/>
    <n v="0"/>
    <n v="18.186"/>
    <n v="18.186"/>
    <n v="0"/>
    <m/>
    <n v="0"/>
    <s v="446252"/>
    <s v="Solid"/>
    <x v="23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s v=""/>
    <n v="317"/>
    <n v="0.74399999999999999"/>
    <n v="594.89200000000164"/>
  </r>
  <r>
    <s v="Sainsbury"/>
    <s v="SQBIR.SAINSBURYS.325.FY25-26.1"/>
    <m/>
    <m/>
    <m/>
    <m/>
    <s v=""/>
    <n v="348"/>
    <s v="S/J- Solid  95%Cot 5%Inv Lycra 140gsm with PCF 66"/>
    <s v="Black"/>
    <n v="-215.01733333333334"/>
    <n v="1486.299"/>
    <n v="841.24699999999996"/>
    <n v="-645.05200000000002"/>
    <m/>
    <n v="-645.05200000000002"/>
    <s v="446252"/>
    <s v="Solid"/>
    <x v="1"/>
    <d v="2026-10-09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645.05200000000002"/>
    <s v=""/>
    <n v="317"/>
    <n v="0.74399999999999999"/>
    <n v="594.89200000000164"/>
  </r>
  <r>
    <s v="Sainsbury"/>
    <s v="SQBIR.SAINSBURYS.325.FY25-26.1"/>
    <m/>
    <m/>
    <m/>
    <m/>
    <b v="0"/>
    <n v="348"/>
    <s v="S/J- Solid  95%Cot 5%Inv Lycra 140gsm with PCF 66"/>
    <s v="Black"/>
    <n v="0"/>
    <n v="2000"/>
    <n v="2000"/>
    <n v="0"/>
    <m/>
    <n v="0"/>
    <s v="446252"/>
    <s v="Solid"/>
    <x v="2"/>
    <d v="2026-10-11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0"/>
    <b v="0"/>
    <n v="317"/>
    <n v="0.74399999999999999"/>
    <n v="594.89200000000164"/>
  </r>
  <r>
    <s v="Sainsbury"/>
    <s v="SQBIR.SAINSBURYS.325.FY25-26.1"/>
    <m/>
    <m/>
    <m/>
    <m/>
    <s v=""/>
    <n v="348"/>
    <s v="S/J- Solid  95%Cot 5%Inv Lycra 140gsm with PCF 66"/>
    <s v="Black"/>
    <n v="-237.90033333333335"/>
    <n v="713.70100000000002"/>
    <m/>
    <n v="-713.70100000000002"/>
    <m/>
    <n v="-713.70100000000002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s v=""/>
    <s v=""/>
    <n v="713.70100000000002"/>
    <s v=""/>
    <n v="317"/>
    <n v="0.74399999999999999"/>
    <n v="594.89200000000164"/>
  </r>
  <r>
    <s v="Sainsbury"/>
    <s v="SQBIR.SAINSBURYS.325.FY25-26.2"/>
    <m/>
    <m/>
    <m/>
    <m/>
    <b v="0"/>
    <n v="349"/>
    <s v="S/J- Solid  95%Cot 5%Inv Lycra 140gsm with PCF 66"/>
    <s v="Black"/>
    <n v="-4.2"/>
    <n v="12.6"/>
    <m/>
    <n v="-12.6"/>
    <m/>
    <n v="-12.6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s v=""/>
    <s v=""/>
    <n v="12.6"/>
    <b v="0"/>
    <n v="317"/>
    <n v="0.74399999999999999"/>
    <n v="594.89200000000164"/>
  </r>
  <r>
    <s v="Sainsbury"/>
    <s v="SQBIR.SAINSBURYS.326.FY25-26.1"/>
    <m/>
    <m/>
    <m/>
    <m/>
    <b v="0"/>
    <n v="350"/>
    <s v="S/J- Solid  95%Cot 5%Inv Lycra 140gsm with PCF 66"/>
    <s v="Black"/>
    <n v="-160"/>
    <n v="480"/>
    <m/>
    <n v="-480"/>
    <m/>
    <n v="-480"/>
    <s v="446252"/>
    <s v="Solid"/>
    <x v="34"/>
    <d v="2026-10-13T00:00:00"/>
    <s v="(1st Oct-15th Oct)-2k meter every alternate day"/>
    <s v="Hues Agreed qty as per SQBL required date"/>
    <m/>
    <s v="Oct"/>
    <d v="2026-10-1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s v=""/>
    <s v=""/>
    <n v="480"/>
    <b v="0"/>
    <n v="317"/>
    <n v="0.74399999999999999"/>
    <n v="594.89200000000164"/>
  </r>
  <r>
    <s v="Sainsbury"/>
    <s v="SQBIR.SAINSBURYS.326.FY25-26.2"/>
    <m/>
    <m/>
    <m/>
    <m/>
    <s v=""/>
    <n v="351"/>
    <s v="S/J- Solid  95%Cot 5%Inv Lycra 140gsm with PCF 66"/>
    <s v="Black"/>
    <n v="-1.2"/>
    <n v="3.6"/>
    <m/>
    <n v="-3.6"/>
    <m/>
    <n v="-3.6"/>
    <s v="446252"/>
    <s v="Solid"/>
    <x v="34"/>
    <d v="2026-10-13T00:00:00"/>
    <s v="(1st Oct-15th Oct)-2k meter every alternate day"/>
    <s v="Hues Agreed qty as per SQBL required date"/>
    <m/>
    <s v="Oct"/>
    <d v="2026-10-1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s v=""/>
    <s v=""/>
    <n v="3.6"/>
    <s v=""/>
    <n v="317"/>
    <n v="0.74399999999999999"/>
    <n v="594.89200000000164"/>
  </r>
  <r>
    <s v="Sainsbury"/>
    <s v="SQBIR.SAINSBURYS.328.FY25-26.1"/>
    <m/>
    <m/>
    <m/>
    <m/>
    <s v=""/>
    <n v="352"/>
    <s v="S/J- Solid  95%Cot 5%Inv Lycra 140gsm with PCF 66"/>
    <s v="Black"/>
    <n v="-124.04866666666668"/>
    <n v="372.14600000000002"/>
    <m/>
    <n v="-372.14600000000002"/>
    <m/>
    <n v="-372.14600000000002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s v=""/>
    <s v=""/>
    <n v="372.14600000000002"/>
    <s v=""/>
    <n v="317"/>
    <n v="0.74399999999999999"/>
    <n v="594.89200000000164"/>
  </r>
  <r>
    <s v="LIDL"/>
    <s v="SQBIR.LIDLASIAPTELIMIT.001.FY26-27.1"/>
    <m/>
    <m/>
    <m/>
    <m/>
    <s v=""/>
    <n v="359"/>
    <s v="KNIT SINGLE JERSEY CMIA COTTON 95% ELASTANE CRERORA 5% GSM-160 CW-167.6 CM/66 INCH  "/>
    <s v="Black"/>
    <n v="0"/>
    <n v="786.15"/>
    <n v="786.15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128.22900000000001"/>
    <n v="128.22900000000001"/>
    <n v="0"/>
    <m/>
    <n v="0"/>
    <s v="459174"/>
    <s v="Solid"/>
    <x v="15"/>
    <d v="2026-10-28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1500"/>
    <n v="1500"/>
    <n v="0"/>
    <m/>
    <n v="0"/>
    <s v="459174"/>
    <s v="Solid"/>
    <x v="16"/>
    <d v="2026-10-2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1500"/>
    <n v="1500"/>
    <n v="0"/>
    <m/>
    <n v="0"/>
    <s v="459174"/>
    <s v="Solid"/>
    <x v="18"/>
    <d v="2026-10-3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5000"/>
    <n v="5000"/>
    <n v="0"/>
    <m/>
    <n v="0"/>
    <s v="459174"/>
    <s v="Solid"/>
    <x v="9"/>
    <d v="2026-11-0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5000"/>
    <n v="5000"/>
    <n v="0"/>
    <m/>
    <n v="0"/>
    <s v="459174"/>
    <s v="Solid"/>
    <x v="10"/>
    <d v="2026-11-0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5000"/>
    <n v="5000"/>
    <n v="0"/>
    <m/>
    <n v="0"/>
    <s v="459174"/>
    <s v="Solid"/>
    <x v="11"/>
    <d v="2026-11-03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5000"/>
    <n v="5000"/>
    <n v="0"/>
    <m/>
    <n v="0"/>
    <s v="459174"/>
    <s v="Solid"/>
    <x v="19"/>
    <d v="2026-11-0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2"/>
    <m/>
    <m/>
    <m/>
    <m/>
    <s v=""/>
    <n v="360"/>
    <s v="KNIT SINGLE JERSEY CMIA COTTON 95% ELASTANE CRERORA 5% GSM-160 CW-167.6 CM/66 INCH  "/>
    <s v="Black"/>
    <n v="0"/>
    <n v="932.36800000000005"/>
    <n v="932.36800000000005"/>
    <n v="0"/>
    <m/>
    <n v="0"/>
    <s v="459174"/>
    <s v="Solid"/>
    <x v="20"/>
    <d v="2026-11-0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3"/>
    <m/>
    <m/>
    <m/>
    <m/>
    <s v=""/>
    <n v="361"/>
    <s v="KNIT SINGLE JERSEY CMIA COTTON 95% ELASTANE CRERORA 5% GSM-160 CW-167.6 CM/66 INCH  "/>
    <s v="Black"/>
    <n v="0"/>
    <n v="4067.6320000000001"/>
    <n v="4067.6320000000001"/>
    <n v="0"/>
    <m/>
    <n v="0"/>
    <s v="459174"/>
    <s v="Solid"/>
    <x v="20"/>
    <d v="2026-11-0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3"/>
    <m/>
    <m/>
    <m/>
    <m/>
    <s v=""/>
    <n v="361"/>
    <s v="KNIT SINGLE JERSEY CMIA COTTON 95% ELASTANE CRERORA 5% GSM-160 CW-167.6 CM/66 INCH  "/>
    <s v="Black"/>
    <n v="0"/>
    <n v="5000"/>
    <n v="5000"/>
    <n v="0"/>
    <m/>
    <n v="0"/>
    <s v="459174"/>
    <s v="Solid"/>
    <x v="21"/>
    <d v="2026-11-06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3"/>
    <m/>
    <m/>
    <m/>
    <m/>
    <s v=""/>
    <n v="361"/>
    <s v="KNIT SINGLE JERSEY CMIA COTTON 95% ELASTANE CRERORA 5% GSM-160 CW-167.6 CM/66 INCH  "/>
    <s v="Black"/>
    <n v="0"/>
    <n v="5000"/>
    <n v="5000"/>
    <n v="0"/>
    <m/>
    <n v="0"/>
    <s v="459174"/>
    <s v="Solid"/>
    <x v="32"/>
    <d v="2026-11-07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3"/>
    <m/>
    <m/>
    <m/>
    <m/>
    <s v=""/>
    <n v="361"/>
    <s v="KNIT SINGLE JERSEY CMIA COTTON 95% ELASTANE CRERORA 5% GSM-160 CW-167.6 CM/66 INCH  "/>
    <s v="Black"/>
    <n v="0"/>
    <n v="5000"/>
    <n v="5000"/>
    <n v="0"/>
    <m/>
    <n v="0"/>
    <s v="459174"/>
    <s v="Solid"/>
    <x v="33"/>
    <d v="2026-11-08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0"/>
    <s v=""/>
    <n v="8037"/>
    <n v="0.16200000000000001"/>
    <n v="-2.9999999998835847E-2"/>
  </r>
  <r>
    <s v="LIDL"/>
    <s v="SQBIR.LIDLASIAPTELIMIT.001.FY26-27.3"/>
    <m/>
    <m/>
    <m/>
    <m/>
    <s v=""/>
    <n v="361"/>
    <s v="KNIT SINGLE JERSEY CMIA COTTON 95% ELASTANE CRERORA 5% GSM-160 CW-167.6 CM/66 INCH  "/>
    <s v="Black"/>
    <n v="-916.49333333333334"/>
    <n v="5000"/>
    <n v="2250.52"/>
    <n v="-2749.48"/>
    <m/>
    <n v="-2749.48"/>
    <s v="459174"/>
    <s v="Solid"/>
    <x v="35"/>
    <d v="2026-11-09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2749.48"/>
    <s v=""/>
    <n v="8037"/>
    <n v="0.16200000000000001"/>
    <n v="-2.9999999998835847E-2"/>
  </r>
  <r>
    <s v="LIDL"/>
    <s v="SQBIR.LIDLASIAPTELIMIT.001.FY26-27.3"/>
    <m/>
    <m/>
    <m/>
    <m/>
    <s v=""/>
    <n v="361"/>
    <s v="KNIT SINGLE JERSEY CMIA COTTON 95% ELASTANE CRERORA 5% GSM-160 CW-167.6 CM/66 INCH  "/>
    <s v="Black"/>
    <n v="-139.923"/>
    <n v="419.76900000000001"/>
    <m/>
    <n v="-419.76900000000001"/>
    <m/>
    <n v="-419.76900000000001"/>
    <s v="459174"/>
    <s v="Solid"/>
    <x v="36"/>
    <d v="2026-11-10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419.76900000000001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526.7436666666665"/>
    <n v="4580.2309999999998"/>
    <m/>
    <n v="-4580.2309999999998"/>
    <m/>
    <n v="-4580.2309999999998"/>
    <s v="459174"/>
    <s v="Solid"/>
    <x v="36"/>
    <d v="2026-11-10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4580.2309999999998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7"/>
    <d v="2026-11-11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8"/>
    <d v="2026-11-12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39"/>
    <d v="2026-11-13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0"/>
    <d v="2026-11-14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1"/>
    <d v="2026-11-15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2"/>
    <d v="2026-11-16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3"/>
    <d v="2026-11-17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666.6666666666667"/>
    <n v="5000"/>
    <m/>
    <n v="-5000"/>
    <m/>
    <n v="-5000"/>
    <s v="459174"/>
    <s v="Solid"/>
    <x v="44"/>
    <d v="2026-11-18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4"/>
    <m/>
    <m/>
    <m/>
    <m/>
    <s v=""/>
    <n v="363"/>
    <s v="KNIT SINGLE JERSEY CMIA COTTON 95% ELASTANE CRERORA 5% GSM-160 CW-167.6 CM/66 INCH  "/>
    <s v="Black"/>
    <n v="-1304.2116666666668"/>
    <n v="3912.6350000000002"/>
    <m/>
    <n v="-3912.6350000000002"/>
    <m/>
    <n v="-3912.6350000000002"/>
    <s v="459174"/>
    <s v="Solid"/>
    <x v="45"/>
    <d v="2026-11-19T00:00:00"/>
    <s v="(15 Oct-30th Oct)-1.5 k mtr/day_x000a_(1 Nov-25th Nov)-5k mtr/day"/>
    <s v="Hues Agreed qty as per SQBL required date"/>
    <m/>
    <s v="Oct"/>
    <d v="2026-10-19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3912.6350000000002"/>
    <s v=""/>
    <n v="8037"/>
    <n v="0.16200000000000001"/>
    <n v="-2.9999999998835847E-2"/>
  </r>
  <r>
    <s v="LIDL"/>
    <s v="SQBIR.LIDLASIAPTELIMIT.001.FY26-27.5"/>
    <m/>
    <m/>
    <m/>
    <m/>
    <s v=""/>
    <n v="364"/>
    <s v="KNIT SINGLE JERSEY CMIA COTTON 95% ELASTANE CRERORA 5% GSM-160 CW-167.6 CM/66 INCH  "/>
    <s v="Black"/>
    <n v="-362.45499999999998"/>
    <n v="1087.365"/>
    <m/>
    <n v="-1087.365"/>
    <m/>
    <n v="-1087.365"/>
    <s v="459174"/>
    <s v="Solid"/>
    <x v="45"/>
    <d v="2026-11-19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1087.365"/>
    <s v=""/>
    <n v="8037"/>
    <n v="0.16200000000000001"/>
    <n v="-2.9999999998835847E-2"/>
  </r>
  <r>
    <s v="LIDL"/>
    <s v="SQBIR.LIDLASIAPTELIMIT.001.FY26-27.5"/>
    <m/>
    <m/>
    <m/>
    <m/>
    <s v=""/>
    <n v="364"/>
    <s v="KNIT SINGLE JERSEY CMIA COTTON 95% ELASTANE CRERORA 5% GSM-160 CW-167.6 CM/66 INCH  "/>
    <s v="Black"/>
    <n v="-1666.6666666666667"/>
    <n v="5000"/>
    <m/>
    <n v="-5000"/>
    <m/>
    <n v="-5000"/>
    <s v="459174"/>
    <s v="Solid"/>
    <x v="46"/>
    <d v="2026-11-20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5"/>
    <m/>
    <m/>
    <m/>
    <m/>
    <s v=""/>
    <n v="364"/>
    <s v="KNIT SINGLE JERSEY CMIA COTTON 95% ELASTANE CRERORA 5% GSM-160 CW-167.6 CM/66 INCH  "/>
    <s v="Black"/>
    <n v="-1666.6666666666667"/>
    <n v="5000"/>
    <m/>
    <n v="-5000"/>
    <m/>
    <n v="-5000"/>
    <s v="459174"/>
    <s v="Solid"/>
    <x v="47"/>
    <d v="2026-11-21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5"/>
    <m/>
    <m/>
    <m/>
    <m/>
    <s v=""/>
    <n v="364"/>
    <s v="KNIT SINGLE JERSEY CMIA COTTON 95% ELASTANE CRERORA 5% GSM-160 CW-167.6 CM/66 INCH  "/>
    <s v="Black"/>
    <n v="-1386.7269999999999"/>
    <n v="4160.1809999999996"/>
    <m/>
    <n v="-4160.1809999999996"/>
    <m/>
    <n v="-4160.1809999999996"/>
    <s v="459174"/>
    <s v="Solid"/>
    <x v="48"/>
    <d v="2026-11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4160.1809999999996"/>
    <s v=""/>
    <n v="8037"/>
    <n v="0.16200000000000001"/>
    <n v="-2.9999999998835847E-2"/>
  </r>
  <r>
    <s v="LIDL"/>
    <s v="SQBIR.LIDLASIAPTELIMIT.001.FY26-27.6"/>
    <m/>
    <m/>
    <m/>
    <m/>
    <s v=""/>
    <n v="365"/>
    <s v="KNIT SINGLE JERSEY CMIA COTTON 95% ELASTANE CRERORA 5% GSM-160 CW-167.6 CM/66 INCH  "/>
    <s v="Black"/>
    <n v="-279.93966666666665"/>
    <n v="839.81899999999996"/>
    <m/>
    <n v="-839.81899999999996"/>
    <m/>
    <n v="-839.81899999999996"/>
    <s v="459174"/>
    <s v="Solid"/>
    <x v="48"/>
    <d v="2026-11-22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839.81899999999996"/>
    <s v=""/>
    <n v="8037"/>
    <n v="0.16200000000000001"/>
    <n v="-2.9999999998835847E-2"/>
  </r>
  <r>
    <s v="LIDL"/>
    <s v="SQBIR.LIDLASIAPTELIMIT.001.FY26-27.6"/>
    <m/>
    <m/>
    <m/>
    <m/>
    <s v=""/>
    <n v="365"/>
    <s v="KNIT SINGLE JERSEY CMIA COTTON 95% ELASTANE CRERORA 5% GSM-160 CW-167.6 CM/66 INCH  "/>
    <s v="Black"/>
    <n v="-1666.6666666666667"/>
    <n v="5000"/>
    <m/>
    <n v="-5000"/>
    <m/>
    <n v="-5000"/>
    <s v="459174"/>
    <s v="Solid"/>
    <x v="49"/>
    <d v="2026-11-23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5000"/>
    <s v=""/>
    <n v="8037"/>
    <n v="0.16200000000000001"/>
    <n v="-2.9999999998835847E-2"/>
  </r>
  <r>
    <s v="LIDL"/>
    <s v="SQBIR.LIDLASIAPTELIMIT.001.FY26-27.6"/>
    <m/>
    <m/>
    <m/>
    <m/>
    <s v=""/>
    <n v="365"/>
    <s v="KNIT SINGLE JERSEY CMIA COTTON 95% ELASTANE CRERORA 5% GSM-160 CW-167.6 CM/66 INCH  "/>
    <s v="Black"/>
    <n v="-1306.0996666666667"/>
    <n v="3918.299"/>
    <m/>
    <n v="-3918.299"/>
    <m/>
    <n v="-3918.299"/>
    <s v="459174"/>
    <s v="Solid"/>
    <x v="50"/>
    <d v="2026-11-24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3918.299"/>
    <s v=""/>
    <n v="8037"/>
    <n v="0.16200000000000001"/>
    <n v="-2.9999999998835847E-2"/>
  </r>
  <r>
    <s v="LIDL"/>
    <s v="SQBIR.LIDLASIAPTELIMIT.001.FY26-27.7"/>
    <m/>
    <m/>
    <m/>
    <m/>
    <s v=""/>
    <n v="366"/>
    <s v="KNIT SINGLE JERSEY CMIA COTTON 95% ELASTANE CRERORA 5% GSM-160 CW-167.6 CM/66 INCH  "/>
    <s v="Black"/>
    <n v="-360.56700000000001"/>
    <n v="1081.701"/>
    <m/>
    <n v="-1081.701"/>
    <m/>
    <n v="-1081.701"/>
    <s v="459174"/>
    <s v="Solid"/>
    <x v="50"/>
    <d v="2026-11-24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1081.701"/>
    <s v=""/>
    <n v="8037"/>
    <n v="0.16200000000000001"/>
    <n v="-2.9999999998835847E-2"/>
  </r>
  <r>
    <s v="LIDL"/>
    <s v="SQBIR.LIDLASIAPTELIMIT.001.FY26-27.7"/>
    <m/>
    <m/>
    <m/>
    <m/>
    <s v=""/>
    <n v="366"/>
    <s v="KNIT SINGLE JERSEY CMIA COTTON 95% ELASTANE CRERORA 5% GSM-160 CW-167.6 CM/66 INCH  "/>
    <s v="Black"/>
    <n v="-8697.8860000000004"/>
    <n v="26093.657999999999"/>
    <m/>
    <n v="-26093.657999999999"/>
    <m/>
    <n v="-26093.657999999999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26093.657999999999"/>
    <s v=""/>
    <n v="8037"/>
    <n v="0.16200000000000001"/>
    <n v="-2.9999999998835847E-2"/>
  </r>
  <r>
    <s v="LIDL"/>
    <s v="SQBIR.LIDLASIAPTELIMIT.001.FY26-27.8"/>
    <m/>
    <m/>
    <m/>
    <m/>
    <s v=""/>
    <n v="367"/>
    <s v="KNIT SINGLE JERSEY CMIA COTTON 95% ELASTANE CRERORA 5% GSM-160 CW-167.6 CM/66 INCH  "/>
    <s v="Black"/>
    <n v="-147.02500000000001"/>
    <n v="441.07499999999999"/>
    <m/>
    <n v="-441.07499999999999"/>
    <m/>
    <n v="-441.07499999999999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441.07499999999999"/>
    <s v=""/>
    <n v="8037"/>
    <n v="0.16200000000000001"/>
    <n v="-2.9999999998835847E-2"/>
  </r>
  <r>
    <s v="LIDL"/>
    <s v="SQBIR.LIDLASIAPTELIMIT.001.FY26-27.9"/>
    <m/>
    <m/>
    <m/>
    <m/>
    <s v=""/>
    <n v="368"/>
    <s v="KNIT SINGLE JERSEY CMIA COTTON 95% ELASTANE CRERORA 5% GSM-160 CW-167.6 CM/66 INCH  "/>
    <s v="Black"/>
    <n v="-22.918666666666667"/>
    <n v="68.756"/>
    <m/>
    <n v="-68.756"/>
    <m/>
    <n v="-68.756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68.756"/>
    <s v=""/>
    <n v="8037"/>
    <n v="0.16200000000000001"/>
    <n v="-2.9999999998835847E-2"/>
  </r>
  <r>
    <s v="LIDL"/>
    <s v="SQBIR.LIDLASIAPTELIMIT.005.FY26-27.3"/>
    <m/>
    <m/>
    <m/>
    <m/>
    <s v=""/>
    <n v="392"/>
    <s v="KNIT SINGLE JERSEY CMIA COTTON 95% ELASTANE CRERORA 5% GSM-160 CW-167.6 CM/66 INCH  "/>
    <s v="White"/>
    <n v="-358.61899999999997"/>
    <n v="1217.403"/>
    <n v="141.54599999999999"/>
    <n v="-1075.857"/>
    <m/>
    <n v="-1075.857"/>
    <s v="459174"/>
    <s v="Solid"/>
    <x v="28"/>
    <d v="2026-10-18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1075.857"/>
    <s v=""/>
    <n v="844"/>
    <n v="4.1000000000000002E-2"/>
    <n v="-9.9999999999909051E-3"/>
  </r>
  <r>
    <s v="LIDL"/>
    <s v="SQBIR.LIDLASIAPTELIMIT.005.FY26-27.4"/>
    <m/>
    <m/>
    <m/>
    <m/>
    <s v=""/>
    <n v="393"/>
    <s v="KNIT SINGLE JERSEY CMIA COTTON 95% ELASTANE CRERORA 5% GSM-160 CW-167.6 CM/66 INCH  "/>
    <s v="White"/>
    <n v="-26.710999999999999"/>
    <n v="80.132999999999996"/>
    <m/>
    <n v="-80.132999999999996"/>
    <m/>
    <n v="-80.132999999999996"/>
    <s v="459174"/>
    <s v="Solid"/>
    <x v="28"/>
    <d v="2026-10-18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80.132999999999996"/>
    <s v=""/>
    <n v="844"/>
    <n v="4.1000000000000002E-2"/>
    <n v="-9.9999999999909051E-3"/>
  </r>
  <r>
    <s v="LIDL"/>
    <s v="SQBIR.LIDLASIAPTELIMIT.005.FY26-27.4"/>
    <m/>
    <m/>
    <m/>
    <m/>
    <s v=""/>
    <n v="393"/>
    <s v="KNIT SINGLE JERSEY CMIA COTTON 95% ELASTANE CRERORA 5% GSM-160 CW-167.6 CM/66 INCH  "/>
    <s v="White"/>
    <n v="-0.14199999999999999"/>
    <n v="0.42599999999999999"/>
    <m/>
    <n v="-0.42599999999999999"/>
    <m/>
    <n v="-0.4259999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0.42599999999999999"/>
    <s v=""/>
    <n v="844"/>
    <n v="4.1000000000000002E-2"/>
    <n v="-9.9999999999909051E-3"/>
  </r>
  <r>
    <s v="LIDL"/>
    <s v="SQBIR.LIDLASIAPTELIMIT.005.FY26-27.5"/>
    <m/>
    <m/>
    <m/>
    <m/>
    <s v=""/>
    <n v="395"/>
    <s v="KNIT SINGLE JERSEY CMIA COTTON 95% ELASTANE CRERORA 5% GSM-160 CW-167.6 CM/66 INCH  "/>
    <s v="White"/>
    <n v="-2.9209999999999998"/>
    <n v="8.7629999999999999"/>
    <m/>
    <n v="-8.7629999999999999"/>
    <m/>
    <n v="-8.762999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8.7629999999999999"/>
    <s v=""/>
    <n v="844"/>
    <n v="4.1000000000000002E-2"/>
    <n v="-9.9999999999909051E-3"/>
  </r>
  <r>
    <s v="Lane Bryant"/>
    <s v="SQBIR.MGFLaneBryant.007.FY26-27.1"/>
    <m/>
    <m/>
    <m/>
    <m/>
    <s v=""/>
    <n v="441"/>
    <s v="95% Cotton 5% Elastane 150GSM CW66"/>
    <s v="Pantone Deep Taupe"/>
    <n v="0"/>
    <n v="729.72500000000002"/>
    <n v="729.725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s v=""/>
    <s v=""/>
    <n v="0"/>
    <s v=""/>
    <n v="5935.81"/>
    <n v="0.93400000000000005"/>
    <n v="-5.0000000001091394E-3"/>
  </r>
  <r>
    <s v="Lane Bryant"/>
    <s v="SQBIR.MGFLaneBryant.007.FY26-27.2"/>
    <m/>
    <m/>
    <m/>
    <m/>
    <s v=""/>
    <n v="442"/>
    <s v="95% Cotton 5% Elastane 150GSM CW66"/>
    <s v="Pantone Deep Taupe"/>
    <n v="0"/>
    <n v="1.889"/>
    <n v="1.88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s v=""/>
    <s v=""/>
    <n v="0"/>
    <s v=""/>
    <n v="5935.81"/>
    <n v="0.93400000000000005"/>
    <n v="-5.0000000001091394E-3"/>
  </r>
  <r>
    <s v="LIDL"/>
    <s v="SQBIR.LIDLASIAPTELIMIT.002.FY26-27.3"/>
    <m/>
    <m/>
    <m/>
    <m/>
    <s v=""/>
    <n v="447"/>
    <s v="KNIT SINGLE JERSEY CMIA COTTON 95% ELASTANE CRERORA 5% GSM-160 CW-167.6 CM/66 INCH  "/>
    <s v="White"/>
    <n v="-663.60366666666664"/>
    <n v="1990.8109999999999"/>
    <m/>
    <n v="-1990.8109999999999"/>
    <m/>
    <n v="-1990.8109999999999"/>
    <s v="459174"/>
    <s v="Solid"/>
    <x v="30"/>
    <d v="2026-10-2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1990.8109999999999"/>
    <s v=""/>
    <n v="844"/>
    <n v="4.1000000000000002E-2"/>
    <n v="-9.9999999999909051E-3"/>
  </r>
  <r>
    <s v="LIDL"/>
    <s v="SQBIR.LIDLASIAPTELIMIT.002.FY26-27.3"/>
    <m/>
    <m/>
    <m/>
    <m/>
    <s v=""/>
    <n v="447"/>
    <s v="KNIT SINGLE JERSEY CMIA COTTON 95% ELASTANE CRERORA 5% GSM-160 CW-167.6 CM/66 INCH  "/>
    <s v="White"/>
    <n v="-505.40366666666665"/>
    <n v="1516.211"/>
    <m/>
    <n v="-1516.211"/>
    <m/>
    <n v="-1516.211"/>
    <s v="459174"/>
    <s v="Solid"/>
    <x v="17"/>
    <d v="2026-10-22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1516.211"/>
    <s v=""/>
    <n v="844"/>
    <n v="4.1000000000000002E-2"/>
    <n v="-9.9999999999909051E-3"/>
  </r>
  <r>
    <s v="LIDL"/>
    <s v="SQBIR.LIDLASIAPTELIMIT.002.FY26-27.4"/>
    <m/>
    <m/>
    <m/>
    <m/>
    <s v=""/>
    <n v="448"/>
    <s v="KNIT SINGLE JERSEY CMIA COTTON 95% ELASTANE CRERORA 5% GSM-160 CW-167.6 CM/66 INCH  "/>
    <s v="White"/>
    <n v="-161.26300000000001"/>
    <n v="483.78899999999999"/>
    <m/>
    <n v="-483.78899999999999"/>
    <m/>
    <n v="-483.78899999999999"/>
    <s v="459174"/>
    <s v="Solid"/>
    <x v="17"/>
    <d v="2026-10-22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483.78899999999999"/>
    <s v=""/>
    <n v="844"/>
    <n v="4.1000000000000002E-2"/>
    <n v="-9.9999999999909051E-3"/>
  </r>
  <r>
    <s v="LIDL"/>
    <s v="SQBIR.LIDLASIAPTELIMIT.002.FY26-27.4"/>
    <m/>
    <m/>
    <m/>
    <m/>
    <s v="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13"/>
    <d v="2026-10-24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2000"/>
    <s v=""/>
    <n v="844"/>
    <n v="4.1000000000000002E-2"/>
    <n v="-9.9999999999909051E-3"/>
  </r>
  <r>
    <s v="LIDL"/>
    <s v="SQBIR.LIDLASIAPTELIMIT.002.FY26-27.4"/>
    <m/>
    <m/>
    <m/>
    <m/>
    <s v="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4"/>
    <d v="2026-10-26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2000"/>
    <s v=""/>
    <n v="844"/>
    <n v="4.1000000000000002E-2"/>
    <n v="-9.9999999999909051E-3"/>
  </r>
  <r>
    <s v="LIDL"/>
    <s v="SQBIR.LIDLASIAPTELIMIT.002.FY26-27.4"/>
    <m/>
    <m/>
    <m/>
    <m/>
    <s v=""/>
    <n v="448"/>
    <s v="KNIT SINGLE JERSEY CMIA COTTON 95% ELASTANE CRERORA 5% GSM-160 CW-167.6 CM/66 INCH  "/>
    <s v="White"/>
    <n v="-666.66666666666663"/>
    <n v="2000"/>
    <m/>
    <n v="-2000"/>
    <m/>
    <n v="-2000"/>
    <s v="459174"/>
    <s v="Solid"/>
    <x v="15"/>
    <d v="2026-10-28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2000"/>
    <s v=""/>
    <n v="844"/>
    <n v="4.1000000000000002E-2"/>
    <n v="-9.9999999999909051E-3"/>
  </r>
  <r>
    <s v="LIDL"/>
    <s v="SQBIR.LIDLASIAPTELIMIT.002.FY26-27.4"/>
    <m/>
    <m/>
    <m/>
    <m/>
    <s v=""/>
    <n v="448"/>
    <s v="KNIT SINGLE JERSEY CMIA COTTON 95% ELASTANE CRERORA 5% GSM-160 CW-167.6 CM/66 INCH  "/>
    <s v="White"/>
    <n v="-153.70166666666668"/>
    <n v="461.10500000000002"/>
    <m/>
    <n v="-461.10500000000002"/>
    <m/>
    <n v="-461.10500000000002"/>
    <s v="459174"/>
    <s v="Solid"/>
    <x v="18"/>
    <d v="2026-10-30T00:00:00"/>
    <s v="(18th Oct-30th Oct)-2k in every alternate day"/>
    <s v="Hues Agreed qty as per SQBL required date"/>
    <s v="Outside"/>
    <s v="Oct"/>
    <d v="2026-10-19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461.10500000000002"/>
    <s v=""/>
    <n v="844"/>
    <n v="4.1000000000000002E-2"/>
    <n v="-9.9999999999909051E-3"/>
  </r>
  <r>
    <s v="Tesco"/>
    <s v="SQBIR.TESCO.132.FY25-26.1"/>
    <m/>
    <m/>
    <m/>
    <m/>
    <n v="144"/>
    <n v="462"/>
    <s v="KNIT WEFT KNITTED JERSEY BCI COTTON 95% ELASTANE 5% GSM-150 CW-160 CM/63 INCH "/>
    <s v="Black"/>
    <n v="0"/>
    <n v="52.48"/>
    <n v="52.48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Black"/>
    <n v="150"/>
    <s v="445617150Black"/>
    <n v="7348"/>
    <n v="-144"/>
    <n v="52.48"/>
    <n v="52.48"/>
    <s v=""/>
    <s v=""/>
    <n v="0"/>
    <n v="144"/>
    <n v="7348"/>
    <n v="1.02"/>
    <n v="7295.52"/>
  </r>
  <r>
    <s v="LIDL"/>
    <s v="SQBIR.LIDLASIAPTELIMIT.021.FY26-27.15"/>
    <m/>
    <m/>
    <m/>
    <m/>
    <b v="0"/>
    <n v="467"/>
    <s v="KNIT SINGLE JERSEY CMIA COTTON 95% ELASTANE CRERORA 5% GSM-160 CW-167.6 CM/66 INCH  "/>
    <s v="White"/>
    <n v="0"/>
    <n v="39.298999999999999"/>
    <n v="39.298999999999999"/>
    <n v="0"/>
    <m/>
    <n v="0"/>
    <s v="459780"/>
    <s v="Solid"/>
    <x v="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0"/>
    <b v="0"/>
    <n v="3781"/>
    <n v="0.98499999999999999"/>
    <n v="1.0000000000218279E-2"/>
  </r>
  <r>
    <s v="LIDL"/>
    <s v="SQBIR.LIDLASIAPTELIMIT.021.FY26-27.16"/>
    <m/>
    <m/>
    <m/>
    <m/>
    <b v="0"/>
    <n v="468"/>
    <s v="KNIT SINGLE JERSEY CMIA COTTON 95% ELASTANE CRERORA 5% GSM-160 CW-167.6 CM/66 INCH  "/>
    <s v="White"/>
    <n v="0"/>
    <n v="9.2129999999999992"/>
    <n v="9.2129999999999992"/>
    <n v="0"/>
    <m/>
    <n v="0"/>
    <s v="459780"/>
    <s v="Solid"/>
    <x v="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0"/>
    <b v="0"/>
    <n v="3781"/>
    <n v="0.98499999999999999"/>
    <n v="1.0000000000218279E-2"/>
  </r>
  <r>
    <s v="LIDL"/>
    <s v="SQBIR.LIDLASIAPTELIMIT.021.FY26-27.9"/>
    <m/>
    <m/>
    <m/>
    <m/>
    <s v=""/>
    <n v="469"/>
    <s v="KNIT SINGLE JERSEY CMIA COTTON 95% ELASTANE CRERORA 5% GSM-160 CW-167.6 CM/66 INCH  "/>
    <s v="White"/>
    <n v="0"/>
    <n v="278.30399999999997"/>
    <n v="278.30399999999997"/>
    <n v="0"/>
    <m/>
    <n v="0"/>
    <s v="459780"/>
    <s v="Solid"/>
    <x v="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0"/>
    <s v=""/>
    <n v="3781"/>
    <n v="0.98499999999999999"/>
    <n v="1.0000000000218279E-2"/>
  </r>
  <r>
    <s v="LIDL"/>
    <s v="SQBIR.LIDLASIAPTELIMIT.022.FY26-27.7"/>
    <m/>
    <m/>
    <m/>
    <m/>
    <s v=""/>
    <n v="470"/>
    <s v="KNIT SINGLE JERSEY CMIA COTTON 95% ELASTANE CRERORA 5% GSM-160 CW-167.6 CM/66 INCH  "/>
    <s v="Navy"/>
    <n v="-72.509999999999991"/>
    <n v="689.94799999999998"/>
    <n v="472.41800000000001"/>
    <n v="-217.52999999999997"/>
    <m/>
    <n v="-217.52999999999997"/>
    <s v="459780"/>
    <s v="Solid"/>
    <x v="15"/>
    <d v="2026-10-28T00:00:00"/>
    <s v="6th Oct-2k mtr_x000a_7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217.52999999999997"/>
    <s v=""/>
    <n v="4028.3"/>
    <n v="0.8"/>
    <n v="-9.9999999997635314E-3"/>
  </r>
  <r>
    <s v="LIDL"/>
    <s v="SQBIR.LIDLASIAPTELIMIT.022.FY26-27.8"/>
    <m/>
    <m/>
    <m/>
    <m/>
    <s v=""/>
    <n v="471"/>
    <s v="KNIT SINGLE JERSEY CMIA COTTON 95% ELASTANE CRERORA 5% GSM-160 CW-167.6 CM/66 INCH  "/>
    <s v="Navy"/>
    <n v="-115.38533333333334"/>
    <n v="346.15600000000001"/>
    <m/>
    <n v="-346.15600000000001"/>
    <m/>
    <n v="-346.15600000000001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346.15600000000001"/>
    <s v=""/>
    <n v="4028.3"/>
    <n v="0.8"/>
    <n v="-9.9999999997635314E-3"/>
  </r>
  <r>
    <s v="LIDL"/>
    <s v="SQBIR.LIDLASIAPTELIMIT.022.FY26-27.9"/>
    <m/>
    <m/>
    <m/>
    <m/>
    <s v=""/>
    <n v="472"/>
    <s v="KNIT SINGLE JERSEY CMIA COTTON 95% ELASTANE CRERORA 5% GSM-160 CW-167.6 CM/66 INCH  "/>
    <s v="Navy"/>
    <n v="-17.848333333333333"/>
    <n v="53.545000000000002"/>
    <m/>
    <n v="-53.545000000000002"/>
    <m/>
    <n v="-53.545000000000002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53.545000000000002"/>
    <s v=""/>
    <n v="4028.3"/>
    <n v="0.8"/>
    <n v="-9.9999999997635314E-3"/>
  </r>
  <r>
    <s v="LIDL"/>
    <s v="SQBIR.LIDLASIAPTELIMIT.021.FY26-27.10"/>
    <m/>
    <m/>
    <m/>
    <m/>
    <b v="0"/>
    <n v="473"/>
    <s v="KNIT SINGLE JERSEY CMIA COTTON 95% ELASTANE CRERORA 5% GSM-160 CW-167.6 CM/66 INCH  "/>
    <s v="White"/>
    <n v="0"/>
    <n v="915.65300000000002"/>
    <n v="915.65300000000002"/>
    <n v="0"/>
    <m/>
    <n v="0"/>
    <s v="459780"/>
    <s v="Solid"/>
    <x v="2"/>
    <d v="2026-10-11T00:00:00"/>
    <d v="2026-10-11T00:00:00"/>
    <s v="Hues Agreed qty as per SQBL required date"/>
    <m/>
    <s v="Oct"/>
    <d v="2026-10-28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0"/>
    <b v="0"/>
    <n v="3781"/>
    <n v="0.98499999999999999"/>
    <n v="1.0000000000218279E-2"/>
  </r>
  <r>
    <s v="LIDL"/>
    <s v="SQBIR.LIDLASIAPTELIMIT.021.FY26-27.11"/>
    <m/>
    <m/>
    <m/>
    <m/>
    <b v="0"/>
    <n v="474"/>
    <s v="KNIT SINGLE JERSEY CMIA COTTON 95% ELASTANE CRERORA 5% GSM-160 CW-167.6 CM/66 INCH  "/>
    <s v="White"/>
    <n v="0"/>
    <n v="201.86"/>
    <n v="201.86"/>
    <n v="0"/>
    <m/>
    <n v="0"/>
    <s v="459780"/>
    <s v="Solid"/>
    <x v="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0"/>
    <b v="0"/>
    <n v="3781"/>
    <n v="0.98499999999999999"/>
    <n v="1.0000000000218279E-2"/>
  </r>
  <r>
    <s v="LIDL"/>
    <s v="SQBIR.LIDLASIAPTELIMIT.021.FY26-27.12"/>
    <m/>
    <m/>
    <m/>
    <m/>
    <b v="0"/>
    <n v="475"/>
    <s v="KNIT SINGLE JERSEY CMIA COTTON 95% ELASTANE CRERORA 5% GSM-160 CW-167.6 CM/66 INCH  "/>
    <s v="White"/>
    <n v="0"/>
    <n v="1482.0820000000001"/>
    <n v="1482.0820000000001"/>
    <n v="0"/>
    <m/>
    <n v="0"/>
    <s v="459780"/>
    <s v="Solid"/>
    <x v="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0"/>
    <b v="0"/>
    <n v="3781"/>
    <n v="0.98499999999999999"/>
    <n v="1.0000000000218279E-2"/>
  </r>
  <r>
    <s v="LIDL"/>
    <s v="SQBIR.LIDLASIAPTELIMIT.021.FY26-27.13"/>
    <m/>
    <m/>
    <m/>
    <m/>
    <b v="0"/>
    <n v="476"/>
    <s v="KNIT SINGLE JERSEY CMIA COTTON 95% ELASTANE CRERORA 5% GSM-160 CW-167.6 CM/66 INCH  "/>
    <s v="White"/>
    <n v="0"/>
    <n v="504.41500000000002"/>
    <n v="504.41500000000002"/>
    <n v="0"/>
    <m/>
    <n v="0"/>
    <s v="459780"/>
    <s v="Solid"/>
    <x v="2"/>
    <d v="2026-10-11T00:00:00"/>
    <d v="2026-10-11T00:00:00"/>
    <s v="Hues Agreed qty as per SQBL required date"/>
    <m/>
    <s v="Oct"/>
    <d v="2026-10-28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0"/>
    <b v="0"/>
    <n v="3781"/>
    <n v="0.98499999999999999"/>
    <n v="1.0000000000218279E-2"/>
  </r>
  <r>
    <s v="LIDL"/>
    <s v="SQBIR.LIDLASIAPTELIMIT.021.FY26-27.14"/>
    <m/>
    <m/>
    <m/>
    <m/>
    <s v=""/>
    <n v="477"/>
    <s v="KNIT SINGLE JERSEY CMIA COTTON 95% ELASTANE CRERORA 5% GSM-160 CW-167.6 CM/66 INCH  "/>
    <s v="White"/>
    <n v="-18.669999999999998"/>
    <n v="406.17399999999998"/>
    <n v="350.16399999999999"/>
    <n v="-56.009999999999991"/>
    <m/>
    <n v="-56.009999999999991"/>
    <s v="459780"/>
    <s v="Solid"/>
    <x v="2"/>
    <d v="2026-10-11T00:00:00"/>
    <d v="2026-10-11T00:00:00"/>
    <s v="Revised Plan given as per revised date"/>
    <m/>
    <s v="Oct"/>
    <d v="2026-10-02T00:00:00"/>
    <m/>
    <m/>
    <m/>
    <m/>
    <m/>
    <m/>
    <m/>
    <m/>
    <m/>
    <m/>
    <s v="459780#Style-2607 (MENS)-Creora"/>
    <s v="White"/>
    <n v="160"/>
    <s v="459780#Style-2607 (MENS)-Creora160White"/>
    <n v="3781"/>
    <n v="56.01"/>
    <n v="3780.99"/>
    <n v="3837"/>
    <s v=""/>
    <s v=""/>
    <n v="56.009999999999991"/>
    <s v=""/>
    <n v="3781"/>
    <n v="0.98499999999999999"/>
    <n v="1.0000000000218279E-2"/>
  </r>
  <r>
    <s v="Tesco"/>
    <s v="SQBIR.TESCO.128.FY25-26.1"/>
    <m/>
    <m/>
    <m/>
    <m/>
    <n v="28"/>
    <n v="478"/>
    <s v="100% BCI Cotton 140gsm CW68”"/>
    <s v="Potpourri"/>
    <n v="0"/>
    <n v="4.47"/>
    <n v="4.47"/>
    <n v="0"/>
    <m/>
    <n v="0"/>
    <s v="445617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45617"/>
    <s v="POTPOURRI 13-2004 tcx"/>
    <n v="140"/>
    <s v="445617140POTPOURRI 13-2004 tcx"/>
    <n v="119"/>
    <n v="-28"/>
    <n v="4.47"/>
    <n v="4.47"/>
    <s v=""/>
    <s v=""/>
    <n v="0"/>
    <n v="28"/>
    <n v="119"/>
    <n v="1.3080000000000001"/>
    <n v="114.53"/>
  </r>
  <r>
    <s v="LIDL"/>
    <s v="SQBIR.LIDLASIAPTELIMIT.002.FY26-27.1"/>
    <m/>
    <m/>
    <m/>
    <m/>
    <s v=""/>
    <n v="484"/>
    <s v="KNIT SINGLE JERSEY CMIA COTTON 95% ELASTANE CRERORA 5% GSM-160 CW-167.6 CM/66 INCH  "/>
    <s v="MID GREY MELANGE"/>
    <n v="-37.571333333333335"/>
    <n v="112.714"/>
    <m/>
    <n v="-112.714"/>
    <m/>
    <n v="-112.714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112.714"/>
    <s v=""/>
    <n v="9154.2800000000007"/>
    <n v="0.442"/>
    <n v="0"/>
  </r>
  <r>
    <s v="LIDL"/>
    <s v="SQBIR.LIDLASIAPTELIMIT.002.FY26-27.2"/>
    <m/>
    <m/>
    <m/>
    <m/>
    <b v="0"/>
    <n v="485"/>
    <s v="KNIT SINGLE JERSEY CMIA COTTON 95% ELASTANE CRERORA 5% GSM-160 CW-167.6 CM/66 INCH  "/>
    <s v="MID GREY MELANGE"/>
    <n v="-234.15466666666669"/>
    <n v="702.46400000000006"/>
    <m/>
    <n v="-702.46400000000006"/>
    <m/>
    <n v="-702.46400000000006"/>
    <s v="459174"/>
    <s v="Solid"/>
    <x v="17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702.46400000000006"/>
    <b v="0"/>
    <n v="9154.2800000000007"/>
    <n v="0.442"/>
    <n v="0"/>
  </r>
  <r>
    <s v="Sainsbury"/>
    <s v="SQBIR.SAINSBURYS.329.FY25-26.3"/>
    <m/>
    <m/>
    <m/>
    <m/>
    <s v=""/>
    <n v="494"/>
    <s v="S/J- Solid  95%Cot 5%Inv Lycra 140gsm with PCF 66"/>
    <s v="Black"/>
    <n v="-0.45166666666666666"/>
    <n v="1.355"/>
    <m/>
    <n v="-1.355"/>
    <m/>
    <n v="-1.355"/>
    <s v="459875"/>
    <s v="Solid"/>
    <x v="7"/>
    <d v="2026-10-23T00:00:00"/>
    <s v="23rd Oct-2k mtr_x000a_31st Oct-2k mtr_x000a_(1st Nov-6th Nov)-2k mtr/day_x000a_"/>
    <s v="Hues Agreed qty as per SQBL required date"/>
    <m/>
    <s v="Oct"/>
    <d v="2026-10-04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1.355"/>
    <s v=""/>
    <n v="1312.08"/>
    <n v="6.5000000000000002E-2"/>
    <n v="1312.08"/>
  </r>
  <r>
    <s v="Sainsbury"/>
    <s v="SQBIR.SAINSBURYS.326.FY25-26.3"/>
    <m/>
    <m/>
    <m/>
    <m/>
    <s v=""/>
    <n v="495"/>
    <s v="S/J- Solid  95%Cot 5%Inv Lycra 140gsm with PCF 66"/>
    <s v="Black"/>
    <n v="-666.21500000000003"/>
    <n v="1998.645"/>
    <m/>
    <n v="-1998.645"/>
    <m/>
    <n v="-1998.645"/>
    <s v="459875"/>
    <s v="Solid"/>
    <x v="7"/>
    <d v="2026-10-2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1998.645"/>
    <s v=""/>
    <n v="1312.08"/>
    <n v="6.5000000000000002E-2"/>
    <n v="1312.08"/>
  </r>
  <r>
    <s v="Sainsbury"/>
    <s v="SQBIR.SAINSBURYS.326.FY25-26.3"/>
    <m/>
    <m/>
    <m/>
    <m/>
    <s v=""/>
    <n v="495"/>
    <s v="S/J- Solid  95%Cot 5%Inv Lycra 140gsm with PCF 66"/>
    <s v="Black"/>
    <n v="-133.79166666666666"/>
    <n v="401.375"/>
    <m/>
    <n v="-401.375"/>
    <m/>
    <n v="-401.375"/>
    <s v="459875"/>
    <s v="Solid"/>
    <x v="8"/>
    <d v="2026-10-3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401.375"/>
    <s v=""/>
    <n v="1312.08"/>
    <n v="6.5000000000000002E-2"/>
    <n v="1312.08"/>
  </r>
  <r>
    <s v="Sainsbury"/>
    <s v="SQBIR.SAINSBURYS.326.FY25-26.3"/>
    <m/>
    <m/>
    <m/>
    <m/>
    <b v="0"/>
    <n v="497"/>
    <s v="SINGLE JERSEY 100% COTTON 110GSM"/>
    <s v="Nude"/>
    <n v="-33.333333333333336"/>
    <n v="100"/>
    <m/>
    <n v="-100"/>
    <m/>
    <n v="-100"/>
    <n v="459875"/>
    <s v="Solid"/>
    <x v="7"/>
    <d v="2026-10-23T00:00:00"/>
    <s v="23rd Oct-1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10"/>
    <s v="459875110NUDE"/>
    <n v="0"/>
    <s v="#NA"/>
    <n v="0"/>
    <n v="220.499"/>
    <s v=""/>
    <s v=""/>
    <n v="100"/>
    <b v="0"/>
    <n v="0"/>
    <n v="0"/>
    <n v="0"/>
  </r>
  <r>
    <s v="Sainsbury"/>
    <s v="SQBIR.SAINSBURYS.326.FY25-26.3"/>
    <m/>
    <m/>
    <m/>
    <m/>
    <s v=""/>
    <n v="497"/>
    <s v="SINGLE JERSEY 100% COTTON 110GSM"/>
    <s v="Nude"/>
    <n v="-40.166333333333334"/>
    <n v="120.499"/>
    <m/>
    <n v="-120.499"/>
    <m/>
    <n v="-120.499"/>
    <n v="459875"/>
    <s v="Solid"/>
    <x v="8"/>
    <d v="2026-10-31T00:00:00"/>
    <s v="23rd Oct-1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10"/>
    <s v="459875110NUDE"/>
    <n v="0"/>
    <s v="#NA"/>
    <n v="0"/>
    <n v="220.499"/>
    <s v=""/>
    <s v=""/>
    <n v="120.499"/>
    <s v=""/>
    <n v="0"/>
    <n v="0"/>
    <n v="0"/>
  </r>
  <r>
    <s v="Sainsbury"/>
    <s v="SQBIR.SAINSBURYS.326.FY25-26.3"/>
    <m/>
    <m/>
    <m/>
    <m/>
    <s v=""/>
    <n v="498"/>
    <s v="SINGLE JERSEY 100% COTTON 110GSM"/>
    <s v="White"/>
    <n v="-33.333333333333336"/>
    <n v="100"/>
    <m/>
    <n v="-100"/>
    <m/>
    <n v="-100"/>
    <s v="459875"/>
    <s v="Solid"/>
    <x v="12"/>
    <d v="2026-10-25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s v=""/>
    <s v=""/>
    <n v="100"/>
    <s v=""/>
    <n v="0"/>
    <n v="0"/>
    <n v="0"/>
  </r>
  <r>
    <s v="Sainsbury"/>
    <s v="SQBIR.SAINSBURYS.326.FY25-26.3"/>
    <m/>
    <m/>
    <m/>
    <m/>
    <s v=""/>
    <n v="498"/>
    <s v="SINGLE JERSEY 100% COTTON 110GSM"/>
    <s v="White"/>
    <n v="-33.333333333333336"/>
    <n v="100"/>
    <m/>
    <n v="-100"/>
    <m/>
    <n v="-100"/>
    <s v="459875"/>
    <s v="Solid"/>
    <x v="4"/>
    <d v="2026-10-26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s v=""/>
    <s v=""/>
    <n v="100"/>
    <s v=""/>
    <n v="0"/>
    <n v="0"/>
    <n v="0"/>
  </r>
  <r>
    <s v="Sainsbury"/>
    <s v="SQBIR.SAINSBURYS.326.FY25-26.3"/>
    <m/>
    <m/>
    <m/>
    <m/>
    <s v=""/>
    <n v="498"/>
    <s v="SINGLE JERSEY 100% COTTON 110GSM"/>
    <s v="White"/>
    <n v="-43.451666666666661"/>
    <n v="130.35499999999999"/>
    <m/>
    <n v="-130.35499999999999"/>
    <m/>
    <n v="-130.35499999999999"/>
    <s v="459875"/>
    <s v="Solid"/>
    <x v="14"/>
    <d v="2026-10-27T00:00:00"/>
    <s v="(25-27) Oct-100 mtr/day"/>
    <s v="Hues Agreed qty as per SQBL required date"/>
    <m/>
    <s v="Oct"/>
    <d v="2026-10-25T00:00:00"/>
    <m/>
    <m/>
    <m/>
    <m/>
    <m/>
    <m/>
    <m/>
    <m/>
    <m/>
    <m/>
    <s v="459875"/>
    <s v="White"/>
    <n v="110"/>
    <s v="459875110White"/>
    <n v="0"/>
    <s v="#NA"/>
    <n v="0"/>
    <n v="330.35500000000002"/>
    <s v=""/>
    <s v=""/>
    <n v="130.35499999999999"/>
    <s v=""/>
    <n v="0"/>
    <n v="0"/>
    <n v="0"/>
  </r>
  <r>
    <s v="Lane Bryant"/>
    <s v="SQBIR.MGFLaneBryant.004.FY26-27.2"/>
    <m/>
    <m/>
    <m/>
    <m/>
    <s v=""/>
    <n v="502"/>
    <s v="95% Cotton 5% Elastane 150GSM CW66"/>
    <s v="Parsian pink"/>
    <n v="0"/>
    <n v="237.85499999999999"/>
    <n v="237.85499999999999"/>
    <n v="0"/>
    <m/>
    <n v="0"/>
    <s v="452132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s v=""/>
    <s v=""/>
    <n v="0"/>
    <s v=""/>
    <n v="1542"/>
    <n v="1.0249999999999999"/>
    <n v="1097.047"/>
  </r>
  <r>
    <s v="Lane Bryant"/>
    <s v="SQBIR.MGFLaneBryant.004.FY26-27.3"/>
    <m/>
    <m/>
    <m/>
    <m/>
    <n v="37.33"/>
    <n v="503"/>
    <s v="95% Cotton 5% Elastane 150GSM CW66"/>
    <s v="Parsian pink"/>
    <n v="0"/>
    <n v="3.5249999999999999"/>
    <n v="3.5249999999999999"/>
    <n v="0"/>
    <m/>
    <n v="0"/>
    <s v="452132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s v=""/>
    <s v=""/>
    <n v="0"/>
    <n v="37.33"/>
    <n v="1542"/>
    <n v="1.0249999999999999"/>
    <n v="1097.047"/>
  </r>
  <r>
    <s v="Lane Bryant"/>
    <s v="SQBIR.MGFLaneBryant.003.FY26-27.1"/>
    <m/>
    <m/>
    <m/>
    <m/>
    <s v=""/>
    <n v="504"/>
    <s v="95% Cotton 5% Elastane 150GSM CW66"/>
    <s v="Tap Shoe"/>
    <n v="0"/>
    <n v="1268.07"/>
    <n v="1268.07"/>
    <n v="0"/>
    <m/>
    <n v="0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3.FY26-27.2"/>
    <m/>
    <m/>
    <m/>
    <m/>
    <s v=""/>
    <n v="505"/>
    <s v="95% Cotton 5% Elastane 150GSM CW66"/>
    <s v="Tap Shoe"/>
    <n v="0"/>
    <n v="253.078"/>
    <n v="253.078"/>
    <n v="0"/>
    <m/>
    <n v="0"/>
    <s v="452132"/>
    <s v="Solid"/>
    <x v="2"/>
    <d v="2026-10-11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3.FY26-27.2"/>
    <m/>
    <m/>
    <m/>
    <m/>
    <s v=""/>
    <n v="505"/>
    <s v="95% Cotton 5% Elastane 150GSM CW66"/>
    <s v="Tap Shoe"/>
    <n v="0"/>
    <n v="945.19899999999996"/>
    <n v="945.19899999999996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3.FY26-27.3"/>
    <m/>
    <m/>
    <m/>
    <m/>
    <s v=""/>
    <n v="506"/>
    <s v="95% Cotton 5% Elastane 150GSM CW66"/>
    <s v="Tap Shoe"/>
    <n v="0"/>
    <n v="8.8469999999999995"/>
    <n v="8.8469999999999995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4.FY26-27.1"/>
    <m/>
    <m/>
    <m/>
    <m/>
    <s v=""/>
    <n v="507"/>
    <s v="95% Cotton 5% Elastane 150GSM CW66"/>
    <s v="Tap Shoe"/>
    <n v="0"/>
    <n v="407.14400000000001"/>
    <n v="407.14400000000001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4.FY26-27.2"/>
    <m/>
    <m/>
    <m/>
    <m/>
    <s v=""/>
    <n v="508"/>
    <s v="95% Cotton 5% Elastane 150GSM CW66"/>
    <s v="Tap Shoe"/>
    <n v="0"/>
    <n v="475.70800000000003"/>
    <n v="475.70800000000003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4.FY26-27.3"/>
    <m/>
    <m/>
    <m/>
    <m/>
    <s v=""/>
    <n v="509"/>
    <s v="95% Cotton 5% Elastane 150GSM CW66"/>
    <s v="Tap Shoe"/>
    <n v="0"/>
    <n v="7.0490000000000004"/>
    <n v="7.0490000000000004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5.FY26-27.1"/>
    <m/>
    <m/>
    <m/>
    <m/>
    <s v=""/>
    <n v="510"/>
    <s v="95% Cotton 5% Elastane 150GSM CW66"/>
    <s v="Tap Shoe"/>
    <n v="0"/>
    <n v="156.053"/>
    <n v="156.053"/>
    <n v="0"/>
    <m/>
    <n v="0"/>
    <s v="452132"/>
    <s v="Solid"/>
    <x v="34"/>
    <d v="2026-10-13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5.FY26-27.1"/>
    <m/>
    <m/>
    <m/>
    <m/>
    <s v=""/>
    <n v="510"/>
    <s v="95% Cotton 5% Elastane 150GSM CW66"/>
    <s v="Tap Shoe"/>
    <n v="0"/>
    <n v="444.63499999999999"/>
    <n v="444.63499999999999"/>
    <n v="0"/>
    <m/>
    <n v="0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05.FY26-27.2"/>
    <m/>
    <m/>
    <m/>
    <m/>
    <s v=""/>
    <n v="511"/>
    <s v="95% Cotton 5% Elastane 150GSM CW66"/>
    <s v="Tap Shoe"/>
    <n v="0"/>
    <n v="1189.2619999999999"/>
    <n v="1189.2619999999999"/>
    <n v="0"/>
    <m/>
    <n v="0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Sainsbury"/>
    <s v="SQBIR.SAINSBURYS.322.FY25-26.1"/>
    <m/>
    <m/>
    <m/>
    <m/>
    <s v=""/>
    <n v="513"/>
    <s v="S/J- Solid  95%Cot 5%Inv Lycra 140gsm with PCF 66"/>
    <s v="Black"/>
    <n v="-139.31766666666667"/>
    <n v="417.95299999999997"/>
    <m/>
    <n v="-417.95299999999997"/>
    <m/>
    <n v="-417.95299999999997"/>
    <s v="446252"/>
    <s v="Solid"/>
    <x v="34"/>
    <d v="2026-10-13T00:00:00"/>
    <s v="(1st Oct-15th Oct)-2k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40"/>
    <s v="446252140Black"/>
    <n v="11949.84"/>
    <n v="6616.13"/>
    <n v="11354.947999999999"/>
    <n v="15971.078000000003"/>
    <s v=""/>
    <s v=""/>
    <n v="417.95299999999997"/>
    <s v=""/>
    <n v="317"/>
    <n v="0.74399999999999999"/>
    <n v="594.89200000000164"/>
  </r>
  <r>
    <s v="Sainsbury"/>
    <s v="SQBIR.SAINSBURYS.322.FY25-26.1"/>
    <m/>
    <m/>
    <m/>
    <m/>
    <s v=""/>
    <n v="513"/>
    <s v="S/J- Solid  95%Cot 5%Inv Lycra 140gsm with PCF 66"/>
    <s v="Black"/>
    <n v="-248.01566666666668"/>
    <n v="744.04700000000003"/>
    <m/>
    <n v="-744.04700000000003"/>
    <m/>
    <n v="-744.04700000000003"/>
    <s v="446252"/>
    <s v="Solid"/>
    <x v="25"/>
    <d v="2026-10-15T00:00:00"/>
    <s v="(1st Oct-15th Oct)-2k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744.04700000000003"/>
    <s v=""/>
    <n v="317"/>
    <n v="0.74399999999999999"/>
    <n v="594.89200000000164"/>
  </r>
  <r>
    <s v="LIDL"/>
    <s v="SQBIR.LIDLASIAPTELIMIT.006.FY26-27.3"/>
    <m/>
    <m/>
    <m/>
    <m/>
    <s v=""/>
    <n v="514"/>
    <s v="KNIT SINGLE JERSEY CMIA COTTON 95% ELASTANE CRERORA 5% GSM-160 CW-167.6 CM/66 INCH  "/>
    <s v="DARK BLUE"/>
    <n v="0"/>
    <n v="2000"/>
    <n v="2000"/>
    <n v="0"/>
    <m/>
    <n v="0"/>
    <s v="459174"/>
    <s v="Solid"/>
    <x v="30"/>
    <d v="2026-10-2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IDL"/>
    <s v="SQBIR.LIDLASIAPTELIMIT.006.FY26-27.3"/>
    <m/>
    <m/>
    <m/>
    <m/>
    <s v=""/>
    <n v="514"/>
    <s v="KNIT SINGLE JERSEY CMIA COTTON 95% ELASTANE CRERORA 5% GSM-160 CW-167.6 CM/66 INCH  "/>
    <s v="DARK BLUE"/>
    <n v="0"/>
    <n v="1768.2470000000001"/>
    <n v="1768.2470000000001"/>
    <n v="0"/>
    <m/>
    <n v="0"/>
    <s v="459174"/>
    <s v="Solid"/>
    <x v="31"/>
    <d v="2026-10-21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IDL"/>
    <s v="SQBIR.LIDLASIAPTELIMIT.006.FY26-27.4"/>
    <m/>
    <m/>
    <m/>
    <m/>
    <s v=""/>
    <n v="515"/>
    <s v="KNIT SINGLE JERSEY CMIA COTTON 95% ELASTANE CRERORA 5% GSM-160 CW-167.6 CM/66 INCH  "/>
    <s v="DARK BLUE"/>
    <n v="0"/>
    <n v="231.75299999999999"/>
    <n v="231.75299999999999"/>
    <n v="0"/>
    <m/>
    <n v="0"/>
    <s v="459174"/>
    <s v="Solid"/>
    <x v="31"/>
    <d v="2026-10-21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IDL"/>
    <s v="SQBIR.LIDLASIAPTELIMIT.006.FY26-27.4"/>
    <m/>
    <m/>
    <m/>
    <m/>
    <s v=""/>
    <n v="515"/>
    <s v="KNIT SINGLE JERSEY CMIA COTTON 95% ELASTANE CRERORA 5% GSM-160 CW-167.6 CM/66 INCH  "/>
    <s v="DARK BLUE"/>
    <n v="0"/>
    <n v="16.782"/>
    <n v="16.782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IDL"/>
    <s v="SQBIR.LIDLASIAPTELIMIT.006.FY26-27.5"/>
    <m/>
    <m/>
    <m/>
    <m/>
    <s v=""/>
    <n v="516"/>
    <s v="KNIT SINGLE JERSEY CMIA COTTON 95% ELASTANE CRERORA 5% GSM-160 CW-167.6 CM/66 INCH  "/>
    <s v="DARK BLUE"/>
    <n v="0"/>
    <n v="26.254999999999999"/>
    <n v="26.254999999999999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ane Bryant"/>
    <s v="SQBIR.MGFLaneBryant.043.FY26-27.2"/>
    <m/>
    <m/>
    <m/>
    <m/>
    <s v=""/>
    <n v="524"/>
    <s v="95% Cotton 5% Elastane 150GSM CW66"/>
    <s v="parisian pink"/>
    <n v="0"/>
    <n v="3.6150000000000002"/>
    <n v="3.6150000000000002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s v=""/>
    <n v="1567.81"/>
    <n v="1.0049999999999999"/>
    <n v="7.9419999999997799"/>
  </r>
  <r>
    <s v="Lane Bryant"/>
    <s v="SQBIR.MGFLaneBryant.018.FY26-27.1"/>
    <m/>
    <m/>
    <m/>
    <m/>
    <s v=""/>
    <n v="525"/>
    <s v="95% Cotton 5% Elastane 150GSM CW66"/>
    <s v="Tap Shoe"/>
    <n v="0"/>
    <n v="202.994"/>
    <n v="202.994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1129.04"/>
    <n v="-22.14"/>
    <n v="1106.9050000000002"/>
    <n v="1106.9050000000002"/>
    <s v=""/>
    <s v=""/>
    <n v="0"/>
    <s v=""/>
    <n v="1129.04"/>
    <n v="1.02"/>
    <n v="22.134999999999764"/>
  </r>
  <r>
    <s v="Sainsbury"/>
    <s v="SQBIR.SAINSBURYS.330.FY25-26.6"/>
    <m/>
    <m/>
    <m/>
    <m/>
    <s v=""/>
    <n v="532"/>
    <s v="SINGLE JERSEY 100% COTTON 110GSM"/>
    <s v="Nude"/>
    <n v="0"/>
    <n v="39.220999999999997"/>
    <n v="39.220999999999997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10"/>
    <s v="446252110NUDE"/>
    <n v="269"/>
    <n v="-14"/>
    <n v="175.62100000000001"/>
    <n v="175.62100000000001"/>
    <s v=""/>
    <s v=""/>
    <n v="0"/>
    <s v=""/>
    <n v="269"/>
    <n v="1.0549999999999999"/>
    <n v="93.378999999999991"/>
  </r>
  <r>
    <s v="Lane Bryant"/>
    <s v="SQBIR.MGFLaneBryant.005.FY26-27.3"/>
    <m/>
    <m/>
    <m/>
    <m/>
    <s v=""/>
    <n v="543"/>
    <s v="95% Cotton 5% Elastane 150GSM CW66"/>
    <s v="Tap Shoe"/>
    <n v="0"/>
    <n v="17.61"/>
    <n v="17.61"/>
    <n v="0"/>
    <m/>
    <n v="0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0"/>
    <s v=""/>
    <n v="11712.82"/>
    <n v="0.98599999999999999"/>
    <n v="881.70799999999872"/>
  </r>
  <r>
    <s v="Lane Bryant"/>
    <s v="SQBIR.MGFLaneBryant.014.FY26-27.1"/>
    <m/>
    <m/>
    <m/>
    <m/>
    <s v=""/>
    <n v="544"/>
    <s v="95% Cotton 5% Elastane 150GSM CW66"/>
    <s v="Tap Shoe"/>
    <n v="-53.79999999999999"/>
    <n v="460.005"/>
    <n v="298.60500000000002"/>
    <n v="-161.39999999999998"/>
    <m/>
    <n v="-161.39999999999998"/>
    <s v="452132"/>
    <s v="Solid"/>
    <x v="25"/>
    <d v="2026-10-15T00:00:00"/>
    <s v="3rd Oct-881 mtr_x000a_7th Oct-2000 mtr_x000a_9th Oct-2000 mtr_x000a_11th Oct-2000 mtr_x000a_13th Oct-2000 mtr_x000a_15th Oct- Balance full"/>
    <s v="Hues Agreed qty as per SQBL required date"/>
    <m/>
    <s v="Oct"/>
    <d v="2026-10-02T00:00:00"/>
    <m/>
    <m/>
    <m/>
    <m/>
    <m/>
    <m/>
    <m/>
    <m/>
    <m/>
    <m/>
    <s v="452132"/>
    <s v="TAP SHOE"/>
    <n v="150"/>
    <s v="452132150TAP SHOE"/>
    <n v="11712.82"/>
    <n v="161.4"/>
    <n v="10831.112000000001"/>
    <n v="10992.512000000001"/>
    <s v=""/>
    <s v=""/>
    <n v="161.39999999999998"/>
    <s v=""/>
    <n v="11712.82"/>
    <n v="0.98599999999999999"/>
    <n v="881.70799999999872"/>
  </r>
  <r>
    <s v="Sainsbury"/>
    <s v="SQBIR.SAINSBURYS.330.FY25-26.6"/>
    <m/>
    <m/>
    <m/>
    <m/>
    <s v=""/>
    <n v="558"/>
    <s v="S/J- Solid  95%Cot 5%Inv Lycra 140gsm with PCF 66"/>
    <s v="Black"/>
    <n v="-137.45933333333332"/>
    <n v="412.37799999999999"/>
    <m/>
    <n v="-412.37799999999999"/>
    <m/>
    <n v="-412.37799999999999"/>
    <s v="446252"/>
    <s v="Solid"/>
    <x v="25"/>
    <d v="2026-10-15T00:00:00"/>
    <s v="(1st Oct-15th Oct)-2k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412.37799999999999"/>
    <s v=""/>
    <n v="317"/>
    <n v="0.74399999999999999"/>
    <n v="594.89200000000164"/>
  </r>
  <r>
    <s v="Sainsbury"/>
    <s v="SQBIR.SAINSBURYS.326.FY25-26.1"/>
    <m/>
    <m/>
    <m/>
    <m/>
    <s v=""/>
    <n v="559"/>
    <s v="S/J- Solid  95%Cot 5%Inv Lycra 140gsm with PCF 66"/>
    <s v="Nude"/>
    <n v="0"/>
    <n v="480.47899999999998"/>
    <n v="480.47899999999998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s v=""/>
    <s v=""/>
    <n v="0"/>
    <s v=""/>
    <n v="2601"/>
    <n v="1.024"/>
    <n v="888.66200000000003"/>
  </r>
  <r>
    <s v="Sainsbury"/>
    <s v="SQBIR.SAINSBURYS.329.FY25-26.1"/>
    <m/>
    <m/>
    <m/>
    <m/>
    <s v=""/>
    <n v="561"/>
    <s v="S/J- Solid  95%Cot 5%Inv Lycra 140gsm with PCF 66"/>
    <s v="Black"/>
    <n v="-270.2"/>
    <n v="810.6"/>
    <m/>
    <n v="-810.6"/>
    <m/>
    <n v="-810.6"/>
    <s v="446252"/>
    <s v="Solid"/>
    <x v="25"/>
    <d v="2026-10-15T00:00:00"/>
    <s v="(1st Oct-15th Oct)-2k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810.6"/>
    <s v=""/>
    <n v="317"/>
    <n v="0.74399999999999999"/>
    <n v="594.89200000000164"/>
  </r>
  <r>
    <s v="Sainsbury"/>
    <s v="SQBIR.SAINSBURYS.329.FY25-26.3"/>
    <m/>
    <m/>
    <m/>
    <m/>
    <b v="0"/>
    <n v="562"/>
    <s v="S/J- Solid  95%Cot 5%Inv Lycra 140gsm with PCF 66"/>
    <s v="Black"/>
    <n v="-1.351"/>
    <n v="4.0529999999999999"/>
    <m/>
    <n v="-4.0529999999999999"/>
    <m/>
    <n v="-4.0529999999999999"/>
    <s v="446252"/>
    <s v="Solid"/>
    <x v="25"/>
    <d v="2026-10-15T00:00:00"/>
    <s v="(1st Oct-15th Oct)-2k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40"/>
    <s v="446252140Black"/>
    <n v="11949.84"/>
    <n v="6616.13"/>
    <n v="11354.947999999999"/>
    <n v="15971.078000000003"/>
    <s v=""/>
    <s v=""/>
    <n v="4.0529999999999999"/>
    <b v="0"/>
    <n v="317"/>
    <n v="0.74399999999999999"/>
    <n v="594.89200000000164"/>
  </r>
  <r>
    <s v="Sainsbury"/>
    <s v="SQBIR.SAINSBURYS.324.FY25-26.1"/>
    <m/>
    <m/>
    <m/>
    <m/>
    <s v=""/>
    <n v="563"/>
    <s v="S/J- Solid  95%Cot 5%Inv Lycra 140gsm with PCF 66"/>
    <s v="Black"/>
    <n v="-207.86533333333333"/>
    <n v="623.596"/>
    <n v="0"/>
    <n v="-623.596"/>
    <m/>
    <n v="-623.596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623.596"/>
    <s v=""/>
    <n v="1226"/>
    <n v="0.92500000000000004"/>
    <n v="1226"/>
  </r>
  <r>
    <s v="Sainsbury"/>
    <s v="SQBIR.SAINSBURYS.327.FY25-26.1"/>
    <m/>
    <m/>
    <m/>
    <m/>
    <s v=""/>
    <n v="564"/>
    <s v="S/J- Solid  95%Cot 5%Inv Lycra 140gsm with PCF 66"/>
    <s v="Black"/>
    <n v="-126.83433333333333"/>
    <n v="380.50299999999999"/>
    <m/>
    <n v="-380.50299999999999"/>
    <m/>
    <n v="-380.50299999999999"/>
    <s v="446460"/>
    <s v="Solid"/>
    <x v="16"/>
    <d v="2026-10-29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380.50299999999999"/>
    <s v=""/>
    <n v="1226"/>
    <n v="0.92500000000000004"/>
    <n v="1226"/>
  </r>
  <r>
    <s v="Sainsbury"/>
    <s v="SQBIR.SAINSBURYS.327.FY25-26.1"/>
    <m/>
    <m/>
    <m/>
    <m/>
    <b v="0"/>
    <n v="564"/>
    <s v="S/J- Solid  95%Cot 5%Inv Lycra 140gsm with PCF 66"/>
    <s v="Black"/>
    <n v="-1422.4046666666666"/>
    <n v="4267.2139999999999"/>
    <m/>
    <n v="-4267.2139999999999"/>
    <m/>
    <n v="-4267.2139999999999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4267.2139999999999"/>
    <b v="0"/>
    <n v="1226"/>
    <n v="0.92500000000000004"/>
    <n v="1226"/>
  </r>
  <r>
    <s v="Sainsbury"/>
    <s v="SQBIR.SAINSBURYS.327.FY25-26.2"/>
    <m/>
    <m/>
    <m/>
    <m/>
    <s v=""/>
    <n v="565"/>
    <s v="S/J- Solid  95%Cot 5%Inv Lycra 140gsm with PCF 66"/>
    <s v="Black"/>
    <n v="-5.7950000000000008"/>
    <n v="17.385000000000002"/>
    <n v="0"/>
    <n v="-17.385000000000002"/>
    <m/>
    <n v="-17.385000000000002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17.385000000000002"/>
    <s v=""/>
    <n v="1226"/>
    <n v="0.92500000000000004"/>
    <n v="1226"/>
  </r>
  <r>
    <s v="Sainsbury"/>
    <s v="SQBIR.SAINSBURYS.329.FY25-26.2"/>
    <m/>
    <m/>
    <m/>
    <m/>
    <s v=""/>
    <n v="566"/>
    <s v="S/J- Solid  95%Cot 5%Inv Lycra 140gsm with PCF 66"/>
    <s v="Nude"/>
    <n v="-271.95300000000003"/>
    <n v="815.85900000000004"/>
    <m/>
    <n v="-815.85900000000004"/>
    <m/>
    <n v="-815.85900000000004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s v=""/>
    <s v=""/>
    <n v="815.85900000000004"/>
    <s v=""/>
    <n v="0"/>
    <n v="0"/>
    <n v="0"/>
  </r>
  <r>
    <s v="Sainsbury"/>
    <s v="SQBIR.SAINSBURYS.324.FY25-26.1"/>
    <m/>
    <m/>
    <m/>
    <m/>
    <s v=""/>
    <n v="567"/>
    <s v="S/J- Solid  95%Cot 5%Inv Lycra 140gsm with PCF 66"/>
    <s v="Nude"/>
    <n v="-522.97033333333331"/>
    <n v="1568.9110000000001"/>
    <m/>
    <n v="-1568.9110000000001"/>
    <m/>
    <n v="-1568.9110000000001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s v=""/>
    <s v=""/>
    <n v="1568.9110000000001"/>
    <s v=""/>
    <n v="0"/>
    <n v="0"/>
    <n v="0"/>
  </r>
  <r>
    <s v="Sainsbury"/>
    <s v="SQBIR.SAINSBURYS.324.FY25-26.2"/>
    <m/>
    <m/>
    <m/>
    <m/>
    <b v="0"/>
    <n v="568"/>
    <s v="S/J- Solid  95%Cot 5%Inv Lycra 140gsm with PCF 66"/>
    <s v="Nude"/>
    <n v="-1.7433333333333334"/>
    <n v="5.23"/>
    <n v="0"/>
    <n v="-5.23"/>
    <m/>
    <n v="-5.23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40"/>
    <s v="446460140NUDE"/>
    <n v="0"/>
    <s v="#NA"/>
    <n v="0"/>
    <n v="2390"/>
    <s v=""/>
    <s v=""/>
    <n v="5.23"/>
    <b v="0"/>
    <n v="0"/>
    <n v="0"/>
    <n v="0"/>
  </r>
  <r>
    <s v="Sainsbury"/>
    <s v="SQBIR.SAINSBURYS.329.FY25-26.2"/>
    <m/>
    <m/>
    <m/>
    <m/>
    <s v=""/>
    <n v="569"/>
    <s v="S/J- Solid  95%Cot 5%Inv Lycra 140gsm with PCF 66"/>
    <s v="White"/>
    <n v="-407.98033333333336"/>
    <n v="1223.941"/>
    <n v="0"/>
    <n v="-1223.941"/>
    <m/>
    <n v="-1223.941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s v=""/>
    <s v=""/>
    <n v="1223.941"/>
    <s v=""/>
    <n v="0"/>
    <n v="0"/>
    <n v="0"/>
  </r>
  <r>
    <s v="Sainsbury"/>
    <s v="SQBIR.SAINSBURYS.324.FY25-26.1"/>
    <m/>
    <m/>
    <m/>
    <m/>
    <s v=""/>
    <n v="570"/>
    <s v="S/J- Solid  95%Cot 5%Inv Lycra 140gsm with PCF 66"/>
    <s v="White"/>
    <n v="-89.404333333333341"/>
    <n v="268.21300000000002"/>
    <m/>
    <n v="-268.21300000000002"/>
    <m/>
    <n v="-268.21300000000002"/>
    <s v="446460"/>
    <s v="Solid"/>
    <x v="12"/>
    <d v="2026-10-25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s v=""/>
    <s v=""/>
    <n v="268.21300000000002"/>
    <s v=""/>
    <n v="0"/>
    <n v="0"/>
    <n v="0"/>
  </r>
  <r>
    <s v="Sainsbury"/>
    <s v="SQBIR.SAINSBURYS.324.FY25-26.1"/>
    <m/>
    <m/>
    <m/>
    <m/>
    <s v=""/>
    <n v="570"/>
    <s v="S/J- Solid  95%Cot 5%Inv Lycra 140gsm with PCF 66"/>
    <s v="White"/>
    <n v="-695.14933333333329"/>
    <n v="2085.4479999999999"/>
    <m/>
    <n v="-2085.4479999999999"/>
    <m/>
    <n v="-2085.4479999999999"/>
    <s v="446460"/>
    <s v="Solid"/>
    <x v="15"/>
    <d v="2026-10-28T00:00:00"/>
    <s v="25th Oct- 1.5k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40"/>
    <s v="446460140White"/>
    <n v="0"/>
    <s v="#NA"/>
    <n v="0"/>
    <n v="3585.4479999999999"/>
    <s v=""/>
    <s v=""/>
    <n v="2085.4479999999999"/>
    <s v=""/>
    <n v="0"/>
    <n v="0"/>
    <n v="0"/>
  </r>
  <r>
    <s v="Sainsbury"/>
    <s v="SQBIR.SAINSBURYS.322.FY25-26.2"/>
    <m/>
    <m/>
    <m/>
    <m/>
    <s v=""/>
    <n v="571"/>
    <s v="SINGLE JERSEY 100% COTTON 110GSM"/>
    <s v="Black"/>
    <n v="-50"/>
    <n v="150"/>
    <m/>
    <n v="-150"/>
    <m/>
    <n v="-150"/>
    <s v="446460"/>
    <s v="Solid"/>
    <x v="13"/>
    <d v="2026-10-24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150"/>
    <s v=""/>
    <n v="594"/>
    <n v="0.999"/>
    <n v="594"/>
  </r>
  <r>
    <s v="Sainsbury"/>
    <s v="SQBIR.SAINSBURYS.322.FY25-26.2"/>
    <m/>
    <m/>
    <m/>
    <m/>
    <s v=""/>
    <n v="571"/>
    <s v="SINGLE JERSEY 100% COTTON 110GSM"/>
    <s v="Black"/>
    <n v="-13.177333333333332"/>
    <n v="39.531999999999996"/>
    <m/>
    <n v="-39.531999999999996"/>
    <m/>
    <n v="-39.531999999999996"/>
    <s v="446460"/>
    <s v="Solid"/>
    <x v="12"/>
    <d v="2026-10-25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39.531999999999996"/>
    <s v=""/>
    <n v="594"/>
    <n v="0.999"/>
    <n v="594"/>
  </r>
  <r>
    <s v="Sainsbury"/>
    <s v="SQBIR.SAINSBURYS.323.FY25-26.2"/>
    <m/>
    <m/>
    <m/>
    <m/>
    <s v=""/>
    <n v="572"/>
    <s v="SINGLE JERSEY 100% COTTON 110GSM"/>
    <s v="Black"/>
    <n v="-36.82266666666667"/>
    <n v="110.468"/>
    <m/>
    <n v="-110.468"/>
    <m/>
    <n v="-110.468"/>
    <s v="446460"/>
    <s v="Solid"/>
    <x v="12"/>
    <d v="2026-10-25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110.468"/>
    <s v=""/>
    <n v="594"/>
    <n v="0.999"/>
    <n v="594"/>
  </r>
  <r>
    <s v="Sainsbury"/>
    <s v="SQBIR.SAINSBURYS.323.FY25-26.2"/>
    <m/>
    <m/>
    <m/>
    <m/>
    <s v=""/>
    <n v="572"/>
    <s v="SINGLE JERSEY 100% COTTON 110GSM"/>
    <s v="Black"/>
    <n v="-50"/>
    <n v="150"/>
    <m/>
    <n v="-150"/>
    <m/>
    <n v="-150"/>
    <s v="446460"/>
    <s v="Solid"/>
    <x v="4"/>
    <d v="2026-10-26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150"/>
    <s v=""/>
    <n v="594"/>
    <n v="0.999"/>
    <n v="594"/>
  </r>
  <r>
    <s v="Sainsbury"/>
    <s v="SQBIR.SAINSBURYS.323.FY25-26.2"/>
    <m/>
    <m/>
    <m/>
    <m/>
    <s v=""/>
    <n v="572"/>
    <s v="SINGLE JERSEY 100% COTTON 110GSM"/>
    <s v="Black"/>
    <n v="-50"/>
    <n v="150"/>
    <m/>
    <n v="-150"/>
    <m/>
    <n v="-150"/>
    <s v="446460"/>
    <s v="Solid"/>
    <x v="14"/>
    <d v="2026-10-27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150"/>
    <s v=""/>
    <n v="594"/>
    <n v="0.999"/>
    <n v="594"/>
  </r>
  <r>
    <s v="Sainsbury"/>
    <s v="SQBIR.SAINSBURYS.323.FY25-26.2"/>
    <m/>
    <m/>
    <m/>
    <m/>
    <b v="0"/>
    <n v="572"/>
    <s v="SINGLE JERSEY 100% COTTON 110GSM"/>
    <s v="Black"/>
    <n v="-50"/>
    <n v="150"/>
    <m/>
    <n v="-150"/>
    <m/>
    <n v="-150"/>
    <s v="446460"/>
    <s v="Solid"/>
    <x v="15"/>
    <d v="2026-10-28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150"/>
    <b v="0"/>
    <n v="594"/>
    <n v="0.999"/>
    <n v="594"/>
  </r>
  <r>
    <s v="Sainsbury"/>
    <s v="SQBIR.SAINSBURYS.323.FY25-26.2"/>
    <m/>
    <m/>
    <m/>
    <m/>
    <s v=""/>
    <n v="572"/>
    <s v="SINGLE JERSEY 100% COTTON 110GSM"/>
    <s v="Black"/>
    <n v="-50"/>
    <n v="150"/>
    <m/>
    <n v="-150"/>
    <m/>
    <n v="-150"/>
    <s v="446460"/>
    <s v="Solid"/>
    <x v="16"/>
    <d v="2026-10-29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150"/>
    <s v=""/>
    <n v="594"/>
    <n v="0.999"/>
    <n v="594"/>
  </r>
  <r>
    <s v="Sainsbury"/>
    <s v="SQBIR.SAINSBURYS.323.FY25-26.2"/>
    <m/>
    <m/>
    <m/>
    <m/>
    <s v=""/>
    <n v="572"/>
    <s v="SINGLE JERSEY 100% COTTON 110GSM"/>
    <s v="Black"/>
    <n v="-30.189999999999998"/>
    <n v="90.57"/>
    <m/>
    <n v="-90.57"/>
    <m/>
    <n v="-90.57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90.57"/>
    <s v=""/>
    <n v="594"/>
    <n v="0.999"/>
    <n v="594"/>
  </r>
  <r>
    <s v="Sainsbury"/>
    <s v="SQBIR.SAINSBURYS.329.FY25-26.2"/>
    <m/>
    <m/>
    <m/>
    <m/>
    <s v=""/>
    <n v="573"/>
    <s v="SINGLE JERSEY 100% COTTON 110GSM"/>
    <s v="Black"/>
    <n v="-39.336666666666666"/>
    <n v="118.01"/>
    <m/>
    <n v="-118.01"/>
    <m/>
    <n v="-118.01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118.01"/>
    <s v=""/>
    <n v="594"/>
    <n v="0.999"/>
    <n v="594"/>
  </r>
  <r>
    <s v="LIDL"/>
    <s v="SQBIR.LIDLASIAPTELIMIT.022.FY26-27.4"/>
    <m/>
    <m/>
    <m/>
    <m/>
    <s v=""/>
    <n v="574"/>
    <s v="KNIT SINGLE JERSEY CMIA COTTON 95% ELASTANE CRERORA 5% GSM-160 CW-167.6 CM/66 INCH  "/>
    <s v="Light Blue"/>
    <n v="0"/>
    <n v="1252.491"/>
    <n v="1252.491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s v=""/>
    <n v="4799.45"/>
    <n v="0.95299999999999996"/>
    <n v="0"/>
  </r>
  <r>
    <s v="LIDL"/>
    <s v="SQBIR.LIDLASIAPTELIMIT.022.FY26-27.5"/>
    <m/>
    <m/>
    <m/>
    <m/>
    <s v=""/>
    <n v="575"/>
    <s v="KNIT SINGLE JERSEY CMIA COTTON 95% ELASTANE CRERORA 5% GSM-160 CW-167.6 CM/66 INCH  "/>
    <s v="Light Blue"/>
    <n v="0"/>
    <n v="276.07600000000002"/>
    <n v="276.07600000000002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s v=""/>
    <n v="4799.45"/>
    <n v="0.95299999999999996"/>
    <n v="0"/>
  </r>
  <r>
    <s v="LIDL"/>
    <s v="SQBIR.LIDLASIAPTELIMIT.022.FY26-27.6"/>
    <m/>
    <m/>
    <m/>
    <m/>
    <s v=""/>
    <n v="576"/>
    <s v="KNIT SINGLE JERSEY CMIA COTTON 95% ELASTANE CRERORA 5% GSM-160 CW-167.6 CM/66 INCH  "/>
    <s v="Light Blue"/>
    <n v="0"/>
    <n v="471.43299999999999"/>
    <n v="471.43299999999999"/>
    <n v="0"/>
    <m/>
    <n v="0"/>
    <s v="459780"/>
    <s v="Solid"/>
    <x v="0"/>
    <d v="2026-10-05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s v=""/>
    <n v="4799.45"/>
    <n v="0.95299999999999996"/>
    <n v="0"/>
  </r>
  <r>
    <s v="LIDL"/>
    <s v="SQBIR.LIDLASIAPTELIMIT.022.FY26-27.6"/>
    <m/>
    <m/>
    <m/>
    <m/>
    <b v="0"/>
    <n v="576"/>
    <s v="KNIT SINGLE JERSEY CMIA COTTON 95% ELASTANE CRERORA 5% GSM-160 CW-167.6 CM/66 INCH  "/>
    <s v="Light Blue"/>
    <n v="0"/>
    <n v="1000"/>
    <n v="1000"/>
    <n v="0"/>
    <m/>
    <n v="0"/>
    <s v="459780"/>
    <s v="Solid"/>
    <x v="24"/>
    <d v="2026-10-06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b v="0"/>
    <n v="4799.45"/>
    <n v="0.95299999999999996"/>
    <n v="0"/>
  </r>
  <r>
    <s v="LIDL"/>
    <s v="SQBIR.LIDLASIAPTELIMIT.022.FY26-27.6"/>
    <m/>
    <m/>
    <m/>
    <m/>
    <s v=""/>
    <n v="576"/>
    <s v="KNIT SINGLE JERSEY CMIA COTTON 95% ELASTANE CRERORA 5% GSM-160 CW-167.6 CM/66 INCH  "/>
    <s v="Light Blue"/>
    <n v="0"/>
    <n v="555.89200000000005"/>
    <n v="555.89200000000005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s v=""/>
    <n v="4799.45"/>
    <n v="0.95299999999999996"/>
    <n v="0"/>
  </r>
  <r>
    <s v="LIDL"/>
    <s v="SQBIR.LIDLASIAPTELIMIT.022.FY26-27.7"/>
    <m/>
    <m/>
    <m/>
    <m/>
    <s v=""/>
    <n v="577"/>
    <s v="KNIT SINGLE JERSEY CMIA COTTON 95% ELASTANE CRERORA 5% GSM-160 CW-167.6 CM/66 INCH  "/>
    <s v="Light Blue"/>
    <n v="0"/>
    <n v="689.94799999999998"/>
    <n v="689.94799999999998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28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s v=""/>
    <n v="4799.45"/>
    <n v="0.95299999999999996"/>
    <n v="0"/>
  </r>
  <r>
    <s v="LIDL"/>
    <s v="SQBIR.LIDLASIAPTELIMIT.022.FY26-27.8"/>
    <m/>
    <m/>
    <m/>
    <m/>
    <s v=""/>
    <n v="578"/>
    <s v="KNIT SINGLE JERSEY CMIA COTTON 95% ELASTANE CRERORA 5% GSM-160 CW-167.6 CM/66 INCH  "/>
    <s v="Light Blue"/>
    <n v="0"/>
    <n v="346.15699999999998"/>
    <n v="346.15699999999998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s v=""/>
    <n v="4799.45"/>
    <n v="0.95299999999999996"/>
    <n v="0"/>
  </r>
  <r>
    <s v="LIDL"/>
    <s v="SQBIR.LIDLASIAPTELIMIT.022.FY26-27.9"/>
    <m/>
    <m/>
    <m/>
    <m/>
    <s v=""/>
    <n v="579"/>
    <s v="KNIT SINGLE JERSEY CMIA COTTON 95% ELASTANE CRERORA 5% GSM-160 CW-167.6 CM/66 INCH  "/>
    <s v="Light Blue"/>
    <n v="0"/>
    <n v="53.545999999999999"/>
    <n v="53.545999999999999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s v=""/>
    <n v="4799.45"/>
    <n v="0.95299999999999996"/>
    <n v="0"/>
  </r>
  <r>
    <s v="LIDL"/>
    <s v="SQBIR.LIDLASIAPTELIMIT.021.FY26-27.10"/>
    <m/>
    <m/>
    <m/>
    <m/>
    <s v=""/>
    <n v="580"/>
    <s v="KNIT SINGLE JERSEY CMIA COTTON 95% ELASTANE CRERORA 5% GSM-160 CW-167.6 CM/66 INCH  "/>
    <s v="MID GREY MELANGE"/>
    <n v="0"/>
    <n v="915.654"/>
    <n v="915.654"/>
    <n v="0"/>
    <m/>
    <n v="0"/>
    <s v="459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ane Bryant"/>
    <s v="SQBIR.MGFLaneBryant.016.FY26-27.2"/>
    <m/>
    <m/>
    <m/>
    <m/>
    <b v="0"/>
    <n v="590"/>
    <s v="95% Cotton 5% Elastane 150GSM CW66"/>
    <s v="B08"/>
    <n v="0"/>
    <n v="115.5"/>
    <n v="115.5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b v="0"/>
    <n v="1462.22"/>
    <n v="0.97199999999999998"/>
    <n v="-3.0000000001564331E-3"/>
  </r>
  <r>
    <s v="Lane Bryant"/>
    <s v="SQBIR.MGFLaneBryant.016.FY26-27.3"/>
    <m/>
    <m/>
    <m/>
    <m/>
    <b v="0"/>
    <n v="591"/>
    <s v="95% Cotton 5% Elastane 150GSM CW66"/>
    <s v="B08"/>
    <n v="0"/>
    <n v="1.89"/>
    <n v="1.89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b v="0"/>
    <n v="1462.22"/>
    <n v="0.97199999999999998"/>
    <n v="-3.0000000001564331E-3"/>
  </r>
  <r>
    <s v="Lane Bryant"/>
    <s v="SQBIR.MGFLaneBryant.017.FY26-27.1"/>
    <m/>
    <m/>
    <m/>
    <m/>
    <s v=""/>
    <n v="596"/>
    <s v="95% Cotton 5% Elastane 150GSM CW66"/>
    <s v="B08"/>
    <n v="0"/>
    <n v="221.4"/>
    <n v="221.4"/>
    <n v="0"/>
    <m/>
    <n v="0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0"/>
    <s v=""/>
    <n v="1462.22"/>
    <n v="0.97199999999999998"/>
    <n v="-3.0000000001564331E-3"/>
  </r>
  <r>
    <s v="Lane Bryant"/>
    <s v="SQBIR.MGFLaneBryant.017.FY26-27.2"/>
    <m/>
    <m/>
    <m/>
    <m/>
    <b v="0"/>
    <n v="597"/>
    <s v="95% Cotton 5% Elastane 150GSM CW66"/>
    <s v="B08"/>
    <n v="-13.549999999999999"/>
    <n v="70"/>
    <n v="29.35"/>
    <n v="-40.65"/>
    <m/>
    <n v="-40.65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40.65"/>
    <b v="0"/>
    <n v="1462.22"/>
    <n v="0.97199999999999998"/>
    <n v="-3.0000000001564331E-3"/>
  </r>
  <r>
    <s v="Lane Bryant"/>
    <s v="SQBIR.MGFLaneBryant.017.FY26-27.3"/>
    <m/>
    <m/>
    <m/>
    <m/>
    <b v="0"/>
    <n v="598"/>
    <s v="95% Cotton 5% Elastane 150GSM CW66"/>
    <s v="B08"/>
    <n v="-0.6"/>
    <n v="1.8"/>
    <m/>
    <n v="-1.8"/>
    <m/>
    <n v="-1.8"/>
    <s v="452132"/>
    <s v="Solid"/>
    <x v="3"/>
    <d v="2026-10-04T00:00:00"/>
    <d v="2026-10-03T00:00:00"/>
    <s v="Hues Agreed qty as per SQBL required date"/>
    <m/>
    <s v="Oct"/>
    <d v="2026-10-02T00:00:00"/>
    <m/>
    <m/>
    <m/>
    <m/>
    <m/>
    <m/>
    <m/>
    <m/>
    <m/>
    <m/>
    <s v="452132"/>
    <s v="B08"/>
    <n v="150"/>
    <s v="452132150B08"/>
    <n v="1462.22"/>
    <n v="42.45"/>
    <n v="1462.2230000000002"/>
    <n v="1504.6730000000002"/>
    <s v=""/>
    <s v=""/>
    <n v="1.8"/>
    <b v="0"/>
    <n v="1462.22"/>
    <n v="0.97199999999999998"/>
    <n v="-3.0000000001564331E-3"/>
  </r>
  <r>
    <s v="Lane Bryant"/>
    <s v="SQBIR.MGFLaneBryant.004.FY26-27.1"/>
    <m/>
    <m/>
    <m/>
    <m/>
    <s v=""/>
    <n v="599"/>
    <s v="95% Cotton 5% Elastane 150GSM CW66"/>
    <s v="Bright White"/>
    <n v="0"/>
    <n v="203.57300000000001"/>
    <n v="203.57300000000001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04.FY26-27.2"/>
    <m/>
    <m/>
    <m/>
    <m/>
    <s v=""/>
    <n v="600"/>
    <s v="95% Cotton 5% Elastane 150GSM CW66"/>
    <s v="Bright White"/>
    <n v="0"/>
    <n v="237.85499999999999"/>
    <n v="237.85499999999999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04.FY26-27.3"/>
    <m/>
    <m/>
    <m/>
    <m/>
    <s v=""/>
    <n v="601"/>
    <s v="95% Cotton 5% Elastane 150GSM CW66"/>
    <s v="Bright White"/>
    <n v="0"/>
    <n v="3.5249999999999999"/>
    <n v="3.5249999999999999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4.FY26-27.1"/>
    <m/>
    <m/>
    <m/>
    <m/>
    <s v=""/>
    <n v="602"/>
    <s v="95% Cotton 5% Elastane 150GSM CW66"/>
    <s v="Bright White"/>
    <n v="0"/>
    <n v="230.00299999999999"/>
    <n v="230.00299999999999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4.FY26-27.2"/>
    <m/>
    <m/>
    <m/>
    <m/>
    <s v=""/>
    <n v="603"/>
    <s v="95% Cotton 5% Elastane 150GSM CW66"/>
    <s v="Bright White"/>
    <n v="0"/>
    <n v="185.35"/>
    <n v="185.35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4.FY26-27.3"/>
    <m/>
    <m/>
    <m/>
    <m/>
    <s v=""/>
    <n v="604"/>
    <s v="95% Cotton 5% Elastane 150GSM CW66"/>
    <s v="Bright White"/>
    <n v="0"/>
    <n v="1.5169999999999999"/>
    <n v="1.5169999999999999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6.FY26-27.1"/>
    <m/>
    <m/>
    <m/>
    <m/>
    <s v=""/>
    <n v="605"/>
    <s v="95% Cotton 5% Elastane 150GSM CW66"/>
    <s v="Bright White"/>
    <n v="0"/>
    <n v="232.26"/>
    <n v="232.26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6.FY26-27.2"/>
    <m/>
    <m/>
    <m/>
    <m/>
    <s v=""/>
    <n v="606"/>
    <s v="95% Cotton 5% Elastane 150GSM CW66"/>
    <s v="Bright White"/>
    <n v="0"/>
    <n v="115.5"/>
    <n v="115.5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6.FY26-27.3"/>
    <m/>
    <m/>
    <m/>
    <m/>
    <s v=""/>
    <n v="607"/>
    <s v="95% Cotton 5% Elastane 150GSM CW66"/>
    <s v="Bright White"/>
    <n v="0"/>
    <n v="1.89"/>
    <n v="1.89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7.FY26-27.1"/>
    <m/>
    <m/>
    <m/>
    <m/>
    <s v=""/>
    <n v="608"/>
    <s v="95% Cotton 5% Elastane 150GSM CW66"/>
    <s v="Bright White"/>
    <n v="0"/>
    <n v="221.4"/>
    <n v="221.4"/>
    <n v="0"/>
    <m/>
    <n v="0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0"/>
    <s v=""/>
    <n v="1439.16"/>
    <n v="0.95599999999999996"/>
    <n v="-3.0000000001564331E-3"/>
  </r>
  <r>
    <s v="Lane Bryant"/>
    <s v="SQBIR.MGFLaneBryant.017.FY26-27.2"/>
    <m/>
    <m/>
    <m/>
    <m/>
    <s v=""/>
    <n v="609"/>
    <s v="95% Cotton 5% Elastane 150GSM CW66"/>
    <s v="Bright White"/>
    <n v="-21.236666666666668"/>
    <n v="70"/>
    <n v="6.29"/>
    <n v="-63.71"/>
    <m/>
    <n v="-63.71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63.71"/>
    <s v=""/>
    <n v="1439.16"/>
    <n v="0.95599999999999996"/>
    <n v="-3.0000000001564331E-3"/>
  </r>
  <r>
    <s v="LIDL"/>
    <s v="SQBIR.LIDLASIAPTELIMIT.002.FY26-27.1"/>
    <m/>
    <m/>
    <m/>
    <m/>
    <s v=""/>
    <n v="620"/>
    <s v="KNIT SINGLE JERSEY CMIA COTTON 95% ELASTANE CRERORA 5% GSM-160 CW-167.6 CM/66 INCH  "/>
    <s v="Black"/>
    <n v="-37.547333333333334"/>
    <n v="112.642"/>
    <m/>
    <n v="-112.642"/>
    <m/>
    <n v="-112.642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112.642"/>
    <s v=""/>
    <n v="8037"/>
    <n v="0.16200000000000001"/>
    <n v="-2.9999999998835847E-2"/>
  </r>
  <r>
    <s v="LIDL"/>
    <s v="SQBIR.LIDLASIAPTELIMIT.002.FY26-27.2"/>
    <m/>
    <m/>
    <m/>
    <m/>
    <s v=""/>
    <n v="621"/>
    <s v="KNIT SINGLE JERSEY CMIA COTTON 95% ELASTANE CRERORA 5% GSM-160 CW-167.6 CM/66 INCH  "/>
    <s v="Black"/>
    <n v="-1147.9063333333334"/>
    <n v="3443.7190000000001"/>
    <m/>
    <n v="-3443.7190000000001"/>
    <m/>
    <n v="-3443.719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3443.7190000000001"/>
    <s v=""/>
    <n v="8037"/>
    <n v="0.16200000000000001"/>
    <n v="-2.9999999998835847E-2"/>
  </r>
  <r>
    <s v="LIDL"/>
    <s v="SQBIR.LIDLASIAPTELIMIT.002.FY26-27.3"/>
    <m/>
    <m/>
    <m/>
    <m/>
    <s v=""/>
    <n v="622"/>
    <s v="KNIT SINGLE JERSEY CMIA COTTON 95% ELASTANE CRERORA 5% GSM-160 CW-167.6 CM/66 INCH  "/>
    <s v="Black"/>
    <n v="-1168.2686666666666"/>
    <n v="3504.806"/>
    <m/>
    <n v="-3504.806"/>
    <m/>
    <n v="-3504.806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3504.806"/>
    <s v=""/>
    <n v="8037"/>
    <n v="0.16200000000000001"/>
    <n v="-2.9999999998835847E-2"/>
  </r>
  <r>
    <s v="LIDL"/>
    <s v="SQBIR.LIDLASIAPTELIMIT.003.FY26-27.3"/>
    <m/>
    <m/>
    <m/>
    <m/>
    <s v=""/>
    <n v="625"/>
    <s v="KNIT SINGLE JERSEY CMIA COTTON 95% ELASTANE CRERORA 5% GSM-160 CW-167.6 CM/66 INCH  "/>
    <s v="Navy Blazer 19-3923-TCX"/>
    <n v="-672.1586666666667"/>
    <n v="2016.4760000000001"/>
    <m/>
    <n v="-2016.4760000000001"/>
    <m/>
    <n v="-2016.4760000000001"/>
    <s v="459174"/>
    <s v="Solid"/>
    <x v="21"/>
    <d v="2026-11-06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2016.4760000000001"/>
    <s v=""/>
    <n v="13076.44"/>
    <n v="0.377"/>
    <n v="0"/>
  </r>
  <r>
    <s v="LIDL"/>
    <s v="SQBIR.LIDLASIAPTELIMIT.003.FY26-27.3"/>
    <m/>
    <m/>
    <m/>
    <m/>
    <s v=""/>
    <n v="625"/>
    <s v="KNIT SINGLE JERSEY CMIA COTTON 95% ELASTANE CRERORA 5% GSM-160 CW-167.6 CM/66 INCH  "/>
    <s v="Navy Blazer 19-3923-TCX"/>
    <n v="-886.99933333333331"/>
    <n v="2660.998"/>
    <m/>
    <n v="-2660.998"/>
    <m/>
    <n v="-2660.998"/>
    <s v="459174"/>
    <s v="Solid"/>
    <x v="32"/>
    <d v="2026-11-07T00:00:00"/>
    <s v="(1st Nov-12th Nov)-3k mtr/day"/>
    <s v="Revised Plan given as per revised date"/>
    <m/>
    <s v="Oct"/>
    <d v="2026-10-12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2660.998"/>
    <s v=""/>
    <n v="13076.44"/>
    <n v="0.377"/>
    <n v="0"/>
  </r>
  <r>
    <s v="LIDL"/>
    <s v="SQBIR.LIDLASIAPTELIMIT.003.FY26-27.4"/>
    <m/>
    <m/>
    <m/>
    <m/>
    <s v=""/>
    <n v="626"/>
    <s v="KNIT SINGLE JERSEY CMIA COTTON 95% ELASTANE CRERORA 5% GSM-160 CW-167.6 CM/66 INCH  "/>
    <s v="Navy Blazer 19-3923-TCX"/>
    <n v="-113.00066666666667"/>
    <n v="339.00200000000001"/>
    <m/>
    <n v="-339.00200000000001"/>
    <m/>
    <n v="-339.00200000000001"/>
    <s v="459174"/>
    <s v="Solid"/>
    <x v="32"/>
    <d v="2026-11-07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339.00200000000001"/>
    <s v=""/>
    <n v="13076.44"/>
    <n v="0.377"/>
    <n v="0"/>
  </r>
  <r>
    <s v="LIDL"/>
    <s v="SQBIR.LIDLASIAPTELIMIT.003.FY26-27.4"/>
    <m/>
    <m/>
    <m/>
    <m/>
    <s v=""/>
    <n v="626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33"/>
    <d v="2026-11-08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3000"/>
    <s v=""/>
    <n v="13076.44"/>
    <n v="0.377"/>
    <n v="0"/>
  </r>
  <r>
    <s v="LIDL"/>
    <s v="SQBIR.LIDLASIAPTELIMIT.003.FY26-27.4"/>
    <m/>
    <m/>
    <m/>
    <m/>
    <s v=""/>
    <n v="626"/>
    <s v="KNIT SINGLE JERSEY CMIA COTTON 95% ELASTANE CRERORA 5% GSM-160 CW-167.6 CM/66 INCH  "/>
    <s v="Navy Blazer 19-3923-TCX"/>
    <n v="-1000"/>
    <n v="3000"/>
    <m/>
    <n v="-3000"/>
    <m/>
    <n v="-3000"/>
    <s v="459174"/>
    <s v="Solid"/>
    <x v="35"/>
    <d v="2026-11-09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3000"/>
    <s v=""/>
    <n v="13076.44"/>
    <n v="0.377"/>
    <n v="0"/>
  </r>
  <r>
    <s v="LIDL"/>
    <s v="SQBIR.LIDLASIAPTELIMIT.003.FY26-27.4"/>
    <m/>
    <m/>
    <m/>
    <m/>
    <s v=""/>
    <n v="626"/>
    <s v="KNIT SINGLE JERSEY CMIA COTTON 95% ELASTANE CRERORA 5% GSM-160 CW-167.6 CM/66 INCH  "/>
    <s v="Navy Blazer 19-3923-TCX"/>
    <n v="-974.59733333333327"/>
    <n v="2923.7919999999999"/>
    <m/>
    <n v="-2923.7919999999999"/>
    <m/>
    <n v="-2923.7919999999999"/>
    <s v="459174"/>
    <s v="Solid"/>
    <x v="36"/>
    <d v="2026-11-10T00:00:00"/>
    <s v="(1st Nov-12th Nov)-3k mtr/day"/>
    <s v="Revised Plan given as per revised date"/>
    <m/>
    <s v="Oct"/>
    <d v="2026-10-19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2923.7919999999999"/>
    <s v=""/>
    <n v="13076.44"/>
    <n v="0.377"/>
    <n v="0"/>
  </r>
  <r>
    <s v="LIDL"/>
    <s v="SQBIR.LIDLASIAPTELIMIT.003.FY26-27.3"/>
    <m/>
    <m/>
    <m/>
    <m/>
    <s v=""/>
    <n v="631"/>
    <s v="KNIT SINGLE JERSEY CMIA COTTON 95% ELASTANE CRERORA 5% GSM-160 CW-167.6 CM/66 INCH  "/>
    <s v="DARK BLUE"/>
    <n v="0"/>
    <n v="1956.963"/>
    <n v="1956.963"/>
    <n v="0"/>
    <m/>
    <n v="0"/>
    <s v="459174"/>
    <s v="Solid"/>
    <x v="17"/>
    <d v="2026-10-22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IDL"/>
    <s v="SQBIR.LIDLASIAPTELIMIT.003.FY26-27.3"/>
    <m/>
    <m/>
    <m/>
    <m/>
    <s v=""/>
    <n v="631"/>
    <s v="KNIT SINGLE JERSEY CMIA COTTON 95% ELASTANE CRERORA 5% GSM-160 CW-167.6 CM/66 INCH  "/>
    <s v="DARK BLUE"/>
    <n v="0"/>
    <n v="2000"/>
    <n v="2000"/>
    <n v="0"/>
    <m/>
    <n v="0"/>
    <s v="459174"/>
    <s v="Solid"/>
    <x v="7"/>
    <d v="2026-10-23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IDL"/>
    <s v="SQBIR.LIDLASIAPTELIMIT.003.FY26-27.3"/>
    <m/>
    <m/>
    <m/>
    <m/>
    <s v=""/>
    <n v="631"/>
    <s v="KNIT SINGLE JERSEY CMIA COTTON 95% ELASTANE CRERORA 5% GSM-160 CW-167.6 CM/66 INCH  "/>
    <s v="DARK BLUE"/>
    <n v="0"/>
    <n v="721.14"/>
    <n v="721.14"/>
    <n v="0"/>
    <m/>
    <n v="0"/>
    <s v="459174"/>
    <s v="Solid"/>
    <x v="13"/>
    <d v="2026-10-24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0"/>
    <s v=""/>
    <n v="9445.86"/>
    <n v="0.29099999999999998"/>
    <n v="0"/>
  </r>
  <r>
    <s v="LIDL"/>
    <s v="SQBIR.LIDLASIAPTELIMIT.003.FY26-27.4"/>
    <m/>
    <m/>
    <m/>
    <m/>
    <s v=""/>
    <n v="632"/>
    <s v="KNIT SINGLE JERSEY CMIA COTTON 95% ELASTANE CRERORA 5% GSM-160 CW-167.6 CM/66 INCH  "/>
    <s v="DARK BLUE"/>
    <n v="-184.71333333333328"/>
    <n v="1278.8599999999999"/>
    <n v="724.72"/>
    <n v="-554.13999999999987"/>
    <m/>
    <n v="-554.13999999999987"/>
    <s v="459174"/>
    <s v="Solid"/>
    <x v="13"/>
    <d v="2026-10-24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554.13999999999987"/>
    <s v=""/>
    <n v="9445.86"/>
    <n v="0.29099999999999998"/>
    <n v="0"/>
  </r>
  <r>
    <s v="LIDL"/>
    <s v="SQBIR.LIDLASIAPTELIMIT.003.FY26-27.4"/>
    <m/>
    <m/>
    <m/>
    <m/>
    <s v="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9"/>
    <d v="2026-11-01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2000"/>
    <s v=""/>
    <n v="9445.86"/>
    <n v="0.29099999999999998"/>
    <n v="0"/>
  </r>
  <r>
    <s v="LIDL"/>
    <s v="SQBIR.LIDLASIAPTELIMIT.003.FY26-27.4"/>
    <m/>
    <m/>
    <m/>
    <m/>
    <s v="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10"/>
    <d v="2026-11-02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2000"/>
    <s v=""/>
    <n v="9445.86"/>
    <n v="0.29099999999999998"/>
    <n v="0"/>
  </r>
  <r>
    <s v="LIDL"/>
    <s v="SQBIR.LIDLASIAPTELIMIT.003.FY26-27.4"/>
    <m/>
    <m/>
    <m/>
    <m/>
    <s v=""/>
    <n v="632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11"/>
    <d v="2026-11-03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2000"/>
    <s v=""/>
    <n v="9445.86"/>
    <n v="0.29099999999999998"/>
    <n v="0"/>
  </r>
  <r>
    <s v="LIDL"/>
    <s v="SQBIR.LIDLASIAPTELIMIT.003.FY26-27.4"/>
    <m/>
    <m/>
    <m/>
    <m/>
    <s v=""/>
    <n v="632"/>
    <s v="KNIT SINGLE JERSEY CMIA COTTON 95% ELASTANE CRERORA 5% GSM-160 CW-167.6 CM/66 INCH  "/>
    <s v="DARK BLUE"/>
    <n v="-661.72666666666669"/>
    <n v="1985.18"/>
    <m/>
    <n v="-1985.18"/>
    <m/>
    <n v="-1985.18"/>
    <s v="459174"/>
    <s v="Solid"/>
    <x v="19"/>
    <d v="2026-11-04T00:00:00"/>
    <s v="(20th-24th) Oct-2k mtr/day_x000a_(1st-10th) Nov-2k mtr/day"/>
    <s v="Revised Plan given as per revised date"/>
    <m/>
    <s v="Oct"/>
    <d v="2026-10-19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985.18"/>
    <s v=""/>
    <n v="9445.86"/>
    <n v="0.29099999999999998"/>
    <n v="0"/>
  </r>
  <r>
    <s v="LIDL"/>
    <s v="SQBIR.LIDLASIAPTELIMIT.003.FY26-27.5"/>
    <m/>
    <m/>
    <m/>
    <m/>
    <s v=""/>
    <n v="633"/>
    <s v="KNIT SINGLE JERSEY CMIA COTTON 95% ELASTANE CRERORA 5% GSM-160 CW-167.6 CM/66 INCH  "/>
    <s v="DARK BLUE"/>
    <n v="-4.9400000000000004"/>
    <n v="14.82"/>
    <m/>
    <n v="-14.82"/>
    <m/>
    <n v="-14.82"/>
    <s v="459174"/>
    <s v="Solid"/>
    <x v="19"/>
    <d v="2026-11-04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4.82"/>
    <s v=""/>
    <n v="9445.86"/>
    <n v="0.29099999999999998"/>
    <n v="0"/>
  </r>
  <r>
    <s v="LIDL"/>
    <s v="SQBIR.LIDLASIAPTELIMIT.003.FY26-27.5"/>
    <m/>
    <m/>
    <m/>
    <m/>
    <s v=""/>
    <n v="633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20"/>
    <d v="2026-11-05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2000"/>
    <s v=""/>
    <n v="9445.86"/>
    <n v="0.29099999999999998"/>
    <n v="0"/>
  </r>
  <r>
    <s v="LIDL"/>
    <s v="SQBIR.LIDLASIAPTELIMIT.003.FY26-27.5"/>
    <m/>
    <m/>
    <m/>
    <m/>
    <s v=""/>
    <n v="633"/>
    <s v="KNIT SINGLE JERSEY CMIA COTTON 95% ELASTANE CRERORA 5% GSM-160 CW-167.6 CM/66 INCH  "/>
    <s v="DARK BLUE"/>
    <n v="-299.375"/>
    <n v="898.125"/>
    <m/>
    <n v="-898.125"/>
    <m/>
    <n v="-898.125"/>
    <s v="459174"/>
    <s v="Solid"/>
    <x v="21"/>
    <d v="2026-11-06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898.125"/>
    <s v=""/>
    <n v="9445.86"/>
    <n v="0.29099999999999998"/>
    <n v="0"/>
  </r>
  <r>
    <s v="LIDL"/>
    <s v="SQBIR.LIDLASIAPTELIMIT.003.FY26-27.6"/>
    <m/>
    <m/>
    <m/>
    <m/>
    <s v=""/>
    <n v="634"/>
    <s v="KNIT SINGLE JERSEY CMIA COTTON 95% ELASTANE CRERORA 5% GSM-160 CW-167.6 CM/66 INCH  "/>
    <s v="DARK BLUE"/>
    <n v="-367.29166666666669"/>
    <n v="1101.875"/>
    <m/>
    <n v="-1101.875"/>
    <m/>
    <n v="-1101.875"/>
    <s v="459174"/>
    <s v="Solid"/>
    <x v="21"/>
    <d v="2026-11-06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101.875"/>
    <s v=""/>
    <n v="9445.86"/>
    <n v="0.29099999999999998"/>
    <n v="0"/>
  </r>
  <r>
    <s v="LIDL"/>
    <s v="SQBIR.LIDLASIAPTELIMIT.003.FY26-27.6"/>
    <m/>
    <m/>
    <m/>
    <m/>
    <s v=""/>
    <n v="634"/>
    <s v="KNIT SINGLE JERSEY CMIA COTTON 95% ELASTANE CRERORA 5% GSM-160 CW-167.6 CM/66 INCH  "/>
    <s v="DARK BLUE"/>
    <n v="-254.12800000000001"/>
    <n v="762.38400000000001"/>
    <m/>
    <n v="-762.38400000000001"/>
    <m/>
    <n v="-762.38400000000001"/>
    <s v="459174"/>
    <s v="Solid"/>
    <x v="32"/>
    <d v="2026-11-07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762.38400000000001"/>
    <s v=""/>
    <n v="9445.86"/>
    <n v="0.29099999999999998"/>
    <n v="0"/>
  </r>
  <r>
    <s v="LIDL"/>
    <s v="SQBIR.LIDLASIAPTELIMIT.003.FY26-27.7"/>
    <m/>
    <m/>
    <m/>
    <m/>
    <s v=""/>
    <n v="635"/>
    <s v="KNIT SINGLE JERSEY CMIA COTTON 95% ELASTANE CRERORA 5% GSM-160 CW-167.6 CM/66 INCH  "/>
    <s v="DARK BLUE"/>
    <n v="-412.53866666666664"/>
    <n v="1237.616"/>
    <m/>
    <n v="-1237.616"/>
    <m/>
    <n v="-1237.616"/>
    <s v="459174"/>
    <s v="Solid"/>
    <x v="32"/>
    <d v="2026-11-07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237.616"/>
    <s v=""/>
    <n v="9445.86"/>
    <n v="0.29099999999999998"/>
    <n v="0"/>
  </r>
  <r>
    <s v="LIDL"/>
    <s v="SQBIR.LIDLASIAPTELIMIT.003.FY26-27.7"/>
    <m/>
    <m/>
    <m/>
    <m/>
    <s v=""/>
    <n v="635"/>
    <s v="KNIT SINGLE JERSEY CMIA COTTON 95% ELASTANE CRERORA 5% GSM-160 CW-167.6 CM/66 INCH  "/>
    <s v="DARK BLUE"/>
    <n v="-666.66666666666663"/>
    <n v="2000"/>
    <m/>
    <n v="-2000"/>
    <m/>
    <n v="-2000"/>
    <s v="459174"/>
    <s v="Solid"/>
    <x v="33"/>
    <d v="2026-11-08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2000"/>
    <s v=""/>
    <n v="9445.86"/>
    <n v="0.29099999999999998"/>
    <n v="0"/>
  </r>
  <r>
    <s v="LIDL"/>
    <s v="SQBIR.LIDLASIAPTELIMIT.003.FY26-27.7"/>
    <m/>
    <m/>
    <m/>
    <m/>
    <s v=""/>
    <n v="635"/>
    <s v="KNIT SINGLE JERSEY CMIA COTTON 95% ELASTANE CRERORA 5% GSM-160 CW-167.6 CM/66 INCH  "/>
    <s v="DARK BLUE"/>
    <n v="-651.32799999999997"/>
    <n v="1953.9839999999999"/>
    <m/>
    <n v="-1953.9839999999999"/>
    <m/>
    <n v="-1953.9839999999999"/>
    <s v="459174"/>
    <s v="Solid"/>
    <x v="35"/>
    <d v="2026-11-09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953.9839999999999"/>
    <s v=""/>
    <n v="9445.86"/>
    <n v="0.29099999999999998"/>
    <n v="0"/>
  </r>
  <r>
    <s v="LIDL"/>
    <s v="SQBIR.LIDLASIAPTELIMIT.003.FY26-27.8"/>
    <m/>
    <m/>
    <m/>
    <m/>
    <s v=""/>
    <n v="636"/>
    <s v="KNIT SINGLE JERSEY CMIA COTTON 95% ELASTANE CRERORA 5% GSM-160 CW-167.6 CM/66 INCH  "/>
    <s v="DARK BLUE"/>
    <n v="-15.338666666666667"/>
    <n v="46.015999999999998"/>
    <m/>
    <n v="-46.015999999999998"/>
    <m/>
    <n v="-46.015999999999998"/>
    <s v="459174"/>
    <s v="Solid"/>
    <x v="35"/>
    <d v="2026-11-09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46.015999999999998"/>
    <s v=""/>
    <n v="9445.86"/>
    <n v="0.29099999999999998"/>
    <n v="0"/>
  </r>
  <r>
    <s v="LIDL"/>
    <s v="SQBIR.LIDLASIAPTELIMIT.003.FY26-27.8"/>
    <m/>
    <m/>
    <m/>
    <m/>
    <s v=""/>
    <n v="636"/>
    <s v="KNIT SINGLE JERSEY CMIA COTTON 95% ELASTANE CRERORA 5% GSM-160 CW-167.6 CM/66 INCH  "/>
    <s v="DARK BLUE"/>
    <n v="-12.779666666666666"/>
    <n v="38.338999999999999"/>
    <m/>
    <n v="-38.338999999999999"/>
    <m/>
    <n v="-38.338999999999999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38.338999999999999"/>
    <s v=""/>
    <n v="9445.86"/>
    <n v="0.29099999999999998"/>
    <n v="0"/>
  </r>
  <r>
    <s v="LIDL"/>
    <s v="SQBIR.LIDLASIAPTELIMIT.002.FY26-27.5"/>
    <m/>
    <m/>
    <m/>
    <m/>
    <s v=""/>
    <n v="637"/>
    <s v="KNIT SINGLE JERSEY CMIA COTTON 95% ELASTANE CRERORA 5% GSM-160 CW-167.6 CM/66 INCH  "/>
    <s v="White"/>
    <n v="-727.92066666666676"/>
    <n v="2183.7620000000002"/>
    <m/>
    <n v="-2183.7620000000002"/>
    <m/>
    <n v="-2183.7620000000002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2183.7620000000002"/>
    <s v=""/>
    <n v="844"/>
    <n v="4.1000000000000002E-2"/>
    <n v="-9.9999999999909051E-3"/>
  </r>
  <r>
    <s v="LIDL"/>
    <s v="SQBIR.LIDLASIAPTELIMIT.002.FY26-27.6"/>
    <m/>
    <m/>
    <m/>
    <m/>
    <s v=""/>
    <n v="638"/>
    <s v="KNIT SINGLE JERSEY CMIA COTTON 95% ELASTANE CRERORA 5% GSM-160 CW-167.6 CM/66 INCH  "/>
    <s v="White"/>
    <n v="-465.86899999999997"/>
    <n v="1397.607"/>
    <m/>
    <n v="-1397.607"/>
    <m/>
    <n v="-1397.607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1397.607"/>
    <s v=""/>
    <n v="844"/>
    <n v="4.1000000000000002E-2"/>
    <n v="-9.9999999999909051E-3"/>
  </r>
  <r>
    <s v="LIDL"/>
    <s v="SQBIR.LIDLASIAPTELIMIT.002.FY26-27.7"/>
    <m/>
    <m/>
    <m/>
    <m/>
    <s v=""/>
    <n v="639"/>
    <s v="KNIT SINGLE JERSEY CMIA COTTON 95% ELASTANE CRERORA 5% GSM-160 CW-167.6 CM/66 INCH  "/>
    <s v="White"/>
    <n v="-1297.3219999999999"/>
    <n v="3891.9659999999999"/>
    <m/>
    <n v="-3891.9659999999999"/>
    <m/>
    <n v="-3891.9659999999999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3891.9659999999999"/>
    <s v=""/>
    <n v="844"/>
    <n v="4.1000000000000002E-2"/>
    <n v="-9.9999999999909051E-3"/>
  </r>
  <r>
    <s v="LIDL"/>
    <s v="SQBIR.LIDLASIAPTELIMIT.002.FY26-27.8"/>
    <m/>
    <m/>
    <m/>
    <m/>
    <s v=""/>
    <n v="641"/>
    <s v="KNIT SINGLE JERSEY CMIA COTTON 95% ELASTANE CRERORA 5% GSM-160 CW-167.6 CM/66 INCH  "/>
    <s v="White"/>
    <n v="-21.097333333333335"/>
    <n v="63.292000000000002"/>
    <m/>
    <n v="-63.292000000000002"/>
    <m/>
    <n v="-63.292000000000002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63.292000000000002"/>
    <s v=""/>
    <n v="844"/>
    <n v="4.1000000000000002E-2"/>
    <n v="-9.9999999999909051E-3"/>
  </r>
  <r>
    <s v="LIDL"/>
    <s v="SQBIR.LIDLASIAPTELIMIT.003.FY26-27.1"/>
    <m/>
    <m/>
    <m/>
    <m/>
    <s v=""/>
    <n v="644"/>
    <s v="KNIT SINGLE JERSEY CMIA COTTON 95% ELASTANE CRERORA 5% GSM-160 CW-167.6 CM/66 INCH  "/>
    <s v="DARK BLUE"/>
    <n v="-50.093333333333334"/>
    <n v="150.28"/>
    <m/>
    <n v="-150.28"/>
    <m/>
    <n v="-150.2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50.28"/>
    <s v=""/>
    <n v="9445.86"/>
    <n v="0.29099999999999998"/>
    <n v="0"/>
  </r>
  <r>
    <s v="LIDL"/>
    <s v="SQBIR.LIDLASIAPTELIMIT.003.FY26-27.2"/>
    <m/>
    <m/>
    <m/>
    <m/>
    <s v=""/>
    <n v="645"/>
    <s v="KNIT SINGLE JERSEY CMIA COTTON 95% ELASTANE CRERORA 5% GSM-160 CW-167.6 CM/66 INCH  "/>
    <s v="DARK BLUE"/>
    <n v="-782.6343333333333"/>
    <n v="2347.9029999999998"/>
    <m/>
    <n v="-2347.9029999999998"/>
    <m/>
    <n v="-2347.902999999999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2347.9029999999998"/>
    <s v=""/>
    <n v="9445.86"/>
    <n v="0.29099999999999998"/>
    <n v="0"/>
  </r>
  <r>
    <s v="Sainsbury"/>
    <s v="SQBIR.SAINSBURYS.322.FY25-26.1"/>
    <m/>
    <m/>
    <m/>
    <m/>
    <s v=""/>
    <n v="667"/>
    <s v="SINGLE JERSEY 100% COTTON 110GSM"/>
    <s v="Black"/>
    <n v="0"/>
    <n v="110.779"/>
    <n v="110.779"/>
    <n v="0"/>
    <m/>
    <n v="0"/>
    <s v="446252"/>
    <s v="Solid"/>
    <x v="1"/>
    <d v="2026-10-0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2.FY25-26.1"/>
    <m/>
    <m/>
    <m/>
    <m/>
    <s v=""/>
    <n v="667"/>
    <s v="SINGLE JERSEY 100% COTTON 110GSM"/>
    <s v="Black"/>
    <n v="0"/>
    <n v="37.621000000000002"/>
    <n v="37.621000000000002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2.FY25-26.3"/>
    <m/>
    <m/>
    <m/>
    <m/>
    <s v=""/>
    <n v="668"/>
    <s v="SINGLE JERSEY 100% COTTON 110GSM"/>
    <s v="Black"/>
    <n v="0"/>
    <n v="1.113"/>
    <n v="1.113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Lane Bryant"/>
    <s v="SQBIR.MGFLaneBryant.044.FY26-27.2"/>
    <m/>
    <m/>
    <m/>
    <m/>
    <s v=""/>
    <n v="684"/>
    <s v="95% Cotton 5% Elastane 150GSM CW66"/>
    <s v="Bright White"/>
    <n v="0"/>
    <n v="3.456"/>
    <n v="3.456"/>
    <n v="0"/>
    <m/>
    <n v="0"/>
    <s v="458617"/>
    <s v="Solid"/>
    <x v="55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42.FY26-27.1"/>
    <m/>
    <m/>
    <m/>
    <m/>
    <s v=""/>
    <n v="685"/>
    <s v="95% Cotton 5% Elastane 150GSM CW66"/>
    <s v="Bright White"/>
    <n v="0"/>
    <n v="359.41800000000001"/>
    <n v="359.41800000000001"/>
    <n v="0"/>
    <m/>
    <n v="0"/>
    <s v="458617"/>
    <s v="Solid"/>
    <x v="55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18.FY26-27.2"/>
    <m/>
    <m/>
    <m/>
    <m/>
    <n v="22.14"/>
    <n v="686"/>
    <s v="95% Cotton 5% Elastane 150GSM CW66"/>
    <s v="Tap Shoe"/>
    <n v="0"/>
    <n v="1.8149999999999999"/>
    <n v="1.8149999999999999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1129.04"/>
    <n v="-22.14"/>
    <n v="1106.9050000000002"/>
    <n v="1106.9050000000002"/>
    <s v=""/>
    <s v=""/>
    <n v="0"/>
    <n v="22.14"/>
    <n v="1129.04"/>
    <n v="1.02"/>
    <n v="22.134999999999764"/>
  </r>
  <r>
    <s v="Lane Bryant"/>
    <s v="SQBIR.MGFLaneBryant.020.FY26-27.1"/>
    <m/>
    <m/>
    <m/>
    <m/>
    <s v=""/>
    <n v="687"/>
    <s v="95% Cotton 5% Elastane 150GSM CW66"/>
    <s v="Tap Shoe"/>
    <n v="0"/>
    <n v="542.62800000000004"/>
    <n v="542.62800000000004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1129.04"/>
    <n v="-22.14"/>
    <n v="1106.9050000000002"/>
    <n v="1106.9050000000002"/>
    <s v=""/>
    <s v=""/>
    <n v="0"/>
    <s v=""/>
    <n v="1129.04"/>
    <n v="1.02"/>
    <n v="22.134999999999764"/>
  </r>
  <r>
    <s v="Lane Bryant"/>
    <s v="SQBIR.MGFLaneBryant.020.FY26-27.2"/>
    <m/>
    <m/>
    <m/>
    <m/>
    <s v=""/>
    <n v="688"/>
    <s v="95% Cotton 5% Elastane 150GSM CW66"/>
    <s v="Tap Shoe"/>
    <n v="0"/>
    <n v="3.3079999999999998"/>
    <n v="3.3079999999999998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1129.04"/>
    <n v="-22.14"/>
    <n v="1106.9050000000002"/>
    <n v="1106.9050000000002"/>
    <s v=""/>
    <s v=""/>
    <n v="0"/>
    <s v=""/>
    <n v="1129.04"/>
    <n v="1.02"/>
    <n v="22.134999999999764"/>
  </r>
  <r>
    <s v="Lane Bryant"/>
    <s v="SQBIR.MGFLaneBryant.044.FY26-27.1"/>
    <m/>
    <m/>
    <m/>
    <m/>
    <s v=""/>
    <n v="689"/>
    <s v="95% Cotton 5% Elastane 150GSM CW66"/>
    <s v="Tap Shoe"/>
    <n v="0"/>
    <n v="354.43200000000002"/>
    <n v="354.43200000000002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1129.04"/>
    <n v="-22.14"/>
    <n v="1106.9050000000002"/>
    <n v="1106.9050000000002"/>
    <s v=""/>
    <s v=""/>
    <n v="0"/>
    <s v=""/>
    <n v="1129.04"/>
    <n v="1.02"/>
    <n v="22.134999999999764"/>
  </r>
  <r>
    <s v="Lane Bryant"/>
    <s v="SQBIR.MGFLaneBryant.042.FY26-27.2"/>
    <m/>
    <m/>
    <m/>
    <m/>
    <s v=""/>
    <n v="690"/>
    <s v="95% Cotton 5% Elastane 150GSM CW66"/>
    <s v="Bright White"/>
    <n v="0"/>
    <n v="1.7549999999999999"/>
    <n v="1.7549999999999999"/>
    <n v="0"/>
    <m/>
    <n v="0"/>
    <s v="458617"/>
    <s v="Solid"/>
    <x v="55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43.FY26-27.1"/>
    <m/>
    <m/>
    <m/>
    <m/>
    <s v=""/>
    <n v="691"/>
    <s v="95% Cotton 5% Elastane 150GSM CW66"/>
    <s v="Bright White"/>
    <n v="0"/>
    <n v="444.33499999999998"/>
    <n v="444.33499999999998"/>
    <n v="0"/>
    <m/>
    <n v="0"/>
    <s v="458617"/>
    <s v="Solid"/>
    <x v="55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IDL"/>
    <s v="SQBIR.LIDLASIAPTELIMIT.004.FY26-27.3"/>
    <m/>
    <m/>
    <m/>
    <m/>
    <s v=""/>
    <n v="692"/>
    <s v="KNIT SINGLE JERSEY CMIA COTTON 95% ELASTANE CRERORA 5% GSM-160 CW-167.6 CM/66 INCH  "/>
    <s v="Black"/>
    <n v="-3751.2043333333331"/>
    <n v="11253.612999999999"/>
    <m/>
    <n v="-11253.612999999999"/>
    <m/>
    <n v="-11253.612999999999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11253.612999999999"/>
    <s v=""/>
    <n v="8037"/>
    <n v="0.16200000000000001"/>
    <n v="-2.9999999998835847E-2"/>
  </r>
  <r>
    <s v="LIDL"/>
    <s v="SQBIR.LIDLASIAPTELIMIT.005.FY26-27.1"/>
    <m/>
    <m/>
    <m/>
    <m/>
    <s v=""/>
    <n v="711"/>
    <s v="KNIT SINGLE JERSEY CMIA COTTON 95% ELASTANE CRERORA 5% GSM-160 CW-167.6 CM/66 INCH  "/>
    <s v="Black"/>
    <n v="-124.00833333333333"/>
    <n v="372.02499999999998"/>
    <m/>
    <n v="-372.02499999999998"/>
    <m/>
    <n v="-372.02499999999998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372.02499999999998"/>
    <s v=""/>
    <n v="8037"/>
    <n v="0.16200000000000001"/>
    <n v="-2.9999999998835847E-2"/>
  </r>
  <r>
    <s v="LIDL"/>
    <s v="SQBIR.LIDLASIAPTELIMIT.005.FY26-27.2"/>
    <m/>
    <m/>
    <m/>
    <m/>
    <s v=""/>
    <n v="713"/>
    <s v="KNIT SINGLE JERSEY CMIA COTTON 95% ELASTANE CRERORA 5% GSM-160 CW-167.6 CM/66 INCH  "/>
    <s v="Black"/>
    <n v="-78.058333333333337"/>
    <n v="234.17500000000001"/>
    <m/>
    <n v="-234.17500000000001"/>
    <m/>
    <n v="-234.1750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234.17500000000001"/>
    <s v=""/>
    <n v="8037"/>
    <n v="0.16200000000000001"/>
    <n v="-2.9999999998835847E-2"/>
  </r>
  <r>
    <s v="LIDL"/>
    <s v="SQBIR.LIDLASIAPTELIMIT.005.FY26-27.3"/>
    <m/>
    <m/>
    <m/>
    <m/>
    <s v=""/>
    <n v="714"/>
    <s v="KNIT SINGLE JERSEY CMIA COTTON 95% ELASTANE CRERORA 5% GSM-160 CW-167.6 CM/66 INCH  "/>
    <s v="Black"/>
    <n v="-405.54466666666667"/>
    <n v="1216.634"/>
    <m/>
    <n v="-1216.634"/>
    <m/>
    <n v="-1216.634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1216.634"/>
    <s v=""/>
    <n v="8037"/>
    <n v="0.16200000000000001"/>
    <n v="-2.9999999998835847E-2"/>
  </r>
  <r>
    <s v="LIDL"/>
    <s v="SQBIR.LIDLASIAPTELIMIT.005.FY26-27.4"/>
    <m/>
    <m/>
    <m/>
    <m/>
    <s v=""/>
    <n v="715"/>
    <s v="KNIT SINGLE JERSEY CMIA COTTON 95% ELASTANE CRERORA 5% GSM-160 CW-167.6 CM/66 INCH  "/>
    <s v="Black"/>
    <n v="-26.835999999999999"/>
    <n v="80.507999999999996"/>
    <m/>
    <n v="-80.507999999999996"/>
    <m/>
    <n v="-80.507999999999996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80.507999999999996"/>
    <s v=""/>
    <n v="8037"/>
    <n v="0.16200000000000001"/>
    <n v="-2.9999999998835847E-2"/>
  </r>
  <r>
    <s v="LIDL"/>
    <s v="SQBIR.LIDLASIAPTELIMIT.005.FY26-27.5"/>
    <m/>
    <m/>
    <m/>
    <m/>
    <s v=""/>
    <n v="716"/>
    <s v="KNIT SINGLE JERSEY CMIA COTTON 95% ELASTANE CRERORA 5% GSM-160 CW-167.6 CM/66 INCH  "/>
    <s v="Black"/>
    <n v="-2.919"/>
    <n v="8.7569999999999997"/>
    <m/>
    <n v="-8.7569999999999997"/>
    <m/>
    <n v="-8.7569999999999997"/>
    <s v="459174"/>
    <s v="Solid"/>
    <x v="51"/>
    <d v="2026-11-25T00:00:00"/>
    <s v="(15 Oct-30th Oct)-1.5 k mtr/day_x000a_(1 Nov-25th Nov)-5k mtr/day"/>
    <s v="Hues Agreed qty as per SQBL required date"/>
    <m/>
    <s v="Oct"/>
    <d v="2026-10-12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8.7569999999999997"/>
    <s v=""/>
    <n v="8037"/>
    <n v="0.16200000000000001"/>
    <n v="-2.9999999998835847E-2"/>
  </r>
  <r>
    <s v="Sainsbury"/>
    <s v="SQBIR.SAINSBURYS.280.FY25-26.3"/>
    <m/>
    <m/>
    <m/>
    <m/>
    <n v="41"/>
    <n v="717"/>
    <s v="S/J 95% Cotton 5% Investa Lycra 140gsm CW66”"/>
    <s v="HUSHED VIOLET"/>
    <n v="0"/>
    <n v="1.08"/>
    <n v="1.08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Hushed Violet 14-3803 Tcx"/>
    <n v="140"/>
    <s v="436590/442546140Hushed Violet 14-3803 Tcx"/>
    <n v="3191"/>
    <n v="-41"/>
    <n v="1.08"/>
    <n v="1.08"/>
    <s v=""/>
    <s v=""/>
    <n v="0"/>
    <n v="41"/>
    <n v="3191"/>
    <n v="1.0129999999999999"/>
    <n v="3189.92"/>
  </r>
  <r>
    <s v="Lane Bryant"/>
    <s v="SQBIR.MGFLaneBryant.018.FY26-27.1"/>
    <m/>
    <m/>
    <m/>
    <m/>
    <s v=""/>
    <n v="718"/>
    <s v="95% Cotton 5% Elastane 150GSM CW66"/>
    <s v="Bright White"/>
    <n v="0"/>
    <n v="202.994"/>
    <n v="202.994"/>
    <n v="0"/>
    <m/>
    <n v="0"/>
    <s v="458617"/>
    <s v="Solid"/>
    <x v="55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18.FY26-27.2"/>
    <m/>
    <m/>
    <m/>
    <m/>
    <s v=""/>
    <n v="719"/>
    <s v="95% Cotton 5% Elastane 150GSM CW66"/>
    <s v="Bright White"/>
    <n v="0"/>
    <n v="1.8149999999999999"/>
    <n v="1.8149999999999999"/>
    <n v="0"/>
    <m/>
    <n v="0"/>
    <s v="458617"/>
    <s v="Solid"/>
    <x v="55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19.FY26-27.1"/>
    <m/>
    <m/>
    <m/>
    <m/>
    <s v=""/>
    <n v="720"/>
    <s v="95% Cotton 5% Elastane 150GSM CW66"/>
    <s v="Bright White"/>
    <n v="0"/>
    <n v="502.476"/>
    <n v="502.476"/>
    <n v="0"/>
    <m/>
    <n v="0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19.FY26-27.2"/>
    <m/>
    <m/>
    <m/>
    <m/>
    <s v=""/>
    <n v="721"/>
    <s v="95% Cotton 5% Elastane 150GSM CW66"/>
    <s v="Bright White"/>
    <n v="0"/>
    <n v="1.798"/>
    <n v="1.798"/>
    <n v="0"/>
    <m/>
    <n v="0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20.FY26-27.1"/>
    <m/>
    <m/>
    <m/>
    <m/>
    <s v=""/>
    <n v="722"/>
    <s v="95% Cotton 5% Elastane 150GSM CW66"/>
    <s v="Bright White"/>
    <n v="0"/>
    <n v="542.62800000000004"/>
    <n v="542.62800000000004"/>
    <n v="0"/>
    <m/>
    <n v="0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20.FY26-27.2"/>
    <m/>
    <m/>
    <m/>
    <m/>
    <s v=""/>
    <n v="723"/>
    <s v="95% Cotton 5% Elastane 150GSM CW66"/>
    <s v="Bright White"/>
    <n v="0"/>
    <n v="3.3079999999999998"/>
    <n v="3.3079999999999998"/>
    <n v="0"/>
    <m/>
    <n v="0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21.FY26-27.1"/>
    <m/>
    <m/>
    <m/>
    <m/>
    <s v=""/>
    <n v="724"/>
    <s v="95% Cotton 5% Elastane 150GSM CW66"/>
    <s v="Bright White"/>
    <n v="0"/>
    <n v="542.62800000000004"/>
    <n v="542.62800000000004"/>
    <n v="0"/>
    <m/>
    <n v="0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21.FY26-27.2"/>
    <m/>
    <m/>
    <m/>
    <m/>
    <s v=""/>
    <n v="725"/>
    <s v="95% Cotton 5% Elastane 150GSM CW66"/>
    <s v="Bright White"/>
    <n v="0"/>
    <n v="3.3079999999999998"/>
    <n v="3.3079999999999998"/>
    <n v="0"/>
    <m/>
    <n v="0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0"/>
    <s v=""/>
    <n v="3130.07"/>
    <n v="0.94199999999999995"/>
    <n v="-8.0000000002655725E-3"/>
  </r>
  <r>
    <s v="Lane Bryant"/>
    <s v="SQBIR.MGFLaneBryant.044.FY26-27.1"/>
    <m/>
    <m/>
    <m/>
    <m/>
    <s v=""/>
    <n v="726"/>
    <s v="95% Cotton 5% Elastane 150GSM CW66"/>
    <s v="Bright White"/>
    <n v="-62.901666666666678"/>
    <n v="708.86400000000003"/>
    <n v="520.15899999999999"/>
    <n v="-188.70500000000004"/>
    <m/>
    <n v="-188.70500000000004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188.70500000000004"/>
    <s v=""/>
    <n v="3130.07"/>
    <n v="0.94199999999999995"/>
    <n v="-8.0000000002655725E-3"/>
  </r>
  <r>
    <s v="LIDL"/>
    <s v="SQBIR.LIDLASIAPTELIMIT.006.FY26-27.3"/>
    <m/>
    <m/>
    <m/>
    <m/>
    <s v=""/>
    <n v="729"/>
    <s v="KNIT SINGLE JERSEY CMIA COTTON 95% ELASTANE CRERORA 5% GSM-160 CW-167.6 CM/66 INCH  "/>
    <s v="16-4019TCX Forever Blue"/>
    <n v="-539.01233333333334"/>
    <n v="1617.037"/>
    <m/>
    <n v="-1617.037"/>
    <m/>
    <n v="-1617.037"/>
    <s v="459174"/>
    <s v="Solid"/>
    <x v="33"/>
    <d v="2026-11-08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1617.037"/>
    <s v=""/>
    <n v="26990.42"/>
    <n v="0.83199999999999996"/>
    <n v="0"/>
  </r>
  <r>
    <s v="LIDL"/>
    <s v="SQBIR.LIDLASIAPTELIMIT.006.FY26-27.3"/>
    <m/>
    <m/>
    <m/>
    <m/>
    <s v=""/>
    <n v="729"/>
    <s v="KNIT SINGLE JERSEY CMIA COTTON 95% ELASTANE CRERORA 5% GSM-160 CW-167.6 CM/66 INCH  "/>
    <s v="16-4019TCX Forever Blue"/>
    <n v="-717.07"/>
    <n v="2151.21"/>
    <m/>
    <n v="-2151.21"/>
    <m/>
    <n v="-2151.21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2151.21"/>
    <s v=""/>
    <n v="26990.42"/>
    <n v="0.83199999999999996"/>
    <n v="0"/>
  </r>
  <r>
    <s v="LIDL"/>
    <s v="SQBIR.LIDLASIAPTELIMIT.006.FY26-27.4"/>
    <m/>
    <m/>
    <m/>
    <m/>
    <s v=""/>
    <n v="730"/>
    <s v="KNIT SINGLE JERSEY CMIA COTTON 95% ELASTANE CRERORA 5% GSM-160 CW-167.6 CM/66 INCH  "/>
    <s v="16-4019TCX Forever Blue"/>
    <n v="-82.844999999999999"/>
    <n v="248.535"/>
    <m/>
    <n v="-248.535"/>
    <m/>
    <n v="-248.535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248.535"/>
    <s v=""/>
    <n v="26990.42"/>
    <n v="0.83199999999999996"/>
    <n v="0"/>
  </r>
  <r>
    <s v="LIDL"/>
    <s v="SQBIR.LIDLASIAPTELIMIT.006.FY26-27.5"/>
    <m/>
    <m/>
    <m/>
    <m/>
    <s v=""/>
    <n v="731"/>
    <s v="KNIT SINGLE JERSEY CMIA COTTON 95% ELASTANE CRERORA 5% GSM-160 CW-167.6 CM/66 INCH  "/>
    <s v="16-4019TCX Forever Blue"/>
    <n v="-8.7516666666666669"/>
    <n v="26.254999999999999"/>
    <m/>
    <n v="-26.254999999999999"/>
    <m/>
    <n v="-26.254999999999999"/>
    <s v="459174"/>
    <s v="Solid"/>
    <x v="35"/>
    <d v="2026-11-09T00:00:00"/>
    <s v="(28th Oct-10th Nov)-2.5k mtr/day"/>
    <s v="Revised Plan given as per revised date"/>
    <m/>
    <s v="Oct"/>
    <d v="2026-10-12T00:00:00"/>
    <m/>
    <m/>
    <m/>
    <m/>
    <m/>
    <m/>
    <m/>
    <m/>
    <m/>
    <m/>
    <s v="459174#Style-2607 (MENS)-Creora"/>
    <s v="Forever Blue 16-4019 TCX"/>
    <n v="160"/>
    <s v="459174#Style-2607 (MENS)-Creora160Forever Blue 16-4019 TCX"/>
    <n v="26990.42"/>
    <n v="5435.58"/>
    <n v="26990.42"/>
    <n v="32426.000000000004"/>
    <s v=""/>
    <s v=""/>
    <n v="26.254999999999999"/>
    <s v=""/>
    <n v="26990.42"/>
    <n v="0.83199999999999996"/>
    <n v="0"/>
  </r>
  <r>
    <s v="LIDL"/>
    <s v="SQBIR.LIDLASIAPTELIMIT.003.FY26-27.1"/>
    <m/>
    <m/>
    <m/>
    <m/>
    <s v=""/>
    <n v="732"/>
    <s v="KNIT SINGLE JERSEY CMIA COTTON 95% ELASTANE CRERORA 5% GSM-160 CW-167.6 CM/66 INCH  "/>
    <s v="Navy Blazer 19-3923-TCX"/>
    <n v="-25.402666666666665"/>
    <n v="76.207999999999998"/>
    <m/>
    <n v="-76.207999999999998"/>
    <m/>
    <n v="-76.207999999999998"/>
    <s v="459174"/>
    <s v="Solid"/>
    <x v="36"/>
    <d v="2026-11-10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76.207999999999998"/>
    <s v=""/>
    <n v="13076.44"/>
    <n v="0.377"/>
    <n v="0"/>
  </r>
  <r>
    <s v="LIDL"/>
    <s v="SQBIR.LIDLASIAPTELIMIT.003.FY26-27.1"/>
    <m/>
    <m/>
    <m/>
    <m/>
    <s v=""/>
    <n v="732"/>
    <s v="KNIT SINGLE JERSEY CMIA COTTON 95% ELASTANE CRERORA 5% GSM-160 CW-167.6 CM/66 INCH  "/>
    <s v="Navy Blazer 19-3923-TCX"/>
    <n v="-24.683666666666667"/>
    <n v="74.051000000000002"/>
    <m/>
    <n v="-74.051000000000002"/>
    <m/>
    <n v="-74.051000000000002"/>
    <s v="459174"/>
    <s v="Solid"/>
    <x v="37"/>
    <d v="2026-11-1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74.051000000000002"/>
    <s v=""/>
    <n v="13076.44"/>
    <n v="0.377"/>
    <n v="0"/>
  </r>
  <r>
    <s v="LIDL"/>
    <s v="SQBIR.LIDLASIAPTELIMIT.003.FY26-27.2"/>
    <m/>
    <m/>
    <m/>
    <m/>
    <s v=""/>
    <n v="733"/>
    <s v="KNIT SINGLE JERSEY CMIA COTTON 95% ELASTANE CRERORA 5% GSM-160 CW-167.6 CM/66 INCH  "/>
    <s v="Navy Blazer 19-3923-TCX"/>
    <n v="-975.31633333333332"/>
    <n v="2925.9490000000001"/>
    <m/>
    <n v="-2925.9490000000001"/>
    <m/>
    <n v="-2925.9490000000001"/>
    <s v="459174"/>
    <s v="Solid"/>
    <x v="37"/>
    <d v="2026-11-11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2925.9490000000001"/>
    <s v=""/>
    <n v="13076.44"/>
    <n v="0.377"/>
    <n v="0"/>
  </r>
  <r>
    <s v="LIDL"/>
    <s v="SQBIR.LIDLASIAPTELIMIT.003.FY26-27.2"/>
    <m/>
    <m/>
    <m/>
    <m/>
    <b v="0"/>
    <n v="733"/>
    <s v="KNIT SINGLE JERSEY CMIA COTTON 95% ELASTANE CRERORA 5% GSM-160 CW-167.6 CM/66 INCH  "/>
    <s v="Navy Blazer 19-3923-TCX"/>
    <n v="-556.66666666666663"/>
    <n v="1670"/>
    <m/>
    <n v="-1670"/>
    <m/>
    <n v="-1670"/>
    <s v="459174"/>
    <s v="Solid"/>
    <x v="38"/>
    <d v="2026-11-12T00:00:00"/>
    <s v="(1st Nov-12th Nov)-3k mtr/day"/>
    <s v="Revised Plan given as per revised date"/>
    <m/>
    <s v="Oct"/>
    <d v="2026-10-08T00:00:00"/>
    <m/>
    <m/>
    <m/>
    <m/>
    <m/>
    <m/>
    <m/>
    <m/>
    <m/>
    <m/>
    <s v="459174#Style-2607 (MENS)-Creora"/>
    <s v="Navy Blazer 19-3923 tcx"/>
    <n v="160"/>
    <s v="459174#Style-2607 (MENS)-Creora160Navy Blazer 19-3923 tcx"/>
    <n v="13076.44"/>
    <n v="21593.56"/>
    <n v="13076.439999999999"/>
    <n v="34670"/>
    <s v=""/>
    <s v=""/>
    <n v="1670"/>
    <b v="0"/>
    <n v="13076.44"/>
    <n v="0.377"/>
    <n v="0"/>
  </r>
  <r>
    <s v="LIDL"/>
    <s v="SQBIR.LIDLASIAPTELIMIT.003.FY26-27.9"/>
    <m/>
    <m/>
    <m/>
    <m/>
    <s v=""/>
    <n v="734"/>
    <s v="KNIT SINGLE JERSEY CMIA COTTON 95% ELASTANE CRERORA 5% GSM-160 CW-167.6 CM/66 INCH  "/>
    <s v="DARK BLUE"/>
    <n v="-4.4093333333333335"/>
    <n v="13.228"/>
    <m/>
    <n v="-13.228"/>
    <m/>
    <n v="-13.228"/>
    <s v="459174"/>
    <s v="Solid"/>
    <x v="36"/>
    <d v="2026-11-10T00:00:00"/>
    <s v="(20th-24th) Oct-2k mtr/day_x000a_(1st-10th) Nov-2k mtr/day"/>
    <s v="Revised Plan given as per revised date"/>
    <m/>
    <s v="Oct"/>
    <d v="2026-10-08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3.228"/>
    <s v=""/>
    <n v="9445.86"/>
    <n v="0.29099999999999998"/>
    <n v="0"/>
  </r>
  <r>
    <s v="LIDL"/>
    <s v="SQBIR.LIDLASIAPTELIMIT.006.FY26-27.1"/>
    <m/>
    <m/>
    <m/>
    <m/>
    <s v=""/>
    <n v="735"/>
    <s v="KNIT SINGLE JERSEY CMIA COTTON 95% ELASTANE CRERORA 5% GSM-160 CW-167.6 CM/66 INCH  "/>
    <s v="DARK BLUE"/>
    <n v="-383.88433333333336"/>
    <n v="1151.653"/>
    <m/>
    <n v="-1151.653"/>
    <m/>
    <n v="-1151.653"/>
    <s v="459174"/>
    <s v="Solid"/>
    <x v="36"/>
    <d v="2026-11-1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1151.653"/>
    <s v=""/>
    <n v="9445.86"/>
    <n v="0.29099999999999998"/>
    <n v="0"/>
  </r>
  <r>
    <s v="LIDL"/>
    <s v="SQBIR.LIDLASIAPTELIMIT.022.FY26-27.4"/>
    <m/>
    <m/>
    <m/>
    <m/>
    <s v=""/>
    <n v="740"/>
    <s v="KNIT SINGLE JERSEY CMIA COTTON 95% ELASTANE CRERORA 5% GSM-160 CW-167.6 CM/66 INCH  "/>
    <s v="DARK BLUE"/>
    <n v="0"/>
    <n v="1252.492"/>
    <n v="1252.492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28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0"/>
    <s v=""/>
    <n v="4801.7299999999996"/>
    <n v="0.95299999999999996"/>
    <n v="0"/>
  </r>
  <r>
    <s v="LIDL"/>
    <s v="SQBIR.LIDLASIAPTELIMIT.022.FY26-27.5"/>
    <m/>
    <m/>
    <m/>
    <m/>
    <s v=""/>
    <n v="741"/>
    <s v="KNIT SINGLE JERSEY CMIA COTTON 95% ELASTANE CRERORA 5% GSM-160 CW-167.6 CM/66 INCH  "/>
    <s v="DARK BLUE"/>
    <n v="0"/>
    <n v="276.07600000000002"/>
    <n v="276.07600000000002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0"/>
    <s v=""/>
    <n v="4801.7299999999996"/>
    <n v="0.95299999999999996"/>
    <n v="0"/>
  </r>
  <r>
    <s v="LIDL"/>
    <s v="SQBIR.LIDLASIAPTELIMIT.022.FY26-27.6"/>
    <m/>
    <m/>
    <m/>
    <m/>
    <s v=""/>
    <n v="742"/>
    <s v="KNIT SINGLE JERSEY CMIA COTTON 95% ELASTANE CRERORA 5% GSM-160 CW-167.6 CM/66 INCH  "/>
    <s v="DARK BLUE"/>
    <n v="0"/>
    <n v="1078.973"/>
    <n v="1078.973"/>
    <n v="0"/>
    <m/>
    <n v="0"/>
    <s v="459780"/>
    <s v="Solid"/>
    <x v="22"/>
    <d v="2026-10-07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0"/>
    <s v=""/>
    <n v="4801.7299999999996"/>
    <n v="0.95299999999999996"/>
    <n v="0"/>
  </r>
  <r>
    <s v="LIDL"/>
    <s v="SQBIR.LIDLASIAPTELIMIT.022.FY26-27.6"/>
    <m/>
    <m/>
    <m/>
    <m/>
    <s v=""/>
    <n v="742"/>
    <s v="KNIT SINGLE JERSEY CMIA COTTON 95% ELASTANE CRERORA 5% GSM-160 CW-167.6 CM/66 INCH  "/>
    <s v="DARK BLUE"/>
    <n v="0"/>
    <n v="948.351"/>
    <n v="948.351"/>
    <n v="0"/>
    <m/>
    <n v="0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0"/>
    <s v=""/>
    <n v="4801.7299999999996"/>
    <n v="0.95299999999999996"/>
    <n v="0"/>
  </r>
  <r>
    <s v="Sainsbury"/>
    <s v="SQBIR.SAINSBURYS.293.FY25-26.3"/>
    <m/>
    <m/>
    <m/>
    <m/>
    <b v="0"/>
    <n v="746"/>
    <s v="S/J- Solid  95%Cot 5%Inv Lycra 140gsm with PCF 66"/>
    <s v="15-1915 TCX"/>
    <n v="0"/>
    <n v="4.58"/>
    <n v="4.58"/>
    <n v="0"/>
    <m/>
    <n v="0"/>
    <s v="436829"/>
    <s v="Solid"/>
    <x v="53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15-1915 TCX"/>
    <n v="140"/>
    <s v="43682914015-1915 TCX"/>
    <n v="1415"/>
    <n v="5"/>
    <n v="4.58"/>
    <n v="4.58"/>
    <s v=""/>
    <s v=""/>
    <n v="0"/>
    <b v="0"/>
    <n v="1415"/>
    <n v="0.996"/>
    <n v="1410.42"/>
  </r>
  <r>
    <s v="Sainsbury"/>
    <s v="SQBIR.SAINSBURYS.290.FY25-26.2"/>
    <m/>
    <m/>
    <m/>
    <m/>
    <b v="0"/>
    <n v="747"/>
    <s v="S/J- Solid  95%Cot 5%Inv Lycra 140gsm with PCF 66"/>
    <s v="Black"/>
    <n v="0"/>
    <n v="191.3"/>
    <n v="191.3"/>
    <n v="0"/>
    <m/>
    <n v="0"/>
    <s v="436829"/>
    <s v="Solid"/>
    <x v="53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Black"/>
    <n v="140"/>
    <s v="436829140Black"/>
    <n v="4439"/>
    <n v="192"/>
    <n v="191.3"/>
    <n v="191.3"/>
    <s v=""/>
    <s v=""/>
    <n v="0"/>
    <b v="0"/>
    <n v="4439"/>
    <n v="0.95899999999999996"/>
    <n v="4247.7"/>
  </r>
  <r>
    <s v="SAINSBURYS"/>
    <s v="SQBIR.SAINSBURYS.292.FY25-26.3"/>
    <m/>
    <m/>
    <m/>
    <m/>
    <s v=""/>
    <n v="759"/>
    <s v="S/J- Solid  95%Cot 5%Inv Lycra 140gsm with PCF 66"/>
    <s v="PANTONE 12-1706 TCX"/>
    <n v="-0.46666666666666662"/>
    <n v="1.4"/>
    <n v="0"/>
    <n v="-1.4"/>
    <m/>
    <n v="-1.4"/>
    <s v="453620"/>
    <s v="Solid"/>
    <x v="5"/>
    <s v="Plan TBC"/>
    <s v="Plan TBC"/>
    <s v="PO not yet received from SCM but it's visible in the line plan"/>
    <m/>
    <s v="Oct"/>
    <d v="2026-10-01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1.4"/>
    <s v=""/>
    <e v="#N/A"/>
    <e v="#N/A"/>
    <n v="0"/>
  </r>
  <r>
    <s v="Lane Bryant"/>
    <s v="SQBIR.MGFLaneBryant.001.FY26-27.2"/>
    <m/>
    <m/>
    <m/>
    <m/>
    <s v=""/>
    <n v="782"/>
    <s v="95% Cotton 5% Elastane 150GSM CW66"/>
    <s v="Maritime Blue"/>
    <n v="0"/>
    <n v="368"/>
    <n v="368"/>
    <n v="0"/>
    <m/>
    <n v="0"/>
    <s v="452132"/>
    <s v="Solid"/>
    <x v="52"/>
    <d v="2026-10-02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0"/>
    <s v=""/>
    <n v="5602"/>
    <n v="0.97899999999999998"/>
    <n v="208.41799999999967"/>
  </r>
  <r>
    <s v="Lane Bryant"/>
    <s v="SQBIR.MGFLaneBryant.001.FY26-27.2"/>
    <m/>
    <m/>
    <m/>
    <m/>
    <s v=""/>
    <n v="782"/>
    <s v="95% Cotton 5% Elastane 150GSM CW66"/>
    <s v="Maritime Blue"/>
    <n v="0"/>
    <n v="1424.4939999999999"/>
    <n v="1424.4939999999999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0"/>
    <s v=""/>
    <n v="5602"/>
    <n v="0.97899999999999998"/>
    <n v="208.41799999999967"/>
  </r>
  <r>
    <s v="Lane Bryant"/>
    <s v="SQBIR.MGFLaneBryant.001.FY26-27.3"/>
    <m/>
    <m/>
    <m/>
    <m/>
    <s v=""/>
    <n v="783"/>
    <s v="95% Cotton 5% Elastane 150GSM CW66"/>
    <s v="Maritime Blue"/>
    <n v="0"/>
    <n v="3.2669999999999999"/>
    <n v="3.2669999999999999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0"/>
    <s v=""/>
    <n v="5602"/>
    <n v="0.97899999999999998"/>
    <n v="208.41799999999967"/>
  </r>
  <r>
    <s v="Lane Bryant"/>
    <s v="SQBIR.MGFLaneBryant.002.FY26-27.1"/>
    <m/>
    <m/>
    <m/>
    <m/>
    <s v=""/>
    <n v="784"/>
    <s v="95% Cotton 5% Elastane 150GSM CW66"/>
    <s v="Maritime Blue"/>
    <n v="0"/>
    <n v="572.23900000000003"/>
    <n v="572.23900000000003"/>
    <n v="0"/>
    <m/>
    <n v="0"/>
    <s v="452132"/>
    <s v="Solid"/>
    <x v="3"/>
    <d v="2026-10-04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0"/>
    <s v=""/>
    <n v="5602"/>
    <n v="0.97899999999999998"/>
    <n v="208.41799999999967"/>
  </r>
  <r>
    <s v="Lane Bryant"/>
    <s v="SQBIR.MGFLaneBryant.002.FY26-27.1"/>
    <m/>
    <m/>
    <m/>
    <m/>
    <b v="0"/>
    <n v="784"/>
    <s v="95% Cotton 5% Elastane 150GSM CW66"/>
    <s v="Maritime Blue"/>
    <n v="0"/>
    <n v="465.67899999999997"/>
    <n v="465.67899999999997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0"/>
    <b v="0"/>
    <n v="5602"/>
    <n v="0.97899999999999998"/>
    <n v="208.41799999999967"/>
  </r>
  <r>
    <s v="Lane Bryant"/>
    <s v="SQBIR.MGFLaneBryant.002.FY26-27.2"/>
    <m/>
    <m/>
    <m/>
    <m/>
    <s v=""/>
    <n v="785"/>
    <s v="95% Cotton 5% Elastane 150GSM CW66"/>
    <s v="Maritime Blue"/>
    <n v="0"/>
    <n v="1077.02"/>
    <n v="1077.02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0"/>
    <s v=""/>
    <n v="5602"/>
    <n v="0.97899999999999998"/>
    <n v="208.41799999999967"/>
  </r>
  <r>
    <s v="Lane Bryant"/>
    <s v="SQBIR.MGFLaneBryant.002.FY26-27.3"/>
    <m/>
    <m/>
    <m/>
    <m/>
    <s v=""/>
    <n v="786"/>
    <s v="95% Cotton 5% Elastane 150GSM CW66"/>
    <s v="Maritime Blue"/>
    <n v="0"/>
    <n v="1.887"/>
    <n v="1.887"/>
    <n v="0"/>
    <m/>
    <n v="0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0"/>
    <s v=""/>
    <n v="5602"/>
    <n v="0.97899999999999998"/>
    <n v="208.41799999999967"/>
  </r>
  <r>
    <s v="Lane Bryant"/>
    <s v="SQBIR.MGFLaneBryant.012.FY26-27.1"/>
    <m/>
    <m/>
    <m/>
    <m/>
    <s v=""/>
    <n v="787"/>
    <s v="95% Cotton 5% Elastane 150GSM CW66"/>
    <s v="PANTONE Chocolate Plum"/>
    <n v="0"/>
    <n v="610.30499999999995"/>
    <n v="610.30499999999995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s v=""/>
    <n v="6608.97"/>
    <n v="1.008"/>
    <n v="49.221999999999753"/>
  </r>
  <r>
    <s v="Lane Bryant"/>
    <s v="SQBIR.MGFLaneBryant.012.FY26-27.2"/>
    <m/>
    <m/>
    <m/>
    <m/>
    <n v="49.23"/>
    <n v="788"/>
    <s v="95% Cotton 5% Elastane 150GSM CW66"/>
    <s v="PANTONE Chocolate Plum"/>
    <n v="0"/>
    <n v="2.202"/>
    <n v="2.2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CHOCOLATE PLUM 19-1110 TCX"/>
    <n v="150"/>
    <s v="452132150PANTONE CHOCOLATE PLUM 19-1110 TCX"/>
    <n v="6608.97"/>
    <n v="-49.23"/>
    <n v="6559.7480000000005"/>
    <n v="6559.7480000000005"/>
    <s v=""/>
    <s v=""/>
    <n v="0"/>
    <n v="49.23"/>
    <n v="6608.97"/>
    <n v="1.008"/>
    <n v="49.221999999999753"/>
  </r>
  <r>
    <s v="Lane Bryant"/>
    <s v="SQBIR.MGFLaneBryant.009.FY26-27.1"/>
    <m/>
    <m/>
    <m/>
    <m/>
    <s v=""/>
    <n v="789"/>
    <s v="95% Cotton 5% Elastane 150GSM CW66"/>
    <s v="Pantone Deep Taupe"/>
    <n v="0"/>
    <n v="198.54"/>
    <n v="198.54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s v=""/>
    <s v=""/>
    <n v="0"/>
    <s v=""/>
    <n v="5935.81"/>
    <n v="0.93400000000000005"/>
    <n v="-5.0000000001091394E-3"/>
  </r>
  <r>
    <s v="Lane Bryant"/>
    <s v="SQBIR.MGFLaneBryant.017.FY26-27.3"/>
    <m/>
    <m/>
    <m/>
    <m/>
    <s v=""/>
    <n v="795"/>
    <s v="95% Cotton 5% Elastane 150GSM CW66"/>
    <s v="Bright White"/>
    <n v="-0.6"/>
    <n v="1.8"/>
    <m/>
    <n v="-1.8"/>
    <m/>
    <n v="-1.8"/>
    <s v="452132"/>
    <s v="Solid"/>
    <x v="54"/>
    <d v="2026-10-10T00:00:00"/>
    <d v="2026-10-09T00:00:00"/>
    <s v="Revised Plan given as per revised date"/>
    <m/>
    <s v="Oct"/>
    <d v="2026-10-02T00:00:00"/>
    <m/>
    <m/>
    <m/>
    <m/>
    <m/>
    <m/>
    <m/>
    <m/>
    <m/>
    <m/>
    <s v="452132"/>
    <s v="BRIGHT WHITE"/>
    <n v="150"/>
    <s v="452132150BRIGHT WHITE"/>
    <n v="1439.16"/>
    <n v="65.510000000000005"/>
    <n v="1439.1630000000002"/>
    <n v="1504.6730000000002"/>
    <s v=""/>
    <s v=""/>
    <n v="1.8"/>
    <s v=""/>
    <n v="1439.16"/>
    <n v="0.95599999999999996"/>
    <n v="-3.0000000001564331E-3"/>
  </r>
  <r>
    <s v="Lane Bryant"/>
    <s v="SQBIR.MGFLaneBryant.001.FY26-27.1"/>
    <m/>
    <m/>
    <m/>
    <m/>
    <s v=""/>
    <n v="796"/>
    <s v="95% Cotton 5% Elastane 150GSM CW66"/>
    <s v="Maritime Blue"/>
    <n v="-39.586666666666666"/>
    <n v="1599.7560000000001"/>
    <n v="1480.9960000000001"/>
    <n v="-118.75999999999999"/>
    <m/>
    <n v="-118.75999999999999"/>
    <s v="452132"/>
    <s v="Solid"/>
    <x v="24"/>
    <d v="2026-10-06T00:00:00"/>
    <s v="2nd Oct-368 Mtr_x000a_4th Oct- 2000 mtr_x000a_6th Oct- balance full"/>
    <s v="Hues Agreed qty as per SQBL required date"/>
    <m/>
    <s v="Oct"/>
    <d v="2026-10-02T00:00:00"/>
    <m/>
    <m/>
    <m/>
    <m/>
    <m/>
    <m/>
    <m/>
    <m/>
    <m/>
    <m/>
    <s v="452132"/>
    <s v="MARITIME BLUE"/>
    <n v="150"/>
    <s v="452132150MARITIME BLUE"/>
    <n v="5602"/>
    <n v="118.76"/>
    <n v="5393.5820000000003"/>
    <n v="5512.3420000000006"/>
    <s v=""/>
    <s v=""/>
    <n v="118.75999999999999"/>
    <s v=""/>
    <n v="5602"/>
    <n v="0.97899999999999998"/>
    <n v="208.41799999999967"/>
  </r>
  <r>
    <s v="LIDL"/>
    <s v="SQBIR.LIDLASIAPTELIMIT.005.FY26-27.4"/>
    <m/>
    <m/>
    <m/>
    <m/>
    <b v="0"/>
    <n v="798"/>
    <s v="KNIT SINGLE JERSEY CMIA COTTON 95% ELASTANE CRERORA 5% GSM-160 CW-167.6 CM/66 INCH  "/>
    <s v="MID GREY MELANGE"/>
    <n v="-26.852999999999998"/>
    <n v="80.558999999999997"/>
    <m/>
    <n v="-80.558999999999997"/>
    <m/>
    <n v="-80.558999999999997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80.558999999999997"/>
    <b v="0"/>
    <n v="9154.2800000000007"/>
    <n v="0.442"/>
    <n v="0"/>
  </r>
  <r>
    <s v="LIDL"/>
    <s v="SQBIR.LIDLASIAPTELIMIT.002.FY26-27.9"/>
    <m/>
    <m/>
    <m/>
    <m/>
    <s v=""/>
    <n v="824"/>
    <s v="KNIT SINGLE JERSEY CMIA COTTON 95% ELASTANE CRERORA 5% GSM-160 CW-167.6 CM/66 INCH  "/>
    <s v="White"/>
    <n v="-3.3236666666666665"/>
    <n v="9.9710000000000001"/>
    <m/>
    <n v="-9.9710000000000001"/>
    <m/>
    <n v="-9.9710000000000001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9.9710000000000001"/>
    <s v=""/>
    <n v="844"/>
    <n v="4.1000000000000002E-2"/>
    <n v="-9.9999999999909051E-3"/>
  </r>
  <r>
    <s v="LIDL"/>
    <s v="SQBIR.LIDLASIAPTELIMIT.005.FY26-27.1"/>
    <m/>
    <m/>
    <m/>
    <m/>
    <s v=""/>
    <n v="825"/>
    <s v="KNIT SINGLE JERSEY CMIA COTTON 95% ELASTANE CRERORA 5% GSM-160 CW-167.6 CM/66 INCH  "/>
    <s v="White"/>
    <n v="-124.08666666666666"/>
    <n v="372.26"/>
    <m/>
    <n v="-372.26"/>
    <m/>
    <n v="-372.26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372.26"/>
    <s v=""/>
    <n v="844"/>
    <n v="4.1000000000000002E-2"/>
    <n v="-9.9999999999909051E-3"/>
  </r>
  <r>
    <s v="LIDL"/>
    <s v="SQBIR.LIDLASIAPTELIMIT.005.FY26-27.2"/>
    <m/>
    <m/>
    <m/>
    <m/>
    <b v="0"/>
    <n v="827"/>
    <s v="KNIT SINGLE JERSEY CMIA COTTON 95% ELASTANE CRERORA 5% GSM-160 CW-167.6 CM/66 INCH  "/>
    <s v="White"/>
    <n v="-78.107666666666674"/>
    <n v="234.32300000000001"/>
    <m/>
    <n v="-234.32300000000001"/>
    <m/>
    <n v="-234.32300000000001"/>
    <s v="459174"/>
    <s v="Solid"/>
    <x v="18"/>
    <d v="2026-10-30T00:00:00"/>
    <s v="(18th Oct-30th Oct)-2k in every alternate day"/>
    <s v="Hues Agreed qty as per SQBL required date"/>
    <s v="Outside"/>
    <s v="Oct"/>
    <d v="2026-10-12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234.32300000000001"/>
    <b v="0"/>
    <n v="844"/>
    <n v="4.1000000000000002E-2"/>
    <n v="-9.9999999999909051E-3"/>
  </r>
  <r>
    <s v="Sainsbury"/>
    <s v="SQBIR.SAINSBURYS.284.FY25-26.3"/>
    <m/>
    <m/>
    <m/>
    <m/>
    <n v="16"/>
    <n v="846"/>
    <s v="S/J 95% Cotton 5% Investa Lycra 140gsm CW66”"/>
    <s v="TU BLACK 25"/>
    <n v="0"/>
    <n v="11.802"/>
    <n v="11.802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TU Black 25"/>
    <n v="140"/>
    <s v="436590/442546140TU Black 25"/>
    <n v="6284"/>
    <n v="-16"/>
    <n v="11.802"/>
    <n v="11.802"/>
    <s v=""/>
    <s v=""/>
    <n v="0"/>
    <n v="16"/>
    <n v="6284"/>
    <n v="1.0029999999999999"/>
    <n v="6272.1980000000003"/>
  </r>
  <r>
    <s v="Sainsbury"/>
    <s v="SQBIR.SAINSBURYS.327.FY25-26.1"/>
    <m/>
    <m/>
    <m/>
    <m/>
    <s v=""/>
    <n v="847"/>
    <s v="SINGLE JERSEY 100% COTTON 110GSM"/>
    <s v="Black"/>
    <n v="-1"/>
    <n v="3"/>
    <m/>
    <n v="-3"/>
    <m/>
    <n v="-3"/>
    <s v="446460"/>
    <s v="Solid"/>
    <x v="18"/>
    <d v="2026-10-30T00:00:00"/>
    <s v="(24th Oct-30th Oct)-150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10"/>
    <s v="446460110Black"/>
    <n v="594"/>
    <n v="1112"/>
    <n v="0"/>
    <n v="1111.58"/>
    <s v=""/>
    <s v=""/>
    <n v="3"/>
    <s v=""/>
    <n v="594"/>
    <n v="0.999"/>
    <n v="594"/>
  </r>
  <r>
    <s v="Sainsbury"/>
    <s v="SQBIR.SAINSBURYS.329.FY25-26.2"/>
    <m/>
    <m/>
    <m/>
    <m/>
    <b v="0"/>
    <n v="848"/>
    <s v="SINGLE JERSEY 100% COTTON 110GSM"/>
    <s v="Nude"/>
    <n v="-32.283333333333331"/>
    <n v="96.85"/>
    <m/>
    <n v="-96.85"/>
    <m/>
    <n v="-96.85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10"/>
    <s v="446460110NUDE"/>
    <n v="0"/>
    <s v="#NA"/>
    <n v="0"/>
    <n v="217.59699999999998"/>
    <s v=""/>
    <s v=""/>
    <n v="96.85"/>
    <b v="0"/>
    <n v="0"/>
    <n v="0"/>
    <n v="0"/>
  </r>
  <r>
    <s v="Sainsbury"/>
    <s v="SQBIR.SAINSBURYS.324.FY25-26.1"/>
    <m/>
    <m/>
    <m/>
    <m/>
    <b v="0"/>
    <n v="849"/>
    <s v="SINGLE JERSEY 100% COTTON 110GSM"/>
    <s v="Nude"/>
    <n v="-40.249000000000002"/>
    <n v="120.747"/>
    <m/>
    <n v="-120.747"/>
    <m/>
    <n v="-120.747"/>
    <s v="446460"/>
    <s v="Solid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46460"/>
    <s v="NUDE"/>
    <n v="110"/>
    <s v="446460110NUDE"/>
    <n v="0"/>
    <s v="#NA"/>
    <n v="0"/>
    <n v="217.59699999999998"/>
    <s v=""/>
    <s v=""/>
    <n v="120.747"/>
    <b v="0"/>
    <n v="0"/>
    <n v="0"/>
    <n v="0"/>
  </r>
  <r>
    <s v="Sainsbury"/>
    <s v="SQBIR.SAINSBURYS.329.FY25-26.2"/>
    <m/>
    <m/>
    <m/>
    <m/>
    <b v="0"/>
    <n v="850"/>
    <s v="SINGLE JERSEY 100% COTTON 110GSM"/>
    <s v="White"/>
    <n v="-47.726666666666667"/>
    <n v="143.18"/>
    <n v="0"/>
    <n v="-143.18"/>
    <m/>
    <n v="-143.18"/>
    <s v="446460"/>
    <s v="Solid"/>
    <x v="12"/>
    <d v="2026-10-25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s v=""/>
    <s v=""/>
    <n v="143.18"/>
    <b v="0"/>
    <n v="0"/>
    <n v="0"/>
    <n v="0"/>
  </r>
  <r>
    <s v="Sainsbury"/>
    <s v="SQBIR.SAINSBURYS.324.FY25-26.1"/>
    <m/>
    <m/>
    <m/>
    <m/>
    <b v="0"/>
    <n v="851"/>
    <s v="SINGLE JERSEY 100% COTTON 110GSM"/>
    <s v="White"/>
    <n v="-2.2733333333333334"/>
    <n v="6.82"/>
    <m/>
    <n v="-6.82"/>
    <m/>
    <n v="-6.82"/>
    <s v="446460"/>
    <s v="Solid"/>
    <x v="12"/>
    <d v="2026-10-25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s v=""/>
    <s v=""/>
    <n v="6.82"/>
    <b v="0"/>
    <n v="0"/>
    <n v="0"/>
    <n v="0"/>
  </r>
  <r>
    <s v="Sainsbury"/>
    <s v="SQBIR.SAINSBURYS.324.FY25-26.1"/>
    <m/>
    <m/>
    <m/>
    <m/>
    <b v="0"/>
    <n v="851"/>
    <s v="SINGLE JERSEY 100% COTTON 110GSM"/>
    <s v="White"/>
    <n v="-57.229666666666667"/>
    <n v="171.68899999999999"/>
    <m/>
    <n v="-171.68899999999999"/>
    <m/>
    <n v="-171.68899999999999"/>
    <s v="446460"/>
    <s v="Solid"/>
    <x v="15"/>
    <d v="2026-10-28T00:00:00"/>
    <s v="25th Oct- 150 mtr_x000a_28th Oct-balance full"/>
    <s v="Hues Agreed qty as per SQBL required date"/>
    <m/>
    <s v="Oct"/>
    <d v="2026-10-25T00:00:00"/>
    <m/>
    <m/>
    <m/>
    <m/>
    <m/>
    <m/>
    <m/>
    <m/>
    <m/>
    <m/>
    <s v="446460"/>
    <s v="White"/>
    <n v="110"/>
    <s v="446460110White"/>
    <n v="0"/>
    <s v="#NA"/>
    <n v="0"/>
    <n v="321.68899999999996"/>
    <s v=""/>
    <s v=""/>
    <n v="171.68899999999999"/>
    <b v="0"/>
    <n v="0"/>
    <n v="0"/>
    <n v="0"/>
  </r>
  <r>
    <s v="Sainsbury"/>
    <s v="SQBIR.SAINSBURYS.322.FY25-26.2"/>
    <m/>
    <m/>
    <m/>
    <m/>
    <s v=""/>
    <n v="852"/>
    <s v="S/J- Solid  95%Cot 5%Inv Lycra 140gsm with PCF 66"/>
    <s v="Black"/>
    <n v="-458.09366666666665"/>
    <n v="1374.2809999999999"/>
    <n v="0"/>
    <n v="-1374.2809999999999"/>
    <m/>
    <n v="-1374.2809999999999"/>
    <s v="446460"/>
    <s v="Solid"/>
    <x v="18"/>
    <d v="2026-10-30T00:00:00"/>
    <s v="(24th Oct-30th Oct)-2k mtr/day_x000a_Close by 30th Oct"/>
    <s v="Hues Agreed qty as per SQBL required date"/>
    <m/>
    <s v="Oct"/>
    <d v="2026-10-25T00:00:00"/>
    <m/>
    <m/>
    <m/>
    <m/>
    <m/>
    <m/>
    <m/>
    <m/>
    <m/>
    <m/>
    <s v="446460"/>
    <s v="Black"/>
    <n v="140"/>
    <s v="446460140Black"/>
    <n v="1226"/>
    <n v="17659"/>
    <n v="0"/>
    <n v="17658.88"/>
    <s v=""/>
    <s v=""/>
    <n v="1374.2809999999999"/>
    <s v=""/>
    <n v="1226"/>
    <n v="0.92500000000000004"/>
    <n v="1226"/>
  </r>
  <r>
    <s v="SAINSBURYS"/>
    <s v="SQBIR.SAINSBURYS.292.FY25-26.3"/>
    <m/>
    <m/>
    <m/>
    <m/>
    <s v=""/>
    <n v="853"/>
    <s v="S/J- Solid  95%Cot 5%Inv Lycra 140gsm with PCF 66"/>
    <s v="PANTONE 11-0601 TCX"/>
    <n v="-0.45"/>
    <n v="1.35"/>
    <n v="0"/>
    <n v="-1.35"/>
    <m/>
    <n v="-1.35"/>
    <s v="453620"/>
    <s v="Solid"/>
    <x v="5"/>
    <s v="Plan TBC"/>
    <s v="Plan TBC"/>
    <s v="PO not yet received from SCM but it's visible in the line plan"/>
    <m/>
    <s v="Oct"/>
    <d v="2026-10-01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1.35"/>
    <s v=""/>
    <e v="#N/A"/>
    <e v="#N/A"/>
    <n v="0"/>
  </r>
  <r>
    <s v="Sainsbury"/>
    <s v="SQBIR.SAINSBURYS.320.FY25-26.2"/>
    <m/>
    <m/>
    <m/>
    <m/>
    <b v="0"/>
    <n v="855"/>
    <s v="KNIT RIB 2X2 BCI COTTON 96% LYCRA 4% GSM-180 CW-119.38 CM/47 INCH  "/>
    <s v="TU WHITE 25"/>
    <n v="0"/>
    <n v="1.8"/>
    <n v="1.8"/>
    <n v="0"/>
    <m/>
    <n v="0"/>
    <s v="44744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7440"/>
    <s v="TU WHITE 25-MMF"/>
    <n v="180"/>
    <s v="447440180TU WHITE 25-MMF"/>
    <n v="643"/>
    <n v="1.8"/>
    <n v="1.8"/>
    <n v="1.8"/>
    <s v=""/>
    <s v=""/>
    <n v="0"/>
    <b v="0"/>
    <n v="643"/>
    <n v="0.997"/>
    <n v="641.20000000000005"/>
  </r>
  <r>
    <s v="LIDL"/>
    <s v="SQBIR.LIDLASIAPTELIMIT.021.FY26-27.11"/>
    <m/>
    <m/>
    <m/>
    <m/>
    <s v=""/>
    <n v="859"/>
    <s v="KNIT SINGLE JERSEY CMIA COTTON 95% ELASTANE CRERORA 5% GSM-160 CW-167.6 CM/66 INCH  "/>
    <s v="MID GREY MELANGE"/>
    <n v="0"/>
    <n v="201.86099999999999"/>
    <n v="201.86099999999999"/>
    <n v="0"/>
    <m/>
    <n v="0"/>
    <s v="459780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IDL"/>
    <s v="SQBIR.LIDLASIAPTELIMIT.021.FY26-27.12"/>
    <m/>
    <m/>
    <m/>
    <m/>
    <s v=""/>
    <n v="860"/>
    <s v="KNIT SINGLE JERSEY CMIA COTTON 95% ELASTANE CRERORA 5% GSM-160 CW-167.6 CM/66 INCH  "/>
    <s v="MID GREY MELANGE"/>
    <n v="0"/>
    <n v="1482.0830000000001"/>
    <n v="1482.0830000000001"/>
    <n v="0"/>
    <m/>
    <n v="0"/>
    <s v="459780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IDL"/>
    <s v="SQBIR.LIDLASIAPTELIMIT.021.FY26-27.13"/>
    <m/>
    <m/>
    <m/>
    <m/>
    <s v=""/>
    <n v="861"/>
    <s v="KNIT SINGLE JERSEY CMIA COTTON 95% ELASTANE CRERORA 5% GSM-160 CW-167.6 CM/66 INCH  "/>
    <s v="MID GREY MELANGE"/>
    <n v="0"/>
    <n v="504.416"/>
    <n v="504.416"/>
    <n v="0"/>
    <m/>
    <n v="0"/>
    <s v="459780"/>
    <s v="Solid"/>
    <x v="15"/>
    <d v="2026-10-28T00:00:00"/>
    <d v="2026-10-28T00:00:00"/>
    <s v="Hues Agreed qty as per SQBL required date"/>
    <m/>
    <s v="Oct"/>
    <d v="2026-10-28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IDL"/>
    <s v="SQBIR.LIDLASIAPTELIMIT.021.FY26-27.14"/>
    <m/>
    <m/>
    <m/>
    <m/>
    <s v=""/>
    <n v="862"/>
    <s v="KNIT SINGLE JERSEY CMIA COTTON 95% ELASTANE CRERORA 5% GSM-160 CW-167.6 CM/66 INCH  "/>
    <s v="MID GREY MELANGE"/>
    <n v="0"/>
    <n v="406.173"/>
    <n v="406.173"/>
    <n v="0"/>
    <m/>
    <n v="0"/>
    <s v="459780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IDL"/>
    <s v="SQBIR.LIDLASIAPTELIMIT.021.FY26-27.15"/>
    <m/>
    <m/>
    <m/>
    <m/>
    <s v=""/>
    <n v="863"/>
    <s v="KNIT SINGLE JERSEY CMIA COTTON 95% ELASTANE CRERORA 5% GSM-160 CW-167.6 CM/66 INCH  "/>
    <s v="MID GREY MELANGE"/>
    <n v="0"/>
    <n v="39.298000000000002"/>
    <n v="39.298000000000002"/>
    <n v="0"/>
    <m/>
    <n v="0"/>
    <s v="459780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IDL"/>
    <s v="SQBIR.LIDLASIAPTELIMIT.021.FY26-27.16"/>
    <m/>
    <m/>
    <m/>
    <m/>
    <s v=""/>
    <n v="864"/>
    <s v="KNIT SINGLE JERSEY CMIA COTTON 95% ELASTANE CRERORA 5% GSM-160 CW-167.6 CM/66 INCH  "/>
    <s v="MID GREY MELANGE"/>
    <n v="0"/>
    <n v="9.2119999999999997"/>
    <n v="9.2119999999999997"/>
    <n v="0"/>
    <m/>
    <n v="0"/>
    <s v="459780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IDL"/>
    <s v="SQBIR.LIDLASIAPTELIMIT.021.FY26-27.9"/>
    <m/>
    <m/>
    <m/>
    <m/>
    <s v=""/>
    <n v="865"/>
    <s v="KNIT SINGLE JERSEY CMIA COTTON 95% ELASTANE CRERORA 5% GSM-160 CW-167.6 CM/66 INCH  "/>
    <s v="MID GREY MELANGE"/>
    <n v="0"/>
    <n v="278.303"/>
    <n v="278.303"/>
    <n v="0"/>
    <m/>
    <n v="0"/>
    <s v="459780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9780#Style-2607 (MENS)-Creora"/>
    <s v="Mid Grey Melange"/>
    <n v="160"/>
    <s v="459780#Style-2607 (MENS)-Creora160Mid Grey Melange"/>
    <n v="3635"/>
    <n v="202"/>
    <n v="3836.9999999999995"/>
    <n v="3836.9999999999995"/>
    <s v=""/>
    <s v=""/>
    <n v="0"/>
    <s v=""/>
    <n v="3635"/>
    <n v="0.94699999999999995"/>
    <n v="-201.99999999999955"/>
  </r>
  <r>
    <s v="LIDL"/>
    <s v="SQBIR.LIDLASIAPTELIMIT.022.FY26-27.10"/>
    <m/>
    <m/>
    <m/>
    <m/>
    <s v=""/>
    <n v="866"/>
    <s v="KNIT SINGLE JERSEY CMIA COTTON 95% ELASTANE CRERORA 5% GSM-160 CW-167.6 CM/66 INCH  "/>
    <s v="Navy"/>
    <n v="-3.9373333333333331"/>
    <n v="11.811999999999999"/>
    <m/>
    <n v="-11.811999999999999"/>
    <m/>
    <n v="-11.811999999999999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11.811999999999999"/>
    <s v=""/>
    <n v="4028.3"/>
    <n v="0.8"/>
    <n v="-9.9999999997635314E-3"/>
  </r>
  <r>
    <s v="LIDL"/>
    <s v="SQBIR.LIDLASIAPTELIMIT.022.FY26-27.3"/>
    <m/>
    <m/>
    <m/>
    <m/>
    <s v=""/>
    <n v="867"/>
    <s v="KNIT SINGLE JERSEY CMIA COTTON 95% ELASTANE CRERORA 5% GSM-160 CW-167.6 CM/66 INCH  "/>
    <s v="Navy"/>
    <n v="-126.88233333333334"/>
    <n v="380.64699999999999"/>
    <m/>
    <n v="-380.64699999999999"/>
    <m/>
    <n v="-380.64699999999999"/>
    <s v="459780"/>
    <s v="Solid"/>
    <x v="15"/>
    <d v="2026-10-28T00:00:00"/>
    <s v="6th Oct-2k mtr_x000a_7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NAVY"/>
    <n v="160"/>
    <s v="459780#Style-2607 (MENS)-Creora160NAVY"/>
    <n v="4028.3"/>
    <n v="1009.69"/>
    <n v="4028.31"/>
    <n v="5038"/>
    <s v=""/>
    <s v=""/>
    <n v="380.64699999999999"/>
    <s v=""/>
    <n v="4028.3"/>
    <n v="0.8"/>
    <n v="-9.9999999997635314E-3"/>
  </r>
  <r>
    <s v="Sainsbury"/>
    <s v="SQBIR.SAINSBURYS.329.FY25-26.3"/>
    <m/>
    <m/>
    <m/>
    <m/>
    <s v=""/>
    <n v="868"/>
    <s v="S/J- Solid  95%Cot 5%Inv Lycra 140gsm with PCF 66"/>
    <s v="White"/>
    <n v="-0.67700000000000005"/>
    <n v="2.0310000000000001"/>
    <m/>
    <n v="-2.0310000000000001"/>
    <m/>
    <n v="-2.0310000000000001"/>
    <s v="459875"/>
    <s v="Solid"/>
    <x v="12"/>
    <d v="2026-10-25T00:00:00"/>
    <s v="(25-27) Oct-1k mtr/day"/>
    <s v="Hues Agreed qty as per SQBL required date"/>
    <m/>
    <s v="Oct"/>
    <d v="2026-10-04T00:00:00"/>
    <m/>
    <m/>
    <m/>
    <m/>
    <m/>
    <m/>
    <m/>
    <m/>
    <m/>
    <m/>
    <s v="459875"/>
    <s v="White"/>
    <n v="140"/>
    <s v="459875140White"/>
    <n v="0"/>
    <s v="#NA"/>
    <n v="0"/>
    <n v="3602.3159999999998"/>
    <s v=""/>
    <s v=""/>
    <n v="2.0310000000000001"/>
    <s v=""/>
    <n v="0"/>
    <n v="0"/>
    <n v="0"/>
  </r>
  <r>
    <s v="Sainsbury"/>
    <s v="SQBIR.SAINSBURYS.326.FY25-26.3"/>
    <m/>
    <m/>
    <m/>
    <m/>
    <s v=""/>
    <n v="869"/>
    <s v="S/J- Solid  95%Cot 5%Inv Lycra 140gsm with PCF 66"/>
    <s v="White"/>
    <n v="-332.65633333333335"/>
    <n v="997.96900000000005"/>
    <m/>
    <n v="-997.96900000000005"/>
    <m/>
    <n v="-997.96900000000005"/>
    <s v="459875"/>
    <s v="Solid"/>
    <x v="12"/>
    <d v="2026-10-25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s v=""/>
    <s v=""/>
    <n v="997.96900000000005"/>
    <s v=""/>
    <n v="0"/>
    <n v="0"/>
    <n v="0"/>
  </r>
  <r>
    <s v="Sainsbury"/>
    <s v="SQBIR.SAINSBURYS.326.FY25-26.3"/>
    <m/>
    <m/>
    <m/>
    <m/>
    <s v=""/>
    <n v="869"/>
    <s v="S/J- Solid  95%Cot 5%Inv Lycra 140gsm with PCF 66"/>
    <s v="White"/>
    <n v="-333.33333333333331"/>
    <n v="1000"/>
    <m/>
    <n v="-1000"/>
    <m/>
    <n v="-1000"/>
    <s v="459875"/>
    <s v="Solid"/>
    <x v="4"/>
    <d v="2026-10-26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s v=""/>
    <s v=""/>
    <n v="1000"/>
    <s v=""/>
    <n v="0"/>
    <n v="0"/>
    <n v="0"/>
  </r>
  <r>
    <s v="Sainsbury"/>
    <s v="SQBIR.SAINSBURYS.326.FY25-26.3"/>
    <m/>
    <m/>
    <m/>
    <m/>
    <s v=""/>
    <n v="869"/>
    <s v="S/J- Solid  95%Cot 5%Inv Lycra 140gsm with PCF 66"/>
    <s v="White"/>
    <n v="-534.10533333333331"/>
    <n v="1602.316"/>
    <m/>
    <n v="-1602.316"/>
    <m/>
    <n v="-1602.316"/>
    <s v="459875"/>
    <s v="Solid"/>
    <x v="14"/>
    <d v="2026-10-27T00:00:00"/>
    <s v="(25-27) Oct-1k mtr/day"/>
    <s v="Hues Agreed qty as per SQBL required date"/>
    <m/>
    <s v="Oct"/>
    <d v="2026-10-25T00:00:00"/>
    <m/>
    <m/>
    <m/>
    <m/>
    <m/>
    <m/>
    <m/>
    <m/>
    <m/>
    <m/>
    <s v="459875"/>
    <s v="White"/>
    <n v="140"/>
    <s v="459875140White"/>
    <n v="0"/>
    <s v="#NA"/>
    <n v="0"/>
    <n v="3602.3159999999998"/>
    <s v=""/>
    <s v=""/>
    <n v="1602.316"/>
    <s v=""/>
    <n v="0"/>
    <n v="0"/>
    <n v="0"/>
  </r>
  <r>
    <s v="Sainsbury"/>
    <s v="SQBIR.SAINSBURYS.280.FY25-26.3"/>
    <m/>
    <m/>
    <m/>
    <m/>
    <s v=""/>
    <n v="871"/>
    <s v="S/J 93% Cot 2% Vis 5% Inv Lyc 140gsm CW66”"/>
    <s v="BC02"/>
    <n v="0"/>
    <n v="36.204999999999998"/>
    <n v="36.204999999999998"/>
    <n v="0"/>
    <m/>
    <n v="0"/>
    <s v="442546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36590/442546"/>
    <s v="BC02"/>
    <n v="140"/>
    <s v="436590/442546140BC02"/>
    <n v="5957"/>
    <n v="-68"/>
    <n v="36.204999999999998"/>
    <n v="36.204999999999998"/>
    <s v=""/>
    <s v=""/>
    <n v="0"/>
    <s v=""/>
    <n v="5957"/>
    <n v="1.012"/>
    <n v="5920.7950000000001"/>
  </r>
  <r>
    <s v="Lane Bryant"/>
    <s v="SQBIR.MGFLaneBryant.004.FY26-27.1"/>
    <m/>
    <m/>
    <m/>
    <m/>
    <n v="37.33"/>
    <n v="898"/>
    <s v="95% Cotton 5% Elastane 150GSM CW66"/>
    <s v="Parsian pink"/>
    <n v="0"/>
    <n v="203.57300000000001"/>
    <n v="203.57300000000001"/>
    <n v="0"/>
    <m/>
    <n v="0"/>
    <s v="452132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RISIAN PINK"/>
    <n v="150"/>
    <s v="452132150PARISIAN PINK"/>
    <n v="1542"/>
    <n v="-37.33"/>
    <n v="444.95299999999997"/>
    <n v="444.95299999999997"/>
    <s v=""/>
    <s v=""/>
    <n v="0"/>
    <n v="37.33"/>
    <n v="1542"/>
    <n v="1.0249999999999999"/>
    <n v="1097.047"/>
  </r>
  <r>
    <s v="SAINSBURYS"/>
    <s v="SQBIR.SAINSBURYS.293.FY25-26.3"/>
    <m/>
    <m/>
    <m/>
    <m/>
    <s v=""/>
    <n v="900"/>
    <s v="S/J- Solid  95%Cot 5%Inv Lycra 140gsm with PCF 66"/>
    <s v="15-1915 TCX"/>
    <n v="-0.77033333333333331"/>
    <n v="2.3109999999999999"/>
    <n v="0"/>
    <n v="-2.3109999999999999"/>
    <m/>
    <n v="-2.3109999999999999"/>
    <s v="453620"/>
    <s v="Solid"/>
    <x v="5"/>
    <s v="Plan TBC"/>
    <s v="Plan TBC"/>
    <s v="PO not yet received from SCM but it's visible in the line plan"/>
    <m/>
    <s v="Oct"/>
    <d v="2026-10-11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2.3109999999999999"/>
    <s v=""/>
    <e v="#N/A"/>
    <e v="#N/A"/>
    <n v="0"/>
  </r>
  <r>
    <s v="LIDL"/>
    <s v="SQBIR.LIDLASIAPTELIMIT.005.FY26-27.5"/>
    <m/>
    <m/>
    <m/>
    <m/>
    <b v="0"/>
    <n v="903"/>
    <s v="KNIT SINGLE JERSEY CMIA COTTON 95% ELASTANE CRERORA 5% GSM-160 CW-167.6 CM/66 INCH  "/>
    <s v="MID GREY MELANGE"/>
    <n v="-2.9209999999999998"/>
    <n v="8.7629999999999999"/>
    <m/>
    <n v="-8.7629999999999999"/>
    <m/>
    <n v="-8.7629999999999999"/>
    <s v="459174"/>
    <s v="Solid"/>
    <x v="18"/>
    <d v="2026-10-30T00:00:00"/>
    <s v="(23rd Oct-30th Oct)-1.5 k mtr/day"/>
    <s v="Revised Plan given as per revised date"/>
    <m/>
    <s v="Oct"/>
    <d v="2026-10-12T00:00:00"/>
    <m/>
    <m/>
    <m/>
    <m/>
    <m/>
    <m/>
    <m/>
    <m/>
    <m/>
    <m/>
    <s v="459174#Style-2607 (MENS)-Creora"/>
    <s v="Mid Grey Melange"/>
    <n v="160"/>
    <s v="459174#Style-2607 (MENS)-Creora160Mid Grey Melange"/>
    <n v="9154.2800000000007"/>
    <n v="11572.72"/>
    <n v="9154.2800000000007"/>
    <n v="20727"/>
    <s v=""/>
    <s v=""/>
    <n v="8.7629999999999999"/>
    <b v="0"/>
    <n v="9154.2800000000007"/>
    <n v="0.442"/>
    <n v="0"/>
  </r>
  <r>
    <s v="LIDL"/>
    <s v="SQBIR.LIDLASIAPTELIMIT.002.FY26-27.1"/>
    <m/>
    <m/>
    <m/>
    <m/>
    <s v=""/>
    <n v="904"/>
    <s v="KNIT SINGLE JERSEY CMIA COTTON 95% ELASTANE CRERORA 5% GSM-160 CW-167.6 CM/66 INCH  "/>
    <s v="White"/>
    <n v="-37.571333333333335"/>
    <n v="112.714"/>
    <m/>
    <n v="-112.714"/>
    <m/>
    <n v="-112.714"/>
    <s v="459174"/>
    <s v="Solid"/>
    <x v="18"/>
    <d v="2026-10-30T00:00:00"/>
    <s v="(18th Oct-30th Oct)-2k in every alternate day"/>
    <s v="Hues Agreed qty as per SQBL required date"/>
    <s v="Outside"/>
    <s v="Oct"/>
    <d v="2026-10-08T00:00:00"/>
    <m/>
    <m/>
    <m/>
    <m/>
    <m/>
    <m/>
    <m/>
    <m/>
    <m/>
    <m/>
    <s v="459174#Style-2607 (MENS)-Creora"/>
    <s v="White"/>
    <n v="160"/>
    <s v="459174#Style-2607 (MENS)-Creora160White"/>
    <n v="844"/>
    <n v="19882.990000000002"/>
    <n v="844.01"/>
    <n v="20727"/>
    <s v=""/>
    <s v=""/>
    <n v="112.714"/>
    <s v=""/>
    <n v="844"/>
    <n v="4.1000000000000002E-2"/>
    <n v="-9.9999999999909051E-3"/>
  </r>
  <r>
    <s v="Sainsbury"/>
    <s v="SQBIR.SAINSBURYS.325.FY25-26.3"/>
    <m/>
    <m/>
    <m/>
    <m/>
    <s v=""/>
    <n v="906"/>
    <s v="S/J- Solid  95%Cot 5%Inv Lycra 140gsm with PCF 66"/>
    <s v="Black"/>
    <n v="-532.875"/>
    <n v="1598.625"/>
    <m/>
    <n v="-1598.625"/>
    <m/>
    <n v="-1598.625"/>
    <s v="459875"/>
    <s v="Solid"/>
    <x v="8"/>
    <d v="2026-10-3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1598.625"/>
    <s v=""/>
    <n v="1312.08"/>
    <n v="6.5000000000000002E-2"/>
    <n v="1312.08"/>
  </r>
  <r>
    <s v="Sainsbury"/>
    <s v="SQBIR.SAINSBURYS.325.FY25-26.3"/>
    <m/>
    <m/>
    <m/>
    <m/>
    <s v=""/>
    <n v="906"/>
    <s v="S/J- Solid  95%Cot 5%Inv Lycra 140gsm with PCF 66"/>
    <s v="Black"/>
    <n v="-666.66666666666663"/>
    <n v="2000"/>
    <m/>
    <n v="-2000"/>
    <m/>
    <n v="-2000"/>
    <s v="459875"/>
    <s v="Solid"/>
    <x v="9"/>
    <d v="2026-11-01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2000"/>
    <s v=""/>
    <n v="1312.08"/>
    <n v="6.5000000000000002E-2"/>
    <n v="1312.08"/>
  </r>
  <r>
    <s v="Sainsbury"/>
    <s v="SQBIR.SAINSBURYS.325.FY25-26.3"/>
    <m/>
    <m/>
    <m/>
    <m/>
    <s v=""/>
    <n v="906"/>
    <s v="S/J- Solid  95%Cot 5%Inv Lycra 140gsm with PCF 66"/>
    <s v="Black"/>
    <n v="-666.66666666666663"/>
    <n v="2000"/>
    <m/>
    <n v="-2000"/>
    <m/>
    <n v="-2000"/>
    <s v="459875"/>
    <s v="Solid"/>
    <x v="10"/>
    <d v="2026-11-02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2000"/>
    <s v=""/>
    <n v="1312.08"/>
    <n v="6.5000000000000002E-2"/>
    <n v="1312.08"/>
  </r>
  <r>
    <s v="Sainsbury"/>
    <s v="SQBIR.SAINSBURYS.325.FY25-26.3"/>
    <m/>
    <m/>
    <m/>
    <m/>
    <s v=""/>
    <n v="906"/>
    <s v="S/J- Solid  95%Cot 5%Inv Lycra 140gsm with PCF 66"/>
    <s v="Black"/>
    <n v="-372.41066666666666"/>
    <n v="1117.232"/>
    <m/>
    <n v="-1117.232"/>
    <m/>
    <n v="-1117.232"/>
    <s v="459875"/>
    <s v="Solid"/>
    <x v="11"/>
    <d v="2026-11-0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1117.232"/>
    <s v=""/>
    <n v="1312.08"/>
    <n v="6.5000000000000002E-2"/>
    <n v="1312.08"/>
  </r>
  <r>
    <s v="Sainsbury"/>
    <s v="SQBIR.SAINSBURYS.323.FY25-26.4"/>
    <m/>
    <m/>
    <m/>
    <m/>
    <s v=""/>
    <n v="907"/>
    <s v="S/J- Solid  95%Cot 5%Inv Lycra 140gsm with PCF 66"/>
    <s v="Black"/>
    <n v="-294.25600000000003"/>
    <n v="882.76800000000003"/>
    <m/>
    <n v="-882.76800000000003"/>
    <m/>
    <n v="-882.76800000000003"/>
    <s v="459875"/>
    <s v="Solid"/>
    <x v="11"/>
    <d v="2026-11-03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882.76800000000003"/>
    <s v=""/>
    <n v="1312.08"/>
    <n v="6.5000000000000002E-2"/>
    <n v="1312.08"/>
  </r>
  <r>
    <s v="Sainsbury"/>
    <s v="SQBIR.SAINSBURYS.323.FY25-26.4"/>
    <m/>
    <m/>
    <m/>
    <m/>
    <s v=""/>
    <n v="907"/>
    <s v="S/J- Solid  95%Cot 5%Inv Lycra 140gsm with PCF 66"/>
    <s v="Black"/>
    <n v="-666.66666666666663"/>
    <n v="2000"/>
    <m/>
    <n v="-2000"/>
    <m/>
    <n v="-2000"/>
    <s v="459875"/>
    <s v="Solid"/>
    <x v="19"/>
    <d v="2026-11-04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2000"/>
    <s v=""/>
    <n v="1312.08"/>
    <n v="6.5000000000000002E-2"/>
    <n v="1312.08"/>
  </r>
  <r>
    <s v="Sainsbury"/>
    <s v="SQBIR.SAINSBURYS.323.FY25-26.4"/>
    <m/>
    <m/>
    <m/>
    <m/>
    <s v=""/>
    <n v="907"/>
    <s v="S/J- Solid  95%Cot 5%Inv Lycra 140gsm with PCF 66"/>
    <s v="Black"/>
    <n v="-666.66666666666663"/>
    <n v="2000"/>
    <m/>
    <n v="-2000"/>
    <m/>
    <n v="-2000"/>
    <s v="459875"/>
    <s v="Solid"/>
    <x v="20"/>
    <d v="2026-11-05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2000"/>
    <s v=""/>
    <n v="1312.08"/>
    <n v="6.5000000000000002E-2"/>
    <n v="1312.08"/>
  </r>
  <r>
    <s v="Sainsbury"/>
    <s v="SQBIR.SAINSBURYS.323.FY25-26.4"/>
    <m/>
    <m/>
    <m/>
    <m/>
    <s v=""/>
    <n v="907"/>
    <s v="S/J- Solid  95%Cot 5%Inv Lycra 140gsm with PCF 66"/>
    <s v="Black"/>
    <n v="-355.76099999999997"/>
    <n v="1067.2829999999999"/>
    <m/>
    <n v="-1067.2829999999999"/>
    <m/>
    <n v="-1067.2829999999999"/>
    <s v="459875"/>
    <s v="Solid"/>
    <x v="21"/>
    <d v="2026-11-06T00:00:00"/>
    <s v="23rd Oct-2k mtr_x000a_31st Oct-2k mtr_x000a_(1st Nov-6th Nov)-2k mtr/day_x000a_"/>
    <s v="Hues Agreed qty as per SQBL required date"/>
    <m/>
    <s v="Oct"/>
    <d v="2026-10-25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1067.2829999999999"/>
    <s v=""/>
    <n v="1312.08"/>
    <n v="6.5000000000000002E-2"/>
    <n v="1312.08"/>
  </r>
  <r>
    <s v="Sainsbury"/>
    <s v="SQBIR.SAINSBURYS.329.FY25-26.3"/>
    <m/>
    <m/>
    <m/>
    <m/>
    <b v="0"/>
    <n v="908"/>
    <s v="S/J- Solid  95%Cot 5%Inv Lycra 140gsm with PCF 66"/>
    <s v="Nude"/>
    <n v="-0.45066666666666672"/>
    <n v="1.3520000000000001"/>
    <m/>
    <n v="-1.3520000000000001"/>
    <m/>
    <n v="-1.3520000000000001"/>
    <s v="459875"/>
    <s v="Solid"/>
    <x v="7"/>
    <d v="2026-10-23T00:00:00"/>
    <s v="23rd Oct-1000 mtr_x000a_31st Oct-balance full_x000a_"/>
    <s v="Hues Agreed qty as per SQBL required date"/>
    <m/>
    <s v="Oct"/>
    <d v="2026-10-04T00:00:00"/>
    <m/>
    <m/>
    <m/>
    <m/>
    <m/>
    <m/>
    <m/>
    <m/>
    <m/>
    <m/>
    <s v="459875"/>
    <s v="NUDE"/>
    <n v="140"/>
    <s v="459875140NUDE"/>
    <n v="0"/>
    <s v="#NA"/>
    <n v="0"/>
    <n v="2401.7370000000001"/>
    <s v=""/>
    <s v=""/>
    <n v="1.3520000000000001"/>
    <b v="0"/>
    <n v="0"/>
    <n v="0"/>
    <n v="0"/>
  </r>
  <r>
    <s v="Sainsbury"/>
    <s v="SQBIR.SAINSBURYS.326.FY25-26.3"/>
    <m/>
    <m/>
    <m/>
    <m/>
    <b v="0"/>
    <n v="909"/>
    <s v="S/J- Solid  95%Cot 5%Inv Lycra 140gsm with PCF 66"/>
    <s v="Nude"/>
    <n v="-332.88266666666669"/>
    <n v="998.64800000000002"/>
    <m/>
    <n v="-998.64800000000002"/>
    <m/>
    <n v="-998.64800000000002"/>
    <s v="459875"/>
    <s v="Solid"/>
    <x v="7"/>
    <d v="2026-10-23T00:00:00"/>
    <s v="23rd Oct-10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40"/>
    <s v="459875140NUDE"/>
    <n v="0"/>
    <s v="#NA"/>
    <n v="0"/>
    <n v="2401.7370000000001"/>
    <s v=""/>
    <s v=""/>
    <n v="998.64800000000002"/>
    <b v="0"/>
    <n v="0"/>
    <n v="0"/>
    <n v="0"/>
  </r>
  <r>
    <s v="Sainsbury"/>
    <s v="SQBIR.SAINSBURYS.326.FY25-26.3"/>
    <m/>
    <m/>
    <m/>
    <m/>
    <b v="0"/>
    <n v="909"/>
    <s v="S/J- Solid  95%Cot 5%Inv Lycra 140gsm with PCF 66"/>
    <s v="Nude"/>
    <n v="-467.24566666666669"/>
    <n v="1401.7370000000001"/>
    <m/>
    <n v="-1401.7370000000001"/>
    <m/>
    <n v="-1401.7370000000001"/>
    <s v="459875"/>
    <s v="Solid"/>
    <x v="8"/>
    <d v="2026-10-31T00:00:00"/>
    <s v="23rd Oct-1000 mtr_x000a_31st Oct-balance full_x000a_"/>
    <s v="Hues Agreed qty as per SQBL required date"/>
    <m/>
    <s v="Oct"/>
    <d v="2026-10-25T00:00:00"/>
    <m/>
    <m/>
    <m/>
    <m/>
    <m/>
    <m/>
    <m/>
    <m/>
    <m/>
    <m/>
    <s v="459875"/>
    <s v="NUDE"/>
    <n v="140"/>
    <s v="459875140NUDE"/>
    <n v="0"/>
    <s v="#NA"/>
    <n v="0"/>
    <n v="2401.7370000000001"/>
    <s v=""/>
    <s v=""/>
    <n v="1401.7370000000001"/>
    <b v="0"/>
    <n v="0"/>
    <n v="0"/>
    <n v="0"/>
  </r>
  <r>
    <s v="SAINSBURYS"/>
    <s v="SQBIR.SAINSBURYS.292.FY25-26.4"/>
    <m/>
    <m/>
    <m/>
    <m/>
    <s v=""/>
    <n v="931"/>
    <s v="S/J- Solid  95%Cot 5%Inv Lycra 140gsm with PCF 66"/>
    <s v="PANTONE 12-1706 TCX"/>
    <n v="-15.161999999999999"/>
    <n v="45.485999999999997"/>
    <n v="0"/>
    <n v="-45.485999999999997"/>
    <m/>
    <n v="-45.485999999999997"/>
    <s v="453620"/>
    <s v="Solid"/>
    <x v="5"/>
    <s v="Plan TBC"/>
    <s v="Plan TBC"/>
    <s v="PO not yet received from SCM but it's visible in the line plan"/>
    <m/>
    <s v="Oct"/>
    <d v="2026-10-25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45.485999999999997"/>
    <s v=""/>
    <e v="#N/A"/>
    <e v="#N/A"/>
    <n v="0"/>
  </r>
  <r>
    <s v="Sainsbury"/>
    <s v="SQBIR.SAINSBURYS.290.FY25-26.2"/>
    <m/>
    <m/>
    <m/>
    <m/>
    <s v=""/>
    <n v="939"/>
    <s v="SINGLE JERSEY 100% COTTON 110GSM"/>
    <s v="Black"/>
    <n v="0"/>
    <n v="134.01"/>
    <n v="134.01"/>
    <n v="0"/>
    <m/>
    <n v="0"/>
    <s v="436829"/>
    <s v="Solid"/>
    <x v="53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36829"/>
    <s v="Black"/>
    <n v="110"/>
    <s v="436829110Black"/>
    <n v="514"/>
    <n v="135"/>
    <n v="134.01"/>
    <n v="134.01"/>
    <s v=""/>
    <s v=""/>
    <n v="0"/>
    <s v=""/>
    <n v="514"/>
    <n v="0.79200000000000004"/>
    <n v="379.99"/>
  </r>
  <r>
    <s v="Sainsbury"/>
    <s v="SQBIR.SAINSBURYS.329.FY25-26.1"/>
    <m/>
    <m/>
    <m/>
    <m/>
    <s v=""/>
    <n v="941"/>
    <s v="S/J- Solid  95%Cot 5%Inv Lycra 140gsm with PCF 66"/>
    <s v="Nude"/>
    <n v="0"/>
    <n v="811.40899999999999"/>
    <n v="811.40899999999999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40"/>
    <s v="446252140NUDE"/>
    <n v="2601"/>
    <n v="-61"/>
    <n v="1712.338"/>
    <n v="1712.338"/>
    <s v=""/>
    <s v=""/>
    <n v="0"/>
    <s v=""/>
    <n v="2601"/>
    <n v="1.024"/>
    <n v="888.66200000000003"/>
  </r>
  <r>
    <s v="Sainsbury"/>
    <s v="SQBIR.SAINSBURYS.329.FY25-26.3"/>
    <m/>
    <m/>
    <m/>
    <m/>
    <s v=""/>
    <n v="942"/>
    <s v="S/J- Solid  95%Cot 5%Inv Lycra 140gsm with PCF 66"/>
    <s v="Nude"/>
    <n v="0"/>
    <n v="4.0570000000000004"/>
    <n v="4.0570000000000004"/>
    <n v="0"/>
    <m/>
    <n v="0"/>
    <s v="446252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252"/>
    <s v="NUDE"/>
    <n v="140"/>
    <s v="446252140NUDE"/>
    <n v="2601"/>
    <n v="-61"/>
    <n v="1712.338"/>
    <n v="1712.338"/>
    <s v=""/>
    <s v=""/>
    <n v="0"/>
    <s v=""/>
    <n v="2601"/>
    <n v="1.024"/>
    <n v="888.66200000000003"/>
  </r>
  <r>
    <s v="Sainsbury"/>
    <s v="SQBIR.SAINSBURYS.330.FY25-26.6"/>
    <m/>
    <m/>
    <m/>
    <m/>
    <s v=""/>
    <n v="943"/>
    <s v="S/J- Solid  95%Cot 5%Inv Lycra 140gsm with PCF 66"/>
    <s v="Nude"/>
    <n v="0"/>
    <n v="412.78899999999999"/>
    <n v="412.78899999999999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s v=""/>
    <s v=""/>
    <n v="0"/>
    <s v=""/>
    <n v="2601"/>
    <n v="1.024"/>
    <n v="888.66200000000003"/>
  </r>
  <r>
    <s v="Sainsbury"/>
    <s v="SQBIR.SAINSBURYS.326.FY25-26.1"/>
    <m/>
    <m/>
    <m/>
    <m/>
    <s v=""/>
    <n v="944"/>
    <s v="S/J- Solid  95%Cot 5%Inv Lycra 140gsm with PCF 66"/>
    <s v="White"/>
    <n v="0"/>
    <n v="720"/>
    <n v="720"/>
    <n v="0"/>
    <m/>
    <n v="0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3696.9"/>
    <n v="48.1"/>
    <n v="2517.846"/>
    <n v="2565.9459999999999"/>
    <s v=""/>
    <s v=""/>
    <n v="0"/>
    <s v=""/>
    <n v="3696.9"/>
    <n v="0.98699999999999999"/>
    <n v="1179.0540000000001"/>
  </r>
  <r>
    <s v="Sainsbury"/>
    <s v="SQBIR.SAINSBURYS.326.FY25-26.2"/>
    <m/>
    <m/>
    <m/>
    <m/>
    <s v=""/>
    <n v="945"/>
    <s v="S/J- Solid  95%Cot 5%Inv Lycra 140gsm with PCF 66"/>
    <s v="White"/>
    <n v="0"/>
    <n v="5.4"/>
    <n v="5.4"/>
    <n v="0"/>
    <m/>
    <n v="0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3696.9"/>
    <n v="48.1"/>
    <n v="2517.846"/>
    <n v="2565.9459999999999"/>
    <s v=""/>
    <s v=""/>
    <n v="0"/>
    <s v=""/>
    <n v="3696.9"/>
    <n v="0.98699999999999999"/>
    <n v="1179.0540000000001"/>
  </r>
  <r>
    <s v="Sainsbury"/>
    <s v="SQBIR.SAINSBURYS.329.FY25-26.1"/>
    <m/>
    <m/>
    <m/>
    <m/>
    <b v="0"/>
    <n v="946"/>
    <s v="S/J- Solid  95%Cot 5%Inv Lycra 140gsm with PCF 66"/>
    <s v="White"/>
    <n v="0"/>
    <n v="1215.9000000000001"/>
    <n v="1215.9000000000001"/>
    <n v="0"/>
    <m/>
    <n v="0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40"/>
    <s v="446252140White"/>
    <n v="3696.9"/>
    <n v="48.1"/>
    <n v="2517.846"/>
    <n v="2565.9459999999999"/>
    <s v=""/>
    <s v=""/>
    <n v="0"/>
    <b v="0"/>
    <n v="3696.9"/>
    <n v="0.98699999999999999"/>
    <n v="1179.0540000000001"/>
  </r>
  <r>
    <s v="Sainsbury"/>
    <s v="SQBIR.SAINSBURYS.329.FY25-26.3"/>
    <m/>
    <m/>
    <m/>
    <m/>
    <b v="0"/>
    <n v="947"/>
    <s v="S/J- Solid  95%Cot 5%Inv Lycra 140gsm with PCF 66"/>
    <s v="White"/>
    <n v="0"/>
    <n v="6.08"/>
    <n v="6.08"/>
    <n v="0"/>
    <m/>
    <n v="0"/>
    <s v="446252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s v="OTT CHNG"/>
    <m/>
    <m/>
    <s v="446252"/>
    <s v="White"/>
    <n v="140"/>
    <s v="446252140White"/>
    <n v="3696.9"/>
    <n v="48.1"/>
    <n v="2517.846"/>
    <n v="2565.9459999999999"/>
    <s v=""/>
    <s v=""/>
    <n v="0"/>
    <b v="0"/>
    <n v="3696.9"/>
    <n v="0.98699999999999999"/>
    <n v="1179.0540000000001"/>
  </r>
  <r>
    <s v="Sainsbury"/>
    <s v="SQBIR.SAINSBURYS.330.FY25-26.6"/>
    <m/>
    <m/>
    <m/>
    <m/>
    <s v=""/>
    <n v="948"/>
    <s v="S/J- Solid  95%Cot 5%Inv Lycra 140gsm with PCF 66"/>
    <s v="White"/>
    <n v="-16.033333333333342"/>
    <n v="618.56600000000003"/>
    <n v="570.46600000000001"/>
    <n v="-48.100000000000023"/>
    <m/>
    <n v="-48.100000000000023"/>
    <s v="446252"/>
    <s v="Solid"/>
    <x v="0"/>
    <d v="2026-10-05T00:00:00"/>
    <d v="2026-10-04T00:00:00"/>
    <s v="Hues Agreed qty as per SQBL required date"/>
    <m/>
    <s v="Oct"/>
    <d v="2026-10-11T00:00:00"/>
    <m/>
    <m/>
    <m/>
    <m/>
    <m/>
    <m/>
    <m/>
    <s v="OTT CHNG"/>
    <m/>
    <m/>
    <s v="446252"/>
    <s v="White"/>
    <n v="140"/>
    <s v="446252140White"/>
    <n v="3696.9"/>
    <n v="48.1"/>
    <n v="2517.846"/>
    <n v="2565.9459999999999"/>
    <s v=""/>
    <s v=""/>
    <n v="48.100000000000023"/>
    <s v=""/>
    <n v="3696.9"/>
    <n v="0.98699999999999999"/>
    <n v="1179.0540000000001"/>
  </r>
  <r>
    <s v="Lane Bryant"/>
    <s v="SQBIR.MGFLaneBryant.009.FY26-27.2"/>
    <m/>
    <m/>
    <m/>
    <m/>
    <s v=""/>
    <n v="949"/>
    <s v="95% Cotton 5% Elastane 150GSM CW66"/>
    <s v="Pantone Deep Taupe"/>
    <n v="0"/>
    <n v="3121.49"/>
    <n v="3121.49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s v=""/>
    <s v=""/>
    <n v="0"/>
    <s v=""/>
    <n v="5935.81"/>
    <n v="0.93400000000000005"/>
    <n v="-5.0000000001091394E-3"/>
  </r>
  <r>
    <s v="Lane Bryant"/>
    <s v="SQBIR.MGFLaneBryant.009.FY26-27.3"/>
    <m/>
    <m/>
    <m/>
    <m/>
    <s v=""/>
    <n v="950"/>
    <s v="95% Cotton 5% Elastane 150GSM CW66"/>
    <s v="Pantone Deep Taupe"/>
    <n v="0"/>
    <n v="3.3090000000000002"/>
    <n v="3.3090000000000002"/>
    <n v="0"/>
    <m/>
    <n v="0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s v=""/>
    <s v=""/>
    <n v="0"/>
    <s v=""/>
    <n v="5935.81"/>
    <n v="0.93400000000000005"/>
    <n v="-5.0000000001091394E-3"/>
  </r>
  <r>
    <s v="Lane Bryant"/>
    <s v="SQBIR.MGFLaneBryant.011.FY26-27.1"/>
    <m/>
    <m/>
    <m/>
    <m/>
    <s v=""/>
    <n v="951"/>
    <s v="95% Cotton 5% Elastane 150GSM CW66"/>
    <s v="Pantone Deep Taupe"/>
    <n v="-138.81100000000001"/>
    <n v="2297.2950000000001"/>
    <n v="1880.8620000000001"/>
    <n v="-416.43299999999999"/>
    <m/>
    <n v="-416.43299999999999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s v=""/>
    <s v=""/>
    <n v="416.43299999999999"/>
    <s v=""/>
    <n v="5935.81"/>
    <n v="0.93400000000000005"/>
    <n v="-5.0000000001091394E-3"/>
  </r>
  <r>
    <s v="Lane Bryant"/>
    <s v="SQBIR.MGFLaneBryant.011.FY26-27.2"/>
    <m/>
    <m/>
    <m/>
    <m/>
    <s v=""/>
    <n v="952"/>
    <s v="95% Cotton 5% Elastane 150GSM CW66"/>
    <s v="Pantone Deep Taupe"/>
    <n v="-1.2156666666666667"/>
    <n v="3.6469999999999998"/>
    <m/>
    <n v="-3.6469999999999998"/>
    <m/>
    <n v="-3.6469999999999998"/>
    <s v="452132"/>
    <s v="Solid"/>
    <x v="6"/>
    <d v="2026-10-03T00:00:00"/>
    <d v="2026-10-02T00:00:00"/>
    <s v="Hues Agreed qty as per SQBL required date"/>
    <m/>
    <s v="Oct"/>
    <d v="2026-10-02T00:00:00"/>
    <m/>
    <m/>
    <m/>
    <m/>
    <m/>
    <m/>
    <m/>
    <m/>
    <m/>
    <m/>
    <s v="452132"/>
    <s v="PANTONE DEEP TAUPE"/>
    <n v="150"/>
    <s v="452132150PANTONE DEEP TAUPE"/>
    <n v="5935.81"/>
    <n v="420.08"/>
    <n v="5935.8150000000005"/>
    <n v="6355.8949999999995"/>
    <s v=""/>
    <s v=""/>
    <n v="3.6469999999999998"/>
    <s v=""/>
    <n v="5935.81"/>
    <n v="0.93400000000000005"/>
    <n v="-5.0000000001091394E-3"/>
  </r>
  <r>
    <s v="Sainsbury"/>
    <s v="SQBIR.SAINSBURYS.326.FY25-26.2"/>
    <m/>
    <m/>
    <m/>
    <m/>
    <s v=""/>
    <n v="963"/>
    <s v="S/J- Solid  95%Cot 5%Inv Lycra 140gsm with PCF 66"/>
    <s v="Nude"/>
    <n v="0"/>
    <n v="3.6040000000000001"/>
    <n v="3.6040000000000001"/>
    <n v="0"/>
    <m/>
    <n v="0"/>
    <s v="446252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6252"/>
    <s v="NUDE"/>
    <n v="140"/>
    <s v="446252140NUDE"/>
    <n v="2601"/>
    <n v="-61"/>
    <n v="1712.338"/>
    <n v="1712.338"/>
    <s v=""/>
    <s v=""/>
    <n v="0"/>
    <s v=""/>
    <n v="2601"/>
    <n v="1.024"/>
    <n v="888.66200000000003"/>
  </r>
  <r>
    <s v="Sainsbury"/>
    <s v="SQBIR.SAINSBURYS.323.FY25-26.4"/>
    <m/>
    <m/>
    <m/>
    <m/>
    <s v=""/>
    <n v="970"/>
    <s v="SINGLE JERSEY 100% COTTON 110GSM"/>
    <s v="Black"/>
    <n v="-8.8986666666666672"/>
    <n v="26.696000000000002"/>
    <m/>
    <n v="-26.696000000000002"/>
    <m/>
    <n v="-26.696000000000002"/>
    <s v="459875"/>
    <s v="Solid"/>
    <x v="11"/>
    <d v="2026-11-03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26.696000000000002"/>
    <s v=""/>
    <n v="126.76"/>
    <n v="7.0999999999999994E-2"/>
    <n v="126.76"/>
  </r>
  <r>
    <s v="Sainsbury"/>
    <s v="SQBIR.SAINSBURYS.323.FY25-26.4"/>
    <m/>
    <m/>
    <m/>
    <m/>
    <s v=""/>
    <n v="970"/>
    <s v="SINGLE JERSEY 100% COTTON 110GSM"/>
    <s v="Black"/>
    <n v="-66.666666666666671"/>
    <n v="200"/>
    <m/>
    <n v="-200"/>
    <m/>
    <n v="-200"/>
    <s v="459875"/>
    <s v="Solid"/>
    <x v="19"/>
    <d v="2026-11-04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200"/>
    <s v=""/>
    <n v="126.76"/>
    <n v="7.0999999999999994E-2"/>
    <n v="126.76"/>
  </r>
  <r>
    <s v="Sainsbury"/>
    <s v="SQBIR.SAINSBURYS.323.FY25-26.4"/>
    <m/>
    <m/>
    <m/>
    <m/>
    <s v=""/>
    <n v="970"/>
    <s v="SINGLE JERSEY 100% COTTON 110GSM"/>
    <s v="Black"/>
    <n v="-66.666666666666671"/>
    <n v="200"/>
    <m/>
    <n v="-200"/>
    <m/>
    <n v="-200"/>
    <s v="459875"/>
    <s v="Solid"/>
    <x v="20"/>
    <d v="2026-11-05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200"/>
    <s v=""/>
    <n v="126.76"/>
    <n v="7.0999999999999994E-2"/>
    <n v="126.76"/>
  </r>
  <r>
    <s v="Sainsbury"/>
    <s v="SQBIR.SAINSBURYS.323.FY25-26.4"/>
    <m/>
    <m/>
    <m/>
    <m/>
    <b v="0"/>
    <n v="970"/>
    <s v="SINGLE JERSEY 100% COTTON 110GSM"/>
    <s v="Black"/>
    <n v="-7.1346666666666669"/>
    <n v="21.404"/>
    <m/>
    <n v="-21.404"/>
    <m/>
    <n v="-21.404"/>
    <s v="459875"/>
    <s v="Solid"/>
    <x v="21"/>
    <d v="2026-11-06T00:00:00"/>
    <s v="23rd Oct-200 mtr_x000a_31st Oct-200 mtr_x000a_(1st Nov-6th Nov)-200 mtr/day_x000a_"/>
    <s v="Hues Agreed qty as per SQBL required date"/>
    <m/>
    <s v="Oct"/>
    <d v="2026-10-25T00:00:00"/>
    <m/>
    <m/>
    <m/>
    <m/>
    <m/>
    <m/>
    <m/>
    <m/>
    <m/>
    <m/>
    <s v="459875"/>
    <s v="Black"/>
    <n v="110"/>
    <s v="459875110Black"/>
    <n v="126.76"/>
    <n v="1649.24"/>
    <n v="0"/>
    <n v="1421.404"/>
    <s v=""/>
    <s v=""/>
    <n v="21.404"/>
    <b v="0"/>
    <n v="126.76"/>
    <n v="7.0999999999999994E-2"/>
    <n v="126.76"/>
  </r>
  <r>
    <s v="Sainsbury"/>
    <s v="SQBIR.SAINSBURYS.328.FY25-26.1"/>
    <m/>
    <m/>
    <m/>
    <m/>
    <s v=""/>
    <n v="971"/>
    <s v="S/J- Solid  95%Cot 5%Inv Lycra 140gsm with PCF 66"/>
    <s v="Black"/>
    <n v="-539.64433333333329"/>
    <n v="1618.933"/>
    <m/>
    <n v="-1618.933"/>
    <m/>
    <n v="-1618.933"/>
    <s v="459875"/>
    <s v="Solid"/>
    <x v="21"/>
    <d v="2026-11-06T00:00:00"/>
    <s v="23rd Oct-2k mtr_x000a_31st Oct-2k mtr_x000a_(1st Nov-6th Nov)-2k mtr/day_x000a_"/>
    <s v="Hues Agreed qty as per SQBL required date"/>
    <m/>
    <s v="Oct"/>
    <d v="2026-10-01T00:00:00"/>
    <m/>
    <m/>
    <m/>
    <m/>
    <m/>
    <m/>
    <m/>
    <m/>
    <m/>
    <m/>
    <s v="459875"/>
    <s v="Black"/>
    <n v="140"/>
    <s v="459875140Black"/>
    <n v="1312.08"/>
    <n v="18904.919999999998"/>
    <n v="0"/>
    <n v="16686.216"/>
    <s v=""/>
    <s v=""/>
    <n v="1618.933"/>
    <s v=""/>
    <n v="1312.08"/>
    <n v="6.5000000000000002E-2"/>
    <n v="1312.08"/>
  </r>
  <r>
    <s v="LIDL"/>
    <s v="SQBIR.LIDLASIAPTELIMIT.006.FY26-27.2"/>
    <m/>
    <m/>
    <m/>
    <m/>
    <s v=""/>
    <n v="976"/>
    <s v="KNIT SINGLE JERSEY CMIA COTTON 95% ELASTANE CRERORA 5% GSM-160 CW-167.6 CM/66 INCH  "/>
    <s v="DARK BLUE"/>
    <n v="-241.53233333333333"/>
    <n v="724.59699999999998"/>
    <m/>
    <n v="-724.59699999999998"/>
    <m/>
    <n v="-724.59699999999998"/>
    <s v="459174"/>
    <s v="Solid"/>
    <x v="36"/>
    <d v="2026-11-10T00:00:00"/>
    <s v="(20th-24th) Oct-2k mtr/day_x000a_(1st-10th) Nov-2k mtr/day"/>
    <s v="Revised Plan given as per revised date"/>
    <m/>
    <s v="Oct"/>
    <d v="2026-10-12T00:00:00"/>
    <m/>
    <m/>
    <m/>
    <m/>
    <m/>
    <m/>
    <m/>
    <m/>
    <m/>
    <m/>
    <s v="459174#Style-2607 (MENS)-Creora"/>
    <s v="Dark Blue"/>
    <n v="160"/>
    <s v="459174#Style-2607 (MENS)-Creora160Dark Blue"/>
    <n v="9445.86"/>
    <n v="22980.14"/>
    <n v="9445.86"/>
    <n v="32425.999999999996"/>
    <s v=""/>
    <s v=""/>
    <n v="724.59699999999998"/>
    <s v=""/>
    <n v="9445.86"/>
    <n v="0.29099999999999998"/>
    <n v="0"/>
  </r>
  <r>
    <s v="Sainsbury"/>
    <s v="SQBIR.SAINSBURYS.323.FY25-26.1"/>
    <m/>
    <m/>
    <m/>
    <m/>
    <s v=""/>
    <n v="977"/>
    <s v="SINGLE JERSEY 100% COTTON 110GSM"/>
    <s v="Black"/>
    <n v="0"/>
    <n v="111.26600000000001"/>
    <n v="111.26600000000001"/>
    <n v="0"/>
    <m/>
    <n v="0"/>
    <s v="446252"/>
    <s v="Solid"/>
    <x v="6"/>
    <d v="2026-10-03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3.FY25-26.1"/>
    <m/>
    <m/>
    <m/>
    <m/>
    <s v=""/>
    <n v="977"/>
    <s v="SINGLE JERSEY 100% COTTON 110GSM"/>
    <s v="Black"/>
    <n v="0"/>
    <n v="150"/>
    <n v="150"/>
    <n v="0"/>
    <m/>
    <n v="0"/>
    <s v="446252"/>
    <s v="Solid"/>
    <x v="0"/>
    <d v="2026-10-0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3.FY25-26.1"/>
    <m/>
    <m/>
    <m/>
    <m/>
    <s v=""/>
    <n v="977"/>
    <s v="SINGLE JERSEY 100% COTTON 110GSM"/>
    <s v="Black"/>
    <n v="0"/>
    <n v="150"/>
    <n v="150"/>
    <n v="0"/>
    <m/>
    <n v="0"/>
    <s v="446252"/>
    <s v="Solid"/>
    <x v="22"/>
    <d v="2026-10-07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3.FY25-26.1"/>
    <m/>
    <m/>
    <m/>
    <m/>
    <s v=""/>
    <n v="977"/>
    <s v="SINGLE JERSEY 100% COTTON 110GSM"/>
    <s v="Black"/>
    <n v="0"/>
    <n v="150"/>
    <n v="150"/>
    <n v="0"/>
    <m/>
    <n v="0"/>
    <s v="446252"/>
    <s v="Solid"/>
    <x v="23"/>
    <d v="2026-10-09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3.FY25-26.1"/>
    <m/>
    <m/>
    <m/>
    <m/>
    <s v=""/>
    <n v="977"/>
    <s v="SINGLE JERSEY 100% COTTON 110GSM"/>
    <s v="Black"/>
    <n v="0"/>
    <n v="65.933999999999997"/>
    <n v="65.933999999999997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3.FY25-26.3"/>
    <m/>
    <m/>
    <m/>
    <m/>
    <s v=""/>
    <n v="978"/>
    <s v="SINGLE JERSEY 100% COTTON 110GSM"/>
    <s v="Black"/>
    <n v="0"/>
    <n v="1.3440000000000001"/>
    <n v="1.3440000000000001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5.FY25-26.1"/>
    <m/>
    <m/>
    <m/>
    <m/>
    <s v=""/>
    <n v="979"/>
    <s v="SINGLE JERSEY 100% COTTON 110GSM"/>
    <s v="Black"/>
    <n v="0"/>
    <n v="82.721999999999994"/>
    <n v="82.721999999999994"/>
    <n v="0"/>
    <m/>
    <n v="0"/>
    <s v="446252"/>
    <s v="Solid"/>
    <x v="2"/>
    <d v="2026-10-11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0"/>
    <s v=""/>
    <n v="1118.4100000000001"/>
    <n v="0.67800000000000005"/>
    <n v="174.41000000000008"/>
  </r>
  <r>
    <s v="Sainsbury"/>
    <s v="SQBIR.SAINSBURYS.325.FY25-26.1"/>
    <m/>
    <m/>
    <m/>
    <m/>
    <s v=""/>
    <n v="979"/>
    <s v="SINGLE JERSEY 100% COTTON 110GSM"/>
    <s v="Black"/>
    <n v="-50"/>
    <n v="150"/>
    <m/>
    <n v="-150"/>
    <m/>
    <n v="-150"/>
    <s v="446252"/>
    <s v="Solid"/>
    <x v="34"/>
    <d v="2026-10-13T00:00:00"/>
    <s v="(1st Oct-15th Oct)-150 meter every alternate day"/>
    <s v="Hues Agreed qty as per SQBL required date"/>
    <m/>
    <s v="Oct"/>
    <d v="2026-10-01T00:00:00"/>
    <m/>
    <m/>
    <m/>
    <m/>
    <m/>
    <m/>
    <m/>
    <s v="OTT CHNG"/>
    <m/>
    <m/>
    <s v="446252"/>
    <s v="Black"/>
    <n v="110"/>
    <s v="446252110Black"/>
    <n v="1118.4100000000001"/>
    <n v="531.59"/>
    <n v="944"/>
    <n v="1436.079"/>
    <s v=""/>
    <s v=""/>
    <n v="150"/>
    <s v=""/>
    <n v="1118.4100000000001"/>
    <n v="0.67800000000000005"/>
    <n v="174.41000000000008"/>
  </r>
  <r>
    <s v="Sainsbury"/>
    <s v="SQBIR.SAINSBURYS.325.FY25-26.1"/>
    <m/>
    <m/>
    <m/>
    <m/>
    <s v=""/>
    <n v="979"/>
    <s v="SINGLE JERSEY 100% COTTON 110GSM"/>
    <s v="Black"/>
    <n v="-53.092666666666666"/>
    <n v="159.27799999999999"/>
    <m/>
    <n v="-159.27799999999999"/>
    <m/>
    <n v="-159.27799999999999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159.27799999999999"/>
    <s v=""/>
    <n v="1118.4100000000001"/>
    <n v="0.67800000000000005"/>
    <n v="174.41000000000008"/>
  </r>
  <r>
    <s v="Sainsbury"/>
    <s v="SQBIR.SAINSBURYS.325.FY25-26.2"/>
    <m/>
    <m/>
    <m/>
    <m/>
    <s v=""/>
    <n v="980"/>
    <s v="SINGLE JERSEY 100% COTTON 110GSM"/>
    <s v="Black"/>
    <n v="-0.39199999999999996"/>
    <n v="1.1759999999999999"/>
    <m/>
    <n v="-1.1759999999999999"/>
    <m/>
    <n v="-1.1759999999999999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1.1759999999999999"/>
    <s v=""/>
    <n v="1118.4100000000001"/>
    <n v="0.67800000000000005"/>
    <n v="174.41000000000008"/>
  </r>
  <r>
    <s v="Sainsbury"/>
    <s v="SQBIR.SAINSBURYS.326.FY25-26.1"/>
    <m/>
    <m/>
    <m/>
    <m/>
    <s v=""/>
    <n v="981"/>
    <s v="SINGLE JERSEY 100% COTTON 110GSM"/>
    <s v="Black"/>
    <n v="-14.666666666666666"/>
    <n v="44"/>
    <m/>
    <n v="-44"/>
    <m/>
    <n v="-44"/>
    <s v="446252"/>
    <s v="Solid"/>
    <x v="25"/>
    <d v="2026-10-15T00:00:00"/>
    <s v="(1st Oct-15th Oct)-150 meter every alternate day"/>
    <s v="Hues Agreed qty as per SQBL required date"/>
    <m/>
    <s v="Oct"/>
    <d v="2026-10-1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44"/>
    <s v=""/>
    <n v="1118.4100000000001"/>
    <n v="0.67800000000000005"/>
    <n v="174.41000000000008"/>
  </r>
  <r>
    <s v="Sainsbury"/>
    <s v="SQBIR.SAINSBURYS.328.FY25-26.1"/>
    <m/>
    <m/>
    <m/>
    <m/>
    <s v=""/>
    <n v="982"/>
    <s v="SINGLE JERSEY 100% COTTON 110GSM"/>
    <s v="Black"/>
    <n v="-15.074999999999998"/>
    <n v="89.224999999999994"/>
    <n v="44"/>
    <n v="-45.224999999999994"/>
    <m/>
    <n v="-45.224999999999994"/>
    <s v="446252"/>
    <s v="Solid"/>
    <x v="25"/>
    <d v="2026-10-15T00:00:00"/>
    <s v="(1st Oct-15th Oct)-150 meter every alternate day"/>
    <s v="Hues Agreed qty as per SQBL required date"/>
    <m/>
    <s v="Oct"/>
    <d v="2026-10-01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45.224999999999994"/>
    <s v=""/>
    <n v="1118.4100000000001"/>
    <n v="0.67800000000000005"/>
    <n v="174.41000000000008"/>
  </r>
  <r>
    <s v="Sainsbury"/>
    <s v="SQBIR.SAINSBURYS.329.FY25-26.1"/>
    <m/>
    <m/>
    <m/>
    <m/>
    <s v=""/>
    <n v="983"/>
    <s v="SINGLE JERSEY 100% COTTON 110GSM"/>
    <s v="Black"/>
    <n v="-30.8"/>
    <n v="92.4"/>
    <m/>
    <n v="-92.4"/>
    <m/>
    <n v="-92.4"/>
    <s v="446252"/>
    <s v="Solid"/>
    <x v="25"/>
    <d v="2026-10-15T00:00:00"/>
    <s v="(1st Oct-15th Oct)-150 meter every alternate day"/>
    <s v="Hues Agreed qty as per SQBL required date"/>
    <m/>
    <s v="Oct"/>
    <d v="2026-10-04T00:00:00"/>
    <m/>
    <m/>
    <m/>
    <m/>
    <m/>
    <m/>
    <m/>
    <m/>
    <m/>
    <m/>
    <s v="446252"/>
    <s v="Black"/>
    <n v="110"/>
    <s v="446252110Black"/>
    <n v="1118.4100000000001"/>
    <n v="531.59"/>
    <n v="944"/>
    <n v="1436.079"/>
    <s v=""/>
    <s v=""/>
    <n v="92.4"/>
    <s v=""/>
    <n v="1118.4100000000001"/>
    <n v="0.67800000000000005"/>
    <n v="174.41000000000008"/>
  </r>
  <r>
    <s v="LIDL"/>
    <s v="SQBIR.LIDLASIAPTELIMIT.022.FY26-27.10"/>
    <m/>
    <m/>
    <m/>
    <m/>
    <b v="0"/>
    <n v="996"/>
    <s v="KNIT SINGLE JERSEY CMIA COTTON 95% ELASTANE CRERORA 5% GSM-160 CW-167.6 CM/66 INCH  "/>
    <s v="Light Blue"/>
    <n v="0"/>
    <n v="11.811"/>
    <n v="11.811"/>
    <n v="0"/>
    <m/>
    <n v="0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0"/>
    <b v="0"/>
    <n v="4799.45"/>
    <n v="0.95299999999999996"/>
    <n v="0"/>
  </r>
  <r>
    <s v="LIDL"/>
    <s v="SQBIR.LIDLASIAPTELIMIT.022.FY26-27.3"/>
    <m/>
    <m/>
    <m/>
    <m/>
    <s v=""/>
    <n v="997"/>
    <s v="KNIT SINGLE JERSEY CMIA COTTON 95% ELASTANE CRERORA 5% GSM-160 CW-167.6 CM/66 INCH  "/>
    <s v="Light Blue"/>
    <n v="-79.516666666666666"/>
    <n v="380.64600000000002"/>
    <n v="142.096"/>
    <n v="-238.55"/>
    <m/>
    <n v="-238.55"/>
    <s v="459780"/>
    <s v="Solid"/>
    <x v="15"/>
    <d v="2026-10-28T00:00:00"/>
    <s v="5th oct-2k mtr_x000a_6th Oct-1k mtr_x000a_28th Oct- balance full"/>
    <s v="Hues Agreed qty as per SQBL required date"/>
    <m/>
    <s v="Oct"/>
    <d v="2026-10-02T00:00:00"/>
    <m/>
    <m/>
    <m/>
    <m/>
    <m/>
    <m/>
    <m/>
    <m/>
    <m/>
    <m/>
    <s v="459780#Style-2607 (MENS)-Creora"/>
    <s v="Light Blue"/>
    <n v="160"/>
    <s v="459780#Style-2607 (MENS)-Creora160Light Blue"/>
    <n v="4799.45"/>
    <n v="238.55"/>
    <n v="4799.4500000000007"/>
    <n v="5038"/>
    <s v=""/>
    <s v=""/>
    <n v="238.55"/>
    <s v=""/>
    <n v="4799.45"/>
    <n v="0.95299999999999996"/>
    <n v="0"/>
  </r>
  <r>
    <s v="SAINSBURYS"/>
    <s v="SQBIR.SAINSBURYS.285.FY25-26.2"/>
    <m/>
    <m/>
    <m/>
    <m/>
    <s v=""/>
    <n v="998"/>
    <s v="KNIT WEFT KNITTED JERSEY BCI COTTON 95% LYCRA 5% GSM-180 CW-168 CM/66 INCH "/>
    <s v="White"/>
    <n v="-10"/>
    <n v="30"/>
    <m/>
    <n v="-30"/>
    <m/>
    <n v="-30"/>
    <s v="460052"/>
    <s v="Solid"/>
    <x v="5"/>
    <s v="Plan TBC"/>
    <s v="Plan TBC"/>
    <s v="Hues Agreed qty as per SQBL required date"/>
    <m/>
    <s v="Oct"/>
    <d v="2026-10-18T00:00:00"/>
    <m/>
    <m/>
    <m/>
    <m/>
    <m/>
    <m/>
    <m/>
    <m/>
    <m/>
    <m/>
    <s v="Not Found"/>
    <s v="Not Found"/>
    <n v="180"/>
    <s v="Not Found180Not Found"/>
    <n v="0"/>
    <s v="#NA"/>
    <n v="0"/>
    <n v="30"/>
    <s v=""/>
    <s v=""/>
    <n v="30"/>
    <s v=""/>
    <e v="#N/A"/>
    <e v="#N/A"/>
    <n v="0"/>
  </r>
  <r>
    <s v="Lane Bryant"/>
    <s v="SQBIR.MGFLaneBryant.044.FY26-27.2"/>
    <m/>
    <m/>
    <m/>
    <m/>
    <s v=""/>
    <n v="1000"/>
    <s v="95% Cotton 5% Elastane 150GSM CW66"/>
    <s v="Tap Shoe"/>
    <n v="0"/>
    <n v="1.728"/>
    <n v="1.728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TAP SHOE"/>
    <n v="150"/>
    <s v="458617150TAP SHOE"/>
    <n v="1129.04"/>
    <n v="-22.14"/>
    <n v="1106.9050000000002"/>
    <n v="1106.9050000000002"/>
    <s v=""/>
    <s v=""/>
    <n v="0"/>
    <s v=""/>
    <n v="1129.04"/>
    <n v="1.02"/>
    <n v="22.134999999999764"/>
  </r>
  <r>
    <s v="Lane Bryant"/>
    <s v="SQBIR.MGFLaneBryant.043.FY26-27.2"/>
    <m/>
    <m/>
    <m/>
    <m/>
    <s v=""/>
    <n v="1010"/>
    <s v="95% Cotton 5% Elastane 150GSM CW66"/>
    <s v="Bright White"/>
    <n v="-1.2050000000000001"/>
    <n v="3.6150000000000002"/>
    <m/>
    <n v="-3.6150000000000002"/>
    <m/>
    <n v="-3.6150000000000002"/>
    <s v="458617"/>
    <s v="Solid"/>
    <x v="55"/>
    <d v="2026-10-13T00:00:00"/>
    <d v="2026-10-12T00:00:00"/>
    <s v="Revised Plan given as per revised date"/>
    <m/>
    <s v="Oct"/>
    <d v="2026-10-02T00:00:00"/>
    <m/>
    <m/>
    <m/>
    <m/>
    <m/>
    <m/>
    <m/>
    <m/>
    <m/>
    <m/>
    <s v="458617"/>
    <s v="BRIGHT WHITE"/>
    <n v="150"/>
    <s v="458617150BRIGHT WHITE"/>
    <n v="3130.07"/>
    <n v="192.32"/>
    <n v="3130.0780000000004"/>
    <n v="3322.3980000000001"/>
    <s v=""/>
    <s v=""/>
    <n v="3.6150000000000002"/>
    <s v=""/>
    <n v="3130.07"/>
    <n v="0.94199999999999995"/>
    <n v="-8.0000000002655725E-3"/>
  </r>
  <r>
    <s v="Lane Bryant"/>
    <s v="SQBIR.MGFLaneBryant.019.FY26-27.1"/>
    <m/>
    <m/>
    <m/>
    <m/>
    <n v="2.11"/>
    <n v="1011"/>
    <s v="95% Cotton 5% Elastane 150GSM CW66"/>
    <s v="Maritime Blue"/>
    <n v="0"/>
    <n v="502.476"/>
    <n v="502.476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s v=""/>
    <s v=""/>
    <n v="0"/>
    <n v="2.11"/>
    <n v="1052.32"/>
    <n v="1.002"/>
    <n v="2.1099999999999"/>
  </r>
  <r>
    <s v="Lane Bryant"/>
    <s v="SQBIR.MGFLaneBryant.019.FY26-27.2"/>
    <m/>
    <m/>
    <m/>
    <m/>
    <s v=""/>
    <n v="1012"/>
    <s v="95% Cotton 5% Elastane 150GSM CW66"/>
    <s v="Maritime Blue"/>
    <n v="0"/>
    <n v="1.798"/>
    <n v="1.798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s v=""/>
    <s v=""/>
    <n v="0"/>
    <s v=""/>
    <n v="1052.32"/>
    <n v="1.002"/>
    <n v="2.1099999999999"/>
  </r>
  <r>
    <s v="Lane Bryant"/>
    <s v="SQBIR.MGFLaneBryant.021.FY26-27.1"/>
    <m/>
    <m/>
    <m/>
    <m/>
    <n v="2.11"/>
    <n v="1013"/>
    <s v="95% Cotton 5% Elastane 150GSM CW66"/>
    <s v="Maritime Blue"/>
    <n v="0"/>
    <n v="542.62800000000004"/>
    <n v="542.62800000000004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s v=""/>
    <s v=""/>
    <n v="0"/>
    <n v="2.11"/>
    <n v="1052.32"/>
    <n v="1.002"/>
    <n v="2.1099999999999"/>
  </r>
  <r>
    <s v="Lane Bryant"/>
    <s v="SQBIR.MGFLaneBryant.021.FY26-27.2"/>
    <m/>
    <m/>
    <m/>
    <m/>
    <n v="2.11"/>
    <n v="1014"/>
    <s v="95% Cotton 5% Elastane 150GSM CW66"/>
    <s v="Maritime Blue"/>
    <n v="0"/>
    <n v="3.3079999999999998"/>
    <n v="3.3079999999999998"/>
    <n v="0"/>
    <m/>
    <n v="0"/>
    <s v="458617"/>
    <s v="Solid"/>
    <x v="2"/>
    <d v="2026-10-11T00:00:00"/>
    <d v="2026-10-10T00:00:00"/>
    <s v="Revised Plan given as per revised date"/>
    <m/>
    <s v="Oct"/>
    <d v="2026-10-02T00:00:00"/>
    <m/>
    <m/>
    <m/>
    <m/>
    <m/>
    <m/>
    <m/>
    <m/>
    <m/>
    <m/>
    <s v="458617"/>
    <s v="MARITIME BLUE"/>
    <n v="150"/>
    <s v="458617150MARITIME BLUE"/>
    <n v="1052.32"/>
    <n v="-2.11"/>
    <n v="1050.21"/>
    <n v="1050.21"/>
    <s v=""/>
    <s v=""/>
    <n v="0"/>
    <n v="2.11"/>
    <n v="1052.32"/>
    <n v="1.002"/>
    <n v="2.1099999999999"/>
  </r>
  <r>
    <s v="Lane Bryant"/>
    <s v="SQBIR.MGFLaneBryant.018.FY26-27.1"/>
    <m/>
    <m/>
    <m/>
    <m/>
    <n v="7.95"/>
    <n v="1015"/>
    <s v="95% Cotton 5% Elastane 150GSM CW66"/>
    <s v="parisian pink"/>
    <n v="0"/>
    <n v="202.994"/>
    <n v="202.994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n v="7.95"/>
    <n v="1567.81"/>
    <n v="1.0049999999999999"/>
    <n v="7.9419999999997799"/>
  </r>
  <r>
    <s v="Lane Bryant"/>
    <s v="SQBIR.MGFLaneBryant.018.FY26-27.2"/>
    <m/>
    <m/>
    <m/>
    <m/>
    <s v=""/>
    <n v="1016"/>
    <s v="95% Cotton 5% Elastane 150GSM CW66"/>
    <s v="parisian pink"/>
    <n v="0"/>
    <n v="1.8149999999999999"/>
    <n v="1.8149999999999999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s v=""/>
    <n v="1567.81"/>
    <n v="1.0049999999999999"/>
    <n v="7.9419999999997799"/>
  </r>
  <r>
    <s v="Lane Bryant"/>
    <s v="SQBIR.MGFLaneBryant.020.FY26-27.1"/>
    <m/>
    <m/>
    <m/>
    <m/>
    <s v=""/>
    <n v="1017"/>
    <s v="95% Cotton 5% Elastane 150GSM CW66"/>
    <s v="parisian pink"/>
    <n v="0"/>
    <n v="542.62800000000004"/>
    <n v="542.62800000000004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s v=""/>
    <n v="1567.81"/>
    <n v="1.0049999999999999"/>
    <n v="7.9419999999997799"/>
  </r>
  <r>
    <s v="Lane Bryant"/>
    <s v="SQBIR.MGFLaneBryant.020.FY26-27.2"/>
    <m/>
    <m/>
    <m/>
    <m/>
    <n v="7.95"/>
    <n v="1018"/>
    <s v="95% Cotton 5% Elastane 150GSM CW66"/>
    <s v="parisian pink"/>
    <n v="0"/>
    <n v="3.3079999999999998"/>
    <n v="3.3079999999999998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n v="7.95"/>
    <n v="1567.81"/>
    <n v="1.0049999999999999"/>
    <n v="7.9419999999997799"/>
  </r>
  <r>
    <s v="Lane Bryant"/>
    <s v="SQBIR.MGFLaneBryant.042.FY26-27.1"/>
    <m/>
    <m/>
    <m/>
    <m/>
    <s v=""/>
    <n v="1019"/>
    <s v="95% Cotton 5% Elastane 150GSM CW66"/>
    <s v="parisian pink"/>
    <n v="0"/>
    <n v="359.41800000000001"/>
    <n v="359.41800000000001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s v=""/>
    <n v="1567.81"/>
    <n v="1.0049999999999999"/>
    <n v="7.9419999999997799"/>
  </r>
  <r>
    <s v="Lane Bryant"/>
    <s v="SQBIR.MGFLaneBryant.042.FY26-27.2"/>
    <m/>
    <m/>
    <m/>
    <m/>
    <n v="7.95"/>
    <n v="1020"/>
    <s v="95% Cotton 5% Elastane 150GSM CW66"/>
    <s v="parisian pink"/>
    <n v="0"/>
    <n v="1.7549999999999999"/>
    <n v="1.7549999999999999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n v="7.95"/>
    <n v="1567.81"/>
    <n v="1.0049999999999999"/>
    <n v="7.9419999999997799"/>
  </r>
  <r>
    <s v="Lane Bryant"/>
    <s v="SQBIR.MGFLaneBryant.043.FY26-27.1"/>
    <m/>
    <m/>
    <m/>
    <m/>
    <s v=""/>
    <n v="1021"/>
    <s v="95% Cotton 5% Elastane 150GSM CW66"/>
    <s v="parisian pink"/>
    <n v="0"/>
    <n v="444.33499999999998"/>
    <n v="444.33499999999998"/>
    <n v="0"/>
    <m/>
    <n v="0"/>
    <s v="458617"/>
    <s v="Solid"/>
    <x v="53"/>
    <d v="2026-10-12T00:00:00"/>
    <d v="2026-10-11T00:00:00"/>
    <s v="Revised Plan given as per revised date"/>
    <m/>
    <s v="Oct"/>
    <d v="2026-10-02T00:00:00"/>
    <m/>
    <m/>
    <m/>
    <m/>
    <m/>
    <m/>
    <m/>
    <m/>
    <m/>
    <m/>
    <s v="458617"/>
    <s v="PARISIAN PINK"/>
    <n v="150"/>
    <s v="458617150PARISIAN PINK"/>
    <n v="1567.81"/>
    <n v="-7.95"/>
    <n v="1559.8680000000002"/>
    <n v="1559.8680000000002"/>
    <s v=""/>
    <s v=""/>
    <n v="0"/>
    <s v=""/>
    <n v="1567.81"/>
    <n v="1.0049999999999999"/>
    <n v="7.9419999999997799"/>
  </r>
  <r>
    <s v="LIDL"/>
    <s v="SQBIR.LIDLASIAPTELIMIT.022.FY26-27.7"/>
    <m/>
    <m/>
    <m/>
    <m/>
    <s v=""/>
    <n v="1026"/>
    <s v="KNIT SINGLE JERSEY CMIA COTTON 95% ELASTANE CRERORA 5% GSM-160 CW-167.6 CM/66 INCH  "/>
    <s v="DARK BLUE"/>
    <n v="0"/>
    <n v="689.94799999999998"/>
    <n v="689.94799999999998"/>
    <n v="0"/>
    <m/>
    <n v="0"/>
    <s v="459780"/>
    <s v="Solid"/>
    <x v="15"/>
    <d v="2026-10-28T00:00:00"/>
    <s v="7th Oct-3k mtr_x000a_28th Oct-balance full"/>
    <s v="Hues Agreed qty as per SQBL required date"/>
    <m/>
    <s v="Oct"/>
    <d v="2026-10-28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0"/>
    <s v=""/>
    <n v="4801.7299999999996"/>
    <n v="0.95299999999999996"/>
    <n v="0"/>
  </r>
  <r>
    <s v="LIDL"/>
    <s v="SQBIR.LIDLASIAPTELIMIT.022.FY26-27.8"/>
    <m/>
    <m/>
    <m/>
    <m/>
    <s v=""/>
    <n v="1027"/>
    <s v="KNIT SINGLE JERSEY CMIA COTTON 95% ELASTANE CRERORA 5% GSM-160 CW-167.6 CM/66 INCH  "/>
    <s v="DARK BLUE"/>
    <n v="-60.908333333333331"/>
    <n v="346.15600000000001"/>
    <n v="163.43100000000001"/>
    <n v="-182.72499999999999"/>
    <m/>
    <n v="-182.72499999999999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182.72499999999999"/>
    <s v=""/>
    <n v="4801.7299999999996"/>
    <n v="0.95299999999999996"/>
    <n v="0"/>
  </r>
  <r>
    <s v="LIDL"/>
    <s v="SQBIR.LIDLASIAPTELIMIT.022.FY26-27.9"/>
    <m/>
    <m/>
    <m/>
    <m/>
    <s v=""/>
    <n v="1031"/>
    <s v="KNIT SINGLE JERSEY CMIA COTTON 95% ELASTANE CRERORA 5% GSM-160 CW-167.6 CM/66 INCH  "/>
    <s v="DARK BLUE"/>
    <n v="-17.848333333333333"/>
    <n v="53.545000000000002"/>
    <m/>
    <n v="-53.545000000000002"/>
    <m/>
    <n v="-53.545000000000002"/>
    <s v="459780"/>
    <s v="Solid"/>
    <x v="15"/>
    <d v="2026-10-28T00:00:00"/>
    <s v="7th Oct-3k mtr_x000a_28th Oct-balance full"/>
    <s v="Hues Agreed qty as per SQBL required date"/>
    <m/>
    <s v="Oct"/>
    <d v="2026-10-02T00:00:00"/>
    <m/>
    <m/>
    <m/>
    <m/>
    <m/>
    <m/>
    <m/>
    <m/>
    <m/>
    <m/>
    <s v="459780#Style-2607 (MENS)-Creora"/>
    <s v="Dark Blue"/>
    <n v="160"/>
    <s v="459780#Style-2607 (MENS)-Creora160Dark Blue"/>
    <n v="4801.7299999999996"/>
    <n v="236.27"/>
    <n v="4801.7299999999996"/>
    <n v="5038"/>
    <s v=""/>
    <s v=""/>
    <n v="53.545000000000002"/>
    <s v=""/>
    <n v="4801.7299999999996"/>
    <n v="0.95299999999999996"/>
    <n v="0"/>
  </r>
  <r>
    <s v="LIDL"/>
    <s v="SQBIR.LIDLASIAPTELIMIT.004.FY26-27.4"/>
    <m/>
    <m/>
    <m/>
    <m/>
    <s v=""/>
    <n v="1032"/>
    <s v="KNIT SINGLE JERSEY CMIA COTTON 95% ELASTANE CRERORA 5% GSM-160 CW-167.6 CM/66 INCH  "/>
    <s v="Black"/>
    <n v="-247.40899999999999"/>
    <n v="742.22699999999998"/>
    <m/>
    <n v="-742.22699999999998"/>
    <m/>
    <n v="-742.22699999999998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742.22699999999998"/>
    <s v=""/>
    <n v="8037"/>
    <n v="0.16200000000000001"/>
    <n v="-2.9999999998835847E-2"/>
  </r>
  <r>
    <s v="LIDL"/>
    <s v="SQBIR.LIDLASIAPTELIMIT.004.FY26-27.5"/>
    <m/>
    <m/>
    <m/>
    <m/>
    <s v=""/>
    <n v="1033"/>
    <s v="KNIT SINGLE JERSEY CMIA COTTON 95% ELASTANE CRERORA 5% GSM-160 CW-167.6 CM/66 INCH  "/>
    <s v="Black"/>
    <n v="-26.135000000000002"/>
    <n v="78.405000000000001"/>
    <m/>
    <n v="-78.405000000000001"/>
    <m/>
    <n v="-78.405000000000001"/>
    <s v="459174"/>
    <s v="Solid"/>
    <x v="51"/>
    <d v="2026-11-25T00:00:00"/>
    <s v="(15 Oct-30th Oct)-1.5 k mtr/day_x000a_(1 Nov-25th Nov)-5k mtr/day"/>
    <s v="Hues Agreed qty as per SQBL required date"/>
    <m/>
    <s v="Oct"/>
    <d v="2026-10-08T00:00:00"/>
    <m/>
    <m/>
    <m/>
    <m/>
    <m/>
    <m/>
    <m/>
    <m/>
    <m/>
    <m/>
    <s v="459174#Style-2607 (MENS)-Creora"/>
    <s v="Black"/>
    <n v="160"/>
    <s v="459174#Style-2607 (MENS)-Creora160Black"/>
    <n v="66250.490000000005"/>
    <n v="125400.48"/>
    <n v="66250.52"/>
    <n v="191651.00000000003"/>
    <s v=""/>
    <s v=""/>
    <n v="78.405000000000001"/>
    <s v=""/>
    <n v="8037"/>
    <n v="0.16200000000000001"/>
    <n v="-2.9999999998835847E-2"/>
  </r>
  <r>
    <s v="Primark Limited"/>
    <s v="ST.TexgroupLtd.005.FY26-27.2"/>
    <m/>
    <m/>
    <m/>
    <m/>
    <s v=""/>
    <n v="1034"/>
    <s v="KNIT WEFT KNITTED JERSEY PSCP COTTON 95% LYCRA 5% GSM-160 CW-168 CM/66 INCH  "/>
    <s v="11-0602 TCX Snow White"/>
    <n v="-92.491666666666674"/>
    <n v="277.47500000000002"/>
    <m/>
    <n v="-277.47500000000002"/>
    <m/>
    <n v="-277.47500000000002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277.47500000000002"/>
    <s v=""/>
    <n v="155"/>
    <n v="0.80800000000000005"/>
    <n v="155"/>
  </r>
  <r>
    <s v="Primark Limited"/>
    <s v="ST.TexgroupLtd.005.FY26-27.3"/>
    <m/>
    <m/>
    <m/>
    <m/>
    <s v=""/>
    <n v="1035"/>
    <s v="KNIT WEFT KNITTED JERSEY PSCP COTTON 95% LYCRA 5% GSM-160 CW-168 CM/66 INCH  "/>
    <s v="11-0602 TCX Snow White"/>
    <n v="-574.17500000000007"/>
    <n v="1722.5250000000001"/>
    <m/>
    <n v="-1722.5250000000001"/>
    <m/>
    <n v="-1722.5250000000001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1722.5250000000001"/>
    <s v=""/>
    <n v="155"/>
    <n v="0.80800000000000005"/>
    <n v="155"/>
  </r>
  <r>
    <s v="Primark Limited"/>
    <s v="ST.TexgroupLtd.005.FY26-27.3"/>
    <m/>
    <m/>
    <m/>
    <m/>
    <s v=""/>
    <n v="1035"/>
    <s v="KNIT WEFT KNITTED JERSEY PSCP COTTON 95% LYCRA 5% GSM-160 CW-168 CM/66 INCH  "/>
    <s v="11-0602 TCX Snow White"/>
    <n v="-330.625"/>
    <n v="991.875"/>
    <m/>
    <n v="-991.875"/>
    <m/>
    <n v="-991.87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991.875"/>
    <s v=""/>
    <n v="155"/>
    <n v="0.80800000000000005"/>
    <n v="155"/>
  </r>
  <r>
    <s v="Primark Limited"/>
    <s v="ST.TexgroupLtd.005.FY26-27.4"/>
    <m/>
    <m/>
    <m/>
    <m/>
    <s v=""/>
    <n v="1036"/>
    <s v="KNIT WEFT KNITTED JERSEY PSCP COTTON 95% LYCRA 5% GSM-160 CW-168 CM/66 INCH  "/>
    <s v="11-0602 TCX Snow White"/>
    <n v="-180.96"/>
    <n v="542.88"/>
    <m/>
    <n v="-542.88"/>
    <m/>
    <n v="-542.8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542.88"/>
    <s v=""/>
    <n v="155"/>
    <n v="0.80800000000000005"/>
    <n v="155"/>
  </r>
  <r>
    <s v="Primark Limited"/>
    <s v="ST.TexgroupLtd.005.FY26-27.5"/>
    <m/>
    <m/>
    <m/>
    <m/>
    <s v=""/>
    <n v="1037"/>
    <s v="KNIT WEFT KNITTED JERSEY PSCP COTTON 95% LYCRA 5% GSM-160 CW-168 CM/66 INCH  "/>
    <s v="11-0602 TCX Snow White"/>
    <n v="-151.80633333333333"/>
    <n v="455.41899999999998"/>
    <m/>
    <n v="-455.41899999999998"/>
    <m/>
    <n v="-455.4189999999999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455.41899999999998"/>
    <s v=""/>
    <n v="155"/>
    <n v="0.80800000000000005"/>
    <n v="155"/>
  </r>
  <r>
    <s v="Primark Limited"/>
    <s v="ST.TexgroupLtd.005.FY26-27.6"/>
    <m/>
    <m/>
    <m/>
    <m/>
    <s v=""/>
    <n v="1038"/>
    <s v="KNIT WEFT KNITTED JERSEY PSCP COTTON 95% LYCRA 5% GSM-160 CW-168 CM/66 INCH  "/>
    <s v="11-0602 TCX Snow White"/>
    <n v="-3.2753333333333337"/>
    <n v="9.8260000000000005"/>
    <m/>
    <n v="-9.8260000000000005"/>
    <m/>
    <n v="-9.826000000000000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9.8260000000000005"/>
    <s v=""/>
    <n v="155"/>
    <n v="0.80800000000000005"/>
    <n v="155"/>
  </r>
  <r>
    <s v="Primark Limited"/>
    <s v="ST.TexgroupLtd.005.FY26-27.6"/>
    <m/>
    <m/>
    <m/>
    <m/>
    <s v=""/>
    <n v="1038"/>
    <s v="KNIT WEFT KNITTED JERSEY PSCP COTTON 95% LYCRA 5% GSM-160 CW-168 CM/66 INCH  "/>
    <s v="11-0602 TCX Snow White"/>
    <n v="-32.917666666666669"/>
    <n v="98.753"/>
    <m/>
    <n v="-98.753"/>
    <m/>
    <n v="-98.753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98.753"/>
    <s v=""/>
    <n v="155"/>
    <n v="0.80800000000000005"/>
    <n v="155"/>
  </r>
  <r>
    <s v="Primark Limited"/>
    <s v="ST.TexgroupLtd.005.FY26-27.7"/>
    <m/>
    <m/>
    <m/>
    <m/>
    <s v=""/>
    <n v="1039"/>
    <s v="KNIT WEFT KNITTED JERSEY PSCP COTTON 95% LYCRA 5% GSM-160 CW-168 CM/66 INCH  "/>
    <s v="11-0602 TCX Snow White"/>
    <n v="-197.04633333333334"/>
    <n v="591.13900000000001"/>
    <m/>
    <n v="-591.13900000000001"/>
    <m/>
    <n v="-591.13900000000001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591.13900000000001"/>
    <s v=""/>
    <n v="155"/>
    <n v="0.80800000000000005"/>
    <n v="155"/>
  </r>
  <r>
    <s v="Primark Limited"/>
    <s v="ST.TexgroupLtd.005.FY26-27.8"/>
    <m/>
    <m/>
    <m/>
    <m/>
    <s v=""/>
    <n v="1040"/>
    <s v="KNIT WEFT KNITTED JERSEY PSCP COTTON 95% LYCRA 5% GSM-160 CW-168 CM/66 INCH  "/>
    <s v="11-0602 TCX Snow White"/>
    <n v="-287.5263333333333"/>
    <n v="862.57899999999995"/>
    <m/>
    <n v="-862.57899999999995"/>
    <m/>
    <n v="-862.57899999999995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862.57899999999995"/>
    <s v=""/>
    <n v="155"/>
    <n v="0.80800000000000005"/>
    <n v="155"/>
  </r>
  <r>
    <s v="Primark Limited"/>
    <s v="ST.TexgroupLtd.005.FY26-27.9"/>
    <m/>
    <m/>
    <m/>
    <m/>
    <s v=""/>
    <n v="1041"/>
    <s v="KNIT WEFT KNITTED JERSEY PSCP COTTON 95% LYCRA 5% GSM-160 CW-168 CM/66 INCH  "/>
    <s v="11-0602 TCX Snow White"/>
    <n v="-149.17633333333333"/>
    <n v="447.529"/>
    <m/>
    <n v="-447.529"/>
    <m/>
    <n v="-447.529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447.529"/>
    <s v=""/>
    <n v="155"/>
    <n v="0.80800000000000005"/>
    <n v="155"/>
  </r>
  <r>
    <s v="Primark Limited"/>
    <s v="ST.TexgroupLtd.005.FY26-27.9"/>
    <m/>
    <m/>
    <m/>
    <m/>
    <s v=""/>
    <n v="1041"/>
    <s v="KNIT WEFT KNITTED JERSEY PSCP COTTON 95% LYCRA 5% GSM-160 CW-168 CM/66 INCH  "/>
    <s v="11-0602 TCX Snow White"/>
    <n v="-270.04866666666663"/>
    <n v="810.14599999999996"/>
    <m/>
    <n v="-810.14599999999996"/>
    <m/>
    <n v="-810.14599999999996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810.14599999999996"/>
    <s v=""/>
    <n v="155"/>
    <n v="0.80800000000000005"/>
    <n v="155"/>
  </r>
  <r>
    <s v="Primark Limited"/>
    <s v="ST.TexgroupLtd.005.FY26-27.1"/>
    <m/>
    <m/>
    <m/>
    <m/>
    <s v=""/>
    <n v="1042"/>
    <s v="KNIT WEFT KNITTED JERSEY PSCP COTTON 95% LYCRA 5% GSM-160 CW-168 CM/66 INCH  "/>
    <s v="PINK-1"/>
    <n v="-0.40266666666666667"/>
    <n v="1.208"/>
    <m/>
    <n v="-1.208"/>
    <m/>
    <n v="-1.208"/>
    <s v="461374"/>
    <s v="Solid"/>
    <x v="13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.208"/>
    <s v=""/>
    <n v="0"/>
    <n v="0"/>
    <n v="0"/>
  </r>
  <r>
    <s v="Primark Limited"/>
    <s v="ST.TexgroupLtd.005.FY26-27.10"/>
    <m/>
    <m/>
    <m/>
    <m/>
    <s v=""/>
    <n v="1043"/>
    <s v="KNIT WEFT KNITTED JERSEY PSCP COTTON 95% LYCRA 5% GSM-160 CW-168 CM/66 INCH  "/>
    <s v="PINK-1"/>
    <n v="-64.342666666666659"/>
    <n v="193.02799999999999"/>
    <m/>
    <n v="-193.02799999999999"/>
    <m/>
    <n v="-193.02799999999999"/>
    <s v="461374"/>
    <s v="Solid"/>
    <x v="13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93.02799999999999"/>
    <s v=""/>
    <n v="0"/>
    <n v="0"/>
    <n v="0"/>
  </r>
  <r>
    <s v="Primark Limited"/>
    <s v="ST.TexgroupLtd.005.FY26-27.11"/>
    <m/>
    <m/>
    <m/>
    <m/>
    <s v=""/>
    <n v="1044"/>
    <s v="KNIT WEFT KNITTED JERSEY PSCP COTTON 95% LYCRA 5% GSM-160 CW-168 CM/66 INCH  "/>
    <s v="PINK-1"/>
    <n v="-120.64"/>
    <n v="361.92"/>
    <m/>
    <n v="-361.92"/>
    <m/>
    <n v="-361.92"/>
    <s v="461374"/>
    <s v="Solid"/>
    <x v="13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61.92"/>
    <s v=""/>
    <n v="0"/>
    <n v="0"/>
    <n v="0"/>
  </r>
  <r>
    <s v="Primark Limited"/>
    <s v="ST.Primark.039.FY26-27.3"/>
    <m/>
    <m/>
    <m/>
    <m/>
    <s v=""/>
    <n v="1045"/>
    <s v="KNIT WEFT KNITTED JERSEY PSCP COTTON 100% GSM-140 CW-172 CM/68 INCH "/>
    <s v="Mustang / Cocoa 19-1217 TCX"/>
    <n v="0"/>
    <n v="14.702"/>
    <n v="14.702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30"/>
    <m/>
    <m/>
    <m/>
    <m/>
    <s v=""/>
    <n v="1046"/>
    <s v="KNIT WEFT KNITTED JERSEY PSCP COTTON 100% GSM-140 CW-172 CM/68 INCH "/>
    <s v="Mustang / Cocoa 19-1217 TCX"/>
    <n v="0"/>
    <n v="5.5880000000000001"/>
    <n v="5.5880000000000001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31"/>
    <m/>
    <m/>
    <m/>
    <m/>
    <s v=""/>
    <n v="1047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4"/>
    <m/>
    <m/>
    <m/>
    <m/>
    <s v=""/>
    <n v="1048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4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5"/>
    <m/>
    <m/>
    <m/>
    <m/>
    <s v=""/>
    <n v="1049"/>
    <s v="KNIT WEFT KNITTED JERSEY PSCP COTTON 100% GSM-140 CW-172 CM/68 INCH "/>
    <s v="Mustang / Cocoa 19-1217 TCX"/>
    <n v="0"/>
    <n v="4.7060000000000004"/>
    <n v="4.7060000000000004"/>
    <n v="0"/>
    <m/>
    <n v="0"/>
    <s v="450568"/>
    <s v="Solid"/>
    <x v="54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6"/>
    <m/>
    <m/>
    <m/>
    <m/>
    <s v=""/>
    <n v="1050"/>
    <s v="KNIT WEFT KNITTED JERSEY PSCP COTTON 100% GSM-140 CW-172 CM/68 INCH "/>
    <s v="Mustang / Cocoa 19-1217 TCX"/>
    <n v="0"/>
    <n v="6.7629999999999999"/>
    <n v="6.7629999999999999"/>
    <n v="0"/>
    <m/>
    <n v="0"/>
    <s v="450568"/>
    <s v="Solid"/>
    <x v="54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7"/>
    <m/>
    <m/>
    <m/>
    <m/>
    <s v=""/>
    <n v="1051"/>
    <s v="KNIT WEFT KNITTED JERSEY PSCP COTTON 100% GSM-140 CW-172 CM/68 INCH "/>
    <s v="Mustang / Cocoa 19-1217 TCX"/>
    <n v="0"/>
    <n v="8.8219999999999992"/>
    <n v="8.8219999999999992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8"/>
    <m/>
    <m/>
    <m/>
    <m/>
    <s v=""/>
    <n v="1052"/>
    <s v="KNIT WEFT KNITTED JERSEY PSCP COTTON 100% GSM-140 CW-172 CM/68 INCH "/>
    <s v="Mustang / Cocoa 19-1217 TCX"/>
    <n v="0"/>
    <n v="6.7629999999999999"/>
    <n v="6.7629999999999999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9"/>
    <m/>
    <m/>
    <m/>
    <m/>
    <s v=""/>
    <n v="1053"/>
    <s v="KNIT WEFT KNITTED JERSEY PSCP COTTON 100% GSM-140 CW-172 CM/68 INCH "/>
    <s v="Mustang / Cocoa 19-1217 TCX"/>
    <n v="0"/>
    <n v="9.9979999999999993"/>
    <n v="9.9979999999999993"/>
    <n v="0"/>
    <m/>
    <n v="0"/>
    <s v="450568"/>
    <s v="Solid"/>
    <x v="54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10"/>
    <m/>
    <m/>
    <m/>
    <m/>
    <s v=""/>
    <n v="1054"/>
    <s v="KNIT WEFT KNITTED JERSEY PSCP COTTON 100% GSM-140 CW-172 CM/68 INCH "/>
    <s v="Sand Dollar / Vanilla 13-1106 TCX"/>
    <n v="0"/>
    <n v="9.9979999999999993"/>
    <n v="9.9979999999999993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40.FY26-27.12"/>
    <m/>
    <m/>
    <m/>
    <m/>
    <s v=""/>
    <n v="1055"/>
    <s v="KNIT WEFT KNITTED JERSEY PSCP COTTON 100% GSM-160 CW-172 CM/68 INCH "/>
    <s v="Sand Dollar / Vanilla 13-1106 TCX"/>
    <n v="-33.660000000000004"/>
    <n v="100.98"/>
    <m/>
    <n v="-100.98"/>
    <m/>
    <n v="-100.98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100.98"/>
    <s v=""/>
    <n v="0"/>
    <n v="0"/>
    <n v="0"/>
  </r>
  <r>
    <s v="Primark Limited"/>
    <s v="ST.Primark.040.FY26-27.13"/>
    <m/>
    <m/>
    <m/>
    <m/>
    <s v=""/>
    <n v="1056"/>
    <s v="KNIT WEFT KNITTED JERSEY PSCP COTTON 100% GSM-160 CW-172 CM/68 INCH "/>
    <s v="Sand Dollar / Vanilla 13-1106 TCX"/>
    <n v="-8.91"/>
    <n v="26.73"/>
    <m/>
    <n v="-26.73"/>
    <m/>
    <n v="-26.7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26.73"/>
    <s v=""/>
    <n v="0"/>
    <n v="0"/>
    <n v="0"/>
  </r>
  <r>
    <s v="Primark Limited"/>
    <s v="ST.Primark.040.FY26-27.15"/>
    <m/>
    <m/>
    <m/>
    <m/>
    <b v="0"/>
    <n v="1057"/>
    <s v="KNIT WEFT KNITTED JERSEY PSCP COTTON 100% GSM-160 CW-172 CM/68 INCH "/>
    <s v="Sand Dollar / Vanilla 13-1106 TCX"/>
    <n v="-35.64"/>
    <n v="106.92"/>
    <m/>
    <n v="-106.92"/>
    <m/>
    <n v="-106.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106.92"/>
    <b v="0"/>
    <n v="0"/>
    <n v="0"/>
    <n v="0"/>
  </r>
  <r>
    <s v="Primark Limited"/>
    <s v="ST.Primark.040.FY26-27.16"/>
    <m/>
    <m/>
    <m/>
    <m/>
    <s v=""/>
    <n v="1058"/>
    <s v="KNIT WEFT KNITTED JERSEY PSCP COTTON 100% GSM-160 CW-172 CM/68 INCH "/>
    <s v="Sand Dollar / Vanilla 13-1106 TCX"/>
    <n v="-26.73"/>
    <n v="80.19"/>
    <m/>
    <n v="-80.19"/>
    <m/>
    <n v="-80.1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80.19"/>
    <s v=""/>
    <n v="0"/>
    <n v="0"/>
    <n v="0"/>
  </r>
  <r>
    <s v="Primark Limited"/>
    <s v="ST.Primark.040.FY26-27.20"/>
    <m/>
    <m/>
    <m/>
    <m/>
    <s v=""/>
    <n v="1059"/>
    <s v="KNIT WEFT KNITTED JERSEY PSCP COTTON 100% GSM-160 CW-172 CM/68 INCH "/>
    <s v="Sand Dollar / Vanilla 13-1106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148.5"/>
    <s v=""/>
    <n v="0"/>
    <n v="0"/>
    <n v="0"/>
  </r>
  <r>
    <s v="Primark Limited"/>
    <s v="ST.Primark.040.FY26-27.21"/>
    <m/>
    <m/>
    <m/>
    <m/>
    <s v=""/>
    <n v="1060"/>
    <s v="KNIT WEFT KNITTED JERSEY PSCP COTTON 100% GSM-160 CW-172 CM/68 INCH "/>
    <s v="Sand Dollar / Vanilla 13-1106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148.5"/>
    <s v=""/>
    <n v="0"/>
    <n v="0"/>
    <n v="0"/>
  </r>
  <r>
    <s v="Primark Limited"/>
    <s v="ST.Primark.040.FY26-27.8"/>
    <m/>
    <m/>
    <m/>
    <m/>
    <s v=""/>
    <n v="1061"/>
    <s v="KNIT WEFT KNITTED JERSEY PSCP COTTON 100% GSM-140 CW-172 CM/68 INCH "/>
    <s v="Mustang / Cocoa 19-1217 TCX"/>
    <n v="-2.2543333333333333"/>
    <n v="6.7629999999999999"/>
    <m/>
    <n v="-6.7629999999999999"/>
    <m/>
    <n v="-6.762999999999999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6.7629999999999999"/>
    <s v=""/>
    <n v="0"/>
    <n v="0"/>
    <n v="0"/>
  </r>
  <r>
    <s v="Primark Limited"/>
    <s v="ST.Primark.040.FY26-27.1"/>
    <m/>
    <m/>
    <m/>
    <m/>
    <s v=""/>
    <n v="1062"/>
    <s v="KNIT WEFT KNITTED JERSEY PSCP COTTON 100% GSM-140 CW-172 CM/68 INCH "/>
    <s v="Sand Dollar / Vanilla 13-1106 TCX"/>
    <n v="-2.4506666666666668"/>
    <n v="7.3520000000000003"/>
    <m/>
    <n v="-7.3520000000000003"/>
    <m/>
    <n v="-7.352000000000000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7.3520000000000003"/>
    <s v=""/>
    <n v="0"/>
    <n v="0"/>
    <n v="0"/>
  </r>
  <r>
    <s v="Primark Limited"/>
    <s v="ST.Primark.040.FY26-27.12"/>
    <m/>
    <m/>
    <m/>
    <m/>
    <s v=""/>
    <n v="1063"/>
    <s v="KNIT WEFT KNITTED JERSEY PSCP COTTON 100% GSM-140 CW-172 CM/68 INCH "/>
    <s v="Sand Dollar / Vanilla 13-1106 TCX"/>
    <n v="-3.3326666666666664"/>
    <n v="9.9979999999999993"/>
    <m/>
    <n v="-9.9979999999999993"/>
    <m/>
    <n v="-9.9979999999999993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9.9979999999999993"/>
    <s v=""/>
    <n v="0"/>
    <n v="0"/>
    <n v="0"/>
  </r>
  <r>
    <s v="Primark Limited"/>
    <s v="ST.Primark.040.FY26-27.20"/>
    <m/>
    <m/>
    <m/>
    <m/>
    <s v=""/>
    <n v="1064"/>
    <s v="KNIT WEFT KNITTED JERSEY PSCP COTTON 100% GSM-160 CW-172 CM/68 INCH "/>
    <s v="Black Coffee / Ganache 19-1111 TCX"/>
    <n v="-49.5"/>
    <n v="148.5"/>
    <m/>
    <n v="-148.5"/>
    <m/>
    <n v="-148.5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148.5"/>
    <s v=""/>
    <n v="0"/>
    <n v="0"/>
    <n v="0"/>
  </r>
  <r>
    <s v="Primark Limited"/>
    <s v="ST.Primark.040.FY26-27.21"/>
    <m/>
    <m/>
    <m/>
    <m/>
    <s v=""/>
    <n v="1065"/>
    <s v="KNIT WEFT KNITTED JERSEY PSCP COTTON 100% GSM-160 CW-172 CM/68 INCH "/>
    <s v="Black Coffee / Ganache 19-1111 TCX"/>
    <n v="-49.5"/>
    <n v="148.5"/>
    <m/>
    <n v="-148.5"/>
    <m/>
    <n v="-148.5"/>
    <s v="450567"/>
    <s v="Solid"/>
    <x v="34"/>
    <d v="2026-10-13T00:00:00"/>
    <d v="2026-10-12T00:00:00"/>
    <s v="Hues Agreed qty as per SQBL required date"/>
    <m/>
    <s v="Oct"/>
    <d v="2026-10-27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148.5"/>
    <s v=""/>
    <n v="0"/>
    <n v="0"/>
    <n v="0"/>
  </r>
  <r>
    <s v="Primark Limited"/>
    <s v="ST.Primark.040.FY26-27.25"/>
    <m/>
    <m/>
    <m/>
    <m/>
    <s v=""/>
    <n v="1066"/>
    <s v="KNIT WEFT KNITTED JERSEY PSCP COTTON 100% GSM-160 CW-172 CM/68 INCH "/>
    <s v="Black Coffee / Ganache 19-1111 TCX"/>
    <n v="-99"/>
    <n v="297"/>
    <m/>
    <n v="-297"/>
    <m/>
    <n v="-297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297"/>
    <s v=""/>
    <n v="0"/>
    <n v="0"/>
    <n v="0"/>
  </r>
  <r>
    <s v="Primark Limited"/>
    <s v="ST.Primark.006.FY26-27.11"/>
    <m/>
    <m/>
    <m/>
    <m/>
    <s v=""/>
    <n v="1067"/>
    <s v="KNIT WEFT KNITTED JERSEY PSCP COTTON 100% GSM-140 CW-172 CM/68 INCH "/>
    <s v="Black"/>
    <n v="0"/>
    <n v="14.94"/>
    <n v="14.94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TexgroupLtd.005.FY26-27.12"/>
    <m/>
    <m/>
    <m/>
    <m/>
    <s v=""/>
    <n v="1068"/>
    <s v="KNIT WEFT KNITTED JERSEY PSCP COTTON 95% LYCRA 5% GSM-160 CW-168 CM/66 INCH  "/>
    <s v="PINK-1"/>
    <n v="-100.53333333333335"/>
    <n v="301.60000000000002"/>
    <m/>
    <n v="-301.60000000000002"/>
    <m/>
    <n v="-301.60000000000002"/>
    <s v="461374"/>
    <s v="Solid"/>
    <x v="13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01.60000000000002"/>
    <s v=""/>
    <n v="0"/>
    <n v="0"/>
    <n v="0"/>
  </r>
  <r>
    <s v="Primark Limited"/>
    <s v="ST.TexgroupLtd.005.FY26-27.13"/>
    <m/>
    <m/>
    <m/>
    <m/>
    <s v=""/>
    <n v="1069"/>
    <s v="KNIT WEFT KNITTED JERSEY PSCP COTTON 95% LYCRA 5% GSM-160 CW-168 CM/66 INCH  "/>
    <s v="PINK-1"/>
    <n v="-130.69333333333333"/>
    <n v="392.08"/>
    <m/>
    <n v="-392.08"/>
    <m/>
    <n v="-392.08"/>
    <s v="461374"/>
    <s v="Solid"/>
    <x v="13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92.08"/>
    <s v=""/>
    <n v="0"/>
    <n v="0"/>
    <n v="0"/>
  </r>
  <r>
    <s v="Primark Limited"/>
    <s v="ST.TexgroupLtd.005.FY26-27.14"/>
    <m/>
    <m/>
    <m/>
    <m/>
    <s v=""/>
    <n v="1070"/>
    <s v="KNIT WEFT KNITTED JERSEY PSCP COTTON 95% LYCRA 5% GSM-160 CW-168 CM/66 INCH  "/>
    <s v="PINK-1"/>
    <n v="-144.76933333333332"/>
    <n v="434.30799999999999"/>
    <m/>
    <n v="-434.30799999999999"/>
    <m/>
    <n v="-434.30799999999999"/>
    <s v="461374"/>
    <s v="Solid"/>
    <x v="13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434.30799999999999"/>
    <s v=""/>
    <n v="0"/>
    <n v="0"/>
    <n v="0"/>
  </r>
  <r>
    <s v="Primark Limited"/>
    <s v="ST.TexgroupLtd.005.FY26-27.15"/>
    <m/>
    <m/>
    <m/>
    <m/>
    <s v=""/>
    <n v="1071"/>
    <s v="KNIT WEFT KNITTED JERSEY PSCP COTTON 95% LYCRA 5% GSM-160 CW-168 CM/66 INCH  "/>
    <s v="PINK-1"/>
    <n v="-105.28533333333333"/>
    <n v="315.85599999999999"/>
    <m/>
    <n v="-315.85599999999999"/>
    <m/>
    <n v="-315.85599999999999"/>
    <s v="461374"/>
    <s v="Solid"/>
    <x v="13"/>
    <d v="2026-10-19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15.85599999999999"/>
    <s v=""/>
    <n v="0"/>
    <n v="0"/>
    <n v="0"/>
  </r>
  <r>
    <s v="Primark Limited"/>
    <s v="ST.TexgroupLtd.005.FY26-27.15"/>
    <m/>
    <m/>
    <m/>
    <m/>
    <s v=""/>
    <n v="1071"/>
    <s v="KNIT WEFT KNITTED JERSEY PSCP COTTON 95% LYCRA 5% GSM-160 CW-168 CM/66 INCH  "/>
    <s v="PINK-1"/>
    <n v="-104.83066666666667"/>
    <n v="314.49200000000002"/>
    <m/>
    <n v="-314.49200000000002"/>
    <m/>
    <n v="-314.49200000000002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14.49200000000002"/>
    <s v=""/>
    <n v="0"/>
    <n v="0"/>
    <n v="0"/>
  </r>
  <r>
    <s v="Primark Limited"/>
    <s v="ST.TexgroupLtd.005.FY26-27.2"/>
    <m/>
    <m/>
    <m/>
    <m/>
    <s v=""/>
    <n v="1072"/>
    <s v="KNIT WEFT KNITTED JERSEY PSCP COTTON 95% LYCRA 5% GSM-160 CW-168 CM/66 INCH  "/>
    <s v="PINK-1"/>
    <n v="-92.491666666666674"/>
    <n v="277.47500000000002"/>
    <m/>
    <n v="-277.47500000000002"/>
    <m/>
    <n v="-277.47500000000002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277.47500000000002"/>
    <s v=""/>
    <n v="0"/>
    <n v="0"/>
    <n v="0"/>
  </r>
  <r>
    <s v="Primark Limited"/>
    <s v="ST.TexgroupLtd.005.FY26-27.3"/>
    <m/>
    <m/>
    <m/>
    <m/>
    <s v=""/>
    <n v="1073"/>
    <s v="KNIT WEFT KNITTED JERSEY PSCP COTTON 95% LYCRA 5% GSM-160 CW-168 CM/66 INCH  "/>
    <s v="PINK-1"/>
    <n v="-469.34433333333328"/>
    <n v="1408.0329999999999"/>
    <m/>
    <n v="-1408.0329999999999"/>
    <m/>
    <n v="-1408.0329999999999"/>
    <s v="461374"/>
    <s v="Solid"/>
    <x v="31"/>
    <d v="2026-10-21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408.0329999999999"/>
    <s v=""/>
    <n v="0"/>
    <n v="0"/>
    <n v="0"/>
  </r>
  <r>
    <s v="Primark Limited"/>
    <s v="ST.TexgroupLtd.005.FY26-27.3"/>
    <m/>
    <m/>
    <m/>
    <m/>
    <s v=""/>
    <n v="1073"/>
    <s v="KNIT WEFT KNITTED JERSEY PSCP COTTON 95% LYCRA 5% GSM-160 CW-168 CM/66 INCH  "/>
    <s v="PINK-1"/>
    <n v="-435.45566666666667"/>
    <n v="1306.367"/>
    <m/>
    <n v="-1306.367"/>
    <m/>
    <n v="-1306.367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306.367"/>
    <s v=""/>
    <n v="0"/>
    <n v="0"/>
    <n v="0"/>
  </r>
  <r>
    <s v="Primark Limited"/>
    <s v="ST.TexgroupLtd.005.FY26-27.4"/>
    <m/>
    <m/>
    <m/>
    <m/>
    <s v=""/>
    <n v="1074"/>
    <s v="KNIT WEFT KNITTED JERSEY PSCP COTTON 95% LYCRA 5% GSM-160 CW-168 CM/66 INCH  "/>
    <s v="PINK-1"/>
    <n v="-180.96"/>
    <n v="542.88"/>
    <m/>
    <n v="-542.88"/>
    <m/>
    <n v="-542.88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542.88"/>
    <s v=""/>
    <n v="0"/>
    <n v="0"/>
    <n v="0"/>
  </r>
  <r>
    <s v="Primark Limited"/>
    <s v="ST.TexgroupLtd.005.FY26-27.5"/>
    <m/>
    <m/>
    <m/>
    <m/>
    <s v=""/>
    <n v="1075"/>
    <s v="KNIT WEFT KNITTED JERSEY PSCP COTTON 95% LYCRA 5% GSM-160 CW-168 CM/66 INCH  "/>
    <s v="PINK-1"/>
    <n v="-50.250999999999998"/>
    <n v="150.75299999999999"/>
    <m/>
    <n v="-150.75299999999999"/>
    <m/>
    <n v="-150.75299999999999"/>
    <s v="461374"/>
    <s v="Solid"/>
    <x v="7"/>
    <d v="2026-10-23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50.75299999999999"/>
    <s v=""/>
    <n v="0"/>
    <n v="0"/>
    <n v="0"/>
  </r>
  <r>
    <s v="Primark Limited"/>
    <s v="ST.TexgroupLtd.005.FY26-27.5"/>
    <m/>
    <m/>
    <m/>
    <m/>
    <s v=""/>
    <n v="1075"/>
    <s v="KNIT WEFT KNITTED JERSEY PSCP COTTON 95% LYCRA 5% GSM-160 CW-168 CM/66 INCH  "/>
    <s v="PINK-1"/>
    <n v="-101.55533333333334"/>
    <n v="304.666"/>
    <m/>
    <n v="-304.666"/>
    <m/>
    <n v="-304.666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04.666"/>
    <s v=""/>
    <n v="0"/>
    <n v="0"/>
    <n v="0"/>
  </r>
  <r>
    <s v="Primark Limited"/>
    <s v="ST.Primark.039.FY26-27.13"/>
    <m/>
    <m/>
    <m/>
    <m/>
    <s v=""/>
    <n v="1076"/>
    <s v="KNIT WEFT KNITTED JERSEY PSCP COTTON 100% GSM-140 CW-172 CM/68 INCH "/>
    <s v="Black Coffee / Ganache 19-1111 TCX"/>
    <n v="0"/>
    <n v="10.585000000000001"/>
    <n v="10.585000000000001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40.FY26-27.12"/>
    <m/>
    <m/>
    <m/>
    <m/>
    <s v=""/>
    <n v="1077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4.4889999999999999"/>
    <s v=""/>
    <n v="0"/>
    <n v="0"/>
    <n v="0"/>
  </r>
  <r>
    <s v="Primark Limited"/>
    <s v="ST.Primark.040.FY26-27.13"/>
    <m/>
    <m/>
    <m/>
    <m/>
    <s v=""/>
    <n v="1078"/>
    <s v="KNIT WEFT KNITTED JERSEY PSCP COTTON 100% GSM-160 CW-172 CM/68 INCH "/>
    <s v="Sand Dollar / Vanilla 13-1106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1.19"/>
    <s v=""/>
    <n v="0"/>
    <n v="0"/>
    <n v="0"/>
  </r>
  <r>
    <s v="Primark Limited"/>
    <s v="ST.Primark.040.FY26-27.15"/>
    <m/>
    <m/>
    <m/>
    <m/>
    <s v=""/>
    <n v="1079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4.7530000000000001"/>
    <s v=""/>
    <n v="0"/>
    <n v="0"/>
    <n v="0"/>
  </r>
  <r>
    <s v="Primark Limited"/>
    <s v="ST.Primark.040.FY26-27.16"/>
    <m/>
    <m/>
    <m/>
    <m/>
    <s v=""/>
    <n v="1080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3.5649999999999999"/>
    <s v=""/>
    <n v="0"/>
    <n v="0"/>
    <n v="0"/>
  </r>
  <r>
    <s v="Primark Limited"/>
    <s v="ST.Primark.040.FY26-27.20"/>
    <m/>
    <m/>
    <m/>
    <m/>
    <s v=""/>
    <n v="1081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6.6"/>
    <s v=""/>
    <n v="0"/>
    <n v="0"/>
    <n v="0"/>
  </r>
  <r>
    <s v="Primark Limited"/>
    <s v="ST.Primark.040.FY26-27.21"/>
    <m/>
    <m/>
    <m/>
    <m/>
    <s v=""/>
    <n v="1082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6.6"/>
    <s v=""/>
    <n v="0"/>
    <n v="0"/>
    <n v="0"/>
  </r>
  <r>
    <s v="Primark Limited"/>
    <s v="ST.Primark.039.FY26-27.3"/>
    <m/>
    <m/>
    <m/>
    <m/>
    <s v=""/>
    <n v="1083"/>
    <s v="KNIT WEFT KNITTED JERSEY PSCP COTTON 100% GSM-160 CW-172 CM/68 INCH "/>
    <s v="Sand Dollar / Vanilla 13-1106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6.6020000000000003"/>
    <s v=""/>
    <n v="0"/>
    <n v="0"/>
    <n v="0"/>
  </r>
  <r>
    <s v="Primark Limited"/>
    <s v="ST.Primark.039.FY26-27.30"/>
    <m/>
    <m/>
    <m/>
    <m/>
    <s v=""/>
    <n v="1084"/>
    <s v="KNIT WEFT KNITTED JERSEY PSCP COTTON 100% GSM-160 CW-172 CM/68 INCH "/>
    <s v="Sand Dollar / Vanilla 13-1106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24.222999999999999"/>
    <s v=""/>
    <n v="0"/>
    <n v="0"/>
    <n v="0"/>
  </r>
  <r>
    <s v="Primark Limited"/>
    <s v="ST.Primark.039.FY26-27.31"/>
    <m/>
    <m/>
    <m/>
    <m/>
    <s v=""/>
    <n v="1085"/>
    <s v="KNIT WEFT KNITTED JERSEY PSCP COTTON 100% GSM-160 CW-172 CM/68 INCH "/>
    <s v="Sand Dollar / Vanilla 13-1106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41.186"/>
    <s v=""/>
    <n v="0"/>
    <n v="0"/>
    <n v="0"/>
  </r>
  <r>
    <s v="Primark Limited"/>
    <s v="ST.Primark.039.FY26-27.4"/>
    <m/>
    <m/>
    <m/>
    <m/>
    <s v=""/>
    <n v="1086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3.9620000000000002"/>
    <s v=""/>
    <n v="0"/>
    <n v="0"/>
    <n v="0"/>
  </r>
  <r>
    <s v="Primark Limited"/>
    <s v="ST.Primark.039.FY26-27.5"/>
    <m/>
    <m/>
    <m/>
    <m/>
    <s v=""/>
    <n v="1087"/>
    <s v="KNIT WEFT KNITTED JERSEY PSCP COTTON 100% GSM-160 CW-172 CM/68 INCH "/>
    <s v="Sand Dollar / Vanilla 13-1106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2.1139999999999999"/>
    <s v=""/>
    <n v="0"/>
    <n v="0"/>
    <n v="0"/>
  </r>
  <r>
    <s v="Primark Limited"/>
    <s v="ST.TexgroupLtd.005.FY26-27.2"/>
    <m/>
    <m/>
    <m/>
    <m/>
    <s v=""/>
    <n v="1088"/>
    <s v="KNIT WEFT KNITTED JERSEY PSCP COTTON 95% LYCRA 5% GSM-160 CW-168 CM/66 INCH  "/>
    <s v="11-0515 TCX Lemon Icing"/>
    <n v="-92.491666666666674"/>
    <n v="277.47500000000002"/>
    <m/>
    <n v="-277.47500000000002"/>
    <m/>
    <n v="-277.47500000000002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277.47500000000002"/>
    <s v=""/>
    <n v="166"/>
    <n v="0.86599999999999999"/>
    <n v="166"/>
  </r>
  <r>
    <s v="Primark Limited"/>
    <s v="ST.TexgroupLtd.005.FY26-27.3"/>
    <m/>
    <m/>
    <m/>
    <m/>
    <s v=""/>
    <n v="1089"/>
    <s v="KNIT WEFT KNITTED JERSEY PSCP COTTON 95% LYCRA 5% GSM-160 CW-168 CM/66 INCH  "/>
    <s v="11-0515 TCX Lemon Icing"/>
    <n v="-574.17500000000007"/>
    <n v="1722.5250000000001"/>
    <m/>
    <n v="-1722.5250000000001"/>
    <m/>
    <n v="-1722.5250000000001"/>
    <s v="461374"/>
    <s v="Solid"/>
    <x v="30"/>
    <d v="2026-10-20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1722.5250000000001"/>
    <s v=""/>
    <n v="166"/>
    <n v="0.86599999999999999"/>
    <n v="166"/>
  </r>
  <r>
    <s v="Primark Limited"/>
    <s v="ST.TexgroupLtd.005.FY26-27.3"/>
    <m/>
    <m/>
    <m/>
    <m/>
    <s v=""/>
    <n v="1089"/>
    <s v="KNIT WEFT KNITTED JERSEY PSCP COTTON 95% LYCRA 5% GSM-160 CW-168 CM/66 INCH  "/>
    <s v="11-0515 TCX Lemon Icing"/>
    <n v="-330.625"/>
    <n v="991.875"/>
    <m/>
    <n v="-991.875"/>
    <m/>
    <n v="-991.87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991.875"/>
    <s v=""/>
    <n v="166"/>
    <n v="0.86599999999999999"/>
    <n v="166"/>
  </r>
  <r>
    <s v="Primark Limited"/>
    <s v="ST.TexgroupLtd.005.FY26-27.4"/>
    <m/>
    <m/>
    <m/>
    <m/>
    <s v=""/>
    <n v="1090"/>
    <s v="KNIT WEFT KNITTED JERSEY PSCP COTTON 95% LYCRA 5% GSM-160 CW-168 CM/66 INCH  "/>
    <s v="11-0515 TCX Lemon Icing"/>
    <n v="-180.96"/>
    <n v="542.88"/>
    <m/>
    <n v="-542.88"/>
    <m/>
    <n v="-542.8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542.88"/>
    <s v=""/>
    <n v="166"/>
    <n v="0.86599999999999999"/>
    <n v="166"/>
  </r>
  <r>
    <s v="Primark Limited"/>
    <s v="ST.TexgroupLtd.005.FY26-27.5"/>
    <m/>
    <m/>
    <m/>
    <m/>
    <s v=""/>
    <n v="1091"/>
    <s v="KNIT WEFT KNITTED JERSEY PSCP COTTON 95% LYCRA 5% GSM-160 CW-168 CM/66 INCH  "/>
    <s v="11-0515 TCX Lemon Icing"/>
    <n v="-151.80633333333333"/>
    <n v="455.41899999999998"/>
    <m/>
    <n v="-455.41899999999998"/>
    <m/>
    <n v="-455.41899999999998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455.41899999999998"/>
    <s v=""/>
    <n v="166"/>
    <n v="0.86599999999999999"/>
    <n v="166"/>
  </r>
  <r>
    <s v="Primark Limited"/>
    <s v="ST.TexgroupLtd.005.FY26-27.6"/>
    <m/>
    <m/>
    <m/>
    <m/>
    <b v="0"/>
    <n v="1092"/>
    <s v="KNIT WEFT KNITTED JERSEY PSCP COTTON 95% LYCRA 5% GSM-160 CW-168 CM/66 INCH  "/>
    <s v="11-0515 TCX Lemon Icing"/>
    <n v="-3.2753333333333337"/>
    <n v="9.8260000000000005"/>
    <m/>
    <n v="-9.8260000000000005"/>
    <m/>
    <n v="-9.8260000000000005"/>
    <s v="461374"/>
    <s v="Solid"/>
    <x v="17"/>
    <d v="2026-10-22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9.8260000000000005"/>
    <b v="0"/>
    <n v="166"/>
    <n v="0.86599999999999999"/>
    <n v="166"/>
  </r>
  <r>
    <s v="Primark Limited"/>
    <s v="ST.TexgroupLtd.005.FY26-27.6"/>
    <m/>
    <m/>
    <m/>
    <m/>
    <s v=""/>
    <n v="1092"/>
    <s v="KNIT WEFT KNITTED JERSEY PSCP COTTON 95% LYCRA 5% GSM-160 CW-168 CM/66 INCH  "/>
    <s v="11-0515 TCX Lemon Icing"/>
    <n v="-32.917666666666669"/>
    <n v="98.753"/>
    <m/>
    <n v="-98.753"/>
    <m/>
    <n v="-98.753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98.753"/>
    <s v=""/>
    <n v="166"/>
    <n v="0.86599999999999999"/>
    <n v="166"/>
  </r>
  <r>
    <s v="Primark Limited"/>
    <s v="ST.TexgroupLtd.005.FY26-27.7"/>
    <m/>
    <m/>
    <m/>
    <m/>
    <s v=""/>
    <n v="1093"/>
    <s v="KNIT WEFT KNITTED JERSEY PSCP COTTON 95% LYCRA 5% GSM-160 CW-168 CM/66 INCH  "/>
    <s v="11-0515 TCX Lemon Icing"/>
    <n v="-197.04633333333334"/>
    <n v="591.13900000000001"/>
    <m/>
    <n v="-591.13900000000001"/>
    <m/>
    <n v="-591.13900000000001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591.13900000000001"/>
    <s v=""/>
    <n v="166"/>
    <n v="0.86599999999999999"/>
    <n v="166"/>
  </r>
  <r>
    <s v="Primark Limited"/>
    <s v="ST.TexgroupLtd.005.FY26-27.8"/>
    <m/>
    <m/>
    <m/>
    <m/>
    <s v=""/>
    <n v="1094"/>
    <s v="KNIT WEFT KNITTED JERSEY PSCP COTTON 95% LYCRA 5% GSM-160 CW-168 CM/66 INCH  "/>
    <s v="11-0515 TCX Lemon Icing"/>
    <n v="-287.5263333333333"/>
    <n v="862.57899999999995"/>
    <m/>
    <n v="-862.57899999999995"/>
    <m/>
    <n v="-862.57899999999995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862.57899999999995"/>
    <s v=""/>
    <n v="166"/>
    <n v="0.86599999999999999"/>
    <n v="166"/>
  </r>
  <r>
    <s v="Primark Limited"/>
    <s v="ST.TexgroupLtd.005.FY26-27.9"/>
    <m/>
    <m/>
    <m/>
    <m/>
    <s v=""/>
    <n v="1095"/>
    <s v="KNIT WEFT KNITTED JERSEY PSCP COTTON 95% LYCRA 5% GSM-160 CW-168 CM/66 INCH  "/>
    <s v="11-0515 TCX Lemon Icing"/>
    <n v="-149.17633333333333"/>
    <n v="447.529"/>
    <m/>
    <n v="-447.529"/>
    <m/>
    <n v="-447.529"/>
    <s v="461374"/>
    <s v="Solid"/>
    <x v="13"/>
    <d v="2026-10-24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447.529"/>
    <s v=""/>
    <n v="166"/>
    <n v="0.86599999999999999"/>
    <n v="166"/>
  </r>
  <r>
    <s v="Primark Limited"/>
    <s v="ST.TexgroupLtd.005.FY26-27.9"/>
    <m/>
    <m/>
    <m/>
    <m/>
    <s v=""/>
    <n v="1095"/>
    <s v="KNIT WEFT KNITTED JERSEY PSCP COTTON 95% LYCRA 5% GSM-160 CW-168 CM/66 INCH  "/>
    <s v="11-0515 TCX Lemon Icing"/>
    <n v="-270.04866666666663"/>
    <n v="810.14599999999996"/>
    <m/>
    <n v="-810.14599999999996"/>
    <m/>
    <n v="-810.14599999999996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810.14599999999996"/>
    <s v=""/>
    <n v="166"/>
    <n v="0.86599999999999999"/>
    <n v="166"/>
  </r>
  <r>
    <s v="Primark Limited"/>
    <s v="ST.TexgroupLtd.005.FY26-27.1"/>
    <m/>
    <m/>
    <m/>
    <m/>
    <s v=""/>
    <n v="1096"/>
    <s v="KNIT WEFT KNITTED JERSEY PSCP COTTON 95% LYCRA 5% GSM-160 CW-168 CM/66 INCH  "/>
    <s v="11-0602 TCX Snow White"/>
    <n v="-0.40266666666666667"/>
    <n v="1.208"/>
    <m/>
    <n v="-1.208"/>
    <m/>
    <n v="-1.208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1.208"/>
    <s v=""/>
    <n v="155"/>
    <n v="0.80800000000000005"/>
    <n v="155"/>
  </r>
  <r>
    <s v="Primark Limited"/>
    <s v="ST.TexgroupLtd.005.FY26-27.10"/>
    <m/>
    <m/>
    <m/>
    <m/>
    <s v=""/>
    <n v="1097"/>
    <s v="KNIT WEFT KNITTED JERSEY PSCP COTTON 95% LYCRA 5% GSM-160 CW-168 CM/66 INCH  "/>
    <s v="11-0602 TCX Snow White"/>
    <n v="-64.342666666666659"/>
    <n v="193.02799999999999"/>
    <m/>
    <n v="-193.02799999999999"/>
    <m/>
    <n v="-193.02799999999999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193.02799999999999"/>
    <s v=""/>
    <n v="155"/>
    <n v="0.80800000000000005"/>
    <n v="155"/>
  </r>
  <r>
    <s v="Primark Limited"/>
    <s v="ST.TexgroupLtd.005.FY26-27.11"/>
    <m/>
    <m/>
    <m/>
    <m/>
    <s v=""/>
    <n v="1098"/>
    <s v="KNIT WEFT KNITTED JERSEY PSCP COTTON 95% LYCRA 5% GSM-160 CW-168 CM/66 INCH  "/>
    <s v="11-0602 TCX Snow White"/>
    <n v="-120.64"/>
    <n v="361.92"/>
    <m/>
    <n v="-361.92"/>
    <m/>
    <n v="-361.9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361.92"/>
    <s v=""/>
    <n v="155"/>
    <n v="0.80800000000000005"/>
    <n v="155"/>
  </r>
  <r>
    <s v="Primark Limited"/>
    <s v="ST.TexgroupLtd.005.FY26-27.12"/>
    <m/>
    <m/>
    <m/>
    <m/>
    <s v=""/>
    <n v="1099"/>
    <s v="KNIT WEFT KNITTED JERSEY PSCP COTTON 95% LYCRA 5% GSM-160 CW-168 CM/66 INCH  "/>
    <s v="11-0602 TCX Snow White"/>
    <n v="-100.53333333333335"/>
    <n v="301.60000000000002"/>
    <m/>
    <n v="-301.60000000000002"/>
    <m/>
    <n v="-301.6000000000000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301.60000000000002"/>
    <s v=""/>
    <n v="155"/>
    <n v="0.80800000000000005"/>
    <n v="155"/>
  </r>
  <r>
    <s v="Primark Limited"/>
    <s v="ST.TexgroupLtd.005.FY26-27.3"/>
    <m/>
    <m/>
    <m/>
    <m/>
    <b v="0"/>
    <n v="1100"/>
    <s v="KNIT WEFT KNITTED JERSEY PSCP COTTON 100% GSM-140 CW-172 CM/68 INCH "/>
    <s v="11-0515 TCX Lemon Icing"/>
    <n v="-66.666666666666671"/>
    <n v="200"/>
    <m/>
    <n v="-200"/>
    <m/>
    <n v="-200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200"/>
    <b v="0"/>
    <n v="27"/>
    <n v="0.96"/>
    <n v="54.29"/>
  </r>
  <r>
    <s v="Primark Limited"/>
    <s v="ST.TexgroupLtd.005.FY26-27.3"/>
    <m/>
    <m/>
    <m/>
    <m/>
    <s v=""/>
    <n v="1100"/>
    <s v="KNIT WEFT KNITTED JERSEY PSCP COTTON 100% GSM-140 CW-172 CM/68 INCH "/>
    <s v="11-0515 TCX Lemon Icing"/>
    <n v="-66.666666666666671"/>
    <n v="200"/>
    <m/>
    <n v="-200"/>
    <m/>
    <n v="-200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200"/>
    <s v=""/>
    <n v="27"/>
    <n v="0.96"/>
    <n v="54.29"/>
  </r>
  <r>
    <s v="Primark Limited"/>
    <s v="ST.TexgroupLtd.005.FY26-27.3"/>
    <m/>
    <m/>
    <m/>
    <m/>
    <s v=""/>
    <n v="1100"/>
    <s v="KNIT WEFT KNITTED JERSEY PSCP COTTON 100% GSM-140 CW-172 CM/68 INCH "/>
    <s v="11-0515 TCX Lemon Icing"/>
    <n v="-10.666666666666666"/>
    <n v="32"/>
    <m/>
    <n v="-32"/>
    <m/>
    <n v="-3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32"/>
    <s v=""/>
    <n v="27"/>
    <n v="0.96"/>
    <n v="54.29"/>
  </r>
  <r>
    <s v="Primark Limited"/>
    <s v="ST.TexgroupLtd.005.FY26-27.4"/>
    <m/>
    <m/>
    <m/>
    <m/>
    <s v=""/>
    <n v="1101"/>
    <s v="KNIT WEFT KNITTED JERSEY PSCP COTTON 100% GSM-140 CW-172 CM/68 INCH "/>
    <s v="11-0515 TCX Lemon Icing"/>
    <n v="-28.8"/>
    <n v="86.4"/>
    <m/>
    <n v="-86.4"/>
    <m/>
    <n v="-86.4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86.4"/>
    <s v=""/>
    <n v="27"/>
    <n v="0.96"/>
    <n v="54.29"/>
  </r>
  <r>
    <s v="Primark Limited"/>
    <s v="ST.TexgroupLtd.005.FY26-27.5"/>
    <m/>
    <m/>
    <m/>
    <m/>
    <s v=""/>
    <n v="1102"/>
    <s v="KNIT WEFT KNITTED JERSEY PSCP COTTON 100% GSM-140 CW-172 CM/68 INCH "/>
    <s v="11-0515 TCX Lemon Icing"/>
    <n v="-24.16"/>
    <n v="72.48"/>
    <m/>
    <n v="-72.48"/>
    <m/>
    <n v="-72.48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72.48"/>
    <s v=""/>
    <n v="27"/>
    <n v="0.96"/>
    <n v="54.29"/>
  </r>
  <r>
    <s v="Primark Limited"/>
    <s v="ST.TexgroupLtd.005.FY26-27.6"/>
    <m/>
    <m/>
    <m/>
    <m/>
    <s v=""/>
    <n v="1103"/>
    <s v="KNIT WEFT KNITTED JERSEY PSCP COTTON 100% GSM-140 CW-172 CM/68 INCH "/>
    <s v="11-0515 TCX Lemon Icing"/>
    <n v="-3.0399999999999996"/>
    <n v="9.1199999999999992"/>
    <m/>
    <n v="-9.1199999999999992"/>
    <m/>
    <n v="-9.119999999999999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9.1199999999999992"/>
    <s v=""/>
    <n v="27"/>
    <n v="0.96"/>
    <n v="54.29"/>
  </r>
  <r>
    <s v="Primark Limited"/>
    <s v="ST.TexgroupLtd.005.FY26-27.6"/>
    <m/>
    <m/>
    <m/>
    <m/>
    <b v="0"/>
    <n v="1103"/>
    <s v="KNIT WEFT KNITTED JERSEY PSCP COTTON 100% GSM-140 CW-172 CM/68 INCH "/>
    <s v="11-0515 TCX Lemon Icing"/>
    <n v="-2.72"/>
    <n v="8.16"/>
    <m/>
    <n v="-8.16"/>
    <m/>
    <n v="-8.1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8.16"/>
    <b v="0"/>
    <n v="27"/>
    <n v="0.96"/>
    <n v="54.29"/>
  </r>
  <r>
    <s v="Primark Limited"/>
    <s v="ST.TexgroupLtd.005.FY26-27.7"/>
    <m/>
    <m/>
    <m/>
    <m/>
    <s v=""/>
    <n v="1104"/>
    <s v="KNIT WEFT KNITTED JERSEY PSCP COTTON 100% GSM-140 CW-172 CM/68 INCH "/>
    <s v="11-0515 TCX Lemon Icing"/>
    <n v="-31.36"/>
    <n v="94.08"/>
    <m/>
    <n v="-94.08"/>
    <m/>
    <n v="-94.0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94.08"/>
    <s v=""/>
    <n v="27"/>
    <n v="0.96"/>
    <n v="54.29"/>
  </r>
  <r>
    <s v="Primark Limited"/>
    <s v="ST.TexgroupLtd.005.FY26-27.8"/>
    <m/>
    <m/>
    <m/>
    <m/>
    <s v=""/>
    <n v="1105"/>
    <s v="KNIT WEFT KNITTED JERSEY PSCP COTTON 100% GSM-140 CW-172 CM/68 INCH "/>
    <s v="11-0515 TCX Lemon Icing"/>
    <n v="-32.586666666666666"/>
    <n v="97.76"/>
    <m/>
    <n v="-97.76"/>
    <m/>
    <n v="-97.7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97.76"/>
    <s v=""/>
    <n v="27"/>
    <n v="0.96"/>
    <n v="54.29"/>
  </r>
  <r>
    <s v="Primark Limited"/>
    <s v="ST.TexgroupLtd.005.FY26-27.8"/>
    <m/>
    <m/>
    <m/>
    <m/>
    <s v=""/>
    <n v="1105"/>
    <s v="KNIT WEFT KNITTED JERSEY PSCP COTTON 100% GSM-140 CW-172 CM/68 INCH "/>
    <s v="11-0515 TCX Lemon Icing"/>
    <n v="-13.173333333333334"/>
    <n v="39.520000000000003"/>
    <m/>
    <n v="-39.520000000000003"/>
    <m/>
    <n v="-39.520000000000003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39.520000000000003"/>
    <s v=""/>
    <n v="27"/>
    <n v="0.96"/>
    <n v="54.29"/>
  </r>
  <r>
    <s v="Primark Limited"/>
    <s v="ST.TexgroupLtd.005.FY26-27.9"/>
    <m/>
    <m/>
    <m/>
    <m/>
    <s v=""/>
    <n v="1106"/>
    <s v="KNIT WEFT KNITTED JERSEY PSCP COTTON 100% GSM-140 CW-172 CM/68 INCH "/>
    <s v="11-0515 TCX Lemon Icing"/>
    <n v="-53.493333333333332"/>
    <n v="160.47999999999999"/>
    <m/>
    <n v="-160.47999999999999"/>
    <m/>
    <n v="-160.47999999999999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160.47999999999999"/>
    <s v=""/>
    <n v="27"/>
    <n v="0.96"/>
    <n v="54.29"/>
  </r>
  <r>
    <s v="Primark Limited"/>
    <s v="ST.TexgroupLtd.005.FY26-27.9"/>
    <m/>
    <m/>
    <m/>
    <m/>
    <s v=""/>
    <n v="1106"/>
    <s v="KNIT WEFT KNITTED JERSEY PSCP COTTON 100% GSM-140 CW-172 CM/68 INCH "/>
    <s v="11-0515 TCX Lemon Icing"/>
    <n v="-13.226666666666667"/>
    <n v="39.68"/>
    <m/>
    <n v="-39.68"/>
    <m/>
    <n v="-39.68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39.68"/>
    <s v=""/>
    <n v="27"/>
    <n v="0.96"/>
    <n v="54.29"/>
  </r>
  <r>
    <s v="Primark Limited"/>
    <s v="ST.TexgroupLtd.005.FY26-27.4"/>
    <m/>
    <m/>
    <m/>
    <m/>
    <s v=""/>
    <n v="1107"/>
    <s v="KNIT WEFT KNITTED JERSEY PSCP COTTON 100% GSM-140 CW-172 CM/68 INCH "/>
    <s v="11-0602 TCX Snow White"/>
    <n v="-28.8"/>
    <n v="86.4"/>
    <m/>
    <n v="-86.4"/>
    <m/>
    <n v="-86.4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86.4"/>
    <s v=""/>
    <n v="24"/>
    <n v="1.0999999999999999E-2"/>
    <n v="24"/>
  </r>
  <r>
    <s v="Primark Limited"/>
    <s v="ST.TexgroupLtd.005.FY26-27.5"/>
    <m/>
    <m/>
    <m/>
    <m/>
    <s v=""/>
    <n v="1108"/>
    <s v="KNIT WEFT KNITTED JERSEY PSCP COTTON 100% GSM-140 CW-172 CM/68 INCH "/>
    <s v="11-0602 TCX Snow White"/>
    <n v="-24.16"/>
    <n v="72.48"/>
    <m/>
    <n v="-72.48"/>
    <m/>
    <n v="-72.48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72.48"/>
    <s v=""/>
    <n v="24"/>
    <n v="1.0999999999999999E-2"/>
    <n v="24"/>
  </r>
  <r>
    <s v="Primark Limited"/>
    <s v="ST.TexgroupLtd.005.FY26-27.6"/>
    <m/>
    <m/>
    <m/>
    <m/>
    <b v="0"/>
    <n v="1109"/>
    <s v="KNIT WEFT KNITTED JERSEY PSCP COTTON 100% GSM-140 CW-172 CM/68 INCH "/>
    <s v="11-0602 TCX Snow White"/>
    <n v="-5.7600000000000007"/>
    <n v="17.28"/>
    <m/>
    <n v="-17.28"/>
    <m/>
    <n v="-17.28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17.28"/>
    <b v="0"/>
    <n v="24"/>
    <n v="1.0999999999999999E-2"/>
    <n v="24"/>
  </r>
  <r>
    <s v="Primark Limited"/>
    <s v="ST.TexgroupLtd.005.FY26-27.7"/>
    <m/>
    <m/>
    <m/>
    <m/>
    <s v=""/>
    <n v="1110"/>
    <s v="KNIT WEFT KNITTED JERSEY PSCP COTTON 100% GSM-140 CW-172 CM/68 INCH "/>
    <s v="11-0602 TCX Snow White"/>
    <n v="-7.9466666666666663"/>
    <n v="23.84"/>
    <m/>
    <n v="-23.84"/>
    <m/>
    <n v="-23.84"/>
    <s v="461374"/>
    <s v="Solid"/>
    <x v="30"/>
    <d v="2026-10-2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23.84"/>
    <s v=""/>
    <n v="24"/>
    <n v="1.0999999999999999E-2"/>
    <n v="24"/>
  </r>
  <r>
    <s v="Primark Limited"/>
    <s v="ST.TexgroupLtd.005.FY26-27.7"/>
    <m/>
    <m/>
    <m/>
    <m/>
    <s v=""/>
    <n v="1110"/>
    <s v="KNIT WEFT KNITTED JERSEY PSCP COTTON 100% GSM-140 CW-172 CM/68 INCH "/>
    <s v="11-0602 TCX Snow White"/>
    <n v="-23.41333333333333"/>
    <n v="70.239999999999995"/>
    <m/>
    <n v="-70.239999999999995"/>
    <m/>
    <n v="-70.239999999999995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70.239999999999995"/>
    <s v=""/>
    <n v="24"/>
    <n v="1.0999999999999999E-2"/>
    <n v="24"/>
  </r>
  <r>
    <s v="Primark Limited"/>
    <s v="ST.TexgroupLtd.005.FY26-27.8"/>
    <m/>
    <m/>
    <m/>
    <m/>
    <s v=""/>
    <n v="1111"/>
    <s v="KNIT WEFT KNITTED JERSEY PSCP COTTON 100% GSM-140 CW-172 CM/68 INCH "/>
    <s v="11-0602 TCX Snow White"/>
    <n v="-43.25333333333333"/>
    <n v="129.76"/>
    <m/>
    <n v="-129.76"/>
    <m/>
    <n v="-129.76"/>
    <s v="461374"/>
    <s v="Solid"/>
    <x v="17"/>
    <d v="2026-10-22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129.76"/>
    <s v=""/>
    <n v="24"/>
    <n v="1.0999999999999999E-2"/>
    <n v="24"/>
  </r>
  <r>
    <s v="Primark Limited"/>
    <s v="ST.TexgroupLtd.005.FY26-27.8"/>
    <m/>
    <m/>
    <m/>
    <m/>
    <s v=""/>
    <n v="1111"/>
    <s v="KNIT WEFT KNITTED JERSEY PSCP COTTON 100% GSM-140 CW-172 CM/68 INCH "/>
    <s v="11-0602 TCX Snow White"/>
    <n v="-2.5066666666666664"/>
    <n v="7.52"/>
    <m/>
    <n v="-7.52"/>
    <m/>
    <n v="-7.52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7.52"/>
    <s v=""/>
    <n v="24"/>
    <n v="1.0999999999999999E-2"/>
    <n v="24"/>
  </r>
  <r>
    <s v="Primark Limited"/>
    <s v="ST.TexgroupLtd.005.FY26-27.9"/>
    <m/>
    <m/>
    <m/>
    <m/>
    <s v=""/>
    <n v="1112"/>
    <s v="KNIT WEFT KNITTED JERSEY PSCP COTTON 100% GSM-140 CW-172 CM/68 INCH "/>
    <s v="11-0602 TCX Snow White"/>
    <n v="-64.16"/>
    <n v="192.48"/>
    <m/>
    <n v="-192.48"/>
    <m/>
    <n v="-192.48"/>
    <s v="461374"/>
    <s v="Solid"/>
    <x v="13"/>
    <d v="2026-10-24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192.48"/>
    <s v=""/>
    <n v="24"/>
    <n v="1.0999999999999999E-2"/>
    <n v="24"/>
  </r>
  <r>
    <s v="Primark Limited"/>
    <s v="ST.TexgroupLtd.005.FY26-27.9"/>
    <m/>
    <m/>
    <m/>
    <m/>
    <s v=""/>
    <n v="1112"/>
    <s v="KNIT WEFT KNITTED JERSEY PSCP COTTON 100% GSM-140 CW-172 CM/68 INCH "/>
    <s v="11-0602 TCX Snow White"/>
    <n v="-2.56"/>
    <n v="7.68"/>
    <m/>
    <n v="-7.68"/>
    <m/>
    <n v="-7.6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7.68"/>
    <s v=""/>
    <n v="24"/>
    <n v="1.0999999999999999E-2"/>
    <n v="24"/>
  </r>
  <r>
    <s v="Primark Limited"/>
    <s v="ST.TexgroupLtd.005.FY26-27.10"/>
    <m/>
    <m/>
    <m/>
    <m/>
    <s v=""/>
    <n v="1113"/>
    <s v="KNIT WEFT KNITTED JERSEY PSCP COTTON 100% GSM-140 CW-172 CM/68 INCH "/>
    <s v="PINK-1"/>
    <n v="-10.24"/>
    <n v="30.72"/>
    <m/>
    <n v="-30.72"/>
    <m/>
    <n v="-30.72"/>
    <s v="461374"/>
    <s v="Solid"/>
    <x v="13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30.72"/>
    <s v=""/>
    <n v="0"/>
    <n v="0"/>
    <n v="0"/>
  </r>
  <r>
    <s v="Primark Limited"/>
    <s v="ST.TexgroupLtd.005.FY26-27.11"/>
    <m/>
    <m/>
    <m/>
    <m/>
    <s v=""/>
    <n v="1114"/>
    <s v="KNIT WEFT KNITTED JERSEY PSCP COTTON 100% GSM-140 CW-172 CM/68 INCH "/>
    <s v="PINK-1"/>
    <n v="-19.2"/>
    <n v="57.6"/>
    <m/>
    <n v="-57.6"/>
    <m/>
    <n v="-57.6"/>
    <s v="461374"/>
    <s v="Solid"/>
    <x v="13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57.6"/>
    <s v=""/>
    <n v="0"/>
    <n v="0"/>
    <n v="0"/>
  </r>
  <r>
    <s v="Primark Limited"/>
    <s v="ST.TexgroupLtd.005.FY26-27.12"/>
    <m/>
    <m/>
    <m/>
    <m/>
    <s v=""/>
    <n v="1115"/>
    <s v="KNIT WEFT KNITTED JERSEY PSCP COTTON 100% GSM-140 CW-172 CM/68 INCH "/>
    <s v="PINK-1"/>
    <n v="-16"/>
    <n v="48"/>
    <m/>
    <n v="-48"/>
    <m/>
    <n v="-48"/>
    <s v="461374"/>
    <s v="Solid"/>
    <x v="13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48"/>
    <s v=""/>
    <n v="0"/>
    <n v="0"/>
    <n v="0"/>
  </r>
  <r>
    <s v="Primark Limited"/>
    <s v="ST.TexgroupLtd.005.FY26-27.13"/>
    <m/>
    <m/>
    <m/>
    <m/>
    <s v=""/>
    <n v="1116"/>
    <s v="KNIT WEFT KNITTED JERSEY PSCP COTTON 100% GSM-140 CW-172 CM/68 INCH "/>
    <s v="PINK-1"/>
    <n v="-20.8"/>
    <n v="62.4"/>
    <m/>
    <n v="-62.4"/>
    <m/>
    <n v="-62.4"/>
    <s v="461374"/>
    <s v="Solid"/>
    <x v="13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62.4"/>
    <s v=""/>
    <n v="0"/>
    <n v="0"/>
    <n v="0"/>
  </r>
  <r>
    <s v="Primark Limited"/>
    <s v="ST.TexgroupLtd.005.FY26-27.14"/>
    <m/>
    <m/>
    <m/>
    <m/>
    <s v=""/>
    <n v="1117"/>
    <s v="KNIT WEFT KNITTED JERSEY PSCP COTTON 100% GSM-140 CW-172 CM/68 INCH "/>
    <s v="PINK-1"/>
    <n v="-0.42666666666666669"/>
    <n v="1.28"/>
    <m/>
    <n v="-1.28"/>
    <m/>
    <n v="-1.28"/>
    <s v="461374"/>
    <s v="Solid"/>
    <x v="13"/>
    <d v="2026-10-19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1.28"/>
    <s v=""/>
    <n v="0"/>
    <n v="0"/>
    <n v="0"/>
  </r>
  <r>
    <s v="Primark Limited"/>
    <s v="ST.TexgroupLtd.005.FY26-27.14"/>
    <m/>
    <m/>
    <m/>
    <m/>
    <s v=""/>
    <n v="1117"/>
    <s v="KNIT WEFT KNITTED JERSEY PSCP COTTON 100% GSM-140 CW-172 CM/68 INCH "/>
    <s v="PINK-1"/>
    <n v="-22.613333333333333"/>
    <n v="67.84"/>
    <m/>
    <n v="-67.84"/>
    <m/>
    <n v="-67.84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67.84"/>
    <s v=""/>
    <n v="0"/>
    <n v="0"/>
    <n v="0"/>
  </r>
  <r>
    <s v="Primark Limited"/>
    <s v="ST.TexgroupLtd.005.FY26-27.15"/>
    <m/>
    <m/>
    <m/>
    <m/>
    <s v=""/>
    <n v="1118"/>
    <s v="KNIT WEFT KNITTED JERSEY PSCP COTTON 100% GSM-140 CW-172 CM/68 INCH "/>
    <s v="PINK-1"/>
    <n v="-33.44"/>
    <n v="100.32"/>
    <m/>
    <n v="-100.32"/>
    <m/>
    <n v="-100.32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100.32"/>
    <s v=""/>
    <n v="0"/>
    <n v="0"/>
    <n v="0"/>
  </r>
  <r>
    <s v="Primark Limited"/>
    <s v="ST.Primark.006.FY26-27.8"/>
    <m/>
    <m/>
    <m/>
    <m/>
    <s v=""/>
    <n v="1119"/>
    <s v="KNIT WEFT KNITTED JERSEY PSCP COTTON 100% GSM-140 CW-172 CM/68 INCH "/>
    <s v="Black"/>
    <n v="-1.87"/>
    <n v="5.61"/>
    <m/>
    <n v="-5.61"/>
    <m/>
    <n v="-5.61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5.61"/>
    <s v=""/>
    <n v="0"/>
    <n v="0"/>
    <n v="0"/>
  </r>
  <r>
    <s v="Primark Limited"/>
    <s v="ST.Primark.013.FY26-27.2"/>
    <m/>
    <m/>
    <m/>
    <m/>
    <s v=""/>
    <n v="1120"/>
    <s v="KNIT WEFT KNITTED JERSEY PSCP COTTON 100% GSM-160 CW-172 CM/68 INCH "/>
    <s v="White"/>
    <n v="0"/>
    <n v="795.96"/>
    <n v="795.96"/>
    <n v="0"/>
    <m/>
    <n v="0"/>
    <s v="448780"/>
    <s v="Solid"/>
    <x v="22"/>
    <d v="2026-10-07T00:00:00"/>
    <d v="2026-10-06T00:00:00"/>
    <s v="Revised Plan given as per revised date"/>
    <m/>
    <s v="Oct"/>
    <d v="2026-10-02T00:00:00"/>
    <m/>
    <m/>
    <m/>
    <m/>
    <m/>
    <m/>
    <m/>
    <m/>
    <m/>
    <m/>
    <s v="448780"/>
    <s v="White"/>
    <n v="160"/>
    <s v="448780160White"/>
    <n v="2387.9899999999998"/>
    <n v="-0.11"/>
    <n v="1983.96"/>
    <n v="1983.96"/>
    <s v=""/>
    <s v=""/>
    <n v="0"/>
    <s v=""/>
    <n v="2387.9899999999998"/>
    <n v="1"/>
    <n v="404.02999999999975"/>
  </r>
  <r>
    <s v="Primark Limited"/>
    <s v="ST.Primark.040.FY26-27.12"/>
    <m/>
    <m/>
    <m/>
    <m/>
    <s v=""/>
    <n v="1121"/>
    <s v="KNIT WEFT KNITTED JERSEY PSCP COTTON 100% GSM-160 CW-172 CM/68 INCH "/>
    <s v="Mustang / Cocoa 19-1217 TCX"/>
    <n v="-33.660000000000004"/>
    <n v="100.98"/>
    <m/>
    <n v="-100.98"/>
    <m/>
    <n v="-100.98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100.98"/>
    <s v=""/>
    <n v="0"/>
    <n v="0"/>
    <n v="0"/>
  </r>
  <r>
    <s v="Primark Limited"/>
    <s v="ST.Primark.040.FY26-27.13"/>
    <m/>
    <m/>
    <m/>
    <m/>
    <s v=""/>
    <n v="1122"/>
    <s v="KNIT WEFT KNITTED JERSEY PSCP COTTON 100% GSM-160 CW-172 CM/68 INCH "/>
    <s v="Mustang / Cocoa 19-1217 TCX"/>
    <n v="-8.91"/>
    <n v="26.73"/>
    <m/>
    <n v="-26.73"/>
    <m/>
    <n v="-26.7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26.73"/>
    <s v=""/>
    <n v="0"/>
    <n v="0"/>
    <n v="0"/>
  </r>
  <r>
    <s v="Primark Limited"/>
    <s v="ST.Primark.040.FY26-27.15"/>
    <m/>
    <m/>
    <m/>
    <m/>
    <s v=""/>
    <n v="1123"/>
    <s v="KNIT WEFT KNITTED JERSEY PSCP COTTON 100% GSM-160 CW-172 CM/68 INCH "/>
    <s v="Mustang / Cocoa 19-1217 TCX"/>
    <n v="-35.64"/>
    <n v="106.92"/>
    <m/>
    <n v="-106.92"/>
    <m/>
    <n v="-106.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106.92"/>
    <s v=""/>
    <n v="0"/>
    <n v="0"/>
    <n v="0"/>
  </r>
  <r>
    <s v="Primark Limited"/>
    <s v="ST.Primark.040.FY26-27.16"/>
    <m/>
    <m/>
    <m/>
    <m/>
    <s v=""/>
    <n v="1124"/>
    <s v="KNIT WEFT KNITTED JERSEY PSCP COTTON 100% GSM-160 CW-172 CM/68 INCH "/>
    <s v="Mustang / Cocoa 19-1217 TCX"/>
    <n v="-26.73"/>
    <n v="80.19"/>
    <m/>
    <n v="-80.19"/>
    <m/>
    <n v="-80.1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80.19"/>
    <s v=""/>
    <n v="0"/>
    <n v="0"/>
    <n v="0"/>
  </r>
  <r>
    <s v="Primark Limited"/>
    <s v="ST.Primark.040.FY26-27.20"/>
    <m/>
    <m/>
    <m/>
    <m/>
    <s v=""/>
    <n v="1125"/>
    <s v="KNIT WEFT KNITTED JERSEY PSCP COTTON 100% GSM-160 CW-172 CM/68 INCH "/>
    <s v="Mustang / Cocoa 19-1217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148.5"/>
    <s v=""/>
    <n v="0"/>
    <n v="0"/>
    <n v="0"/>
  </r>
  <r>
    <s v="Primark Limited"/>
    <s v="ST.Primark.040.FY26-27.21"/>
    <m/>
    <m/>
    <m/>
    <m/>
    <s v=""/>
    <n v="1126"/>
    <s v="KNIT WEFT KNITTED JERSEY PSCP COTTON 100% GSM-160 CW-172 CM/68 INCH "/>
    <s v="Mustang / Cocoa 19-1217 TCX"/>
    <n v="-49.5"/>
    <n v="148.5"/>
    <m/>
    <n v="-148.5"/>
    <m/>
    <n v="-148.5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148.5"/>
    <s v=""/>
    <n v="0"/>
    <n v="0"/>
    <n v="0"/>
  </r>
  <r>
    <s v="Primark Limited"/>
    <s v="ST.Primark.040.FY26-27.25"/>
    <m/>
    <m/>
    <m/>
    <m/>
    <s v=""/>
    <n v="1127"/>
    <s v="KNIT WEFT KNITTED JERSEY PSCP COTTON 100% GSM-160 CW-172 CM/68 INCH "/>
    <s v="Mustang / Cocoa 19-1217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297"/>
    <s v=""/>
    <n v="0"/>
    <n v="0"/>
    <n v="0"/>
  </r>
  <r>
    <s v="Primark Limited"/>
    <s v="ST.TexgroupLtd.005.FY26-27.7"/>
    <m/>
    <m/>
    <m/>
    <m/>
    <s v=""/>
    <n v="1128"/>
    <s v="KNIT WEFT KNITTED JERSEY PSCP COTTON 100% GSM-140 CW-172 CM/68 INCH "/>
    <s v="PINK-1"/>
    <n v="-10.613333333333333"/>
    <n v="31.84"/>
    <m/>
    <n v="-31.84"/>
    <m/>
    <n v="-31.84"/>
    <s v="461374"/>
    <s v="Solid"/>
    <x v="31"/>
    <d v="2026-10-21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31.84"/>
    <s v=""/>
    <n v="0"/>
    <n v="0"/>
    <n v="0"/>
  </r>
  <r>
    <s v="Primark Limited"/>
    <s v="ST.TexgroupLtd.005.FY26-27.7"/>
    <m/>
    <m/>
    <m/>
    <m/>
    <s v=""/>
    <n v="1128"/>
    <s v="KNIT WEFT KNITTED JERSEY PSCP COTTON 100% GSM-140 CW-172 CM/68 INCH "/>
    <s v="PINK-1"/>
    <n v="-20.746666666666666"/>
    <n v="62.24"/>
    <m/>
    <n v="-62.24"/>
    <m/>
    <n v="-62.24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62.24"/>
    <s v=""/>
    <n v="0"/>
    <n v="0"/>
    <n v="0"/>
  </r>
  <r>
    <s v="Primark Limited"/>
    <s v="ST.Primark.006.FY26-27.23"/>
    <m/>
    <m/>
    <m/>
    <m/>
    <s v=""/>
    <n v="1129"/>
    <s v="KNIT WEFT KNITTED JERSEY PSCP COTTON 100% GSM-140 CW-172 CM/68 INCH "/>
    <s v="Black"/>
    <n v="0"/>
    <n v="29.882000000000001"/>
    <n v="29.882000000000001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40.FY26-27.1"/>
    <m/>
    <m/>
    <m/>
    <m/>
    <s v=""/>
    <n v="1130"/>
    <s v="KNIT WEFT KNITTED JERSEY PSCP COTTON 100% GSM-160 CW-172 CM/68 INCH "/>
    <s v="Sand Dollar / Vanilla 13-1106 TCX"/>
    <n v="-24.75"/>
    <n v="74.25"/>
    <m/>
    <n v="-74.25"/>
    <m/>
    <n v="-74.25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74.25"/>
    <s v=""/>
    <n v="0"/>
    <n v="0"/>
    <n v="0"/>
  </r>
  <r>
    <s v="Primark Limited"/>
    <s v="ST.TexgroupLtd.005.FY26-27.10"/>
    <m/>
    <m/>
    <m/>
    <m/>
    <s v=""/>
    <n v="1131"/>
    <s v="KNIT WEFT KNITTED JERSEY PSCP COTTON 100% GSM-140 CW-172 CM/68 INCH "/>
    <s v="11-0602 TCX Snow White"/>
    <n v="-10.24"/>
    <n v="30.72"/>
    <m/>
    <n v="-30.72"/>
    <m/>
    <n v="-30.72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30.72"/>
    <s v=""/>
    <n v="24"/>
    <n v="1.0999999999999999E-2"/>
    <n v="24"/>
  </r>
  <r>
    <s v="Primark Limited"/>
    <s v="ST.TexgroupLtd.005.FY26-27.11"/>
    <m/>
    <m/>
    <m/>
    <m/>
    <s v=""/>
    <n v="1132"/>
    <s v="KNIT WEFT KNITTED JERSEY PSCP COTTON 100% GSM-140 CW-172 CM/68 INCH "/>
    <s v="11-0602 TCX Snow White"/>
    <n v="-19.2"/>
    <n v="57.6"/>
    <m/>
    <n v="-57.6"/>
    <m/>
    <n v="-57.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57.6"/>
    <s v=""/>
    <n v="24"/>
    <n v="1.0999999999999999E-2"/>
    <n v="24"/>
  </r>
  <r>
    <s v="Primark Limited"/>
    <s v="ST.Primark.039.FY26-27.24"/>
    <m/>
    <m/>
    <m/>
    <m/>
    <s v=""/>
    <n v="1133"/>
    <s v="KNIT WEFT KNITTED JERSEY PSCP COTTON 100% GSM-160 CW-172 CM/68 INCH "/>
    <s v="Brush / Honey 16-1317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8.8460000000000001"/>
    <s v=""/>
    <n v="0"/>
    <n v="0"/>
    <n v="0"/>
  </r>
  <r>
    <s v="Primark Limited"/>
    <s v="ST.Primark.039.FY26-27.25"/>
    <m/>
    <m/>
    <m/>
    <m/>
    <s v=""/>
    <n v="1134"/>
    <s v="KNIT WEFT KNITTED JERSEY PSCP COTTON 100% GSM-160 CW-172 CM/68 INCH "/>
    <s v="Brush / Honey 16-1317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17.558"/>
    <s v=""/>
    <n v="0"/>
    <n v="0"/>
    <n v="0"/>
  </r>
  <r>
    <s v="Primark Limited"/>
    <s v="ST.Primark.040.FY26-27.29"/>
    <m/>
    <m/>
    <m/>
    <m/>
    <s v=""/>
    <n v="1135"/>
    <s v="KNIT WEFT KNITTED JERSEY PSCP COTTON 100% GSM-160 CW-172 CM/68 INCH "/>
    <s v="Mustang / Cocoa 19-1217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7.492000000000001"/>
    <s v=""/>
    <n v="0"/>
    <n v="0"/>
    <n v="0"/>
  </r>
  <r>
    <s v="Primark Limited"/>
    <s v="ST.Primark.040.FY26-27.3"/>
    <m/>
    <m/>
    <m/>
    <m/>
    <s v=""/>
    <n v="1136"/>
    <s v="KNIT WEFT KNITTED JERSEY PSCP COTTON 100% GSM-160 CW-172 CM/68 INCH "/>
    <s v="Mustang / Cocoa 19-12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3.202"/>
    <s v=""/>
    <n v="0"/>
    <n v="0"/>
    <n v="0"/>
  </r>
  <r>
    <s v="Primark Limited"/>
    <s v="ST.Primark.040.FY26-27.7"/>
    <m/>
    <m/>
    <m/>
    <m/>
    <s v=""/>
    <n v="1137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9620000000000002"/>
    <s v=""/>
    <n v="0"/>
    <n v="0"/>
    <n v="0"/>
  </r>
  <r>
    <s v="Primark Limited"/>
    <s v="ST.Primark.040.FY26-27.8"/>
    <m/>
    <m/>
    <m/>
    <m/>
    <s v=""/>
    <n v="1138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0369999999999999"/>
    <s v=""/>
    <n v="0"/>
    <n v="0"/>
    <n v="0"/>
  </r>
  <r>
    <s v="Primark Limited"/>
    <s v="ST.Primark.039.FY26-27.10"/>
    <m/>
    <m/>
    <m/>
    <m/>
    <s v=""/>
    <n v="1139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.4889999999999999"/>
    <s v=""/>
    <n v="0"/>
    <n v="0"/>
    <n v="0"/>
  </r>
  <r>
    <s v="Primark Limited"/>
    <s v="ST.Primark.023.FY26-27.13"/>
    <m/>
    <m/>
    <m/>
    <m/>
    <s v=""/>
    <n v="1140"/>
    <s v="KNIT WEFT KNITTED JERSEY PSCP COTTON 100% GSM-160 CW-172 CM/68 INCH "/>
    <s v="Black"/>
    <n v="-1322.64"/>
    <n v="3967.92"/>
    <m/>
    <n v="-3967.92"/>
    <m/>
    <n v="-3967.92"/>
    <s v="448769"/>
    <s v="Solid"/>
    <x v="18"/>
    <d v="2026-10-30T00:00:00"/>
    <d v="2026-10-30T00:00:00"/>
    <s v="Hues Agreed qty as per SQBL required date"/>
    <m/>
    <s v="Oct"/>
    <d v="2026-10-30T00:00:00"/>
    <m/>
    <m/>
    <m/>
    <m/>
    <m/>
    <m/>
    <m/>
    <m/>
    <m/>
    <m/>
    <s v="448769"/>
    <s v="Black"/>
    <n v="160"/>
    <s v="448769160Black"/>
    <n v="0"/>
    <s v="#NA"/>
    <n v="0"/>
    <n v="9313.92"/>
    <s v=""/>
    <s v=""/>
    <n v="3967.92"/>
    <s v=""/>
    <n v="0"/>
    <n v="0"/>
    <n v="0"/>
  </r>
  <r>
    <s v="Primark Limited"/>
    <s v="ST.Primark.039.FY26-27.26"/>
    <m/>
    <m/>
    <m/>
    <m/>
    <s v=""/>
    <n v="1141"/>
    <s v="KNIT WEFT KNITTED JERSEY PSCP COTTON 100% GSM-160 CW-172 CM/68 INCH "/>
    <s v="Mustang / Cocoa 19-1217 TCX"/>
    <n v="0"/>
    <n v="594"/>
    <n v="594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27"/>
    <m/>
    <m/>
    <m/>
    <m/>
    <s v=""/>
    <n v="1142"/>
    <s v="KNIT WEFT KNITTED JERSEY PSCP COTTON 100% GSM-160 CW-172 CM/68 INCH "/>
    <s v="Mustang / Cocoa 19-1217 TCX"/>
    <n v="0"/>
    <n v="35.64"/>
    <n v="35.64"/>
    <n v="0"/>
    <m/>
    <n v="0"/>
    <s v="450568"/>
    <s v="Solid"/>
    <x v="54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28"/>
    <m/>
    <m/>
    <m/>
    <m/>
    <s v=""/>
    <n v="1143"/>
    <s v="KNIT WEFT KNITTED JERSEY PSCP COTTON 100% GSM-160 CW-172 CM/68 INCH "/>
    <s v="Mustang / Cocoa 19-1217 TCX"/>
    <n v="0"/>
    <n v="35.64"/>
    <n v="35.64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29"/>
    <m/>
    <m/>
    <m/>
    <m/>
    <s v=""/>
    <n v="1144"/>
    <s v="KNIT WEFT KNITTED JERSEY PSCP COTTON 100% GSM-160 CW-172 CM/68 INCH "/>
    <s v="Mustang / Cocoa 19-1217 TCX"/>
    <n v="0"/>
    <n v="29.7"/>
    <n v="29.7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3"/>
    <m/>
    <m/>
    <m/>
    <m/>
    <s v=""/>
    <n v="1145"/>
    <s v="KNIT WEFT KNITTED JERSEY PSCP COTTON 100% GSM-160 CW-172 CM/68 INCH "/>
    <s v="Mustang / Cocoa 19-1217 TCX"/>
    <n v="0"/>
    <n v="148.5"/>
    <n v="148.5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30"/>
    <m/>
    <m/>
    <m/>
    <m/>
    <s v=""/>
    <n v="1146"/>
    <s v="KNIT WEFT KNITTED JERSEY PSCP COTTON 100% GSM-160 CW-172 CM/68 INCH "/>
    <s v="Mustang / Cocoa 19-1217 TCX"/>
    <n v="0"/>
    <n v="56.43"/>
    <n v="56.43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13.FY26-27.3"/>
    <m/>
    <m/>
    <m/>
    <m/>
    <s v=""/>
    <n v="1147"/>
    <s v="KNIT WEFT KNITTED JERSEY PSCP COTTON 100% GSM-140 CW-172 CM/68 INCH "/>
    <s v="White"/>
    <n v="-0.39999999999999997"/>
    <n v="1.2"/>
    <m/>
    <n v="-1.2"/>
    <m/>
    <n v="-1.2"/>
    <s v="465127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7"/>
    <s v="White"/>
    <n v="140"/>
    <s v="465127140White"/>
    <n v="0"/>
    <s v="#NA"/>
    <n v="0"/>
    <n v="2.4"/>
    <s v=""/>
    <s v=""/>
    <n v="1.2"/>
    <s v=""/>
    <n v="0"/>
    <n v="0"/>
    <n v="0"/>
  </r>
  <r>
    <s v="Primark Limited"/>
    <s v="ST.TexgroupLtd.005.FY26-27.11"/>
    <m/>
    <m/>
    <m/>
    <m/>
    <s v=""/>
    <n v="1148"/>
    <s v="KNIT WEFT KNITTED JERSEY PSCP COTTON 100% GSM-140 CW-172 CM/68 INCH "/>
    <s v="Pink-2"/>
    <n v="-19.2"/>
    <n v="57.6"/>
    <m/>
    <n v="-57.6"/>
    <m/>
    <n v="-57.6"/>
    <s v="461374"/>
    <s v="Solid"/>
    <x v="13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57.6"/>
    <s v=""/>
    <n v="0"/>
    <n v="0"/>
    <n v="0"/>
  </r>
  <r>
    <s v="Primark Limited"/>
    <s v="ST.TexgroupLtd.005.FY26-27.12"/>
    <m/>
    <m/>
    <m/>
    <m/>
    <s v=""/>
    <n v="1149"/>
    <s v="KNIT WEFT KNITTED JERSEY PSCP COTTON 100% GSM-140 CW-172 CM/68 INCH "/>
    <s v="Pink-2"/>
    <n v="-16"/>
    <n v="48"/>
    <m/>
    <n v="-48"/>
    <m/>
    <n v="-48"/>
    <s v="461374"/>
    <s v="Solid"/>
    <x v="13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48"/>
    <s v=""/>
    <n v="0"/>
    <n v="0"/>
    <n v="0"/>
  </r>
  <r>
    <s v="Primark Limited"/>
    <s v="ST.TexgroupLtd.005.FY26-27.13"/>
    <m/>
    <m/>
    <m/>
    <m/>
    <s v=""/>
    <n v="1150"/>
    <s v="KNIT WEFT KNITTED JERSEY PSCP COTTON 100% GSM-140 CW-172 CM/68 INCH "/>
    <s v="Pink-2"/>
    <n v="-20.8"/>
    <n v="62.4"/>
    <m/>
    <n v="-62.4"/>
    <m/>
    <n v="-62.4"/>
    <s v="461374"/>
    <s v="Solid"/>
    <x v="13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62.4"/>
    <s v=""/>
    <n v="0"/>
    <n v="0"/>
    <n v="0"/>
  </r>
  <r>
    <s v="Primark Limited"/>
    <s v="ST.TexgroupLtd.005.FY26-27.14"/>
    <m/>
    <m/>
    <m/>
    <m/>
    <s v=""/>
    <n v="1151"/>
    <s v="KNIT WEFT KNITTED JERSEY PSCP COTTON 100% GSM-140 CW-172 CM/68 INCH "/>
    <s v="Pink-2"/>
    <n v="-10.666666666666666"/>
    <n v="32"/>
    <m/>
    <n v="-32"/>
    <m/>
    <n v="-32"/>
    <s v="461374"/>
    <s v="Solid"/>
    <x v="13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32"/>
    <s v=""/>
    <n v="0"/>
    <n v="0"/>
    <n v="0"/>
  </r>
  <r>
    <s v="Primark Limited"/>
    <s v="ST.TexgroupLtd.005.FY26-27.14"/>
    <m/>
    <m/>
    <m/>
    <m/>
    <s v=""/>
    <n v="1151"/>
    <s v="KNIT WEFT KNITTED JERSEY PSCP COTTON 100% GSM-140 CW-172 CM/68 INCH "/>
    <s v="Pink-2"/>
    <n v="-12.373333333333333"/>
    <n v="37.119999999999997"/>
    <m/>
    <n v="-37.119999999999997"/>
    <m/>
    <n v="-37.119999999999997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37.119999999999997"/>
    <s v=""/>
    <n v="0"/>
    <n v="0"/>
    <n v="0"/>
  </r>
  <r>
    <s v="Primark Limited"/>
    <s v="ST.TexgroupLtd.005.FY26-27.15"/>
    <m/>
    <m/>
    <m/>
    <m/>
    <s v=""/>
    <n v="1152"/>
    <s v="KNIT WEFT KNITTED JERSEY PSCP COTTON 100% GSM-140 CW-172 CM/68 INCH "/>
    <s v="Pink-2"/>
    <n v="-33.44"/>
    <n v="100.32"/>
    <m/>
    <n v="-100.32"/>
    <m/>
    <n v="-100.32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100.32"/>
    <s v=""/>
    <n v="0"/>
    <n v="0"/>
    <n v="0"/>
  </r>
  <r>
    <s v="Primark Limited"/>
    <s v="ST.TexgroupLtd.005.FY26-27.2"/>
    <m/>
    <m/>
    <m/>
    <m/>
    <s v=""/>
    <n v="1153"/>
    <s v="KNIT WEFT KNITTED JERSEY PSCP COTTON 100% GSM-140 CW-172 CM/68 INCH "/>
    <s v="Pink-2"/>
    <n v="-14.719999999999999"/>
    <n v="44.16"/>
    <m/>
    <n v="-44.16"/>
    <m/>
    <n v="-44.16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44.16"/>
    <s v=""/>
    <n v="0"/>
    <n v="0"/>
    <n v="0"/>
  </r>
  <r>
    <s v="Primark Limited"/>
    <s v="ST.Primark.039.FY26-27.20"/>
    <m/>
    <m/>
    <m/>
    <m/>
    <s v=""/>
    <n v="1154"/>
    <s v="KNIT WEFT KNITTED JERSEY PSCP COTTON 100% GSM-140 CW-172 CM/68 INCH "/>
    <s v="Mustang / Cocoa 19-1217 TCX"/>
    <n v="0"/>
    <n v="14.7"/>
    <n v="14.7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1"/>
    <m/>
    <m/>
    <m/>
    <m/>
    <s v=""/>
    <n v="1155"/>
    <s v="KNIT WEFT KNITTED JERSEY PSCP COTTON 100% GSM-140 CW-172 CM/68 INCH "/>
    <s v="Mustang / Cocoa 19-1217 TCX"/>
    <n v="0"/>
    <n v="19.699000000000002"/>
    <n v="19.699000000000002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2"/>
    <m/>
    <m/>
    <m/>
    <m/>
    <s v=""/>
    <n v="1156"/>
    <s v="KNIT WEFT KNITTED JERSEY PSCP COTTON 100% GSM-140 CW-172 CM/68 INCH "/>
    <s v="Mustang / Cocoa 19-1217 TCX"/>
    <n v="0"/>
    <n v="24.402999999999999"/>
    <n v="24.402999999999999"/>
    <n v="0"/>
    <m/>
    <n v="0"/>
    <s v="450568"/>
    <s v="Solid"/>
    <x v="54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14"/>
    <m/>
    <m/>
    <m/>
    <m/>
    <s v=""/>
    <n v="1157"/>
    <s v="KNIT WEFT KNITTED JERSEY PSCP COTTON 100% GSM-160 CW-172 CM/68 INCH "/>
    <s v="Mustang / Cocoa 19-1217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2.3769999999999998"/>
    <s v=""/>
    <n v="0"/>
    <n v="0"/>
    <n v="0"/>
  </r>
  <r>
    <s v="Primark Limited"/>
    <s v="ST.Primark.039.FY26-27.15"/>
    <m/>
    <m/>
    <m/>
    <m/>
    <s v=""/>
    <n v="1158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5649999999999999"/>
    <s v=""/>
    <n v="0"/>
    <n v="0"/>
    <n v="0"/>
  </r>
  <r>
    <s v="Primark Limited"/>
    <s v="ST.Primark.039.FY26-27.16"/>
    <m/>
    <m/>
    <m/>
    <m/>
    <s v=""/>
    <n v="1159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.7530000000000001"/>
    <s v=""/>
    <n v="0"/>
    <n v="0"/>
    <n v="0"/>
  </r>
  <r>
    <s v="Primark Limited"/>
    <s v="ST.Primark.039.FY26-27.17"/>
    <m/>
    <m/>
    <m/>
    <m/>
    <s v=""/>
    <n v="1160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5649999999999999"/>
    <s v=""/>
    <n v="0"/>
    <n v="0"/>
    <n v="0"/>
  </r>
  <r>
    <s v="Primark Limited"/>
    <s v="ST.Primark.039.FY26-27.18"/>
    <m/>
    <m/>
    <m/>
    <m/>
    <s v=""/>
    <n v="1161"/>
    <s v="KNIT WEFT KNITTED JERSEY PSCP COTTON 100% GSM-160 CW-172 CM/68 INCH "/>
    <s v="Mustang / Cocoa 19-1217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8.8450000000000006"/>
    <s v=""/>
    <n v="0"/>
    <n v="0"/>
    <n v="0"/>
  </r>
  <r>
    <s v="Primark Limited"/>
    <s v="ST.Primark.039.FY26-27.19"/>
    <m/>
    <m/>
    <m/>
    <m/>
    <s v=""/>
    <n v="1162"/>
    <s v="KNIT WEFT KNITTED JERSEY PSCP COTTON 100% GSM-160 CW-172 CM/68 INCH "/>
    <s v="Mustang / Cocoa 19-1217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.3570000000000002"/>
    <s v=""/>
    <n v="0"/>
    <n v="0"/>
    <n v="0"/>
  </r>
  <r>
    <s v="Primark Limited"/>
    <s v="ST.Primark.039.FY26-27.2"/>
    <m/>
    <m/>
    <m/>
    <m/>
    <s v=""/>
    <n v="1163"/>
    <s v="KNIT WEFT KNITTED JERSEY PSCP COTTON 100% GSM-160 CW-172 CM/68 INCH "/>
    <s v="Mustang / Cocoa 19-12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302"/>
    <s v=""/>
    <n v="0"/>
    <n v="0"/>
    <n v="0"/>
  </r>
  <r>
    <s v="Primark Limited"/>
    <s v="ST.Primark.039.FY26-27.20"/>
    <m/>
    <m/>
    <m/>
    <m/>
    <s v=""/>
    <n v="1164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6.6"/>
    <s v=""/>
    <n v="0"/>
    <n v="0"/>
    <n v="0"/>
  </r>
  <r>
    <s v="Primark Limited"/>
    <s v="ST.Primark.039.FY26-27.21"/>
    <m/>
    <m/>
    <m/>
    <m/>
    <s v=""/>
    <n v="1165"/>
    <s v="KNIT WEFT KNITTED JERSEY PSCP COTTON 100% GSM-160 CW-172 CM/68 INCH "/>
    <s v="Mustang / Cocoa 19-1217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8.8450000000000006"/>
    <s v=""/>
    <n v="0"/>
    <n v="0"/>
    <n v="0"/>
  </r>
  <r>
    <s v="Primark Limited"/>
    <s v="ST.Primark.039.FY26-27.22"/>
    <m/>
    <m/>
    <m/>
    <m/>
    <s v=""/>
    <n v="1166"/>
    <s v="KNIT WEFT KNITTED JERSEY PSCP COTTON 100% GSM-160 CW-172 CM/68 INCH "/>
    <s v="Mustang / Cocoa 19-1217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0.957000000000001"/>
    <s v=""/>
    <n v="0"/>
    <n v="0"/>
    <n v="0"/>
  </r>
  <r>
    <s v="Primark Limited"/>
    <s v="ST.Primark.039.FY26-27.23"/>
    <m/>
    <m/>
    <m/>
    <m/>
    <s v=""/>
    <n v="1167"/>
    <s v="KNIT WEFT KNITTED JERSEY PSCP COTTON 100% GSM-160 CW-172 CM/68 INCH "/>
    <s v="Mustang / Cocoa 19-1217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0.957000000000001"/>
    <s v=""/>
    <n v="0"/>
    <n v="0"/>
    <n v="0"/>
  </r>
  <r>
    <s v="Primark Limited"/>
    <s v="ST.Primark.039.FY26-27.24"/>
    <m/>
    <m/>
    <m/>
    <m/>
    <s v=""/>
    <n v="1168"/>
    <s v="KNIT WEFT KNITTED JERSEY PSCP COTTON 100% GSM-160 CW-172 CM/68 INCH "/>
    <s v="Mustang / Cocoa 19-1217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8.8460000000000001"/>
    <s v=""/>
    <n v="0"/>
    <n v="0"/>
    <n v="0"/>
  </r>
  <r>
    <s v="Primark Limited"/>
    <s v="ST.Primark.039.FY26-27.25"/>
    <m/>
    <m/>
    <m/>
    <m/>
    <s v=""/>
    <n v="1169"/>
    <s v="KNIT WEFT KNITTED JERSEY PSCP COTTON 100% GSM-160 CW-172 CM/68 INCH "/>
    <s v="Mustang / Cocoa 19-1217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7.558"/>
    <s v=""/>
    <n v="0"/>
    <n v="0"/>
    <n v="0"/>
  </r>
  <r>
    <s v="Primark Limited"/>
    <s v="ST.Primark.077.FY26-27.14"/>
    <m/>
    <m/>
    <m/>
    <m/>
    <s v=""/>
    <n v="1170"/>
    <s v="KNIT WEFT KNITTED JERSEY PSCP COTTON 100% GSM-140 CW-172 CM/68 INCH "/>
    <s v="White"/>
    <n v="-0.79999999999999993"/>
    <n v="2.4"/>
    <m/>
    <n v="-2.4"/>
    <m/>
    <n v="-2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n v="2.4"/>
    <s v=""/>
    <n v="0"/>
    <n v="0"/>
    <n v="0"/>
  </r>
  <r>
    <s v="Primark Limited"/>
    <s v="ST.Primark.077.FY26-27.2"/>
    <m/>
    <m/>
    <m/>
    <m/>
    <s v=""/>
    <n v="1171"/>
    <s v="KNIT WEFT KNITTED JERSEY PSCP COTTON 100% GSM-140 CW-172 CM/68 INCH "/>
    <s v="White"/>
    <n v="-25.900000000000002"/>
    <n v="77.7"/>
    <m/>
    <n v="-77.7"/>
    <m/>
    <n v="-77.7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n v="77.7"/>
    <s v=""/>
    <n v="0"/>
    <n v="0"/>
    <n v="0"/>
  </r>
  <r>
    <s v="Primark Limited"/>
    <s v="ST.Primark.077.FY26-27.3"/>
    <m/>
    <m/>
    <m/>
    <m/>
    <s v=""/>
    <n v="1172"/>
    <s v="KNIT WEFT KNITTED JERSEY PSCP COTTON 100% GSM-140 CW-172 CM/68 INCH "/>
    <s v="White"/>
    <n v="-4.3999999999999995"/>
    <n v="13.2"/>
    <m/>
    <n v="-13.2"/>
    <m/>
    <n v="-13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n v="13.2"/>
    <s v=""/>
    <n v="0"/>
    <n v="0"/>
    <n v="0"/>
  </r>
  <r>
    <s v="Primark Limited"/>
    <s v="ST.Primark.039.FY26-27.21"/>
    <m/>
    <m/>
    <m/>
    <m/>
    <s v=""/>
    <n v="1173"/>
    <s v="KNIT WEFT KNITTED JERSEY PSCP COTTON 100% GSM-160 CW-172 CM/68 INCH "/>
    <s v="Mustang / Cocoa 19-1217 TCX"/>
    <n v="0"/>
    <n v="198.99"/>
    <n v="198.99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22"/>
    <m/>
    <m/>
    <m/>
    <m/>
    <s v=""/>
    <n v="1174"/>
    <s v="KNIT WEFT KNITTED JERSEY PSCP COTTON 100% GSM-160 CW-172 CM/68 INCH "/>
    <s v="Mustang / Cocoa 19-1217 TCX"/>
    <n v="0"/>
    <n v="246.51"/>
    <n v="246.51"/>
    <n v="0"/>
    <m/>
    <n v="0"/>
    <s v="450568"/>
    <s v="Solid"/>
    <x v="54"/>
    <d v="2026-10-10T00:00:00"/>
    <d v="2026-10-10T00:00:00"/>
    <s v="Revised Plan given as per revised date"/>
    <m/>
    <s v="Oct"/>
    <d v="2026-10-05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23"/>
    <m/>
    <m/>
    <m/>
    <m/>
    <s v=""/>
    <n v="1175"/>
    <s v="KNIT WEFT KNITTED JERSEY PSCP COTTON 100% GSM-160 CW-172 CM/68 INCH "/>
    <s v="Mustang / Cocoa 19-1217 TCX"/>
    <n v="0"/>
    <n v="246.51"/>
    <n v="246.51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24"/>
    <m/>
    <m/>
    <m/>
    <m/>
    <s v=""/>
    <n v="1176"/>
    <s v="KNIT WEFT KNITTED JERSEY PSCP COTTON 100% GSM-160 CW-172 CM/68 INCH "/>
    <s v="Mustang / Cocoa 19-1217 TCX"/>
    <n v="0"/>
    <n v="198.99"/>
    <n v="198.99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25"/>
    <m/>
    <m/>
    <m/>
    <m/>
    <s v=""/>
    <n v="1177"/>
    <s v="KNIT WEFT KNITTED JERSEY PSCP COTTON 100% GSM-160 CW-172 CM/68 INCH "/>
    <s v="Mustang / Cocoa 19-1217 TCX"/>
    <n v="0"/>
    <n v="395.01"/>
    <n v="395.01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18"/>
    <m/>
    <m/>
    <m/>
    <m/>
    <s v=""/>
    <n v="1178"/>
    <s v="KNIT WEFT KNITTED JERSEY PSCP COTTON 100% GSM-160 CW-172 CM/68 INCH "/>
    <s v="Sand Dollar / Vanilla 13-1106 TCX"/>
    <n v="0"/>
    <n v="198.99"/>
    <n v="198.99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19"/>
    <m/>
    <m/>
    <m/>
    <m/>
    <s v=""/>
    <n v="1179"/>
    <s v="KNIT WEFT KNITTED JERSEY PSCP COTTON 100% GSM-160 CW-172 CM/68 INCH "/>
    <s v="Sand Dollar / Vanilla 13-1106 TCX"/>
    <n v="0"/>
    <n v="98.01"/>
    <n v="98.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"/>
    <m/>
    <m/>
    <m/>
    <m/>
    <s v=""/>
    <n v="1180"/>
    <s v="KNIT WEFT KNITTED JERSEY PSCP COTTON 100% GSM-160 CW-172 CM/68 INCH "/>
    <s v="Sand Dollar / Vanilla 13-1106 TCX"/>
    <n v="0"/>
    <n v="74.25"/>
    <n v="74.25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40.FY26-27.15"/>
    <m/>
    <m/>
    <m/>
    <m/>
    <s v=""/>
    <n v="1181"/>
    <s v="KNIT WEFT KNITTED JERSEY PSCP COTTON 100% GSM-140 CW-172 CM/68 INCH "/>
    <s v="Mustang / Cocoa 19-1217 TCX"/>
    <n v="-3.5283333333333338"/>
    <n v="10.585000000000001"/>
    <m/>
    <n v="-10.585000000000001"/>
    <m/>
    <n v="-10.58500000000000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10.585000000000001"/>
    <s v=""/>
    <n v="0"/>
    <n v="0"/>
    <n v="0"/>
  </r>
  <r>
    <s v="Primark Limited"/>
    <s v="ST.Primark.040.FY26-27.16"/>
    <m/>
    <m/>
    <m/>
    <m/>
    <s v=""/>
    <n v="1182"/>
    <s v="KNIT WEFT KNITTED JERSEY PSCP COTTON 100% GSM-140 CW-172 CM/68 INCH "/>
    <s v="Mustang / Cocoa 19-1217 TCX"/>
    <n v="-2.6463333333333332"/>
    <n v="7.9390000000000001"/>
    <m/>
    <n v="-7.9390000000000001"/>
    <m/>
    <n v="-7.939000000000000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7.9390000000000001"/>
    <s v=""/>
    <n v="0"/>
    <n v="0"/>
    <n v="0"/>
  </r>
  <r>
    <s v="Primark Limited"/>
    <s v="ST.Primark.040.FY26-27.20"/>
    <m/>
    <m/>
    <m/>
    <m/>
    <s v=""/>
    <n v="1183"/>
    <s v="KNIT WEFT KNITTED JERSEY PSCP COTTON 100% GSM-140 CW-172 CM/68 INCH "/>
    <s v="Mustang / Cocoa 19-1217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14.7"/>
    <s v=""/>
    <n v="0"/>
    <n v="0"/>
    <n v="0"/>
  </r>
  <r>
    <s v="Primark Limited"/>
    <s v="ST.Primark.039.FY26-27.10"/>
    <m/>
    <m/>
    <m/>
    <m/>
    <s v=""/>
    <n v="1184"/>
    <s v="KNIT WEFT KNITTED JERSEY PSCP COTTON 100% GSM-160 CW-172 CM/68 INCH "/>
    <s v="Black Coffee / Ganache 19-1111 TCX"/>
    <n v="0"/>
    <n v="100.98"/>
    <n v="100.98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12"/>
    <m/>
    <m/>
    <m/>
    <m/>
    <s v=""/>
    <n v="1185"/>
    <s v="KNIT WEFT KNITTED JERSEY PSCP COTTON 100% GSM-160 CW-172 CM/68 INCH "/>
    <s v="Black Coffee / Ganache 19-1111 TCX"/>
    <n v="0"/>
    <n v="26.73"/>
    <n v="26.7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13"/>
    <m/>
    <m/>
    <m/>
    <m/>
    <s v=""/>
    <n v="1186"/>
    <s v="KNIT WEFT KNITTED JERSEY PSCP COTTON 100% GSM-160 CW-172 CM/68 INCH "/>
    <s v="Black Coffee / Ganache 19-1111 TCX"/>
    <n v="0"/>
    <n v="106.92"/>
    <n v="106.92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14"/>
    <m/>
    <m/>
    <m/>
    <m/>
    <s v=""/>
    <n v="1187"/>
    <s v="KNIT WEFT KNITTED JERSEY PSCP COTTON 100% GSM-160 CW-172 CM/68 INCH "/>
    <s v="Black Coffee / Ganache 19-1111 TCX"/>
    <n v="0"/>
    <n v="53.46"/>
    <n v="53.46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TexgroupLtd.005.FY26-27.10"/>
    <m/>
    <m/>
    <m/>
    <m/>
    <s v=""/>
    <n v="1188"/>
    <s v="KNIT WEFT KNITTED JERSEY PSCP COTTON 95% LYCRA 5% GSM-160 CW-168 CM/66 INCH  "/>
    <s v="11-0515 TCX Lemon Icing"/>
    <n v="-64.342666666666659"/>
    <n v="193.02799999999999"/>
    <m/>
    <n v="-193.02799999999999"/>
    <m/>
    <n v="-193.02799999999999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193.02799999999999"/>
    <s v=""/>
    <n v="166"/>
    <n v="0.86599999999999999"/>
    <n v="166"/>
  </r>
  <r>
    <s v="Primark Limited"/>
    <s v="ST.TexgroupLtd.005.FY26-27.11"/>
    <m/>
    <m/>
    <m/>
    <m/>
    <s v=""/>
    <n v="1189"/>
    <s v="KNIT WEFT KNITTED JERSEY PSCP COTTON 95% LYCRA 5% GSM-160 CW-168 CM/66 INCH  "/>
    <s v="11-0515 TCX Lemon Icing"/>
    <n v="-120.64"/>
    <n v="361.92"/>
    <m/>
    <n v="-361.92"/>
    <m/>
    <n v="-361.9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361.92"/>
    <s v=""/>
    <n v="166"/>
    <n v="0.86599999999999999"/>
    <n v="166"/>
  </r>
  <r>
    <s v="Primark Limited"/>
    <s v="ST.TexgroupLtd.005.FY26-27.12"/>
    <m/>
    <m/>
    <m/>
    <m/>
    <s v=""/>
    <n v="1190"/>
    <s v="KNIT WEFT KNITTED JERSEY PSCP COTTON 95% LYCRA 5% GSM-160 CW-168 CM/66 INCH  "/>
    <s v="11-0515 TCX Lemon Icing"/>
    <n v="-100.53333333333335"/>
    <n v="301.60000000000002"/>
    <m/>
    <n v="-301.60000000000002"/>
    <m/>
    <n v="-301.60000000000002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301.60000000000002"/>
    <s v=""/>
    <n v="166"/>
    <n v="0.86599999999999999"/>
    <n v="166"/>
  </r>
  <r>
    <s v="Primark Limited"/>
    <s v="ST.TexgroupLtd.005.FY26-27.13"/>
    <m/>
    <m/>
    <m/>
    <m/>
    <s v=""/>
    <n v="1191"/>
    <s v="KNIT WEFT KNITTED JERSEY PSCP COTTON 95% LYCRA 5% GSM-160 CW-168 CM/66 INCH  "/>
    <s v="11-0515 TCX Lemon Icing"/>
    <n v="-111.10199999999999"/>
    <n v="333.30599999999998"/>
    <m/>
    <n v="-333.30599999999998"/>
    <m/>
    <n v="-333.30599999999998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333.30599999999998"/>
    <s v=""/>
    <n v="166"/>
    <n v="0.86599999999999999"/>
    <n v="166"/>
  </r>
  <r>
    <s v="Primark Limited"/>
    <s v="ST.TexgroupLtd.005.FY26-27.13"/>
    <m/>
    <m/>
    <m/>
    <m/>
    <s v=""/>
    <n v="1191"/>
    <s v="KNIT WEFT KNITTED JERSEY PSCP COTTON 95% LYCRA 5% GSM-160 CW-168 CM/66 INCH  "/>
    <s v="11-0515 TCX Lemon Icing"/>
    <n v="-19.591333333333335"/>
    <n v="58.774000000000001"/>
    <m/>
    <n v="-58.774000000000001"/>
    <m/>
    <n v="-58.774000000000001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58.774000000000001"/>
    <s v=""/>
    <n v="166"/>
    <n v="0.86599999999999999"/>
    <n v="166"/>
  </r>
  <r>
    <s v="Primark Limited"/>
    <s v="ST.TexgroupLtd.005.FY26-27.14"/>
    <m/>
    <m/>
    <m/>
    <m/>
    <s v=""/>
    <n v="1192"/>
    <s v="KNIT WEFT KNITTED JERSEY PSCP COTTON 95% LYCRA 5% GSM-160 CW-168 CM/66 INCH  "/>
    <s v="11-0515 TCX Lemon Icing"/>
    <n v="-144.76933333333332"/>
    <n v="434.30799999999999"/>
    <m/>
    <n v="-434.30799999999999"/>
    <m/>
    <n v="-434.307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434.30799999999999"/>
    <s v=""/>
    <n v="166"/>
    <n v="0.86599999999999999"/>
    <n v="166"/>
  </r>
  <r>
    <s v="Primark Limited"/>
    <s v="ST.TexgroupLtd.005.FY26-27.15"/>
    <m/>
    <m/>
    <m/>
    <m/>
    <s v=""/>
    <n v="1193"/>
    <s v="KNIT WEFT KNITTED JERSEY PSCP COTTON 95% LYCRA 5% GSM-160 CW-168 CM/66 INCH  "/>
    <s v="11-0515 TCX Lemon Icing"/>
    <n v="-210.11599999999999"/>
    <n v="630.34799999999996"/>
    <m/>
    <n v="-630.34799999999996"/>
    <m/>
    <n v="-630.34799999999996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630.34799999999996"/>
    <s v=""/>
    <n v="166"/>
    <n v="0.86599999999999999"/>
    <n v="166"/>
  </r>
  <r>
    <s v="Primark Limited"/>
    <s v="ST.Primark.039.FY26-27.6"/>
    <m/>
    <m/>
    <m/>
    <m/>
    <s v=""/>
    <n v="1194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0369999999999999"/>
    <s v=""/>
    <n v="0"/>
    <n v="0"/>
    <n v="0"/>
  </r>
  <r>
    <s v="Primark Limited"/>
    <s v="ST.Primark.040.FY26-27.15"/>
    <m/>
    <m/>
    <m/>
    <m/>
    <s v=""/>
    <n v="1195"/>
    <s v="KNIT WEFT KNITTED JERSEY PSCP COTTON 100% GSM-140 CW-172 CM/68 INCH "/>
    <s v="Black Coffee / Ganache 19-1111 TCX"/>
    <n v="-3.5283333333333338"/>
    <n v="10.585000000000001"/>
    <m/>
    <n v="-10.585000000000001"/>
    <m/>
    <n v="-10.585000000000001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n v="10.585000000000001"/>
    <s v=""/>
    <n v="0"/>
    <n v="0"/>
    <n v="0"/>
  </r>
  <r>
    <s v="Primark Limited"/>
    <s v="ST.Primark.040.FY26-27.29"/>
    <m/>
    <m/>
    <m/>
    <m/>
    <s v=""/>
    <n v="1196"/>
    <s v="KNIT WEFT KNITTED JERSEY PSCP COTTON 100% GSM-140 CW-172 CM/68 INCH "/>
    <s v="Black Coffee / Ganache 19-1111 TCX"/>
    <n v="-1.4706666666666666"/>
    <n v="4.4119999999999999"/>
    <m/>
    <n v="-4.4119999999999999"/>
    <m/>
    <n v="-4.4119999999999999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n v="4.4119999999999999"/>
    <s v=""/>
    <n v="0"/>
    <n v="0"/>
    <n v="0"/>
  </r>
  <r>
    <s v="Primark Limited"/>
    <s v="ST.Primark.011.FY26-27.9"/>
    <m/>
    <m/>
    <m/>
    <m/>
    <s v=""/>
    <n v="1197"/>
    <s v="KNIT WEFT KNITTED JERSEY PSCP COTTON 100% GSM-140 CW-172 CM/68 INCH "/>
    <s v="White"/>
    <n v="0"/>
    <n v="16.5"/>
    <n v="16.5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n v="96.173999999999978"/>
    <n v="96.173999999999978"/>
    <s v=""/>
    <s v=""/>
    <n v="0"/>
    <s v=""/>
    <n v="832.95"/>
    <n v="1.0129999999999999"/>
    <n v="736.77600000000007"/>
  </r>
  <r>
    <s v="Primark Limited"/>
    <s v="ST.Primark.040.FY26-27.1"/>
    <m/>
    <m/>
    <m/>
    <m/>
    <s v=""/>
    <n v="1198"/>
    <s v="KNIT WEFT KNITTED JERSEY PSCP COTTON 100% GSM-160 CW-172 CM/68 INCH "/>
    <s v="Mustang / Cocoa 19-12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302"/>
    <s v=""/>
    <n v="0"/>
    <n v="0"/>
    <n v="0"/>
  </r>
  <r>
    <s v="Primark Limited"/>
    <s v="ST.Primark.040.FY26-27.12"/>
    <m/>
    <m/>
    <m/>
    <m/>
    <s v=""/>
    <n v="1199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.4889999999999999"/>
    <s v=""/>
    <n v="0"/>
    <n v="0"/>
    <n v="0"/>
  </r>
  <r>
    <s v="Primark Limited"/>
    <s v="ST.Primark.040.FY26-27.13"/>
    <m/>
    <m/>
    <m/>
    <m/>
    <s v=""/>
    <n v="1200"/>
    <s v="KNIT WEFT KNITTED JERSEY PSCP COTTON 100% GSM-160 CW-172 CM/68 INCH "/>
    <s v="Mustang / Cocoa 19-12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.19"/>
    <s v=""/>
    <n v="0"/>
    <n v="0"/>
    <n v="0"/>
  </r>
  <r>
    <s v="Primark Limited"/>
    <s v="ST.Primark.040.FY26-27.15"/>
    <m/>
    <m/>
    <m/>
    <m/>
    <s v=""/>
    <n v="1201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.7530000000000001"/>
    <s v=""/>
    <n v="0"/>
    <n v="0"/>
    <n v="0"/>
  </r>
  <r>
    <s v="Primark Limited"/>
    <s v="ST.Primark.040.FY26-27.16"/>
    <m/>
    <m/>
    <m/>
    <m/>
    <s v=""/>
    <n v="1202"/>
    <s v="KNIT WEFT KNITTED JERSEY PSCP COTTON 100% GSM-160 CW-172 CM/68 INCH "/>
    <s v="Mustang / Cocoa 19-12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5649999999999999"/>
    <s v=""/>
    <n v="0"/>
    <n v="0"/>
    <n v="0"/>
  </r>
  <r>
    <s v="Primark Limited"/>
    <s v="ST.Primark.039.FY26-27.9"/>
    <m/>
    <m/>
    <m/>
    <m/>
    <s v=""/>
    <n v="1203"/>
    <s v="KNIT WEFT KNITTED JERSEY PSCP COTTON 100% GSM-160 CW-172 CM/68 INCH "/>
    <s v="Sand Dollar / Vanilla 13-1106 TCX"/>
    <n v="0"/>
    <n v="100.98"/>
    <n v="100.98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9"/>
    <m/>
    <m/>
    <m/>
    <m/>
    <s v=""/>
    <n v="1204"/>
    <s v="KNIT WEFT KNITTED JERSEY PSCP COTTON 100% GSM-160 CW-172 CM/68 INCH "/>
    <s v="Brush / Honey 16-1317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13.73"/>
    <s v=""/>
    <n v="0"/>
    <n v="0"/>
    <n v="0"/>
  </r>
  <r>
    <s v="Primark Limited"/>
    <s v="ST.Primark.039.FY26-27.30"/>
    <m/>
    <m/>
    <m/>
    <m/>
    <s v=""/>
    <n v="1205"/>
    <s v="KNIT WEFT KNITTED JERSEY PSCP COTTON 100% GSM-160 CW-172 CM/68 INCH "/>
    <s v="Brush / Honey 16-1317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24.222999999999999"/>
    <s v=""/>
    <n v="0"/>
    <n v="0"/>
    <n v="0"/>
  </r>
  <r>
    <s v="Primark Limited"/>
    <s v="ST.Primark.039.FY26-27.4"/>
    <m/>
    <m/>
    <m/>
    <m/>
    <s v=""/>
    <n v="1206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3.9620000000000002"/>
    <s v=""/>
    <n v="0"/>
    <n v="0"/>
    <n v="0"/>
  </r>
  <r>
    <s v="Primark Limited"/>
    <s v="ST.Primark.039.FY26-27.6"/>
    <m/>
    <m/>
    <m/>
    <m/>
    <s v=""/>
    <n v="1207"/>
    <s v="KNIT WEFT KNITTED JERSEY PSCP COTTON 100% GSM-160 CW-172 CM/68 INCH "/>
    <s v="Brush / Honey 16-13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3.0369999999999999"/>
    <s v=""/>
    <n v="0"/>
    <n v="0"/>
    <n v="0"/>
  </r>
  <r>
    <s v="Primark Limited"/>
    <s v="ST.Primark.039.FY26-27.7"/>
    <m/>
    <m/>
    <m/>
    <m/>
    <s v=""/>
    <n v="1208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3.9620000000000002"/>
    <s v=""/>
    <n v="0"/>
    <n v="0"/>
    <n v="0"/>
  </r>
  <r>
    <s v="Primark Limited"/>
    <s v="ST.Primark.006.FY26-27.2"/>
    <m/>
    <m/>
    <m/>
    <m/>
    <s v=""/>
    <n v="1209"/>
    <s v="KNIT WEFT KNITTED JERSEY PSCP COTTON 100% GSM-160 CW-172 CM/68 INCH "/>
    <s v="Black"/>
    <n v="8.3333333333333329E-2"/>
    <n v="978.75"/>
    <n v="979"/>
    <n v="0.25"/>
    <m/>
    <n v="0.25"/>
    <s v="448738"/>
    <s v="Solid"/>
    <x v="1"/>
    <d v="2026-10-0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-0.25"/>
    <s v=""/>
    <n v="18843"/>
    <n v="0.96599999999999997"/>
    <n v="11914.639999999996"/>
  </r>
  <r>
    <s v="Primark Limited"/>
    <s v="ST.Primark.006.FY26-27.20"/>
    <m/>
    <m/>
    <m/>
    <m/>
    <s v=""/>
    <n v="1210"/>
    <s v="KNIT WEFT KNITTED JERSEY PSCP COTTON 100% GSM-160 CW-172 CM/68 INCH "/>
    <s v="Black"/>
    <n v="0"/>
    <n v="1021.25"/>
    <n v="1021.25"/>
    <n v="0"/>
    <m/>
    <n v="0"/>
    <s v="448738"/>
    <s v="Solid"/>
    <x v="1"/>
    <d v="2026-10-0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0"/>
    <m/>
    <m/>
    <m/>
    <m/>
    <s v=""/>
    <n v="1210"/>
    <s v="KNIT WEFT KNITTED JERSEY PSCP COTTON 100% GSM-160 CW-172 CM/68 INCH "/>
    <s v="Black"/>
    <n v="0"/>
    <n v="2000"/>
    <n v="2000"/>
    <n v="0"/>
    <m/>
    <n v="0"/>
    <s v="448738"/>
    <s v="Solid"/>
    <x v="6"/>
    <d v="2026-10-0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0"/>
    <m/>
    <m/>
    <m/>
    <m/>
    <s v=""/>
    <n v="1210"/>
    <s v="KNIT WEFT KNITTED JERSEY PSCP COTTON 100% GSM-160 CW-172 CM/68 INCH "/>
    <s v="Black"/>
    <n v="9.9999999999984837E-2"/>
    <n v="1337.45"/>
    <n v="1337.75"/>
    <n v="0.29999999999995453"/>
    <m/>
    <n v="0.29999999999995453"/>
    <s v="448738"/>
    <s v="Solid"/>
    <x v="0"/>
    <d v="2026-10-0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-0.29999999999995453"/>
    <s v=""/>
    <n v="18843"/>
    <n v="0.96599999999999997"/>
    <n v="11914.639999999996"/>
  </r>
  <r>
    <s v="Primark Limited"/>
    <s v="ST.Primark.006.FY26-27.21"/>
    <m/>
    <m/>
    <m/>
    <m/>
    <s v=""/>
    <n v="1211"/>
    <s v="KNIT WEFT KNITTED JERSEY PSCP COTTON 100% GSM-160 CW-172 CM/68 INCH "/>
    <s v="Black"/>
    <n v="0"/>
    <n v="662.55"/>
    <n v="662.55"/>
    <n v="0"/>
    <m/>
    <n v="0"/>
    <s v="448738"/>
    <s v="Solid"/>
    <x v="0"/>
    <d v="2026-10-0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1"/>
    <m/>
    <m/>
    <m/>
    <m/>
    <s v=""/>
    <n v="1211"/>
    <s v="KNIT WEFT KNITTED JERSEY PSCP COTTON 100% GSM-160 CW-172 CM/68 INCH "/>
    <s v="Black"/>
    <n v="0"/>
    <n v="2000"/>
    <n v="2000"/>
    <n v="0"/>
    <m/>
    <n v="0"/>
    <s v="448738"/>
    <s v="Solid"/>
    <x v="22"/>
    <d v="2026-10-07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1"/>
    <m/>
    <m/>
    <m/>
    <m/>
    <s v=""/>
    <n v="1211"/>
    <s v="KNIT WEFT KNITTED JERSEY PSCP COTTON 100% GSM-160 CW-172 CM/68 INCH "/>
    <s v="Black"/>
    <n v="0"/>
    <n v="1696.15"/>
    <n v="1696.15"/>
    <n v="0"/>
    <m/>
    <n v="0"/>
    <s v="448738"/>
    <s v="Solid"/>
    <x v="23"/>
    <d v="2026-10-09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3"/>
    <m/>
    <m/>
    <m/>
    <m/>
    <s v=""/>
    <n v="1212"/>
    <s v="KNIT WEFT KNITTED JERSEY PSCP COTTON 100% GSM-160 CW-172 CM/68 INCH "/>
    <s v="Black"/>
    <n v="0"/>
    <n v="303.85000000000002"/>
    <n v="303.85000000000002"/>
    <n v="0"/>
    <m/>
    <n v="0"/>
    <s v="448738"/>
    <s v="Solid"/>
    <x v="23"/>
    <d v="2026-10-09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3"/>
    <m/>
    <m/>
    <m/>
    <m/>
    <s v=""/>
    <n v="1212"/>
    <s v="KNIT WEFT KNITTED JERSEY PSCP COTTON 100% GSM-160 CW-172 CM/68 INCH "/>
    <s v="Black"/>
    <n v="0"/>
    <n v="9.35"/>
    <n v="9.3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4"/>
    <m/>
    <m/>
    <m/>
    <m/>
    <s v=""/>
    <n v="1213"/>
    <s v="KNIT WEFT KNITTED JERSEY PSCP COTTON 100% GSM-160 CW-172 CM/68 INCH "/>
    <s v="Black"/>
    <n v="0"/>
    <n v="313.2"/>
    <n v="313.2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6"/>
    <m/>
    <m/>
    <m/>
    <m/>
    <s v=""/>
    <n v="1214"/>
    <s v="KNIT WEFT KNITTED JERSEY PSCP COTTON 100% GSM-160 CW-172 CM/68 INCH "/>
    <s v="Black"/>
    <n v="0"/>
    <n v="117.45"/>
    <n v="117.4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27"/>
    <m/>
    <m/>
    <m/>
    <m/>
    <s v=""/>
    <n v="1215"/>
    <s v="KNIT WEFT KNITTED JERSEY PSCP COTTON 100% GSM-160 CW-172 CM/68 INCH "/>
    <s v="Black"/>
    <n v="0"/>
    <n v="117.45"/>
    <n v="117.4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3"/>
    <m/>
    <m/>
    <m/>
    <m/>
    <s v=""/>
    <n v="1216"/>
    <s v="KNIT WEFT KNITTED JERSEY PSCP COTTON 100% GSM-160 CW-172 CM/68 INCH "/>
    <s v="Black"/>
    <n v="0"/>
    <n v="978.75"/>
    <n v="978.75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12"/>
    <m/>
    <m/>
    <m/>
    <m/>
    <s v=""/>
    <n v="1217"/>
    <s v="KNIT WEFT KNITTED JERSEY PSCP COTTON 100% GSM-140 CW-172 CM/68 INCH "/>
    <s v="Black"/>
    <n v="0"/>
    <n v="14.94"/>
    <n v="14.94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11.FY26-27.5"/>
    <m/>
    <m/>
    <m/>
    <m/>
    <s v=""/>
    <n v="1218"/>
    <s v="KNIT WEFT KNITTED JERSEY PSCP COTTON 100% GSM-160 CW-172 CM/68 INCH "/>
    <s v="White"/>
    <n v="0"/>
    <n v="443.7"/>
    <n v="443.7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11.FY26-27.7"/>
    <m/>
    <m/>
    <m/>
    <m/>
    <s v=""/>
    <n v="1219"/>
    <s v="KNIT WEFT KNITTED JERSEY PSCP COTTON 100% GSM-160 CW-172 CM/68 INCH "/>
    <s v="White"/>
    <n v="0"/>
    <n v="91.35"/>
    <n v="91.3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39.FY26-27.22"/>
    <m/>
    <m/>
    <m/>
    <m/>
    <s v=""/>
    <n v="1220"/>
    <s v="KNIT WEFT KNITTED JERSEY PSCP COTTON 100% GSM-160 CW-172 CM/68 INCH "/>
    <s v="Black Coffee / Ganache 19-1111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0.957000000000001"/>
    <s v=""/>
    <n v="0"/>
    <n v="0"/>
    <n v="0"/>
  </r>
  <r>
    <s v="Primark Limited"/>
    <s v="ST.Primark.039.FY26-27.23"/>
    <m/>
    <m/>
    <m/>
    <m/>
    <s v=""/>
    <n v="1221"/>
    <s v="KNIT WEFT KNITTED JERSEY PSCP COTTON 100% GSM-160 CW-172 CM/68 INCH "/>
    <s v="Black Coffee / Ganache 19-1111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0.957000000000001"/>
    <s v=""/>
    <n v="0"/>
    <n v="0"/>
    <n v="0"/>
  </r>
  <r>
    <s v="Primark Limited"/>
    <s v="ST.Primark.039.FY26-27.24"/>
    <m/>
    <m/>
    <m/>
    <m/>
    <s v=""/>
    <n v="1222"/>
    <s v="KNIT WEFT KNITTED JERSEY PSCP COTTON 100% GSM-160 CW-172 CM/68 INCH "/>
    <s v="Black Coffee / Ganache 19-1111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8.8460000000000001"/>
    <s v=""/>
    <n v="0"/>
    <n v="0"/>
    <n v="0"/>
  </r>
  <r>
    <s v="Primark Limited"/>
    <s v="ST.Primark.011.FY26-27.1"/>
    <m/>
    <m/>
    <m/>
    <m/>
    <s v=""/>
    <n v="1223"/>
    <s v="KNIT WEFT KNITTED JERSEY PSCP COTTON 100% GSM-140 CW-172 CM/68 INCH "/>
    <s v="White"/>
    <n v="0"/>
    <n v="37.351999999999997"/>
    <n v="37.351999999999997"/>
    <n v="0"/>
    <m/>
    <n v="0"/>
    <s v="448757"/>
    <s v="Solid"/>
    <x v="34"/>
    <d v="2026-10-13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s v=""/>
    <n v="629.976"/>
    <s v=""/>
    <s v=""/>
    <n v="0"/>
    <s v=""/>
    <n v="1124.8800000000001"/>
    <n v="0.99199999999999999"/>
    <s v=""/>
  </r>
  <r>
    <s v="Primark Limited"/>
    <s v="ST.Primark.011.FY26-27.11"/>
    <m/>
    <m/>
    <m/>
    <m/>
    <s v=""/>
    <n v="1224"/>
    <s v="KNIT WEFT KNITTED JERSEY PSCP COTTON 100% GSM-140 CW-172 CM/68 INCH "/>
    <s v="White"/>
    <n v="0"/>
    <n v="112.648"/>
    <n v="112.648"/>
    <n v="0"/>
    <m/>
    <n v="0"/>
    <s v="448757"/>
    <s v="Solid"/>
    <x v="34"/>
    <d v="2026-10-13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11.FY26-27.11"/>
    <m/>
    <m/>
    <m/>
    <m/>
    <s v=""/>
    <n v="1224"/>
    <s v="KNIT WEFT KNITTED JERSEY PSCP COTTON 100% GSM-140 CW-172 CM/68 INCH "/>
    <s v="White"/>
    <n v="0"/>
    <n v="11.852"/>
    <n v="11.852"/>
    <n v="0"/>
    <m/>
    <n v="0"/>
    <s v="448757"/>
    <s v="Solid"/>
    <x v="25"/>
    <d v="2026-10-15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11.FY26-27.13"/>
    <m/>
    <m/>
    <m/>
    <m/>
    <s v=""/>
    <n v="1225"/>
    <s v="KNIT WEFT KNITTED JERSEY PSCP COTTON 100% GSM-140 CW-172 CM/68 INCH "/>
    <s v="White"/>
    <n v="0"/>
    <n v="138.148"/>
    <n v="138.148"/>
    <n v="0"/>
    <m/>
    <n v="0"/>
    <s v="448757"/>
    <s v="Solid"/>
    <x v="25"/>
    <d v="2026-10-15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11.FY26-27.13"/>
    <m/>
    <m/>
    <m/>
    <m/>
    <s v=""/>
    <n v="1225"/>
    <s v="KNIT WEFT KNITTED JERSEY PSCP COTTON 100% GSM-140 CW-172 CM/68 INCH "/>
    <s v="White"/>
    <n v="0"/>
    <n v="68.522000000000006"/>
    <n v="68.522000000000006"/>
    <n v="0"/>
    <m/>
    <n v="0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11.FY26-27.15"/>
    <m/>
    <m/>
    <m/>
    <m/>
    <b v="0"/>
    <n v="1226"/>
    <s v="KNIT WEFT KNITTED JERSEY PSCP COTTON 100% GSM-140 CW-172 CM/68 INCH "/>
    <s v="White"/>
    <n v="0"/>
    <n v="29.882000000000001"/>
    <n v="29.882000000000001"/>
    <n v="0"/>
    <m/>
    <n v="0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b v="0"/>
    <n v="1124.8800000000001"/>
    <n v="0.99199999999999999"/>
    <n v="494.90400000000011"/>
  </r>
  <r>
    <s v="Primark Limited"/>
    <s v="ST.Primark.011.FY26-27.17"/>
    <m/>
    <m/>
    <m/>
    <m/>
    <s v=""/>
    <n v="1227"/>
    <s v="KNIT WEFT KNITTED JERSEY PSCP COTTON 100% GSM-140 CW-172 CM/68 INCH "/>
    <s v="White"/>
    <n v="0"/>
    <n v="11.206"/>
    <n v="11.206"/>
    <n v="0"/>
    <m/>
    <n v="0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40.FY26-27.12"/>
    <m/>
    <m/>
    <m/>
    <m/>
    <s v=""/>
    <n v="1228"/>
    <s v="KNIT WEFT KNITTED JERSEY PSCP COTTON 100% GSM-160 CW-172 CM/68 INCH "/>
    <s v="Black Coffee / Ganache 19-1111 TCX"/>
    <n v="-33.660000000000004"/>
    <n v="100.98"/>
    <m/>
    <n v="-100.98"/>
    <m/>
    <n v="-100.98"/>
    <s v="450567"/>
    <s v="Solid"/>
    <x v="34"/>
    <d v="2026-10-13T00:00:00"/>
    <d v="2026-10-12T00:00:00"/>
    <s v="Hues Agreed qty as per SQBL required date"/>
    <m/>
    <s v="Oct"/>
    <d v="2026-10-24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100.98"/>
    <s v=""/>
    <n v="0"/>
    <n v="0"/>
    <n v="0"/>
  </r>
  <r>
    <s v="Primark Limited"/>
    <s v="ST.Primark.040.FY26-27.13"/>
    <m/>
    <m/>
    <m/>
    <m/>
    <s v=""/>
    <n v="1229"/>
    <s v="KNIT WEFT KNITTED JERSEY PSCP COTTON 100% GSM-160 CW-172 CM/68 INCH "/>
    <s v="Black Coffee / Ganache 19-1111 TCX"/>
    <n v="-8.91"/>
    <n v="26.73"/>
    <m/>
    <n v="-26.73"/>
    <m/>
    <n v="-26.73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26.73"/>
    <s v=""/>
    <n v="0"/>
    <n v="0"/>
    <n v="0"/>
  </r>
  <r>
    <s v="Primark Limited"/>
    <s v="ST.Primark.015.FY26-27.6"/>
    <m/>
    <m/>
    <m/>
    <m/>
    <s v=""/>
    <n v="1230"/>
    <s v="KNIT WEFT KNITTED JERSEY PSCP COTTON 100% GSM-160 CW-172 CM/68 INCH "/>
    <s v="White"/>
    <n v="-396"/>
    <n v="1188"/>
    <m/>
    <n v="-1188"/>
    <m/>
    <n v="-1188"/>
    <s v="448781"/>
    <s v="Solid"/>
    <x v="30"/>
    <d v="2026-10-20T00:00:00"/>
    <d v="2026-10-19T00:00:00"/>
    <s v="Hues Agreed qty as per SQBL required date"/>
    <m/>
    <s v="Oct"/>
    <d v="2026-10-16T00:00:00"/>
    <m/>
    <m/>
    <m/>
    <m/>
    <m/>
    <m/>
    <m/>
    <m/>
    <m/>
    <m/>
    <s v="448781"/>
    <s v="White"/>
    <n v="160"/>
    <s v="448781160White"/>
    <n v="0"/>
    <s v="#NA"/>
    <n v="0"/>
    <n v="1591.92"/>
    <s v=""/>
    <s v=""/>
    <n v="1188"/>
    <s v=""/>
    <n v="0"/>
    <n v="0"/>
    <n v="0"/>
  </r>
  <r>
    <s v="Primark Limited"/>
    <s v="ST.Primark.039.FY26-27.27"/>
    <m/>
    <m/>
    <m/>
    <m/>
    <s v=""/>
    <n v="1231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s v=""/>
    <s v=""/>
    <n v="1.47"/>
    <s v=""/>
    <n v="0"/>
    <n v="0"/>
    <n v="0"/>
  </r>
  <r>
    <s v="Primark Limited"/>
    <s v="ST.Primark.039.FY26-27.28"/>
    <m/>
    <m/>
    <m/>
    <m/>
    <s v=""/>
    <n v="1232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s v=""/>
    <s v=""/>
    <n v="1.47"/>
    <s v=""/>
    <n v="0"/>
    <n v="0"/>
    <n v="0"/>
  </r>
  <r>
    <s v="Primark Limited"/>
    <s v="ST.Primark.039.FY26-27.29"/>
    <m/>
    <m/>
    <m/>
    <m/>
    <s v=""/>
    <n v="1233"/>
    <s v="KNIT WEFT KNITTED JERSEY PSCP COTTON 100% GSM-140 CW-172 CM/68 INCH "/>
    <s v="Sand Dollar / Vanilla 13-1106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s v=""/>
    <s v=""/>
    <n v="1.1759999999999999"/>
    <s v=""/>
    <n v="0"/>
    <n v="0"/>
    <n v="0"/>
  </r>
  <r>
    <s v="Primark Limited"/>
    <s v="ST.Primark.040.FY26-27.1"/>
    <m/>
    <m/>
    <m/>
    <m/>
    <s v=""/>
    <n v="1234"/>
    <s v="KNIT WEFT KNITTED JERSEY PSCP COTTON 100% GSM-160 CW-172 CM/68 INCH "/>
    <s v="Brush / Honey 16-1317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3.302"/>
    <s v=""/>
    <n v="0"/>
    <n v="0"/>
    <n v="0"/>
  </r>
  <r>
    <s v="Primark Limited"/>
    <s v="ST.Primark.039.FY26-27.27"/>
    <m/>
    <m/>
    <m/>
    <m/>
    <s v=""/>
    <n v="1235"/>
    <s v="KNIT WEFT KNITTED JERSEY PSCP COTTON 100% GSM-140 CW-172 CM/68 INCH "/>
    <s v="Brush / Honey 16-1317 TCX"/>
    <n v="0"/>
    <n v="3.5289999999999999"/>
    <n v="3.5289999999999999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28"/>
    <m/>
    <m/>
    <m/>
    <m/>
    <s v=""/>
    <n v="1236"/>
    <s v="KNIT WEFT KNITTED JERSEY PSCP COTTON 100% GSM-140 CW-172 CM/68 INCH "/>
    <s v="Brush / Honey 16-1317 TCX"/>
    <n v="0"/>
    <n v="3.5289999999999999"/>
    <n v="3.528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6"/>
    <m/>
    <m/>
    <m/>
    <m/>
    <s v=""/>
    <n v="1237"/>
    <s v="KNIT WEFT KNITTED JERSEY PSCP COTTON 100% GSM-160 CW-172 CM/68 INCH "/>
    <s v="Brush / Honey 16-1317 TCX"/>
    <n v="0"/>
    <n v="68.31"/>
    <n v="68.3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40.FY26-27.7"/>
    <m/>
    <m/>
    <m/>
    <m/>
    <s v=""/>
    <n v="1238"/>
    <s v="KNIT WEFT KNITTED JERSEY PSCP COTTON 100% GSM-160 CW-172 CM/68 INCH "/>
    <s v="Black Coffee / Ganache 19-1111 TCX"/>
    <n v="-29.7"/>
    <n v="89.1"/>
    <m/>
    <n v="-89.1"/>
    <m/>
    <n v="-89.1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89.1"/>
    <s v=""/>
    <n v="0"/>
    <n v="0"/>
    <n v="0"/>
  </r>
  <r>
    <s v="Primark Limited"/>
    <s v="ST.Primark.040.FY26-27.8"/>
    <m/>
    <m/>
    <m/>
    <m/>
    <s v=""/>
    <n v="1239"/>
    <s v="KNIT WEFT KNITTED JERSEY PSCP COTTON 100% GSM-160 CW-172 CM/68 INCH "/>
    <s v="Black Coffee / Ganache 19-1111 TCX"/>
    <n v="-22.77"/>
    <n v="68.31"/>
    <m/>
    <n v="-68.31"/>
    <m/>
    <n v="-68.31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68.31"/>
    <s v=""/>
    <n v="0"/>
    <n v="0"/>
    <n v="0"/>
  </r>
  <r>
    <s v="Primark Limited"/>
    <s v="ST.Primark.040.FY26-27.1"/>
    <m/>
    <m/>
    <m/>
    <m/>
    <s v=""/>
    <n v="1240"/>
    <s v="KNIT WEFT KNITTED JERSEY PSCP COTTON 100% GSM-160 CW-172 CM/68 INCH "/>
    <s v="Brush / Honey 16-1317 TCX"/>
    <n v="-24.75"/>
    <n v="74.25"/>
    <m/>
    <n v="-74.25"/>
    <m/>
    <n v="-74.25"/>
    <s v="450567"/>
    <s v="Solid"/>
    <x v="55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74.25"/>
    <s v=""/>
    <n v="0"/>
    <n v="0"/>
    <n v="0"/>
  </r>
  <r>
    <s v="Primark Limited"/>
    <s v="ST.Primark.040.FY26-27.12"/>
    <m/>
    <m/>
    <m/>
    <m/>
    <s v=""/>
    <n v="1241"/>
    <s v="KNIT WEFT KNITTED JERSEY PSCP COTTON 100% GSM-160 CW-172 CM/68 INCH "/>
    <s v="Brush / Honey 16-1317 TCX"/>
    <n v="-33.660000000000004"/>
    <n v="100.98"/>
    <m/>
    <n v="-100.98"/>
    <m/>
    <n v="-100.98"/>
    <s v="450567"/>
    <s v="Solid"/>
    <x v="55"/>
    <d v="2026-10-14T00:00:00"/>
    <d v="2026-10-13T00:00:00"/>
    <s v="Hues Agreed qty as per SQBL required date"/>
    <m/>
    <s v="Oct"/>
    <d v="2026-10-24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100.98"/>
    <s v=""/>
    <n v="0"/>
    <n v="0"/>
    <n v="0"/>
  </r>
  <r>
    <s v="Primark Limited"/>
    <s v="ST.Primark.040.FY26-27.13"/>
    <m/>
    <m/>
    <m/>
    <m/>
    <s v=""/>
    <n v="1242"/>
    <s v="KNIT WEFT KNITTED JERSEY PSCP COTTON 100% GSM-160 CW-172 CM/68 INCH "/>
    <s v="Brush / Honey 16-1317 TCX"/>
    <n v="-8.91"/>
    <n v="26.73"/>
    <m/>
    <n v="-26.73"/>
    <m/>
    <n v="-26.73"/>
    <s v="450567"/>
    <s v="Solid"/>
    <x v="55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26.73"/>
    <s v=""/>
    <n v="0"/>
    <n v="0"/>
    <n v="0"/>
  </r>
  <r>
    <s v="Primark Limited"/>
    <s v="ST.Primark.040.FY26-27.15"/>
    <m/>
    <m/>
    <m/>
    <m/>
    <s v=""/>
    <n v="1243"/>
    <s v="KNIT WEFT KNITTED JERSEY PSCP COTTON 100% GSM-160 CW-172 CM/68 INCH "/>
    <s v="Brush / Honey 16-1317 TCX"/>
    <n v="-35.64"/>
    <n v="106.92"/>
    <m/>
    <n v="-106.92"/>
    <m/>
    <n v="-106.92"/>
    <s v="450567"/>
    <s v="Solid"/>
    <x v="55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106.92"/>
    <s v=""/>
    <n v="0"/>
    <n v="0"/>
    <n v="0"/>
  </r>
  <r>
    <s v="Primark Limited"/>
    <s v="ST.Primark.040.FY26-27.16"/>
    <m/>
    <m/>
    <m/>
    <m/>
    <s v=""/>
    <n v="1244"/>
    <s v="KNIT WEFT KNITTED JERSEY PSCP COTTON 100% GSM-160 CW-172 CM/68 INCH "/>
    <s v="Brush / Honey 16-1317 TCX"/>
    <n v="-26.73"/>
    <n v="80.19"/>
    <m/>
    <n v="-80.19"/>
    <m/>
    <n v="-80.19"/>
    <s v="450567"/>
    <s v="Solid"/>
    <x v="55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80.19"/>
    <s v=""/>
    <n v="0"/>
    <n v="0"/>
    <n v="0"/>
  </r>
  <r>
    <s v="Primark Limited"/>
    <s v="ST.Primark.040.FY26-27.13"/>
    <m/>
    <m/>
    <m/>
    <m/>
    <s v=""/>
    <n v="1245"/>
    <s v="KNIT WEFT KNITTED JERSEY PSCP COTTON 100% GSM-140 CW-172 CM/68 INCH "/>
    <s v="Sand Dollar / Vanilla 13-1106 TCX"/>
    <n v="-0.88266666666666671"/>
    <n v="2.6480000000000001"/>
    <m/>
    <n v="-2.6480000000000001"/>
    <m/>
    <n v="-2.6480000000000001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2.6480000000000001"/>
    <s v=""/>
    <n v="0"/>
    <n v="0"/>
    <n v="0"/>
  </r>
  <r>
    <s v="Primark Limited"/>
    <s v="ST.Primark.040.FY26-27.15"/>
    <m/>
    <m/>
    <m/>
    <m/>
    <s v=""/>
    <n v="1246"/>
    <s v="KNIT WEFT KNITTED JERSEY PSCP COTTON 100% GSM-140 CW-172 CM/68 INCH "/>
    <s v="Sand Dollar / Vanilla 13-1106 TCX"/>
    <n v="-3.5283333333333338"/>
    <n v="10.585000000000001"/>
    <m/>
    <n v="-10.585000000000001"/>
    <m/>
    <n v="-10.58500000000000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10.585000000000001"/>
    <s v=""/>
    <n v="0"/>
    <n v="0"/>
    <n v="0"/>
  </r>
  <r>
    <s v="Primark Limited"/>
    <s v="ST.Primark.040.FY26-27.16"/>
    <m/>
    <m/>
    <m/>
    <m/>
    <s v=""/>
    <n v="1247"/>
    <s v="KNIT WEFT KNITTED JERSEY PSCP COTTON 100% GSM-140 CW-172 CM/68 INCH "/>
    <s v="Sand Dollar / Vanilla 13-1106 TCX"/>
    <n v="-2.6463333333333332"/>
    <n v="7.9390000000000001"/>
    <m/>
    <n v="-7.9390000000000001"/>
    <m/>
    <n v="-7.939000000000000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7.9390000000000001"/>
    <s v=""/>
    <n v="0"/>
    <n v="0"/>
    <n v="0"/>
  </r>
  <r>
    <s v="Primark Limited"/>
    <s v="ST.Primark.040.FY26-27.20"/>
    <m/>
    <m/>
    <m/>
    <m/>
    <s v=""/>
    <n v="1248"/>
    <s v="KNIT WEFT KNITTED JERSEY PSCP COTTON 100% GSM-140 CW-172 CM/68 INCH "/>
    <s v="Sand Dollar / Vanilla 13-1106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14.7"/>
    <s v=""/>
    <n v="0"/>
    <n v="0"/>
    <n v="0"/>
  </r>
  <r>
    <s v="Primark Limited"/>
    <s v="ST.Primark.040.FY26-27.21"/>
    <m/>
    <m/>
    <m/>
    <m/>
    <s v=""/>
    <n v="1249"/>
    <s v="KNIT WEFT KNITTED JERSEY PSCP COTTON 100% GSM-140 CW-172 CM/68 INCH "/>
    <s v="Sand Dollar / Vanilla 13-1106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s v=""/>
    <n v="146.72300000000004"/>
    <s v=""/>
    <s v=""/>
    <n v="14.7"/>
    <s v=""/>
    <n v="0"/>
    <n v="0"/>
    <s v=""/>
  </r>
  <r>
    <s v="Primark Limited"/>
    <s v="ST.Primark.011.FY26-27.5"/>
    <m/>
    <m/>
    <m/>
    <m/>
    <s v=""/>
    <n v="1250"/>
    <s v="KNIT WEFT KNITTED JERSEY PSCP COTTON 100% GSM-140 CW-172 CM/68 INCH "/>
    <s v="White"/>
    <n v="0"/>
    <n v="40.39"/>
    <n v="40.39"/>
    <n v="0"/>
    <m/>
    <n v="0"/>
    <s v="448757"/>
    <s v="Solid"/>
    <x v="27"/>
    <d v="2026-10-17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s v=""/>
    <s v=""/>
    <s v=""/>
    <n v="0"/>
    <s v=""/>
    <n v="1124.8800000000001"/>
    <n v="0.99199999999999999"/>
    <n v="494.90400000000011"/>
  </r>
  <r>
    <s v="Primark Limited"/>
    <s v="ST.Primark.011.FY26-27.5"/>
    <m/>
    <m/>
    <m/>
    <m/>
    <s v=""/>
    <n v="1250"/>
    <s v="KNIT WEFT KNITTED JERSEY PSCP COTTON 100% GSM-140 CW-172 CM/68 INCH "/>
    <s v="White"/>
    <n v="0"/>
    <n v="1.94"/>
    <n v="1.94"/>
    <n v="0"/>
    <m/>
    <n v="0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11.FY26-27.7"/>
    <m/>
    <m/>
    <m/>
    <m/>
    <s v=""/>
    <n v="1251"/>
    <s v="KNIT WEFT KNITTED JERSEY PSCP COTTON 100% GSM-140 CW-172 CM/68 INCH "/>
    <s v="White"/>
    <n v="0"/>
    <n v="8.7159999999999993"/>
    <n v="8.7159999999999993"/>
    <n v="0"/>
    <m/>
    <n v="0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11.FY26-27.9"/>
    <m/>
    <m/>
    <m/>
    <m/>
    <s v=""/>
    <n v="1252"/>
    <s v="KNIT WEFT KNITTED JERSEY PSCP COTTON 100% GSM-140 CW-172 CM/68 INCH "/>
    <s v="White"/>
    <n v="0"/>
    <n v="124.5"/>
    <n v="124.5"/>
    <n v="0"/>
    <m/>
    <n v="0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n v="629.976"/>
    <n v="629.976"/>
    <s v=""/>
    <s v=""/>
    <n v="0"/>
    <s v=""/>
    <n v="1124.8800000000001"/>
    <n v="0.99199999999999999"/>
    <n v="494.90400000000011"/>
  </r>
  <r>
    <s v="Primark Limited"/>
    <s v="ST.Primark.011.FY26-27.1"/>
    <m/>
    <m/>
    <m/>
    <m/>
    <s v=""/>
    <n v="1253"/>
    <s v="KNIT WEFT KNITTED JERSEY PSCP COTTON 100% GSM-160 CW-172 CM/68 INCH "/>
    <s v="White"/>
    <n v="0"/>
    <n v="391.5"/>
    <n v="391.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s v=""/>
    <n v="6603.3"/>
    <s v=""/>
    <s v=""/>
    <n v="0"/>
    <s v=""/>
    <n v="11553.05"/>
    <n v="0.97199999999999998"/>
    <s v=""/>
  </r>
  <r>
    <s v="Primark Limited"/>
    <s v="ST.Primark.011.FY26-27.11"/>
    <m/>
    <m/>
    <m/>
    <m/>
    <s v=""/>
    <n v="1254"/>
    <s v="KNIT WEFT KNITTED JERSEY PSCP COTTON 100% GSM-160 CW-172 CM/68 INCH "/>
    <s v="White"/>
    <n v="0"/>
    <n v="673.45"/>
    <n v="673.45"/>
    <n v="0"/>
    <m/>
    <n v="0"/>
    <s v="448757"/>
    <s v="Solid"/>
    <x v="34"/>
    <d v="2026-10-13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11.FY26-27.11"/>
    <m/>
    <m/>
    <m/>
    <m/>
    <s v=""/>
    <n v="1254"/>
    <s v="KNIT WEFT KNITTED JERSEY PSCP COTTON 100% GSM-160 CW-172 CM/68 INCH "/>
    <s v="White"/>
    <n v="0"/>
    <n v="631.54999999999995"/>
    <n v="631.54999999999995"/>
    <n v="0"/>
    <m/>
    <n v="0"/>
    <s v="448757"/>
    <s v="Solid"/>
    <x v="25"/>
    <d v="2026-10-15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11.FY26-27.13"/>
    <m/>
    <m/>
    <m/>
    <m/>
    <s v=""/>
    <n v="1255"/>
    <s v="KNIT WEFT KNITTED JERSEY PSCP COTTON 100% GSM-160 CW-172 CM/68 INCH "/>
    <s v="White"/>
    <n v="0"/>
    <n v="968.45"/>
    <n v="968.45"/>
    <n v="0"/>
    <m/>
    <n v="0"/>
    <s v="448757"/>
    <s v="Solid"/>
    <x v="25"/>
    <d v="2026-10-15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11.FY26-27.13"/>
    <m/>
    <m/>
    <m/>
    <m/>
    <s v=""/>
    <n v="1255"/>
    <s v="KNIT WEFT KNITTED JERSEY PSCP COTTON 100% GSM-160 CW-172 CM/68 INCH "/>
    <s v="White"/>
    <n v="0"/>
    <n v="1197.8499999999999"/>
    <n v="1197.8499999999999"/>
    <n v="0"/>
    <m/>
    <n v="0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11.FY26-27.15"/>
    <m/>
    <m/>
    <m/>
    <m/>
    <s v=""/>
    <n v="1256"/>
    <s v="KNIT WEFT KNITTED JERSEY PSCP COTTON 100% GSM-160 CW-172 CM/68 INCH "/>
    <s v="White"/>
    <n v="0"/>
    <n v="313.2"/>
    <n v="313.2"/>
    <n v="0"/>
    <m/>
    <n v="0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06.FY26-27.17"/>
    <m/>
    <m/>
    <m/>
    <m/>
    <s v=""/>
    <n v="1257"/>
    <s v="KNIT WEFT KNITTED JERSEY PSCP COTTON 100% GSM-140 CW-172 CM/68 INCH "/>
    <s v="Black"/>
    <n v="0"/>
    <n v="207.916"/>
    <n v="207.916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18"/>
    <m/>
    <m/>
    <m/>
    <m/>
    <s v=""/>
    <n v="1258"/>
    <s v="KNIT WEFT KNITTED JERSEY PSCP COTTON 100% GSM-140 CW-172 CM/68 INCH "/>
    <s v="Black"/>
    <n v="0"/>
    <n v="7.3220000000000001"/>
    <n v="7.3220000000000001"/>
    <n v="0"/>
    <m/>
    <n v="0"/>
    <s v="448738"/>
    <s v="Solid"/>
    <x v="1"/>
    <d v="2026-10-0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18"/>
    <m/>
    <m/>
    <m/>
    <m/>
    <s v=""/>
    <n v="1258"/>
    <s v="KNIT WEFT KNITTED JERSEY PSCP COTTON 100% GSM-140 CW-172 CM/68 INCH "/>
    <s v="Black"/>
    <n v="0"/>
    <n v="200.59399999999999"/>
    <n v="200.59399999999999"/>
    <n v="0"/>
    <m/>
    <n v="0"/>
    <s v="448738"/>
    <s v="Solid"/>
    <x v="6"/>
    <d v="2026-10-0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2"/>
    <m/>
    <m/>
    <m/>
    <m/>
    <s v=""/>
    <n v="1259"/>
    <s v="KNIT WEFT KNITTED JERSEY PSCP COTTON 100% GSM-140 CW-172 CM/68 INCH "/>
    <s v="Black"/>
    <n v="0"/>
    <n v="74.406000000000006"/>
    <n v="74.406000000000006"/>
    <n v="0"/>
    <m/>
    <n v="0"/>
    <s v="448738"/>
    <s v="Solid"/>
    <x v="6"/>
    <d v="2026-10-0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2"/>
    <m/>
    <m/>
    <m/>
    <m/>
    <s v=""/>
    <n v="1259"/>
    <s v="KNIT WEFT KNITTED JERSEY PSCP COTTON 100% GSM-140 CW-172 CM/68 INCH "/>
    <s v="Black"/>
    <n v="0"/>
    <n v="18.97"/>
    <n v="18.97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24"/>
    <m/>
    <m/>
    <m/>
    <m/>
    <s v=""/>
    <n v="1260"/>
    <s v="KNIT WEFT KNITTED JERSEY PSCP COTTON 100% GSM-140 CW-172 CM/68 INCH "/>
    <s v="Black"/>
    <n v="0"/>
    <n v="29.882000000000001"/>
    <n v="29.882000000000001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26"/>
    <m/>
    <m/>
    <m/>
    <m/>
    <s v=""/>
    <n v="1261"/>
    <s v="KNIT WEFT KNITTED JERSEY PSCP COTTON 100% GSM-140 CW-172 CM/68 INCH "/>
    <s v="Black"/>
    <n v="0"/>
    <n v="11.206"/>
    <n v="11.20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27"/>
    <m/>
    <m/>
    <m/>
    <m/>
    <s v=""/>
    <n v="1262"/>
    <s v="KNIT WEFT KNITTED JERSEY PSCP COTTON 100% GSM-140 CW-172 CM/68 INCH "/>
    <s v="Black"/>
    <n v="0"/>
    <n v="11.206"/>
    <n v="11.20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3"/>
    <m/>
    <m/>
    <m/>
    <m/>
    <s v=""/>
    <n v="1263"/>
    <s v="KNIT WEFT KNITTED JERSEY PSCP COTTON 100% GSM-140 CW-172 CM/68 INCH "/>
    <s v="Black"/>
    <n v="0"/>
    <n v="93.376000000000005"/>
    <n v="93.376000000000005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s v=""/>
    <n v="2273.386"/>
    <s v=""/>
    <s v=""/>
    <n v="0"/>
    <s v=""/>
    <n v="3314.8"/>
    <n v="0.97199999999999998"/>
    <s v=""/>
  </r>
  <r>
    <s v="Primark Limited"/>
    <s v="ST.Primark.039.FY26-27.23"/>
    <m/>
    <m/>
    <m/>
    <m/>
    <s v=""/>
    <n v="1264"/>
    <s v="KNIT WEFT KNITTED JERSEY PSCP COTTON 100% GSM-140 CW-172 CM/68 INCH "/>
    <s v="Mustang / Cocoa 19-1217 TCX"/>
    <n v="0"/>
    <n v="24.402999999999999"/>
    <n v="24.402999999999999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4"/>
    <m/>
    <m/>
    <m/>
    <m/>
    <s v=""/>
    <n v="1265"/>
    <s v="KNIT WEFT KNITTED JERSEY PSCP COTTON 100% GSM-140 CW-172 CM/68 INCH "/>
    <s v="Mustang / Cocoa 19-1217 TCX"/>
    <n v="0"/>
    <n v="19.7"/>
    <n v="19.7"/>
    <n v="0"/>
    <m/>
    <n v="0"/>
    <s v="450568"/>
    <s v="Solid"/>
    <x v="53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5"/>
    <m/>
    <m/>
    <m/>
    <m/>
    <s v=""/>
    <n v="1266"/>
    <s v="KNIT WEFT KNITTED JERSEY PSCP COTTON 100% GSM-140 CW-172 CM/68 INCH "/>
    <s v="Mustang / Cocoa 19-1217 TCX"/>
    <n v="0"/>
    <n v="39.103999999999999"/>
    <n v="39.103999999999999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6"/>
    <m/>
    <m/>
    <m/>
    <m/>
    <s v=""/>
    <n v="1267"/>
    <s v="KNIT WEFT KNITTED JERSEY PSCP COTTON 100% GSM-140 CW-172 CM/68 INCH "/>
    <s v="Mustang / Cocoa 19-1217 TCX"/>
    <n v="0"/>
    <n v="58.802"/>
    <n v="58.802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7"/>
    <m/>
    <m/>
    <m/>
    <m/>
    <s v=""/>
    <n v="1268"/>
    <s v="KNIT WEFT KNITTED JERSEY PSCP COTTON 100% GSM-140 CW-172 CM/68 INCH "/>
    <s v="Mustang / Cocoa 19-1217 TCX"/>
    <n v="0"/>
    <n v="3.5289999999999999"/>
    <n v="3.5289999999999999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8"/>
    <m/>
    <m/>
    <m/>
    <m/>
    <s v=""/>
    <n v="1269"/>
    <s v="KNIT WEFT KNITTED JERSEY PSCP COTTON 100% GSM-140 CW-172 CM/68 INCH "/>
    <s v="Mustang / Cocoa 19-1217 TCX"/>
    <n v="0"/>
    <n v="3.5289999999999999"/>
    <n v="3.5289999999999999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9"/>
    <m/>
    <m/>
    <m/>
    <m/>
    <s v=""/>
    <n v="1270"/>
    <s v="KNIT WEFT KNITTED JERSEY PSCP COTTON 100% GSM-140 CW-172 CM/68 INCH "/>
    <s v="Mustang / Cocoa 19-1217 TCX"/>
    <n v="0"/>
    <n v="2.9420000000000002"/>
    <n v="2.9420000000000002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8"/>
    <m/>
    <m/>
    <m/>
    <m/>
    <s v=""/>
    <n v="1271"/>
    <s v="KNIT WEFT KNITTED JERSEY PSCP COTTON 100% GSM-140 CW-172 CM/68 INCH "/>
    <s v="Sand Dollar / Vanilla 13-1106 TCX"/>
    <n v="0"/>
    <n v="6.7629999999999999"/>
    <n v="6.7629999999999999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s v=""/>
    <n v="377.53800000000001"/>
    <s v=""/>
    <s v=""/>
    <n v="0"/>
    <s v=""/>
    <n v="386.42"/>
    <n v="0.997"/>
    <s v=""/>
  </r>
  <r>
    <s v="Primark Limited"/>
    <s v="ST.Primark.039.FY26-27.9"/>
    <m/>
    <m/>
    <m/>
    <m/>
    <s v=""/>
    <n v="1272"/>
    <s v="KNIT WEFT KNITTED JERSEY PSCP COTTON 100% GSM-140 CW-172 CM/68 INCH "/>
    <s v="Sand Dollar / Vanilla 13-1106 TCX"/>
    <n v="0"/>
    <n v="9.9979999999999993"/>
    <n v="9.9979999999999993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77.FY26-27.11"/>
    <m/>
    <m/>
    <m/>
    <m/>
    <s v=""/>
    <n v="1273"/>
    <s v="KNIT WEFT KNITTED JERSEY PSCP COTTON 100% GSM-140 CW-172 CM/68 INCH "/>
    <s v="Black Coffee / Ganache 19-1111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26.4"/>
    <s v=""/>
    <n v="0"/>
    <n v="0"/>
    <n v="0"/>
  </r>
  <r>
    <s v="Primark Limited"/>
    <s v="ST.Primark.077.FY26-27.12"/>
    <m/>
    <m/>
    <m/>
    <m/>
    <s v=""/>
    <n v="1274"/>
    <s v="KNIT WEFT KNITTED JERSEY PSCP COTTON 100% GSM-140 CW-172 CM/68 INCH "/>
    <s v="Black Coffee / Ganache 19-1111 TCX"/>
    <n v="-9.4"/>
    <n v="28.2"/>
    <m/>
    <n v="-28.2"/>
    <m/>
    <n v="-28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28.2"/>
    <s v=""/>
    <n v="0"/>
    <n v="0"/>
    <n v="0"/>
  </r>
  <r>
    <s v="Primark Limited"/>
    <s v="ST.Primark.077.FY26-27.13"/>
    <m/>
    <m/>
    <m/>
    <m/>
    <s v=""/>
    <n v="1275"/>
    <s v="KNIT WEFT KNITTED JERSEY PSCP COTTON 100% GSM-140 CW-172 CM/68 INCH "/>
    <s v="Black Coffee / Ganache 19-1111 TCX"/>
    <n v="-31"/>
    <n v="93"/>
    <m/>
    <n v="-93"/>
    <m/>
    <n v="-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93"/>
    <s v=""/>
    <n v="0"/>
    <n v="0"/>
    <n v="0"/>
  </r>
  <r>
    <s v="Primark Limited"/>
    <s v="ST.Primark.077.FY26-27.14"/>
    <m/>
    <m/>
    <m/>
    <m/>
    <s v=""/>
    <n v="1276"/>
    <s v="KNIT WEFT KNITTED JERSEY PSCP COTTON 100% GSM-140 CW-172 CM/68 INCH "/>
    <s v="Black Coffee / Ganache 19-1111 TCX"/>
    <n v="-1.5999999999999999"/>
    <n v="4.8"/>
    <m/>
    <n v="-4.8"/>
    <m/>
    <n v="-4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4.8"/>
    <s v=""/>
    <n v="0"/>
    <n v="0"/>
    <n v="0"/>
  </r>
  <r>
    <s v="Primark Limited"/>
    <s v="ST.Primark.077.FY26-27.2"/>
    <m/>
    <m/>
    <m/>
    <m/>
    <s v=""/>
    <n v="1277"/>
    <s v="KNIT WEFT KNITTED JERSEY PSCP COTTON 100% GSM-140 CW-172 CM/68 INCH "/>
    <s v="Black Coffee / Ganache 19-1111 TCX"/>
    <n v="-51.800000000000004"/>
    <n v="155.4"/>
    <m/>
    <n v="-155.4"/>
    <m/>
    <n v="-155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155.4"/>
    <s v=""/>
    <n v="0"/>
    <n v="0"/>
    <n v="0"/>
  </r>
  <r>
    <s v="Primark Limited"/>
    <s v="ST.Primark.077.FY26-27.3"/>
    <m/>
    <m/>
    <m/>
    <m/>
    <s v=""/>
    <n v="1278"/>
    <s v="KNIT WEFT KNITTED JERSEY PSCP COTTON 100% GSM-140 CW-172 CM/68 INCH "/>
    <s v="Black Coffee / Ganache 19-1111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26.4"/>
    <s v=""/>
    <n v="0"/>
    <n v="0"/>
    <n v="0"/>
  </r>
  <r>
    <s v="Primark Limited"/>
    <s v="ST.Primark.077.FY26-27.4"/>
    <m/>
    <m/>
    <m/>
    <m/>
    <s v=""/>
    <n v="1279"/>
    <s v="KNIT WEFT KNITTED JERSEY PSCP COTTON 100% GSM-140 CW-172 CM/68 INCH "/>
    <s v="Black Coffee / Ganache 19-1111 TCX"/>
    <n v="-9.2000000000000011"/>
    <n v="27.6"/>
    <m/>
    <n v="-27.6"/>
    <m/>
    <n v="-27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27.6"/>
    <s v=""/>
    <n v="0"/>
    <n v="0"/>
    <n v="0"/>
  </r>
  <r>
    <s v="Primark Limited"/>
    <s v="ST.Primark.077.FY26-27.5"/>
    <m/>
    <m/>
    <m/>
    <m/>
    <s v=""/>
    <n v="1280"/>
    <s v="KNIT WEFT KNITTED JERSEY PSCP COTTON 100% GSM-140 CW-172 CM/68 INCH "/>
    <s v="Black Coffee / Ganache 19-1111 TCX"/>
    <n v="-13"/>
    <n v="39"/>
    <m/>
    <n v="-39"/>
    <m/>
    <n v="-3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39"/>
    <s v=""/>
    <n v="0"/>
    <n v="0"/>
    <n v="0"/>
  </r>
  <r>
    <s v="Primark Limited"/>
    <s v="ST.Primark.077.FY26-27.6"/>
    <m/>
    <m/>
    <m/>
    <m/>
    <s v=""/>
    <n v="1281"/>
    <s v="KNIT WEFT KNITTED JERSEY PSCP COTTON 100% GSM-140 CW-172 CM/68 INCH "/>
    <s v="Black Coffee / Ganache 19-1111 TCX"/>
    <n v="-14.200000000000001"/>
    <n v="42.6"/>
    <m/>
    <n v="-42.6"/>
    <m/>
    <n v="-42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42.6"/>
    <s v=""/>
    <n v="0"/>
    <n v="0"/>
    <n v="0"/>
  </r>
  <r>
    <s v="Primark Limited"/>
    <s v="ST.Primark.077.FY26-27.7"/>
    <m/>
    <m/>
    <m/>
    <m/>
    <s v=""/>
    <n v="1282"/>
    <s v="KNIT WEFT KNITTED JERSEY PSCP COTTON 100% GSM-140 CW-172 CM/68 INCH "/>
    <s v="Black Coffee / Ganache 19-1111 TCX"/>
    <n v="-46.6"/>
    <n v="139.80000000000001"/>
    <m/>
    <n v="-139.80000000000001"/>
    <m/>
    <n v="-139.8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139.80000000000001"/>
    <s v=""/>
    <n v="0"/>
    <n v="0"/>
    <n v="0"/>
  </r>
  <r>
    <s v="Primark Limited"/>
    <s v="ST.Primark.077.FY26-27.8"/>
    <m/>
    <m/>
    <m/>
    <m/>
    <s v=""/>
    <n v="1283"/>
    <s v="KNIT WEFT KNITTED JERSEY PSCP COTTON 100% GSM-140 CW-172 CM/68 INCH "/>
    <s v="Black Coffee / Ganache 19-1111 TCX"/>
    <n v="-2.4"/>
    <n v="7.2"/>
    <m/>
    <n v="-7.2"/>
    <m/>
    <n v="-7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7.2"/>
    <s v=""/>
    <n v="0"/>
    <n v="0"/>
    <n v="0"/>
  </r>
  <r>
    <s v="Primark Limited"/>
    <s v="ST.Primark.077.FY26-27.9"/>
    <m/>
    <m/>
    <m/>
    <m/>
    <s v=""/>
    <n v="1284"/>
    <s v="KNIT WEFT KNITTED JERSEY PSCP COTTON 100% GSM-140 CW-172 CM/68 INCH "/>
    <s v="Black Coffee / Ganache 19-1111 TCX"/>
    <n v="-5.8"/>
    <n v="17.399999999999999"/>
    <m/>
    <n v="-17.399999999999999"/>
    <m/>
    <n v="-17.39999999999999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17.399999999999999"/>
    <s v=""/>
    <n v="0"/>
    <n v="0"/>
    <n v="0"/>
  </r>
  <r>
    <s v="Primark Limited"/>
    <s v="ST.Primark.077.FY26-27.10"/>
    <m/>
    <m/>
    <m/>
    <m/>
    <s v=""/>
    <n v="1285"/>
    <s v="KNIT WEFT KNITTED JERSEY PSCP COTTON 100% GSM-140 CW-172 CM/68 INCH "/>
    <s v="Oxford Tan 15-1306 TCX"/>
    <n v="-6.2"/>
    <n v="18.600000000000001"/>
    <m/>
    <n v="-18.600000000000001"/>
    <m/>
    <n v="-18.60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18.600000000000001"/>
    <s v=""/>
    <e v="#N/A"/>
    <e v="#N/A"/>
    <n v="0"/>
  </r>
  <r>
    <s v="Primark Limited"/>
    <s v="ST.Primark.077.FY26-27.11"/>
    <m/>
    <m/>
    <m/>
    <m/>
    <s v=""/>
    <n v="1286"/>
    <s v="KNIT WEFT KNITTED JERSEY PSCP COTTON 100% GSM-140 CW-172 CM/68 INCH "/>
    <s v="Oxford Tan 15-1306 TCX"/>
    <n v="-8.7999999999999989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26.4"/>
    <s v=""/>
    <e v="#N/A"/>
    <e v="#N/A"/>
    <n v="0"/>
  </r>
  <r>
    <s v="Primark Limited"/>
    <s v="ST.Primark.077.FY26-27.12"/>
    <m/>
    <m/>
    <m/>
    <m/>
    <s v=""/>
    <n v="1287"/>
    <s v="KNIT WEFT KNITTED JERSEY PSCP COTTON 100% GSM-140 CW-172 CM/68 INCH "/>
    <s v="Oxford Tan 15-1306 TCX"/>
    <n v="-9.4"/>
    <n v="28.2"/>
    <m/>
    <n v="-28.2"/>
    <m/>
    <n v="-28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28.2"/>
    <s v=""/>
    <e v="#N/A"/>
    <e v="#N/A"/>
    <n v="0"/>
  </r>
  <r>
    <s v="Primark Limited"/>
    <s v="ST.Primark.039.FY26-27.2"/>
    <m/>
    <m/>
    <m/>
    <m/>
    <s v=""/>
    <n v="1288"/>
    <s v="KNIT WEFT KNITTED JERSEY PSCP COTTON 100% GSM-160 CW-172 CM/68 INCH "/>
    <s v="Brush / Honey 16-1317 TCX"/>
    <n v="0"/>
    <n v="74.25"/>
    <n v="74.2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0"/>
    <m/>
    <m/>
    <m/>
    <m/>
    <s v=""/>
    <n v="1289"/>
    <s v="KNIT WEFT KNITTED JERSEY PSCP COTTON 100% GSM-160 CW-172 CM/68 INCH "/>
    <s v="Brush / Honey 16-1317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1"/>
    <m/>
    <m/>
    <m/>
    <m/>
    <s v=""/>
    <n v="1290"/>
    <s v="KNIT WEFT KNITTED JERSEY PSCP COTTON 100% GSM-160 CW-172 CM/68 INCH "/>
    <s v="Brush / Honey 16-1317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2"/>
    <m/>
    <m/>
    <m/>
    <m/>
    <s v=""/>
    <n v="1291"/>
    <s v="KNIT WEFT KNITTED JERSEY PSCP COTTON 100% GSM-160 CW-172 CM/68 INCH "/>
    <s v="Brush / Honey 16-1317 TCX"/>
    <n v="0"/>
    <n v="246.51"/>
    <n v="246.5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3"/>
    <m/>
    <m/>
    <m/>
    <m/>
    <s v=""/>
    <n v="1292"/>
    <s v="KNIT WEFT KNITTED JERSEY PSCP COTTON 100% GSM-160 CW-172 CM/68 INCH "/>
    <s v="Brush / Honey 16-1317 TCX"/>
    <n v="0"/>
    <n v="246.51"/>
    <n v="246.5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4"/>
    <m/>
    <m/>
    <m/>
    <m/>
    <s v=""/>
    <n v="1293"/>
    <s v="KNIT WEFT KNITTED JERSEY PSCP COTTON 100% GSM-160 CW-172 CM/68 INCH "/>
    <s v="Brush / Honey 16-1317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5"/>
    <m/>
    <m/>
    <m/>
    <m/>
    <s v=""/>
    <n v="1294"/>
    <s v="KNIT WEFT KNITTED JERSEY PSCP COTTON 100% GSM-160 CW-172 CM/68 INCH "/>
    <s v="Brush / Honey 16-1317 TCX"/>
    <n v="0"/>
    <n v="395.01"/>
    <n v="395.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6"/>
    <m/>
    <m/>
    <m/>
    <m/>
    <s v=""/>
    <n v="1295"/>
    <s v="KNIT WEFT KNITTED JERSEY PSCP COTTON 100% GSM-160 CW-172 CM/68 INCH "/>
    <s v="Brush / Honey 16-1317 TCX"/>
    <n v="0"/>
    <n v="594"/>
    <n v="59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7"/>
    <m/>
    <m/>
    <m/>
    <m/>
    <s v=""/>
    <n v="1296"/>
    <s v="KNIT WEFT KNITTED JERSEY PSCP COTTON 100% GSM-160 CW-172 CM/68 INCH "/>
    <s v="Brush / Honey 16-1317 TCX"/>
    <n v="0"/>
    <n v="35.64"/>
    <n v="35.6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8"/>
    <m/>
    <m/>
    <m/>
    <m/>
    <s v=""/>
    <n v="1297"/>
    <s v="KNIT WEFT KNITTED JERSEY PSCP COTTON 100% GSM-160 CW-172 CM/68 INCH "/>
    <s v="Brush / Honey 16-1317 TCX"/>
    <n v="0"/>
    <n v="35.64"/>
    <n v="35.64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29"/>
    <m/>
    <m/>
    <m/>
    <m/>
    <s v=""/>
    <n v="1298"/>
    <s v="KNIT WEFT KNITTED JERSEY PSCP COTTON 100% GSM-160 CW-172 CM/68 INCH "/>
    <s v="Brush / Honey 16-1317 TCX"/>
    <n v="0"/>
    <n v="29.7"/>
    <n v="29.7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3"/>
    <m/>
    <m/>
    <m/>
    <m/>
    <s v=""/>
    <n v="1299"/>
    <s v="KNIT WEFT KNITTED JERSEY PSCP COTTON 100% GSM-160 CW-172 CM/68 INCH "/>
    <s v="Brush / Honey 16-1317 TCX"/>
    <n v="0"/>
    <n v="148.5"/>
    <n v="148.5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30"/>
    <m/>
    <m/>
    <m/>
    <m/>
    <s v=""/>
    <n v="1300"/>
    <s v="KNIT WEFT KNITTED JERSEY PSCP COTTON 100% GSM-160 CW-172 CM/68 INCH "/>
    <s v="Brush / Honey 16-1317 TCX"/>
    <n v="0"/>
    <n v="56.43"/>
    <n v="56.43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31"/>
    <m/>
    <m/>
    <m/>
    <m/>
    <s v=""/>
    <n v="1301"/>
    <s v="KNIT WEFT KNITTED JERSEY PSCP COTTON 100% GSM-160 CW-172 CM/68 INCH "/>
    <s v="Brush / Honey 16-1317 TCX"/>
    <n v="0"/>
    <n v="89.1"/>
    <n v="89.1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4"/>
    <m/>
    <m/>
    <m/>
    <m/>
    <s v=""/>
    <n v="1302"/>
    <s v="KNIT WEFT KNITTED JERSEY PSCP COTTON 100% GSM-160 CW-172 CM/68 INCH "/>
    <s v="Brush / Honey 16-1317 TCX"/>
    <n v="0"/>
    <n v="89.1"/>
    <n v="89.1"/>
    <n v="0"/>
    <m/>
    <n v="0"/>
    <s v="450568"/>
    <s v="Solid"/>
    <x v="55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5"/>
    <m/>
    <m/>
    <m/>
    <m/>
    <s v=""/>
    <n v="1303"/>
    <s v="KNIT WEFT KNITTED JERSEY PSCP COTTON 100% GSM-160 CW-172 CM/68 INCH "/>
    <s v="Brush / Honey 16-1317 TCX"/>
    <n v="0"/>
    <n v="47.52"/>
    <n v="47.52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40.FY26-27.7"/>
    <m/>
    <m/>
    <m/>
    <m/>
    <s v=""/>
    <n v="1304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9620000000000002"/>
    <s v=""/>
    <n v="0"/>
    <n v="0"/>
    <n v="0"/>
  </r>
  <r>
    <s v="Primark Limited"/>
    <s v="ST.Primark.040.FY26-27.8"/>
    <m/>
    <m/>
    <m/>
    <m/>
    <s v=""/>
    <n v="1305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0369999999999999"/>
    <s v=""/>
    <n v="0"/>
    <n v="0"/>
    <n v="0"/>
  </r>
  <r>
    <s v="Primark Limited"/>
    <s v="ST.Primark.040.FY26-27.1"/>
    <m/>
    <m/>
    <m/>
    <m/>
    <s v=""/>
    <n v="1306"/>
    <s v="KNIT WEFT KNITTED JERSEY PSCP COTTON 100% GSM-160 CW-172 CM/68 INCH "/>
    <s v="Sand Dollar / Vanilla 13-1106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3.302"/>
    <s v=""/>
    <n v="0"/>
    <n v="0"/>
    <n v="0"/>
  </r>
  <r>
    <s v="Primark Limited"/>
    <s v="ST.TexgroupLtd.005.FY26-27.6"/>
    <m/>
    <m/>
    <m/>
    <m/>
    <s v=""/>
    <n v="1307"/>
    <s v="KNIT WEFT KNITTED JERSEY PSCP COTTON 95% LYCRA 5% GSM-160 CW-168 CM/66 INCH  "/>
    <s v="PINK-1"/>
    <n v="-36.192999999999998"/>
    <n v="108.57899999999999"/>
    <m/>
    <n v="-108.57899999999999"/>
    <m/>
    <n v="-108.57899999999999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08.57899999999999"/>
    <s v=""/>
    <n v="0"/>
    <n v="0"/>
    <n v="0"/>
  </r>
  <r>
    <s v="Primark Limited"/>
    <s v="ST.Primark.039.FY26-27.7"/>
    <m/>
    <m/>
    <m/>
    <m/>
    <s v=""/>
    <n v="1308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9620000000000002"/>
    <s v=""/>
    <n v="0"/>
    <n v="0"/>
    <n v="0"/>
  </r>
  <r>
    <s v="Primark Limited"/>
    <s v="ST.Primark.039.FY26-27.8"/>
    <m/>
    <m/>
    <m/>
    <m/>
    <s v=""/>
    <n v="1309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0369999999999999"/>
    <s v=""/>
    <n v="0"/>
    <n v="0"/>
    <n v="0"/>
  </r>
  <r>
    <s v="Primark Limited"/>
    <s v="ST.Primark.039.FY26-27.9"/>
    <m/>
    <m/>
    <m/>
    <m/>
    <s v=""/>
    <n v="1310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4.4889999999999999"/>
    <s v=""/>
    <n v="0"/>
    <n v="0"/>
    <n v="0"/>
  </r>
  <r>
    <s v="Primark Limited"/>
    <s v="ST.Primark.023.FY26-27.3"/>
    <m/>
    <m/>
    <m/>
    <m/>
    <s v=""/>
    <n v="1311"/>
    <s v="KNIT WEFT KNITTED JERSEY PSCP COTTON 100% GSM-160 CW-172 CM/68 INCH "/>
    <s v="Black"/>
    <n v="-289.08"/>
    <n v="867.24"/>
    <m/>
    <n v="-867.24"/>
    <m/>
    <n v="-867.24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60"/>
    <s v="448769160Black"/>
    <n v="0"/>
    <s v="#NA"/>
    <n v="0"/>
    <n v="9313.92"/>
    <s v=""/>
    <s v=""/>
    <n v="867.24"/>
    <s v=""/>
    <n v="0"/>
    <n v="0"/>
    <n v="0"/>
  </r>
  <r>
    <s v="Primark Limited"/>
    <s v="ST.Primark.023.FY26-27.5"/>
    <m/>
    <m/>
    <m/>
    <m/>
    <s v=""/>
    <n v="1312"/>
    <s v="KNIT WEFT KNITTED JERSEY PSCP COTTON 100% GSM-160 CW-172 CM/68 INCH "/>
    <s v="Black"/>
    <n v="-134.64000000000001"/>
    <n v="403.92"/>
    <m/>
    <n v="-403.92"/>
    <m/>
    <n v="-403.92"/>
    <s v="448769"/>
    <s v="Solid"/>
    <x v="13"/>
    <d v="2026-10-24T00:00:00"/>
    <d v="2026-10-23T00:00:00"/>
    <s v="Hues Agreed qty as per SQBL required date"/>
    <m/>
    <s v="Oct"/>
    <d v="2026-10-24T00:00:00"/>
    <m/>
    <m/>
    <m/>
    <m/>
    <m/>
    <m/>
    <m/>
    <m/>
    <m/>
    <m/>
    <s v="448769"/>
    <s v="Black"/>
    <n v="160"/>
    <s v="448769160Black"/>
    <n v="0"/>
    <s v="#NA"/>
    <n v="0"/>
    <n v="9313.92"/>
    <s v=""/>
    <s v=""/>
    <n v="403.92"/>
    <s v=""/>
    <n v="0"/>
    <n v="0"/>
    <n v="0"/>
  </r>
  <r>
    <s v="Primark Limited"/>
    <s v="ST.Primark.023.FY26-27.7"/>
    <m/>
    <m/>
    <m/>
    <m/>
    <s v=""/>
    <n v="1313"/>
    <s v="KNIT WEFT KNITTED JERSEY PSCP COTTON 100% GSM-160 CW-172 CM/68 INCH "/>
    <s v="Black"/>
    <n v="-59.4"/>
    <n v="178.2"/>
    <m/>
    <n v="-178.2"/>
    <m/>
    <n v="-178.2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s v=""/>
    <s v=""/>
    <n v="178.2"/>
    <s v=""/>
    <n v="0"/>
    <n v="0"/>
    <n v="0"/>
  </r>
  <r>
    <s v="Primark Limited"/>
    <s v="ST.Primark.023.FY26-27.9"/>
    <m/>
    <m/>
    <m/>
    <m/>
    <s v=""/>
    <n v="1314"/>
    <s v="KNIT WEFT KNITTED JERSEY PSCP COTTON 100% GSM-160 CW-172 CM/68 INCH "/>
    <s v="Black"/>
    <n v="-661.32"/>
    <n v="1983.96"/>
    <m/>
    <n v="-1983.96"/>
    <m/>
    <n v="-1983.96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s v=""/>
    <s v=""/>
    <n v="1983.96"/>
    <s v=""/>
    <n v="0"/>
    <n v="0"/>
    <n v="0"/>
  </r>
  <r>
    <s v="Primark Limited"/>
    <s v="ST.Primark.040.FY26-27.12"/>
    <m/>
    <m/>
    <m/>
    <m/>
    <s v=""/>
    <n v="1315"/>
    <s v="KNIT WEFT KNITTED JERSEY PSCP COTTON 100% GSM-140 CW-172 CM/68 INCH "/>
    <s v="Black Coffee / Ganache 19-1111 TCX"/>
    <n v="-3.3326666666666664"/>
    <n v="9.9979999999999993"/>
    <m/>
    <n v="-9.9979999999999993"/>
    <m/>
    <n v="-9.9979999999999993"/>
    <s v="450567"/>
    <s v="Solid"/>
    <x v="34"/>
    <d v="2026-10-13T00:00:00"/>
    <d v="2026-10-12T00:00:00"/>
    <s v="Hues Agreed qty as per SQBL required date"/>
    <m/>
    <s v="Oct"/>
    <d v="2026-10-24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n v="9.9979999999999993"/>
    <s v=""/>
    <n v="0"/>
    <n v="0"/>
    <n v="0"/>
  </r>
  <r>
    <s v="Primark Limited"/>
    <s v="ST.Primark.040.FY26-27.15"/>
    <m/>
    <m/>
    <m/>
    <m/>
    <s v=""/>
    <n v="1316"/>
    <s v="KNIT WEFT KNITTED JERSEY PSCP COTTON 100% GSM-140 CW-172 CM/68 INCH "/>
    <s v="Brush / Honey 16-1317 TCX"/>
    <n v="-3.5283333333333338"/>
    <n v="10.585000000000001"/>
    <m/>
    <n v="-10.585000000000001"/>
    <m/>
    <n v="-10.585000000000001"/>
    <s v="450567"/>
    <s v="Solid"/>
    <x v="55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10.585000000000001"/>
    <s v=""/>
    <n v="0"/>
    <n v="0"/>
    <n v="0"/>
  </r>
  <r>
    <s v="Primark Limited"/>
    <s v="ST.Primark.039.FY26-27.10"/>
    <m/>
    <m/>
    <m/>
    <m/>
    <s v=""/>
    <n v="1317"/>
    <s v="KNIT WEFT KNITTED JERSEY PSCP COTTON 100% GSM-140 CW-172 CM/68 INCH "/>
    <s v="Black Coffee / Ganache 19-1111 TCX"/>
    <n v="0"/>
    <n v="9.9979999999999993"/>
    <n v="9.997999999999999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12"/>
    <m/>
    <m/>
    <m/>
    <m/>
    <s v=""/>
    <n v="1318"/>
    <s v="KNIT WEFT KNITTED JERSEY PSCP COTTON 100% GSM-140 CW-172 CM/68 INCH "/>
    <s v="Black Coffee / Ganache 19-1111 TCX"/>
    <n v="0"/>
    <n v="2.6480000000000001"/>
    <n v="2.64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12"/>
    <m/>
    <m/>
    <m/>
    <m/>
    <s v=""/>
    <n v="1319"/>
    <s v="KNIT WEFT KNITTED JERSEY PSCP COTTON 100% GSM-160 CW-172 CM/68 INCH "/>
    <s v="Brush / Honey 16-1317 TCX"/>
    <n v="0"/>
    <n v="26.73"/>
    <n v="26.73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13"/>
    <m/>
    <m/>
    <m/>
    <m/>
    <s v=""/>
    <n v="1320"/>
    <s v="KNIT WEFT KNITTED JERSEY PSCP COTTON 100% GSM-160 CW-172 CM/68 INCH "/>
    <s v="Brush / Honey 16-1317 TCX"/>
    <n v="0"/>
    <n v="106.92"/>
    <n v="106.92"/>
    <n v="0"/>
    <m/>
    <n v="0"/>
    <s v="450568"/>
    <s v="Solid"/>
    <x v="55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14"/>
    <m/>
    <m/>
    <m/>
    <m/>
    <s v=""/>
    <n v="1321"/>
    <s v="KNIT WEFT KNITTED JERSEY PSCP COTTON 100% GSM-160 CW-172 CM/68 INCH "/>
    <s v="Brush / Honey 16-1317 TCX"/>
    <n v="0"/>
    <n v="53.46"/>
    <n v="53.46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s v=""/>
    <s v=""/>
    <s v=""/>
    <n v="0"/>
    <s v=""/>
    <n v="3852.08"/>
    <n v="0.98399999999999999"/>
    <n v="100.98000000000047"/>
  </r>
  <r>
    <s v="Primark Limited"/>
    <s v="ST.Primark.039.FY26-27.15"/>
    <m/>
    <m/>
    <m/>
    <m/>
    <s v=""/>
    <n v="1322"/>
    <s v="KNIT WEFT KNITTED JERSEY PSCP COTTON 100% GSM-160 CW-172 CM/68 INCH "/>
    <s v="Brush / Honey 16-1317 TCX"/>
    <n v="0"/>
    <n v="80.19"/>
    <n v="80.19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16"/>
    <m/>
    <m/>
    <m/>
    <m/>
    <s v=""/>
    <n v="1323"/>
    <s v="KNIT WEFT KNITTED JERSEY PSCP COTTON 100% GSM-160 CW-172 CM/68 INCH "/>
    <s v="Brush / Honey 16-1317 TCX"/>
    <n v="0"/>
    <n v="106.92"/>
    <n v="106.92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17"/>
    <m/>
    <m/>
    <m/>
    <m/>
    <s v=""/>
    <n v="1324"/>
    <s v="KNIT WEFT KNITTED JERSEY PSCP COTTON 100% GSM-160 CW-172 CM/68 INCH "/>
    <s v="Brush / Honey 16-1317 TCX"/>
    <n v="0"/>
    <n v="80.19"/>
    <n v="80.19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s v=""/>
    <s v=""/>
    <s v=""/>
    <n v="0"/>
    <s v=""/>
    <n v="3852.08"/>
    <n v="0.98399999999999999"/>
    <n v="100.98000000000047"/>
  </r>
  <r>
    <s v="Primark Limited"/>
    <s v="ST.Primark.039.FY26-27.6"/>
    <m/>
    <m/>
    <m/>
    <m/>
    <s v=""/>
    <n v="1325"/>
    <s v="KNIT WEFT KNITTED JERSEY PSCP COTTON 100% GSM-160 CW-172 CM/68 INCH "/>
    <s v="Sand Dollar / Vanilla 13-1106 TCX"/>
    <n v="0"/>
    <n v="68.31"/>
    <n v="68.3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s v=""/>
    <n v="3813.4799999999996"/>
    <s v=""/>
    <s v=""/>
    <n v="0"/>
    <s v=""/>
    <n v="3635.79"/>
    <n v="0.92900000000000005"/>
    <s v=""/>
  </r>
  <r>
    <s v="Primark Limited"/>
    <s v="ST.Primark.039.FY26-27.7"/>
    <m/>
    <m/>
    <m/>
    <m/>
    <s v=""/>
    <n v="1326"/>
    <s v="KNIT WEFT KNITTED JERSEY PSCP COTTON 100% GSM-160 CW-172 CM/68 INCH "/>
    <s v="Sand Dollar / Vanilla 13-1106 TCX"/>
    <n v="0"/>
    <n v="89.1"/>
    <n v="89.1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8"/>
    <m/>
    <m/>
    <m/>
    <m/>
    <s v=""/>
    <n v="1327"/>
    <s v="KNIT WEFT KNITTED JERSEY PSCP COTTON 100% GSM-160 CW-172 CM/68 INCH "/>
    <s v="Sand Dollar / Vanilla 13-1106 TCX"/>
    <n v="0"/>
    <n v="68.31"/>
    <n v="68.31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s v=""/>
    <n v="3813.4799999999996"/>
    <s v=""/>
    <s v=""/>
    <n v="0"/>
    <s v=""/>
    <n v="3635.79"/>
    <n v="0.92900000000000005"/>
    <s v=""/>
  </r>
  <r>
    <s v="Primark Limited"/>
    <s v="ST.Primark.039.FY26-27.12"/>
    <m/>
    <m/>
    <m/>
    <m/>
    <s v=""/>
    <n v="1328"/>
    <s v="KNIT WEFT KNITTED JERSEY PSCP COTTON 100% GSM-140 CW-172 CM/68 INCH "/>
    <s v="Sand Dollar / Vanilla 13-1106 TCX"/>
    <n v="0"/>
    <n v="2.6480000000000001"/>
    <n v="2.6480000000000001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13"/>
    <m/>
    <m/>
    <m/>
    <m/>
    <s v=""/>
    <n v="1329"/>
    <s v="KNIT WEFT KNITTED JERSEY PSCP COTTON 100% GSM-140 CW-172 CM/68 INCH "/>
    <s v="Sand Dollar / Vanilla 13-1106 TCX"/>
    <n v="0"/>
    <n v="10.585000000000001"/>
    <n v="10.585000000000001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23.FY26-27.1"/>
    <m/>
    <m/>
    <m/>
    <m/>
    <s v=""/>
    <n v="1330"/>
    <s v="KNIT WEFT KNITTED JERSEY PSCP COTTON 100% GSM-140 CW-172 CM/68 INCH "/>
    <s v="Black"/>
    <n v="-23.912666666666667"/>
    <n v="71.738"/>
    <m/>
    <n v="-71.738"/>
    <m/>
    <n v="-71.738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40"/>
    <s v="448769140Black"/>
    <n v="0"/>
    <s v="#NA"/>
    <n v="0"/>
    <n v="921.99600000000009"/>
    <s v=""/>
    <s v=""/>
    <n v="71.738"/>
    <s v=""/>
    <n v="0"/>
    <n v="0"/>
    <n v="0"/>
  </r>
  <r>
    <s v="Primark Limited"/>
    <s v="ST.Primark.023.FY26-27.11"/>
    <m/>
    <m/>
    <m/>
    <m/>
    <s v=""/>
    <n v="1331"/>
    <s v="KNIT WEFT KNITTED JERSEY PSCP COTTON 100% GSM-140 CW-172 CM/68 INCH "/>
    <s v="Black"/>
    <n v="-39.20066666666667"/>
    <n v="117.602"/>
    <m/>
    <n v="-117.602"/>
    <m/>
    <n v="-117.602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s v=""/>
    <s v=""/>
    <n v="117.602"/>
    <s v=""/>
    <n v="0"/>
    <n v="0"/>
    <n v="0"/>
  </r>
  <r>
    <s v="Primark Limited"/>
    <s v="ST.Primark.023.FY26-27.13"/>
    <m/>
    <m/>
    <m/>
    <m/>
    <s v=""/>
    <n v="1332"/>
    <s v="KNIT WEFT KNITTED JERSEY PSCP COTTON 100% GSM-140 CW-172 CM/68 INCH "/>
    <s v="Black"/>
    <n v="-130.92866666666666"/>
    <n v="392.786"/>
    <m/>
    <n v="-392.786"/>
    <m/>
    <n v="-392.786"/>
    <s v="448769"/>
    <s v="Solid"/>
    <x v="18"/>
    <d v="2026-10-30T00:00:00"/>
    <d v="2026-10-30T00:00:00"/>
    <s v="Hues Agreed qty as per SQBL required date"/>
    <m/>
    <s v="Oct"/>
    <d v="2026-10-30T00:00:00"/>
    <m/>
    <m/>
    <m/>
    <m/>
    <m/>
    <m/>
    <m/>
    <m/>
    <m/>
    <m/>
    <s v="448769"/>
    <s v="Black"/>
    <n v="140"/>
    <s v="448769140Black"/>
    <n v="0"/>
    <s v="#NA"/>
    <n v="0"/>
    <n v="921.99600000000009"/>
    <s v=""/>
    <s v=""/>
    <n v="392.786"/>
    <s v=""/>
    <n v="0"/>
    <n v="0"/>
    <n v="0"/>
  </r>
  <r>
    <s v="Primark Limited"/>
    <s v="ST.Primark.040.FY26-27.1"/>
    <m/>
    <m/>
    <m/>
    <m/>
    <s v=""/>
    <n v="1333"/>
    <s v="KNIT WEFT KNITTED JERSEY PSCP COTTON 100% GSM-140 CW-172 CM/68 INCH "/>
    <s v="Black Coffee / Ganache 19-1111 TCX"/>
    <n v="-2.4506666666666668"/>
    <n v="7.3520000000000003"/>
    <m/>
    <n v="-7.3520000000000003"/>
    <m/>
    <n v="-7.3520000000000003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n v="7.3520000000000003"/>
    <s v=""/>
    <n v="0"/>
    <n v="0"/>
    <n v="0"/>
  </r>
  <r>
    <s v="Primark Limited"/>
    <s v="ST.Primark.039.FY26-27.29"/>
    <m/>
    <m/>
    <m/>
    <m/>
    <s v=""/>
    <n v="1334"/>
    <s v="KNIT WEFT KNITTED JERSEY PSCP COTTON 100% GSM-140 CW-172 CM/68 INCH "/>
    <s v="Brush / Honey 16-1317 TCX"/>
    <n v="0"/>
    <n v="2.9420000000000002"/>
    <n v="2.9420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3"/>
    <m/>
    <m/>
    <m/>
    <m/>
    <s v=""/>
    <n v="1335"/>
    <s v="KNIT WEFT KNITTED JERSEY PSCP COTTON 100% GSM-140 CW-172 CM/68 INCH "/>
    <s v="Brush / Honey 16-1317 TCX"/>
    <n v="0"/>
    <n v="14.702"/>
    <n v="14.7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30"/>
    <m/>
    <m/>
    <m/>
    <m/>
    <s v=""/>
    <n v="1336"/>
    <s v="KNIT WEFT KNITTED JERSEY PSCP COTTON 100% GSM-140 CW-172 CM/68 INCH "/>
    <s v="Brush / Honey 16-1317 TCX"/>
    <n v="0"/>
    <n v="5.5880000000000001"/>
    <n v="5.58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s v=""/>
    <s v=""/>
    <s v=""/>
    <n v="0"/>
    <s v=""/>
    <n v="382.29"/>
    <n v="0.98599999999999999"/>
    <n v="4.7520000000000664"/>
  </r>
  <r>
    <s v="Primark Limited"/>
    <s v="ST.Primark.039.FY26-27.31"/>
    <m/>
    <m/>
    <m/>
    <m/>
    <s v=""/>
    <n v="1337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4"/>
    <m/>
    <m/>
    <m/>
    <m/>
    <s v=""/>
    <n v="1338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5"/>
    <m/>
    <m/>
    <m/>
    <m/>
    <s v=""/>
    <n v="1339"/>
    <s v="KNIT WEFT KNITTED JERSEY PSCP COTTON 100% GSM-140 CW-172 CM/68 INCH "/>
    <s v="Brush / Honey 16-1317 TCX"/>
    <n v="0"/>
    <n v="4.7060000000000004"/>
    <n v="4.706000000000000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6"/>
    <m/>
    <m/>
    <m/>
    <m/>
    <s v=""/>
    <n v="1340"/>
    <s v="KNIT WEFT KNITTED JERSEY PSCP COTTON 100% GSM-140 CW-172 CM/68 INCH "/>
    <s v="Brush / Honey 16-1317 TCX"/>
    <n v="0"/>
    <n v="6.7629999999999999"/>
    <n v="6.7629999999999999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7"/>
    <m/>
    <m/>
    <m/>
    <m/>
    <s v=""/>
    <n v="1341"/>
    <s v="KNIT WEFT KNITTED JERSEY PSCP COTTON 100% GSM-140 CW-172 CM/68 INCH "/>
    <s v="Brush / Honey 16-1317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8"/>
    <m/>
    <m/>
    <m/>
    <m/>
    <s v=""/>
    <n v="1342"/>
    <s v="KNIT WEFT KNITTED JERSEY PSCP COTTON 100% GSM-140 CW-172 CM/68 INCH "/>
    <s v="Brush / Honey 16-1317 TCX"/>
    <n v="0"/>
    <n v="6.7629999999999999"/>
    <n v="6.762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23.FY26-27.1"/>
    <m/>
    <m/>
    <m/>
    <m/>
    <s v=""/>
    <n v="1343"/>
    <s v="KNIT WEFT KNITTED JERSEY PSCP COTTON 100% GSM-160 CW-172 CM/68 INCH "/>
    <s v="Black"/>
    <n v="-2.44"/>
    <n v="7.32"/>
    <m/>
    <n v="-7.32"/>
    <m/>
    <n v="-7.32"/>
    <s v="465121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7.32"/>
    <s v=""/>
    <n v="0"/>
    <n v="0"/>
    <n v="0"/>
  </r>
  <r>
    <s v="Primark Limited"/>
    <s v="ST.Primark.023.FY26-27.11"/>
    <m/>
    <m/>
    <m/>
    <m/>
    <s v=""/>
    <n v="1344"/>
    <s v="KNIT WEFT KNITTED JERSEY PSCP COTTON 100% GSM-160 CW-172 CM/68 INCH "/>
    <s v="Black"/>
    <n v="-4"/>
    <n v="12"/>
    <m/>
    <n v="-12"/>
    <m/>
    <n v="-1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12"/>
    <s v=""/>
    <n v="0"/>
    <n v="0"/>
    <n v="0"/>
  </r>
  <r>
    <s v="Primark Limited"/>
    <s v="ST.Primark.040.FY26-27.1"/>
    <m/>
    <m/>
    <m/>
    <m/>
    <s v=""/>
    <n v="1345"/>
    <s v="KNIT WEFT KNITTED JERSEY PSCP COTTON 100% GSM-160 CW-172 CM/68 INCH "/>
    <s v="Black Coffee / Ganache 19-1111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302"/>
    <s v=""/>
    <n v="0"/>
    <n v="0"/>
    <n v="0"/>
  </r>
  <r>
    <s v="Primark Limited"/>
    <s v="ST.Primark.040.FY26-27.12"/>
    <m/>
    <m/>
    <m/>
    <m/>
    <s v=""/>
    <n v="1346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4.4889999999999999"/>
    <s v=""/>
    <n v="0"/>
    <n v="0"/>
    <n v="0"/>
  </r>
  <r>
    <s v="Primark Limited"/>
    <s v="ST.Primark.040.FY26-27.13"/>
    <m/>
    <m/>
    <m/>
    <m/>
    <s v=""/>
    <n v="1347"/>
    <s v="KNIT WEFT KNITTED JERSEY PSCP COTTON 100% GSM-160 CW-172 CM/68 INCH "/>
    <s v="Black Coffee / Ganache 19-1111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.19"/>
    <s v=""/>
    <n v="0"/>
    <n v="0"/>
    <n v="0"/>
  </r>
  <r>
    <s v="Primark Limited"/>
    <s v="ST.Primark.040.FY26-27.15"/>
    <m/>
    <m/>
    <m/>
    <m/>
    <s v=""/>
    <n v="1348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4.7530000000000001"/>
    <s v=""/>
    <n v="0"/>
    <n v="0"/>
    <n v="0"/>
  </r>
  <r>
    <s v="Primark Limited"/>
    <s v="ST.Primark.040.FY26-27.16"/>
    <m/>
    <m/>
    <m/>
    <m/>
    <s v=""/>
    <n v="1349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5649999999999999"/>
    <s v=""/>
    <n v="0"/>
    <n v="0"/>
    <n v="0"/>
  </r>
  <r>
    <s v="Primark Limited"/>
    <s v="ST.Primark.040.FY26-27.20"/>
    <m/>
    <m/>
    <m/>
    <m/>
    <s v=""/>
    <n v="1350"/>
    <s v="KNIT WEFT KNITTED JERSEY PSCP COTTON 100% GSM-160 CW-172 CM/68 INCH "/>
    <s v="Brush / Honey 16-1317 TCX"/>
    <n v="-49.5"/>
    <n v="148.5"/>
    <m/>
    <n v="-148.5"/>
    <m/>
    <n v="-148.5"/>
    <s v="450567"/>
    <s v="Solid"/>
    <x v="55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148.5"/>
    <s v=""/>
    <n v="0"/>
    <n v="0"/>
    <n v="0"/>
  </r>
  <r>
    <s v="Primark Limited"/>
    <s v="ST.Primark.040.FY26-27.21"/>
    <m/>
    <m/>
    <m/>
    <m/>
    <s v=""/>
    <n v="1351"/>
    <s v="KNIT WEFT KNITTED JERSEY PSCP COTTON 100% GSM-160 CW-172 CM/68 INCH "/>
    <s v="Brush / Honey 16-1317 TCX"/>
    <n v="-49.5"/>
    <n v="148.5"/>
    <m/>
    <n v="-148.5"/>
    <m/>
    <n v="-148.5"/>
    <s v="450567"/>
    <s v="Solid"/>
    <x v="55"/>
    <d v="2026-10-14T00:00:00"/>
    <d v="2026-10-13T00:00:00"/>
    <s v="Hues Agreed qty as per SQBL required date"/>
    <m/>
    <s v="Oct"/>
    <d v="2026-10-27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148.5"/>
    <s v=""/>
    <n v="0"/>
    <n v="0"/>
    <n v="0"/>
  </r>
  <r>
    <s v="Primark Limited"/>
    <s v="ST.Primark.040.FY26-27.25"/>
    <m/>
    <m/>
    <m/>
    <m/>
    <s v=""/>
    <n v="1352"/>
    <s v="KNIT WEFT KNITTED JERSEY PSCP COTTON 100% GSM-160 CW-172 CM/68 INCH "/>
    <s v="Brush / Honey 16-1317 TCX"/>
    <n v="-99"/>
    <n v="297"/>
    <m/>
    <n v="-297"/>
    <m/>
    <n v="-297"/>
    <s v="450567"/>
    <s v="Solid"/>
    <x v="55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297"/>
    <s v=""/>
    <n v="0"/>
    <n v="0"/>
    <n v="0"/>
  </r>
  <r>
    <s v="Primark Limited"/>
    <s v="ST.TexgroupLtd.005.FY26-27.2"/>
    <m/>
    <m/>
    <m/>
    <m/>
    <s v=""/>
    <n v="1353"/>
    <s v="KNIT WEFT KNITTED JERSEY PSCP COTTON 100% GSM-140 CW-172 CM/68 INCH "/>
    <s v="PINK-1"/>
    <n v="-14.719999999999999"/>
    <n v="44.16"/>
    <m/>
    <n v="-44.16"/>
    <m/>
    <n v="-44.16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44.16"/>
    <s v=""/>
    <n v="0"/>
    <n v="0"/>
    <n v="0"/>
  </r>
  <r>
    <s v="Primark Limited"/>
    <s v="ST.Primark.006.FY26-27.26"/>
    <m/>
    <m/>
    <m/>
    <m/>
    <s v=""/>
    <n v="1354"/>
    <s v="KNIT WEFT KNITTED JERSEY PSCP COTTON 100% GSM-140 CW-172 CM/68 INCH "/>
    <s v="Black"/>
    <n v="-0.49466666666666664"/>
    <n v="1.484"/>
    <m/>
    <n v="-1.484"/>
    <m/>
    <n v="-1.484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1.484"/>
    <s v=""/>
    <n v="0"/>
    <n v="0"/>
    <n v="0"/>
  </r>
  <r>
    <s v="Primark Limited"/>
    <s v="ST.Primark.006.FY26-27.27"/>
    <m/>
    <m/>
    <m/>
    <m/>
    <s v=""/>
    <n v="1355"/>
    <s v="KNIT WEFT KNITTED JERSEY PSCP COTTON 100% GSM-140 CW-172 CM/68 INCH "/>
    <s v="Black"/>
    <n v="-0.49466666666666664"/>
    <n v="1.484"/>
    <m/>
    <n v="-1.484"/>
    <m/>
    <n v="-1.484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1.484"/>
    <s v=""/>
    <n v="0"/>
    <n v="0"/>
    <n v="0"/>
  </r>
  <r>
    <s v="Primark Limited"/>
    <s v="ST.Primark.006.FY26-27.3"/>
    <m/>
    <m/>
    <m/>
    <m/>
    <s v=""/>
    <n v="1356"/>
    <s v="KNIT WEFT KNITTED JERSEY PSCP COTTON 100% GSM-140 CW-172 CM/68 INCH "/>
    <s v="Black"/>
    <n v="-4.1246666666666671"/>
    <n v="12.374000000000001"/>
    <m/>
    <n v="-12.374000000000001"/>
    <m/>
    <n v="-12.374000000000001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12.374000000000001"/>
    <s v=""/>
    <n v="0"/>
    <n v="0"/>
    <n v="0"/>
  </r>
  <r>
    <s v="Primark Limited"/>
    <s v="ST.Primark.006.FY26-27.5"/>
    <m/>
    <m/>
    <m/>
    <m/>
    <s v=""/>
    <n v="1357"/>
    <s v="KNIT WEFT KNITTED JERSEY PSCP COTTON 100% GSM-140 CW-172 CM/68 INCH "/>
    <s v="Black"/>
    <n v="-5.0046666666666662"/>
    <n v="15.013999999999999"/>
    <m/>
    <n v="-15.013999999999999"/>
    <m/>
    <n v="-15.013999999999999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15.013999999999999"/>
    <s v=""/>
    <n v="0"/>
    <n v="0"/>
    <n v="0"/>
  </r>
  <r>
    <s v="Primark Limited"/>
    <s v="ST.Primark.006.FY26-27.6"/>
    <m/>
    <m/>
    <m/>
    <m/>
    <s v=""/>
    <n v="1358"/>
    <s v="KNIT WEFT KNITTED JERSEY PSCP COTTON 100% GSM-140 CW-172 CM/68 INCH "/>
    <s v="Black"/>
    <n v="-5.0046666666666662"/>
    <n v="15.013999999999999"/>
    <m/>
    <n v="-15.013999999999999"/>
    <m/>
    <n v="-15.013999999999999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15.013999999999999"/>
    <s v=""/>
    <n v="0"/>
    <n v="0"/>
    <n v="0"/>
  </r>
  <r>
    <s v="Primark Limited"/>
    <s v="ST.TexgroupLtd.005.FY26-27.3"/>
    <m/>
    <m/>
    <m/>
    <m/>
    <s v=""/>
    <n v="1359"/>
    <s v="KNIT WEFT KNITTED JERSEY PSCP COTTON 100% GSM-140 CW-172 CM/68 INCH "/>
    <s v="Pink-2"/>
    <n v="-6.1333333333333329"/>
    <n v="18.399999999999999"/>
    <m/>
    <n v="-18.399999999999999"/>
    <m/>
    <n v="-18.399999999999999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s v=""/>
    <n v="2904"/>
    <s v=""/>
    <s v=""/>
    <n v="18.399999999999999"/>
    <s v=""/>
    <n v="0"/>
    <n v="0"/>
    <s v=""/>
  </r>
  <r>
    <s v="Primark Limited"/>
    <s v="ST.TexgroupLtd.005.FY26-27.3"/>
    <m/>
    <m/>
    <m/>
    <m/>
    <s v=""/>
    <n v="1359"/>
    <s v="KNIT WEFT KNITTED JERSEY PSCP COTTON 100% GSM-140 CW-172 CM/68 INCH "/>
    <s v="Pink-2"/>
    <n v="-66.666666666666671"/>
    <n v="200"/>
    <m/>
    <n v="-200"/>
    <m/>
    <n v="-200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200"/>
    <s v=""/>
    <n v="0"/>
    <n v="0"/>
    <n v="0"/>
  </r>
  <r>
    <s v="Primark Limited"/>
    <s v="ST.TexgroupLtd.005.FY26-27.3"/>
    <m/>
    <m/>
    <m/>
    <m/>
    <s v=""/>
    <n v="1359"/>
    <s v="KNIT WEFT KNITTED JERSEY PSCP COTTON 100% GSM-140 CW-172 CM/68 INCH "/>
    <s v="Pink-2"/>
    <n v="-66.666666666666671"/>
    <n v="200"/>
    <m/>
    <n v="-200"/>
    <m/>
    <n v="-200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200"/>
    <s v=""/>
    <n v="0"/>
    <n v="0"/>
    <n v="0"/>
  </r>
  <r>
    <s v="Primark Limited"/>
    <s v="ST.TexgroupLtd.005.FY26-27.3"/>
    <m/>
    <m/>
    <m/>
    <m/>
    <s v=""/>
    <n v="1359"/>
    <s v="KNIT WEFT KNITTED JERSEY PSCP COTTON 100% GSM-140 CW-172 CM/68 INCH "/>
    <s v="Pink-2"/>
    <n v="-4.5333333333333332"/>
    <n v="13.6"/>
    <m/>
    <n v="-13.6"/>
    <m/>
    <n v="-13.6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13.6"/>
    <s v=""/>
    <n v="0"/>
    <n v="0"/>
    <n v="0"/>
  </r>
  <r>
    <s v="Primark Limited"/>
    <s v="ST.TexgroupLtd.005.FY26-27.4"/>
    <m/>
    <m/>
    <m/>
    <m/>
    <s v=""/>
    <n v="1360"/>
    <s v="KNIT WEFT KNITTED JERSEY PSCP COTTON 100% GSM-140 CW-172 CM/68 INCH "/>
    <s v="Pink-2"/>
    <n v="-28.8"/>
    <n v="86.4"/>
    <m/>
    <n v="-86.4"/>
    <m/>
    <n v="-86.4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86.4"/>
    <s v=""/>
    <n v="0"/>
    <n v="0"/>
    <n v="0"/>
  </r>
  <r>
    <s v="Primark Limited"/>
    <s v="ST.TexgroupLtd.005.FY26-27.2"/>
    <m/>
    <m/>
    <m/>
    <m/>
    <s v=""/>
    <n v="1361"/>
    <s v="KNIT WEFT KNITTED JERSEY PSCP COTTON 100% GSM-140 CW-172 CM/68 INCH "/>
    <s v="Salt Water Slide 12-4611 TCX"/>
    <n v="-14.719999999999999"/>
    <n v="44.16"/>
    <m/>
    <n v="-44.16"/>
    <m/>
    <n v="-44.16"/>
    <s v="461374"/>
    <s v="Solid"/>
    <x v="13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44.16"/>
    <s v=""/>
    <n v="24"/>
    <n v="1.0999999999999999E-2"/>
    <n v="24"/>
  </r>
  <r>
    <s v="Primark Limited"/>
    <s v="ST.Primark.040.FY26-27.7"/>
    <m/>
    <m/>
    <m/>
    <m/>
    <s v=""/>
    <n v="1362"/>
    <s v="KNIT WEFT KNITTED JERSEY PSCP COTTON 100% GSM-160 CW-172 CM/68 INCH "/>
    <s v="Brush / Honey 16-1317 TCX"/>
    <n v="-29.7"/>
    <n v="89.1"/>
    <m/>
    <n v="-89.1"/>
    <m/>
    <n v="-89.1"/>
    <s v="450567"/>
    <s v="Solid"/>
    <x v="55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89.1"/>
    <s v=""/>
    <n v="0"/>
    <n v="0"/>
    <n v="0"/>
  </r>
  <r>
    <s v="Primark Limited"/>
    <s v="ST.Primark.040.FY26-27.8"/>
    <m/>
    <m/>
    <m/>
    <m/>
    <s v=""/>
    <n v="1363"/>
    <s v="KNIT WEFT KNITTED JERSEY PSCP COTTON 100% GSM-160 CW-172 CM/68 INCH "/>
    <s v="Brush / Honey 16-1317 TCX"/>
    <n v="-22.77"/>
    <n v="68.31"/>
    <m/>
    <n v="-68.31"/>
    <m/>
    <n v="-68.31"/>
    <s v="450567"/>
    <s v="Solid"/>
    <x v="55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68.31"/>
    <s v=""/>
    <n v="0"/>
    <n v="0"/>
    <n v="0"/>
  </r>
  <r>
    <s v="Primark Limited"/>
    <s v="ST.TexgroupLtd.005.FY26-27.6"/>
    <m/>
    <m/>
    <m/>
    <m/>
    <s v=""/>
    <n v="1364"/>
    <s v="KNIT WEFT KNITTED JERSEY PSCP COTTON 100% GSM-140 CW-172 CM/68 INCH "/>
    <s v="PINK-1"/>
    <n v="-5.7600000000000007"/>
    <n v="17.28"/>
    <m/>
    <n v="-17.28"/>
    <m/>
    <n v="-17.28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s v=""/>
    <n v="2904"/>
    <s v=""/>
    <s v=""/>
    <n v="17.28"/>
    <s v=""/>
    <n v="0"/>
    <n v="0"/>
    <s v=""/>
  </r>
  <r>
    <s v="Primark Limited"/>
    <s v="ST.TexgroupLtd.005.FY26-27.11"/>
    <m/>
    <m/>
    <m/>
    <m/>
    <s v=""/>
    <n v="1365"/>
    <s v="KNIT WEFT KNITTED JERSEY PSCP COTTON 95% LYCRA 5% GSM-160 CW-168 CM/66 INCH  "/>
    <s v="Pink-2"/>
    <n v="-120.64"/>
    <n v="361.92"/>
    <m/>
    <n v="-361.92"/>
    <m/>
    <n v="-361.92"/>
    <s v="461374"/>
    <s v="Solid"/>
    <x v="13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61.92"/>
    <s v=""/>
    <n v="0"/>
    <n v="0"/>
    <n v="0"/>
  </r>
  <r>
    <s v="Primark Limited"/>
    <s v="ST.TexgroupLtd.005.FY26-27.12"/>
    <m/>
    <m/>
    <m/>
    <m/>
    <s v=""/>
    <n v="1366"/>
    <s v="KNIT WEFT KNITTED JERSEY PSCP COTTON 95% LYCRA 5% GSM-160 CW-168 CM/66 INCH  "/>
    <s v="Pink-2"/>
    <n v="-100.53333333333335"/>
    <n v="301.60000000000002"/>
    <m/>
    <n v="-301.60000000000002"/>
    <m/>
    <n v="-301.60000000000002"/>
    <s v="461374"/>
    <s v="Solid"/>
    <x v="13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01.60000000000002"/>
    <s v=""/>
    <n v="0"/>
    <n v="0"/>
    <n v="0"/>
  </r>
  <r>
    <s v="Primark Limited"/>
    <s v="ST.TexgroupLtd.005.FY26-27.13"/>
    <m/>
    <m/>
    <m/>
    <m/>
    <s v=""/>
    <n v="1367"/>
    <s v="KNIT WEFT KNITTED JERSEY PSCP COTTON 95% LYCRA 5% GSM-160 CW-168 CM/66 INCH  "/>
    <s v="Pink-2"/>
    <n v="-130.69333333333333"/>
    <n v="392.08"/>
    <m/>
    <n v="-392.08"/>
    <m/>
    <n v="-392.08"/>
    <s v="461374"/>
    <s v="Solid"/>
    <x v="13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392.08"/>
    <s v=""/>
    <n v="0"/>
    <n v="0"/>
    <n v="0"/>
  </r>
  <r>
    <s v="Primark Limited"/>
    <s v="ST.TexgroupLtd.005.FY26-27.14"/>
    <m/>
    <m/>
    <m/>
    <m/>
    <s v=""/>
    <n v="1368"/>
    <s v="KNIT WEFT KNITTED JERSEY PSCP COTTON 95% LYCRA 5% GSM-160 CW-168 CM/66 INCH  "/>
    <s v="Pink-2"/>
    <n v="-144.76933333333332"/>
    <n v="434.30799999999999"/>
    <m/>
    <n v="-434.30799999999999"/>
    <m/>
    <n v="-434.30799999999999"/>
    <s v="461374"/>
    <s v="Solid"/>
    <x v="13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434.30799999999999"/>
    <s v=""/>
    <n v="0"/>
    <n v="0"/>
    <n v="0"/>
  </r>
  <r>
    <s v="Primark Limited"/>
    <s v="ST.TexgroupLtd.005.FY26-27.15"/>
    <m/>
    <m/>
    <m/>
    <m/>
    <s v=""/>
    <n v="1369"/>
    <s v="KNIT WEFT KNITTED JERSEY PSCP COTTON 95% LYCRA 5% GSM-160 CW-168 CM/66 INCH  "/>
    <s v="Pink-2"/>
    <n v="-170.03066666666666"/>
    <n v="510.09199999999998"/>
    <m/>
    <n v="-510.09199999999998"/>
    <m/>
    <n v="-510.09199999999998"/>
    <s v="461374"/>
    <s v="Solid"/>
    <x v="13"/>
    <d v="2026-10-19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510.09199999999998"/>
    <s v=""/>
    <n v="0"/>
    <n v="0"/>
    <n v="0"/>
  </r>
  <r>
    <s v="Primark Limited"/>
    <s v="ST.TexgroupLtd.005.FY26-27.15"/>
    <m/>
    <m/>
    <m/>
    <m/>
    <s v=""/>
    <n v="1369"/>
    <s v="KNIT WEFT KNITTED JERSEY PSCP COTTON 95% LYCRA 5% GSM-160 CW-168 CM/66 INCH  "/>
    <s v="Pink-2"/>
    <n v="-40.085333333333331"/>
    <n v="120.256"/>
    <m/>
    <n v="-120.256"/>
    <m/>
    <n v="-120.256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s v=""/>
    <s v=""/>
    <s v=""/>
    <s v=""/>
    <n v="120.256"/>
    <s v=""/>
    <n v="0"/>
    <n v="0"/>
    <s v=""/>
  </r>
  <r>
    <s v="Primark Limited"/>
    <s v="ST.TexgroupLtd.005.FY26-27.2"/>
    <m/>
    <m/>
    <m/>
    <m/>
    <s v=""/>
    <n v="1370"/>
    <s v="KNIT WEFT KNITTED JERSEY PSCP COTTON 95% LYCRA 5% GSM-160 CW-168 CM/66 INCH  "/>
    <s v="Pink-2"/>
    <n v="-92.491666666666674"/>
    <n v="277.47500000000002"/>
    <m/>
    <n v="-277.47500000000002"/>
    <m/>
    <n v="-277.47500000000002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277.47500000000002"/>
    <s v=""/>
    <n v="0"/>
    <n v="0"/>
    <n v="0"/>
  </r>
  <r>
    <s v="Primark Limited"/>
    <s v="ST.TexgroupLtd.005.FY26-27.8"/>
    <m/>
    <m/>
    <m/>
    <m/>
    <s v=""/>
    <n v="1371"/>
    <s v="KNIT WEFT KNITTED JERSEY PSCP COTTON 95% LYCRA 5% GSM-160 CW-168 CM/66 INCH  "/>
    <s v="Salt Water Slide 12-4611 TCX"/>
    <n v="-287.5263333333333"/>
    <n v="862.57899999999995"/>
    <m/>
    <n v="-862.57899999999995"/>
    <m/>
    <n v="-862.57899999999995"/>
    <s v="461374"/>
    <s v="Solid"/>
    <x v="13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862.57899999999995"/>
    <s v=""/>
    <n v="150"/>
    <n v="0.78200000000000003"/>
    <n v="150"/>
  </r>
  <r>
    <s v="Primark Limited"/>
    <s v="ST.Primark.077.FY26-27.10"/>
    <m/>
    <m/>
    <m/>
    <m/>
    <s v=""/>
    <n v="1372"/>
    <s v="KNIT WEFT KNITTED JERSEY PSCP COTTON 100% GSM-140 CW-172 CM/68 INCH "/>
    <s v="Black Coffee / Ganache 19-1111 TCX"/>
    <n v="-6.2"/>
    <n v="18.600000000000001"/>
    <m/>
    <n v="-18.600000000000001"/>
    <m/>
    <n v="-18.60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BLACK COFFEE 19-1111 TCX"/>
    <n v="140"/>
    <s v="459135140BLACK COFFEE 19-1111 TCX"/>
    <n v="0"/>
    <s v="#NA"/>
    <n v="0"/>
    <n v="626.40000000000009"/>
    <s v=""/>
    <s v=""/>
    <n v="18.600000000000001"/>
    <s v=""/>
    <n v="0"/>
    <n v="0"/>
    <n v="0"/>
  </r>
  <r>
    <s v="Primark Limited"/>
    <s v="ST.Primark.006.FY26-27.14"/>
    <m/>
    <m/>
    <m/>
    <m/>
    <s v=""/>
    <n v="1373"/>
    <s v="KNIT WEFT KNITTED JERSEY PSCP COTTON 100% GSM-140 CW-172 CM/68 INCH "/>
    <s v="Black"/>
    <n v="0"/>
    <n v="110.36"/>
    <n v="110.36"/>
    <n v="0"/>
    <m/>
    <n v="0"/>
    <s v="448738"/>
    <s v="Solid"/>
    <x v="0"/>
    <d v="2026-10-0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14"/>
    <m/>
    <m/>
    <m/>
    <m/>
    <s v=""/>
    <n v="1373"/>
    <s v="KNIT WEFT KNITTED JERSEY PSCP COTTON 100% GSM-140 CW-172 CM/68 INCH "/>
    <s v="Black"/>
    <n v="0"/>
    <n v="97.555999999999997"/>
    <n v="97.555999999999997"/>
    <n v="0"/>
    <m/>
    <n v="0"/>
    <s v="448738"/>
    <s v="Solid"/>
    <x v="22"/>
    <d v="2026-10-07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15"/>
    <m/>
    <m/>
    <m/>
    <m/>
    <b v="0"/>
    <n v="1374"/>
    <s v="KNIT WEFT KNITTED JERSEY PSCP COTTON 100% GSM-140 CW-172 CM/68 INCH "/>
    <s v="Black"/>
    <n v="0"/>
    <n v="177.44399999999999"/>
    <n v="177.44399999999999"/>
    <n v="0"/>
    <m/>
    <n v="0"/>
    <s v="448738"/>
    <s v="Solid"/>
    <x v="22"/>
    <d v="2026-10-07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b v="0"/>
    <n v="3314.8"/>
    <n v="0.97199999999999998"/>
    <n v="1136.6940000000004"/>
  </r>
  <r>
    <s v="Primark Limited"/>
    <s v="ST.Primark.006.FY26-27.15"/>
    <m/>
    <m/>
    <m/>
    <m/>
    <s v=""/>
    <n v="1374"/>
    <s v="KNIT WEFT KNITTED JERSEY PSCP COTTON 100% GSM-140 CW-172 CM/68 INCH "/>
    <s v="Black"/>
    <n v="0"/>
    <n v="30.472000000000001"/>
    <n v="30.4720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40.FY26-27.3"/>
    <m/>
    <m/>
    <m/>
    <m/>
    <s v=""/>
    <n v="1375"/>
    <s v="KNIT WEFT KNITTED JERSEY PSCP COTTON 100% GSM-140 CW-172 CM/68 INCH "/>
    <s v="Black Coffee / Ganache 19-1111 TCX"/>
    <n v="-9.8006666666666664"/>
    <n v="29.402000000000001"/>
    <m/>
    <n v="-29.402000000000001"/>
    <m/>
    <n v="-29.402000000000001"/>
    <s v="450567"/>
    <s v="Solid"/>
    <x v="34"/>
    <d v="2026-10-13T00:00:00"/>
    <d v="2026-10-12T00:00:00"/>
    <s v="Hues Agreed qty as per SQBL required date"/>
    <m/>
    <s v="Oct"/>
    <d v="2026-10-16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s v=""/>
    <s v=""/>
    <s v=""/>
    <n v="29.402000000000001"/>
    <s v=""/>
    <n v="0"/>
    <n v="0"/>
    <n v="0"/>
  </r>
  <r>
    <s v="Primark Limited"/>
    <s v="ST.Primark.040.FY26-27.7"/>
    <m/>
    <m/>
    <m/>
    <m/>
    <s v=""/>
    <n v="1376"/>
    <s v="KNIT WEFT KNITTED JERSEY PSCP COTTON 100% GSM-140 CW-172 CM/68 INCH "/>
    <s v="Black Coffee / Ganache 19-1111 TCX"/>
    <n v="-2.9406666666666665"/>
    <n v="8.8219999999999992"/>
    <m/>
    <n v="-8.8219999999999992"/>
    <m/>
    <n v="-8.8219999999999992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n v="8.8219999999999992"/>
    <s v=""/>
    <n v="0"/>
    <n v="0"/>
    <n v="0"/>
  </r>
  <r>
    <s v="Primark Limited"/>
    <s v="ST.Primark.040.FY26-27.1"/>
    <m/>
    <m/>
    <m/>
    <m/>
    <s v=""/>
    <n v="1377"/>
    <s v="KNIT WEFT KNITTED JERSEY PSCP COTTON 100% GSM-140 CW-172 CM/68 INCH "/>
    <s v="Brush / Honey 16-1317 TCX"/>
    <n v="-2.4506666666666668"/>
    <n v="7.3520000000000003"/>
    <m/>
    <n v="-7.3520000000000003"/>
    <m/>
    <n v="-7.3520000000000003"/>
    <s v="450567"/>
    <s v="Solid"/>
    <x v="55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7.3520000000000003"/>
    <s v=""/>
    <n v="0"/>
    <n v="0"/>
    <n v="0"/>
  </r>
  <r>
    <s v="Primark Limited"/>
    <s v="ST.Primark.040.FY26-27.13"/>
    <m/>
    <m/>
    <m/>
    <m/>
    <s v=""/>
    <n v="1378"/>
    <s v="KNIT WEFT KNITTED JERSEY PSCP COTTON 100% GSM-140 CW-172 CM/68 INCH "/>
    <s v="Brush / Honey 16-1317 TCX"/>
    <n v="-0.88266666666666671"/>
    <n v="2.6480000000000001"/>
    <m/>
    <n v="-2.6480000000000001"/>
    <m/>
    <n v="-2.6480000000000001"/>
    <s v="450567"/>
    <s v="Solid"/>
    <x v="55"/>
    <d v="2026-10-14T00:00:00"/>
    <d v="2026-10-13T00:00:00"/>
    <s v="Hues Agreed qty as per SQBL required date"/>
    <m/>
    <s v="Oct"/>
    <d v="2026-10-11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2.6480000000000001"/>
    <s v=""/>
    <n v="0"/>
    <n v="0"/>
    <n v="0"/>
  </r>
  <r>
    <s v="Primark Limited"/>
    <s v="ST.Primark.040.FY26-27.7"/>
    <m/>
    <m/>
    <m/>
    <m/>
    <s v=""/>
    <n v="1379"/>
    <s v="KNIT WEFT KNITTED JERSEY PSCP COTTON 100% GSM-140 CW-172 CM/68 INCH "/>
    <s v="Brush / Honey 16-1317 TCX"/>
    <n v="-2.9406666666666665"/>
    <n v="8.8219999999999992"/>
    <m/>
    <n v="-8.8219999999999992"/>
    <m/>
    <n v="-8.8219999999999992"/>
    <s v="450567"/>
    <s v="Solid"/>
    <x v="55"/>
    <d v="2026-10-14T00:00:00"/>
    <d v="2026-10-13T00:00:00"/>
    <s v="Hues Agreed qty as per SQBL required date"/>
    <m/>
    <s v="Oct"/>
    <d v="2026-10-10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8.8219999999999992"/>
    <s v=""/>
    <n v="0"/>
    <n v="0"/>
    <n v="0"/>
  </r>
  <r>
    <s v="Primark Limited"/>
    <s v="ST.Primark.040.FY26-27.8"/>
    <m/>
    <m/>
    <m/>
    <m/>
    <s v=""/>
    <n v="1380"/>
    <s v="KNIT WEFT KNITTED JERSEY PSCP COTTON 100% GSM-140 CW-172 CM/68 INCH "/>
    <s v="Brush / Honey 16-1317 TCX"/>
    <n v="-2.2543333333333333"/>
    <n v="6.7629999999999999"/>
    <m/>
    <n v="-6.7629999999999999"/>
    <m/>
    <n v="-6.7629999999999999"/>
    <s v="450567"/>
    <s v="Solid"/>
    <x v="55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6.7629999999999999"/>
    <s v=""/>
    <n v="0"/>
    <n v="0"/>
    <n v="0"/>
  </r>
  <r>
    <s v="Primark Limited"/>
    <s v="ST.Primark.040.FY26-27.1"/>
    <m/>
    <m/>
    <m/>
    <m/>
    <s v=""/>
    <n v="1381"/>
    <s v="KNIT WEFT KNITTED JERSEY PSCP COTTON 100% GSM-140 CW-172 CM/68 INCH "/>
    <s v="Mustang / Cocoa 19-1217 TCX"/>
    <n v="-2.4506666666666668"/>
    <n v="7.3520000000000003"/>
    <m/>
    <n v="-7.3520000000000003"/>
    <m/>
    <n v="-7.3520000000000003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7.3520000000000003"/>
    <s v=""/>
    <n v="0"/>
    <n v="0"/>
    <n v="0"/>
  </r>
  <r>
    <s v="Primark Limited"/>
    <s v="ST.Primark.040.FY26-27.12"/>
    <m/>
    <m/>
    <m/>
    <m/>
    <s v=""/>
    <n v="1382"/>
    <s v="KNIT WEFT KNITTED JERSEY PSCP COTTON 100% GSM-140 CW-172 CM/68 INCH "/>
    <s v="Mustang / Cocoa 19-1217 TCX"/>
    <n v="-3.3326666666666664"/>
    <n v="9.9979999999999993"/>
    <m/>
    <n v="-9.9979999999999993"/>
    <m/>
    <n v="-9.9979999999999993"/>
    <s v="450567"/>
    <s v="Solid"/>
    <x v="25"/>
    <d v="2026-10-15T00:00:00"/>
    <d v="2026-10-14T00:00:00"/>
    <s v="Hues Agreed qty as per SQBL required date"/>
    <m/>
    <s v="Oct"/>
    <d v="2026-10-24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9.9979999999999993"/>
    <s v=""/>
    <n v="0"/>
    <n v="0"/>
    <n v="0"/>
  </r>
  <r>
    <s v="Primark Limited"/>
    <s v="ST.Primark.040.FY26-27.13"/>
    <m/>
    <m/>
    <m/>
    <m/>
    <s v=""/>
    <n v="1383"/>
    <s v="KNIT WEFT KNITTED JERSEY PSCP COTTON 100% GSM-140 CW-172 CM/68 INCH "/>
    <s v="Mustang / Cocoa 19-1217 TCX"/>
    <n v="-0.88266666666666671"/>
    <n v="2.6480000000000001"/>
    <m/>
    <n v="-2.6480000000000001"/>
    <m/>
    <n v="-2.6480000000000001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2.6480000000000001"/>
    <s v=""/>
    <n v="0"/>
    <n v="0"/>
    <n v="0"/>
  </r>
  <r>
    <s v="Primark Limited"/>
    <s v="ST.Primark.011.FY26-27.9"/>
    <m/>
    <m/>
    <m/>
    <m/>
    <s v=""/>
    <n v="1384"/>
    <s v="KNIT WEFT KNITTED JERSEY PSCP COTTON 100% GSM-160 CW-172 CM/68 INCH "/>
    <s v="White"/>
    <n v="0"/>
    <n v="88.95"/>
    <n v="88.95"/>
    <n v="0"/>
    <m/>
    <n v="0"/>
    <s v="448757"/>
    <s v="Solid"/>
    <x v="27"/>
    <d v="2026-10-17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11.FY26-27.9"/>
    <m/>
    <m/>
    <m/>
    <m/>
    <s v=""/>
    <n v="1384"/>
    <s v="KNIT WEFT KNITTED JERSEY PSCP COTTON 100% GSM-160 CW-172 CM/68 INCH "/>
    <s v="White"/>
    <n v="0"/>
    <n v="1216.05"/>
    <n v="1216.05"/>
    <n v="0"/>
    <m/>
    <n v="0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0"/>
    <s v=""/>
    <n v="11553.05"/>
    <n v="0.97199999999999998"/>
    <n v="5285.2499999999991"/>
  </r>
  <r>
    <s v="Primark Limited"/>
    <s v="ST.Primark.040.FY26-27.16"/>
    <m/>
    <m/>
    <m/>
    <m/>
    <s v=""/>
    <n v="1385"/>
    <s v="KNIT WEFT KNITTED JERSEY PSCP COTTON 100% GSM-140 CW-172 CM/68 INCH "/>
    <s v="Black Coffee / Ganache 19-1111 TCX"/>
    <n v="-2.6463333333333332"/>
    <n v="7.9390000000000001"/>
    <m/>
    <n v="-7.9390000000000001"/>
    <m/>
    <n v="-7.9390000000000001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s v=""/>
    <s v=""/>
    <s v=""/>
    <n v="7.9390000000000001"/>
    <s v=""/>
    <n v="0"/>
    <n v="0"/>
    <n v="0"/>
  </r>
  <r>
    <s v="Primark Limited"/>
    <s v="ST.Primark.040.FY26-27.20"/>
    <m/>
    <m/>
    <m/>
    <m/>
    <s v=""/>
    <n v="1386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6.6"/>
    <s v=""/>
    <n v="0"/>
    <n v="0"/>
    <n v="0"/>
  </r>
  <r>
    <s v="Primark Limited"/>
    <s v="ST.Primark.040.FY26-27.21"/>
    <m/>
    <m/>
    <m/>
    <m/>
    <s v=""/>
    <n v="1387"/>
    <s v="KNIT WEFT KNITTED JERSEY PSCP COTTON 100% GSM-160 CW-172 CM/68 INCH "/>
    <s v="Mustang / Cocoa 19-12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s v=""/>
    <s v=""/>
    <s v=""/>
    <n v="6.6"/>
    <s v=""/>
    <n v="0"/>
    <n v="0"/>
    <n v="0"/>
  </r>
  <r>
    <s v="Primark Limited"/>
    <s v="ST.Primark.040.FY26-27.25"/>
    <m/>
    <m/>
    <m/>
    <m/>
    <s v=""/>
    <n v="1388"/>
    <s v="KNIT WEFT KNITTED JERSEY PSCP COTTON 100% GSM-160 CW-172 CM/68 INCH "/>
    <s v="Mustang / Cocoa 19-12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3.202"/>
    <s v=""/>
    <n v="0"/>
    <n v="0"/>
    <n v="0"/>
  </r>
  <r>
    <s v="Primark Limited"/>
    <s v="ST.Primark.040.FY26-27.25"/>
    <m/>
    <m/>
    <m/>
    <m/>
    <s v=""/>
    <n v="1389"/>
    <s v="KNIT WEFT KNITTED JERSEY PSCP COTTON 100% GSM-140 CW-172 CM/68 INCH "/>
    <s v="Black Coffee / Ganache 19-1111 TCX"/>
    <n v="-9.8006666666666664"/>
    <n v="29.402000000000001"/>
    <m/>
    <n v="-29.402000000000001"/>
    <m/>
    <n v="-29.402000000000001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n v="29.402000000000001"/>
    <s v=""/>
    <n v="0"/>
    <n v="0"/>
    <n v="0"/>
  </r>
  <r>
    <s v="Primark Limited"/>
    <s v="ST.Primark.040.FY26-27.21"/>
    <m/>
    <m/>
    <m/>
    <m/>
    <s v=""/>
    <n v="1390"/>
    <s v="KNIT WEFT KNITTED JERSEY PSCP COTTON 100% GSM-140 CW-172 CM/68 INCH "/>
    <s v="Mustang / Cocoa 19-1217 TCX"/>
    <n v="-4.8999999999999995"/>
    <n v="14.7"/>
    <m/>
    <n v="-14.7"/>
    <m/>
    <n v="-14.7"/>
    <s v="450567"/>
    <s v="Solid"/>
    <x v="25"/>
    <d v="2026-10-15T00:00:00"/>
    <d v="2026-10-14T00:00:00"/>
    <s v="Hues Agreed qty as per SQBL required date"/>
    <m/>
    <s v="Oct"/>
    <d v="2026-10-27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14.7"/>
    <s v=""/>
    <n v="0"/>
    <n v="0"/>
    <n v="0"/>
  </r>
  <r>
    <s v="Primark Limited"/>
    <s v="ST.Primark.039.FY26-27.14"/>
    <m/>
    <m/>
    <m/>
    <m/>
    <s v=""/>
    <n v="1391"/>
    <s v="KNIT WEFT KNITTED JERSEY PSCP COTTON 100% GSM-140 CW-172 CM/68 INCH "/>
    <s v="Sand Dollar / Vanilla 13-1106 TCX"/>
    <n v="0"/>
    <n v="5.2930000000000001"/>
    <n v="5.293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s v=""/>
    <s v=""/>
    <s v=""/>
    <n v="0"/>
    <s v=""/>
    <n v="386.42"/>
    <n v="0.997"/>
    <n v="8.882000000000005"/>
  </r>
  <r>
    <s v="Primark Limited"/>
    <s v="ST.Primark.039.FY26-27.15"/>
    <m/>
    <m/>
    <m/>
    <m/>
    <s v=""/>
    <n v="1392"/>
    <s v="KNIT WEFT KNITTED JERSEY PSCP COTTON 100% GSM-140 CW-172 CM/68 INCH "/>
    <s v="Sand Dollar / Vanilla 13-1106 TCX"/>
    <n v="0"/>
    <n v="7.9390000000000001"/>
    <n v="7.939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16"/>
    <m/>
    <m/>
    <m/>
    <m/>
    <s v=""/>
    <n v="1393"/>
    <s v="KNIT WEFT KNITTED JERSEY PSCP COTTON 100% GSM-140 CW-172 CM/68 INCH "/>
    <s v="Sand Dollar / Vanilla 13-1106 TCX"/>
    <n v="0"/>
    <n v="10.585000000000001"/>
    <n v="10.585000000000001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17"/>
    <m/>
    <m/>
    <m/>
    <m/>
    <s v=""/>
    <n v="1394"/>
    <s v="KNIT WEFT KNITTED JERSEY PSCP COTTON 100% GSM-140 CW-172 CM/68 INCH "/>
    <s v="Sand Dollar / Vanilla 13-1106 TCX"/>
    <n v="0"/>
    <n v="7.9390000000000001"/>
    <n v="7.9390000000000001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18"/>
    <m/>
    <m/>
    <m/>
    <m/>
    <s v=""/>
    <n v="1395"/>
    <s v="KNIT WEFT KNITTED JERSEY PSCP COTTON 100% GSM-140 CW-172 CM/68 INCH "/>
    <s v="Sand Dollar / Vanilla 13-1106 TCX"/>
    <n v="0"/>
    <n v="19.699000000000002"/>
    <n v="19.699000000000002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s v=""/>
    <n v="377.53800000000001"/>
    <s v=""/>
    <s v=""/>
    <n v="0"/>
    <s v=""/>
    <n v="386.42"/>
    <n v="0.997"/>
    <s v=""/>
  </r>
  <r>
    <s v="Primark Limited"/>
    <s v="ST.Primark.039.FY26-27.19"/>
    <m/>
    <m/>
    <m/>
    <m/>
    <s v=""/>
    <n v="1396"/>
    <s v="KNIT WEFT KNITTED JERSEY PSCP COTTON 100% GSM-140 CW-172 CM/68 INCH "/>
    <s v="Sand Dollar / Vanilla 13-1106 TCX"/>
    <n v="0"/>
    <n v="9.7029999999999994"/>
    <n v="9.702999999999999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2"/>
    <m/>
    <m/>
    <m/>
    <m/>
    <s v=""/>
    <n v="1397"/>
    <s v="KNIT WEFT KNITTED JERSEY PSCP COTTON 100% GSM-140 CW-172 CM/68 INCH "/>
    <s v="Sand Dollar / Vanilla 13-1106 TCX"/>
    <n v="0"/>
    <n v="7.3520000000000003"/>
    <n v="7.3520000000000003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20"/>
    <m/>
    <m/>
    <m/>
    <m/>
    <s v=""/>
    <n v="1398"/>
    <s v="KNIT WEFT KNITTED JERSEY PSCP COTTON 100% GSM-140 CW-172 CM/68 INCH "/>
    <s v="Sand Dollar / Vanilla 13-1106 TCX"/>
    <n v="0"/>
    <n v="14.7"/>
    <n v="14.7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06.FY26-27.8"/>
    <m/>
    <m/>
    <m/>
    <m/>
    <s v=""/>
    <n v="1399"/>
    <s v="KNIT WEFT KNITTED JERSEY PSCP COTTON 100% GSM-160 CW-172 CM/68 INCH "/>
    <s v="Black"/>
    <n v="0.10000000000000379"/>
    <n v="443.7"/>
    <n v="444"/>
    <n v="0.30000000000001137"/>
    <m/>
    <n v="0.30000000000001137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-0.30000000000001137"/>
    <s v=""/>
    <n v="18843"/>
    <n v="0.96599999999999997"/>
    <n v="11914.639999999996"/>
  </r>
  <r>
    <s v="Primark Limited"/>
    <s v="ST.Primark.006.FY26-27.9"/>
    <m/>
    <m/>
    <m/>
    <m/>
    <s v=""/>
    <n v="1400"/>
    <s v="KNIT WEFT KNITTED JERSEY PSCP COTTON 100% GSM-160 CW-172 CM/68 INCH "/>
    <s v="Black"/>
    <n v="0"/>
    <n v="20.100000000000001"/>
    <n v="20.100000000000001"/>
    <n v="0"/>
    <m/>
    <n v="0"/>
    <s v="448738"/>
    <s v="Solid"/>
    <x v="2"/>
    <d v="2026-10-11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9"/>
    <m/>
    <m/>
    <m/>
    <m/>
    <s v=""/>
    <n v="1400"/>
    <s v="KNIT WEFT KNITTED JERSEY PSCP COTTON 100% GSM-160 CW-172 CM/68 INCH "/>
    <s v="Black"/>
    <n v="0"/>
    <n v="423.6"/>
    <n v="423.6"/>
    <n v="0"/>
    <m/>
    <n v="0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40.FY26-27.20"/>
    <m/>
    <m/>
    <m/>
    <m/>
    <s v=""/>
    <n v="1401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6.6"/>
    <s v=""/>
    <n v="0"/>
    <n v="0"/>
    <n v="0"/>
  </r>
  <r>
    <s v="Primark Limited"/>
    <s v="ST.Primark.040.FY26-27.21"/>
    <m/>
    <m/>
    <m/>
    <m/>
    <s v=""/>
    <n v="1402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2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6.6"/>
    <s v=""/>
    <n v="0"/>
    <n v="0"/>
    <n v="0"/>
  </r>
  <r>
    <s v="Primark Limited"/>
    <s v="ST.Primark.040.FY26-27.25"/>
    <m/>
    <m/>
    <m/>
    <m/>
    <s v=""/>
    <n v="1403"/>
    <s v="KNIT WEFT KNITTED JERSEY PSCP COTTON 100% GSM-160 CW-172 CM/68 INCH "/>
    <s v="Black Coffee / Ganache 19-1111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s v=""/>
    <s v=""/>
    <s v=""/>
    <n v="13.202"/>
    <s v=""/>
    <n v="0"/>
    <n v="0"/>
    <n v="0"/>
  </r>
  <r>
    <s v="Primark Limited"/>
    <s v="ST.Primark.039.FY26-27.26"/>
    <m/>
    <m/>
    <m/>
    <m/>
    <s v=""/>
    <n v="1404"/>
    <s v="KNIT WEFT KNITTED JERSEY PSCP COTTON 100% GSM-160 CW-172 CM/68 INCH "/>
    <s v="Mustang / Cocoa 19-1217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26.402000000000001"/>
    <s v=""/>
    <n v="0"/>
    <n v="0"/>
    <n v="0"/>
  </r>
  <r>
    <s v="Primark Limited"/>
    <s v="ST.Primark.039.FY26-27.27"/>
    <m/>
    <m/>
    <m/>
    <m/>
    <s v=""/>
    <n v="1405"/>
    <s v="KNIT WEFT KNITTED JERSEY PSCP COTTON 100% GSM-160 CW-172 CM/68 INCH "/>
    <s v="Mustang / Cocoa 19-1217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7.094999999999999"/>
    <s v=""/>
    <n v="0"/>
    <n v="0"/>
    <n v="0"/>
  </r>
  <r>
    <s v="Primark Limited"/>
    <s v="ST.Primark.039.FY26-27.15"/>
    <m/>
    <m/>
    <m/>
    <m/>
    <s v=""/>
    <n v="1406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3.5649999999999999"/>
    <s v=""/>
    <n v="0"/>
    <n v="0"/>
    <n v="0"/>
  </r>
  <r>
    <s v="Primark Limited"/>
    <s v="ST.Primark.021.FY26-27.2"/>
    <m/>
    <m/>
    <m/>
    <m/>
    <s v=""/>
    <n v="1407"/>
    <s v="KNIT WEFT KNITTED JERSEY PSCP COTTON 100% GSM-140 CW-172 CM/68 INCH "/>
    <s v="Black"/>
    <n v="0"/>
    <n v="11.762"/>
    <n v="11.762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713.57"/>
    <n v="376.59"/>
    <n v="600"/>
    <n v="954.92100000000005"/>
    <s v=""/>
    <s v=""/>
    <n v="0"/>
    <s v=""/>
    <n v="713.57"/>
    <n v="0.65500000000000003"/>
    <n v="113.57000000000005"/>
  </r>
  <r>
    <s v="Primark Limited"/>
    <s v="ST.Primark.021.FY26-27.3"/>
    <m/>
    <m/>
    <m/>
    <m/>
    <s v=""/>
    <n v="1408"/>
    <s v="KNIT WEFT KNITTED JERSEY PSCP COTTON 100% GSM-140 CW-172 CM/68 INCH "/>
    <s v="Black"/>
    <n v="0"/>
    <n v="78.793000000000006"/>
    <n v="78.793000000000006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713.57"/>
    <n v="376.59"/>
    <n v="600"/>
    <n v="954.92100000000005"/>
    <s v=""/>
    <s v=""/>
    <n v="0"/>
    <s v=""/>
    <n v="713.57"/>
    <n v="0.65500000000000003"/>
    <n v="113.57000000000005"/>
  </r>
  <r>
    <s v="Primark Limited"/>
    <s v="ST.Primark.021.FY26-27.5"/>
    <m/>
    <m/>
    <m/>
    <m/>
    <s v=""/>
    <n v="1409"/>
    <s v="KNIT WEFT KNITTED JERSEY PSCP COTTON 100% GSM-140 CW-172 CM/68 INCH "/>
    <s v="Black"/>
    <n v="0"/>
    <n v="78.793999999999997"/>
    <n v="78.793999999999997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40"/>
    <s v="448768140Black"/>
    <n v="713.57"/>
    <n v="376.59"/>
    <s v=""/>
    <n v="954.92100000000005"/>
    <s v=""/>
    <s v=""/>
    <n v="0"/>
    <s v=""/>
    <n v="713.57"/>
    <n v="0.65500000000000003"/>
    <s v=""/>
  </r>
  <r>
    <s v="Primark Limited"/>
    <s v="ST.Primark.021.FY26-27.6"/>
    <m/>
    <m/>
    <m/>
    <m/>
    <s v=""/>
    <n v="1410"/>
    <s v="KNIT WEFT KNITTED JERSEY PSCP COTTON 100% GSM-140 CW-172 CM/68 INCH "/>
    <s v="Black"/>
    <n v="0"/>
    <n v="30.651"/>
    <n v="30.651"/>
    <n v="0"/>
    <m/>
    <n v="0"/>
    <s v="448768"/>
    <s v="Solid"/>
    <x v="34"/>
    <d v="2026-10-10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713.57"/>
    <n v="376.59"/>
    <n v="600"/>
    <n v="954.92100000000005"/>
    <s v=""/>
    <s v=""/>
    <n v="0"/>
    <s v=""/>
    <n v="713.57"/>
    <n v="0.65500000000000003"/>
    <n v="113.57000000000005"/>
  </r>
  <r>
    <s v="Primark Limited"/>
    <s v="ST.Primark.021.FY26-27.6"/>
    <m/>
    <m/>
    <m/>
    <m/>
    <s v=""/>
    <n v="1410"/>
    <s v="KNIT WEFT KNITTED JERSEY PSCP COTTON 100% GSM-140 CW-172 CM/68 INCH "/>
    <s v="Black"/>
    <n v="0"/>
    <n v="200"/>
    <n v="200"/>
    <n v="0"/>
    <m/>
    <n v="0"/>
    <s v="448768"/>
    <s v="Solid"/>
    <x v="53"/>
    <d v="2026-10-12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713.57"/>
    <n v="376.59"/>
    <n v="600"/>
    <n v="954.92100000000005"/>
    <s v=""/>
    <s v=""/>
    <n v="0"/>
    <s v=""/>
    <n v="713.57"/>
    <n v="0.65500000000000003"/>
    <n v="113.57000000000005"/>
  </r>
  <r>
    <s v="Primark Limited"/>
    <s v="ST.Primark.021.FY26-27.6"/>
    <m/>
    <m/>
    <m/>
    <m/>
    <s v=""/>
    <n v="1410"/>
    <s v="KNIT WEFT KNITTED JERSEY PSCP COTTON 100% GSM-140 CW-172 CM/68 INCH "/>
    <s v="Black"/>
    <n v="0"/>
    <n v="162.13499999999999"/>
    <n v="162.13499999999999"/>
    <n v="0"/>
    <m/>
    <n v="0"/>
    <s v="448768"/>
    <s v="Solid"/>
    <x v="25"/>
    <d v="2026-10-14T00:00:00"/>
    <s v="(10-16)th Oct- 200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40"/>
    <s v="448768140Black"/>
    <n v="713.57"/>
    <n v="376.59"/>
    <n v="600"/>
    <s v=""/>
    <s v=""/>
    <s v=""/>
    <n v="0"/>
    <s v=""/>
    <n v="713.57"/>
    <n v="0.65500000000000003"/>
    <n v="113.57000000000005"/>
  </r>
  <r>
    <s v="Primark Limited"/>
    <s v="ST.Primark.021.FY26-27.7"/>
    <m/>
    <m/>
    <m/>
    <m/>
    <s v=""/>
    <n v="1411"/>
    <s v="KNIT WEFT KNITTED JERSEY PSCP COTTON 100% GSM-140 CW-172 CM/68 INCH "/>
    <s v="Black"/>
    <n v="0"/>
    <n v="37.865000000000002"/>
    <n v="37.865000000000002"/>
    <n v="0"/>
    <m/>
    <n v="0"/>
    <s v="448768"/>
    <s v="Solid"/>
    <x v="25"/>
    <d v="2026-10-14T00:00:00"/>
    <s v="(10-16)th Oct- 200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40"/>
    <s v="448768140Black"/>
    <n v="713.57"/>
    <n v="376.59"/>
    <n v="600"/>
    <n v="954.92100000000005"/>
    <s v=""/>
    <s v=""/>
    <n v="0"/>
    <s v=""/>
    <n v="713.57"/>
    <n v="0.65500000000000003"/>
    <n v="113.57000000000005"/>
  </r>
  <r>
    <s v="Primark Limited"/>
    <s v="ST.Primark.021.FY26-27.7"/>
    <m/>
    <m/>
    <m/>
    <m/>
    <s v=""/>
    <n v="1411"/>
    <s v="KNIT WEFT KNITTED JERSEY PSCP COTTON 100% GSM-140 CW-172 CM/68 INCH "/>
    <s v="Black"/>
    <n v="-118.307"/>
    <n v="354.92099999999999"/>
    <m/>
    <n v="-354.92099999999999"/>
    <m/>
    <n v="-354.92099999999999"/>
    <s v="448768"/>
    <s v="Solid"/>
    <x v="26"/>
    <d v="2026-10-16T00:00:00"/>
    <s v="(10-16)th Oct- 200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40"/>
    <s v="448768140Black"/>
    <n v="713.57"/>
    <n v="376.59"/>
    <n v="600"/>
    <n v="954.92100000000005"/>
    <s v=""/>
    <s v=""/>
    <n v="354.92099999999999"/>
    <s v=""/>
    <n v="713.57"/>
    <n v="0.65500000000000003"/>
    <n v="113.57000000000005"/>
  </r>
  <r>
    <s v="Primark Limited"/>
    <s v="ST.Primark.021.FY26-27.2"/>
    <m/>
    <m/>
    <m/>
    <m/>
    <s v=""/>
    <n v="1412"/>
    <s v="KNIT WEFT KNITTED JERSEY PSCP COTTON 100% GSM-160 CW-172 CM/68 INCH "/>
    <s v="Black"/>
    <n v="0"/>
    <n v="118.8"/>
    <n v="118.8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0"/>
    <s v=""/>
    <n v="8570.19"/>
    <n v="0.77800000000000002"/>
    <n v="1366.2000000000007"/>
  </r>
  <r>
    <s v="Primark Limited"/>
    <s v="ST.Primark.021.FY26-27.3"/>
    <m/>
    <m/>
    <m/>
    <m/>
    <s v=""/>
    <n v="1413"/>
    <s v="KNIT WEFT KNITTED JERSEY PSCP COTTON 100% GSM-160 CW-172 CM/68 INCH "/>
    <s v="Black"/>
    <n v="0"/>
    <n v="795.96"/>
    <n v="795.96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0"/>
    <s v=""/>
    <n v="8570.19"/>
    <n v="0.77800000000000002"/>
    <n v="1366.2000000000007"/>
  </r>
  <r>
    <s v="Primark Limited"/>
    <s v="ST.Primark.013.FY26-27.2"/>
    <m/>
    <m/>
    <m/>
    <m/>
    <s v=""/>
    <n v="1414"/>
    <s v="KNIT WEFT KNITTED JERSEY PSCP COTTON 100% GSM-140 CW-172 CM/68 INCH "/>
    <s v="White"/>
    <n v="0"/>
    <n v="78.793000000000006"/>
    <n v="78.793000000000006"/>
    <n v="0"/>
    <m/>
    <n v="0"/>
    <s v="448780"/>
    <s v="Solid"/>
    <x v="22"/>
    <d v="2026-10-07T00:00:00"/>
    <d v="2026-10-06T00:00:00"/>
    <s v="Revised Plan given as per revised date"/>
    <m/>
    <s v="Oct"/>
    <d v="2026-10-02T00:00:00"/>
    <m/>
    <m/>
    <m/>
    <m/>
    <m/>
    <m/>
    <m/>
    <m/>
    <m/>
    <m/>
    <s v="448780"/>
    <s v="White"/>
    <n v="140"/>
    <s v="448780140White"/>
    <n v="463.1"/>
    <n v="-226.72"/>
    <n v="196.39500000000001"/>
    <n v="196.39500000000001"/>
    <s v=""/>
    <s v=""/>
    <n v="0"/>
    <s v=""/>
    <n v="463.1"/>
    <n v="1.9590000000000001"/>
    <n v="266.70500000000004"/>
  </r>
  <r>
    <s v="Primark Limited"/>
    <s v="ST.Primark.013.FY26-27.3"/>
    <m/>
    <m/>
    <m/>
    <m/>
    <s v=""/>
    <n v="1415"/>
    <s v="KNIT WEFT KNITTED JERSEY PSCP COTTON 100% GSM-140 CW-172 CM/68 INCH "/>
    <s v="White"/>
    <n v="0"/>
    <n v="117.602"/>
    <n v="117.602"/>
    <n v="0"/>
    <m/>
    <n v="0"/>
    <s v="448780"/>
    <s v="Solid"/>
    <x v="22"/>
    <d v="2026-10-07T00:00:00"/>
    <d v="2026-10-06T00:00:00"/>
    <s v="Revised Plan given as per revised date"/>
    <m/>
    <s v="Oct"/>
    <d v="2026-10-01T00:00:00"/>
    <m/>
    <m/>
    <m/>
    <m/>
    <m/>
    <m/>
    <m/>
    <m/>
    <m/>
    <m/>
    <s v="448780"/>
    <s v="White"/>
    <n v="140"/>
    <s v="448780140White"/>
    <n v="463.1"/>
    <n v="-226.72"/>
    <n v="196.39500000000001"/>
    <n v="196.39500000000001"/>
    <s v=""/>
    <s v=""/>
    <n v="0"/>
    <s v=""/>
    <n v="463.1"/>
    <n v="1.9590000000000001"/>
    <n v="266.70500000000004"/>
  </r>
  <r>
    <s v="Primark Limited"/>
    <s v="ST.Primark.040.FY26-27.1"/>
    <m/>
    <m/>
    <m/>
    <m/>
    <s v=""/>
    <n v="1416"/>
    <s v="KNIT WEFT KNITTED JERSEY PSCP COTTON 100% GSM-160 CW-172 CM/68 INCH "/>
    <s v="Mustang / Cocoa 19-1217 TCX"/>
    <n v="-24.75"/>
    <n v="74.25"/>
    <m/>
    <n v="-74.25"/>
    <m/>
    <n v="-74.25"/>
    <s v="450567"/>
    <s v="Solid"/>
    <x v="25"/>
    <d v="2026-10-15T00:00:00"/>
    <d v="2026-10-14T00:00:00"/>
    <s v="Hues Agreed qty as per SQBL required date"/>
    <m/>
    <s v="Oct"/>
    <d v="2026-10-11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74.25"/>
    <s v=""/>
    <n v="0"/>
    <n v="0"/>
    <n v="0"/>
  </r>
  <r>
    <s v="Primark Limited"/>
    <s v="ST.Primark.040.FY26-27.29"/>
    <m/>
    <m/>
    <m/>
    <m/>
    <s v=""/>
    <n v="1417"/>
    <s v="KNIT WEFT KNITTED JERSEY PSCP COTTON 100% GSM-160 CW-172 CM/68 INCH "/>
    <s v="Mustang / Cocoa 19-1217 TCX"/>
    <n v="-14.85"/>
    <n v="44.55"/>
    <m/>
    <n v="-44.55"/>
    <m/>
    <n v="-44.5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44.55"/>
    <s v=""/>
    <n v="0"/>
    <n v="0"/>
    <n v="0"/>
  </r>
  <r>
    <s v="Primark Limited"/>
    <s v="ST.Primark.040.FY26-27.3"/>
    <m/>
    <m/>
    <m/>
    <m/>
    <s v=""/>
    <n v="1418"/>
    <s v="KNIT WEFT KNITTED JERSEY PSCP COTTON 100% GSM-160 CW-172 CM/68 INCH "/>
    <s v="Mustang / Cocoa 19-1217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297"/>
    <s v=""/>
    <n v="0"/>
    <n v="0"/>
    <n v="0"/>
  </r>
  <r>
    <s v="Primark Limited"/>
    <s v="ST.Primark.040.FY26-27.29"/>
    <m/>
    <m/>
    <m/>
    <m/>
    <s v=""/>
    <n v="1419"/>
    <s v="KNIT WEFT KNITTED JERSEY PSCP COTTON 100% GSM-160 CW-172 CM/68 INCH "/>
    <s v="Black Coffee / Ganache 19-1111 TCX"/>
    <n v="-14.85"/>
    <n v="44.55"/>
    <m/>
    <n v="-44.55"/>
    <m/>
    <n v="-44.55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44.55"/>
    <s v=""/>
    <n v="0"/>
    <n v="0"/>
    <n v="0"/>
  </r>
  <r>
    <s v="Primark Limited"/>
    <s v="ST.Primark.040.FY26-27.3"/>
    <m/>
    <m/>
    <m/>
    <m/>
    <s v=""/>
    <n v="1420"/>
    <s v="KNIT WEFT KNITTED JERSEY PSCP COTTON 100% GSM-160 CW-172 CM/68 INCH "/>
    <s v="Black Coffee / Ganache 19-1111 TCX"/>
    <n v="-99"/>
    <n v="297"/>
    <m/>
    <n v="-297"/>
    <m/>
    <n v="-297"/>
    <s v="450567"/>
    <s v="Solid"/>
    <x v="34"/>
    <d v="2026-10-13T00:00:00"/>
    <d v="2026-10-12T00:00:00"/>
    <s v="Hues Agreed qty as per SQBL required date"/>
    <m/>
    <s v="Oct"/>
    <d v="2026-10-16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297"/>
    <s v=""/>
    <n v="0"/>
    <n v="0"/>
    <n v="0"/>
  </r>
  <r>
    <s v="Primark Limited"/>
    <s v="ST.Primark.023.FY26-27.3"/>
    <m/>
    <m/>
    <m/>
    <m/>
    <s v=""/>
    <n v="1421"/>
    <s v="KNIT WEFT KNITTED JERSEY PSCP COTTON 100% GSM-140 CW-172 CM/68 INCH "/>
    <s v="Black"/>
    <n v="-28.616666666666664"/>
    <n v="85.85"/>
    <m/>
    <n v="-85.85"/>
    <m/>
    <n v="-85.85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40"/>
    <s v="448769140Black"/>
    <n v="0"/>
    <s v="#NA"/>
    <n v="0"/>
    <n v="921.99600000000009"/>
    <s v=""/>
    <s v=""/>
    <n v="85.85"/>
    <s v=""/>
    <n v="0"/>
    <n v="0"/>
    <n v="0"/>
  </r>
  <r>
    <s v="Primark Limited"/>
    <s v="ST.Primark.023.FY26-27.5"/>
    <m/>
    <m/>
    <m/>
    <m/>
    <s v=""/>
    <n v="1422"/>
    <s v="KNIT WEFT KNITTED JERSEY PSCP COTTON 100% GSM-140 CW-172 CM/68 INCH "/>
    <s v="Black"/>
    <n v="-13.328333333333333"/>
    <n v="39.984999999999999"/>
    <m/>
    <n v="-39.984999999999999"/>
    <m/>
    <n v="-39.984999999999999"/>
    <s v="448769"/>
    <s v="Solid"/>
    <x v="13"/>
    <d v="2026-10-24T00:00:00"/>
    <d v="2026-10-23T00:00:00"/>
    <s v="Hues Agreed qty as per SQBL required date"/>
    <m/>
    <s v="Oct"/>
    <d v="2026-10-24T00:00:00"/>
    <m/>
    <m/>
    <m/>
    <m/>
    <m/>
    <m/>
    <m/>
    <m/>
    <m/>
    <m/>
    <s v="448769"/>
    <s v="Black"/>
    <n v="140"/>
    <s v="448769140Black"/>
    <n v="0"/>
    <s v="#NA"/>
    <n v="0"/>
    <n v="921.99600000000009"/>
    <s v=""/>
    <s v=""/>
    <n v="39.984999999999999"/>
    <s v=""/>
    <n v="0"/>
    <n v="0"/>
    <n v="0"/>
  </r>
  <r>
    <s v="Primark Limited"/>
    <s v="ST.Primark.023.FY26-27.7"/>
    <m/>
    <m/>
    <m/>
    <m/>
    <s v=""/>
    <n v="1423"/>
    <s v="KNIT WEFT KNITTED JERSEY PSCP COTTON 100% GSM-140 CW-172 CM/68 INCH "/>
    <s v="Black"/>
    <n v="-5.8806666666666665"/>
    <n v="17.641999999999999"/>
    <m/>
    <n v="-17.641999999999999"/>
    <m/>
    <n v="-17.641999999999999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s v=""/>
    <s v=""/>
    <n v="17.641999999999999"/>
    <s v=""/>
    <n v="0"/>
    <n v="0"/>
    <n v="0"/>
  </r>
  <r>
    <s v="Primark Limited"/>
    <s v="ST.Primark.023.FY26-27.9"/>
    <m/>
    <m/>
    <m/>
    <m/>
    <s v=""/>
    <n v="1424"/>
    <s v="KNIT WEFT KNITTED JERSEY PSCP COTTON 100% GSM-140 CW-172 CM/68 INCH "/>
    <s v="Black"/>
    <n v="-65.464333333333329"/>
    <n v="196.393"/>
    <m/>
    <n v="-196.393"/>
    <m/>
    <n v="-196.393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40"/>
    <s v="448769140Black"/>
    <n v="0"/>
    <s v="#NA"/>
    <n v="0"/>
    <n v="921.99600000000009"/>
    <s v=""/>
    <s v=""/>
    <n v="196.393"/>
    <s v=""/>
    <n v="0"/>
    <n v="0"/>
    <n v="0"/>
  </r>
  <r>
    <s v="Primark Limited"/>
    <s v="ST.Primark.023.FY26-27.1"/>
    <m/>
    <m/>
    <m/>
    <m/>
    <s v=""/>
    <n v="1425"/>
    <s v="KNIT WEFT KNITTED JERSEY PSCP COTTON 100% GSM-160 CW-172 CM/68 INCH "/>
    <s v="Black"/>
    <n v="-241.55999999999997"/>
    <n v="724.68"/>
    <m/>
    <n v="-724.68"/>
    <m/>
    <n v="-724.68"/>
    <s v="448769"/>
    <s v="Solid"/>
    <x v="31"/>
    <d v="2026-10-21T00:00:00"/>
    <d v="2026-10-20T00:00:00"/>
    <s v="Hues Agreed qty as per SQBL required date"/>
    <m/>
    <s v="Oct"/>
    <d v="2026-10-18T00:00:00"/>
    <m/>
    <m/>
    <m/>
    <m/>
    <m/>
    <m/>
    <m/>
    <m/>
    <m/>
    <m/>
    <s v="448769"/>
    <s v="Black"/>
    <n v="160"/>
    <s v="448769160Black"/>
    <n v="0"/>
    <s v="#NA"/>
    <n v="0"/>
    <n v="9313.92"/>
    <s v=""/>
    <s v=""/>
    <n v="724.68"/>
    <s v=""/>
    <n v="0"/>
    <n v="0"/>
    <n v="0"/>
  </r>
  <r>
    <s v="Primark Limited"/>
    <s v="ST.Primark.023.FY26-27.11"/>
    <m/>
    <m/>
    <m/>
    <m/>
    <s v=""/>
    <n v="1426"/>
    <s v="KNIT WEFT KNITTED JERSEY PSCP COTTON 100% GSM-160 CW-172 CM/68 INCH "/>
    <s v="Black"/>
    <n v="-396"/>
    <n v="1188"/>
    <m/>
    <n v="-1188"/>
    <m/>
    <n v="-1188"/>
    <s v="448769"/>
    <s v="Solid"/>
    <x v="7"/>
    <d v="2026-10-23T00:00:00"/>
    <d v="2026-10-22T00:00:00"/>
    <s v="Hues Agreed qty as per SQBL required date"/>
    <m/>
    <s v="Oct"/>
    <d v="2026-10-20T00:00:00"/>
    <m/>
    <m/>
    <m/>
    <m/>
    <m/>
    <m/>
    <m/>
    <m/>
    <m/>
    <m/>
    <s v="448769"/>
    <s v="Black"/>
    <n v="160"/>
    <s v="448769160Black"/>
    <n v="0"/>
    <s v="#NA"/>
    <n v="0"/>
    <n v="9313.92"/>
    <s v=""/>
    <s v=""/>
    <n v="1188"/>
    <s v=""/>
    <n v="0"/>
    <n v="0"/>
    <n v="0"/>
  </r>
  <r>
    <s v="Primark Limited"/>
    <s v="ST.TexgroupLtd.005.FY26-27.2"/>
    <m/>
    <m/>
    <m/>
    <m/>
    <s v=""/>
    <n v="1427"/>
    <s v="KNIT WEFT KNITTED JERSEY PSCP COTTON 95% LYCRA 5% GSM-160 CW-168 CM/66 INCH  "/>
    <s v="Salt Water Slide 12-4611 TCX"/>
    <n v="-92.491666666666674"/>
    <n v="277.47500000000002"/>
    <m/>
    <n v="-277.47500000000002"/>
    <m/>
    <n v="-277.47500000000002"/>
    <s v="461374"/>
    <s v="Solid"/>
    <x v="13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277.47500000000002"/>
    <s v=""/>
    <n v="150"/>
    <n v="0.78200000000000003"/>
    <n v="150"/>
  </r>
  <r>
    <s v="Primark Limited"/>
    <s v="ST.Primark.040.FY26-27.29"/>
    <m/>
    <m/>
    <m/>
    <m/>
    <s v=""/>
    <n v="1428"/>
    <s v="KNIT WEFT KNITTED JERSEY PSCP COTTON 100% GSM-160 CW-172 CM/68 INCH "/>
    <s v="Brush / Honey 16-1317 TCX"/>
    <n v="-14.85"/>
    <n v="44.55"/>
    <m/>
    <n v="-44.55"/>
    <m/>
    <n v="-44.55"/>
    <s v="450567"/>
    <s v="Solid"/>
    <x v="55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44.55"/>
    <s v=""/>
    <n v="0"/>
    <n v="0"/>
    <n v="0"/>
  </r>
  <r>
    <s v="Primark Limited"/>
    <s v="ST.Primark.040.FY26-27.3"/>
    <m/>
    <m/>
    <m/>
    <m/>
    <s v=""/>
    <n v="1429"/>
    <s v="KNIT WEFT KNITTED JERSEY PSCP COTTON 100% GSM-160 CW-172 CM/68 INCH "/>
    <s v="Brush / Honey 16-1317 TCX"/>
    <n v="-99"/>
    <n v="297"/>
    <m/>
    <n v="-297"/>
    <m/>
    <n v="-297"/>
    <s v="450567"/>
    <s v="Solid"/>
    <x v="55"/>
    <d v="2026-10-14T00:00:00"/>
    <d v="2026-10-13T00:00:00"/>
    <s v="Hues Agreed qty as per SQBL required date"/>
    <m/>
    <s v="Oct"/>
    <d v="2026-10-16T00:00:00"/>
    <m/>
    <m/>
    <m/>
    <m/>
    <m/>
    <m/>
    <m/>
    <m/>
    <m/>
    <m/>
    <s v="450567"/>
    <s v="Brush / Honey 16-1317 TCX"/>
    <n v="160"/>
    <s v="450567160Brush / Honey 16-1317 TCX"/>
    <n v="0"/>
    <s v="#NA"/>
    <n v="0"/>
    <n v="1482.0299999999997"/>
    <s v=""/>
    <s v=""/>
    <n v="297"/>
    <s v=""/>
    <n v="0"/>
    <n v="0"/>
    <n v="0"/>
  </r>
  <r>
    <s v="Primark Limited"/>
    <s v="ST.TexgroupLtd.005.FY26-27.8"/>
    <m/>
    <m/>
    <m/>
    <m/>
    <s v=""/>
    <n v="1430"/>
    <s v="KNIT WEFT KNITTED JERSEY PSCP COTTON 100% GSM-140 CW-172 CM/68 INCH "/>
    <s v="PINK-1"/>
    <n v="-25.439999999999998"/>
    <n v="76.319999999999993"/>
    <m/>
    <n v="-76.319999999999993"/>
    <m/>
    <n v="-76.319999999999993"/>
    <s v="461374"/>
    <s v="Solid"/>
    <x v="7"/>
    <d v="2026-10-23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76.319999999999993"/>
    <s v=""/>
    <n v="0"/>
    <n v="0"/>
    <n v="0"/>
  </r>
  <r>
    <s v="Primark Limited"/>
    <s v="ST.TexgroupLtd.005.FY26-27.8"/>
    <m/>
    <m/>
    <m/>
    <m/>
    <s v=""/>
    <n v="1430"/>
    <s v="KNIT WEFT KNITTED JERSEY PSCP COTTON 100% GSM-140 CW-172 CM/68 INCH "/>
    <s v="PINK-1"/>
    <n v="-20.32"/>
    <n v="60.96"/>
    <m/>
    <n v="-60.96"/>
    <m/>
    <n v="-60.96"/>
    <s v="461374"/>
    <s v="Solid"/>
    <x v="12"/>
    <d v="2026-10-25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60.96"/>
    <s v=""/>
    <n v="0"/>
    <n v="0"/>
    <n v="0"/>
  </r>
  <r>
    <s v="Primark Limited"/>
    <s v="ST.TexgroupLtd.005.FY26-27.9"/>
    <m/>
    <m/>
    <m/>
    <m/>
    <s v=""/>
    <n v="1431"/>
    <s v="KNIT WEFT KNITTED JERSEY PSCP COTTON 100% GSM-140 CW-172 CM/68 INCH "/>
    <s v="PINK-1"/>
    <n v="-46.346666666666664"/>
    <n v="139.04"/>
    <m/>
    <n v="-139.04"/>
    <m/>
    <n v="-139.04"/>
    <s v="461374"/>
    <s v="Solid"/>
    <x v="12"/>
    <d v="2026-10-25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139.04"/>
    <s v=""/>
    <n v="0"/>
    <n v="0"/>
    <n v="0"/>
  </r>
  <r>
    <s v="Primark Limited"/>
    <s v="ST.TexgroupLtd.005.FY26-27.9"/>
    <m/>
    <m/>
    <m/>
    <m/>
    <s v=""/>
    <n v="1431"/>
    <s v="KNIT WEFT KNITTED JERSEY PSCP COTTON 100% GSM-140 CW-172 CM/68 INCH "/>
    <s v="PINK-1"/>
    <n v="-20.373333333333331"/>
    <n v="61.12"/>
    <m/>
    <n v="-61.12"/>
    <m/>
    <n v="-61.12"/>
    <s v="461374"/>
    <s v="Solid"/>
    <x v="14"/>
    <d v="2026-10-27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61.12"/>
    <s v=""/>
    <n v="0"/>
    <n v="0"/>
    <n v="0"/>
  </r>
  <r>
    <s v="Primark Limited"/>
    <s v="ST.TexgroupLtd.005.FY26-27.10"/>
    <m/>
    <m/>
    <m/>
    <m/>
    <s v=""/>
    <n v="1432"/>
    <s v="KNIT WEFT KNITTED JERSEY PSCP COTTON 100% GSM-140 CW-172 CM/68 INCH "/>
    <s v="Pink-2"/>
    <n v="-10.24"/>
    <n v="30.72"/>
    <m/>
    <n v="-30.72"/>
    <m/>
    <n v="-30.72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30.72"/>
    <s v=""/>
    <n v="0"/>
    <n v="0"/>
    <n v="0"/>
  </r>
  <r>
    <s v="Primark Limited"/>
    <s v="ST.Primark.039.FY26-27.10"/>
    <m/>
    <m/>
    <m/>
    <m/>
    <s v=""/>
    <n v="1433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4.4889999999999999"/>
    <s v=""/>
    <n v="0"/>
    <n v="0"/>
    <n v="0"/>
  </r>
  <r>
    <s v="Primark Limited"/>
    <s v="ST.Primark.039.FY26-27.12"/>
    <m/>
    <m/>
    <m/>
    <m/>
    <s v=""/>
    <n v="1434"/>
    <s v="KNIT WEFT KNITTED JERSEY PSCP COTTON 100% GSM-160 CW-172 CM/68 INCH "/>
    <s v="Sand Dollar / Vanilla 13-1106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1.19"/>
    <s v=""/>
    <n v="0"/>
    <n v="0"/>
    <n v="0"/>
  </r>
  <r>
    <s v="Primark Limited"/>
    <s v="ST.Primark.039.FY26-27.13"/>
    <m/>
    <m/>
    <m/>
    <m/>
    <s v=""/>
    <n v="1435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4.7530000000000001"/>
    <s v=""/>
    <n v="0"/>
    <n v="0"/>
    <n v="0"/>
  </r>
  <r>
    <s v="Primark Limited"/>
    <s v="ST.Primark.039.FY26-27.14"/>
    <m/>
    <m/>
    <m/>
    <m/>
    <s v=""/>
    <n v="1436"/>
    <s v="KNIT WEFT KNITTED JERSEY PSCP COTTON 100% GSM-160 CW-172 CM/68 INCH "/>
    <s v="Sand Dollar / Vanilla 13-1106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2.3769999999999998"/>
    <s v=""/>
    <n v="0"/>
    <n v="0"/>
    <n v="0"/>
  </r>
  <r>
    <s v="Primark Limited"/>
    <s v="ST.Primark.021.FY26-27.2"/>
    <m/>
    <m/>
    <m/>
    <m/>
    <s v=""/>
    <n v="1437"/>
    <s v="KNIT WEFT KNITTED JERSEY PSCP COTTON 100% GSM-160 CW-172 CM/68 INCH "/>
    <s v="Black"/>
    <n v="-12.4"/>
    <n v="37.200000000000003"/>
    <m/>
    <n v="-37.200000000000003"/>
    <m/>
    <n v="-37.200000000000003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37.200000000000003"/>
    <s v=""/>
    <n v="0"/>
    <n v="0"/>
    <n v="0"/>
  </r>
  <r>
    <s v="Primark Limited"/>
    <s v="ST.Primark.021.FY26-27.3"/>
    <m/>
    <m/>
    <m/>
    <m/>
    <s v=""/>
    <n v="1438"/>
    <s v="KNIT WEFT KNITTED JERSEY PSCP COTTON 100% GSM-160 CW-172 CM/68 INCH "/>
    <s v="Black"/>
    <n v="-2.6799999999999997"/>
    <n v="8.0399999999999991"/>
    <m/>
    <n v="-8.0399999999999991"/>
    <m/>
    <n v="-8.0399999999999991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8.0399999999999991"/>
    <s v=""/>
    <n v="0"/>
    <n v="0"/>
    <n v="0"/>
  </r>
  <r>
    <s v="Primark Limited"/>
    <s v="ST.Primark.021.FY26-27.5"/>
    <m/>
    <m/>
    <m/>
    <m/>
    <s v=""/>
    <n v="1439"/>
    <s v="KNIT WEFT KNITTED JERSEY PSCP COTTON 100% GSM-160 CW-172 CM/68 INCH "/>
    <s v="Black"/>
    <n v="-2.6799999999999997"/>
    <n v="8.0399999999999991"/>
    <m/>
    <n v="-8.0399999999999991"/>
    <m/>
    <n v="-8.0399999999999991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8.0399999999999991"/>
    <s v=""/>
    <n v="0"/>
    <n v="0"/>
    <n v="0"/>
  </r>
  <r>
    <s v="Primark Limited"/>
    <s v="ST.Primark.021.FY26-27.6"/>
    <m/>
    <m/>
    <m/>
    <m/>
    <s v=""/>
    <n v="1440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40.08"/>
    <s v=""/>
    <n v="0"/>
    <n v="0"/>
    <n v="0"/>
  </r>
  <r>
    <s v="Primark Limited"/>
    <s v="ST.Primark.021.FY26-27.7"/>
    <m/>
    <m/>
    <m/>
    <m/>
    <s v=""/>
    <n v="1441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40.08"/>
    <s v=""/>
    <n v="0"/>
    <n v="0"/>
    <n v="0"/>
  </r>
  <r>
    <s v="Primark Limited"/>
    <s v="ST.Primark.039.FY26-27.25"/>
    <m/>
    <m/>
    <m/>
    <m/>
    <s v=""/>
    <n v="1442"/>
    <s v="KNIT WEFT KNITTED JERSEY PSCP COTTON 100% GSM-160 CW-172 CM/68 INCH "/>
    <s v="Black Coffee / Ganache 19-1111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7.558"/>
    <s v=""/>
    <n v="0"/>
    <n v="0"/>
    <n v="0"/>
  </r>
  <r>
    <s v="Primark Limited"/>
    <s v="ST.Primark.039.FY26-27.26"/>
    <m/>
    <m/>
    <m/>
    <m/>
    <s v=""/>
    <n v="1443"/>
    <s v="KNIT WEFT KNITTED JERSEY PSCP COTTON 100% GSM-160 CW-172 CM/68 INCH "/>
    <s v="Black Coffee / Ganache 19-1111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26.402000000000001"/>
    <s v=""/>
    <n v="0"/>
    <n v="0"/>
    <n v="0"/>
  </r>
  <r>
    <s v="Primark Limited"/>
    <s v="ST.Primark.039.FY26-27.27"/>
    <m/>
    <m/>
    <m/>
    <m/>
    <s v=""/>
    <n v="1444"/>
    <s v="KNIT WEFT KNITTED JERSEY PSCP COTTON 100% GSM-160 CW-172 CM/68 INCH "/>
    <s v="Black Coffee / Ganache 19-1111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7.094999999999999"/>
    <s v=""/>
    <n v="0"/>
    <n v="0"/>
    <n v="0"/>
  </r>
  <r>
    <s v="Primark Limited"/>
    <s v="ST.Primark.039.FY26-27.28"/>
    <m/>
    <m/>
    <m/>
    <m/>
    <s v=""/>
    <n v="1445"/>
    <s v="KNIT WEFT KNITTED JERSEY PSCP COTTON 100% GSM-160 CW-172 CM/68 INCH "/>
    <s v="Black Coffee / Ganache 19-1111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7.094999999999999"/>
    <s v=""/>
    <n v="0"/>
    <n v="0"/>
    <n v="0"/>
  </r>
  <r>
    <s v="Primark Limited"/>
    <s v="ST.Primark.039.FY26-27.29"/>
    <m/>
    <m/>
    <m/>
    <m/>
    <s v=""/>
    <n v="1446"/>
    <s v="KNIT WEFT KNITTED JERSEY PSCP COTTON 100% GSM-160 CW-172 CM/68 INCH "/>
    <s v="Black Coffee / Ganache 19-1111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3.73"/>
    <s v=""/>
    <n v="0"/>
    <n v="0"/>
    <n v="0"/>
  </r>
  <r>
    <s v="Primark Limited"/>
    <s v="ST.Primark.039.FY26-27.3"/>
    <m/>
    <m/>
    <m/>
    <m/>
    <s v=""/>
    <n v="1447"/>
    <s v="KNIT WEFT KNITTED JERSEY PSCP COTTON 100% GSM-160 CW-172 CM/68 INCH "/>
    <s v="Black Coffee / Ganache 19-1111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6.6020000000000003"/>
    <s v=""/>
    <n v="0"/>
    <n v="0"/>
    <n v="0"/>
  </r>
  <r>
    <s v="Primark Limited"/>
    <s v="ST.Primark.039.FY26-27.30"/>
    <m/>
    <m/>
    <m/>
    <m/>
    <s v=""/>
    <n v="1448"/>
    <s v="KNIT WEFT KNITTED JERSEY PSCP COTTON 100% GSM-160 CW-172 CM/68 INCH "/>
    <s v="Black Coffee / Ganache 19-1111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24.222999999999999"/>
    <s v=""/>
    <n v="0"/>
    <n v="0"/>
    <n v="0"/>
  </r>
  <r>
    <s v="Primark Limited"/>
    <s v="ST.Primark.039.FY26-27.31"/>
    <m/>
    <m/>
    <m/>
    <m/>
    <s v=""/>
    <n v="1449"/>
    <s v="KNIT WEFT KNITTED JERSEY PSCP COTTON 100% GSM-160 CW-172 CM/68 INCH "/>
    <s v="Black Coffee / Ganache 19-1111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41.186"/>
    <s v=""/>
    <n v="0"/>
    <n v="0"/>
    <n v="0"/>
  </r>
  <r>
    <s v="Primark Limited"/>
    <s v="ST.Primark.039.FY26-27.4"/>
    <m/>
    <m/>
    <m/>
    <m/>
    <s v=""/>
    <n v="1450"/>
    <s v="KNIT WEFT KNITTED JERSEY PSCP COTTON 100% GSM-160 CW-172 CM/68 INCH "/>
    <s v="Black Coffee / Ganache 19-1111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9620000000000002"/>
    <s v=""/>
    <n v="0"/>
    <n v="0"/>
    <n v="0"/>
  </r>
  <r>
    <s v="Primark Limited"/>
    <s v="ST.Primark.039.FY26-27.5"/>
    <m/>
    <m/>
    <m/>
    <m/>
    <s v=""/>
    <n v="1451"/>
    <s v="KNIT WEFT KNITTED JERSEY PSCP COTTON 100% GSM-160 CW-172 CM/68 INCH "/>
    <s v="Black Coffee / Ganache 19-1111 TCX"/>
    <n v="-0.70466666666666666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2.1139999999999999"/>
    <s v=""/>
    <n v="0"/>
    <n v="0"/>
    <n v="0"/>
  </r>
  <r>
    <s v="Primark Limited"/>
    <s v="ST.Primark.039.FY26-27.6"/>
    <m/>
    <m/>
    <m/>
    <m/>
    <s v=""/>
    <n v="1452"/>
    <s v="KNIT WEFT KNITTED JERSEY PSCP COTTON 100% GSM-160 CW-172 CM/68 INCH "/>
    <s v="Black Coffee / Ganache 19-1111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0369999999999999"/>
    <s v=""/>
    <n v="0"/>
    <n v="0"/>
    <n v="0"/>
  </r>
  <r>
    <s v="Primark Limited"/>
    <s v="ST.TexgroupLtd.005.FY26-27.4"/>
    <m/>
    <m/>
    <m/>
    <m/>
    <s v=""/>
    <n v="1453"/>
    <s v="KNIT WEFT KNITTED JERSEY PSCP COTTON 95% LYCRA 5% GSM-160 CW-168 CM/66 INCH  "/>
    <s v="Pink-2"/>
    <n v="-180.96"/>
    <n v="542.88"/>
    <m/>
    <n v="-542.88"/>
    <m/>
    <n v="-542.88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542.88"/>
    <s v=""/>
    <n v="0"/>
    <n v="0"/>
    <n v="0"/>
  </r>
  <r>
    <s v="Primark Limited"/>
    <s v="ST.TexgroupLtd.005.FY26-27.5"/>
    <m/>
    <m/>
    <m/>
    <m/>
    <s v=""/>
    <n v="1454"/>
    <s v="KNIT WEFT KNITTED JERSEY PSCP COTTON 95% LYCRA 5% GSM-160 CW-168 CM/66 INCH  "/>
    <s v="Pink-2"/>
    <n v="-151.80633333333333"/>
    <n v="455.41899999999998"/>
    <m/>
    <n v="-455.41899999999998"/>
    <m/>
    <n v="-455.41899999999998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455.41899999999998"/>
    <s v=""/>
    <n v="0"/>
    <n v="0"/>
    <n v="0"/>
  </r>
  <r>
    <s v="Primark Limited"/>
    <s v="ST.TexgroupLtd.005.FY26-27.6"/>
    <m/>
    <m/>
    <m/>
    <m/>
    <s v=""/>
    <n v="1455"/>
    <s v="KNIT WEFT KNITTED JERSEY PSCP COTTON 95% LYCRA 5% GSM-160 CW-168 CM/66 INCH  "/>
    <s v="Pink-2"/>
    <n v="-36.192999999999998"/>
    <n v="108.57899999999999"/>
    <m/>
    <n v="-108.57899999999999"/>
    <m/>
    <n v="-108.57899999999999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08.57899999999999"/>
    <s v=""/>
    <n v="0"/>
    <n v="0"/>
    <n v="0"/>
  </r>
  <r>
    <s v="Primark Limited"/>
    <s v="ST.TexgroupLtd.005.FY26-27.7"/>
    <m/>
    <m/>
    <m/>
    <m/>
    <s v=""/>
    <n v="1456"/>
    <s v="KNIT WEFT KNITTED JERSEY PSCP COTTON 95% LYCRA 5% GSM-160 CW-168 CM/66 INCH  "/>
    <s v="Pink-2"/>
    <n v="-165.13033333333334"/>
    <n v="495.39100000000002"/>
    <m/>
    <n v="-495.39100000000002"/>
    <m/>
    <n v="-495.39100000000002"/>
    <s v="461374"/>
    <s v="Solid"/>
    <x v="17"/>
    <d v="2026-10-22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495.39100000000002"/>
    <s v=""/>
    <n v="0"/>
    <n v="0"/>
    <n v="0"/>
  </r>
  <r>
    <s v="Primark Limited"/>
    <s v="ST.TexgroupLtd.005.FY26-27.7"/>
    <m/>
    <m/>
    <m/>
    <m/>
    <s v=""/>
    <n v="1456"/>
    <s v="KNIT WEFT KNITTED JERSEY PSCP COTTON 95% LYCRA 5% GSM-160 CW-168 CM/66 INCH  "/>
    <s v="Pink-2"/>
    <n v="-31.916"/>
    <n v="95.748000000000005"/>
    <m/>
    <n v="-95.748000000000005"/>
    <m/>
    <n v="-95.748000000000005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95.748000000000005"/>
    <s v=""/>
    <n v="0"/>
    <n v="0"/>
    <n v="0"/>
  </r>
  <r>
    <s v="Primark Limited"/>
    <s v="ST.TexgroupLtd.005.FY26-27.8"/>
    <m/>
    <m/>
    <m/>
    <m/>
    <s v=""/>
    <n v="1457"/>
    <s v="KNIT WEFT KNITTED JERSEY PSCP COTTON 95% LYCRA 5% GSM-160 CW-168 CM/66 INCH  "/>
    <s v="Pink-2"/>
    <n v="-287.5263333333333"/>
    <n v="862.57899999999995"/>
    <m/>
    <n v="-862.57899999999995"/>
    <m/>
    <n v="-862.57899999999995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862.57899999999995"/>
    <s v=""/>
    <n v="0"/>
    <n v="0"/>
    <n v="0"/>
  </r>
  <r>
    <s v="Primark Limited"/>
    <s v="ST.TexgroupLtd.005.FY26-27.9"/>
    <m/>
    <m/>
    <m/>
    <m/>
    <s v=""/>
    <n v="1458"/>
    <s v="KNIT WEFT KNITTED JERSEY PSCP COTTON 95% LYCRA 5% GSM-160 CW-168 CM/66 INCH  "/>
    <s v="Pink-2"/>
    <n v="-347.22433333333333"/>
    <n v="1041.673"/>
    <m/>
    <n v="-1041.673"/>
    <m/>
    <n v="-1041.673"/>
    <s v="461374"/>
    <s v="Solid"/>
    <x v="4"/>
    <d v="2026-10-26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041.673"/>
    <s v=""/>
    <n v="0"/>
    <n v="0"/>
    <n v="0"/>
  </r>
  <r>
    <s v="Primark Limited"/>
    <s v="ST.TexgroupLtd.005.FY26-27.9"/>
    <m/>
    <m/>
    <m/>
    <m/>
    <s v=""/>
    <n v="1458"/>
    <s v="KNIT WEFT KNITTED JERSEY PSCP COTTON 95% LYCRA 5% GSM-160 CW-168 CM/66 INCH  "/>
    <s v="Pink-2"/>
    <n v="-72.000666666666675"/>
    <n v="216.00200000000001"/>
    <m/>
    <n v="-216.00200000000001"/>
    <m/>
    <n v="-216.00200000000001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216.00200000000001"/>
    <s v=""/>
    <n v="0"/>
    <n v="0"/>
    <n v="0"/>
  </r>
  <r>
    <s v="Primark Limited"/>
    <s v="ST.TexgroupLtd.005.FY26-27.1"/>
    <m/>
    <m/>
    <m/>
    <m/>
    <s v=""/>
    <n v="1459"/>
    <s v="KNIT WEFT KNITTED JERSEY PSCP COTTON 95% LYCRA 5% GSM-160 CW-168 CM/66 INCH  "/>
    <s v="Salt Water Slide 12-4611 TCX"/>
    <n v="-0.40266666666666667"/>
    <n v="1.208"/>
    <m/>
    <n v="-1.208"/>
    <m/>
    <n v="-1.208"/>
    <s v="461374"/>
    <s v="Solid"/>
    <x v="13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1.208"/>
    <s v=""/>
    <n v="150"/>
    <n v="0.78200000000000003"/>
    <n v="150"/>
  </r>
  <r>
    <s v="Primark Limited"/>
    <s v="ST.TexgroupLtd.005.FY26-27.10"/>
    <m/>
    <m/>
    <m/>
    <m/>
    <s v=""/>
    <n v="1460"/>
    <s v="KNIT WEFT KNITTED JERSEY PSCP COTTON 95% LYCRA 5% GSM-160 CW-168 CM/66 INCH  "/>
    <s v="Salt Water Slide 12-4611 TCX"/>
    <n v="-64.342666666666659"/>
    <n v="193.02799999999999"/>
    <m/>
    <n v="-193.02799999999999"/>
    <m/>
    <n v="-193.02799999999999"/>
    <s v="461374"/>
    <s v="Solid"/>
    <x v="13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193.02799999999999"/>
    <s v=""/>
    <n v="150"/>
    <n v="0.78200000000000003"/>
    <n v="150"/>
  </r>
  <r>
    <s v="Primark Limited"/>
    <s v="ST.TexgroupLtd.005.FY26-27.11"/>
    <m/>
    <m/>
    <m/>
    <m/>
    <s v=""/>
    <n v="1461"/>
    <s v="KNIT WEFT KNITTED JERSEY PSCP COTTON 95% LYCRA 5% GSM-160 CW-168 CM/66 INCH  "/>
    <s v="Salt Water Slide 12-4611 TCX"/>
    <n v="-120.64"/>
    <n v="361.92"/>
    <m/>
    <n v="-361.92"/>
    <m/>
    <n v="-361.92"/>
    <s v="461374"/>
    <s v="Solid"/>
    <x v="13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361.92"/>
    <s v=""/>
    <n v="150"/>
    <n v="0.78200000000000003"/>
    <n v="150"/>
  </r>
  <r>
    <s v="Primark Limited"/>
    <s v="ST.TexgroupLtd.005.FY26-27.12"/>
    <m/>
    <m/>
    <m/>
    <m/>
    <s v=""/>
    <n v="1462"/>
    <s v="KNIT WEFT KNITTED JERSEY PSCP COTTON 95% LYCRA 5% GSM-160 CW-168 CM/66 INCH  "/>
    <s v="Salt Water Slide 12-4611 TCX"/>
    <n v="-100.53333333333335"/>
    <n v="301.60000000000002"/>
    <m/>
    <n v="-301.60000000000002"/>
    <m/>
    <n v="-301.60000000000002"/>
    <s v="461374"/>
    <s v="Solid"/>
    <x v="13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301.60000000000002"/>
    <s v=""/>
    <n v="150"/>
    <n v="0.78200000000000003"/>
    <n v="150"/>
  </r>
  <r>
    <s v="Primark Limited"/>
    <s v="ST.TexgroupLtd.005.FY26-27.13"/>
    <m/>
    <m/>
    <m/>
    <m/>
    <s v=""/>
    <n v="1463"/>
    <s v="KNIT WEFT KNITTED JERSEY PSCP COTTON 95% LYCRA 5% GSM-160 CW-168 CM/66 INCH  "/>
    <s v="Salt Water Slide 12-4611 TCX"/>
    <n v="-0.73"/>
    <n v="2.19"/>
    <m/>
    <n v="-2.19"/>
    <m/>
    <n v="-2.19"/>
    <s v="461374"/>
    <s v="Solid"/>
    <x v="13"/>
    <d v="2026-10-1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2.19"/>
    <s v=""/>
    <n v="150"/>
    <n v="0.78200000000000003"/>
    <n v="150"/>
  </r>
  <r>
    <s v="Primark Limited"/>
    <s v="ST.TexgroupLtd.005.FY26-27.13"/>
    <m/>
    <m/>
    <m/>
    <m/>
    <s v=""/>
    <n v="1463"/>
    <s v="KNIT WEFT KNITTED JERSEY PSCP COTTON 95% LYCRA 5% GSM-160 CW-168 CM/66 INCH  "/>
    <s v="Salt Water Slide 12-4611 TCX"/>
    <n v="-129.96333333333334"/>
    <n v="389.89"/>
    <m/>
    <n v="-389.89"/>
    <m/>
    <n v="-389.89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389.89"/>
    <s v=""/>
    <n v="150"/>
    <n v="0.78200000000000003"/>
    <n v="150"/>
  </r>
  <r>
    <s v="Primark Limited"/>
    <s v="ST.TexgroupLtd.005.FY26-27.14"/>
    <m/>
    <m/>
    <m/>
    <m/>
    <s v=""/>
    <n v="1464"/>
    <s v="KNIT WEFT KNITTED JERSEY PSCP COTTON 95% LYCRA 5% GSM-160 CW-168 CM/66 INCH  "/>
    <s v="Salt Water Slide 12-4611 TCX"/>
    <n v="-144.76933333333332"/>
    <n v="434.30799999999999"/>
    <m/>
    <n v="-434.30799999999999"/>
    <m/>
    <n v="-434.30799999999999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434.30799999999999"/>
    <s v=""/>
    <n v="150"/>
    <n v="0.78200000000000003"/>
    <n v="150"/>
  </r>
  <r>
    <s v="Primark Limited"/>
    <s v="ST.TexgroupLtd.005.FY26-27.15"/>
    <m/>
    <m/>
    <m/>
    <m/>
    <s v=""/>
    <n v="1465"/>
    <s v="KNIT WEFT KNITTED JERSEY PSCP COTTON 95% LYCRA 5% GSM-160 CW-168 CM/66 INCH  "/>
    <s v="Salt Water Slide 12-4611 TCX"/>
    <s v=""/>
    <n v="630.34799999999996"/>
    <m/>
    <n v="-630.34799999999996"/>
    <m/>
    <n v="-630.34799999999996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630.34799999999996"/>
    <s v=""/>
    <n v="150"/>
    <n v="0.78200000000000003"/>
    <n v="150"/>
  </r>
  <r>
    <s v="Primark Limited"/>
    <s v="ST.TexgroupLtd.005.FY26-27.3"/>
    <m/>
    <m/>
    <m/>
    <m/>
    <s v=""/>
    <n v="1466"/>
    <s v="KNIT WEFT KNITTED JERSEY PSCP COTTON 100% GSM-140 CW-172 CM/68 INCH "/>
    <s v="Salt Water Slide 12-4611 TCX"/>
    <n v="-51.946666666666665"/>
    <n v="155.84"/>
    <m/>
    <n v="-155.84"/>
    <m/>
    <n v="-155.84"/>
    <s v="461374"/>
    <s v="Solid"/>
    <x v="13"/>
    <d v="2026-10-19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155.84"/>
    <s v=""/>
    <n v="24"/>
    <n v="1.0999999999999999E-2"/>
    <n v="24"/>
  </r>
  <r>
    <s v="Primark Limited"/>
    <s v="ST.TexgroupLtd.005.FY26-27.3"/>
    <m/>
    <m/>
    <m/>
    <m/>
    <s v=""/>
    <n v="1466"/>
    <s v="KNIT WEFT KNITTED JERSEY PSCP COTTON 100% GSM-140 CW-172 CM/68 INCH "/>
    <s v="Salt Water Slide 12-4611 TCX"/>
    <n v="-66.666666666666671"/>
    <n v="200"/>
    <m/>
    <n v="-200"/>
    <m/>
    <n v="-200"/>
    <s v="461374"/>
    <s v="Solid"/>
    <x v="17"/>
    <d v="2026-10-22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200"/>
    <s v=""/>
    <n v="24"/>
    <n v="1.0999999999999999E-2"/>
    <n v="24"/>
  </r>
  <r>
    <s v="Primark Limited"/>
    <s v="ST.TexgroupLtd.005.FY26-27.3"/>
    <m/>
    <m/>
    <m/>
    <m/>
    <s v=""/>
    <n v="1466"/>
    <s v="KNIT WEFT KNITTED JERSEY PSCP COTTON 100% GSM-140 CW-172 CM/68 INCH "/>
    <s v="Salt Water Slide 12-4611 TCX"/>
    <n v="-25.386666666666667"/>
    <n v="76.16"/>
    <m/>
    <n v="-76.16"/>
    <m/>
    <n v="-76.16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76.16"/>
    <s v=""/>
    <n v="24"/>
    <n v="1.0999999999999999E-2"/>
    <n v="24"/>
  </r>
  <r>
    <s v="Primark Limited"/>
    <s v="ST.TexgroupLtd.005.FY26-27.4"/>
    <m/>
    <m/>
    <m/>
    <m/>
    <s v=""/>
    <n v="1467"/>
    <s v="KNIT WEFT KNITTED JERSEY PSCP COTTON 100% GSM-140 CW-172 CM/68 INCH "/>
    <s v="Salt Water Slide 12-4611 TCX"/>
    <n v="-28.8"/>
    <n v="86.4"/>
    <m/>
    <n v="-86.4"/>
    <m/>
    <n v="-86.4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s v=""/>
    <s v=""/>
    <n v="24"/>
    <n v="1.0999999999999999E-2"/>
    <n v="24"/>
  </r>
  <r>
    <s v="Primark Limited"/>
    <s v="ST.TexgroupLtd.005.FY26-27.5"/>
    <m/>
    <m/>
    <m/>
    <m/>
    <s v=""/>
    <n v="1468"/>
    <s v="KNIT WEFT KNITTED JERSEY PSCP COTTON 100% GSM-140 CW-172 CM/68 INCH "/>
    <s v="Salt Water Slide 12-4611 TCX"/>
    <n v="-12.479999999999999"/>
    <n v="37.44"/>
    <m/>
    <n v="-37.44"/>
    <m/>
    <n v="-37.44"/>
    <s v="461374"/>
    <s v="Solid"/>
    <x v="4"/>
    <d v="2026-10-26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37.44"/>
    <s v=""/>
    <n v="24"/>
    <n v="1.0999999999999999E-2"/>
    <n v="24"/>
  </r>
  <r>
    <s v="Primark Limited"/>
    <s v="ST.TexgroupLtd.005.FY26-27.5"/>
    <m/>
    <m/>
    <m/>
    <m/>
    <s v=""/>
    <n v="1468"/>
    <s v="KNIT WEFT KNITTED JERSEY PSCP COTTON 100% GSM-140 CW-172 CM/68 INCH "/>
    <s v="Salt Water Slide 12-4611 TCX"/>
    <n v="-11.68"/>
    <n v="35.04"/>
    <m/>
    <n v="-35.04"/>
    <m/>
    <n v="-35.04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35.04"/>
    <s v=""/>
    <n v="24"/>
    <n v="1.0999999999999999E-2"/>
    <n v="24"/>
  </r>
  <r>
    <s v="Primark Limited"/>
    <s v="ST.TexgroupLtd.005.FY26-27.6"/>
    <m/>
    <m/>
    <m/>
    <m/>
    <s v=""/>
    <n v="1469"/>
    <s v="KNIT WEFT KNITTED JERSEY PSCP COTTON 100% GSM-140 CW-172 CM/68 INCH "/>
    <s v="Salt Water Slide 12-4611 TCX"/>
    <n v="-5.7600000000000007"/>
    <n v="17.28"/>
    <m/>
    <n v="-17.28"/>
    <m/>
    <n v="-17.28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17.28"/>
    <s v=""/>
    <n v="24"/>
    <n v="1.0999999999999999E-2"/>
    <n v="24"/>
  </r>
  <r>
    <s v="Primark Limited"/>
    <s v="ST.TexgroupLtd.005.FY26-27.7"/>
    <m/>
    <m/>
    <m/>
    <m/>
    <s v=""/>
    <n v="1470"/>
    <s v="KNIT WEFT KNITTED JERSEY PSCP COTTON 100% GSM-140 CW-172 CM/68 INCH "/>
    <s v="Salt Water Slide 12-4611 TCX"/>
    <n v="-31.36"/>
    <n v="94.08"/>
    <m/>
    <n v="-94.08"/>
    <m/>
    <n v="-94.08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94.08"/>
    <s v=""/>
    <n v="24"/>
    <n v="1.0999999999999999E-2"/>
    <n v="24"/>
  </r>
  <r>
    <s v="Primark Limited"/>
    <s v="ST.TexgroupLtd.005.FY26-27.8"/>
    <m/>
    <m/>
    <m/>
    <m/>
    <s v=""/>
    <n v="1471"/>
    <s v="KNIT WEFT KNITTED JERSEY PSCP COTTON 100% GSM-140 CW-172 CM/68 INCH "/>
    <s v="Salt Water Slide 12-4611 TCX"/>
    <n v="-17.866666666666667"/>
    <n v="53.6"/>
    <m/>
    <n v="-53.6"/>
    <m/>
    <n v="-53.6"/>
    <s v="461374"/>
    <s v="Solid"/>
    <x v="15"/>
    <d v="2026-10-28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53.6"/>
    <s v=""/>
    <n v="24"/>
    <n v="1.0999999999999999E-2"/>
    <n v="24"/>
  </r>
  <r>
    <s v="Primark Limited"/>
    <s v="ST.TexgroupLtd.005.FY26-27.8"/>
    <m/>
    <m/>
    <m/>
    <m/>
    <s v=""/>
    <n v="1471"/>
    <s v="KNIT WEFT KNITTED JERSEY PSCP COTTON 100% GSM-140 CW-172 CM/68 INCH "/>
    <s v="Salt Water Slide 12-4611 TCX"/>
    <n v="-27.893333333333334"/>
    <n v="83.68"/>
    <m/>
    <n v="-83.68"/>
    <m/>
    <n v="-83.68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83.68"/>
    <s v=""/>
    <n v="24"/>
    <n v="1.0999999999999999E-2"/>
    <n v="24"/>
  </r>
  <r>
    <s v="Primark Limited"/>
    <s v="ST.TexgroupLtd.005.FY26-27.9"/>
    <m/>
    <m/>
    <m/>
    <m/>
    <s v=""/>
    <n v="1472"/>
    <s v="KNIT WEFT KNITTED JERSEY PSCP COTTON 100% GSM-140 CW-172 CM/68 INCH "/>
    <s v="Salt Water Slide 12-4611 TCX"/>
    <n v="-38.773333333333333"/>
    <n v="116.32"/>
    <m/>
    <n v="-116.32"/>
    <m/>
    <n v="-116.32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116.32"/>
    <s v=""/>
    <n v="24"/>
    <n v="1.0999999999999999E-2"/>
    <n v="24"/>
  </r>
  <r>
    <s v="Primark Limited"/>
    <s v="ST.TexgroupLtd.005.FY26-27.9"/>
    <m/>
    <m/>
    <m/>
    <m/>
    <s v=""/>
    <n v="1472"/>
    <s v="KNIT WEFT KNITTED JERSEY PSCP COTTON 100% GSM-140 CW-172 CM/68 INCH "/>
    <s v="Salt Water Slide 12-4611 TCX"/>
    <n v="-27.946666666666669"/>
    <n v="83.84"/>
    <m/>
    <n v="-83.84"/>
    <m/>
    <n v="-83.84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n v="83.84"/>
    <s v=""/>
    <n v="24"/>
    <n v="1.0999999999999999E-2"/>
    <n v="24"/>
  </r>
  <r>
    <s v="Primark Limited"/>
    <s v="ST.TexgroupLtd.005.FY26-27.1"/>
    <m/>
    <m/>
    <m/>
    <m/>
    <s v=""/>
    <n v="1473"/>
    <s v="KNIT WEFT KNITTED JERSEY PSCP COTTON 95% LYCRA 5% GSM-160 CW-168 CM/66 INCH  "/>
    <s v="11-0515 TCX Lemon Icing"/>
    <n v="-0.40266666666666667"/>
    <n v="1.208"/>
    <m/>
    <n v="-1.208"/>
    <m/>
    <n v="-1.208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60"/>
    <s v="461374160Lemon Icing (11-0515 TCX)"/>
    <n v="166"/>
    <n v="10232.98"/>
    <n v="0"/>
    <n v="9124.6380000000008"/>
    <s v=""/>
    <s v=""/>
    <n v="1.208"/>
    <s v=""/>
    <n v="166"/>
    <n v="0.86599999999999999"/>
    <n v="166"/>
  </r>
  <r>
    <s v="Primark Limited"/>
    <s v="ST.Primark.039.FY26-27.8"/>
    <m/>
    <m/>
    <m/>
    <m/>
    <s v=""/>
    <n v="1474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3.0369999999999999"/>
    <s v=""/>
    <n v="0"/>
    <n v="0"/>
    <n v="0"/>
  </r>
  <r>
    <s v="Primark Limited"/>
    <s v="ST.Primark.039.FY26-27.9"/>
    <m/>
    <m/>
    <m/>
    <m/>
    <s v=""/>
    <n v="1475"/>
    <s v="KNIT WEFT KNITTED JERSEY PSCP COTTON 100% GSM-160 CW-172 CM/68 INCH "/>
    <s v="Sand Dollar / Vanilla 13-1106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4.4889999999999999"/>
    <s v=""/>
    <n v="0"/>
    <n v="0"/>
    <n v="0"/>
  </r>
  <r>
    <s v="Primark Limited"/>
    <s v="ST.Primark.006.FY26-27.9"/>
    <m/>
    <m/>
    <m/>
    <m/>
    <s v=""/>
    <n v="1476"/>
    <s v="KNIT WEFT KNITTED JERSEY PSCP COTTON 100% GSM-140 CW-172 CM/68 INCH "/>
    <s v="Black"/>
    <s v=""/>
    <n v="5.61"/>
    <m/>
    <n v="-5.61"/>
    <m/>
    <n v="-5.61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5.61"/>
    <s v=""/>
    <n v="0"/>
    <n v="0"/>
    <n v="0"/>
  </r>
  <r>
    <s v="Primark Limited"/>
    <s v="ST.Primark.040.FY26-27.29"/>
    <m/>
    <m/>
    <m/>
    <m/>
    <s v=""/>
    <n v="1477"/>
    <s v="KNIT WEFT KNITTED JERSEY PSCP COTTON 100% GSM-160 CW-172 CM/68 INCH "/>
    <s v="Black Coffee / Ganache 19-1111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7.492000000000001"/>
    <s v=""/>
    <n v="0"/>
    <n v="0"/>
    <n v="0"/>
  </r>
  <r>
    <s v="Primark Limited"/>
    <s v="ST.Primark.040.FY26-27.3"/>
    <m/>
    <m/>
    <m/>
    <m/>
    <s v=""/>
    <n v="1478"/>
    <s v="KNIT WEFT KNITTED JERSEY PSCP COTTON 100% GSM-160 CW-172 CM/68 INCH "/>
    <s v="Black Coffee / Ganache 19-1111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3.202"/>
    <s v=""/>
    <n v="0"/>
    <n v="0"/>
    <n v="0"/>
  </r>
  <r>
    <s v="Primark Limited"/>
    <s v="ST.Primark.039.FY26-27.15"/>
    <m/>
    <m/>
    <m/>
    <m/>
    <s v=""/>
    <n v="1479"/>
    <s v="KNIT WEFT KNITTED JERSEY PSCP COTTON 100% GSM-160 CW-172 CM/68 INCH "/>
    <s v="Black Coffee / Ganache 19-1111 TCX"/>
    <n v="0"/>
    <n v="80.19"/>
    <n v="80.1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16"/>
    <m/>
    <m/>
    <m/>
    <m/>
    <s v=""/>
    <n v="1480"/>
    <s v="KNIT WEFT KNITTED JERSEY PSCP COTTON 100% GSM-160 CW-172 CM/68 INCH "/>
    <s v="Black Coffee / Ganache 19-1111 TCX"/>
    <n v="0"/>
    <n v="106.92"/>
    <n v="106.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s v=""/>
    <s v=""/>
    <s v=""/>
    <n v="0"/>
    <s v=""/>
    <n v="3975"/>
    <n v="1.0149999999999999"/>
    <n v="161.52000000000044"/>
  </r>
  <r>
    <s v="Primark Limited"/>
    <s v="ST.Primark.039.FY26-27.17"/>
    <m/>
    <m/>
    <m/>
    <m/>
    <s v=""/>
    <n v="1481"/>
    <s v="KNIT WEFT KNITTED JERSEY PSCP COTTON 100% GSM-160 CW-172 CM/68 INCH "/>
    <s v="Black Coffee / Ganache 19-1111 TCX"/>
    <n v="0"/>
    <n v="80.19"/>
    <n v="80.1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4"/>
    <m/>
    <m/>
    <m/>
    <m/>
    <s v=""/>
    <n v="1482"/>
    <s v="KNIT WEFT KNITTED JERSEY PSCP COTTON 100% GSM-160 CW-172 CM/68 INCH "/>
    <s v="Black Coffee / Ganache 19-1111 TCX"/>
    <n v="0"/>
    <n v="89.1"/>
    <n v="89.1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s v=""/>
    <s v=""/>
    <n v="3975"/>
    <n v="1.0149999999999999"/>
    <n v="161.52000000000044"/>
  </r>
  <r>
    <s v="Primark Limited"/>
    <s v="ST.Primark.039.FY26-27.5"/>
    <m/>
    <m/>
    <m/>
    <m/>
    <s v=""/>
    <n v="1483"/>
    <s v="KNIT WEFT KNITTED JERSEY PSCP COTTON 100% GSM-160 CW-172 CM/68 INCH "/>
    <s v="Black Coffee / Ganache 19-1111 TCX"/>
    <n v="0"/>
    <n v="47.52"/>
    <n v="47.52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6"/>
    <m/>
    <m/>
    <m/>
    <m/>
    <s v=""/>
    <n v="1484"/>
    <s v="KNIT WEFT KNITTED JERSEY PSCP COTTON 100% GSM-160 CW-172 CM/68 INCH "/>
    <s v="Black Coffee / Ganache 19-1111 TCX"/>
    <n v="0"/>
    <n v="68.31"/>
    <n v="68.3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s v=""/>
    <s v=""/>
    <s v=""/>
    <n v="0"/>
    <s v=""/>
    <n v="3975"/>
    <n v="1.0149999999999999"/>
    <n v="161.52000000000044"/>
  </r>
  <r>
    <s v="Primark Limited"/>
    <s v="ST.Primark.039.FY26-27.7"/>
    <m/>
    <m/>
    <m/>
    <m/>
    <s v=""/>
    <n v="1485"/>
    <s v="KNIT WEFT KNITTED JERSEY PSCP COTTON 100% GSM-160 CW-172 CM/68 INCH "/>
    <s v="Black Coffee / Ganache 19-1111 TCX"/>
    <s v=""/>
    <n v="89.1"/>
    <n v="89.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s v=""/>
    <s v=""/>
    <n v="3975"/>
    <n v="1.0149999999999999"/>
    <n v="161.52000000000044"/>
  </r>
  <r>
    <s v="Primark Limited"/>
    <s v="ST.Primark.039.FY26-27.8"/>
    <m/>
    <m/>
    <m/>
    <m/>
    <s v=""/>
    <n v="1486"/>
    <s v="KNIT WEFT KNITTED JERSEY PSCP COTTON 100% GSM-160 CW-172 CM/68 INCH "/>
    <s v="Black Coffee / Ganache 19-1111 TCX"/>
    <n v="0"/>
    <n v="68.31"/>
    <n v="68.3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9"/>
    <m/>
    <m/>
    <m/>
    <m/>
    <s v=""/>
    <n v="1487"/>
    <s v="KNIT WEFT KNITTED JERSEY PSCP COTTON 100% GSM-160 CW-172 CM/68 INCH "/>
    <s v="Black Coffee / Ganache 19-1111 TCX"/>
    <n v="0"/>
    <n v="100.98"/>
    <n v="100.98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10"/>
    <m/>
    <m/>
    <m/>
    <m/>
    <s v=""/>
    <n v="1488"/>
    <s v="KNIT WEFT KNITTED JERSEY PSCP COTTON 100% GSM-160 CW-172 CM/68 INCH "/>
    <s v="Brush / Honey 16-1317 TCX"/>
    <n v="0"/>
    <n v="100.98"/>
    <n v="100.98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s v=""/>
    <n v="3813.4799999999996"/>
    <s v=""/>
    <s v=""/>
    <n v="0"/>
    <s v=""/>
    <n v="3852.08"/>
    <n v="0.98399999999999999"/>
    <s v=""/>
  </r>
  <r>
    <s v="Primark Limited"/>
    <s v="ST.Primark.021.FY26-27.5"/>
    <m/>
    <m/>
    <m/>
    <m/>
    <s v=""/>
    <n v="1489"/>
    <s v="KNIT WEFT KNITTED JERSEY PSCP COTTON 100% GSM-160 CW-172 CM/68 INCH "/>
    <s v="Black"/>
    <n v="0"/>
    <n v="795.96"/>
    <n v="795.96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6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0"/>
    <s v=""/>
    <n v="8570.19"/>
    <n v="0.77800000000000002"/>
    <n v="1366.2000000000007"/>
  </r>
  <r>
    <s v="Primark Limited"/>
    <s v="ST.Primark.021.FY26-27.6"/>
    <m/>
    <m/>
    <m/>
    <m/>
    <s v=""/>
    <n v="1490"/>
    <s v="KNIT WEFT KNITTED JERSEY PSCP COTTON 100% GSM-160 CW-172 CM/68 INCH "/>
    <s v="Black"/>
    <s v=""/>
    <n v="289.27999999999997"/>
    <n v="289.27999999999997"/>
    <n v="0"/>
    <m/>
    <n v="0"/>
    <s v="448768"/>
    <s v="Solid"/>
    <x v="34"/>
    <d v="2026-10-10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0"/>
    <s v=""/>
    <n v="8570.19"/>
    <n v="0.77800000000000002"/>
    <n v="1366.2000000000007"/>
  </r>
  <r>
    <s v="Primark Limited"/>
    <s v="ST.Primark.021.FY26-27.6"/>
    <m/>
    <m/>
    <m/>
    <m/>
    <s v=""/>
    <n v="1490"/>
    <s v="KNIT WEFT KNITTED JERSEY PSCP COTTON 100% GSM-160 CW-172 CM/68 INCH "/>
    <s v="Black"/>
    <n v="0"/>
    <n v="2000"/>
    <n v="2000"/>
    <n v="0"/>
    <m/>
    <n v="0"/>
    <s v="448768"/>
    <s v="Solid"/>
    <x v="53"/>
    <d v="2026-10-12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0"/>
    <s v=""/>
    <n v="8570.19"/>
    <n v="0.77800000000000002"/>
    <n v="1366.2000000000007"/>
  </r>
  <r>
    <s v="Primark Limited"/>
    <s v="ST.Primark.021.FY26-27.6"/>
    <m/>
    <m/>
    <m/>
    <m/>
    <s v=""/>
    <n v="1490"/>
    <s v="KNIT WEFT KNITTED JERSEY PSCP COTTON 100% GSM-160 CW-172 CM/68 INCH "/>
    <s v="Black"/>
    <n v="0"/>
    <n v="1678.64"/>
    <n v="1678.64"/>
    <n v="0"/>
    <m/>
    <n v="0"/>
    <s v="448768"/>
    <s v="Solid"/>
    <x v="25"/>
    <d v="2026-10-14T00:00:00"/>
    <s v="(10-16)th Oct- 2k mtr in every alternate day"/>
    <s v="Revised Plan given as per revised date"/>
    <m/>
    <s v="Oct"/>
    <d v="2026-10-01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0"/>
    <s v=""/>
    <n v="8570.19"/>
    <n v="0.77800000000000002"/>
    <n v="1366.2000000000007"/>
  </r>
  <r>
    <s v="Primark Limited"/>
    <s v="ST.Primark.021.FY26-27.7"/>
    <m/>
    <m/>
    <m/>
    <m/>
    <s v=""/>
    <n v="1491"/>
    <s v="KNIT WEFT KNITTED JERSEY PSCP COTTON 100% GSM-160 CW-172 CM/68 INCH "/>
    <s v="Black"/>
    <n v="0"/>
    <n v="321.36"/>
    <n v="321.36"/>
    <n v="0"/>
    <m/>
    <n v="0"/>
    <s v="448768"/>
    <s v="Solid"/>
    <x v="25"/>
    <d v="2026-10-14T00:00:00"/>
    <s v="(10-16)th Oct- 2k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0"/>
    <s v=""/>
    <n v="8570.19"/>
    <n v="0.77800000000000002"/>
    <n v="1366.2000000000007"/>
  </r>
  <r>
    <s v="Primark Limited"/>
    <s v="ST.Primark.021.FY26-27.7"/>
    <m/>
    <m/>
    <m/>
    <m/>
    <s v=""/>
    <n v="1491"/>
    <s v="KNIT WEFT KNITTED JERSEY PSCP COTTON 100% GSM-160 CW-172 CM/68 INCH "/>
    <s v="Black"/>
    <n v="-814.18999999999994"/>
    <n v="3646.56"/>
    <n v="1203.99"/>
    <n v="-2442.5699999999997"/>
    <m/>
    <n v="-2442.5699999999997"/>
    <s v="448768"/>
    <s v="Solid"/>
    <x v="26"/>
    <d v="2026-10-16T00:00:00"/>
    <s v="(10-16)th Oct- 2k mtr in every alternate day"/>
    <s v="Revised Plan given as per revised date"/>
    <m/>
    <s v="Oct"/>
    <d v="2026-10-07T00:00:00"/>
    <m/>
    <m/>
    <m/>
    <m/>
    <m/>
    <m/>
    <m/>
    <m/>
    <m/>
    <m/>
    <s v="448768"/>
    <s v="Black"/>
    <n v="160"/>
    <s v="448768160Black"/>
    <n v="8570.19"/>
    <n v="2442.5700000000002"/>
    <n v="7203.99"/>
    <n v="9646.56"/>
    <s v=""/>
    <s v=""/>
    <n v="2442.5699999999997"/>
    <s v=""/>
    <n v="8570.19"/>
    <n v="0.77800000000000002"/>
    <n v="1366.2000000000007"/>
  </r>
  <r>
    <s v="Primark Limited"/>
    <s v="ST.Primark.040.FY26-27.20"/>
    <m/>
    <m/>
    <m/>
    <m/>
    <s v=""/>
    <n v="1492"/>
    <s v="KNIT WEFT KNITTED JERSEY PSCP COTTON 100% GSM-140 CW-172 CM/68 INCH "/>
    <s v="Brush / Honey 16-1317 TCX"/>
    <s v=""/>
    <n v="14.7"/>
    <m/>
    <n v="-14.7"/>
    <m/>
    <n v="-14.7"/>
    <s v="450567"/>
    <s v="Solid"/>
    <x v="55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14.7"/>
    <s v=""/>
    <n v="0"/>
    <n v="0"/>
    <n v="0"/>
  </r>
  <r>
    <s v="Primark Limited"/>
    <s v="ST.Primark.040.FY26-27.21"/>
    <m/>
    <m/>
    <m/>
    <m/>
    <s v=""/>
    <n v="1493"/>
    <s v="KNIT WEFT KNITTED JERSEY PSCP COTTON 100% GSM-140 CW-172 CM/68 INCH "/>
    <s v="Brush / Honey 16-1317 TCX"/>
    <n v="-4.8999999999999995"/>
    <n v="14.7"/>
    <m/>
    <n v="-14.7"/>
    <m/>
    <n v="-14.7"/>
    <s v="450567"/>
    <s v="Solid"/>
    <x v="55"/>
    <d v="2026-10-14T00:00:00"/>
    <d v="2026-10-13T00:00:00"/>
    <s v="Hues Agreed qty as per SQBL required date"/>
    <m/>
    <s v="Oct"/>
    <d v="2026-10-27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14.7"/>
    <s v=""/>
    <n v="0"/>
    <n v="0"/>
    <n v="0"/>
  </r>
  <r>
    <s v="Primark Limited"/>
    <s v="ST.Primark.040.FY26-27.25"/>
    <m/>
    <m/>
    <m/>
    <m/>
    <s v=""/>
    <n v="1494"/>
    <s v="KNIT WEFT KNITTED JERSEY PSCP COTTON 100% GSM-140 CW-172 CM/68 INCH "/>
    <s v="Brush / Honey 16-1317 TCX"/>
    <s v=""/>
    <n v="29.402000000000001"/>
    <m/>
    <n v="-29.402000000000001"/>
    <m/>
    <n v="-29.402000000000001"/>
    <s v="450567"/>
    <s v="Solid"/>
    <x v="55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29.402000000000001"/>
    <s v=""/>
    <n v="0"/>
    <n v="0"/>
    <n v="0"/>
  </r>
  <r>
    <s v="Primark Limited"/>
    <s v="ST.TexgroupLtd.005.FY26-27.7"/>
    <m/>
    <m/>
    <m/>
    <m/>
    <s v=""/>
    <n v="1495"/>
    <s v="KNIT WEFT KNITTED JERSEY PSCP COTTON 95% LYCRA 5% GSM-160 CW-168 CM/66 INCH  "/>
    <s v="PINK-1"/>
    <n v="-197.04633333333334"/>
    <n v="591.13900000000001"/>
    <m/>
    <n v="-591.13900000000001"/>
    <m/>
    <n v="-591.13900000000001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591.13900000000001"/>
    <s v=""/>
    <n v="0"/>
    <n v="0"/>
    <n v="0"/>
  </r>
  <r>
    <s v="Primark Limited"/>
    <s v="ST.TexgroupLtd.005.FY26-27.8"/>
    <m/>
    <m/>
    <m/>
    <m/>
    <s v=""/>
    <n v="1496"/>
    <s v="KNIT WEFT KNITTED JERSEY PSCP COTTON 95% LYCRA 5% GSM-160 CW-168 CM/66 INCH  "/>
    <s v="PINK-1"/>
    <n v="-287.5263333333333"/>
    <n v="862.57899999999995"/>
    <m/>
    <n v="-862.57899999999995"/>
    <m/>
    <n v="-862.57899999999995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862.57899999999995"/>
    <s v=""/>
    <n v="0"/>
    <n v="0"/>
    <n v="0"/>
  </r>
  <r>
    <s v="Primark Limited"/>
    <s v="ST.TexgroupLtd.005.FY26-27.9"/>
    <m/>
    <m/>
    <m/>
    <m/>
    <s v=""/>
    <n v="1497"/>
    <s v="KNIT WEFT KNITTED JERSEY PSCP COTTON 95% LYCRA 5% GSM-160 CW-168 CM/66 INCH  "/>
    <s v="PINK-1"/>
    <n v="-44.345666666666666"/>
    <n v="133.03700000000001"/>
    <m/>
    <n v="-133.03700000000001"/>
    <m/>
    <n v="-133.03700000000001"/>
    <s v="461374"/>
    <s v="Solid"/>
    <x v="12"/>
    <d v="2026-10-25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33.03700000000001"/>
    <s v=""/>
    <n v="0"/>
    <n v="0"/>
    <n v="0"/>
  </r>
  <r>
    <s v="Primark Limited"/>
    <s v="ST.TexgroupLtd.005.FY26-27.9"/>
    <m/>
    <m/>
    <m/>
    <m/>
    <s v=""/>
    <n v="1497"/>
    <s v="KNIT WEFT KNITTED JERSEY PSCP COTTON 95% LYCRA 5% GSM-160 CW-168 CM/66 INCH  "/>
    <s v="PINK-1"/>
    <n v="-374.87933333333331"/>
    <n v="1124.6379999999999"/>
    <m/>
    <n v="-1124.6379999999999"/>
    <m/>
    <n v="-1124.6379999999999"/>
    <s v="461374"/>
    <s v="Solid"/>
    <x v="14"/>
    <d v="2026-10-27T00:00:00"/>
    <s v="19th Oct-2k mtr_x000a_21st Oct-2k mtr_x000a_23rd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124.6379999999999"/>
    <s v=""/>
    <n v="0"/>
    <n v="0"/>
    <n v="0"/>
  </r>
  <r>
    <s v="Primark Limited"/>
    <s v="ST.TexgroupLtd.005.FY26-27.1"/>
    <m/>
    <m/>
    <m/>
    <m/>
    <s v=""/>
    <n v="1498"/>
    <s v="KNIT WEFT KNITTED JERSEY PSCP COTTON 95% LYCRA 5% GSM-160 CW-168 CM/66 INCH  "/>
    <s v="Pink-2"/>
    <n v="-0.40266666666666667"/>
    <n v="1.208"/>
    <m/>
    <n v="-1.208"/>
    <m/>
    <n v="-1.208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.208"/>
    <s v=""/>
    <n v="0"/>
    <n v="0"/>
    <n v="0"/>
  </r>
  <r>
    <s v="Primark Limited"/>
    <s v="ST.TexgroupLtd.005.FY26-27.10"/>
    <m/>
    <m/>
    <m/>
    <m/>
    <s v=""/>
    <n v="1499"/>
    <s v="KNIT WEFT KNITTED JERSEY PSCP COTTON 95% LYCRA 5% GSM-160 CW-168 CM/66 INCH  "/>
    <s v="Pink-2"/>
    <s v=""/>
    <n v="193.02799999999999"/>
    <m/>
    <n v="-193.02799999999999"/>
    <m/>
    <n v="-193.02799999999999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93.02799999999999"/>
    <s v=""/>
    <n v="0"/>
    <n v="0"/>
    <n v="0"/>
  </r>
  <r>
    <s v="Primark Limited"/>
    <s v="ST.Primark.077.FY26-27.8"/>
    <m/>
    <m/>
    <m/>
    <m/>
    <s v=""/>
    <n v="1500"/>
    <s v="KNIT WEFT KNITTED JERSEY PSCP COTTON 100% GSM-140 CW-172 CM/68 INCH "/>
    <s v="Oxford Tan 15-1306 TCX"/>
    <n v="-2.4"/>
    <n v="7.2"/>
    <m/>
    <n v="-7.2"/>
    <m/>
    <n v="-7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7.2"/>
    <s v=""/>
    <e v="#N/A"/>
    <e v="#N/A"/>
    <n v="0"/>
  </r>
  <r>
    <s v="Primark Limited"/>
    <s v="ST.Primark.077.FY26-27.9"/>
    <m/>
    <m/>
    <m/>
    <m/>
    <s v=""/>
    <n v="1501"/>
    <s v="KNIT WEFT KNITTED JERSEY PSCP COTTON 100% GSM-140 CW-172 CM/68 INCH "/>
    <s v="Oxford Tan 15-1306 TCX"/>
    <n v="-5.8"/>
    <n v="17.399999999999999"/>
    <m/>
    <n v="-17.399999999999999"/>
    <m/>
    <n v="-17.39999999999999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17.399999999999999"/>
    <s v=""/>
    <e v="#N/A"/>
    <e v="#N/A"/>
    <n v="0"/>
  </r>
  <r>
    <s v="Primark Limited"/>
    <s v="ST.TexgroupLtd.005.FY26-27.12"/>
    <m/>
    <m/>
    <m/>
    <m/>
    <s v=""/>
    <n v="1502"/>
    <s v="KNIT WEFT KNITTED JERSEY PSCP COTTON 100% GSM-140 CW-172 CM/68 INCH "/>
    <s v="11-0602 TCX Snow White"/>
    <n v="-16"/>
    <n v="48"/>
    <m/>
    <n v="-48"/>
    <m/>
    <n v="-48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48"/>
    <s v=""/>
    <n v="24"/>
    <n v="1.0999999999999999E-2"/>
    <n v="24"/>
  </r>
  <r>
    <s v="Primark Limited"/>
    <s v="ST.TexgroupLtd.005.FY26-27.13"/>
    <m/>
    <m/>
    <m/>
    <m/>
    <s v=""/>
    <n v="1503"/>
    <s v="KNIT WEFT KNITTED JERSEY PSCP COTTON 100% GSM-140 CW-172 CM/68 INCH "/>
    <s v="11-0602 TCX Snow White"/>
    <n v="-18.666666666666668"/>
    <n v="56"/>
    <m/>
    <n v="-56"/>
    <m/>
    <n v="-56"/>
    <s v="461374"/>
    <s v="Solid"/>
    <x v="12"/>
    <d v="2026-10-25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56"/>
    <s v=""/>
    <n v="24"/>
    <n v="1.0999999999999999E-2"/>
    <n v="24"/>
  </r>
  <r>
    <s v="Primark Limited"/>
    <s v="ST.TexgroupLtd.005.FY26-27.13"/>
    <m/>
    <m/>
    <m/>
    <m/>
    <s v=""/>
    <n v="1503"/>
    <s v="KNIT WEFT KNITTED JERSEY PSCP COTTON 100% GSM-140 CW-172 CM/68 INCH "/>
    <s v="11-0602 TCX Snow White"/>
    <n v="-2.1333333333333333"/>
    <n v="6.4"/>
    <m/>
    <n v="-6.4"/>
    <m/>
    <n v="-6.4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6.4"/>
    <s v=""/>
    <n v="24"/>
    <n v="1.0999999999999999E-2"/>
    <n v="24"/>
  </r>
  <r>
    <s v="Primark Limited"/>
    <s v="ST.TexgroupLtd.005.FY26-27.14"/>
    <m/>
    <m/>
    <m/>
    <m/>
    <s v=""/>
    <n v="1504"/>
    <s v="KNIT WEFT KNITTED JERSEY PSCP COTTON 100% GSM-140 CW-172 CM/68 INCH "/>
    <s v="11-0602 TCX Snow White"/>
    <n v="-23.040000000000003"/>
    <n v="69.12"/>
    <m/>
    <n v="-69.12"/>
    <m/>
    <n v="-69.12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69.12"/>
    <s v=""/>
    <n v="24"/>
    <n v="1.0999999999999999E-2"/>
    <n v="24"/>
  </r>
  <r>
    <s v="Primark Limited"/>
    <s v="ST.TexgroupLtd.005.FY26-27.15"/>
    <m/>
    <m/>
    <m/>
    <m/>
    <s v=""/>
    <n v="1505"/>
    <s v="KNIT WEFT KNITTED JERSEY PSCP COTTON 100% GSM-140 CW-172 CM/68 INCH "/>
    <s v="11-0602 TCX Snow White"/>
    <n v="-33.44"/>
    <n v="100.32"/>
    <m/>
    <n v="-100.32"/>
    <m/>
    <n v="-100.32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100.32"/>
    <s v=""/>
    <n v="24"/>
    <n v="1.0999999999999999E-2"/>
    <n v="24"/>
  </r>
  <r>
    <s v="Primark Limited"/>
    <s v="ST.TexgroupLtd.005.FY26-27.2"/>
    <m/>
    <m/>
    <m/>
    <m/>
    <s v=""/>
    <n v="1506"/>
    <s v="KNIT WEFT KNITTED JERSEY PSCP COTTON 100% GSM-140 CW-172 CM/68 INCH "/>
    <s v="11-0602 TCX Snow White"/>
    <s v=""/>
    <n v="24.16"/>
    <m/>
    <n v="-24.16"/>
    <m/>
    <n v="-24.16"/>
    <s v="461374"/>
    <s v="Solid"/>
    <x v="14"/>
    <d v="2026-10-27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24.16"/>
    <s v=""/>
    <n v="24"/>
    <n v="1.0999999999999999E-2"/>
    <n v="24"/>
  </r>
  <r>
    <s v="Primark Limited"/>
    <s v="ST.TexgroupLtd.005.FY26-27.2"/>
    <m/>
    <m/>
    <m/>
    <m/>
    <s v=""/>
    <n v="1506"/>
    <s v="KNIT WEFT KNITTED JERSEY PSCP COTTON 100% GSM-140 CW-172 CM/68 INCH "/>
    <s v="11-0602 TCX Snow White"/>
    <n v="-6.666666666666667"/>
    <n v="20"/>
    <m/>
    <n v="-20"/>
    <m/>
    <n v="-20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20"/>
    <s v=""/>
    <n v="24"/>
    <n v="1.0999999999999999E-2"/>
    <n v="24"/>
  </r>
  <r>
    <s v="Primark Limited"/>
    <s v="ST.Primark.039.FY26-27.14"/>
    <m/>
    <m/>
    <m/>
    <m/>
    <s v=""/>
    <n v="1507"/>
    <s v="KNIT WEFT KNITTED JERSEY PSCP COTTON 100% GSM-140 CW-172 CM/68 INCH "/>
    <s v="Black Coffee / Ganache 19-1111 TCX"/>
    <n v="0"/>
    <n v="5.2930000000000001"/>
    <n v="5.29300000000000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s v=""/>
    <s v=""/>
    <n v="401"/>
    <n v="1.0349999999999999"/>
    <n v="23.461999999999989"/>
  </r>
  <r>
    <s v="Primark Limited"/>
    <s v="ST.Primark.039.FY26-27.15"/>
    <m/>
    <m/>
    <m/>
    <m/>
    <s v=""/>
    <n v="1508"/>
    <s v="KNIT WEFT KNITTED JERSEY PSCP COTTON 100% GSM-140 CW-172 CM/68 INCH "/>
    <s v="Black Coffee / Ganache 19-1111 TCX"/>
    <n v="0"/>
    <n v="7.9390000000000001"/>
    <n v="7.93900000000000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s v=""/>
    <s v=""/>
    <s v=""/>
    <n v="0"/>
    <s v=""/>
    <n v="401"/>
    <n v="1.0349999999999999"/>
    <n v="23.461999999999989"/>
  </r>
  <r>
    <s v="Primark Limited"/>
    <s v="ST.Primark.039.FY26-27.16"/>
    <m/>
    <m/>
    <m/>
    <m/>
    <s v=""/>
    <n v="1509"/>
    <s v="KNIT WEFT KNITTED JERSEY PSCP COTTON 100% GSM-140 CW-172 CM/68 INCH "/>
    <s v="Black Coffee / Ganache 19-1111 TCX"/>
    <n v="0"/>
    <n v="10.585000000000001"/>
    <n v="10.585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s v=""/>
    <n v="377.53800000000001"/>
    <s v=""/>
    <s v=""/>
    <n v="0"/>
    <s v=""/>
    <n v="401"/>
    <n v="1.0349999999999999"/>
    <s v=""/>
  </r>
  <r>
    <s v="Primark Limited"/>
    <s v="ST.Primark.039.FY26-27.17"/>
    <m/>
    <m/>
    <m/>
    <m/>
    <s v=""/>
    <n v="1510"/>
    <s v="KNIT WEFT KNITTED JERSEY PSCP COTTON 100% GSM-140 CW-172 CM/68 INCH "/>
    <s v="Black Coffee / Ganache 19-1111 TCX"/>
    <n v="0"/>
    <n v="7.9390000000000001"/>
    <n v="7.939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s v=""/>
    <s v=""/>
    <n v="401"/>
    <n v="1.0349999999999999"/>
    <n v="23.461999999999989"/>
  </r>
  <r>
    <s v="Primark Limited"/>
    <s v="ST.Primark.039.FY26-27.18"/>
    <m/>
    <m/>
    <m/>
    <m/>
    <s v=""/>
    <n v="1511"/>
    <s v="KNIT WEFT KNITTED JERSEY PSCP COTTON 100% GSM-140 CW-172 CM/68 INCH "/>
    <s v="Black Coffee / Ganache 19-1111 TCX"/>
    <n v="0"/>
    <n v="19.699000000000002"/>
    <n v="19.699000000000002"/>
    <n v="0"/>
    <m/>
    <n v="0"/>
    <s v="450568"/>
    <s v="Solid"/>
    <x v="24"/>
    <d v="2026-10-06T00:00:00"/>
    <d v="2026-10-05T00:00:00"/>
    <s v="Hues Agreed qty as per SQBL required date"/>
    <m/>
    <s v="Oct"/>
    <d v="2026-10-03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19"/>
    <m/>
    <m/>
    <m/>
    <m/>
    <s v=""/>
    <n v="1512"/>
    <s v="KNIT WEFT KNITTED JERSEY PSCP COTTON 100% GSM-140 CW-172 CM/68 INCH "/>
    <s v="Black Coffee / Ganache 19-1111 TCX"/>
    <n v="0"/>
    <n v="9.7029999999999994"/>
    <n v="9.702999999999999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s v=""/>
    <s v=""/>
    <s v=""/>
    <s v=""/>
    <s v=""/>
    <n v="401"/>
    <n v="1.0349999999999999"/>
    <n v="23.461999999999989"/>
  </r>
  <r>
    <s v="Primark Limited"/>
    <s v="ST.Primark.039.FY26-27.2"/>
    <m/>
    <m/>
    <m/>
    <m/>
    <s v=""/>
    <n v="1513"/>
    <s v="KNIT WEFT KNITTED JERSEY PSCP COTTON 100% GSM-140 CW-172 CM/68 INCH "/>
    <s v="Black Coffee / Ganache 19-1111 TCX"/>
    <n v="0"/>
    <n v="7.3520000000000003"/>
    <n v="7.352000000000000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20"/>
    <m/>
    <m/>
    <m/>
    <m/>
    <s v=""/>
    <n v="1514"/>
    <s v="KNIT WEFT KNITTED JERSEY PSCP COTTON 100% GSM-140 CW-172 CM/68 INCH "/>
    <s v="Black Coffee / Ganache 19-1111 TCX"/>
    <n v="0"/>
    <n v="14.7"/>
    <n v="14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21"/>
    <m/>
    <m/>
    <m/>
    <m/>
    <s v=""/>
    <n v="1515"/>
    <s v="KNIT WEFT KNITTED JERSEY PSCP COTTON 100% GSM-140 CW-172 CM/68 INCH "/>
    <s v="Black Coffee / Ganache 19-1111 TCX"/>
    <n v="0"/>
    <n v="19.699000000000002"/>
    <n v="19.699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22"/>
    <m/>
    <m/>
    <m/>
    <m/>
    <s v=""/>
    <n v="1516"/>
    <s v="KNIT WEFT KNITTED JERSEY PSCP COTTON 100% GSM-140 CW-172 CM/68 INCH "/>
    <s v="Black Coffee / Ganache 19-1111 TCX"/>
    <s v=""/>
    <n v="24.402999999999999"/>
    <n v="24.402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s v=""/>
    <s v=""/>
    <n v="401"/>
    <n v="1.0349999999999999"/>
    <n v="23.461999999999989"/>
  </r>
  <r>
    <s v="Primark Limited"/>
    <s v="ST.Primark.039.FY26-27.23"/>
    <m/>
    <m/>
    <m/>
    <m/>
    <s v=""/>
    <n v="1517"/>
    <s v="KNIT WEFT KNITTED JERSEY PSCP COTTON 100% GSM-140 CW-172 CM/68 INCH "/>
    <s v="Black Coffee / Ganache 19-1111 TCX"/>
    <n v="0"/>
    <n v="24.402999999999999"/>
    <n v="24.402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24"/>
    <m/>
    <m/>
    <m/>
    <m/>
    <s v=""/>
    <n v="1518"/>
    <s v="KNIT WEFT KNITTED JERSEY PSCP COTTON 100% GSM-140 CW-172 CM/68 INCH "/>
    <s v="Black Coffee / Ganache 19-1111 TCX"/>
    <n v="0"/>
    <n v="19.7"/>
    <n v="19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13.FY26-27.2"/>
    <m/>
    <m/>
    <m/>
    <m/>
    <b v="0"/>
    <n v="1519"/>
    <s v="KNIT WEFT KNITTED JERSEY PSCP COTTON 100% GSM-160 CW-172 CM/68 INCH "/>
    <s v="White"/>
    <n v="-2.6799999999999997"/>
    <n v="8.0399999999999991"/>
    <m/>
    <n v="-8.0399999999999991"/>
    <m/>
    <n v="-8.0399999999999991"/>
    <s v="465127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65127"/>
    <s v="White"/>
    <n v="160"/>
    <s v="465127160White"/>
    <n v="0"/>
    <s v="#NA"/>
    <n v="0"/>
    <n v="36.119999999999997"/>
    <s v=""/>
    <s v=""/>
    <n v="8.0399999999999991"/>
    <b v="0"/>
    <n v="0"/>
    <n v="0"/>
    <n v="0"/>
  </r>
  <r>
    <s v="Primark Limited"/>
    <s v="ST.Primark.013.FY26-27.3"/>
    <m/>
    <m/>
    <m/>
    <m/>
    <b v="0"/>
    <n v="1520"/>
    <s v="KNIT WEFT KNITTED JERSEY PSCP COTTON 100% GSM-160 CW-172 CM/68 INCH "/>
    <s v="White"/>
    <n v="-4"/>
    <n v="12"/>
    <m/>
    <n v="-12"/>
    <m/>
    <n v="-12"/>
    <s v="465127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7"/>
    <s v="White"/>
    <n v="160"/>
    <s v="465127160White"/>
    <n v="0"/>
    <s v="#NA"/>
    <n v="0"/>
    <n v="36.119999999999997"/>
    <s v=""/>
    <s v=""/>
    <n v="12"/>
    <b v="0"/>
    <n v="0"/>
    <n v="0"/>
    <n v="0"/>
  </r>
  <r>
    <s v="Primark Limited"/>
    <s v="ST.Primark.015.FY26-27.3"/>
    <m/>
    <m/>
    <m/>
    <m/>
    <b v="0"/>
    <n v="1521"/>
    <s v="KNIT WEFT KNITTED JERSEY PSCP COTTON 100% GSM-160 CW-172 CM/68 INCH "/>
    <s v="White"/>
    <n v="-1.36"/>
    <n v="4.08"/>
    <m/>
    <n v="-4.08"/>
    <m/>
    <n v="-4.08"/>
    <s v="465127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7"/>
    <s v="White"/>
    <n v="160"/>
    <s v="465127160White"/>
    <n v="0"/>
    <s v="#NA"/>
    <n v="0"/>
    <n v="36.119999999999997"/>
    <s v=""/>
    <s v=""/>
    <n v="4.08"/>
    <b v="0"/>
    <n v="0"/>
    <n v="0"/>
    <n v="0"/>
  </r>
  <r>
    <s v="Primark Limited"/>
    <s v="ST.Primark.015.FY26-27.6"/>
    <m/>
    <m/>
    <m/>
    <m/>
    <b v="0"/>
    <n v="1522"/>
    <s v="KNIT WEFT KNITTED JERSEY PSCP COTTON 100% GSM-160 CW-172 CM/68 INCH "/>
    <s v="White"/>
    <n v="-4"/>
    <n v="12"/>
    <m/>
    <n v="-12"/>
    <m/>
    <n v="-12"/>
    <s v="465127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7"/>
    <s v="White"/>
    <n v="160"/>
    <s v="465127160White"/>
    <n v="0"/>
    <s v="#NA"/>
    <n v="0"/>
    <n v="36.119999999999997"/>
    <s v=""/>
    <s v=""/>
    <n v="12"/>
    <b v="0"/>
    <n v="0"/>
    <n v="0"/>
    <n v="0"/>
  </r>
  <r>
    <s v="Primark Limited"/>
    <s v="ST.Primark.011.FY26-27.3"/>
    <m/>
    <m/>
    <m/>
    <m/>
    <s v=""/>
    <n v="1523"/>
    <s v="KNIT WEFT KNITTED JERSEY PSCP COTTON 100% GSM-140 CW-172 CM/68 INCH "/>
    <s v="White"/>
    <n v="0"/>
    <n v="44.82"/>
    <n v="44.82"/>
    <n v="0"/>
    <m/>
    <n v="0"/>
    <s v="448757"/>
    <s v="Solid"/>
    <x v="29"/>
    <d v="2026-10-19T00:00:00"/>
    <s v="(13th Oct-19th Oct)-150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40"/>
    <s v="448757140White"/>
    <n v="1124.8800000000001"/>
    <n v="9.31"/>
    <s v=""/>
    <n v="629.976"/>
    <s v=""/>
    <s v=""/>
    <n v="0"/>
    <s v=""/>
    <n v="1124.8800000000001"/>
    <n v="0.99199999999999999"/>
    <s v=""/>
  </r>
  <r>
    <s v="Primark Limited"/>
    <s v="ST.Primark.039.FY26-27.25"/>
    <m/>
    <m/>
    <m/>
    <m/>
    <s v=""/>
    <n v="1524"/>
    <s v="KNIT WEFT KNITTED JERSEY PSCP COTTON 100% GSM-140 CW-172 CM/68 INCH "/>
    <s v="Black Coffee / Ganache 19-1111 TCX"/>
    <n v="0"/>
    <n v="39.103999999999999"/>
    <n v="39.103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s v=""/>
    <s v=""/>
    <s v=""/>
    <n v="0"/>
    <s v=""/>
    <n v="401"/>
    <n v="1.0349999999999999"/>
    <n v="23.461999999999989"/>
  </r>
  <r>
    <s v="Primark Limited"/>
    <s v="ST.Primark.040.FY26-27.12"/>
    <m/>
    <m/>
    <m/>
    <m/>
    <s v=""/>
    <n v="1525"/>
    <s v="KNIT WEFT KNITTED JERSEY PSCP COTTON 100% GSM-140 CW-172 CM/68 INCH "/>
    <s v="Brush / Honey 16-1317 TCX"/>
    <n v="-3.3326666666666664"/>
    <n v="9.9979999999999993"/>
    <m/>
    <n v="-9.9979999999999993"/>
    <m/>
    <n v="-9.9979999999999993"/>
    <s v="450567"/>
    <s v="Solid"/>
    <x v="55"/>
    <d v="2026-10-14T00:00:00"/>
    <d v="2026-10-13T00:00:00"/>
    <s v="Hues Agreed qty as per SQBL required date"/>
    <m/>
    <s v="Oct"/>
    <d v="2026-10-24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9.9979999999999993"/>
    <s v=""/>
    <n v="0"/>
    <n v="0"/>
    <n v="0"/>
  </r>
  <r>
    <s v="Primark Limited"/>
    <s v="ST.Primark.040.FY26-27.25"/>
    <m/>
    <m/>
    <m/>
    <m/>
    <s v=""/>
    <n v="1526"/>
    <s v="KNIT WEFT KNITTED JERSEY PSCP COTTON 100% GSM-160 CW-172 CM/68 INCH "/>
    <s v="Sand Dollar / Vanilla 13-1106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13.202"/>
    <s v=""/>
    <n v="0"/>
    <n v="0"/>
    <n v="0"/>
  </r>
  <r>
    <s v="Primark Limited"/>
    <s v="ST.Primark.040.FY26-27.29"/>
    <m/>
    <m/>
    <m/>
    <m/>
    <s v=""/>
    <n v="1527"/>
    <s v="KNIT WEFT KNITTED JERSEY PSCP COTTON 100% GSM-160 CW-172 CM/68 INCH "/>
    <s v="Sand Dollar / Vanilla 13-1106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s v=""/>
    <s v=""/>
    <s v=""/>
    <n v="17.492000000000001"/>
    <s v=""/>
    <n v="0"/>
    <n v="0"/>
    <n v="0"/>
  </r>
  <r>
    <s v="Primark Limited"/>
    <s v="ST.Primark.040.FY26-27.3"/>
    <m/>
    <m/>
    <m/>
    <m/>
    <s v=""/>
    <n v="1528"/>
    <s v="KNIT WEFT KNITTED JERSEY PSCP COTTON 100% GSM-160 CW-172 CM/68 INCH "/>
    <s v="Sand Dollar / Vanilla 13-1106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s v=""/>
    <s v=""/>
    <s v=""/>
    <n v="13.202"/>
    <s v=""/>
    <n v="0"/>
    <n v="0"/>
    <n v="0"/>
  </r>
  <r>
    <s v="Primark Limited"/>
    <s v="ST.Primark.040.FY26-27.16"/>
    <m/>
    <m/>
    <m/>
    <m/>
    <s v=""/>
    <n v="1529"/>
    <s v="KNIT WEFT KNITTED JERSEY PSCP COTTON 100% GSM-140 CW-172 CM/68 INCH "/>
    <s v="Brush / Honey 16-1317 TCX"/>
    <n v="-2.6463333333333332"/>
    <n v="7.9390000000000001"/>
    <m/>
    <n v="-7.9390000000000001"/>
    <m/>
    <n v="-7.9390000000000001"/>
    <s v="450567"/>
    <s v="Solid"/>
    <x v="55"/>
    <d v="2026-10-14T00:00:00"/>
    <d v="2026-10-13T00:00:00"/>
    <s v="Hues Agreed qty as per SQBL required date"/>
    <m/>
    <s v="Oct"/>
    <d v="2026-10-18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7.9390000000000001"/>
    <s v=""/>
    <n v="0"/>
    <n v="0"/>
    <n v="0"/>
  </r>
  <r>
    <s v="Primark Limited"/>
    <s v="ST.Primark.006.FY26-27.5"/>
    <m/>
    <m/>
    <m/>
    <m/>
    <s v=""/>
    <n v="1530"/>
    <s v="KNIT WEFT KNITTED JERSEY PSCP COTTON 100% GSM-160 CW-172 CM/68 INCH "/>
    <s v="Black"/>
    <n v="0.15000000000001515"/>
    <n v="1187.55"/>
    <n v="1188"/>
    <n v="0.45000000000004547"/>
    <m/>
    <n v="0.45000000000004547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-0.45000000000004547"/>
    <s v=""/>
    <n v="18843"/>
    <n v="0.96599999999999997"/>
    <n v="11914.639999999996"/>
  </r>
  <r>
    <s v="Primark Limited"/>
    <s v="ST.Primark.006.FY26-27.6"/>
    <m/>
    <m/>
    <m/>
    <m/>
    <s v=""/>
    <n v="1531"/>
    <s v="KNIT WEFT KNITTED JERSEY PSCP COTTON 100% GSM-160 CW-172 CM/68 INCH "/>
    <s v="Black"/>
    <n v="0"/>
    <n v="388.85"/>
    <n v="388.85"/>
    <n v="0"/>
    <m/>
    <n v="0"/>
    <s v="448738"/>
    <s v="Solid"/>
    <x v="34"/>
    <d v="2026-10-13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6"/>
    <m/>
    <m/>
    <m/>
    <m/>
    <s v=""/>
    <n v="1531"/>
    <s v="KNIT WEFT KNITTED JERSEY PSCP COTTON 100% GSM-160 CW-172 CM/68 INCH "/>
    <s v="Black"/>
    <n v="0"/>
    <n v="798.7"/>
    <n v="798.7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s v=""/>
    <s v=""/>
    <s v=""/>
    <s v=""/>
    <s v=""/>
    <n v="18843"/>
    <n v="0.96599999999999997"/>
    <n v="11914.639999999996"/>
  </r>
  <r>
    <s v="Primark Limited"/>
    <s v="ST.TexgroupLtd.005.FY26-27.9"/>
    <m/>
    <m/>
    <m/>
    <m/>
    <s v=""/>
    <n v="1532"/>
    <s v="KNIT WEFT KNITTED JERSEY PSCP COTTON 95% LYCRA 5% GSM-160 CW-168 CM/66 INCH  "/>
    <s v="Salt Water Slide 12-4611 TCX"/>
    <n v="-181.81799999999998"/>
    <n v="545.45399999999995"/>
    <m/>
    <n v="-545.45399999999995"/>
    <m/>
    <n v="-545.45399999999995"/>
    <s v="461374"/>
    <s v="Solid"/>
    <x v="17"/>
    <d v="2026-10-22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545.45399999999995"/>
    <s v=""/>
    <n v="150"/>
    <n v="0.78200000000000003"/>
    <n v="150"/>
  </r>
  <r>
    <s v="Primark Limited"/>
    <s v="ST.TexgroupLtd.005.FY26-27.9"/>
    <m/>
    <m/>
    <m/>
    <m/>
    <s v=""/>
    <n v="1532"/>
    <s v="KNIT WEFT KNITTED JERSEY PSCP COTTON 95% LYCRA 5% GSM-160 CW-168 CM/66 INCH  "/>
    <s v="Salt Water Slide 12-4611 TCX"/>
    <n v="-237.40700000000001"/>
    <n v="712.221"/>
    <m/>
    <n v="-712.221"/>
    <m/>
    <n v="-712.221"/>
    <s v="461374"/>
    <s v="Solid"/>
    <x v="4"/>
    <d v="2026-10-26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712.221"/>
    <s v=""/>
    <n v="150"/>
    <n v="0.78200000000000003"/>
    <n v="150"/>
  </r>
  <r>
    <s v="Primark Limited"/>
    <s v="ST.Primark.021.FY26-27.6"/>
    <m/>
    <m/>
    <m/>
    <m/>
    <b v="0"/>
    <n v="1533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1"/>
    <s v="Black"/>
    <n v="140"/>
    <s v="465121140Black"/>
    <n v="0"/>
    <s v="#NA"/>
    <n v="0"/>
    <n v="25.030999999999999"/>
    <s v=""/>
    <s v=""/>
    <n v="4.008"/>
    <b v="0"/>
    <n v="0"/>
    <n v="0"/>
    <n v="0"/>
  </r>
  <r>
    <s v="Primark Limited"/>
    <s v="ST.Primark.021.FY26-27.7"/>
    <m/>
    <m/>
    <m/>
    <m/>
    <s v=""/>
    <n v="1534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1"/>
    <s v="Black"/>
    <n v="140"/>
    <s v="465121140Black"/>
    <n v="0"/>
    <s v="#NA"/>
    <n v="0"/>
    <s v=""/>
    <s v=""/>
    <s v=""/>
    <n v="4.008"/>
    <s v=""/>
    <n v="0"/>
    <n v="0"/>
    <n v="0"/>
  </r>
  <r>
    <s v="Primark Limited"/>
    <s v="ST.Primark.011.FY26-27.1"/>
    <m/>
    <m/>
    <m/>
    <m/>
    <s v=""/>
    <n v="1535"/>
    <s v="KNIT WEFT KNITTED JERSEY PSCP COTTON 100% GSM-140 CW-172 CM/68 INCH "/>
    <s v="White"/>
    <n v="0"/>
    <n v="4.9480000000000004"/>
    <n v="4.9480000000000004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s v=""/>
    <n v="96.173999999999978"/>
    <s v=""/>
    <s v=""/>
    <s v=""/>
    <s v=""/>
    <n v="832.95"/>
    <n v="1.0129999999999999"/>
    <s v=""/>
  </r>
  <r>
    <s v="Primark Limited"/>
    <s v="ST.Primark.011.FY26-27.11"/>
    <m/>
    <m/>
    <m/>
    <m/>
    <s v=""/>
    <n v="1536"/>
    <s v="KNIT WEFT KNITTED JERSEY PSCP COTTON 100% GSM-140 CW-172 CM/68 INCH "/>
    <s v="White"/>
    <n v="0"/>
    <n v="16.5"/>
    <n v="16.5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n v="96.173999999999978"/>
    <n v="96.173999999999978"/>
    <s v=""/>
    <s v=""/>
    <n v="0"/>
    <s v=""/>
    <n v="832.95"/>
    <n v="1.0129999999999999"/>
    <n v="736.77600000000007"/>
  </r>
  <r>
    <s v="Primark Limited"/>
    <s v="ST.Primark.006.FY26-27.14"/>
    <m/>
    <m/>
    <m/>
    <m/>
    <s v=""/>
    <n v="1537"/>
    <s v="KNIT WEFT KNITTED JERSEY PSCP COTTON 100% GSM-160 CW-172 CM/68 INCH "/>
    <s v="Black"/>
    <n v="0"/>
    <n v="2179.35"/>
    <n v="2179.35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15"/>
    <m/>
    <m/>
    <m/>
    <m/>
    <s v=""/>
    <n v="1538"/>
    <s v="KNIT WEFT KNITTED JERSEY PSCP COTTON 100% GSM-160 CW-172 CM/68 INCH "/>
    <s v="Black"/>
    <n v="0"/>
    <n v="2179.35"/>
    <n v="2179.35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17"/>
    <m/>
    <m/>
    <m/>
    <m/>
    <s v=""/>
    <n v="1539"/>
    <s v="KNIT WEFT KNITTED JERSEY PSCP COTTON 100% GSM-160 CW-172 CM/68 INCH "/>
    <s v="Black"/>
    <n v="0"/>
    <n v="2179.35"/>
    <n v="2179.35"/>
    <n v="0"/>
    <m/>
    <n v="0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0"/>
    <s v=""/>
    <n v="18843"/>
    <n v="0.96599999999999997"/>
    <n v="11914.639999999996"/>
  </r>
  <r>
    <s v="Primark Limited"/>
    <s v="ST.Primark.006.FY26-27.18"/>
    <m/>
    <m/>
    <m/>
    <m/>
    <s v=""/>
    <n v="1540"/>
    <s v="KNIT WEFT KNITTED JERSEY PSCP COTTON 100% GSM-160 CW-172 CM/68 INCH "/>
    <s v="Black"/>
    <n v="-114.9066666666666"/>
    <n v="2179.35"/>
    <n v="1834.63"/>
    <n v="-344.7199999999998"/>
    <m/>
    <n v="-344.7199999999998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344.7199999999998"/>
    <s v=""/>
    <n v="18843"/>
    <n v="0.96599999999999997"/>
    <n v="11914.639999999996"/>
  </r>
  <r>
    <s v="Primark Limited"/>
    <s v="ST.Primark.006.FY26-27.5"/>
    <m/>
    <m/>
    <m/>
    <m/>
    <s v=""/>
    <n v="1541"/>
    <s v="KNIT WEFT KNITTED JERSEY PSCP COTTON 100% GSM-140 CW-172 CM/68 INCH "/>
    <s v="Black"/>
    <n v="0"/>
    <n v="113.29600000000001"/>
    <n v="113.296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6"/>
    <m/>
    <m/>
    <m/>
    <m/>
    <s v=""/>
    <n v="1542"/>
    <s v="KNIT WEFT KNITTED JERSEY PSCP COTTON 100% GSM-140 CW-172 CM/68 INCH "/>
    <s v="Black"/>
    <n v="0"/>
    <n v="113.29600000000001"/>
    <n v="113.29600000000001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8"/>
    <m/>
    <m/>
    <m/>
    <m/>
    <s v=""/>
    <n v="1543"/>
    <s v="KNIT WEFT KNITTED JERSEY PSCP COTTON 100% GSM-140 CW-172 CM/68 INCH "/>
    <s v="Black"/>
    <s v=""/>
    <n v="17.936"/>
    <n v="17.936"/>
    <n v="0"/>
    <m/>
    <n v="0"/>
    <s v="448738"/>
    <s v="Solid"/>
    <x v="23"/>
    <d v="2026-10-09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8"/>
    <m/>
    <m/>
    <m/>
    <m/>
    <s v=""/>
    <n v="1543"/>
    <s v="KNIT WEFT KNITTED JERSEY PSCP COTTON 100% GSM-140 CW-172 CM/68 INCH "/>
    <s v="Black"/>
    <n v="0"/>
    <n v="24.393999999999998"/>
    <n v="24.393999999999998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9"/>
    <m/>
    <m/>
    <m/>
    <m/>
    <s v=""/>
    <n v="1544"/>
    <s v="KNIT WEFT KNITTED JERSEY PSCP COTTON 100% GSM-140 CW-172 CM/68 INCH "/>
    <s v="Black"/>
    <s v=""/>
    <n v="42.33"/>
    <n v="42.33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11"/>
    <m/>
    <m/>
    <m/>
    <m/>
    <s v=""/>
    <n v="1545"/>
    <s v="KNIT WEFT KNITTED JERSEY PSCP COTTON 100% GSM-160 CW-172 CM/68 INCH "/>
    <s v="Black"/>
    <n v="0.13333333333333522"/>
    <n v="156.6"/>
    <n v="157"/>
    <n v="0.40000000000000568"/>
    <m/>
    <n v="0.40000000000000568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1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-0.40000000000000568"/>
    <s v=""/>
    <n v="18843"/>
    <n v="0.96599999999999997"/>
    <n v="11914.639999999996"/>
  </r>
  <r>
    <s v="Primark Limited"/>
    <s v="ST.Primark.006.FY26-27.12"/>
    <m/>
    <m/>
    <m/>
    <m/>
    <s v=""/>
    <n v="1546"/>
    <s v="KNIT WEFT KNITTED JERSEY PSCP COTTON 100% GSM-160 CW-172 CM/68 INCH "/>
    <s v="Black"/>
    <n v="-52.199999999999996"/>
    <n v="156.6"/>
    <m/>
    <n v="-156.6"/>
    <m/>
    <n v="-156.6"/>
    <s v="448738"/>
    <s v="Solid"/>
    <x v="25"/>
    <d v="2026-10-15T00:00:00"/>
    <s v="1st Oct-2k mtr_x000a_3rd Oct-2k mtr_x000a_5th Oct-2k mtr_x000a_7th Oct-2k mtr_x000a_9th Oct-2k mtr_x000a_11th Oct-2k mtr_x000a_13th Oct-2k mtr_x000a_15th Oct-2k mtr"/>
    <s v="Hues Agreed qty as per SQBL required date"/>
    <m/>
    <s v="Oct"/>
    <d v="2026-10-03T00:00:00"/>
    <m/>
    <m/>
    <m/>
    <m/>
    <m/>
    <m/>
    <m/>
    <m/>
    <m/>
    <m/>
    <s v="448738"/>
    <s v="Black"/>
    <n v="160"/>
    <s v="448738160Black"/>
    <n v="35244.32"/>
    <n v="499.62"/>
    <n v="23329.680000000004"/>
    <n v="23829.299999999996"/>
    <s v=""/>
    <s v=""/>
    <n v="156.6"/>
    <s v=""/>
    <n v="18843"/>
    <n v="0.96599999999999997"/>
    <n v="11914.639999999996"/>
  </r>
  <r>
    <s v="Primark Limited"/>
    <s v="ST.TexgroupLtd.005.FY26-27.3"/>
    <m/>
    <m/>
    <m/>
    <m/>
    <s v=""/>
    <n v="1547"/>
    <s v="KNIT WEFT KNITTED JERSEY PSCP COTTON 100% GSM-140 CW-172 CM/68 INCH "/>
    <s v="PINK-1"/>
    <n v="-46.293333333333329"/>
    <n v="138.88"/>
    <m/>
    <n v="-138.88"/>
    <m/>
    <n v="-138.88"/>
    <s v="461374"/>
    <s v="Solid"/>
    <x v="14"/>
    <d v="2026-10-27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138.88"/>
    <s v=""/>
    <n v="0"/>
    <n v="0"/>
    <n v="0"/>
  </r>
  <r>
    <s v="Primark Limited"/>
    <s v="ST.TexgroupLtd.005.FY26-27.3"/>
    <m/>
    <m/>
    <m/>
    <m/>
    <s v=""/>
    <n v="1547"/>
    <s v="KNIT WEFT KNITTED JERSEY PSCP COTTON 100% GSM-140 CW-172 CM/68 INCH "/>
    <s v="PINK-1"/>
    <n v="-97.706666666666663"/>
    <n v="293.12"/>
    <m/>
    <n v="-293.12"/>
    <m/>
    <n v="-293.12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293.12"/>
    <s v=""/>
    <n v="0"/>
    <n v="0"/>
    <n v="0"/>
  </r>
  <r>
    <s v="Primark Limited"/>
    <s v="ST.TexgroupLtd.005.FY26-27.4"/>
    <m/>
    <m/>
    <m/>
    <m/>
    <s v=""/>
    <n v="1548"/>
    <s v="KNIT WEFT KNITTED JERSEY PSCP COTTON 100% GSM-140 CW-172 CM/68 INCH "/>
    <s v="PINK-1"/>
    <n v="-28.8"/>
    <n v="86.4"/>
    <m/>
    <n v="-86.4"/>
    <m/>
    <n v="-86.4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86.4"/>
    <s v=""/>
    <n v="0"/>
    <n v="0"/>
    <n v="0"/>
  </r>
  <r>
    <s v="Primark Limited"/>
    <s v="ST.TexgroupLtd.005.FY26-27.5"/>
    <m/>
    <m/>
    <m/>
    <m/>
    <s v=""/>
    <n v="1549"/>
    <s v="KNIT WEFT KNITTED JERSEY PSCP COTTON 100% GSM-140 CW-172 CM/68 INCH "/>
    <s v="PINK-1"/>
    <s v=""/>
    <n v="72.48"/>
    <m/>
    <n v="-72.48"/>
    <m/>
    <n v="-72.48"/>
    <s v="461374"/>
    <s v="Solid"/>
    <x v="18"/>
    <d v="2026-10-30T00:00:00"/>
    <s v="19th Oct-200 mtr_x000a_21st Oct-200 mtr_x000a_23rd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72.48"/>
    <s v=""/>
    <n v="0"/>
    <n v="0"/>
    <n v="0"/>
  </r>
  <r>
    <s v="Primark Limited"/>
    <s v="ST.Primark.039.FY26-27.20"/>
    <m/>
    <m/>
    <m/>
    <m/>
    <s v=""/>
    <n v="1550"/>
    <s v="KNIT WEFT KNITTED JERSEY PSCP COTTON 100% GSM-160 CW-172 CM/68 INCH "/>
    <s v="Sand Dollar / Vanilla 13-1106 TCX"/>
    <n v="0"/>
    <n v="148.5"/>
    <n v="148.5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1"/>
    <m/>
    <m/>
    <m/>
    <m/>
    <s v=""/>
    <n v="1551"/>
    <s v="KNIT WEFT KNITTED JERSEY PSCP COTTON 100% GSM-160 CW-172 CM/68 INCH "/>
    <s v="Sand Dollar / Vanilla 13-1106 TCX"/>
    <n v="0"/>
    <n v="198.99"/>
    <n v="198.99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2"/>
    <m/>
    <m/>
    <m/>
    <m/>
    <s v=""/>
    <n v="1552"/>
    <s v="KNIT WEFT KNITTED JERSEY PSCP COTTON 100% GSM-160 CW-172 CM/68 INCH "/>
    <s v="Sand Dollar / Vanilla 13-1106 TCX"/>
    <n v="0"/>
    <n v="246.51"/>
    <n v="246.5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3"/>
    <m/>
    <m/>
    <m/>
    <m/>
    <s v=""/>
    <n v="1553"/>
    <s v="KNIT WEFT KNITTED JERSEY PSCP COTTON 100% GSM-160 CW-172 CM/68 INCH "/>
    <s v="Sand Dollar / Vanilla 13-1106 TCX"/>
    <n v="0"/>
    <n v="246.51"/>
    <n v="246.51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4"/>
    <m/>
    <m/>
    <m/>
    <m/>
    <s v=""/>
    <n v="1554"/>
    <s v="KNIT WEFT KNITTED JERSEY PSCP COTTON 100% GSM-160 CW-172 CM/68 INCH "/>
    <s v="Sand Dollar / Vanilla 13-1106 TCX"/>
    <n v="0"/>
    <n v="198.99"/>
    <n v="198.99"/>
    <n v="0"/>
    <m/>
    <n v="0"/>
    <s v="450568"/>
    <s v="Solid"/>
    <x v="54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5"/>
    <m/>
    <m/>
    <m/>
    <m/>
    <s v=""/>
    <n v="1555"/>
    <s v="KNIT WEFT KNITTED JERSEY PSCP COTTON 100% GSM-160 CW-172 CM/68 INCH "/>
    <s v="Sand Dollar / Vanilla 13-1106 TCX"/>
    <n v="0"/>
    <n v="395.01"/>
    <n v="395.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6"/>
    <m/>
    <m/>
    <m/>
    <m/>
    <s v=""/>
    <n v="1556"/>
    <s v="KNIT WEFT KNITTED JERSEY PSCP COTTON 100% GSM-160 CW-172 CM/68 INCH "/>
    <s v="Sand Dollar / Vanilla 13-1106 TCX"/>
    <n v="0"/>
    <n v="594"/>
    <n v="594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13.FY26-27.3"/>
    <m/>
    <m/>
    <m/>
    <m/>
    <s v=""/>
    <n v="1557"/>
    <s v="KNIT WEFT KNITTED JERSEY PSCP COTTON 100% GSM-160 CW-172 CM/68 INCH "/>
    <s v="White"/>
    <n v="0"/>
    <n v="1188"/>
    <n v="1188"/>
    <n v="0"/>
    <m/>
    <n v="0"/>
    <s v="448780"/>
    <s v="Solid"/>
    <x v="22"/>
    <d v="2026-10-07T00:00:00"/>
    <d v="2026-10-06T00:00:00"/>
    <s v="Revised Plan given as per revised date"/>
    <m/>
    <s v="Oct"/>
    <d v="2026-10-01T00:00:00"/>
    <m/>
    <m/>
    <m/>
    <m/>
    <m/>
    <m/>
    <m/>
    <m/>
    <m/>
    <m/>
    <s v="448780"/>
    <s v="White"/>
    <n v="160"/>
    <s v="448780160White"/>
    <n v="2387.9899999999998"/>
    <n v="-0.11"/>
    <n v="1983.96"/>
    <n v="1983.96"/>
    <s v=""/>
    <s v=""/>
    <n v="0"/>
    <s v=""/>
    <n v="2387.9899999999998"/>
    <n v="1"/>
    <n v="404.02999999999975"/>
  </r>
  <r>
    <s v="Primark Limited"/>
    <s v="ST.Primark.015.FY26-27.3"/>
    <m/>
    <m/>
    <m/>
    <m/>
    <s v=""/>
    <n v="1558"/>
    <s v="KNIT WEFT KNITTED JERSEY PSCP COTTON 100% GSM-140 CW-172 CM/68 INCH "/>
    <s v="White"/>
    <n v="-13.328333333333333"/>
    <n v="39.984999999999999"/>
    <m/>
    <n v="-39.984999999999999"/>
    <m/>
    <n v="-39.984999999999999"/>
    <s v="448781"/>
    <s v="Solid"/>
    <x v="12"/>
    <d v="2026-10-25T00:00:00"/>
    <d v="2026-10-24T00:00:00"/>
    <s v="Hues Agreed qty as per SQBL required date"/>
    <m/>
    <s v="Oct"/>
    <d v="2026-10-24T00:00:00"/>
    <m/>
    <m/>
    <m/>
    <m/>
    <m/>
    <m/>
    <m/>
    <m/>
    <m/>
    <m/>
    <s v="448781"/>
    <s v="White"/>
    <n v="140"/>
    <s v="448781140White"/>
    <n v="0"/>
    <s v="#NA"/>
    <n v="0"/>
    <n v="157.58699999999999"/>
    <s v=""/>
    <s v=""/>
    <n v="39.984999999999999"/>
    <s v=""/>
    <n v="0"/>
    <n v="0"/>
    <n v="0"/>
  </r>
  <r>
    <s v="Primark Limited"/>
    <s v="ST.Primark.015.FY26-27.6"/>
    <m/>
    <m/>
    <m/>
    <m/>
    <s v=""/>
    <n v="1559"/>
    <s v="KNIT WEFT KNITTED JERSEY PSCP COTTON 100% GSM-140 CW-172 CM/68 INCH "/>
    <s v="White"/>
    <n v="-39.20066666666667"/>
    <n v="117.602"/>
    <m/>
    <n v="-117.602"/>
    <m/>
    <n v="-117.602"/>
    <s v="448781"/>
    <s v="Solid"/>
    <x v="30"/>
    <d v="2026-10-20T00:00:00"/>
    <d v="2026-10-19T00:00:00"/>
    <s v="Hues Agreed qty as per SQBL required date"/>
    <m/>
    <s v="Oct"/>
    <d v="2026-10-16T00:00:00"/>
    <m/>
    <m/>
    <m/>
    <m/>
    <m/>
    <m/>
    <m/>
    <m/>
    <m/>
    <m/>
    <s v="448781"/>
    <s v="White"/>
    <n v="140"/>
    <s v="448781140White"/>
    <n v="0"/>
    <s v="#NA"/>
    <s v=""/>
    <n v="157.58699999999999"/>
    <s v=""/>
    <s v=""/>
    <n v="117.602"/>
    <s v=""/>
    <n v="0"/>
    <n v="0"/>
    <s v=""/>
  </r>
  <r>
    <s v="Primark Limited"/>
    <s v="ST.Primark.015.FY26-27.3"/>
    <m/>
    <m/>
    <m/>
    <m/>
    <s v=""/>
    <n v="1560"/>
    <s v="KNIT WEFT KNITTED JERSEY PSCP COTTON 100% GSM-160 CW-172 CM/68 INCH "/>
    <s v="White"/>
    <n v="-134.64000000000001"/>
    <n v="403.92"/>
    <m/>
    <n v="-403.92"/>
    <m/>
    <n v="-403.92"/>
    <s v="448781"/>
    <s v="Solid"/>
    <x v="12"/>
    <d v="2026-10-25T00:00:00"/>
    <d v="2026-10-24T00:00:00"/>
    <s v="Hues Agreed qty as per SQBL required date"/>
    <m/>
    <s v="Oct"/>
    <d v="2026-10-24T00:00:00"/>
    <m/>
    <m/>
    <m/>
    <m/>
    <m/>
    <m/>
    <m/>
    <m/>
    <m/>
    <m/>
    <s v="448781"/>
    <s v="White"/>
    <n v="160"/>
    <s v="448781160White"/>
    <n v="0"/>
    <s v="#NA"/>
    <n v="0"/>
    <n v="1591.92"/>
    <s v=""/>
    <s v=""/>
    <n v="403.92"/>
    <s v=""/>
    <n v="0"/>
    <n v="0"/>
    <n v="0"/>
  </r>
  <r>
    <s v="Primark Limited"/>
    <s v="ST.Primark.040.FY26-27.21"/>
    <m/>
    <m/>
    <m/>
    <m/>
    <s v=""/>
    <n v="1561"/>
    <s v="KNIT WEFT KNITTED JERSEY PSCP COTTON 100% GSM-140 CW-172 CM/68 INCH "/>
    <s v="Black Coffee / Ganache 19-1111 TCX"/>
    <s v=""/>
    <n v="14.7"/>
    <m/>
    <n v="-14.7"/>
    <m/>
    <n v="-14.7"/>
    <s v="450567"/>
    <s v="Solid"/>
    <x v="34"/>
    <d v="2026-10-13T00:00:00"/>
    <d v="2026-10-12T00:00:00"/>
    <s v="Hues Agreed qty as per SQBL required date"/>
    <m/>
    <s v="Oct"/>
    <d v="2026-10-27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n v="14.7"/>
    <s v=""/>
    <n v="0"/>
    <n v="0"/>
    <n v="0"/>
  </r>
  <r>
    <s v="Primark Limited"/>
    <s v="ST.Primark.039.FY26-27.18"/>
    <m/>
    <m/>
    <m/>
    <m/>
    <s v=""/>
    <n v="1562"/>
    <s v="KNIT WEFT KNITTED JERSEY PSCP COTTON 100% GSM-160 CW-172 CM/68 INCH "/>
    <s v="Black Coffee / Ganache 19-1111 TCX"/>
    <n v="0"/>
    <n v="198.99"/>
    <n v="198.99"/>
    <n v="0"/>
    <m/>
    <n v="0"/>
    <s v="450568"/>
    <s v="Solid"/>
    <x v="24"/>
    <d v="2026-10-06T00:00:00"/>
    <d v="2026-10-05T00:00:00"/>
    <s v="Hues Agreed qty as per SQBL required date"/>
    <m/>
    <s v="Oct"/>
    <d v="2026-10-03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19"/>
    <m/>
    <m/>
    <m/>
    <m/>
    <s v=""/>
    <n v="1563"/>
    <s v="KNIT WEFT KNITTED JERSEY PSCP COTTON 100% GSM-160 CW-172 CM/68 INCH "/>
    <s v="Black Coffee / Ganache 19-1111 TCX"/>
    <n v="0"/>
    <n v="98.01"/>
    <n v="98.0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s v=""/>
    <s v=""/>
    <s v=""/>
    <n v="0"/>
    <s v=""/>
    <n v="3975"/>
    <n v="1.0149999999999999"/>
    <n v="161.52000000000044"/>
  </r>
  <r>
    <s v="Primark Limited"/>
    <s v="ST.Primark.039.FY26-27.2"/>
    <m/>
    <m/>
    <m/>
    <m/>
    <s v=""/>
    <n v="1564"/>
    <s v="KNIT WEFT KNITTED JERSEY PSCP COTTON 100% GSM-160 CW-172 CM/68 INCH "/>
    <s v="Black Coffee / Ganache 19-1111 TCX"/>
    <s v=""/>
    <n v="74.25"/>
    <n v="74.2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s v=""/>
    <s v=""/>
    <n v="3975"/>
    <n v="1.0149999999999999"/>
    <n v="161.52000000000044"/>
  </r>
  <r>
    <s v="Primark Limited"/>
    <s v="ST.Primark.039.FY26-27.20"/>
    <m/>
    <m/>
    <m/>
    <m/>
    <s v=""/>
    <n v="1565"/>
    <s v="KNIT WEFT KNITTED JERSEY PSCP COTTON 100% GSM-160 CW-172 CM/68 INCH "/>
    <s v="Black Coffee / Ganache 19-1111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21"/>
    <m/>
    <m/>
    <m/>
    <m/>
    <s v=""/>
    <n v="1566"/>
    <s v="KNIT WEFT KNITTED JERSEY PSCP COTTON 100% GSM-160 CW-172 CM/68 INCH "/>
    <s v="Black Coffee / Ganache 19-1111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22"/>
    <m/>
    <m/>
    <m/>
    <m/>
    <s v=""/>
    <n v="1567"/>
    <s v="KNIT WEFT KNITTED JERSEY PSCP COTTON 100% GSM-160 CW-172 CM/68 INCH "/>
    <s v="Black Coffee / Ganache 19-1111 TCX"/>
    <s v=""/>
    <n v="246.51"/>
    <n v="246.51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s v=""/>
    <s v=""/>
    <n v="3975"/>
    <n v="1.0149999999999999"/>
    <n v="161.52000000000044"/>
  </r>
  <r>
    <s v="Primark Limited"/>
    <s v="ST.Primark.039.FY26-27.23"/>
    <m/>
    <m/>
    <m/>
    <m/>
    <s v=""/>
    <n v="1568"/>
    <s v="KNIT WEFT KNITTED JERSEY PSCP COTTON 100% GSM-160 CW-172 CM/68 INCH "/>
    <s v="Black Coffee / Ganache 19-1111 TCX"/>
    <n v="0"/>
    <n v="246.51"/>
    <n v="246.5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24"/>
    <m/>
    <m/>
    <m/>
    <m/>
    <s v=""/>
    <n v="1569"/>
    <s v="KNIT WEFT KNITTED JERSEY PSCP COTTON 100% GSM-160 CW-172 CM/68 INCH "/>
    <s v="Black Coffee / Ganache 19-1111 TCX"/>
    <n v="0"/>
    <n v="198.99"/>
    <n v="198.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25"/>
    <m/>
    <m/>
    <m/>
    <m/>
    <s v=""/>
    <n v="1570"/>
    <s v="KNIT WEFT KNITTED JERSEY PSCP COTTON 100% GSM-160 CW-172 CM/68 INCH "/>
    <s v="Black Coffee / Ganache 19-1111 TCX"/>
    <s v=""/>
    <n v="395.01"/>
    <n v="395.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s v=""/>
    <s v=""/>
    <n v="3975"/>
    <n v="1.0149999999999999"/>
    <n v="161.52000000000044"/>
  </r>
  <r>
    <s v="Primark Limited"/>
    <s v="ST.Primark.039.FY26-27.26"/>
    <m/>
    <m/>
    <m/>
    <m/>
    <s v=""/>
    <n v="1571"/>
    <s v="KNIT WEFT KNITTED JERSEY PSCP COTTON 100% GSM-160 CW-172 CM/68 INCH "/>
    <s v="Black Coffee / Ganache 19-1111 TCX"/>
    <n v="0"/>
    <n v="594"/>
    <n v="59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27"/>
    <m/>
    <m/>
    <m/>
    <m/>
    <s v=""/>
    <n v="1572"/>
    <s v="KNIT WEFT KNITTED JERSEY PSCP COTTON 100% GSM-160 CW-172 CM/68 INCH "/>
    <s v="Black Coffee / Ganache 19-1111 TCX"/>
    <n v="0"/>
    <n v="35.64"/>
    <n v="35.6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28"/>
    <m/>
    <m/>
    <m/>
    <m/>
    <s v=""/>
    <n v="1573"/>
    <s v="KNIT WEFT KNITTED JERSEY PSCP COTTON 100% GSM-160 CW-172 CM/68 INCH "/>
    <s v="Black Coffee / Ganache 19-1111 TCX"/>
    <n v="0"/>
    <n v="35.64"/>
    <n v="35.64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29"/>
    <m/>
    <m/>
    <m/>
    <m/>
    <s v=""/>
    <n v="1574"/>
    <s v="KNIT WEFT KNITTED JERSEY PSCP COTTON 100% GSM-160 CW-172 CM/68 INCH "/>
    <s v="Black Coffee / Ganache 19-1111 TCX"/>
    <n v="0"/>
    <n v="29.7"/>
    <n v="29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3"/>
    <m/>
    <m/>
    <m/>
    <m/>
    <s v=""/>
    <n v="1575"/>
    <s v="KNIT WEFT KNITTED JERSEY PSCP COTTON 100% GSM-160 CW-172 CM/68 INCH "/>
    <s v="Black Coffee / Ganache 19-1111 TCX"/>
    <n v="0"/>
    <n v="148.5"/>
    <n v="148.5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39.FY26-27.30"/>
    <m/>
    <m/>
    <m/>
    <m/>
    <s v=""/>
    <n v="1576"/>
    <s v="KNIT WEFT KNITTED JERSEY PSCP COTTON 100% GSM-160 CW-172 CM/68 INCH "/>
    <s v="Black Coffee / Ganache 19-1111 TCX"/>
    <n v="0"/>
    <n v="56.43"/>
    <n v="56.4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s v=""/>
    <s v=""/>
    <n v="3975"/>
    <n v="1.0149999999999999"/>
    <n v="161.52000000000044"/>
  </r>
  <r>
    <s v="Primark Limited"/>
    <s v="ST.Primark.039.FY26-27.31"/>
    <m/>
    <m/>
    <m/>
    <m/>
    <s v=""/>
    <n v="1577"/>
    <s v="KNIT WEFT KNITTED JERSEY PSCP COTTON 100% GSM-160 CW-172 CM/68 INCH "/>
    <s v="Black Coffee / Ganache 19-1111 TCX"/>
    <n v="0"/>
    <n v="89.1"/>
    <n v="89.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60"/>
    <s v="450568160Black Coffee / Ganache 19-1111 TCX"/>
    <n v="3975"/>
    <n v="-60.54"/>
    <n v="3813.4799999999996"/>
    <n v="3813.4799999999996"/>
    <s v=""/>
    <s v=""/>
    <n v="0"/>
    <s v=""/>
    <n v="3975"/>
    <n v="1.0149999999999999"/>
    <n v="161.52000000000044"/>
  </r>
  <r>
    <s v="Primark Limited"/>
    <s v="ST.Primark.023.FY26-27.7"/>
    <m/>
    <m/>
    <m/>
    <m/>
    <s v=""/>
    <n v="1578"/>
    <s v="KNIT WEFT KNITTED JERSEY PSCP COTTON 100% GSM-140 CW-172 CM/68 INCH "/>
    <s v="Black"/>
    <n v="-2.04"/>
    <n v="6.12"/>
    <m/>
    <n v="-6.12"/>
    <m/>
    <n v="-6.1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s v=""/>
    <s v=""/>
    <n v="6.12"/>
    <s v=""/>
    <n v="0"/>
    <n v="0"/>
    <n v="0"/>
  </r>
  <r>
    <s v="Primark Limited"/>
    <s v="ST.Primark.023.FY26-27.9"/>
    <m/>
    <m/>
    <m/>
    <m/>
    <s v=""/>
    <n v="1579"/>
    <s v="KNIT WEFT KNITTED JERSEY PSCP COTTON 100% GSM-140 CW-172 CM/68 INCH "/>
    <s v="Black"/>
    <n v="-0.66800000000000004"/>
    <n v="2.004"/>
    <m/>
    <n v="-2.004"/>
    <m/>
    <n v="-2.004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s v=""/>
    <s v=""/>
    <s v=""/>
    <s v=""/>
    <n v="2.004"/>
    <s v=""/>
    <n v="0"/>
    <n v="0"/>
    <s v=""/>
  </r>
  <r>
    <s v="Primark Limited"/>
    <s v="ST.Primark.040.FY26-27.7"/>
    <m/>
    <m/>
    <m/>
    <m/>
    <s v=""/>
    <n v="1580"/>
    <s v="KNIT WEFT KNITTED JERSEY PSCP COTTON 100% GSM-160 CW-172 CM/68 INCH "/>
    <s v="Brush / Honey 16-13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3.9620000000000002"/>
    <s v=""/>
    <n v="0"/>
    <n v="0"/>
    <n v="0"/>
  </r>
  <r>
    <s v="Primark Limited"/>
    <s v="ST.Primark.039.FY26-27.10"/>
    <m/>
    <m/>
    <m/>
    <m/>
    <s v=""/>
    <n v="1581"/>
    <s v="KNIT WEFT KNITTED JERSEY PSCP COTTON 100% GSM-160 CW-172 CM/68 INCH "/>
    <s v="Brush / Honey 16-1317 TCX"/>
    <s v="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4.4889999999999999"/>
    <s v=""/>
    <n v="0"/>
    <n v="0"/>
    <n v="0"/>
  </r>
  <r>
    <s v="Primark Limited"/>
    <s v="ST.Primark.040.FY26-27.13"/>
    <m/>
    <m/>
    <m/>
    <m/>
    <s v=""/>
    <n v="1582"/>
    <s v="KNIT WEFT KNITTED JERSEY PSCP COTTON 100% GSM-160 CW-172 CM/68 INCH "/>
    <s v="Brush / Honey 16-13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1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1.19"/>
    <s v=""/>
    <n v="0"/>
    <n v="0"/>
    <n v="0"/>
  </r>
  <r>
    <s v="Primark Limited"/>
    <s v="ST.Primark.040.FY26-27.15"/>
    <m/>
    <m/>
    <m/>
    <m/>
    <s v=""/>
    <n v="1583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Brush / Honey 16-1317 TCX"/>
    <n v="160"/>
    <s v="465128160Brush / Honey 16-1317 TCX"/>
    <n v="0"/>
    <s v="#NA"/>
    <s v=""/>
    <s v=""/>
    <s v=""/>
    <s v=""/>
    <n v="4.7530000000000001"/>
    <s v=""/>
    <n v="0"/>
    <n v="0"/>
    <s v=""/>
  </r>
  <r>
    <s v="Primark Limited"/>
    <s v="ST.TexgroupLtd.005.FY26-27.2"/>
    <m/>
    <m/>
    <m/>
    <m/>
    <s v=""/>
    <n v="1584"/>
    <s v="KNIT WEFT KNITTED JERSEY PSCP COTTON 100% GSM-140 CW-172 CM/68 INCH "/>
    <s v="11-0515 TCX Lemon Icing"/>
    <n v="-14.719999999999999"/>
    <n v="44.16"/>
    <m/>
    <n v="-44.16"/>
    <m/>
    <n v="-44.16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44.16"/>
    <s v=""/>
    <n v="27"/>
    <n v="0.96"/>
    <n v="54.29"/>
  </r>
  <r>
    <s v="Primark Limited"/>
    <s v="ST.Primark.006.FY26-27.11"/>
    <m/>
    <m/>
    <m/>
    <m/>
    <s v=""/>
    <n v="1585"/>
    <s v="KNIT WEFT KNITTED JERSEY PSCP COTTON 100% GSM-140 CW-172 CM/68 INCH "/>
    <s v="Black"/>
    <n v="-0.66"/>
    <n v="1.98"/>
    <m/>
    <n v="-1.98"/>
    <m/>
    <n v="-1.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1.98"/>
    <s v=""/>
    <n v="0"/>
    <n v="0"/>
    <n v="0"/>
  </r>
  <r>
    <s v="Primark Limited"/>
    <s v="ST.Primark.006.FY26-27.12"/>
    <m/>
    <m/>
    <m/>
    <m/>
    <s v=""/>
    <n v="1586"/>
    <s v="KNIT WEFT KNITTED JERSEY PSCP COTTON 100% GSM-140 CW-172 CM/68 INCH "/>
    <s v="Black"/>
    <n v="-11"/>
    <n v="33"/>
    <m/>
    <n v="-33"/>
    <m/>
    <n v="-33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s v=""/>
    <n v="332.29400000000004"/>
    <s v=""/>
    <s v=""/>
    <n v="33"/>
    <s v=""/>
    <n v="0"/>
    <n v="0"/>
    <s v=""/>
  </r>
  <r>
    <s v="Primark Limited"/>
    <s v="ST.Primark.006.FY26-27.14"/>
    <m/>
    <m/>
    <m/>
    <m/>
    <s v=""/>
    <n v="1587"/>
    <s v="KNIT WEFT KNITTED JERSEY PSCP COTTON 100% GSM-140 CW-172 CM/68 INCH "/>
    <s v="Black"/>
    <s v="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s v=""/>
    <s v=""/>
    <n v="0"/>
    <n v="0"/>
    <n v="0"/>
  </r>
  <r>
    <s v="Primark Limited"/>
    <s v="ST.Primark.006.FY26-27.15"/>
    <m/>
    <m/>
    <m/>
    <m/>
    <s v=""/>
    <n v="1588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27.553999999999998"/>
    <s v=""/>
    <n v="0"/>
    <n v="0"/>
    <n v="0"/>
  </r>
  <r>
    <s v="Primark Limited"/>
    <s v="ST.Primark.006.FY26-27.17"/>
    <m/>
    <m/>
    <m/>
    <m/>
    <s v=""/>
    <n v="1589"/>
    <s v="KNIT WEFT KNITTED JERSEY PSCP COTTON 100% GSM-140 CW-172 CM/68 INCH "/>
    <s v="Black"/>
    <n v="-9.1846666666666668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s v=""/>
    <s v=""/>
    <s v=""/>
    <s v=""/>
    <n v="27.553999999999998"/>
    <s v=""/>
    <n v="0"/>
    <n v="0"/>
    <s v=""/>
  </r>
  <r>
    <s v="Primark Limited"/>
    <s v="ST.Primark.006.FY26-27.18"/>
    <m/>
    <m/>
    <m/>
    <m/>
    <s v=""/>
    <n v="1590"/>
    <s v="KNIT WEFT KNITTED JERSEY PSCP COTTON 100% GSM-140 CW-172 CM/68 INCH "/>
    <s v="Black"/>
    <s v=""/>
    <n v="27.553999999999998"/>
    <m/>
    <n v="-27.553999999999998"/>
    <m/>
    <n v="-27.553999999999998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27.553999999999998"/>
    <s v=""/>
    <n v="0"/>
    <n v="0"/>
    <n v="0"/>
  </r>
  <r>
    <s v="Primark Limited"/>
    <s v="ST.Primark.006.FY26-27.2"/>
    <m/>
    <m/>
    <m/>
    <m/>
    <s v=""/>
    <n v="1591"/>
    <s v="KNIT WEFT KNITTED JERSEY PSCP COTTON 100% GSM-140 CW-172 CM/68 INCH "/>
    <s v="Black"/>
    <n v="-4.1246666666666671"/>
    <n v="12.374000000000001"/>
    <m/>
    <n v="-12.374000000000001"/>
    <m/>
    <n v="-12.374000000000001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12.374000000000001"/>
    <s v=""/>
    <n v="0"/>
    <n v="0"/>
    <n v="0"/>
  </r>
  <r>
    <s v="Primark Limited"/>
    <s v="ST.Primark.006.FY26-27.20"/>
    <m/>
    <m/>
    <m/>
    <m/>
    <s v=""/>
    <n v="1592"/>
    <s v="KNIT WEFT KNITTED JERSEY PSCP COTTON 100% GSM-140 CW-172 CM/68 INCH "/>
    <s v="Black"/>
    <n v="-18.369666666666667"/>
    <n v="55.109000000000002"/>
    <m/>
    <n v="-55.109000000000002"/>
    <m/>
    <n v="-55.109000000000002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55.109000000000002"/>
    <s v=""/>
    <n v="0"/>
    <n v="0"/>
    <n v="0"/>
  </r>
  <r>
    <s v="Primark Limited"/>
    <s v="ST.Primark.006.FY26-27.21"/>
    <m/>
    <m/>
    <m/>
    <m/>
    <s v=""/>
    <n v="1593"/>
    <s v="KNIT WEFT KNITTED JERSEY PSCP COTTON 100% GSM-140 CW-172 CM/68 INCH "/>
    <s v="Black"/>
    <n v="-18.369666666666667"/>
    <n v="55.109000000000002"/>
    <m/>
    <n v="-55.109000000000002"/>
    <m/>
    <n v="-55.109000000000002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55.109000000000002"/>
    <s v=""/>
    <n v="0"/>
    <n v="0"/>
    <n v="0"/>
  </r>
  <r>
    <s v="Primark Limited"/>
    <s v="ST.Primark.006.FY26-27.23"/>
    <m/>
    <m/>
    <m/>
    <m/>
    <s v=""/>
    <n v="1594"/>
    <s v="KNIT WEFT KNITTED JERSEY PSCP COTTON 100% GSM-140 CW-172 CM/68 INCH "/>
    <s v="Black"/>
    <s v=""/>
    <n v="3.9580000000000002"/>
    <m/>
    <n v="-3.9580000000000002"/>
    <m/>
    <n v="-3.9580000000000002"/>
    <s v="465119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3.9580000000000002"/>
    <s v=""/>
    <n v="0"/>
    <n v="0"/>
    <n v="0"/>
  </r>
  <r>
    <s v="Primark Limited"/>
    <s v="ST.Primark.006.FY26-27.24"/>
    <m/>
    <m/>
    <m/>
    <m/>
    <s v=""/>
    <n v="1595"/>
    <s v="KNIT WEFT KNITTED JERSEY PSCP COTTON 100% GSM-140 CW-172 CM/68 INCH "/>
    <s v="Black"/>
    <s v=""/>
    <n v="3.9580000000000002"/>
    <m/>
    <n v="-3.9580000000000002"/>
    <m/>
    <n v="-3.9580000000000002"/>
    <s v="465119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19"/>
    <s v="Black"/>
    <n v="140"/>
    <s v="465119140Black"/>
    <n v="0"/>
    <s v="#NA"/>
    <n v="0"/>
    <n v="332.29400000000004"/>
    <s v=""/>
    <s v=""/>
    <n v="3.9580000000000002"/>
    <s v=""/>
    <n v="0"/>
    <n v="0"/>
    <n v="0"/>
  </r>
  <r>
    <s v="Primark Limited"/>
    <s v="ST.Primark.039.FY26-27.7"/>
    <m/>
    <m/>
    <m/>
    <m/>
    <s v=""/>
    <n v="1596"/>
    <s v="KNIT WEFT KNITTED JERSEY PSCP COTTON 100% GSM-160 CW-172 CM/68 INCH "/>
    <s v="Brush / Honey 16-1317 TCX"/>
    <n v="0"/>
    <n v="89.1"/>
    <n v="89.1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8"/>
    <m/>
    <m/>
    <m/>
    <m/>
    <s v=""/>
    <n v="1597"/>
    <s v="KNIT WEFT KNITTED JERSEY PSCP COTTON 100% GSM-160 CW-172 CM/68 INCH "/>
    <s v="Brush / Honey 16-1317 TCX"/>
    <n v="0"/>
    <n v="68.31"/>
    <n v="68.31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n v="0"/>
    <s v=""/>
    <n v="3852.08"/>
    <n v="0.98399999999999999"/>
    <n v="100.98000000000047"/>
  </r>
  <r>
    <s v="Primark Limited"/>
    <s v="ST.Primark.039.FY26-27.9"/>
    <m/>
    <m/>
    <m/>
    <m/>
    <s v=""/>
    <n v="1598"/>
    <s v="KNIT WEFT KNITTED JERSEY PSCP COTTON 100% GSM-160 CW-172 CM/68 INCH "/>
    <s v="Brush / Honey 16-1317 TCX"/>
    <n v="0"/>
    <n v="100.98"/>
    <n v="100.98"/>
    <n v="0"/>
    <m/>
    <n v="0"/>
    <s v="450568"/>
    <s v="Solid"/>
    <x v="55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60"/>
    <s v="450568160Brush / Honey 16-1317 TCX"/>
    <n v="3852.08"/>
    <n v="62.38"/>
    <n v="3751.0999999999995"/>
    <n v="3813.4799999999996"/>
    <s v=""/>
    <s v=""/>
    <s v=""/>
    <s v=""/>
    <n v="3852.08"/>
    <n v="0.98399999999999999"/>
    <n v="100.98000000000047"/>
  </r>
  <r>
    <s v="Primark Limited"/>
    <s v="ST.Primark.039.FY26-27.10"/>
    <m/>
    <m/>
    <m/>
    <m/>
    <s v=""/>
    <n v="1599"/>
    <s v="KNIT WEFT KNITTED JERSEY PSCP COTTON 100% GSM-160 CW-172 CM/68 INCH "/>
    <s v="Mustang / Cocoa 19-1217 TCX"/>
    <n v="0"/>
    <n v="100.98"/>
    <n v="100.98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12"/>
    <m/>
    <m/>
    <m/>
    <m/>
    <s v=""/>
    <n v="1600"/>
    <s v="KNIT WEFT KNITTED JERSEY PSCP COTTON 100% GSM-160 CW-172 CM/68 INCH "/>
    <s v="Mustang / Cocoa 19-1217 TCX"/>
    <s v=""/>
    <n v="26.73"/>
    <n v="26.73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13"/>
    <m/>
    <m/>
    <m/>
    <m/>
    <s v=""/>
    <n v="1601"/>
    <s v="KNIT WEFT KNITTED JERSEY PSCP COTTON 100% GSM-160 CW-172 CM/68 INCH "/>
    <s v="Mustang / Cocoa 19-1217 TCX"/>
    <n v="0"/>
    <n v="106.92"/>
    <n v="106.92"/>
    <n v="0"/>
    <m/>
    <n v="0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14"/>
    <m/>
    <m/>
    <m/>
    <m/>
    <s v=""/>
    <n v="1602"/>
    <s v="KNIT WEFT KNITTED JERSEY PSCP COTTON 100% GSM-160 CW-172 CM/68 INCH "/>
    <s v="Mustang / Cocoa 19-1217 TCX"/>
    <n v="0"/>
    <n v="53.46"/>
    <n v="53.46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15"/>
    <m/>
    <m/>
    <m/>
    <m/>
    <s v=""/>
    <n v="1603"/>
    <s v="KNIT WEFT KNITTED JERSEY PSCP COTTON 100% GSM-160 CW-172 CM/68 INCH "/>
    <s v="Mustang / Cocoa 19-1217 TCX"/>
    <n v="0"/>
    <n v="80.19"/>
    <n v="80.19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s v=""/>
    <n v="3813.48"/>
    <s v=""/>
    <s v=""/>
    <n v="0"/>
    <s v=""/>
    <n v="3791.86"/>
    <n v="0.96899999999999997"/>
    <s v=""/>
  </r>
  <r>
    <s v="Primark Limited"/>
    <s v="ST.Primark.039.FY26-27.16"/>
    <m/>
    <m/>
    <m/>
    <m/>
    <s v=""/>
    <n v="1604"/>
    <s v="KNIT WEFT KNITTED JERSEY PSCP COTTON 100% GSM-160 CW-172 CM/68 INCH "/>
    <s v="Mustang / Cocoa 19-1217 TCX"/>
    <n v="0"/>
    <n v="106.92"/>
    <n v="106.92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17"/>
    <m/>
    <m/>
    <m/>
    <m/>
    <s v=""/>
    <n v="1605"/>
    <s v="KNIT WEFT KNITTED JERSEY PSCP COTTON 100% GSM-160 CW-172 CM/68 INCH "/>
    <s v="Mustang / Cocoa 19-1217 TCX"/>
    <s v=""/>
    <n v="80.19"/>
    <n v="80.19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s v=""/>
    <s v=""/>
    <n v="3791.86"/>
    <n v="0.96899999999999997"/>
    <n v="100.98000000000002"/>
  </r>
  <r>
    <s v="Primark Limited"/>
    <s v="ST.Primark.039.FY26-27.18"/>
    <m/>
    <m/>
    <m/>
    <m/>
    <s v=""/>
    <n v="1606"/>
    <s v="KNIT WEFT KNITTED JERSEY PSCP COTTON 100% GSM-160 CW-172 CM/68 INCH "/>
    <s v="Mustang / Cocoa 19-1217 TCX"/>
    <n v="0"/>
    <n v="198.99"/>
    <n v="198.99"/>
    <n v="0"/>
    <m/>
    <n v="0"/>
    <s v="450568"/>
    <s v="Solid"/>
    <x v="25"/>
    <d v="2026-10-10T00:00:00"/>
    <d v="2026-10-10T00:00:00"/>
    <s v="Revised Plan given as per revised date"/>
    <m/>
    <s v="Oct"/>
    <d v="2026-10-03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n v="3690.88"/>
    <n v="3813.48"/>
    <s v=""/>
    <s v=""/>
    <s v=""/>
    <s v=""/>
    <n v="3791.86"/>
    <n v="0.96899999999999997"/>
    <n v="100.98000000000002"/>
  </r>
  <r>
    <s v="Primark Limited"/>
    <s v="ST.Primark.039.FY26-27.19"/>
    <m/>
    <m/>
    <m/>
    <m/>
    <s v=""/>
    <n v="1607"/>
    <s v="KNIT WEFT KNITTED JERSEY PSCP COTTON 100% GSM-160 CW-172 CM/68 INCH "/>
    <s v="Mustang / Cocoa 19-1217 TCX"/>
    <n v="0"/>
    <n v="98.01"/>
    <n v="98.01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s v=""/>
    <n v="3813.48"/>
    <s v=""/>
    <s v=""/>
    <n v="0"/>
    <s v=""/>
    <n v="3791.86"/>
    <n v="0.96899999999999997"/>
    <s v=""/>
  </r>
  <r>
    <s v="Primark Limited"/>
    <s v="ST.Primark.039.FY26-27.2"/>
    <m/>
    <m/>
    <m/>
    <m/>
    <s v=""/>
    <n v="1608"/>
    <s v="KNIT WEFT KNITTED JERSEY PSCP COTTON 100% GSM-160 CW-172 CM/68 INCH "/>
    <s v="Mustang / Cocoa 19-1217 TCX"/>
    <n v="0"/>
    <n v="74.25"/>
    <n v="74.25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s v=""/>
    <n v="3813.48"/>
    <s v=""/>
    <s v=""/>
    <n v="0"/>
    <s v=""/>
    <n v="3791.86"/>
    <n v="0.96899999999999997"/>
    <s v=""/>
  </r>
  <r>
    <s v="Primark Limited"/>
    <s v="ST.Primark.039.FY26-27.20"/>
    <m/>
    <m/>
    <m/>
    <m/>
    <s v=""/>
    <n v="1609"/>
    <s v="KNIT WEFT KNITTED JERSEY PSCP COTTON 100% GSM-160 CW-172 CM/68 INCH "/>
    <s v="Mustang / Cocoa 19-1217 TCX"/>
    <n v="0"/>
    <n v="148.5"/>
    <n v="148.5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40.FY26-27.25"/>
    <m/>
    <m/>
    <m/>
    <m/>
    <s v=""/>
    <n v="1610"/>
    <s v="KNIT WEFT KNITTED JERSEY PSCP COTTON 100% GSM-160 CW-172 CM/68 INCH "/>
    <s v="Brush / Honey 16-13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s v=""/>
    <s v=""/>
    <n v="0"/>
    <n v="0"/>
    <n v="0"/>
  </r>
  <r>
    <s v="Primark Limited"/>
    <s v="ST.Primark.040.FY26-27.29"/>
    <m/>
    <m/>
    <m/>
    <m/>
    <s v=""/>
    <n v="1611"/>
    <s v="KNIT WEFT KNITTED JERSEY PSCP COTTON 100% GSM-160 CW-172 CM/68 INCH "/>
    <s v="Brush / Honey 16-1317 TCX"/>
    <n v="-5.8306666666666667"/>
    <n v="17.492000000000001"/>
    <m/>
    <n v="-17.492000000000001"/>
    <m/>
    <n v="-17.492000000000001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s v=""/>
    <s v=""/>
    <s v=""/>
    <s v=""/>
    <s v=""/>
    <n v="0"/>
    <n v="0"/>
    <n v="0"/>
  </r>
  <r>
    <s v="Primark Limited"/>
    <s v="ST.Primark.040.FY26-27.3"/>
    <m/>
    <m/>
    <m/>
    <m/>
    <s v=""/>
    <n v="1612"/>
    <s v="KNIT WEFT KNITTED JERSEY PSCP COTTON 100% GSM-160 CW-172 CM/68 INCH "/>
    <s v="Brush / Honey 16-1317 TCX"/>
    <n v="-4.4006666666666669"/>
    <n v="13.202"/>
    <m/>
    <n v="-13.202"/>
    <m/>
    <n v="-13.202"/>
    <s v="465128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13.202"/>
    <s v=""/>
    <n v="0"/>
    <n v="0"/>
    <n v="0"/>
  </r>
  <r>
    <s v="Primark Limited"/>
    <s v="ST.Primark.039.FY26-27.7"/>
    <m/>
    <m/>
    <m/>
    <m/>
    <s v=""/>
    <n v="1613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s v=""/>
    <n v="353.28699999999998"/>
    <s v=""/>
    <s v=""/>
    <n v="3.9620000000000002"/>
    <s v=""/>
    <n v="0"/>
    <n v="0"/>
    <s v=""/>
  </r>
  <r>
    <s v="Primark Limited"/>
    <s v="ST.Primark.039.FY26-27.8"/>
    <m/>
    <m/>
    <m/>
    <m/>
    <s v=""/>
    <n v="1614"/>
    <s v="KNIT WEFT KNITTED JERSEY PSCP COTTON 100% GSM-160 CW-172 CM/68 INCH "/>
    <s v="Mustang / Cocoa 19-1217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0369999999999999"/>
    <s v=""/>
    <n v="0"/>
    <n v="0"/>
    <n v="0"/>
  </r>
  <r>
    <s v="Primark Limited"/>
    <s v="ST.Primark.039.FY26-27.9"/>
    <m/>
    <m/>
    <m/>
    <m/>
    <s v=""/>
    <n v="1615"/>
    <s v="KNIT WEFT KNITTED JERSEY PSCP COTTON 100% GSM-160 CW-172 CM/68 INCH "/>
    <s v="Mustang / Cocoa 19-1217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.4889999999999999"/>
    <s v=""/>
    <n v="0"/>
    <n v="0"/>
    <n v="0"/>
  </r>
  <r>
    <s v="Primark Limited"/>
    <s v="ST.Primark.039.FY26-27.30"/>
    <m/>
    <m/>
    <m/>
    <m/>
    <s v=""/>
    <n v="1616"/>
    <s v="KNIT WEFT KNITTED JERSEY PSCP COTTON 100% GSM-140 CW-172 CM/68 INCH "/>
    <s v="Sand Dollar / Vanilla 13-1106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s v=""/>
    <s v=""/>
    <s v=""/>
    <s v=""/>
    <n v="0"/>
    <n v="0"/>
    <n v="0"/>
  </r>
  <r>
    <s v="Primark Limited"/>
    <s v="ST.Primark.039.FY26-27.31"/>
    <m/>
    <m/>
    <m/>
    <m/>
    <s v=""/>
    <n v="1617"/>
    <s v="KNIT WEFT KNITTED JERSEY PSCP COTTON 100% GSM-140 CW-172 CM/68 INCH "/>
    <s v="Sand Dollar / Vanilla 13-1106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s v=""/>
    <s v=""/>
    <n v="3.528"/>
    <s v=""/>
    <n v="0"/>
    <n v="0"/>
    <n v="0"/>
  </r>
  <r>
    <s v="Primark Limited"/>
    <s v="ST.Primark.039.FY26-27.13"/>
    <m/>
    <m/>
    <m/>
    <m/>
    <s v=""/>
    <n v="1618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4.7530000000000001"/>
    <s v=""/>
    <n v="0"/>
    <n v="0"/>
    <n v="0"/>
  </r>
  <r>
    <s v="Primark Limited"/>
    <s v="ST.Primark.039.FY26-27.15"/>
    <m/>
    <m/>
    <m/>
    <m/>
    <s v=""/>
    <n v="1619"/>
    <s v="KNIT WEFT KNITTED JERSEY PSCP COTTON 100% GSM-160 CW-172 CM/68 INCH "/>
    <s v="Brush / Honey 16-1317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s v=""/>
    <s v=""/>
    <s v=""/>
    <s v=""/>
    <s v=""/>
    <n v="0"/>
    <n v="0"/>
    <n v="0"/>
  </r>
  <r>
    <s v="Primark Limited"/>
    <s v="ST.Primark.039.FY26-27.16"/>
    <m/>
    <m/>
    <m/>
    <m/>
    <s v=""/>
    <n v="1620"/>
    <s v="KNIT WEFT KNITTED JERSEY PSCP COTTON 100% GSM-160 CW-172 CM/68 INCH "/>
    <s v="Brush / Honey 16-13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4.7530000000000001"/>
    <s v=""/>
    <n v="0"/>
    <n v="0"/>
    <n v="0"/>
  </r>
  <r>
    <s v="Primark Limited"/>
    <s v="ST.Primark.039.FY26-27.17"/>
    <m/>
    <m/>
    <m/>
    <m/>
    <s v=""/>
    <n v="1621"/>
    <s v="KNIT WEFT KNITTED JERSEY PSCP COTTON 100% GSM-160 CW-172 CM/68 INCH "/>
    <s v="Brush / Honey 16-1317 TCX"/>
    <n v="-0.627"/>
    <n v="1.881"/>
    <m/>
    <n v="-1.881"/>
    <m/>
    <n v="-1.88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1.881"/>
    <s v=""/>
    <n v="0"/>
    <n v="0"/>
    <n v="0"/>
  </r>
  <r>
    <s v="Primark Limited"/>
    <s v="ST.Primark.039.FY26-27.19"/>
    <m/>
    <m/>
    <m/>
    <m/>
    <s v=""/>
    <n v="1622"/>
    <s v="KNIT WEFT KNITTED JERSEY PSCP COTTON 100% GSM-160 CW-172 CM/68 INCH "/>
    <s v="Brush / Honey 16-1317 TCX"/>
    <s v="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4.3570000000000002"/>
    <s v=""/>
    <n v="0"/>
    <n v="0"/>
    <n v="0"/>
  </r>
  <r>
    <s v="Primark Limited"/>
    <s v="ST.Primark.021.FY26-27.2"/>
    <m/>
    <m/>
    <m/>
    <m/>
    <s v=""/>
    <n v="1623"/>
    <s v="KNIT WEFT KNITTED JERSEY PSCP COTTON 100% GSM-140 CW-172 CM/68 INCH "/>
    <s v="Black"/>
    <n v="-1.2276666666666667"/>
    <n v="3.6829999999999998"/>
    <m/>
    <n v="-3.6829999999999998"/>
    <m/>
    <n v="-3.6829999999999998"/>
    <s v="465121"/>
    <s v="Solid"/>
    <x v="5"/>
    <s v="Plan TBC"/>
    <s v="Plan TBC"/>
    <s v="Lap Dip not confirmed from SQBL"/>
    <m/>
    <s v="Oct"/>
    <d v="2026-10-06T00:00:00"/>
    <m/>
    <m/>
    <m/>
    <m/>
    <m/>
    <m/>
    <m/>
    <m/>
    <m/>
    <m/>
    <s v="465121"/>
    <s v="Black"/>
    <n v="140"/>
    <s v="465121140Black"/>
    <n v="0"/>
    <s v="#NA"/>
    <n v="0"/>
    <s v=""/>
    <s v=""/>
    <s v=""/>
    <n v="3.6829999999999998"/>
    <s v=""/>
    <n v="0"/>
    <n v="0"/>
    <n v="0"/>
  </r>
  <r>
    <s v="Primark Limited"/>
    <s v="ST.Primark.039.FY26-27.12"/>
    <m/>
    <m/>
    <m/>
    <m/>
    <s v=""/>
    <n v="1624"/>
    <s v="KNIT WEFT KNITTED JERSEY PSCP COTTON 100% GSM-160 CW-172 CM/68 INCH "/>
    <s v="Mustang / Cocoa 19-1217 TCX"/>
    <n v="-0.39666666666666667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.19"/>
    <s v=""/>
    <n v="0"/>
    <n v="0"/>
    <n v="0"/>
  </r>
  <r>
    <s v="Primark Limited"/>
    <s v="ST.Primark.039.FY26-27.13"/>
    <m/>
    <m/>
    <m/>
    <m/>
    <s v=""/>
    <n v="1625"/>
    <s v="KNIT WEFT KNITTED JERSEY PSCP COTTON 100% GSM-160 CW-172 CM/68 INCH "/>
    <s v="Mustang / Cocoa 19-1217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.7530000000000001"/>
    <s v=""/>
    <n v="0"/>
    <n v="0"/>
    <n v="0"/>
  </r>
  <r>
    <s v="Primark Limited"/>
    <s v="ST.Primark.011.FY26-27.17"/>
    <m/>
    <m/>
    <m/>
    <m/>
    <s v=""/>
    <n v="1626"/>
    <s v="KNIT WEFT KNITTED JERSEY PSCP COTTON 100% GSM-160 CW-172 CM/68 INCH "/>
    <s v="White"/>
    <n v="0"/>
    <n v="117.45"/>
    <n v="117.45"/>
    <n v="0"/>
    <m/>
    <n v="0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s v=""/>
    <n v="6603.3"/>
    <s v=""/>
    <s v=""/>
    <n v="0"/>
    <s v=""/>
    <n v="11553.05"/>
    <n v="0.97199999999999998"/>
    <s v=""/>
  </r>
  <r>
    <s v="Primark Limited"/>
    <s v="ST.Primark.011.FY26-27.3"/>
    <m/>
    <m/>
    <m/>
    <m/>
    <s v=""/>
    <n v="1627"/>
    <s v="KNIT WEFT KNITTED JERSEY PSCP COTTON 100% GSM-160 CW-172 CM/68 INCH "/>
    <s v="White"/>
    <s v=""/>
    <n v="469.8"/>
    <n v="134.30000000000001"/>
    <n v="-335.5"/>
    <m/>
    <n v="-335.5"/>
    <s v="448757"/>
    <s v="Solid"/>
    <x v="29"/>
    <d v="2026-10-19T00:00:00"/>
    <s v="(13th Oct-19th Oct)-1.6k mtr in every alternate day"/>
    <s v="Hues Agreed qty as per SQBL required date"/>
    <m/>
    <s v="Oct"/>
    <d v="2026-10-13T00:00:00"/>
    <m/>
    <m/>
    <m/>
    <m/>
    <m/>
    <m/>
    <m/>
    <m/>
    <m/>
    <m/>
    <s v="448757"/>
    <s v="White"/>
    <n v="160"/>
    <s v="448757160White"/>
    <n v="11553.05"/>
    <n v="335.5"/>
    <n v="6267.8"/>
    <n v="6603.3"/>
    <s v=""/>
    <s v=""/>
    <n v="335.5"/>
    <s v=""/>
    <n v="11553.05"/>
    <n v="0.97199999999999998"/>
    <n v="5285.2499999999991"/>
  </r>
  <r>
    <s v="Primark Limited"/>
    <s v="ST.Primark.039.FY26-27.31"/>
    <m/>
    <m/>
    <m/>
    <m/>
    <s v=""/>
    <n v="1628"/>
    <s v="KNIT WEFT KNITTED JERSEY PSCP COTTON 100% GSM-160 CW-172 CM/68 INCH "/>
    <s v="Mustang / Cocoa 19-1217 TCX"/>
    <n v="0"/>
    <n v="89.1"/>
    <n v="89.1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4"/>
    <m/>
    <m/>
    <m/>
    <m/>
    <s v=""/>
    <n v="1629"/>
    <s v="KNIT WEFT KNITTED JERSEY PSCP COTTON 100% GSM-160 CW-172 CM/68 INCH "/>
    <s v="Mustang / Cocoa 19-1217 TCX"/>
    <n v="0"/>
    <n v="89.1"/>
    <n v="89.1"/>
    <n v="0"/>
    <m/>
    <n v="0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n v="3690.88"/>
    <s v=""/>
    <s v=""/>
    <s v=""/>
    <s v=""/>
    <s v=""/>
    <n v="3791.86"/>
    <n v="0.96899999999999997"/>
    <n v="100.98000000000002"/>
  </r>
  <r>
    <s v="Primark Limited"/>
    <s v="ST.Primark.039.FY26-27.5"/>
    <m/>
    <m/>
    <m/>
    <m/>
    <s v=""/>
    <n v="1630"/>
    <s v="KNIT WEFT KNITTED JERSEY PSCP COTTON 100% GSM-160 CW-172 CM/68 INCH "/>
    <s v="Mustang / Cocoa 19-1217 TCX"/>
    <s v=""/>
    <n v="47.52"/>
    <n v="47.52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n v="3690.88"/>
    <n v="3813.48"/>
    <s v=""/>
    <s v=""/>
    <s v=""/>
    <s v=""/>
    <n v="3791.86"/>
    <n v="0.96899999999999997"/>
    <n v="100.98000000000002"/>
  </r>
  <r>
    <s v="Primark Limited"/>
    <s v="ST.Primark.039.FY26-27.15"/>
    <m/>
    <m/>
    <m/>
    <m/>
    <s v=""/>
    <n v="1631"/>
    <s v="KNIT WEFT KNITTED JERSEY PSCP COTTON 100% GSM-140 CW-172 CM/68 INCH "/>
    <s v="Brush / Honey 16-1317 TCX"/>
    <n v="0"/>
    <n v="7.9390000000000001"/>
    <n v="7.939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16"/>
    <m/>
    <m/>
    <m/>
    <m/>
    <s v=""/>
    <n v="1632"/>
    <s v="KNIT WEFT KNITTED JERSEY PSCP COTTON 100% GSM-140 CW-172 CM/68 INCH "/>
    <s v="Brush / Honey 16-1317 TCX"/>
    <n v="0"/>
    <n v="10.585000000000001"/>
    <n v="10.585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17"/>
    <m/>
    <m/>
    <m/>
    <m/>
    <s v=""/>
    <n v="1633"/>
    <s v="KNIT WEFT KNITTED JERSEY PSCP COTTON 100% GSM-140 CW-172 CM/68 INCH "/>
    <s v="Brush / Honey 16-1317 TCX"/>
    <n v="0"/>
    <n v="7.9390000000000001"/>
    <n v="7.939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18"/>
    <m/>
    <m/>
    <m/>
    <m/>
    <s v=""/>
    <n v="1634"/>
    <s v="KNIT WEFT KNITTED JERSEY PSCP COTTON 100% GSM-140 CW-172 CM/68 INCH "/>
    <s v="Brush / Honey 16-1317 TCX"/>
    <n v="0"/>
    <n v="19.699000000000002"/>
    <n v="19.699000000000002"/>
    <n v="0"/>
    <m/>
    <n v="0"/>
    <s v="450568"/>
    <s v="Solid"/>
    <x v="23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s v=""/>
    <s v=""/>
    <n v="382.29"/>
    <n v="0.98599999999999999"/>
    <n v="4.7520000000000664"/>
  </r>
  <r>
    <s v="Primark Limited"/>
    <s v="ST.Primark.039.FY26-27.19"/>
    <m/>
    <m/>
    <m/>
    <m/>
    <s v=""/>
    <n v="1635"/>
    <s v="KNIT WEFT KNITTED JERSEY PSCP COTTON 100% GSM-140 CW-172 CM/68 INCH "/>
    <s v="Brush / Honey 16-1317 TCX"/>
    <n v="0"/>
    <n v="9.7029999999999994"/>
    <n v="9.7029999999999994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2"/>
    <m/>
    <m/>
    <m/>
    <m/>
    <s v=""/>
    <n v="1636"/>
    <s v="KNIT WEFT KNITTED JERSEY PSCP COTTON 100% GSM-140 CW-172 CM/68 INCH "/>
    <s v="Brush / Honey 16-1317 TCX"/>
    <n v="0"/>
    <n v="7.3520000000000003"/>
    <n v="7.352000000000000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s v=""/>
    <n v="377.53799999999995"/>
    <s v=""/>
    <s v=""/>
    <n v="0"/>
    <s v=""/>
    <n v="382.29"/>
    <n v="0.98599999999999999"/>
    <s v=""/>
  </r>
  <r>
    <s v="Primark Limited"/>
    <s v="ST.Primark.039.FY26-27.20"/>
    <m/>
    <m/>
    <m/>
    <m/>
    <s v=""/>
    <n v="1637"/>
    <s v="KNIT WEFT KNITTED JERSEY PSCP COTTON 100% GSM-140 CW-172 CM/68 INCH "/>
    <s v="Brush / Honey 16-1317 TCX"/>
    <n v="0"/>
    <n v="14.7"/>
    <n v="14.7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9"/>
    <m/>
    <m/>
    <m/>
    <m/>
    <s v=""/>
    <n v="1638"/>
    <s v="KNIT WEFT KNITTED JERSEY PSCP COTTON 100% GSM-140 CW-172 CM/68 INCH "/>
    <s v="Brush / Honey 16-1317 TCX"/>
    <n v="0"/>
    <n v="9.9979999999999993"/>
    <n v="9.9979999999999993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382.29"/>
    <n v="5.24"/>
    <s v=""/>
    <n v="377.53799999999995"/>
    <s v=""/>
    <s v=""/>
    <n v="0"/>
    <s v=""/>
    <n v="382.29"/>
    <n v="0.98599999999999999"/>
    <s v=""/>
  </r>
  <r>
    <s v="Primark Limited"/>
    <s v="ST.Primark.039.FY26-27.10"/>
    <m/>
    <m/>
    <m/>
    <m/>
    <s v=""/>
    <n v="1639"/>
    <s v="KNIT WEFT KNITTED JERSEY PSCP COTTON 100% GSM-140 CW-172 CM/68 INCH "/>
    <s v="Mustang / Cocoa 19-1217 TCX"/>
    <n v="0"/>
    <n v="9.9979999999999993"/>
    <n v="9.9979999999999993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12"/>
    <m/>
    <m/>
    <m/>
    <m/>
    <s v=""/>
    <n v="1640"/>
    <s v="KNIT WEFT KNITTED JERSEY PSCP COTTON 100% GSM-140 CW-172 CM/68 INCH "/>
    <s v="Mustang / Cocoa 19-1217 TCX"/>
    <n v="0"/>
    <n v="2.6480000000000001"/>
    <n v="2.6480000000000001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13"/>
    <m/>
    <m/>
    <m/>
    <m/>
    <s v=""/>
    <n v="1641"/>
    <s v="KNIT WEFT KNITTED JERSEY PSCP COTTON 100% GSM-140 CW-172 CM/68 INCH "/>
    <s v="Mustang / Cocoa 19-1217 TCX"/>
    <n v="0"/>
    <n v="10.585000000000001"/>
    <n v="10.585000000000001"/>
    <n v="0"/>
    <m/>
    <n v="0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14"/>
    <m/>
    <m/>
    <m/>
    <m/>
    <s v=""/>
    <n v="1642"/>
    <s v="KNIT WEFT KNITTED JERSEY PSCP COTTON 100% GSM-140 CW-172 CM/68 INCH "/>
    <s v="Mustang / Cocoa 19-1217 TCX"/>
    <n v="0"/>
    <n v="5.2930000000000001"/>
    <n v="5.2930000000000001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384.31"/>
    <n v="3.22"/>
    <s v=""/>
    <s v=""/>
    <s v=""/>
    <s v=""/>
    <n v="0"/>
    <s v=""/>
    <n v="384.31"/>
    <n v="0.99199999999999999"/>
    <s v=""/>
  </r>
  <r>
    <s v="Primark Limited"/>
    <s v="ST.Primark.039.FY26-27.15"/>
    <m/>
    <m/>
    <m/>
    <m/>
    <s v=""/>
    <n v="1643"/>
    <s v="KNIT WEFT KNITTED JERSEY PSCP COTTON 100% GSM-140 CW-172 CM/68 INCH "/>
    <s v="Mustang / Cocoa 19-1217 TCX"/>
    <s v=""/>
    <n v="7.9390000000000001"/>
    <n v="7.9390000000000001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16"/>
    <m/>
    <m/>
    <m/>
    <m/>
    <s v=""/>
    <n v="1644"/>
    <s v="KNIT WEFT KNITTED JERSEY PSCP COTTON 100% GSM-140 CW-172 CM/68 INCH "/>
    <s v="Mustang / Cocoa 19-1217 TCX"/>
    <n v="0"/>
    <n v="10.585000000000001"/>
    <n v="10.585000000000001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s v=""/>
    <n v="377.53800000000001"/>
    <s v=""/>
    <s v=""/>
    <n v="0"/>
    <s v=""/>
    <n v="384.31"/>
    <n v="0.99199999999999999"/>
    <s v=""/>
  </r>
  <r>
    <s v="Primark Limited"/>
    <s v="ST.Primark.039.FY26-27.17"/>
    <m/>
    <m/>
    <m/>
    <m/>
    <s v=""/>
    <n v="1645"/>
    <s v="KNIT WEFT KNITTED JERSEY PSCP COTTON 100% GSM-140 CW-172 CM/68 INCH "/>
    <s v="Mustang / Cocoa 19-1217 TCX"/>
    <n v="0"/>
    <n v="7.9390000000000001"/>
    <n v="7.9390000000000001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18"/>
    <m/>
    <m/>
    <m/>
    <m/>
    <s v=""/>
    <n v="1646"/>
    <s v="KNIT WEFT KNITTED JERSEY PSCP COTTON 100% GSM-140 CW-172 CM/68 INCH "/>
    <s v="Mustang / Cocoa 19-1217 TCX"/>
    <n v="0"/>
    <n v="19.699000000000002"/>
    <n v="19.699000000000002"/>
    <n v="0"/>
    <m/>
    <n v="0"/>
    <s v="450568"/>
    <s v="Solid"/>
    <x v="25"/>
    <d v="2026-10-10T00:00:00"/>
    <d v="2026-10-10T00:00:00"/>
    <s v="Revised Plan given as per revised date"/>
    <m/>
    <s v="Oct"/>
    <d v="2026-10-03T00:00:00"/>
    <m/>
    <m/>
    <m/>
    <m/>
    <m/>
    <m/>
    <m/>
    <s v="OTT CHNG"/>
    <m/>
    <m/>
    <s v="450568"/>
    <s v="Mustang / Cocoa 19-1217 TCX"/>
    <n v="140"/>
    <s v="450568140Mustang / Cocoa 19-1217 TCX"/>
    <n v="384.31"/>
    <n v="3.22"/>
    <s v=""/>
    <n v="377.53800000000001"/>
    <s v=""/>
    <s v=""/>
    <n v="0"/>
    <s v=""/>
    <n v="384.31"/>
    <n v="0.99199999999999999"/>
    <s v=""/>
  </r>
  <r>
    <s v="Primark Limited"/>
    <s v="ST.Primark.039.FY26-27.19"/>
    <m/>
    <m/>
    <m/>
    <m/>
    <s v=""/>
    <n v="1647"/>
    <s v="KNIT WEFT KNITTED JERSEY PSCP COTTON 100% GSM-140 CW-172 CM/68 INCH "/>
    <s v="Mustang / Cocoa 19-1217 TCX"/>
    <n v="0"/>
    <n v="9.7029999999999994"/>
    <n v="9.7029999999999994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40"/>
    <s v="450568140Mustang / Cocoa 19-1217 TCX"/>
    <n v="384.31"/>
    <n v="3.22"/>
    <n v="377.53800000000001"/>
    <n v="377.53800000000001"/>
    <s v=""/>
    <s v=""/>
    <n v="0"/>
    <s v=""/>
    <n v="384.31"/>
    <n v="0.99199999999999999"/>
    <n v="6.7719999999999914"/>
  </r>
  <r>
    <s v="Primark Limited"/>
    <s v="ST.Primark.039.FY26-27.2"/>
    <m/>
    <m/>
    <m/>
    <m/>
    <s v=""/>
    <n v="1648"/>
    <s v="KNIT WEFT KNITTED JERSEY PSCP COTTON 100% GSM-140 CW-172 CM/68 INCH "/>
    <s v="Mustang / Cocoa 19-1217 TCX"/>
    <s v=""/>
    <n v="7.3520000000000003"/>
    <n v="7.3520000000000003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40"/>
    <s v="450568140Mustang / Cocoa 19-1217 TCX"/>
    <n v="384.31"/>
    <n v="3.22"/>
    <s v=""/>
    <n v="377.53800000000001"/>
    <s v=""/>
    <s v=""/>
    <s v=""/>
    <s v=""/>
    <n v="384.31"/>
    <n v="0.99199999999999999"/>
    <s v=""/>
  </r>
  <r>
    <s v="Primark Limited"/>
    <s v="ST.TexgroupLtd.005.FY26-27.3"/>
    <m/>
    <m/>
    <m/>
    <m/>
    <s v=""/>
    <n v="1649"/>
    <s v="KNIT WEFT KNITTED JERSEY PSCP COTTON 95% LYCRA 5% GSM-160 CW-168 CM/66 INCH  "/>
    <s v="Salt Water Slide 12-4611 TCX"/>
    <s v=""/>
    <n v="1287.779"/>
    <m/>
    <n v="-1287.779"/>
    <m/>
    <n v="-1287.779"/>
    <s v="461374"/>
    <s v="Solid"/>
    <x v="4"/>
    <d v="2026-10-26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s v=""/>
    <s v=""/>
    <s v=""/>
    <s v=""/>
    <s v=""/>
    <n v="150"/>
    <n v="0.78200000000000003"/>
    <n v="150"/>
  </r>
  <r>
    <s v="Primark Limited"/>
    <s v="ST.TexgroupLtd.005.FY26-27.3"/>
    <m/>
    <m/>
    <m/>
    <m/>
    <s v=""/>
    <n v="1649"/>
    <s v="KNIT WEFT KNITTED JERSEY PSCP COTTON 95% LYCRA 5% GSM-160 CW-168 CM/66 INCH  "/>
    <s v="Salt Water Slide 12-4611 TCX"/>
    <n v="-475.54033333333336"/>
    <n v="1426.6210000000001"/>
    <m/>
    <n v="-1426.6210000000001"/>
    <m/>
    <n v="-1426.6210000000001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15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1426.6210000000001"/>
    <s v=""/>
    <n v="150"/>
    <n v="0.78200000000000003"/>
    <n v="150"/>
  </r>
  <r>
    <s v="Primark Limited"/>
    <s v="ST.TexgroupLtd.005.FY26-27.4"/>
    <m/>
    <m/>
    <m/>
    <m/>
    <s v=""/>
    <n v="1650"/>
    <s v="KNIT WEFT KNITTED JERSEY PSCP COTTON 95% LYCRA 5% GSM-160 CW-168 CM/66 INCH  "/>
    <s v="Salt Water Slide 12-4611 TCX"/>
    <n v="-180.96"/>
    <n v="542.88"/>
    <m/>
    <n v="-542.88"/>
    <m/>
    <n v="-542.88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542.88"/>
    <s v=""/>
    <n v="150"/>
    <n v="0.78200000000000003"/>
    <n v="150"/>
  </r>
  <r>
    <s v="Primark Limited"/>
    <s v="ST.Primark.023.FY26-27.13"/>
    <m/>
    <m/>
    <m/>
    <m/>
    <s v=""/>
    <n v="1651"/>
    <s v="KNIT WEFT KNITTED JERSEY PSCP COTTON 100% GSM-160 CW-172 CM/68 INCH "/>
    <s v="Black"/>
    <n v="-13.36"/>
    <n v="40.08"/>
    <m/>
    <n v="-40.08"/>
    <m/>
    <n v="-40.08"/>
    <s v="465121"/>
    <s v="Solid"/>
    <x v="5"/>
    <s v="Plan TBC"/>
    <s v="Plan TBC"/>
    <s v="Lap Dip not confirmed from SQBL"/>
    <m/>
    <s v="Oct"/>
    <d v="2026-10-30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40.08"/>
    <s v=""/>
    <n v="0"/>
    <n v="0"/>
    <n v="0"/>
  </r>
  <r>
    <s v="Primark Limited"/>
    <s v="ST.Primark.023.FY26-27.3"/>
    <m/>
    <m/>
    <m/>
    <m/>
    <s v=""/>
    <n v="1652"/>
    <s v="KNIT WEFT KNITTED JERSEY PSCP COTTON 100% GSM-160 CW-172 CM/68 INCH "/>
    <s v="Black"/>
    <n v="-2.92"/>
    <n v="8.76"/>
    <m/>
    <n v="-8.76"/>
    <m/>
    <n v="-8.76"/>
    <s v="465121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1"/>
    <s v="Black"/>
    <n v="160"/>
    <s v="465121160Black"/>
    <n v="0"/>
    <s v="#NA"/>
    <s v=""/>
    <n v="287.52"/>
    <s v=""/>
    <s v=""/>
    <n v="8.76"/>
    <s v=""/>
    <n v="0"/>
    <n v="0"/>
    <s v=""/>
  </r>
  <r>
    <s v="Primark Limited"/>
    <s v="ST.Primark.023.FY26-27.5"/>
    <m/>
    <m/>
    <m/>
    <m/>
    <s v=""/>
    <n v="1653"/>
    <s v="KNIT WEFT KNITTED JERSEY PSCP COTTON 100% GSM-160 CW-172 CM/68 INCH "/>
    <s v="Black"/>
    <n v="-1.36"/>
    <n v="4.08"/>
    <m/>
    <n v="-4.08"/>
    <m/>
    <n v="-4.08"/>
    <s v="465121"/>
    <s v="Solid"/>
    <x v="5"/>
    <s v="Plan TBC"/>
    <s v="Plan TBC"/>
    <s v="Lap Dip not confirmed from SQBL"/>
    <m/>
    <s v="Oct"/>
    <d v="2026-10-24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n v="4.08"/>
    <s v=""/>
    <n v="0"/>
    <n v="0"/>
    <n v="0"/>
  </r>
  <r>
    <s v="Primark Limited"/>
    <s v="ST.Primark.023.FY26-27.7"/>
    <m/>
    <m/>
    <m/>
    <m/>
    <s v=""/>
    <n v="1654"/>
    <s v="KNIT WEFT KNITTED JERSEY PSCP COTTON 100% GSM-160 CW-172 CM/68 INCH "/>
    <s v="Black"/>
    <n v="-20.599999999999998"/>
    <n v="61.8"/>
    <m/>
    <n v="-61.8"/>
    <m/>
    <n v="-61.8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s v=""/>
    <n v="287.52"/>
    <s v=""/>
    <s v=""/>
    <n v="61.8"/>
    <s v=""/>
    <n v="0"/>
    <n v="0"/>
    <s v=""/>
  </r>
  <r>
    <s v="Primark Limited"/>
    <s v="ST.Primark.023.FY26-27.9"/>
    <m/>
    <m/>
    <m/>
    <m/>
    <s v=""/>
    <n v="1655"/>
    <s v="KNIT WEFT KNITTED JERSEY PSCP COTTON 100% GSM-160 CW-172 CM/68 INCH "/>
    <s v="Black"/>
    <s v=""/>
    <n v="20.04"/>
    <m/>
    <n v="-20.04"/>
    <m/>
    <n v="-20.04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60"/>
    <s v="465121160Black"/>
    <n v="0"/>
    <s v="#NA"/>
    <n v="0"/>
    <n v="287.52"/>
    <s v=""/>
    <s v=""/>
    <s v=""/>
    <s v=""/>
    <n v="0"/>
    <n v="0"/>
    <n v="0"/>
  </r>
  <r>
    <s v="Primark Limited"/>
    <s v="ST.Primark.040.FY26-27.29"/>
    <m/>
    <m/>
    <m/>
    <m/>
    <s v=""/>
    <n v="1656"/>
    <s v="KNIT WEFT KNITTED JERSEY PSCP COTTON 100% GSM-140 CW-172 CM/68 INCH "/>
    <s v="Brush / Honey 16-1317 TCX"/>
    <s v=""/>
    <n v="4.4119999999999999"/>
    <m/>
    <n v="-4.4119999999999999"/>
    <m/>
    <n v="-4.4119999999999999"/>
    <s v="450567"/>
    <s v="Solid"/>
    <x v="55"/>
    <d v="2026-10-14T00:00:00"/>
    <d v="2026-10-13T00:00:00"/>
    <s v="Hues Agreed qty as per SQBL required date"/>
    <m/>
    <s v="Oct"/>
    <d v="2026-10-13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4.4119999999999999"/>
    <s v=""/>
    <n v="0"/>
    <n v="0"/>
    <n v="0"/>
  </r>
  <r>
    <s v="Primark Limited"/>
    <s v="ST.Primark.040.FY26-27.3"/>
    <m/>
    <m/>
    <m/>
    <m/>
    <s v=""/>
    <n v="1657"/>
    <s v="KNIT WEFT KNITTED JERSEY PSCP COTTON 100% GSM-140 CW-172 CM/68 INCH "/>
    <s v="Brush / Honey 16-1317 TCX"/>
    <n v="-9.8006666666666664"/>
    <n v="29.402000000000001"/>
    <m/>
    <n v="-29.402000000000001"/>
    <m/>
    <n v="-29.402000000000001"/>
    <s v="450567"/>
    <s v="Solid"/>
    <x v="55"/>
    <d v="2026-10-14T00:00:00"/>
    <d v="2026-10-13T00:00:00"/>
    <s v="Hues Agreed qty as per SQBL required date"/>
    <m/>
    <s v="Oct"/>
    <d v="2026-10-16T00:00:00"/>
    <m/>
    <m/>
    <m/>
    <m/>
    <m/>
    <m/>
    <m/>
    <m/>
    <m/>
    <m/>
    <s v="450567"/>
    <s v="Brush / Honey 16-1317 TCX"/>
    <n v="140"/>
    <s v="450567140Brush / Honey 16-1317 TCX"/>
    <n v="0"/>
    <s v="#NA"/>
    <n v="0"/>
    <n v="146.72300000000001"/>
    <s v=""/>
    <s v=""/>
    <n v="29.402000000000001"/>
    <s v=""/>
    <n v="0"/>
    <n v="0"/>
    <n v="0"/>
  </r>
  <r>
    <s v="Primark Limited"/>
    <s v="ST.Primark.040.FY26-27.25"/>
    <m/>
    <m/>
    <m/>
    <m/>
    <s v=""/>
    <n v="1658"/>
    <s v="KNIT WEFT KNITTED JERSEY PSCP COTTON 100% GSM-140 CW-172 CM/68 INCH "/>
    <s v="Sand Dollar / Vanilla 13-1106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s v=""/>
    <n v="146.72300000000004"/>
    <s v=""/>
    <s v=""/>
    <n v="29.402000000000001"/>
    <s v=""/>
    <n v="0"/>
    <n v="0"/>
    <s v=""/>
  </r>
  <r>
    <s v="Primark Limited"/>
    <s v="ST.Primark.039.FY26-27.27"/>
    <m/>
    <m/>
    <m/>
    <m/>
    <s v=""/>
    <n v="1659"/>
    <s v="KNIT WEFT KNITTED JERSEY PSCP COTTON 100% GSM-160 CW-172 CM/68 INCH "/>
    <s v="Sand Dollar / Vanilla 13-1106 TCX"/>
    <n v="0"/>
    <n v="35.64"/>
    <n v="35.64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s v=""/>
    <s v=""/>
    <n v="3635.79"/>
    <n v="0.92900000000000005"/>
    <n v="100.98000000000047"/>
  </r>
  <r>
    <s v="Primark Limited"/>
    <s v="ST.Primark.039.FY26-27.28"/>
    <m/>
    <m/>
    <m/>
    <m/>
    <s v=""/>
    <n v="1660"/>
    <s v="KNIT WEFT KNITTED JERSEY PSCP COTTON 100% GSM-160 CW-172 CM/68 INCH "/>
    <s v="Sand Dollar / Vanilla 13-1106 TCX"/>
    <n v="0"/>
    <n v="35.64"/>
    <n v="35.64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29"/>
    <m/>
    <m/>
    <m/>
    <m/>
    <s v=""/>
    <n v="1661"/>
    <s v="KNIT WEFT KNITTED JERSEY PSCP COTTON 100% GSM-160 CW-172 CM/68 INCH "/>
    <s v="Sand Dollar / Vanilla 13-1106 TCX"/>
    <n v="0"/>
    <n v="29.7"/>
    <n v="29.7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3"/>
    <m/>
    <m/>
    <m/>
    <m/>
    <s v=""/>
    <n v="1662"/>
    <s v="KNIT WEFT KNITTED JERSEY PSCP COTTON 100% GSM-160 CW-172 CM/68 INCH "/>
    <s v="Sand Dollar / Vanilla 13-1106 TCX"/>
    <n v="0"/>
    <n v="148.5"/>
    <n v="148.5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s v=""/>
    <s v=""/>
    <n v="3635.79"/>
    <n v="0.92900000000000005"/>
    <n v="100.98000000000047"/>
  </r>
  <r>
    <s v="Primark Limited"/>
    <s v="ST.Primark.039.FY26-27.30"/>
    <m/>
    <m/>
    <m/>
    <m/>
    <s v=""/>
    <n v="1663"/>
    <s v="KNIT WEFT KNITTED JERSEY PSCP COTTON 100% GSM-160 CW-172 CM/68 INCH "/>
    <s v="Sand Dollar / Vanilla 13-1106 TCX"/>
    <n v="0"/>
    <n v="56.43"/>
    <n v="56.43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31"/>
    <m/>
    <m/>
    <m/>
    <m/>
    <s v=""/>
    <n v="1664"/>
    <s v="KNIT WEFT KNITTED JERSEY PSCP COTTON 100% GSM-160 CW-172 CM/68 INCH "/>
    <s v="Sand Dollar / Vanilla 13-1106 TCX"/>
    <n v="0"/>
    <n v="89.1"/>
    <n v="89.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s v=""/>
    <s v=""/>
    <s v=""/>
    <s v=""/>
    <s v=""/>
    <n v="3635.79"/>
    <n v="0.92900000000000005"/>
    <n v="100.98000000000047"/>
  </r>
  <r>
    <s v="Primark Limited"/>
    <s v="ST.Primark.039.FY26-27.4"/>
    <m/>
    <m/>
    <m/>
    <m/>
    <s v=""/>
    <n v="1665"/>
    <s v="KNIT WEFT KNITTED JERSEY PSCP COTTON 100% GSM-160 CW-172 CM/68 INCH "/>
    <s v="Sand Dollar / Vanilla 13-1106 TCX"/>
    <s v=""/>
    <n v="89.1"/>
    <n v="89.1"/>
    <n v="0"/>
    <m/>
    <n v="0"/>
    <s v="450568"/>
    <s v="Solid"/>
    <x v="55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5"/>
    <m/>
    <m/>
    <m/>
    <m/>
    <s v=""/>
    <n v="1666"/>
    <s v="KNIT WEFT KNITTED JERSEY PSCP COTTON 100% GSM-160 CW-172 CM/68 INCH "/>
    <s v="Sand Dollar / Vanilla 13-1106 TCX"/>
    <n v="0"/>
    <n v="47.52"/>
    <n v="47.52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s v=""/>
    <n v="3813.4799999999996"/>
    <s v=""/>
    <s v=""/>
    <n v="0"/>
    <s v=""/>
    <n v="3635.79"/>
    <n v="0.92900000000000005"/>
    <s v=""/>
  </r>
  <r>
    <s v="Primark Limited"/>
    <s v="ST.TexgroupLtd.005.FY26-27.13"/>
    <m/>
    <m/>
    <m/>
    <m/>
    <s v=""/>
    <n v="1667"/>
    <s v="KNIT WEFT KNITTED JERSEY PSCP COTTON 95% LYCRA 5% GSM-160 CW-168 CM/66 INCH  "/>
    <s v="11-0602 TCX Snow White"/>
    <n v="-110.69933333333334"/>
    <n v="332.09800000000001"/>
    <m/>
    <n v="-332.09800000000001"/>
    <m/>
    <n v="-332.09800000000001"/>
    <s v="461374"/>
    <s v="Solid"/>
    <x v="12"/>
    <d v="2026-10-25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s v=""/>
    <s v=""/>
    <n v="155"/>
    <n v="0.80800000000000005"/>
    <n v="155"/>
  </r>
  <r>
    <s v="Primark Limited"/>
    <s v="ST.TexgroupLtd.005.FY26-27.13"/>
    <m/>
    <m/>
    <m/>
    <m/>
    <s v=""/>
    <n v="1667"/>
    <s v="KNIT WEFT KNITTED JERSEY PSCP COTTON 95% LYCRA 5% GSM-160 CW-168 CM/66 INCH  "/>
    <s v="11-0602 TCX Snow White"/>
    <n v="-19.994"/>
    <n v="59.981999999999999"/>
    <m/>
    <n v="-59.981999999999999"/>
    <m/>
    <n v="-59.9819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s v=""/>
    <s v=""/>
    <s v=""/>
    <n v="59.981999999999999"/>
    <s v=""/>
    <n v="155"/>
    <n v="0.80800000000000005"/>
    <n v="155"/>
  </r>
  <r>
    <s v="Primark Limited"/>
    <s v="ST.TexgroupLtd.005.FY26-27.14"/>
    <m/>
    <m/>
    <m/>
    <m/>
    <s v=""/>
    <n v="1668"/>
    <s v="KNIT WEFT KNITTED JERSEY PSCP COTTON 95% LYCRA 5% GSM-160 CW-168 CM/66 INCH  "/>
    <s v="11-0602 TCX Snow White"/>
    <n v="-144.76933333333332"/>
    <n v="434.30799999999999"/>
    <m/>
    <n v="-434.30799999999999"/>
    <m/>
    <n v="-434.30799999999999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434.30799999999999"/>
    <s v=""/>
    <n v="155"/>
    <n v="0.80800000000000005"/>
    <n v="155"/>
  </r>
  <r>
    <s v="Primark Limited"/>
    <s v="ST.TexgroupLtd.005.FY26-27.15"/>
    <m/>
    <m/>
    <m/>
    <m/>
    <s v=""/>
    <n v="1669"/>
    <s v="KNIT WEFT KNITTED JERSEY PSCP COTTON 95% LYCRA 5% GSM-160 CW-168 CM/66 INCH  "/>
    <s v="11-0602 TCX Snow White"/>
    <n v="-210.11599999999999"/>
    <n v="630.34799999999996"/>
    <m/>
    <n v="-630.34799999999996"/>
    <m/>
    <n v="-630.34799999999996"/>
    <s v="461374"/>
    <s v="Solid"/>
    <x v="14"/>
    <d v="2026-10-27T00:00:00"/>
    <s v="20th Oct-2k mtr_x000a_22nd Oct-2k mtr_x000a_24th Oct- 2k mtr_x000a_25th Oct-2k mtr_x000a_27th Oct-2k mtr_x000a_30th Oct-Balance full"/>
    <s v="Hues Agreed qty as per SQBL required date"/>
    <m/>
    <s v="Oct"/>
    <d v="2026-10-20T00:00:00"/>
    <m/>
    <m/>
    <m/>
    <m/>
    <m/>
    <m/>
    <m/>
    <m/>
    <m/>
    <m/>
    <s v="461374"/>
    <s v="Snow White (11-0602 TCX)"/>
    <n v="160"/>
    <s v="461374160Snow White (11-0602 TCX)"/>
    <n v="155"/>
    <n v="10225.75"/>
    <n v="0"/>
    <n v="9124.6380000000008"/>
    <s v=""/>
    <s v=""/>
    <n v="630.34799999999996"/>
    <s v=""/>
    <n v="155"/>
    <n v="0.80800000000000005"/>
    <n v="155"/>
  </r>
  <r>
    <s v="Primark Limited"/>
    <s v="ST.Primark.011.FY26-27.13"/>
    <m/>
    <m/>
    <m/>
    <m/>
    <s v=""/>
    <n v="1670"/>
    <s v="KNIT WEFT KNITTED JERSEY PSCP COTTON 100% GSM-140 CW-172 CM/68 INCH "/>
    <s v="White"/>
    <n v="0"/>
    <n v="27.39"/>
    <n v="27.39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n v="96.173999999999978"/>
    <n v="96.173999999999978"/>
    <s v=""/>
    <s v=""/>
    <s v=""/>
    <s v=""/>
    <n v="832.95"/>
    <n v="1.0129999999999999"/>
    <n v="736.77600000000007"/>
  </r>
  <r>
    <s v="Primark Limited"/>
    <s v="ST.Primark.011.FY26-27.15"/>
    <m/>
    <m/>
    <m/>
    <m/>
    <s v=""/>
    <n v="1671"/>
    <s v="KNIT WEFT KNITTED JERSEY PSCP COTTON 100% GSM-140 CW-172 CM/68 INCH "/>
    <s v="White"/>
    <n v="0"/>
    <n v="3.9580000000000002"/>
    <n v="3.9580000000000002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n v="96.173999999999978"/>
    <n v="96.173999999999978"/>
    <s v=""/>
    <s v=""/>
    <n v="0"/>
    <s v=""/>
    <n v="832.95"/>
    <n v="1.0129999999999999"/>
    <n v="736.77600000000007"/>
  </r>
  <r>
    <s v="Primark Limited"/>
    <s v="ST.Primark.011.FY26-27.17"/>
    <m/>
    <m/>
    <m/>
    <m/>
    <s v=""/>
    <n v="1672"/>
    <s v="KNIT WEFT KNITTED JERSEY PSCP COTTON 100% GSM-140 CW-172 CM/68 INCH "/>
    <s v="White"/>
    <n v="0"/>
    <n v="1.484"/>
    <n v="1.484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s v=""/>
    <n v="96.173999999999978"/>
    <s v=""/>
    <s v=""/>
    <n v="0"/>
    <s v=""/>
    <n v="832.95"/>
    <n v="1.0129999999999999"/>
    <s v=""/>
  </r>
  <r>
    <s v="Primark Limited"/>
    <s v="ST.Primark.011.FY26-27.3"/>
    <m/>
    <m/>
    <m/>
    <m/>
    <s v=""/>
    <n v="1673"/>
    <s v="KNIT WEFT KNITTED JERSEY PSCP COTTON 100% GSM-140 CW-172 CM/68 INCH "/>
    <s v="White"/>
    <n v="0"/>
    <n v="5.94"/>
    <n v="5.94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n v="96.173999999999978"/>
    <n v="96.173999999999978"/>
    <s v=""/>
    <s v=""/>
    <n v="0"/>
    <s v=""/>
    <n v="832.95"/>
    <n v="1.0129999999999999"/>
    <n v="736.77600000000007"/>
  </r>
  <r>
    <s v="Primark Limited"/>
    <s v="ST.Primark.011.FY26-27.5"/>
    <m/>
    <m/>
    <m/>
    <m/>
    <s v=""/>
    <n v="1674"/>
    <s v="KNIT WEFT KNITTED JERSEY PSCP COTTON 100% GSM-140 CW-172 CM/68 INCH "/>
    <s v="White"/>
    <n v="0"/>
    <n v="5.61"/>
    <n v="5.61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n v="96.173999999999978"/>
    <n v="96.173999999999978"/>
    <s v=""/>
    <s v=""/>
    <n v="0"/>
    <s v=""/>
    <n v="832.95"/>
    <n v="1.0129999999999999"/>
    <n v="736.77600000000007"/>
  </r>
  <r>
    <s v="Primark Limited"/>
    <s v="ST.Primark.011.FY26-27.7"/>
    <m/>
    <m/>
    <m/>
    <m/>
    <s v=""/>
    <n v="1675"/>
    <s v="KNIT WEFT KNITTED JERSEY PSCP COTTON 100% GSM-140 CW-172 CM/68 INCH "/>
    <s v="White"/>
    <n v="0"/>
    <n v="13.843999999999999"/>
    <n v="13.843999999999999"/>
    <n v="0"/>
    <m/>
    <n v="0"/>
    <s v="465120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0"/>
    <s v="White"/>
    <n v="140"/>
    <s v="465120140White"/>
    <n v="832.95"/>
    <n v="-10.93"/>
    <s v=""/>
    <s v=""/>
    <s v=""/>
    <s v=""/>
    <s v=""/>
    <s v=""/>
    <n v="832.95"/>
    <n v="1.0129999999999999"/>
    <s v=""/>
  </r>
  <r>
    <s v="Primark Limited"/>
    <s v="ST.TexgroupLtd.005.FY26-27.3"/>
    <m/>
    <m/>
    <m/>
    <m/>
    <s v=""/>
    <n v="1676"/>
    <s v="KNIT WEFT KNITTED JERSEY PSCP COTTON 100% GSM-140 CW-172 CM/68 INCH "/>
    <s v="11-0602 TCX Snow White"/>
    <n v="-144"/>
    <n v="432"/>
    <m/>
    <n v="-432"/>
    <m/>
    <n v="-43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15T00:00:00"/>
    <m/>
    <m/>
    <m/>
    <m/>
    <m/>
    <m/>
    <m/>
    <m/>
    <m/>
    <m/>
    <s v="461374"/>
    <s v="Snow White (11-0602 TCX)"/>
    <n v="140"/>
    <s v="461374140Snow White (11-0602 TCX)"/>
    <n v="24"/>
    <n v="2101.63"/>
    <n v="0"/>
    <n v="1452"/>
    <s v=""/>
    <s v=""/>
    <n v="432"/>
    <s v=""/>
    <n v="24"/>
    <n v="1.0999999999999999E-2"/>
    <n v="24"/>
  </r>
  <r>
    <s v="Primark Limited"/>
    <s v="ST.Primark.023.FY26-27.11"/>
    <m/>
    <m/>
    <m/>
    <m/>
    <b v="0"/>
    <n v="1677"/>
    <s v="KNIT WEFT KNITTED JERSEY PSCP COTTON 100% GSM-140 CW-172 CM/68 INCH "/>
    <s v="Black"/>
    <n v="-0.39999999999999997"/>
    <n v="1.2"/>
    <m/>
    <n v="-1.2"/>
    <m/>
    <n v="-1.2"/>
    <s v="465121"/>
    <s v="Solid"/>
    <x v="5"/>
    <s v="Plan TBC"/>
    <s v="Plan TBC"/>
    <s v="Lap Dip not confirmed from SQBL"/>
    <m/>
    <s v="Oct"/>
    <d v="2026-10-20T00:00:00"/>
    <m/>
    <m/>
    <m/>
    <m/>
    <m/>
    <m/>
    <m/>
    <m/>
    <m/>
    <m/>
    <s v="465121"/>
    <s v="Black"/>
    <n v="140"/>
    <s v="465121140Black"/>
    <n v="0"/>
    <s v="#NA"/>
    <n v="0"/>
    <n v="25.030999999999999"/>
    <s v=""/>
    <s v=""/>
    <n v="1.2"/>
    <b v="0"/>
    <n v="0"/>
    <n v="0"/>
    <n v="0"/>
  </r>
  <r>
    <s v="Primark Limited"/>
    <s v="ST.Primark.023.FY26-27.13"/>
    <m/>
    <m/>
    <m/>
    <m/>
    <b v="0"/>
    <n v="1678"/>
    <s v="KNIT WEFT KNITTED JERSEY PSCP COTTON 100% GSM-140 CW-172 CM/68 INCH "/>
    <s v="Black"/>
    <n v="-1.3360000000000001"/>
    <n v="4.008"/>
    <m/>
    <n v="-4.008"/>
    <m/>
    <n v="-4.008"/>
    <s v="465121"/>
    <s v="Solid"/>
    <x v="5"/>
    <s v="Plan TBC"/>
    <s v="Plan TBC"/>
    <s v="Lap Dip not confirmed from SQBL"/>
    <m/>
    <s v="Oct"/>
    <d v="2026-10-30T00:00:00"/>
    <m/>
    <m/>
    <m/>
    <m/>
    <m/>
    <m/>
    <m/>
    <m/>
    <m/>
    <m/>
    <s v="465121"/>
    <s v="Black"/>
    <n v="140"/>
    <s v="465121140Black"/>
    <n v="0"/>
    <s v="#NA"/>
    <n v="0"/>
    <s v=""/>
    <s v=""/>
    <s v=""/>
    <n v="4.008"/>
    <b v="0"/>
    <n v="0"/>
    <n v="0"/>
    <n v="0"/>
  </r>
  <r>
    <s v="Primark Limited"/>
    <s v="ST.Primark.040.FY26-27.29"/>
    <m/>
    <m/>
    <m/>
    <m/>
    <s v=""/>
    <n v="1679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s v=""/>
    <s v=""/>
    <n v="1.47"/>
    <s v=""/>
    <n v="0"/>
    <n v="0"/>
    <n v="0"/>
  </r>
  <r>
    <s v="Primark Limited"/>
    <s v="ST.Primark.039.FY26-27.16"/>
    <m/>
    <m/>
    <m/>
    <m/>
    <s v=""/>
    <n v="1680"/>
    <s v="KNIT WEFT KNITTED JERSEY PSCP COTTON 100% GSM-160 CW-172 CM/68 INCH "/>
    <s v="Sand Dollar / Vanilla 13-1106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s v=""/>
    <s v=""/>
    <s v=""/>
    <s v=""/>
    <s v=""/>
    <n v="0"/>
    <n v="0"/>
    <n v="0"/>
  </r>
  <r>
    <s v="Primark Limited"/>
    <s v="ST.Primark.039.FY26-27.17"/>
    <m/>
    <m/>
    <m/>
    <m/>
    <s v=""/>
    <n v="1681"/>
    <s v="KNIT WEFT KNITTED JERSEY PSCP COTTON 100% GSM-160 CW-172 CM/68 INCH "/>
    <s v="Sand Dollar / Vanilla 13-1106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s v=""/>
    <s v=""/>
    <s v=""/>
    <n v="3.5649999999999999"/>
    <s v=""/>
    <n v="0"/>
    <n v="0"/>
    <n v="0"/>
  </r>
  <r>
    <s v="Primark Limited"/>
    <s v="ST.Primark.039.FY26-27.18"/>
    <m/>
    <m/>
    <m/>
    <m/>
    <s v=""/>
    <n v="1682"/>
    <s v="KNIT WEFT KNITTED JERSEY PSCP COTTON 100% GSM-160 CW-172 CM/68 INCH "/>
    <s v="Sand Dollar / Vanilla 13-1106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8.8450000000000006"/>
    <s v=""/>
    <n v="0"/>
    <n v="0"/>
    <n v="0"/>
  </r>
  <r>
    <s v="Primark Limited"/>
    <s v="ST.Primark.039.FY26-27.19"/>
    <m/>
    <m/>
    <m/>
    <m/>
    <s v=""/>
    <n v="1683"/>
    <s v="KNIT WEFT KNITTED JERSEY PSCP COTTON 100% GSM-160 CW-172 CM/68 INCH "/>
    <s v="Sand Dollar / Vanilla 13-1106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s v=""/>
    <n v="353.28699999999992"/>
    <s v=""/>
    <s v=""/>
    <n v="4.3570000000000002"/>
    <s v=""/>
    <n v="0"/>
    <n v="0"/>
    <s v=""/>
  </r>
  <r>
    <s v="Primark Limited"/>
    <s v="ST.Primark.039.FY26-27.2"/>
    <m/>
    <m/>
    <m/>
    <m/>
    <s v=""/>
    <n v="1684"/>
    <s v="KNIT WEFT KNITTED JERSEY PSCP COTTON 100% GSM-160 CW-172 CM/68 INCH "/>
    <s v="Sand Dollar / Vanilla 13-1106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3.302"/>
    <s v=""/>
    <n v="0"/>
    <n v="0"/>
    <n v="0"/>
  </r>
  <r>
    <s v="Primark Limited"/>
    <s v="ST.Primark.039.FY26-27.20"/>
    <m/>
    <m/>
    <m/>
    <m/>
    <s v=""/>
    <n v="1685"/>
    <s v="KNIT WEFT KNITTED JERSEY PSCP COTTON 100% GSM-160 CW-172 CM/68 INCH "/>
    <s v="Sand Dollar / Vanilla 13-1106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6.6"/>
    <s v=""/>
    <n v="0"/>
    <n v="0"/>
    <n v="0"/>
  </r>
  <r>
    <s v="Primark Limited"/>
    <s v="ST.Primark.039.FY26-27.21"/>
    <m/>
    <m/>
    <m/>
    <m/>
    <s v=""/>
    <n v="1686"/>
    <s v="KNIT WEFT KNITTED JERSEY PSCP COTTON 100% GSM-160 CW-172 CM/68 INCH "/>
    <s v="Sand Dollar / Vanilla 13-1106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8.8450000000000006"/>
    <s v=""/>
    <n v="0"/>
    <n v="0"/>
    <n v="0"/>
  </r>
  <r>
    <s v="Primark Limited"/>
    <s v="ST.Primark.039.FY26-27.22"/>
    <m/>
    <m/>
    <m/>
    <m/>
    <s v=""/>
    <n v="1687"/>
    <s v="KNIT WEFT KNITTED JERSEY PSCP COTTON 100% GSM-160 CW-172 CM/68 INCH "/>
    <s v="Sand Dollar / Vanilla 13-1106 TCX"/>
    <n v="-3.6523333333333334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s v=""/>
    <n v="353.28699999999992"/>
    <s v=""/>
    <s v=""/>
    <n v="10.957000000000001"/>
    <s v=""/>
    <n v="0"/>
    <n v="0"/>
    <s v=""/>
  </r>
  <r>
    <s v="Primark Limited"/>
    <s v="ST.Primark.039.FY26-27.23"/>
    <m/>
    <m/>
    <m/>
    <m/>
    <s v=""/>
    <n v="1688"/>
    <s v="KNIT WEFT KNITTED JERSEY PSCP COTTON 100% GSM-160 CW-172 CM/68 INCH "/>
    <s v="Sand Dollar / Vanilla 13-1106 TCX"/>
    <s v=""/>
    <n v="10.957000000000001"/>
    <m/>
    <n v="-10.957000000000001"/>
    <m/>
    <n v="-10.957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10.957000000000001"/>
    <s v=""/>
    <n v="0"/>
    <n v="0"/>
    <n v="0"/>
  </r>
  <r>
    <s v="Primark Limited"/>
    <s v="ST.Primark.039.FY26-27.24"/>
    <m/>
    <m/>
    <m/>
    <m/>
    <s v=""/>
    <n v="1689"/>
    <s v="KNIT WEFT KNITTED JERSEY PSCP COTTON 100% GSM-160 CW-172 CM/68 INCH "/>
    <s v="Sand Dollar / Vanilla 13-1106 TCX"/>
    <n v="-2.9486666666666665"/>
    <n v="8.8460000000000001"/>
    <m/>
    <n v="-8.8460000000000001"/>
    <m/>
    <n v="-8.846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8.8460000000000001"/>
    <s v=""/>
    <n v="0"/>
    <n v="0"/>
    <n v="0"/>
  </r>
  <r>
    <s v="Primark Limited"/>
    <s v="ST.Primark.039.FY26-27.25"/>
    <m/>
    <m/>
    <m/>
    <m/>
    <s v=""/>
    <n v="1690"/>
    <s v="KNIT WEFT KNITTED JERSEY PSCP COTTON 100% GSM-160 CW-172 CM/68 INCH "/>
    <s v="Sand Dollar / Vanilla 13-1106 TCX"/>
    <n v="-5.8526666666666669"/>
    <n v="17.558"/>
    <m/>
    <n v="-17.558"/>
    <m/>
    <n v="-17.55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s v=""/>
    <s v=""/>
    <s v=""/>
    <s v=""/>
    <n v="17.558"/>
    <s v=""/>
    <n v="0"/>
    <n v="0"/>
    <s v=""/>
  </r>
  <r>
    <s v="Primark Limited"/>
    <s v="ST.Primark.039.FY26-27.26"/>
    <m/>
    <m/>
    <m/>
    <m/>
    <s v=""/>
    <n v="1691"/>
    <s v="KNIT WEFT KNITTED JERSEY PSCP COTTON 100% GSM-160 CW-172 CM/68 INCH "/>
    <s v="Sand Dollar / Vanilla 13-1106 TCX"/>
    <n v="-8.8006666666666664"/>
    <n v="26.402000000000001"/>
    <m/>
    <n v="-26.402000000000001"/>
    <m/>
    <n v="-26.402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26.402000000000001"/>
    <s v=""/>
    <n v="0"/>
    <n v="0"/>
    <n v="0"/>
  </r>
  <r>
    <s v="Primark Limited"/>
    <s v="ST.Primark.039.FY26-27.27"/>
    <m/>
    <m/>
    <m/>
    <m/>
    <s v=""/>
    <n v="1692"/>
    <s v="KNIT WEFT KNITTED JERSEY PSCP COTTON 100% GSM-160 CW-172 CM/68 INCH "/>
    <s v="Sand Dollar / Vanilla 13-1106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s v=""/>
    <s v=""/>
    <s v=""/>
    <n v="17.094999999999999"/>
    <s v=""/>
    <n v="0"/>
    <n v="0"/>
    <n v="0"/>
  </r>
  <r>
    <s v="Primark Limited"/>
    <s v="ST.TexgroupLtd.005.FY26-27.5"/>
    <m/>
    <m/>
    <m/>
    <m/>
    <s v=""/>
    <n v="1693"/>
    <s v="KNIT WEFT KNITTED JERSEY PSCP COTTON 95% LYCRA 5% GSM-160 CW-168 CM/66 INCH  "/>
    <s v="Salt Water Slide 12-4611 TCX"/>
    <n v="-10.166333333333332"/>
    <n v="30.498999999999999"/>
    <m/>
    <n v="-30.498999999999999"/>
    <m/>
    <n v="-30.498999999999999"/>
    <s v="461374"/>
    <s v="Solid"/>
    <x v="15"/>
    <d v="2026-10-28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30.498999999999999"/>
    <s v=""/>
    <n v="150"/>
    <n v="0.78200000000000003"/>
    <n v="150"/>
  </r>
  <r>
    <s v="Primark Limited"/>
    <s v="ST.TexgroupLtd.005.FY26-27.5"/>
    <m/>
    <m/>
    <m/>
    <m/>
    <s v=""/>
    <n v="1693"/>
    <s v="KNIT WEFT KNITTED JERSEY PSCP COTTON 95% LYCRA 5% GSM-160 CW-168 CM/66 INCH  "/>
    <s v="Salt Water Slide 12-4611 TCX"/>
    <n v="-141.64000000000001"/>
    <n v="424.92"/>
    <m/>
    <n v="-424.92"/>
    <m/>
    <n v="-424.92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424.92"/>
    <s v=""/>
    <n v="150"/>
    <n v="0.78200000000000003"/>
    <n v="150"/>
  </r>
  <r>
    <s v="Primark Limited"/>
    <s v="ST.TexgroupLtd.005.FY26-27.6"/>
    <m/>
    <m/>
    <m/>
    <m/>
    <s v=""/>
    <n v="1694"/>
    <s v="KNIT WEFT KNITTED JERSEY PSCP COTTON 95% LYCRA 5% GSM-160 CW-168 CM/66 INCH  "/>
    <s v="Salt Water Slide 12-4611 TCX"/>
    <n v="-36.192999999999998"/>
    <n v="108.57899999999999"/>
    <m/>
    <n v="-108.57899999999999"/>
    <m/>
    <n v="-108.57899999999999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s v=""/>
    <n v="9124.637999999999"/>
    <s v=""/>
    <s v=""/>
    <n v="108.57899999999999"/>
    <s v=""/>
    <n v="150"/>
    <n v="0.78200000000000003"/>
    <s v=""/>
  </r>
  <r>
    <s v="Primark Limited"/>
    <s v="ST.TexgroupLtd.005.FY26-27.7"/>
    <m/>
    <m/>
    <m/>
    <m/>
    <s v=""/>
    <n v="1695"/>
    <s v="KNIT WEFT KNITTED JERSEY PSCP COTTON 95% LYCRA 5% GSM-160 CW-168 CM/66 INCH  "/>
    <s v="Salt Water Slide 12-4611 TCX"/>
    <n v="-197.04633333333334"/>
    <n v="591.13900000000001"/>
    <m/>
    <n v="-591.13900000000001"/>
    <m/>
    <n v="-591.13900000000001"/>
    <s v="461374"/>
    <s v="Solid"/>
    <x v="16"/>
    <d v="2026-10-29T00:00:00"/>
    <s v="19th Oct-2 k mtr_x000a_22nd Oct-2 k mtr_x000a_26th Oct- 2 k mtr_x000a_28th Oct-2 k mtr_x000a_29th Oct-2 k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60"/>
    <s v="461374160Saltwater Slide 12-4602 TCX"/>
    <n v="150"/>
    <n v="10230.75"/>
    <n v="0"/>
    <n v="9124.637999999999"/>
    <s v=""/>
    <s v=""/>
    <n v="591.13900000000001"/>
    <s v=""/>
    <n v="150"/>
    <n v="0.78200000000000003"/>
    <n v="150"/>
  </r>
  <r>
    <s v="Primark Limited"/>
    <s v="ST.Primark.039.FY26-27.9"/>
    <m/>
    <m/>
    <m/>
    <m/>
    <s v=""/>
    <n v="1696"/>
    <s v="KNIT WEFT KNITTED JERSEY PSCP COTTON 100% GSM-160 CW-172 CM/68 INCH "/>
    <s v="Brush / Honey 16-1317 TCX"/>
    <s v="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rush / Honey 16-1317 TCX"/>
    <n v="160"/>
    <s v="465128160Brush / Honey 16-1317 TCX"/>
    <n v="0"/>
    <s v="#NA"/>
    <n v="0"/>
    <s v=""/>
    <s v=""/>
    <s v=""/>
    <n v="4.4889999999999999"/>
    <s v=""/>
    <n v="0"/>
    <n v="0"/>
    <n v="0"/>
  </r>
  <r>
    <s v="Primark Limited"/>
    <s v="ST.Primark.077.FY26-27.4"/>
    <m/>
    <m/>
    <m/>
    <m/>
    <s v=""/>
    <n v="1697"/>
    <s v="KNIT WEFT KNITTED JERSEY PSCP COTTON 100% GSM-140 CW-172 CM/68 INCH "/>
    <s v="White"/>
    <n v="-4.6000000000000005"/>
    <n v="13.8"/>
    <m/>
    <n v="-13.8"/>
    <m/>
    <n v="-13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s v=""/>
    <s v=""/>
    <s v=""/>
    <s v=""/>
    <n v="13.8"/>
    <s v=""/>
    <n v="0"/>
    <n v="0"/>
    <s v=""/>
  </r>
  <r>
    <s v="Primark Limited"/>
    <s v="ST.Primark.077.FY26-27.5"/>
    <m/>
    <m/>
    <m/>
    <m/>
    <s v=""/>
    <n v="1698"/>
    <s v="KNIT WEFT KNITTED JERSEY PSCP COTTON 100% GSM-140 CW-172 CM/68 INCH "/>
    <s v="White"/>
    <n v="-6.5"/>
    <n v="19.5"/>
    <m/>
    <n v="-19.5"/>
    <m/>
    <n v="-19.5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s v=""/>
    <n v="313.2"/>
    <s v=""/>
    <s v=""/>
    <n v="19.5"/>
    <s v=""/>
    <n v="0"/>
    <n v="0"/>
    <s v=""/>
  </r>
  <r>
    <s v="Primark Limited"/>
    <s v="ST.Primark.077.FY26-27.6"/>
    <m/>
    <m/>
    <m/>
    <m/>
    <s v=""/>
    <n v="1699"/>
    <s v="KNIT WEFT KNITTED JERSEY PSCP COTTON 100% GSM-140 CW-172 CM/68 INCH "/>
    <s v="White"/>
    <n v="-7.1000000000000005"/>
    <n v="21.3"/>
    <m/>
    <n v="-21.3"/>
    <m/>
    <n v="-21.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s v=""/>
    <s v=""/>
    <s v=""/>
    <n v="21.3"/>
    <s v=""/>
    <n v="0"/>
    <n v="0"/>
    <n v="0"/>
  </r>
  <r>
    <s v="Primark Limited"/>
    <s v="ST.Primark.077.FY26-27.7"/>
    <m/>
    <m/>
    <m/>
    <m/>
    <s v=""/>
    <n v="1700"/>
    <s v="KNIT WEFT KNITTED JERSEY PSCP COTTON 100% GSM-140 CW-172 CM/68 INCH "/>
    <s v="White"/>
    <n v="-23.3"/>
    <n v="69.900000000000006"/>
    <m/>
    <n v="-69.900000000000006"/>
    <m/>
    <n v="-69.90000000000000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n v="69.900000000000006"/>
    <s v=""/>
    <n v="0"/>
    <n v="0"/>
    <n v="0"/>
  </r>
  <r>
    <s v="Primark Limited"/>
    <s v="ST.Primark.077.FY26-27.8"/>
    <m/>
    <m/>
    <m/>
    <m/>
    <s v=""/>
    <n v="1701"/>
    <s v="KNIT WEFT KNITTED JERSEY PSCP COTTON 100% GSM-140 CW-172 CM/68 INCH "/>
    <s v="White"/>
    <n v="-1.2"/>
    <n v="3.6"/>
    <m/>
    <n v="-3.6"/>
    <m/>
    <n v="-3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s v=""/>
    <s v=""/>
    <s v=""/>
    <n v="3.6"/>
    <s v=""/>
    <n v="0"/>
    <n v="0"/>
    <n v="0"/>
  </r>
  <r>
    <s v="Primark Limited"/>
    <s v="ST.Primark.077.FY26-27.9"/>
    <m/>
    <m/>
    <m/>
    <m/>
    <s v=""/>
    <n v="1702"/>
    <s v="KNIT WEFT KNITTED JERSEY PSCP COTTON 100% GSM-140 CW-172 CM/68 INCH "/>
    <s v="White"/>
    <n v="-2.9"/>
    <n v="8.6999999999999993"/>
    <m/>
    <n v="-8.6999999999999993"/>
    <m/>
    <n v="-8.69999999999999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s v=""/>
    <s v=""/>
    <s v=""/>
    <n v="8.6999999999999993"/>
    <s v=""/>
    <n v="0"/>
    <n v="0"/>
    <n v="0"/>
  </r>
  <r>
    <s v="Primark Limited"/>
    <s v="ST.TexgroupLtd.005.FY26-27.10"/>
    <m/>
    <m/>
    <m/>
    <m/>
    <s v=""/>
    <n v="1703"/>
    <s v="KNIT WEFT KNITTED JERSEY PSCP COTTON 100% GSM-140 CW-172 CM/68 INCH "/>
    <s v="11-0515 TCX Lemon Icing"/>
    <s v=""/>
    <n v="30.72"/>
    <m/>
    <n v="-30.72"/>
    <m/>
    <n v="-30.7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s v=""/>
    <s v=""/>
    <s v=""/>
    <n v="30.72"/>
    <s v=""/>
    <n v="27"/>
    <n v="0.96"/>
    <n v="54.29"/>
  </r>
  <r>
    <s v="Primark Limited"/>
    <s v="ST.TexgroupLtd.005.FY26-27.11"/>
    <m/>
    <m/>
    <m/>
    <m/>
    <s v=""/>
    <n v="1704"/>
    <s v="KNIT WEFT KNITTED JERSEY PSCP COTTON 100% GSM-140 CW-172 CM/68 INCH "/>
    <s v="11-0515 TCX Lemon Icing"/>
    <n v="-19.2"/>
    <n v="57.6"/>
    <m/>
    <n v="-57.6"/>
    <m/>
    <n v="-57.6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57.6"/>
    <s v=""/>
    <n v="27"/>
    <n v="0.96"/>
    <n v="54.29"/>
  </r>
  <r>
    <s v="Primark Limited"/>
    <s v="ST.TexgroupLtd.005.FY26-27.12"/>
    <m/>
    <m/>
    <m/>
    <m/>
    <b v="0"/>
    <n v="1705"/>
    <s v="KNIT WEFT KNITTED JERSEY PSCP COTTON 100% GSM-140 CW-172 CM/68 INCH "/>
    <s v="11-0515 TCX Lemon Icing"/>
    <n v="-16"/>
    <n v="48"/>
    <m/>
    <n v="-48"/>
    <m/>
    <n v="-48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48"/>
    <b v="0"/>
    <n v="27"/>
    <n v="0.96"/>
    <n v="54.29"/>
  </r>
  <r>
    <s v="Primark Limited"/>
    <s v="ST.TexgroupLtd.005.FY26-27.13"/>
    <m/>
    <m/>
    <m/>
    <m/>
    <s v=""/>
    <n v="1706"/>
    <s v="KNIT WEFT KNITTED JERSEY PSCP COTTON 100% GSM-140 CW-172 CM/68 INCH "/>
    <s v="11-0515 TCX Lemon Icing"/>
    <n v="-20.8"/>
    <n v="62.4"/>
    <m/>
    <n v="-62.4"/>
    <m/>
    <n v="-62.4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62.4"/>
    <s v=""/>
    <n v="27"/>
    <n v="0.96"/>
    <n v="54.29"/>
  </r>
  <r>
    <s v="Primark Limited"/>
    <s v="ST.TexgroupLtd.005.FY26-27.14"/>
    <m/>
    <m/>
    <m/>
    <m/>
    <s v=""/>
    <n v="1707"/>
    <s v="KNIT WEFT KNITTED JERSEY PSCP COTTON 100% GSM-140 CW-172 CM/68 INCH "/>
    <s v="11-0515 TCX Lemon Icing"/>
    <n v="-23.040000000000003"/>
    <n v="69.12"/>
    <m/>
    <n v="-69.12"/>
    <m/>
    <n v="-69.1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69.12"/>
    <s v=""/>
    <n v="27"/>
    <n v="0.96"/>
    <n v="54.29"/>
  </r>
  <r>
    <s v="Primark Limited"/>
    <s v="ST.TexgroupLtd.005.FY26-27.15"/>
    <m/>
    <m/>
    <m/>
    <m/>
    <s v=""/>
    <n v="1708"/>
    <s v="KNIT WEFT KNITTED JERSEY PSCP COTTON 100% GSM-140 CW-172 CM/68 INCH "/>
    <s v="11-0515 TCX Lemon Icing"/>
    <n v="-33.44"/>
    <n v="100.32"/>
    <m/>
    <n v="-100.32"/>
    <m/>
    <n v="-100.32"/>
    <s v="461374"/>
    <s v="Solid"/>
    <x v="18"/>
    <d v="2026-10-30T00:00:00"/>
    <s v="20th Oct-200 mtr_x000a_22nd Oct-200 mtr_x000a_24th Oct- 200 mtr_x000a_25th Oct-200 mtr_x000a_27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Lemon Icing (11-0515 TCX)"/>
    <n v="140"/>
    <s v="461374140Lemon Icing (11-0515 TCX)"/>
    <n v="54.29"/>
    <n v="2127.46"/>
    <n v="0"/>
    <n v="1452.0000000000002"/>
    <s v=""/>
    <s v=""/>
    <n v="100.32"/>
    <s v=""/>
    <n v="27"/>
    <n v="0.96"/>
    <n v="54.29"/>
  </r>
  <r>
    <s v="Primark Limited"/>
    <s v="ST.Primark.006.FY26-27.20"/>
    <m/>
    <m/>
    <m/>
    <m/>
    <s v=""/>
    <n v="1709"/>
    <s v="KNIT WEFT KNITTED JERSEY PSCP COTTON 100% GSM-140 CW-172 CM/68 INCH "/>
    <s v="Black"/>
    <n v="0"/>
    <n v="208.27600000000001"/>
    <n v="208.27600000000001"/>
    <n v="0"/>
    <m/>
    <n v="0"/>
    <s v="448738"/>
    <s v="Solid"/>
    <x v="2"/>
    <d v="2026-10-11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20"/>
    <m/>
    <m/>
    <m/>
    <m/>
    <s v=""/>
    <n v="1709"/>
    <s v="KNIT WEFT KNITTED JERSEY PSCP COTTON 100% GSM-140 CW-172 CM/68 INCH "/>
    <s v="Black"/>
    <n v="0"/>
    <n v="207.55500000000001"/>
    <n v="207.55500000000001"/>
    <n v="0"/>
    <m/>
    <n v="0"/>
    <s v="448738"/>
    <s v="Solid"/>
    <x v="12"/>
    <d v="2026-10-1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1T00:00:00"/>
    <m/>
    <m/>
    <m/>
    <m/>
    <m/>
    <m/>
    <m/>
    <s v="OTT CHNG "/>
    <m/>
    <m/>
    <s v="448738"/>
    <s v="Black"/>
    <n v="140"/>
    <s v="448738140Black"/>
    <n v="3314.8"/>
    <n v="95.28"/>
    <s v=""/>
    <n v="2273.386"/>
    <s v=""/>
    <s v=""/>
    <n v="0"/>
    <s v=""/>
    <n v="3314.8"/>
    <n v="0.97199999999999998"/>
    <s v=""/>
  </r>
  <r>
    <s v="Primark Limited"/>
    <s v="ST.Primark.006.FY26-27.21"/>
    <m/>
    <m/>
    <m/>
    <m/>
    <s v=""/>
    <n v="1710"/>
    <s v="KNIT WEFT KNITTED JERSEY PSCP COTTON 100% GSM-140 CW-172 CM/68 INCH "/>
    <s v="Black"/>
    <n v="0"/>
    <n v="67.444999999999993"/>
    <n v="67.444999999999993"/>
    <n v="0"/>
    <m/>
    <n v="0"/>
    <s v="448738"/>
    <s v="Solid"/>
    <x v="12"/>
    <d v="2026-10-13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s v="OTT CHNG "/>
    <m/>
    <m/>
    <s v="448738"/>
    <s v="Black"/>
    <n v="140"/>
    <s v="448738140Black"/>
    <n v="3314.8"/>
    <n v="95.28"/>
    <n v="2178.1059999999998"/>
    <n v="2273.386"/>
    <s v=""/>
    <s v=""/>
    <n v="0"/>
    <s v=""/>
    <n v="3314.8"/>
    <n v="0.97199999999999998"/>
    <n v="1136.6940000000004"/>
  </r>
  <r>
    <s v="Primark Limited"/>
    <s v="ST.Primark.006.FY26-27.21"/>
    <m/>
    <m/>
    <m/>
    <m/>
    <s v=""/>
    <n v="1710"/>
    <s v="KNIT WEFT KNITTED JERSEY PSCP COTTON 100% GSM-140 CW-172 CM/68 INCH "/>
    <s v="Black"/>
    <n v="-31.760000000000009"/>
    <n v="348.38600000000002"/>
    <n v="253.10599999999999"/>
    <n v="-95.28000000000003"/>
    <m/>
    <n v="-95.28000000000003"/>
    <s v="448738"/>
    <s v="Solid"/>
    <x v="25"/>
    <d v="2026-10-15T00:00:00"/>
    <s v="1st Oct-275 mtr_x000a_3rd Oct-275 mtr_x000a_5th Oct-275 mtr_x000a_7th Oct-275 mtr_x000a_9th Oct-275 mtr_x000a_11th Oct-275 mtr_x000a_13th Oct-275 mtr_x000a_15th Oct-275 mtr"/>
    <s v="Hues Agreed qty as per SQBL required date"/>
    <m/>
    <s v="Oct"/>
    <d v="2026-10-03T00:00:00"/>
    <m/>
    <m/>
    <m/>
    <m/>
    <m/>
    <m/>
    <m/>
    <m/>
    <m/>
    <m/>
    <s v="448738"/>
    <s v="Black"/>
    <n v="140"/>
    <s v="448738140Black"/>
    <n v="3314.8"/>
    <n v="95.28"/>
    <n v="2178.1059999999998"/>
    <n v="2273.386"/>
    <s v=""/>
    <s v=""/>
    <n v="95.28000000000003"/>
    <s v=""/>
    <n v="3314.8"/>
    <n v="0.97199999999999998"/>
    <n v="1136.6940000000004"/>
  </r>
  <r>
    <s v="Primark Limited"/>
    <s v="ST.Primark.040.FY26-27.8"/>
    <m/>
    <m/>
    <m/>
    <m/>
    <s v=""/>
    <n v="1711"/>
    <s v="KNIT WEFT KNITTED JERSEY PSCP COTTON 100% GSM-140 CW-172 CM/68 INCH "/>
    <s v="Black Coffee / Ganache 19-1111 TCX"/>
    <n v="-2.2543333333333333"/>
    <n v="6.7629999999999999"/>
    <m/>
    <n v="-6.7629999999999999"/>
    <m/>
    <n v="-6.7629999999999999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n v="146.72299999999998"/>
    <s v=""/>
    <s v=""/>
    <s v=""/>
    <s v=""/>
    <n v="0"/>
    <n v="0"/>
    <n v="0"/>
  </r>
  <r>
    <s v="Primark Limited"/>
    <s v="ST.Primark.039.FY26-27.10"/>
    <m/>
    <m/>
    <m/>
    <m/>
    <s v=""/>
    <n v="1712"/>
    <s v="KNIT WEFT KNITTED JERSEY PSCP COTTON 100% GSM-160 CW-172 CM/68 INCH "/>
    <s v="Black Coffee / Ganache 19-1111 TCX"/>
    <n v="-1.4963333333333333"/>
    <n v="4.4889999999999999"/>
    <m/>
    <n v="-4.4889999999999999"/>
    <m/>
    <n v="-4.488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4.4889999999999999"/>
    <s v=""/>
    <n v="0"/>
    <n v="0"/>
    <n v="0"/>
  </r>
  <r>
    <s v="Primark Limited"/>
    <s v="ST.Primark.039.FY26-27.12"/>
    <m/>
    <m/>
    <m/>
    <m/>
    <s v=""/>
    <n v="1713"/>
    <s v="KNIT WEFT KNITTED JERSEY PSCP COTTON 100% GSM-160 CW-172 CM/68 INCH "/>
    <s v="Black Coffee / Ganache 19-1111 TCX"/>
    <s v=""/>
    <n v="1.19"/>
    <m/>
    <n v="-1.19"/>
    <m/>
    <n v="-1.1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1.19"/>
    <s v=""/>
    <n v="0"/>
    <n v="0"/>
    <n v="0"/>
  </r>
  <r>
    <s v="Primark Limited"/>
    <s v="ST.Primark.039.FY26-27.13"/>
    <m/>
    <m/>
    <m/>
    <m/>
    <s v=""/>
    <n v="1714"/>
    <s v="KNIT WEFT KNITTED JERSEY PSCP COTTON 100% GSM-160 CW-172 CM/68 INCH "/>
    <s v="Black Coffee / Ganache 19-1111 TCX"/>
    <n v="-1.5843333333333334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s v=""/>
    <s v=""/>
    <n v="0"/>
    <n v="0"/>
    <n v="0"/>
  </r>
  <r>
    <s v="Primark Limited"/>
    <s v="ST.Primark.039.FY26-27.14"/>
    <m/>
    <m/>
    <m/>
    <m/>
    <s v=""/>
    <n v="1715"/>
    <s v="KNIT WEFT KNITTED JERSEY PSCP COTTON 100% GSM-160 CW-172 CM/68 INCH "/>
    <s v="Black Coffee / Ganache 19-1111 TCX"/>
    <n v="-0.79233333333333322"/>
    <n v="2.3769999999999998"/>
    <m/>
    <n v="-2.3769999999999998"/>
    <m/>
    <n v="-2.3769999999999998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2.3769999999999998"/>
    <s v=""/>
    <n v="0"/>
    <n v="0"/>
    <n v="0"/>
  </r>
  <r>
    <s v="Primark Limited"/>
    <s v="ST.Primark.039.FY26-27.15"/>
    <m/>
    <m/>
    <m/>
    <m/>
    <s v=""/>
    <n v="1716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5649999999999999"/>
    <s v=""/>
    <n v="0"/>
    <n v="0"/>
    <n v="0"/>
  </r>
  <r>
    <s v="Primark Limited"/>
    <s v="ST.Primark.039.FY26-27.16"/>
    <m/>
    <m/>
    <m/>
    <m/>
    <s v=""/>
    <n v="1717"/>
    <s v="KNIT WEFT KNITTED JERSEY PSCP COTTON 100% GSM-160 CW-172 CM/68 INCH "/>
    <s v="Black Coffee / Ganache 19-1111 TCX"/>
    <s v=""/>
    <n v="4.7530000000000001"/>
    <m/>
    <n v="-4.7530000000000001"/>
    <m/>
    <n v="-4.7530000000000001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s v=""/>
    <s v=""/>
    <n v="0"/>
    <n v="0"/>
    <n v="0"/>
  </r>
  <r>
    <s v="Primark Limited"/>
    <s v="ST.Primark.039.FY26-27.17"/>
    <m/>
    <m/>
    <m/>
    <m/>
    <s v=""/>
    <n v="1718"/>
    <s v="KNIT WEFT KNITTED JERSEY PSCP COTTON 100% GSM-160 CW-172 CM/68 INCH "/>
    <s v="Black Coffee / Ganache 19-1111 TCX"/>
    <n v="-1.1883333333333332"/>
    <n v="3.5649999999999999"/>
    <m/>
    <n v="-3.5649999999999999"/>
    <m/>
    <n v="-3.564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5649999999999999"/>
    <s v=""/>
    <n v="0"/>
    <n v="0"/>
    <n v="0"/>
  </r>
  <r>
    <s v="Primark Limited"/>
    <s v="ST.Primark.039.FY26-27.18"/>
    <m/>
    <m/>
    <m/>
    <m/>
    <s v=""/>
    <n v="1719"/>
    <s v="KNIT WEFT KNITTED JERSEY PSCP COTTON 100% GSM-160 CW-172 CM/68 INCH "/>
    <s v="Black Coffee / Ganache 19-1111 TCX"/>
    <s v="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3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8.8450000000000006"/>
    <s v=""/>
    <n v="0"/>
    <n v="0"/>
    <n v="0"/>
  </r>
  <r>
    <s v="Primark Limited"/>
    <s v="ST.Primark.039.FY26-27.19"/>
    <m/>
    <m/>
    <m/>
    <m/>
    <s v=""/>
    <n v="1720"/>
    <s v="KNIT WEFT KNITTED JERSEY PSCP COTTON 100% GSM-160 CW-172 CM/68 INCH "/>
    <s v="Black Coffee / Ganache 19-1111 TCX"/>
    <n v="-1.4523333333333335"/>
    <n v="4.3570000000000002"/>
    <m/>
    <n v="-4.3570000000000002"/>
    <m/>
    <n v="-4.3570000000000002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s v=""/>
    <n v="353.28699999999998"/>
    <s v=""/>
    <s v=""/>
    <s v=""/>
    <s v=""/>
    <n v="0"/>
    <n v="0"/>
    <s v=""/>
  </r>
  <r>
    <s v="Primark Limited"/>
    <s v="ST.Primark.039.FY26-27.2"/>
    <m/>
    <m/>
    <m/>
    <m/>
    <s v=""/>
    <n v="1721"/>
    <s v="KNIT WEFT KNITTED JERSEY PSCP COTTON 100% GSM-160 CW-172 CM/68 INCH "/>
    <s v="Black Coffee / Ganache 19-1111 TCX"/>
    <n v="-1.1006666666666667"/>
    <n v="3.302"/>
    <m/>
    <n v="-3.302"/>
    <m/>
    <n v="-3.3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3.302"/>
    <s v=""/>
    <n v="0"/>
    <n v="0"/>
    <n v="0"/>
  </r>
  <r>
    <s v="Primark Limited"/>
    <s v="ST.Primark.039.FY26-27.20"/>
    <m/>
    <m/>
    <m/>
    <m/>
    <s v=""/>
    <n v="1722"/>
    <s v="KNIT WEFT KNITTED JERSEY PSCP COTTON 100% GSM-160 CW-172 CM/68 INCH "/>
    <s v="Black Coffee / Ganache 19-1111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s v=""/>
    <n v="353.28699999999998"/>
    <s v=""/>
    <s v=""/>
    <n v="6.6"/>
    <s v=""/>
    <n v="0"/>
    <n v="0"/>
    <s v=""/>
  </r>
  <r>
    <s v="Primark Limited"/>
    <s v="ST.Primark.039.FY26-27.21"/>
    <m/>
    <m/>
    <m/>
    <m/>
    <s v=""/>
    <n v="1723"/>
    <s v="KNIT WEFT KNITTED JERSEY PSCP COTTON 100% GSM-160 CW-172 CM/68 INCH "/>
    <s v="Black Coffee / Ganache 19-1111 TCX"/>
    <n v="-2.9483333333333337"/>
    <n v="8.8450000000000006"/>
    <m/>
    <n v="-8.8450000000000006"/>
    <m/>
    <n v="-8.845000000000000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60"/>
    <s v="465128160Black Coffee / Ganache 19-1111 TCX"/>
    <n v="0"/>
    <s v="#NA"/>
    <n v="0"/>
    <n v="353.28699999999998"/>
    <s v=""/>
    <s v=""/>
    <n v="8.8450000000000006"/>
    <s v=""/>
    <n v="0"/>
    <n v="0"/>
    <n v="0"/>
  </r>
  <r>
    <s v="Primark Limited"/>
    <s v="ST.TexgroupLtd.005.FY26-27.3"/>
    <m/>
    <m/>
    <m/>
    <m/>
    <s v=""/>
    <n v="1724"/>
    <s v="KNIT WEFT KNITTED JERSEY PSCP COTTON 95% LYCRA 5% GSM-160 CW-168 CM/66 INCH  "/>
    <s v="Pink-2"/>
    <n v="-529.92066666666665"/>
    <n v="1589.7619999999999"/>
    <m/>
    <n v="-1589.7619999999999"/>
    <m/>
    <n v="-1589.7619999999999"/>
    <s v="461374"/>
    <s v="Solid"/>
    <x v="15"/>
    <d v="2026-10-28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589.7619999999999"/>
    <s v=""/>
    <n v="0"/>
    <n v="0"/>
    <n v="0"/>
  </r>
  <r>
    <s v="Primark Limited"/>
    <s v="ST.TexgroupLtd.005.FY26-27.3"/>
    <m/>
    <m/>
    <m/>
    <m/>
    <s v=""/>
    <n v="1724"/>
    <s v="KNIT WEFT KNITTED JERSEY PSCP COTTON 95% LYCRA 5% GSM-160 CW-168 CM/66 INCH  "/>
    <s v="Pink-2"/>
    <s v=""/>
    <n v="1124.6379999999999"/>
    <m/>
    <n v="-1124.6379999999999"/>
    <m/>
    <n v="-1124.6379999999999"/>
    <s v="461374"/>
    <s v="Solid"/>
    <x v="16"/>
    <d v="2026-10-29T00:00:00"/>
    <s v="19th Oct-2k mtr_x000a_22nd Oct-2k mtr_x000a_26th Oct- 2k mtr_x000a_28th Oct-2k mtr_x000a_29th Oct-2k mtr_x000a_30th Oct-Balance full"/>
    <s v="Hues Agreed qty as per SQBL required date"/>
    <m/>
    <s v="Oct"/>
    <d v="2026-10-15T00:00:00"/>
    <m/>
    <m/>
    <m/>
    <m/>
    <m/>
    <m/>
    <m/>
    <m/>
    <m/>
    <m/>
    <s v="461374"/>
    <s v="Pink 1"/>
    <n v="160"/>
    <s v="461374160Pink 1"/>
    <n v="0"/>
    <s v="#NA"/>
    <n v="0"/>
    <n v="18249.275999999998"/>
    <s v=""/>
    <s v=""/>
    <n v="1124.6379999999999"/>
    <s v=""/>
    <n v="0"/>
    <n v="0"/>
    <n v="0"/>
  </r>
  <r>
    <s v="Primark Limited"/>
    <s v="ST.Primark.040.FY26-27.29"/>
    <m/>
    <m/>
    <m/>
    <m/>
    <s v=""/>
    <n v="1725"/>
    <s v="KNIT WEFT KNITTED JERSEY PSCP COTTON 100% GSM-140 CW-172 CM/68 INCH "/>
    <s v="Sand Dollar / Vanilla 13-1106 TCX"/>
    <n v="-1.4706666666666666"/>
    <n v="4.4119999999999999"/>
    <m/>
    <n v="-4.4119999999999999"/>
    <m/>
    <n v="-4.4119999999999999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4.4119999999999999"/>
    <s v=""/>
    <n v="0"/>
    <n v="0"/>
    <n v="0"/>
  </r>
  <r>
    <s v="Primark Limited"/>
    <s v="ST.Primark.040.FY26-27.3"/>
    <m/>
    <m/>
    <m/>
    <m/>
    <s v=""/>
    <n v="1726"/>
    <s v="KNIT WEFT KNITTED JERSEY PSCP COTTON 100% GSM-140 CW-172 CM/68 INCH "/>
    <s v="Sand Dollar / Vanilla 13-1106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n v="29.402000000000001"/>
    <s v=""/>
    <n v="0"/>
    <n v="0"/>
    <n v="0"/>
  </r>
  <r>
    <s v="Primark Limited"/>
    <s v="ST.Primark.040.FY26-27.7"/>
    <m/>
    <m/>
    <m/>
    <m/>
    <s v=""/>
    <n v="1727"/>
    <s v="KNIT WEFT KNITTED JERSEY PSCP COTTON 100% GSM-140 CW-172 CM/68 INCH "/>
    <s v="Sand Dollar / Vanilla 13-1106 TCX"/>
    <n v="-2.9406666666666665"/>
    <n v="8.8219999999999992"/>
    <m/>
    <n v="-8.8219999999999992"/>
    <m/>
    <n v="-8.82199999999999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s v=""/>
    <n v="146.72300000000004"/>
    <s v=""/>
    <s v=""/>
    <n v="8.8219999999999992"/>
    <s v=""/>
    <n v="0"/>
    <n v="0"/>
    <s v=""/>
  </r>
  <r>
    <s v="Primark Limited"/>
    <s v="ST.Primark.040.FY26-27.8"/>
    <m/>
    <m/>
    <m/>
    <m/>
    <s v=""/>
    <n v="1728"/>
    <s v="KNIT WEFT KNITTED JERSEY PSCP COTTON 100% GSM-140 CW-172 CM/68 INCH "/>
    <s v="Sand Dollar / Vanilla 13-1106 TCX"/>
    <n v="-2.2543333333333333"/>
    <n v="6.7629999999999999"/>
    <m/>
    <n v="-6.7629999999999999"/>
    <m/>
    <n v="-6.7629999999999999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40"/>
    <s v="450567140Sand Dollar / Vanilla 13-1106 TCX"/>
    <n v="0"/>
    <s v="#NA"/>
    <n v="0"/>
    <n v="146.72300000000004"/>
    <s v=""/>
    <s v=""/>
    <s v=""/>
    <s v=""/>
    <n v="0"/>
    <n v="0"/>
    <n v="0"/>
  </r>
  <r>
    <s v="Primark Limited"/>
    <s v="ST.Primark.040.FY26-27.1"/>
    <m/>
    <m/>
    <m/>
    <m/>
    <s v=""/>
    <n v="1729"/>
    <s v="KNIT WEFT KNITTED JERSEY PSCP COTTON 100% GSM-160 CW-172 CM/68 INCH "/>
    <s v="Black Coffee / Ganache 19-1111 TCX"/>
    <n v="-24.75"/>
    <n v="74.25"/>
    <m/>
    <n v="-74.25"/>
    <m/>
    <n v="-74.25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74.25"/>
    <s v=""/>
    <n v="0"/>
    <n v="0"/>
    <n v="0"/>
  </r>
  <r>
    <s v="Primark Limited"/>
    <s v="ST.Primark.040.FY26-27.20"/>
    <m/>
    <m/>
    <m/>
    <m/>
    <s v=""/>
    <n v="1730"/>
    <s v="KNIT WEFT KNITTED JERSEY PSCP COTTON 100% GSM-160 CW-172 CM/68 INCH "/>
    <s v="Brush / Honey 16-1317 TCX"/>
    <n v="-2.1999999999999997"/>
    <n v="6.6"/>
    <m/>
    <n v="-6.6"/>
    <m/>
    <n v="-6.6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60"/>
    <s v="465128160Brush / Honey 16-1317 TCX"/>
    <n v="0"/>
    <s v="#NA"/>
    <n v="0"/>
    <n v="167.30799999999999"/>
    <s v=""/>
    <s v=""/>
    <n v="6.6"/>
    <s v=""/>
    <n v="0"/>
    <n v="0"/>
    <n v="0"/>
  </r>
  <r>
    <s v="Primark Limited"/>
    <s v="ST.Primark.039.FY26-27.26"/>
    <m/>
    <m/>
    <m/>
    <m/>
    <s v=""/>
    <n v="1731"/>
    <s v="KNIT WEFT KNITTED JERSEY PSCP COTTON 100% GSM-140 CW-172 CM/68 INCH "/>
    <s v="Black Coffee / Ganache 19-1111 TCX"/>
    <n v="0"/>
    <n v="58.802"/>
    <n v="58.8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27"/>
    <m/>
    <m/>
    <m/>
    <m/>
    <s v=""/>
    <n v="1732"/>
    <s v="KNIT WEFT KNITTED JERSEY PSCP COTTON 100% GSM-140 CW-172 CM/68 INCH "/>
    <s v="Black Coffee / Ganache 19-1111 TCX"/>
    <n v="0"/>
    <n v="3.5289999999999999"/>
    <n v="3.5289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s v=""/>
    <s v=""/>
    <n v="401"/>
    <n v="1.0349999999999999"/>
    <n v="23.461999999999989"/>
  </r>
  <r>
    <s v="Primark Limited"/>
    <s v="ST.Primark.039.FY26-27.28"/>
    <m/>
    <m/>
    <m/>
    <m/>
    <s v=""/>
    <n v="1733"/>
    <s v="KNIT WEFT KNITTED JERSEY PSCP COTTON 100% GSM-140 CW-172 CM/68 INCH "/>
    <s v="Black Coffee / Ganache 19-1111 TCX"/>
    <n v="0"/>
    <n v="3.5289999999999999"/>
    <n v="3.528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15.FY26-27.6"/>
    <m/>
    <m/>
    <m/>
    <m/>
    <s v=""/>
    <n v="1734"/>
    <s v="KNIT WEFT KNITTED JERSEY PSCP COTTON 100% GSM-140 CW-172 CM/68 INCH "/>
    <s v="White"/>
    <n v="-0.39999999999999997"/>
    <n v="1.2"/>
    <m/>
    <n v="-1.2"/>
    <m/>
    <n v="-1.2"/>
    <s v="465127"/>
    <s v="Solid"/>
    <x v="5"/>
    <s v="Plan TBC"/>
    <s v="Plan TBC"/>
    <s v="Lap Dip not confirmed from SQBL"/>
    <m/>
    <s v="Oct"/>
    <d v="2026-10-16T00:00:00"/>
    <m/>
    <m/>
    <m/>
    <m/>
    <m/>
    <m/>
    <m/>
    <m/>
    <m/>
    <m/>
    <s v="465127"/>
    <s v="White"/>
    <n v="140"/>
    <s v="465127140White"/>
    <n v="0"/>
    <s v="#NA"/>
    <n v="0"/>
    <n v="2.4"/>
    <s v=""/>
    <s v=""/>
    <s v=""/>
    <s v=""/>
    <n v="0"/>
    <n v="0"/>
    <n v="0"/>
  </r>
  <r>
    <s v="Primark Limited"/>
    <s v="ST.Primark.039.FY26-27.18"/>
    <m/>
    <m/>
    <m/>
    <m/>
    <s v=""/>
    <n v="1735"/>
    <s v="KNIT WEFT KNITTED JERSEY PSCP COTTON 100% GSM-160 CW-172 CM/68 INCH "/>
    <s v="Brush / Honey 16-1317 TCX"/>
    <n v="0"/>
    <n v="198.99"/>
    <n v="198.99"/>
    <n v="0"/>
    <m/>
    <n v="0"/>
    <s v="450568"/>
    <s v="Solid"/>
    <x v="55"/>
    <d v="2026-10-09T00:00:00"/>
    <d v="2026-10-08T00:00:00"/>
    <s v="Revised Plan given as per revised date"/>
    <m/>
    <s v="Oct"/>
    <d v="2026-10-03T00:00:00"/>
    <m/>
    <m/>
    <m/>
    <m/>
    <m/>
    <m/>
    <m/>
    <m/>
    <m/>
    <m/>
    <s v="450568"/>
    <s v="Brush / Honey 16-1317 TCX"/>
    <n v="160"/>
    <s v="450568160Brush / Honey 16-1317 TCX"/>
    <n v="3852.08"/>
    <n v="62.38"/>
    <s v=""/>
    <n v="3813.4799999999996"/>
    <s v=""/>
    <s v=""/>
    <n v="0"/>
    <s v=""/>
    <n v="3852.08"/>
    <n v="0.98399999999999999"/>
    <s v=""/>
  </r>
  <r>
    <s v="Primark Limited"/>
    <s v="ST.Primark.039.FY26-27.19"/>
    <m/>
    <m/>
    <m/>
    <m/>
    <s v=""/>
    <n v="1736"/>
    <s v="KNIT WEFT KNITTED JERSEY PSCP COTTON 100% GSM-160 CW-172 CM/68 INCH "/>
    <s v="Brush / Honey 16-1317 TCX"/>
    <n v="-20.793333333333333"/>
    <n v="98.01"/>
    <n v="35.630000000000003"/>
    <n v="-62.38"/>
    <m/>
    <n v="-62.38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60"/>
    <s v="450568160Brush / Honey 16-1317 TCX"/>
    <n v="3852.08"/>
    <n v="62.38"/>
    <s v=""/>
    <s v=""/>
    <s v=""/>
    <s v=""/>
    <n v="62.38"/>
    <s v=""/>
    <n v="3852.08"/>
    <n v="0.98399999999999999"/>
    <s v=""/>
  </r>
  <r>
    <s v="Primark Limited"/>
    <s v="ST.Primark.040.FY26-27.25"/>
    <m/>
    <m/>
    <m/>
    <m/>
    <s v=""/>
    <n v="1737"/>
    <s v="KNIT WEFT KNITTED JERSEY PSCP COTTON 100% GSM-160 CW-172 CM/68 INCH "/>
    <s v="Sand Dollar / Vanilla 13-1106 TCX"/>
    <n v="-99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s v=""/>
    <s v=""/>
    <s v=""/>
    <n v="297"/>
    <s v=""/>
    <n v="0"/>
    <n v="0"/>
    <n v="0"/>
  </r>
  <r>
    <s v="Primark Limited"/>
    <s v="ST.Primark.040.FY26-27.29"/>
    <m/>
    <m/>
    <m/>
    <m/>
    <s v=""/>
    <n v="1738"/>
    <s v="KNIT WEFT KNITTED JERSEY PSCP COTTON 100% GSM-160 CW-172 CM/68 INCH "/>
    <s v="Sand Dollar / Vanilla 13-1106 TCX"/>
    <n v="-14.85"/>
    <n v="44.55"/>
    <m/>
    <n v="-44.55"/>
    <m/>
    <n v="-44.55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s v=""/>
    <n v="1482.0299999999997"/>
    <s v=""/>
    <s v=""/>
    <n v="44.55"/>
    <s v=""/>
    <n v="0"/>
    <n v="0"/>
    <s v=""/>
  </r>
  <r>
    <s v="Primark Limited"/>
    <s v="ST.Primark.040.FY26-27.3"/>
    <m/>
    <m/>
    <m/>
    <m/>
    <s v=""/>
    <n v="1739"/>
    <s v="KNIT WEFT KNITTED JERSEY PSCP COTTON 100% GSM-160 CW-172 CM/68 INCH "/>
    <s v="Sand Dollar / Vanilla 13-1106 TCX"/>
    <s v=""/>
    <n v="297"/>
    <m/>
    <n v="-297"/>
    <m/>
    <n v="-297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s v=""/>
    <s v=""/>
    <s v=""/>
    <n v="297"/>
    <s v=""/>
    <n v="0"/>
    <n v="0"/>
    <n v="0"/>
  </r>
  <r>
    <s v="Primark Limited"/>
    <s v="ST.Primark.040.FY26-27.7"/>
    <m/>
    <m/>
    <m/>
    <m/>
    <s v=""/>
    <n v="1740"/>
    <s v="KNIT WEFT KNITTED JERSEY PSCP COTTON 100% GSM-160 CW-172 CM/68 INCH "/>
    <s v="Sand Dollar / Vanilla 13-1106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10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s v=""/>
    <s v=""/>
    <n v="0"/>
    <n v="0"/>
    <n v="0"/>
  </r>
  <r>
    <s v="Primark Limited"/>
    <s v="ST.Primark.040.FY26-27.8"/>
    <m/>
    <m/>
    <m/>
    <m/>
    <s v=""/>
    <n v="1741"/>
    <s v="KNIT WEFT KNITTED JERSEY PSCP COTTON 100% GSM-160 CW-172 CM/68 INCH "/>
    <s v="Sand Dollar / Vanilla 13-1106 TCX"/>
    <n v="-1.0123333333333333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18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s v=""/>
    <n v="353.28699999999992"/>
    <s v=""/>
    <s v=""/>
    <s v=""/>
    <s v=""/>
    <n v="0"/>
    <n v="0"/>
    <s v=""/>
  </r>
  <r>
    <s v="Primark Limited"/>
    <s v="ST.Primark.039.FY26-27.27"/>
    <m/>
    <m/>
    <m/>
    <m/>
    <s v=""/>
    <n v="1742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s v=""/>
    <n v="11.171000000000001"/>
    <s v=""/>
    <s v=""/>
    <s v=""/>
    <s v=""/>
    <n v="0"/>
    <n v="0"/>
    <s v=""/>
  </r>
  <r>
    <s v="Primark Limited"/>
    <s v="ST.Primark.039.FY26-27.6"/>
    <m/>
    <m/>
    <m/>
    <m/>
    <s v=""/>
    <n v="1743"/>
    <s v="KNIT WEFT KNITTED JERSEY PSCP COTTON 100% GSM-160 CW-172 CM/68 INCH "/>
    <s v="Sand Dollar / Vanilla 13-1106 TCX"/>
    <s v=""/>
    <n v="3.0369999999999999"/>
    <m/>
    <n v="-3.0369999999999999"/>
    <m/>
    <n v="-3.036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s v=""/>
    <s v=""/>
    <s v=""/>
    <n v="3.0369999999999999"/>
    <s v=""/>
    <n v="0"/>
    <n v="0"/>
    <n v="0"/>
  </r>
  <r>
    <s v="Primark Limited"/>
    <s v="ST.Primark.039.FY26-27.7"/>
    <m/>
    <m/>
    <m/>
    <m/>
    <s v=""/>
    <n v="1744"/>
    <s v="KNIT WEFT KNITTED JERSEY PSCP COTTON 100% GSM-160 CW-172 CM/68 INCH "/>
    <s v="Sand Dollar / Vanilla 13-1106 TCX"/>
    <s v="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3.9620000000000002"/>
    <s v=""/>
    <n v="0"/>
    <n v="0"/>
    <n v="0"/>
  </r>
  <r>
    <s v="Primark Limited"/>
    <s v="ST.Primark.040.FY26-27.25"/>
    <m/>
    <m/>
    <m/>
    <m/>
    <s v=""/>
    <n v="1745"/>
    <s v="KNIT WEFT KNITTED JERSEY PSCP COTTON 100% GSM-140 CW-172 CM/68 INCH "/>
    <s v="Mustang / Cocoa 19-1217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29.402000000000001"/>
    <s v=""/>
    <n v="0"/>
    <n v="0"/>
    <n v="0"/>
  </r>
  <r>
    <s v="Primark Limited"/>
    <s v="ST.Primark.040.FY26-27.29"/>
    <m/>
    <m/>
    <m/>
    <m/>
    <s v=""/>
    <n v="1746"/>
    <s v="KNIT WEFT KNITTED JERSEY PSCP COTTON 100% GSM-140 CW-172 CM/68 INCH "/>
    <s v="Mustang / Cocoa 19-1217 TCX"/>
    <s v=""/>
    <n v="4.4119999999999999"/>
    <m/>
    <n v="-4.4119999999999999"/>
    <m/>
    <n v="-4.4119999999999999"/>
    <s v="450567"/>
    <s v="Solid"/>
    <x v="25"/>
    <d v="2026-10-15T00:00:00"/>
    <d v="2026-10-14T00:00:00"/>
    <s v="Hues Agreed qty as per SQBL required date"/>
    <m/>
    <s v="Oct"/>
    <d v="2026-10-13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s v=""/>
    <s v=""/>
    <s v=""/>
    <n v="4.4119999999999999"/>
    <s v=""/>
    <n v="0"/>
    <n v="0"/>
    <n v="0"/>
  </r>
  <r>
    <s v="Primark Limited"/>
    <s v="ST.Primark.040.FY26-27.3"/>
    <m/>
    <m/>
    <m/>
    <m/>
    <s v=""/>
    <n v="1747"/>
    <s v="KNIT WEFT KNITTED JERSEY PSCP COTTON 100% GSM-140 CW-172 CM/68 INCH "/>
    <s v="Mustang / Cocoa 19-1217 TCX"/>
    <n v="-9.8006666666666664"/>
    <n v="29.402000000000001"/>
    <m/>
    <n v="-29.402000000000001"/>
    <m/>
    <n v="-29.402000000000001"/>
    <s v="450567"/>
    <s v="Solid"/>
    <x v="25"/>
    <d v="2026-10-15T00:00:00"/>
    <d v="2026-10-14T00:00:00"/>
    <s v="Hues Agreed qty as per SQBL required date"/>
    <m/>
    <s v="Oct"/>
    <d v="2026-10-16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n v="29.402000000000001"/>
    <s v=""/>
    <n v="0"/>
    <n v="0"/>
    <n v="0"/>
  </r>
  <r>
    <s v="Primark Limited"/>
    <s v="ST.Primark.040.FY26-27.7"/>
    <m/>
    <m/>
    <m/>
    <m/>
    <s v=""/>
    <n v="1748"/>
    <s v="KNIT WEFT KNITTED JERSEY PSCP COTTON 100% GSM-140 CW-172 CM/68 INCH "/>
    <s v="Mustang / Cocoa 19-1217 TCX"/>
    <n v="-2.9406666666666665"/>
    <n v="8.8219999999999992"/>
    <m/>
    <n v="-8.8219999999999992"/>
    <m/>
    <n v="-8.8219999999999992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40"/>
    <s v="450567140Mustang / Cocoa 19-1217 TCX"/>
    <n v="0"/>
    <s v="#NA"/>
    <n v="0"/>
    <n v="146.72300000000001"/>
    <s v=""/>
    <s v=""/>
    <s v=""/>
    <s v=""/>
    <n v="0"/>
    <n v="0"/>
    <n v="0"/>
  </r>
  <r>
    <s v="Primark Limited"/>
    <s v="ST.Primark.039.FY26-27.21"/>
    <m/>
    <m/>
    <m/>
    <m/>
    <s v=""/>
    <n v="1749"/>
    <s v="KNIT WEFT KNITTED JERSEY PSCP COTTON 100% GSM-140 CW-172 CM/68 INCH "/>
    <s v="Sand Dollar / Vanilla 13-1106 TCX"/>
    <n v="0"/>
    <n v="19.699000000000002"/>
    <n v="19.699000000000002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22"/>
    <m/>
    <m/>
    <m/>
    <m/>
    <s v=""/>
    <n v="1750"/>
    <s v="KNIT WEFT KNITTED JERSEY PSCP COTTON 100% GSM-140 CW-172 CM/68 INCH "/>
    <s v="Sand Dollar / Vanilla 13-1106 TCX"/>
    <n v="0"/>
    <n v="24.402999999999999"/>
    <n v="24.402999999999999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23"/>
    <m/>
    <m/>
    <m/>
    <m/>
    <s v=""/>
    <n v="1751"/>
    <s v="KNIT WEFT KNITTED JERSEY PSCP COTTON 100% GSM-140 CW-172 CM/68 INCH "/>
    <s v="Sand Dollar / Vanilla 13-1106 TCX"/>
    <n v="0"/>
    <n v="24.402999999999999"/>
    <n v="24.4029999999999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24"/>
    <m/>
    <m/>
    <m/>
    <m/>
    <s v=""/>
    <n v="1752"/>
    <s v="KNIT WEFT KNITTED JERSEY PSCP COTTON 100% GSM-140 CW-172 CM/68 INCH "/>
    <s v="Sand Dollar / Vanilla 13-1106 TCX"/>
    <n v="0"/>
    <n v="19.7"/>
    <n v="19.7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s v=""/>
    <s v=""/>
    <s v=""/>
    <n v="0"/>
    <s v=""/>
    <n v="386.42"/>
    <n v="0.997"/>
    <n v="8.882000000000005"/>
  </r>
  <r>
    <s v="Primark Limited"/>
    <s v="ST.Primark.039.FY26-27.25"/>
    <m/>
    <m/>
    <m/>
    <m/>
    <s v=""/>
    <n v="1753"/>
    <s v="KNIT WEFT KNITTED JERSEY PSCP COTTON 100% GSM-140 CW-172 CM/68 INCH "/>
    <s v="Sand Dollar / Vanilla 13-1106 TCX"/>
    <s v=""/>
    <n v="39.103999999999999"/>
    <n v="39.1039999999999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s v=""/>
    <s v=""/>
    <n v="386.42"/>
    <n v="0.997"/>
    <n v="8.882000000000005"/>
  </r>
  <r>
    <s v="Primark Limited"/>
    <s v="ST.Primark.039.FY26-27.26"/>
    <m/>
    <m/>
    <m/>
    <m/>
    <s v=""/>
    <n v="1754"/>
    <s v="KNIT WEFT KNITTED JERSEY PSCP COTTON 100% GSM-140 CW-172 CM/68 INCH "/>
    <s v="Sand Dollar / Vanilla 13-1106 TCX"/>
    <n v="0"/>
    <n v="58.802"/>
    <n v="58.802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27"/>
    <m/>
    <m/>
    <m/>
    <m/>
    <s v=""/>
    <n v="1755"/>
    <s v="KNIT WEFT KNITTED JERSEY PSCP COTTON 100% GSM-140 CW-172 CM/68 INCH "/>
    <s v="Sand Dollar / Vanilla 13-1106 TCX"/>
    <n v="0"/>
    <n v="3.5289999999999999"/>
    <n v="3.5289999999999999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s v=""/>
    <s v=""/>
    <s v=""/>
    <n v="0"/>
    <s v=""/>
    <n v="386.42"/>
    <n v="0.997"/>
    <n v="8.882000000000005"/>
  </r>
  <r>
    <s v="Primark Limited"/>
    <s v="ST.Primark.039.FY26-27.28"/>
    <m/>
    <m/>
    <m/>
    <m/>
    <s v=""/>
    <n v="1756"/>
    <s v="KNIT WEFT KNITTED JERSEY PSCP COTTON 100% GSM-140 CW-172 CM/68 INCH "/>
    <s v="Sand Dollar / Vanilla 13-1106 TCX"/>
    <s v=""/>
    <n v="3.5289999999999999"/>
    <n v="3.5289999999999999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s v=""/>
    <n v="377.53800000000001"/>
    <s v=""/>
    <s v=""/>
    <n v="0"/>
    <s v=""/>
    <n v="386.42"/>
    <n v="0.997"/>
    <s v=""/>
  </r>
  <r>
    <s v="Primark Limited"/>
    <s v="ST.Primark.039.FY26-27.29"/>
    <m/>
    <m/>
    <m/>
    <m/>
    <s v=""/>
    <n v="1757"/>
    <s v="KNIT WEFT KNITTED JERSEY PSCP COTTON 100% GSM-140 CW-172 CM/68 INCH "/>
    <s v="Sand Dollar / Vanilla 13-1106 TCX"/>
    <n v="0"/>
    <n v="2.9420000000000002"/>
    <n v="2.9420000000000002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3"/>
    <m/>
    <m/>
    <m/>
    <m/>
    <s v=""/>
    <n v="1758"/>
    <s v="KNIT WEFT KNITTED JERSEY PSCP COTTON 100% GSM-140 CW-172 CM/68 INCH "/>
    <s v="Sand Dollar / Vanilla 13-1106 TCX"/>
    <n v="0"/>
    <n v="14.702"/>
    <n v="14.702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30"/>
    <m/>
    <m/>
    <m/>
    <m/>
    <s v=""/>
    <n v="1759"/>
    <s v="KNIT WEFT KNITTED JERSEY PSCP COTTON 100% GSM-140 CW-172 CM/68 INCH "/>
    <s v="Sand Dollar / Vanilla 13-1106 TCX"/>
    <n v="0"/>
    <n v="5.5880000000000001"/>
    <n v="5.5880000000000001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s v=""/>
    <s v=""/>
    <s v=""/>
    <n v="0"/>
    <s v=""/>
    <n v="386.42"/>
    <n v="0.997"/>
    <n v="8.882000000000005"/>
  </r>
  <r>
    <s v="Primark Limited"/>
    <s v="ST.Primark.039.FY26-27.31"/>
    <m/>
    <m/>
    <m/>
    <m/>
    <s v=""/>
    <n v="1760"/>
    <s v="KNIT WEFT KNITTED JERSEY PSCP COTTON 100% GSM-140 CW-172 CM/68 INCH "/>
    <s v="Sand Dollar / Vanilla 13-1106 TCX"/>
    <n v="0"/>
    <n v="8.8219999999999992"/>
    <n v="8.8219999999999992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s v=""/>
    <n v="377.53800000000001"/>
    <s v=""/>
    <s v=""/>
    <n v="0"/>
    <s v=""/>
    <n v="386.42"/>
    <n v="0.997"/>
    <s v=""/>
  </r>
  <r>
    <s v="Primark Limited"/>
    <s v="ST.Primark.039.FY26-27.4"/>
    <m/>
    <m/>
    <m/>
    <m/>
    <s v=""/>
    <n v="1761"/>
    <s v="KNIT WEFT KNITTED JERSEY PSCP COTTON 100% GSM-140 CW-172 CM/68 INCH "/>
    <s v="Sand Dollar / Vanilla 13-1106 TCX"/>
    <s v=""/>
    <n v="8.8219999999999992"/>
    <n v="8.8219999999999992"/>
    <n v="0"/>
    <m/>
    <n v="0"/>
    <s v="450568"/>
    <s v="Solid"/>
    <x v="55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s v=""/>
    <s v=""/>
    <n v="386.42"/>
    <n v="0.997"/>
    <n v="8.882000000000005"/>
  </r>
  <r>
    <s v="Primark Limited"/>
    <s v="ST.Primark.039.FY26-27.5"/>
    <m/>
    <m/>
    <m/>
    <m/>
    <s v=""/>
    <n v="1762"/>
    <s v="KNIT WEFT KNITTED JERSEY PSCP COTTON 100% GSM-140 CW-172 CM/68 INCH "/>
    <s v="Sand Dollar / Vanilla 13-1106 TCX"/>
    <n v="0"/>
    <n v="4.7060000000000004"/>
    <n v="4.7060000000000004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Primark.039.FY26-27.6"/>
    <m/>
    <m/>
    <m/>
    <m/>
    <s v=""/>
    <n v="1763"/>
    <s v="KNIT WEFT KNITTED JERSEY PSCP COTTON 100% GSM-140 CW-172 CM/68 INCH "/>
    <s v="Sand Dollar / Vanilla 13-1106 TCX"/>
    <n v="0"/>
    <n v="6.7629999999999999"/>
    <n v="6.7629999999999999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s v=""/>
    <s v=""/>
    <n v="386.42"/>
    <n v="0.997"/>
    <n v="8.882000000000005"/>
  </r>
  <r>
    <s v="Primark Limited"/>
    <s v="ST.Primark.039.FY26-27.7"/>
    <m/>
    <m/>
    <m/>
    <m/>
    <s v=""/>
    <n v="1764"/>
    <s v="KNIT WEFT KNITTED JERSEY PSCP COTTON 100% GSM-140 CW-172 CM/68 INCH "/>
    <s v="Sand Dollar / Vanilla 13-1106 TCX"/>
    <n v="0"/>
    <n v="8.8219999999999992"/>
    <n v="8.8219999999999992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40"/>
    <s v="450568140Sand Dollar / Vanilla 13-1106 TCX"/>
    <n v="386.42"/>
    <n v="1.1100000000000001"/>
    <n v="377.53800000000001"/>
    <n v="377.53800000000001"/>
    <s v=""/>
    <s v=""/>
    <n v="0"/>
    <s v=""/>
    <n v="386.42"/>
    <n v="0.997"/>
    <n v="8.882000000000005"/>
  </r>
  <r>
    <s v="Primark Limited"/>
    <s v="ST.TexgroupLtd.005.FY26-27.5"/>
    <m/>
    <m/>
    <m/>
    <m/>
    <s v=""/>
    <n v="1765"/>
    <s v="KNIT WEFT KNITTED JERSEY PSCP COTTON 100% GSM-140 CW-172 CM/68 INCH "/>
    <s v="Pink-2"/>
    <n v="-23.093333333333334"/>
    <n v="69.28"/>
    <m/>
    <n v="-69.28"/>
    <m/>
    <n v="-69.28"/>
    <s v="461374"/>
    <s v="Solid"/>
    <x v="16"/>
    <d v="2026-10-29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s v=""/>
    <s v=""/>
    <s v=""/>
    <s v=""/>
    <s v=""/>
    <n v="0"/>
    <n v="0"/>
    <n v="0"/>
  </r>
  <r>
    <s v="Primark Limited"/>
    <s v="ST.TexgroupLtd.005.FY26-27.5"/>
    <m/>
    <m/>
    <m/>
    <m/>
    <s v=""/>
    <n v="1765"/>
    <s v="KNIT WEFT KNITTED JERSEY PSCP COTTON 100% GSM-140 CW-172 CM/68 INCH "/>
    <s v="Pink-2"/>
    <n v="-1.0666666666666667"/>
    <n v="3.2"/>
    <m/>
    <n v="-3.2"/>
    <m/>
    <n v="-3.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s v=""/>
    <s v=""/>
    <s v=""/>
    <s v=""/>
    <s v=""/>
    <s v=""/>
    <n v="0"/>
    <n v="0"/>
    <s v=""/>
  </r>
  <r>
    <s v="Primark Limited"/>
    <s v="ST.TexgroupLtd.005.FY26-27.6"/>
    <m/>
    <m/>
    <m/>
    <m/>
    <s v=""/>
    <n v="1766"/>
    <s v="KNIT WEFT KNITTED JERSEY PSCP COTTON 100% GSM-140 CW-172 CM/68 INCH "/>
    <s v="Pink-2"/>
    <n v="-5.7600000000000007"/>
    <n v="17.28"/>
    <m/>
    <n v="-17.28"/>
    <m/>
    <n v="-17.2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s v=""/>
    <n v="2904"/>
    <s v=""/>
    <s v=""/>
    <s v=""/>
    <s v=""/>
    <n v="0"/>
    <n v="0"/>
    <s v=""/>
  </r>
  <r>
    <s v="Primark Limited"/>
    <s v="ST.TexgroupLtd.005.FY26-27.7"/>
    <m/>
    <m/>
    <m/>
    <m/>
    <s v=""/>
    <n v="1767"/>
    <s v="KNIT WEFT KNITTED JERSEY PSCP COTTON 100% GSM-140 CW-172 CM/68 INCH "/>
    <s v="Pink-2"/>
    <n v="-31.36"/>
    <n v="94.08"/>
    <m/>
    <n v="-94.08"/>
    <m/>
    <n v="-94.0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94.08"/>
    <s v=""/>
    <n v="0"/>
    <n v="0"/>
    <n v="0"/>
  </r>
  <r>
    <s v="Primark Limited"/>
    <s v="ST.TexgroupLtd.005.FY26-27.8"/>
    <m/>
    <m/>
    <m/>
    <m/>
    <s v=""/>
    <n v="1768"/>
    <s v="KNIT WEFT KNITTED JERSEY PSCP COTTON 100% GSM-140 CW-172 CM/68 INCH "/>
    <s v="Pink-2"/>
    <n v="-45.76"/>
    <n v="137.28"/>
    <m/>
    <n v="-137.28"/>
    <m/>
    <n v="-137.2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s v=""/>
    <s v=""/>
    <n v="0"/>
    <n v="0"/>
    <n v="0"/>
  </r>
  <r>
    <s v="Primark Limited"/>
    <s v="ST.TexgroupLtd.005.FY26-27.9"/>
    <m/>
    <m/>
    <m/>
    <m/>
    <s v=""/>
    <n v="1769"/>
    <s v="KNIT WEFT KNITTED JERSEY PSCP COTTON 100% GSM-140 CW-172 CM/68 INCH "/>
    <s v="Pink-2"/>
    <n v="-66.72"/>
    <n v="200.16"/>
    <m/>
    <n v="-200.16"/>
    <m/>
    <n v="-200.16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Pink 1"/>
    <n v="140"/>
    <s v="461374140Pink 1"/>
    <n v="0"/>
    <s v="#NA"/>
    <n v="0"/>
    <n v="2904"/>
    <s v=""/>
    <s v=""/>
    <n v="200.16"/>
    <s v=""/>
    <n v="0"/>
    <n v="0"/>
    <n v="0"/>
  </r>
  <r>
    <s v="Primark Limited"/>
    <s v="ST.TexgroupLtd.005.FY26-27.10"/>
    <m/>
    <m/>
    <m/>
    <m/>
    <s v=""/>
    <n v="1770"/>
    <s v="KNIT WEFT KNITTED JERSEY PSCP COTTON 100% GSM-140 CW-172 CM/68 INCH "/>
    <s v="Salt Water Slide 12-4611 TCX"/>
    <n v="-10.24"/>
    <n v="30.72"/>
    <m/>
    <n v="-30.72"/>
    <m/>
    <n v="-30.7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s v=""/>
    <s v=""/>
    <s v=""/>
    <n v="30.72"/>
    <s v=""/>
    <n v="24"/>
    <n v="1.0999999999999999E-2"/>
    <n v="24"/>
  </r>
  <r>
    <s v="Primark Limited"/>
    <s v="ST.TexgroupLtd.005.FY26-27.11"/>
    <m/>
    <m/>
    <m/>
    <m/>
    <s v=""/>
    <n v="1771"/>
    <s v="KNIT WEFT KNITTED JERSEY PSCP COTTON 100% GSM-140 CW-172 CM/68 INCH "/>
    <s v="Salt Water Slide 12-4611 TCX"/>
    <n v="-19.2"/>
    <n v="57.6"/>
    <m/>
    <n v="-57.6"/>
    <m/>
    <n v="-57.6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s v=""/>
    <n v="1451.9999999999998"/>
    <s v=""/>
    <s v=""/>
    <n v="57.6"/>
    <s v=""/>
    <n v="24"/>
    <n v="1.0999999999999999E-2"/>
    <s v=""/>
  </r>
  <r>
    <s v="Primark Limited"/>
    <s v="ST.TexgroupLtd.005.FY26-27.12"/>
    <m/>
    <m/>
    <m/>
    <m/>
    <s v=""/>
    <n v="1772"/>
    <s v="KNIT WEFT KNITTED JERSEY PSCP COTTON 100% GSM-140 CW-172 CM/68 INCH "/>
    <s v="Salt Water Slide 12-4611 TCX"/>
    <s v=""/>
    <n v="48"/>
    <m/>
    <n v="-48"/>
    <m/>
    <n v="-48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s v=""/>
    <s v=""/>
    <s v=""/>
    <n v="48"/>
    <s v=""/>
    <n v="24"/>
    <n v="1.0999999999999999E-2"/>
    <n v="24"/>
  </r>
  <r>
    <s v="Primark Limited"/>
    <s v="ST.TexgroupLtd.005.FY26-27.13"/>
    <m/>
    <m/>
    <m/>
    <m/>
    <s v=""/>
    <n v="1773"/>
    <s v="KNIT WEFT KNITTED JERSEY PSCP COTTON 100% GSM-140 CW-172 CM/68 INCH "/>
    <s v="Salt Water Slide 12-4611 TCX"/>
    <n v="-20.8"/>
    <n v="62.4"/>
    <m/>
    <n v="-62.4"/>
    <m/>
    <n v="-62.4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n v="1451.9999999999998"/>
    <s v=""/>
    <s v=""/>
    <s v=""/>
    <s v=""/>
    <n v="24"/>
    <n v="1.0999999999999999E-2"/>
    <n v="24"/>
  </r>
  <r>
    <s v="Primark Limited"/>
    <s v="ST.TexgroupLtd.005.FY26-27.14"/>
    <m/>
    <m/>
    <m/>
    <m/>
    <s v=""/>
    <n v="1774"/>
    <s v="KNIT WEFT KNITTED JERSEY PSCP COTTON 100% GSM-140 CW-172 CM/68 INCH "/>
    <s v="Salt Water Slide 12-4611 TCX"/>
    <n v="-23.040000000000003"/>
    <n v="69.12"/>
    <m/>
    <n v="-69.12"/>
    <m/>
    <n v="-69.1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n v="0"/>
    <s v=""/>
    <s v=""/>
    <s v=""/>
    <s v=""/>
    <s v=""/>
    <n v="24"/>
    <n v="1.0999999999999999E-2"/>
    <n v="24"/>
  </r>
  <r>
    <s v="Primark Limited"/>
    <s v="ST.TexgroupLtd.005.FY26-27.15"/>
    <m/>
    <m/>
    <m/>
    <m/>
    <s v=""/>
    <n v="1775"/>
    <s v="KNIT WEFT KNITTED JERSEY PSCP COTTON 100% GSM-140 CW-172 CM/68 INCH "/>
    <s v="Salt Water Slide 12-4611 TCX"/>
    <s v=""/>
    <n v="100.32"/>
    <m/>
    <n v="-100.32"/>
    <m/>
    <n v="-100.32"/>
    <s v="461374"/>
    <s v="Solid"/>
    <x v="18"/>
    <d v="2026-10-30T00:00:00"/>
    <s v="19th Oct-200 mtr_x000a_22nd Oct-200 mtr_x000a_26th Oct- 200 mtr_x000a_28th Oct-200 mtr_x000a_29th Oct-200 mtr_x000a_30th Oct-Balance full"/>
    <s v="Hues Agreed qty as per SQBL required date"/>
    <m/>
    <s v="Oct"/>
    <d v="2026-10-20T00:00:00"/>
    <m/>
    <m/>
    <m/>
    <m/>
    <m/>
    <m/>
    <m/>
    <m/>
    <m/>
    <m/>
    <s v="461374"/>
    <s v="Saltwater Slide 12-4602 TCX"/>
    <n v="140"/>
    <s v="461374140Saltwater Slide 12-4602 TCX"/>
    <n v="24"/>
    <n v="2101.63"/>
    <s v=""/>
    <n v="1451.9999999999998"/>
    <s v=""/>
    <s v=""/>
    <n v="100.32"/>
    <s v=""/>
    <n v="24"/>
    <n v="1.0999999999999999E-2"/>
    <s v=""/>
  </r>
  <r>
    <s v="Primark Limited"/>
    <s v="ST.Primark.039.FY26-27.28"/>
    <m/>
    <m/>
    <m/>
    <m/>
    <s v=""/>
    <n v="1776"/>
    <s v="KNIT WEFT KNITTED JERSEY PSCP COTTON 100% GSM-140 CW-172 CM/68 INCH "/>
    <s v="Black Coffee / Ganache 19-1111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s v=""/>
    <s v=""/>
    <s v=""/>
    <s v=""/>
    <n v="0"/>
    <n v="0"/>
    <n v="0"/>
  </r>
  <r>
    <s v="Primark Limited"/>
    <s v="ST.Primark.039.FY26-27.29"/>
    <m/>
    <m/>
    <m/>
    <m/>
    <s v=""/>
    <n v="1777"/>
    <s v="KNIT WEFT KNITTED JERSEY PSCP COTTON 100% GSM-140 CW-172 CM/68 INCH "/>
    <s v="Black Coffee / Ganache 19-1111 TCX"/>
    <s v="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s v=""/>
    <n v="11.171000000000001"/>
    <s v=""/>
    <s v=""/>
    <n v="1.1759999999999999"/>
    <s v=""/>
    <n v="0"/>
    <n v="0"/>
    <s v=""/>
  </r>
  <r>
    <s v="Primark Limited"/>
    <s v="ST.Primark.039.FY26-27.30"/>
    <m/>
    <m/>
    <m/>
    <m/>
    <s v=""/>
    <n v="1778"/>
    <s v="KNIT WEFT KNITTED JERSEY PSCP COTTON 100% GSM-140 CW-172 CM/68 INCH "/>
    <s v="Black Coffee / Ganache 19-1111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n v="11.171000000000001"/>
    <s v=""/>
    <s v=""/>
    <n v="2.0569999999999999"/>
    <s v=""/>
    <n v="0"/>
    <n v="0"/>
    <n v="0"/>
  </r>
  <r>
    <s v="Primark Limited"/>
    <s v="ST.Primark.039.FY26-27.31"/>
    <m/>
    <m/>
    <m/>
    <m/>
    <s v=""/>
    <n v="1779"/>
    <s v="KNIT WEFT KNITTED JERSEY PSCP COTTON 100% GSM-140 CW-172 CM/68 INCH "/>
    <s v="Black Coffee / Ganache 19-1111 TCX"/>
    <s v="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lack Coffee / Ganache 19-1111 TCX"/>
    <n v="140"/>
    <s v="465128140Black Coffee / Ganache 19-1111 TCX"/>
    <n v="0"/>
    <s v="#NA"/>
    <n v="0"/>
    <s v=""/>
    <s v=""/>
    <s v=""/>
    <n v="3.528"/>
    <s v=""/>
    <n v="0"/>
    <n v="0"/>
    <n v="0"/>
  </r>
  <r>
    <s v="Primark Limited"/>
    <s v="ST.Primark.040.FY26-27.29"/>
    <m/>
    <m/>
    <m/>
    <m/>
    <s v=""/>
    <n v="1780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Brush / Honey 16-1317 TCX"/>
    <n v="140"/>
    <s v="465128140Brush / Honey 16-1317 TCX"/>
    <n v="0"/>
    <s v="#NA"/>
    <s v=""/>
    <s v=""/>
    <s v=""/>
    <s v=""/>
    <n v="1.47"/>
    <s v=""/>
    <n v="0"/>
    <n v="0"/>
    <s v=""/>
  </r>
  <r>
    <s v="Primark Limited"/>
    <s v="ST.Primark.039.FY26-27.27"/>
    <m/>
    <m/>
    <m/>
    <m/>
    <s v=""/>
    <n v="1781"/>
    <s v="KNIT WEFT KNITTED JERSEY PSCP COTTON 100% GSM-140 CW-172 CM/68 INCH "/>
    <s v="Brush / Honey 16-13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Brush / Honey 16-1317 TCX"/>
    <n v="140"/>
    <s v="465128140Brush / Honey 16-1317 TCX"/>
    <n v="0"/>
    <s v="#NA"/>
    <s v=""/>
    <n v="11.171000000000001"/>
    <s v=""/>
    <s v=""/>
    <s v=""/>
    <s v=""/>
    <n v="0"/>
    <n v="0"/>
    <s v=""/>
  </r>
  <r>
    <s v="Primark Limited"/>
    <s v="ST.Primark.039.FY26-27.28"/>
    <m/>
    <m/>
    <m/>
    <m/>
    <s v=""/>
    <n v="1782"/>
    <s v="KNIT WEFT KNITTED JERSEY PSCP COTTON 100% GSM-140 CW-172 CM/68 INCH "/>
    <s v="Brush / Honey 16-1317 TCX"/>
    <s v="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s v=""/>
    <n v="11.171000000000001"/>
    <s v=""/>
    <s v=""/>
    <s v=""/>
    <s v=""/>
    <n v="0"/>
    <n v="0"/>
    <s v=""/>
  </r>
  <r>
    <s v="Primark Limited"/>
    <s v="ST.Primark.039.FY26-27.29"/>
    <m/>
    <m/>
    <m/>
    <m/>
    <s v=""/>
    <n v="1783"/>
    <s v="KNIT WEFT KNITTED JERSEY PSCP COTTON 100% GSM-140 CW-172 CM/68 INCH "/>
    <s v="Brush / Honey 16-1317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s v=""/>
    <s v=""/>
    <n v="1.1759999999999999"/>
    <s v=""/>
    <n v="0"/>
    <n v="0"/>
    <n v="0"/>
  </r>
  <r>
    <s v="Primark Limited"/>
    <s v="ST.Primark.039.FY26-27.30"/>
    <m/>
    <m/>
    <m/>
    <m/>
    <s v=""/>
    <n v="1784"/>
    <s v="KNIT WEFT KNITTED JERSEY PSCP COTTON 100% GSM-140 CW-172 CM/68 INCH "/>
    <s v="Brush / Honey 16-1317 TCX"/>
    <s v="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s v=""/>
    <s v=""/>
    <s v=""/>
    <s v=""/>
    <n v="0"/>
    <n v="0"/>
    <n v="0"/>
  </r>
  <r>
    <s v="Primark Limited"/>
    <s v="ST.Primark.039.FY26-27.31"/>
    <m/>
    <m/>
    <m/>
    <m/>
    <s v=""/>
    <n v="1785"/>
    <s v="KNIT WEFT KNITTED JERSEY PSCP COTTON 100% GSM-140 CW-172 CM/68 INCH "/>
    <s v="Brush / Honey 16-1317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Brush / Honey 16-1317 TCX"/>
    <n v="140"/>
    <s v="465128140Brush / Honey 16-1317 TCX"/>
    <n v="0"/>
    <s v="#NA"/>
    <n v="0"/>
    <n v="11.171000000000001"/>
    <s v=""/>
    <s v=""/>
    <n v="3.528"/>
    <s v=""/>
    <n v="0"/>
    <n v="0"/>
    <n v="0"/>
  </r>
  <r>
    <s v="Primark Limited"/>
    <s v="ST.Primark.077.FY26-27.2"/>
    <m/>
    <m/>
    <m/>
    <m/>
    <s v=""/>
    <n v="1786"/>
    <s v="KNIT WEFT KNITTED JERSEY PSCP COTTON 100% GSM-140 CW-172 CM/68 INCH "/>
    <s v="Oxford Tan 15-1306 TCX"/>
    <n v="-51.800000000000004"/>
    <n v="155.4"/>
    <m/>
    <n v="-155.4"/>
    <m/>
    <n v="-155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155.4"/>
    <s v=""/>
    <e v="#N/A"/>
    <e v="#N/A"/>
    <n v="0"/>
  </r>
  <r>
    <s v="Primark Limited"/>
    <s v="ST.Primark.077.FY26-27.3"/>
    <m/>
    <m/>
    <m/>
    <m/>
    <s v=""/>
    <n v="1787"/>
    <s v="KNIT WEFT KNITTED JERSEY PSCP COTTON 100% GSM-140 CW-172 CM/68 INCH "/>
    <s v="Oxford Tan 15-1306 TCX"/>
    <s v=""/>
    <n v="26.4"/>
    <m/>
    <n v="-26.4"/>
    <m/>
    <n v="-26.4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s v=""/>
    <s v=""/>
    <s v=""/>
    <n v="26.4"/>
    <s v=""/>
    <e v="#N/A"/>
    <e v="#N/A"/>
    <n v="0"/>
  </r>
  <r>
    <s v="Primark Limited"/>
    <s v="ST.Primark.077.FY26-27.4"/>
    <m/>
    <m/>
    <m/>
    <m/>
    <s v=""/>
    <n v="1788"/>
    <s v="KNIT WEFT KNITTED JERSEY PSCP COTTON 100% GSM-140 CW-172 CM/68 INCH "/>
    <s v="Oxford Tan 15-1306 TCX"/>
    <n v="-9.2000000000000011"/>
    <n v="27.6"/>
    <m/>
    <n v="-27.6"/>
    <m/>
    <n v="-27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s v=""/>
    <n v="705.66399999999999"/>
    <s v=""/>
    <s v=""/>
    <n v="27.6"/>
    <s v=""/>
    <e v="#N/A"/>
    <e v="#N/A"/>
    <s v=""/>
  </r>
  <r>
    <s v="Primark Limited"/>
    <s v="ST.Primark.077.FY26-27.5"/>
    <m/>
    <m/>
    <m/>
    <m/>
    <s v=""/>
    <n v="1789"/>
    <s v="KNIT WEFT KNITTED JERSEY PSCP COTTON 100% GSM-140 CW-172 CM/68 INCH "/>
    <s v="Oxford Tan 15-1306 TCX"/>
    <s v=""/>
    <n v="39"/>
    <m/>
    <n v="-39"/>
    <m/>
    <n v="-39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s v=""/>
    <s v=""/>
    <s v=""/>
    <s v=""/>
    <s v=""/>
    <s v=""/>
    <e v="#N/A"/>
    <e v="#N/A"/>
    <s v=""/>
  </r>
  <r>
    <s v="Primark Limited"/>
    <s v="ST.Primark.077.FY26-27.6"/>
    <m/>
    <m/>
    <m/>
    <m/>
    <s v=""/>
    <n v="1790"/>
    <s v="KNIT WEFT KNITTED JERSEY PSCP COTTON 100% GSM-140 CW-172 CM/68 INCH "/>
    <s v="Oxford Tan 15-1306 TCX"/>
    <n v="-14.200000000000001"/>
    <n v="42.6"/>
    <m/>
    <n v="-42.6"/>
    <m/>
    <n v="-42.6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s v=""/>
    <s v=""/>
    <e v="#N/A"/>
    <e v="#N/A"/>
    <n v="0"/>
  </r>
  <r>
    <s v="Primark Limited"/>
    <s v="ST.Primark.077.FY26-27.7"/>
    <m/>
    <m/>
    <m/>
    <m/>
    <s v=""/>
    <n v="1791"/>
    <s v="KNIT WEFT KNITTED JERSEY PSCP COTTON 100% GSM-140 CW-172 CM/68 INCH "/>
    <s v="Oxford Tan 15-1306 TCX"/>
    <n v="-46.6"/>
    <n v="139.80000000000001"/>
    <m/>
    <n v="-139.80000000000001"/>
    <m/>
    <n v="-139.8000000000000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s v=""/>
    <s v=""/>
    <s v=""/>
    <s v=""/>
    <s v=""/>
    <s v=""/>
    <e v="#N/A"/>
    <e v="#N/A"/>
    <s v=""/>
  </r>
  <r>
    <s v="Primark Limited"/>
    <s v="ST.Primark.040.FY26-27.13"/>
    <m/>
    <m/>
    <m/>
    <m/>
    <s v=""/>
    <n v="1792"/>
    <s v="KNIT WEFT KNITTED JERSEY PSCP COTTON 100% GSM-140 CW-172 CM/68 INCH "/>
    <s v="Black Coffee / Ganache 19-1111 TCX"/>
    <n v="-0.88266666666666671"/>
    <n v="2.6480000000000001"/>
    <m/>
    <n v="-2.6480000000000001"/>
    <m/>
    <n v="-2.6480000000000001"/>
    <s v="450567"/>
    <s v="Solid"/>
    <x v="34"/>
    <d v="2026-10-13T00:00:00"/>
    <d v="2026-10-12T00:00:00"/>
    <s v="Hues Agreed qty as per SQBL required date"/>
    <m/>
    <s v="Oct"/>
    <d v="2026-10-11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s v=""/>
    <n v="146.72299999999998"/>
    <s v=""/>
    <s v=""/>
    <s v=""/>
    <s v=""/>
    <n v="0"/>
    <n v="0"/>
    <s v=""/>
  </r>
  <r>
    <s v="Primark Limited"/>
    <s v="ST.Primark.040.FY26-27.20"/>
    <m/>
    <m/>
    <m/>
    <m/>
    <s v=""/>
    <n v="1793"/>
    <s v="KNIT WEFT KNITTED JERSEY PSCP COTTON 100% GSM-140 CW-172 CM/68 INCH "/>
    <s v="Black Coffee / Ganache 19-1111 TCX"/>
    <n v="-4.8999999999999995"/>
    <n v="14.7"/>
    <m/>
    <n v="-14.7"/>
    <m/>
    <n v="-14.7"/>
    <s v="450567"/>
    <s v="Solid"/>
    <x v="34"/>
    <d v="2026-10-13T00:00:00"/>
    <d v="2026-10-12T00:00:00"/>
    <s v="Hues Agreed qty as per SQBL required date"/>
    <m/>
    <s v="Oct"/>
    <d v="2026-10-13T00:00:00"/>
    <m/>
    <m/>
    <m/>
    <m/>
    <m/>
    <m/>
    <m/>
    <m/>
    <m/>
    <m/>
    <s v="450567"/>
    <s v="Black Coffee / Ganache 19-1111 TCX"/>
    <n v="140"/>
    <s v="450567140Black Coffee / Ganache 19-1111 TCX"/>
    <n v="0"/>
    <s v="#NA"/>
    <n v="0"/>
    <s v=""/>
    <s v=""/>
    <s v=""/>
    <n v="14.7"/>
    <s v=""/>
    <n v="0"/>
    <n v="0"/>
    <n v="0"/>
  </r>
  <r>
    <s v="Primark Limited"/>
    <s v="ST.Primark.039.FY26-27.29"/>
    <m/>
    <m/>
    <m/>
    <m/>
    <s v=""/>
    <n v="1794"/>
    <s v="KNIT WEFT KNITTED JERSEY PSCP COTTON 100% GSM-140 CW-172 CM/68 INCH "/>
    <s v="Black Coffee / Ganache 19-1111 TCX"/>
    <s v=""/>
    <n v="2.9420000000000002"/>
    <n v="2.9420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3"/>
    <m/>
    <m/>
    <m/>
    <m/>
    <s v=""/>
    <n v="1795"/>
    <s v="KNIT WEFT KNITTED JERSEY PSCP COTTON 100% GSM-140 CW-172 CM/68 INCH "/>
    <s v="Black Coffee / Ganache 19-1111 TCX"/>
    <n v="0"/>
    <n v="14.702"/>
    <n v="14.7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30"/>
    <m/>
    <m/>
    <m/>
    <m/>
    <s v=""/>
    <n v="1796"/>
    <s v="KNIT WEFT KNITTED JERSEY PSCP COTTON 100% GSM-140 CW-172 CM/68 INCH "/>
    <s v="Black Coffee / Ganache 19-1111 TCX"/>
    <n v="0"/>
    <n v="5.5880000000000001"/>
    <n v="5.58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31"/>
    <m/>
    <m/>
    <m/>
    <m/>
    <s v=""/>
    <n v="1797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s v=""/>
    <n v="377.53800000000001"/>
    <s v=""/>
    <s v=""/>
    <s v=""/>
    <s v=""/>
    <n v="401"/>
    <n v="1.0349999999999999"/>
    <s v=""/>
  </r>
  <r>
    <s v="Primark Limited"/>
    <s v="ST.Primark.039.FY26-27.4"/>
    <m/>
    <m/>
    <m/>
    <m/>
    <s v=""/>
    <n v="1798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s v=""/>
    <n v="377.53800000000001"/>
    <s v=""/>
    <s v=""/>
    <n v="0"/>
    <s v=""/>
    <n v="401"/>
    <n v="1.0349999999999999"/>
    <s v=""/>
  </r>
  <r>
    <s v="Primark Limited"/>
    <s v="ST.Primark.039.FY26-27.5"/>
    <m/>
    <m/>
    <m/>
    <m/>
    <s v=""/>
    <n v="1799"/>
    <s v="KNIT WEFT KNITTED JERSEY PSCP COTTON 100% GSM-140 CW-172 CM/68 INCH "/>
    <s v="Black Coffee / Ganache 19-1111 TCX"/>
    <s v=""/>
    <n v="4.7060000000000004"/>
    <n v="4.7060000000000004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6"/>
    <m/>
    <m/>
    <m/>
    <m/>
    <s v=""/>
    <n v="1800"/>
    <s v="KNIT WEFT KNITTED JERSEY PSCP COTTON 100% GSM-140 CW-172 CM/68 INCH "/>
    <s v="Black Coffee / Ganache 19-1111 TCX"/>
    <n v="0"/>
    <n v="6.7629999999999999"/>
    <n v="6.7629999999999999"/>
    <n v="0"/>
    <m/>
    <n v="0"/>
    <s v="450568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7"/>
    <m/>
    <m/>
    <m/>
    <m/>
    <s v=""/>
    <n v="1801"/>
    <s v="KNIT WEFT KNITTED JERSEY PSCP COTTON 100% GSM-140 CW-172 CM/68 INCH "/>
    <s v="Black Coffee / Ganache 19-1111 TCX"/>
    <n v="0"/>
    <n v="8.8219999999999992"/>
    <n v="8.821999999999999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8"/>
    <m/>
    <m/>
    <m/>
    <m/>
    <s v=""/>
    <n v="1802"/>
    <s v="KNIT WEFT KNITTED JERSEY PSCP COTTON 100% GSM-140 CW-172 CM/68 INCH "/>
    <s v="Black Coffee / Ganache 19-1111 TCX"/>
    <n v="0"/>
    <n v="6.7629999999999999"/>
    <n v="6.7629999999999999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9"/>
    <m/>
    <m/>
    <m/>
    <m/>
    <s v=""/>
    <n v="1803"/>
    <s v="KNIT WEFT KNITTED JERSEY PSCP COTTON 100% GSM-140 CW-172 CM/68 INCH "/>
    <s v="Black Coffee / Ganache 19-1111 TCX"/>
    <n v="0"/>
    <n v="9.9979999999999993"/>
    <n v="9.9979999999999993"/>
    <n v="0"/>
    <m/>
    <n v="0"/>
    <s v="450568"/>
    <s v="Solid"/>
    <x v="24"/>
    <d v="2026-10-06T00:00:00"/>
    <d v="2026-10-05T00:00:00"/>
    <s v="Hues Agreed qty as per SQBL required date"/>
    <m/>
    <s v="Oct"/>
    <d v="2026-10-01T00:00:00"/>
    <m/>
    <m/>
    <m/>
    <m/>
    <m/>
    <m/>
    <m/>
    <m/>
    <m/>
    <m/>
    <s v="450568"/>
    <s v="Black Coffee / Ganache 19-1111 TCX"/>
    <n v="140"/>
    <s v="450568140Black Coffee / Ganache 19-1111 TCX"/>
    <n v="401"/>
    <n v="-13.47"/>
    <n v="377.53800000000001"/>
    <n v="377.53800000000001"/>
    <s v=""/>
    <s v=""/>
    <n v="0"/>
    <s v=""/>
    <n v="401"/>
    <n v="1.0349999999999999"/>
    <n v="23.461999999999989"/>
  </r>
  <r>
    <s v="Primark Limited"/>
    <s v="ST.Primark.039.FY26-27.10"/>
    <m/>
    <m/>
    <m/>
    <m/>
    <s v=""/>
    <n v="1804"/>
    <s v="KNIT WEFT KNITTED JERSEY PSCP COTTON 100% GSM-140 CW-172 CM/68 INCH "/>
    <s v="Brush / Honey 16-1317 TCX"/>
    <n v="0"/>
    <n v="9.9979999999999993"/>
    <n v="9.9979999999999993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12"/>
    <m/>
    <m/>
    <m/>
    <m/>
    <s v=""/>
    <n v="1805"/>
    <s v="KNIT WEFT KNITTED JERSEY PSCP COTTON 100% GSM-140 CW-172 CM/68 INCH "/>
    <s v="Brush / Honey 16-1317 TCX"/>
    <n v="0"/>
    <n v="2.6480000000000001"/>
    <n v="2.6480000000000001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s v=""/>
    <s v=""/>
    <s v=""/>
    <n v="0"/>
    <s v=""/>
    <n v="382.29"/>
    <n v="0.98599999999999999"/>
    <n v="4.7520000000000664"/>
  </r>
  <r>
    <s v="Primark Limited"/>
    <s v="ST.Primark.039.FY26-27.13"/>
    <m/>
    <m/>
    <m/>
    <m/>
    <s v=""/>
    <n v="1806"/>
    <s v="KNIT WEFT KNITTED JERSEY PSCP COTTON 100% GSM-140 CW-172 CM/68 INCH "/>
    <s v="Brush / Honey 16-1317 TCX"/>
    <n v="0"/>
    <n v="10.585000000000001"/>
    <n v="10.585000000000001"/>
    <n v="0"/>
    <m/>
    <n v="0"/>
    <s v="450568"/>
    <s v="Solid"/>
    <x v="23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s v=""/>
    <s v=""/>
    <n v="382.29"/>
    <n v="0.98599999999999999"/>
    <n v="4.7520000000000664"/>
  </r>
  <r>
    <s v="Primark Limited"/>
    <s v="ST.Primark.039.FY26-27.14"/>
    <m/>
    <m/>
    <m/>
    <m/>
    <s v=""/>
    <n v="1807"/>
    <s v="KNIT WEFT KNITTED JERSEY PSCP COTTON 100% GSM-140 CW-172 CM/68 INCH "/>
    <s v="Brush / Honey 16-1317 TCX"/>
    <s v=""/>
    <n v="5.2930000000000001"/>
    <n v="5.2930000000000001"/>
    <n v="0"/>
    <m/>
    <n v="0"/>
    <s v="450568"/>
    <s v="Solid"/>
    <x v="23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40.FY26-27.7"/>
    <m/>
    <m/>
    <m/>
    <m/>
    <s v=""/>
    <n v="1808"/>
    <s v="KNIT WEFT KNITTED JERSEY PSCP COTTON 100% GSM-160 CW-172 CM/68 INCH "/>
    <s v="Mustang / Cocoa 19-1217 TCX"/>
    <s v=""/>
    <n v="89.1"/>
    <m/>
    <n v="-89.1"/>
    <m/>
    <n v="-89.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89.1"/>
    <s v=""/>
    <n v="0"/>
    <n v="0"/>
    <n v="0"/>
  </r>
  <r>
    <s v="Primark Limited"/>
    <s v="ST.Primark.040.FY26-27.8"/>
    <m/>
    <m/>
    <m/>
    <m/>
    <s v=""/>
    <n v="1809"/>
    <s v="KNIT WEFT KNITTED JERSEY PSCP COTTON 100% GSM-160 CW-172 CM/68 INCH "/>
    <s v="Mustang / Cocoa 19-1217 TCX"/>
    <s v=""/>
    <n v="68.31"/>
    <m/>
    <n v="-68.31"/>
    <m/>
    <n v="-68.3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Mustang / Cocoa 19-1217 TCX"/>
    <n v="160"/>
    <s v="450567160Mustang / Cocoa 19-1217 TCX"/>
    <n v="0"/>
    <s v="#NA"/>
    <n v="0"/>
    <n v="1482.0299999999997"/>
    <s v=""/>
    <s v=""/>
    <n v="68.31"/>
    <s v=""/>
    <n v="0"/>
    <n v="0"/>
    <n v="0"/>
  </r>
  <r>
    <s v="Primark Limited"/>
    <s v="ST.Primark.077.FY26-27.13"/>
    <m/>
    <m/>
    <m/>
    <m/>
    <s v=""/>
    <n v="1810"/>
    <s v="KNIT WEFT KNITTED JERSEY PSCP COTTON 100% GSM-140 CW-172 CM/68 INCH "/>
    <s v="Oxford Tan 15-1306 TCX"/>
    <n v="-31"/>
    <n v="93"/>
    <m/>
    <n v="-93"/>
    <m/>
    <n v="-93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93"/>
    <s v=""/>
    <e v="#N/A"/>
    <e v="#N/A"/>
    <n v="0"/>
  </r>
  <r>
    <s v="Primark Limited"/>
    <s v="ST.Primark.077.FY26-27.14"/>
    <m/>
    <m/>
    <m/>
    <m/>
    <s v=""/>
    <n v="1811"/>
    <s v="KNIT WEFT KNITTED JERSEY PSCP COTTON 100% GSM-140 CW-172 CM/68 INCH "/>
    <s v="Oxford Tan 15-1306 TCX"/>
    <s v=""/>
    <n v="4.8"/>
    <m/>
    <n v="-4.8"/>
    <m/>
    <n v="-4.8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Not Found"/>
    <s v="Not Found"/>
    <n v="140"/>
    <s v="Not Found140Not Found"/>
    <n v="0"/>
    <s v="#NA"/>
    <n v="0"/>
    <n v="705.66399999999999"/>
    <s v=""/>
    <s v=""/>
    <n v="4.8"/>
    <s v=""/>
    <e v="#N/A"/>
    <e v="#N/A"/>
    <n v="0"/>
  </r>
  <r>
    <s v="Primark Limited"/>
    <s v="ST.Primark.077.FY26-27.10"/>
    <m/>
    <m/>
    <m/>
    <m/>
    <s v=""/>
    <n v="1812"/>
    <s v="KNIT WEFT KNITTED JERSEY PSCP COTTON 100% GSM-140 CW-172 CM/68 INCH "/>
    <s v="White"/>
    <n v="-3.1"/>
    <n v="9.3000000000000007"/>
    <m/>
    <n v="-9.3000000000000007"/>
    <m/>
    <n v="-9.3000000000000007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s v=""/>
    <s v=""/>
    <n v="0"/>
    <n v="0"/>
    <n v="0"/>
  </r>
  <r>
    <s v="Primark Limited"/>
    <s v="ST.Primark.077.FY26-27.11"/>
    <m/>
    <m/>
    <m/>
    <m/>
    <s v=""/>
    <n v="1813"/>
    <s v="KNIT WEFT KNITTED JERSEY PSCP COTTON 100% GSM-140 CW-172 CM/68 INCH "/>
    <s v="White"/>
    <s v=""/>
    <n v="13.2"/>
    <m/>
    <n v="-13.2"/>
    <m/>
    <n v="-13.2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n v="13.2"/>
    <s v=""/>
    <n v="0"/>
    <n v="0"/>
    <n v="0"/>
  </r>
  <r>
    <s v="Primark Limited"/>
    <s v="ST.Primark.077.FY26-27.12"/>
    <m/>
    <m/>
    <m/>
    <m/>
    <s v=""/>
    <n v="1814"/>
    <s v="KNIT WEFT KNITTED JERSEY PSCP COTTON 100% GSM-140 CW-172 CM/68 INCH "/>
    <s v="White"/>
    <n v="-4.7"/>
    <n v="14.1"/>
    <m/>
    <n v="-14.1"/>
    <m/>
    <n v="-14.1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n v="14.1"/>
    <s v=""/>
    <n v="0"/>
    <n v="0"/>
    <n v="0"/>
  </r>
  <r>
    <s v="Primark Limited"/>
    <s v="ST.Primark.077.FY26-27.13"/>
    <m/>
    <m/>
    <m/>
    <m/>
    <s v=""/>
    <n v="1815"/>
    <s v="KNIT WEFT KNITTED JERSEY PSCP COTTON 100% GSM-140 CW-172 CM/68 INCH "/>
    <s v="White"/>
    <n v="-15.5"/>
    <n v="46.5"/>
    <m/>
    <n v="-46.5"/>
    <m/>
    <n v="-46.5"/>
    <s v="459135"/>
    <s v="Solid"/>
    <x v="5"/>
    <s v="Plan TBC"/>
    <s v="Plan TBC"/>
    <s v="Lap Dip not confirmed from SQBL"/>
    <m/>
    <s v="Oct"/>
    <d v="2026-10-02T00:00:00"/>
    <m/>
    <m/>
    <m/>
    <m/>
    <m/>
    <m/>
    <m/>
    <m/>
    <m/>
    <m/>
    <s v="459135"/>
    <s v="White"/>
    <n v="140"/>
    <s v="459135140White"/>
    <n v="0"/>
    <s v="#NA"/>
    <n v="0"/>
    <n v="313.2"/>
    <s v=""/>
    <s v=""/>
    <n v="46.5"/>
    <s v=""/>
    <n v="0"/>
    <n v="0"/>
    <n v="0"/>
  </r>
  <r>
    <s v="Primark Limited"/>
    <s v="ST.Primark.039.FY26-27.6"/>
    <m/>
    <m/>
    <m/>
    <m/>
    <s v=""/>
    <n v="1816"/>
    <s v="KNIT WEFT KNITTED JERSEY PSCP COTTON 100% GSM-160 CW-172 CM/68 INCH "/>
    <s v="Mustang / Cocoa 19-1217 TCX"/>
    <n v="0"/>
    <n v="68.31"/>
    <n v="68.31"/>
    <n v="0"/>
    <m/>
    <n v="0"/>
    <s v="450568"/>
    <s v="Solid"/>
    <x v="25"/>
    <d v="2026-10-10T00:00:00"/>
    <d v="2026-10-10T00:00:00"/>
    <s v="Revised Plan given as per revised date"/>
    <m/>
    <s v="Oct"/>
    <d v="2026-10-05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n v="3690.88"/>
    <n v="3813.48"/>
    <s v=""/>
    <s v=""/>
    <s v=""/>
    <s v=""/>
    <n v="3791.86"/>
    <n v="0.96899999999999997"/>
    <n v="100.98000000000002"/>
  </r>
  <r>
    <s v="Primark Limited"/>
    <s v="ST.Primark.039.FY26-27.7"/>
    <m/>
    <m/>
    <m/>
    <m/>
    <s v=""/>
    <n v="1817"/>
    <s v="KNIT WEFT KNITTED JERSEY PSCP COTTON 100% GSM-160 CW-172 CM/68 INCH "/>
    <s v="Mustang / Cocoa 19-1217 TCX"/>
    <n v="0"/>
    <n v="89.1"/>
    <n v="89.1"/>
    <n v="0"/>
    <m/>
    <n v="0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0"/>
    <s v=""/>
    <n v="3791.86"/>
    <n v="0.96899999999999997"/>
    <n v="100.98000000000002"/>
  </r>
  <r>
    <s v="Primark Limited"/>
    <s v="ST.Primark.039.FY26-27.8"/>
    <m/>
    <m/>
    <m/>
    <m/>
    <s v=""/>
    <n v="1818"/>
    <s v="KNIT WEFT KNITTED JERSEY PSCP COTTON 100% GSM-160 CW-172 CM/68 INCH "/>
    <s v="Mustang / Cocoa 19-1217 TCX"/>
    <n v="-7.2066666666666679"/>
    <n v="68.31"/>
    <n v="46.69"/>
    <n v="-21.620000000000005"/>
    <m/>
    <n v="-21.620000000000005"/>
    <s v="450568"/>
    <s v="Solid"/>
    <x v="25"/>
    <d v="2026-10-12T00:00:00"/>
    <d v="2026-10-11T00:00:00"/>
    <s v="Hues Agreed qty as per SQBL required date"/>
    <m/>
    <s v="Oct"/>
    <d v="2026-10-07T00:00:00"/>
    <m/>
    <m/>
    <m/>
    <m/>
    <m/>
    <m/>
    <m/>
    <m/>
    <m/>
    <m/>
    <s v="450568"/>
    <s v="Mustang / Cocoa 19-1217 TCX"/>
    <n v="160"/>
    <s v="450568160Mustang / Cocoa 19-1217 TCX"/>
    <n v="3791.86"/>
    <n v="122.6"/>
    <n v="3690.88"/>
    <n v="3813.48"/>
    <s v=""/>
    <s v=""/>
    <n v="21.620000000000005"/>
    <s v=""/>
    <n v="3791.86"/>
    <n v="0.96899999999999997"/>
    <n v="100.98000000000002"/>
  </r>
  <r>
    <s v="Primark Limited"/>
    <s v="ST.Primark.039.FY26-27.9"/>
    <m/>
    <m/>
    <m/>
    <m/>
    <s v=""/>
    <n v="1819"/>
    <s v="KNIT WEFT KNITTED JERSEY PSCP COTTON 100% GSM-160 CW-172 CM/68 INCH "/>
    <s v="Mustang / Cocoa 19-1217 TCX"/>
    <n v="-33.660000000000004"/>
    <n v="100.98"/>
    <m/>
    <n v="-100.98"/>
    <m/>
    <n v="-100.98"/>
    <s v="450568"/>
    <s v="Solid"/>
    <x v="25"/>
    <d v="2026-10-10T00:00:00"/>
    <d v="2026-10-10T00:00:00"/>
    <s v="Revised Plan given as per revised date"/>
    <m/>
    <s v="Oct"/>
    <d v="2026-10-01T00:00:00"/>
    <m/>
    <m/>
    <m/>
    <m/>
    <m/>
    <m/>
    <m/>
    <s v="OTT CHNG"/>
    <m/>
    <m/>
    <s v="450568"/>
    <s v="Mustang / Cocoa 19-1217 TCX"/>
    <n v="160"/>
    <s v="450568160Mustang / Cocoa 19-1217 TCX"/>
    <n v="3791.86"/>
    <n v="122.6"/>
    <n v="3690.88"/>
    <n v="3813.48"/>
    <s v=""/>
    <s v=""/>
    <n v="100.98"/>
    <s v=""/>
    <n v="3791.86"/>
    <n v="0.96899999999999997"/>
    <n v="100.98000000000002"/>
  </r>
  <r>
    <s v="Primark Limited"/>
    <s v="ST.Primark.039.FY26-27.10"/>
    <m/>
    <m/>
    <m/>
    <m/>
    <s v=""/>
    <n v="1820"/>
    <s v="KNIT WEFT KNITTED JERSEY PSCP COTTON 100% GSM-160 CW-172 CM/68 INCH "/>
    <s v="Sand Dollar / Vanilla 13-1106 TCX"/>
    <n v="0"/>
    <n v="100.98"/>
    <n v="100.98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12"/>
    <m/>
    <m/>
    <m/>
    <m/>
    <s v=""/>
    <n v="1821"/>
    <s v="KNIT WEFT KNITTED JERSEY PSCP COTTON 100% GSM-160 CW-172 CM/68 INCH "/>
    <s v="Sand Dollar / Vanilla 13-1106 TCX"/>
    <s v=""/>
    <n v="26.73"/>
    <n v="26.73"/>
    <n v="0"/>
    <m/>
    <n v="0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13"/>
    <m/>
    <m/>
    <m/>
    <m/>
    <s v=""/>
    <n v="1822"/>
    <s v="KNIT WEFT KNITTED JERSEY PSCP COTTON 100% GSM-160 CW-172 CM/68 INCH "/>
    <s v="Sand Dollar / Vanilla 13-1106 TCX"/>
    <n v="0"/>
    <n v="106.92"/>
    <n v="106.92"/>
    <n v="0"/>
    <m/>
    <n v="0"/>
    <s v="450568"/>
    <s v="Solid"/>
    <x v="55"/>
    <d v="2026-10-09T00:00:00"/>
    <d v="2026-10-08T00:00:00"/>
    <s v="Revised Plan given as per revised date"/>
    <m/>
    <s v="Oct"/>
    <d v="2026-10-01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0"/>
    <s v=""/>
    <n v="3635.79"/>
    <n v="0.92900000000000005"/>
    <n v="100.98000000000047"/>
  </r>
  <r>
    <s v="Primark Limited"/>
    <s v="ST.Primark.039.FY26-27.14"/>
    <m/>
    <m/>
    <m/>
    <m/>
    <s v=""/>
    <n v="1823"/>
    <s v="KNIT WEFT KNITTED JERSEY PSCP COTTON 100% GSM-160 CW-172 CM/68 INCH "/>
    <s v="Sand Dollar / Vanilla 13-1106 TCX"/>
    <n v="-3.7899999999999991"/>
    <n v="53.46"/>
    <n v="42.09"/>
    <n v="-11.369999999999997"/>
    <m/>
    <n v="-11.369999999999997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s v=""/>
    <s v=""/>
    <n v="3635.79"/>
    <n v="0.92900000000000005"/>
    <n v="100.98000000000047"/>
  </r>
  <r>
    <s v="Primark Limited"/>
    <s v="ST.Primark.039.FY26-27.15"/>
    <m/>
    <m/>
    <m/>
    <m/>
    <s v=""/>
    <n v="1824"/>
    <s v="KNIT WEFT KNITTED JERSEY PSCP COTTON 100% GSM-160 CW-172 CM/68 INCH "/>
    <s v="Sand Dollar / Vanilla 13-1106 TCX"/>
    <n v="-26.73"/>
    <n v="80.19"/>
    <m/>
    <n v="-80.19"/>
    <m/>
    <n v="-80.19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80.19"/>
    <s v=""/>
    <n v="3635.79"/>
    <n v="0.92900000000000005"/>
    <n v="100.98000000000047"/>
  </r>
  <r>
    <s v="Primark Limited"/>
    <s v="ST.Primark.039.FY26-27.16"/>
    <m/>
    <m/>
    <m/>
    <m/>
    <s v=""/>
    <n v="1825"/>
    <s v="KNIT WEFT KNITTED JERSEY PSCP COTTON 100% GSM-160 CW-172 CM/68 INCH "/>
    <s v="Sand Dollar / Vanilla 13-1106 TCX"/>
    <n v="-35.64"/>
    <n v="106.92"/>
    <m/>
    <n v="-106.92"/>
    <m/>
    <n v="-106.92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s v=""/>
    <s v=""/>
    <n v="3635.79"/>
    <n v="0.92900000000000005"/>
    <n v="100.98000000000047"/>
  </r>
  <r>
    <s v="Primark Limited"/>
    <s v="ST.Primark.039.FY26-27.17"/>
    <m/>
    <m/>
    <m/>
    <m/>
    <s v=""/>
    <n v="1826"/>
    <s v="KNIT WEFT KNITTED JERSEY PSCP COTTON 100% GSM-160 CW-172 CM/68 INCH "/>
    <s v="Sand Dollar / Vanilla 13-1106 TCX"/>
    <n v="-26.73"/>
    <n v="80.19"/>
    <m/>
    <n v="-80.19"/>
    <m/>
    <n v="-80.19"/>
    <s v="450568"/>
    <s v="Solid"/>
    <x v="55"/>
    <d v="2026-10-10T00:00:00"/>
    <d v="2026-10-09T00:00:00"/>
    <s v="Hues Agreed qty as per SQBL required date"/>
    <m/>
    <s v="Oct"/>
    <d v="2026-10-07T00:00:00"/>
    <m/>
    <m/>
    <m/>
    <m/>
    <m/>
    <m/>
    <m/>
    <m/>
    <m/>
    <m/>
    <s v="450568"/>
    <s v="Sand Dollar / Vanilla 13-1106 TCX"/>
    <n v="160"/>
    <s v="450568160Sand Dollar / Vanilla 13-1106 TCX"/>
    <n v="3635.79"/>
    <n v="278.67"/>
    <n v="3534.8099999999995"/>
    <n v="3813.4799999999996"/>
    <s v=""/>
    <s v=""/>
    <n v="80.19"/>
    <s v=""/>
    <n v="3635.79"/>
    <n v="0.92900000000000005"/>
    <n v="100.98000000000047"/>
  </r>
  <r>
    <s v="Primark Limited"/>
    <s v="ST.Primark.039.FY26-27.28"/>
    <m/>
    <m/>
    <m/>
    <m/>
    <s v=""/>
    <n v="1827"/>
    <s v="KNIT WEFT KNITTED JERSEY PSCP COTTON 100% GSM-160 CW-172 CM/68 INCH "/>
    <s v="Mustang / Cocoa 19-1217 TCX"/>
    <s v="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7.094999999999999"/>
    <s v=""/>
    <n v="0"/>
    <n v="0"/>
    <n v="0"/>
  </r>
  <r>
    <s v="Primark Limited"/>
    <s v="ST.Primark.039.FY26-27.29"/>
    <m/>
    <m/>
    <m/>
    <m/>
    <s v=""/>
    <n v="1828"/>
    <s v="KNIT WEFT KNITTED JERSEY PSCP COTTON 100% GSM-160 CW-172 CM/68 INCH "/>
    <s v="Mustang / Cocoa 19-1217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13.73"/>
    <s v=""/>
    <n v="0"/>
    <n v="0"/>
    <n v="0"/>
  </r>
  <r>
    <s v="Primark Limited"/>
    <s v="ST.Primark.039.FY26-27.3"/>
    <m/>
    <m/>
    <m/>
    <m/>
    <s v=""/>
    <n v="1829"/>
    <s v="KNIT WEFT KNITTED JERSEY PSCP COTTON 100% GSM-160 CW-172 CM/68 INCH "/>
    <s v="Mustang / Cocoa 19-1217 TCX"/>
    <n v="-2.2006666666666668"/>
    <n v="6.6020000000000003"/>
    <m/>
    <n v="-6.6020000000000003"/>
    <m/>
    <n v="-6.602000000000000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6.6020000000000003"/>
    <s v=""/>
    <n v="0"/>
    <n v="0"/>
    <n v="0"/>
  </r>
  <r>
    <s v="Primark Limited"/>
    <s v="ST.Primark.039.FY26-27.30"/>
    <m/>
    <m/>
    <m/>
    <m/>
    <s v=""/>
    <n v="1830"/>
    <s v="KNIT WEFT KNITTED JERSEY PSCP COTTON 100% GSM-160 CW-172 CM/68 INCH "/>
    <s v="Mustang / Cocoa 19-1217 TCX"/>
    <n v="-8.0743333333333336"/>
    <n v="24.222999999999999"/>
    <m/>
    <n v="-24.222999999999999"/>
    <m/>
    <n v="-24.222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24.222999999999999"/>
    <s v=""/>
    <n v="0"/>
    <n v="0"/>
    <n v="0"/>
  </r>
  <r>
    <s v="Primark Limited"/>
    <s v="ST.Primark.039.FY26-27.31"/>
    <m/>
    <m/>
    <m/>
    <m/>
    <s v=""/>
    <n v="1831"/>
    <s v="KNIT WEFT KNITTED JERSEY PSCP COTTON 100% GSM-160 CW-172 CM/68 INCH "/>
    <s v="Mustang / Cocoa 19-1217 TCX"/>
    <n v="-13.728666666666667"/>
    <n v="41.186"/>
    <m/>
    <n v="-41.186"/>
    <m/>
    <n v="-41.186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41.186"/>
    <s v=""/>
    <n v="0"/>
    <n v="0"/>
    <n v="0"/>
  </r>
  <r>
    <s v="Primark Limited"/>
    <s v="ST.Primark.039.FY26-27.4"/>
    <m/>
    <m/>
    <m/>
    <m/>
    <s v=""/>
    <n v="1832"/>
    <s v="KNIT WEFT KNITTED JERSEY PSCP COTTON 100% GSM-160 CW-172 CM/68 INCH "/>
    <s v="Mustang / Cocoa 19-1217 TCX"/>
    <n v="-1.3206666666666667"/>
    <n v="3.9620000000000002"/>
    <m/>
    <n v="-3.9620000000000002"/>
    <m/>
    <n v="-3.9620000000000002"/>
    <s v="465128"/>
    <s v="Solid"/>
    <x v="5"/>
    <s v="Plan TBC"/>
    <s v="Plan TBC"/>
    <s v="Lap Dip not confirmed from SQBL"/>
    <m/>
    <s v="Oct"/>
    <d v="2026-10-01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n v="353.28699999999998"/>
    <s v=""/>
    <s v=""/>
    <n v="3.9620000000000002"/>
    <s v=""/>
    <n v="0"/>
    <n v="0"/>
    <n v="0"/>
  </r>
  <r>
    <s v="Primark Limited"/>
    <s v="ST.Primark.039.FY26-27.5"/>
    <m/>
    <m/>
    <m/>
    <m/>
    <s v=""/>
    <n v="1833"/>
    <s v="KNIT WEFT KNITTED JERSEY PSCP COTTON 100% GSM-160 CW-172 CM/68 INCH "/>
    <s v="Mustang / Cocoa 19-1217 TCX"/>
    <s v=""/>
    <n v="2.1139999999999999"/>
    <m/>
    <n v="-2.1139999999999999"/>
    <m/>
    <n v="-2.1139999999999999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60"/>
    <s v="465128160Mustang / Cocoa 19-1217 TCX"/>
    <n v="0"/>
    <s v="#NA"/>
    <n v="0"/>
    <s v=""/>
    <s v=""/>
    <s v=""/>
    <s v=""/>
    <s v=""/>
    <n v="0"/>
    <n v="0"/>
    <n v="0"/>
  </r>
  <r>
    <s v="Primark Limited"/>
    <s v="ST.Primark.039.FY26-27.28"/>
    <m/>
    <m/>
    <m/>
    <m/>
    <s v=""/>
    <n v="1834"/>
    <s v="KNIT WEFT KNITTED JERSEY PSCP COTTON 100% GSM-160 CW-172 CM/68 INCH "/>
    <s v="Sand Dollar / Vanilla 13-1106 TCX"/>
    <n v="-5.6983333333333333"/>
    <n v="17.094999999999999"/>
    <m/>
    <n v="-17.094999999999999"/>
    <m/>
    <n v="-17.094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n v="353.28699999999992"/>
    <s v=""/>
    <s v=""/>
    <n v="17.094999999999999"/>
    <s v=""/>
    <n v="0"/>
    <n v="0"/>
    <n v="0"/>
  </r>
  <r>
    <s v="Primark Limited"/>
    <s v="ST.Primark.039.FY26-27.29"/>
    <m/>
    <m/>
    <m/>
    <m/>
    <s v=""/>
    <n v="1835"/>
    <s v="KNIT WEFT KNITTED JERSEY PSCP COTTON 100% GSM-160 CW-172 CM/68 INCH "/>
    <s v="Sand Dollar / Vanilla 13-1106 TCX"/>
    <n v="-4.5766666666666671"/>
    <n v="13.73"/>
    <m/>
    <n v="-13.73"/>
    <m/>
    <n v="-13.73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Sand Dollar / Vanilla 13-1106 TCX"/>
    <n v="160"/>
    <s v="465128160Sand Dollar / Vanilla 13-1106 TCX"/>
    <n v="0"/>
    <s v="#NA"/>
    <n v="0"/>
    <s v=""/>
    <s v=""/>
    <s v=""/>
    <s v=""/>
    <s v=""/>
    <n v="0"/>
    <n v="0"/>
    <n v="0"/>
  </r>
  <r>
    <s v="Primark Limited"/>
    <s v="ST.Primark.040.FY26-27.7"/>
    <m/>
    <m/>
    <m/>
    <m/>
    <s v=""/>
    <n v="1836"/>
    <s v="KNIT WEFT KNITTED JERSEY PSCP COTTON 100% GSM-160 CW-172 CM/68 INCH "/>
    <s v="Sand Dollar / Vanilla 13-1106 TCX"/>
    <n v="-29.7"/>
    <n v="89.1"/>
    <m/>
    <n v="-89.1"/>
    <m/>
    <n v="-89.1"/>
    <s v="450567"/>
    <s v="Solid"/>
    <x v="25"/>
    <d v="2026-10-15T00:00:00"/>
    <d v="2026-10-14T00:00:00"/>
    <s v="Hues Agreed qty as per SQBL required date"/>
    <m/>
    <s v="Oct"/>
    <d v="2026-10-10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89.1"/>
    <s v=""/>
    <n v="0"/>
    <n v="0"/>
    <n v="0"/>
  </r>
  <r>
    <s v="Primark Limited"/>
    <s v="ST.Primark.040.FY26-27.8"/>
    <m/>
    <m/>
    <m/>
    <m/>
    <s v=""/>
    <n v="1837"/>
    <s v="KNIT WEFT KNITTED JERSEY PSCP COTTON 100% GSM-160 CW-172 CM/68 INCH "/>
    <s v="Sand Dollar / Vanilla 13-1106 TCX"/>
    <n v="-22.77"/>
    <n v="68.31"/>
    <m/>
    <n v="-68.31"/>
    <m/>
    <n v="-68.31"/>
    <s v="450567"/>
    <s v="Solid"/>
    <x v="25"/>
    <d v="2026-10-15T00:00:00"/>
    <d v="2026-10-14T00:00:00"/>
    <s v="Hues Agreed qty as per SQBL required date"/>
    <m/>
    <s v="Oct"/>
    <d v="2026-10-18T00:00:00"/>
    <m/>
    <m/>
    <m/>
    <m/>
    <m/>
    <m/>
    <m/>
    <m/>
    <m/>
    <m/>
    <s v="450567"/>
    <s v="Sand Dollar / Vanilla 13-1106 TCX"/>
    <n v="160"/>
    <s v="450567160Sand Dollar / Vanilla 13-1106 TCX"/>
    <n v="0"/>
    <s v="#NA"/>
    <n v="0"/>
    <n v="1482.0299999999997"/>
    <s v=""/>
    <s v=""/>
    <n v="68.31"/>
    <s v=""/>
    <n v="0"/>
    <n v="0"/>
    <n v="0"/>
  </r>
  <r>
    <s v="Primark Limited"/>
    <s v="ST.Primark.040.FY26-27.29"/>
    <m/>
    <m/>
    <m/>
    <m/>
    <s v=""/>
    <n v="1838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s v=""/>
    <s v=""/>
    <n v="1.47"/>
    <s v=""/>
    <n v="0"/>
    <n v="0"/>
    <n v="0"/>
  </r>
  <r>
    <s v="Primark Limited"/>
    <s v="ST.Primark.039.FY26-27.27"/>
    <m/>
    <m/>
    <m/>
    <m/>
    <s v=""/>
    <n v="1839"/>
    <s v="KNIT WEFT KNITTED JERSEY PSCP COTTON 100% GSM-140 CW-172 CM/68 INCH "/>
    <s v="Mustang / Cocoa 19-1217 TCX"/>
    <s v=""/>
    <n v="1.47"/>
    <m/>
    <n v="-1.47"/>
    <m/>
    <n v="-1.47"/>
    <s v="465128"/>
    <s v="Solid"/>
    <x v="5"/>
    <s v="Plan TBC"/>
    <s v="Plan TBC"/>
    <s v="Lap Dip not confirmed from SQBL"/>
    <m/>
    <s v="Oct"/>
    <d v="2026-10-05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s v=""/>
    <s v=""/>
    <n v="1.47"/>
    <s v=""/>
    <n v="0"/>
    <n v="0"/>
    <n v="0"/>
  </r>
  <r>
    <s v="Primark Limited"/>
    <s v="ST.Primark.039.FY26-27.28"/>
    <m/>
    <m/>
    <m/>
    <m/>
    <s v=""/>
    <n v="1840"/>
    <s v="KNIT WEFT KNITTED JERSEY PSCP COTTON 100% GSM-140 CW-172 CM/68 INCH "/>
    <s v="Mustang / Cocoa 19-1217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s v=""/>
    <s v=""/>
    <n v="1.47"/>
    <s v=""/>
    <n v="0"/>
    <n v="0"/>
    <n v="0"/>
  </r>
  <r>
    <s v="Primark Limited"/>
    <s v="ST.Primark.039.FY26-27.29"/>
    <m/>
    <m/>
    <m/>
    <m/>
    <s v=""/>
    <n v="1841"/>
    <s v="KNIT WEFT KNITTED JERSEY PSCP COTTON 100% GSM-140 CW-172 CM/68 INCH "/>
    <s v="Mustang / Cocoa 19-1217 TCX"/>
    <n v="-0.39199999999999996"/>
    <n v="1.1759999999999999"/>
    <m/>
    <n v="-1.1759999999999999"/>
    <m/>
    <n v="-1.175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s v=""/>
    <s v=""/>
    <s v=""/>
    <s v=""/>
    <n v="0"/>
    <n v="0"/>
    <n v="0"/>
  </r>
  <r>
    <s v="Primark Limited"/>
    <s v="ST.Primark.039.FY26-27.30"/>
    <m/>
    <m/>
    <m/>
    <m/>
    <s v=""/>
    <n v="1842"/>
    <s v="KNIT WEFT KNITTED JERSEY PSCP COTTON 100% GSM-140 CW-172 CM/68 INCH "/>
    <s v="Mustang / Cocoa 19-1217 TCX"/>
    <n v="-0.68566666666666665"/>
    <n v="2.0569999999999999"/>
    <m/>
    <n v="-2.0569999999999999"/>
    <m/>
    <n v="-2.0569999999999999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s v=""/>
    <s v=""/>
    <n v="2.0569999999999999"/>
    <s v=""/>
    <n v="0"/>
    <n v="0"/>
    <n v="0"/>
  </r>
  <r>
    <s v="Primark Limited"/>
    <s v="ST.Primark.039.FY26-27.31"/>
    <m/>
    <m/>
    <m/>
    <m/>
    <s v=""/>
    <n v="1843"/>
    <s v="KNIT WEFT KNITTED JERSEY PSCP COTTON 100% GSM-140 CW-172 CM/68 INCH "/>
    <s v="Mustang / Cocoa 19-1217 TCX"/>
    <n v="-1.1759999999999999"/>
    <n v="3.528"/>
    <m/>
    <n v="-3.528"/>
    <m/>
    <n v="-3.528"/>
    <s v="465128"/>
    <s v="Solid"/>
    <x v="5"/>
    <s v="Plan TBC"/>
    <s v="Plan TBC"/>
    <s v="Lap Dip not confirmed from SQBL"/>
    <m/>
    <s v="Oct"/>
    <d v="2026-10-07T00:00:00"/>
    <m/>
    <m/>
    <m/>
    <m/>
    <m/>
    <m/>
    <m/>
    <m/>
    <m/>
    <m/>
    <s v="465128"/>
    <s v="Mustang / Cocoa 19-1217 TCX"/>
    <n v="140"/>
    <s v="465128140Mustang / Cocoa 19-1217 TCX"/>
    <n v="0"/>
    <s v="#NA"/>
    <n v="0"/>
    <n v="11.171000000000001"/>
    <s v=""/>
    <s v=""/>
    <n v="3.528"/>
    <s v=""/>
    <n v="0"/>
    <n v="0"/>
    <n v="0"/>
  </r>
  <r>
    <s v="Primark Limited"/>
    <s v="ST.Primark.040.FY26-27.29"/>
    <m/>
    <m/>
    <m/>
    <m/>
    <s v=""/>
    <n v="1844"/>
    <s v="KNIT WEFT KNITTED JERSEY PSCP COTTON 100% GSM-140 CW-172 CM/68 INCH "/>
    <s v="Sand Dollar / Vanilla 13-1106 TCX"/>
    <n v="-0.49"/>
    <n v="1.47"/>
    <m/>
    <n v="-1.47"/>
    <m/>
    <n v="-1.47"/>
    <s v="465128"/>
    <s v="Solid"/>
    <x v="5"/>
    <s v="Plan TBC"/>
    <s v="Plan TBC"/>
    <s v="Lap Dip not confirmed from SQBL"/>
    <m/>
    <s v="Oct"/>
    <d v="2026-10-13T00:00:00"/>
    <m/>
    <m/>
    <m/>
    <m/>
    <m/>
    <m/>
    <m/>
    <m/>
    <m/>
    <m/>
    <s v="465128"/>
    <s v="Sand Dollar / Vanilla 13-1106 TCX"/>
    <n v="140"/>
    <s v="465128140Sand Dollar / Vanilla 13-1106 TCX"/>
    <n v="0"/>
    <s v="#NA"/>
    <n v="0"/>
    <n v="11.171000000000001"/>
    <s v=""/>
    <s v=""/>
    <n v="1.47"/>
    <s v=""/>
    <n v="0"/>
    <n v="0"/>
    <n v="0"/>
  </r>
  <r>
    <s v="Primark Limited"/>
    <s v="ST.Primark.040.FY26-27.15"/>
    <m/>
    <m/>
    <m/>
    <m/>
    <s v=""/>
    <n v="1845"/>
    <s v="KNIT WEFT KNITTED JERSEY PSCP COTTON 100% GSM-160 CW-172 CM/68 INCH "/>
    <s v="Black Coffee / Ganache 19-1111 TCX"/>
    <s v=""/>
    <n v="106.92"/>
    <m/>
    <n v="-106.92"/>
    <m/>
    <n v="-106.92"/>
    <s v="450567"/>
    <s v="Solid"/>
    <x v="34"/>
    <d v="2026-10-13T00:00:00"/>
    <d v="2026-10-12T00:00:00"/>
    <s v="Hues Agreed qty as per SQBL required date"/>
    <m/>
    <s v="Oct"/>
    <d v="2026-10-10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s v=""/>
    <s v=""/>
    <n v="0"/>
    <n v="0"/>
    <n v="0"/>
  </r>
  <r>
    <s v="Primark Limited"/>
    <s v="ST.Primark.040.FY26-27.16"/>
    <m/>
    <m/>
    <m/>
    <m/>
    <s v=""/>
    <n v="1846"/>
    <s v="KNIT WEFT KNITTED JERSEY PSCP COTTON 100% GSM-160 CW-172 CM/68 INCH "/>
    <s v="Black Coffee / Ganache 19-1111 TCX"/>
    <n v="-26.73"/>
    <n v="80.19"/>
    <m/>
    <n v="-80.19"/>
    <m/>
    <n v="-80.19"/>
    <s v="450567"/>
    <s v="Solid"/>
    <x v="34"/>
    <d v="2026-10-13T00:00:00"/>
    <d v="2026-10-12T00:00:00"/>
    <s v="Hues Agreed qty as per SQBL required date"/>
    <m/>
    <s v="Oct"/>
    <d v="2026-10-18T00:00:00"/>
    <m/>
    <m/>
    <m/>
    <m/>
    <m/>
    <m/>
    <m/>
    <m/>
    <m/>
    <m/>
    <s v="450567"/>
    <s v="Black Coffee / Ganache 19-1111 TCX"/>
    <n v="160"/>
    <s v="450567160Black Coffee / Ganache 19-1111 TCX"/>
    <n v="0"/>
    <s v="#NA"/>
    <n v="0"/>
    <n v="1482.0300000000002"/>
    <s v=""/>
    <s v=""/>
    <n v="80.19"/>
    <s v=""/>
    <n v="0"/>
    <n v="0"/>
    <n v="0"/>
  </r>
  <r>
    <s v="Primark Limited"/>
    <s v="ST.Primark.039.FY26-27.21"/>
    <m/>
    <m/>
    <m/>
    <m/>
    <s v=""/>
    <n v="1847"/>
    <s v="KNIT WEFT KNITTED JERSEY PSCP COTTON 100% GSM-140 CW-172 CM/68 INCH "/>
    <s v="Brush / Honey 16-1317 TCX"/>
    <n v="0"/>
    <n v="19.699000000000002"/>
    <n v="19.699000000000002"/>
    <n v="0"/>
    <m/>
    <n v="0"/>
    <s v="450568"/>
    <s v="Solid"/>
    <x v="23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22"/>
    <m/>
    <m/>
    <m/>
    <m/>
    <s v=""/>
    <n v="1848"/>
    <s v="KNIT WEFT KNITTED JERSEY PSCP COTTON 100% GSM-140 CW-172 CM/68 INCH "/>
    <s v="Brush / Honey 16-1317 TCX"/>
    <n v="0"/>
    <n v="24.402999999999999"/>
    <n v="24.402999999999999"/>
    <n v="0"/>
    <m/>
    <n v="0"/>
    <s v="450568"/>
    <s v="Solid"/>
    <x v="55"/>
    <d v="2026-10-09T00:00:00"/>
    <d v="2026-10-08T00:00:00"/>
    <s v="Revised Plan given as per revised date"/>
    <m/>
    <s v="Oct"/>
    <d v="2026-10-05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s v=""/>
    <s v=""/>
    <n v="382.29"/>
    <n v="0.98599999999999999"/>
    <n v="4.7520000000000664"/>
  </r>
  <r>
    <s v="Primark Limited"/>
    <s v="ST.Primark.039.FY26-27.23"/>
    <m/>
    <m/>
    <m/>
    <m/>
    <s v=""/>
    <n v="1849"/>
    <s v="KNIT WEFT KNITTED JERSEY PSCP COTTON 100% GSM-140 CW-172 CM/68 INCH "/>
    <s v="Brush / Honey 16-1317 TCX"/>
    <n v="0"/>
    <n v="24.402999999999999"/>
    <n v="24.402999999999999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Primark Limited"/>
    <s v="ST.Primark.039.FY26-27.24"/>
    <m/>
    <m/>
    <m/>
    <m/>
    <s v=""/>
    <n v="1850"/>
    <s v="KNIT WEFT KNITTED JERSEY PSCP COTTON 100% GSM-140 CW-172 CM/68 INCH "/>
    <s v="Brush / Honey 16-1317 TCX"/>
    <n v="0"/>
    <n v="19.7"/>
    <n v="19.7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s v=""/>
    <s v=""/>
    <s v=""/>
    <n v="0"/>
    <s v=""/>
    <n v="382.29"/>
    <n v="0.98599999999999999"/>
    <n v="4.7520000000000664"/>
  </r>
  <r>
    <s v="Primark Limited"/>
    <s v="ST.Primark.039.FY26-27.25"/>
    <m/>
    <m/>
    <m/>
    <m/>
    <s v=""/>
    <n v="1851"/>
    <s v="KNIT WEFT KNITTED JERSEY PSCP COTTON 100% GSM-140 CW-172 CM/68 INCH "/>
    <s v="Brush / Honey 16-1317 TCX"/>
    <n v="0"/>
    <n v="39.103999999999999"/>
    <n v="39.103999999999999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s v=""/>
    <s v=""/>
    <n v="382.29"/>
    <n v="0.98599999999999999"/>
    <n v="4.7520000000000664"/>
  </r>
  <r>
    <s v="Primark Limited"/>
    <s v="ST.Primark.039.FY26-27.26"/>
    <m/>
    <m/>
    <m/>
    <m/>
    <s v=""/>
    <n v="1852"/>
    <s v="KNIT WEFT KNITTED JERSEY PSCP COTTON 100% GSM-140 CW-172 CM/68 INCH "/>
    <s v="Brush / Honey 16-1317 TCX"/>
    <n v="0"/>
    <n v="58.802"/>
    <n v="58.802"/>
    <n v="0"/>
    <m/>
    <n v="0"/>
    <s v="450568"/>
    <s v="Solid"/>
    <x v="55"/>
    <d v="2026-10-09T00:00:00"/>
    <d v="2026-10-08T00:00:00"/>
    <s v="Hues Agreed qty as per SQBL required date"/>
    <m/>
    <s v="Oct"/>
    <d v="2026-10-07T00:00:00"/>
    <m/>
    <m/>
    <m/>
    <m/>
    <m/>
    <m/>
    <m/>
    <m/>
    <m/>
    <m/>
    <s v="450568"/>
    <s v="Brush / Honey 16-1317 TCX"/>
    <n v="140"/>
    <s v="450568140Brush / Honey 16-1317 TCX"/>
    <n v="382.29"/>
    <n v="5.24"/>
    <n v="377.53799999999995"/>
    <n v="377.53799999999995"/>
    <s v=""/>
    <s v=""/>
    <n v="0"/>
    <s v=""/>
    <n v="382.29"/>
    <n v="0.98599999999999999"/>
    <n v="4.7520000000000664"/>
  </r>
  <r>
    <s v="Hema"/>
    <s v="SQBIR.HEMA.188.FY26-27.1"/>
    <m/>
    <m/>
    <m/>
    <m/>
    <s v=""/>
    <n v="1853"/>
    <s v=" 96% BCI COTTON 4% ELASTANE JERSEY GSM-160 CW-167CM/66INCH "/>
    <s v="14-1307TCX ROSE DUST"/>
    <s v=""/>
    <n v="319.40300000000002"/>
    <n v="319.40300000000002"/>
    <n v="0"/>
    <m/>
    <n v="0"/>
    <n v="457842"/>
    <s v="Solid"/>
    <x v="52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n v="0"/>
    <s v=""/>
    <n v="9532.74"/>
    <n v="0.98099999999999998"/>
    <n v="3805.5940000000001"/>
  </r>
  <r>
    <s v="Hema"/>
    <s v="SQBIR.HEMA.178.FY26-27.1"/>
    <m/>
    <m/>
    <m/>
    <m/>
    <n v="5.6843418860808015E-14"/>
    <n v="1854"/>
    <s v=" 96% BCI COTTON 4% ELASTANE JERSEY GSM-160 CW-167CM/66INCH "/>
    <s v="Black Onyx"/>
    <s v=""/>
    <n v="888.24699999999996"/>
    <n v="888.24699999999996"/>
    <n v="0"/>
    <m/>
    <n v="0"/>
    <n v="457850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850"/>
    <s v="Black Onyx (19-4003 TCX)"/>
    <n v="160"/>
    <s v="457850160Black Onyx (19-4003 TCX)"/>
    <n v="4590.5600000000004"/>
    <n v="89.44"/>
    <n v="2185.4850000000001"/>
    <n v="2274.9250000000002"/>
    <s v=""/>
    <s v=""/>
    <n v="0"/>
    <n v="5.6843418860808015E-14"/>
    <n v="4590.5600000000004"/>
    <n v="0.98099999999999998"/>
    <n v="2405.0750000000003"/>
  </r>
  <r>
    <s v="Hema"/>
    <s v="SQBIR.HEMA.179.FY26-27.1"/>
    <m/>
    <m/>
    <m/>
    <m/>
    <n v="5.6843418860808015E-14"/>
    <n v="1855"/>
    <s v=" 96% BCI COTTON 4% ELASTANE JERSEY GSM-160 CW-167CM/66INCH "/>
    <s v="Black Onyx"/>
    <n v="-29.81333333333335"/>
    <n v="1386.6780000000001"/>
    <n v="1297.2380000000001"/>
    <n v="-89.440000000000055"/>
    <m/>
    <n v="-89.440000000000055"/>
    <n v="457850"/>
    <s v="Solid"/>
    <x v="30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7850"/>
    <s v="Black Onyx (19-4003 TCX)"/>
    <n v="160"/>
    <s v="457850160Black Onyx (19-4003 TCX)"/>
    <n v="4590.5600000000004"/>
    <n v="89.44"/>
    <n v="2185.4850000000001"/>
    <n v="2274.9250000000002"/>
    <s v=""/>
    <s v=""/>
    <n v="89.440000000000055"/>
    <n v="5.6843418860808015E-14"/>
    <n v="4590.5600000000004"/>
    <n v="0.98099999999999998"/>
    <n v="2405.0750000000003"/>
  </r>
  <r>
    <s v="Hema"/>
    <s v="SQBIR.HEMA.172.FY26-27.1"/>
    <m/>
    <m/>
    <m/>
    <m/>
    <s v=""/>
    <n v="1856"/>
    <s v=" 96% BCI COTTON 4% ELASTANE JERSEY GSM-160 CW-167CM/66INCH "/>
    <s v="Gardenia 11-0604 TCX"/>
    <s v=""/>
    <n v="61.875"/>
    <n v="61.875"/>
    <n v="0"/>
    <m/>
    <n v="0"/>
    <n v="457876"/>
    <s v="Solid"/>
    <x v="52"/>
    <d v="2026-10-02T00:00:00"/>
    <d v="2026-10-01T00:00:00"/>
    <s v="Hues Agreed qty as per SQBL required date"/>
    <m/>
    <s v="Oct"/>
    <d v="2026-10-15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s v=""/>
    <s v=""/>
    <s v=""/>
    <s v=""/>
    <n v="1264.17"/>
    <n v="1.0189999999999999"/>
    <n v="824.95900000000017"/>
  </r>
  <r>
    <s v="Hema"/>
    <s v="SQBIR.HEMA.173.FY26-27.1"/>
    <m/>
    <m/>
    <m/>
    <m/>
    <s v=""/>
    <n v="1857"/>
    <s v=" 96% BCI COTTON 4% ELASTANE JERSEY GSM-160 CW-167CM/66INCH "/>
    <s v="Gardenia 11-0604 TCX"/>
    <n v="0"/>
    <n v="96.596999999999994"/>
    <n v="96.596999999999994"/>
    <n v="0"/>
    <m/>
    <n v="0"/>
    <n v="457876"/>
    <s v="Solid"/>
    <x v="52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s v=""/>
    <s v=""/>
    <s v=""/>
    <n v="0"/>
    <s v=""/>
    <n v="1264.17"/>
    <n v="1.0189999999999999"/>
    <n v="824.95900000000017"/>
  </r>
  <r>
    <s v="Hema"/>
    <s v="SQBIR.HEMA.152.FY26-27.1"/>
    <m/>
    <m/>
    <m/>
    <m/>
    <s v=""/>
    <n v="1858"/>
    <s v=" 96% BCI COTTON 4% ELASTANE JERSEY GSM-160 CW-167CM/66INCH "/>
    <s v="Black Onyx"/>
    <n v="0"/>
    <n v="17.542000000000002"/>
    <n v="17.542000000000002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s v=""/>
    <s v=""/>
    <n v="0"/>
    <s v=""/>
    <n v="121.15"/>
    <n v="1.01"/>
    <n v="45.859000000000009"/>
  </r>
  <r>
    <s v="Hema"/>
    <s v="SQBIR.HEMA.154.FY26-27.1"/>
    <m/>
    <m/>
    <m/>
    <m/>
    <s v=""/>
    <n v="1859"/>
    <s v=" 96% BCI COTTON 4% ELASTANE JERSEY GSM-160 CW-167CM/66INCH "/>
    <s v="Black Onyx"/>
    <s v=""/>
    <n v="10.026999999999999"/>
    <n v="10.026999999999999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s v=""/>
    <n v="75.290999999999997"/>
    <s v=""/>
    <s v=""/>
    <s v=""/>
    <s v=""/>
    <n v="121.15"/>
    <n v="1.01"/>
    <s v=""/>
  </r>
  <r>
    <s v="Hema"/>
    <s v="SQBIR.HEMA.155.FY26-27.1"/>
    <m/>
    <m/>
    <m/>
    <m/>
    <s v=""/>
    <n v="1860"/>
    <s v=" 96% BCI COTTON 4% ELASTANE JERSEY GSM-160 CW-167CM/66INCH "/>
    <s v="Black Onyx"/>
    <n v="0"/>
    <n v="10.167"/>
    <n v="10.167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s v=""/>
    <s v=""/>
    <s v=""/>
    <s v=""/>
    <n v="121.15"/>
    <n v="1.01"/>
    <n v="45.859000000000009"/>
  </r>
  <r>
    <s v="Hema"/>
    <s v="SQBIR.HEMA.398.FY26-27.1"/>
    <m/>
    <m/>
    <m/>
    <m/>
    <s v=""/>
    <n v="1861"/>
    <s v=" 96% ORGANIC COTTON 4% ELASTANE JERSEY GSM-160 CW-167CM/66INCH "/>
    <s v="Pastel Lilac"/>
    <s v=""/>
    <n v="0"/>
    <n v="0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s v=""/>
    <s v=""/>
    <s v=""/>
    <s v=""/>
    <n v="240"/>
    <n v="1.0469999999999999"/>
    <n v="240"/>
  </r>
  <r>
    <s v="Hema"/>
    <s v="SQBIR.HEMA.399.FY26-27.1"/>
    <m/>
    <m/>
    <m/>
    <m/>
    <s v=""/>
    <n v="1862"/>
    <s v=" 96% ORGANIC COTTON 4% ELASTANE JERSEY GSM-160 CW-167CM/66INCH "/>
    <s v="Pastel Lilac"/>
    <n v="0"/>
    <n v="0"/>
    <n v="0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s v=""/>
    <s v=""/>
    <n v="0"/>
    <s v=""/>
    <n v="240"/>
    <n v="1.0469999999999999"/>
    <n v="240"/>
  </r>
  <r>
    <s v="Hema"/>
    <s v="SQBIR.HEMA.162.FY26-27.3"/>
    <m/>
    <m/>
    <m/>
    <m/>
    <s v="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9"/>
    <d v="2026-11-01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56"/>
    <n v="28495.29"/>
    <n v="0"/>
    <s v=""/>
    <s v=""/>
    <s v=""/>
    <n v="2253.4969999999998"/>
    <s v=""/>
    <n v="224"/>
    <n v="0.94699999999999995"/>
    <n v="2256"/>
  </r>
  <r>
    <s v="Hema"/>
    <s v="SQBIR.HEMA.162.FY26-27.3"/>
    <m/>
    <m/>
    <m/>
    <m/>
    <s v="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10"/>
    <d v="2026-11-02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56"/>
    <n v="28495.29"/>
    <n v="0"/>
    <n v="22534.976999999999"/>
    <s v=""/>
    <s v=""/>
    <n v="2253.4969999999998"/>
    <s v=""/>
    <n v="224"/>
    <n v="0.94699999999999995"/>
    <n v="2256"/>
  </r>
  <r>
    <s v="Hema"/>
    <s v="SQBIR.HEMA.162.FY26-27.3"/>
    <m/>
    <m/>
    <m/>
    <m/>
    <s v=""/>
    <n v="1863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11"/>
    <d v="2026-11-03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56"/>
    <n v="28495.29"/>
    <n v="0"/>
    <n v="22534.976999999999"/>
    <s v=""/>
    <s v=""/>
    <s v=""/>
    <s v=""/>
    <n v="224"/>
    <n v="0.94699999999999995"/>
    <n v="2256"/>
  </r>
  <r>
    <s v="Hema"/>
    <s v="SQBIR.HEMA.162.FY26-27.3"/>
    <m/>
    <m/>
    <m/>
    <m/>
    <s v=""/>
    <n v="1863"/>
    <s v="KNIT WEFT KNITTED RIB Non-Molded BCI Cotton (2X2) 95% ELASTANE 5% GSM-210 CW-107 CM/42 INCH "/>
    <s v="Black Onyx"/>
    <n v="-630.40466666666669"/>
    <n v="1891.2139999999999"/>
    <m/>
    <n v="-1891.2139999999999"/>
    <m/>
    <n v="-1891.2139999999999"/>
    <n v="453421"/>
    <s v="Solid"/>
    <x v="19"/>
    <d v="2026-11-04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210"/>
    <s v="453421210Black Onyx (19-4003 TCX)"/>
    <n v="2256"/>
    <n v="28495.29"/>
    <n v="0"/>
    <n v="22534.976999999999"/>
    <s v=""/>
    <s v=""/>
    <n v="1891.2139999999999"/>
    <s v=""/>
    <n v="224"/>
    <n v="0.94699999999999995"/>
    <n v="2256"/>
  </r>
  <r>
    <s v="Hema"/>
    <s v="SQBIR.HEMA.772.FY25-26.1"/>
    <m/>
    <m/>
    <m/>
    <m/>
    <s v=""/>
    <n v="1864"/>
    <s v=" 96% BCI COTTON 4% ELASTANE JERSEY GSM-160 CW-167CM/66INCH "/>
    <s v="Gardenia 11-0604 TCX"/>
    <s v=""/>
    <n v="8.6430000000000007"/>
    <n v="8.6430000000000007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Gardenia 11-0604 TCX"/>
    <n v="160"/>
    <s v="454597160Gardenia 11-0604 TCX"/>
    <n v="80"/>
    <n v="-8"/>
    <s v=""/>
    <n v="36.894000000000005"/>
    <s v=""/>
    <s v=""/>
    <n v="0"/>
    <s v=""/>
    <n v="80"/>
    <n v="1.111"/>
    <s v=""/>
  </r>
  <r>
    <s v="Hema"/>
    <s v="SQBIR.HEMA.772.FY25-26.2"/>
    <m/>
    <m/>
    <m/>
    <m/>
    <s v=""/>
    <n v="1865"/>
    <s v=" 96% BCI COTTON 4% ELASTANE JERSEY GSM-160 CW-167CM/66INCH "/>
    <s v="Gardenia 11-0604 TCX"/>
    <n v="0"/>
    <n v="0.23699999999999999"/>
    <n v="0.23699999999999999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Gardenia 11-0604 TCX"/>
    <n v="160"/>
    <s v="454597160Gardenia 11-0604 TCX"/>
    <n v="80"/>
    <n v="-8"/>
    <s v=""/>
    <n v="36.894000000000005"/>
    <s v=""/>
    <s v=""/>
    <n v="0"/>
    <s v=""/>
    <n v="80"/>
    <n v="1.111"/>
    <s v=""/>
  </r>
  <r>
    <s v="Hema"/>
    <s v="SQBIR.HEMA.775.FY25-26.1"/>
    <m/>
    <m/>
    <m/>
    <m/>
    <s v=""/>
    <n v="1866"/>
    <s v=" 96% BCI COTTON 4% ELASTANE JERSEY GSM-160 CW-167CM/66INCH "/>
    <s v="Gardenia 11-0604 TCX"/>
    <n v="0"/>
    <n v="10.75"/>
    <n v="10.75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s v=""/>
    <s v=""/>
    <n v="0"/>
    <s v=""/>
    <n v="80"/>
    <n v="1.111"/>
    <n v="43.105999999999995"/>
  </r>
  <r>
    <s v="Hema"/>
    <s v="SQBIR.HEMA.378.FY26-27.1"/>
    <m/>
    <m/>
    <m/>
    <m/>
    <s v=""/>
    <n v="1867"/>
    <s v=" 96% BCI COTTON 4% ELASTANE JERSEY GSM-160 CW-167CM/66INCH "/>
    <s v="MANGANO CALCITE-13-1501-TCX"/>
    <n v="0"/>
    <n v="7.4119999999999999"/>
    <n v="7.4119999999999999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s v=""/>
    <s v=""/>
    <s v=""/>
    <s v=""/>
    <s v=""/>
    <n v="84"/>
    <n v="1"/>
    <n v="47.713000000000001"/>
  </r>
  <r>
    <s v="Hema"/>
    <s v="SQBIR.HEMA.378.FY26-27.2"/>
    <m/>
    <m/>
    <m/>
    <m/>
    <s v=""/>
    <n v="1868"/>
    <s v=" 96% BCI COTTON 4% ELASTANE JERSEY GSM-160 CW-167CM/66INCH "/>
    <s v="MANGANO CALCITE-13-1501-TCX"/>
    <n v="0"/>
    <n v="0.20300000000000001"/>
    <n v="0.20300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s v=""/>
    <s v=""/>
    <s v=""/>
    <n v="0"/>
    <s v=""/>
    <n v="84"/>
    <n v="1"/>
    <n v="47.713000000000001"/>
  </r>
  <r>
    <s v="Hema"/>
    <s v="SQBIR.HEMA.382.FY26-27.1"/>
    <m/>
    <m/>
    <m/>
    <m/>
    <s v=""/>
    <n v="1869"/>
    <s v=" 96% BCI COTTON 4% ELASTANE JERSEY GSM-160 CW-167CM/66INCH "/>
    <s v="MANGANO CALCITE-13-1501-TCX"/>
    <s v=""/>
    <n v="6.8339999999999996"/>
    <n v="6.8339999999999996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s v=""/>
    <s v=""/>
    <n v="0"/>
    <s v=""/>
    <n v="84"/>
    <n v="1"/>
    <n v="47.713000000000001"/>
  </r>
  <r>
    <s v="Hema"/>
    <s v="SQBIR.HEMA.165.FY26-27.1"/>
    <m/>
    <m/>
    <m/>
    <m/>
    <s v=""/>
    <n v="1870"/>
    <s v="KNIT WEFT KNITTED RIB Non-Molded BCI Cotton (2X2) 95% ELASTANE 5% GSM-210 CW-107 CM/42 INCH "/>
    <s v="Chambray blue-15-4030-TCX"/>
    <n v="-333.33333333333331"/>
    <n v="1000"/>
    <m/>
    <n v="-1000"/>
    <m/>
    <n v="-1000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s v=""/>
    <n v="9568.7129999999997"/>
    <s v=""/>
    <s v=""/>
    <n v="1000"/>
    <s v=""/>
    <n v="1611.67"/>
    <n v="0.21299999999999999"/>
    <s v=""/>
  </r>
  <r>
    <s v="Hema"/>
    <s v="SQBIR.HEMA.165.FY26-27.1"/>
    <m/>
    <m/>
    <m/>
    <m/>
    <s v=""/>
    <n v="1870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31"/>
    <d v="2026-10-21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s v=""/>
    <s v=""/>
    <n v="2000"/>
    <s v=""/>
    <n v="1611.67"/>
    <n v="0.21299999999999999"/>
    <n v="1611.67"/>
  </r>
  <r>
    <s v="Hema"/>
    <s v="SQBIR.HEMA.165.FY26-27.1"/>
    <m/>
    <m/>
    <m/>
    <m/>
    <s v=""/>
    <n v="1870"/>
    <s v="KNIT WEFT KNITTED RIB Non-Molded BCI Cotton (2X2) 95% ELASTANE 5% GSM-210 CW-107 CM/42 INCH "/>
    <s v="Chambray blue-15-4030-TCX"/>
    <n v="-148.66433333333333"/>
    <n v="445.99299999999999"/>
    <m/>
    <n v="-445.99299999999999"/>
    <m/>
    <n v="-445.99299999999999"/>
    <n v="453421"/>
    <s v="Solid"/>
    <x v="7"/>
    <d v="2026-10-23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s v=""/>
    <n v="9568.7129999999997"/>
    <s v=""/>
    <s v=""/>
    <s v=""/>
    <s v=""/>
    <n v="1611.67"/>
    <n v="0.21299999999999999"/>
    <s v=""/>
  </r>
  <r>
    <s v="Hema"/>
    <s v="SQBIR.HEMA.165.FY26-27.2"/>
    <m/>
    <m/>
    <m/>
    <m/>
    <s v=""/>
    <n v="1871"/>
    <s v="KNIT WEFT KNITTED RIB Non-Molded BCI Cotton (2X2) 95% ELASTANE 5% GSM-210 CW-107 CM/42 INCH "/>
    <s v="Chambray blue-15-4030-TCX"/>
    <s v=""/>
    <n v="1554.0070000000001"/>
    <m/>
    <n v="-1554.0070000000001"/>
    <m/>
    <n v="-1554.0070000000001"/>
    <n v="453421"/>
    <s v="Solid"/>
    <x v="7"/>
    <d v="2026-10-23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s v=""/>
    <s v=""/>
    <n v="1554.0070000000001"/>
    <s v=""/>
    <n v="1611.67"/>
    <n v="0.21299999999999999"/>
    <n v="1611.67"/>
  </r>
  <r>
    <s v="Hema"/>
    <s v="SQBIR.HEMA.165.FY26-27.2"/>
    <m/>
    <m/>
    <m/>
    <m/>
    <s v=""/>
    <n v="1871"/>
    <s v="KNIT WEFT KNITTED RIB Non-Molded BCI Cotton (2X2) 95% ELASTANE 5% GSM-210 CW-107 CM/42 INCH "/>
    <s v="Chambray blue-15-4030-TCX"/>
    <s v=""/>
    <n v="2000"/>
    <m/>
    <n v="-2000"/>
    <m/>
    <n v="-2000"/>
    <n v="453421"/>
    <s v="Solid"/>
    <x v="8"/>
    <d v="2026-10-3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s v=""/>
    <s v=""/>
    <n v="2000"/>
    <s v=""/>
    <n v="1611.67"/>
    <n v="0.21299999999999999"/>
    <n v="1611.67"/>
  </r>
  <r>
    <s v="Hema"/>
    <s v="SQBIR.HEMA.165.FY26-27.2"/>
    <m/>
    <m/>
    <m/>
    <m/>
    <s v=""/>
    <n v="1871"/>
    <s v="KNIT WEFT KNITTED RIB Non-Molded BCI Cotton (2X2) 95% ELASTANE 5% GSM-210 CW-107 CM/42 INCH "/>
    <s v="Chambray blue-15-4030-TCX"/>
    <n v="-666.66666666666663"/>
    <n v="2000"/>
    <m/>
    <n v="-2000"/>
    <m/>
    <n v="-2000"/>
    <n v="453421"/>
    <s v="Solid"/>
    <x v="9"/>
    <d v="2026-11-0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s v=""/>
    <s v=""/>
    <n v="2000"/>
    <s v=""/>
    <n v="1611.67"/>
    <n v="0.21299999999999999"/>
    <n v="1611.67"/>
  </r>
  <r>
    <s v="Hema"/>
    <s v="SQBIR.HEMA.165.FY26-27.2"/>
    <m/>
    <m/>
    <m/>
    <m/>
    <s v=""/>
    <n v="1871"/>
    <s v="KNIT WEFT KNITTED RIB Non-Molded BCI Cotton (2X2) 95% ELASTANE 5% GSM-210 CW-107 CM/42 INCH "/>
    <s v="Chambray blue-15-4030-TCX"/>
    <n v="-189.571"/>
    <n v="568.71299999999997"/>
    <m/>
    <n v="-568.71299999999997"/>
    <m/>
    <n v="-568.71299999999997"/>
    <n v="453421"/>
    <s v="Solid"/>
    <x v="10"/>
    <d v="2026-11-02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210"/>
    <s v="453421210Chambray Blue 15-4030 tcx"/>
    <n v="1611.67"/>
    <n v="17806.080000000002"/>
    <n v="0"/>
    <n v="9568.7129999999997"/>
    <s v=""/>
    <s v=""/>
    <s v=""/>
    <s v=""/>
    <n v="1611.67"/>
    <n v="0.21299999999999999"/>
    <n v="1611.67"/>
  </r>
  <r>
    <s v="Hema"/>
    <s v="SQBIR.HEMA.036.FY26-27.1"/>
    <m/>
    <m/>
    <m/>
    <m/>
    <s v=""/>
    <n v="1872"/>
    <s v=" 96% BCI COTTON 4% ELASTANE SINGLE JERSEY GSM-160 CW-167CM/66INCH "/>
    <s v="YD Smoke Green 15-6315 TCX 7mm Gardenia 11-0604 TCX 1.5mm Smoke Green 15-6315 TCX 2mm Gardenia 11-0604 TCX 1.5mm"/>
    <n v="0"/>
    <n v="881.02300000000002"/>
    <n v="881.02300000000002"/>
    <n v="0"/>
    <m/>
    <n v="0"/>
    <n v="454213"/>
    <s v="Solid"/>
    <x v="3"/>
    <d v="2026-10-04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s v=""/>
    <s v=""/>
    <s v=""/>
    <n v="0"/>
    <s v=""/>
    <n v="6426"/>
    <n v="0.79200000000000004"/>
    <n v="3234.0309999999999"/>
  </r>
  <r>
    <s v="Hema"/>
    <s v="SQBIR.HEMA.036.FY26-27.2"/>
    <m/>
    <m/>
    <m/>
    <m/>
    <s v=""/>
    <n v="1873"/>
    <s v=" 96% BCI COTTON 4% ELASTANE SINGLE JERSEY GSM-160 CW-167CM/66INCH "/>
    <s v="YD Smoke Green 15-6315 TCX 7mm Gardenia 11-0604 TCX 1.5mm Smoke Green 15-6315 TCX 2mm Gardenia 11-0604 TCX 1.5mm"/>
    <n v="0"/>
    <n v="2.6259999999999999"/>
    <n v="2.6259999999999999"/>
    <n v="0"/>
    <m/>
    <n v="0"/>
    <n v="454213"/>
    <s v="Solid"/>
    <x v="6"/>
    <d v="2026-10-03T00:00:00"/>
    <d v="2026-10-02T00:00:00"/>
    <s v="Hues Agreed qty as per SQBL required date"/>
    <m/>
    <s v="Oct"/>
    <d v="2026-10-04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s v=""/>
    <s v=""/>
    <s v=""/>
    <n v="0"/>
    <s v=""/>
    <n v="6426"/>
    <n v="0.79200000000000004"/>
    <n v="3234.0309999999999"/>
  </r>
  <r>
    <s v="Hema"/>
    <s v="SQBIR.HEMA.038.FY26-27.1"/>
    <m/>
    <m/>
    <m/>
    <m/>
    <b v="0"/>
    <n v="1874"/>
    <s v=" 96% BCI COTTON 4% ELASTANE SINGLE JERSEY GSM-160 CW-167CM/66INCH "/>
    <s v="YD Smoke Green 15-6315 TCX 7mm Gardenia 11-0604 TCX 1.5mm Smoke Green 15-6315 TCX 2mm Gardenia 11-0604 TCX 1.5mm"/>
    <n v="-128.91300000000001"/>
    <n v="638.88400000000001"/>
    <n v="252.14500000000001"/>
    <n v="-386.73900000000003"/>
    <m/>
    <n v="-386.73900000000003"/>
    <n v="454213"/>
    <s v="Solid"/>
    <x v="53"/>
    <d v="2026-10-12T00:00:00"/>
    <d v="2026-10-11T00:00:00"/>
    <s v="Hues Agreed qty as per SQBL required date"/>
    <m/>
    <s v="Oct"/>
    <d v="2026-10-1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s v=""/>
    <s v=""/>
    <n v="386.73900000000003"/>
    <b v="0"/>
    <n v="6426"/>
    <n v="0.79200000000000004"/>
    <n v="3234.0309999999999"/>
  </r>
  <r>
    <s v="Hema"/>
    <s v="SQBIR.HEMA.384.FY26-27.1"/>
    <m/>
    <m/>
    <m/>
    <m/>
    <s v=""/>
    <n v="1875"/>
    <s v=" 96% BCI COTTON 4% ELASTANE JERSEY GSM-160 CW-167CM/66INCH "/>
    <s v="Gardenia 11-0604 TCX"/>
    <n v="0"/>
    <n v="7.6150000000000002"/>
    <n v="7.6150000000000002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s v=""/>
    <s v=""/>
    <n v="0"/>
    <s v=""/>
    <n v="80"/>
    <n v="1.111"/>
    <n v="43.105999999999995"/>
  </r>
  <r>
    <s v="Hema"/>
    <s v="SQBIR.HEMA.384.FY26-27.2"/>
    <m/>
    <m/>
    <m/>
    <m/>
    <s v=""/>
    <n v="1876"/>
    <s v=" 96% BCI COTTON 4% ELASTANE JERSEY GSM-160 CW-167CM/66INCH "/>
    <s v="Gardenia 11-0604 TCX"/>
    <n v="0"/>
    <n v="0.20799999999999999"/>
    <n v="0.20799999999999999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s v=""/>
    <s v=""/>
    <n v="0"/>
    <s v=""/>
    <n v="80"/>
    <n v="1.111"/>
    <n v="43.105999999999995"/>
  </r>
  <r>
    <s v="Hema"/>
    <s v="SQBIR.HEMA.385.FY26-27.1"/>
    <m/>
    <m/>
    <m/>
    <m/>
    <s v=""/>
    <n v="1877"/>
    <s v=" 96% BCI COTTON 4% ELASTANE JERSEY GSM-160 CW-167CM/66INCH "/>
    <s v="Gardenia 11-0604 TCX"/>
    <n v="0"/>
    <n v="9.4410000000000007"/>
    <n v="9.4410000000000007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0"/>
    <s v="454597160Gardenia 11-0604 TCX"/>
    <n v="80"/>
    <n v="-8"/>
    <n v="36.894000000000005"/>
    <n v="36.894000000000005"/>
    <s v=""/>
    <s v=""/>
    <s v=""/>
    <s v=""/>
    <n v="80"/>
    <n v="1.111"/>
    <n v="43.105999999999995"/>
  </r>
  <r>
    <s v="Hema"/>
    <s v="SQBIR.HEMA.397.FY26-27.2"/>
    <m/>
    <m/>
    <m/>
    <m/>
    <s v=""/>
    <n v="1878"/>
    <s v=" 96% ORGANIC COTTON 4% ELASTANE JERSEY GSM-160 CW-167CM/66INCH "/>
    <s v="GRAY MIST 15-4706 TCX"/>
    <n v="0"/>
    <n v="-0.86"/>
    <n v="-0.86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s v=""/>
    <s v=""/>
    <n v="0"/>
    <s v=""/>
    <n v="239"/>
    <n v="1.0389999999999999"/>
    <n v="241.57300000000001"/>
  </r>
  <r>
    <s v="Hema"/>
    <s v="SQBIR.HEMA.398.FY26-27.1"/>
    <m/>
    <m/>
    <m/>
    <m/>
    <s v=""/>
    <n v="1879"/>
    <s v=" 96% ORGANIC COTTON 4% ELASTANE JERSEY GSM-160 CW-167CM/66INCH "/>
    <s v="GRAY MIST 15-4706 TCX"/>
    <s v=""/>
    <n v="-0.84499999999999997"/>
    <n v="-0.84499999999999997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s v=""/>
    <s v=""/>
    <n v="0"/>
    <s v=""/>
    <n v="239"/>
    <n v="1.0389999999999999"/>
    <n v="241.57300000000001"/>
  </r>
  <r>
    <s v="Hema"/>
    <s v="SQBIR.HEMA.399.FY26-27.1"/>
    <m/>
    <m/>
    <m/>
    <m/>
    <s v=""/>
    <n v="1880"/>
    <s v=" 96% ORGANIC COTTON 4% ELASTANE JERSEY GSM-160 CW-167CM/66INCH "/>
    <s v="GRAY MIST 15-4706 TCX"/>
    <n v="0"/>
    <n v="-0.86799999999999999"/>
    <n v="-0.86799999999999999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Gray Mist 15-4706 TCX"/>
    <n v="160"/>
    <s v="456306160Gray Mist 15-4706 TCX"/>
    <n v="239"/>
    <n v="-9"/>
    <n v="-2.573"/>
    <n v="-2.573"/>
    <s v=""/>
    <s v=""/>
    <n v="0"/>
    <s v=""/>
    <n v="239"/>
    <n v="1.0389999999999999"/>
    <n v="241.57300000000001"/>
  </r>
  <r>
    <s v="Hema"/>
    <s v="SQBIR.HEMA.302.FY26-27.2"/>
    <m/>
    <m/>
    <m/>
    <m/>
    <s v=""/>
    <n v="1881"/>
    <s v=" 96% ORGANIC COTTON 4% ELASTANE JERSEY GSM-160 CW-167CM/66INCH "/>
    <s v="PASTEL YELLOW 11-0616 TCX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Pastel Yellow 11-0616 TCX"/>
    <n v="160"/>
    <s v="456306160Pastel Yellow 11-0616 TCX"/>
    <n v="231"/>
    <n v="0.54"/>
    <n v="0"/>
    <n v="0"/>
    <s v=""/>
    <s v=""/>
    <n v="0"/>
    <s v=""/>
    <n v="231"/>
    <n v="0.998"/>
    <n v="231"/>
  </r>
  <r>
    <s v="Hema"/>
    <s v="SQBIR.HEMA.303.FY26-27.1"/>
    <m/>
    <m/>
    <m/>
    <m/>
    <b v="0"/>
    <n v="1882"/>
    <s v=" 96% ORGANIC COTTON 4% ELASTANE JERSEY GSM-160 CW-167CM/66INCH "/>
    <s v="PASTEL YELLOW 11-0616 TCX"/>
    <n v="0"/>
    <n v="0"/>
    <n v="0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Pastel Yellow 11-0616 TCX"/>
    <n v="160"/>
    <s v="456306160Pastel Yellow 11-0616 TCX"/>
    <n v="231"/>
    <n v="0.54"/>
    <n v="0"/>
    <n v="0"/>
    <s v=""/>
    <s v=""/>
    <n v="0"/>
    <b v="0"/>
    <n v="231"/>
    <n v="0.998"/>
    <n v="231"/>
  </r>
  <r>
    <s v="Hema"/>
    <s v="SQBIR.HEMA.308.FY26-27.1"/>
    <m/>
    <m/>
    <m/>
    <m/>
    <s v=""/>
    <n v="1883"/>
    <s v=" 96% ORGANIC COTTON 4% ELASTANE JERSEY GSM-160 CW-167CM/66INCH "/>
    <s v="Lavendula"/>
    <s v=""/>
    <n v="0.51"/>
    <n v="0.51"/>
    <n v="0"/>
    <m/>
    <n v="0"/>
    <n v="456385"/>
    <s v="Solid"/>
    <x v="54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6385"/>
    <s v="LAVENDULA 15-3620TCX"/>
    <n v="160"/>
    <s v="456385160LAVENDULA 15-3620TCX"/>
    <n v="1637"/>
    <n v="-31.85"/>
    <n v="792.65499999999997"/>
    <s v=""/>
    <s v=""/>
    <s v=""/>
    <n v="0"/>
    <s v=""/>
    <n v="1637"/>
    <n v="1.02"/>
    <n v="844.34500000000003"/>
  </r>
  <r>
    <s v="Hema"/>
    <s v="SQBIR.HEMA.260.FY26-27.2"/>
    <m/>
    <m/>
    <m/>
    <m/>
    <s v=""/>
    <n v="1884"/>
    <s v=" 96% BCI COTTON 4% ELASTANE JERSEY GSM-160 CW-167CM/66INCH "/>
    <s v="Gardenia 11-0604 TCX"/>
    <s v=""/>
    <n v="0.248"/>
    <n v="0.248"/>
    <n v="0"/>
    <m/>
    <n v="0"/>
    <n v="457876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s v=""/>
    <s v=""/>
    <s v=""/>
    <s v=""/>
    <n v="1264.17"/>
    <n v="1.0189999999999999"/>
    <n v="824.95900000000017"/>
  </r>
  <r>
    <s v="Hema"/>
    <s v="SQBIR.HEMA.224.FY26-27.1"/>
    <m/>
    <m/>
    <m/>
    <m/>
    <s v=""/>
    <n v="1885"/>
    <s v=" 96% BCI COTTON 4% ELASTANE JERSEY GSM-160 CW-167CM/66INCH "/>
    <s v="MANGANO CALCITE-13-1501-TCX"/>
    <n v="0"/>
    <n v="428.4"/>
    <n v="428.4"/>
    <n v="0"/>
    <m/>
    <n v="0"/>
    <n v="459626"/>
    <s v="Solid"/>
    <x v="0"/>
    <d v="2026-10-05T00:00:00"/>
    <d v="2026-10-05T00:00:00"/>
    <s v="Hues Agreed qty as per SQBL required date"/>
    <m/>
    <s v="Oct"/>
    <d v="2026-10-16T00:00:00"/>
    <m/>
    <m/>
    <m/>
    <m/>
    <m/>
    <m/>
    <m/>
    <m/>
    <m/>
    <m/>
    <s v="459626"/>
    <s v="Mangano Calcite 13-1501 TCX"/>
    <n v="160"/>
    <s v="459626160Mangano Calcite 13-1501 TCX"/>
    <n v="2667.36"/>
    <n v="177.64"/>
    <n v="2388.4070000000002"/>
    <n v="2388.4070000000002"/>
    <s v=""/>
    <s v=""/>
    <n v="0"/>
    <s v=""/>
    <n v="2667.36"/>
    <n v="0.93799999999999994"/>
    <n v="278.95299999999997"/>
  </r>
  <r>
    <s v="Hema"/>
    <s v="SQBIR.HEMA.203.FY26-27.1"/>
    <m/>
    <m/>
    <m/>
    <m/>
    <s v=""/>
    <n v="1886"/>
    <s v=" 96% BCI COTTON 4% ELASTANE JERSEY GSM-160 CW-167CM/66INCH "/>
    <s v="Sea-Spray-17-6212-TCX"/>
    <s v=""/>
    <n v="950.9"/>
    <n v="950.9"/>
    <n v="0"/>
    <m/>
    <n v="0"/>
    <n v="459626"/>
    <s v="Solid"/>
    <x v="34"/>
    <d v="2026-10-08T00:00:00"/>
    <d v="2026-10-08T00:00:00"/>
    <s v="Hues Agreed qty as per SQBL required date"/>
    <m/>
    <s v="Oct"/>
    <d v="2026-10-08T00:00:00"/>
    <m/>
    <m/>
    <m/>
    <m/>
    <m/>
    <m/>
    <m/>
    <s v="OTT CHNG"/>
    <m/>
    <m/>
    <s v="459626"/>
    <s v="Sea Spray 17-6212 TCx"/>
    <n v="160"/>
    <s v="459626160Sea Spray 17-6212 TCx"/>
    <n v="3919.86"/>
    <n v="2395.14"/>
    <n v="1733.258"/>
    <s v=""/>
    <s v=""/>
    <s v=""/>
    <n v="0"/>
    <s v=""/>
    <n v="3919.86"/>
    <n v="0.621"/>
    <n v="2186.6019999999999"/>
  </r>
  <r>
    <s v="Hema"/>
    <s v="SQBIR.HEMA.203.FY26-27.2"/>
    <m/>
    <m/>
    <m/>
    <m/>
    <s v=""/>
    <n v="1887"/>
    <s v=" 96% BCI COTTON 4% ELASTANE JERSEY GSM-160 CW-167CM/66INCH "/>
    <s v="Sea-Spray-17-6212-TCX"/>
    <n v="0"/>
    <n v="3.44"/>
    <n v="3.44"/>
    <n v="0"/>
    <m/>
    <n v="0"/>
    <n v="45962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9626"/>
    <s v="Sea Spray 17-6212 TCx"/>
    <n v="160"/>
    <s v="459626160Sea Spray 17-6212 TCx"/>
    <n v="3919.86"/>
    <n v="2395.14"/>
    <n v="1733.258"/>
    <n v="1733.258"/>
    <s v=""/>
    <s v=""/>
    <n v="0"/>
    <s v=""/>
    <n v="3919.86"/>
    <n v="0.621"/>
    <n v="2186.6019999999999"/>
  </r>
  <r>
    <s v="Hema"/>
    <s v="SQBIR.HEMA.686.FY25-26.2"/>
    <m/>
    <m/>
    <m/>
    <m/>
    <n v="23"/>
    <n v="1888"/>
    <s v="KNIT SINGLE JERSEY ORGANIC COTTON 95% ELASTANE 5% GSM-160 CW-165 CM/66 INCH "/>
    <s v="Black Onyx"/>
    <n v="0"/>
    <n v="1296.126"/>
    <n v="1296.126"/>
    <n v="0"/>
    <m/>
    <n v="0"/>
    <n v="457685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685"/>
    <s v="Black Onyx (19-4003 TCX)"/>
    <n v="160"/>
    <s v="457685160Black Onyx (19-4003 TCX)"/>
    <n v="1573"/>
    <n v="-23"/>
    <n v="1296.126"/>
    <n v="1296.126"/>
    <s v=""/>
    <s v=""/>
    <n v="0"/>
    <n v="23"/>
    <n v="1573"/>
    <n v="1.0149999999999999"/>
    <n v="276.87400000000002"/>
  </r>
  <r>
    <s v="Hema"/>
    <s v="SQBIR.HEMA.712.FY25-26.4"/>
    <m/>
    <m/>
    <m/>
    <m/>
    <s v=""/>
    <n v="1889"/>
    <s v="KNIT SINGLE JERSEY ORGANIC COTTON 95% ELASTANE 5% GSM-160 CW-165 CM/66 INCH "/>
    <s v="ZIRCON WHITE"/>
    <n v="0"/>
    <n v="-1.266"/>
    <n v="-1.266"/>
    <n v="0"/>
    <m/>
    <n v="0"/>
    <n v="457685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685"/>
    <s v="Zircon White"/>
    <n v="160"/>
    <s v="457685160Zircon White"/>
    <n v="153"/>
    <n v="-3"/>
    <n v="-1.266"/>
    <n v="-1.266"/>
    <s v=""/>
    <s v=""/>
    <n v="0"/>
    <s v=""/>
    <n v="153"/>
    <n v="1.02"/>
    <n v="154.26599999999999"/>
  </r>
  <r>
    <s v="Hema"/>
    <s v="SQBIR.HEMA.166.FY26-27.1"/>
    <m/>
    <m/>
    <m/>
    <m/>
    <s v=""/>
    <n v="1890"/>
    <s v=" 96% BCI COTTON 4% ELASTANE JERSEY GSM-160 CW-167CM/66INCH "/>
    <s v="14-1307TCX ROSE DUST"/>
    <n v="0"/>
    <n v="93.177999999999997"/>
    <n v="93.177999999999997"/>
    <n v="0"/>
    <m/>
    <n v="0"/>
    <n v="457842"/>
    <s v="Solid"/>
    <x v="52"/>
    <d v="2026-10-02T00:00:00"/>
    <s v="2nd Oct-2.5k mtr_x000a_5th Oct-2.5k mtr"/>
    <s v="Hues Agreed qty as per SQBL required date"/>
    <m/>
    <s v="Oct"/>
    <d v="2026-10-02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s v=""/>
    <s v=""/>
    <s v=""/>
    <n v="0"/>
    <s v=""/>
    <n v="9532.74"/>
    <n v="0.98099999999999998"/>
    <n v="3805.5940000000001"/>
  </r>
  <r>
    <s v="Hema"/>
    <s v="SQBIR.HEMA.382.FY26-27.1"/>
    <m/>
    <m/>
    <m/>
    <m/>
    <s v=""/>
    <n v="1891"/>
    <s v=" 95% LENZING MODAL 5% ELASTANE JERSEY GSM-165 CW-167CM/66INCH "/>
    <s v="MANGANO CALCITE-13-1501-TCX"/>
    <n v="0"/>
    <n v="86.274000000000001"/>
    <n v="86.274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s v=""/>
    <s v=""/>
    <n v="0"/>
    <s v=""/>
    <n v="1149"/>
    <n v="1.0640000000000001"/>
    <n v="681.31200000000013"/>
  </r>
  <r>
    <s v="Hema"/>
    <s v="SQBIR.HEMA.764.FY25-26.1"/>
    <m/>
    <m/>
    <m/>
    <m/>
    <s v=""/>
    <n v="1892"/>
    <s v=" 95% LENZING MODAL 5% ELASTANE JERSEY GSM-165 CW-167CM/66INCH "/>
    <s v="MANGANO CALCITE-13-1501-TCX"/>
    <n v="0"/>
    <n v="109.893"/>
    <n v="109.893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s v=""/>
    <s v=""/>
    <n v="0"/>
    <s v=""/>
    <n v="1149"/>
    <n v="1.0640000000000001"/>
    <n v="681.31200000000013"/>
  </r>
  <r>
    <s v="Hema"/>
    <s v="SQBIR.HEMA.764.FY25-26.2"/>
    <m/>
    <m/>
    <m/>
    <m/>
    <s v=""/>
    <n v="1893"/>
    <s v=" 95% LENZING MODAL 5% ELASTANE JERSEY GSM-165 CW-167CM/66INCH "/>
    <s v="MANGANO CALCITE-13-1501-TCX"/>
    <n v="0"/>
    <n v="3.0110000000000001"/>
    <n v="3.0110000000000001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s v=""/>
    <s v=""/>
    <s v=""/>
    <s v=""/>
    <n v="1149"/>
    <n v="1.0640000000000001"/>
    <n v="681.31200000000013"/>
  </r>
  <r>
    <s v="Hema"/>
    <s v="SQBIR.HEMA.766.FY25-26.1"/>
    <m/>
    <m/>
    <m/>
    <m/>
    <s v=""/>
    <n v="1894"/>
    <s v=" 95% LENZING MODAL 5% ELASTANE JERSEY GSM-165 CW-167CM/66INCH "/>
    <s v="MANGANO CALCITE-13-1501-TCX"/>
    <s v=""/>
    <n v="172.36699999999999"/>
    <n v="172.36699999999999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n v="467.68799999999993"/>
    <s v=""/>
    <s v=""/>
    <n v="0"/>
    <s v=""/>
    <n v="1149"/>
    <n v="1.0640000000000001"/>
    <n v="681.31200000000013"/>
  </r>
  <r>
    <s v="Hema"/>
    <s v="SQBIR.HEMA.002.FY26-27.1"/>
    <m/>
    <m/>
    <m/>
    <m/>
    <s v=""/>
    <n v="1895"/>
    <s v=" 95% LENZING MODAL 5% ELASTANE JERSEY GSM-165 CW-167CM/66INCH "/>
    <s v="Smoke-Green-15-6315-TCX"/>
    <n v="0"/>
    <n v="106.26"/>
    <n v="106.26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s v=""/>
    <n v="442.09200000000004"/>
    <s v=""/>
    <s v=""/>
    <n v="0"/>
    <s v=""/>
    <n v="862.65"/>
    <n v="1.0209999999999999"/>
    <s v=""/>
  </r>
  <r>
    <s v="Hema"/>
    <s v="SQBIR.HEMA.166.FY26-27.1"/>
    <m/>
    <m/>
    <m/>
    <m/>
    <s v=""/>
    <n v="1896"/>
    <s v=" 96% BCI COTTON 4% ELASTANE JERSEY GSM-160 CW-167CM/66INCH "/>
    <s v="MANGANO CALCITE-13-1501-TCX"/>
    <n v="0"/>
    <n v="890.81799999999998"/>
    <n v="890.81799999999998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2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s v=""/>
    <s v=""/>
    <n v="9601.2999999999993"/>
    <n v="0.98799999999999999"/>
    <n v="3006.6969999999992"/>
  </r>
  <r>
    <s v="Hema"/>
    <s v="SQBIR.HEMA.169.FY26-27.1"/>
    <m/>
    <m/>
    <m/>
    <m/>
    <s v=""/>
    <n v="1897"/>
    <s v=" 96% BCI COTTON 4% ELASTANE JERSEY GSM-160 CW-167CM/66INCH "/>
    <s v="MANGANO CALCITE-13-1501-TCX"/>
    <n v="0"/>
    <n v="794.77300000000002"/>
    <n v="794.77300000000002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15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s v=""/>
    <n v="6707.0460000000003"/>
    <s v=""/>
    <s v=""/>
    <n v="0"/>
    <s v=""/>
    <n v="9601.2999999999993"/>
    <n v="0.98799999999999999"/>
    <s v=""/>
  </r>
  <r>
    <s v="Hema"/>
    <s v="SQBIR.HEMA.110.FY26-27.1"/>
    <m/>
    <m/>
    <m/>
    <m/>
    <s v=""/>
    <n v="1898"/>
    <s v=" 96% BCI COTTON 4% ELASTANE JERSEY GSM-160 CW-167CM/66INCH "/>
    <s v="Bright White"/>
    <s v=""/>
    <m/>
    <m/>
    <n v="0"/>
    <m/>
    <n v="0"/>
    <n v="453421"/>
    <s v="Solid"/>
    <x v="30"/>
    <d v="2026-10-20T00:00:00"/>
    <s v="(22nd Oct-30th Oct)-1k mtr/day"/>
    <s v="Revised Plan given as per revised date"/>
    <m/>
    <s v="Oct"/>
    <d v="2026-10-03T00:00:00"/>
    <m/>
    <m/>
    <m/>
    <m/>
    <m/>
    <m/>
    <m/>
    <m/>
    <m/>
    <m/>
    <s v="453421"/>
    <s v="Bright White (11-0601 TCX)"/>
    <n v="160"/>
    <s v="453421160Bright White (11-0601 TCX)"/>
    <n v="102"/>
    <n v="14248.98"/>
    <s v=""/>
    <n v="0"/>
    <s v=""/>
    <s v=""/>
    <s v=""/>
    <s v=""/>
    <n v="102"/>
    <n v="7.0000000000000001E-3"/>
    <s v=""/>
  </r>
  <r>
    <s v="Hema"/>
    <s v="SQBIR.HEMA.358.FY26-27.6"/>
    <m/>
    <m/>
    <m/>
    <m/>
    <s v=""/>
    <n v="1899"/>
    <s v=" 95% BCI COTTON 5% ELASTANE RIB 2X2 GSM-180 CW-111 CM/44 INCH "/>
    <s v="Xenon Blue-14-3949-TCX"/>
    <n v="0"/>
    <n v="344.666"/>
    <n v="344.666"/>
    <n v="0"/>
    <m/>
    <n v="0"/>
    <n v="453391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3391"/>
    <s v="Xenon Blue 14-3949 TCX"/>
    <n v="180"/>
    <s v="453391180Xenon Blue 14-3949 TCX"/>
    <n v="1857.4"/>
    <n v="210.6"/>
    <s v=""/>
    <n v="2068"/>
    <s v=""/>
    <s v=""/>
    <n v="0"/>
    <s v=""/>
    <n v="1857.4"/>
    <n v="0.89800000000000002"/>
    <s v=""/>
  </r>
  <r>
    <s v="Hema"/>
    <s v="SQBIR.HEMA.358.FY26-27.1"/>
    <m/>
    <m/>
    <m/>
    <m/>
    <s v=""/>
    <n v="1901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56"/>
    <d v="2026-10-08T00:00:00"/>
    <d v="2026-10-07T00:00:00"/>
    <s v="Hues Agreed qty as per SQBL required date"/>
    <m/>
    <s v="Oct"/>
    <d v="2026-10-09T00:00:00"/>
    <m/>
    <m/>
    <m/>
    <m/>
    <m/>
    <m/>
    <m/>
    <m/>
    <m/>
    <m/>
    <s v="453391"/>
    <s v="Xenon Blue 14-3949 TCX"/>
    <n v="180"/>
    <s v="453391180Xenon Blue 14-3949 TCX"/>
    <n v="1857.4"/>
    <n v="210.6"/>
    <s v=""/>
    <s v=""/>
    <s v=""/>
    <s v=""/>
    <s v=""/>
    <s v=""/>
    <n v="1857.4"/>
    <n v="0.89800000000000002"/>
    <s v=""/>
  </r>
  <r>
    <s v="Hema"/>
    <s v="SQBIR.HEMA.358.FY26-27.2"/>
    <m/>
    <m/>
    <m/>
    <m/>
    <s v=""/>
    <n v="1902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56"/>
    <d v="2026-10-08T00:00:00"/>
    <d v="2026-10-07T00:00:00"/>
    <s v="Hues Agreed qty as per SQBL required date"/>
    <m/>
    <s v="Oct"/>
    <d v="2026-10-09T00:00:00"/>
    <m/>
    <m/>
    <m/>
    <m/>
    <m/>
    <m/>
    <m/>
    <m/>
    <m/>
    <m/>
    <s v="453391"/>
    <s v="Xenon Blue 14-3949 TCX"/>
    <n v="180"/>
    <s v="453391180Xenon Blue 14-3949 TCX"/>
    <n v="1857.4"/>
    <n v="210.6"/>
    <s v=""/>
    <s v=""/>
    <s v=""/>
    <s v=""/>
    <n v="0"/>
    <s v=""/>
    <n v="1857.4"/>
    <n v="0.89800000000000002"/>
    <s v=""/>
  </r>
  <r>
    <s v="Hema"/>
    <s v="SQBIR.HEMA.358.FY26-27.3"/>
    <m/>
    <m/>
    <m/>
    <m/>
    <s v=""/>
    <n v="1903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n v="2068"/>
    <s v=""/>
    <s v=""/>
    <n v="0"/>
    <s v=""/>
    <n v="1857.4"/>
    <n v="0.89800000000000002"/>
    <n v="0"/>
  </r>
  <r>
    <s v="Hema"/>
    <s v="SQBIR.HEMA.358.FY26-27.4"/>
    <m/>
    <m/>
    <m/>
    <m/>
    <s v=""/>
    <n v="1904"/>
    <s v=" 95% BCI COTTON 5% ELASTANE RIB 2X2 GSM-180 CW-111 CM/44 INCH "/>
    <s v="Xenon Blue-14-3949-TCX"/>
    <n v="0"/>
    <n v="344.66699999999997"/>
    <n v="344.66699999999997"/>
    <n v="0"/>
    <m/>
    <n v="0"/>
    <n v="453391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3391"/>
    <s v="Xenon Blue 14-3949 TCX"/>
    <n v="180"/>
    <s v="453391180Xenon Blue 14-3949 TCX"/>
    <n v="1857.4"/>
    <n v="210.6"/>
    <n v="1857.3999999999999"/>
    <s v=""/>
    <s v=""/>
    <s v=""/>
    <n v="0"/>
    <s v=""/>
    <n v="1857.4"/>
    <n v="0.89800000000000002"/>
    <n v="0"/>
  </r>
  <r>
    <s v="Hema"/>
    <s v="SQBIR.HEMA.234.FY26-27.1"/>
    <m/>
    <m/>
    <m/>
    <m/>
    <s v=""/>
    <n v="1905"/>
    <s v=" 96% BCI COTTON 4% ELASTANE SINGLE JERSEY GSM-160 CW-167CM/66INCH "/>
    <s v="YD Black Onyx 19-4003 TCX 7MM Gardenia 11-0604 TCX 1MM"/>
    <n v="0"/>
    <n v="712.67"/>
    <n v="712.67"/>
    <n v="0"/>
    <m/>
    <n v="0"/>
    <n v="454434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4434"/>
    <s v="Black Onyx (19-4003 TCX)"/>
    <n v="160"/>
    <s v="454434160Black Onyx (19-4003 TCX)"/>
    <n v="4551"/>
    <n v="34"/>
    <s v=""/>
    <n v="8848.630000000001"/>
    <s v=""/>
    <s v=""/>
    <s v=""/>
    <s v=""/>
    <n v="4551"/>
    <n v="0.99299999999999999"/>
    <s v=""/>
  </r>
  <r>
    <s v="Hema"/>
    <s v="SQBIR.HEMA.234.FY26-27.2"/>
    <m/>
    <m/>
    <m/>
    <m/>
    <s v=""/>
    <n v="1906"/>
    <s v=" 96% BCI COTTON 4% ELASTANE SINGLE JERSEY GSM-160 CW-167CM/66INCH "/>
    <s v="YD Black Onyx 19-4003 TCX 7MM Gardenia 11-0604 TCX 1MM"/>
    <n v="0"/>
    <n v="2.5779999999999998"/>
    <n v="2.5779999999999998"/>
    <n v="0"/>
    <m/>
    <n v="0"/>
    <n v="454434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35.FY26-27.1"/>
    <m/>
    <m/>
    <m/>
    <m/>
    <s v=""/>
    <n v="1907"/>
    <s v=" 96% BCI COTTON 4% ELASTANE SINGLE JERSEY GSM-160 CW-167CM/66INCH "/>
    <s v="YD Black Onyx 19-4003 TCX 7MM Gardenia 11-0604 TCX 1MM"/>
    <s v=""/>
    <n v="685.46900000000005"/>
    <n v="685.46900000000005"/>
    <n v="0"/>
    <m/>
    <n v="0"/>
    <n v="454434"/>
    <s v="Solid"/>
    <x v="0"/>
    <d v="2026-10-05T00:00:00"/>
    <d v="2026-10-04T00:00:00"/>
    <s v="Hues Agreed qty as per SQBL required date"/>
    <m/>
    <s v="Oct"/>
    <d v="2026-10-04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s v=""/>
    <s v=""/>
    <s v=""/>
    <n v="0"/>
    <s v=""/>
    <n v="4551"/>
    <n v="0.99299999999999999"/>
    <n v="-4297.630000000001"/>
  </r>
  <r>
    <s v="Hema"/>
    <s v="SQBIR.HEMA.273.FY26-27.1"/>
    <m/>
    <m/>
    <m/>
    <m/>
    <s v=""/>
    <n v="1908"/>
    <s v=" 96% BCI COTTON 4% ELASTANE SINGLE JERSEY GSM-160 CW-167CM/66INCH "/>
    <s v="YD Black Onyx 19-4003 TCX 7MM Gardenia 11-0604 TCX 1MM"/>
    <n v="0"/>
    <n v="583.24400000000003"/>
    <n v="583.24400000000003"/>
    <n v="0"/>
    <m/>
    <n v="0"/>
    <n v="454434"/>
    <s v="Solid"/>
    <x v="6"/>
    <d v="2026-10-03T00:00:00"/>
    <d v="2026-10-02T00:00:00"/>
    <s v="Hues Agreed qty as per SQBL required date"/>
    <m/>
    <s v="Oct"/>
    <d v="2026-10-03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73.FY26-27.2"/>
    <m/>
    <m/>
    <m/>
    <m/>
    <s v=""/>
    <n v="1909"/>
    <s v=" 96% BCI COTTON 4% ELASTANE SINGLE JERSEY GSM-160 CW-167CM/66INCH "/>
    <s v="YD Black Onyx 19-4003 TCX 7MM Gardenia 11-0604 TCX 1MM"/>
    <n v="0"/>
    <n v="2.1110000000000002"/>
    <n v="2.1110000000000002"/>
    <n v="0"/>
    <m/>
    <n v="0"/>
    <n v="454434"/>
    <s v="Solid"/>
    <x v="54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s v=""/>
    <s v=""/>
    <n v="4551"/>
    <n v="0.99299999999999999"/>
    <n v="-4297.630000000001"/>
  </r>
  <r>
    <s v="Hema"/>
    <s v="SQBIR.HEMA.266.FY26-27.2"/>
    <m/>
    <m/>
    <m/>
    <m/>
    <s v=""/>
    <n v="1910"/>
    <s v=" 96% BCI COTTON 4% ELASTANE JERSEY GSM-160 CW-167CM/66INCH "/>
    <s v="14-1307TCX ROSE DUST"/>
    <n v="0"/>
    <n v="2.3090000000000002"/>
    <n v="2.3090000000000002"/>
    <n v="0"/>
    <m/>
    <n v="0"/>
    <n v="457842"/>
    <s v="Solid"/>
    <x v="52"/>
    <d v="2026-10-02T00:00:00"/>
    <s v="2nd Oct-2.5k mtr_x000a_5th Oct-2.5k mtr"/>
    <s v="Hues Agreed qty as per SQBL required date"/>
    <m/>
    <s v="Oct"/>
    <d v="2026-10-02T00:00:00"/>
    <m/>
    <m/>
    <m/>
    <m/>
    <m/>
    <m/>
    <m/>
    <m/>
    <m/>
    <m/>
    <s v="457842"/>
    <s v="Rose Dust 14-1307 TCX"/>
    <n v="160"/>
    <s v="457842160Rose Dust 14-1307 TCX"/>
    <n v="9532.74"/>
    <n v="182.26"/>
    <s v=""/>
    <n v="5909.4059999999999"/>
    <s v=""/>
    <s v=""/>
    <n v="0"/>
    <s v=""/>
    <n v="9532.74"/>
    <n v="0.98099999999999998"/>
    <s v=""/>
  </r>
  <r>
    <s v="Hema"/>
    <s v="SQBIR.HEMA.267.FY26-27.1"/>
    <m/>
    <m/>
    <m/>
    <m/>
    <s v=""/>
    <n v="1911"/>
    <s v=" 96% BCI COTTON 4% ELASTANE JERSEY GSM-160 CW-167CM/66INCH "/>
    <s v="14-1307TCX ROSE DUST"/>
    <n v="0"/>
    <n v="933.05399999999997"/>
    <n v="933.05399999999997"/>
    <n v="0"/>
    <m/>
    <n v="0"/>
    <n v="457842"/>
    <s v="Solid"/>
    <x v="52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n v="0"/>
    <s v=""/>
    <n v="9532.74"/>
    <n v="0.98099999999999998"/>
    <n v="3805.5940000000001"/>
  </r>
  <r>
    <s v="Hema"/>
    <s v="SQBIR.HEMA.302.FY26-27.2"/>
    <m/>
    <m/>
    <m/>
    <m/>
    <s v=""/>
    <n v="1912"/>
    <s v=" 96% ORGANIC COTTON 4% ELASTANE JERSEY GSM-160 CW-167CM/66INCH "/>
    <s v="TAWNY PORT 19-1725 TCX"/>
    <s v=""/>
    <n v="43.776000000000003"/>
    <n v="43.776000000000003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Tawny Port 19-1725 TCX"/>
    <n v="160"/>
    <s v="456306160Tawny Port 19-1725 TCX"/>
    <n v="240"/>
    <n v="-8.4600000000000009"/>
    <n v="87.552000000000007"/>
    <n v="87.552000000000007"/>
    <s v=""/>
    <s v=""/>
    <n v="0"/>
    <s v=""/>
    <n v="240"/>
    <n v="1.0369999999999999"/>
    <n v="152.44799999999998"/>
  </r>
  <r>
    <s v="Hema"/>
    <s v="SQBIR.HEMA.303.FY26-27.1"/>
    <m/>
    <m/>
    <m/>
    <m/>
    <s v=""/>
    <n v="1913"/>
    <s v=" 96% ORGANIC COTTON 4% ELASTANE JERSEY GSM-160 CW-167CM/66INCH "/>
    <s v="TAWNY PORT 19-1725 TCX"/>
    <n v="0"/>
    <n v="43.776000000000003"/>
    <n v="43.776000000000003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Tawny Port 19-1725 TCX"/>
    <n v="160"/>
    <s v="456306160Tawny Port 19-1725 TCX"/>
    <n v="240"/>
    <n v="-8.4600000000000009"/>
    <n v="87.552000000000007"/>
    <n v="87.552000000000007"/>
    <s v=""/>
    <s v=""/>
    <s v=""/>
    <s v=""/>
    <n v="240"/>
    <n v="1.0369999999999999"/>
    <n v="152.44799999999998"/>
  </r>
  <r>
    <s v="Hema"/>
    <s v="SQBIR.HEMA.325.FY26-27.2"/>
    <m/>
    <m/>
    <m/>
    <m/>
    <s v=""/>
    <n v="1914"/>
    <s v=" 96% ORGANIC COTTON 4% ELASTANE JERSEY GSM-160 CW-167CM/66INCH "/>
    <s v="BUTTERCREAM 11-0110TCX"/>
    <n v="0"/>
    <n v="-0.94499999999999995"/>
    <n v="-0.94499999999999995"/>
    <n v="0"/>
    <m/>
    <n v="0"/>
    <n v="456385"/>
    <s v="Solid"/>
    <x v="54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s v=""/>
    <s v=""/>
    <n v="0"/>
    <s v=""/>
    <n v="853"/>
    <n v="1.0389999999999999"/>
    <n v="857.59900000000005"/>
  </r>
  <r>
    <s v="Hema"/>
    <s v="SQBIR.HEMA.326.FY26-27.1"/>
    <m/>
    <m/>
    <m/>
    <m/>
    <n v="31.67"/>
    <n v="1915"/>
    <s v=" 96% ORGANIC COTTON 4% ELASTANE JERSEY GSM-160 CW-167CM/66INCH "/>
    <s v="BUTTERCREAM 11-0110TCX"/>
    <n v="0"/>
    <n v="-2.6819999999999999"/>
    <n v="-2.6819999999999999"/>
    <n v="0"/>
    <m/>
    <n v="0"/>
    <n v="456385"/>
    <s v="Solid"/>
    <x v="55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s v=""/>
    <s v=""/>
    <n v="0"/>
    <n v="31.67"/>
    <n v="853"/>
    <n v="1.0389999999999999"/>
    <n v="857.59900000000005"/>
  </r>
  <r>
    <s v="Hema"/>
    <s v="SQBIR.HEMA.298.FY26-27.1"/>
    <m/>
    <m/>
    <m/>
    <m/>
    <s v=""/>
    <n v="1916"/>
    <s v=" 96% BCI COTTON 4% ELASTANE JERSEY GSM-160 CW-167CM/66INCH "/>
    <s v="Black Onyx"/>
    <s v=""/>
    <n v="1483.3330000000001"/>
    <m/>
    <n v="-1483.3330000000001"/>
    <m/>
    <n v="-1483.3330000000001"/>
    <n v="454616"/>
    <s v="Solid"/>
    <x v="26"/>
    <d v="2026-10-16T00:00:00"/>
    <s v="16th Oct-2k mtr_x000a_17th Oct- balance full"/>
    <s v="Hues Agreed qty as per SQBL required date"/>
    <m/>
    <s v="Oct"/>
    <d v="2026-10-14T00:00:00"/>
    <m/>
    <m/>
    <m/>
    <m/>
    <m/>
    <m/>
    <m/>
    <m/>
    <m/>
    <m/>
    <s v="454616"/>
    <s v="Black Onyx (19-4003 TCX)"/>
    <n v="160"/>
    <s v="454616160Black Onyx (19-4003 TCX)"/>
    <n v="2568.8000000000002"/>
    <n v="9587.2000000000007"/>
    <s v=""/>
    <s v=""/>
    <s v=""/>
    <s v=""/>
    <s v=""/>
    <s v=""/>
    <n v="2568.8000000000002"/>
    <n v="0.21099999999999999"/>
    <s v=""/>
  </r>
  <r>
    <s v="Hema"/>
    <s v="SQBIR.HEMA.039.FY26-27.1"/>
    <m/>
    <m/>
    <m/>
    <m/>
    <s v=""/>
    <n v="1917"/>
    <s v=" 96% BCI COTTON 4% ELASTANE SINGLE JERSEY GSM-160 CW-167CM/66INCH "/>
    <s v="YD Smoke Green 15-6315 TCX 7mm Gardenia 11-0604 TCX 1.5mm Smoke Green 15-6315 TCX 2mm Gardenia 11-0604 TCX 1.5mm"/>
    <n v="0"/>
    <n v="379.45699999999999"/>
    <n v="379.45699999999999"/>
    <n v="0"/>
    <m/>
    <n v="0"/>
    <n v="454213"/>
    <s v="Solid"/>
    <x v="54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s v=""/>
    <s v=""/>
    <n v="0"/>
    <s v=""/>
    <n v="6426"/>
    <n v="0.79200000000000004"/>
    <n v="3234.0309999999999"/>
  </r>
  <r>
    <s v="Hema"/>
    <s v="SQBIR.HEMA.786.FY25-26.1"/>
    <m/>
    <m/>
    <m/>
    <m/>
    <s v=""/>
    <n v="1918"/>
    <s v=" 95% LENZING MODAL 5% ELASTANE JERSEY GSM-165 CW-167CM/66INCH "/>
    <s v="Smoke-Green-15-6315-TCX"/>
    <s v=""/>
    <n v="111.63"/>
    <n v="111.63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s v=""/>
    <s v=""/>
    <n v="0"/>
    <s v=""/>
    <n v="862.65"/>
    <n v="1.0209999999999999"/>
    <n v="420.55799999999994"/>
  </r>
  <r>
    <s v="Hema"/>
    <s v="SQBIR.HEMA.786.FY25-26.2"/>
    <m/>
    <m/>
    <m/>
    <m/>
    <s v=""/>
    <n v="1919"/>
    <s v=" 95% LENZING MODAL 5% ELASTANE JERSEY GSM-165 CW-167CM/66INCH "/>
    <s v="Smoke-Green-15-6315-TCX"/>
    <n v="0"/>
    <n v="3.0590000000000002"/>
    <n v="3.0590000000000002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s v=""/>
    <s v=""/>
    <s v=""/>
    <s v=""/>
    <n v="862.65"/>
    <n v="1.0209999999999999"/>
    <n v="420.55799999999994"/>
  </r>
  <r>
    <s v="Hema"/>
    <s v="SQBIR.HEMA.145.FY26-27.1"/>
    <m/>
    <m/>
    <m/>
    <m/>
    <s v=""/>
    <n v="1920"/>
    <s v=" 95% LENZING MODAL 5% ELASTANE JERSEY GSM-165 CW-167CM/66INCH "/>
    <s v="Black Onyx"/>
    <n v="0"/>
    <n v="108.753"/>
    <n v="108.753"/>
    <n v="0"/>
    <m/>
    <n v="0"/>
    <n v="454495"/>
    <s v="Solid"/>
    <x v="27"/>
    <d v="2026-10-17T00:00:00"/>
    <d v="2026-10-16T00:00:00"/>
    <s v="Hues Agreed qty as per SQBL required date"/>
    <m/>
    <s v="Oct"/>
    <d v="2026-10-14T00:00:00"/>
    <m/>
    <m/>
    <m/>
    <m/>
    <m/>
    <m/>
    <m/>
    <m/>
    <m/>
    <m/>
    <s v="454495"/>
    <s v="Black Onyx 19-4003 Tcx"/>
    <n v="165"/>
    <s v="454495165Black Onyx 19-4003 Tcx"/>
    <n v="1219.1600000000001"/>
    <n v="205.84"/>
    <n v="685.31400000000008"/>
    <n v="891.15400000000011"/>
    <s v=""/>
    <s v=""/>
    <n v="0"/>
    <s v=""/>
    <n v="1219.1600000000001"/>
    <n v="0.85599999999999998"/>
    <n v="533.846"/>
  </r>
  <r>
    <s v="Hema"/>
    <s v="SQBIR.HEMA.145.FY26-27.2"/>
    <m/>
    <m/>
    <m/>
    <m/>
    <s v=""/>
    <n v="1921"/>
    <s v=" 95% LENZING MODAL 5% ELASTANE JERSEY GSM-165 CW-167CM/66INCH "/>
    <s v="Black Onyx"/>
    <n v="0"/>
    <n v="2.9790000000000001"/>
    <n v="2.9790000000000001"/>
    <n v="0"/>
    <m/>
    <n v="0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5"/>
    <s v="454495165Black Onyx 19-4003 Tcx"/>
    <n v="1219.1600000000001"/>
    <n v="205.84"/>
    <n v="685.31400000000008"/>
    <n v="891.15400000000011"/>
    <s v=""/>
    <s v=""/>
    <s v=""/>
    <s v=""/>
    <n v="1219.1600000000001"/>
    <n v="0.85599999999999998"/>
    <n v="533.846"/>
  </r>
  <r>
    <s v="Hema"/>
    <s v="SQBIR.HEMA.146.FY26-27.1"/>
    <m/>
    <m/>
    <m/>
    <m/>
    <s v=""/>
    <n v="1922"/>
    <s v=" 95% LENZING MODAL 5% ELASTANE JERSEY GSM-165 CW-167CM/66INCH "/>
    <s v="Black Onyx"/>
    <s v=""/>
    <n v="241.64099999999999"/>
    <n v="241.64099999999999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5"/>
    <s v="454495165Black Onyx 19-4003 Tcx"/>
    <n v="1219.1600000000001"/>
    <n v="205.84"/>
    <n v="685.31400000000008"/>
    <n v="891.15400000000011"/>
    <s v=""/>
    <s v=""/>
    <s v=""/>
    <s v=""/>
    <n v="1219.1600000000001"/>
    <n v="0.85599999999999998"/>
    <n v="533.846"/>
  </r>
  <r>
    <s v="Hema"/>
    <s v="SQBIR.HEMA.152.FY26-27.1"/>
    <m/>
    <m/>
    <m/>
    <m/>
    <s v=""/>
    <n v="1923"/>
    <s v=" 95% LENZING MODAL 5% ELASTANE JERSEY GSM-165 CW-167CM/66INCH "/>
    <s v="Black Onyx"/>
    <n v="0"/>
    <n v="205.77500000000001"/>
    <n v="205.77500000000001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5"/>
    <s v="454495165Black Onyx 19-4003 Tcx"/>
    <n v="1219.1600000000001"/>
    <n v="205.84"/>
    <s v=""/>
    <n v="891.15400000000011"/>
    <s v=""/>
    <s v=""/>
    <n v="0"/>
    <s v=""/>
    <n v="1219.1600000000001"/>
    <n v="0.85599999999999998"/>
    <s v=""/>
  </r>
  <r>
    <s v="Hema"/>
    <s v="SQBIR.HEMA.154.FY26-27.1"/>
    <m/>
    <m/>
    <m/>
    <m/>
    <s v=""/>
    <n v="1924"/>
    <s v=" 95% LENZING MODAL 5% ELASTANE JERSEY GSM-165 CW-167CM/66INCH "/>
    <s v="Black Onyx"/>
    <n v="0"/>
    <n v="117.604"/>
    <n v="117.604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1219.1600000000001"/>
    <n v="205.84"/>
    <n v="685.31400000000008"/>
    <n v="891.15400000000011"/>
    <s v=""/>
    <s v=""/>
    <n v="0"/>
    <s v=""/>
    <n v="1219.1600000000001"/>
    <n v="0.85599999999999998"/>
    <n v="533.846"/>
  </r>
  <r>
    <s v="Hema"/>
    <s v="SQBIR.HEMA.155.FY26-27.1"/>
    <m/>
    <m/>
    <m/>
    <m/>
    <s v=""/>
    <n v="1925"/>
    <s v=" 95% LENZING MODAL 5% ELASTANE JERSEY GSM-165 CW-167CM/66INCH "/>
    <s v="Black Onyx"/>
    <n v="-36.896999999999998"/>
    <n v="119.253"/>
    <n v="8.5619999999999994"/>
    <n v="-110.691"/>
    <m/>
    <n v="-110.691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1219.1600000000001"/>
    <n v="205.84"/>
    <n v="685.31400000000008"/>
    <n v="891.15400000000011"/>
    <s v=""/>
    <s v=""/>
    <n v="110.691"/>
    <s v=""/>
    <n v="1219.1600000000001"/>
    <n v="0.85599999999999998"/>
    <n v="533.846"/>
  </r>
  <r>
    <s v="Hema"/>
    <s v="SQBIR.HEMA.151.FY26-27.2"/>
    <m/>
    <m/>
    <m/>
    <m/>
    <s v=""/>
    <n v="1926"/>
    <s v=" 95% LENZING MODAL 5% ELASTANE JERSEY GSM-165 CW-167CM/66INCH "/>
    <s v="Black Onyx"/>
    <n v="-0.84599999999999997"/>
    <n v="2.5379999999999998"/>
    <m/>
    <n v="-2.5379999999999998"/>
    <m/>
    <n v="-2.5379999999999998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5"/>
    <s v="454495165Black Onyx 19-4003 Tcx"/>
    <n v="1219.1600000000001"/>
    <n v="205.84"/>
    <n v="685.31400000000008"/>
    <n v="891.15400000000011"/>
    <s v=""/>
    <s v=""/>
    <n v="2.5379999999999998"/>
    <s v=""/>
    <n v="1219.1600000000001"/>
    <n v="0.85599999999999998"/>
    <n v="533.846"/>
  </r>
  <r>
    <s v="Hema"/>
    <s v="SQBIR.HEMA.355.FY26-27.1"/>
    <m/>
    <m/>
    <m/>
    <m/>
    <s v=""/>
    <n v="1927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07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s v=""/>
    <s v=""/>
    <s v=""/>
    <s v=""/>
    <n v="1314"/>
    <n v="1.0269999999999999"/>
    <n v="1326.7650000000001"/>
  </r>
  <r>
    <s v="Hema"/>
    <s v="SQBIR.HEMA.355.FY26-27.2"/>
    <m/>
    <m/>
    <m/>
    <m/>
    <s v=""/>
    <n v="1928"/>
    <s v=" 96% BCI COTTON 4% ELASTANE JERSEY GSM-160 CW-167CM/66INCH "/>
    <s v="Pink Lemonade - 16-1735 TCX"/>
    <n v="0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14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s v=""/>
    <s v=""/>
    <n v="0"/>
    <s v=""/>
    <n v="1314"/>
    <n v="1.0269999999999999"/>
    <n v="1326.7650000000001"/>
  </r>
  <r>
    <s v="Hema"/>
    <s v="SQBIR.HEMA.355.FY26-27.3"/>
    <m/>
    <m/>
    <m/>
    <m/>
    <s v=""/>
    <n v="1929"/>
    <s v=" 96% BCI COTTON 4% ELASTANE JERSEY GSM-160 CW-167CM/66INCH "/>
    <s v="Pink Lemonade - 16-1735 TCX"/>
    <s v=""/>
    <n v="-4.2549999999999999"/>
    <n v="-4.2549999999999999"/>
    <n v="0"/>
    <m/>
    <n v="0"/>
    <n v="453391"/>
    <s v="Solid"/>
    <x v="1"/>
    <d v="2026-10-01T00:00:00"/>
    <d v="2026-10-01T00:00:00"/>
    <s v="Hues Agreed qty as per SQBL required date"/>
    <m/>
    <s v="Oct"/>
    <d v="2026-10-15T00:00:00"/>
    <m/>
    <m/>
    <m/>
    <m/>
    <m/>
    <m/>
    <m/>
    <m/>
    <m/>
    <m/>
    <s v="453391"/>
    <s v="Pink Lemonade 16-1735 tcx"/>
    <n v="160"/>
    <s v="453391160Pink Lemonade 16-1735 tcx"/>
    <n v="1314"/>
    <n v="-34"/>
    <n v="-12.765000000000001"/>
    <n v="-12.765000000000001"/>
    <s v=""/>
    <s v=""/>
    <n v="0"/>
    <s v=""/>
    <n v="1314"/>
    <n v="1.0269999999999999"/>
    <n v="1326.7650000000001"/>
  </r>
  <r>
    <s v="Hema"/>
    <s v="SQBIR.HEMA.356.FY26-27.1"/>
    <m/>
    <m/>
    <m/>
    <m/>
    <s v=""/>
    <n v="1930"/>
    <s v=" 95% BCI COTTON 5% ELASTANE RIB 2X2 GSM-180 CW-111 CM/44 INCH "/>
    <s v="PEONY-15-1816TCX"/>
    <n v="0"/>
    <n v="679.02700000000004"/>
    <n v="679.02700000000004"/>
    <n v="0"/>
    <m/>
    <n v="0"/>
    <n v="453391"/>
    <s v="Solid"/>
    <x v="1"/>
    <d v="2026-10-01T00:00:00"/>
    <d v="2026-10-01T00:00:00"/>
    <s v="Hues Agreed qty as per SQBL required date"/>
    <m/>
    <s v="Oct"/>
    <d v="2026-10-04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s v=""/>
    <s v=""/>
    <n v="0"/>
    <s v=""/>
    <n v="4559.63"/>
    <n v="0.998"/>
    <n v="72.270000000000437"/>
  </r>
  <r>
    <s v="Hema"/>
    <s v="SQBIR.HEMA.356.FY26-27.2"/>
    <m/>
    <m/>
    <m/>
    <m/>
    <s v=""/>
    <n v="1931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08T00:00:00"/>
    <m/>
    <m/>
    <m/>
    <m/>
    <m/>
    <m/>
    <m/>
    <m/>
    <m/>
    <m/>
    <s v="453391"/>
    <s v="Peony 15-1816 TCX"/>
    <n v="180"/>
    <s v="453391180Peony 15-1816 TCX"/>
    <n v="4559.63"/>
    <n v="10.37"/>
    <s v=""/>
    <s v=""/>
    <s v=""/>
    <s v=""/>
    <n v="0"/>
    <s v=""/>
    <n v="4559.63"/>
    <n v="0.998"/>
    <s v=""/>
  </r>
  <r>
    <s v="Hema"/>
    <s v="SQBIR.HEMA.356.FY26-27.3"/>
    <m/>
    <m/>
    <m/>
    <m/>
    <s v=""/>
    <n v="1932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10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s v=""/>
    <s v=""/>
    <s v=""/>
    <n v="0"/>
    <s v=""/>
    <n v="4559.63"/>
    <n v="0.998"/>
    <n v="72.270000000000437"/>
  </r>
  <r>
    <s v="Hema"/>
    <s v="SQBIR.HEMA.356.FY26-27.4"/>
    <m/>
    <m/>
    <m/>
    <m/>
    <s v=""/>
    <n v="1933"/>
    <s v=" 95% BCI COTTON 5% ELASTANE RIB 2X2 GSM-180 CW-111 CM/44 INCH "/>
    <s v="PEONY-15-1816TCX"/>
    <n v="0"/>
    <n v="761.66700000000003"/>
    <n v="761.66700000000003"/>
    <n v="0"/>
    <m/>
    <n v="0"/>
    <n v="453391"/>
    <s v="Solid"/>
    <x v="1"/>
    <d v="2026-10-01T00:00:00"/>
    <d v="2026-10-01T00:00:00"/>
    <s v="Hues Agreed qty as per SQBL required date"/>
    <m/>
    <s v="Oct"/>
    <d v="2026-10-11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n v="4487.3599999999997"/>
    <s v=""/>
    <s v=""/>
    <n v="0"/>
    <s v=""/>
    <n v="4559.63"/>
    <n v="0.998"/>
    <n v="72.270000000000437"/>
  </r>
  <r>
    <s v="Hema"/>
    <s v="SQBIR.HEMA.038.FY26-27.1"/>
    <m/>
    <m/>
    <m/>
    <m/>
    <s v=""/>
    <n v="1934"/>
    <s v=" 96% BCI COTTON 4% ELASTANE JERSEY GSM-160 CW-167CM/66INCH "/>
    <s v="Smoke-Green-15-6315-TCX"/>
    <n v="0"/>
    <n v="0"/>
    <m/>
    <n v="0"/>
    <m/>
    <n v="0"/>
    <n v="454213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s v=""/>
    <s v=""/>
    <n v="0"/>
    <s v=""/>
    <n v="723"/>
    <n v="0.95799999999999996"/>
    <n v="723"/>
  </r>
  <r>
    <s v="Hema"/>
    <s v="SQBIR.HEMA.039.FY26-27.1"/>
    <m/>
    <m/>
    <m/>
    <m/>
    <s v=""/>
    <n v="1935"/>
    <s v=" 96% BCI COTTON 4% ELASTANE JERSEY GSM-160 CW-167CM/66INCH "/>
    <s v="Smoke-Green-15-6315-TCX"/>
    <n v="0"/>
    <n v="0"/>
    <m/>
    <n v="0"/>
    <m/>
    <n v="0"/>
    <n v="454213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s v=""/>
    <s v=""/>
    <n v="0"/>
    <s v=""/>
    <n v="723"/>
    <n v="0.95799999999999996"/>
    <n v="723"/>
  </r>
  <r>
    <s v="Hema"/>
    <s v="SQBIR.HEMA.356.FY26-27.5"/>
    <m/>
    <m/>
    <m/>
    <m/>
    <s v=""/>
    <n v="1936"/>
    <s v=" 95% BCI COTTON 5% ELASTANE RIB 2X2 GSM-180 CW-111 CM/44 INCH "/>
    <s v="PEONY-15-1816TCX"/>
    <s v=""/>
    <n v="761.66600000000005"/>
    <n v="761.66600000000005"/>
    <n v="0"/>
    <m/>
    <n v="0"/>
    <n v="453391"/>
    <s v="Solid"/>
    <x v="1"/>
    <d v="2026-10-01T00:00:00"/>
    <d v="2026-10-01T00:00:00"/>
    <s v="Hues Agreed qty as per SQBL required date"/>
    <m/>
    <s v="Oct"/>
    <d v="2026-10-12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s v=""/>
    <s v=""/>
    <s v=""/>
    <n v="0"/>
    <s v=""/>
    <n v="4559.63"/>
    <n v="0.998"/>
    <n v="72.270000000000437"/>
  </r>
  <r>
    <s v="Hema"/>
    <s v="SQBIR.HEMA.356.FY26-27.6"/>
    <m/>
    <m/>
    <m/>
    <m/>
    <s v=""/>
    <n v="1937"/>
    <s v=" 95% BCI COTTON 5% ELASTANE RIB 2X2 GSM-180 CW-111 CM/44 INCH "/>
    <s v="PEONY-15-1816TCX"/>
    <n v="0"/>
    <n v="761.66600000000005"/>
    <n v="761.66600000000005"/>
    <n v="0"/>
    <m/>
    <n v="0"/>
    <n v="453391"/>
    <s v="Solid"/>
    <x v="1"/>
    <d v="2026-10-01T00:00:00"/>
    <d v="2026-10-01T00:00:00"/>
    <s v="Hues Agreed qty as per SQBL required date"/>
    <m/>
    <s v="Oct"/>
    <d v="2026-10-12T00:00:00"/>
    <m/>
    <m/>
    <m/>
    <m/>
    <m/>
    <m/>
    <m/>
    <m/>
    <m/>
    <m/>
    <s v="453391"/>
    <s v="Peony 15-1816 TCX"/>
    <n v="180"/>
    <s v="453391180Peony 15-1816 TCX"/>
    <n v="4559.63"/>
    <n v="10.37"/>
    <n v="4487.3599999999997"/>
    <s v=""/>
    <s v=""/>
    <s v=""/>
    <n v="0"/>
    <s v=""/>
    <n v="4559.63"/>
    <n v="0.998"/>
    <n v="72.270000000000437"/>
  </r>
  <r>
    <s v="Hema"/>
    <s v="SQBIR.HEMA.179.FY26-27.1"/>
    <m/>
    <m/>
    <m/>
    <m/>
    <s v=""/>
    <n v="1938"/>
    <s v=" 96% BCI COTTON 4% ELASTANE JERSEY GSM-160 CW-167CM/66INCH "/>
    <s v="YD Black Onyx 19-4003 TCX 7MM Gardenia 11-0604 TCX 1MM"/>
    <n v="0"/>
    <n v="1342.2339999999999"/>
    <n v="1342.2339999999999"/>
    <n v="0"/>
    <m/>
    <n v="0"/>
    <n v="454434"/>
    <s v="Solid"/>
    <x v="54"/>
    <d v="2026-10-10T00:00:00"/>
    <d v="2026-10-09T00:00:00"/>
    <s v="Hues Agreed qty as per SQBL required date"/>
    <m/>
    <s v="Oct"/>
    <d v="2026-10-10T00:00:00"/>
    <m/>
    <m/>
    <m/>
    <m/>
    <m/>
    <m/>
    <m/>
    <m/>
    <m/>
    <m/>
    <s v="454434"/>
    <s v="Black Onyx (19-4003 TCX)"/>
    <n v="160"/>
    <s v="454434160Black Onyx (19-4003 TCX)"/>
    <n v="4551"/>
    <n v="34"/>
    <s v=""/>
    <n v="8848.630000000001"/>
    <s v=""/>
    <s v=""/>
    <n v="0"/>
    <s v=""/>
    <n v="4551"/>
    <n v="0.99299999999999999"/>
    <s v=""/>
  </r>
  <r>
    <s v="Hema"/>
    <s v="SQBIR.HEMA.184.FY26-27.2"/>
    <m/>
    <m/>
    <m/>
    <m/>
    <s v=""/>
    <n v="1939"/>
    <s v=" 96% BCI COTTON 4% ELASTANE JERSEY GSM-160 CW-167CM/66INCH "/>
    <s v="Bark 16-1506TCX"/>
    <n v="0"/>
    <n v="1.2569999999999999"/>
    <n v="1.2569999999999999"/>
    <n v="0"/>
    <m/>
    <n v="0"/>
    <n v="457842"/>
    <s v="Solid"/>
    <x v="52"/>
    <d v="2026-10-02T00:00:00"/>
    <s v="2nd Oct-700 mtr_x000a_5th Oct-2k mtr_x000a_7th Oct-2k mtr_x000a_9th Oct-balance full_x000a_"/>
    <s v="Hues Agreed qty as per SQBL required date"/>
    <m/>
    <s v="Oct"/>
    <d v="2026-10-03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n v="6711.1980000000012"/>
    <s v=""/>
    <s v=""/>
    <s v=""/>
    <s v=""/>
    <n v="9181"/>
    <n v="0.94499999999999995"/>
    <n v="2991.8019999999988"/>
  </r>
  <r>
    <s v="Hema"/>
    <s v="SQBIR.HEMA.185.FY26-27.1"/>
    <m/>
    <m/>
    <m/>
    <m/>
    <s v=""/>
    <n v="1940"/>
    <s v=" 96% BCI COTTON 4% ELASTANE JERSEY GSM-160 CW-167CM/66INCH "/>
    <s v="Bark 16-1506TCX"/>
    <n v="0"/>
    <n v="542.29"/>
    <n v="542.29"/>
    <n v="0"/>
    <m/>
    <n v="0"/>
    <n v="457842"/>
    <s v="Solid"/>
    <x v="52"/>
    <d v="2026-10-02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s v=""/>
    <s v=""/>
    <s v=""/>
    <s v=""/>
    <n v="0"/>
    <s v=""/>
    <n v="9181"/>
    <n v="0.94499999999999995"/>
    <s v=""/>
  </r>
  <r>
    <s v="Hema"/>
    <s v="SQBIR.HEMA.185.FY26-27.1"/>
    <m/>
    <m/>
    <m/>
    <m/>
    <s v=""/>
    <n v="1941"/>
    <s v=" 96% BCI COTTON 4% ELASTANE JERSEY GSM-160 CW-167CM/66INCH "/>
    <s v="MANGANO CALCITE-13-1501-TCX"/>
    <n v="0"/>
    <n v="542.13900000000001"/>
    <n v="542.13900000000001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n v="0"/>
    <s v=""/>
    <n v="9601.2999999999993"/>
    <n v="0.98799999999999999"/>
    <n v="3006.6969999999992"/>
  </r>
  <r>
    <s v="Hema"/>
    <s v="SQBIR.HEMA.186.FY26-27.1"/>
    <m/>
    <m/>
    <m/>
    <m/>
    <s v=""/>
    <n v="1942"/>
    <s v=" 96% BCI COTTON 4% ELASTANE JERSEY GSM-160 CW-167CM/66INCH "/>
    <s v="MANGANO CALCITE-13-1501-TCX"/>
    <n v="0"/>
    <n v="272.27"/>
    <n v="272.27"/>
    <n v="0"/>
    <m/>
    <n v="0"/>
    <n v="457842"/>
    <s v="Solid"/>
    <x v="6"/>
    <d v="2026-10-03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s v=""/>
    <s v=""/>
    <n v="9601.2999999999993"/>
    <n v="0.98799999999999999"/>
    <n v="3006.6969999999992"/>
  </r>
  <r>
    <s v="Hema"/>
    <s v="SQBIR.HEMA.186.FY26-27.1"/>
    <m/>
    <m/>
    <m/>
    <m/>
    <s v=""/>
    <n v="1942"/>
    <s v=" 96% BCI COTTON 4% ELASTANE JERSEY GSM-160 CW-167CM/66INCH "/>
    <s v="MANGANO CALCITE-13-1501-TCX"/>
    <n v="0"/>
    <n v="37.524000000000001"/>
    <n v="37.524000000000001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s v=""/>
    <n v="6707.0460000000003"/>
    <s v=""/>
    <s v=""/>
    <n v="0"/>
    <s v=""/>
    <n v="9601.2999999999993"/>
    <n v="0.98799999999999999"/>
    <s v=""/>
  </r>
  <r>
    <s v="Hema"/>
    <s v="SQBIR.HEMA.187.FY26-27.1"/>
    <m/>
    <m/>
    <m/>
    <m/>
    <s v=""/>
    <n v="1943"/>
    <s v=" 96% BCI COTTON 4% ELASTANE JERSEY GSM-160 CW-167CM/66INCH "/>
    <s v="MANGANO CALCITE-13-1501-TCX"/>
    <s v=""/>
    <n v="309.79399999999998"/>
    <n v="309.79399999999998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n v="0"/>
    <s v=""/>
    <n v="9601.2999999999993"/>
    <n v="0.98799999999999999"/>
    <n v="3006.6969999999992"/>
  </r>
  <r>
    <s v="Hema"/>
    <s v="SQBIR.HEMA.188.FY26-27.1"/>
    <m/>
    <m/>
    <m/>
    <m/>
    <s v=""/>
    <n v="1944"/>
    <s v=" 96% BCI COTTON 4% ELASTANE JERSEY GSM-160 CW-167CM/66INCH "/>
    <s v="MANGANO CALCITE-13-1501-TCX"/>
    <n v="0"/>
    <n v="319.40300000000002"/>
    <n v="319.40300000000002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s v=""/>
    <n v="6707.0460000000003"/>
    <s v=""/>
    <s v=""/>
    <n v="0"/>
    <s v=""/>
    <n v="9601.2999999999993"/>
    <n v="0.98799999999999999"/>
    <s v=""/>
  </r>
  <r>
    <s v="Hema"/>
    <s v="SQBIR.HEMA.266.FY26-27.1"/>
    <m/>
    <m/>
    <m/>
    <m/>
    <s v=""/>
    <n v="1945"/>
    <s v=" 96% BCI COTTON 4% ELASTANE JERSEY GSM-160 CW-167CM/66INCH "/>
    <s v="MANGANO CALCITE-13-1501-TCX"/>
    <n v="0"/>
    <n v="638.43799999999999"/>
    <n v="638.43799999999999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s v=""/>
    <s v=""/>
    <n v="9601.2999999999993"/>
    <n v="0.98799999999999999"/>
    <n v="3006.6969999999992"/>
  </r>
  <r>
    <s v="Hema"/>
    <s v="SQBIR.HEMA.266.FY26-27.2"/>
    <m/>
    <m/>
    <m/>
    <m/>
    <s v=""/>
    <n v="1946"/>
    <s v=" 96% BCI COTTON 4% ELASTANE JERSEY GSM-160 CW-167CM/66INCH "/>
    <s v="MANGANO CALCITE-13-1501-TCX"/>
    <n v="0"/>
    <n v="2.3090000000000002"/>
    <n v="2.3090000000000002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2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s v=""/>
    <n v="6707.0460000000003"/>
    <s v=""/>
    <s v=""/>
    <n v="0"/>
    <s v=""/>
    <n v="9601.2999999999993"/>
    <n v="0.98799999999999999"/>
    <s v=""/>
  </r>
  <r>
    <s v="Hema"/>
    <s v="SQBIR.HEMA.267.FY26-27.1"/>
    <m/>
    <m/>
    <m/>
    <m/>
    <s v=""/>
    <n v="1947"/>
    <s v=" 96% BCI COTTON 4% ELASTANE JERSEY GSM-160 CW-167CM/66INCH "/>
    <s v="MANGANO CALCITE-13-1501-TCX"/>
    <n v="0"/>
    <n v="933.05399999999997"/>
    <n v="933.05399999999997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s v=""/>
    <s v=""/>
    <n v="9601.2999999999993"/>
    <n v="0.98799999999999999"/>
    <n v="3006.6969999999992"/>
  </r>
  <r>
    <s v="Hema"/>
    <s v="SQBIR.HEMA.268.FY26-27.1"/>
    <m/>
    <m/>
    <m/>
    <m/>
    <s v=""/>
    <n v="1948"/>
    <s v=" 96% BCI COTTON 4% ELASTANE JERSEY GSM-160 CW-167CM/66INCH "/>
    <s v="MANGANO CALCITE-13-1501-TCX"/>
    <n v="0"/>
    <n v="533.10799999999995"/>
    <n v="533.10799999999995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n v="0"/>
    <s v=""/>
    <n v="9601.2999999999993"/>
    <n v="0.98799999999999999"/>
    <n v="3006.6969999999992"/>
  </r>
  <r>
    <s v="Hema"/>
    <s v="SQBIR.HEMA.269.FY26-27.1"/>
    <m/>
    <m/>
    <m/>
    <m/>
    <s v=""/>
    <n v="1949"/>
    <s v=" 96% BCI COTTON 4% ELASTANE JERSEY GSM-160 CW-167CM/66INCH "/>
    <s v="MANGANO CALCITE-13-1501-TCX"/>
    <n v="0"/>
    <n v="533.10799999999995"/>
    <n v="533.10799999999995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n v="6707.0460000000003"/>
    <s v=""/>
    <s v=""/>
    <n v="0"/>
    <s v=""/>
    <n v="9601.2999999999993"/>
    <n v="0.98799999999999999"/>
    <n v="3006.6969999999992"/>
  </r>
  <r>
    <s v="Hema"/>
    <s v="SQBIR.HEMA.270.FY26-27.1"/>
    <m/>
    <m/>
    <m/>
    <m/>
    <s v=""/>
    <n v="1950"/>
    <s v=" 96% BCI COTTON 4% ELASTANE JERSEY GSM-160 CW-167CM/66INCH "/>
    <s v="MANGANO CALCITE-13-1501-TCX"/>
    <n v="-37.480999999999995"/>
    <n v="551.81799999999998"/>
    <n v="439.375"/>
    <n v="-112.44299999999998"/>
    <m/>
    <n v="-112.44299999999998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s v=""/>
    <n v="6707.0460000000003"/>
    <s v=""/>
    <s v=""/>
    <n v="112.44299999999998"/>
    <s v=""/>
    <n v="9601.2999999999993"/>
    <n v="0.98799999999999999"/>
    <s v=""/>
  </r>
  <r>
    <s v="Hema"/>
    <s v="SQBIR.HEMA.172.FY26-27.1"/>
    <m/>
    <m/>
    <m/>
    <m/>
    <s v=""/>
    <n v="1951"/>
    <s v=" 96% BCI COTTON 4% ELASTANE JERSEY GSM-160 CW-167CM/66INCH "/>
    <s v="Sea-Spray-17-6212-TCX"/>
    <n v="0"/>
    <n v="890.21"/>
    <n v="890.21"/>
    <n v="0"/>
    <m/>
    <n v="0"/>
    <n v="457842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7842"/>
    <s v="Sea Spray 17-6212 TCx"/>
    <n v="160"/>
    <s v="457842160Sea Spray 17-6212 TCx"/>
    <n v="7786.29"/>
    <n v="93.71"/>
    <n v="3620.7840000000006"/>
    <n v="3714.4940000000006"/>
    <s v=""/>
    <s v=""/>
    <s v=""/>
    <s v=""/>
    <n v="7786.29"/>
    <n v="0.98799999999999999"/>
    <n v="4165.5059999999994"/>
  </r>
  <r>
    <s v="Hema"/>
    <s v="SQBIR.HEMA.173.FY26-27.1"/>
    <m/>
    <m/>
    <m/>
    <m/>
    <s v=""/>
    <n v="1952"/>
    <s v=" 96% BCI COTTON 4% ELASTANE JERSEY GSM-160 CW-167CM/66INCH "/>
    <s v="Sea-Spray-17-6212-TCX"/>
    <n v="0"/>
    <n v="1389.742"/>
    <n v="1389.742"/>
    <n v="0"/>
    <m/>
    <n v="0"/>
    <n v="457842"/>
    <s v="Solid"/>
    <x v="24"/>
    <d v="2026-10-06T00:00:00"/>
    <d v="2026-10-05T00:00:00"/>
    <s v="Hues Agreed qty as per SQBL required date"/>
    <m/>
    <s v="Oct"/>
    <d v="2026-10-05T00:00:00"/>
    <m/>
    <m/>
    <m/>
    <m/>
    <m/>
    <m/>
    <m/>
    <m/>
    <m/>
    <m/>
    <s v="457842"/>
    <s v="Sea Spray 17-6212 TCx"/>
    <n v="160"/>
    <s v="457842160Sea Spray 17-6212 TCx"/>
    <n v="7786.29"/>
    <n v="93.71"/>
    <s v=""/>
    <n v="3714.4940000000006"/>
    <s v=""/>
    <s v=""/>
    <n v="0"/>
    <s v=""/>
    <n v="7786.29"/>
    <n v="0.98799999999999999"/>
    <s v=""/>
  </r>
  <r>
    <s v="Hema"/>
    <s v="SQBIR.HEMA.390.FY26-27.1"/>
    <m/>
    <m/>
    <m/>
    <m/>
    <s v=""/>
    <n v="1953"/>
    <s v=" 95% LENZING MODAL 5% ELASTANE JERSEY GSM-165 CW-167CM/66INCH "/>
    <s v="Smoke-Green-15-6315-TCX"/>
    <n v="0"/>
    <n v="95.06"/>
    <n v="95.06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s v=""/>
    <n v="442.09200000000004"/>
    <s v=""/>
    <s v=""/>
    <n v="0"/>
    <s v=""/>
    <n v="862.65"/>
    <n v="1.0209999999999999"/>
    <s v=""/>
  </r>
  <r>
    <s v="Hema"/>
    <s v="SQBIR.HEMA.390.FY26-27.2"/>
    <m/>
    <m/>
    <m/>
    <m/>
    <s v=""/>
    <n v="1954"/>
    <s v=" 95% LENZING MODAL 5% ELASTANE JERSEY GSM-165 CW-167CM/66INCH "/>
    <s v="Smoke-Green-15-6315-TCX"/>
    <s v=""/>
    <n v="1.302"/>
    <n v="1.302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s v=""/>
    <s v=""/>
    <s v=""/>
    <s v=""/>
    <n v="0"/>
    <s v=""/>
    <n v="862.65"/>
    <n v="1.0209999999999999"/>
    <s v=""/>
  </r>
  <r>
    <s v="Hema"/>
    <s v="SQBIR.HEMA.397.FY25-26.2"/>
    <m/>
    <m/>
    <m/>
    <m/>
    <n v="169.78"/>
    <n v="1955"/>
    <s v="95% BCI Cotton 5% Elastane S/J 160GSM CW 66in"/>
    <s v="Medieval blue 19-3933TCX"/>
    <n v="0"/>
    <n v="-2145.875"/>
    <n v="-2145.875"/>
    <n v="0"/>
    <m/>
    <n v="0"/>
    <n v="453667"/>
    <s v="Solid"/>
    <x v="55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3667"/>
    <s v="Medieval Blue 19-3933 TCX"/>
    <n v="160"/>
    <s v="453667160Medieval Blue 19-3933 TCX"/>
    <n v="9169.7800000000007"/>
    <n v="-169.78"/>
    <n v="-2145.875"/>
    <n v="-2145.875"/>
    <s v=""/>
    <s v=""/>
    <n v="0"/>
    <n v="169.78"/>
    <n v="9169.7800000000007"/>
    <n v="1.0189999999999999"/>
    <n v="11315.655000000001"/>
  </r>
  <r>
    <s v="Hema"/>
    <s v="SQBIR.HEMA.398.FY25-26.1"/>
    <m/>
    <m/>
    <m/>
    <m/>
    <n v="169.78"/>
    <n v="1956"/>
    <s v="95% BCI Cotton 5% Elastane S/J 160GSM CW 66in"/>
    <s v="Medieval blue 19-3933TCX"/>
    <n v="0"/>
    <n v="0"/>
    <n v="0"/>
    <n v="0"/>
    <m/>
    <n v="0"/>
    <n v="453667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3667"/>
    <s v="Medieval Blue 19-3933 TCX"/>
    <n v="160"/>
    <s v="453667160Medieval Blue 19-3933 TCX"/>
    <n v="9169.7800000000007"/>
    <n v="-169.78"/>
    <n v="-2145.875"/>
    <n v="-2145.875"/>
    <s v=""/>
    <s v=""/>
    <n v="0"/>
    <n v="169.78"/>
    <n v="9169.7800000000007"/>
    <n v="1.0189999999999999"/>
    <n v="11315.655000000001"/>
  </r>
  <r>
    <s v="Hema"/>
    <s v="SQBIR.HEMA.235.FY26-27.1"/>
    <m/>
    <m/>
    <m/>
    <m/>
    <s v=""/>
    <n v="1957"/>
    <s v=" 96% BCI COTTON 4% ELASTANE JERSEY GSM-160 CW-167CM/66INCH "/>
    <s v="Black Onyx"/>
    <n v="0"/>
    <n v="746.99400000000003"/>
    <n v="746.99400000000003"/>
    <n v="0"/>
    <m/>
    <n v="0"/>
    <n v="454619"/>
    <s v="Solid"/>
    <x v="26"/>
    <d v="2026-10-05T00:00:00"/>
    <d v="2026-10-04T00:00:00"/>
    <s v="Hues Agreed qty as per SQBL required date"/>
    <m/>
    <s v="Oct"/>
    <d v="2026-10-04T00:00:00"/>
    <m/>
    <m/>
    <m/>
    <m/>
    <m/>
    <m/>
    <m/>
    <s v="OTT CHNG TO 16TH"/>
    <m/>
    <m/>
    <s v="454619"/>
    <s v="Black Onyx (19-4003 TCX)"/>
    <n v="160"/>
    <s v="454619160Black Onyx (19-4003 TCX)"/>
    <n v="4334.8999999999996"/>
    <n v="265.10000000000002"/>
    <n v="2475.6930000000002"/>
    <n v="2740.7930000000001"/>
    <s v=""/>
    <s v=""/>
    <n v="0"/>
    <s v=""/>
    <n v="4334.8999999999996"/>
    <n v="0.94199999999999995"/>
    <n v="1859.2069999999994"/>
  </r>
  <r>
    <s v="Hema"/>
    <s v="SQBIR.HEMA.274.FY26-27.1"/>
    <m/>
    <m/>
    <m/>
    <m/>
    <s v=""/>
    <n v="1958"/>
    <s v=" 96% BCI COTTON 4% ELASTANE JERSEY GSM-160 CW-167CM/66INCH "/>
    <s v="Black Onyx"/>
    <n v="0"/>
    <n v="930.5"/>
    <n v="930.5"/>
    <n v="0"/>
    <m/>
    <n v="0"/>
    <n v="454619"/>
    <s v="Solid"/>
    <x v="26"/>
    <d v="2026-10-05T00:00:00"/>
    <d v="2026-10-04T00:00:00"/>
    <s v="Hues Agreed qty as per SQBL required date"/>
    <m/>
    <s v="Oct"/>
    <d v="2026-10-01T00:00:00"/>
    <m/>
    <m/>
    <m/>
    <m/>
    <m/>
    <m/>
    <m/>
    <s v="OTT CHNG TO 16TH"/>
    <m/>
    <m/>
    <s v="454619"/>
    <s v="Black Onyx (19-4003 TCX)"/>
    <n v="160"/>
    <s v="454619160Black Onyx (19-4003 TCX)"/>
    <n v="4334.8999999999996"/>
    <n v="265.10000000000002"/>
    <n v="2475.6930000000002"/>
    <n v="2740.7930000000001"/>
    <s v=""/>
    <s v=""/>
    <n v="0"/>
    <s v=""/>
    <n v="4334.8999999999996"/>
    <n v="0.94199999999999995"/>
    <n v="1859.2069999999994"/>
  </r>
  <r>
    <s v="Hema"/>
    <s v="SQBIR.HEMA.110.FY26-27.4"/>
    <m/>
    <m/>
    <m/>
    <m/>
    <s v=""/>
    <n v="1959"/>
    <s v=" 96% BCI COTTON 4% ELASTANE JERSEY GSM-160 CW-167CM/66INCH "/>
    <s v="Bright White"/>
    <n v="0"/>
    <m/>
    <m/>
    <n v="0"/>
    <m/>
    <n v="0"/>
    <n v="453421"/>
    <s v="Solid"/>
    <x v="30"/>
    <d v="2026-10-20T00:00:00"/>
    <s v="(22nd Oct-30th Oct)-1k mtr/day"/>
    <s v="Revised Plan given as per revised date"/>
    <m/>
    <s v="Oct"/>
    <d v="2026-10-16T00:00:00"/>
    <m/>
    <m/>
    <m/>
    <m/>
    <m/>
    <m/>
    <m/>
    <m/>
    <m/>
    <m/>
    <s v="453421"/>
    <s v="Bright White (11-0601 TCX)"/>
    <n v="160"/>
    <s v="453421160Bright White (11-0601 TCX)"/>
    <n v="102"/>
    <n v="14248.98"/>
    <n v="0"/>
    <s v=""/>
    <s v=""/>
    <s v=""/>
    <n v="0"/>
    <s v=""/>
    <n v="102"/>
    <n v="7.0000000000000001E-3"/>
    <n v="102"/>
  </r>
  <r>
    <s v="Hema"/>
    <s v="SQBIR.HEMA.163.FY26-27.1"/>
    <m/>
    <m/>
    <m/>
    <m/>
    <s v=""/>
    <n v="1960"/>
    <s v=" 96% BCI COTTON 4% ELASTANE JERSEY GSM-160 CW-167CM/66INCH "/>
    <s v="GARDENIA 11-0604TCX"/>
    <n v="-156.18866666666665"/>
    <n v="468.56599999999997"/>
    <m/>
    <n v="-468.56599999999997"/>
    <m/>
    <n v="-468.56599999999997"/>
    <n v="453421"/>
    <s v="Solid"/>
    <x v="9"/>
    <d v="2026-11-01T00:00:00"/>
    <s v="1st-5th Nov"/>
    <s v="Revised Plan given as per revised date"/>
    <m/>
    <s v="Oct"/>
    <d v="2026-10-01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s v=""/>
    <s v=""/>
    <n v="468.56599999999997"/>
    <s v=""/>
    <n v="179"/>
    <n v="3.3000000000000002E-2"/>
    <n v="179"/>
  </r>
  <r>
    <s v="Hema"/>
    <s v="SQBIR.HEMA.163.FY26-27.2"/>
    <m/>
    <m/>
    <m/>
    <m/>
    <s v=""/>
    <n v="1961"/>
    <s v=" 96% BCI COTTON 4% ELASTANE JERSEY GSM-160 CW-167CM/66INCH "/>
    <s v="GARDENIA 11-0604TCX"/>
    <n v="-104.94266666666665"/>
    <n v="314.82799999999997"/>
    <m/>
    <n v="-314.82799999999997"/>
    <m/>
    <n v="-314.82799999999997"/>
    <n v="453421"/>
    <s v="Solid"/>
    <x v="9"/>
    <d v="2026-11-01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s v=""/>
    <n v="3916.973"/>
    <s v=""/>
    <s v=""/>
    <n v="314.82799999999997"/>
    <s v=""/>
    <n v="179"/>
    <n v="3.3000000000000002E-2"/>
    <s v=""/>
  </r>
  <r>
    <s v="Hema"/>
    <s v="SQBIR.HEMA.163.FY26-27.2"/>
    <m/>
    <m/>
    <m/>
    <m/>
    <s v=""/>
    <n v="1961"/>
    <s v=" 96% BCI COTTON 4% ELASTANE JERSEY GSM-160 CW-167CM/66INCH "/>
    <s v="GARDENIA 11-0604TCX"/>
    <n v="-261.13133333333332"/>
    <n v="783.39400000000001"/>
    <m/>
    <n v="-783.39400000000001"/>
    <m/>
    <n v="-783.39400000000001"/>
    <n v="453421"/>
    <s v="Solid"/>
    <x v="10"/>
    <d v="2026-11-02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s v=""/>
    <s v=""/>
    <n v="783.39400000000001"/>
    <s v=""/>
    <n v="179"/>
    <n v="3.3000000000000002E-2"/>
    <n v="179"/>
  </r>
  <r>
    <s v="Hema"/>
    <s v="SQBIR.HEMA.163.FY26-27.2"/>
    <m/>
    <m/>
    <m/>
    <m/>
    <s v=""/>
    <n v="1961"/>
    <s v=" 96% BCI COTTON 4% ELASTANE JERSEY GSM-160 CW-167CM/66INCH "/>
    <s v="GARDENIA 11-0604TCX"/>
    <n v="-261.13133333333332"/>
    <n v="783.39400000000001"/>
    <m/>
    <n v="-783.39400000000001"/>
    <m/>
    <n v="-783.39400000000001"/>
    <n v="453421"/>
    <s v="Solid"/>
    <x v="11"/>
    <d v="2026-11-03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s v=""/>
    <s v=""/>
    <n v="783.39400000000001"/>
    <s v=""/>
    <n v="179"/>
    <n v="3.3000000000000002E-2"/>
    <n v="179"/>
  </r>
  <r>
    <s v="Hema"/>
    <s v="SQBIR.HEMA.163.FY26-27.2"/>
    <m/>
    <m/>
    <m/>
    <m/>
    <s v=""/>
    <n v="1961"/>
    <s v=" 96% BCI COTTON 4% ELASTANE JERSEY GSM-160 CW-167CM/66INCH "/>
    <s v="GARDENIA 11-0604TCX"/>
    <s v=""/>
    <n v="4.2080000000000002"/>
    <m/>
    <n v="-4.2080000000000002"/>
    <m/>
    <n v="-4.2080000000000002"/>
    <n v="453421"/>
    <s v="Solid"/>
    <x v="19"/>
    <d v="2026-11-04T00:00:00"/>
    <s v="1st-5th Nov"/>
    <s v="Revised Plan given as per revised date"/>
    <m/>
    <s v="Oct"/>
    <d v="2026-10-07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s v=""/>
    <s v=""/>
    <s v=""/>
    <s v=""/>
    <n v="179"/>
    <n v="3.3000000000000002E-2"/>
    <n v="179"/>
  </r>
  <r>
    <s v="Hema"/>
    <s v="SQBIR.HEMA.163.FY26-27.3"/>
    <m/>
    <m/>
    <m/>
    <m/>
    <s v=""/>
    <n v="1962"/>
    <s v=" 96% BCI COTTON 4% ELASTANE JERSEY GSM-160 CW-167CM/66INCH "/>
    <s v="GARDENIA 11-0604TCX"/>
    <n v="-259.7286666666667"/>
    <n v="779.18600000000004"/>
    <m/>
    <n v="-779.18600000000004"/>
    <m/>
    <n v="-779.18600000000004"/>
    <n v="453421"/>
    <s v="Solid"/>
    <x v="19"/>
    <d v="2026-11-04T00:00:00"/>
    <s v="1st-5th Nov"/>
    <s v="Revised Plan given as per revised date"/>
    <m/>
    <s v="Oct"/>
    <d v="2026-10-08T00:00:00"/>
    <m/>
    <m/>
    <m/>
    <m/>
    <m/>
    <m/>
    <m/>
    <m/>
    <m/>
    <m/>
    <s v="453421"/>
    <s v="Gardenia 11-0604 TCX"/>
    <n v="160"/>
    <s v="453421160Gardenia 11-0604 TCX"/>
    <n v="179"/>
    <n v="5321"/>
    <n v="0"/>
    <s v=""/>
    <s v=""/>
    <s v=""/>
    <n v="779.18600000000004"/>
    <s v=""/>
    <n v="179"/>
    <n v="3.3000000000000002E-2"/>
    <n v="179"/>
  </r>
  <r>
    <s v="Hema"/>
    <s v="SQBIR.HEMA.163.FY26-27.3"/>
    <m/>
    <m/>
    <m/>
    <m/>
    <s v=""/>
    <n v="1962"/>
    <s v=" 96% BCI COTTON 4% ELASTANE JERSEY GSM-160 CW-167CM/66INCH "/>
    <s v="GARDENIA 11-0604TCX"/>
    <n v="-261.13233333333335"/>
    <n v="783.39700000000005"/>
    <m/>
    <n v="-783.39700000000005"/>
    <m/>
    <n v="-783.39700000000005"/>
    <n v="453421"/>
    <s v="Solid"/>
    <x v="20"/>
    <d v="2026-11-05T00:00:00"/>
    <s v="1st-5th Nov"/>
    <s v="Revised Plan given as per revised date"/>
    <m/>
    <s v="Oct"/>
    <d v="2026-10-08T00:00:00"/>
    <m/>
    <m/>
    <m/>
    <m/>
    <m/>
    <m/>
    <m/>
    <m/>
    <m/>
    <m/>
    <s v="453421"/>
    <s v="Gardenia 11-0604 TCX"/>
    <n v="160"/>
    <s v="453421160Gardenia 11-0604 TCX"/>
    <n v="179"/>
    <n v="5321"/>
    <n v="0"/>
    <n v="3916.973"/>
    <s v=""/>
    <s v=""/>
    <n v="783.39700000000005"/>
    <s v=""/>
    <n v="179"/>
    <n v="3.3000000000000002E-2"/>
    <n v="179"/>
  </r>
  <r>
    <s v="Hema"/>
    <s v="SQBIR.HEMA.162.FY26-27.1"/>
    <m/>
    <m/>
    <m/>
    <m/>
    <s v=""/>
    <n v="1963"/>
    <s v=" 96% BCI COTTON 4% ELASTANE JERSEY GSM-160 CW-167CM/66INCH "/>
    <s v="Black Onyx"/>
    <n v="-212.53766666666669"/>
    <n v="637.61300000000006"/>
    <m/>
    <n v="-637.61300000000006"/>
    <m/>
    <n v="-637.61300000000006"/>
    <n v="453421"/>
    <s v="Solid"/>
    <x v="9"/>
    <d v="2026-11-01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160"/>
    <s v="453421160Black Onyx (19-4003 TCX)"/>
    <n v="2391"/>
    <n v="17237.89"/>
    <s v=""/>
    <n v="14486.914000000002"/>
    <s v=""/>
    <s v=""/>
    <n v="637.61300000000006"/>
    <s v=""/>
    <n v="2391"/>
    <n v="0.122"/>
    <s v=""/>
  </r>
  <r>
    <s v="Hema"/>
    <s v="SQBIR.HEMA.162.FY26-27.2"/>
    <m/>
    <m/>
    <m/>
    <m/>
    <s v=""/>
    <n v="1964"/>
    <s v=" 96% BCI COTTON 4% ELASTANE JERSEY GSM-160 CW-167CM/66INCH "/>
    <s v="Black Onyx"/>
    <n v="-270.35933333333332"/>
    <n v="811.07799999999997"/>
    <m/>
    <n v="-811.07799999999997"/>
    <m/>
    <n v="-811.07799999999997"/>
    <n v="453421"/>
    <s v="Solid"/>
    <x v="9"/>
    <d v="2026-11-01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n v="14486.914000000002"/>
    <s v=""/>
    <s v=""/>
    <n v="811.07799999999997"/>
    <s v=""/>
    <n v="2391"/>
    <n v="0.122"/>
    <n v="2391"/>
  </r>
  <r>
    <s v="Hema"/>
    <s v="SQBIR.HEMA.162.FY26-27.2"/>
    <m/>
    <m/>
    <m/>
    <m/>
    <s v=""/>
    <n v="1964"/>
    <s v=" 96% BCI COTTON 4% ELASTANE JERSEY GSM-160 CW-167CM/66INCH "/>
    <s v="Black Onyx"/>
    <n v="-348.05966666666671"/>
    <n v="1044.1790000000001"/>
    <m/>
    <n v="-1044.1790000000001"/>
    <m/>
    <n v="-1044.1790000000001"/>
    <n v="453421"/>
    <s v="Solid"/>
    <x v="10"/>
    <d v="2026-11-02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160"/>
    <s v="453421160Black Onyx (19-4003 TCX)"/>
    <n v="2391"/>
    <n v="17237.89"/>
    <s v=""/>
    <n v="14486.914000000002"/>
    <s v=""/>
    <s v=""/>
    <n v="1044.1790000000001"/>
    <s v=""/>
    <n v="2391"/>
    <n v="0.122"/>
    <s v=""/>
  </r>
  <r>
    <s v="Hema"/>
    <s v="SQBIR.HEMA.162.FY26-27.3"/>
    <m/>
    <m/>
    <m/>
    <m/>
    <s v=""/>
    <n v="1965"/>
    <s v=" 96% BCI COTTON 4% ELASTANE JERSEY GSM-160 CW-167CM/66INCH "/>
    <s v="Black Onyx"/>
    <n v="-134.83733333333333"/>
    <n v="404.512"/>
    <m/>
    <n v="-404.512"/>
    <m/>
    <n v="-404.512"/>
    <n v="453421"/>
    <s v="Solid"/>
    <x v="10"/>
    <d v="2026-11-02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n v="14486.914000000002"/>
    <s v=""/>
    <s v=""/>
    <n v="404.512"/>
    <s v=""/>
    <n v="2391"/>
    <n v="0.122"/>
    <n v="2391"/>
  </r>
  <r>
    <s v="Hema"/>
    <s v="SQBIR.HEMA.162.FY26-27.3"/>
    <m/>
    <m/>
    <m/>
    <m/>
    <s v=""/>
    <n v="1965"/>
    <s v=" 96% BCI COTTON 4% ELASTANE JERSEY GSM-160 CW-167CM/66INCH "/>
    <s v="Black Onyx"/>
    <n v="-377.65333333333336"/>
    <n v="1132.96"/>
    <m/>
    <n v="-1132.96"/>
    <m/>
    <n v="-1132.96"/>
    <n v="453421"/>
    <s v="Solid"/>
    <x v="11"/>
    <d v="2026-11-03T00:00:00"/>
    <s v="(1st-10th) Nov"/>
    <s v="Revised Plan given as per revised date"/>
    <m/>
    <s v="Oct"/>
    <d v="2026-10-14T00:00:00"/>
    <m/>
    <m/>
    <m/>
    <m/>
    <m/>
    <m/>
    <m/>
    <m/>
    <m/>
    <m/>
    <s v="453421"/>
    <s v="Black Onyx (19-4003 TCX)"/>
    <n v="160"/>
    <s v="453421160Black Onyx (19-4003 TCX)"/>
    <n v="2391"/>
    <n v="17237.89"/>
    <s v=""/>
    <n v="14486.914000000002"/>
    <s v=""/>
    <s v=""/>
    <n v="1132.96"/>
    <s v=""/>
    <n v="2391"/>
    <n v="0.122"/>
    <s v=""/>
  </r>
  <r>
    <s v="Hema"/>
    <s v="SQBIR.HEMA.812.FY25-26.1"/>
    <m/>
    <m/>
    <m/>
    <m/>
    <s v=""/>
    <n v="1966"/>
    <s v=" 96% BCI COTTON 4% ELASTANE JERSEY GSM-160 CW-167CM/66INCH "/>
    <s v="Bright White"/>
    <s v=""/>
    <n v="0"/>
    <m/>
    <n v="0"/>
    <m/>
    <n v="0"/>
    <n v="454805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805"/>
    <s v="Bright White (11-0601 TCX)"/>
    <n v="160"/>
    <s v="454805160Bright White (11-0601 TCX)"/>
    <n v="0"/>
    <s v="#NA"/>
    <n v="0"/>
    <n v="0"/>
    <s v=""/>
    <s v=""/>
    <s v=""/>
    <s v=""/>
    <n v="0"/>
    <n v="0"/>
    <n v="0"/>
  </r>
  <r>
    <s v="Hema"/>
    <s v="SQBIR.HEMA.190.FY26-27.1"/>
    <m/>
    <m/>
    <m/>
    <m/>
    <s v=""/>
    <n v="1967"/>
    <s v=" 96% BCI COTTON 4% ELASTANE SINGLE JERSEY GSM-160 CW-167CM/66INCH "/>
    <s v="YD Black Onyx 19-4003 TCX 7MM Gardenia 11-0604 TCX 1MM"/>
    <n v="0"/>
    <n v="348.28199999999998"/>
    <n v="348.28199999999998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190.FY26-27.2"/>
    <m/>
    <m/>
    <m/>
    <m/>
    <s v=""/>
    <n v="1968"/>
    <s v=" 96% BCI COTTON 4% ELASTANE SINGLE JERSEY GSM-160 CW-167CM/66INCH "/>
    <s v="YD Black Onyx 19-4003 TCX 7MM Gardenia 11-0604 TCX 1MM"/>
    <s v=""/>
    <n v="1.26"/>
    <n v="1.26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s v=""/>
    <s v=""/>
    <n v="4551"/>
    <n v="0.99299999999999999"/>
    <n v="-4297.630000000001"/>
  </r>
  <r>
    <s v="Hema"/>
    <s v="SQBIR.HEMA.164.FY26-27.3"/>
    <m/>
    <m/>
    <m/>
    <m/>
    <s v=""/>
    <n v="1969"/>
    <s v=" 95% BCI COTTON 4% ELASTANE 1% VISCOSE SINGLE JERSEY GSM-160 CW-167CM/66INCH "/>
    <s v="Oatmeal Melange"/>
    <n v="-57.045999999999992"/>
    <n v="649.81399999999996"/>
    <n v="478.67599999999999"/>
    <n v="-171.13799999999998"/>
    <m/>
    <n v="-171.13799999999998"/>
    <n v="453421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3421"/>
    <s v="Oatmeal Melange"/>
    <n v="160"/>
    <s v="453421160Oatmeal Melange"/>
    <n v="2728.65"/>
    <n v="171.35"/>
    <n v="1224.6759999999999"/>
    <n v="1396.0259999999998"/>
    <s v=""/>
    <s v=""/>
    <n v="171.13799999999998"/>
    <s v=""/>
    <n v="2728.65"/>
    <n v="0.94099999999999995"/>
    <n v="1503.9740000000002"/>
  </r>
  <r>
    <s v="Hema"/>
    <s v="SQBIR.HEMA.164.FY26-27.6"/>
    <m/>
    <m/>
    <m/>
    <m/>
    <s v=""/>
    <n v="1970"/>
    <s v=" 95% BCI COTTON 4% ELASTANE 1% VISCOSE SINGLE JERSEY GSM-160 CW-167CM/66INCH "/>
    <s v="Oatmeal Melange"/>
    <s v=""/>
    <n v="0"/>
    <m/>
    <n v="0"/>
    <m/>
    <n v="0"/>
    <n v="453421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3421"/>
    <s v="Oatmeal Melange"/>
    <n v="160"/>
    <s v="453421160Oatmeal Melange"/>
    <n v="2728.65"/>
    <n v="171.35"/>
    <n v="1224.6759999999999"/>
    <n v="1396.0259999999998"/>
    <s v=""/>
    <s v=""/>
    <n v="0"/>
    <s v=""/>
    <n v="2728.65"/>
    <n v="0.94099999999999995"/>
    <n v="1503.9740000000002"/>
  </r>
  <r>
    <s v="Hema"/>
    <s v="SQBIR.HEMA.308.FY26-27.1"/>
    <m/>
    <m/>
    <m/>
    <m/>
    <s v=""/>
    <n v="1971"/>
    <s v=" 96% ORGANIC COTTON 4% ELASTANE JERSEY GSM-160 CW-167CM/66INCH "/>
    <s v="SUNLIGHT-13-0822-TCX"/>
    <n v="0"/>
    <n v="0"/>
    <n v="0"/>
    <n v="0"/>
    <m/>
    <n v="0"/>
    <n v="456385"/>
    <s v="Solid"/>
    <x v="54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s v=""/>
    <s v=""/>
    <n v="0"/>
    <s v=""/>
    <n v="824.05"/>
    <n v="1.02"/>
    <n v="824.05"/>
  </r>
  <r>
    <s v="Hema"/>
    <s v="SQBIR.HEMA.308.FY26-27.2"/>
    <m/>
    <m/>
    <m/>
    <m/>
    <s v=""/>
    <n v="1972"/>
    <s v=" 96% ORGANIC COTTON 4% ELASTANE JERSEY GSM-160 CW-167CM/66INCH "/>
    <s v="SUNLIGHT-13-0822-TCX"/>
    <n v="0"/>
    <n v="0"/>
    <n v="0"/>
    <n v="0"/>
    <m/>
    <n v="0"/>
    <n v="456385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Sun light 13-0822 tcx"/>
    <n v="160"/>
    <s v="456385160Sun light 13-0822 tcx"/>
    <n v="824.05"/>
    <n v="-16.47"/>
    <n v="0"/>
    <n v="0"/>
    <s v=""/>
    <s v=""/>
    <n v="0"/>
    <s v=""/>
    <n v="824.05"/>
    <n v="1.02"/>
    <n v="824.05"/>
  </r>
  <r>
    <s v="Hema"/>
    <s v="SQBIR.HEMA.164.FY26-27.1"/>
    <m/>
    <m/>
    <m/>
    <m/>
    <s v=""/>
    <n v="1973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9"/>
    <d v="2026-11-01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4.37"/>
    <n v="13888.91"/>
    <s v=""/>
    <s v=""/>
    <s v=""/>
    <s v=""/>
    <n v="1196.6969999999999"/>
    <s v=""/>
    <n v="226"/>
    <n v="0.88400000000000001"/>
    <s v=""/>
  </r>
  <r>
    <s v="Hema"/>
    <s v="SQBIR.HEMA.164.FY26-27.1"/>
    <m/>
    <m/>
    <m/>
    <m/>
    <s v=""/>
    <n v="1973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10"/>
    <d v="2026-11-02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n v="1196.6969999999999"/>
    <s v=""/>
    <n v="226"/>
    <n v="0.88400000000000001"/>
    <n v="2264.37"/>
  </r>
  <r>
    <s v="Hema"/>
    <s v="SQBIR.HEMA.164.FY26-27.1"/>
    <m/>
    <m/>
    <m/>
    <m/>
    <s v=""/>
    <n v="1973"/>
    <s v=" 94% BCI COTTON 5% ELASTANE 1% VISCOSE RIB 2X2 GSM-210 CW-106 CM/ 42 INCH "/>
    <s v="Oatmeal Melange"/>
    <s v=""/>
    <n v="547.38499999999999"/>
    <m/>
    <n v="-547.38499999999999"/>
    <m/>
    <n v="-547.38499999999999"/>
    <n v="453421"/>
    <s v="Solid"/>
    <x v="11"/>
    <d v="2026-11-03T00:00:00"/>
    <s v="1st-10th Nov"/>
    <s v="Revised Plan given as per revised date"/>
    <m/>
    <s v="Oct"/>
    <d v="2026-10-02T00:00:00"/>
    <m/>
    <m/>
    <m/>
    <m/>
    <m/>
    <m/>
    <m/>
    <m/>
    <m/>
    <m/>
    <s v="453421"/>
    <s v="Oatmeal Melange"/>
    <n v="210"/>
    <s v="453421210Oatmeal Melange"/>
    <n v="2264.37"/>
    <n v="13888.91"/>
    <n v="0"/>
    <s v=""/>
    <s v=""/>
    <s v=""/>
    <s v=""/>
    <s v=""/>
    <n v="226"/>
    <n v="0.88400000000000001"/>
    <n v="2264.37"/>
  </r>
  <r>
    <s v="Hema"/>
    <s v="SQBIR.HEMA.164.FY26-27.2"/>
    <m/>
    <m/>
    <m/>
    <m/>
    <s v=""/>
    <n v="1974"/>
    <s v=" 94% BCI COTTON 5% ELASTANE 1% VISCOSE RIB 2X2 GSM-210 CW-106 CM/ 42 INCH "/>
    <s v="Oatmeal Melange"/>
    <n v="-216.43733333333333"/>
    <n v="649.31200000000001"/>
    <m/>
    <n v="-649.31200000000001"/>
    <m/>
    <n v="-649.31200000000001"/>
    <n v="453421"/>
    <s v="Solid"/>
    <x v="11"/>
    <d v="2026-11-03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n v="649.31200000000001"/>
    <s v=""/>
    <n v="226"/>
    <n v="0.88400000000000001"/>
    <n v="2264.37"/>
  </r>
  <r>
    <s v="Hema"/>
    <s v="SQBIR.HEMA.164.FY26-27.2"/>
    <m/>
    <m/>
    <m/>
    <m/>
    <s v="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19"/>
    <d v="2026-11-04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s v=""/>
    <s v=""/>
    <n v="226"/>
    <n v="0.88400000000000001"/>
    <n v="2264.37"/>
  </r>
  <r>
    <s v="Hema"/>
    <s v="SQBIR.HEMA.164.FY26-27.2"/>
    <m/>
    <m/>
    <m/>
    <m/>
    <s v="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20"/>
    <d v="2026-11-05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n v="1196.6969999999999"/>
    <s v=""/>
    <n v="226"/>
    <n v="0.88400000000000001"/>
    <n v="2264.37"/>
  </r>
  <r>
    <s v="Hema"/>
    <s v="SQBIR.HEMA.164.FY26-27.2"/>
    <m/>
    <m/>
    <m/>
    <m/>
    <s v=""/>
    <n v="1974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21"/>
    <d v="2026-11-06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n v="1196.6969999999999"/>
    <s v=""/>
    <n v="226"/>
    <n v="0.88400000000000001"/>
    <n v="2264.37"/>
  </r>
  <r>
    <s v="Hema"/>
    <s v="SQBIR.HEMA.164.FY26-27.2"/>
    <m/>
    <m/>
    <m/>
    <m/>
    <s v=""/>
    <n v="1974"/>
    <s v=" 94% BCI COTTON 5% ELASTANE 1% VISCOSE RIB 2X2 GSM-210 CW-106 CM/ 42 INCH "/>
    <s v="Oatmeal Melange"/>
    <s v=""/>
    <n v="1099.93"/>
    <m/>
    <n v="-1099.93"/>
    <m/>
    <n v="-1099.93"/>
    <n v="453421"/>
    <s v="Solid"/>
    <x v="32"/>
    <d v="2026-11-07T00:00:00"/>
    <s v="1st-10th Nov"/>
    <s v="Revised Plan given as per revised date"/>
    <m/>
    <s v="Oct"/>
    <d v="2026-10-09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s v=""/>
    <s v=""/>
    <n v="226"/>
    <n v="0.88400000000000001"/>
    <n v="2264.37"/>
  </r>
  <r>
    <s v="Hema"/>
    <s v="SQBIR.HEMA.164.FY26-27.3"/>
    <m/>
    <m/>
    <m/>
    <m/>
    <s v=""/>
    <n v="1975"/>
    <s v=" 94% BCI COTTON 5% ELASTANE 1% VISCOSE RIB 2X2 GSM-210 CW-106 CM/ 42 INCH "/>
    <s v="Oatmeal Melange"/>
    <n v="-32.255666666666663"/>
    <n v="96.766999999999996"/>
    <m/>
    <n v="-96.766999999999996"/>
    <m/>
    <n v="-96.766999999999996"/>
    <n v="453421"/>
    <s v="Solid"/>
    <x v="32"/>
    <d v="2026-11-07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s v=""/>
    <s v=""/>
    <n v="226"/>
    <n v="0.88400000000000001"/>
    <n v="2264.37"/>
  </r>
  <r>
    <s v="Hema"/>
    <s v="SQBIR.HEMA.164.FY26-27.3"/>
    <m/>
    <m/>
    <m/>
    <m/>
    <s v=""/>
    <n v="1975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33"/>
    <d v="2026-11-08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n v="1196.6969999999999"/>
    <s v=""/>
    <n v="226"/>
    <n v="0.88400000000000001"/>
    <n v="2264.37"/>
  </r>
  <r>
    <s v="Hema"/>
    <s v="SQBIR.HEMA.164.FY26-27.3"/>
    <m/>
    <m/>
    <m/>
    <m/>
    <s v=""/>
    <n v="1975"/>
    <s v=" 94% BCI COTTON 5% ELASTANE 1% VISCOSE RIB 2X2 GSM-210 CW-106 CM/ 42 INCH "/>
    <s v="Oatmeal Melange"/>
    <n v="-398.89899999999994"/>
    <n v="1196.6969999999999"/>
    <m/>
    <n v="-1196.6969999999999"/>
    <m/>
    <n v="-1196.6969999999999"/>
    <n v="453421"/>
    <s v="Solid"/>
    <x v="35"/>
    <d v="2026-11-09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4.37"/>
    <n v="13888.91"/>
    <n v="0"/>
    <s v=""/>
    <s v=""/>
    <s v=""/>
    <s v=""/>
    <s v=""/>
    <n v="226"/>
    <n v="0.88400000000000001"/>
    <n v="2264.37"/>
  </r>
  <r>
    <s v="Hema"/>
    <s v="SQBIR.HEMA.164.FY26-27.3"/>
    <m/>
    <m/>
    <m/>
    <m/>
    <s v=""/>
    <n v="1975"/>
    <s v=" 94% BCI COTTON 5% ELASTANE 1% VISCOSE RIB 2X2 GSM-210 CW-106 CM/ 42 INCH "/>
    <s v="Oatmeal Melange"/>
    <n v="-372.233"/>
    <n v="1116.6990000000001"/>
    <m/>
    <n v="-1116.6990000000001"/>
    <m/>
    <n v="-1116.6990000000001"/>
    <n v="453421"/>
    <s v="Solid"/>
    <x v="36"/>
    <d v="2026-11-10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4.37"/>
    <n v="13888.91"/>
    <n v="0"/>
    <n v="11966.972"/>
    <s v=""/>
    <s v=""/>
    <n v="1116.6990000000001"/>
    <s v=""/>
    <n v="226"/>
    <n v="0.88400000000000001"/>
    <n v="2264.37"/>
  </r>
  <r>
    <s v="Hema"/>
    <s v="SQBIR.HEMA.164.FY26-27.6"/>
    <m/>
    <m/>
    <m/>
    <m/>
    <s v=""/>
    <n v="1976"/>
    <s v=" 94% BCI COTTON 5% ELASTANE 1% VISCOSE RIB 2X2 GSM-210 CW-106 CM/ 42 INCH "/>
    <s v="Oatmeal Melange"/>
    <s v=""/>
    <n v="80"/>
    <m/>
    <n v="-80"/>
    <m/>
    <n v="-80"/>
    <n v="453421"/>
    <s v="Solid"/>
    <x v="36"/>
    <d v="2026-11-10T00:00:00"/>
    <s v="1st-10th Nov"/>
    <s v="Revised Plan given as per revised date"/>
    <m/>
    <s v="Oct"/>
    <d v="2026-10-16T00:00:00"/>
    <m/>
    <m/>
    <m/>
    <m/>
    <m/>
    <m/>
    <m/>
    <m/>
    <m/>
    <m/>
    <s v="453421"/>
    <s v="Oatmeal Melange"/>
    <n v="210"/>
    <s v="453421210Oatmeal Melange"/>
    <n v="2264.37"/>
    <n v="13888.91"/>
    <n v="0"/>
    <s v=""/>
    <s v=""/>
    <s v=""/>
    <n v="80"/>
    <s v=""/>
    <n v="226"/>
    <n v="0.88400000000000001"/>
    <n v="2264.37"/>
  </r>
  <r>
    <s v="Hema"/>
    <s v="SQBIR.HEMA.164.FY26-27.1"/>
    <m/>
    <m/>
    <m/>
    <m/>
    <s v=""/>
    <n v="1977"/>
    <s v=" 95% BCI COTTON 4% ELASTANE 1% VISCOSE SINGLE JERSEY GSM-160 CW-167CM/66INCH "/>
    <s v="Oatmeal Melange"/>
    <n v="0"/>
    <n v="0"/>
    <m/>
    <n v="0"/>
    <m/>
    <n v="0"/>
    <n v="453421"/>
    <s v="Solid"/>
    <x v="52"/>
    <d v="2026-10-02T00:00:00"/>
    <d v="2026-10-02T00:00:00"/>
    <s v="Hues Agreed qty as per SQBL required date"/>
    <m/>
    <s v="Oct"/>
    <d v="2026-10-02T00:00:00"/>
    <m/>
    <m/>
    <m/>
    <m/>
    <m/>
    <m/>
    <m/>
    <m/>
    <m/>
    <m/>
    <s v="453421"/>
    <s v="Oatmeal Melange"/>
    <n v="160"/>
    <s v="453421160Oatmeal Melange"/>
    <n v="2728.65"/>
    <n v="171.35"/>
    <n v="1224.6759999999999"/>
    <n v="1396.0259999999998"/>
    <s v=""/>
    <s v=""/>
    <n v="0"/>
    <s v=""/>
    <n v="2728.65"/>
    <n v="0.94099999999999995"/>
    <n v="1503.9740000000002"/>
  </r>
  <r>
    <s v="Hema"/>
    <s v="SQBIR.HEMA.164.FY26-27.2"/>
    <m/>
    <m/>
    <m/>
    <m/>
    <s v=""/>
    <n v="1978"/>
    <s v=" 95% BCI COTTON 4% ELASTANE 1% VISCOSE SINGLE JERSEY GSM-160 CW-167CM/66INCH "/>
    <s v="Oatmeal Melange"/>
    <n v="-7.0666666666663033E-2"/>
    <n v="746.21199999999999"/>
    <n v="746"/>
    <n v="-0.21199999999998909"/>
    <m/>
    <n v="-0.21199999999998909"/>
    <n v="453421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3421"/>
    <s v="Oatmeal Melange"/>
    <n v="160"/>
    <s v="453421160Oatmeal Melange"/>
    <n v="2728.65"/>
    <n v="171.35"/>
    <n v="1224.6759999999999"/>
    <n v="1396.0259999999998"/>
    <s v=""/>
    <s v=""/>
    <s v=""/>
    <s v=""/>
    <n v="2728.65"/>
    <n v="0.94099999999999995"/>
    <n v="1503.9740000000002"/>
  </r>
  <r>
    <s v="Hema"/>
    <s v="SQBIR.HEMA.397.FY26-27.2"/>
    <m/>
    <m/>
    <m/>
    <m/>
    <s v=""/>
    <n v="1979"/>
    <s v=" 96% ORGANIC COTTON 4% ELASTANE JERSEY GSM-160 CW-167CM/66INCH "/>
    <s v="STONE WASH-17-3917 TCX"/>
    <s v="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s v=""/>
    <s v=""/>
    <s v=""/>
    <s v=""/>
    <n v="229"/>
    <n v="0.996"/>
    <n v="229"/>
  </r>
  <r>
    <s v="Hema"/>
    <s v="SQBIR.HEMA.040.FY26-27.1"/>
    <m/>
    <m/>
    <m/>
    <m/>
    <s v=""/>
    <n v="1982"/>
    <s v=" 96% BCI COTTON 4% ELASTANE SINGLE JERSEY GSM-160 CW-167CM/66INCH "/>
    <s v="YD Smoke Green 15-6315 TCX 7mm Gardenia 11-0604 TCX 1.5mm Smoke Green 15-6315 TCX 2mm Gardenia 11-0604 TCX 1.5mm"/>
    <n v="0"/>
    <n v="379.45699999999999"/>
    <n v="379.45699999999999"/>
    <n v="0"/>
    <m/>
    <n v="0"/>
    <n v="454213"/>
    <s v="Solid"/>
    <x v="54"/>
    <d v="2026-10-10T00:00:00"/>
    <d v="2026-10-09T00:00:00"/>
    <s v="Hues Agreed qty as per SQBL required date"/>
    <m/>
    <s v="Oct"/>
    <d v="2026-10-10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s v=""/>
    <s v=""/>
    <n v="0"/>
    <s v=""/>
    <n v="6426"/>
    <n v="0.79200000000000004"/>
    <n v="3234.0309999999999"/>
  </r>
  <r>
    <s v="Hema"/>
    <s v="SQBIR.HEMA.054.FY26-27.1"/>
    <m/>
    <m/>
    <m/>
    <m/>
    <s v=""/>
    <n v="1983"/>
    <s v=" 96% BCI COTTON 4% ELASTANE SINGLE JERSEY GSM-160 CW-167CM/66INCH "/>
    <s v="YD Smoke Green 15-6315 TCX 7mm Gardenia 11-0604 TCX 1.5mm Smoke Green 15-6315 TCX 2mm Gardenia 11-0604 TCX 1.5mm"/>
    <n v="0"/>
    <n v="1294.1469999999999"/>
    <n v="1294.1469999999999"/>
    <n v="0"/>
    <m/>
    <n v="0"/>
    <n v="454213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s v=""/>
    <s v=""/>
    <n v="0"/>
    <s v=""/>
    <n v="6426"/>
    <n v="0.79200000000000004"/>
    <n v="3234.0309999999999"/>
  </r>
  <r>
    <s v="Hema"/>
    <s v="SQBIR.HEMA.054.FY26-27.2"/>
    <m/>
    <m/>
    <m/>
    <m/>
    <s v=""/>
    <n v="1984"/>
    <s v=" 96% BCI COTTON 4% ELASTANE SINGLE JERSEY GSM-160 CW-167CM/66INCH "/>
    <s v="YD Smoke Green 15-6315 TCX 7mm Gardenia 11-0604 TCX 1.5mm Smoke Green 15-6315 TCX 2mm Gardenia 11-0604 TCX 1.5mm"/>
    <s v=""/>
    <n v="3.1139999999999999"/>
    <n v="3.1139999999999999"/>
    <n v="0"/>
    <m/>
    <n v="0"/>
    <n v="454213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213"/>
    <s v="Smoke Green 15-6315 TCX 7mm Gardenia 11-0604 TCX 1.5mm Smoke Green 15-6315 TCX 2mm Gardenia 11-0604 TCX 1.5mm"/>
    <n v="160"/>
    <s v="454213160Smoke Green 15-6315 TCX 7mm Gardenia 11-0604 TCX 1.5mm Smoke Green 15-6315 TCX 2mm Gardenia 11-0604 TCX 1.5mm"/>
    <n v="6426"/>
    <n v="1684"/>
    <n v="3191.9690000000001"/>
    <n v="3578.7079999999996"/>
    <s v=""/>
    <s v=""/>
    <n v="0"/>
    <s v=""/>
    <n v="6426"/>
    <n v="0.79200000000000004"/>
    <n v="3234.0309999999999"/>
  </r>
  <r>
    <s v="Hema"/>
    <s v="SQBIR.HEMA.308.FY26-27.2"/>
    <m/>
    <m/>
    <m/>
    <m/>
    <s v=""/>
    <n v="1985"/>
    <s v=" 96% ORGANIC COTTON 4% ELASTANE JERSEY GSM-160 CW-167CM/66INCH "/>
    <s v="Lavendula"/>
    <n v="0"/>
    <n v="155.41399999999999"/>
    <n v="155.41399999999999"/>
    <n v="0"/>
    <m/>
    <n v="0"/>
    <n v="456385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LAVENDULA 15-3620TCX"/>
    <n v="160"/>
    <s v="456385160LAVENDULA 15-3620TCX"/>
    <n v="1637"/>
    <n v="-31.85"/>
    <n v="792.65499999999997"/>
    <n v="792.65499999999997"/>
    <s v=""/>
    <s v=""/>
    <n v="0"/>
    <s v=""/>
    <n v="1637"/>
    <n v="1.02"/>
    <n v="844.34500000000003"/>
  </r>
  <r>
    <s v="Hema"/>
    <s v="SQBIR.HEMA.209.FY26-27.1"/>
    <m/>
    <m/>
    <m/>
    <m/>
    <s v=""/>
    <n v="1988"/>
    <s v=" 96% BCI COTTON 4% ELASTANE SINGLE JERSEY GSM-160 CW-167CM/66INCH "/>
    <s v="YD Black Onyx 19-4003 TCX 7MM Gardenia 11-0604 TCX 1MM"/>
    <s v=""/>
    <n v="903.197"/>
    <n v="903.197"/>
    <n v="0"/>
    <m/>
    <n v="0"/>
    <n v="454434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75.FY26-27.1"/>
    <m/>
    <m/>
    <m/>
    <m/>
    <s v=""/>
    <n v="1995"/>
    <s v=" 96% BCI COTTON 4% ELASTANE JERSEY GSM-160 CW-167CM/66INCH "/>
    <s v="Black Onyx"/>
    <s v=""/>
    <n v="531.649"/>
    <n v="531.649"/>
    <n v="0"/>
    <m/>
    <n v="0"/>
    <n v="454619"/>
    <s v="Solid"/>
    <x v="26"/>
    <d v="2026-10-05T00:00:00"/>
    <d v="2026-10-04T00:00:00"/>
    <s v="Hues Agreed qty as per SQBL required date"/>
    <m/>
    <s v="Oct"/>
    <d v="2026-10-01T00:00:00"/>
    <m/>
    <m/>
    <m/>
    <m/>
    <m/>
    <m/>
    <m/>
    <s v="OTT CHNG TO 16TH"/>
    <m/>
    <m/>
    <s v="454619"/>
    <s v="Black Onyx (19-4003 TCX)"/>
    <n v="160"/>
    <s v="454619160Black Onyx (19-4003 TCX)"/>
    <n v="4334.8999999999996"/>
    <n v="265.10000000000002"/>
    <s v=""/>
    <n v="2740.7930000000001"/>
    <s v=""/>
    <s v=""/>
    <s v=""/>
    <s v=""/>
    <n v="4334.8999999999996"/>
    <n v="0.94199999999999995"/>
    <s v=""/>
  </r>
  <r>
    <s v="Hema"/>
    <s v="SQBIR.HEMA.008.FY26-27.1"/>
    <m/>
    <m/>
    <m/>
    <m/>
    <s v=""/>
    <n v="1996"/>
    <s v=" 96% BCI COTTON 4% ELASTANE JERSEY GSM-160 CW-167CM/66INCH "/>
    <s v="Smoke-Green-15-6315-TCX"/>
    <n v="0"/>
    <n v="101.38800000000001"/>
    <n v="101.38800000000001"/>
    <n v="0"/>
    <m/>
    <n v="0"/>
    <n v="454615"/>
    <s v="Solid"/>
    <x v="54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4615"/>
    <s v="Smoke Green 15-6315 TCx"/>
    <n v="160"/>
    <s v="454615160Smoke Green 15-6315 TCx"/>
    <n v="293"/>
    <n v="2"/>
    <s v=""/>
    <n v="295"/>
    <s v=""/>
    <s v=""/>
    <n v="0"/>
    <s v=""/>
    <n v="293"/>
    <n v="0.99299999999999999"/>
    <s v=""/>
  </r>
  <r>
    <s v="Hema"/>
    <s v="SQBIR.HEMA.009.FY26-27.1"/>
    <m/>
    <m/>
    <m/>
    <m/>
    <s v=""/>
    <n v="1997"/>
    <s v=" 96% BCI COTTON 4% ELASTANE JERSEY GSM-160 CW-167CM/66INCH "/>
    <s v="Smoke-Green-15-6315-TCX"/>
    <s v=""/>
    <n v="64.343000000000004"/>
    <n v="64.343000000000004"/>
    <n v="0"/>
    <m/>
    <n v="0"/>
    <n v="454615"/>
    <s v="Solid"/>
    <x v="54"/>
    <d v="2026-10-10T00:00:00"/>
    <d v="2026-10-09T00:00:00"/>
    <s v="Hues Agreed qty as per SQBL required date"/>
    <m/>
    <s v="Oct"/>
    <d v="2026-10-11T00:00:00"/>
    <m/>
    <m/>
    <m/>
    <m/>
    <m/>
    <m/>
    <m/>
    <m/>
    <m/>
    <m/>
    <s v="454615"/>
    <s v="Smoke Green 15-6315 TCx"/>
    <n v="160"/>
    <s v="454615160Smoke Green 15-6315 TCx"/>
    <n v="293"/>
    <n v="2"/>
    <n v="295"/>
    <n v="295"/>
    <s v=""/>
    <s v=""/>
    <s v=""/>
    <s v=""/>
    <n v="293"/>
    <n v="0.99299999999999999"/>
    <n v="-2"/>
  </r>
  <r>
    <s v="Hema"/>
    <s v="SQBIR.HEMA.010.FY26-27.1"/>
    <m/>
    <m/>
    <m/>
    <m/>
    <s v=""/>
    <n v="1998"/>
    <s v=" 96% BCI COTTON 4% ELASTANE JERSEY GSM-160 CW-167CM/66INCH "/>
    <s v="Smoke-Green-15-6315-TCX"/>
    <s v=""/>
    <n v="64.341999999999999"/>
    <n v="64.341999999999999"/>
    <n v="0"/>
    <m/>
    <n v="0"/>
    <n v="454615"/>
    <s v="Solid"/>
    <x v="54"/>
    <d v="2026-10-10T00:00:00"/>
    <d v="2026-10-09T00:00:00"/>
    <s v="Hues Agreed qty as per SQBL required date"/>
    <m/>
    <s v="Oct"/>
    <d v="2026-10-12T00:00:00"/>
    <m/>
    <m/>
    <m/>
    <m/>
    <m/>
    <m/>
    <m/>
    <m/>
    <m/>
    <m/>
    <s v="454615"/>
    <s v="Smoke Green 15-6315 TCx"/>
    <n v="160"/>
    <s v="454615160Smoke Green 15-6315 TCx"/>
    <n v="293"/>
    <n v="2"/>
    <n v="295"/>
    <s v=""/>
    <s v=""/>
    <s v=""/>
    <s v=""/>
    <s v=""/>
    <n v="293"/>
    <n v="0.99299999999999999"/>
    <n v="-2"/>
  </r>
  <r>
    <s v="Hema"/>
    <s v="SQBIR.HEMA.011.FY26-27.1"/>
    <m/>
    <m/>
    <m/>
    <m/>
    <s v=""/>
    <n v="1999"/>
    <s v=" 96% BCI COTTON 4% ELASTANE JERSEY GSM-160 CW-167CM/66INCH "/>
    <s v="Smoke-Green-15-6315-TCX"/>
    <n v="0"/>
    <n v="64.927000000000007"/>
    <n v="64.927000000000007"/>
    <n v="0"/>
    <m/>
    <n v="0"/>
    <n v="454615"/>
    <s v="Solid"/>
    <x v="54"/>
    <d v="2026-10-10T00:00:00"/>
    <d v="2026-10-09T00:00:00"/>
    <s v="Hues Agreed qty as per SQBL required date"/>
    <m/>
    <s v="Oct"/>
    <d v="2026-10-14T00:00:00"/>
    <m/>
    <m/>
    <m/>
    <m/>
    <m/>
    <m/>
    <m/>
    <m/>
    <m/>
    <m/>
    <s v="454615"/>
    <s v="Smoke Green 15-6315 TCx"/>
    <n v="160"/>
    <s v="454615160Smoke Green 15-6315 TCx"/>
    <n v="293"/>
    <n v="2"/>
    <n v="295"/>
    <s v=""/>
    <s v=""/>
    <s v=""/>
    <n v="0"/>
    <s v=""/>
    <n v="293"/>
    <n v="0.99299999999999999"/>
    <n v="-2"/>
  </r>
  <r>
    <s v="Hema"/>
    <s v="SQBIR.HEMA.158.FY26-27.1"/>
    <m/>
    <m/>
    <m/>
    <m/>
    <s v=""/>
    <n v="2000"/>
    <s v=" 96% BCI COTTON 4% ELASTANE JERSEY GSM-160 CW-167CM/66INCH "/>
    <s v="Black Onyx"/>
    <n v="-26.246666666666666"/>
    <n v="78.739999999999995"/>
    <m/>
    <n v="-78.739999999999995"/>
    <m/>
    <n v="-78.739999999999995"/>
    <n v="454616"/>
    <s v="Solid"/>
    <x v="26"/>
    <d v="2026-10-16T00:00:00"/>
    <s v="16th Oct-2k mtr_x000a_17th Oct- balance full"/>
    <s v="Hues Agreed qty as per SQBL required date"/>
    <m/>
    <s v="Oct"/>
    <d v="2026-10-11T00:00:00"/>
    <m/>
    <m/>
    <m/>
    <m/>
    <m/>
    <m/>
    <m/>
    <m/>
    <m/>
    <m/>
    <s v="454616"/>
    <s v="Black Onyx (19-4003 TCX)"/>
    <n v="160"/>
    <s v="454616160Black Onyx (19-4003 TCX)"/>
    <n v="2568.8000000000002"/>
    <n v="9587.2000000000007"/>
    <s v=""/>
    <n v="3074.8760000000002"/>
    <s v=""/>
    <s v=""/>
    <s v=""/>
    <s v=""/>
    <n v="2568.8000000000002"/>
    <n v="0.21099999999999999"/>
    <s v=""/>
  </r>
  <r>
    <s v="Hema"/>
    <s v="SQBIR.HEMA.159.FY26-27.1"/>
    <m/>
    <m/>
    <m/>
    <m/>
    <s v=""/>
    <n v="2001"/>
    <s v=" 96% BCI COTTON 4% ELASTANE JERSEY GSM-160 CW-167CM/66INCH "/>
    <s v="Black Onyx"/>
    <n v="-18.920333333333335"/>
    <n v="56.761000000000003"/>
    <m/>
    <n v="-56.761000000000003"/>
    <m/>
    <n v="-56.761000000000003"/>
    <n v="454616"/>
    <s v="Solid"/>
    <x v="26"/>
    <d v="2026-10-16T00:00:00"/>
    <s v="16th Oct-2k mtr_x000a_17th Oct- balance full"/>
    <s v="Hues Agreed qty as per SQBL required date"/>
    <m/>
    <s v="Oct"/>
    <d v="2026-10-14T00:00:00"/>
    <m/>
    <m/>
    <m/>
    <m/>
    <m/>
    <m/>
    <m/>
    <m/>
    <m/>
    <m/>
    <s v="454616"/>
    <s v="Black Onyx (19-4003 TCX)"/>
    <n v="160"/>
    <s v="454616160Black Onyx (19-4003 TCX)"/>
    <n v="2568.8000000000002"/>
    <n v="9587.2000000000007"/>
    <n v="0"/>
    <n v="3074.8760000000002"/>
    <s v=""/>
    <s v=""/>
    <s v=""/>
    <s v=""/>
    <n v="2568.8000000000002"/>
    <n v="0.21099999999999999"/>
    <n v="2568.8000000000002"/>
  </r>
  <r>
    <s v="Hema"/>
    <s v="SQBIR.HEMA.292.FY26-27.1"/>
    <m/>
    <m/>
    <m/>
    <m/>
    <s v=""/>
    <n v="2002"/>
    <s v=" 96% BCI COTTON 4% ELASTANE JERSEY GSM-160 CW-167CM/66INCH "/>
    <s v="Black Onyx"/>
    <n v="-127.05533333333334"/>
    <n v="381.166"/>
    <m/>
    <n v="-381.166"/>
    <m/>
    <n v="-381.166"/>
    <n v="454616"/>
    <s v="Solid"/>
    <x v="26"/>
    <d v="2026-10-16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2568.8000000000002"/>
    <n v="9587.2000000000007"/>
    <n v="0"/>
    <s v=""/>
    <s v=""/>
    <s v=""/>
    <s v=""/>
    <s v=""/>
    <n v="2568.8000000000002"/>
    <n v="0.21099999999999999"/>
    <n v="2568.8000000000002"/>
  </r>
  <r>
    <s v="Hema"/>
    <s v="SQBIR.HEMA.292.FY26-27.1"/>
    <m/>
    <m/>
    <m/>
    <m/>
    <s v=""/>
    <n v="2002"/>
    <s v=" 96% BCI COTTON 4% ELASTANE JERSEY GSM-160 CW-167CM/66INCH "/>
    <s v="Black Onyx"/>
    <n v="-29.556666666666668"/>
    <n v="88.67"/>
    <m/>
    <n v="-88.67"/>
    <m/>
    <n v="-88.67"/>
    <n v="454616"/>
    <s v="Solid"/>
    <x v="27"/>
    <d v="2026-10-17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2568.8000000000002"/>
    <n v="9587.2000000000007"/>
    <n v="0"/>
    <n v="3074.8760000000002"/>
    <s v=""/>
    <s v=""/>
    <n v="88.67"/>
    <s v=""/>
    <n v="2568.8000000000002"/>
    <n v="0.21099999999999999"/>
    <n v="2568.8000000000002"/>
  </r>
  <r>
    <s v="Hema"/>
    <s v="SQBIR.HEMA.806.FY25-26.1"/>
    <m/>
    <m/>
    <m/>
    <m/>
    <s v=""/>
    <n v="2003"/>
    <s v=" 96% BCI COTTON 4% ELASTANE JERSEY GSM-160 CW-167CM/66INCH "/>
    <s v="Black Onyx"/>
    <s v=""/>
    <n v="1692.5"/>
    <n v="1692.5"/>
    <n v="0"/>
    <m/>
    <n v="0"/>
    <n v="454805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805"/>
    <s v="Black Onyx (19-4003 TCX)"/>
    <n v="160"/>
    <s v="454805160Black Onyx (19-4003 TCX)"/>
    <n v="6471.59"/>
    <n v="298.41000000000003"/>
    <n v="1692.5"/>
    <n v="1692.5"/>
    <s v=""/>
    <s v=""/>
    <n v="0"/>
    <s v=""/>
    <n v="6471.59"/>
    <n v="0.95599999999999996"/>
    <n v="4779.09"/>
  </r>
  <r>
    <s v="Hema"/>
    <s v="SQBIR.HEMA.169.FY26-27.1"/>
    <m/>
    <m/>
    <m/>
    <m/>
    <s v=""/>
    <n v="2004"/>
    <s v=" 96% BCI COTTON 4% ELASTANE JERSEY GSM-160 CW-167CM/66INCH "/>
    <s v="Bark 16-1506TCX"/>
    <n v="0"/>
    <n v="156.453"/>
    <n v="156.453"/>
    <n v="0"/>
    <m/>
    <n v="0"/>
    <n v="457842"/>
    <s v="Solid"/>
    <x v="52"/>
    <d v="2026-10-02T00:00:00"/>
    <s v="2nd Oct-700 mtr_x000a_5th Oct-2k mtr_x000a_7th Oct-2k mtr_x000a_9th Oct-balance full_x000a_"/>
    <s v="Hues Agreed qty as per SQBL required date"/>
    <m/>
    <s v="Oct"/>
    <d v="2026-10-15T00:00:00"/>
    <m/>
    <m/>
    <m/>
    <m/>
    <m/>
    <m/>
    <m/>
    <m/>
    <m/>
    <m/>
    <s v="457842"/>
    <s v="Bark 16-1506 tcx"/>
    <n v="160"/>
    <s v="457842160Bark 16-1506 tcx"/>
    <n v="9181"/>
    <n v="539"/>
    <s v=""/>
    <n v="6711.1980000000012"/>
    <s v=""/>
    <s v=""/>
    <n v="0"/>
    <s v=""/>
    <n v="9181"/>
    <n v="0.94499999999999995"/>
    <s v=""/>
  </r>
  <r>
    <s v="Hema"/>
    <s v="SQBIR.HEMA.169.FY26-27.1"/>
    <m/>
    <m/>
    <m/>
    <m/>
    <s v=""/>
    <n v="2004"/>
    <s v=" 96% BCI COTTON 4% ELASTANE JERSEY GSM-160 CW-167CM/66INCH "/>
    <s v="Bark 16-1506TCX"/>
    <n v="0"/>
    <n v="638.54399999999998"/>
    <n v="638.54399999999998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15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n v="6711.1980000000012"/>
    <s v=""/>
    <s v=""/>
    <n v="0"/>
    <s v=""/>
    <n v="9181"/>
    <n v="0.94499999999999995"/>
    <n v="2991.8019999999988"/>
  </r>
  <r>
    <s v="Hema"/>
    <s v="SQBIR.HEMA.331.FY26-27.2"/>
    <m/>
    <m/>
    <m/>
    <m/>
    <b v="0"/>
    <n v="2005"/>
    <s v=" 96% ORGANIC COTTON 4% ELASTANE JERSEY GSM-160 CW-167CM/66INCH "/>
    <s v="Bright White"/>
    <n v="0"/>
    <n v="330.39299999999997"/>
    <n v="330.39299999999997"/>
    <n v="0"/>
    <m/>
    <n v="0"/>
    <n v="458406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Bright White (11-0601 TCX)"/>
    <n v="160"/>
    <s v="458406160Bright White (11-0601 TCX)"/>
    <n v="391.63"/>
    <n v="608.37"/>
    <n v="391.63"/>
    <n v="999.99999999999989"/>
    <s v=""/>
    <s v=""/>
    <n v="0"/>
    <b v="0"/>
    <n v="391.63"/>
    <n v="0.39200000000000002"/>
    <n v="0"/>
  </r>
  <r>
    <s v="Hema"/>
    <s v="SQBIR.HEMA.215.FY26-27.2"/>
    <m/>
    <m/>
    <m/>
    <m/>
    <s v=""/>
    <n v="2006"/>
    <s v=" 96% ORGANIC COTTON 4% ELASTANE JERSEY GSM-160 CW-167CM/66INCH "/>
    <s v="Bright White"/>
    <s v=""/>
    <n v="112.55"/>
    <n v="61.237000000000002"/>
    <n v="-51.312999999999995"/>
    <m/>
    <n v="-51.312999999999995"/>
    <n v="458406"/>
    <s v="Solid"/>
    <x v="55"/>
    <d v="2026-10-02T00:00:00"/>
    <d v="2026-10-01T00:00:00"/>
    <s v="Hues Agreed qty as per SQBL required date"/>
    <m/>
    <s v="Oct"/>
    <d v="2026-10-01T00:00:00"/>
    <m/>
    <m/>
    <m/>
    <m/>
    <m/>
    <m/>
    <m/>
    <s v="OTT CHNG"/>
    <m/>
    <m/>
    <s v="458406"/>
    <s v="Bright White (11-0601 TCX)"/>
    <n v="160"/>
    <s v="458406160Bright White (11-0601 TCX)"/>
    <n v="391.63"/>
    <n v="608.37"/>
    <n v="391.63"/>
    <n v="999.99999999999989"/>
    <s v=""/>
    <s v=""/>
    <n v="51.312999999999995"/>
    <s v=""/>
    <n v="391.63"/>
    <n v="0.39200000000000002"/>
    <n v="0"/>
  </r>
  <r>
    <s v="Hema"/>
    <s v="SQBIR.HEMA.136.FY26-27.1"/>
    <m/>
    <m/>
    <m/>
    <m/>
    <s v=""/>
    <n v="2007"/>
    <s v=" 96% ORGANIC COTTON 4% ELASTANE JERSEY GSM-160 CW-167CM/66INCH "/>
    <s v="Bright White"/>
    <n v="-111.29899999999999"/>
    <n v="333.89699999999999"/>
    <m/>
    <n v="-333.89699999999999"/>
    <m/>
    <n v="-333.89699999999999"/>
    <n v="458406"/>
    <s v="Solid"/>
    <x v="55"/>
    <d v="2026-10-02T00:00:00"/>
    <d v="2026-10-01T00:00:00"/>
    <s v="Hues Agreed qty as per SQBL required date"/>
    <m/>
    <s v="Oct"/>
    <d v="2026-10-05T00:00:00"/>
    <m/>
    <m/>
    <m/>
    <m/>
    <m/>
    <m/>
    <m/>
    <s v="OTT CHNG"/>
    <m/>
    <m/>
    <s v="458406"/>
    <s v="Bright White (11-0601 TCX)"/>
    <n v="160"/>
    <s v="458406160Bright White (11-0601 TCX)"/>
    <n v="391.63"/>
    <n v="608.37"/>
    <n v="391.63"/>
    <n v="999.99999999999989"/>
    <s v=""/>
    <s v=""/>
    <n v="333.89699999999999"/>
    <s v=""/>
    <n v="391.63"/>
    <n v="0.39200000000000002"/>
    <n v="0"/>
  </r>
  <r>
    <s v="Hema"/>
    <s v="SQBIR.HEMA.129.FY26-27.1"/>
    <m/>
    <m/>
    <m/>
    <m/>
    <s v=""/>
    <n v="2008"/>
    <s v=" 96% ORGANIC COTTON 4% ELASTANE JERSEY GSM-160 CW-167CM/66INCH "/>
    <s v="Bright White"/>
    <n v="-74.38666666666667"/>
    <n v="223.16"/>
    <m/>
    <n v="-223.16"/>
    <m/>
    <n v="-223.16"/>
    <n v="458406"/>
    <s v="Solid"/>
    <x v="55"/>
    <d v="2026-10-02T00:00:00"/>
    <d v="2026-10-01T00:00:00"/>
    <s v="Hues Agreed qty as per SQBL required date"/>
    <m/>
    <s v="Oct"/>
    <d v="2026-10-01T00:00:00"/>
    <m/>
    <m/>
    <m/>
    <m/>
    <m/>
    <m/>
    <m/>
    <s v="OTT CHNG"/>
    <m/>
    <m/>
    <s v="458406"/>
    <s v="Bright White (11-0601 TCX)"/>
    <n v="160"/>
    <s v="458406160Bright White (11-0601 TCX)"/>
    <n v="391.63"/>
    <n v="608.37"/>
    <n v="391.63"/>
    <n v="999.99999999999989"/>
    <s v=""/>
    <s v=""/>
    <n v="223.16"/>
    <s v=""/>
    <n v="391.63"/>
    <n v="0.39200000000000002"/>
    <n v="0"/>
  </r>
  <r>
    <s v="Hema"/>
    <s v="SQBIR.HEMA.371.FY26-27.2"/>
    <m/>
    <m/>
    <m/>
    <m/>
    <n v="45"/>
    <n v="2009"/>
    <s v=" 96% ORGANIC COTTON 4% ELASTANE JERSEY GSM-160 CW-167CM/66INCH "/>
    <s v="Black Onyx"/>
    <n v="0"/>
    <n v="1000"/>
    <n v="1000"/>
    <n v="0"/>
    <m/>
    <n v="0"/>
    <n v="458406"/>
    <s v="Solid"/>
    <x v="52"/>
    <d v="2026-10-02T00:00:00"/>
    <d v="2026-10-01T00:00:00"/>
    <s v="Hues Agreed qty as per SQBL required date"/>
    <m/>
    <s v="Oct"/>
    <d v="2026-10-03T00:00:00"/>
    <m/>
    <m/>
    <m/>
    <m/>
    <m/>
    <m/>
    <m/>
    <m/>
    <m/>
    <m/>
    <s v="458406"/>
    <s v="Black Onyx (19-4003 TCX)"/>
    <n v="160"/>
    <s v="458406160Black Onyx (19-4003 TCX)"/>
    <n v="1045"/>
    <n v="-45"/>
    <n v="1000"/>
    <n v="1000"/>
    <s v=""/>
    <s v=""/>
    <n v="0"/>
    <n v="45"/>
    <n v="1045"/>
    <n v="1.0449999999999999"/>
    <n v="45"/>
  </r>
  <r>
    <s v="Hema"/>
    <s v="SQBIR.HEMA.115.FY26-27.1"/>
    <m/>
    <m/>
    <m/>
    <m/>
    <s v=""/>
    <n v="2010"/>
    <s v=" 96% ORGANIC COTTON 4% ELASTANE JERSEY GSM-160 CW-167CM/66INCH "/>
    <s v="ROSE ELEGANCE 15-1614 TCX"/>
    <n v="0"/>
    <n v="-2.089"/>
    <n v="-2.089"/>
    <n v="0"/>
    <m/>
    <n v="0"/>
    <n v="458406"/>
    <s v="Solid"/>
    <x v="52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8406"/>
    <s v="Rose Elegance (15-1614 TCX)"/>
    <n v="160"/>
    <s v="458406160Rose Elegance (15-1614 TCX)"/>
    <n v="1008"/>
    <n v="-8"/>
    <n v="-8.4"/>
    <n v="-8.4"/>
    <s v=""/>
    <s v=""/>
    <n v="0"/>
    <s v=""/>
    <n v="1008"/>
    <n v="1.008"/>
    <n v="1016.4"/>
  </r>
  <r>
    <s v="Hema"/>
    <s v="SQBIR.HEMA.122.FY26-27.2"/>
    <m/>
    <m/>
    <m/>
    <m/>
    <s v=""/>
    <n v="2011"/>
    <s v=" 96% ORGANIC COTTON 4% ELASTANE JERSEY GSM-160 CW-167CM/66INCH "/>
    <s v="ROSE ELEGANCE 15-1614 TCX"/>
    <s v=""/>
    <n v="-6.3109999999999999"/>
    <n v="-6.3109999999999999"/>
    <n v="0"/>
    <m/>
    <n v="0"/>
    <n v="458406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Rose Elegance (15-1614 TCX)"/>
    <n v="160"/>
    <s v="458406160Rose Elegance (15-1614 TCX)"/>
    <n v="1008"/>
    <n v="-8"/>
    <n v="-8.4"/>
    <s v=""/>
    <s v=""/>
    <s v=""/>
    <s v=""/>
    <s v=""/>
    <n v="1008"/>
    <n v="1.008"/>
    <s v=""/>
  </r>
  <r>
    <s v="Hema"/>
    <s v="SQBIR.HEMA.115.FY26-27.1"/>
    <m/>
    <m/>
    <m/>
    <m/>
    <s v=""/>
    <n v="2012"/>
    <s v=" 95% ORGANIC COTTON 4% ELASTANE 1% VISCOSE SINGLE JERSEY GSM-160 CW-167CM/66INCH "/>
    <s v="Oatmeal Melange"/>
    <n v="0"/>
    <n v="38.869999999999997"/>
    <n v="38.869999999999997"/>
    <n v="0"/>
    <m/>
    <n v="0"/>
    <n v="458406"/>
    <s v="Solid"/>
    <x v="52"/>
    <d v="2026-10-02T00:00:00"/>
    <d v="2026-10-01T00:00:00"/>
    <s v="Hues Agreed qty as per SQBL required date"/>
    <m/>
    <s v="Oct"/>
    <d v="2026-10-05T00:00:00"/>
    <m/>
    <m/>
    <m/>
    <m/>
    <m/>
    <m/>
    <m/>
    <m/>
    <m/>
    <m/>
    <s v="458406"/>
    <s v="Oatmeal Melange"/>
    <n v="160"/>
    <s v="458406160Oatmeal Melange"/>
    <n v="1027"/>
    <n v="-27"/>
    <s v=""/>
    <n v="38.869999999999997"/>
    <s v=""/>
    <s v=""/>
    <n v="0"/>
    <s v=""/>
    <n v="1027"/>
    <n v="1.0269999999999999"/>
    <s v=""/>
  </r>
  <r>
    <s v="Hema"/>
    <s v="SQBIR.HEMA.302.FY26-27.1"/>
    <m/>
    <m/>
    <m/>
    <m/>
    <s v=""/>
    <n v="2013"/>
    <s v=" 96% ORGANIC COTTON 4% ELASTANE JERSEY GSM-160 CW-167CM/66INCH "/>
    <s v="TAWNY PORT 19-1725 TCX"/>
    <n v="0"/>
    <n v="198.26400000000001"/>
    <n v="198.26400000000001"/>
    <n v="0"/>
    <m/>
    <n v="0"/>
    <n v="464628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64628"/>
    <s v="Tawny Port 19-1725 TCX"/>
    <n v="160"/>
    <s v="464628160Tawny Port 19-1725 TCX"/>
    <n v="235"/>
    <n v="5"/>
    <s v=""/>
    <n v="198.26400000000001"/>
    <s v=""/>
    <s v=""/>
    <n v="0"/>
    <s v=""/>
    <n v="235"/>
    <n v="0.97899999999999998"/>
    <s v=""/>
  </r>
  <r>
    <s v="Hema"/>
    <s v="SQBIR.HEMA.184.FY26-27.1"/>
    <m/>
    <m/>
    <m/>
    <m/>
    <s v=""/>
    <n v="2014"/>
    <s v=" 96% BCI COTTON 4% ELASTANE JERSEY GSM-160 CW-167CM/66INCH "/>
    <s v="MANGANO CALCITE-13-1501-TCX"/>
    <n v="0"/>
    <n v="347.233"/>
    <n v="347.233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1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s v=""/>
    <s v=""/>
    <s v=""/>
    <n v="0"/>
    <s v=""/>
    <n v="9601.2999999999993"/>
    <n v="0.98799999999999999"/>
    <n v="3006.6969999999992"/>
  </r>
  <r>
    <s v="Hema"/>
    <s v="SQBIR.HEMA.184.FY26-27.2"/>
    <m/>
    <m/>
    <m/>
    <m/>
    <s v=""/>
    <n v="2015"/>
    <s v=" 96% BCI COTTON 4% ELASTANE JERSEY GSM-160 CW-167CM/66INCH "/>
    <s v="MANGANO CALCITE-13-1501-TCX"/>
    <n v="0"/>
    <n v="1.2569999999999999"/>
    <n v="1.2569999999999999"/>
    <n v="0"/>
    <m/>
    <n v="0"/>
    <n v="457842"/>
    <s v="Solid"/>
    <x v="0"/>
    <d v="2026-10-05T00:00:00"/>
    <s v="3rd Oct-2.5k mtr_x000a_5th Oct-2.5k mtr"/>
    <s v="Hues Agreed qty as per SQBL required date"/>
    <m/>
    <s v="Oct"/>
    <d v="2026-10-03T00:00:00"/>
    <m/>
    <m/>
    <m/>
    <m/>
    <m/>
    <m/>
    <m/>
    <m/>
    <m/>
    <m/>
    <s v="457842"/>
    <s v="Mangano Calcite 13-1501 TCX"/>
    <n v="160"/>
    <s v="457842160Mangano Calcite 13-1501 TCX"/>
    <n v="9601.2999999999993"/>
    <n v="113.7"/>
    <n v="6594.6030000000001"/>
    <s v=""/>
    <s v=""/>
    <s v=""/>
    <n v="0"/>
    <s v=""/>
    <n v="9601.2999999999993"/>
    <n v="0.98799999999999999"/>
    <n v="3006.6969999999992"/>
  </r>
  <r>
    <s v="Hema"/>
    <s v="SQBIR.HEMA.268.FY26-27.1"/>
    <m/>
    <m/>
    <m/>
    <m/>
    <s v=""/>
    <n v="2016"/>
    <s v=" 96% BCI COTTON 4% ELASTANE JERSEY GSM-160 CW-167CM/66INCH "/>
    <s v="14-1307TCX ROSE DUST"/>
    <n v="0"/>
    <n v="533.10799999999995"/>
    <n v="533.10799999999995"/>
    <n v="0"/>
    <m/>
    <n v="0"/>
    <n v="457842"/>
    <s v="Solid"/>
    <x v="52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s v=""/>
    <n v="5909.4059999999999"/>
    <s v=""/>
    <s v=""/>
    <n v="0"/>
    <s v=""/>
    <n v="9532.74"/>
    <n v="0.98099999999999998"/>
    <s v=""/>
  </r>
  <r>
    <s v="Hema"/>
    <s v="SQBIR.HEMA.269.FY26-27.1"/>
    <m/>
    <m/>
    <m/>
    <m/>
    <s v=""/>
    <n v="2017"/>
    <s v=" 96% BCI COTTON 4% ELASTANE JERSEY GSM-160 CW-167CM/66INCH "/>
    <s v="14-1307TCX ROSE DUST"/>
    <s v=""/>
    <n v="533.10799999999995"/>
    <n v="533.10799999999995"/>
    <n v="0"/>
    <m/>
    <n v="0"/>
    <n v="457842"/>
    <s v="Solid"/>
    <x v="52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s v=""/>
    <s v=""/>
    <n v="9532.74"/>
    <n v="0.98099999999999998"/>
    <n v="3805.5940000000001"/>
  </r>
  <r>
    <s v="Hema"/>
    <s v="SQBIR.HEMA.270.FY26-27.1"/>
    <m/>
    <m/>
    <m/>
    <m/>
    <s v=""/>
    <n v="2018"/>
    <s v=" 96% BCI COTTON 4% ELASTANE JERSEY GSM-160 CW-167CM/66INCH "/>
    <s v="14-1307TCX ROSE DUST"/>
    <n v="0"/>
    <n v="85.84"/>
    <n v="85.84"/>
    <n v="0"/>
    <m/>
    <n v="0"/>
    <n v="457842"/>
    <s v="Solid"/>
    <x v="52"/>
    <d v="2026-10-02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s v=""/>
    <n v="5909.4059999999999"/>
    <s v=""/>
    <s v=""/>
    <n v="0"/>
    <s v=""/>
    <n v="9532.74"/>
    <n v="0.98099999999999998"/>
    <s v=""/>
  </r>
  <r>
    <s v="Hema"/>
    <s v="SQBIR.HEMA.270.FY26-27.1"/>
    <m/>
    <m/>
    <m/>
    <m/>
    <s v=""/>
    <n v="2018"/>
    <s v=" 96% BCI COTTON 4% ELASTANE JERSEY GSM-160 CW-167CM/66INCH "/>
    <s v="14-1307TCX ROSE DUST"/>
    <s v=""/>
    <n v="465.97800000000001"/>
    <n v="465.97800000000001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n v="0"/>
    <s v=""/>
    <n v="9532.74"/>
    <n v="0.98099999999999998"/>
    <n v="3805.5940000000001"/>
  </r>
  <r>
    <s v="Hema"/>
    <s v="SQBIR.HEMA.266.FY26-27.1"/>
    <m/>
    <m/>
    <m/>
    <m/>
    <s v=""/>
    <n v="2019"/>
    <s v=" 96% BCI COTTON 4% ELASTANE JERSEY GSM-160 CW-167CM/66INCH "/>
    <s v="Bark 16-1506TCX"/>
    <s v=""/>
    <n v="639.07100000000003"/>
    <n v="639.07100000000003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s v=""/>
    <s v=""/>
    <s v=""/>
    <n v="0"/>
    <s v=""/>
    <n v="9181"/>
    <n v="0.94499999999999995"/>
    <n v="2991.8019999999988"/>
  </r>
  <r>
    <s v="Hema"/>
    <s v="SQBIR.HEMA.266.FY26-27.2"/>
    <m/>
    <m/>
    <m/>
    <m/>
    <s v=""/>
    <n v="2020"/>
    <s v=" 96% BCI COTTON 4% ELASTANE JERSEY GSM-160 CW-167CM/66INCH "/>
    <s v="Bark 16-1506TCX"/>
    <n v="0"/>
    <n v="2.3130000000000002"/>
    <n v="2.3130000000000002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s v=""/>
    <s v=""/>
    <s v=""/>
    <s v=""/>
    <s v=""/>
    <n v="9181"/>
    <n v="0.94499999999999995"/>
    <n v="2991.8019999999988"/>
  </r>
  <r>
    <s v="Hema"/>
    <s v="SQBIR.HEMA.267.FY26-27.1"/>
    <m/>
    <m/>
    <m/>
    <m/>
    <s v=""/>
    <n v="2021"/>
    <s v=" 96% BCI COTTON 4% ELASTANE JERSEY GSM-160 CW-167CM/66INCH "/>
    <s v="Bark 16-1506TCX"/>
    <s v=""/>
    <n v="720.072"/>
    <n v="720.072"/>
    <n v="0"/>
    <m/>
    <n v="0"/>
    <n v="457842"/>
    <s v="Solid"/>
    <x v="0"/>
    <d v="2026-10-05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s v=""/>
    <s v=""/>
    <s v=""/>
    <s v=""/>
    <n v="0"/>
    <s v=""/>
    <n v="9181"/>
    <n v="0.94499999999999995"/>
    <s v=""/>
  </r>
  <r>
    <s v="Hema"/>
    <s v="SQBIR.HEMA.267.FY26-27.1"/>
    <m/>
    <m/>
    <m/>
    <m/>
    <s v=""/>
    <n v="2021"/>
    <s v=" 96% BCI COTTON 4% ELASTANE JERSEY GSM-160 CW-167CM/66INCH "/>
    <s v="Bark 16-1506TCX"/>
    <n v="0"/>
    <n v="213.90700000000001"/>
    <n v="213.90700000000001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n v="6711.1980000000012"/>
    <s v=""/>
    <s v=""/>
    <s v=""/>
    <s v=""/>
    <n v="9181"/>
    <n v="0.94499999999999995"/>
    <n v="2991.8019999999988"/>
  </r>
  <r>
    <s v="Hema"/>
    <s v="SQBIR.HEMA.268.FY26-27.1"/>
    <m/>
    <m/>
    <m/>
    <m/>
    <s v=""/>
    <n v="2022"/>
    <s v=" 96% BCI COTTON 4% ELASTANE JERSEY GSM-160 CW-167CM/66INCH "/>
    <s v="Bark 16-1506TCX"/>
    <s v=""/>
    <n v="533.63699999999994"/>
    <n v="533.63699999999994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n v="6711.1980000000012"/>
    <s v=""/>
    <s v=""/>
    <n v="0"/>
    <s v=""/>
    <n v="9181"/>
    <n v="0.94499999999999995"/>
    <n v="2991.8019999999988"/>
  </r>
  <r>
    <s v="Hema"/>
    <s v="SQBIR.HEMA.269.FY26-27.1"/>
    <m/>
    <m/>
    <m/>
    <m/>
    <s v=""/>
    <n v="2023"/>
    <s v=" 96% BCI COTTON 4% ELASTANE JERSEY GSM-160 CW-167CM/66INCH "/>
    <s v="Bark 16-1506TCX"/>
    <n v="0"/>
    <n v="533.63599999999997"/>
    <n v="533.63599999999997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n v="6711.1980000000012"/>
    <s v=""/>
    <s v=""/>
    <n v="0"/>
    <s v=""/>
    <n v="9181"/>
    <n v="0.94499999999999995"/>
    <n v="2991.8019999999988"/>
  </r>
  <r>
    <s v="Hema"/>
    <s v="SQBIR.HEMA.270.FY26-27.1"/>
    <m/>
    <m/>
    <m/>
    <m/>
    <s v=""/>
    <n v="2024"/>
    <s v=" 96% BCI COTTON 4% ELASTANE JERSEY GSM-160 CW-167CM/66INCH "/>
    <s v="Bark 16-1506TCX"/>
    <s v=""/>
    <n v="552.36400000000003"/>
    <n v="552.36400000000003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n v="6711.1980000000012"/>
    <s v=""/>
    <s v=""/>
    <n v="0"/>
    <s v=""/>
    <n v="9181"/>
    <n v="0.94499999999999995"/>
    <n v="2991.8019999999988"/>
  </r>
  <r>
    <s v="Hema"/>
    <s v="SQBIR.HEMA.166.FY26-27.1"/>
    <m/>
    <m/>
    <m/>
    <m/>
    <s v=""/>
    <n v="2025"/>
    <s v=" 96% BCI COTTON 4% ELASTANE JERSEY GSM-160 CW-167CM/66INCH "/>
    <s v="Bark 16-1506TCX"/>
    <n v="0"/>
    <n v="166.45599999999999"/>
    <n v="166.45599999999999"/>
    <n v="0"/>
    <m/>
    <n v="0"/>
    <n v="457842"/>
    <s v="Solid"/>
    <x v="22"/>
    <d v="2026-10-07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n v="6711.1980000000012"/>
    <s v=""/>
    <s v=""/>
    <s v=""/>
    <s v=""/>
    <n v="9181"/>
    <n v="0.94499999999999995"/>
    <n v="2991.8019999999988"/>
  </r>
  <r>
    <s v="Hema"/>
    <s v="SQBIR.HEMA.166.FY26-27.1"/>
    <m/>
    <m/>
    <m/>
    <m/>
    <s v=""/>
    <n v="2025"/>
    <s v=" 96% BCI COTTON 4% ELASTANE JERSEY GSM-160 CW-167CM/66INCH "/>
    <s v="Bark 16-1506TCX"/>
    <s v=""/>
    <n v="724.61300000000006"/>
    <n v="724.61300000000006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2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s v=""/>
    <s v=""/>
    <s v=""/>
    <n v="0"/>
    <s v=""/>
    <n v="9181"/>
    <n v="0.94499999999999995"/>
    <n v="2991.8019999999988"/>
  </r>
  <r>
    <s v="Hema"/>
    <s v="SQBIR.HEMA.385.FY25-26.1"/>
    <m/>
    <m/>
    <m/>
    <m/>
    <s v=""/>
    <n v="2026"/>
    <s v="95% BCI Cotton 5% Elastane S/J 160GSM CW 66in"/>
    <s v="Bright White"/>
    <s v=""/>
    <n v="0"/>
    <m/>
    <n v="0"/>
    <m/>
    <n v="0"/>
    <n v="45366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3667"/>
    <s v="Bright White 11-0601 tcx"/>
    <n v="160"/>
    <s v="453667160Bright White 11-0601 tcx"/>
    <n v="36748.239999999998"/>
    <n v="11251.76"/>
    <n v="0"/>
    <n v="0"/>
    <s v=""/>
    <s v=""/>
    <n v="0"/>
    <s v=""/>
    <n v="10025.370000000001"/>
    <n v="0.96699999999999997"/>
    <n v="36748.239999999998"/>
  </r>
  <r>
    <s v="Hema"/>
    <s v="SQBIR.HEMA.385.FY25-26.2"/>
    <m/>
    <m/>
    <m/>
    <m/>
    <b v="0"/>
    <n v="2027"/>
    <s v="95% BCI Cotton 5% Elastane S/J 160GSM CW 66in"/>
    <s v="Bright White"/>
    <s v=""/>
    <n v="0"/>
    <m/>
    <n v="0"/>
    <m/>
    <n v="0"/>
    <n v="453667"/>
    <s v="Solid"/>
    <x v="53"/>
    <d v="2026-10-12T00:00:00"/>
    <d v="2026-10-12T00:00:00"/>
    <s v="Hues Agreed qty as per SQBL required date"/>
    <m/>
    <s v="Oct"/>
    <d v="2026-10-12T00:00:00"/>
    <m/>
    <m/>
    <m/>
    <m/>
    <m/>
    <m/>
    <m/>
    <m/>
    <m/>
    <m/>
    <s v="453667"/>
    <s v="Bright White 11-0601 tcx"/>
    <n v="160"/>
    <s v="453667160Bright White 11-0601 tcx"/>
    <n v="36748.239999999998"/>
    <n v="11251.76"/>
    <s v=""/>
    <n v="0"/>
    <s v=""/>
    <s v=""/>
    <n v="0"/>
    <b v="0"/>
    <n v="10025.370000000001"/>
    <n v="0.96699999999999997"/>
    <s v=""/>
  </r>
  <r>
    <s v="Hema"/>
    <s v="SQBIR.HEMA.354.FY25-26.1"/>
    <m/>
    <m/>
    <m/>
    <m/>
    <s v=""/>
    <n v="2028"/>
    <s v="95% BCI Cotton 5% Elastane S/J 160GSM CW 66in"/>
    <s v="Black Onyx"/>
    <s v=""/>
    <n v="0"/>
    <m/>
    <n v="0"/>
    <m/>
    <n v="0"/>
    <n v="45366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3667"/>
    <s v="Black Onyx 19-4003 Tcx"/>
    <n v="160"/>
    <s v="453667160Black Onyx 19-4003 Tcx"/>
    <n v="54692.98"/>
    <n v="30307.01"/>
    <n v="6000"/>
    <s v=""/>
    <s v=""/>
    <s v=""/>
    <n v="0"/>
    <s v=""/>
    <n v="22887.69"/>
    <n v="0.91"/>
    <n v="48692.98"/>
  </r>
  <r>
    <s v="Hema"/>
    <s v="SQBIR.HEMA.789.FY25-26.1"/>
    <m/>
    <m/>
    <m/>
    <m/>
    <s v=""/>
    <n v="2029"/>
    <s v=" 95% LENZING MODAL 5% ELASTANE JERSEY GSM-165 CW-167CM/66INCH "/>
    <s v="Smoke-Green-15-6315-TCX"/>
    <n v="0"/>
    <n v="124.78100000000001"/>
    <n v="124.78100000000001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5"/>
    <s v="454597165Smoke Green 15-6315 TCx"/>
    <n v="862.65"/>
    <n v="-17.649999999999999"/>
    <n v="442.09200000000004"/>
    <n v="442.09200000000004"/>
    <s v=""/>
    <s v=""/>
    <s v=""/>
    <s v=""/>
    <n v="862.65"/>
    <n v="1.0209999999999999"/>
    <n v="420.55799999999994"/>
  </r>
  <r>
    <s v="Hema"/>
    <s v="SQBIR.HEMA.221.FY26-27.1"/>
    <m/>
    <m/>
    <m/>
    <m/>
    <s v=""/>
    <n v="2030"/>
    <s v=" 96% BCI COTTON 4% ELASTANE JERSEY GSM-160 CW-167CM/66INCH "/>
    <s v="14-1307TCX ROSE DUST"/>
    <n v="0"/>
    <n v="779.26599999999996"/>
    <n v="779.26599999999996"/>
    <n v="0"/>
    <m/>
    <n v="0"/>
    <n v="459626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s v=""/>
    <s v=""/>
    <n v="0"/>
    <s v=""/>
    <n v="2231.84"/>
    <n v="0.78400000000000003"/>
    <n v="456.5930000000003"/>
  </r>
  <r>
    <s v="Hema"/>
    <s v="SQBIR.HEMA.221.FY26-27.2"/>
    <m/>
    <m/>
    <m/>
    <m/>
    <s v=""/>
    <n v="2031"/>
    <s v=" 96% BCI COTTON 4% ELASTANE JERSEY GSM-160 CW-167CM/66INCH "/>
    <s v="14-1307TCX ROSE DUST"/>
    <n v="0"/>
    <n v="2.819"/>
    <n v="2.819"/>
    <n v="0"/>
    <m/>
    <n v="0"/>
    <n v="459626"/>
    <s v="Solid"/>
    <x v="3"/>
    <d v="2026-10-04T00:00:00"/>
    <d v="2026-10-03T00:00:00"/>
    <s v="Hues Agreed qty as per SQBL required date"/>
    <m/>
    <s v="Oct"/>
    <d v="2026-10-09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s v=""/>
    <s v=""/>
    <n v="0"/>
    <s v=""/>
    <n v="2231.84"/>
    <n v="0.78400000000000003"/>
    <n v="456.5930000000003"/>
  </r>
  <r>
    <s v="Hema"/>
    <s v="SQBIR.HEMA.222.FY26-27.1"/>
    <m/>
    <m/>
    <m/>
    <m/>
    <s v=""/>
    <n v="2032"/>
    <s v=" 96% BCI COTTON 4% ELASTANE JERSEY GSM-160 CW-167CM/66INCH "/>
    <s v="14-1307TCX ROSE DUST"/>
    <n v="0"/>
    <n v="749.52200000000005"/>
    <n v="749.52200000000005"/>
    <n v="0"/>
    <m/>
    <n v="0"/>
    <n v="459626"/>
    <s v="Solid"/>
    <x v="3"/>
    <d v="2026-10-04T00:00:00"/>
    <d v="2026-10-03T00:00:00"/>
    <s v="Hues Agreed qty as per SQBL required date"/>
    <m/>
    <s v="Oct"/>
    <d v="2026-10-09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s v=""/>
    <s v=""/>
    <n v="0"/>
    <s v=""/>
    <n v="2231.84"/>
    <n v="0.78400000000000003"/>
    <n v="456.5930000000003"/>
  </r>
  <r>
    <s v="Hema"/>
    <s v="SQBIR.HEMA.223.FY26-27.1"/>
    <m/>
    <m/>
    <m/>
    <m/>
    <s v=""/>
    <n v="2033"/>
    <s v=" 96% BCI COTTON 4% ELASTANE JERSEY GSM-160 CW-167CM/66INCH "/>
    <s v="14-1307TCX ROSE DUST"/>
    <s v=""/>
    <n v="428.4"/>
    <n v="243.64"/>
    <n v="-184.76"/>
    <m/>
    <n v="-184.76"/>
    <n v="459626"/>
    <s v="Solid"/>
    <x v="55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9626"/>
    <s v="Rose Dust 14-1307 TCX"/>
    <n v="160"/>
    <s v="459626160Rose Dust 14-1307 TCX"/>
    <n v="2231.84"/>
    <n v="613.16"/>
    <n v="1775.2469999999998"/>
    <n v="2388.4070000000002"/>
    <s v=""/>
    <s v=""/>
    <s v=""/>
    <s v=""/>
    <n v="2231.84"/>
    <n v="0.78400000000000003"/>
    <n v="456.5930000000003"/>
  </r>
  <r>
    <s v="Hema"/>
    <s v="SQBIR.HEMA.224.FY26-27.1"/>
    <m/>
    <m/>
    <m/>
    <m/>
    <s v=""/>
    <n v="2034"/>
    <s v=" 96% BCI COTTON 4% ELASTANE JERSEY GSM-160 CW-167CM/66INCH "/>
    <s v="14-1307TCX ROSE DUST"/>
    <n v="-142.79999999999998"/>
    <n v="428.4"/>
    <m/>
    <n v="-428.4"/>
    <m/>
    <n v="-428.4"/>
    <n v="459626"/>
    <s v="Solid"/>
    <x v="26"/>
    <d v="2026-10-16T00:00:00"/>
    <d v="2026-10-16T00:00:00"/>
    <s v="Hues Agreed qty as per SQBL required date"/>
    <m/>
    <s v="Oct"/>
    <d v="2026-10-16T00:00:00"/>
    <m/>
    <m/>
    <m/>
    <m/>
    <m/>
    <m/>
    <m/>
    <m/>
    <m/>
    <m/>
    <s v="459626"/>
    <s v="Rose Dust 14-1307 TCX"/>
    <n v="160"/>
    <s v="459626160Rose Dust 14-1307 TCX"/>
    <n v="2231.84"/>
    <n v="613.16"/>
    <s v=""/>
    <n v="2388.4070000000002"/>
    <s v=""/>
    <s v=""/>
    <n v="428.4"/>
    <s v=""/>
    <n v="2231.84"/>
    <n v="0.78400000000000003"/>
    <s v=""/>
  </r>
  <r>
    <s v="Hema"/>
    <s v="SQBIR.HEMA.209.FY26-27.1"/>
    <m/>
    <m/>
    <m/>
    <m/>
    <s v=""/>
    <n v="2035"/>
    <s v=" 96% BCI COTTON 4% ELASTANE JERSEY GSM-160 CW-167CM/66INCH "/>
    <s v="Black Onyx"/>
    <n v="-49.976666666666688"/>
    <n v="950.55100000000004"/>
    <n v="800.62099999999998"/>
    <n v="-149.93000000000006"/>
    <m/>
    <n v="-149.93000000000006"/>
    <n v="45962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9626"/>
    <s v="Black Onyx (19-4003 TCX)"/>
    <n v="160"/>
    <s v="459626160Black Onyx (19-4003 TCX)"/>
    <n v="3320.07"/>
    <n v="149.93"/>
    <n v="800.62099999999998"/>
    <n v="950.55100000000004"/>
    <s v=""/>
    <s v=""/>
    <s v=""/>
    <s v=""/>
    <n v="3320.07"/>
    <n v="0.95699999999999996"/>
    <n v="2519.4490000000001"/>
  </r>
  <r>
    <s v="Hema"/>
    <s v="SQBIR.HEMA.358.FY26-27.5"/>
    <m/>
    <m/>
    <m/>
    <m/>
    <s v=""/>
    <n v="2036"/>
    <s v=" 95% BCI COTTON 5% ELASTANE RIB 2X2 GSM-180 CW-111 CM/44 INCH "/>
    <s v="Xenon Blue-14-3949-TCX"/>
    <n v="-70.2"/>
    <n v="344.666"/>
    <n v="134.066"/>
    <n v="-210.6"/>
    <m/>
    <n v="-210.6"/>
    <n v="453391"/>
    <s v="Solid"/>
    <x v="55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3391"/>
    <s v="Xenon Blue 14-3949 TCX"/>
    <n v="180"/>
    <s v="453391180Xenon Blue 14-3949 TCX"/>
    <n v="1857.4"/>
    <n v="210.6"/>
    <s v=""/>
    <n v="2068"/>
    <s v=""/>
    <s v=""/>
    <n v="210.6"/>
    <s v=""/>
    <n v="1857.4"/>
    <n v="0.89800000000000002"/>
    <s v=""/>
  </r>
  <r>
    <s v="Hema"/>
    <s v="SQBIR.HEMA.227.FY26-27.1"/>
    <m/>
    <m/>
    <m/>
    <m/>
    <s v=""/>
    <n v="2037"/>
    <s v=" 96% BCI COTTON 4% ELASTANE JERSEY GSM-160 CW-167CM/66INCH "/>
    <s v="DARK DENIM 19-4118 TCX"/>
    <s v=""/>
    <n v="778.91800000000001"/>
    <n v="778.91800000000001"/>
    <n v="0"/>
    <m/>
    <n v="0"/>
    <n v="459626"/>
    <s v="Solid"/>
    <x v="56"/>
    <d v="2026-10-08T00:00:00"/>
    <d v="2026-10-08T00:00:00"/>
    <s v="Hues Agreed qty as per SQBL required date"/>
    <m/>
    <s v="Oct"/>
    <d v="2026-10-12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s v=""/>
    <s v=""/>
    <n v="0"/>
    <s v=""/>
    <n v="6152"/>
    <n v="0.97399999999999998"/>
    <n v="4581.7420000000002"/>
  </r>
  <r>
    <s v="Hema"/>
    <s v="SQBIR.HEMA.221.FY26-27.1"/>
    <m/>
    <m/>
    <m/>
    <m/>
    <s v=""/>
    <n v="2038"/>
    <s v=" 96% BCI COTTON 4% ELASTANE JERSEY GSM-160 CW-167CM/66INCH "/>
    <s v="MANGANO CALCITE-13-1501-TCX"/>
    <n v="0"/>
    <n v="779.26599999999996"/>
    <n v="779.26599999999996"/>
    <n v="0"/>
    <m/>
    <n v="0"/>
    <n v="459626"/>
    <s v="Solid"/>
    <x v="0"/>
    <d v="2026-10-05T00:00:00"/>
    <d v="2026-10-05T00:00:00"/>
    <s v="Hues Agreed qty as per SQBL required date"/>
    <m/>
    <s v="Oct"/>
    <d v="2026-10-03T00:00:00"/>
    <m/>
    <m/>
    <m/>
    <m/>
    <m/>
    <m/>
    <m/>
    <m/>
    <m/>
    <m/>
    <s v="459626"/>
    <s v="Mangano Calcite 13-1501 TCX"/>
    <n v="160"/>
    <s v="459626160Mangano Calcite 13-1501 TCX"/>
    <n v="2667.36"/>
    <n v="177.64"/>
    <n v="2388.4070000000002"/>
    <n v="2388.4070000000002"/>
    <s v=""/>
    <s v=""/>
    <n v="0"/>
    <s v=""/>
    <n v="2667.36"/>
    <n v="0.93799999999999994"/>
    <n v="278.95299999999997"/>
  </r>
  <r>
    <s v="Hema"/>
    <s v="SQBIR.HEMA.221.FY26-27.2"/>
    <m/>
    <m/>
    <m/>
    <m/>
    <s v=""/>
    <n v="2039"/>
    <s v=" 96% BCI COTTON 4% ELASTANE JERSEY GSM-160 CW-167CM/66INCH "/>
    <s v="MANGANO CALCITE-13-1501-TCX"/>
    <n v="0"/>
    <n v="2.819"/>
    <n v="2.819"/>
    <n v="0"/>
    <m/>
    <n v="0"/>
    <n v="459626"/>
    <s v="Solid"/>
    <x v="0"/>
    <d v="2026-10-05T00:00:00"/>
    <d v="2026-10-05T00:00:00"/>
    <s v="Hues Agreed qty as per SQBL required date"/>
    <m/>
    <s v="Oct"/>
    <d v="2026-10-09T00:00:00"/>
    <m/>
    <m/>
    <m/>
    <m/>
    <m/>
    <m/>
    <m/>
    <m/>
    <m/>
    <m/>
    <s v="459626"/>
    <s v="Mangano Calcite 13-1501 TCX"/>
    <n v="160"/>
    <s v="459626160Mangano Calcite 13-1501 TCX"/>
    <n v="2667.36"/>
    <n v="177.64"/>
    <n v="2388.4070000000002"/>
    <n v="2388.4070000000002"/>
    <s v=""/>
    <s v=""/>
    <s v=""/>
    <s v=""/>
    <n v="2667.36"/>
    <n v="0.93799999999999994"/>
    <n v="278.95299999999997"/>
  </r>
  <r>
    <s v="Hema"/>
    <s v="SQBIR.HEMA.367.FY25-26.1"/>
    <m/>
    <m/>
    <m/>
    <m/>
    <s v=""/>
    <n v="2040"/>
    <s v="95% BCI Cotton 5% Elastane S/J 160GSM CW 66in"/>
    <s v="Bark 16-1506TCX"/>
    <n v="0"/>
    <n v="0.155"/>
    <n v="0.155"/>
    <n v="0"/>
    <m/>
    <n v="0"/>
    <n v="453667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3667"/>
    <s v="Bark 16-1506 tcx"/>
    <n v="160"/>
    <s v="453667160Bark 16-1506 tcx"/>
    <n v="13840"/>
    <n v="-192.95"/>
    <s v=""/>
    <s v=""/>
    <s v=""/>
    <s v=""/>
    <n v="0"/>
    <s v=""/>
    <n v="13840"/>
    <n v="1.014"/>
    <s v=""/>
  </r>
  <r>
    <s v="Hema"/>
    <s v="SQBIR.HEMA.274.FY26-27.1"/>
    <m/>
    <m/>
    <m/>
    <m/>
    <s v=""/>
    <n v="2042"/>
    <s v=" 96% BCI COTTON 4% ELASTANE SINGLE JERSEY GSM-160 CW-167CM/66INCH "/>
    <s v="YD Black Onyx 19-4003 TCX 7MM Gardenia 11-0604 TCX 1MM"/>
    <n v="0"/>
    <n v="852.39300000000003"/>
    <n v="852.39300000000003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s v=""/>
    <s v=""/>
    <s v=""/>
    <s v=""/>
    <s v=""/>
    <n v="4551"/>
    <n v="0.99299999999999999"/>
    <n v="-4297.630000000001"/>
  </r>
  <r>
    <s v="Hema"/>
    <s v="SQBIR.HEMA.275.FY26-27.1"/>
    <m/>
    <m/>
    <m/>
    <m/>
    <s v=""/>
    <n v="2043"/>
    <s v=" 96% BCI COTTON 4% ELASTANE SINGLE JERSEY GSM-160 CW-167CM/66INCH "/>
    <s v="YD Black Onyx 19-4003 TCX 7MM Gardenia 11-0604 TCX 1MM"/>
    <n v="0"/>
    <n v="487.02199999999999"/>
    <n v="487.02199999999999"/>
    <n v="0"/>
    <m/>
    <n v="0"/>
    <n v="454434"/>
    <s v="Solid"/>
    <x v="6"/>
    <d v="2026-10-03T00:00:00"/>
    <d v="2026-10-02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s v=""/>
    <s v=""/>
    <s v=""/>
    <s v=""/>
    <n v="0"/>
    <s v=""/>
    <n v="4551"/>
    <n v="0.99299999999999999"/>
    <s v=""/>
  </r>
  <r>
    <s v="Hema"/>
    <s v="SQBIR.HEMA.276.FY26-27.1"/>
    <m/>
    <m/>
    <m/>
    <m/>
    <s v=""/>
    <n v="2044"/>
    <s v=" 96% BCI COTTON 4% ELASTANE SINGLE JERSEY GSM-160 CW-167CM/66INCH "/>
    <s v="YD Black Onyx 19-4003 TCX 7MM Gardenia 11-0604 TCX 1MM"/>
    <s v=""/>
    <n v="487.02199999999999"/>
    <n v="487.02199999999999"/>
    <n v="0"/>
    <m/>
    <n v="0"/>
    <n v="454434"/>
    <s v="Solid"/>
    <x v="5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398.FY26-27.1"/>
    <m/>
    <m/>
    <m/>
    <m/>
    <s v=""/>
    <n v="2045"/>
    <s v=" 96% ORGANIC COTTON 4% ELASTANE JERSEY GSM-160 CW-167CM/66INCH "/>
    <s v="STONE WASH-17-3917 TCX"/>
    <n v="0"/>
    <n v="0"/>
    <n v="0"/>
    <n v="0"/>
    <m/>
    <n v="0"/>
    <n v="45630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s v=""/>
    <s v=""/>
    <n v="0"/>
    <s v=""/>
    <n v="229"/>
    <n v="0.996"/>
    <n v="229"/>
  </r>
  <r>
    <s v="Hema"/>
    <s v="SQBIR.HEMA.399.FY26-27.1"/>
    <m/>
    <m/>
    <m/>
    <m/>
    <s v=""/>
    <n v="2046"/>
    <s v=" 96% ORGANIC COTTON 4% ELASTANE JERSEY GSM-160 CW-167CM/66INCH "/>
    <s v="STONE WASH-17-3917 TCX"/>
    <n v="0"/>
    <n v="0"/>
    <n v="0"/>
    <n v="0"/>
    <m/>
    <n v="0"/>
    <n v="456306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6306"/>
    <s v="STONE WASH 17-3917 TCX"/>
    <n v="160"/>
    <s v="456306160STONE WASH 17-3917 TCX"/>
    <n v="229"/>
    <n v="1"/>
    <n v="0"/>
    <n v="0"/>
    <s v=""/>
    <s v=""/>
    <n v="0"/>
    <s v=""/>
    <n v="229"/>
    <n v="0.996"/>
    <n v="229"/>
  </r>
  <r>
    <s v="Hema"/>
    <s v="SQBIR.HEMA.234.FY26-27.1"/>
    <m/>
    <m/>
    <m/>
    <m/>
    <s v=""/>
    <n v="2047"/>
    <s v=" 96% BCI COTTON 4% ELASTANE JERSEY GSM-160 CW-167CM/66INCH "/>
    <s v="Black Onyx"/>
    <s v=""/>
    <n v="147.00700000000001"/>
    <n v="147.00700000000001"/>
    <n v="0"/>
    <m/>
    <n v="0"/>
    <n v="454434"/>
    <s v="Solid"/>
    <x v="0"/>
    <d v="2026-10-05T00:00:00"/>
    <d v="2026-10-05T00:00:00"/>
    <s v="Hues Agreed qty as per SQBL required date"/>
    <m/>
    <s v="Oct"/>
    <d v="2026-10-12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s v=""/>
    <s v=""/>
    <s v=""/>
    <s v=""/>
    <s v=""/>
    <n v="4551"/>
    <n v="0.99299999999999999"/>
    <n v="-4297.630000000001"/>
  </r>
  <r>
    <s v="Hema"/>
    <s v="SQBIR.HEMA.234.FY26-27.2"/>
    <m/>
    <m/>
    <m/>
    <m/>
    <s v=""/>
    <n v="2048"/>
    <s v=" 96% BCI COTTON 4% ELASTANE JERSEY GSM-160 CW-167CM/66INCH "/>
    <s v="Black Onyx"/>
    <s v=""/>
    <n v="0.53300000000000003"/>
    <n v="0.53300000000000003"/>
    <n v="0"/>
    <m/>
    <n v="0"/>
    <n v="454434"/>
    <s v="Solid"/>
    <x v="0"/>
    <d v="2026-10-05T00:00:00"/>
    <d v="2026-10-0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35.FY26-27.1"/>
    <m/>
    <m/>
    <m/>
    <m/>
    <s v=""/>
    <n v="2049"/>
    <s v=" 96% BCI COTTON 4% ELASTANE JERSEY GSM-160 CW-167CM/66INCH "/>
    <s v="Black Onyx"/>
    <n v="0"/>
    <n v="141.39500000000001"/>
    <n v="141.39500000000001"/>
    <n v="0"/>
    <m/>
    <n v="0"/>
    <n v="454434"/>
    <s v="Solid"/>
    <x v="0"/>
    <d v="2026-10-05T00:00:00"/>
    <d v="2026-10-05T00:00:00"/>
    <s v="Hues Agreed qty as per SQBL required date"/>
    <m/>
    <s v="Oct"/>
    <d v="2026-10-04T00:00:00"/>
    <m/>
    <m/>
    <m/>
    <m/>
    <m/>
    <m/>
    <m/>
    <m/>
    <m/>
    <m/>
    <s v="454434"/>
    <s v="Black Onyx (19-4003 TCX)"/>
    <n v="160"/>
    <s v="454434160Black Onyx (19-4003 TCX)"/>
    <n v="4551"/>
    <n v="34"/>
    <s v=""/>
    <s v=""/>
    <s v=""/>
    <s v=""/>
    <s v=""/>
    <s v=""/>
    <n v="4551"/>
    <n v="0.99299999999999999"/>
    <s v=""/>
  </r>
  <r>
    <s v="Hema"/>
    <s v="SQBIR.HEMA.273.FY26-27.1"/>
    <m/>
    <m/>
    <m/>
    <m/>
    <s v=""/>
    <n v="2050"/>
    <s v=" 96% BCI COTTON 4% ELASTANE JERSEY GSM-160 CW-167CM/66INCH "/>
    <s v="Black Onyx"/>
    <s v=""/>
    <n v="127.971"/>
    <n v="127.971"/>
    <n v="0"/>
    <m/>
    <n v="0"/>
    <n v="454434"/>
    <s v="Solid"/>
    <x v="0"/>
    <d v="2026-10-05T00:00:00"/>
    <d v="2026-10-05T00:00:00"/>
    <s v="Hues Agreed qty as per SQBL required date"/>
    <m/>
    <s v="Oct"/>
    <d v="2026-10-03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73.FY26-27.2"/>
    <m/>
    <m/>
    <m/>
    <m/>
    <s v=""/>
    <n v="2051"/>
    <s v=" 96% BCI COTTON 4% ELASTANE JERSEY GSM-160 CW-167CM/66INCH "/>
    <s v="Black Onyx"/>
    <n v="0"/>
    <n v="0.46400000000000002"/>
    <n v="0.46400000000000002"/>
    <n v="0"/>
    <m/>
    <n v="0"/>
    <n v="454434"/>
    <s v="Solid"/>
    <x v="0"/>
    <d v="2026-10-05T00:00:00"/>
    <d v="2026-10-05T00:00:00"/>
    <s v="Hues Agreed qty as per SQBL required date"/>
    <m/>
    <s v="Oct"/>
    <d v="2026-10-09T00:00:00"/>
    <m/>
    <m/>
    <m/>
    <m/>
    <m/>
    <m/>
    <m/>
    <m/>
    <m/>
    <m/>
    <s v="454434"/>
    <s v="Black Onyx (19-4003 TCX)"/>
    <n v="160"/>
    <s v="454434160Black Onyx (19-4003 TCX)"/>
    <n v="4551"/>
    <n v="34"/>
    <s v=""/>
    <n v="8848.630000000001"/>
    <s v=""/>
    <s v=""/>
    <n v="0"/>
    <s v=""/>
    <n v="4551"/>
    <n v="0.99299999999999999"/>
    <s v=""/>
  </r>
  <r>
    <s v="Hema"/>
    <s v="SQBIR.HEMA.274.FY26-27.1"/>
    <m/>
    <m/>
    <m/>
    <m/>
    <s v=""/>
    <n v="2052"/>
    <s v=" 96% BCI COTTON 4% ELASTANE JERSEY GSM-160 CW-167CM/66INCH "/>
    <s v="Black Onyx"/>
    <s v=""/>
    <n v="187.023"/>
    <n v="187.023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320.FY26-27.2"/>
    <m/>
    <m/>
    <m/>
    <m/>
    <s v=""/>
    <n v="2053"/>
    <s v=" 96% ORGANIC COTTON 4% ELASTANE JERSEY GSM-160 CW-167CM/66INCH "/>
    <s v="BUTTERCREAM 11-0110TCX"/>
    <n v="0"/>
    <n v="-0.97199999999999998"/>
    <n v="-0.97199999999999998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Butter Cream 11-0110 TCX"/>
    <n v="160"/>
    <s v="456385160Butter Cream 11-0110 TCX"/>
    <n v="853"/>
    <n v="-31.67"/>
    <n v="-4.5990000000000002"/>
    <n v="-4.5990000000000002"/>
    <s v=""/>
    <s v=""/>
    <n v="0"/>
    <s v=""/>
    <n v="853"/>
    <n v="1.0389999999999999"/>
    <n v="857.59900000000005"/>
  </r>
  <r>
    <s v="Hema"/>
    <s v="SQBIR.HEMA.178.FY26-27.1"/>
    <m/>
    <m/>
    <m/>
    <m/>
    <s v=""/>
    <n v="2054"/>
    <s v=" 96% BCI COTTON 4% ELASTANE JERSEY GSM-160 CW-167CM/66INCH "/>
    <s v="Black Onyx"/>
    <n v="0"/>
    <n v="116.334"/>
    <n v="116.334"/>
    <n v="0"/>
    <m/>
    <n v="0"/>
    <n v="454434"/>
    <s v="Solid"/>
    <x v="0"/>
    <d v="2026-10-05T00:00:00"/>
    <d v="2026-10-05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s v=""/>
    <s v=""/>
    <s v=""/>
    <n v="0"/>
    <s v=""/>
    <n v="4551"/>
    <n v="0.99299999999999999"/>
    <n v="-4297.630000000001"/>
  </r>
  <r>
    <s v="Hema"/>
    <s v="SQBIR.HEMA.179.FY26-27.1"/>
    <m/>
    <m/>
    <m/>
    <m/>
    <s v=""/>
    <n v="2055"/>
    <s v=" 96% BCI COTTON 4% ELASTANE JERSEY GSM-160 CW-167CM/66INCH "/>
    <s v="Black Onyx"/>
    <n v="0"/>
    <n v="181.61500000000001"/>
    <n v="181.61500000000001"/>
    <n v="0"/>
    <m/>
    <n v="0"/>
    <n v="454434"/>
    <s v="Solid"/>
    <x v="0"/>
    <d v="2026-10-05T00:00:00"/>
    <d v="2026-10-05T00:00:00"/>
    <s v="Hues Agreed qty as per SQBL required date"/>
    <m/>
    <s v="Oct"/>
    <d v="2026-10-10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22.FY26-27.1"/>
    <m/>
    <m/>
    <m/>
    <m/>
    <s v=""/>
    <n v="2056"/>
    <s v=" 96% BCI COTTON 4% ELASTANE JERSEY GSM-160 CW-167CM/66INCH "/>
    <s v="MANGANO CALCITE-13-1501-TCX"/>
    <s v=""/>
    <n v="749.52200000000005"/>
    <n v="749.52200000000005"/>
    <n v="0"/>
    <m/>
    <n v="0"/>
    <n v="459626"/>
    <s v="Solid"/>
    <x v="0"/>
    <d v="2026-10-05T00:00:00"/>
    <d v="2026-10-05T00:00:00"/>
    <s v="Hues Agreed qty as per SQBL required date"/>
    <m/>
    <s v="Oct"/>
    <d v="2026-10-10T00:00:00"/>
    <m/>
    <m/>
    <m/>
    <m/>
    <m/>
    <m/>
    <m/>
    <m/>
    <m/>
    <m/>
    <s v="459626"/>
    <s v="Mangano Calcite 13-1501 TCX"/>
    <n v="160"/>
    <s v="459626160Mangano Calcite 13-1501 TCX"/>
    <n v="2667.36"/>
    <n v="177.64"/>
    <n v="2388.4070000000002"/>
    <n v="2388.4070000000002"/>
    <s v=""/>
    <s v=""/>
    <n v="0"/>
    <s v=""/>
    <n v="2667.36"/>
    <n v="0.93799999999999994"/>
    <n v="278.95299999999997"/>
  </r>
  <r>
    <s v="Hema"/>
    <s v="SQBIR.HEMA.223.FY26-27.1"/>
    <m/>
    <m/>
    <m/>
    <m/>
    <s v=""/>
    <n v="2057"/>
    <s v=" 96% BCI COTTON 4% ELASTANE JERSEY GSM-160 CW-167CM/66INCH "/>
    <s v="MANGANO CALCITE-13-1501-TCX"/>
    <s v=""/>
    <n v="428.4"/>
    <n v="428.4"/>
    <n v="0"/>
    <m/>
    <n v="0"/>
    <n v="459626"/>
    <s v="Solid"/>
    <x v="0"/>
    <d v="2026-10-05T00:00:00"/>
    <d v="2026-10-05T00:00:00"/>
    <s v="Hues Agreed qty as per SQBL required date"/>
    <m/>
    <s v="Oct"/>
    <d v="2026-10-14T00:00:00"/>
    <m/>
    <m/>
    <m/>
    <m/>
    <m/>
    <m/>
    <m/>
    <m/>
    <m/>
    <m/>
    <s v="459626"/>
    <s v="Mangano Calcite 13-1501 TCX"/>
    <n v="160"/>
    <s v="459626160Mangano Calcite 13-1501 TCX"/>
    <n v="2667.36"/>
    <n v="177.64"/>
    <n v="2388.4070000000002"/>
    <n v="2388.4070000000002"/>
    <s v=""/>
    <s v=""/>
    <n v="0"/>
    <s v=""/>
    <n v="2667.36"/>
    <n v="0.93799999999999994"/>
    <n v="278.95299999999997"/>
  </r>
  <r>
    <s v="Hema"/>
    <s v="SQBIR.HEMA.040.FY26-27.1"/>
    <m/>
    <m/>
    <m/>
    <m/>
    <s v=""/>
    <n v="2058"/>
    <s v=" 96% BCI COTTON 4% ELASTANE JERSEY GSM-160 CW-167CM/66INCH "/>
    <s v="Smoke-Green-15-6315-TCX"/>
    <s v=""/>
    <n v="0"/>
    <m/>
    <n v="0"/>
    <m/>
    <n v="0"/>
    <n v="454213"/>
    <s v="Solid"/>
    <x v="54"/>
    <d v="2026-10-10T00:00:00"/>
    <d v="2026-10-10T00:00:00"/>
    <s v="Hues Agreed qty as per SQBL required date"/>
    <m/>
    <s v="Oct"/>
    <d v="2026-10-10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s v=""/>
    <s v=""/>
    <s v=""/>
    <s v=""/>
    <n v="723"/>
    <n v="0.95799999999999996"/>
    <n v="723"/>
  </r>
  <r>
    <s v="Hema"/>
    <s v="SQBIR.HEMA.054.FY26-27.1"/>
    <m/>
    <m/>
    <m/>
    <m/>
    <s v=""/>
    <n v="2059"/>
    <s v=" 96% BCI COTTON 4% ELASTANE JERSEY GSM-160 CW-167CM/66INCH "/>
    <s v="Smoke-Green-15-6315-TCX"/>
    <n v="0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s v=""/>
    <s v=""/>
    <n v="0"/>
    <s v=""/>
    <n v="723"/>
    <n v="0.95799999999999996"/>
    <n v="723"/>
  </r>
  <r>
    <s v="Hema"/>
    <s v="SQBIR.HEMA.054.FY26-27.2"/>
    <m/>
    <m/>
    <m/>
    <m/>
    <s v=""/>
    <n v="2060"/>
    <s v=" 96% BCI COTTON 4% ELASTANE JERSEY GSM-160 CW-167CM/66INCH "/>
    <s v="Smoke-Green-15-6315-TCX"/>
    <s v="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n v="0"/>
    <s v=""/>
    <s v=""/>
    <n v="0"/>
    <s v=""/>
    <n v="723"/>
    <n v="0.95799999999999996"/>
    <n v="723"/>
  </r>
  <r>
    <s v="Hema"/>
    <s v="SQBIR.HEMA.109.FY26-27.1"/>
    <m/>
    <m/>
    <m/>
    <m/>
    <s v=""/>
    <n v="2061"/>
    <s v=" 96% BCI COTTON 4% ELASTANE JERSEY GSM-160 CW-167CM/66INCH "/>
    <s v="Black Onyx"/>
    <n v="-105.24366666666667"/>
    <n v="315.73099999999999"/>
    <m/>
    <n v="-315.73099999999999"/>
    <m/>
    <n v="-315.73099999999999"/>
    <n v="453421"/>
    <s v="Solid"/>
    <x v="11"/>
    <d v="2026-11-03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n v="14486.914000000002"/>
    <s v=""/>
    <s v=""/>
    <n v="315.73099999999999"/>
    <s v=""/>
    <n v="2391"/>
    <n v="0.122"/>
    <n v="2391"/>
  </r>
  <r>
    <s v="Hema"/>
    <s v="SQBIR.HEMA.109.FY26-27.1"/>
    <m/>
    <m/>
    <m/>
    <m/>
    <s v=""/>
    <n v="2061"/>
    <s v=" 96% BCI COTTON 4% ELASTANE JERSEY GSM-160 CW-167CM/66INCH "/>
    <s v="Black Onyx"/>
    <n v="-482.89699999999999"/>
    <n v="1448.691"/>
    <m/>
    <n v="-1448.691"/>
    <m/>
    <n v="-1448.691"/>
    <n v="453421"/>
    <s v="Solid"/>
    <x v="19"/>
    <d v="2026-11-04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n v="14486.914000000002"/>
    <s v=""/>
    <s v=""/>
    <n v="1448.691"/>
    <s v=""/>
    <n v="2391"/>
    <n v="0.122"/>
    <n v="2391"/>
  </r>
  <r>
    <s v="Hema"/>
    <s v="SQBIR.HEMA.109.FY26-27.1"/>
    <m/>
    <m/>
    <m/>
    <m/>
    <s v=""/>
    <n v="2061"/>
    <s v=" 96% BCI COTTON 4% ELASTANE JERSEY GSM-160 CW-167CM/66INCH "/>
    <s v="Black Onyx"/>
    <s v=""/>
    <n v="1448.691"/>
    <m/>
    <n v="-1448.691"/>
    <m/>
    <n v="-1448.691"/>
    <n v="453421"/>
    <s v="Solid"/>
    <x v="20"/>
    <d v="2026-11-05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s v=""/>
    <s v=""/>
    <s v=""/>
    <n v="1448.691"/>
    <s v=""/>
    <n v="2391"/>
    <n v="0.122"/>
    <n v="2391"/>
  </r>
  <r>
    <s v="Hema"/>
    <s v="SQBIR.HEMA.109.FY26-27.1"/>
    <m/>
    <m/>
    <m/>
    <m/>
    <s v=""/>
    <n v="2061"/>
    <s v=" 96% BCI COTTON 4% ELASTANE JERSEY GSM-160 CW-167CM/66INCH "/>
    <s v="Black Onyx"/>
    <n v="-228.18566666666666"/>
    <n v="684.55700000000002"/>
    <m/>
    <n v="-684.55700000000002"/>
    <m/>
    <n v="-684.55700000000002"/>
    <n v="453421"/>
    <s v="Solid"/>
    <x v="21"/>
    <d v="2026-11-06T00:00:00"/>
    <s v="(1st-10th) Nov"/>
    <s v="Revised Plan given as per revised date"/>
    <m/>
    <s v="Oct"/>
    <d v="2026-10-08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n v="14486.914000000002"/>
    <s v=""/>
    <s v=""/>
    <n v="684.55700000000002"/>
    <s v=""/>
    <n v="2391"/>
    <n v="0.122"/>
    <n v="2391"/>
  </r>
  <r>
    <s v="Hema"/>
    <s v="SQBIR.HEMA.403.FY26-27.1"/>
    <m/>
    <m/>
    <m/>
    <m/>
    <s v=""/>
    <n v="2062"/>
    <s v="KNIT SINGLE JERSEY ORGANIC COTTON 95% ELASTANE 5% GSM-160 CW-165 CM/66 INCH "/>
    <s v="Pastel Lilac"/>
    <s v=""/>
    <n v="670"/>
    <n v="670"/>
    <n v="0"/>
    <m/>
    <n v="0"/>
    <n v="459370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Pastel Lilac (14-3812 TCX)"/>
    <n v="160"/>
    <s v="459370160Pastel Lilac (14-3812 TCX)"/>
    <n v="683"/>
    <n v="-13"/>
    <n v="670"/>
    <n v="670"/>
    <s v=""/>
    <s v=""/>
    <n v="0"/>
    <s v=""/>
    <n v="683"/>
    <n v="1.0189999999999999"/>
    <n v="13"/>
  </r>
  <r>
    <s v="Hema"/>
    <s v="SQBIR.HEMA.405.FY26-27.1"/>
    <m/>
    <m/>
    <m/>
    <m/>
    <s v=""/>
    <n v="2063"/>
    <s v="KNIT SINGLE JERSEY ORGANIC COTTON 95% ELASTANE 5% GSM-160 CW-165 CM/66 INCH "/>
    <s v="ROSE ELEGANCE 15-1614 TCX"/>
    <s v=""/>
    <n v="1214.0999999999999"/>
    <n v="1214.0999999999999"/>
    <n v="0"/>
    <m/>
    <n v="0"/>
    <n v="459370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Rose Elegance (15-1614 TCX)"/>
    <n v="160"/>
    <s v="459370160Rose Elegance (15-1614 TCX)"/>
    <n v="1780"/>
    <n v="20"/>
    <n v="1214.0999999999999"/>
    <s v=""/>
    <s v=""/>
    <s v=""/>
    <s v=""/>
    <s v=""/>
    <n v="1780"/>
    <n v="0.98899999999999999"/>
    <n v="565.90000000000009"/>
  </r>
  <r>
    <s v="Hema"/>
    <s v="SQBIR.HEMA.404.FY26-27.1"/>
    <m/>
    <m/>
    <m/>
    <m/>
    <s v=""/>
    <n v="2064"/>
    <s v="KNIT SINGLE JERSEY ORGANIC COTTON 95% ELASTANE 5% GSM-160 CW-165 CM/66 INCH "/>
    <s v="ROSE ELEGANCE 15-1614 TCX"/>
    <n v="0"/>
    <n v="0"/>
    <n v="0"/>
    <n v="0"/>
    <m/>
    <n v="0"/>
    <n v="459370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Rose Elegance (15-1614 TCX)"/>
    <n v="160"/>
    <s v="459370160Rose Elegance (15-1614 TCX)"/>
    <n v="1780"/>
    <n v="20"/>
    <n v="1214.0999999999999"/>
    <n v="1214.0999999999999"/>
    <s v=""/>
    <s v=""/>
    <n v="0"/>
    <s v=""/>
    <n v="1780"/>
    <n v="0.98899999999999999"/>
    <n v="565.90000000000009"/>
  </r>
  <r>
    <s v="Hema"/>
    <s v="SQBIR.HEMA.403.FY26-27.1"/>
    <m/>
    <m/>
    <m/>
    <m/>
    <s v=""/>
    <n v="2065"/>
    <s v="KNIT SINGLE JERSEY ORGANIC COTTON 95% ELASTANE 5% GSM-160 CW-165 CM/66 INCH "/>
    <s v="STONE WASH-17-3917 TCX"/>
    <s v=""/>
    <n v="670"/>
    <n v="670"/>
    <n v="0"/>
    <m/>
    <n v="0"/>
    <n v="459370"/>
    <s v="Solid"/>
    <x v="55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STONE WASH 17-3917 TCX"/>
    <n v="160"/>
    <s v="459370160STONE WASH 17-3917 TCX"/>
    <n v="681"/>
    <n v="-11"/>
    <n v="670"/>
    <n v="670"/>
    <s v=""/>
    <s v=""/>
    <n v="0"/>
    <s v=""/>
    <n v="681"/>
    <n v="1.016"/>
    <n v="11"/>
  </r>
  <r>
    <s v="Hema"/>
    <s v="SQBIR.HEMA.405.FY26-27.1"/>
    <m/>
    <m/>
    <m/>
    <m/>
    <s v=""/>
    <n v="2066"/>
    <s v="KNIT SINGLE JERSEY ORGANIC COTTON 95% ELASTANE 5% GSM-160 CW-165 CM/66 INCH "/>
    <s v="TAWNY PORT 19-1725 TCX"/>
    <s v=""/>
    <n v="950.16"/>
    <n v="950.16"/>
    <n v="0"/>
    <m/>
    <n v="0"/>
    <n v="459370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Tawny Port 19-1725 TCX"/>
    <n v="160"/>
    <s v="459370160Tawny Port 19-1725 TCX"/>
    <n v="2490"/>
    <n v="60"/>
    <n v="2550"/>
    <n v="2550"/>
    <s v=""/>
    <s v=""/>
    <n v="0"/>
    <s v=""/>
    <n v="2490"/>
    <n v="0.97599999999999998"/>
    <n v="-60"/>
  </r>
  <r>
    <s v="Hema"/>
    <s v="SQBIR.HEMA.404.FY26-27.1"/>
    <m/>
    <m/>
    <m/>
    <m/>
    <s v=""/>
    <n v="2067"/>
    <s v="KNIT SINGLE JERSEY ORGANIC COTTON 95% ELASTANE 5% GSM-160 CW-165 CM/66 INCH "/>
    <s v="TAWNY PORT 19-1725 TCX"/>
    <s v=""/>
    <n v="1599.84"/>
    <n v="1599.84"/>
    <n v="0"/>
    <m/>
    <n v="0"/>
    <n v="459370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9370"/>
    <s v="Tawny Port 19-1725 TCX"/>
    <n v="160"/>
    <s v="459370160Tawny Port 19-1725 TCX"/>
    <n v="2490"/>
    <n v="60"/>
    <n v="2550"/>
    <n v="2550"/>
    <s v=""/>
    <s v=""/>
    <n v="0"/>
    <s v=""/>
    <n v="2490"/>
    <n v="0.97599999999999998"/>
    <n v="-60"/>
  </r>
  <r>
    <s v="Hema"/>
    <s v="SQBIR.HEMA.227.FY26-27.1"/>
    <m/>
    <m/>
    <m/>
    <m/>
    <s v=""/>
    <n v="2068"/>
    <s v=" 96% BCI COTTON 4% ELASTANE JERSEY GSM-160 CW-167CM/66INCH "/>
    <s v="Sea-Spray-17-6212-TCX"/>
    <n v="0"/>
    <n v="778.91800000000001"/>
    <n v="778.91800000000001"/>
    <n v="0"/>
    <m/>
    <n v="0"/>
    <n v="459626"/>
    <s v="Solid"/>
    <x v="55"/>
    <d v="2026-10-12T00:00:00"/>
    <d v="2026-10-12T00:00:00"/>
    <s v="Hues Agreed qty as per SQBL required date"/>
    <m/>
    <s v="Oct"/>
    <d v="2026-10-12T00:00:00"/>
    <m/>
    <m/>
    <m/>
    <m/>
    <m/>
    <m/>
    <m/>
    <m/>
    <m/>
    <m/>
    <s v="459626"/>
    <s v="Sea Spray 17-6212 TCx"/>
    <n v="160"/>
    <s v="459626160Sea Spray 17-6212 TCx"/>
    <n v="3919.86"/>
    <n v="2395.14"/>
    <n v="1733.258"/>
    <s v=""/>
    <s v=""/>
    <s v=""/>
    <n v="0"/>
    <s v=""/>
    <n v="3919.86"/>
    <n v="0.621"/>
    <n v="2186.6019999999999"/>
  </r>
  <r>
    <s v="Hema"/>
    <s v="SQBIR.HEMA.186.FY26-27.1"/>
    <m/>
    <m/>
    <m/>
    <m/>
    <s v=""/>
    <n v="2069"/>
    <s v=" 96% BCI COTTON 4% ELASTANE JERSEY GSM-160 CW-167CM/66INCH "/>
    <s v="Bark 16-1506TCX"/>
    <n v="0"/>
    <n v="309.88099999999997"/>
    <n v="309.88099999999997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s v=""/>
    <n v="6711.1980000000012"/>
    <s v=""/>
    <s v=""/>
    <s v=""/>
    <s v=""/>
    <n v="9181"/>
    <n v="0.94499999999999995"/>
    <s v=""/>
  </r>
  <r>
    <s v="Hema"/>
    <s v="SQBIR.HEMA.187.FY26-27.1"/>
    <m/>
    <m/>
    <m/>
    <m/>
    <s v=""/>
    <n v="2070"/>
    <s v=" 96% BCI COTTON 4% ELASTANE JERSEY GSM-160 CW-167CM/66INCH "/>
    <s v="Bark 16-1506TCX"/>
    <n v="0"/>
    <n v="309.88099999999997"/>
    <n v="309.88099999999997"/>
    <n v="0"/>
    <m/>
    <n v="0"/>
    <n v="457842"/>
    <s v="Solid"/>
    <x v="23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m/>
    <m/>
    <m/>
    <s v="457842"/>
    <s v="Bark 16-1506 tcx"/>
    <n v="160"/>
    <s v="457842160Bark 16-1506 tcx"/>
    <n v="9181"/>
    <n v="539"/>
    <n v="6189.1980000000012"/>
    <s v=""/>
    <s v=""/>
    <s v=""/>
    <n v="0"/>
    <s v=""/>
    <n v="9181"/>
    <n v="0.94499999999999995"/>
    <n v="2991.8019999999988"/>
  </r>
  <r>
    <s v="Hema"/>
    <s v="SQBIR.HEMA.188.FY26-27.1"/>
    <m/>
    <m/>
    <m/>
    <m/>
    <s v=""/>
    <n v="2071"/>
    <s v=" 96% BCI COTTON 4% ELASTANE JERSEY GSM-160 CW-167CM/66INCH "/>
    <s v="Bark 16-1506TCX"/>
    <n v="-58.223333333333329"/>
    <n v="319.49299999999999"/>
    <n v="144.82300000000001"/>
    <n v="-174.67"/>
    <m/>
    <n v="-174.67"/>
    <n v="457842"/>
    <s v="Solid"/>
    <x v="55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s v="OTT CHNG"/>
    <m/>
    <m/>
    <s v="457842"/>
    <s v="Bark 16-1506 tcx"/>
    <n v="160"/>
    <s v="457842160Bark 16-1506 tcx"/>
    <n v="9181"/>
    <n v="539"/>
    <n v="6189.1980000000012"/>
    <n v="6711.1980000000012"/>
    <s v=""/>
    <s v=""/>
    <s v=""/>
    <s v=""/>
    <n v="9181"/>
    <n v="0.94499999999999995"/>
    <n v="2991.8019999999988"/>
  </r>
  <r>
    <s v="Hema"/>
    <s v="SQBIR.HEMA.172.FY26-27.1"/>
    <m/>
    <m/>
    <m/>
    <m/>
    <s v=""/>
    <n v="2072"/>
    <s v=" 96% BCI COTTON 4% ELASTANE JERSEY GSM-160 CW-167CM/66INCH "/>
    <s v="DARK DENIM 19-4118 TCX"/>
    <n v="0"/>
    <n v="890.21"/>
    <n v="890.21"/>
    <n v="0"/>
    <m/>
    <n v="0"/>
    <n v="457842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57842"/>
    <s v="Dark Denim 19-4118 tcx"/>
    <n v="160"/>
    <s v="457842160Dark Denim 19-4118 tcx"/>
    <n v="7810.14"/>
    <n v="69.86"/>
    <s v=""/>
    <s v=""/>
    <s v=""/>
    <s v=""/>
    <n v="0"/>
    <s v=""/>
    <n v="7810.14"/>
    <n v="0.99099999999999999"/>
    <s v=""/>
  </r>
  <r>
    <s v="Hema"/>
    <s v="SQBIR.HEMA.173.FY26-27.1"/>
    <m/>
    <m/>
    <m/>
    <m/>
    <b v="0"/>
    <n v="2073"/>
    <s v=" 96% BCI COTTON 4% ELASTANE JERSEY GSM-160 CW-167CM/66INCH "/>
    <s v="DARK DENIM 19-4118 TCX"/>
    <n v="0"/>
    <n v="1389.742"/>
    <n v="1389.742"/>
    <n v="0"/>
    <m/>
    <n v="0"/>
    <n v="457842"/>
    <s v="Solid"/>
    <x v="0"/>
    <d v="2026-10-05T00:00:00"/>
    <d v="2026-10-05T00:00:00"/>
    <s v="Hues Agreed qty as per SQBL required date"/>
    <m/>
    <s v="Oct"/>
    <d v="2026-10-05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s v=""/>
    <s v=""/>
    <s v=""/>
    <n v="0"/>
    <b v="0"/>
    <n v="7810.14"/>
    <n v="0.99099999999999999"/>
    <n v="4165.5060000000003"/>
  </r>
  <r>
    <s v="Hema"/>
    <s v="SQBIR.HEMA.175.FY26-27.1"/>
    <m/>
    <m/>
    <m/>
    <m/>
    <s v=""/>
    <n v="2074"/>
    <s v=" 96% BCI COTTON 4% ELASTANE JERSEY GSM-160 CW-167CM/66INCH "/>
    <s v="DARK DENIM 19-4118 TCX"/>
    <n v="0"/>
    <n v="794.23099999999999"/>
    <n v="794.23099999999999"/>
    <n v="0"/>
    <m/>
    <n v="0"/>
    <n v="457842"/>
    <s v="Solid"/>
    <x v="27"/>
    <d v="2026-10-17T00:00:00"/>
    <d v="2026-10-17T00:00:00"/>
    <s v="Hues Agreed qty as per SQBL required date"/>
    <m/>
    <s v="Oct"/>
    <d v="2026-10-17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s v=""/>
    <s v=""/>
    <s v=""/>
    <n v="0"/>
    <s v=""/>
    <n v="7810.14"/>
    <n v="0.99099999999999999"/>
    <n v="4165.5060000000003"/>
  </r>
  <r>
    <s v="Hema"/>
    <s v="SQBIR.HEMA.260.FY26-27.1"/>
    <m/>
    <m/>
    <m/>
    <m/>
    <b v="0"/>
    <n v="2075"/>
    <s v=" 96% BCI COTTON 4% ELASTANE JERSEY GSM-160 CW-167CM/66INCH "/>
    <s v="DARK DENIM 19-4118 TCX"/>
    <n v="-22.51733333333334"/>
    <n v="638.00300000000004"/>
    <n v="570.45100000000002"/>
    <n v="-67.552000000000021"/>
    <m/>
    <n v="-67.552000000000021"/>
    <n v="457842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n v="3714.4940000000001"/>
    <s v=""/>
    <s v=""/>
    <n v="67.552000000000021"/>
    <b v="0"/>
    <n v="7810.14"/>
    <n v="0.99099999999999999"/>
    <n v="4165.5060000000003"/>
  </r>
  <r>
    <s v="Hema"/>
    <s v="SQBIR.HEMA.260.FY26-27.2"/>
    <m/>
    <m/>
    <m/>
    <m/>
    <s v=""/>
    <n v="2076"/>
    <s v=" 96% BCI COTTON 4% ELASTANE JERSEY GSM-160 CW-167CM/66INCH "/>
    <s v="DARK DENIM 19-4118 TCX"/>
    <n v="-0.76933333333333331"/>
    <n v="2.3079999999999998"/>
    <n v="0"/>
    <n v="-2.3079999999999998"/>
    <m/>
    <n v="-2.3079999999999998"/>
    <n v="457842"/>
    <s v="Solid"/>
    <x v="6"/>
    <d v="2026-10-03T00:00:00"/>
    <d v="2026-10-01T00:00:00"/>
    <s v="Hues Agreed qty as per SQBL required date"/>
    <m/>
    <s v="Oct"/>
    <d v="2026-10-01T00:00:00"/>
    <m/>
    <m/>
    <m/>
    <m/>
    <m/>
    <m/>
    <m/>
    <m/>
    <m/>
    <m/>
    <s v="457842"/>
    <s v="Dark Denim 19-4118 tcx"/>
    <n v="160"/>
    <s v="457842160Dark Denim 19-4118 tcx"/>
    <n v="7810.14"/>
    <n v="69.86"/>
    <n v="3644.634"/>
    <s v=""/>
    <s v=""/>
    <s v=""/>
    <n v="2.3079999999999998"/>
    <s v=""/>
    <n v="7810.14"/>
    <n v="0.99099999999999999"/>
    <n v="4165.5060000000003"/>
  </r>
  <r>
    <s v="Hema"/>
    <s v="SQBIR.HEMA.175.FY26-27.1"/>
    <m/>
    <m/>
    <m/>
    <m/>
    <s v=""/>
    <n v="2077"/>
    <s v=" 96% BCI COTTON 4% ELASTANE JERSEY GSM-160 CW-167CM/66INCH "/>
    <s v="Gardenia 11-0604 TCX"/>
    <n v="0"/>
    <n v="55.204999999999998"/>
    <n v="55.204999999999998"/>
    <n v="0"/>
    <m/>
    <n v="0"/>
    <n v="457876"/>
    <s v="Solid"/>
    <x v="52"/>
    <d v="2026-10-02T00:00:00"/>
    <d v="2026-10-01T00:00:00"/>
    <s v="Hues Agreed qty as per SQBL required date"/>
    <m/>
    <s v="Oct"/>
    <d v="2026-10-17T00:00:00"/>
    <m/>
    <m/>
    <m/>
    <m/>
    <m/>
    <m/>
    <m/>
    <m/>
    <m/>
    <m/>
    <s v="457876"/>
    <s v="Gardenia 11-0604 TCX"/>
    <n v="160"/>
    <s v="457876160Gardenia 11-0604 TCX"/>
    <n v="1264.17"/>
    <n v="-24.17"/>
    <s v=""/>
    <n v="439.2109999999999"/>
    <s v=""/>
    <s v=""/>
    <n v="0"/>
    <s v=""/>
    <n v="1264.17"/>
    <n v="1.0189999999999999"/>
    <s v=""/>
  </r>
  <r>
    <s v="Hema"/>
    <s v="SQBIR.HEMA.325.FY26-27.2"/>
    <m/>
    <m/>
    <m/>
    <m/>
    <s v=""/>
    <n v="2078"/>
    <s v=" 96% ORGANIC COTTON 4% ELASTANE JERSEY GSM-160 CW-167CM/66INCH "/>
    <s v="CHRYSANTHEMUM-17-1641-TCX"/>
    <s v=""/>
    <n v="47.503"/>
    <n v="47.503"/>
    <n v="0"/>
    <m/>
    <n v="0"/>
    <n v="456385"/>
    <s v="Solid"/>
    <x v="2"/>
    <d v="2026-10-11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CHRYSANTHEMUM 17-1641 TCX"/>
    <n v="160"/>
    <s v="456385160CHRYSANTHEMUM 17-1641 TCX"/>
    <n v="814"/>
    <n v="-1.69"/>
    <s v=""/>
    <n v="230.93800000000002"/>
    <s v=""/>
    <s v=""/>
    <s v=""/>
    <s v=""/>
    <n v="814"/>
    <n v="1.002"/>
    <s v=""/>
  </r>
  <r>
    <s v="Hema"/>
    <s v="SQBIR.HEMA.326.FY26-27.1"/>
    <m/>
    <m/>
    <m/>
    <m/>
    <s v=""/>
    <n v="2079"/>
    <s v=" 96% ORGANIC COTTON 4% ELASTANE JERSEY GSM-160 CW-167CM/66INCH "/>
    <s v="CHRYSANTHEMUM-17-1641-TCX"/>
    <n v="0"/>
    <n v="134.64500000000001"/>
    <n v="134.64500000000001"/>
    <n v="0"/>
    <m/>
    <n v="0"/>
    <n v="456385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s v=""/>
    <s v=""/>
    <s v=""/>
    <n v="0"/>
    <s v=""/>
    <n v="814"/>
    <n v="1.002"/>
    <n v="583.06200000000001"/>
  </r>
  <r>
    <s v="Hema"/>
    <s v="SQBIR.HEMA.151.FY26-27.2"/>
    <m/>
    <m/>
    <m/>
    <m/>
    <s v=""/>
    <n v="2080"/>
    <s v=" 96% BCI COTTON 4% ELASTANE JERSEY GSM-160 CW-167CM/66INCH "/>
    <s v="Black Onyx"/>
    <n v="0"/>
    <n v="0.216"/>
    <n v="0.216"/>
    <n v="0"/>
    <m/>
    <n v="0"/>
    <n v="454495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s v=""/>
    <s v=""/>
    <s v=""/>
    <s v=""/>
    <s v=""/>
    <n v="121.15"/>
    <n v="1.01"/>
    <n v="45.859000000000009"/>
  </r>
  <r>
    <s v="Hema"/>
    <s v="SQBIR.HEMA.151.FY26-27.1"/>
    <m/>
    <m/>
    <m/>
    <m/>
    <s v=""/>
    <n v="2081"/>
    <s v=" 95% LENZING MODAL 5% ELASTANE JERSEY GSM-165 CW-167CM/66INCH "/>
    <s v="Black Onyx"/>
    <n v="-30.870333333333335"/>
    <n v="92.611000000000004"/>
    <m/>
    <n v="-92.611000000000004"/>
    <m/>
    <n v="-92.611000000000004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5"/>
    <s v="454495165Black Onyx 19-4003 Tcx"/>
    <n v="1219.1600000000001"/>
    <n v="205.84"/>
    <n v="685.31400000000008"/>
    <n v="891.15400000000011"/>
    <s v=""/>
    <s v=""/>
    <s v=""/>
    <s v=""/>
    <n v="1219.1600000000001"/>
    <n v="0.85599999999999998"/>
    <n v="533.846"/>
  </r>
  <r>
    <s v="Hema"/>
    <s v="SQBIR.HEMA.764.FY25-26.1"/>
    <m/>
    <m/>
    <m/>
    <m/>
    <s v=""/>
    <n v="2082"/>
    <s v=" 96% BCI COTTON 4% ELASTANE JERSEY GSM-160 CW-167CM/66INCH "/>
    <s v="MANGANO CALCITE-13-1501-TCX"/>
    <n v="0"/>
    <n v="8.4120000000000008"/>
    <n v="8.4120000000000008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s v=""/>
    <s v=""/>
    <s v=""/>
    <s v=""/>
    <s v=""/>
    <n v="84"/>
    <n v="1"/>
    <n v="47.713000000000001"/>
  </r>
  <r>
    <s v="Hema"/>
    <s v="SQBIR.HEMA.764.FY25-26.2"/>
    <m/>
    <m/>
    <m/>
    <m/>
    <s v=""/>
    <n v="2083"/>
    <s v=" 96% BCI COTTON 4% ELASTANE JERSEY GSM-160 CW-167CM/66INCH "/>
    <s v="MANGANO CALCITE-13-1501-TCX"/>
    <n v="0"/>
    <n v="0.23"/>
    <n v="0.23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0"/>
    <s v="454597160Mangano Calcite 13-1501 TCX"/>
    <n v="84"/>
    <n v="0"/>
    <s v=""/>
    <n v="36.286999999999999"/>
    <s v=""/>
    <s v=""/>
    <s v=""/>
    <s v=""/>
    <n v="84"/>
    <n v="1"/>
    <s v=""/>
  </r>
  <r>
    <s v="Hema"/>
    <s v="SQBIR.HEMA.178.FY26-27.1"/>
    <m/>
    <m/>
    <m/>
    <m/>
    <s v=""/>
    <n v="2084"/>
    <s v=" 96% BCI COTTON 4% ELASTANE JERSEY GSM-160 CW-167CM/66INCH "/>
    <s v="YD Black Onyx 19-4003 TCX 7MM Gardenia 11-0604 TCX 1MM"/>
    <s v=""/>
    <n v="786.41600000000005"/>
    <n v="786.41600000000005"/>
    <n v="0"/>
    <m/>
    <n v="0"/>
    <n v="454434"/>
    <s v="Solid"/>
    <x v="5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s v=""/>
    <s v=""/>
    <n v="4551"/>
    <n v="0.99299999999999999"/>
    <n v="-4297.630000000001"/>
  </r>
  <r>
    <s v="Hema"/>
    <s v="SQBIR.HEMA.766.FY25-26.1"/>
    <m/>
    <m/>
    <m/>
    <m/>
    <s v=""/>
    <n v="2085"/>
    <s v=" 96% BCI COTTON 4% ELASTANE JERSEY GSM-160 CW-167CM/66INCH "/>
    <s v="MANGANO CALCITE-13-1501-TCX"/>
    <n v="0"/>
    <n v="13.196"/>
    <n v="13.196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Mangano Calcite 13-1501 TCX"/>
    <n v="160"/>
    <s v="454597160Mangano Calcite 13-1501 TCX"/>
    <n v="84"/>
    <n v="0"/>
    <n v="36.286999999999999"/>
    <n v="36.286999999999999"/>
    <s v=""/>
    <s v=""/>
    <s v=""/>
    <s v=""/>
    <n v="84"/>
    <n v="1"/>
    <n v="47.713000000000001"/>
  </r>
  <r>
    <s v="Hema"/>
    <s v="SQBIR.HEMA.002.FY26-27.1"/>
    <m/>
    <m/>
    <m/>
    <m/>
    <s v=""/>
    <n v="2086"/>
    <s v=" 96% BCI COTTON 4% ELASTANE JERSEY GSM-160 CW-167CM/66INCH "/>
    <s v="Smoke-Green-15-6315-TCX"/>
    <n v="-3.0739999999999998"/>
    <n v="9.2219999999999995"/>
    <m/>
    <n v="-9.2219999999999995"/>
    <m/>
    <n v="-9.2219999999999995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s v=""/>
    <s v=""/>
    <n v="9.2219999999999995"/>
    <s v=""/>
    <n v="0"/>
    <n v="0"/>
    <n v="0"/>
  </r>
  <r>
    <s v="Hema"/>
    <s v="SQBIR.HEMA.390.FY26-27.1"/>
    <m/>
    <m/>
    <m/>
    <m/>
    <s v=""/>
    <n v="2087"/>
    <s v=" 96% BCI COTTON 4% ELASTANE JERSEY GSM-160 CW-167CM/66INCH "/>
    <s v="Smoke-Green-15-6315-TCX"/>
    <s v=""/>
    <n v="8.2490000000000006"/>
    <m/>
    <n v="-8.2490000000000006"/>
    <m/>
    <n v="-8.2490000000000006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s v=""/>
    <s v=""/>
    <s v=""/>
    <s v=""/>
    <n v="0"/>
    <n v="0"/>
    <n v="0"/>
  </r>
  <r>
    <s v="Hema"/>
    <s v="SQBIR.HEMA.390.FY26-27.2"/>
    <m/>
    <m/>
    <m/>
    <m/>
    <s v=""/>
    <n v="2088"/>
    <s v=" 96% BCI COTTON 4% ELASTANE JERSEY GSM-160 CW-167CM/66INCH "/>
    <s v="Smoke-Green-15-6315-TCX"/>
    <n v="-3.7666666666666668E-2"/>
    <n v="0.113"/>
    <m/>
    <n v="-0.113"/>
    <m/>
    <n v="-0.113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s v=""/>
    <s v=""/>
    <n v="0.113"/>
    <s v=""/>
    <n v="0"/>
    <n v="0"/>
    <n v="0"/>
  </r>
  <r>
    <s v="Hema"/>
    <s v="SQBIR.HEMA.786.FY25-26.1"/>
    <m/>
    <m/>
    <m/>
    <m/>
    <s v=""/>
    <n v="2089"/>
    <s v=" 96% BCI COTTON 4% ELASTANE JERSEY GSM-160 CW-167CM/66INCH "/>
    <s v="Smoke-Green-15-6315-TCX"/>
    <s v=""/>
    <n v="9.3620000000000001"/>
    <m/>
    <n v="-9.3620000000000001"/>
    <m/>
    <n v="-9.3620000000000001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s v=""/>
    <s v=""/>
    <s v=""/>
    <s v=""/>
    <n v="0"/>
    <n v="0"/>
    <n v="0"/>
  </r>
  <r>
    <s v="Hema"/>
    <s v="SQBIR.HEMA.786.FY25-26.2"/>
    <m/>
    <m/>
    <m/>
    <m/>
    <s v=""/>
    <n v="2090"/>
    <s v=" 96% BCI COTTON 4% ELASTANE JERSEY GSM-160 CW-167CM/66INCH "/>
    <s v="Smoke-Green-15-6315-TCX"/>
    <n v="-8.5666666666666669E-2"/>
    <n v="0.25700000000000001"/>
    <m/>
    <n v="-0.25700000000000001"/>
    <m/>
    <n v="-0.25700000000000001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Smoke Green 15-6315 TCx"/>
    <n v="160"/>
    <s v="454597160Smoke Green 15-6315 TCx"/>
    <n v="0"/>
    <s v="#NA"/>
    <s v=""/>
    <n v="37.667999999999999"/>
    <s v=""/>
    <s v=""/>
    <n v="0.25700000000000001"/>
    <s v=""/>
    <n v="0"/>
    <n v="0"/>
    <s v=""/>
  </r>
  <r>
    <s v="Hema"/>
    <s v="SQBIR.HEMA.789.FY25-26.1"/>
    <m/>
    <m/>
    <m/>
    <m/>
    <s v=""/>
    <n v="2091"/>
    <s v=" 96% BCI COTTON 4% ELASTANE JERSEY GSM-160 CW-167CM/66INCH "/>
    <s v="Smoke-Green-15-6315-TCX"/>
    <n v="-3.4883333333333333"/>
    <n v="10.465"/>
    <m/>
    <n v="-10.465"/>
    <m/>
    <n v="-10.465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Smoke Green 15-6315 TCx"/>
    <n v="160"/>
    <s v="454597160Smoke Green 15-6315 TCx"/>
    <n v="0"/>
    <s v="#NA"/>
    <n v="0"/>
    <n v="37.667999999999999"/>
    <s v=""/>
    <s v=""/>
    <n v="10.465"/>
    <s v=""/>
    <n v="0"/>
    <n v="0"/>
    <n v="0"/>
  </r>
  <r>
    <s v="Hema"/>
    <s v="SQBIR.HEMA.365.FY26-27.3"/>
    <m/>
    <m/>
    <m/>
    <m/>
    <s v=""/>
    <n v="2093"/>
    <s v=" 96% ORGANIC COTTON 4% ELASTANE JERSEY GSM-160 CW-167CM/66INCH "/>
    <s v="Black Onyx"/>
    <n v="-100"/>
    <n v="300"/>
    <m/>
    <n v="-300"/>
    <m/>
    <n v="-30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Black Onyx (19-4003 TCX)"/>
    <n v="160"/>
    <s v="466256160Black Onyx (19-4003 TCX)"/>
    <n v="0"/>
    <s v="#NA"/>
    <n v="0"/>
    <n v="300"/>
    <s v=""/>
    <s v=""/>
    <n v="300"/>
    <s v=""/>
    <n v="0"/>
    <n v="0"/>
    <n v="0"/>
  </r>
  <r>
    <s v="Hema"/>
    <s v="SQBIR.HEMA.116.FY26-27.1"/>
    <m/>
    <m/>
    <m/>
    <m/>
    <s v=""/>
    <n v="2094"/>
    <s v=" 96% ORGANIC COTTON 4% ELASTANE JERSEY GSM-160 CW-167CM/66INCH "/>
    <s v="ROSE ELEGANCE 15-1614 TCX"/>
    <n v="-76.666666666666671"/>
    <n v="230"/>
    <m/>
    <n v="-230"/>
    <m/>
    <n v="-230"/>
    <n v="46625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6256"/>
    <s v="Rose Elegance (15-1614 TCX)"/>
    <n v="160"/>
    <s v="466256160Rose Elegance (15-1614 TCX)"/>
    <n v="0"/>
    <s v="#NA"/>
    <n v="0"/>
    <n v="760"/>
    <s v=""/>
    <s v=""/>
    <s v=""/>
    <s v=""/>
    <n v="0"/>
    <n v="0"/>
    <n v="0"/>
  </r>
  <r>
    <s v="Hema"/>
    <s v="SQBIR.HEMA.122.FY26-27.3"/>
    <m/>
    <m/>
    <m/>
    <m/>
    <s v=""/>
    <n v="2095"/>
    <s v=" 96% ORGANIC COTTON 4% ELASTANE JERSEY GSM-160 CW-167CM/66INCH "/>
    <s v="ROSE ELEGANCE 15-1614 TCX"/>
    <n v="-176.66666666666666"/>
    <n v="530"/>
    <m/>
    <n v="-530"/>
    <m/>
    <n v="-53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Rose Elegance (15-1614 TCX)"/>
    <n v="160"/>
    <s v="466256160Rose Elegance (15-1614 TCX)"/>
    <n v="0"/>
    <s v="#NA"/>
    <n v="0"/>
    <s v=""/>
    <s v=""/>
    <s v=""/>
    <n v="530"/>
    <s v=""/>
    <n v="0"/>
    <n v="0"/>
    <n v="0"/>
  </r>
  <r>
    <s v="Hema"/>
    <s v="SQBIR.HEMA.116.FY26-27.1"/>
    <m/>
    <m/>
    <m/>
    <m/>
    <s v=""/>
    <n v="2096"/>
    <s v=" 95% ORGANIC COTTON 4% ELASTANE 1% VISCOSE SINGLE JERSEY GSM-160 CW-167CM/66INCH "/>
    <s v="Oatmeal Melange"/>
    <n v="0"/>
    <n v="230"/>
    <n v="230"/>
    <n v="0"/>
    <m/>
    <n v="0"/>
    <n v="466256"/>
    <s v="Solid"/>
    <x v="25"/>
    <d v="2026-10-15T00:00:00"/>
    <d v="2026-10-15T00:00:00"/>
    <s v="Hues Agreed qty as per SQBL required date"/>
    <m/>
    <s v="Oct"/>
    <d v="2026-10-15T00:00:00"/>
    <m/>
    <m/>
    <m/>
    <m/>
    <m/>
    <m/>
    <m/>
    <m/>
    <m/>
    <m/>
    <s v="466256"/>
    <s v="Oatmeal Melange"/>
    <n v="160"/>
    <s v="466256160Oatmeal Melange"/>
    <n v="498.21"/>
    <n v="1.79"/>
    <n v="500"/>
    <n v="500"/>
    <s v=""/>
    <s v=""/>
    <s v=""/>
    <s v=""/>
    <n v="498.21"/>
    <n v="0.996"/>
    <n v="-1.7900000000000205"/>
  </r>
  <r>
    <s v="Hema"/>
    <s v="SQBIR.HEMA.122.FY26-27.3"/>
    <m/>
    <m/>
    <m/>
    <m/>
    <s v=""/>
    <n v="2097"/>
    <s v=" 95% ORGANIC COTTON 4% ELASTANE 1% VISCOSE SINGLE JERSEY GSM-160 CW-167CM/66INCH "/>
    <s v="Oatmeal Melange"/>
    <s v=""/>
    <n v="270"/>
    <n v="270"/>
    <n v="0"/>
    <m/>
    <n v="0"/>
    <n v="466256"/>
    <s v="Solid"/>
    <x v="25"/>
    <d v="2026-10-15T00:00:00"/>
    <d v="2026-10-15T00:00:00"/>
    <s v="Hues Agreed qty as per SQBL required date"/>
    <m/>
    <s v="Oct"/>
    <d v="2026-10-12T00:00:00"/>
    <m/>
    <m/>
    <m/>
    <m/>
    <m/>
    <m/>
    <m/>
    <m/>
    <m/>
    <m/>
    <s v="466256"/>
    <s v="Oatmeal Melange"/>
    <n v="160"/>
    <s v="466256160Oatmeal Melange"/>
    <n v="498.21"/>
    <n v="1.79"/>
    <s v=""/>
    <n v="500"/>
    <s v=""/>
    <s v=""/>
    <n v="0"/>
    <s v=""/>
    <n v="498.21"/>
    <n v="0.996"/>
    <s v=""/>
  </r>
  <r>
    <s v="Hema"/>
    <s v="SQBIR.HEMA.276.FY26-27.1"/>
    <m/>
    <m/>
    <m/>
    <m/>
    <s v=""/>
    <n v="2099"/>
    <s v=" 96% BCI COTTON 4% ELASTANE JERSEY GSM-160 CW-167CM/66INCH "/>
    <s v="Black Onyx"/>
    <n v="-88.36666666666666"/>
    <n v="531.65"/>
    <n v="266.55"/>
    <n v="-265.09999999999997"/>
    <m/>
    <n v="-265.09999999999997"/>
    <n v="454619"/>
    <s v="Solid"/>
    <x v="26"/>
    <d v="2026-10-08T00:00:00"/>
    <d v="2026-10-07T00:00:00"/>
    <s v="Hues Agreed qty as per SQBL required date"/>
    <m/>
    <s v="Oct"/>
    <d v="2026-10-07T00:00:00"/>
    <m/>
    <m/>
    <m/>
    <m/>
    <m/>
    <m/>
    <m/>
    <m/>
    <m/>
    <m/>
    <s v="454619"/>
    <s v="Black Onyx (19-4003 TCX)"/>
    <n v="160"/>
    <s v="454619160Black Onyx (19-4003 TCX)"/>
    <n v="4334.8999999999996"/>
    <n v="265.10000000000002"/>
    <n v="2475.6930000000002"/>
    <n v="2740.7930000000001"/>
    <s v=""/>
    <s v=""/>
    <s v=""/>
    <s v=""/>
    <n v="4334.8999999999996"/>
    <n v="0.94199999999999995"/>
    <n v="1859.2069999999994"/>
  </r>
  <r>
    <s v="Hema"/>
    <s v="SQBIR.HEMA.266.FY26-27.1"/>
    <m/>
    <m/>
    <m/>
    <m/>
    <s v=""/>
    <n v="2100"/>
    <s v=" 96% BCI COTTON 4% ELASTANE JERSEY GSM-160 CW-167CM/66INCH "/>
    <s v="14-1307TCX ROSE DUST"/>
    <s v=""/>
    <n v="638.43799999999999"/>
    <n v="638.43799999999999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n v="0"/>
    <s v=""/>
    <n v="9532.74"/>
    <n v="0.98099999999999998"/>
    <n v="3805.5940000000001"/>
  </r>
  <r>
    <s v="Hema"/>
    <s v="SQBIR.HEMA.314.FY26-27.2"/>
    <m/>
    <m/>
    <m/>
    <m/>
    <s v=""/>
    <n v="2101"/>
    <s v=" 96% ORGANIC COTTON 4% ELASTANE JERSEY GSM-160 CW-167CM/66INCH "/>
    <s v="Lavendula"/>
    <s v=""/>
    <n v="328.05500000000001"/>
    <n v="328.05500000000001"/>
    <n v="0"/>
    <m/>
    <n v="0"/>
    <n v="456385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LAVENDULA 15-3620TCX"/>
    <n v="160"/>
    <s v="456385160LAVENDULA 15-3620TCX"/>
    <n v="1637"/>
    <n v="-31.85"/>
    <n v="792.65499999999997"/>
    <n v="792.65499999999997"/>
    <s v=""/>
    <s v=""/>
    <s v=""/>
    <s v=""/>
    <n v="1637"/>
    <n v="1.02"/>
    <n v="844.34500000000003"/>
  </r>
  <r>
    <s v="Hema"/>
    <s v="SQBIR.HEMA.315.FY26-27.1"/>
    <m/>
    <m/>
    <m/>
    <m/>
    <s v=""/>
    <n v="2102"/>
    <s v=" 96% ORGANIC COTTON 4% ELASTANE JERSEY GSM-160 CW-167CM/66INCH "/>
    <s v="Lavendula"/>
    <n v="0"/>
    <n v="308.67599999999999"/>
    <n v="308.67599999999999"/>
    <n v="0"/>
    <m/>
    <n v="0"/>
    <n v="456385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6385"/>
    <s v="LAVENDULA 15-3620TCX"/>
    <n v="160"/>
    <s v="456385160LAVENDULA 15-3620TCX"/>
    <n v="1637"/>
    <n v="-31.85"/>
    <n v="792.65499999999997"/>
    <n v="792.65499999999997"/>
    <s v=""/>
    <s v=""/>
    <s v=""/>
    <s v=""/>
    <n v="1637"/>
    <n v="1.02"/>
    <n v="844.34500000000003"/>
  </r>
  <r>
    <s v="Hema"/>
    <s v="SQBIR.HEMA.122.FY26-27.2"/>
    <m/>
    <m/>
    <m/>
    <m/>
    <s v=""/>
    <n v="2103"/>
    <s v=" 95% ORGANIC COTTON 4% ELASTANE 1% VISCOSE SINGLE JERSEY GSM-160 CW-167CM/66INCH "/>
    <s v="Oatmeal Melange"/>
    <n v="0"/>
    <n v="0"/>
    <n v="0"/>
    <n v="0"/>
    <m/>
    <n v="0"/>
    <n v="458406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8406"/>
    <s v="Oatmeal Melange"/>
    <n v="160"/>
    <s v="458406160Oatmeal Melange"/>
    <n v="1027"/>
    <n v="-27"/>
    <n v="38.869999999999997"/>
    <n v="38.869999999999997"/>
    <s v=""/>
    <s v=""/>
    <n v="0"/>
    <s v=""/>
    <n v="1027"/>
    <n v="1.0269999999999999"/>
    <n v="988.13"/>
  </r>
  <r>
    <s v="Hema"/>
    <s v="SQBIR.HEMA.026.FY26-27.1"/>
    <m/>
    <m/>
    <m/>
    <m/>
    <s v=""/>
    <n v="2104"/>
    <s v=" 96% BCI COTTON 4% ELASTANE JERSEY GSM-160 CW-167CM/66INCH "/>
    <s v="Smoke-Green-15-6315-TCX"/>
    <n v="0"/>
    <n v="747.39099999999996"/>
    <n v="747.39099999999996"/>
    <n v="0"/>
    <m/>
    <n v="0"/>
    <n v="454612"/>
    <s v="Solid"/>
    <x v="25"/>
    <d v="2026-10-15T00:00:00"/>
    <d v="2026-10-14T00:00:00"/>
    <s v="Revised Plan given as per revised date"/>
    <m/>
    <s v="Oct"/>
    <d v="2026-10-04T00:00:00"/>
    <m/>
    <m/>
    <m/>
    <m/>
    <m/>
    <m/>
    <m/>
    <m/>
    <m/>
    <m/>
    <s v="454612"/>
    <s v="Smoke Green 15-6315 TCx"/>
    <n v="160"/>
    <s v="454612160Smoke Green 15-6315 TCx"/>
    <n v="2100.6"/>
    <n v="-20.6"/>
    <s v=""/>
    <n v="1183.962"/>
    <s v=""/>
    <s v=""/>
    <n v="0"/>
    <s v=""/>
    <n v="2100.6"/>
    <n v="1.01"/>
    <s v=""/>
  </r>
  <r>
    <s v="Hema"/>
    <s v="SQBIR.HEMA.027.FY26-27.1"/>
    <m/>
    <m/>
    <m/>
    <m/>
    <s v=""/>
    <n v="2105"/>
    <s v=" 96% BCI COTTON 4% ELASTANE JERSEY GSM-160 CW-167CM/66INCH "/>
    <s v="Smoke-Green-15-6315-TCX"/>
    <s v=""/>
    <n v="436.57100000000003"/>
    <n v="436.57100000000003"/>
    <n v="0"/>
    <m/>
    <n v="0"/>
    <n v="454612"/>
    <s v="Solid"/>
    <x v="25"/>
    <d v="2026-10-15T00:00:00"/>
    <d v="2026-10-14T00:00:00"/>
    <s v="Hues Agreed qty as per SQBL required date"/>
    <m/>
    <s v="Oct"/>
    <d v="2026-10-17T00:00:00"/>
    <m/>
    <m/>
    <m/>
    <m/>
    <m/>
    <m/>
    <m/>
    <m/>
    <m/>
    <m/>
    <s v="454612"/>
    <s v="Smoke Green 15-6315 TCx"/>
    <n v="160"/>
    <s v="454612160Smoke Green 15-6315 TCx"/>
    <n v="2100.6"/>
    <n v="-20.6"/>
    <s v=""/>
    <n v="1183.962"/>
    <s v=""/>
    <s v=""/>
    <n v="0"/>
    <s v=""/>
    <n v="2100.6"/>
    <n v="1.01"/>
    <s v=""/>
  </r>
  <r>
    <s v="Hema"/>
    <s v="SQBIR.HEMA.285.FY26-27.1"/>
    <m/>
    <m/>
    <m/>
    <m/>
    <s v=""/>
    <n v="2106"/>
    <s v=" 96% BCI COTTON 4% ELASTANE JERSEY GSM-160 CW-167CM/66INCH "/>
    <s v="Black Onyx"/>
    <n v="0"/>
    <n v="2357.6729999999998"/>
    <n v="2357.6729999999998"/>
    <n v="0"/>
    <m/>
    <n v="0"/>
    <n v="454613"/>
    <s v="Solid"/>
    <x v="25"/>
    <d v="2026-10-15T00:00:00"/>
    <d v="2026-10-14T00:00:00"/>
    <s v="Revised Plan given as per revised date"/>
    <m/>
    <s v="Oct"/>
    <d v="2026-10-01T00:00:00"/>
    <m/>
    <m/>
    <m/>
    <m/>
    <m/>
    <m/>
    <m/>
    <m/>
    <m/>
    <m/>
    <s v="454613"/>
    <s v="Black Onyx (19-4003 TCX)"/>
    <n v="160"/>
    <s v="454613160Black Onyx (19-4003 TCX)"/>
    <n v="2385.17"/>
    <n v="-25.17"/>
    <n v="2360"/>
    <s v=""/>
    <s v=""/>
    <s v=""/>
    <n v="0"/>
    <s v=""/>
    <n v="2385.17"/>
    <n v="1.0109999999999999"/>
    <n v="25.170000000000073"/>
  </r>
  <r>
    <s v="Hema"/>
    <s v="SQBIR.HEMA.285.FY26-27.2"/>
    <m/>
    <m/>
    <m/>
    <m/>
    <s v=""/>
    <n v="2107"/>
    <s v=" 96% BCI COTTON 4% ELASTANE JERSEY GSM-160 CW-167CM/66INCH "/>
    <s v="Black Onyx"/>
    <n v="0"/>
    <n v="2.327"/>
    <n v="2.327"/>
    <n v="0"/>
    <m/>
    <n v="0"/>
    <n v="454613"/>
    <s v="Solid"/>
    <x v="25"/>
    <d v="2026-10-15T00:00:00"/>
    <d v="2026-10-14T00:00:00"/>
    <s v="Hues Agreed qty as per SQBL required date"/>
    <m/>
    <s v="Oct"/>
    <d v="2026-10-17T00:00:00"/>
    <m/>
    <m/>
    <m/>
    <m/>
    <m/>
    <m/>
    <m/>
    <m/>
    <m/>
    <m/>
    <s v="454613"/>
    <s v="Black Onyx (19-4003 TCX)"/>
    <n v="160"/>
    <s v="454613160Black Onyx (19-4003 TCX)"/>
    <n v="2385.17"/>
    <n v="-25.17"/>
    <n v="2360"/>
    <s v=""/>
    <s v=""/>
    <s v=""/>
    <n v="0"/>
    <s v=""/>
    <n v="2385.17"/>
    <n v="1.0109999999999999"/>
    <n v="25.170000000000073"/>
  </r>
  <r>
    <s v="Hema"/>
    <s v="SQBIR.HEMA.286.FY26-27.1"/>
    <m/>
    <m/>
    <m/>
    <m/>
    <s v=""/>
    <n v="2108"/>
    <s v=" 96% BCI COTTON 4% ELASTANE JERSEY GSM-160 CW-167CM/66INCH "/>
    <s v="Black Onyx"/>
    <n v="-336.49366666666668"/>
    <n v="1009.481"/>
    <m/>
    <n v="-1009.481"/>
    <m/>
    <n v="-1009.481"/>
    <n v="454614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4614"/>
    <s v="Black Onyx (19-4003 TCX)"/>
    <n v="160"/>
    <s v="454614160Black Onyx (19-4003 TCX)"/>
    <n v="636.61"/>
    <n v="5048.3900000000003"/>
    <n v="0"/>
    <n v="1009.481"/>
    <s v=""/>
    <s v=""/>
    <n v="1009.481"/>
    <s v=""/>
    <n v="636.61"/>
    <n v="0.112"/>
    <n v="636.61"/>
  </r>
  <r>
    <s v="Hema"/>
    <s v="SQBIR.HEMA.157.FY26-27.1"/>
    <m/>
    <m/>
    <m/>
    <m/>
    <s v=""/>
    <n v="2109"/>
    <s v=" 96% BCI COTTON 4% ELASTANE JERSEY GSM-160 CW-167CM/66INCH "/>
    <s v="Black Onyx"/>
    <n v="0"/>
    <n v="387.55200000000002"/>
    <n v="387.55200000000002"/>
    <n v="0"/>
    <m/>
    <n v="0"/>
    <n v="454458"/>
    <s v="Solid"/>
    <x v="52"/>
    <d v="2026-10-02T00:00:00"/>
    <s v="2nd Oct-2k mtr_x000a_3rd Oct-2k mtr_x000a_5th Oct-2k mtr_x000a_13th Oct-balance full"/>
    <s v="Hues Agreed qty as per SQBL required date"/>
    <m/>
    <s v="Oct"/>
    <d v="2026-10-11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s v=""/>
    <s v=""/>
    <s v=""/>
    <n v="0"/>
    <s v=""/>
    <n v="7485.15"/>
    <n v="0.9"/>
    <n v="0"/>
  </r>
  <r>
    <s v="Hema"/>
    <s v="SQBIR.HEMA.234.FY26-27.1"/>
    <m/>
    <m/>
    <m/>
    <m/>
    <s v=""/>
    <n v="2110"/>
    <s v=" 96% BCI COTTON 4% ELASTANE JERSEY GSM-160 CW-167CM/66INCH "/>
    <s v="Black Onyx"/>
    <n v="0"/>
    <n v="776.23599999999999"/>
    <n v="776.23599999999999"/>
    <n v="0"/>
    <m/>
    <n v="0"/>
    <n v="454458"/>
    <s v="Solid"/>
    <x v="52"/>
    <d v="2026-10-02T00:00:00"/>
    <s v="2nd Oct-2k mtr_x000a_3rd Oct-2k mtr_x000a_5th Oct-2k mtr_x000a_13th Oct-balance full"/>
    <s v="Hues Agreed qty as per SQBL required date"/>
    <m/>
    <s v="Oct"/>
    <d v="2026-10-12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n v="8320"/>
    <s v=""/>
    <s v=""/>
    <s v=""/>
    <s v=""/>
    <n v="7485.15"/>
    <n v="0.9"/>
    <n v="0"/>
  </r>
  <r>
    <s v="Hema"/>
    <s v="SQBIR.HEMA.234.FY26-27.2"/>
    <m/>
    <m/>
    <m/>
    <m/>
    <s v=""/>
    <n v="2111"/>
    <s v=" 96% BCI COTTON 4% ELASTANE JERSEY GSM-160 CW-167CM/66INCH "/>
    <s v="Black Onyx"/>
    <n v="0"/>
    <n v="2.8079999999999998"/>
    <n v="2.8079999999999998"/>
    <n v="0"/>
    <m/>
    <n v="0"/>
    <n v="454458"/>
    <s v="Solid"/>
    <x v="52"/>
    <d v="2026-10-02T00:00:00"/>
    <s v="2nd Oct-2k mtr_x000a_3rd Oct-2k mtr_x000a_5th Oct-2k mtr_x000a_13th Oct-balance full"/>
    <s v="Hues Agreed qty as per SQBL required date"/>
    <m/>
    <s v="Oct"/>
    <d v="2026-10-15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s v=""/>
    <s v=""/>
    <s v=""/>
    <n v="0"/>
    <s v=""/>
    <n v="7485.15"/>
    <n v="0.9"/>
    <n v="0"/>
  </r>
  <r>
    <s v="Hema"/>
    <s v="SQBIR.HEMA.273.FY26-27.1"/>
    <m/>
    <m/>
    <m/>
    <m/>
    <s v=""/>
    <n v="2112"/>
    <s v=" 96% BCI COTTON 4% ELASTANE JERSEY GSM-160 CW-167CM/66INCH "/>
    <s v="Black Onyx"/>
    <n v="0"/>
    <n v="636.36099999999999"/>
    <n v="636.36099999999999"/>
    <n v="0"/>
    <m/>
    <n v="0"/>
    <n v="454458"/>
    <s v="Solid"/>
    <x v="52"/>
    <d v="2026-10-02T00:00:00"/>
    <s v="2nd Oct-2k mtr_x000a_3rd Oct-2k mtr_x000a_5th Oct-2k mtr_x000a_13th Oct-balance full"/>
    <s v="Hues Agreed qty as per SQBL required date"/>
    <m/>
    <s v="Oct"/>
    <d v="2026-10-03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n v="8320"/>
    <s v=""/>
    <s v=""/>
    <n v="0"/>
    <s v=""/>
    <n v="7485.15"/>
    <n v="0.9"/>
    <n v="0"/>
  </r>
  <r>
    <s v="Hema"/>
    <s v="SQBIR.HEMA.273.FY26-27.2"/>
    <m/>
    <m/>
    <m/>
    <m/>
    <s v=""/>
    <n v="2113"/>
    <s v=" 96% BCI COTTON 4% ELASTANE JERSEY GSM-160 CW-167CM/66INCH "/>
    <s v="Black Onyx"/>
    <n v="0"/>
    <n v="2.302"/>
    <n v="2.302"/>
    <n v="0"/>
    <m/>
    <n v="0"/>
    <n v="454458"/>
    <s v="Solid"/>
    <x v="52"/>
    <d v="2026-10-02T00:00:00"/>
    <s v="2nd Oct-2k mtr_x000a_3rd Oct-2k mtr_x000a_5th Oct-2k mtr_x000a_13th Oct-balance full"/>
    <s v="Hues Agreed qty as per SQBL required date"/>
    <m/>
    <s v="Oct"/>
    <d v="2026-10-09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s v=""/>
    <s v=""/>
    <s v=""/>
    <n v="0"/>
    <s v=""/>
    <n v="7485.15"/>
    <n v="0.9"/>
    <n v="0"/>
  </r>
  <r>
    <s v="Hema"/>
    <s v="SQBIR.HEMA.157.FY26-27.2"/>
    <m/>
    <m/>
    <m/>
    <m/>
    <s v=""/>
    <n v="2114"/>
    <s v=" 96% BCI COTTON 4% ELASTANE JERSEY GSM-160 CW-167CM/66INCH "/>
    <s v="Black Onyx"/>
    <n v="0"/>
    <n v="0.62"/>
    <n v="0.62"/>
    <n v="0"/>
    <m/>
    <n v="0"/>
    <n v="454458"/>
    <s v="Solid"/>
    <x v="52"/>
    <d v="2026-10-02T00:00:00"/>
    <s v="2nd Oct-2k mtr_x000a_3rd Oct-2k mtr_x000a_5th Oct-2k mtr_x000a_13th Oct-balance full"/>
    <s v="Hues Agreed qty as per SQBL required date"/>
    <m/>
    <s v="Oct"/>
    <d v="2026-10-16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n v="8320"/>
    <s v=""/>
    <s v=""/>
    <s v=""/>
    <s v=""/>
    <n v="7485.15"/>
    <n v="0.9"/>
    <n v="0"/>
  </r>
  <r>
    <s v="Hema"/>
    <s v="SQBIR.HEMA.291.FY26-27.1"/>
    <m/>
    <m/>
    <m/>
    <m/>
    <s v=""/>
    <n v="2115"/>
    <s v=" 96% BCI COTTON 4% ELASTANE JERSEY GSM-160 CW-167CM/66INCH "/>
    <s v="Black Onyx"/>
    <n v="0"/>
    <n v="194.12100000000001"/>
    <n v="194.12100000000001"/>
    <n v="0"/>
    <m/>
    <n v="0"/>
    <n v="454458"/>
    <s v="Solid"/>
    <x v="52"/>
    <d v="2026-10-02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7485.15"/>
    <n v="834.85"/>
    <s v=""/>
    <s v=""/>
    <s v=""/>
    <s v=""/>
    <n v="0"/>
    <s v=""/>
    <n v="7485.15"/>
    <n v="0.9"/>
    <s v=""/>
  </r>
  <r>
    <s v="Hema"/>
    <s v="SQBIR.HEMA.291.FY26-27.1"/>
    <m/>
    <m/>
    <m/>
    <m/>
    <s v=""/>
    <n v="2115"/>
    <s v=" 96% BCI COTTON 4% ELASTANE JERSEY GSM-160 CW-167CM/66INCH "/>
    <s v="Black Onyx"/>
    <n v="0"/>
    <n v="1360.5809999999999"/>
    <n v="1360.5809999999999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7485.15"/>
    <n v="834.85"/>
    <s v=""/>
    <n v="8320"/>
    <s v=""/>
    <s v=""/>
    <n v="0"/>
    <s v=""/>
    <n v="7485.15"/>
    <n v="0.9"/>
    <s v=""/>
  </r>
  <r>
    <s v="Hema"/>
    <s v="SQBIR.HEMA.291.FY26-27.2"/>
    <m/>
    <m/>
    <m/>
    <m/>
    <s v=""/>
    <n v="2116"/>
    <s v=" 96% BCI COTTON 4% ELASTANE JERSEY GSM-160 CW-167CM/66INCH "/>
    <s v="Black Onyx"/>
    <n v="0"/>
    <n v="2.2490000000000001"/>
    <n v="2.2490000000000001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4T00:00:00"/>
    <m/>
    <m/>
    <m/>
    <m/>
    <m/>
    <m/>
    <m/>
    <m/>
    <m/>
    <m/>
    <s v="454458"/>
    <s v="Black Onyx (19-4003 TCX)"/>
    <n v="160"/>
    <s v="454458160Black Onyx (19-4003 TCX)"/>
    <n v="7485.15"/>
    <n v="834.85"/>
    <s v=""/>
    <s v=""/>
    <s v=""/>
    <s v=""/>
    <n v="0"/>
    <s v=""/>
    <n v="7485.15"/>
    <n v="0.9"/>
    <s v=""/>
  </r>
  <r>
    <s v="Hema"/>
    <s v="SQBIR.HEMA.297.FY26-27.1"/>
    <m/>
    <m/>
    <m/>
    <m/>
    <s v=""/>
    <n v="2117"/>
    <s v=" 96% BCI COTTON 4% ELASTANE JERSEY GSM-160 CW-167CM/66INCH "/>
    <s v="Black Onyx"/>
    <n v="0"/>
    <n v="637.16999999999996"/>
    <n v="637.16999999999996"/>
    <n v="0"/>
    <m/>
    <n v="0"/>
    <n v="454458"/>
    <s v="Solid"/>
    <x v="6"/>
    <d v="2026-10-0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7485.15"/>
    <n v="834.85"/>
    <s v=""/>
    <n v="8320"/>
    <s v=""/>
    <s v=""/>
    <n v="0"/>
    <s v=""/>
    <n v="7485.15"/>
    <n v="0.9"/>
    <s v=""/>
  </r>
  <r>
    <s v="Hema"/>
    <s v="SQBIR.HEMA.297.FY26-27.1"/>
    <m/>
    <m/>
    <m/>
    <m/>
    <s v=""/>
    <n v="2117"/>
    <s v=" 96% BCI COTTON 4% ELASTANE JERSEY GSM-160 CW-167CM/66INCH "/>
    <s v="Black Onyx"/>
    <n v="0"/>
    <n v="2000"/>
    <n v="2000"/>
    <n v="0"/>
    <m/>
    <n v="0"/>
    <n v="454458"/>
    <s v="Solid"/>
    <x v="0"/>
    <d v="2026-10-05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7485.15"/>
    <n v="834.85"/>
    <s v=""/>
    <s v=""/>
    <s v=""/>
    <s v=""/>
    <n v="0"/>
    <s v=""/>
    <n v="7485.15"/>
    <n v="0.9"/>
    <s v=""/>
  </r>
  <r>
    <s v="Hema"/>
    <s v="SQBIR.HEMA.297.FY26-27.1"/>
    <m/>
    <m/>
    <m/>
    <m/>
    <s v=""/>
    <n v="2117"/>
    <s v=" 96% BCI COTTON 4% ELASTANE JERSEY GSM-160 CW-167CM/66INCH "/>
    <s v="Black Onyx"/>
    <n v="-278.2833333333333"/>
    <n v="2316.8429999999998"/>
    <n v="1481.9929999999999"/>
    <n v="-834.84999999999991"/>
    <m/>
    <n v="-834.84999999999991"/>
    <n v="454458"/>
    <s v="Solid"/>
    <x v="34"/>
    <d v="2026-10-1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s v=""/>
    <s v=""/>
    <s v=""/>
    <n v="834.84999999999991"/>
    <s v=""/>
    <n v="7485.15"/>
    <n v="0.9"/>
    <n v="0"/>
  </r>
  <r>
    <s v="Hema"/>
    <s v="SQBIR.HEMA.297.FY26-27.2"/>
    <m/>
    <m/>
    <m/>
    <m/>
    <s v=""/>
    <n v="2118"/>
    <s v=" 96% BCI COTTON 4% ELASTANE JERSEY GSM-160 CW-167CM/66INCH "/>
    <s v="Black Onyx"/>
    <n v="0"/>
    <n v="3.157"/>
    <n v="3.157"/>
    <n v="0"/>
    <m/>
    <n v="0"/>
    <n v="454458"/>
    <s v="Solid"/>
    <x v="34"/>
    <d v="2026-10-13T00:00:00"/>
    <s v="2nd Oct-2k mtr_x000a_3rd Oct-2k mtr_x000a_5th Oct-2k mtr_x000a_13th Oct-balance full"/>
    <s v="Hues Agreed qty as per SQBL required date"/>
    <m/>
    <s v="Oct"/>
    <d v="2026-10-01T00:00:00"/>
    <m/>
    <m/>
    <m/>
    <m/>
    <m/>
    <m/>
    <m/>
    <m/>
    <m/>
    <m/>
    <s v="454458"/>
    <s v="Black Onyx (19-4003 TCX)"/>
    <n v="160"/>
    <s v="454458160Black Onyx (19-4003 TCX)"/>
    <n v="7485.15"/>
    <n v="834.85"/>
    <n v="7485.1500000000005"/>
    <n v="8320"/>
    <s v=""/>
    <s v=""/>
    <n v="0"/>
    <s v=""/>
    <n v="7485.15"/>
    <n v="0.9"/>
    <n v="0"/>
  </r>
  <r>
    <s v="Hema"/>
    <s v="SQBIR.HEMA.151.FY26-27.1"/>
    <m/>
    <m/>
    <m/>
    <m/>
    <s v=""/>
    <n v="2119"/>
    <s v=" 96% BCI COTTON 4% ELASTANE JERSEY GSM-160 CW-167CM/66INCH "/>
    <s v="Black Onyx"/>
    <n v="0"/>
    <n v="7.8949999999999996"/>
    <n v="7.8949999999999996"/>
    <n v="0"/>
    <m/>
    <n v="0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0"/>
    <s v="454495160Black Onyx 19-4003 Tcx"/>
    <n v="121.15"/>
    <n v="-1.1499999999999999"/>
    <n v="75.290999999999997"/>
    <n v="75.290999999999997"/>
    <s v=""/>
    <s v=""/>
    <s v=""/>
    <s v=""/>
    <n v="121.15"/>
    <n v="1.01"/>
    <n v="45.859000000000009"/>
  </r>
  <r>
    <s v="Hema"/>
    <s v="SQBIR.HEMA.190.FY26-27.1"/>
    <m/>
    <m/>
    <m/>
    <m/>
    <s v=""/>
    <n v="2120"/>
    <s v=" 96% BCI COTTON 4% ELASTANE JERSEY GSM-160 CW-167CM/66INCH "/>
    <s v="Black Onyx"/>
    <n v="0"/>
    <n v="331.02699999999999"/>
    <n v="331.02699999999999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190.FY26-27.1"/>
    <m/>
    <m/>
    <m/>
    <m/>
    <s v=""/>
    <n v="2121"/>
    <s v=" 96% BCI COTTON 4% ELASTANE JERSEY GSM-160 CW-167CM/66INCH "/>
    <s v="Black Onyx"/>
    <n v="0"/>
    <n v="59.226999999999997"/>
    <n v="59.226999999999997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s v=""/>
    <s v=""/>
    <n v="4551"/>
    <n v="0.99299999999999999"/>
    <n v="-4297.630000000001"/>
  </r>
  <r>
    <s v="Hema"/>
    <s v="SQBIR.HEMA.190.FY26-27.2"/>
    <m/>
    <m/>
    <m/>
    <m/>
    <s v=""/>
    <n v="2122"/>
    <s v=" 96% BCI COTTON 4% ELASTANE JERSEY GSM-160 CW-167CM/66INCH "/>
    <s v="Black Onyx"/>
    <n v="0"/>
    <n v="1.198"/>
    <n v="1.198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s v=""/>
    <n v="8848.630000000001"/>
    <s v=""/>
    <s v=""/>
    <n v="0"/>
    <s v=""/>
    <n v="4551"/>
    <n v="0.99299999999999999"/>
    <s v=""/>
  </r>
  <r>
    <s v="Hema"/>
    <s v="SQBIR.HEMA.190.FY26-27.2"/>
    <m/>
    <m/>
    <m/>
    <m/>
    <s v=""/>
    <n v="2123"/>
    <s v=" 96% BCI COTTON 4% ELASTANE JERSEY GSM-160 CW-167CM/66INCH "/>
    <s v="Black Onyx"/>
    <n v="0"/>
    <n v="0.215"/>
    <n v="0.215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75.FY26-27.1"/>
    <m/>
    <m/>
    <m/>
    <m/>
    <s v=""/>
    <n v="2124"/>
    <s v=" 96% BCI COTTON 4% ELASTANE JERSEY GSM-160 CW-167CM/66INCH "/>
    <s v="Black Onyx"/>
    <n v="0"/>
    <n v="106.858"/>
    <n v="106.858"/>
    <n v="0"/>
    <m/>
    <n v="0"/>
    <n v="454434"/>
    <s v="Solid"/>
    <x v="0"/>
    <d v="2026-10-05T00:00:00"/>
    <d v="2026-10-05T00:00:00"/>
    <s v="Hues Agreed qty as per SQBL required date"/>
    <m/>
    <s v="Oct"/>
    <d v="2026-10-01T00:00:00"/>
    <m/>
    <m/>
    <m/>
    <m/>
    <m/>
    <m/>
    <m/>
    <m/>
    <m/>
    <m/>
    <s v="454434"/>
    <s v="Black Onyx (19-4003 TCX)"/>
    <n v="160"/>
    <s v="454434160Black Onyx (19-4003 TCX)"/>
    <n v="4551"/>
    <n v="34"/>
    <s v=""/>
    <s v=""/>
    <s v=""/>
    <s v=""/>
    <n v="0"/>
    <s v=""/>
    <n v="4551"/>
    <n v="0.99299999999999999"/>
    <s v=""/>
  </r>
  <r>
    <s v="Hema"/>
    <s v="SQBIR.HEMA.276.FY26-27.1"/>
    <m/>
    <m/>
    <m/>
    <m/>
    <s v=""/>
    <n v="2125"/>
    <s v=" 96% BCI COTTON 4% ELASTANE JERSEY GSM-160 CW-167CM/66INCH "/>
    <s v="Black Onyx"/>
    <n v="0"/>
    <n v="106.858"/>
    <n v="106.858"/>
    <n v="0"/>
    <m/>
    <n v="0"/>
    <n v="454434"/>
    <s v="Solid"/>
    <x v="0"/>
    <d v="2026-10-05T00:00:00"/>
    <d v="2026-10-05T00:00:00"/>
    <s v="Hues Agreed qty as per SQBL required date"/>
    <m/>
    <s v="Oct"/>
    <d v="2026-10-07T00:00:00"/>
    <m/>
    <m/>
    <m/>
    <m/>
    <m/>
    <m/>
    <m/>
    <m/>
    <m/>
    <m/>
    <s v="454434"/>
    <s v="Black Onyx (19-4003 TCX)"/>
    <n v="160"/>
    <s v="454434160Black Onyx (19-4003 TCX)"/>
    <n v="4551"/>
    <n v="34"/>
    <n v="8848.630000000001"/>
    <n v="8848.630000000001"/>
    <s v=""/>
    <s v=""/>
    <n v="0"/>
    <s v=""/>
    <n v="4551"/>
    <n v="0.99299999999999999"/>
    <n v="-4297.630000000001"/>
  </r>
  <r>
    <s v="Hema"/>
    <s v="SQBIR.HEMA.209.FY26-27.1"/>
    <m/>
    <m/>
    <m/>
    <m/>
    <s v=""/>
    <n v="2126"/>
    <s v=" 96% BCI COTTON 4% ELASTANE JERSEY GSM-160 CW-167CM/66INCH "/>
    <s v="Black Onyx"/>
    <s v=""/>
    <n v="147.00700000000001"/>
    <n v="147.00700000000001"/>
    <n v="0"/>
    <m/>
    <n v="0"/>
    <n v="454434"/>
    <s v="Solid"/>
    <x v="0"/>
    <d v="2026-10-05T00:00:00"/>
    <d v="2026-10-05T00:00:00"/>
    <s v="Hues Agreed qty as per SQBL required date"/>
    <m/>
    <s v="Oct"/>
    <d v="2026-10-15T00:00:00"/>
    <m/>
    <m/>
    <m/>
    <m/>
    <m/>
    <m/>
    <m/>
    <m/>
    <m/>
    <m/>
    <s v="454434"/>
    <s v="Black Onyx (19-4003 TCX)"/>
    <n v="160"/>
    <s v="454434160Black Onyx (19-4003 TCX)"/>
    <n v="4551"/>
    <n v="34"/>
    <s v=""/>
    <n v="8848.630000000001"/>
    <s v=""/>
    <s v=""/>
    <s v=""/>
    <s v=""/>
    <n v="4551"/>
    <n v="0.99299999999999999"/>
    <s v=""/>
  </r>
  <r>
    <s v="Hema"/>
    <s v="SQBIR.HEMA.111.FY26-27.1"/>
    <m/>
    <m/>
    <m/>
    <m/>
    <s v=""/>
    <n v="2127"/>
    <s v=" 96% BCI COTTON 4% ELASTANE JERSEY GSM-160 CW-167CM/66INCH "/>
    <s v="Xenon Blue-14-3949-TCX"/>
    <n v="-353.077"/>
    <n v="1059.231"/>
    <m/>
    <n v="-1059.231"/>
    <m/>
    <n v="-1059.231"/>
    <n v="453421"/>
    <s v="Solid"/>
    <x v="30"/>
    <d v="2026-10-20T00:00:00"/>
    <d v="2026-10-20T00:00:00"/>
    <s v="Revised Plan given as per revised date"/>
    <m/>
    <s v="Oct"/>
    <d v="2026-10-09T00:00:00"/>
    <m/>
    <m/>
    <m/>
    <m/>
    <m/>
    <m/>
    <m/>
    <m/>
    <m/>
    <m/>
    <s v="453421"/>
    <s v="Xenon Blue 14-3949 TCX"/>
    <n v="160"/>
    <s v="453421160Xenon Blue 14-3949 TCX"/>
    <n v="364"/>
    <n v="6891.27"/>
    <s v=""/>
    <s v=""/>
    <s v=""/>
    <s v=""/>
    <n v="1059.231"/>
    <s v=""/>
    <n v="364"/>
    <n v="0.05"/>
    <s v=""/>
  </r>
  <r>
    <s v="Hema"/>
    <s v="SQBIR.HEMA.260.FY26-27.1"/>
    <m/>
    <m/>
    <m/>
    <m/>
    <s v=""/>
    <n v="2128"/>
    <s v=" 96% BCI COTTON 4% ELASTANE JERSEY GSM-160 CW-167CM/66INCH "/>
    <s v="Sea-Spray-17-6212-TCX"/>
    <s v=""/>
    <n v="638.00300000000004"/>
    <n v="638.00300000000004"/>
    <n v="0"/>
    <m/>
    <n v="0"/>
    <n v="457842"/>
    <s v="Solid"/>
    <x v="3"/>
    <d v="2026-10-04T00:00:00"/>
    <d v="2026-10-03T00:00:00"/>
    <s v="Hues Agreed qty as per SQBL required date"/>
    <m/>
    <s v="Oct"/>
    <d v="2026-10-01T00:00:00"/>
    <m/>
    <m/>
    <m/>
    <m/>
    <m/>
    <m/>
    <m/>
    <m/>
    <m/>
    <m/>
    <s v="457842"/>
    <s v="Sea Spray 17-6212 TCx"/>
    <n v="160"/>
    <s v="457842160Sea Spray 17-6212 TCx"/>
    <n v="7786.29"/>
    <n v="93.71"/>
    <n v="3620.7840000000006"/>
    <n v="3714.4940000000006"/>
    <s v=""/>
    <s v=""/>
    <s v=""/>
    <s v=""/>
    <n v="7786.29"/>
    <n v="0.98799999999999999"/>
    <n v="4165.5059999999994"/>
  </r>
  <r>
    <s v="Hema"/>
    <s v="SQBIR.HEMA.260.FY26-27.2"/>
    <m/>
    <m/>
    <m/>
    <m/>
    <s v=""/>
    <n v="2129"/>
    <s v=" 96% BCI COTTON 4% ELASTANE JERSEY GSM-160 CW-167CM/66INCH "/>
    <s v="Sea-Spray-17-6212-TCX"/>
    <s v=""/>
    <n v="2.3079999999999998"/>
    <n v="2.3079999999999998"/>
    <n v="0"/>
    <m/>
    <n v="0"/>
    <n v="457842"/>
    <s v="Solid"/>
    <x v="3"/>
    <d v="2026-10-04T00:00:00"/>
    <d v="2026-10-03T00:00:00"/>
    <s v="Hues Agreed qty as per SQBL required date"/>
    <m/>
    <s v="Oct"/>
    <d v="2026-10-01T00:00:00"/>
    <m/>
    <m/>
    <m/>
    <m/>
    <m/>
    <m/>
    <m/>
    <m/>
    <m/>
    <m/>
    <s v="457842"/>
    <s v="Sea Spray 17-6212 TCx"/>
    <n v="160"/>
    <s v="457842160Sea Spray 17-6212 TCx"/>
    <n v="7786.29"/>
    <n v="93.71"/>
    <n v="3620.7840000000006"/>
    <s v=""/>
    <s v=""/>
    <s v=""/>
    <n v="0"/>
    <s v=""/>
    <n v="7786.29"/>
    <n v="0.98799999999999999"/>
    <n v="4165.5059999999994"/>
  </r>
  <r>
    <s v="Hema"/>
    <s v="SQBIR.HEMA.260.FY26-27.1"/>
    <m/>
    <m/>
    <m/>
    <m/>
    <s v=""/>
    <n v="2130"/>
    <s v=" 96% BCI COTTON 4% ELASTANE JERSEY GSM-160 CW-167CM/66INCH "/>
    <s v="Gardenia 11-0604 TCX"/>
    <s v=""/>
    <n v="68.626999999999995"/>
    <n v="68.626999999999995"/>
    <n v="0"/>
    <m/>
    <n v="0"/>
    <n v="457876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s v=""/>
    <s v=""/>
    <s v=""/>
    <n v="0"/>
    <s v=""/>
    <n v="1264.17"/>
    <n v="1.0189999999999999"/>
    <n v="824.95900000000017"/>
  </r>
  <r>
    <s v="Hema"/>
    <s v="SQBIR.HEMA.384.FY26-27.1"/>
    <m/>
    <m/>
    <m/>
    <m/>
    <s v=""/>
    <n v="2131"/>
    <s v=" 95% LENZING MODAL 5% ELASTANE JERSEY GSM-165 CW-167CM/66INCH "/>
    <s v="Gardenia 11-0604 TCX"/>
    <n v="0"/>
    <n v="94.504999999999995"/>
    <n v="94.504999999999995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5"/>
    <s v="454597165Gardenia 11-0604 TCX"/>
    <n v="928.36"/>
    <n v="-18.36"/>
    <n v="466.31"/>
    <n v="466.31"/>
    <s v=""/>
    <s v=""/>
    <n v="0"/>
    <s v=""/>
    <n v="928.36"/>
    <n v="1.02"/>
    <n v="462.05"/>
  </r>
  <r>
    <s v="Hema"/>
    <s v="SQBIR.HEMA.384.FY26-27.2"/>
    <m/>
    <m/>
    <m/>
    <m/>
    <s v=""/>
    <n v="2132"/>
    <s v=" 95% LENZING MODAL 5% ELASTANE JERSEY GSM-165 CW-167CM/66INCH "/>
    <s v="Gardenia 11-0604 TCX"/>
    <n v="0"/>
    <n v="2.589"/>
    <n v="2.589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Gardenia 11-0604 TCX"/>
    <n v="165"/>
    <s v="454597165Gardenia 11-0604 TCX"/>
    <n v="928.36"/>
    <n v="-18.36"/>
    <n v="466.31"/>
    <n v="466.31"/>
    <s v=""/>
    <s v=""/>
    <n v="0"/>
    <s v=""/>
    <n v="928.36"/>
    <n v="1.02"/>
    <n v="462.05"/>
  </r>
  <r>
    <s v="Hema"/>
    <s v="SQBIR.HEMA.385.FY26-27.1"/>
    <m/>
    <m/>
    <m/>
    <m/>
    <s v=""/>
    <n v="2133"/>
    <s v=" 95% LENZING MODAL 5% ELASTANE JERSEY GSM-165 CW-167CM/66INCH "/>
    <s v="Gardenia 11-0604 TCX"/>
    <n v="0"/>
    <n v="117.16"/>
    <n v="117.16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5"/>
    <s v="454597165Gardenia 11-0604 TCX"/>
    <n v="928.36"/>
    <n v="-18.36"/>
    <n v="466.31"/>
    <n v="466.31"/>
    <s v=""/>
    <s v=""/>
    <s v=""/>
    <s v=""/>
    <n v="928.36"/>
    <n v="1.02"/>
    <n v="462.05"/>
  </r>
  <r>
    <s v="Hema"/>
    <s v="SQBIR.HEMA.772.FY25-26.1"/>
    <m/>
    <m/>
    <m/>
    <m/>
    <s v=""/>
    <n v="2134"/>
    <s v=" 95% LENZING MODAL 5% ELASTANE JERSEY GSM-165 CW-167CM/66INCH "/>
    <s v="Gardenia 11-0604 TCX"/>
    <n v="0"/>
    <n v="110.977"/>
    <n v="110.977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Gardenia 11-0604 TCX"/>
    <n v="165"/>
    <s v="454597165Gardenia 11-0604 TCX"/>
    <n v="928.36"/>
    <n v="-18.36"/>
    <s v=""/>
    <n v="466.31"/>
    <s v=""/>
    <s v=""/>
    <n v="0"/>
    <s v=""/>
    <n v="928.36"/>
    <n v="1.02"/>
    <s v=""/>
  </r>
  <r>
    <s v="Hema"/>
    <s v="SQBIR.HEMA.772.FY25-26.2"/>
    <m/>
    <m/>
    <m/>
    <m/>
    <s v=""/>
    <n v="2135"/>
    <s v=" 95% LENZING MODAL 5% ELASTANE JERSEY GSM-165 CW-167CM/66INCH "/>
    <s v="Gardenia 11-0604 TCX"/>
    <s v=""/>
    <n v="3.0409999999999999"/>
    <n v="3.0409999999999999"/>
    <n v="0"/>
    <m/>
    <n v="0"/>
    <n v="454597"/>
    <s v="Solid"/>
    <x v="26"/>
    <d v="2026-10-16T00:00:00"/>
    <d v="2026-10-15T00:00:00"/>
    <s v="Hues Agreed qty as per SQBL required date"/>
    <m/>
    <s v="Oct"/>
    <d v="2026-10-16T00:00:00"/>
    <m/>
    <m/>
    <m/>
    <m/>
    <m/>
    <m/>
    <m/>
    <m/>
    <m/>
    <m/>
    <s v="454597"/>
    <s v="Gardenia 11-0604 TCX"/>
    <n v="165"/>
    <s v="454597165Gardenia 11-0604 TCX"/>
    <n v="928.36"/>
    <n v="-18.36"/>
    <s v=""/>
    <n v="466.31"/>
    <s v=""/>
    <s v=""/>
    <s v=""/>
    <s v=""/>
    <n v="928.36"/>
    <n v="1.02"/>
    <s v=""/>
  </r>
  <r>
    <s v="Hema"/>
    <s v="SQBIR.HEMA.775.FY25-26.1"/>
    <m/>
    <m/>
    <m/>
    <m/>
    <s v=""/>
    <n v="2136"/>
    <s v=" 95% LENZING MODAL 5% ELASTANE JERSEY GSM-165 CW-167CM/66INCH "/>
    <s v="Gardenia 11-0604 TCX"/>
    <s v=""/>
    <n v="138.03800000000001"/>
    <n v="138.03800000000001"/>
    <n v="0"/>
    <m/>
    <n v="0"/>
    <n v="454597"/>
    <s v="Solid"/>
    <x v="26"/>
    <d v="2026-10-16T00:00:00"/>
    <d v="2026-10-15T00:00:00"/>
    <s v="Hues Agreed qty as per SQBL required date"/>
    <m/>
    <s v="Oct"/>
    <d v="2026-10-17T00:00:00"/>
    <m/>
    <m/>
    <m/>
    <m/>
    <m/>
    <m/>
    <m/>
    <m/>
    <m/>
    <m/>
    <s v="454597"/>
    <s v="Gardenia 11-0604 TCX"/>
    <n v="165"/>
    <s v="454597165Gardenia 11-0604 TCX"/>
    <n v="928.36"/>
    <n v="-18.36"/>
    <n v="466.31"/>
    <n v="466.31"/>
    <s v=""/>
    <s v=""/>
    <n v="0"/>
    <s v=""/>
    <n v="928.36"/>
    <n v="1.02"/>
    <n v="462.05"/>
  </r>
  <r>
    <s v="Hema"/>
    <s v="SQBIR.HEMA.175.FY26-27.1"/>
    <m/>
    <m/>
    <m/>
    <m/>
    <s v=""/>
    <n v="2137"/>
    <s v=" 96% BCI COTTON 4% ELASTANE JERSEY GSM-160 CW-167CM/66INCH "/>
    <s v="Sea-Spray-17-6212-TCX"/>
    <s v=""/>
    <n v="794.23099999999999"/>
    <n v="700.52099999999996"/>
    <n v="-93.710000000000036"/>
    <m/>
    <n v="-93.710000000000036"/>
    <n v="457842"/>
    <s v="Solid"/>
    <x v="28"/>
    <d v="2026-10-18T00:00:00"/>
    <d v="2026-10-17T00:00:00"/>
    <s v="Hues Agreed qty as per SQBL required date"/>
    <m/>
    <s v="Oct"/>
    <d v="2026-10-17T00:00:00"/>
    <m/>
    <m/>
    <m/>
    <m/>
    <m/>
    <m/>
    <m/>
    <m/>
    <m/>
    <m/>
    <s v="457842"/>
    <s v="Sea Spray 17-6212 TCx"/>
    <n v="160"/>
    <s v="457842160Sea Spray 17-6212 TCx"/>
    <n v="7786.29"/>
    <n v="93.71"/>
    <n v="3620.7840000000006"/>
    <n v="3714.4940000000006"/>
    <s v=""/>
    <s v=""/>
    <s v=""/>
    <s v=""/>
    <n v="7786.29"/>
    <n v="0.98799999999999999"/>
    <n v="4165.5059999999994"/>
  </r>
  <r>
    <s v="Hema"/>
    <s v="SQBIR.HEMA.145.FY26-27.1"/>
    <m/>
    <m/>
    <m/>
    <m/>
    <s v=""/>
    <n v="2138"/>
    <s v=" 96% BCI COTTON 4% ELASTANE JERSEY GSM-160 CW-167CM/66INCH "/>
    <s v="Black Onyx"/>
    <s v=""/>
    <n v="9.0619999999999994"/>
    <n v="9.0619999999999994"/>
    <n v="0"/>
    <m/>
    <n v="0"/>
    <n v="454495"/>
    <s v="Solid"/>
    <x v="27"/>
    <d v="2026-10-17T00:00:00"/>
    <d v="2026-10-16T00:00:00"/>
    <s v="Hues Agreed qty as per SQBL required date"/>
    <m/>
    <s v="Oct"/>
    <d v="2026-10-14T00:00:00"/>
    <m/>
    <m/>
    <m/>
    <m/>
    <m/>
    <m/>
    <m/>
    <m/>
    <m/>
    <m/>
    <s v="454495"/>
    <s v="Black Onyx 19-4003 Tcx"/>
    <n v="160"/>
    <s v="454495160Black Onyx 19-4003 Tcx"/>
    <n v="121.15"/>
    <n v="-1.1499999999999999"/>
    <s v=""/>
    <n v="75.290999999999997"/>
    <s v=""/>
    <s v=""/>
    <n v="0"/>
    <s v=""/>
    <n v="121.15"/>
    <n v="1.01"/>
    <s v=""/>
  </r>
  <r>
    <s v="Hema"/>
    <s v="SQBIR.HEMA.145.FY26-27.2"/>
    <m/>
    <m/>
    <m/>
    <m/>
    <s v=""/>
    <n v="2139"/>
    <s v=" 96% BCI COTTON 4% ELASTANE JERSEY GSM-160 CW-167CM/66INCH "/>
    <s v="Black Onyx"/>
    <n v="0"/>
    <n v="0.248"/>
    <n v="0.248"/>
    <n v="0"/>
    <m/>
    <n v="0"/>
    <n v="454495"/>
    <s v="Solid"/>
    <x v="27"/>
    <d v="2026-10-17T00:00:00"/>
    <d v="2026-10-16T00:00:00"/>
    <s v="Hues Agreed qty as per SQBL required date"/>
    <m/>
    <s v="Oct"/>
    <d v="2026-10-15T00:00:00"/>
    <m/>
    <m/>
    <m/>
    <m/>
    <m/>
    <m/>
    <m/>
    <m/>
    <m/>
    <m/>
    <s v="454495"/>
    <s v="Black Onyx 19-4003 Tcx"/>
    <n v="160"/>
    <s v="454495160Black Onyx 19-4003 Tcx"/>
    <n v="121.15"/>
    <n v="-1.1499999999999999"/>
    <s v=""/>
    <n v="75.290999999999997"/>
    <s v=""/>
    <s v=""/>
    <n v="0"/>
    <s v=""/>
    <n v="121.15"/>
    <n v="1.01"/>
    <s v=""/>
  </r>
  <r>
    <s v="Hema"/>
    <s v="SQBIR.HEMA.146.FY26-27.1"/>
    <m/>
    <m/>
    <m/>
    <m/>
    <s v=""/>
    <n v="2140"/>
    <s v=" 96% BCI COTTON 4% ELASTANE JERSEY GSM-160 CW-167CM/66INCH "/>
    <s v="Black Onyx"/>
    <s v=""/>
    <n v="20.134"/>
    <n v="20.134"/>
    <n v="0"/>
    <m/>
    <n v="0"/>
    <n v="454495"/>
    <s v="Solid"/>
    <x v="27"/>
    <d v="2026-10-17T00:00:00"/>
    <d v="2026-10-16T00:00:00"/>
    <s v="Hues Agreed qty as per SQBL required date"/>
    <m/>
    <s v="Oct"/>
    <d v="2026-10-17T00:00:00"/>
    <m/>
    <m/>
    <m/>
    <m/>
    <m/>
    <m/>
    <m/>
    <m/>
    <m/>
    <m/>
    <s v="454495"/>
    <s v="Black Onyx 19-4003 Tcx"/>
    <n v="160"/>
    <s v="454495160Black Onyx 19-4003 Tcx"/>
    <n v="121.15"/>
    <n v="-1.1499999999999999"/>
    <s v=""/>
    <n v="75.290999999999997"/>
    <s v=""/>
    <s v=""/>
    <s v=""/>
    <s v=""/>
    <n v="121.15"/>
    <n v="1.01"/>
    <s v=""/>
  </r>
  <r>
    <s v="Hema"/>
    <s v="SQBIR.HEMA.397.FY26-27.2"/>
    <m/>
    <m/>
    <m/>
    <m/>
    <s v=""/>
    <n v="2141"/>
    <s v=" 96% ORGANIC COTTON 4% ELASTANE JERSEY GSM-160 CW-167CM/66INCH "/>
    <s v="Pastel Lilac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PASTEL LILAC 14-3812 TCX"/>
    <n v="160"/>
    <s v="456306160PASTEL LILAC 14-3812 TCX"/>
    <n v="240"/>
    <n v="-10.8"/>
    <n v="0"/>
    <n v="0"/>
    <s v=""/>
    <s v=""/>
    <n v="0"/>
    <s v=""/>
    <n v="240"/>
    <n v="1.0469999999999999"/>
    <n v="240"/>
  </r>
  <r>
    <s v="Hema"/>
    <s v="SQBIR.HEMA.302.FY26-27.2"/>
    <m/>
    <m/>
    <m/>
    <m/>
    <s v=""/>
    <n v="2142"/>
    <s v=" 96% ORGANIC COTTON 4% ELASTANE JERSEY GSM-160 CW-167CM/66INCH "/>
    <s v="BONBON"/>
    <n v="0"/>
    <n v="0"/>
    <n v="0"/>
    <n v="0"/>
    <m/>
    <n v="0"/>
    <n v="4563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6306"/>
    <s v="Bonbon 15-2213 TCX"/>
    <n v="160"/>
    <s v="456306160Bonbon 15-2213 TCX"/>
    <n v="239"/>
    <n v="-7.46"/>
    <s v=""/>
    <n v="0"/>
    <s v=""/>
    <s v=""/>
    <n v="0"/>
    <s v=""/>
    <n v="239"/>
    <n v="1.032"/>
    <s v=""/>
  </r>
  <r>
    <s v="Hema"/>
    <s v="SQBIR.HEMA.303.FY26-27.1"/>
    <m/>
    <m/>
    <m/>
    <m/>
    <s v=""/>
    <n v="2143"/>
    <s v=" 96% ORGANIC COTTON 4% ELASTANE JERSEY GSM-160 CW-167CM/66INCH "/>
    <s v="BONBON"/>
    <s v=""/>
    <n v="0"/>
    <n v="0"/>
    <n v="0"/>
    <m/>
    <n v="0"/>
    <n v="45630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6306"/>
    <s v="Bonbon 15-2213 TCX"/>
    <n v="160"/>
    <s v="456306160Bonbon 15-2213 TCX"/>
    <n v="239"/>
    <n v="-7.46"/>
    <s v=""/>
    <n v="0"/>
    <s v=""/>
    <s v=""/>
    <s v=""/>
    <s v=""/>
    <n v="239"/>
    <n v="1.032"/>
    <s v=""/>
  </r>
  <r>
    <s v="Hema"/>
    <s v="SQBIR.HEMA.163.FY26-27.1"/>
    <m/>
    <m/>
    <m/>
    <m/>
    <s v=""/>
    <n v="2144"/>
    <s v="KNIT WEFT KNITTED RIB Non-Molded BCI Cotton (2X2) 95% ELASTANE 5% GSM-210 CW-107 CM/42 INCH "/>
    <s v="GARDENIA 11-0604TCX"/>
    <s v=""/>
    <n v="2245.2089999999998"/>
    <m/>
    <n v="-2245.2089999999998"/>
    <m/>
    <n v="-2245.2089999999998"/>
    <n v="453421"/>
    <s v="Solid"/>
    <x v="9"/>
    <d v="2026-11-01T00:00:00"/>
    <s v="1st-10th Nov"/>
    <s v="Revised Plan given as per revised date"/>
    <m/>
    <s v="Oct"/>
    <d v="2026-10-01T00:00:00"/>
    <m/>
    <m/>
    <m/>
    <m/>
    <m/>
    <m/>
    <m/>
    <m/>
    <m/>
    <m/>
    <s v="453421"/>
    <s v="Gardenia 11-0604 TCX"/>
    <n v="210"/>
    <s v="453421210Gardenia 11-0604 TCX"/>
    <n v="230"/>
    <n v="30286.3"/>
    <s v=""/>
    <n v="22452.096999999994"/>
    <s v=""/>
    <s v=""/>
    <s v=""/>
    <s v=""/>
    <n v="230"/>
    <n v="0.97299999999999998"/>
    <s v=""/>
  </r>
  <r>
    <s v="Hema"/>
    <s v="SQBIR.HEMA.163.FY26-27.1"/>
    <m/>
    <m/>
    <m/>
    <m/>
    <s v=""/>
    <n v="2144"/>
    <s v="KNIT WEFT KNITTED RIB Non-Molded BCI Cotton (2X2) 95% ELASTANE 5% GSM-210 CW-107 CM/42 INCH "/>
    <s v="GARDENIA 11-0604TCX"/>
    <s v=""/>
    <n v="1111.944"/>
    <m/>
    <n v="-1111.944"/>
    <m/>
    <n v="-1111.944"/>
    <n v="453421"/>
    <s v="Solid"/>
    <x v="10"/>
    <d v="2026-11-02T00:00:00"/>
    <s v="1st-10th Nov"/>
    <s v="Revised Plan given as per revised date"/>
    <m/>
    <s v="Oct"/>
    <d v="2026-10-01T00:00:00"/>
    <m/>
    <m/>
    <m/>
    <m/>
    <m/>
    <m/>
    <m/>
    <m/>
    <m/>
    <m/>
    <s v="453421"/>
    <s v="Gardenia 11-0604 TCX"/>
    <n v="210"/>
    <s v="453421210Gardenia 11-0604 TCX"/>
    <n v="230"/>
    <n v="30286.3"/>
    <n v="0"/>
    <s v=""/>
    <s v=""/>
    <s v=""/>
    <s v=""/>
    <s v=""/>
    <n v="230"/>
    <n v="0.97299999999999998"/>
    <n v="230"/>
  </r>
  <r>
    <s v="Hema"/>
    <s v="SQBIR.HEMA.163.FY26-27.2"/>
    <m/>
    <m/>
    <m/>
    <m/>
    <s v=""/>
    <n v="2145"/>
    <s v="KNIT WEFT KNITTED RIB Non-Molded BCI Cotton (2X2) 95% ELASTANE 5% GSM-210 CW-107 CM/42 INCH "/>
    <s v="GARDENIA 11-0604TCX"/>
    <n v="-377.75500000000005"/>
    <n v="1133.2650000000001"/>
    <m/>
    <n v="-1133.2650000000001"/>
    <m/>
    <n v="-1133.2650000000001"/>
    <n v="453421"/>
    <s v="Solid"/>
    <x v="10"/>
    <d v="2026-11-02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s v=""/>
    <n v="22452.096999999994"/>
    <s v=""/>
    <s v=""/>
    <n v="1133.2650000000001"/>
    <s v=""/>
    <n v="230"/>
    <n v="0.97299999999999998"/>
    <s v=""/>
  </r>
  <r>
    <s v="Hema"/>
    <s v="SQBIR.HEMA.163.FY26-27.2"/>
    <m/>
    <m/>
    <m/>
    <m/>
    <s v=""/>
    <n v="2145"/>
    <s v="KNIT WEFT KNITTED RIB Non-Molded BCI Cotton (2X2) 95% ELASTANE 5% GSM-210 CW-107 CM/42 INCH "/>
    <s v="GARDENIA 11-0604TCX"/>
    <s v=""/>
    <n v="2245.2089999999998"/>
    <m/>
    <n v="-2245.2089999999998"/>
    <m/>
    <n v="-2245.2089999999998"/>
    <n v="453421"/>
    <s v="Solid"/>
    <x v="11"/>
    <d v="2026-11-03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s v=""/>
    <s v=""/>
    <s v=""/>
    <s v=""/>
    <s v=""/>
    <n v="230"/>
    <n v="0.97299999999999998"/>
    <n v="230"/>
  </r>
  <r>
    <s v="Hema"/>
    <s v="SQBIR.HEMA.163.FY26-27.2"/>
    <m/>
    <m/>
    <m/>
    <m/>
    <s v="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19"/>
    <d v="2026-11-04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s v=""/>
    <n v="22452.096999999994"/>
    <s v=""/>
    <s v=""/>
    <n v="2245.2089999999998"/>
    <s v=""/>
    <n v="230"/>
    <n v="0.97299999999999998"/>
    <s v=""/>
  </r>
  <r>
    <s v="Hema"/>
    <s v="SQBIR.HEMA.163.FY26-27.2"/>
    <m/>
    <m/>
    <m/>
    <m/>
    <s v="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20"/>
    <d v="2026-11-05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s v=""/>
    <s v=""/>
    <s v=""/>
    <n v="2245.2089999999998"/>
    <s v=""/>
    <n v="230"/>
    <n v="0.97299999999999998"/>
    <n v="230"/>
  </r>
  <r>
    <s v="Hema"/>
    <s v="SQBIR.HEMA.163.FY26-27.2"/>
    <m/>
    <m/>
    <m/>
    <m/>
    <s v=""/>
    <n v="2145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21"/>
    <d v="2026-11-06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s v=""/>
    <n v="22452.096999999994"/>
    <s v=""/>
    <s v=""/>
    <n v="2245.2089999999998"/>
    <s v=""/>
    <n v="230"/>
    <n v="0.97299999999999998"/>
    <s v=""/>
  </r>
  <r>
    <s v="Hema"/>
    <s v="SQBIR.HEMA.163.FY26-27.2"/>
    <m/>
    <m/>
    <m/>
    <m/>
    <s v=""/>
    <n v="2145"/>
    <s v="KNIT WEFT KNITTED RIB Non-Molded BCI Cotton (2X2) 95% ELASTANE 5% GSM-210 CW-107 CM/42 INCH "/>
    <s v="GARDENIA 11-0604TCX"/>
    <s v=""/>
    <n v="328.31799999999998"/>
    <m/>
    <n v="-328.31799999999998"/>
    <m/>
    <n v="-328.31799999999998"/>
    <n v="453421"/>
    <s v="Solid"/>
    <x v="32"/>
    <d v="2026-11-07T00:00:00"/>
    <s v="1st-10th Nov"/>
    <s v="Revised Plan given as per revised date"/>
    <m/>
    <s v="Oct"/>
    <d v="2026-10-07T00:00:00"/>
    <m/>
    <m/>
    <m/>
    <m/>
    <m/>
    <m/>
    <m/>
    <m/>
    <m/>
    <m/>
    <s v="453421"/>
    <s v="Gardenia 11-0604 TCX"/>
    <n v="210"/>
    <s v="453421210Gardenia 11-0604 TCX"/>
    <n v="230"/>
    <n v="30286.3"/>
    <n v="0"/>
    <s v=""/>
    <s v=""/>
    <s v=""/>
    <s v=""/>
    <s v=""/>
    <n v="230"/>
    <n v="0.97299999999999998"/>
    <n v="230"/>
  </r>
  <r>
    <s v="Hema"/>
    <s v="SQBIR.HEMA.163.FY26-27.3"/>
    <m/>
    <m/>
    <m/>
    <m/>
    <s v=""/>
    <n v="2146"/>
    <s v="KNIT WEFT KNITTED RIB Non-Molded BCI Cotton (2X2) 95% ELASTANE 5% GSM-210 CW-107 CM/42 INCH "/>
    <s v="GARDENIA 11-0604TCX"/>
    <n v="-638.96366666666665"/>
    <n v="1916.8910000000001"/>
    <m/>
    <n v="-1916.8910000000001"/>
    <m/>
    <n v="-1916.8910000000001"/>
    <n v="453421"/>
    <s v="Solid"/>
    <x v="32"/>
    <d v="2026-11-07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s v=""/>
    <n v="22452.096999999994"/>
    <s v=""/>
    <s v=""/>
    <n v="1916.8910000000001"/>
    <s v=""/>
    <n v="230"/>
    <n v="0.97299999999999998"/>
    <s v=""/>
  </r>
  <r>
    <s v="Hema"/>
    <s v="SQBIR.HEMA.163.FY26-27.3"/>
    <m/>
    <m/>
    <m/>
    <m/>
    <s v=""/>
    <n v="2146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33"/>
    <d v="2026-11-08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s v=""/>
    <s v=""/>
    <s v=""/>
    <s v=""/>
    <n v="2245.2089999999998"/>
    <s v=""/>
    <n v="230"/>
    <n v="0.97299999999999998"/>
    <s v=""/>
  </r>
  <r>
    <s v="Hema"/>
    <s v="SQBIR.HEMA.163.FY26-27.3"/>
    <m/>
    <m/>
    <m/>
    <m/>
    <s v=""/>
    <n v="2146"/>
    <s v="KNIT WEFT KNITTED RIB Non-Molded BCI Cotton (2X2) 95% ELASTANE 5% GSM-210 CW-107 CM/42 INCH "/>
    <s v="GARDENIA 11-0604TCX"/>
    <n v="-748.40299999999991"/>
    <n v="2245.2089999999998"/>
    <m/>
    <n v="-2245.2089999999998"/>
    <m/>
    <n v="-2245.2089999999998"/>
    <n v="453421"/>
    <s v="Solid"/>
    <x v="35"/>
    <d v="2026-11-09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s v=""/>
    <n v="22452.096999999994"/>
    <s v=""/>
    <s v=""/>
    <n v="2245.2089999999998"/>
    <s v=""/>
    <n v="230"/>
    <n v="0.97299999999999998"/>
    <s v=""/>
  </r>
  <r>
    <s v="Hema"/>
    <s v="SQBIR.HEMA.163.FY26-27.3"/>
    <m/>
    <m/>
    <m/>
    <m/>
    <s v=""/>
    <n v="2146"/>
    <s v="KNIT WEFT KNITTED RIB Non-Molded BCI Cotton (2X2) 95% ELASTANE 5% GSM-210 CW-107 CM/42 INCH "/>
    <s v="GARDENIA 11-0604TCX"/>
    <s v=""/>
    <n v="2245.2159999999999"/>
    <m/>
    <n v="-2245.2159999999999"/>
    <m/>
    <n v="-2245.2159999999999"/>
    <n v="453421"/>
    <s v="Solid"/>
    <x v="36"/>
    <d v="2026-11-10T00:00:00"/>
    <s v="1st-10th Nov"/>
    <s v="Revised Plan given as per revised date"/>
    <m/>
    <s v="Oct"/>
    <d v="2026-10-08T00:00:00"/>
    <m/>
    <m/>
    <m/>
    <m/>
    <m/>
    <m/>
    <m/>
    <m/>
    <m/>
    <m/>
    <s v="453421"/>
    <s v="Gardenia 11-0604 TCX"/>
    <n v="210"/>
    <s v="453421210Gardenia 11-0604 TCX"/>
    <n v="230"/>
    <n v="30286.3"/>
    <n v="0"/>
    <n v="22452.096999999994"/>
    <s v=""/>
    <s v=""/>
    <s v=""/>
    <s v=""/>
    <n v="230"/>
    <n v="0.97299999999999998"/>
    <n v="230"/>
  </r>
  <r>
    <s v="Hema"/>
    <s v="SQBIR.HEMA.162.FY26-27.1"/>
    <m/>
    <m/>
    <m/>
    <m/>
    <s v=""/>
    <n v="2147"/>
    <s v="KNIT WEFT KNITTED RIB Non-Molded BCI Cotton (2X2) 95% ELASTANE 5% GSM-210 CW-107 CM/42 INCH "/>
    <s v="Black Onyx"/>
    <n v="-120.76100000000001"/>
    <n v="362.28300000000002"/>
    <m/>
    <n v="-362.28300000000002"/>
    <m/>
    <n v="-362.28300000000002"/>
    <n v="453421"/>
    <s v="Solid"/>
    <x v="19"/>
    <d v="2026-11-04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56"/>
    <n v="28495.29"/>
    <s v=""/>
    <n v="22534.976999999999"/>
    <s v=""/>
    <s v=""/>
    <n v="362.28300000000002"/>
    <s v=""/>
    <n v="224"/>
    <n v="0.94699999999999995"/>
    <s v=""/>
  </r>
  <r>
    <s v="Hema"/>
    <s v="SQBIR.HEMA.162.FY26-27.1"/>
    <m/>
    <m/>
    <m/>
    <m/>
    <s v=""/>
    <n v="2147"/>
    <s v="KNIT WEFT KNITTED RIB Non-Molded BCI Cotton (2X2) 95% ELASTANE 5% GSM-210 CW-107 CM/42 INCH "/>
    <s v="Black Onyx"/>
    <s v=""/>
    <n v="2253.4969999999998"/>
    <m/>
    <n v="-2253.4969999999998"/>
    <m/>
    <n v="-2253.4969999999998"/>
    <n v="453421"/>
    <s v="Solid"/>
    <x v="20"/>
    <d v="2026-11-05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56"/>
    <n v="28495.29"/>
    <n v="0"/>
    <s v=""/>
    <s v=""/>
    <s v=""/>
    <s v=""/>
    <s v=""/>
    <n v="224"/>
    <n v="0.94699999999999995"/>
    <n v="2256"/>
  </r>
  <r>
    <s v="Hema"/>
    <s v="SQBIR.HEMA.162.FY26-27.1"/>
    <m/>
    <m/>
    <m/>
    <m/>
    <s v=""/>
    <n v="2147"/>
    <s v="KNIT WEFT KNITTED RIB Non-Molded BCI Cotton (2X2) 95% ELASTANE 5% GSM-210 CW-107 CM/42 INCH "/>
    <s v="Black Onyx"/>
    <n v="-275.84433333333334"/>
    <n v="827.53300000000002"/>
    <m/>
    <n v="-827.53300000000002"/>
    <m/>
    <n v="-827.53300000000002"/>
    <n v="453421"/>
    <s v="Solid"/>
    <x v="21"/>
    <d v="2026-11-06T00:00:00"/>
    <s v="(1st-10th) Nov"/>
    <s v="Revised Plan given as per revised date"/>
    <m/>
    <s v="Oct"/>
    <d v="2026-10-02T00:00:00"/>
    <m/>
    <m/>
    <m/>
    <m/>
    <m/>
    <m/>
    <m/>
    <m/>
    <m/>
    <m/>
    <s v="453421"/>
    <s v="Black Onyx (19-4003 TCX)"/>
    <n v="210"/>
    <s v="453421210Black Onyx (19-4003 TCX)"/>
    <n v="2256"/>
    <n v="28495.29"/>
    <s v=""/>
    <n v="22534.976999999999"/>
    <s v=""/>
    <s v=""/>
    <n v="827.53300000000002"/>
    <s v=""/>
    <n v="224"/>
    <n v="0.94699999999999995"/>
    <s v=""/>
  </r>
  <r>
    <s v="Hema"/>
    <s v="SQBIR.HEMA.162.FY26-27.2"/>
    <m/>
    <m/>
    <m/>
    <m/>
    <s v=""/>
    <n v="2148"/>
    <s v="KNIT WEFT KNITTED RIB Non-Molded BCI Cotton (2X2) 95% ELASTANE 5% GSM-210 CW-107 CM/42 INCH "/>
    <s v="Black Onyx"/>
    <s v=""/>
    <n v="1425.9639999999999"/>
    <m/>
    <n v="-1425.9639999999999"/>
    <m/>
    <n v="-1425.9639999999999"/>
    <n v="453421"/>
    <s v="Solid"/>
    <x v="21"/>
    <d v="2026-11-06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56"/>
    <n v="28495.29"/>
    <n v="0"/>
    <s v=""/>
    <s v=""/>
    <s v=""/>
    <s v=""/>
    <s v=""/>
    <n v="224"/>
    <n v="0.94699999999999995"/>
    <n v="2256"/>
  </r>
  <r>
    <s v="Hema"/>
    <s v="SQBIR.HEMA.162.FY26-27.2"/>
    <m/>
    <m/>
    <m/>
    <m/>
    <s v=""/>
    <n v="2148"/>
    <s v="KNIT WEFT KNITTED RIB Non-Molded BCI Cotton (2X2) 95% ELASTANE 5% GSM-210 CW-107 CM/42 INCH "/>
    <s v="Black Onyx"/>
    <s v=""/>
    <n v="2253.4969999999998"/>
    <m/>
    <n v="-2253.4969999999998"/>
    <m/>
    <n v="-2253.4969999999998"/>
    <n v="453421"/>
    <s v="Solid"/>
    <x v="32"/>
    <d v="2026-11-07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56"/>
    <n v="28495.29"/>
    <s v=""/>
    <n v="22534.976999999999"/>
    <s v=""/>
    <s v=""/>
    <s v=""/>
    <s v=""/>
    <n v="224"/>
    <n v="0.94699999999999995"/>
    <s v=""/>
  </r>
  <r>
    <s v="Hema"/>
    <s v="SQBIR.HEMA.162.FY26-27.2"/>
    <m/>
    <m/>
    <m/>
    <m/>
    <s v=""/>
    <n v="2148"/>
    <s v="KNIT WEFT KNITTED RIB Non-Molded BCI Cotton (2X2) 95% ELASTANE 5% GSM-210 CW-107 CM/42 INCH "/>
    <s v="Black Onyx"/>
    <s v=""/>
    <n v="2253.4969999999998"/>
    <m/>
    <n v="-2253.4969999999998"/>
    <m/>
    <n v="-2253.4969999999998"/>
    <n v="453421"/>
    <s v="Solid"/>
    <x v="33"/>
    <d v="2026-11-08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56"/>
    <n v="28495.29"/>
    <n v="0"/>
    <s v=""/>
    <s v=""/>
    <s v=""/>
    <s v=""/>
    <s v=""/>
    <n v="224"/>
    <n v="0.94699999999999995"/>
    <n v="2256"/>
  </r>
  <r>
    <s v="Hema"/>
    <s v="SQBIR.HEMA.162.FY26-27.2"/>
    <m/>
    <m/>
    <m/>
    <m/>
    <s v=""/>
    <n v="2148"/>
    <s v="KNIT WEFT KNITTED RIB Non-Molded BCI Cotton (2X2) 95% ELASTANE 5% GSM-210 CW-107 CM/42 INCH "/>
    <s v="Black Onyx"/>
    <n v="-751.16566666666665"/>
    <n v="2253.4969999999998"/>
    <m/>
    <n v="-2253.4969999999998"/>
    <m/>
    <n v="-2253.4969999999998"/>
    <n v="453421"/>
    <s v="Solid"/>
    <x v="35"/>
    <d v="2026-11-09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56"/>
    <n v="28495.29"/>
    <s v=""/>
    <n v="22534.976999999999"/>
    <s v=""/>
    <s v=""/>
    <n v="2253.4969999999998"/>
    <s v=""/>
    <n v="224"/>
    <n v="0.94699999999999995"/>
    <s v=""/>
  </r>
  <r>
    <s v="Hema"/>
    <s v="SQBIR.HEMA.162.FY26-27.2"/>
    <m/>
    <m/>
    <m/>
    <m/>
    <s v=""/>
    <n v="2148"/>
    <s v="KNIT WEFT KNITTED RIB Non-Molded BCI Cotton (2X2) 95% ELASTANE 5% GSM-210 CW-107 CM/42 INCH "/>
    <s v="Black Onyx"/>
    <s v=""/>
    <n v="2253.5039999999999"/>
    <m/>
    <n v="-2253.5039999999999"/>
    <m/>
    <n v="-2253.5039999999999"/>
    <n v="453421"/>
    <s v="Solid"/>
    <x v="36"/>
    <d v="2026-11-10T00:00:00"/>
    <s v="(1st-10th) Nov"/>
    <s v="Revised Plan given as per revised date"/>
    <m/>
    <s v="Oct"/>
    <d v="2026-10-10T00:00:00"/>
    <m/>
    <m/>
    <m/>
    <m/>
    <m/>
    <m/>
    <m/>
    <m/>
    <m/>
    <m/>
    <s v="453421"/>
    <s v="Black Onyx (19-4003 TCX)"/>
    <n v="210"/>
    <s v="453421210Black Onyx (19-4003 TCX)"/>
    <n v="2256"/>
    <n v="28495.29"/>
    <s v=""/>
    <s v=""/>
    <s v=""/>
    <s v=""/>
    <s v=""/>
    <s v=""/>
    <n v="224"/>
    <n v="0.94699999999999995"/>
    <s v=""/>
  </r>
  <r>
    <s v="Hema"/>
    <s v="SQBIR.HEMA.005.FY26-27.1"/>
    <m/>
    <m/>
    <m/>
    <m/>
    <n v="2"/>
    <n v="2149"/>
    <s v=" 96% BCI COTTON 4% ELASTANE JERSEY GSM-160 CW-167CM/66INCH "/>
    <s v="Smoke-Green-15-6315-TCX"/>
    <n v="0"/>
    <n v="-1.9890000000000001"/>
    <n v="-1.9890000000000001"/>
    <n v="0"/>
    <m/>
    <n v="0"/>
    <n v="454201"/>
    <s v="Solid"/>
    <x v="23"/>
    <d v="2026-10-09T00:00:00"/>
    <d v="2026-10-09T00:00:00"/>
    <s v="Hues Agreed qty as per SQBL required date"/>
    <m/>
    <s v="Oct"/>
    <d v="2026-10-09T00:00:00"/>
    <m/>
    <m/>
    <m/>
    <m/>
    <m/>
    <m/>
    <m/>
    <m/>
    <m/>
    <m/>
    <s v="454201"/>
    <s v="Smoke Green 15-6315 TCx"/>
    <n v="160"/>
    <s v="454201160Smoke Green 15-6315 TCx"/>
    <n v="112"/>
    <n v="-2"/>
    <n v="-2"/>
    <n v="-2"/>
    <s v=""/>
    <s v=""/>
    <n v="0"/>
    <n v="2"/>
    <n v="112"/>
    <n v="1.018"/>
    <n v="114"/>
  </r>
  <r>
    <s v="Hema"/>
    <s v="SQBIR.HEMA.005.FY26-27.2"/>
    <m/>
    <m/>
    <m/>
    <m/>
    <n v="2"/>
    <n v="2150"/>
    <s v=" 96% BCI COTTON 4% ELASTANE JERSEY GSM-160 CW-167CM/66INCH "/>
    <s v="Smoke-Green-15-6315-TCX"/>
    <n v="0"/>
    <n v="-1.0999999999999999E-2"/>
    <n v="-1.0999999999999999E-2"/>
    <n v="0"/>
    <m/>
    <n v="0"/>
    <n v="454201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4201"/>
    <s v="Smoke Green 15-6315 TCx"/>
    <n v="160"/>
    <s v="454201160Smoke Green 15-6315 TCx"/>
    <n v="112"/>
    <n v="-2"/>
    <n v="-2"/>
    <n v="-2"/>
    <s v=""/>
    <s v=""/>
    <n v="0"/>
    <n v="2"/>
    <n v="112"/>
    <n v="1.018"/>
    <n v="114"/>
  </r>
  <r>
    <s v="Hema"/>
    <s v="SQBIR.HEMA.024.FY26-27.1"/>
    <m/>
    <m/>
    <m/>
    <m/>
    <s v=""/>
    <n v="2151"/>
    <s v=" 96% BCI COTTON 4% ELASTANE JERSEY GSM-160 CW-167CM/66INCH "/>
    <s v="Smoke-Green-15-6315-TCX"/>
    <s v=""/>
    <n v="847.64599999999996"/>
    <n v="847.64599999999996"/>
    <n v="0"/>
    <m/>
    <n v="0"/>
    <n v="4542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06"/>
    <s v="Smoke Green 15-6315 TCx"/>
    <n v="160"/>
    <s v="454206160Smoke Green 15-6315 TCx"/>
    <n v="867"/>
    <n v="-17"/>
    <n v="850"/>
    <n v="850"/>
    <s v=""/>
    <s v=""/>
    <n v="0"/>
    <s v=""/>
    <n v="867"/>
    <n v="1.02"/>
    <n v="17"/>
  </r>
  <r>
    <s v="Hema"/>
    <s v="SQBIR.HEMA.024.FY26-27.2"/>
    <m/>
    <m/>
    <m/>
    <m/>
    <s v=""/>
    <n v="2152"/>
    <s v=" 96% BCI COTTON 4% ELASTANE JERSEY GSM-160 CW-167CM/66INCH "/>
    <s v="Smoke-Green-15-6315-TCX"/>
    <s v=""/>
    <n v="2.3540000000000001"/>
    <n v="2.3540000000000001"/>
    <n v="0"/>
    <m/>
    <n v="0"/>
    <n v="45420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06"/>
    <s v="Smoke Green 15-6315 TCx"/>
    <n v="160"/>
    <s v="454206160Smoke Green 15-6315 TCx"/>
    <n v="867"/>
    <n v="-17"/>
    <n v="850"/>
    <n v="850"/>
    <s v=""/>
    <s v=""/>
    <n v="0"/>
    <s v=""/>
    <n v="867"/>
    <n v="1.02"/>
    <n v="17"/>
  </r>
  <r>
    <s v="Hema"/>
    <s v="SQBIR.HEMA.036.FY26-27.1"/>
    <m/>
    <m/>
    <m/>
    <m/>
    <s v=""/>
    <n v="2153"/>
    <s v=" 96% BCI COTTON 4% ELASTANE JERSEY GSM-160 CW-167CM/66INCH "/>
    <s v="Smoke-Green-15-6315-TCX"/>
    <s v=""/>
    <n v="0"/>
    <m/>
    <n v="0"/>
    <m/>
    <n v="0"/>
    <n v="45421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4213"/>
    <s v="Smoke Green 15-6315 TCx"/>
    <n v="160"/>
    <s v="454213160Smoke Green 15-6315 TCx"/>
    <n v="723"/>
    <n v="32"/>
    <n v="0"/>
    <s v=""/>
    <s v=""/>
    <s v=""/>
    <s v=""/>
    <s v=""/>
    <n v="723"/>
    <n v="0.95799999999999996"/>
    <n v="723"/>
  </r>
  <r>
    <s v="Hema"/>
    <s v="SQBIR.HEMA.036.FY26-27.2"/>
    <m/>
    <m/>
    <m/>
    <m/>
    <s v=""/>
    <n v="2154"/>
    <s v=" 96% BCI COTTON 4% ELASTANE JERSEY GSM-160 CW-167CM/66INCH "/>
    <s v="Smoke-Green-15-6315-TCX"/>
    <n v="0"/>
    <n v="0"/>
    <m/>
    <n v="0"/>
    <m/>
    <n v="0"/>
    <n v="45421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4213"/>
    <s v="Smoke Green 15-6315 TCx"/>
    <n v="160"/>
    <s v="454213160Smoke Green 15-6315 TCx"/>
    <n v="723"/>
    <n v="32"/>
    <s v=""/>
    <n v="0"/>
    <s v=""/>
    <s v=""/>
    <n v="0"/>
    <s v=""/>
    <n v="723"/>
    <n v="0.95799999999999996"/>
    <s v=""/>
  </r>
  <r>
    <s v="Hema"/>
    <s v="SQBIR.HEMA.109.FY26-27.2"/>
    <m/>
    <m/>
    <m/>
    <m/>
    <s v=""/>
    <n v="2155"/>
    <s v=" 96% BCI COTTON 4% ELASTANE JERSEY GSM-160 CW-167CM/66INCH "/>
    <s v="Black Onyx"/>
    <s v=""/>
    <n v="764.13400000000001"/>
    <m/>
    <n v="-764.13400000000001"/>
    <m/>
    <n v="-764.13400000000001"/>
    <n v="453421"/>
    <s v="Solid"/>
    <x v="21"/>
    <d v="2026-11-06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s v=""/>
    <s v=""/>
    <s v=""/>
    <s v=""/>
    <s v=""/>
    <n v="2391"/>
    <n v="0.122"/>
    <n v="2391"/>
  </r>
  <r>
    <s v="Hema"/>
    <s v="SQBIR.HEMA.109.FY26-27.2"/>
    <m/>
    <m/>
    <m/>
    <m/>
    <s v=""/>
    <n v="2155"/>
    <s v=" 96% BCI COTTON 4% ELASTANE JERSEY GSM-160 CW-167CM/66INCH "/>
    <s v="Black Onyx"/>
    <n v="-482.89699999999999"/>
    <n v="1448.691"/>
    <m/>
    <n v="-1448.691"/>
    <m/>
    <n v="-1448.691"/>
    <n v="453421"/>
    <s v="Solid"/>
    <x v="32"/>
    <d v="2026-11-07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n v="14486.914000000002"/>
    <s v=""/>
    <s v=""/>
    <n v="1448.691"/>
    <s v=""/>
    <n v="2391"/>
    <n v="0.122"/>
    <n v="2391"/>
  </r>
  <r>
    <s v="Hema"/>
    <s v="SQBIR.HEMA.109.FY26-27.2"/>
    <m/>
    <m/>
    <m/>
    <m/>
    <s v=""/>
    <n v="2155"/>
    <s v=" 96% BCI COTTON 4% ELASTANE JERSEY GSM-160 CW-167CM/66INCH "/>
    <s v="Black Onyx"/>
    <n v="-134.214"/>
    <n v="402.642"/>
    <m/>
    <n v="-402.642"/>
    <m/>
    <n v="-402.642"/>
    <n v="453421"/>
    <s v="Solid"/>
    <x v="33"/>
    <d v="2026-11-08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2391"/>
    <n v="17237.89"/>
    <n v="0"/>
    <n v="14486.914000000002"/>
    <s v=""/>
    <s v=""/>
    <s v=""/>
    <s v=""/>
    <n v="2391"/>
    <n v="0.122"/>
    <n v="2391"/>
  </r>
  <r>
    <s v="Hema"/>
    <s v="SQBIR.HEMA.109.FY26-27.3"/>
    <m/>
    <m/>
    <m/>
    <m/>
    <s v=""/>
    <n v="2156"/>
    <s v=" 96% BCI COTTON 4% ELASTANE JERSEY GSM-160 CW-167CM/66INCH "/>
    <s v="Black Onyx"/>
    <n v="-348.68299999999999"/>
    <n v="1046.049"/>
    <m/>
    <n v="-1046.049"/>
    <m/>
    <n v="-1046.049"/>
    <n v="453421"/>
    <s v="Solid"/>
    <x v="33"/>
    <d v="2026-11-08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2391"/>
    <n v="17237.89"/>
    <s v=""/>
    <s v=""/>
    <s v=""/>
    <s v=""/>
    <n v="1046.049"/>
    <s v=""/>
    <n v="2391"/>
    <n v="0.122"/>
    <s v=""/>
  </r>
  <r>
    <s v="Hema"/>
    <s v="SQBIR.HEMA.109.FY26-27.3"/>
    <m/>
    <m/>
    <m/>
    <m/>
    <s v=""/>
    <n v="2156"/>
    <s v=" 96% BCI COTTON 4% ELASTANE JERSEY GSM-160 CW-167CM/66INCH "/>
    <s v="Black Onyx"/>
    <s v=""/>
    <n v="1448.691"/>
    <m/>
    <n v="-1448.691"/>
    <m/>
    <n v="-1448.691"/>
    <n v="453421"/>
    <s v="Solid"/>
    <x v="35"/>
    <d v="2026-11-09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2391"/>
    <n v="17237.89"/>
    <s v=""/>
    <n v="14486.914000000002"/>
    <s v=""/>
    <s v=""/>
    <n v="1448.691"/>
    <s v=""/>
    <n v="2391"/>
    <n v="0.122"/>
    <s v=""/>
  </r>
  <r>
    <s v="Hema"/>
    <s v="SQBIR.HEMA.109.FY26-27.3"/>
    <m/>
    <m/>
    <m/>
    <m/>
    <s v=""/>
    <n v="2156"/>
    <s v=" 96% BCI COTTON 4% ELASTANE JERSEY GSM-160 CW-167CM/66INCH "/>
    <s v="Black Onyx"/>
    <n v="-480.88100000000003"/>
    <n v="1442.643"/>
    <m/>
    <n v="-1442.643"/>
    <m/>
    <n v="-1442.643"/>
    <n v="453421"/>
    <s v="Solid"/>
    <x v="36"/>
    <d v="2026-11-10T00:00:00"/>
    <s v="(1st-10th) Nov"/>
    <s v="Revised Plan given as per revised date"/>
    <m/>
    <s v="Oct"/>
    <d v="2026-10-11T00:00:00"/>
    <m/>
    <m/>
    <m/>
    <m/>
    <m/>
    <m/>
    <m/>
    <m/>
    <m/>
    <m/>
    <s v="453421"/>
    <s v="Black Onyx (19-4003 TCX)"/>
    <n v="160"/>
    <s v="453421160Black Onyx (19-4003 TCX)"/>
    <n v="2391"/>
    <n v="17237.89"/>
    <s v=""/>
    <s v=""/>
    <s v=""/>
    <s v=""/>
    <n v="1442.643"/>
    <s v=""/>
    <n v="2391"/>
    <n v="0.122"/>
    <s v=""/>
  </r>
  <r>
    <s v="Hema"/>
    <s v="SQBIR.HEMA.109.FY26-27.6"/>
    <m/>
    <m/>
    <m/>
    <m/>
    <s v=""/>
    <n v="2157"/>
    <s v=" 96% BCI COTTON 4% ELASTANE JERSEY GSM-160 CW-167CM/66INCH "/>
    <s v="Black Onyx"/>
    <n v="-2.0173333333333332"/>
    <n v="6.0519999999999996"/>
    <m/>
    <n v="-6.0519999999999996"/>
    <m/>
    <n v="-6.0519999999999996"/>
    <n v="453421"/>
    <s v="Solid"/>
    <x v="36"/>
    <d v="2026-11-10T00:00:00"/>
    <s v="(1st-10th) Nov"/>
    <s v="Revised Plan given as per revised date"/>
    <m/>
    <s v="Oct"/>
    <d v="2026-10-17T00:00:00"/>
    <m/>
    <m/>
    <m/>
    <m/>
    <m/>
    <m/>
    <m/>
    <m/>
    <m/>
    <m/>
    <s v="453421"/>
    <s v="Black Onyx (19-4003 TCX)"/>
    <n v="160"/>
    <s v="453421160Black Onyx (19-4003 TCX)"/>
    <n v="2391"/>
    <n v="17237.89"/>
    <s v=""/>
    <s v=""/>
    <s v=""/>
    <s v=""/>
    <n v="6.0519999999999996"/>
    <s v=""/>
    <n v="2391"/>
    <n v="0.122"/>
    <s v=""/>
  </r>
  <r>
    <s v="Hema"/>
    <s v="SQBIR.HEMA.112.FY26-27.1"/>
    <m/>
    <m/>
    <m/>
    <m/>
    <s v=""/>
    <n v="2158"/>
    <s v=" 96% BCI COTTON 4% ELASTANE JERSEY GSM-160 CW-167CM/66INCH "/>
    <s v="BRUSH 16-1317 TCX"/>
    <s v=""/>
    <n v="0"/>
    <n v="0"/>
    <n v="0"/>
    <m/>
    <n v="0"/>
    <n v="453421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3421"/>
    <s v="Brush 16-1317 tcx"/>
    <n v="160"/>
    <s v="453421160Brush 16-1317 tcx"/>
    <n v="1703"/>
    <n v="-23.12"/>
    <n v="3.97"/>
    <s v=""/>
    <s v=""/>
    <s v=""/>
    <s v=""/>
    <s v=""/>
    <n v="1703"/>
    <n v="1.014"/>
    <n v="1699.03"/>
  </r>
  <r>
    <s v="Hema"/>
    <s v="SQBIR.HEMA.112.FY26-27.2"/>
    <m/>
    <m/>
    <m/>
    <m/>
    <s v=""/>
    <n v="2159"/>
    <s v=" 96% BCI COTTON 4% ELASTANE JERSEY GSM-160 CW-167CM/66INCH "/>
    <s v="BRUSH 16-1317 TCX"/>
    <s v=""/>
    <n v="3.97"/>
    <n v="3.97"/>
    <n v="0"/>
    <m/>
    <n v="0"/>
    <n v="453421"/>
    <s v="Solid"/>
    <x v="25"/>
    <d v="2026-10-15T00:00:00"/>
    <d v="2026-10-11T00:00:00"/>
    <s v="Hues Agreed qty as per SQBL required date"/>
    <m/>
    <s v="Oct"/>
    <d v="2026-10-15T00:00:00"/>
    <m/>
    <m/>
    <m/>
    <m/>
    <m/>
    <m/>
    <m/>
    <m/>
    <m/>
    <m/>
    <s v="453421"/>
    <s v="Brush 16-1317 tcx"/>
    <n v="160"/>
    <s v="453421160Brush 16-1317 tcx"/>
    <n v="1703"/>
    <n v="-23.12"/>
    <n v="3.97"/>
    <n v="3.97"/>
    <s v=""/>
    <s v=""/>
    <s v=""/>
    <s v=""/>
    <n v="1703"/>
    <n v="1.014"/>
    <n v="1699.03"/>
  </r>
  <r>
    <s v="Hema"/>
    <s v="SQBIR.HEMA.165.FY26-27.1"/>
    <m/>
    <m/>
    <m/>
    <m/>
    <s v=""/>
    <n v="2160"/>
    <s v=" 96% BCI COTTON 4% ELASTANE JERSEY GSM-160 CW-167CM/66INCH "/>
    <s v="Chambray blue-15-4030-TCX"/>
    <n v="-222.501"/>
    <n v="667.50300000000004"/>
    <m/>
    <n v="-667.50300000000004"/>
    <m/>
    <n v="-667.50300000000004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03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s v=""/>
    <s v=""/>
    <s v=""/>
    <s v=""/>
    <n v="152"/>
    <n v="4.2000000000000003E-2"/>
    <n v="152"/>
  </r>
  <r>
    <s v="Hema"/>
    <s v="SQBIR.HEMA.165.FY26-27.2"/>
    <m/>
    <m/>
    <m/>
    <m/>
    <s v=""/>
    <n v="2161"/>
    <s v=" 96% BCI COTTON 4% ELASTANE JERSEY GSM-160 CW-167CM/66INCH "/>
    <s v="Chambray blue-15-4030-TCX"/>
    <n v="-110.83233333333334"/>
    <n v="332.49700000000001"/>
    <m/>
    <n v="-332.49700000000001"/>
    <m/>
    <n v="-332.49700000000001"/>
    <n v="453421"/>
    <s v="Solid"/>
    <x v="30"/>
    <d v="2026-10-20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s v=""/>
    <s v=""/>
    <n v="332.49700000000001"/>
    <s v=""/>
    <n v="152"/>
    <n v="4.2000000000000003E-2"/>
    <n v="152"/>
  </r>
  <r>
    <s v="Hema"/>
    <s v="SQBIR.HEMA.165.FY26-27.2"/>
    <m/>
    <m/>
    <m/>
    <m/>
    <s v=""/>
    <n v="2161"/>
    <s v=" 96% BCI COTTON 4% ELASTANE JERSEY GSM-160 CW-167CM/66INCH "/>
    <s v="Chambray blue-15-4030-TCX"/>
    <n v="-268.8536666666667"/>
    <n v="806.56100000000004"/>
    <m/>
    <n v="-806.56100000000004"/>
    <m/>
    <n v="-806.56100000000004"/>
    <n v="453421"/>
    <s v="Solid"/>
    <x v="31"/>
    <d v="2026-10-21T00:00:00"/>
    <s v="20th Oct- 1k mtr_x000a_21st Oct- 2k mtr_x000a_23rd Oct-2k mtr_x000a_31st Oct-2k mtr_x000a_1st Nov-2k mtr_x000a_2nd Nov-2k mtr_x000a_"/>
    <s v="Revised Plan given as per revised date"/>
    <m/>
    <s v="Oct"/>
    <d v="2026-10-10T00:00:00"/>
    <m/>
    <m/>
    <m/>
    <m/>
    <m/>
    <m/>
    <m/>
    <m/>
    <m/>
    <m/>
    <s v="453421"/>
    <s v="Chambray Blue 15-4030 tcx"/>
    <n v="160"/>
    <s v="453421160Chambray Blue 15-4030 tcx"/>
    <n v="152"/>
    <n v="3448"/>
    <n v="0"/>
    <n v="1806.5610000000001"/>
    <s v=""/>
    <s v=""/>
    <n v="806.56100000000004"/>
    <s v=""/>
    <n v="152"/>
    <n v="4.2000000000000003E-2"/>
    <n v="152"/>
  </r>
  <r>
    <s v="Hema"/>
    <s v="SQBIR.HEMA.320.FY26-27.2"/>
    <m/>
    <m/>
    <m/>
    <m/>
    <s v=""/>
    <n v="2162"/>
    <s v=" 96% ORGANIC COTTON 4% ELASTANE JERSEY GSM-160 CW-167CM/66INCH "/>
    <s v="MANGANO CALCITE-13-1501-TCX"/>
    <s v=""/>
    <n v="0"/>
    <n v="0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Mangano Calcite 13-1501 TCX"/>
    <n v="160"/>
    <s v="456385160Mangano Calcite 13-1501 TCX"/>
    <n v="814"/>
    <n v="-10.98"/>
    <s v=""/>
    <s v=""/>
    <s v=""/>
    <s v=""/>
    <s v=""/>
    <s v=""/>
    <n v="814"/>
    <n v="1.014"/>
    <s v=""/>
  </r>
  <r>
    <s v="Hema"/>
    <s v="SQBIR.HEMA.314.FY26-27.2"/>
    <m/>
    <m/>
    <m/>
    <m/>
    <s v=""/>
    <n v="2163"/>
    <s v=" 96% ORGANIC COTTON 4% ELASTANE JERSEY GSM-160 CW-167CM/66INCH "/>
    <s v="SUNLIGHT-13-0822-TCX"/>
    <n v="0"/>
    <n v="0"/>
    <n v="0"/>
    <n v="0"/>
    <m/>
    <n v="0"/>
    <n v="456385"/>
    <s v="Solid"/>
    <x v="52"/>
    <d v="2026-10-02T00:00:00"/>
    <d v="2026-10-01T00:00:00"/>
    <s v="Hues Agreed qty as per SQBL required date"/>
    <m/>
    <s v="Oct"/>
    <d v="2026-10-01T00:00:00"/>
    <m/>
    <m/>
    <m/>
    <m/>
    <m/>
    <m/>
    <m/>
    <m/>
    <m/>
    <m/>
    <s v="456385"/>
    <s v="Sun light 13-0822 tcx"/>
    <n v="160"/>
    <s v="456385160Sun light 13-0822 tcx"/>
    <n v="824.05"/>
    <n v="-16.47"/>
    <s v=""/>
    <n v="0"/>
    <s v=""/>
    <s v=""/>
    <n v="0"/>
    <s v=""/>
    <n v="824.05"/>
    <n v="1.02"/>
    <s v=""/>
  </r>
  <r>
    <s v="Hema"/>
    <s v="SQBIR.HEMA.315.FY26-27.1"/>
    <m/>
    <m/>
    <m/>
    <m/>
    <s v=""/>
    <n v="2164"/>
    <s v=" 96% ORGANIC COTTON 4% ELASTANE JERSEY GSM-160 CW-167CM/66INCH "/>
    <s v="SUNLIGHT-13-0822-TCX"/>
    <s v=""/>
    <n v="0"/>
    <n v="0"/>
    <n v="0"/>
    <m/>
    <n v="0"/>
    <n v="456385"/>
    <s v="Solid"/>
    <x v="34"/>
    <d v="2026-10-13T00:00:00"/>
    <d v="2026-10-12T00:00:00"/>
    <s v="Hues Agreed qty as per SQBL required date"/>
    <m/>
    <s v="Oct"/>
    <d v="2026-10-12T00:00:00"/>
    <m/>
    <m/>
    <m/>
    <m/>
    <m/>
    <m/>
    <m/>
    <m/>
    <m/>
    <m/>
    <s v="456385"/>
    <s v="Sun light 13-0822 tcx"/>
    <n v="160"/>
    <s v="456385160Sun light 13-0822 tcx"/>
    <n v="824.05"/>
    <n v="-16.47"/>
    <n v="0"/>
    <s v=""/>
    <s v=""/>
    <s v=""/>
    <s v=""/>
    <s v=""/>
    <n v="824.05"/>
    <n v="1.02"/>
    <n v="824.05"/>
  </r>
  <r>
    <s v="Hema"/>
    <s v="SQBIR.HEMA.169.FY26-27.1"/>
    <m/>
    <m/>
    <m/>
    <m/>
    <s v=""/>
    <n v="2165"/>
    <s v=" 96% BCI COTTON 4% ELASTANE JERSEY GSM-160 CW-167CM/66INCH "/>
    <s v="14-1307TCX ROSE DUST"/>
    <n v="0"/>
    <n v="794.77300000000002"/>
    <n v="794.77300000000002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15T00:00:00"/>
    <m/>
    <m/>
    <m/>
    <m/>
    <m/>
    <m/>
    <m/>
    <m/>
    <m/>
    <m/>
    <s v="457842"/>
    <s v="Rose Dust 14-1307 TCX"/>
    <n v="160"/>
    <s v="457842160Rose Dust 14-1307 TCX"/>
    <n v="9532.74"/>
    <n v="182.26"/>
    <s v=""/>
    <s v=""/>
    <s v=""/>
    <s v=""/>
    <n v="0"/>
    <s v=""/>
    <n v="9532.74"/>
    <n v="0.98099999999999998"/>
    <s v=""/>
  </r>
  <r>
    <s v="Hema"/>
    <s v="SQBIR.HEMA.184.FY26-27.1"/>
    <m/>
    <m/>
    <m/>
    <m/>
    <s v=""/>
    <n v="2166"/>
    <s v=" 96% BCI COTTON 4% ELASTANE JERSEY GSM-160 CW-167CM/66INCH "/>
    <s v="14-1307TCX ROSE DUST"/>
    <s v=""/>
    <n v="347.233"/>
    <n v="347.233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s v=""/>
    <s v=""/>
    <n v="9532.74"/>
    <n v="0.98099999999999998"/>
    <n v="3805.5940000000001"/>
  </r>
  <r>
    <s v="Hema"/>
    <s v="SQBIR.HEMA.184.FY26-27.2"/>
    <m/>
    <m/>
    <m/>
    <m/>
    <s v=""/>
    <n v="2167"/>
    <s v=" 96% BCI COTTON 4% ELASTANE JERSEY GSM-160 CW-167CM/66INCH "/>
    <s v="14-1307TCX ROSE DUST"/>
    <s v=""/>
    <n v="1.2569999999999999"/>
    <n v="1.2569999999999999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3T00:00:00"/>
    <m/>
    <m/>
    <m/>
    <m/>
    <m/>
    <m/>
    <m/>
    <m/>
    <m/>
    <m/>
    <s v="457842"/>
    <s v="Rose Dust 14-1307 TCX"/>
    <n v="160"/>
    <s v="457842160Rose Dust 14-1307 TCX"/>
    <n v="9532.74"/>
    <n v="182.26"/>
    <s v=""/>
    <n v="5909.4059999999999"/>
    <s v=""/>
    <s v=""/>
    <s v=""/>
    <s v=""/>
    <n v="9532.74"/>
    <n v="0.98099999999999998"/>
    <s v=""/>
  </r>
  <r>
    <s v="Hema"/>
    <s v="SQBIR.HEMA.185.FY26-27.1"/>
    <m/>
    <m/>
    <m/>
    <m/>
    <s v=""/>
    <n v="2168"/>
    <s v=" 96% BCI COTTON 4% ELASTANE JERSEY GSM-160 CW-167CM/66INCH "/>
    <s v="14-1307TCX ROSE DUST"/>
    <s v=""/>
    <n v="542.13900000000001"/>
    <n v="542.13900000000001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n v="0"/>
    <s v=""/>
    <n v="9532.74"/>
    <n v="0.98099999999999998"/>
    <n v="3805.5940000000001"/>
  </r>
  <r>
    <s v="Hema"/>
    <s v="SQBIR.HEMA.186.FY26-27.1"/>
    <m/>
    <m/>
    <m/>
    <m/>
    <s v=""/>
    <n v="2169"/>
    <s v=" 96% BCI COTTON 4% ELASTANE JERSEY GSM-160 CW-167CM/66INCH "/>
    <s v="14-1307TCX ROSE DUST"/>
    <n v="0"/>
    <n v="309.79399999999998"/>
    <n v="309.79399999999998"/>
    <n v="0"/>
    <m/>
    <n v="0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s v=""/>
    <n v="5909.4059999999999"/>
    <s v=""/>
    <s v=""/>
    <s v=""/>
    <s v=""/>
    <n v="9532.74"/>
    <n v="0.98099999999999998"/>
    <s v=""/>
  </r>
  <r>
    <s v="Hema"/>
    <s v="SQBIR.HEMA.187.FY26-27.1"/>
    <m/>
    <m/>
    <m/>
    <m/>
    <s v=""/>
    <n v="2170"/>
    <s v=" 96% BCI COTTON 4% ELASTANE JERSEY GSM-160 CW-167CM/66INCH "/>
    <s v="14-1307TCX ROSE DUST"/>
    <s v=""/>
    <n v="309.79399999999998"/>
    <n v="127.53400000000001"/>
    <n v="-182.26"/>
    <m/>
    <n v="-182.26"/>
    <n v="457842"/>
    <s v="Solid"/>
    <x v="0"/>
    <d v="2026-10-05T00:00:00"/>
    <s v="2nd Oct-2.5k mtr_x000a_5th Oct-2.5k mtr"/>
    <s v="Hues Agreed qty as per SQBL required date"/>
    <m/>
    <s v="Oct"/>
    <d v="2026-10-01T00:00:00"/>
    <m/>
    <m/>
    <m/>
    <m/>
    <m/>
    <m/>
    <m/>
    <m/>
    <m/>
    <m/>
    <s v="457842"/>
    <s v="Rose Dust 14-1307 TCX"/>
    <n v="160"/>
    <s v="457842160Rose Dust 14-1307 TCX"/>
    <n v="9532.74"/>
    <n v="182.26"/>
    <n v="5727.1459999999997"/>
    <n v="5909.4059999999999"/>
    <s v=""/>
    <s v=""/>
    <s v=""/>
    <s v=""/>
    <n v="9532.74"/>
    <n v="0.98099999999999998"/>
    <n v="3805.5940000000001"/>
  </r>
  <r>
    <s v="Hema"/>
    <s v="SQBIR.HEMA.184.FY26-27.1"/>
    <m/>
    <m/>
    <m/>
    <m/>
    <s v=""/>
    <n v="2171"/>
    <s v=" 96% BCI COTTON 4% ELASTANE JERSEY GSM-160 CW-167CM/66INCH "/>
    <s v="Bark 16-1506TCX"/>
    <n v="-115.77666666666666"/>
    <n v="347.33"/>
    <m/>
    <n v="-347.33"/>
    <m/>
    <n v="-347.33"/>
    <n v="457842"/>
    <s v="Solid"/>
    <x v="55"/>
    <d v="2026-10-09T00:00:00"/>
    <s v="2nd Oct-700 mtr_x000a_5th Oct-2k mtr_x000a_7th Oct-2k mtr_x000a_9th Oct-balance full_x000a_"/>
    <s v="Hues Agreed qty as per SQBL required date"/>
    <m/>
    <s v="Oct"/>
    <d v="2026-10-01T00:00:00"/>
    <m/>
    <m/>
    <m/>
    <m/>
    <m/>
    <m/>
    <m/>
    <s v="OTT CHNG"/>
    <m/>
    <m/>
    <s v="457842"/>
    <s v="Bark 16-1506 tcx"/>
    <n v="160"/>
    <s v="457842160Bark 16-1506 tcx"/>
    <n v="9181"/>
    <n v="539"/>
    <s v=""/>
    <n v="6711.1980000000012"/>
    <s v=""/>
    <s v=""/>
    <n v="347.33"/>
    <s v=""/>
    <n v="9181"/>
    <n v="0.94499999999999995"/>
    <s v=""/>
  </r>
  <r>
    <s v="Hema"/>
    <s v="SQBIR.HEMA.294.FY26-27.1"/>
    <m/>
    <m/>
    <m/>
    <m/>
    <s v=""/>
    <n v="2172"/>
    <s v=" 96% BCI COTTON 4% ELASTANE JERSEY GSM-160 CW-167CM/66INCH "/>
    <s v="Black Onyx"/>
    <n v="-328.73533333333336"/>
    <n v="986.20600000000002"/>
    <m/>
    <n v="-986.20600000000002"/>
    <m/>
    <n v="-986.20600000000002"/>
    <n v="454616"/>
    <s v="Solid"/>
    <x v="27"/>
    <d v="2026-10-17T00:00:00"/>
    <s v="16th Oct-2k mtr_x000a_17th Oct- balance full"/>
    <s v="Hues Agreed qty as per SQBL required date"/>
    <m/>
    <s v="Oct"/>
    <d v="2026-10-15T00:00:00"/>
    <m/>
    <m/>
    <m/>
    <m/>
    <m/>
    <m/>
    <m/>
    <m/>
    <m/>
    <m/>
    <s v="454616"/>
    <s v="Black Onyx (19-4003 TCX)"/>
    <n v="160"/>
    <s v="454616160Black Onyx (19-4003 TCX)"/>
    <n v="2568.8000000000002"/>
    <n v="9587.2000000000007"/>
    <n v="0"/>
    <n v="3074.8760000000002"/>
    <s v=""/>
    <s v=""/>
    <s v=""/>
    <s v=""/>
    <n v="2568.8000000000002"/>
    <n v="0.21099999999999999"/>
    <n v="2568.8000000000002"/>
  </r>
  <r>
    <s v="Hema"/>
    <s v="SQBIR.HEMA.331.FY26-27.2"/>
    <m/>
    <m/>
    <m/>
    <m/>
    <s v=""/>
    <n v="2175"/>
    <s v=" 96% ORGANIC COTTON 4% ELASTANE JERSEY GSM-160 CW-167CM/66INCH "/>
    <s v="Bright White"/>
    <n v="-500"/>
    <n v="1500"/>
    <m/>
    <n v="-1500"/>
    <m/>
    <n v="-1500"/>
    <n v="463403"/>
    <s v="Solid"/>
    <x v="25"/>
    <d v="2026-10-15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s v=""/>
    <s v=""/>
    <s v=""/>
    <s v=""/>
    <n v="1500"/>
    <s v=""/>
    <n v="0"/>
    <n v="0"/>
    <s v=""/>
  </r>
  <r>
    <s v="Hema"/>
    <s v="SQBIR.HEMA.331.FY26-27.2"/>
    <m/>
    <m/>
    <m/>
    <m/>
    <s v=""/>
    <n v="2175"/>
    <s v=" 96% ORGANIC COTTON 4% ELASTANE JERSEY GSM-160 CW-167CM/66INCH "/>
    <s v="Bright White"/>
    <n v="-229.71400000000003"/>
    <n v="689.14200000000005"/>
    <m/>
    <n v="-689.14200000000005"/>
    <m/>
    <n v="-689.14200000000005"/>
    <n v="463403"/>
    <s v="Solid"/>
    <x v="26"/>
    <d v="2026-10-16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s v=""/>
    <s v=""/>
    <n v="689.14200000000005"/>
    <s v=""/>
    <n v="0"/>
    <n v="0"/>
    <n v="0"/>
  </r>
  <r>
    <s v="Hema"/>
    <s v="SQBIR.HEMA.215.FY26-27.2"/>
    <m/>
    <m/>
    <m/>
    <m/>
    <s v=""/>
    <n v="2176"/>
    <s v=" 96% ORGANIC COTTON 4% ELASTANE JERSEY GSM-160 CW-167CM/66INCH "/>
    <s v="Bright White"/>
    <n v="-270.286"/>
    <n v="810.85799999999995"/>
    <m/>
    <n v="-810.85799999999995"/>
    <m/>
    <n v="-810.85799999999995"/>
    <n v="463403"/>
    <s v="Solid"/>
    <x v="26"/>
    <d v="2026-10-16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s v=""/>
    <s v=""/>
    <s v=""/>
    <n v="810.85799999999995"/>
    <s v=""/>
    <n v="0"/>
    <n v="0"/>
    <n v="0"/>
  </r>
  <r>
    <s v="Hema"/>
    <s v="SQBIR.HEMA.215.FY26-27.2"/>
    <m/>
    <m/>
    <m/>
    <m/>
    <s v=""/>
    <n v="2176"/>
    <s v=" 96% ORGANIC COTTON 4% ELASTANE JERSEY GSM-160 CW-167CM/66INCH "/>
    <s v="Bright White"/>
    <s v=""/>
    <n v="116.041"/>
    <m/>
    <n v="-116.041"/>
    <m/>
    <n v="-116.041"/>
    <n v="463403"/>
    <s v="Solid"/>
    <x v="27"/>
    <d v="2026-10-17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s v=""/>
    <s v=""/>
    <s v=""/>
    <s v=""/>
    <n v="0"/>
    <n v="0"/>
    <n v="0"/>
  </r>
  <r>
    <s v="Hema"/>
    <s v="SQBIR.HEMA.136.FY26-27.1"/>
    <m/>
    <m/>
    <m/>
    <m/>
    <s v=""/>
    <n v="2177"/>
    <s v=" 96% ORGANIC COTTON 4% ELASTANE JERSEY GSM-160 CW-167CM/66INCH "/>
    <s v="Bright White"/>
    <s v=""/>
    <n v="1383.9590000000001"/>
    <m/>
    <n v="-1383.9590000000001"/>
    <m/>
    <n v="-1383.9590000000001"/>
    <n v="463403"/>
    <s v="Solid"/>
    <x v="27"/>
    <d v="2026-10-17T00:00:00"/>
    <s v="(15th-20th Oct)- 1.5k mtr/day"/>
    <s v="Hues Agreed qty as per SQBL required date"/>
    <m/>
    <s v="Oct"/>
    <d v="2026-10-05T00:00:00"/>
    <m/>
    <m/>
    <m/>
    <m/>
    <m/>
    <m/>
    <m/>
    <m/>
    <m/>
    <m/>
    <s v="463403"/>
    <s v="Bright White (11-0601 TCX)"/>
    <n v="160"/>
    <s v="463403160Bright White (11-0601 TCX)"/>
    <n v="0"/>
    <s v="#NA"/>
    <s v=""/>
    <s v=""/>
    <s v=""/>
    <s v=""/>
    <s v=""/>
    <s v=""/>
    <n v="0"/>
    <n v="0"/>
    <s v=""/>
  </r>
  <r>
    <s v="Hema"/>
    <s v="SQBIR.HEMA.136.FY26-27.1"/>
    <m/>
    <m/>
    <m/>
    <m/>
    <s v=""/>
    <n v="2177"/>
    <s v=" 96% ORGANIC COTTON 4% ELASTANE JERSEY GSM-160 CW-167CM/66INCH "/>
    <s v="Bright White"/>
    <s v=""/>
    <n v="946.80600000000004"/>
    <m/>
    <n v="-946.80600000000004"/>
    <m/>
    <n v="-946.80600000000004"/>
    <n v="463403"/>
    <s v="Solid"/>
    <x v="28"/>
    <d v="2026-10-18T00:00:00"/>
    <s v="(15th-20th Oct)- 1.5k mtr/day"/>
    <s v="Hues Agreed qty as per SQBL required date"/>
    <m/>
    <s v="Oct"/>
    <d v="2026-10-05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s v=""/>
    <s v=""/>
    <s v=""/>
    <s v=""/>
    <n v="0"/>
    <n v="0"/>
    <n v="0"/>
  </r>
  <r>
    <s v="Hema"/>
    <s v="SQBIR.HEMA.129.FY26-27.1"/>
    <m/>
    <m/>
    <m/>
    <m/>
    <s v=""/>
    <n v="2178"/>
    <s v=" 96% ORGANIC COTTON 4% ELASTANE JERSEY GSM-160 CW-167CM/66INCH "/>
    <s v="Bright White"/>
    <n v="-184.398"/>
    <n v="553.19399999999996"/>
    <m/>
    <n v="-553.19399999999996"/>
    <m/>
    <n v="-553.19399999999996"/>
    <n v="463403"/>
    <s v="Solid"/>
    <x v="28"/>
    <d v="2026-10-18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s v=""/>
    <s v=""/>
    <s v=""/>
    <s v=""/>
    <n v="553.19399999999996"/>
    <s v=""/>
    <n v="0"/>
    <n v="0"/>
    <s v=""/>
  </r>
  <r>
    <s v="Hema"/>
    <s v="SQBIR.HEMA.129.FY26-27.1"/>
    <m/>
    <m/>
    <m/>
    <m/>
    <s v=""/>
    <n v="2178"/>
    <s v=" 96% ORGANIC COTTON 4% ELASTANE JERSEY GSM-160 CW-167CM/66INCH "/>
    <s v="Bright White"/>
    <n v="-356.66666666666669"/>
    <n v="1070"/>
    <m/>
    <n v="-1070"/>
    <m/>
    <n v="-1070"/>
    <n v="463403"/>
    <s v="Solid"/>
    <x v="30"/>
    <d v="2026-10-19T00:00:00"/>
    <s v="(15th-20th Oct)- 1.5k mtr/day"/>
    <s v="Hues Agreed qty as per SQBL required date"/>
    <m/>
    <s v="Oct"/>
    <d v="2026-10-01T00:00:00"/>
    <m/>
    <m/>
    <m/>
    <m/>
    <m/>
    <m/>
    <m/>
    <m/>
    <m/>
    <m/>
    <s v="463403"/>
    <s v="Bright White (11-0601 TCX)"/>
    <n v="160"/>
    <s v="463403160Bright White (11-0601 TCX)"/>
    <n v="0"/>
    <s v="#NA"/>
    <n v="0"/>
    <n v="7070"/>
    <s v=""/>
    <s v=""/>
    <s v=""/>
    <s v=""/>
    <n v="0"/>
    <n v="0"/>
    <n v="0"/>
  </r>
  <r>
    <s v="Hema"/>
    <s v="SQBIR.HEMA.365.FY26-27.2"/>
    <m/>
    <m/>
    <m/>
    <m/>
    <s v=""/>
    <n v="2179"/>
    <s v=" 96% ORGANIC COTTON 4% ELASTANE JERSEY GSM-160 CW-167CM/66INCH "/>
    <s v="Black Onyx"/>
    <s v=""/>
    <n v="1900"/>
    <n v="1811.31"/>
    <n v="-88.690000000000055"/>
    <m/>
    <n v="-88.690000000000055"/>
    <n v="463403"/>
    <s v="Solid"/>
    <x v="25"/>
    <d v="2026-10-15T00:00:00"/>
    <d v="2026-10-15T00:00:00"/>
    <s v="Hues Agreed qty as per SQBL required date"/>
    <m/>
    <s v="Oct"/>
    <d v="2026-10-01T00:00:00"/>
    <m/>
    <m/>
    <m/>
    <m/>
    <m/>
    <m/>
    <m/>
    <m/>
    <m/>
    <m/>
    <s v="463403"/>
    <s v="Black Onyx (19-4003 TCX)"/>
    <n v="160"/>
    <s v="463403160Black Onyx (19-4003 TCX)"/>
    <n v="1811.31"/>
    <n v="88.69"/>
    <s v=""/>
    <n v="1900"/>
    <s v=""/>
    <s v=""/>
    <s v=""/>
    <s v=""/>
    <n v="1811.31"/>
    <n v="0.95299999999999996"/>
    <s v=""/>
  </r>
  <r>
    <s v="Hema"/>
    <s v="SQBIR.HEMA.224.FY26-27.1"/>
    <m/>
    <m/>
    <m/>
    <m/>
    <s v=""/>
    <n v="2180"/>
    <s v=" 96% BCI COTTON 4% ELASTANE JERSEY GSM-160 CW-167CM/66INCH "/>
    <s v="Bark 16-1506TCX"/>
    <n v="0"/>
    <n v="428.4"/>
    <n v="428.4"/>
    <n v="0"/>
    <m/>
    <n v="0"/>
    <n v="459626"/>
    <s v="Solid"/>
    <x v="27"/>
    <d v="2026-10-17T00:00:00"/>
    <d v="2026-10-16T00:00:00"/>
    <s v="Hues Agreed qty as per SQBL required date"/>
    <m/>
    <s v="Oct"/>
    <d v="2026-10-16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s v=""/>
    <s v=""/>
    <s v=""/>
    <s v=""/>
    <n v="2840.99"/>
    <n v="0.999"/>
    <n v="452.58299999999963"/>
  </r>
  <r>
    <s v="Hema"/>
    <s v="SQBIR.HEMA.203.FY26-27.1"/>
    <m/>
    <m/>
    <m/>
    <m/>
    <s v=""/>
    <n v="2181"/>
    <s v=" 96% BCI COTTON 4% ELASTANE JERSEY GSM-160 CW-167CM/66INCH "/>
    <s v="DARK DENIM 19-4118 TCX"/>
    <n v="-53.186666666666646"/>
    <n v="950.9"/>
    <n v="791.34"/>
    <n v="-159.55999999999995"/>
    <m/>
    <n v="-159.55999999999995"/>
    <n v="459626"/>
    <s v="Solid"/>
    <x v="56"/>
    <d v="2026-10-08T00:00:00"/>
    <d v="2026-10-08T00:00:00"/>
    <s v="Hues Agreed qty as per SQBL required date"/>
    <m/>
    <s v="Oct"/>
    <d v="2026-10-08T00:00:00"/>
    <m/>
    <m/>
    <m/>
    <m/>
    <m/>
    <m/>
    <m/>
    <m/>
    <m/>
    <m/>
    <s v="459626"/>
    <s v="Dark Denim 19-4118 tcx"/>
    <n v="160"/>
    <s v="459626160Dark Denim 19-4118 tcx"/>
    <n v="6152"/>
    <n v="163"/>
    <n v="1570.258"/>
    <n v="1733.258"/>
    <s v=""/>
    <s v=""/>
    <n v="159.55999999999995"/>
    <s v=""/>
    <n v="6152"/>
    <n v="0.97399999999999998"/>
    <n v="4581.7420000000002"/>
  </r>
  <r>
    <s v="Hema"/>
    <s v="SQBIR.HEMA.203.FY26-27.2"/>
    <m/>
    <m/>
    <m/>
    <m/>
    <s v=""/>
    <n v="2182"/>
    <s v=" 96% BCI COTTON 4% ELASTANE JERSEY GSM-160 CW-167CM/66INCH "/>
    <s v="DARK DENIM 19-4118 TCX"/>
    <n v="-1.1466666666666667"/>
    <n v="3.44"/>
    <m/>
    <n v="-3.44"/>
    <m/>
    <n v="-3.44"/>
    <n v="459626"/>
    <s v="Solid"/>
    <x v="56"/>
    <d v="2026-10-08T00:00:00"/>
    <d v="2026-10-08T00:00:00"/>
    <s v="Hues Agreed qty as per SQBL required date"/>
    <m/>
    <s v="Oct"/>
    <d v="2026-10-11T00:00:00"/>
    <m/>
    <m/>
    <m/>
    <m/>
    <m/>
    <m/>
    <m/>
    <m/>
    <m/>
    <m/>
    <s v="459626"/>
    <s v="Dark Denim 19-4118 tcx"/>
    <n v="160"/>
    <s v="459626160Dark Denim 19-4118 tcx"/>
    <n v="6152"/>
    <n v="163"/>
    <s v=""/>
    <s v=""/>
    <s v=""/>
    <s v=""/>
    <n v="3.44"/>
    <s v=""/>
    <n v="6152"/>
    <n v="0.97399999999999998"/>
    <s v=""/>
  </r>
  <r>
    <s v="Hema"/>
    <s v="SQBIR.HEMA.378.FY26-27.1"/>
    <m/>
    <m/>
    <m/>
    <m/>
    <s v=""/>
    <n v="2183"/>
    <s v=" 95% LENZING MODAL 5% ELASTANE JERSEY GSM-165 CW-167CM/66INCH "/>
    <s v="MANGANO CALCITE-13-1501-TCX"/>
    <n v="0"/>
    <n v="93.58"/>
    <n v="93.58"/>
    <n v="0"/>
    <m/>
    <n v="0"/>
    <n v="454597"/>
    <s v="Solid"/>
    <x v="26"/>
    <d v="2026-10-16T00:00:00"/>
    <d v="2026-10-15T00:00:00"/>
    <s v="Hues Agreed qty as per SQBL required date"/>
    <m/>
    <s v="Oct"/>
    <d v="2026-10-14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s v=""/>
    <s v=""/>
    <s v=""/>
    <n v="0"/>
    <s v=""/>
    <n v="1149"/>
    <n v="1.0640000000000001"/>
    <n v="681.31200000000013"/>
  </r>
  <r>
    <s v="Hema"/>
    <s v="SQBIR.HEMA.378.FY26-27.2"/>
    <m/>
    <m/>
    <m/>
    <m/>
    <s v=""/>
    <n v="2184"/>
    <s v=" 95% LENZING MODAL 5% ELASTANE JERSEY GSM-165 CW-167CM/66INCH "/>
    <s v="MANGANO CALCITE-13-1501-TCX"/>
    <s v=""/>
    <n v="2.5630000000000002"/>
    <n v="2.5630000000000002"/>
    <n v="0"/>
    <m/>
    <n v="0"/>
    <n v="454597"/>
    <s v="Solid"/>
    <x v="26"/>
    <d v="2026-10-16T00:00:00"/>
    <d v="2026-10-15T00:00:00"/>
    <s v="Hues Agreed qty as per SQBL required date"/>
    <m/>
    <s v="Oct"/>
    <d v="2026-10-15T00:00:00"/>
    <m/>
    <m/>
    <m/>
    <m/>
    <m/>
    <m/>
    <m/>
    <m/>
    <m/>
    <m/>
    <s v="454597"/>
    <s v="Mangano Calcite 13-1501 TCX"/>
    <n v="165"/>
    <s v="454597165Mangano Calcite 13-1501 TCX"/>
    <n v="1149"/>
    <n v="-69"/>
    <n v="467.68799999999993"/>
    <s v=""/>
    <s v=""/>
    <s v=""/>
    <s v=""/>
    <s v=""/>
    <n v="1149"/>
    <n v="1.0640000000000001"/>
    <n v="681.31200000000013"/>
  </r>
  <r>
    <s v="Hema"/>
    <s v="SQBIR.HEMA.203.FY26-27.1"/>
    <m/>
    <m/>
    <m/>
    <m/>
    <s v=""/>
    <n v="2185"/>
    <s v=" 96% BCI COTTON 4% ELASTANE JERSEY GSM-160 CW-167CM/66INCH "/>
    <s v="Gardenia 11-0604 TCX"/>
    <s v=""/>
    <n v="78.188000000000002"/>
    <n v="78.188000000000002"/>
    <n v="0"/>
    <m/>
    <n v="0"/>
    <n v="457876"/>
    <s v="Solid"/>
    <x v="52"/>
    <d v="2026-10-02T00:00:00"/>
    <d v="2026-10-01T00:00:00"/>
    <s v="Hues Agreed qty as per SQBL required date"/>
    <m/>
    <s v="Oct"/>
    <d v="2026-10-08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s v=""/>
    <s v=""/>
    <n v="0"/>
    <s v=""/>
    <n v="1264.17"/>
    <n v="1.0189999999999999"/>
    <n v="824.95900000000017"/>
  </r>
  <r>
    <s v="Hema"/>
    <s v="SQBIR.HEMA.203.FY26-27.2"/>
    <m/>
    <m/>
    <m/>
    <m/>
    <s v=""/>
    <n v="2186"/>
    <s v=" 96% BCI COTTON 4% ELASTANE JERSEY GSM-160 CW-167CM/66INCH "/>
    <s v="Gardenia 11-0604 TCX"/>
    <s v=""/>
    <n v="0.28199999999999997"/>
    <n v="0.28199999999999997"/>
    <n v="0"/>
    <m/>
    <n v="0"/>
    <n v="457876"/>
    <s v="Solid"/>
    <x v="52"/>
    <d v="2026-10-02T00:00:00"/>
    <d v="2026-10-01T00:00:00"/>
    <s v="Hues Agreed qty as per SQBL required date"/>
    <m/>
    <s v="Oct"/>
    <d v="2026-10-11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s v=""/>
    <s v=""/>
    <s v=""/>
    <s v=""/>
    <n v="1264.17"/>
    <n v="1.0189999999999999"/>
    <n v="824.95900000000017"/>
  </r>
  <r>
    <s v="Hema"/>
    <s v="SQBIR.HEMA.227.FY26-27.1"/>
    <m/>
    <m/>
    <m/>
    <m/>
    <s v=""/>
    <n v="2187"/>
    <s v=" 96% BCI COTTON 4% ELASTANE JERSEY GSM-160 CW-167CM/66INCH "/>
    <s v="Gardenia 11-0604 TCX"/>
    <s v=""/>
    <n v="78.188999999999993"/>
    <n v="78.188999999999993"/>
    <n v="0"/>
    <m/>
    <n v="0"/>
    <n v="457876"/>
    <s v="Solid"/>
    <x v="52"/>
    <d v="2026-10-02T00:00:00"/>
    <d v="2026-10-01T00:00:00"/>
    <s v="Hues Agreed qty as per SQBL required date"/>
    <m/>
    <s v="Oct"/>
    <d v="2026-10-12T00:00:00"/>
    <m/>
    <m/>
    <m/>
    <m/>
    <m/>
    <m/>
    <m/>
    <m/>
    <m/>
    <m/>
    <s v="457876"/>
    <s v="Gardenia 11-0604 TCX"/>
    <n v="160"/>
    <s v="457876160Gardenia 11-0604 TCX"/>
    <n v="1264.17"/>
    <n v="-24.17"/>
    <n v="439.2109999999999"/>
    <n v="439.2109999999999"/>
    <s v=""/>
    <s v=""/>
    <n v="0"/>
    <s v=""/>
    <n v="1264.17"/>
    <n v="1.0189999999999999"/>
    <n v="824.95900000000017"/>
  </r>
  <r>
    <s v="Hema"/>
    <s v="SQBIR.HEMA.221.FY26-27.1"/>
    <m/>
    <m/>
    <m/>
    <m/>
    <s v=""/>
    <n v="2188"/>
    <s v=" 96% BCI COTTON 4% ELASTANE JERSEY GSM-160 CW-167CM/66INCH "/>
    <s v="Bark 16-1506TCX"/>
    <s v=""/>
    <n v="779.26599999999996"/>
    <n v="779.26599999999996"/>
    <n v="0"/>
    <m/>
    <n v="0"/>
    <n v="459626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9626"/>
    <s v="Bark 16-1506 tcx"/>
    <n v="160"/>
    <s v="459626160Bark 16-1506 tcx"/>
    <n v="2840.99"/>
    <n v="4.01"/>
    <s v=""/>
    <n v="2388.4070000000002"/>
    <s v=""/>
    <s v=""/>
    <n v="0"/>
    <s v=""/>
    <n v="2840.99"/>
    <n v="0.999"/>
    <s v=""/>
  </r>
  <r>
    <s v="Hema"/>
    <s v="SQBIR.HEMA.221.FY26-27.2"/>
    <m/>
    <m/>
    <m/>
    <m/>
    <s v=""/>
    <n v="2189"/>
    <s v=" 96% BCI COTTON 4% ELASTANE JERSEY GSM-160 CW-167CM/66INCH "/>
    <s v="Bark 16-1506TCX"/>
    <n v="0"/>
    <n v="2.819"/>
    <n v="2.819"/>
    <n v="0"/>
    <m/>
    <n v="0"/>
    <n v="459626"/>
    <s v="Solid"/>
    <x v="54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9626"/>
    <s v="Bark 16-1506 tcx"/>
    <n v="160"/>
    <s v="459626160Bark 16-1506 tcx"/>
    <n v="2840.99"/>
    <n v="4.01"/>
    <s v=""/>
    <s v=""/>
    <s v=""/>
    <s v=""/>
    <s v=""/>
    <s v=""/>
    <n v="2840.99"/>
    <n v="0.999"/>
    <s v=""/>
  </r>
  <r>
    <s v="Hema"/>
    <s v="SQBIR.HEMA.222.FY26-27.1"/>
    <m/>
    <m/>
    <m/>
    <m/>
    <s v=""/>
    <n v="2190"/>
    <s v=" 96% BCI COTTON 4% ELASTANE JERSEY GSM-160 CW-167CM/66INCH "/>
    <s v="Bark 16-1506TCX"/>
    <s v=""/>
    <n v="749.52200000000005"/>
    <n v="749.52200000000005"/>
    <n v="0"/>
    <m/>
    <n v="0"/>
    <n v="459626"/>
    <s v="Solid"/>
    <x v="54"/>
    <d v="2026-10-10T00:00:00"/>
    <d v="2026-10-09T00:00:00"/>
    <s v="Hues Agreed qty as per SQBL required date"/>
    <m/>
    <s v="Oct"/>
    <d v="2026-10-09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n v="2388.4070000000002"/>
    <s v=""/>
    <s v=""/>
    <s v=""/>
    <s v=""/>
    <n v="2840.99"/>
    <n v="0.999"/>
    <n v="452.58299999999963"/>
  </r>
  <r>
    <s v="Hema"/>
    <s v="SQBIR.HEMA.223.FY26-27.1"/>
    <m/>
    <m/>
    <m/>
    <m/>
    <s v=""/>
    <n v="2191"/>
    <s v=" 96% BCI COTTON 4% ELASTANE JERSEY GSM-160 CW-167CM/66INCH "/>
    <s v="Bark 16-1506TCX"/>
    <n v="0"/>
    <n v="428.4"/>
    <n v="428.4"/>
    <n v="0"/>
    <m/>
    <n v="0"/>
    <n v="459626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9626"/>
    <s v="Bark 16-1506 tcx"/>
    <n v="160"/>
    <s v="459626160Bark 16-1506 tcx"/>
    <n v="2840.99"/>
    <n v="4.01"/>
    <n v="2388.4070000000002"/>
    <s v=""/>
    <s v=""/>
    <s v=""/>
    <s v=""/>
    <s v=""/>
    <n v="2840.99"/>
    <n v="0.999"/>
    <n v="452.58299999999963"/>
  </r>
  <r>
    <s v="Hema"/>
    <s v="SQBIR.HEMA.379.FY25-26.2"/>
    <m/>
    <m/>
    <m/>
    <m/>
    <s v=""/>
    <n v="2192"/>
    <s v="95% BCI Cotton 5% Elastane S/J 160GSM CW 66in"/>
    <s v="Black Onyx"/>
    <s v=""/>
    <n v="3000"/>
    <n v="3000"/>
    <n v="0"/>
    <m/>
    <n v="0"/>
    <n v="453667"/>
    <s v="Solid"/>
    <x v="34"/>
    <d v="2026-10-09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4692.98"/>
    <n v="30307.01"/>
    <n v="6000"/>
    <n v="15448.451999999999"/>
    <s v=""/>
    <s v=""/>
    <s v=""/>
    <s v=""/>
    <n v="22887.69"/>
    <n v="0.91"/>
    <n v="48692.98"/>
  </r>
  <r>
    <s v="Hema"/>
    <s v="SQBIR.HEMA.379.FY25-26.2"/>
    <m/>
    <m/>
    <m/>
    <m/>
    <s v=""/>
    <n v="2192"/>
    <s v="95% BCI Cotton 5% Elastane S/J 160GSM CW 66in"/>
    <s v="Black Onyx"/>
    <n v="-1000"/>
    <n v="3000"/>
    <m/>
    <n v="-3000"/>
    <m/>
    <n v="-3000"/>
    <n v="453667"/>
    <s v="Solid"/>
    <x v="54"/>
    <d v="2026-10-10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4692.98"/>
    <n v="30307.01"/>
    <s v=""/>
    <s v=""/>
    <s v=""/>
    <s v=""/>
    <s v=""/>
    <s v=""/>
    <n v="22887.69"/>
    <n v="0.91"/>
    <s v=""/>
  </r>
  <r>
    <s v="Hema"/>
    <s v="SQBIR.HEMA.379.FY25-26.2"/>
    <m/>
    <m/>
    <m/>
    <m/>
    <s v=""/>
    <n v="2192"/>
    <s v="95% BCI Cotton 5% Elastane S/J 160GSM CW 66in"/>
    <s v="Black Onyx"/>
    <s v=""/>
    <n v="3000"/>
    <m/>
    <n v="-3000"/>
    <m/>
    <n v="-3000"/>
    <n v="453667"/>
    <s v="Solid"/>
    <x v="53"/>
    <d v="2026-10-12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4692.98"/>
    <n v="30307.01"/>
    <n v="6000"/>
    <s v=""/>
    <s v=""/>
    <s v=""/>
    <s v=""/>
    <s v=""/>
    <n v="22887.69"/>
    <n v="0.91"/>
    <n v="48692.98"/>
  </r>
  <r>
    <s v="Hema"/>
    <s v="SQBIR.HEMA.379.FY25-26.2"/>
    <m/>
    <m/>
    <m/>
    <m/>
    <s v=""/>
    <n v="2192"/>
    <s v="95% BCI Cotton 5% Elastane S/J 160GSM CW 66in"/>
    <s v="Black Onyx"/>
    <s v=""/>
    <n v="3000"/>
    <n v="3000"/>
    <n v="0"/>
    <m/>
    <n v="0"/>
    <n v="453667"/>
    <s v="Solid"/>
    <x v="34"/>
    <d v="2026-10-13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4692.98"/>
    <n v="30307.01"/>
    <n v="6000"/>
    <n v="15448.451999999999"/>
    <s v=""/>
    <s v=""/>
    <s v=""/>
    <s v=""/>
    <n v="22887.69"/>
    <n v="0.91"/>
    <n v="48692.98"/>
  </r>
  <r>
    <s v="Hema"/>
    <s v="SQBIR.HEMA.379.FY25-26.2"/>
    <m/>
    <m/>
    <m/>
    <m/>
    <s v=""/>
    <n v="2192"/>
    <s v="95% BCI Cotton 5% Elastane S/J 160GSM CW 66in"/>
    <s v="Black Onyx"/>
    <s v=""/>
    <n v="3000"/>
    <m/>
    <n v="-3000"/>
    <m/>
    <n v="-3000"/>
    <n v="453667"/>
    <s v="Solid"/>
    <x v="25"/>
    <d v="2026-10-15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4692.98"/>
    <n v="30307.01"/>
    <s v=""/>
    <n v="15448.451999999999"/>
    <s v=""/>
    <s v=""/>
    <n v="3000"/>
    <s v=""/>
    <n v="22887.69"/>
    <n v="0.91"/>
    <s v=""/>
  </r>
  <r>
    <s v="Hema"/>
    <s v="SQBIR.HEMA.379.FY25-26.2"/>
    <m/>
    <m/>
    <m/>
    <m/>
    <s v=""/>
    <n v="2192"/>
    <s v="95% BCI Cotton 5% Elastane S/J 160GSM CW 66in"/>
    <s v="Black Onyx"/>
    <s v=""/>
    <n v="448.452"/>
    <m/>
    <n v="-448.452"/>
    <m/>
    <n v="-448.452"/>
    <n v="453667"/>
    <s v="Solid"/>
    <x v="26"/>
    <d v="2026-10-16T00:00:00"/>
    <s v="9th Oct-3000 mtr_x000a_10th Oct-3000 mtr_x000a_12th Oct-3000 mtr_x000a_13th Oct-3000 mtr_x000a_15th Oct-3000 mtr_x000a_16th Oct-3000 mtr"/>
    <s v="Hues Agreed qty as per SQBL required date"/>
    <m/>
    <s v="Oct"/>
    <d v="2026-10-09T00:00:00"/>
    <m/>
    <m/>
    <m/>
    <m/>
    <m/>
    <m/>
    <m/>
    <m/>
    <m/>
    <m/>
    <s v="453667"/>
    <s v="Black Onyx 19-4003 Tcx"/>
    <n v="160"/>
    <s v="453667160Black Onyx 19-4003 Tcx"/>
    <n v="54692.98"/>
    <n v="30307.01"/>
    <n v="6000"/>
    <n v="15448.451999999999"/>
    <s v=""/>
    <s v=""/>
    <n v="448.452"/>
    <s v=""/>
    <n v="22887.69"/>
    <n v="0.91"/>
    <n v="48692.98"/>
  </r>
  <r>
    <s v="Hema"/>
    <s v="SQBIR.HEMA.391.FY25-26.2"/>
    <m/>
    <m/>
    <m/>
    <m/>
    <s v=""/>
    <n v="2193"/>
    <s v="95% BCI Cotton 5% Elastane S/J 160GSM CW 66in"/>
    <s v="Bark 16-1506TCX"/>
    <s v=""/>
    <n v="0"/>
    <n v="0"/>
    <n v="0"/>
    <m/>
    <n v="0"/>
    <n v="453667"/>
    <s v="Solid"/>
    <x v="55"/>
    <d v="2026-10-14T00:00:00"/>
    <d v="2026-10-14T00:00:00"/>
    <s v="Hues Agreed qty as per SQBL required date"/>
    <m/>
    <s v="Oct"/>
    <d v="2026-10-14T00:00:00"/>
    <m/>
    <m/>
    <m/>
    <m/>
    <m/>
    <m/>
    <m/>
    <m/>
    <m/>
    <m/>
    <s v="453667"/>
    <s v="Bark 16-1506 tcx"/>
    <n v="160"/>
    <s v="453667160Bark 16-1506 tcx"/>
    <n v="13840"/>
    <n v="-192.95"/>
    <n v="0.155"/>
    <n v="0.155"/>
    <s v=""/>
    <s v=""/>
    <n v="0"/>
    <s v=""/>
    <n v="13840"/>
    <n v="1.014"/>
    <n v="13839.844999999999"/>
  </r>
  <r>
    <s v="Hema"/>
    <s v="SQBIR.HEMA.320.FY26-27.2"/>
    <m/>
    <m/>
    <m/>
    <m/>
    <s v=""/>
    <n v="2194"/>
    <s v=" 96% ORGANIC COTTON 4% ELASTANE JERSEY GSM-160 CW-167CM/66INCH "/>
    <s v="CHRYSANTHEMUM-17-1641-TCX"/>
    <n v="0"/>
    <n v="48.79"/>
    <n v="48.79"/>
    <n v="0"/>
    <m/>
    <n v="0"/>
    <n v="456385"/>
    <s v="Solid"/>
    <x v="3"/>
    <d v="2026-10-04T00:00:00"/>
    <d v="2026-10-03T00:00:00"/>
    <s v="Hues Agreed qty as per SQBL required date"/>
    <m/>
    <s v="Oct"/>
    <d v="2026-10-03T00:00:00"/>
    <m/>
    <m/>
    <m/>
    <m/>
    <m/>
    <m/>
    <m/>
    <m/>
    <m/>
    <m/>
    <s v="456385"/>
    <s v="CHRYSANTHEMUM 17-1641 TCX"/>
    <n v="160"/>
    <s v="456385160CHRYSANTHEMUM 17-1641 TCX"/>
    <n v="814"/>
    <n v="-1.69"/>
    <n v="230.93800000000002"/>
    <s v=""/>
    <s v=""/>
    <s v=""/>
    <n v="0"/>
    <s v=""/>
    <n v="814"/>
    <n v="1.002"/>
    <n v="583.06200000000001"/>
  </r>
  <r>
    <s v="Hema"/>
    <s v="SQBIR.HEMA.325.FY26-27.2"/>
    <m/>
    <m/>
    <m/>
    <m/>
    <s v=""/>
    <n v="2201"/>
    <s v=" 96% ORGANIC COTTON 4% ELASTANE JERSEY GSM-160 CW-167CM/66INCH "/>
    <s v="MANGANO CALCITE-13-1501-TCX"/>
    <s v=""/>
    <n v="0"/>
    <n v="0"/>
    <n v="0"/>
    <m/>
    <n v="0"/>
    <n v="456385"/>
    <s v="Solid"/>
    <x v="2"/>
    <d v="2026-10-11T00:00:00"/>
    <d v="2026-10-10T00:00:00"/>
    <s v="Hues Agreed qty as per SQBL required date"/>
    <m/>
    <s v="Oct"/>
    <d v="2026-10-10T00:00:00"/>
    <m/>
    <m/>
    <m/>
    <m/>
    <m/>
    <m/>
    <m/>
    <m/>
    <m/>
    <m/>
    <s v="456385"/>
    <s v="Mangano Calcite 13-1501 TCX"/>
    <n v="160"/>
    <s v="456385160Mangano Calcite 13-1501 TCX"/>
    <n v="814"/>
    <n v="-10.98"/>
    <s v=""/>
    <n v="0"/>
    <s v=""/>
    <s v=""/>
    <n v="0"/>
    <s v=""/>
    <n v="814"/>
    <n v="1.014"/>
    <s v=""/>
  </r>
  <r>
    <s v="Hema"/>
    <s v="SQBIR.HEMA.326.FY26-27.1"/>
    <m/>
    <m/>
    <m/>
    <m/>
    <s v=""/>
    <n v="2202"/>
    <s v=" 96% ORGANIC COTTON 4% ELASTANE JERSEY GSM-160 CW-167CM/66INCH "/>
    <s v="MANGANO CALCITE-13-1501-TCX"/>
    <n v="0"/>
    <n v="0"/>
    <n v="0"/>
    <n v="0"/>
    <m/>
    <n v="0"/>
    <n v="456385"/>
    <s v="Solid"/>
    <x v="25"/>
    <d v="2026-10-15T00:00:00"/>
    <d v="2026-10-14T00:00:00"/>
    <s v="Hues Agreed qty as per SQBL required date"/>
    <m/>
    <s v="Oct"/>
    <d v="2026-10-14T00:00:00"/>
    <m/>
    <m/>
    <m/>
    <m/>
    <m/>
    <m/>
    <m/>
    <m/>
    <m/>
    <m/>
    <s v="456385"/>
    <s v="Mangano Calcite 13-1501 TCX"/>
    <n v="160"/>
    <s v="456385160Mangano Calcite 13-1501 TCX"/>
    <n v="814"/>
    <n v="-10.98"/>
    <s v=""/>
    <s v=""/>
    <s v=""/>
    <s v=""/>
    <n v="0"/>
    <s v=""/>
    <n v="814"/>
    <n v="1.014"/>
    <s v=""/>
  </r>
  <r>
    <s v="LIDL"/>
    <s v="SQBIR.LIDLASIAPTELIMIT.082.FY25-26.1"/>
    <m/>
    <m/>
    <m/>
    <m/>
    <s v=""/>
    <n v="2203"/>
    <s v=" 48% LYOCELL 47% CMIA COTTON 5% ELASTANE RIB 2X2 GSM-190 CW-111 CM/44 INCH "/>
    <s v="Micro Chip"/>
    <s v="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s v=""/>
    <s v=""/>
    <n v="41"/>
    <n v="0.22800000000000001"/>
    <n v="-206.79000000000087"/>
  </r>
  <r>
    <s v="LIDL"/>
    <s v="SQBIR.LIDLASIAPTELIMIT.082.FY25-26.1"/>
    <m/>
    <m/>
    <m/>
    <m/>
    <s v=""/>
    <n v="2203"/>
    <s v=" 48% LYOCELL 47% CMIA COTTON 5% ELASTANE RIB 2X2 GSM-190 CW-111 CM/44 INCH "/>
    <s v="Micro Chip"/>
    <s v=""/>
    <n v="2000"/>
    <n v="2000"/>
    <n v="0"/>
    <m/>
    <n v="0"/>
    <s v="438197"/>
    <s v="Solid"/>
    <x v="52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n v="57423.063999999991"/>
    <s v=""/>
    <s v=""/>
    <s v=""/>
    <s v=""/>
    <n v="41"/>
    <n v="0.22800000000000001"/>
    <s v=""/>
  </r>
  <r>
    <s v="LIDL"/>
    <s v="SQBIR.LIDLASIAPTELIMIT.082.FY25-26.1"/>
    <m/>
    <m/>
    <m/>
    <m/>
    <s v=""/>
    <n v="2203"/>
    <s v=" 48% LYOCELL 47% CMIA COTTON 5% ELASTANE RIB 2X2 GSM-190 CW-111 CM/44 INCH "/>
    <s v="Micro Chip"/>
    <s v=""/>
    <n v="186.255"/>
    <n v="186.255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s v=""/>
    <s v=""/>
    <n v="41"/>
    <n v="0.22800000000000001"/>
    <n v="-206.79000000000087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n v="57423.063999999998"/>
    <s v=""/>
    <s v=""/>
    <n v="0"/>
    <s v=""/>
    <n v="56"/>
    <n v="9.2999999999999999E-2"/>
    <s v="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52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n v="0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n v="57423.063999999998"/>
    <s v=""/>
    <s v=""/>
    <n v="0"/>
    <s v=""/>
    <n v="56"/>
    <n v="9.2999999999999999E-2"/>
    <s v="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s v="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s v="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n v="0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54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n v="0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1000"/>
    <n v="-1000"/>
    <m/>
    <n v="-100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s v="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2000"/>
    <n v="0"/>
    <m/>
    <n v="0"/>
    <s v="438197"/>
    <s v="Solid"/>
    <x v="53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s v=""/>
    <s v=""/>
    <s v=""/>
    <n v="0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2000"/>
    <n v="2000"/>
    <n v="0"/>
    <m/>
    <n v="0"/>
    <s v="438197"/>
    <s v="Solid"/>
    <x v="55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n v="0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3"/>
    <m/>
    <m/>
    <m/>
    <m/>
    <s v=""/>
    <n v="2204"/>
    <s v=" 48% LYOCELL 47% CMIA COTTON 5% ELASTANE RIB 2X2 GSM-190 CW-111 CM/44 INCH "/>
    <s v="Coronet Blue"/>
    <n v="0"/>
    <n v="2000"/>
    <n v="2000"/>
    <n v="0"/>
    <m/>
    <n v="0"/>
    <s v="438197"/>
    <s v="Solid"/>
    <x v="29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n v="57423.063999999998"/>
    <s v=""/>
    <s v=""/>
    <s v=""/>
    <s v=""/>
    <n v="56"/>
    <n v="9.2999999999999999E-2"/>
    <s v=""/>
  </r>
  <r>
    <s v="LIDL"/>
    <s v="SQBIR.LIDLASIAPTELIMIT.082.FY25-26.3"/>
    <m/>
    <m/>
    <m/>
    <m/>
    <s v=""/>
    <n v="2204"/>
    <s v=" 48% LYOCELL 47% CMIA COTTON 5% ELASTANE RIB 2X2 GSM-190 CW-111 CM/44 INCH "/>
    <s v="Coronet Blue"/>
    <s v=""/>
    <n v="88.805000000000007"/>
    <m/>
    <n v="-88.805000000000007"/>
    <m/>
    <n v="-88.805000000000007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s v=""/>
    <s v=""/>
    <s v=""/>
    <s v=""/>
    <s v=""/>
    <n v="56"/>
    <n v="9.2999999999999999E-2"/>
    <n v="-11148.349999999999"/>
  </r>
  <r>
    <s v="LIDL"/>
    <s v="SQBIR.LIDLASIAPTELIMIT.082.FY25-26.7"/>
    <m/>
    <m/>
    <m/>
    <m/>
    <s v=""/>
    <n v="2205"/>
    <s v=" 48% LYOCELL 47% CMIA COTTON 5% ELASTANE RIB 2X2 GSM-190 CW-111 CM/44 INCH "/>
    <s v="Micro Chip"/>
    <n v="0"/>
    <n v="1813.7449999999999"/>
    <n v="1813.7449999999999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n v="57423.063999999991"/>
    <s v=""/>
    <s v=""/>
    <n v="0"/>
    <s v=""/>
    <n v="41"/>
    <n v="0.22800000000000001"/>
    <s v=""/>
  </r>
  <r>
    <s v="LIDL"/>
    <s v="SQBIR.LIDLASIAPTELIMIT.082.FY25-26.7"/>
    <m/>
    <m/>
    <m/>
    <m/>
    <s v=""/>
    <n v="2205"/>
    <s v=" 48% LYOCELL 47% CMIA COTTON 5% ELASTANE RIB 2X2 GSM-190 CW-111 CM/44 INCH "/>
    <s v="Micro Chip"/>
    <s v=""/>
    <n v="28.975000000000001"/>
    <n v="28.975000000000001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1.FY25-26.9"/>
    <m/>
    <m/>
    <m/>
    <m/>
    <s v=""/>
    <n v="2206"/>
    <s v=" 48% LYOCELL 47% CMIA COTTON 5% ELASTANE RIB 2X2 GSM-190 CW-111 CM/44 INCH "/>
    <s v="Ultimate Grey"/>
    <n v="0"/>
    <n v="41.88"/>
    <n v="41.88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n v="78737.19200000001"/>
    <s v=""/>
    <s v=""/>
    <n v="0"/>
    <s v=""/>
    <n v="2760.05"/>
    <n v="0.309"/>
    <s v=""/>
  </r>
  <r>
    <s v="LIDL"/>
    <s v="SQBIR.LIDLASIAPTELIMIT.082.FY25-26.6"/>
    <m/>
    <m/>
    <m/>
    <m/>
    <s v=""/>
    <n v="2207"/>
    <s v=" 48% LYOCELL 47% CMIA COTTON 5% ELASTANE RIB 2X2 GSM-190 CW-111 CM/44 INCH "/>
    <s v="Coronet Blue"/>
    <s v=""/>
    <n v="190.20500000000001"/>
    <m/>
    <n v="-190.20500000000001"/>
    <m/>
    <n v="-190.20500000000001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s v=""/>
    <s v=""/>
    <s v=""/>
    <s v=""/>
    <s v=""/>
    <n v="56"/>
    <n v="9.2999999999999999E-2"/>
    <s v=""/>
  </r>
  <r>
    <s v="LIDL"/>
    <s v="SQBIR.LIDLASIAPTELIMIT.082.FY25-26.8"/>
    <m/>
    <m/>
    <m/>
    <m/>
    <s v=""/>
    <n v="2208"/>
    <s v=" 48% LYOCELL 47% CMIA COTTON 5% ELASTANE RIB 2X2 GSM-190 CW-111 CM/44 INCH "/>
    <s v="Sky Captain"/>
    <n v="0"/>
    <n v="455.44499999999999"/>
    <n v="455.44499999999999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1.FY25-26.4"/>
    <m/>
    <m/>
    <m/>
    <m/>
    <s v=""/>
    <n v="2209"/>
    <s v=" 48% LYOCELL 47% CMIA COTTON 5% ELASTANE RIB 2X2 GSM-190 CW-111 CM/44 INCH "/>
    <s v="Tornado"/>
    <s v="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s v=""/>
    <s v=""/>
    <n v="43"/>
    <n v="0.159"/>
    <s v=""/>
  </r>
  <r>
    <s v="LIDL"/>
    <s v="SQBIR.LIDLASIAPTELIMIT.081.FY25-26.4"/>
    <m/>
    <m/>
    <m/>
    <m/>
    <s v=""/>
    <n v="2209"/>
    <s v=" 48% LYOCELL 47% CMIA COTTON 5% ELASTANE RIB 2X2 GSM-190 CW-111 CM/44 INCH "/>
    <s v="Tornado"/>
    <n v="0"/>
    <n v="2000"/>
    <n v="2000"/>
    <n v="0"/>
    <m/>
    <n v="0"/>
    <s v="438197"/>
    <s v="Solid"/>
    <x v="52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s v=""/>
    <s v=""/>
    <s v=""/>
    <n v="0"/>
    <s v=""/>
    <n v="43"/>
    <n v="0.159"/>
    <n v="270.19799999999668"/>
  </r>
  <r>
    <s v="LIDL"/>
    <s v="SQBIR.LIDLASIAPTELIMIT.081.FY25-26.4"/>
    <m/>
    <m/>
    <m/>
    <m/>
    <s v=""/>
    <n v="2209"/>
    <s v=" 48% LYOCELL 47% CMIA COTTON 5% ELASTANE RIB 2X2 GSM-190 CW-111 CM/44 INCH "/>
    <s v="Tornado"/>
    <s v="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n v="0"/>
    <s v=""/>
    <n v="43"/>
    <n v="0.159"/>
    <s v=""/>
  </r>
  <r>
    <s v="LIDL"/>
    <s v="SQBIR.LIDLASIAPTELIMIT.081.FY25-26.4"/>
    <m/>
    <m/>
    <m/>
    <m/>
    <s v=""/>
    <n v="2209"/>
    <s v=" 48% LYOCELL 47% CMIA COTTON 5% ELASTANE RIB 2X2 GSM-190 CW-111 CM/44 INCH "/>
    <s v="Tornado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n v="78779.072000000015"/>
    <s v=""/>
    <s v=""/>
    <n v="0"/>
    <s v=""/>
    <n v="43"/>
    <n v="0.159"/>
    <s v=""/>
  </r>
  <r>
    <s v="LIDL"/>
    <s v="SQBIR.LIDLASIAPTELIMIT.081.FY25-26.4"/>
    <m/>
    <m/>
    <m/>
    <m/>
    <s v=""/>
    <n v="2209"/>
    <s v=" 48% LYOCELL 47% CMIA COTTON 5% ELASTANE RIB 2X2 GSM-190 CW-111 CM/44 INCH "/>
    <s v="Tornado"/>
    <s v="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s v=""/>
    <s v=""/>
    <s v=""/>
    <s v=""/>
    <s v=""/>
    <n v="43"/>
    <n v="0.159"/>
    <n v="270.19799999999668"/>
  </r>
  <r>
    <s v="LIDL"/>
    <s v="SQBIR.LIDLASIAPTELIMIT.081.FY25-26.4"/>
    <m/>
    <m/>
    <m/>
    <m/>
    <s v=""/>
    <n v="2209"/>
    <s v=" 48% LYOCELL 47% CMIA COTTON 5% ELASTANE RIB 2X2 GSM-190 CW-111 CM/44 INCH "/>
    <s v="Tornado"/>
    <n v="0"/>
    <n v="815.16099999999994"/>
    <n v="815.16099999999994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n v="0"/>
    <s v=""/>
    <n v="43"/>
    <n v="0.159"/>
    <s v=""/>
  </r>
  <r>
    <s v="LIDL"/>
    <s v="SQBIR.LIDLASIAPTELIMIT.081.FY25-26.5"/>
    <m/>
    <m/>
    <m/>
    <m/>
    <s v=""/>
    <n v="2210"/>
    <s v=" 48% LYOCELL 47% CMIA COTTON 5% ELASTANE RIB 2X2 GSM-190 CW-111 CM/44 INCH "/>
    <s v="Tornado"/>
    <s v=""/>
    <n v="1184.8389999999999"/>
    <n v="1184.838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s v=""/>
    <s v=""/>
    <n v="43"/>
    <n v="0.159"/>
    <n v="270.19799999999668"/>
  </r>
  <r>
    <s v="LIDL"/>
    <s v="SQBIR.LIDLASIAPTELIMIT.081.FY25-26.5"/>
    <m/>
    <m/>
    <m/>
    <m/>
    <s v=""/>
    <n v="2210"/>
    <s v=" 48% LYOCELL 47% CMIA COTTON 5% ELASTANE RIB 2X2 GSM-190 CW-111 CM/44 INCH "/>
    <s v="Tornado"/>
    <s v="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n v="0"/>
    <s v=""/>
    <n v="43"/>
    <n v="0.159"/>
    <s v=""/>
  </r>
  <r>
    <s v="LIDL"/>
    <s v="SQBIR.LIDLASIAPTELIMIT.081.FY25-26.5"/>
    <m/>
    <m/>
    <m/>
    <m/>
    <s v=""/>
    <n v="2210"/>
    <s v=" 48% LYOCELL 47% CMIA COTTON 5% ELASTANE RIB 2X2 GSM-190 CW-111 CM/44 INCH "/>
    <s v="Tornado"/>
    <s v="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s v=""/>
    <s v=""/>
    <s v=""/>
    <n v="0"/>
    <s v=""/>
    <n v="43"/>
    <n v="0.159"/>
    <n v="270.19799999999668"/>
  </r>
  <r>
    <s v="LIDL"/>
    <s v="SQBIR.LIDLASIAPTELIMIT.081.FY25-26.5"/>
    <m/>
    <m/>
    <m/>
    <m/>
    <s v=""/>
    <n v="2210"/>
    <s v=" 48% LYOCELL 47% CMIA COTTON 5% ELASTANE RIB 2X2 GSM-190 CW-111 CM/44 INCH "/>
    <s v="Tornado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n v="78779.072000000015"/>
    <s v=""/>
    <s v=""/>
    <n v="0"/>
    <s v=""/>
    <n v="43"/>
    <n v="0.159"/>
    <s v=""/>
  </r>
  <r>
    <s v="LIDL"/>
    <s v="SQBIR.LIDLASIAPTELIMIT.081.FY25-26.5"/>
    <m/>
    <m/>
    <m/>
    <m/>
    <s v=""/>
    <n v="2210"/>
    <s v=" 48% LYOCELL 47% CMIA COTTON 5% ELASTANE RIB 2X2 GSM-190 CW-111 CM/44 INCH "/>
    <s v="Tornado"/>
    <s v=""/>
    <n v="2000"/>
    <n v="2000"/>
    <n v="0"/>
    <m/>
    <n v="0"/>
    <s v="438197"/>
    <s v="Solid"/>
    <x v="54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s v=""/>
    <s v=""/>
    <n v="43"/>
    <n v="0.159"/>
    <s v=""/>
  </r>
  <r>
    <s v="LIDL"/>
    <s v="SQBIR.LIDLASIAPTELIMIT.081.FY25-26.5"/>
    <m/>
    <m/>
    <m/>
    <m/>
    <s v=""/>
    <n v="2210"/>
    <s v=" 48% LYOCELL 47% CMIA COTTON 5% ELASTANE RIB 2X2 GSM-190 CW-111 CM/44 INCH "/>
    <s v="Tornado"/>
    <n v="0"/>
    <n v="279.34300000000002"/>
    <n v="279.34300000000002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n v="78779.072000000015"/>
    <s v=""/>
    <s v=""/>
    <n v="0"/>
    <s v=""/>
    <n v="43"/>
    <n v="0.159"/>
    <s v=""/>
  </r>
  <r>
    <s v="LIDL"/>
    <s v="SQBIR.LIDLASIAPTELIMIT.082.FY25-26.7"/>
    <m/>
    <m/>
    <m/>
    <m/>
    <s v=""/>
    <n v="2211"/>
    <s v=" 48% LYOCELL 47% CMIA COTTON 5% ELASTANE RIB 2X2 GSM-190 CW-111 CM/44 INCH "/>
    <s v="Coronet Blue"/>
    <s v=""/>
    <n v="1720.99"/>
    <m/>
    <n v="-1720.99"/>
    <m/>
    <n v="-1720.99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s v=""/>
    <s v=""/>
    <s v=""/>
    <n v="1720.99"/>
    <s v=""/>
    <n v="56"/>
    <n v="9.2999999999999999E-2"/>
    <s v=""/>
  </r>
  <r>
    <s v="LIDL"/>
    <s v="SQBIR.LIDLASIAPTELIMIT.082.FY25-26.7"/>
    <m/>
    <m/>
    <m/>
    <m/>
    <s v=""/>
    <n v="2211"/>
    <s v=" 48% LYOCELL 47% CMIA COTTON 5% ELASTANE RIB 2X2 GSM-190 CW-111 CM/44 INCH "/>
    <s v="Coronet Blue"/>
    <s v=""/>
    <n v="121.73"/>
    <m/>
    <n v="-121.73"/>
    <m/>
    <n v="-121.73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s v=""/>
    <s v=""/>
    <s v=""/>
    <s v=""/>
    <s v=""/>
    <n v="56"/>
    <n v="9.2999999999999999E-2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1958.12"/>
    <n v="1958.12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52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s v=""/>
    <s v=""/>
    <s v=""/>
    <n v="0"/>
    <s v=""/>
    <n v="2760.05"/>
    <n v="0.309"/>
    <n v="179.98799999999756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n v="0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n v="0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s v=""/>
    <s v=""/>
    <s v=""/>
    <s v=""/>
    <s v=""/>
    <n v="2760.05"/>
    <n v="0.309"/>
    <n v="179.98799999999756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54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s v=""/>
    <s v=""/>
    <s v=""/>
    <s v=""/>
    <s v=""/>
    <n v="2760.05"/>
    <n v="0.309"/>
    <n v="179.98799999999756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53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55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s v=""/>
    <s v=""/>
    <s v=""/>
    <s v=""/>
    <s v=""/>
    <n v="2760.05"/>
    <n v="0.309"/>
    <n v="179.98799999999756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n v="0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n v="0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s v=""/>
    <s v=""/>
    <s v=""/>
    <s v=""/>
    <s v=""/>
    <n v="2760.05"/>
    <n v="0.309"/>
    <n v="179.98799999999756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2000"/>
    <n v="2000"/>
    <n v="0"/>
    <m/>
    <n v="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s v=""/>
    <s v=""/>
    <s v=""/>
    <s v=""/>
    <s v=""/>
    <n v="2760.05"/>
    <n v="0.309"/>
    <s v=""/>
  </r>
  <r>
    <s v="LIDL"/>
    <s v="SQBIR.LIDLASIAPTELIMIT.081.FY25-26.3"/>
    <m/>
    <m/>
    <m/>
    <m/>
    <s v=""/>
    <n v="2212"/>
    <s v=" 48% LYOCELL 47% CMIA COTTON 5% ELASTANE RIB 2X2 GSM-190 CW-111 CM/44 INCH "/>
    <s v="Ultimate Grey"/>
    <s v=""/>
    <n v="966.20699999999999"/>
    <n v="966.20699999999999"/>
    <n v="0"/>
    <m/>
    <n v="0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s v=""/>
    <s v=""/>
    <s v=""/>
    <s v=""/>
    <s v=""/>
    <n v="2760.05"/>
    <n v="0.309"/>
    <n v="179.98799999999756"/>
  </r>
  <r>
    <s v="LIDL"/>
    <s v="SQBIR.LIDLASIAPTELIMIT.081.FY25-26.2"/>
    <m/>
    <m/>
    <m/>
    <m/>
    <s v=""/>
    <n v="2213"/>
    <s v=" 48% LYOCELL 47% CMIA COTTON 5% ELASTANE RIB 2X2 GSM-190 CW-111 CM/44 INCH "/>
    <s v="Black"/>
    <s v=""/>
    <n v="2000"/>
    <n v="2000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s v=""/>
    <s v=""/>
    <s v=""/>
    <s v=""/>
    <s v=""/>
    <n v="9721.8700000000008"/>
    <n v="0.91400000000000003"/>
    <s v=""/>
  </r>
  <r>
    <s v="LIDL"/>
    <s v="SQBIR.LIDLASIAPTELIMIT.081.FY25-26.2"/>
    <m/>
    <m/>
    <m/>
    <m/>
    <s v=""/>
    <n v="2213"/>
    <s v=" 48% LYOCELL 47% CMIA COTTON 5% ELASTANE RIB 2X2 GSM-190 CW-111 CM/44 INCH "/>
    <s v="Black"/>
    <s v=""/>
    <n v="2000"/>
    <n v="2000"/>
    <n v="0"/>
    <m/>
    <n v="0"/>
    <s v="438197"/>
    <s v="Solid"/>
    <x v="52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s v=""/>
    <s v=""/>
    <s v=""/>
    <s v=""/>
    <s v=""/>
    <n v="9721.8700000000008"/>
    <n v="0.91400000000000003"/>
    <s v=""/>
  </r>
  <r>
    <s v="LIDL"/>
    <s v="SQBIR.LIDLASIAPTELIMIT.081.FY25-26.2"/>
    <m/>
    <m/>
    <m/>
    <m/>
    <s v=""/>
    <n v="2213"/>
    <s v=" 48% LYOCELL 47% CMIA COTTON 5% ELASTANE RIB 2X2 GSM-190 CW-111 CM/44 INCH "/>
    <s v="Black"/>
    <s v=""/>
    <n v="137.744"/>
    <n v="137.744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s v=""/>
    <s v=""/>
    <s v=""/>
    <n v="0"/>
    <s v=""/>
    <n v="9721.8700000000008"/>
    <n v="0.91400000000000003"/>
    <s v=""/>
  </r>
  <r>
    <s v="LIDL"/>
    <s v="SQBIR.LIDLASIAPTELIMIT.082.FY25-26.2"/>
    <m/>
    <m/>
    <m/>
    <m/>
    <s v=""/>
    <n v="2214"/>
    <s v=" 48% LYOCELL 47% CMIA COTTON 5% ELASTANE RIB 2X2 GSM-190 CW-111 CM/44 INCH "/>
    <s v="Micro Chip"/>
    <n v="0"/>
    <n v="1971.0250000000001"/>
    <n v="1971.0250000000001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s v=""/>
    <s v=""/>
    <s v=""/>
    <n v="0"/>
    <s v=""/>
    <n v="41"/>
    <n v="0.22800000000000001"/>
    <n v="-206.79000000000087"/>
  </r>
  <r>
    <s v="LIDL"/>
    <s v="SQBIR.LIDLASIAPTELIMIT.082.FY25-26.2"/>
    <m/>
    <m/>
    <m/>
    <m/>
    <s v=""/>
    <n v="2214"/>
    <s v=" 48% LYOCELL 47% CMIA COTTON 5% ELASTANE RIB 2X2 GSM-190 CW-111 CM/44 INCH "/>
    <s v="Micro Chip"/>
    <s v=""/>
    <n v="2000"/>
    <n v="2000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2.FY25-26.2"/>
    <m/>
    <m/>
    <m/>
    <m/>
    <s v=""/>
    <n v="2214"/>
    <s v=" 48% LYOCELL 47% CMIA COTTON 5% ELASTANE RIB 2X2 GSM-190 CW-111 CM/44 INCH "/>
    <s v="Micro Chip"/>
    <s v=""/>
    <n v="166.71899999999999"/>
    <n v="166.7189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1833.2809999999999"/>
    <n v="1833.2809999999999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s v=""/>
    <s v=""/>
    <s v=""/>
    <n v="0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n v="57423.063999999991"/>
    <s v=""/>
    <s v=""/>
    <s v="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54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n v="57423.063999999991"/>
    <s v=""/>
    <s v=""/>
    <s v="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n v="0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53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s v=""/>
    <s v=""/>
    <n v="41"/>
    <n v="0.22800000000000001"/>
    <n v="-206.79000000000087"/>
  </r>
  <r>
    <s v="LIDL"/>
    <s v="SQBIR.LIDLASIAPTELIMIT.082.FY25-26.3"/>
    <m/>
    <m/>
    <m/>
    <m/>
    <s v=""/>
    <n v="2215"/>
    <s v=" 48% LYOCELL 47% CMIA COTTON 5% ELASTANE RIB 2X2 GSM-190 CW-111 CM/44 INCH "/>
    <s v="Micro Chip"/>
    <n v="0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n v="0"/>
    <s v=""/>
    <n v="41"/>
    <n v="0.22800000000000001"/>
    <n v="-206.79000000000087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55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s v=""/>
    <s v=""/>
    <s v=""/>
    <s v=""/>
    <s v=""/>
    <n v="41"/>
    <n v="0.22800000000000001"/>
    <n v="-206.79000000000087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m/>
    <n v="-2000"/>
    <m/>
    <n v="-2000"/>
    <s v="438197"/>
    <s v="Solid"/>
    <x v="29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n v="2000"/>
    <s v=""/>
    <n v="41"/>
    <n v="0.22800000000000001"/>
    <n v="-206.79000000000087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n v="2000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s v=""/>
    <s v=""/>
    <n v="41"/>
    <n v="0.22800000000000001"/>
    <n v="-206.79000000000087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m/>
    <n v="-2000"/>
    <m/>
    <n v="-2000"/>
    <s v="438197"/>
    <s v="Solid"/>
    <x v="30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n v="57423.063999999991"/>
    <s v=""/>
    <s v=""/>
    <n v="2000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n v="2000"/>
    <s v=""/>
    <n v="41"/>
    <n v="0.22800000000000001"/>
    <n v="-206.79000000000087"/>
  </r>
  <r>
    <s v="LIDL"/>
    <s v="SQBIR.LIDLASIAPTELIMIT.082.FY25-26.3"/>
    <m/>
    <m/>
    <m/>
    <m/>
    <s v=""/>
    <n v="2215"/>
    <s v=" 48% LYOCELL 47% CMIA COTTON 5% ELASTANE RIB 2X2 GSM-190 CW-111 CM/44 INCH "/>
    <s v="Micro Chip"/>
    <n v="-666.66666666666663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n v="57423.063999999991"/>
    <s v=""/>
    <s v=""/>
    <n v="2000"/>
    <s v=""/>
    <n v="41"/>
    <n v="0.22800000000000001"/>
    <s v="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s v=""/>
    <s v=""/>
    <n v="41"/>
    <n v="0.22800000000000001"/>
    <n v="-206.79000000000087"/>
  </r>
  <r>
    <s v="LIDL"/>
    <s v="SQBIR.LIDLASIAPTELIMIT.082.FY25-26.3"/>
    <m/>
    <m/>
    <m/>
    <m/>
    <s v=""/>
    <n v="2215"/>
    <s v=" 48% LYOCELL 47% CMIA COTTON 5% ELASTANE RIB 2X2 GSM-190 CW-111 CM/44 INCH "/>
    <s v="Micro Chip"/>
    <s v=""/>
    <n v="218.87899999999999"/>
    <m/>
    <n v="-218.87899999999999"/>
    <m/>
    <n v="-218.87899999999999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s v=""/>
    <s v=""/>
    <s v=""/>
    <s v=""/>
    <s v=""/>
    <n v="41"/>
    <n v="0.22800000000000001"/>
    <s v=""/>
  </r>
  <r>
    <s v="LIDL"/>
    <s v="SQBIR.LIDLASIAPTELIMIT.081.FY25-26.2"/>
    <m/>
    <m/>
    <m/>
    <m/>
    <s v=""/>
    <n v="2216"/>
    <s v=" 48% LYOCELL 47% CMIA COTTON 5% ELASTANE RIB 2X2 GSM-190 CW-111 CM/44 INCH "/>
    <s v="Tornado"/>
    <s v=""/>
    <n v="1720.6569999999999"/>
    <n v="1720.6569999999999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s v=""/>
    <s v=""/>
    <n v="43"/>
    <n v="0.159"/>
    <n v="270.19799999999668"/>
  </r>
  <r>
    <s v="LIDL"/>
    <s v="SQBIR.LIDLASIAPTELIMIT.081.FY25-26.2"/>
    <m/>
    <m/>
    <m/>
    <m/>
    <s v=""/>
    <n v="2216"/>
    <s v=" 48% LYOCELL 47% CMIA COTTON 5% ELASTANE RIB 2X2 GSM-190 CW-111 CM/44 INCH "/>
    <s v="Tornado"/>
    <s v=""/>
    <n v="2000"/>
    <n v="2000"/>
    <n v="0"/>
    <m/>
    <n v="0"/>
    <s v="438197"/>
    <s v="Solid"/>
    <x v="53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n v="78779.072000000015"/>
    <s v=""/>
    <s v=""/>
    <s v=""/>
    <s v=""/>
    <n v="43"/>
    <n v="0.159"/>
    <s v=""/>
  </r>
  <r>
    <s v="LIDL"/>
    <s v="SQBIR.LIDLASIAPTELIMIT.081.FY25-26.2"/>
    <m/>
    <m/>
    <m/>
    <m/>
    <s v=""/>
    <n v="2216"/>
    <s v=" 48% LYOCELL 47% CMIA COTTON 5% ELASTANE RIB 2X2 GSM-190 CW-111 CM/44 INCH "/>
    <s v="Tornado"/>
    <s v=""/>
    <n v="417.08699999999999"/>
    <n v="417.08699999999999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s v=""/>
    <s v=""/>
    <n v="43"/>
    <n v="0.159"/>
    <s v=""/>
  </r>
  <r>
    <s v="LIDL"/>
    <s v="SQBIR.LIDLASIAPTELIMIT.081.FY25-26.2"/>
    <m/>
    <m/>
    <m/>
    <m/>
    <s v=""/>
    <n v="2217"/>
    <s v=" 48% LYOCELL 47% CMIA COTTON 5% ELASTANE RIB 2X2 GSM-190 CW-111 CM/44 INCH "/>
    <s v="Ultimate Grey"/>
    <s v=""/>
    <n v="4137.7439999999997"/>
    <n v="4137.7439999999997"/>
    <n v="0"/>
    <m/>
    <n v="0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n v="78737.19200000001"/>
    <s v=""/>
    <s v=""/>
    <s v=""/>
    <s v=""/>
    <n v="2760.05"/>
    <n v="0.309"/>
    <s v=""/>
  </r>
  <r>
    <s v="LIDL"/>
    <s v="SQBIR.LIDLASIAPTELIMIT.082.FY25-26.6"/>
    <m/>
    <m/>
    <m/>
    <m/>
    <s v=""/>
    <n v="2218"/>
    <s v=" 48% LYOCELL 47% CMIA COTTON 5% ELASTANE RIB 2X2 GSM-190 CW-111 CM/44 INCH "/>
    <s v="Micro Chip"/>
    <s v=""/>
    <n v="226.85"/>
    <m/>
    <n v="-226.85"/>
    <m/>
    <n v="-226.85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s v=""/>
    <n v="57423.063999999991"/>
    <s v=""/>
    <s v=""/>
    <s v=""/>
    <s v=""/>
    <n v="41"/>
    <n v="0.22800000000000001"/>
    <s v=""/>
  </r>
  <r>
    <s v="LIDL"/>
    <s v="SQBIR.LIDLASIAPTELIMIT.081.FY25-26.8"/>
    <m/>
    <m/>
    <m/>
    <m/>
    <s v=""/>
    <n v="2219"/>
    <s v=" 48% LYOCELL 47% CMIA COTTON 5% ELASTANE RIB 2X2 GSM-190 CW-111 CM/44 INCH "/>
    <s v="Ultimate Grey"/>
    <s v=""/>
    <n v="637.62300000000005"/>
    <n v="637.62300000000005"/>
    <n v="0"/>
    <m/>
    <n v="0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n v="78737.19200000001"/>
    <s v=""/>
    <s v=""/>
    <s v=""/>
    <s v=""/>
    <n v="2760.05"/>
    <n v="0.309"/>
    <s v=""/>
  </r>
  <r>
    <s v="LIDL"/>
    <s v="SQBIR.LIDLASIAPTELIMIT.082.FY25-26.1"/>
    <m/>
    <m/>
    <m/>
    <m/>
    <s v=""/>
    <n v="2220"/>
    <s v=" 48% LYOCELL 47% CMIA COTTON 5% ELASTANE RIB 2X2 GSM-190 CW-111 CM/44 INCH "/>
    <s v="Coronet Blue"/>
    <s v=""/>
    <n v="1878.27"/>
    <m/>
    <n v="-1878.27"/>
    <m/>
    <n v="-1878.27"/>
    <s v="438197"/>
    <s v="Solid"/>
    <x v="30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n v="57423.063999999998"/>
    <s v=""/>
    <s v=""/>
    <s v=""/>
    <s v=""/>
    <n v="56"/>
    <n v="9.2999999999999999E-2"/>
    <s v=""/>
  </r>
  <r>
    <s v="LIDL"/>
    <s v="SQBIR.LIDLASIAPTELIMIT.082.FY25-26.1"/>
    <m/>
    <m/>
    <m/>
    <m/>
    <s v=""/>
    <n v="2220"/>
    <s v=" 48% LYOCELL 47% CMIA COTTON 5% ELASTANE RIB 2X2 GSM-190 CW-111 CM/44 INCH "/>
    <s v="Coronet Blue"/>
    <s v=""/>
    <n v="2000"/>
    <n v="2000"/>
    <n v="0"/>
    <m/>
    <n v="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1"/>
    <m/>
    <m/>
    <m/>
    <m/>
    <s v=""/>
    <n v="2220"/>
    <s v=" 48% LYOCELL 47% CMIA COTTON 5% ELASTANE RIB 2X2 GSM-190 CW-111 CM/44 INCH "/>
    <s v="Coronet Blue"/>
    <s v=""/>
    <n v="307.98500000000001"/>
    <m/>
    <n v="-307.98500000000001"/>
    <m/>
    <n v="-307.98500000000001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s v=""/>
    <s v=""/>
    <s v=""/>
    <s v=""/>
    <s v=""/>
    <n v="56"/>
    <n v="9.2999999999999999E-2"/>
    <s v=""/>
  </r>
  <r>
    <s v="LIDL"/>
    <s v="SQBIR.LIDLASIAPTELIMIT.082.FY25-26.8"/>
    <m/>
    <m/>
    <m/>
    <m/>
    <s v=""/>
    <n v="2221"/>
    <s v=" 48% LYOCELL 47% CMIA COTTON 5% ELASTANE RIB 2X2 GSM-190 CW-111 CM/44 INCH "/>
    <s v="Coronet Blue"/>
    <n v="-151.815"/>
    <n v="455.44499999999999"/>
    <m/>
    <n v="-455.44499999999999"/>
    <m/>
    <n v="-455.44499999999999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n v="455.44499999999999"/>
    <s v=""/>
    <n v="56"/>
    <n v="9.2999999999999999E-2"/>
    <n v="-11148.349999999999"/>
  </r>
  <r>
    <s v="LIDL"/>
    <s v="SQBIR.LIDLASIAPTELIMIT.081.FY25-26.1"/>
    <m/>
    <m/>
    <m/>
    <m/>
    <s v=""/>
    <n v="2222"/>
    <s v=" 48% LYOCELL 47% CMIA COTTON 5% ELASTANE RIB 2X2 GSM-190 CW-111 CM/44 INCH "/>
    <s v="Black"/>
    <n v="0"/>
    <n v="1862.2560000000001"/>
    <n v="1862.2560000000001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s v=""/>
    <s v=""/>
    <s v=""/>
    <n v="0"/>
    <s v=""/>
    <n v="9721.8700000000008"/>
    <n v="0.91400000000000003"/>
    <s v=""/>
  </r>
  <r>
    <s v="LIDL"/>
    <s v="SQBIR.LIDLASIAPTELIMIT.081.FY25-26.1"/>
    <m/>
    <m/>
    <m/>
    <m/>
    <s v=""/>
    <n v="2222"/>
    <s v=" 48% LYOCELL 47% CMIA COTTON 5% ELASTANE RIB 2X2 GSM-190 CW-111 CM/44 INCH "/>
    <s v="Black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1"/>
    <m/>
    <m/>
    <m/>
    <m/>
    <s v=""/>
    <n v="2222"/>
    <s v=" 48% LYOCELL 47% CMIA COTTON 5% ELASTANE RIB 2X2 GSM-190 CW-111 CM/44 INCH "/>
    <s v="Black"/>
    <n v="0"/>
    <n v="1998.501"/>
    <n v="1998.501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s v=""/>
    <s v=""/>
    <s v=""/>
    <n v="0"/>
    <s v=""/>
    <n v="9721.8700000000008"/>
    <n v="0.91400000000000003"/>
    <s v=""/>
  </r>
  <r>
    <s v="LIDL"/>
    <s v="SQBIR.LIDLASIAPTELIMIT.081.FY25-26.4"/>
    <m/>
    <m/>
    <m/>
    <m/>
    <s v=""/>
    <n v="2223"/>
    <s v=" 48% LYOCELL 47% CMIA COTTON 5% ELASTANE RIB 2X2 GSM-190 CW-111 CM/44 INCH "/>
    <s v="Ultimate Grey"/>
    <n v="-3238.9576666666667"/>
    <n v="10815.161"/>
    <n v="1098.288"/>
    <n v="-9716.8729999999996"/>
    <m/>
    <n v="-9716.8729999999996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n v="78737.19200000001"/>
    <s v=""/>
    <s v=""/>
    <n v="9716.8729999999996"/>
    <s v=""/>
    <n v="2760.05"/>
    <n v="0.309"/>
    <n v="179.98799999999756"/>
  </r>
  <r>
    <s v="LIDL"/>
    <s v="SQBIR.LIDLASIAPTELIMIT.081.FY25-26.6"/>
    <m/>
    <m/>
    <m/>
    <m/>
    <s v=""/>
    <n v="2224"/>
    <s v=" 48% LYOCELL 47% CMIA COTTON 5% ELASTANE RIB 2X2 GSM-190 CW-111 CM/44 INCH "/>
    <s v="Tornado"/>
    <n v="0"/>
    <n v="317.58999999999997"/>
    <n v="317.58999999999997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2.FY25-26.9"/>
    <m/>
    <m/>
    <m/>
    <m/>
    <s v=""/>
    <n v="2225"/>
    <s v=" 48% LYOCELL 47% CMIA COTTON 5% ELASTANE RIB 2X2 GSM-190 CW-111 CM/44 INCH "/>
    <s v="Coronet Blue"/>
    <s v=""/>
    <n v="36.645000000000003"/>
    <m/>
    <n v="-36.645000000000003"/>
    <m/>
    <n v="-36.645000000000003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1.FY25-26.7"/>
    <m/>
    <m/>
    <m/>
    <m/>
    <s v=""/>
    <n v="2226"/>
    <s v=" 48% LYOCELL 47% CMIA COTTON 5% ELASTANE RIB 2X2 GSM-190 CW-111 CM/44 INCH "/>
    <s v="Tornado"/>
    <s v=""/>
    <n v="1265.3230000000001"/>
    <n v="1265.3230000000001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s v=""/>
    <s v=""/>
    <s v=""/>
    <s v=""/>
    <s v=""/>
    <n v="43"/>
    <n v="0.159"/>
    <n v="270.19799999999668"/>
  </r>
  <r>
    <s v="LIDL"/>
    <s v="SQBIR.LIDLASIAPTELIMIT.081.FY25-26.7"/>
    <m/>
    <m/>
    <m/>
    <m/>
    <s v=""/>
    <n v="2226"/>
    <s v=" 48% LYOCELL 47% CMIA COTTON 5% ELASTANE RIB 2X2 GSM-190 CW-111 CM/44 INCH "/>
    <s v="Tornado"/>
    <s v=""/>
    <n v="1314.4849999999999"/>
    <n v="1314.4849999999999"/>
    <n v="0"/>
    <m/>
    <n v="0"/>
    <s v="438197"/>
    <s v="Solid"/>
    <x v="55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2.FY25-26.2"/>
    <m/>
    <m/>
    <m/>
    <m/>
    <s v=""/>
    <n v="2227"/>
    <s v=" 48% LYOCELL 47% CMIA COTTON 5% ELASTANE RIB 2X2 GSM-190 CW-111 CM/44 INCH "/>
    <s v="Coronet Blue"/>
    <n v="-399.97499999999997"/>
    <n v="1199.925"/>
    <m/>
    <n v="-1199.925"/>
    <m/>
    <n v="-1199.925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n v="57423.063999999998"/>
    <s v=""/>
    <s v=""/>
    <n v="1199.925"/>
    <s v=""/>
    <n v="56"/>
    <n v="9.2999999999999999E-2"/>
    <s v=""/>
  </r>
  <r>
    <s v="LIDL"/>
    <s v="SQBIR.LIDLASIAPTELIMIT.082.FY25-26.2"/>
    <m/>
    <m/>
    <m/>
    <m/>
    <s v=""/>
    <n v="2227"/>
    <s v=" 48% LYOCELL 47% CMIA COTTON 5% ELASTANE RIB 2X2 GSM-190 CW-111 CM/44 INCH "/>
    <s v="Coronet Blue"/>
    <s v="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2"/>
    <m/>
    <m/>
    <m/>
    <m/>
    <s v=""/>
    <n v="2227"/>
    <s v=" 48% LYOCELL 47% CMIA COTTON 5% ELASTANE RIB 2X2 GSM-190 CW-111 CM/44 INCH "/>
    <s v="Coronet Blue"/>
    <n v="-312.60633333333334"/>
    <n v="937.81899999999996"/>
    <m/>
    <n v="-937.81899999999996"/>
    <m/>
    <n v="-937.81899999999996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n v="937.81899999999996"/>
    <s v=""/>
    <n v="56"/>
    <n v="9.2999999999999999E-2"/>
    <n v="-11148.349999999999"/>
  </r>
  <r>
    <s v="LIDL"/>
    <s v="SQBIR.LIDLASIAPTELIMIT.082.FY25-26.9"/>
    <m/>
    <m/>
    <m/>
    <m/>
    <s v=""/>
    <n v="2228"/>
    <s v=" 48% LYOCELL 47% CMIA COTTON 5% ELASTANE RIB 2X2 GSM-190 CW-111 CM/44 INCH "/>
    <s v="Micro Chip"/>
    <n v="-12.215000000000002"/>
    <n v="36.645000000000003"/>
    <m/>
    <n v="-36.645000000000003"/>
    <m/>
    <n v="-36.645000000000003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n v="36.645000000000003"/>
    <s v=""/>
    <n v="41"/>
    <n v="0.22800000000000001"/>
    <n v="-206.79000000000087"/>
  </r>
  <r>
    <s v="LIDL"/>
    <s v="SQBIR.LIDLASIAPTELIMIT.082.FY25-26.8"/>
    <m/>
    <m/>
    <m/>
    <m/>
    <s v=""/>
    <n v="2229"/>
    <s v=" 48% LYOCELL 47% CMIA COTTON 5% ELASTANE RIB 2X2 GSM-190 CW-111 CM/44 INCH "/>
    <s v="Micro Chip"/>
    <n v="-151.815"/>
    <n v="455.44499999999999"/>
    <m/>
    <n v="-455.44499999999999"/>
    <m/>
    <n v="-455.44499999999999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s v=""/>
    <s v=""/>
    <s v=""/>
    <n v="455.44499999999999"/>
    <s v=""/>
    <n v="41"/>
    <n v="0.22800000000000001"/>
    <n v="-206.79000000000087"/>
  </r>
  <r>
    <s v="LIDL"/>
    <s v="SQBIR.LIDLASIAPTELIMIT.082.FY25-26.4"/>
    <m/>
    <m/>
    <m/>
    <m/>
    <s v=""/>
    <n v="2230"/>
    <s v=" 48% LYOCELL 47% CMIA COTTON 5% ELASTANE RIB 2X2 GSM-190 CW-111 CM/44 INCH "/>
    <s v="Sky Captain"/>
    <n v="0"/>
    <n v="1544.5550000000001"/>
    <n v="1544.5550000000001"/>
    <n v="0"/>
    <m/>
    <n v="0"/>
    <s v="438197"/>
    <s v="Solid"/>
    <x v="1"/>
    <d v="2026-10-0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n v="0"/>
    <s v=""/>
    <n v="48"/>
    <n v="0.26600000000000001"/>
    <n v="180.09599999999773"/>
  </r>
  <r>
    <s v="LIDL"/>
    <s v="SQBIR.LIDLASIAPTELIMIT.082.FY25-26.4"/>
    <m/>
    <m/>
    <m/>
    <m/>
    <s v=""/>
    <n v="2230"/>
    <s v=" 48% LYOCELL 47% CMIA COTTON 5% ELASTANE RIB 2X2 GSM-190 CW-111 CM/44 INCH "/>
    <s v="Sky Captain"/>
    <s v=""/>
    <n v="2000"/>
    <n v="2000"/>
    <n v="0"/>
    <m/>
    <n v="0"/>
    <s v="438197"/>
    <s v="Solid"/>
    <x v="52"/>
    <d v="2026-10-0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s v=""/>
    <s v=""/>
    <n v="48"/>
    <n v="0.26600000000000001"/>
    <s v=""/>
  </r>
  <r>
    <s v="LIDL"/>
    <s v="SQBIR.LIDLASIAPTELIMIT.082.FY25-26.4"/>
    <m/>
    <m/>
    <m/>
    <m/>
    <s v=""/>
    <n v="2230"/>
    <s v=" 48% LYOCELL 47% CMIA COTTON 5% ELASTANE RIB 2X2 GSM-190 CW-111 CM/44 INCH "/>
    <s v="Sky Captain"/>
    <n v="0"/>
    <n v="2000"/>
    <n v="2000"/>
    <n v="0"/>
    <m/>
    <n v="0"/>
    <s v="438197"/>
    <s v="Solid"/>
    <x v="6"/>
    <d v="2026-10-0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n v="0"/>
    <s v=""/>
    <n v="48"/>
    <n v="0.26600000000000001"/>
    <n v="180.09599999999773"/>
  </r>
  <r>
    <s v="LIDL"/>
    <s v="SQBIR.LIDLASIAPTELIMIT.082.FY25-26.4"/>
    <m/>
    <m/>
    <m/>
    <m/>
    <s v=""/>
    <n v="2230"/>
    <s v=" 48% LYOCELL 47% CMIA COTTON 5% ELASTANE RIB 2X2 GSM-190 CW-111 CM/44 INCH "/>
    <s v="Sky Captain"/>
    <n v="0"/>
    <n v="2000"/>
    <n v="2000"/>
    <n v="0"/>
    <m/>
    <n v="0"/>
    <s v="438197"/>
    <s v="Solid"/>
    <x v="3"/>
    <d v="2026-10-0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n v="0"/>
    <s v=""/>
    <n v="48"/>
    <n v="0.26600000000000001"/>
    <n v="180.09599999999773"/>
  </r>
  <r>
    <s v="LIDL"/>
    <s v="SQBIR.LIDLASIAPTELIMIT.082.FY25-26.4"/>
    <m/>
    <m/>
    <m/>
    <m/>
    <s v=""/>
    <n v="2230"/>
    <s v=" 48% LYOCELL 47% CMIA COTTON 5% ELASTANE RIB 2X2 GSM-190 CW-111 CM/44 INCH "/>
    <s v="Sky Captain"/>
    <s v=""/>
    <n v="180.56"/>
    <n v="180.56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n v="0"/>
    <s v=""/>
    <n v="48"/>
    <n v="0.26600000000000001"/>
    <n v="180.09599999999773"/>
  </r>
  <r>
    <s v="LIDL"/>
    <s v="SQBIR.LIDLASIAPTELIMIT.082.FY25-26.5"/>
    <m/>
    <m/>
    <m/>
    <m/>
    <s v=""/>
    <n v="2231"/>
    <s v=" 48% LYOCELL 47% CMIA COTTON 5% ELASTANE RIB 2X2 GSM-190 CW-111 CM/44 INCH "/>
    <s v="Micro Chip"/>
    <n v="-354.06033333333335"/>
    <n v="1062.181"/>
    <m/>
    <n v="-1062.181"/>
    <m/>
    <n v="-1062.181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s v=""/>
    <s v=""/>
    <s v=""/>
    <n v="1062.181"/>
    <s v=""/>
    <n v="41"/>
    <n v="0.22800000000000001"/>
    <n v="-206.79000000000087"/>
  </r>
  <r>
    <s v="LIDL"/>
    <s v="SQBIR.LIDLASIAPTELIMIT.082.FY25-26.5"/>
    <m/>
    <m/>
    <m/>
    <m/>
    <s v=""/>
    <n v="2231"/>
    <s v=" 48% LYOCELL 47% CMIA COTTON 5% ELASTANE RIB 2X2 GSM-190 CW-111 CM/44 INCH "/>
    <s v="Micro Chip"/>
    <n v="-1899.3163333333332"/>
    <n v="5697.9489999999996"/>
    <m/>
    <n v="-5697.9489999999996"/>
    <m/>
    <n v="-5697.9489999999996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n v="5697.9489999999996"/>
    <s v=""/>
    <n v="41"/>
    <n v="0.22800000000000001"/>
    <n v="-206.79000000000087"/>
  </r>
  <r>
    <s v="LIDL"/>
    <s v="SQBIR.LIDLASIAPTELIMIT.081.FY25-26.1"/>
    <m/>
    <m/>
    <m/>
    <m/>
    <s v=""/>
    <n v="2232"/>
    <s v=" 48% LYOCELL 47% CMIA COTTON 5% ELASTANE RIB 2X2 GSM-190 CW-111 CM/44 INCH "/>
    <s v="Tornado"/>
    <n v="0"/>
    <n v="685.51499999999999"/>
    <n v="685.51499999999999"/>
    <n v="0"/>
    <m/>
    <n v="0"/>
    <s v="438197"/>
    <s v="Solid"/>
    <x v="55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s v=""/>
    <s v=""/>
    <s v=""/>
    <n v="0"/>
    <s v=""/>
    <n v="43"/>
    <n v="0.159"/>
    <n v="270.19799999999668"/>
  </r>
  <r>
    <s v="LIDL"/>
    <s v="SQBIR.LIDLASIAPTELIMIT.081.FY25-26.1"/>
    <m/>
    <m/>
    <m/>
    <m/>
    <s v=""/>
    <n v="2232"/>
    <s v=" 48% LYOCELL 47% CMIA COTTON 5% ELASTANE RIB 2X2 GSM-190 CW-111 CM/44 INCH "/>
    <s v="Tornado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1.FY25-26.1"/>
    <m/>
    <m/>
    <m/>
    <m/>
    <s v=""/>
    <n v="2232"/>
    <s v=" 48% LYOCELL 47% CMIA COTTON 5% ELASTANE RIB 2X2 GSM-190 CW-111 CM/44 INCH "/>
    <s v="Tornado"/>
    <n v="0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s v=""/>
    <s v=""/>
    <n v="43"/>
    <n v="0.159"/>
    <s v=""/>
  </r>
  <r>
    <s v="LIDL"/>
    <s v="SQBIR.LIDLASIAPTELIMIT.081.FY25-26.1"/>
    <m/>
    <m/>
    <m/>
    <m/>
    <s v=""/>
    <n v="2232"/>
    <s v=" 48% LYOCELL 47% CMIA COTTON 5% ELASTANE RIB 2X2 GSM-190 CW-111 CM/44 INCH "/>
    <s v="Tornado"/>
    <n v="0"/>
    <n v="1175.242"/>
    <n v="1175.242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1.FY25-26.3"/>
    <m/>
    <m/>
    <m/>
    <m/>
    <s v=""/>
    <n v="2233"/>
    <s v=" 48% LYOCELL 47% CMIA COTTON 5% ELASTANE RIB 2X2 GSM-190 CW-111 CM/44 INCH "/>
    <s v="Tornado"/>
    <s v=""/>
    <n v="824.75800000000004"/>
    <n v="824.75800000000004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n v="78779.072000000015"/>
    <s v=""/>
    <s v=""/>
    <s v=""/>
    <s v=""/>
    <n v="43"/>
    <n v="0.159"/>
    <s v=""/>
  </r>
  <r>
    <s v="LIDL"/>
    <s v="SQBIR.LIDLASIAPTELIMIT.081.FY25-26.3"/>
    <m/>
    <m/>
    <m/>
    <m/>
    <s v=""/>
    <n v="2233"/>
    <s v=" 48% LYOCELL 47% CMIA COTTON 5% ELASTANE RIB 2X2 GSM-190 CW-111 CM/44 INCH "/>
    <s v="Tornado"/>
    <n v="0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1.FY25-26.3"/>
    <m/>
    <m/>
    <m/>
    <m/>
    <s v=""/>
    <n v="2233"/>
    <s v=" 48% LYOCELL 47% CMIA COTTON 5% ELASTANE RIB 2X2 GSM-190 CW-111 CM/44 INCH "/>
    <s v="Tornado"/>
    <n v="0"/>
    <n v="2000"/>
    <n v="2000"/>
    <n v="0"/>
    <m/>
    <n v="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1.FY25-26.3"/>
    <m/>
    <m/>
    <m/>
    <m/>
    <s v=""/>
    <n v="2233"/>
    <s v=" 48% LYOCELL 47% CMIA COTTON 5% ELASTANE RIB 2X2 GSM-190 CW-111 CM/44 INCH "/>
    <s v="Tornado"/>
    <n v="0"/>
    <n v="2000"/>
    <n v="2000"/>
    <n v="0"/>
    <m/>
    <n v="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1.FY25-26.3"/>
    <m/>
    <m/>
    <m/>
    <m/>
    <s v=""/>
    <n v="2233"/>
    <s v=" 48% LYOCELL 47% CMIA COTTON 5% ELASTANE RIB 2X2 GSM-190 CW-111 CM/44 INCH "/>
    <s v="Tornado"/>
    <n v="0"/>
    <n v="2000"/>
    <n v="2000"/>
    <n v="0"/>
    <m/>
    <n v="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s v=""/>
    <s v=""/>
    <s v=""/>
    <n v="0"/>
    <s v=""/>
    <n v="43"/>
    <n v="0.159"/>
    <s v=""/>
  </r>
  <r>
    <s v="LIDL"/>
    <s v="SQBIR.LIDLASIAPTELIMIT.081.FY25-26.3"/>
    <m/>
    <m/>
    <m/>
    <m/>
    <s v=""/>
    <n v="2233"/>
    <s v=" 48% LYOCELL 47% CMIA COTTON 5% ELASTANE RIB 2X2 GSM-190 CW-111 CM/44 INCH "/>
    <s v="Tornado"/>
    <n v="0"/>
    <n v="2000"/>
    <n v="2000"/>
    <n v="0"/>
    <m/>
    <n v="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n v="0"/>
    <s v=""/>
    <n v="43"/>
    <n v="0.159"/>
    <n v="270.19799999999668"/>
  </r>
  <r>
    <s v="LIDL"/>
    <s v="SQBIR.LIDLASIAPTELIMIT.081.FY25-26.3"/>
    <m/>
    <m/>
    <m/>
    <m/>
    <s v=""/>
    <n v="2233"/>
    <s v=" 48% LYOCELL 47% CMIA COTTON 5% ELASTANE RIB 2X2 GSM-190 CW-111 CM/44 INCH "/>
    <s v="Tornado"/>
    <n v="-8859.4390000000003"/>
    <n v="34099.569000000003"/>
    <n v="7521.2520000000004"/>
    <n v="-26578.317000000003"/>
    <m/>
    <n v="-26578.31700000000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s v=""/>
    <n v="78779.072000000015"/>
    <s v=""/>
    <s v=""/>
    <n v="26578.317000000003"/>
    <s v=""/>
    <n v="43"/>
    <n v="0.159"/>
    <s v=""/>
  </r>
  <r>
    <s v="LIDL"/>
    <s v="SQBIR.LIDLASIAPTELIMIT.081.FY25-26.6"/>
    <m/>
    <m/>
    <m/>
    <m/>
    <s v=""/>
    <n v="2234"/>
    <s v=" 48% LYOCELL 47% CMIA COTTON 5% ELASTANE RIB 2X2 GSM-190 CW-111 CM/44 INCH "/>
    <s v="Ultimate Grey"/>
    <n v="-91.903333333333322"/>
    <n v="275.70999999999998"/>
    <m/>
    <n v="-275.70999999999998"/>
    <m/>
    <n v="-275.7099999999999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n v="78737.19200000001"/>
    <s v=""/>
    <s v=""/>
    <n v="275.70999999999998"/>
    <s v=""/>
    <n v="2760.05"/>
    <n v="0.309"/>
    <n v="179.98799999999756"/>
  </r>
  <r>
    <s v="LIDL"/>
    <s v="SQBIR.LIDLASIAPTELIMIT.081.FY25-26.8"/>
    <m/>
    <m/>
    <m/>
    <m/>
    <s v=""/>
    <n v="2235"/>
    <s v=" 48% LYOCELL 47% CMIA COTTON 5% ELASTANE RIB 2X2 GSM-190 CW-111 CM/44 INCH "/>
    <s v="Tornado"/>
    <s v=""/>
    <n v="637.62300000000005"/>
    <m/>
    <n v="-637.62300000000005"/>
    <m/>
    <n v="-637.62300000000005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n v="78779.072000000015"/>
    <s v=""/>
    <s v=""/>
    <s v=""/>
    <s v=""/>
    <n v="43"/>
    <n v="0.159"/>
    <n v="270.19799999999668"/>
  </r>
  <r>
    <s v="LIDL"/>
    <s v="SQBIR.LIDLASIAPTELIMIT.082.FY25-26.1"/>
    <m/>
    <m/>
    <m/>
    <m/>
    <s v=""/>
    <n v="2236"/>
    <s v=" 48% LYOCELL 47% CMIA COTTON 5% ELASTANE RIB 2X2 GSM-190 CW-111 CM/44 INCH "/>
    <s v="Sky Captain"/>
    <s v=""/>
    <n v="1819.44"/>
    <n v="1819.44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2.FY25-26.1"/>
    <m/>
    <m/>
    <m/>
    <m/>
    <s v=""/>
    <n v="2236"/>
    <s v=" 48% LYOCELL 47% CMIA COTTON 5% ELASTANE RIB 2X2 GSM-190 CW-111 CM/44 INCH "/>
    <s v="Sky Captain"/>
    <n v="0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s v=""/>
    <s v=""/>
    <s v=""/>
    <n v="0"/>
    <s v=""/>
    <n v="48"/>
    <n v="0.26600000000000001"/>
    <s v=""/>
  </r>
  <r>
    <s v="LIDL"/>
    <s v="SQBIR.LIDLASIAPTELIMIT.082.FY25-26.1"/>
    <m/>
    <m/>
    <m/>
    <m/>
    <s v=""/>
    <n v="2236"/>
    <s v=" 48% LYOCELL 47% CMIA COTTON 5% ELASTANE RIB 2X2 GSM-190 CW-111 CM/44 INCH "/>
    <s v="Sky Captain"/>
    <n v="0"/>
    <n v="366.815"/>
    <n v="366.815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n v="0"/>
    <s v=""/>
    <n v="48"/>
    <n v="0.26600000000000001"/>
    <n v="180.09599999999773"/>
  </r>
  <r>
    <s v="LIDL"/>
    <s v="SQBIR.LIDLASIAPTELIMIT.081.FY25-26.9"/>
    <m/>
    <m/>
    <m/>
    <m/>
    <s v=""/>
    <n v="2237"/>
    <s v=" 48% LYOCELL 47% CMIA COTTON 5% ELASTANE RIB 2X2 GSM-190 CW-111 CM/44 INCH "/>
    <s v="Tornado"/>
    <n v="-13.96"/>
    <n v="41.88"/>
    <m/>
    <n v="-41.88"/>
    <m/>
    <n v="-41.8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18-3907 TCX(Tornado)"/>
    <n v="190"/>
    <s v="438197#Style-2604 (MENS)-Creora19018-3907 TCX(Tornado)"/>
    <n v="51791.45"/>
    <n v="27257.82"/>
    <n v="51521.252"/>
    <s v=""/>
    <s v=""/>
    <s v=""/>
    <n v="41.88"/>
    <s v=""/>
    <n v="43"/>
    <n v="0.159"/>
    <n v="270.19799999999668"/>
  </r>
  <r>
    <s v="LIDL"/>
    <s v="SQBIR.LIDLASIAPTELIMIT.082.FY25-26.2"/>
    <m/>
    <m/>
    <m/>
    <m/>
    <s v=""/>
    <n v="2238"/>
    <s v=" 48% LYOCELL 47% CMIA COTTON 5% ELASTANE RIB 2X2 GSM-190 CW-111 CM/44 INCH "/>
    <s v="Sky Captain"/>
    <n v="0"/>
    <n v="1633.1849999999999"/>
    <n v="1633.1849999999999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s v=""/>
    <s v=""/>
    <n v="48"/>
    <n v="0.26600000000000001"/>
    <s v=""/>
  </r>
  <r>
    <s v="LIDL"/>
    <s v="SQBIR.LIDLASIAPTELIMIT.082.FY25-26.2"/>
    <m/>
    <m/>
    <m/>
    <m/>
    <s v=""/>
    <n v="2238"/>
    <s v=" 48% LYOCELL 47% CMIA COTTON 5% ELASTANE RIB 2X2 GSM-190 CW-111 CM/44 INCH "/>
    <s v="Sky Captain"/>
    <s v="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s v=""/>
    <s v=""/>
    <s v=""/>
    <s v=""/>
    <s v=""/>
    <n v="48"/>
    <n v="0.26600000000000001"/>
    <s v=""/>
  </r>
  <r>
    <s v="LIDL"/>
    <s v="SQBIR.LIDLASIAPTELIMIT.082.FY25-26.2"/>
    <m/>
    <m/>
    <m/>
    <m/>
    <s v=""/>
    <n v="2238"/>
    <s v=" 48% LYOCELL 47% CMIA COTTON 5% ELASTANE RIB 2X2 GSM-190 CW-111 CM/44 INCH "/>
    <s v="Sky Captain"/>
    <s v=""/>
    <n v="504.55900000000003"/>
    <n v="504.55900000000003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1.FY25-26.4"/>
    <m/>
    <m/>
    <m/>
    <m/>
    <s v=""/>
    <n v="2239"/>
    <s v=" 48% LYOCELL 47% CMIA COTTON 5% ELASTANE RIB 2X2 GSM-190 CW-111 CM/44 INCH "/>
    <s v="Black"/>
    <s v=""/>
    <n v="1.4990000000000001"/>
    <n v="1.4990000000000001"/>
    <n v="0"/>
    <m/>
    <n v="0"/>
    <s v="438197"/>
    <s v="Solid"/>
    <x v="0"/>
    <d v="2026-10-0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s v=""/>
    <s v=""/>
    <n v="9721.8700000000008"/>
    <n v="0.91400000000000003"/>
    <s v=""/>
  </r>
  <r>
    <s v="LIDL"/>
    <s v="SQBIR.LIDLASIAPTELIMIT.081.FY25-26.4"/>
    <m/>
    <m/>
    <m/>
    <m/>
    <s v=""/>
    <n v="2239"/>
    <s v=" 48% LYOCELL 47% CMIA COTTON 5% ELASTANE RIB 2X2 GSM-190 CW-111 CM/44 INCH "/>
    <s v="Black"/>
    <s v=""/>
    <n v="2000"/>
    <n v="2000"/>
    <n v="0"/>
    <m/>
    <n v="0"/>
    <s v="438197"/>
    <s v="Solid"/>
    <x v="24"/>
    <d v="2026-10-0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4"/>
    <m/>
    <m/>
    <m/>
    <m/>
    <s v=""/>
    <n v="2239"/>
    <s v=" 48% LYOCELL 47% CMIA COTTON 5% ELASTANE RIB 2X2 GSM-190 CW-111 CM/44 INCH "/>
    <s v="Black"/>
    <n v="0"/>
    <n v="2000"/>
    <n v="2000"/>
    <n v="0"/>
    <m/>
    <n v="0"/>
    <s v="438197"/>
    <s v="Solid"/>
    <x v="22"/>
    <d v="2026-10-0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n v="0"/>
    <s v=""/>
    <n v="9721.8700000000008"/>
    <n v="0.91400000000000003"/>
    <s v=""/>
  </r>
  <r>
    <s v="LIDL"/>
    <s v="SQBIR.LIDLASIAPTELIMIT.081.FY25-26.4"/>
    <m/>
    <m/>
    <m/>
    <m/>
    <s v=""/>
    <n v="2239"/>
    <s v=" 48% LYOCELL 47% CMIA COTTON 5% ELASTANE RIB 2X2 GSM-190 CW-111 CM/44 INCH "/>
    <s v="Black"/>
    <s v=""/>
    <n v="2000"/>
    <n v="2000"/>
    <n v="0"/>
    <m/>
    <n v="0"/>
    <s v="438197"/>
    <s v="Solid"/>
    <x v="56"/>
    <d v="2026-10-0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n v="0"/>
    <s v=""/>
    <n v="9721.8700000000008"/>
    <n v="0.91400000000000003"/>
    <n v="-7.1999999992840458E-2"/>
  </r>
  <r>
    <s v="LIDL"/>
    <s v="SQBIR.LIDLASIAPTELIMIT.081.FY25-26.4"/>
    <m/>
    <m/>
    <m/>
    <m/>
    <s v=""/>
    <n v="2239"/>
    <s v=" 48% LYOCELL 47% CMIA COTTON 5% ELASTANE RIB 2X2 GSM-190 CW-111 CM/44 INCH "/>
    <s v="Black"/>
    <n v="0"/>
    <n v="2000"/>
    <n v="2000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n v="0"/>
    <s v=""/>
    <n v="9721.8700000000008"/>
    <n v="0.91400000000000003"/>
    <s v=""/>
  </r>
  <r>
    <s v="LIDL"/>
    <s v="SQBIR.LIDLASIAPTELIMIT.081.FY25-26.4"/>
    <m/>
    <m/>
    <m/>
    <m/>
    <s v=""/>
    <n v="2239"/>
    <s v=" 48% LYOCELL 47% CMIA COTTON 5% ELASTANE RIB 2X2 GSM-190 CW-111 CM/44 INCH "/>
    <s v="Black"/>
    <s v=""/>
    <n v="2000"/>
    <n v="2000"/>
    <n v="0"/>
    <m/>
    <n v="0"/>
    <s v="438197"/>
    <s v="Solid"/>
    <x v="54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4"/>
    <m/>
    <m/>
    <m/>
    <m/>
    <s v=""/>
    <n v="2239"/>
    <s v=" 48% LYOCELL 47% CMIA COTTON 5% ELASTANE RIB 2X2 GSM-190 CW-111 CM/44 INCH "/>
    <s v="Black"/>
    <s v=""/>
    <n v="813.66200000000003"/>
    <n v="813.66200000000003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n v="0"/>
    <s v=""/>
    <n v="9721.8700000000008"/>
    <n v="0.91400000000000003"/>
    <s v=""/>
  </r>
  <r>
    <s v="LIDL"/>
    <s v="SQBIR.LIDLASIAPTELIMIT.081.FY25-26.7"/>
    <m/>
    <m/>
    <m/>
    <m/>
    <s v=""/>
    <n v="2240"/>
    <s v=" 48% LYOCELL 47% CMIA COTTON 5% ELASTANE RIB 2X2 GSM-190 CW-111 CM/44 INCH "/>
    <s v="Black"/>
    <s v=""/>
    <n v="1186.338"/>
    <n v="1186.338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7"/>
    <m/>
    <m/>
    <m/>
    <m/>
    <s v=""/>
    <n v="2240"/>
    <s v=" 48% LYOCELL 47% CMIA COTTON 5% ELASTANE RIB 2X2 GSM-190 CW-111 CM/44 INCH "/>
    <s v="Black"/>
    <s v=""/>
    <n v="1393.47"/>
    <n v="1393.47"/>
    <n v="0"/>
    <m/>
    <n v="0"/>
    <s v="438197"/>
    <s v="Solid"/>
    <x v="53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s v=""/>
    <s v=""/>
    <n v="9721.8700000000008"/>
    <n v="0.91400000000000003"/>
    <s v=""/>
  </r>
  <r>
    <s v="LIDL"/>
    <s v="SQBIR.LIDLASIAPTELIMIT.082.FY25-26.4"/>
    <m/>
    <m/>
    <m/>
    <m/>
    <s v=""/>
    <n v="2241"/>
    <s v=" 48% LYOCELL 47% CMIA COTTON 5% ELASTANE RIB 2X2 GSM-190 CW-111 CM/44 INCH "/>
    <s v="Coronet Blue"/>
    <s v=""/>
    <n v="1062.181"/>
    <m/>
    <n v="-1062.181"/>
    <m/>
    <n v="-1062.181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4"/>
    <m/>
    <m/>
    <m/>
    <m/>
    <s v=""/>
    <n v="2241"/>
    <s v=" 48% LYOCELL 47% CMIA COTTON 5% ELASTANE RIB 2X2 GSM-190 CW-111 CM/44 INCH "/>
    <s v="Coronet Blue"/>
    <n v="-2220.9780000000001"/>
    <n v="6662.9340000000002"/>
    <m/>
    <n v="-6662.9340000000002"/>
    <m/>
    <n v="-6662.934000000000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s v=""/>
    <n v="57423.063999999998"/>
    <s v=""/>
    <s v=""/>
    <n v="6662.9340000000002"/>
    <s v=""/>
    <n v="56"/>
    <n v="9.2999999999999999E-2"/>
    <s v=""/>
  </r>
  <r>
    <s v="LIDL"/>
    <s v="SQBIR.LIDLASIAPTELIMIT.082.FY25-26.6"/>
    <m/>
    <m/>
    <m/>
    <m/>
    <s v=""/>
    <n v="2242"/>
    <s v=" 48% LYOCELL 47% CMIA COTTON 5% ELASTANE RIB 2X2 GSM-190 CW-111 CM/44 INCH "/>
    <s v="Sky Captain"/>
    <n v="0"/>
    <n v="226.85"/>
    <n v="226.85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s v=""/>
    <s v=""/>
    <s v=""/>
    <n v="0"/>
    <s v=""/>
    <n v="48"/>
    <n v="0.26600000000000001"/>
    <s v=""/>
  </r>
  <r>
    <s v="LIDL"/>
    <s v="SQBIR.LIDLASIAPTELIMIT.081.FY25-26.8"/>
    <m/>
    <m/>
    <m/>
    <m/>
    <s v=""/>
    <n v="2243"/>
    <s v=" 48% LYOCELL 47% CMIA COTTON 5% ELASTANE RIB 2X2 GSM-190 CW-111 CM/44 INCH "/>
    <s v="Black"/>
    <n v="0"/>
    <n v="606.53"/>
    <n v="606.53"/>
    <n v="0"/>
    <m/>
    <n v="0"/>
    <s v="438197"/>
    <s v="Solid"/>
    <x v="53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n v="0"/>
    <s v=""/>
    <n v="9721.8700000000008"/>
    <n v="0.91400000000000003"/>
    <n v="-7.1999999992840458E-2"/>
  </r>
  <r>
    <s v="LIDL"/>
    <s v="SQBIR.LIDLASIAPTELIMIT.081.FY25-26.8"/>
    <m/>
    <m/>
    <m/>
    <m/>
    <s v=""/>
    <n v="2243"/>
    <s v=" 48% LYOCELL 47% CMIA COTTON 5% ELASTANE RIB 2X2 GSM-190 CW-111 CM/44 INCH "/>
    <s v="Black"/>
    <n v="0"/>
    <n v="31.093"/>
    <n v="31.093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s v=""/>
    <s v=""/>
    <s v=""/>
    <n v="0"/>
    <s v=""/>
    <n v="9721.8700000000008"/>
    <n v="0.91400000000000003"/>
    <n v="-7.1999999992840458E-2"/>
  </r>
  <r>
    <s v="LIDL"/>
    <s v="SQBIR.LIDLASIAPTELIMIT.082.FY25-26.4"/>
    <m/>
    <m/>
    <m/>
    <m/>
    <s v=""/>
    <n v="2244"/>
    <s v=" 48% LYOCELL 47% CMIA COTTON 5% ELASTANE RIB 2X2 GSM-190 CW-111 CM/44 INCH "/>
    <s v="Micro Chip"/>
    <n v="-2575.0383333333334"/>
    <n v="7725.1149999999998"/>
    <m/>
    <n v="-7725.1149999999998"/>
    <m/>
    <n v="-7725.114999999999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Micro Chip 14-4105 TCX"/>
    <n v="190"/>
    <s v="438197#Style-2604 (MENS)-Creora190Micro Chip 14-4105 TCX"/>
    <n v="31793.21"/>
    <n v="25809.95"/>
    <n v="32000"/>
    <n v="57423.063999999991"/>
    <s v=""/>
    <s v=""/>
    <n v="7725.1149999999998"/>
    <s v=""/>
    <n v="41"/>
    <n v="0.22800000000000001"/>
    <n v="-206.79000000000087"/>
  </r>
  <r>
    <s v="LIDL"/>
    <s v="SQBIR.LIDLASIAPTELIMIT.082.FY25-26.3"/>
    <m/>
    <m/>
    <m/>
    <m/>
    <s v=""/>
    <n v="2245"/>
    <s v=" 48% LYOCELL 47% CMIA COTTON 5% ELASTANE RIB 2X2 GSM-190 CW-111 CM/44 INCH "/>
    <s v="Sky Captain"/>
    <n v="0"/>
    <n v="1268.5909999999999"/>
    <n v="1268.5909999999999"/>
    <n v="0"/>
    <m/>
    <n v="0"/>
    <s v="438197"/>
    <s v="Solid"/>
    <x v="23"/>
    <d v="2026-10-0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s v=""/>
    <s v=""/>
    <s v=""/>
    <n v="0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n v="0"/>
    <n v="2000"/>
    <n v="2000"/>
    <n v="0"/>
    <m/>
    <n v="0"/>
    <s v="438197"/>
    <s v="Solid"/>
    <x v="54"/>
    <d v="2026-10-1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n v="0"/>
    <s v=""/>
    <n v="48"/>
    <n v="0.26600000000000001"/>
    <n v="180.09599999999773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n v="2000"/>
    <n v="0"/>
    <m/>
    <n v="0"/>
    <s v="438197"/>
    <s v="Solid"/>
    <x v="2"/>
    <d v="2026-10-1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s v="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n v="2000"/>
    <n v="0"/>
    <m/>
    <n v="0"/>
    <s v="438197"/>
    <s v="Solid"/>
    <x v="53"/>
    <d v="2026-10-1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s v="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n v="2000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n v="0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n v="2000"/>
    <n v="0"/>
    <m/>
    <n v="0"/>
    <s v="438197"/>
    <s v="Solid"/>
    <x v="55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s v=""/>
    <s v=""/>
    <s v=""/>
    <s v="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2.FY25-26.3"/>
    <m/>
    <m/>
    <m/>
    <m/>
    <s v=""/>
    <n v="2245"/>
    <s v=" 48% LYOCELL 47% CMIA COTTON 5% ELASTANE RIB 2X2 GSM-190 CW-111 CM/44 INCH "/>
    <s v="Sky Captain"/>
    <n v="0"/>
    <n v="2000"/>
    <n v="2000"/>
    <n v="0"/>
    <m/>
    <n v="0"/>
    <s v="438197"/>
    <s v="Solid"/>
    <x v="29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n v="0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n v="2000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n v="1058.4939999999999"/>
    <n v="-941.50600000000009"/>
    <m/>
    <n v="-941.50600000000009"/>
    <s v="438197"/>
    <s v="Solid"/>
    <x v="30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s v="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m/>
    <n v="-2000"/>
    <m/>
    <n v="-200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m/>
    <n v="-2000"/>
    <m/>
    <n v="-200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n v="2000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2000"/>
    <m/>
    <n v="-2000"/>
    <m/>
    <n v="-2000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2.FY25-26.3"/>
    <m/>
    <m/>
    <m/>
    <m/>
    <s v=""/>
    <n v="2245"/>
    <s v=" 48% LYOCELL 47% CMIA COTTON 5% ELASTANE RIB 2X2 GSM-190 CW-111 CM/44 INCH "/>
    <s v="Sky Captain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n v="2000"/>
    <s v=""/>
    <n v="48"/>
    <n v="0.26600000000000001"/>
    <s v=""/>
  </r>
  <r>
    <s v="LIDL"/>
    <s v="SQBIR.LIDLASIAPTELIMIT.082.FY25-26.3"/>
    <m/>
    <m/>
    <m/>
    <m/>
    <s v=""/>
    <n v="2245"/>
    <s v=" 48% LYOCELL 47% CMIA COTTON 5% ELASTANE RIB 2X2 GSM-190 CW-111 CM/44 INCH "/>
    <s v="Sky Captain"/>
    <s v=""/>
    <n v="4783.5690000000004"/>
    <m/>
    <n v="-4783.5690000000004"/>
    <m/>
    <n v="-4783.5690000000004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1.FY25-26.5"/>
    <m/>
    <m/>
    <m/>
    <m/>
    <s v=""/>
    <n v="2246"/>
    <s v=" 48% LYOCELL 47% CMIA COTTON 5% ELASTANE RIB 2X2 GSM-190 CW-111 CM/44 INCH "/>
    <s v="Black"/>
    <s v=""/>
    <n v="1968.9069999999999"/>
    <n v="1968.9069999999999"/>
    <n v="0"/>
    <m/>
    <n v="0"/>
    <s v="438197"/>
    <s v="Solid"/>
    <x v="34"/>
    <d v="2026-10-1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s v=""/>
    <s v=""/>
    <n v="9721.8700000000008"/>
    <n v="0.91400000000000003"/>
    <s v=""/>
  </r>
  <r>
    <s v="LIDL"/>
    <s v="SQBIR.LIDLASIAPTELIMIT.081.FY25-26.5"/>
    <m/>
    <m/>
    <m/>
    <m/>
    <s v=""/>
    <n v="2246"/>
    <s v=" 48% LYOCELL 47% CMIA COTTON 5% ELASTANE RIB 2X2 GSM-190 CW-111 CM/44 INCH "/>
    <s v="Black"/>
    <n v="0"/>
    <n v="2000"/>
    <n v="2000"/>
    <n v="0"/>
    <m/>
    <n v="0"/>
    <s v="438197"/>
    <s v="Solid"/>
    <x v="55"/>
    <d v="2026-10-14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5"/>
    <m/>
    <m/>
    <m/>
    <m/>
    <s v=""/>
    <n v="2246"/>
    <s v=" 48% LYOCELL 47% CMIA COTTON 5% ELASTANE RIB 2X2 GSM-190 CW-111 CM/44 INCH "/>
    <s v="Black"/>
    <n v="0"/>
    <n v="2000"/>
    <n v="2000"/>
    <n v="0"/>
    <m/>
    <n v="0"/>
    <s v="438197"/>
    <s v="Solid"/>
    <x v="25"/>
    <d v="2026-10-15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n v="0"/>
    <s v=""/>
    <n v="9721.8700000000008"/>
    <n v="0.91400000000000003"/>
    <s v=""/>
  </r>
  <r>
    <s v="LIDL"/>
    <s v="SQBIR.LIDLASIAPTELIMIT.081.FY25-26.5"/>
    <m/>
    <m/>
    <m/>
    <m/>
    <s v=""/>
    <n v="2246"/>
    <s v=" 48% LYOCELL 47% CMIA COTTON 5% ELASTANE RIB 2X2 GSM-190 CW-111 CM/44 INCH "/>
    <s v="Black"/>
    <s v=""/>
    <n v="2000"/>
    <n v="2000"/>
    <n v="0"/>
    <m/>
    <n v="0"/>
    <s v="438197"/>
    <s v="Solid"/>
    <x v="26"/>
    <d v="2026-10-16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5"/>
    <m/>
    <m/>
    <m/>
    <m/>
    <s v=""/>
    <n v="2246"/>
    <s v=" 48% LYOCELL 47% CMIA COTTON 5% ELASTANE RIB 2X2 GSM-190 CW-111 CM/44 INCH "/>
    <s v="Black"/>
    <n v="0"/>
    <n v="1495.2750000000001"/>
    <n v="1495.2750000000001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n v="0"/>
    <s v=""/>
    <n v="9721.8700000000008"/>
    <n v="0.91400000000000003"/>
    <s v=""/>
  </r>
  <r>
    <s v="LIDL"/>
    <s v="SQBIR.LIDLASIAPTELIMIT.082.FY25-26.9"/>
    <m/>
    <m/>
    <m/>
    <m/>
    <s v=""/>
    <n v="2247"/>
    <s v=" 48% LYOCELL 47% CMIA COTTON 5% ELASTANE RIB 2X2 GSM-190 CW-111 CM/44 INCH "/>
    <s v="Sky Captain"/>
    <s v=""/>
    <n v="36.645000000000003"/>
    <m/>
    <n v="-36.645000000000003"/>
    <m/>
    <n v="-36.64500000000000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n v="35058.493999999999"/>
    <n v="57423.063999999998"/>
    <s v=""/>
    <s v=""/>
    <s v=""/>
    <s v=""/>
    <n v="48"/>
    <n v="0.26600000000000001"/>
    <n v="180.09599999999773"/>
  </r>
  <r>
    <s v="LIDL"/>
    <s v="SQBIR.LIDLASIAPTELIMIT.082.FY25-26.5"/>
    <m/>
    <m/>
    <m/>
    <m/>
    <s v=""/>
    <n v="2248"/>
    <s v=" 48% LYOCELL 47% CMIA COTTON 5% ELASTANE RIB 2X2 GSM-190 CW-111 CM/44 INCH "/>
    <s v="Sky Captain"/>
    <n v="-2253.3766666666666"/>
    <n v="6760.13"/>
    <m/>
    <n v="-6760.13"/>
    <m/>
    <n v="-6760.1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n v="6760.13"/>
    <s v=""/>
    <n v="48"/>
    <n v="0.26600000000000001"/>
    <s v=""/>
  </r>
  <r>
    <s v="LIDL"/>
    <s v="SQBIR.LIDLASIAPTELIMIT.082.FY25-26.5"/>
    <m/>
    <m/>
    <m/>
    <m/>
    <s v=""/>
    <n v="2249"/>
    <s v=" 48% LYOCELL 47% CMIA COTTON 5% ELASTANE RIB 2X2 GSM-190 CW-111 CM/44 INCH "/>
    <s v="Coronet Blue"/>
    <s v=""/>
    <n v="6760.13"/>
    <m/>
    <n v="-6760.13"/>
    <m/>
    <n v="-6760.13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Coronet Blue 18-3922 Tcx"/>
    <n v="190"/>
    <s v="438197#Style-2604 (MENS)-Creora190Coronet Blue 18-3922 Tcx"/>
    <n v="21851.65"/>
    <n v="35571.35"/>
    <n v="33000"/>
    <n v="57423.063999999998"/>
    <s v=""/>
    <s v=""/>
    <s v=""/>
    <s v=""/>
    <n v="56"/>
    <n v="9.2999999999999999E-2"/>
    <n v="-11148.349999999999"/>
  </r>
  <r>
    <s v="LIDL"/>
    <s v="SQBIR.LIDLASIAPTELIMIT.082.FY25-26.7"/>
    <m/>
    <m/>
    <m/>
    <m/>
    <s v=""/>
    <n v="2250"/>
    <s v=" 48% LYOCELL 47% CMIA COTTON 5% ELASTANE RIB 2X2 GSM-190 CW-111 CM/44 INCH "/>
    <s v="Sky Captain"/>
    <n v="-614.24"/>
    <n v="1842.72"/>
    <m/>
    <n v="-1842.72"/>
    <m/>
    <n v="-1842.7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Sky Captain 19-3922 TCX"/>
    <n v="190"/>
    <s v="438197#Style-2604 (MENS)-Creora190Sky Captain 19-3922 TCX"/>
    <n v="35238.589999999997"/>
    <n v="22364.57"/>
    <s v=""/>
    <n v="57423.063999999998"/>
    <s v=""/>
    <s v=""/>
    <n v="1842.72"/>
    <s v=""/>
    <n v="48"/>
    <n v="0.26600000000000001"/>
    <s v=""/>
  </r>
  <r>
    <s v="LIDL"/>
    <s v="SQBIR.LIDLASIAPTELIMIT.081.FY25-26.9"/>
    <m/>
    <m/>
    <m/>
    <m/>
    <s v=""/>
    <n v="2251"/>
    <s v=" 48% LYOCELL 47% CMIA COTTON 5% ELASTANE RIB 2X2 GSM-190 CW-111 CM/44 INCH "/>
    <s v="Black"/>
    <s v=""/>
    <n v="41.88"/>
    <n v="41.88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6"/>
    <m/>
    <m/>
    <m/>
    <m/>
    <s v=""/>
    <n v="2252"/>
    <s v=" 48% LYOCELL 47% CMIA COTTON 5% ELASTANE RIB 2X2 GSM-190 CW-111 CM/44 INCH "/>
    <s v="Black"/>
    <s v=""/>
    <n v="317.58999999999997"/>
    <n v="317.58999999999997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n v="0"/>
    <s v=""/>
    <n v="9721.8700000000008"/>
    <n v="0.91400000000000003"/>
    <s v=""/>
  </r>
  <r>
    <s v="LIDL"/>
    <s v="SQBIR.LIDLASIAPTELIMIT.081.FY25-26.5"/>
    <m/>
    <m/>
    <m/>
    <m/>
    <s v=""/>
    <n v="2253"/>
    <s v=" 48% LYOCELL 47% CMIA COTTON 5% ELASTANE RIB 2X2 GSM-190 CW-111 CM/44 INCH "/>
    <s v="Ultimate Grey"/>
    <s v=""/>
    <n v="9464.1820000000007"/>
    <m/>
    <n v="-9464.1820000000007"/>
    <m/>
    <n v="-9464.1820000000007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n v="78737.19200000001"/>
    <s v=""/>
    <s v=""/>
    <s v=""/>
    <s v=""/>
    <n v="2760.05"/>
    <n v="0.309"/>
    <n v="179.98799999999756"/>
  </r>
  <r>
    <s v="LIDL"/>
    <s v="SQBIR.LIDLASIAPTELIMIT.081.FY25-26.1"/>
    <m/>
    <m/>
    <m/>
    <m/>
    <s v=""/>
    <n v="2254"/>
    <s v=" 48% LYOCELL 47% CMIA COTTON 5% ELASTANE RIB 2X2 GSM-190 CW-111 CM/44 INCH "/>
    <s v="Ultimate Grey"/>
    <n v="-1953.5856666666666"/>
    <n v="5860.7569999999996"/>
    <m/>
    <n v="-5860.7569999999996"/>
    <m/>
    <n v="-5860.7569999999996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s v=""/>
    <n v="78737.19200000001"/>
    <s v=""/>
    <s v=""/>
    <n v="5860.7569999999996"/>
    <s v=""/>
    <n v="2760.05"/>
    <n v="0.309"/>
    <s v=""/>
  </r>
  <r>
    <s v="LIDL"/>
    <s v="SQBIR.LIDLASIAPTELIMIT.081.FY25-26.7"/>
    <m/>
    <m/>
    <m/>
    <m/>
    <s v=""/>
    <n v="2255"/>
    <s v=" 48% LYOCELL 47% CMIA COTTON 5% ELASTANE RIB 2X2 GSM-190 CW-111 CM/44 INCH "/>
    <s v="Ultimate Grey"/>
    <s v=""/>
    <n v="2579.808"/>
    <m/>
    <n v="-2579.808"/>
    <m/>
    <n v="-2579.808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Ultimate Grey (17-5104 TCX)"/>
    <n v="190"/>
    <s v="438197#Style-2604 (MENS)-Creora190Ultimate Grey (17-5104 TCX)"/>
    <n v="51019.85"/>
    <n v="27897.33"/>
    <n v="50839.862000000001"/>
    <n v="78737.19200000001"/>
    <s v=""/>
    <s v=""/>
    <s v=""/>
    <s v=""/>
    <n v="2760.05"/>
    <n v="0.309"/>
    <n v="179.98799999999756"/>
  </r>
  <r>
    <s v="LIDL"/>
    <s v="SQBIR.LIDLASIAPTELIMIT.081.FY25-26.3"/>
    <m/>
    <m/>
    <m/>
    <m/>
    <s v=""/>
    <n v="2256"/>
    <s v=" 48% LYOCELL 47% CMIA COTTON 5% ELASTANE RIB 2X2 GSM-190 CW-111 CM/44 INCH "/>
    <s v="Black"/>
    <n v="0"/>
    <n v="145.255"/>
    <n v="145.255"/>
    <n v="0"/>
    <m/>
    <n v="0"/>
    <s v="438197"/>
    <s v="Solid"/>
    <x v="27"/>
    <d v="2026-10-17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s v=""/>
    <n v="78779.071999999986"/>
    <s v=""/>
    <s v=""/>
    <n v="0"/>
    <s v=""/>
    <n v="9721.8700000000008"/>
    <n v="0.91400000000000003"/>
    <s v=""/>
  </r>
  <r>
    <s v="LIDL"/>
    <s v="SQBIR.LIDLASIAPTELIMIT.081.FY25-26.3"/>
    <m/>
    <m/>
    <m/>
    <m/>
    <s v=""/>
    <n v="2256"/>
    <s v=" 48% LYOCELL 47% CMIA COTTON 5% ELASTANE RIB 2X2 GSM-190 CW-111 CM/44 INCH "/>
    <s v="Black"/>
    <s v=""/>
    <n v="2000"/>
    <n v="2000"/>
    <n v="0"/>
    <m/>
    <n v="0"/>
    <s v="438197"/>
    <s v="Solid"/>
    <x v="28"/>
    <d v="2026-10-18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3"/>
    <m/>
    <m/>
    <m/>
    <m/>
    <s v=""/>
    <n v="2256"/>
    <s v=" 48% LYOCELL 47% CMIA COTTON 5% ELASTANE RIB 2X2 GSM-190 CW-111 CM/44 INCH "/>
    <s v="Black"/>
    <s v=""/>
    <n v="2000"/>
    <n v="2000"/>
    <n v="0"/>
    <m/>
    <n v="0"/>
    <s v="438197"/>
    <s v="Solid"/>
    <x v="29"/>
    <d v="2026-10-19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s v=""/>
    <s v=""/>
    <n v="9721.8700000000008"/>
    <n v="0.91400000000000003"/>
    <n v="-7.1999999992840458E-2"/>
  </r>
  <r>
    <s v="LIDL"/>
    <s v="SQBIR.LIDLASIAPTELIMIT.081.FY25-26.3"/>
    <m/>
    <m/>
    <m/>
    <m/>
    <s v=""/>
    <n v="2256"/>
    <s v=" 48% LYOCELL 47% CMIA COTTON 5% ELASTANE RIB 2X2 GSM-190 CW-111 CM/44 INCH "/>
    <s v="Black"/>
    <n v="0"/>
    <n v="2000"/>
    <n v="2000"/>
    <n v="0"/>
    <m/>
    <n v="0"/>
    <s v="438197"/>
    <s v="Solid"/>
    <x v="30"/>
    <d v="2026-10-20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s v=""/>
    <s v=""/>
    <s v=""/>
    <n v="0"/>
    <s v=""/>
    <n v="9721.8700000000008"/>
    <n v="0.91400000000000003"/>
    <n v="-7.1999999992840458E-2"/>
  </r>
  <r>
    <s v="LIDL"/>
    <s v="SQBIR.LIDLASIAPTELIMIT.081.FY25-26.3"/>
    <m/>
    <m/>
    <m/>
    <m/>
    <s v=""/>
    <n v="2256"/>
    <s v=" 48% LYOCELL 47% CMIA COTTON 5% ELASTANE RIB 2X2 GSM-190 CW-111 CM/44 INCH "/>
    <s v="Black"/>
    <n v="-26.74266666666669"/>
    <n v="2000"/>
    <n v="1919.7719999999999"/>
    <n v="-80.228000000000065"/>
    <m/>
    <n v="-80.228000000000065"/>
    <s v="438197"/>
    <s v="Solid"/>
    <x v="31"/>
    <d v="2026-10-21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n v="80.228000000000065"/>
    <s v=""/>
    <n v="9721.8700000000008"/>
    <n v="0.91400000000000003"/>
    <n v="-7.1999999992840458E-2"/>
  </r>
  <r>
    <s v="LIDL"/>
    <s v="SQBIR.LIDLASIAPTELIMIT.081.FY25-26.3"/>
    <m/>
    <m/>
    <m/>
    <m/>
    <s v=""/>
    <n v="2256"/>
    <s v=" 48% LYOCELL 47% CMIA COTTON 5% ELASTANE RIB 2X2 GSM-190 CW-111 CM/44 INCH "/>
    <s v="Black"/>
    <n v="-666.66666666666663"/>
    <n v="2000"/>
    <m/>
    <n v="-2000"/>
    <m/>
    <n v="-2000"/>
    <s v="438197"/>
    <s v="Solid"/>
    <x v="17"/>
    <d v="2026-10-22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s v=""/>
    <s v=""/>
    <s v=""/>
    <n v="2000"/>
    <s v=""/>
    <n v="9721.8700000000008"/>
    <n v="0.91400000000000003"/>
    <n v="-7.1999999992840458E-2"/>
  </r>
  <r>
    <s v="LIDL"/>
    <s v="SQBIR.LIDLASIAPTELIMIT.081.FY25-26.3"/>
    <m/>
    <m/>
    <m/>
    <m/>
    <s v=""/>
    <n v="2256"/>
    <s v=" 48% LYOCELL 47% CMIA COTTON 5% ELASTANE RIB 2X2 GSM-190 CW-111 CM/44 INCH "/>
    <s v="Black"/>
    <s v=""/>
    <n v="34779.072"/>
    <m/>
    <n v="-34779.072"/>
    <m/>
    <n v="-34779.072"/>
    <s v="438197"/>
    <s v="Solid"/>
    <x v="7"/>
    <d v="2026-10-23T00:00:00"/>
    <s v="(1st Oct-23rd Oct)-2k mtr/day_x000a_Close by 23rd Oct"/>
    <s v="Hues Agreed qty as per SQBL required date"/>
    <m/>
    <s v="Oct"/>
    <d v="2026-10-01T00:00:00"/>
    <m/>
    <m/>
    <m/>
    <m/>
    <m/>
    <m/>
    <m/>
    <m/>
    <m/>
    <m/>
    <s v="438197#Style-2604 (MENS)-Creora"/>
    <s v="Black"/>
    <n v="190"/>
    <s v="438197#Style-2604 (MENS)-Creora190Black"/>
    <n v="41919.699999999997"/>
    <n v="36859.300000000003"/>
    <n v="41919.77199999999"/>
    <n v="78779.071999999986"/>
    <s v=""/>
    <s v=""/>
    <n v="34779.072"/>
    <s v=""/>
    <n v="9721.8700000000008"/>
    <n v="0.91400000000000003"/>
    <n v="-7.1999999992840458E-2"/>
  </r>
  <r>
    <s v="LIDL"/>
    <s v="QLK.LIDLASIAPTELIMIT.002.FY26-27.4"/>
    <m/>
    <m/>
    <m/>
    <m/>
    <s v=""/>
    <n v="2257"/>
    <s v="95% CMIA COTTON 5% ELASTANE CRERORA SINGLE JERSEY GSM 160 CW-167 cm"/>
    <s v="Black"/>
    <n v="0"/>
    <n v="15000"/>
    <n v="1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Black"/>
    <n v="160"/>
    <s v="459112#Style-2607 (MENS)-Creora-Srilanka order160Black"/>
    <n v="58663.76"/>
    <n v="10182.23"/>
    <n v="25000"/>
    <n v="30000"/>
    <s v=""/>
    <s v=""/>
    <n v="0"/>
    <s v=""/>
    <n v="25530.18"/>
    <n v="0.88"/>
    <n v="33663.760000000002"/>
  </r>
  <r>
    <s v="LIDL"/>
    <s v="QLK.LIDLASIAPTELIMIT.002.FY26-27.4"/>
    <m/>
    <m/>
    <m/>
    <m/>
    <s v=""/>
    <n v="2258"/>
    <s v="95% CMIA COTTON 5% ELASTANE CRERORA SINGLE JERSEY GSM 160 CW-167 cm"/>
    <s v="Gray Flannel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Gray Flannel"/>
    <n v="160"/>
    <s v="459112#Style-2607 (MENS)-Creora-Srilanka order160Gray Flannel"/>
    <n v="9937.9699999999993"/>
    <n v="10593.04"/>
    <s v=""/>
    <s v=""/>
    <s v=""/>
    <s v=""/>
    <n v="0"/>
    <s v=""/>
    <n v="9937.9699999999993"/>
    <n v="0.48399999999999999"/>
    <s v=""/>
  </r>
  <r>
    <s v="LIDL"/>
    <s v="QLK.LIDLASIAPTELIMIT.002.FY26-27.4"/>
    <m/>
    <m/>
    <m/>
    <m/>
    <s v=""/>
    <n v="2259"/>
    <s v="95% CMIA COTTON 5% ELASTANE CRERORA SINGLE JERSEY GSM 160 CW-167 cm"/>
    <s v="Navy Blazer"/>
    <s v="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Navy Blazer"/>
    <n v="160"/>
    <s v="459112#Style-2607 (MENS)-Creora-Srilanka order160Navy Blazer"/>
    <n v="18417.57"/>
    <n v="2494.4299999999998"/>
    <n v="7505.57"/>
    <s v=""/>
    <s v=""/>
    <s v=""/>
    <s v=""/>
    <s v=""/>
    <n v="18417.57"/>
    <n v="0.88100000000000001"/>
    <n v="10912"/>
  </r>
  <r>
    <s v="LIDL"/>
    <s v="QLK.LIDLASIAPTELIMIT.002.FY26-27.4"/>
    <m/>
    <m/>
    <m/>
    <m/>
    <s v=""/>
    <n v="2260"/>
    <s v="95% CMIA COTTON 5% ELASTANE CRERORA SINGLE JERSEY GSM 160 CW-167 cm"/>
    <s v="True Navy"/>
    <n v="0"/>
    <n v="5000"/>
    <n v="5000"/>
    <n v="0"/>
    <m/>
    <n v="0"/>
    <n v="459112"/>
    <s v="Solid"/>
    <x v="3"/>
    <d v="2026-10-04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12#Style-2607 (MENS)-Creora-Srilanka order"/>
    <s v="True Navy"/>
    <n v="160"/>
    <s v="459112#Style-2607 (MENS)-Creora-Srilanka order160True Navy"/>
    <n v="18201.29"/>
    <n v="2710.72"/>
    <s v=""/>
    <s v=""/>
    <s v=""/>
    <s v=""/>
    <n v="0"/>
    <s v=""/>
    <n v="18201.29"/>
    <n v="0.87"/>
    <s v=""/>
  </r>
  <r>
    <s v="LIDL"/>
    <s v="QLK.LIDLASIAPTELIMIT.002.FY26-27.4"/>
    <m/>
    <m/>
    <m/>
    <m/>
    <s v=""/>
    <n v="2261"/>
    <s v="95% CMIA COTTON 5% ELASTANE CRERORA SINGLE JERSEY GSM 160 CW-167 cm"/>
    <s v="Black"/>
    <s v=""/>
    <n v="15000"/>
    <n v="10000"/>
    <n v="-5000"/>
    <m/>
    <n v="-5000"/>
    <n v="459112"/>
    <s v="Solid"/>
    <x v="54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Black"/>
    <n v="160"/>
    <s v="459112#Style-2607 (MENS)-Creora-Srilanka order160Black"/>
    <n v="58663.76"/>
    <n v="10182.23"/>
    <s v=""/>
    <s v=""/>
    <s v=""/>
    <s v=""/>
    <s v=""/>
    <s v=""/>
    <n v="25530.18"/>
    <n v="0.88"/>
    <s v=""/>
  </r>
  <r>
    <s v="LIDL"/>
    <s v="QLK.LIDLASIAPTELIMIT.002.FY26-27.4"/>
    <m/>
    <m/>
    <m/>
    <m/>
    <s v=""/>
    <n v="2262"/>
    <s v="95% CMIA COTTON 5% ELASTANE CRERORA SINGLE JERSEY GSM 160 CW-167 cm"/>
    <s v="Gray Flannel"/>
    <s v=""/>
    <n v="5000"/>
    <m/>
    <n v="-5000"/>
    <m/>
    <n v="-5000"/>
    <n v="459112"/>
    <s v="Solid"/>
    <x v="54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Gray Flannel"/>
    <n v="160"/>
    <s v="459112#Style-2607 (MENS)-Creora-Srilanka order160Gray Flannel"/>
    <n v="9937.9699999999993"/>
    <n v="10593.04"/>
    <s v=""/>
    <s v=""/>
    <s v=""/>
    <s v=""/>
    <s v=""/>
    <s v=""/>
    <n v="9937.9699999999993"/>
    <n v="0.48399999999999999"/>
    <s v=""/>
  </r>
  <r>
    <s v="LIDL"/>
    <s v="QLK.LIDLASIAPTELIMIT.002.FY26-27.4"/>
    <m/>
    <m/>
    <m/>
    <m/>
    <s v=""/>
    <n v="2263"/>
    <s v="95% CMIA COTTON 5% ELASTANE CRERORA SINGLE JERSEY GSM 160 CW-167 cm"/>
    <s v="Navy Blazer"/>
    <s v=""/>
    <n v="5000"/>
    <n v="2505.5700000000002"/>
    <n v="-2494.4299999999998"/>
    <m/>
    <n v="-2494.4299999999998"/>
    <n v="459112"/>
    <s v="Solid"/>
    <x v="54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Navy Blazer"/>
    <n v="160"/>
    <s v="459112#Style-2607 (MENS)-Creora-Srilanka order160Navy Blazer"/>
    <n v="18417.57"/>
    <n v="2494.4299999999998"/>
    <s v=""/>
    <s v=""/>
    <s v=""/>
    <s v=""/>
    <s v=""/>
    <s v=""/>
    <n v="18417.57"/>
    <n v="0.88100000000000001"/>
    <s v=""/>
  </r>
  <r>
    <s v="LIDL"/>
    <s v="QLK.LIDLASIAPTELIMIT.002.FY26-27.4"/>
    <m/>
    <m/>
    <m/>
    <m/>
    <s v=""/>
    <n v="2264"/>
    <s v="95% CMIA COTTON 5% ELASTANE CRERORA SINGLE JERSEY GSM 160 CW-167 cm"/>
    <s v="True Navy"/>
    <n v="-903.57333333333327"/>
    <n v="5000"/>
    <n v="2289.2800000000002"/>
    <n v="-2710.72"/>
    <m/>
    <n v="-2710.72"/>
    <n v="459112"/>
    <s v="Solid"/>
    <x v="54"/>
    <d v="2026-10-10T00:00:00"/>
    <d v="2026-10-10T00:00:00"/>
    <s v="Hues Agreed qty as per SQBL required date"/>
    <s v="2nd Slot order plan shared by Mr. Ferdous"/>
    <s v="Oct"/>
    <d v="2026-10-10T00:00:00"/>
    <m/>
    <m/>
    <m/>
    <m/>
    <m/>
    <m/>
    <m/>
    <s v="OTT CHNG"/>
    <m/>
    <m/>
    <s v="459112#Style-2607 (MENS)-Creora-Srilanka order"/>
    <s v="True Navy"/>
    <n v="160"/>
    <s v="459112#Style-2607 (MENS)-Creora-Srilanka order160True Navy"/>
    <n v="18201.29"/>
    <n v="2710.72"/>
    <s v=""/>
    <s v=""/>
    <s v=""/>
    <s v=""/>
    <n v="2710.72"/>
    <s v=""/>
    <n v="18201.29"/>
    <n v="0.87"/>
    <s v=""/>
  </r>
  <r>
    <s v="M&amp;S T14"/>
    <s v="SQBIR.MS.030.FY26-27.7"/>
    <m/>
    <m/>
    <m/>
    <m/>
    <s v=""/>
    <n v="2"/>
    <s v=" 95% BCI COTTON 5% LYCRA JERSEY GSM-150 CW-160 CM/63 INCH "/>
    <s v="DARK SLATE 23891"/>
    <s v=""/>
    <n v="903.5"/>
    <n v="530"/>
    <n v="-373.5"/>
    <m/>
    <n v="-373.5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Dark Slate 23891"/>
    <n v="150"/>
    <s v="458011-Lycra150Dark Slate 23891"/>
    <n v="530"/>
    <n v="373.5"/>
    <n v="530"/>
    <s v=""/>
    <s v=""/>
    <s v=""/>
    <s v=""/>
    <s v=""/>
    <n v="530"/>
    <n v="0.58699999999999997"/>
    <n v="0"/>
  </r>
  <r>
    <s v="M&amp;S T14"/>
    <s v="SQBIR.MS.030.FY26-27.7"/>
    <m/>
    <m/>
    <m/>
    <m/>
    <s v=""/>
    <n v="3"/>
    <s v=" 95% BCI COTTON 5% LYCRA JERSEY GSM-150 CW-160 CM/63 INCH "/>
    <s v="GREEN 64512"/>
    <n v="0"/>
    <n v="903.5"/>
    <n v="903.5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Green 64512"/>
    <n v="150"/>
    <s v="458011-Lycra150Green 64512"/>
    <n v="921.37"/>
    <n v="-17.87"/>
    <n v="903.5"/>
    <n v="903.5"/>
    <s v=""/>
    <s v=""/>
    <n v="0"/>
    <s v=""/>
    <n v="921.37"/>
    <n v="1.02"/>
    <n v="17.870000000000005"/>
  </r>
  <r>
    <s v="M&amp;S T14"/>
    <s v="SQBIR.MS.030.FY26-27.7"/>
    <m/>
    <m/>
    <m/>
    <m/>
    <s v=""/>
    <n v="4"/>
    <s v=" 95% BCI COTTON 5% LYCRA JERSEY GSM-150 CW-160 CM/63 INCH "/>
    <s v="MEDIUM BLUE 80772"/>
    <s v=""/>
    <n v="4.88"/>
    <n v="4.88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Medium Blue 80772"/>
    <n v="150"/>
    <s v="458011-Lycra150Medium Blue 80772"/>
    <n v="898"/>
    <n v="5.5"/>
    <s v=""/>
    <n v="4.88"/>
    <s v=""/>
    <s v=""/>
    <s v=""/>
    <s v=""/>
    <n v="898"/>
    <n v="0.99399999999999999"/>
    <s v=""/>
  </r>
  <r>
    <s v="M &amp; S - T61 (SHK)"/>
    <s v="SQBIR.MS.027.FY26-27.2"/>
    <m/>
    <m/>
    <m/>
    <m/>
    <s v=""/>
    <n v="5"/>
    <s v="SJ BCI 100% CTN NORMAL FINISH 120GSM CUT WIDTH 62"/>
    <s v="WHITE 10001"/>
    <n v="0"/>
    <n v="5.2960000000000003"/>
    <n v="5.2960000000000003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s v=""/>
    <s v=""/>
    <s v=""/>
    <n v="0"/>
    <s v=""/>
    <n v="43"/>
    <n v="1"/>
    <n v="1.1529999999999987"/>
  </r>
  <r>
    <s v="M &amp; S - T61 (KPK)"/>
    <s v="SQBIR.MS.01250.FY25-26.11"/>
    <m/>
    <m/>
    <m/>
    <m/>
    <s v=""/>
    <n v="7"/>
    <s v="SJ 95% BCI Cmd Cmpt CTN 5% Inv Ly 140gsm CW63”"/>
    <s v="62551 PINK"/>
    <n v="0"/>
    <n v="2.4"/>
    <n v="2.4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62551 Pink"/>
    <n v="140"/>
    <s v="44110914062551 Pink"/>
    <n v="157"/>
    <n v="-7"/>
    <s v=""/>
    <s v=""/>
    <s v=""/>
    <s v=""/>
    <n v="0"/>
    <s v=""/>
    <n v="157"/>
    <n v="1.0469999999999999"/>
    <s v=""/>
  </r>
  <r>
    <s v="M &amp; S - T61 (KPK)"/>
    <s v="SQBIR.MS.01202.FY25-26.11"/>
    <m/>
    <m/>
    <m/>
    <m/>
    <s v=""/>
    <n v="8"/>
    <s v="SJ 95% BCI Cmd Cmpt CTN 5% Inv Ly 140gsm CW63”"/>
    <s v="MOONDAST"/>
    <s v=""/>
    <n v="35.585000000000001"/>
    <n v="35.585000000000001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33396 Moondust"/>
    <n v="140"/>
    <s v="44110914033396 Moondust"/>
    <n v="2835.58"/>
    <n v="-57.58"/>
    <s v=""/>
    <s v=""/>
    <s v=""/>
    <s v=""/>
    <s v=""/>
    <s v=""/>
    <n v="2835.58"/>
    <n v="1.0209999999999999"/>
    <s v=""/>
  </r>
  <r>
    <s v="M &amp; S - T61 (KPK)"/>
    <s v="SQBIR.MS.01202.FY25-26.12"/>
    <m/>
    <m/>
    <m/>
    <m/>
    <s v=""/>
    <n v="9"/>
    <s v="SJ 95% BCI Cmd Cmpt CTN 5% Inv Ly 140gsm CW63”"/>
    <s v="MOONDAST"/>
    <s v=""/>
    <n v="212.875"/>
    <n v="212.87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33396 Moondust"/>
    <n v="140"/>
    <s v="44110914033396 Moondust"/>
    <n v="2835.58"/>
    <n v="-57.58"/>
    <n v="248.46"/>
    <n v="248.46"/>
    <s v=""/>
    <s v=""/>
    <s v=""/>
    <s v=""/>
    <n v="2835.58"/>
    <n v="1.0209999999999999"/>
    <n v="2587.12"/>
  </r>
  <r>
    <s v="M&amp;S T14"/>
    <s v="SQBIR.MS.077.FY26-27.5"/>
    <m/>
    <m/>
    <m/>
    <m/>
    <b v="0"/>
    <n v="17"/>
    <s v=" 95% BCI COTTON 5% ELASTANE JERSEY GSM-150 CW-160 CM/63 INCH "/>
    <s v="CHAMBRAY 47330"/>
    <n v="-4.2"/>
    <n v="12.6"/>
    <m/>
    <n v="-12.6"/>
    <m/>
    <n v="-12.6"/>
    <s v="464475"/>
    <s v="Solid"/>
    <x v="12"/>
    <d v="2026-10-25T00:00:00"/>
    <d v="2026-10-25T00:00:00"/>
    <s v="Revised Plan given as per revised date"/>
    <s v="OTT ADVANCEMENT"/>
    <s v="Oct"/>
    <d v="2026-10-01T00:00:00"/>
    <m/>
    <m/>
    <m/>
    <m/>
    <m/>
    <m/>
    <m/>
    <m/>
    <m/>
    <m/>
    <s v="464475-Creora"/>
    <s v="Chambray 47330"/>
    <n v="150"/>
    <s v="464475-Creora150Chambray 47330"/>
    <n v="0"/>
    <s v="#NA"/>
    <s v=""/>
    <n v="12.6"/>
    <s v=""/>
    <s v=""/>
    <n v="12.6"/>
    <b v="0"/>
    <n v="0"/>
    <n v="0"/>
    <s v=""/>
  </r>
  <r>
    <s v="M &amp; S - T61 (KPK)"/>
    <s v="SQBIR.MS.01166.FY25-26.13"/>
    <m/>
    <m/>
    <m/>
    <m/>
    <s v=""/>
    <n v="18"/>
    <s v="SJ 100% BCI Combed Compact Cotton 120gsm CW62”"/>
    <s v="White"/>
    <s v=""/>
    <n v="110"/>
    <n v="11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20"/>
    <s v="440958120White 10001"/>
    <n v="1936.68"/>
    <n v="-9.18"/>
    <n v="1110.0999999999999"/>
    <s v=""/>
    <s v=""/>
    <s v=""/>
    <s v=""/>
    <s v=""/>
    <n v="1936.68"/>
    <n v="1.0049999999999999"/>
    <n v="826.58000000000015"/>
  </r>
  <r>
    <s v="M&amp;S T14"/>
    <s v="SQBIR.MS.033.FY26-27.6"/>
    <m/>
    <m/>
    <m/>
    <m/>
    <s v=""/>
    <n v="19"/>
    <s v=" 95% BCI COTTON 5% ELASTANE JERSEY GSM-150 CW-160 CM/63 INCH "/>
    <s v="White"/>
    <n v="0"/>
    <n v="22.48"/>
    <n v="22.48"/>
    <n v="0"/>
    <m/>
    <n v="0"/>
    <s v="457972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7972-Creora"/>
    <s v="White 10001"/>
    <n v="150"/>
    <s v="457972-Creora150White 10001"/>
    <n v="507.49"/>
    <n v="-7.49"/>
    <s v=""/>
    <s v=""/>
    <s v=""/>
    <s v=""/>
    <n v="0"/>
    <s v=""/>
    <n v="507.49"/>
    <n v="1.0149999999999999"/>
    <s v=""/>
  </r>
  <r>
    <s v="M &amp; S - T61 (KPK)"/>
    <s v="SQBIR.MS.01250.FY25-26.11"/>
    <m/>
    <m/>
    <m/>
    <m/>
    <s v=""/>
    <n v="20"/>
    <s v="SJ 95% BCI Cmd Cmpt CTN 5% Inv Ly 140gsm CW63”"/>
    <s v="64270 PINK"/>
    <s v=""/>
    <n v="3.63"/>
    <n v="3.63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64270 Pink"/>
    <n v="140"/>
    <s v="44110914064270 Pink"/>
    <n v="156"/>
    <n v="-6"/>
    <s v=""/>
    <s v=""/>
    <s v=""/>
    <s v=""/>
    <s v=""/>
    <s v=""/>
    <n v="156"/>
    <n v="1.04"/>
    <s v=""/>
  </r>
  <r>
    <s v="M &amp; S - T61 (KPK)"/>
    <s v="SQBIR.MS.01210.FY25-26.10"/>
    <m/>
    <m/>
    <m/>
    <m/>
    <s v=""/>
    <n v="21"/>
    <s v="SJ 95% BCI Cmd Cmpt CTN 5% Inv Ly 140gsm CW63”"/>
    <s v="Black 10005"/>
    <s v=""/>
    <n v="1124.0899999999999"/>
    <n v="1124.0899999999999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40"/>
    <s v="441109140Black 10005"/>
    <n v="22954.89"/>
    <n v="1674.11"/>
    <n v="8260.17"/>
    <n v="9934.2800000000007"/>
    <s v=""/>
    <s v=""/>
    <s v=""/>
    <s v=""/>
    <n v="22954.89"/>
    <n v="0.93200000000000005"/>
    <n v="14694.72"/>
  </r>
  <r>
    <s v="M &amp; S - T61 (KPK)"/>
    <s v="SQBIR.MS.01210.FY25-26.11"/>
    <m/>
    <m/>
    <m/>
    <m/>
    <s v=""/>
    <n v="22"/>
    <s v="SJ 95% BCI Cmd Cmpt CTN 5% Inv Ly 140gsm CW63”"/>
    <s v="Black 10005"/>
    <s v=""/>
    <n v="3550"/>
    <n v="3550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2954.89"/>
    <n v="1674.11"/>
    <s v=""/>
    <s v=""/>
    <s v=""/>
    <s v=""/>
    <s v=""/>
    <s v=""/>
    <n v="22954.89"/>
    <n v="0.93200000000000005"/>
    <s v=""/>
  </r>
  <r>
    <s v="M &amp; S - T51"/>
    <s v="SQBIR.MS.01333.FY25-26.2"/>
    <m/>
    <m/>
    <m/>
    <m/>
    <s v=""/>
    <n v="23"/>
    <s v="SJ 95% BCI Cmd Cmpt CTN 5% Inv Ly 140gsm CW63”"/>
    <s v="DARK NAVY 33016"/>
    <s v=""/>
    <n v="18.536999999999999"/>
    <n v="18.536999999999999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s v=""/>
    <s v=""/>
    <s v=""/>
    <s v=""/>
    <n v="381.01"/>
    <n v="0.96499999999999997"/>
    <n v="-13.990000000000009"/>
  </r>
  <r>
    <s v="M &amp; S - T51"/>
    <s v="SQBIR.MS.01333.FY25-26.3"/>
    <m/>
    <m/>
    <m/>
    <m/>
    <s v=""/>
    <n v="24"/>
    <s v="SJ 95% BCI Cmd Cmpt CTN 5% Inv Ly 140gsm CW63”"/>
    <s v="DARK NAVY 33016"/>
    <s v=""/>
    <n v="119.595"/>
    <n v="119.595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s v=""/>
    <s v=""/>
    <n v="0"/>
    <s v=""/>
    <n v="381.01"/>
    <n v="0.96499999999999997"/>
    <n v="-13.990000000000009"/>
  </r>
  <r>
    <s v="M &amp; S - T51"/>
    <s v="SQBIR.MS.01333.FY25-26.4"/>
    <m/>
    <m/>
    <m/>
    <m/>
    <s v=""/>
    <n v="25"/>
    <s v="SJ 95% BCI Cmd Cmpt CTN 5% Inv Ly 140gsm CW63”"/>
    <s v="DARK NAVY 33016"/>
    <s v=""/>
    <n v="33.220999999999997"/>
    <n v="33.220999999999997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s v=""/>
    <s v=""/>
    <s v=""/>
    <s v=""/>
    <n v="0"/>
    <s v=""/>
    <n v="381.01"/>
    <n v="0.96499999999999997"/>
    <s v=""/>
  </r>
  <r>
    <s v="M &amp; S - T51"/>
    <s v="SQBIR.MS.01333.FY25-26.5"/>
    <m/>
    <m/>
    <m/>
    <m/>
    <s v=""/>
    <n v="26"/>
    <s v="SJ 95% BCI Cmd Cmpt CTN 5% Inv Ly 140gsm CW63”"/>
    <s v="DARK NAVY 33016"/>
    <s v=""/>
    <n v="2.99"/>
    <n v="2.99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n v="395"/>
    <n v="395"/>
    <s v=""/>
    <s v=""/>
    <s v=""/>
    <s v=""/>
    <n v="381.01"/>
    <n v="0.96499999999999997"/>
    <n v="-13.990000000000009"/>
  </r>
  <r>
    <s v="M &amp; S - T61 (KPK)"/>
    <s v="SQBIR.MS.01216.FY25-26.2"/>
    <m/>
    <m/>
    <m/>
    <m/>
    <s v=""/>
    <n v="31"/>
    <s v="SJ 95% BCI Cmd Cmpt CTN 5% Inv Ly 140gsm CW63”"/>
    <s v="Black"/>
    <n v="0"/>
    <n v="1341.02"/>
    <n v="1341.02"/>
    <n v="0"/>
    <m/>
    <n v="0"/>
    <s v="440936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36"/>
    <s v="Black 10005"/>
    <n v="140"/>
    <s v="440936140Black 10005"/>
    <n v="31458"/>
    <n v="-353.32"/>
    <n v="1595.4639999999999"/>
    <n v="1595.4639999999999"/>
    <s v=""/>
    <s v=""/>
    <n v="0"/>
    <s v=""/>
    <n v="31458"/>
    <n v="1.0109999999999999"/>
    <n v="29862.536"/>
  </r>
  <r>
    <s v="M &amp; S - T61 (KPK)"/>
    <s v="SQBIR.MS.01202.FY25-26.10"/>
    <m/>
    <m/>
    <m/>
    <m/>
    <s v=""/>
    <n v="34"/>
    <s v="SJ 100% BCI Combed Compact Cotton 120gsm CW62”"/>
    <s v="MOONDAST"/>
    <s v=""/>
    <n v="18.646000000000001"/>
    <n v="18.646000000000001"/>
    <n v="0"/>
    <m/>
    <n v="0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s v=""/>
    <s v=""/>
    <s v=""/>
    <s v=""/>
    <n v="569.91"/>
    <n v="0.89"/>
    <n v="464.77399999999994"/>
  </r>
  <r>
    <s v="M &amp; S - T61 (KPK)"/>
    <s v="SQBIR.MS.01202.FY25-26.11"/>
    <m/>
    <m/>
    <m/>
    <m/>
    <s v=""/>
    <n v="35"/>
    <s v="SJ 100% BCI Combed Compact Cotton 120gsm CW62”"/>
    <s v="MOONDAST"/>
    <n v="0"/>
    <n v="18.646000000000001"/>
    <n v="18.646000000000001"/>
    <n v="0"/>
    <m/>
    <n v="0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s v=""/>
    <n v="175.45599999999999"/>
    <s v=""/>
    <s v=""/>
    <n v="0"/>
    <s v=""/>
    <n v="569.91"/>
    <n v="0.89"/>
    <s v=""/>
  </r>
  <r>
    <s v="M &amp; S - T33"/>
    <s v="SQBIR.MS.01266.FY25-26.1"/>
    <m/>
    <m/>
    <m/>
    <m/>
    <s v=""/>
    <n v="43"/>
    <s v="94% Cotton 6% Spandex 235 GSM No Molding CW 64  S/"/>
    <s v="White"/>
    <n v="0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s v=""/>
    <s v=""/>
    <s v=""/>
    <s v=""/>
    <n v="0"/>
    <s v=""/>
    <n v="317"/>
    <n v="0.98599999999999999"/>
    <s v=""/>
  </r>
  <r>
    <s v="M &amp; S - T33"/>
    <s v="SQBIR.MS.01266.FY25-26.2"/>
    <m/>
    <m/>
    <m/>
    <m/>
    <s v=""/>
    <n v="44"/>
    <s v="94% Cotton 6% Spandex 235 GSM No Molding CW 64  S/"/>
    <s v="White"/>
    <s v="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s v=""/>
    <n v="231.44599999999997"/>
    <s v=""/>
    <s v=""/>
    <s v=""/>
    <s v=""/>
    <n v="317"/>
    <n v="0.98599999999999999"/>
    <s v=""/>
  </r>
  <r>
    <s v="M &amp; S - T33"/>
    <s v="SQBIR.MS.01266.FY25-26.3"/>
    <m/>
    <m/>
    <m/>
    <m/>
    <s v=""/>
    <n v="45"/>
    <s v="94% Cotton 6% Spandex 235 GSM No Molding CW 64  S/"/>
    <s v="White"/>
    <s v="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s v=""/>
    <s v=""/>
    <s v=""/>
    <s v=""/>
    <s v=""/>
    <s v=""/>
    <n v="317"/>
    <n v="0.98599999999999999"/>
    <s v=""/>
  </r>
  <r>
    <s v="M &amp; S - T33"/>
    <s v="SQBIR.MS.01266.FY25-26.4"/>
    <m/>
    <m/>
    <m/>
    <m/>
    <s v=""/>
    <n v="46"/>
    <s v="94% Cotton 6% Spandex 235 GSM No Molding CW 64  S/"/>
    <s v="White"/>
    <s v=""/>
    <n v="41.353999999999999"/>
    <n v="41.353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s v=""/>
    <s v=""/>
    <s v=""/>
    <s v=""/>
    <n v="317"/>
    <n v="0.98599999999999999"/>
    <n v="85.55400000000003"/>
  </r>
  <r>
    <s v="M &amp; S - T33"/>
    <s v="SQBIR.MS.01266.FY25-26.5"/>
    <m/>
    <m/>
    <m/>
    <m/>
    <s v=""/>
    <n v="47"/>
    <s v="94% Cotton 6% Spandex 235 GSM No Molding CW 64  S/"/>
    <s v="White"/>
    <s v="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s v=""/>
    <s v=""/>
    <s v=""/>
    <s v=""/>
    <n v="317"/>
    <n v="0.98599999999999999"/>
    <n v="85.55400000000003"/>
  </r>
  <r>
    <s v="M &amp; S - T61 (KPK)"/>
    <s v="SQBIR.MS.01240.FY25-26.7"/>
    <m/>
    <m/>
    <m/>
    <m/>
    <s v=""/>
    <n v="48"/>
    <s v="SJ 100% BCI Combed Compact Cotton 120gsm CW62”"/>
    <s v="MOONDAST"/>
    <n v="0"/>
    <n v="17.736000000000001"/>
    <n v="17.736000000000001"/>
    <n v="0"/>
    <m/>
    <n v="0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s v=""/>
    <s v=""/>
    <n v="0"/>
    <s v=""/>
    <n v="569.91"/>
    <n v="0.89"/>
    <n v="464.77399999999994"/>
  </r>
  <r>
    <s v="M &amp; S - T33"/>
    <s v="SQBIR.MS.01304.FY25-26.2"/>
    <m/>
    <m/>
    <m/>
    <m/>
    <s v=""/>
    <n v="49"/>
    <s v="94% Cotton 6% Spandex 235 GSM No Molding CW 64  S/"/>
    <s v="Black"/>
    <n v="0"/>
    <n v="30.925000000000001"/>
    <n v="30.925000000000001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235"/>
    <s v="451547-SP27 7250235Black 10005"/>
    <n v="671"/>
    <n v="-6.71"/>
    <s v=""/>
    <s v=""/>
    <s v=""/>
    <s v=""/>
    <n v="0"/>
    <s v=""/>
    <n v="671"/>
    <n v="1.01"/>
    <s v=""/>
  </r>
  <r>
    <s v="M &amp; S - T61 (KPK)"/>
    <s v="SQBIR.MS.01202.FY25-26.12"/>
    <m/>
    <m/>
    <m/>
    <m/>
    <s v=""/>
    <n v="54"/>
    <s v="SJ 100% BCI Combed Compact Cotton 120gsm CW62”"/>
    <s v="White AOP Gusset 10001"/>
    <s v=""/>
    <n v="4.95"/>
    <n v="4.9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WHITE 10001 AOP-G"/>
    <n v="120"/>
    <s v="441109120WHITE 10001 AOP-G"/>
    <n v="666"/>
    <n v="-13"/>
    <s v=""/>
    <s v=""/>
    <s v=""/>
    <s v=""/>
    <s v=""/>
    <s v=""/>
    <n v="666"/>
    <n v="1.02"/>
    <s v=""/>
  </r>
  <r>
    <s v="M &amp; S - T33"/>
    <s v="SQBIR.MS.01300.FY25-26.7"/>
    <m/>
    <m/>
    <m/>
    <m/>
    <s v=""/>
    <n v="55"/>
    <s v="94% Cotton 6% Spandex 180 GSM No Molding CW 63  S/"/>
    <s v="MEDIUM GREY 47263"/>
    <s v=""/>
    <n v="113.4"/>
    <n v="113.4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-Cookie Cup"/>
    <s v="Medium Grey 47263"/>
    <n v="180"/>
    <s v="451603-SP27 0713-Cookie Cup180Medium Grey 47263"/>
    <n v="875.18"/>
    <n v="-21.44"/>
    <n v="151.48000000000002"/>
    <n v="151.48000000000002"/>
    <s v=""/>
    <s v=""/>
    <s v=""/>
    <s v=""/>
    <n v="875.18"/>
    <n v="1.0249999999999999"/>
    <n v="723.69999999999993"/>
  </r>
  <r>
    <s v="M &amp; S - T33"/>
    <s v="SQBIR.MS.01300.FY25-26.8"/>
    <m/>
    <m/>
    <m/>
    <m/>
    <s v=""/>
    <n v="56"/>
    <s v="94% Cotton 6% Spandex 180 GSM No Molding CW 63  S/"/>
    <s v="MEDIUM GREY 47263"/>
    <n v="0"/>
    <n v="38.08"/>
    <n v="38.08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-Cookie Cup"/>
    <s v="Medium Grey 47263"/>
    <n v="180"/>
    <s v="451603-SP27 0713-Cookie Cup180Medium Grey 47263"/>
    <n v="875.18"/>
    <n v="-21.44"/>
    <n v="151.48000000000002"/>
    <n v="151.48000000000002"/>
    <s v=""/>
    <s v=""/>
    <n v="0"/>
    <s v=""/>
    <n v="875.18"/>
    <n v="1.0249999999999999"/>
    <n v="723.69999999999993"/>
  </r>
  <r>
    <s v="M &amp; S - T33"/>
    <s v="SQBIR.MS.01300.FY25-26.4"/>
    <m/>
    <m/>
    <m/>
    <m/>
    <s v=""/>
    <n v="57"/>
    <s v="94% Cotton 6% Spandex 235 GSM No Molding CW 64  S/"/>
    <s v="Black"/>
    <s v=""/>
    <n v="30.745999999999999"/>
    <n v="30.745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235"/>
    <s v="451603-SP27 0713-Cookie Cup235Black 10005"/>
    <n v="222"/>
    <n v="1.49"/>
    <n v="138.67699999999999"/>
    <s v=""/>
    <s v=""/>
    <s v=""/>
    <s v=""/>
    <s v=""/>
    <n v="222"/>
    <n v="0.99299999999999999"/>
    <n v="83.323000000000008"/>
  </r>
  <r>
    <s v="M &amp; S - T33"/>
    <s v="SQBIR.MS.01263.FY25-26.2"/>
    <m/>
    <m/>
    <m/>
    <m/>
    <s v=""/>
    <n v="77"/>
    <s v="94% Cotton 6% Spandex 235 GSM No Molding CW 64  S/"/>
    <s v="White"/>
    <n v="0"/>
    <n v="108.056"/>
    <n v="108.056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White 10001"/>
    <n v="235"/>
    <s v="451241-SP27 3276-Cup235White 10001"/>
    <n v="1384"/>
    <n v="48.39"/>
    <s v=""/>
    <s v=""/>
    <s v=""/>
    <s v=""/>
    <n v="0"/>
    <s v=""/>
    <n v="1384"/>
    <n v="0.96599999999999997"/>
    <s v=""/>
  </r>
  <r>
    <s v="M &amp; S - T33"/>
    <s v="SQBIR.MS.01263.FY25-26.3"/>
    <m/>
    <m/>
    <m/>
    <m/>
    <s v=""/>
    <n v="78"/>
    <s v="94% Cotton 6% Spandex 235 GSM No Molding CW 64  S/"/>
    <s v="White"/>
    <s v=""/>
    <n v="113.41200000000001"/>
    <n v="113.412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White 10001"/>
    <n v="235"/>
    <s v="451241-SP27 3276-Cup235White 10001"/>
    <n v="1384"/>
    <n v="48.39"/>
    <n v="538.95000000000005"/>
    <s v=""/>
    <s v=""/>
    <s v=""/>
    <s v=""/>
    <s v=""/>
    <n v="1384"/>
    <n v="0.96599999999999997"/>
    <n v="845.05"/>
  </r>
  <r>
    <s v="M &amp; S - T33"/>
    <s v="SQBIR.MS.01257.FY25-26.4"/>
    <m/>
    <m/>
    <m/>
    <m/>
    <s v=""/>
    <n v="79"/>
    <s v="94% Cotton 6% Spandex 190 GSM Molding CW 61 S/J"/>
    <s v="Vanilla"/>
    <n v="0"/>
    <n v="113.25"/>
    <n v="113.2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-Without Cup"/>
    <s v="Vanilla 47956"/>
    <n v="190"/>
    <s v="451550-SP27 2231-Without Cup190Vanilla 47956"/>
    <n v="1472"/>
    <n v="69.400000000000006"/>
    <s v=""/>
    <s v=""/>
    <s v=""/>
    <s v=""/>
    <n v="0"/>
    <s v=""/>
    <n v="1472"/>
    <n v="0.95499999999999996"/>
    <s v=""/>
  </r>
  <r>
    <s v="M &amp; S - T33"/>
    <s v="SQBIR.MS.01257.FY25-26.5"/>
    <m/>
    <m/>
    <m/>
    <m/>
    <s v=""/>
    <n v="80"/>
    <s v="94% Cotton 6% Spandex 190 GSM Molding CW 61 S/J"/>
    <s v="Vanilla"/>
    <s v=""/>
    <n v="98.15"/>
    <n v="98.15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Vanilla 47956"/>
    <n v="190"/>
    <s v="451550-SP27 2231-Without Cup190Vanilla 47956"/>
    <n v="1472"/>
    <n v="69.400000000000006"/>
    <s v=""/>
    <s v=""/>
    <s v=""/>
    <s v=""/>
    <s v=""/>
    <s v=""/>
    <n v="1472"/>
    <n v="0.95499999999999996"/>
    <s v=""/>
  </r>
  <r>
    <s v="M &amp; S - T33"/>
    <s v="SQBIR.MS.01257.FY25-26.6"/>
    <m/>
    <m/>
    <m/>
    <m/>
    <s v=""/>
    <n v="81"/>
    <s v="94% Cotton 6% Spandex 190 GSM Molding CW 61 S/J"/>
    <s v="Vanilla"/>
    <n v="-23.133333333333344"/>
    <n v="529.10400000000004"/>
    <n v="459.70400000000001"/>
    <n v="-69.400000000000034"/>
    <m/>
    <n v="-69.400000000000034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Vanilla 47956"/>
    <n v="190"/>
    <s v="451550-SP27 2231-Without Cup190Vanilla 47956"/>
    <n v="1472"/>
    <n v="69.400000000000006"/>
    <s v=""/>
    <s v=""/>
    <s v=""/>
    <s v=""/>
    <n v="69.400000000000034"/>
    <s v=""/>
    <n v="1472"/>
    <n v="0.95499999999999996"/>
    <s v=""/>
  </r>
  <r>
    <s v="M &amp; S - T33"/>
    <s v="SQBIR.MS.01257.FY25-26.4"/>
    <m/>
    <m/>
    <m/>
    <m/>
    <s v=""/>
    <n v="82"/>
    <s v="94% Cotton 6% Spandex 190 GSM Molding CW 61 S/J"/>
    <s v="Bros"/>
    <s v=""/>
    <n v="5.9820000000000002"/>
    <n v="5.9820000000000002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-Without Cup"/>
    <s v="Bros B2692"/>
    <n v="190"/>
    <s v="451550-SP27 2231-Without Cup190Bros B2692"/>
    <n v="1572"/>
    <n v="-30.6"/>
    <s v=""/>
    <n v="47.486000000000004"/>
    <s v=""/>
    <s v=""/>
    <s v=""/>
    <s v=""/>
    <n v="1572"/>
    <n v="1.02"/>
    <s v=""/>
  </r>
  <r>
    <s v="M &amp; S - T33"/>
    <s v="SQBIR.MS.01257.FY25-26.5"/>
    <m/>
    <m/>
    <m/>
    <m/>
    <s v=""/>
    <n v="83"/>
    <s v="94% Cotton 6% Spandex 190 GSM Molding CW 61 S/J"/>
    <s v="Bros"/>
    <s v=""/>
    <n v="5.1840000000000002"/>
    <n v="5.1840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Bros B2692"/>
    <n v="190"/>
    <s v="451550-SP27 2231-Without Cup190Bros B2692"/>
    <n v="1572"/>
    <n v="-30.6"/>
    <n v="47.486000000000004"/>
    <n v="47.486000000000004"/>
    <s v=""/>
    <s v=""/>
    <s v=""/>
    <s v=""/>
    <n v="1572"/>
    <n v="1.02"/>
    <n v="1524.5139999999999"/>
  </r>
  <r>
    <s v="M &amp; S - T33"/>
    <s v="SQBIR.MS.01303.FY25-26.2"/>
    <m/>
    <m/>
    <m/>
    <m/>
    <s v=""/>
    <n v="84"/>
    <s v="94% Cotton 6% Spandex 190 GSM Molding CW 61 S/J"/>
    <s v="DARK PEWTER"/>
    <n v="0"/>
    <n v="50.478000000000002"/>
    <n v="50.478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Dark Pewter 46702"/>
    <n v="190"/>
    <s v="451550-SP27 2231-Without Cup190Dark Pewter 46702"/>
    <n v="470.68"/>
    <n v="-11.02"/>
    <n v="418.488"/>
    <n v="418.488"/>
    <s v=""/>
    <s v=""/>
    <n v="0"/>
    <s v=""/>
    <n v="470.68"/>
    <n v="1.024"/>
    <n v="52.192000000000007"/>
  </r>
  <r>
    <s v="M &amp; S - T33"/>
    <s v="SQBIR.MS.01303.FY25-26.3"/>
    <m/>
    <m/>
    <m/>
    <m/>
    <s v=""/>
    <n v="85"/>
    <s v="94% Cotton 6% Spandex 190 GSM Molding CW 61 S/J"/>
    <s v="DARK PEWTER"/>
    <s v=""/>
    <n v="355.32"/>
    <n v="355.3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Dark Pewter 46702"/>
    <n v="190"/>
    <s v="451550-SP27 2231-Without Cup190Dark Pewter 46702"/>
    <n v="470.68"/>
    <n v="-11.02"/>
    <s v=""/>
    <s v=""/>
    <s v=""/>
    <s v=""/>
    <n v="0"/>
    <s v=""/>
    <n v="470.68"/>
    <n v="1.024"/>
    <s v=""/>
  </r>
  <r>
    <s v="M &amp; S - T33"/>
    <s v="SQBIR.MS.01303.FY25-26.4"/>
    <m/>
    <m/>
    <m/>
    <m/>
    <s v=""/>
    <n v="86"/>
    <s v="94% Cotton 6% Spandex 190 GSM Molding CW 61 S/J"/>
    <s v="DARK PEWTER"/>
    <s v=""/>
    <n v="12.69"/>
    <n v="12.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Dark Pewter 46702"/>
    <n v="190"/>
    <s v="451550-SP27 2231-Without Cup190Dark Pewter 46702"/>
    <n v="470.68"/>
    <n v="-11.02"/>
    <n v="418.488"/>
    <n v="418.488"/>
    <s v=""/>
    <s v=""/>
    <s v=""/>
    <s v=""/>
    <n v="470.68"/>
    <n v="1.024"/>
    <n v="52.192000000000007"/>
  </r>
  <r>
    <s v="M &amp; S - T61 (KPK)"/>
    <s v="SQBIR.MS.01153.FY25-26.14"/>
    <m/>
    <m/>
    <m/>
    <m/>
    <s v=""/>
    <n v="87"/>
    <s v="SJ 100% BCI Combed Compact Cotton 120gsm CW62”"/>
    <s v="Black"/>
    <n v="0"/>
    <n v="112"/>
    <n v="112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885.2"/>
    <n v="-56.7"/>
    <s v=""/>
    <n v="1352.2940000000001"/>
    <s v=""/>
    <s v=""/>
    <s v=""/>
    <s v=""/>
    <n v="2885.2"/>
    <n v="1.02"/>
    <s v=""/>
  </r>
  <r>
    <s v="M &amp; S - T61 (KPK)"/>
    <s v="SQBIR.MS.01153.FY25-26.15"/>
    <m/>
    <m/>
    <m/>
    <m/>
    <s v=""/>
    <n v="88"/>
    <s v="SJ 100% BCI Combed Compact Cotton 120gsm CW62”"/>
    <s v="Black"/>
    <n v="0"/>
    <n v="112"/>
    <n v="112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885.2"/>
    <n v="-56.7"/>
    <n v="1352.2940000000001"/>
    <n v="1352.2940000000001"/>
    <s v=""/>
    <s v=""/>
    <n v="0"/>
    <s v=""/>
    <n v="2885.2"/>
    <n v="1.02"/>
    <n v="1532.9059999999997"/>
  </r>
  <r>
    <s v="M &amp; S - T61 (KPK)"/>
    <s v="SQBIR.MS.01235.FY25-26.7"/>
    <m/>
    <m/>
    <m/>
    <m/>
    <s v=""/>
    <n v="89"/>
    <s v="SJ 100% BCI Combed Compact Cotton 120gsm CW62”"/>
    <s v="Black"/>
    <n v="0"/>
    <n v="117"/>
    <n v="117"/>
    <n v="0"/>
    <m/>
    <n v="0"/>
    <s v="440958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58"/>
    <s v="Black 10005"/>
    <n v="120"/>
    <s v="440958120Black 10005"/>
    <n v="2885.2"/>
    <n v="-56.7"/>
    <s v=""/>
    <s v=""/>
    <s v=""/>
    <s v=""/>
    <n v="0"/>
    <s v=""/>
    <n v="2885.2"/>
    <n v="1.02"/>
    <s v=""/>
  </r>
  <r>
    <s v="M &amp; S - T61 (KPK)"/>
    <s v="SQBIR.MS.01235.FY25-26.8"/>
    <m/>
    <m/>
    <m/>
    <m/>
    <s v=""/>
    <n v="90"/>
    <s v="SJ 100% BCI Combed Compact Cotton 120gsm CW62”"/>
    <s v="Black"/>
    <s v=""/>
    <n v="117"/>
    <n v="117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20"/>
    <s v="440958120Black 10005"/>
    <n v="2885.2"/>
    <n v="-56.7"/>
    <s v=""/>
    <s v=""/>
    <s v=""/>
    <s v=""/>
    <s v=""/>
    <s v=""/>
    <n v="2885.2"/>
    <n v="1.02"/>
    <s v=""/>
  </r>
  <r>
    <s v="M &amp; S - T61 (KPK)"/>
    <s v="SQBIR.MS.129.FY26-27.7"/>
    <m/>
    <m/>
    <m/>
    <m/>
    <s v=""/>
    <n v="91"/>
    <s v="SJ 95% BCI Cmd Cmpt CTN 5% Inv Ly 140gsm CW63”"/>
    <s v="White 10001"/>
    <s v=""/>
    <n v="3.6720000000000002"/>
    <m/>
    <n v="-3.6720000000000002"/>
    <m/>
    <n v="-3.6720000000000002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n v="0"/>
    <n v="1532.9369999999999"/>
    <s v=""/>
    <s v=""/>
    <n v="3.6720000000000002"/>
    <s v=""/>
    <n v="0"/>
    <n v="0"/>
    <n v="0"/>
  </r>
  <r>
    <s v="M&amp;S T14"/>
    <s v="SQBIR.MS.033.FY26-27.6"/>
    <m/>
    <m/>
    <m/>
    <m/>
    <n v="9.06"/>
    <n v="92"/>
    <s v=" 95% BCI COTTON 5% ELASTANE JERSEY GSM-150 CW-160 CM/63 INCH "/>
    <s v="White"/>
    <n v="0"/>
    <n v="103.5"/>
    <n v="103.5"/>
    <n v="0"/>
    <m/>
    <n v="0"/>
    <s v="45095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0951-Creora"/>
    <s v="White 10001"/>
    <n v="150"/>
    <s v="450951-Creora150White 10001"/>
    <n v="1359.06"/>
    <n v="-9.06"/>
    <s v=""/>
    <n v="103.5"/>
    <s v=""/>
    <s v=""/>
    <n v="0"/>
    <n v="9.06"/>
    <n v="1359.06"/>
    <n v="1.0069999999999999"/>
    <s v=""/>
  </r>
  <r>
    <s v="M &amp; S - T61 (KPK)"/>
    <s v="SQBIR.MS.01235.FY25-26.9"/>
    <m/>
    <m/>
    <m/>
    <m/>
    <s v=""/>
    <n v="96"/>
    <s v="SJ 100% BCI Combed Compact Cotton 120gsm CW62”"/>
    <s v="Black"/>
    <n v="0"/>
    <n v="117"/>
    <n v="117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885.2"/>
    <n v="-56.7"/>
    <n v="1352.2940000000001"/>
    <n v="1352.2940000000001"/>
    <s v=""/>
    <s v=""/>
    <s v=""/>
    <s v=""/>
    <n v="2885.2"/>
    <n v="1.02"/>
    <n v="1532.9059999999997"/>
  </r>
  <r>
    <s v="M &amp; S - T61 (KPK)"/>
    <s v="SQBIR.MS.01346.FY25-26.1"/>
    <m/>
    <m/>
    <m/>
    <m/>
    <s v=""/>
    <n v="97"/>
    <s v="SJ 95% BCI Cmd Cmpt CTN 5% Inv Ly 140gsm CW63”"/>
    <s v="Navy 48633"/>
    <n v="0"/>
    <n v="284"/>
    <n v="284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3568.27"/>
    <n v="-94.27"/>
    <s v=""/>
    <s v=""/>
    <s v=""/>
    <s v=""/>
    <n v="0"/>
    <s v=""/>
    <n v="3568.27"/>
    <n v="1.0269999999999999"/>
    <s v=""/>
  </r>
  <r>
    <s v="M &amp; S - T61 (SHK)"/>
    <s v="SQBIR.MS.026.FY26-27.2"/>
    <m/>
    <m/>
    <m/>
    <m/>
    <s v=""/>
    <n v="99"/>
    <s v="SJ BCI 100% CTN NORMAL FINISH 120GSM CUT WIDTH 62"/>
    <s v="Black 10005"/>
    <s v=""/>
    <n v="26.463000000000001"/>
    <n v="26.463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s v=""/>
    <s v=""/>
    <s v=""/>
    <s v=""/>
    <s v=""/>
    <s v=""/>
    <n v="135.54"/>
    <n v="1.0429999999999999"/>
    <s v=""/>
  </r>
  <r>
    <s v="M &amp; S - T61 (SHK)"/>
    <s v="SQBIR.MS.026.FY26-27.3"/>
    <m/>
    <m/>
    <m/>
    <m/>
    <s v=""/>
    <n v="100"/>
    <s v="SJ BCI 100% CTN NORMAL FINISH 120GSM CUT WIDTH 62"/>
    <s v="Black 10005"/>
    <s v=""/>
    <n v="5.2949999999999999"/>
    <n v="5.294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s v=""/>
    <s v=""/>
    <s v=""/>
    <s v=""/>
    <n v="135.54"/>
    <n v="1.0429999999999999"/>
    <n v="7.3029999999999973"/>
  </r>
  <r>
    <s v="M &amp; S - T71"/>
    <s v="SQBIR.MS.155.FY26-27.1"/>
    <m/>
    <m/>
    <m/>
    <m/>
    <s v=""/>
    <n v="104"/>
    <s v="100% BCI COTTON 150 GSM CW 69 IN"/>
    <s v="Powder Blue"/>
    <s v=""/>
    <n v="36.4"/>
    <m/>
    <n v="-36.4"/>
    <m/>
    <n v="-36.4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Powder Blue 17492-AOP"/>
    <n v="150"/>
    <s v="461085150Powder Blue 17492-AOP"/>
    <n v="0"/>
    <s v="#NA"/>
    <s v=""/>
    <n v="53.962999999999994"/>
    <s v=""/>
    <s v=""/>
    <n v="36.4"/>
    <s v=""/>
    <n v="0"/>
    <n v="0"/>
    <s v=""/>
  </r>
  <r>
    <s v="M &amp; S - T71"/>
    <s v="SQBIR.MS.155.FY26-27.2"/>
    <m/>
    <m/>
    <m/>
    <m/>
    <s v=""/>
    <n v="105"/>
    <s v="100% BCI COTTON 150 GSM CW 69 IN"/>
    <s v="Powder Blue"/>
    <s v=""/>
    <n v="17.562999999999999"/>
    <m/>
    <n v="-17.562999999999999"/>
    <m/>
    <n v="-17.5629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Powder Blue 17492-AOP"/>
    <n v="150"/>
    <s v="461085150Powder Blue 17492-AOP"/>
    <n v="0"/>
    <s v="#NA"/>
    <n v="0"/>
    <n v="53.962999999999994"/>
    <s v=""/>
    <s v=""/>
    <s v=""/>
    <s v=""/>
    <n v="0"/>
    <n v="0"/>
    <n v="0"/>
  </r>
  <r>
    <s v="M &amp; S - T33"/>
    <s v="SQBIR.MS.01266.FY25-26.1"/>
    <m/>
    <m/>
    <m/>
    <m/>
    <s v=""/>
    <n v="108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s v=""/>
    <s v=""/>
    <n v="0"/>
    <s v=""/>
    <n v="919.43"/>
    <n v="0.99"/>
    <n v="251.18899999999996"/>
  </r>
  <r>
    <s v="M &amp; S - T33"/>
    <s v="SQBIR.MS.01266.FY25-26.2"/>
    <m/>
    <m/>
    <m/>
    <m/>
    <s v=""/>
    <n v="109"/>
    <s v="94% Cotton 6% Spandex 190 GSM Molding CW 61 S/J"/>
    <s v="White"/>
    <s v="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s v=""/>
    <s v=""/>
    <s v=""/>
    <s v=""/>
    <s v=""/>
    <s v=""/>
    <n v="919.43"/>
    <n v="0.99"/>
    <s v=""/>
  </r>
  <r>
    <s v="M &amp; S - T33"/>
    <s v="SQBIR.MS.01266.FY25-26.3"/>
    <m/>
    <m/>
    <m/>
    <m/>
    <s v=""/>
    <n v="110"/>
    <s v="94% Cotton 6% Spandex 190 GSM Molding CW 61 S/J"/>
    <s v="White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s v=""/>
    <s v=""/>
    <n v="0"/>
    <s v=""/>
    <n v="919.43"/>
    <n v="0.99"/>
    <n v="251.18899999999996"/>
  </r>
  <r>
    <s v="M &amp; S - T33"/>
    <s v="SQBIR.MS.01266.FY25-26.4"/>
    <m/>
    <m/>
    <m/>
    <m/>
    <s v=""/>
    <n v="111"/>
    <s v="94% Cotton 6% Spandex 190 GSM Molding CW 61 S/J"/>
    <s v="White"/>
    <s v="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s v=""/>
    <n v="668.24099999999999"/>
    <s v=""/>
    <s v=""/>
    <s v=""/>
    <s v=""/>
    <n v="919.43"/>
    <n v="0.99"/>
    <s v=""/>
  </r>
  <r>
    <s v="M &amp; S - T33"/>
    <s v="SQBIR.MS.01266.FY25-26.5"/>
    <m/>
    <m/>
    <m/>
    <m/>
    <s v=""/>
    <n v="112"/>
    <s v="94% Cotton 6% Spandex 190 GSM Molding CW 61 S/J"/>
    <s v="White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n v="668.24099999999999"/>
    <n v="668.24099999999999"/>
    <s v=""/>
    <s v=""/>
    <n v="0"/>
    <s v=""/>
    <n v="919.43"/>
    <n v="0.99"/>
    <n v="251.18899999999996"/>
  </r>
  <r>
    <s v="M &amp; S - T61 (KPK)"/>
    <s v="SQBIR.MS.01227.FY25-26.10"/>
    <m/>
    <m/>
    <m/>
    <m/>
    <s v=""/>
    <n v="113"/>
    <s v="SJ 95% BCI Cmd Cmpt CTN 5% Inv Ly 140gsm CW63”"/>
    <s v="Black 10005"/>
    <n v="0"/>
    <n v="1752"/>
    <n v="1752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2954.89"/>
    <n v="1674.11"/>
    <n v="8260.17"/>
    <n v="9934.2800000000007"/>
    <s v=""/>
    <s v=""/>
    <n v="0"/>
    <s v=""/>
    <n v="22954.89"/>
    <n v="0.93200000000000005"/>
    <n v="14694.72"/>
  </r>
  <r>
    <s v="M &amp; S - T33"/>
    <s v="SQBIR.MS.01302.FY25-26.8"/>
    <m/>
    <m/>
    <m/>
    <m/>
    <s v=""/>
    <n v="114"/>
    <s v="94% Cotton 6% Spandex 235 GSM No Molding CW 64  S/"/>
    <s v="Black"/>
    <s v=""/>
    <n v="6.1980000000000004"/>
    <n v="6.1980000000000004"/>
    <n v="0"/>
    <m/>
    <n v="0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-Without Cup"/>
    <s v="Black 10005"/>
    <n v="235"/>
    <s v="451550-SP27 2231-Without Cup235Black 10005"/>
    <n v="2382.77"/>
    <n v="-45.53"/>
    <n v="385.83699999999999"/>
    <s v=""/>
    <s v=""/>
    <s v=""/>
    <s v=""/>
    <s v=""/>
    <n v="2382.77"/>
    <n v="1.0189999999999999"/>
    <n v="1996.933"/>
  </r>
  <r>
    <s v="M &amp; S - T33"/>
    <s v="SQBIR.MS.01302.FY25-26.9"/>
    <m/>
    <m/>
    <m/>
    <m/>
    <s v=""/>
    <n v="115"/>
    <s v="94% Cotton 6% Spandex 235 GSM No Molding CW 64  S/"/>
    <s v="Black"/>
    <n v="0"/>
    <n v="148.4"/>
    <n v="148.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Black 10005"/>
    <n v="235"/>
    <s v="451550-SP27 2231-Without Cup235Black 10005"/>
    <n v="2382.77"/>
    <n v="-45.53"/>
    <n v="385.83699999999999"/>
    <n v="385.83699999999999"/>
    <s v=""/>
    <s v=""/>
    <s v=""/>
    <s v=""/>
    <n v="2382.77"/>
    <n v="1.0189999999999999"/>
    <n v="1996.933"/>
  </r>
  <r>
    <s v="M &amp; S - T61 (KPK)"/>
    <s v="SQBIR.MS.01221.FY25-26.7"/>
    <m/>
    <m/>
    <m/>
    <m/>
    <s v=""/>
    <n v="117"/>
    <s v="SJ 95% BCI Cmd Cmpt CTN 5% Inv Ly 140gsm CW63”"/>
    <s v="White 10001"/>
    <s v=""/>
    <n v="1327.88"/>
    <n v="1327.88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White 10001"/>
    <n v="140"/>
    <s v="441109140White 10001"/>
    <n v="14170.91"/>
    <n v="-215.91"/>
    <s v=""/>
    <n v="1327.88"/>
    <s v=""/>
    <s v=""/>
    <s v=""/>
    <s v=""/>
    <n v="14170.91"/>
    <n v="1.0149999999999999"/>
    <s v=""/>
  </r>
  <r>
    <s v="M &amp; S - T61 (KPK)"/>
    <s v="SQBIR.MS.01210.FY25-26.10"/>
    <m/>
    <m/>
    <m/>
    <m/>
    <s v=""/>
    <n v="118"/>
    <s v="SJ 100% BCI Combed Compact Cotton 120gsm CW62”"/>
    <s v="Black 10005"/>
    <s v=""/>
    <n v="84.120999999999995"/>
    <n v="84.120999999999995"/>
    <n v="0"/>
    <m/>
    <n v="0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20"/>
    <s v="441099120Black 10005"/>
    <n v="2863"/>
    <n v="159"/>
    <n v="287.18099999999998"/>
    <n v="399.12099999999998"/>
    <s v=""/>
    <s v=""/>
    <s v=""/>
    <s v=""/>
    <n v="2863"/>
    <n v="0.94699999999999995"/>
    <n v="2575.819"/>
  </r>
  <r>
    <s v="M &amp; S - T61 (KPK)"/>
    <s v="SQBIR.MS.106.FY26-27.1"/>
    <m/>
    <m/>
    <m/>
    <m/>
    <s v=""/>
    <n v="129"/>
    <s v="SJ 100% BCI Combed Compact Cotton 120gsm CW62”"/>
    <s v="Light Cream 81001"/>
    <s v=""/>
    <n v="96"/>
    <m/>
    <n v="-96"/>
    <m/>
    <n v="-96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s v=""/>
    <n v="281.99599999999998"/>
    <s v=""/>
    <s v=""/>
    <s v=""/>
    <s v=""/>
    <n v="0"/>
    <n v="0"/>
    <s v=""/>
  </r>
  <r>
    <s v="M &amp; S - T61 (KPK)"/>
    <s v="SQBIR.MS.01347.FY25-26.1"/>
    <m/>
    <m/>
    <m/>
    <m/>
    <s v=""/>
    <n v="136"/>
    <s v="SJ 100% BCI Combed Compact Cotton 120gsm CW62”"/>
    <s v="Navy 48633"/>
    <n v="0"/>
    <n v="21"/>
    <n v="2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464"/>
    <n v="-42"/>
    <s v=""/>
    <n v="147.4"/>
    <s v=""/>
    <s v=""/>
    <s v=""/>
    <s v=""/>
    <n v="464"/>
    <n v="1.1000000000000001"/>
    <s v=""/>
  </r>
  <r>
    <s v="M &amp; S - T61 (KPK)"/>
    <s v="SQBIR.MS.01347.FY25-26.2"/>
    <m/>
    <m/>
    <m/>
    <m/>
    <s v=""/>
    <n v="137"/>
    <s v="SJ 100% BCI Combed Compact Cotton 120gsm CW62”"/>
    <s v="Navy 48633"/>
    <n v="0"/>
    <n v="21"/>
    <n v="2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464"/>
    <n v="-42"/>
    <s v=""/>
    <s v=""/>
    <s v=""/>
    <s v=""/>
    <n v="0"/>
    <s v=""/>
    <n v="464"/>
    <n v="1.1000000000000001"/>
    <s v=""/>
  </r>
  <r>
    <s v="M &amp; S - T61 (KPK)"/>
    <s v="SQBIR.MS.01347.FY25-26.3"/>
    <m/>
    <m/>
    <m/>
    <m/>
    <s v=""/>
    <n v="138"/>
    <s v="SJ 100% BCI Combed Compact Cotton 120gsm CW62”"/>
    <s v="Navy 48633"/>
    <s v="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20"/>
    <s v="457079120NAVY 48633"/>
    <n v="464"/>
    <n v="-42"/>
    <s v=""/>
    <s v=""/>
    <s v=""/>
    <s v=""/>
    <s v=""/>
    <s v=""/>
    <n v="464"/>
    <n v="1.1000000000000001"/>
    <s v=""/>
  </r>
  <r>
    <s v="M &amp; S - T61 (KPK)"/>
    <s v="SQBIR.MS.01347.FY25-26.4"/>
    <m/>
    <m/>
    <m/>
    <m/>
    <s v=""/>
    <n v="139"/>
    <s v="SJ 100% BCI Combed Compact Cotton 120gsm CW62”"/>
    <s v="Navy 48633"/>
    <s v="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20"/>
    <s v="457079120NAVY 48633"/>
    <n v="464"/>
    <n v="-42"/>
    <n v="147.4"/>
    <n v="147.4"/>
    <s v=""/>
    <s v=""/>
    <s v=""/>
    <s v=""/>
    <n v="464"/>
    <n v="1.1000000000000001"/>
    <n v="316.60000000000002"/>
  </r>
  <r>
    <s v="M &amp; S - T61 (KPK)"/>
    <s v="SQBIR.MS.01348.FY25-26.1"/>
    <m/>
    <m/>
    <m/>
    <m/>
    <s v=""/>
    <n v="140"/>
    <s v="SJ 100% BCI Combed Compact Cotton 120gsm CW62”"/>
    <s v="Navy 48633"/>
    <n v="0"/>
    <n v="22.2"/>
    <n v="22.2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464"/>
    <n v="-42"/>
    <s v=""/>
    <n v="147.4"/>
    <s v=""/>
    <s v=""/>
    <n v="0"/>
    <s v=""/>
    <n v="464"/>
    <n v="1.1000000000000001"/>
    <s v=""/>
  </r>
  <r>
    <s v="M &amp; S - T61 (KPK)"/>
    <s v="SQBIR.MS.128.FY26-27.1"/>
    <m/>
    <m/>
    <m/>
    <m/>
    <s v=""/>
    <n v="141"/>
    <s v="SJ 95% BCI Cmd Cmpt CTN 5% Inv Ly 140gsm CW63”"/>
    <s v="Black"/>
    <s v=""/>
    <n v="750"/>
    <n v="750"/>
    <n v="0"/>
    <m/>
    <n v="0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n v="5671.3159999999998"/>
    <n v="5903.3559999999998"/>
    <s v=""/>
    <s v=""/>
    <s v=""/>
    <s v=""/>
    <n v="5671.31"/>
    <n v="0.96099999999999997"/>
    <n v="-5.9999999994033715E-3"/>
  </r>
  <r>
    <s v="M &amp; S - T61 (KPK)"/>
    <s v="SQBIR.MS.128.FY26-27.1"/>
    <m/>
    <m/>
    <m/>
    <m/>
    <s v=""/>
    <n v="141"/>
    <s v="SJ 95% BCI Cmd Cmpt CTN 5% Inv Ly 140gsm CW63”"/>
    <s v="Black"/>
    <n v="0"/>
    <n v="1275"/>
    <n v="1275"/>
    <n v="0"/>
    <m/>
    <n v="0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s v=""/>
    <n v="5903.3559999999998"/>
    <s v=""/>
    <s v=""/>
    <n v="0"/>
    <s v=""/>
    <n v="5671.31"/>
    <n v="0.96099999999999997"/>
    <s v=""/>
  </r>
  <r>
    <s v="M &amp; S - T61 (KPK)"/>
    <s v="SQBIR.MS.139.FY26-27.6"/>
    <m/>
    <m/>
    <m/>
    <m/>
    <s v=""/>
    <n v="149"/>
    <s v="SJ 95% BCI Cmd Cmpt CTN 5% Inv Ly 140gsm CW63”"/>
    <s v="White"/>
    <s v=""/>
    <n v="6.54"/>
    <n v="6.54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s v=""/>
    <n v="8967.5"/>
    <s v=""/>
    <s v=""/>
    <s v=""/>
    <s v=""/>
    <n v="6723.76"/>
    <n v="0.749"/>
    <s v=""/>
  </r>
  <r>
    <s v="M &amp; S - T33"/>
    <s v="SQBIR.MS.01311.FY25-26.1"/>
    <m/>
    <m/>
    <m/>
    <m/>
    <s v=""/>
    <n v="160"/>
    <s v="94% Cotton 6% Spandex 180 GSM No Molding CW 63  S/"/>
    <s v="White"/>
    <s v=""/>
    <n v="128.404"/>
    <n v="128.404"/>
    <n v="0"/>
    <m/>
    <n v="0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435"/>
    <n v="18.579999999999998"/>
    <n v="260.98099999999999"/>
    <n v="260.98099999999999"/>
    <s v=""/>
    <s v=""/>
    <s v=""/>
    <s v=""/>
    <n v="435"/>
    <n v="0.95899999999999996"/>
    <n v="174.01900000000001"/>
  </r>
  <r>
    <s v="M&amp;S T14"/>
    <s v="SQBIR.MS.031.FY26-27.5"/>
    <m/>
    <m/>
    <m/>
    <m/>
    <s v=""/>
    <n v="161"/>
    <s v=" 95% BCI COTTON 5% LYCRA JERSEY GSM-150 CW-160 CM/63 INCH "/>
    <s v="DARK INK"/>
    <s v=""/>
    <n v="70.099000000000004"/>
    <n v="70.099000000000004"/>
    <n v="0"/>
    <m/>
    <n v="0"/>
    <s v="451240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51240-Lycra"/>
    <s v="Dark Ink 17613"/>
    <n v="150"/>
    <s v="451240-Lycra150Dark Ink 17613"/>
    <n v="1107"/>
    <n v="-22.81"/>
    <s v=""/>
    <n v="70.099000000000004"/>
    <s v=""/>
    <s v=""/>
    <n v="0"/>
    <s v=""/>
    <n v="1107"/>
    <n v="1.0209999999999999"/>
    <s v=""/>
  </r>
  <r>
    <s v="M&amp;S T14"/>
    <s v="SQBIR.MS.031.FY26-27.5"/>
    <m/>
    <m/>
    <m/>
    <m/>
    <s v=""/>
    <n v="162"/>
    <s v=" 95% BCI COTTON 5% LYCRA JERSEY GSM-150 CW-160 CM/63 INCH "/>
    <s v="BERRY RED 22506"/>
    <s v=""/>
    <n v="43.86"/>
    <n v="43.86"/>
    <n v="0"/>
    <m/>
    <n v="0"/>
    <s v="45124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0-Lycra"/>
    <s v="Berry Red 22506"/>
    <n v="150"/>
    <s v="451240-Lycra150Berry Red 22506"/>
    <n v="407"/>
    <n v="-45.6"/>
    <n v="43.86"/>
    <n v="43.86"/>
    <s v=""/>
    <s v=""/>
    <s v=""/>
    <s v=""/>
    <n v="407"/>
    <n v="1.1259999999999999"/>
    <n v="363.14"/>
  </r>
  <r>
    <s v="M &amp; S - T61 (KPK)"/>
    <s v="SQBIR.MS.105.FY26-27.1"/>
    <m/>
    <m/>
    <m/>
    <m/>
    <s v=""/>
    <n v="163"/>
    <s v="SJ 100% BCI Combed Compact Cotton 120gsm CW62”"/>
    <s v="Black AOP Gusset"/>
    <s v=""/>
    <n v="36.9"/>
    <m/>
    <n v="-36.9"/>
    <m/>
    <n v="-36.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234"/>
    <n v="421"/>
    <s v=""/>
    <s v=""/>
    <s v=""/>
    <s v=""/>
    <n v="36.9"/>
    <s v=""/>
    <n v="234"/>
    <n v="0.35699999999999998"/>
    <s v=""/>
  </r>
  <r>
    <s v="M &amp; S - T61 (KPK)"/>
    <s v="SQBIR.MS.01198.FY25-26.8"/>
    <m/>
    <m/>
    <m/>
    <m/>
    <s v=""/>
    <n v="165"/>
    <s v="SJ 95% BCI Cmd Cmpt CTN 5% Inv Ly 140gsm CW63”"/>
    <s v="Black"/>
    <n v="0"/>
    <n v="2600"/>
    <n v="260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s v=""/>
    <s v=""/>
    <s v=""/>
    <s v=""/>
    <n v="0"/>
    <s v=""/>
    <n v="34340.26"/>
    <n v="1.0940000000000001"/>
    <s v=""/>
  </r>
  <r>
    <s v="M &amp; S - T33"/>
    <s v="SQBIR.MS.01302.FY25-26.11"/>
    <m/>
    <m/>
    <m/>
    <m/>
    <s v=""/>
    <n v="166"/>
    <s v="94% Cotton 6% Spandex 235 GSM No Molding CW 64  S/"/>
    <s v="Black"/>
    <n v="0"/>
    <n v="212.26499999999999"/>
    <n v="212.26499999999999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Black 10005"/>
    <n v="235"/>
    <s v="451550-SP27 2231-Without Cup235Black 10005"/>
    <n v="2382.77"/>
    <n v="-45.53"/>
    <n v="385.83699999999999"/>
    <n v="385.83699999999999"/>
    <s v=""/>
    <s v=""/>
    <n v="0"/>
    <s v=""/>
    <n v="2382.77"/>
    <n v="1.0189999999999999"/>
    <n v="1996.933"/>
  </r>
  <r>
    <s v="M &amp; S - T33"/>
    <s v="SQBIR.MS.01300.FY25-26.5"/>
    <m/>
    <m/>
    <m/>
    <m/>
    <s v=""/>
    <n v="167"/>
    <s v="94% Cotton 6% Spandex 235 GSM No Molding CW 64  S/"/>
    <s v="Black"/>
    <s v=""/>
    <n v="25.446999999999999"/>
    <n v="25.446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235"/>
    <s v="451603-SP27 0713-Cookie Cup235Black 10005"/>
    <n v="222"/>
    <n v="1.49"/>
    <s v=""/>
    <s v=""/>
    <s v=""/>
    <s v=""/>
    <s v=""/>
    <s v=""/>
    <n v="222"/>
    <n v="0.99299999999999999"/>
    <s v=""/>
  </r>
  <r>
    <s v="M &amp; S - T33"/>
    <s v="SQBIR.MS.01300.FY25-26.6"/>
    <m/>
    <m/>
    <m/>
    <m/>
    <s v=""/>
    <n v="168"/>
    <s v="94% Cotton 6% Spandex 235 GSM No Molding CW 64  S/"/>
    <s v="Black"/>
    <n v="0"/>
    <n v="27.564"/>
    <n v="27.56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235"/>
    <s v="451603-SP27 0713-Cookie Cup235Black 10005"/>
    <n v="222"/>
    <n v="1.49"/>
    <s v=""/>
    <s v=""/>
    <s v=""/>
    <s v=""/>
    <n v="0"/>
    <s v=""/>
    <n v="222"/>
    <n v="0.99299999999999999"/>
    <s v=""/>
  </r>
  <r>
    <s v="M &amp; S - T33"/>
    <s v="SQBIR.MS.01300.FY25-26.7"/>
    <m/>
    <m/>
    <m/>
    <m/>
    <s v=""/>
    <n v="169"/>
    <s v="94% Cotton 6% Spandex 235 GSM No Molding CW 64  S/"/>
    <s v="Black"/>
    <s v=""/>
    <n v="29.686"/>
    <n v="29.686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-Cookie Cup"/>
    <s v="Black 10005"/>
    <n v="235"/>
    <s v="451603-SP27 0713-Cookie Cup235Black 10005"/>
    <n v="222"/>
    <n v="1.49"/>
    <s v=""/>
    <n v="138.67699999999999"/>
    <s v=""/>
    <s v=""/>
    <n v="0"/>
    <s v=""/>
    <n v="222"/>
    <n v="0.99299999999999999"/>
    <s v=""/>
  </r>
  <r>
    <s v="M &amp; S - T61 (KPK)"/>
    <s v="SQBIR.MS.01249.FY25-26.6"/>
    <m/>
    <m/>
    <m/>
    <m/>
    <s v=""/>
    <n v="172"/>
    <s v="SJ 95% BCI Cmd Cmpt CTN 5% Inv Ly 140gsm CW63”"/>
    <s v="Black 10005"/>
    <s v="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40"/>
    <s v="441109140Black 10005"/>
    <n v="22954.89"/>
    <n v="1674.11"/>
    <n v="8260.17"/>
    <n v="9934.2800000000007"/>
    <s v=""/>
    <s v=""/>
    <s v=""/>
    <s v=""/>
    <n v="22954.89"/>
    <n v="0.93200000000000005"/>
    <n v="14694.72"/>
  </r>
  <r>
    <s v="M &amp; S - T61 (KPK)"/>
    <s v="SQBIR.MS.01249.FY25-26.7"/>
    <m/>
    <m/>
    <m/>
    <m/>
    <s v=""/>
    <n v="173"/>
    <s v="SJ 95% BCI Cmd Cmpt CTN 5% Inv Ly 140gsm CW63”"/>
    <s v="Black 10005"/>
    <s v="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2954.89"/>
    <n v="1674.11"/>
    <s v=""/>
    <s v=""/>
    <s v=""/>
    <s v=""/>
    <s v=""/>
    <s v=""/>
    <n v="22954.89"/>
    <n v="0.93200000000000005"/>
    <s v=""/>
  </r>
  <r>
    <s v="M &amp; S - T61 (KPK)"/>
    <s v="SQBIR.MS.01230.FY25-26.5"/>
    <m/>
    <m/>
    <m/>
    <m/>
    <s v=""/>
    <n v="174"/>
    <s v="SJ 95% BCI Cmd Cmpt CTN 5% Inv Ly 140gsm CW63”"/>
    <s v="Bros B0284"/>
    <s v=""/>
    <n v="34.39"/>
    <n v="34.39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ros B0284"/>
    <n v="140"/>
    <s v="441109140Bros B0284"/>
    <n v="1374"/>
    <n v="-26"/>
    <n v="34.39"/>
    <n v="34.39"/>
    <s v=""/>
    <s v=""/>
    <s v=""/>
    <s v=""/>
    <n v="1374"/>
    <n v="1.0189999999999999"/>
    <n v="1339.61"/>
  </r>
  <r>
    <s v="M &amp; S - T33"/>
    <s v="SQBIR.MS.01303.FY25-26.2"/>
    <m/>
    <m/>
    <m/>
    <m/>
    <s v=""/>
    <n v="175"/>
    <s v="94% Cotton 6% Spandex 190 GSM Molding CW 61 S/J"/>
    <s v="10001 WHITE"/>
    <s v=""/>
    <n v="50.478000000000002"/>
    <n v="50.47800000000000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n v="2486.4859999999999"/>
    <n v="3398.0359999999996"/>
    <s v=""/>
    <s v=""/>
    <s v=""/>
    <s v=""/>
    <n v="5854.27"/>
    <n v="0.86499999999999999"/>
    <n v="3367.7840000000006"/>
  </r>
  <r>
    <s v="M &amp; S - T33"/>
    <s v="SQBIR.MS.01303.FY25-26.3"/>
    <m/>
    <m/>
    <m/>
    <m/>
    <s v=""/>
    <n v="176"/>
    <s v="94% Cotton 6% Spandex 190 GSM Molding CW 61 S/J"/>
    <s v="10001 WHITE"/>
    <s v=""/>
    <n v="355.32"/>
    <n v="355.32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s v=""/>
    <s v=""/>
    <s v=""/>
    <s v=""/>
    <s v=""/>
    <n v="5854.27"/>
    <n v="0.86499999999999999"/>
    <s v=""/>
  </r>
  <r>
    <s v="M &amp; S - T33"/>
    <s v="SQBIR.MS.01303.FY25-26.4"/>
    <m/>
    <m/>
    <m/>
    <m/>
    <s v=""/>
    <n v="177"/>
    <s v="94% Cotton 6% Spandex 190 GSM Molding CW 61 S/J"/>
    <s v="10001 WHITE"/>
    <n v="0"/>
    <n v="12.69"/>
    <n v="12.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n v="2486.4859999999999"/>
    <n v="3398.0359999999996"/>
    <s v=""/>
    <s v=""/>
    <n v="0"/>
    <s v=""/>
    <n v="5854.27"/>
    <n v="0.86499999999999999"/>
    <n v="3367.7840000000006"/>
  </r>
  <r>
    <s v="M &amp; S - T33"/>
    <s v="SQBIR.MS.01302.FY25-26.10"/>
    <m/>
    <m/>
    <m/>
    <m/>
    <s v=""/>
    <n v="178"/>
    <s v="94% Cotton 6% Spandex 190 GSM Molding CW 61 S/J"/>
    <s v="Black"/>
    <n v="0"/>
    <n v="42.91"/>
    <n v="42.91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Black 10005"/>
    <n v="190"/>
    <s v="451550-SP27 2231-Without Cup190Black 10005"/>
    <n v="6232.14"/>
    <n v="74.010000000000005"/>
    <s v=""/>
    <n v="2311.6239999999998"/>
    <s v=""/>
    <s v=""/>
    <n v="0"/>
    <s v=""/>
    <n v="6232.14"/>
    <n v="0.98799999999999999"/>
    <s v=""/>
  </r>
  <r>
    <s v="M &amp; S - T33"/>
    <s v="SQBIR.MS.01302.FY25-26.11"/>
    <m/>
    <m/>
    <m/>
    <m/>
    <s v=""/>
    <n v="179"/>
    <s v="94% Cotton 6% Spandex 190 GSM Molding CW 61 S/J"/>
    <s v="Black"/>
    <s v=""/>
    <n v="480.036"/>
    <n v="480.036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Black 10005"/>
    <n v="190"/>
    <s v="451550-SP27 2231-Without Cup190Black 10005"/>
    <n v="6232.14"/>
    <n v="74.010000000000005"/>
    <n v="2237.6139999999996"/>
    <n v="2311.6239999999998"/>
    <s v=""/>
    <s v=""/>
    <s v=""/>
    <s v=""/>
    <n v="6232.14"/>
    <n v="0.98799999999999999"/>
    <n v="3994.5260000000007"/>
  </r>
  <r>
    <s v="M &amp; S - T61 (KPK)"/>
    <s v="SQBIR.MS.126.FY26-27.1"/>
    <m/>
    <m/>
    <m/>
    <m/>
    <s v=""/>
    <n v="181"/>
    <s v="SJ 95% BCI Cmd Cmpt CTN 5% Inv Ly 140gsm CW63”"/>
    <s v="Pink Cloud"/>
    <n v="-50.864666666666665"/>
    <n v="152.59399999999999"/>
    <m/>
    <n v="-152.59399999999999"/>
    <m/>
    <n v="-152.5939999999999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n v="0"/>
    <n v="406.69799999999998"/>
    <s v=""/>
    <s v=""/>
    <s v=""/>
    <s v=""/>
    <n v="0"/>
    <n v="0"/>
    <n v="0"/>
  </r>
  <r>
    <s v="M &amp; S - T61 (KPK)"/>
    <s v="SQBIR.MS.01227.FY25-26.10"/>
    <m/>
    <m/>
    <m/>
    <m/>
    <s v=""/>
    <n v="186"/>
    <s v="SJ 100% BCI Combed Compact Cotton 120gsm CW62”"/>
    <s v="Black 10005"/>
    <s v="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727.38"/>
    <n v="-58.38"/>
    <n v="1128.7"/>
    <s v=""/>
    <s v=""/>
    <s v=""/>
    <s v=""/>
    <s v=""/>
    <n v="2727.38"/>
    <n v="1.022"/>
    <n v="1598.68"/>
  </r>
  <r>
    <s v="M &amp; S - T61 (KPK)"/>
    <s v="SQBIR.MS.01227.FY25-26.9"/>
    <m/>
    <m/>
    <m/>
    <m/>
    <s v=""/>
    <n v="187"/>
    <s v="SJ 100% BCI Combed Compact Cotton 120gsm CW62”"/>
    <s v="Black 10005"/>
    <s v=""/>
    <n v="180"/>
    <n v="180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20"/>
    <s v="441109120Black 10005"/>
    <n v="2727.38"/>
    <n v="-58.38"/>
    <s v=""/>
    <s v=""/>
    <s v=""/>
    <s v=""/>
    <s v=""/>
    <s v=""/>
    <n v="2727.38"/>
    <n v="1.022"/>
    <s v=""/>
  </r>
  <r>
    <s v="M &amp; S - T61 (KPK)"/>
    <s v="SQBIR.MS.01249.FY25-26.6"/>
    <m/>
    <m/>
    <m/>
    <m/>
    <s v=""/>
    <n v="188"/>
    <s v="SJ 100% BCI Combed Compact Cotton 120gsm CW62”"/>
    <s v="Black 10005"/>
    <s v=""/>
    <n v="1.2"/>
    <n v="1.2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"/>
    <n v="120"/>
    <s v="441109120Black 10005"/>
    <n v="2727.38"/>
    <n v="-58.38"/>
    <s v=""/>
    <s v=""/>
    <s v=""/>
    <s v=""/>
    <n v="0"/>
    <s v=""/>
    <n v="2727.38"/>
    <n v="1.022"/>
    <s v=""/>
  </r>
  <r>
    <s v="M &amp; S - T61 (KPK)"/>
    <s v="SQBIR.MS.01249.FY25-26.7"/>
    <m/>
    <m/>
    <m/>
    <m/>
    <s v=""/>
    <n v="189"/>
    <s v="SJ 100% BCI Combed Compact Cotton 120gsm CW62”"/>
    <s v="Black 10005"/>
    <n v="0"/>
    <n v="40.5"/>
    <n v="40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727.38"/>
    <n v="-58.38"/>
    <n v="1128.7"/>
    <n v="1128.7"/>
    <s v=""/>
    <s v=""/>
    <n v="0"/>
    <s v=""/>
    <n v="2727.38"/>
    <n v="1.022"/>
    <n v="1598.68"/>
  </r>
  <r>
    <s v="M &amp; S - T61 (KPK)"/>
    <s v="SQBIR.MS.01204.FY25-26.14"/>
    <m/>
    <m/>
    <m/>
    <m/>
    <s v=""/>
    <n v="191"/>
    <s v="SJ 95% BCI Cmd Cmpt CTN 5% Inv Ly 140gsm CW63”"/>
    <s v="PRALINE 22001"/>
    <n v="0"/>
    <n v="213"/>
    <n v="213"/>
    <n v="0"/>
    <m/>
    <n v="0"/>
    <n v="46530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65308"/>
    <s v="Praline 22001"/>
    <n v="140"/>
    <s v="465308140Praline 22001"/>
    <n v="620"/>
    <n v="25"/>
    <n v="261.77"/>
    <n v="261.77"/>
    <s v=""/>
    <s v=""/>
    <n v="0"/>
    <s v=""/>
    <n v="620"/>
    <n v="0.96099999999999997"/>
    <n v="358.23"/>
  </r>
  <r>
    <s v="M &amp; S - T61 (KPK)"/>
    <s v="SQBIR.MS.105.FY26-27.1"/>
    <m/>
    <m/>
    <m/>
    <m/>
    <s v=""/>
    <n v="192"/>
    <s v="SJ 95% BCI Cmd Cmpt CTN 5% Inv Ly 140gsm CW63”"/>
    <s v="Bros B0284"/>
    <s v=""/>
    <n v="423"/>
    <m/>
    <n v="-423"/>
    <m/>
    <n v="-423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s v=""/>
    <s v=""/>
    <s v=""/>
    <s v=""/>
    <n v="0"/>
    <n v="0"/>
    <n v="0"/>
  </r>
  <r>
    <s v="M &amp; S - T61 (KPK)"/>
    <s v="SQBIR.MS.107.FY26-27.1"/>
    <m/>
    <m/>
    <m/>
    <m/>
    <s v=""/>
    <n v="193"/>
    <s v="SJ 95% BCI Cmd Cmpt CTN 5% Inv Ly 140gsm CW63”"/>
    <s v="Bros B0284"/>
    <s v=""/>
    <n v="153"/>
    <m/>
    <n v="-153"/>
    <m/>
    <n v="-153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s v=""/>
    <s v=""/>
    <s v=""/>
    <s v=""/>
    <n v="0"/>
    <n v="0"/>
    <n v="0"/>
  </r>
  <r>
    <s v="M &amp; S - T61 (KPK)"/>
    <s v="SQBIR.MS.107.FY26-27.1"/>
    <m/>
    <m/>
    <m/>
    <m/>
    <s v=""/>
    <n v="194"/>
    <s v="SJ 100% BCI Combed Compact Cotton 120gsm CW62”"/>
    <s v="PRALINE 22001"/>
    <n v="-6.916666666666667"/>
    <n v="20.75"/>
    <m/>
    <n v="-20.75"/>
    <m/>
    <n v="-20.75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n v="0"/>
    <n v="281.99599999999998"/>
    <s v=""/>
    <s v=""/>
    <n v="20.75"/>
    <s v=""/>
    <n v="0"/>
    <n v="0"/>
    <n v="0"/>
  </r>
  <r>
    <s v="M &amp; S - T61 (KPK)"/>
    <s v="SQBIR.MS.107.FY26-27.1"/>
    <m/>
    <m/>
    <m/>
    <m/>
    <s v=""/>
    <n v="210"/>
    <s v="SJ 95% BCI Cmd Cmpt CTN 5% Inv Ly 140gsm CW63”"/>
    <s v="PRALINE 22001"/>
    <n v="-51"/>
    <n v="153"/>
    <m/>
    <n v="-153"/>
    <m/>
    <n v="-153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s v=""/>
    <s v=""/>
    <n v="153"/>
    <s v=""/>
    <n v="0"/>
    <n v="0"/>
    <n v="0"/>
  </r>
  <r>
    <s v="M &amp; S - T61 (KPK)"/>
    <s v="SQBIR.MS.108.FY26-27.2"/>
    <m/>
    <m/>
    <m/>
    <m/>
    <s v=""/>
    <n v="211"/>
    <s v="SJ 95% BCI Cmd Cmpt CTN 5% Inv Ly 140gsm CW63”"/>
    <s v="PRALINE 22001"/>
    <n v="-77.733333333333334"/>
    <n v="233.2"/>
    <m/>
    <n v="-233.2"/>
    <m/>
    <n v="-233.2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s v=""/>
    <s v=""/>
    <s v=""/>
    <s v=""/>
    <s v=""/>
    <n v="0"/>
    <n v="0"/>
    <n v="0"/>
  </r>
  <r>
    <s v="M &amp; S - T61 (KPK)"/>
    <s v="SQBIR.MS.109.FY26-27.1"/>
    <m/>
    <m/>
    <m/>
    <m/>
    <s v=""/>
    <n v="212"/>
    <s v="SJ 95% BCI Cmd Cmpt CTN 5% Inv Ly 140gsm CW63”"/>
    <s v="PRALINE 22001"/>
    <n v="-227.73333333333335"/>
    <n v="683.2"/>
    <m/>
    <n v="-683.2"/>
    <m/>
    <n v="-683.2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s v=""/>
    <s v=""/>
    <s v=""/>
    <s v=""/>
    <n v="683.2"/>
    <s v=""/>
    <n v="0"/>
    <n v="0"/>
    <s v=""/>
  </r>
  <r>
    <s v="M &amp; S - T61 (KPK)"/>
    <s v="SQBIR.MS.109.FY26-27.6"/>
    <m/>
    <m/>
    <m/>
    <m/>
    <s v=""/>
    <n v="213"/>
    <s v="SJ 95% BCI Cmd Cmpt CTN 5% Inv Ly 140gsm CW63”"/>
    <s v="PRALINE 22001"/>
    <s v=""/>
    <n v="1.0249999999999999"/>
    <m/>
    <n v="-1.0249999999999999"/>
    <m/>
    <n v="-1.0249999999999999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s v=""/>
    <n v="2418.4790000000003"/>
    <s v=""/>
    <s v=""/>
    <n v="1.0249999999999999"/>
    <s v=""/>
    <n v="0"/>
    <n v="0"/>
    <s v=""/>
  </r>
  <r>
    <s v="M &amp; S - T61 (KPK)"/>
    <s v="SQBIR.MS.139.FY26-27.1"/>
    <m/>
    <m/>
    <m/>
    <m/>
    <s v=""/>
    <n v="214"/>
    <s v="SJ 100% BCI Combed Compact Cotton 120gsm CW62”"/>
    <s v="White"/>
    <s v=""/>
    <n v="263.25"/>
    <n v="263.25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805.58"/>
    <n v="107.2"/>
    <s v=""/>
    <s v=""/>
    <s v=""/>
    <s v=""/>
    <s v=""/>
    <s v=""/>
    <n v="805.58"/>
    <n v="0.88300000000000001"/>
    <s v=""/>
  </r>
  <r>
    <s v="M &amp; S - T61 (KPK)"/>
    <s v="SQBIR.MS.139.FY26-27.2"/>
    <m/>
    <m/>
    <m/>
    <m/>
    <s v=""/>
    <n v="215"/>
    <s v="SJ 100% BCI Combed Compact Cotton 120gsm CW62”"/>
    <s v="White"/>
    <s v=""/>
    <n v="117"/>
    <n v="117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805.58"/>
    <n v="107.2"/>
    <n v="803.42499999999995"/>
    <n v="910.625"/>
    <s v=""/>
    <s v=""/>
    <s v=""/>
    <s v=""/>
    <n v="805.58"/>
    <n v="0.88300000000000001"/>
    <n v="2.1550000000000864"/>
  </r>
  <r>
    <s v="M &amp; S - T61 (KPK)"/>
    <s v="SQBIR.MS.124.FY26-27.1"/>
    <m/>
    <m/>
    <m/>
    <m/>
    <s v=""/>
    <n v="216"/>
    <s v="SJ 100% BCI Combed Compact Cotton 120gsm CW62”"/>
    <s v="Black"/>
    <s v=""/>
    <n v="165"/>
    <n v="165"/>
    <n v="0"/>
    <m/>
    <n v="0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693.03"/>
    <n v="-53.04"/>
    <n v="638"/>
    <s v=""/>
    <s v=""/>
    <s v=""/>
    <s v=""/>
    <s v=""/>
    <n v="693.03"/>
    <n v="1.083"/>
    <n v="55.029999999999973"/>
  </r>
  <r>
    <s v="M &amp; S - T61 (KPK)"/>
    <s v="SQBIR.MS.128.FY26-27.1"/>
    <m/>
    <m/>
    <m/>
    <m/>
    <s v=""/>
    <n v="217"/>
    <s v="SJ 100% BCI Combed Compact Cotton 120gsm CW62”"/>
    <s v="Black"/>
    <s v=""/>
    <n v="165"/>
    <n v="165"/>
    <n v="0"/>
    <m/>
    <n v="0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693.03"/>
    <n v="-53.04"/>
    <n v="638"/>
    <n v="638"/>
    <s v=""/>
    <s v=""/>
    <s v=""/>
    <s v=""/>
    <n v="693.03"/>
    <n v="1.083"/>
    <n v="55.029999999999973"/>
  </r>
  <r>
    <s v="M &amp; S - T61 (KPK)"/>
    <s v="SQBIR.MS.134.FY26-27.1"/>
    <m/>
    <m/>
    <m/>
    <m/>
    <s v=""/>
    <n v="218"/>
    <s v="SJ 100% BCI Combed Compact Cotton 120gsm CW62”"/>
    <s v="Black"/>
    <n v="0"/>
    <n v="308"/>
    <n v="308"/>
    <n v="0"/>
    <m/>
    <n v="0"/>
    <s v="459386"/>
    <s v="Solid"/>
    <x v="22"/>
    <d v="2026-10-07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20"/>
    <s v="459386120Black 10005"/>
    <n v="693.03"/>
    <n v="-53.04"/>
    <n v="638"/>
    <n v="638"/>
    <s v=""/>
    <s v=""/>
    <n v="0"/>
    <s v=""/>
    <n v="693.03"/>
    <n v="1.083"/>
    <n v="55.029999999999973"/>
  </r>
  <r>
    <s v="M &amp; S - T33"/>
    <s v="SQBIR.MS.01301.FY25-26.1"/>
    <m/>
    <m/>
    <m/>
    <m/>
    <s v=""/>
    <n v="219"/>
    <s v="94% Cotton 6% Spandex 180 GSM No Molding CW 63  S/"/>
    <s v="Rich Quartz"/>
    <s v=""/>
    <n v="2.754"/>
    <n v="2.75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Rich Quartz (23661)"/>
    <n v="180"/>
    <s v="451603-SP27 0713-Cookie Cup180Rich Quartz (23661)"/>
    <n v="248"/>
    <n v="-14.81"/>
    <n v="233.19899999999998"/>
    <n v="233.19899999999998"/>
    <s v=""/>
    <s v=""/>
    <s v=""/>
    <s v=""/>
    <n v="248"/>
    <n v="1.0640000000000001"/>
    <n v="14.801000000000016"/>
  </r>
  <r>
    <s v="M &amp; S - T33"/>
    <s v="SQBIR.MS.01301.FY25-26.2"/>
    <m/>
    <m/>
    <m/>
    <m/>
    <s v=""/>
    <n v="220"/>
    <s v="94% Cotton 6% Spandex 180 GSM No Molding CW 63  S/"/>
    <s v="Rich Quartz"/>
    <s v=""/>
    <n v="131.13900000000001"/>
    <n v="131.13900000000001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Rich Quartz (23661)"/>
    <n v="180"/>
    <s v="451603-SP27 0713-Cookie Cup180Rich Quartz (23661)"/>
    <n v="248"/>
    <n v="-14.81"/>
    <s v=""/>
    <s v=""/>
    <s v=""/>
    <s v=""/>
    <s v=""/>
    <s v=""/>
    <n v="248"/>
    <n v="1.0640000000000001"/>
    <s v=""/>
  </r>
  <r>
    <s v="M &amp; S - T33"/>
    <s v="SQBIR.MS.01301.FY25-26.3"/>
    <m/>
    <m/>
    <m/>
    <m/>
    <s v=""/>
    <n v="221"/>
    <s v="94% Cotton 6% Spandex 180 GSM No Molding CW 63  S/"/>
    <s v="Rich Quartz"/>
    <n v="0"/>
    <n v="23.166"/>
    <n v="23.166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Rich Quartz (23661)"/>
    <n v="180"/>
    <s v="451603-SP27 0713-Cookie Cup180Rich Quartz (23661)"/>
    <n v="248"/>
    <n v="-14.81"/>
    <s v=""/>
    <s v=""/>
    <s v=""/>
    <s v=""/>
    <n v="0"/>
    <s v=""/>
    <n v="248"/>
    <n v="1.0640000000000001"/>
    <s v=""/>
  </r>
  <r>
    <s v="M &amp; S - T33"/>
    <s v="SQBIR.MS.01301.FY25-26.4"/>
    <m/>
    <m/>
    <m/>
    <m/>
    <s v=""/>
    <n v="222"/>
    <s v="94% Cotton 6% Spandex 180 GSM No Molding CW 63  S/"/>
    <s v="Rich Quartz"/>
    <n v="0"/>
    <n v="68.849999999999994"/>
    <n v="68.849999999999994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Rich Quartz (23661)"/>
    <n v="180"/>
    <s v="451603-SP27 0713-Cookie Cup180Rich Quartz (23661)"/>
    <n v="248"/>
    <n v="-14.81"/>
    <n v="233.19899999999998"/>
    <s v=""/>
    <s v=""/>
    <s v=""/>
    <n v="0"/>
    <s v=""/>
    <n v="248"/>
    <n v="1.0640000000000001"/>
    <n v="14.801000000000016"/>
  </r>
  <r>
    <s v="M &amp; S - T33"/>
    <s v="SQBIR.MS.01301.FY25-26.5"/>
    <m/>
    <m/>
    <m/>
    <m/>
    <s v=""/>
    <n v="223"/>
    <s v="94% Cotton 6% Spandex 180 GSM No Molding CW 63  S/"/>
    <s v="Rich Quartz"/>
    <n v="0"/>
    <n v="7.29"/>
    <n v="7.2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Rich Quartz (23661)"/>
    <n v="180"/>
    <s v="451603-SP27 0713-Cookie Cup180Rich Quartz (23661)"/>
    <n v="248"/>
    <n v="-14.81"/>
    <n v="233.19899999999998"/>
    <n v="233.19899999999998"/>
    <s v=""/>
    <s v=""/>
    <s v=""/>
    <s v=""/>
    <n v="248"/>
    <n v="1.0640000000000001"/>
    <n v="14.801000000000016"/>
  </r>
  <r>
    <s v="M &amp; S - T61 (KPK)"/>
    <s v="SQBIR.MS.01232.FY25-26.11"/>
    <m/>
    <m/>
    <m/>
    <m/>
    <s v=""/>
    <n v="225"/>
    <s v="SJ 95% BCI Cmd Cmpt CTN 5% Inv Ly 140gsm CW63”"/>
    <s v="PRALINE 22001"/>
    <s v=""/>
    <n v="190.98"/>
    <n v="190.98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Praline 22001"/>
    <n v="140"/>
    <s v="457190140Praline 22001"/>
    <n v="2280.4299999999998"/>
    <n v="-36.43"/>
    <n v="190.98"/>
    <s v=""/>
    <s v=""/>
    <s v=""/>
    <s v=""/>
    <s v=""/>
    <n v="2280.4299999999998"/>
    <n v="1.016"/>
    <n v="2089.4499999999998"/>
  </r>
  <r>
    <s v="M&amp;S T14"/>
    <s v="SQBIR.MS.030.FY26-27.5"/>
    <m/>
    <m/>
    <m/>
    <m/>
    <s v=""/>
    <n v="226"/>
    <s v=" 95% BCI COTTON 5% LYCRA JERSEY GSM-150 CW-160 CM/63 INCH "/>
    <s v="GREEN 64512"/>
    <n v="-81"/>
    <n v="243"/>
    <m/>
    <n v="-243"/>
    <m/>
    <n v="-243"/>
    <s v="45123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37-Lycra"/>
    <s v="Green 64512"/>
    <n v="150"/>
    <s v="451237-Lycra150Green 64512"/>
    <n v="2151"/>
    <n v="324.58999999999997"/>
    <n v="0"/>
    <n v="243"/>
    <s v=""/>
    <s v=""/>
    <n v="243"/>
    <s v=""/>
    <n v="2151"/>
    <n v="0.86899999999999999"/>
    <n v="2151"/>
  </r>
  <r>
    <s v="M &amp; S - T61 (KPK)"/>
    <s v="SQBIR.MS.105.FY26-27.1"/>
    <m/>
    <m/>
    <m/>
    <m/>
    <s v=""/>
    <n v="230"/>
    <s v="SJ 100% BCI Combed Compact Cotton 120gsm CW62”"/>
    <s v="Light Cream 81001"/>
    <s v=""/>
    <n v="36.845999999999997"/>
    <m/>
    <n v="-36.845999999999997"/>
    <m/>
    <n v="-36.845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s v=""/>
    <s v=""/>
    <s v=""/>
    <s v=""/>
    <s v=""/>
    <s v=""/>
    <n v="0"/>
    <n v="0"/>
    <s v=""/>
  </r>
  <r>
    <s v="M &amp; S - T61 (KPK)"/>
    <s v="SQBIR.MS.107.FY26-27.1"/>
    <m/>
    <m/>
    <m/>
    <m/>
    <s v=""/>
    <n v="231"/>
    <s v="SJ 100% BCI Combed Compact Cotton 120gsm CW62”"/>
    <s v="Light Cream 81001"/>
    <n v="-6.916666666666667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s v=""/>
    <s v=""/>
    <s v=""/>
    <s v=""/>
    <n v="20.75"/>
    <s v=""/>
    <n v="0"/>
    <n v="0"/>
    <s v=""/>
  </r>
  <r>
    <s v="M &amp; S - T61 (KPK)"/>
    <s v="SQBIR.MS.108.FY26-27.2"/>
    <m/>
    <m/>
    <m/>
    <m/>
    <s v=""/>
    <n v="232"/>
    <s v="SJ 100% BCI Combed Compact Cotton 120gsm CW62”"/>
    <s v="Light Cream 81001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s v=""/>
    <s v=""/>
    <s v=""/>
    <s v=""/>
    <s v=""/>
    <n v="0"/>
    <n v="0"/>
    <n v="0"/>
  </r>
  <r>
    <s v="M &amp; S - T61 (KPK)"/>
    <s v="SQBIR.MS.109.FY26-27.1"/>
    <m/>
    <m/>
    <m/>
    <m/>
    <s v=""/>
    <n v="233"/>
    <s v="SJ 100% BCI Combed Compact Cotton 120gsm CW62”"/>
    <s v="Light Cream 81001"/>
    <s v="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"/>
    <n v="120"/>
    <s v="463564120Light Cream 81001"/>
    <n v="0"/>
    <s v="#NA"/>
    <n v="0"/>
    <n v="281.99599999999998"/>
    <s v=""/>
    <s v=""/>
    <s v=""/>
    <s v=""/>
    <n v="0"/>
    <n v="0"/>
    <n v="0"/>
  </r>
  <r>
    <s v="M &amp; S - T33"/>
    <s v="SQBIR.MS.01266.FY25-26.6"/>
    <m/>
    <m/>
    <m/>
    <m/>
    <s v=""/>
    <n v="234"/>
    <s v="94% Cotton 6% Spandex 190 GSM Molding CW 61 S/J"/>
    <s v="White"/>
    <n v="0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190"/>
    <s v="451281190White 10001"/>
    <n v="919.43"/>
    <n v="9.25"/>
    <s v=""/>
    <s v=""/>
    <s v=""/>
    <s v=""/>
    <n v="0"/>
    <s v=""/>
    <n v="919.43"/>
    <n v="0.99"/>
    <s v=""/>
  </r>
  <r>
    <s v="M &amp; S - T33"/>
    <s v="SQBIR.MS.01258.FY25-26.8"/>
    <m/>
    <m/>
    <m/>
    <m/>
    <s v=""/>
    <n v="235"/>
    <s v="94% Cotton 6% Spandex 190 GSM Molding CW 61 S/J"/>
    <s v="Vanilla"/>
    <s v=""/>
    <n v="105.206"/>
    <m/>
    <n v="-105.206"/>
    <m/>
    <n v="-105.206"/>
    <s v="4511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147-SP27 3276"/>
    <s v="Vanilla 47956"/>
    <n v="190"/>
    <s v="451147-SP27 3276190Vanilla 47956"/>
    <n v="1541"/>
    <n v="190.99"/>
    <s v=""/>
    <s v=""/>
    <s v=""/>
    <s v=""/>
    <s v=""/>
    <s v=""/>
    <n v="1541"/>
    <n v="0.89"/>
    <s v=""/>
  </r>
  <r>
    <s v="M &amp; S - T61 (KPK)"/>
    <s v="SQBIR.MS.143.FY26-27.1"/>
    <m/>
    <m/>
    <m/>
    <m/>
    <s v=""/>
    <n v="243"/>
    <s v="SJ 100% BCI Combed Compact Cotton 120gsm CW62”"/>
    <s v="Bluebell"/>
    <n v="-10.725"/>
    <n v="32.174999999999997"/>
    <m/>
    <n v="-32.174999999999997"/>
    <m/>
    <n v="-32.174999999999997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20"/>
    <s v="463564120BLUEBELL 23981"/>
    <n v="0"/>
    <s v="#NA"/>
    <s v=""/>
    <n v="52.801000000000002"/>
    <s v=""/>
    <s v=""/>
    <n v="32.174999999999997"/>
    <s v=""/>
    <n v="0"/>
    <n v="0"/>
    <s v=""/>
  </r>
  <r>
    <s v="M&amp;S T14"/>
    <s v="SQBIR.MS.030.FY26-27.5"/>
    <m/>
    <m/>
    <m/>
    <m/>
    <s v=""/>
    <n v="244"/>
    <s v=" 95% BCI COTTON 5% LYCRA JERSEY GSM-150 CW-160 CM/63 INCH "/>
    <s v="DARK SLATE 23891"/>
    <s v=""/>
    <n v="591.5"/>
    <n v="462.38"/>
    <n v="-129.12"/>
    <m/>
    <n v="-129.12"/>
    <s v="45123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37-Lycra"/>
    <s v="Dark Slate 23891"/>
    <n v="150"/>
    <s v="451237-Lycra150Dark Slate 23891"/>
    <n v="2346.4699999999998"/>
    <n v="129.12"/>
    <s v=""/>
    <s v=""/>
    <s v=""/>
    <s v=""/>
    <s v=""/>
    <s v=""/>
    <n v="2346.4699999999998"/>
    <n v="0.94799999999999995"/>
    <s v=""/>
  </r>
  <r>
    <s v="M &amp; S - T61 (KPK)"/>
    <s v="SQBIR.MS.01240.FY25-26.6"/>
    <m/>
    <m/>
    <m/>
    <m/>
    <s v=""/>
    <n v="253"/>
    <s v="SJ 100% BCI Combed Compact Cotton 120gsm CW62”"/>
    <s v="MOONDAST"/>
    <n v="0"/>
    <n v="17.736000000000001"/>
    <n v="17.736000000000001"/>
    <n v="0"/>
    <m/>
    <n v="0"/>
    <s v="440575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s v=""/>
    <s v=""/>
    <n v="0"/>
    <s v=""/>
    <n v="569.91"/>
    <n v="0.89"/>
    <n v="464.77399999999994"/>
  </r>
  <r>
    <s v="M &amp; S - T71"/>
    <s v="SQBIR.MS.154.FY26-27.2"/>
    <m/>
    <m/>
    <m/>
    <m/>
    <s v=""/>
    <n v="256"/>
    <s v="100% BCI COTTON 150 GSM CW 69 IN"/>
    <s v="32312 Soft Blue"/>
    <s v=""/>
    <n v="76.400000000000006"/>
    <m/>
    <n v="-76.400000000000006"/>
    <m/>
    <n v="-76.400000000000006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32312 Soft Blue"/>
    <n v="150"/>
    <s v="46108515032312 Soft Blue"/>
    <n v="0"/>
    <s v="#NA"/>
    <s v=""/>
    <n v="258.57600000000002"/>
    <s v=""/>
    <s v=""/>
    <s v=""/>
    <s v=""/>
    <n v="0"/>
    <n v="0"/>
    <s v=""/>
  </r>
  <r>
    <s v="M &amp; S - T71"/>
    <s v="SQBIR.MS.154.FY26-27.1"/>
    <m/>
    <m/>
    <m/>
    <m/>
    <s v=""/>
    <n v="257"/>
    <s v="100% BCI COTTON 150 GSM CW 69 IN"/>
    <s v="32312 Soft Blue"/>
    <s v=""/>
    <n v="20"/>
    <m/>
    <n v="-20"/>
    <m/>
    <n v="-20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s v=""/>
    <s v=""/>
    <s v=""/>
    <s v=""/>
    <n v="0"/>
    <n v="0"/>
    <n v="0"/>
  </r>
  <r>
    <s v="M &amp; S - T71"/>
    <s v="SQBIR.MS.154.FY26-27.2"/>
    <m/>
    <m/>
    <m/>
    <m/>
    <s v=""/>
    <n v="258"/>
    <s v="100% BCI COTTON 150 GSM CW 69 IN"/>
    <s v="32312 Soft Blue"/>
    <s v=""/>
    <n v="9.3759999999999994"/>
    <m/>
    <n v="-9.3759999999999994"/>
    <m/>
    <n v="-9.3759999999999994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32312 Soft Blue"/>
    <n v="150"/>
    <s v="46108515032312 Soft Blue"/>
    <n v="0"/>
    <s v="#NA"/>
    <s v=""/>
    <n v="258.57600000000002"/>
    <s v=""/>
    <s v=""/>
    <s v=""/>
    <s v=""/>
    <n v="0"/>
    <n v="0"/>
    <s v=""/>
  </r>
  <r>
    <s v="M &amp; S - T71"/>
    <s v="SQBIR.MS.155.FY26-27.1"/>
    <m/>
    <m/>
    <m/>
    <m/>
    <b v="0"/>
    <n v="259"/>
    <s v="100% BCI COTTON 150 GSM CW 69 IN"/>
    <s v="Royal Blue"/>
    <n v="0"/>
    <n v="36.4"/>
    <n v="36.4"/>
    <n v="0"/>
    <m/>
    <n v="0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Royal Blue 47316-AOP"/>
    <n v="150"/>
    <s v="461085150Royal Blue 47316-AOP"/>
    <n v="0"/>
    <s v="#NA"/>
    <n v="36.4"/>
    <n v="53.962999999999994"/>
    <s v=""/>
    <s v=""/>
    <n v="0"/>
    <b v="0"/>
    <n v="0"/>
    <n v="1.0409999999999999"/>
    <n v="-36.4"/>
  </r>
  <r>
    <s v="M &amp; S - T71"/>
    <s v="SQBIR.MS.155.FY26-27.2"/>
    <m/>
    <m/>
    <m/>
    <m/>
    <b v="0"/>
    <n v="260"/>
    <s v="100% BCI COTTON 150 GSM CW 69 IN"/>
    <s v="Royal Blue"/>
    <n v="-5.8543333333333329"/>
    <n v="17.562999999999999"/>
    <m/>
    <n v="-17.562999999999999"/>
    <m/>
    <n v="-17.5629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Royal Blue 47316-AOP"/>
    <n v="150"/>
    <s v="461085150Royal Blue 47316-AOP"/>
    <n v="0"/>
    <s v="#NA"/>
    <n v="36.4"/>
    <n v="53.962999999999994"/>
    <s v=""/>
    <s v=""/>
    <n v="17.562999999999999"/>
    <b v="0"/>
    <n v="0"/>
    <n v="1.0409999999999999"/>
    <n v="-36.4"/>
  </r>
  <r>
    <s v="M &amp; S - T61 (KPK)"/>
    <s v="SQBIR.MS.01202.FY25-26.12"/>
    <m/>
    <m/>
    <m/>
    <m/>
    <s v=""/>
    <n v="261"/>
    <s v="SJ 95% BCI Cmd Cmpt CTN 5% Inv Ly 140gsm CW63”"/>
    <s v="Bluebell"/>
    <n v="0"/>
    <n v="109"/>
    <n v="109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ue Bell 23981"/>
    <n v="140"/>
    <s v="441109140Blue Bell 23981"/>
    <n v="2830"/>
    <n v="-52"/>
    <s v=""/>
    <s v=""/>
    <s v=""/>
    <s v=""/>
    <n v="0"/>
    <s v=""/>
    <n v="2830"/>
    <n v="1.0189999999999999"/>
    <s v=""/>
  </r>
  <r>
    <s v="M &amp; S - T33"/>
    <s v="SQBIR.MS.01300.FY25-26.4"/>
    <m/>
    <m/>
    <m/>
    <m/>
    <s v=""/>
    <n v="262"/>
    <s v="100% BCI Cotton 140gsm CW68”"/>
    <s v="Black"/>
    <n v="0"/>
    <n v="62.35"/>
    <n v="62.35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140"/>
    <s v="451603-SP27 0713-Cookie Cup140Black 10005"/>
    <n v="462"/>
    <n v="-8.7799999999999994"/>
    <s v=""/>
    <s v=""/>
    <s v=""/>
    <s v=""/>
    <n v="0"/>
    <s v=""/>
    <n v="462"/>
    <n v="1.0189999999999999"/>
    <s v=""/>
  </r>
  <r>
    <s v="M &amp; S - T61 (KPK)"/>
    <s v="SQBIR.MS.01168.FY25-26.7"/>
    <m/>
    <m/>
    <m/>
    <m/>
    <s v=""/>
    <n v="272"/>
    <s v="SJ 100% BCI Combed Compact Cotton 120gsm CW62”"/>
    <s v="21690 DUSTED PINK"/>
    <s v=""/>
    <n v="5.25"/>
    <n v="5.25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21690 Dusted Pink"/>
    <n v="120"/>
    <s v="44110912021690 Dusted Pink"/>
    <n v="20.16"/>
    <n v="-4.16"/>
    <s v=""/>
    <n v="16"/>
    <s v=""/>
    <s v=""/>
    <s v=""/>
    <s v=""/>
    <n v="20.16"/>
    <n v="1.26"/>
    <s v=""/>
  </r>
  <r>
    <s v="M &amp; S - T61 (KPK)"/>
    <s v="SQBIR.MS.01168.FY25-26.8"/>
    <m/>
    <m/>
    <m/>
    <m/>
    <s v=""/>
    <n v="273"/>
    <s v="SJ 100% BCI Combed Compact Cotton 120gsm CW62”"/>
    <s v="21690 DUSTED PINK"/>
    <s v=""/>
    <n v="4.75"/>
    <n v="4.75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21690 Dusted Pink"/>
    <n v="120"/>
    <s v="44110912021690 Dusted Pink"/>
    <n v="20.16"/>
    <n v="-4.16"/>
    <n v="16"/>
    <n v="16"/>
    <s v=""/>
    <s v=""/>
    <s v=""/>
    <s v=""/>
    <n v="20.16"/>
    <n v="1.26"/>
    <n v="4.16"/>
  </r>
  <r>
    <s v="M &amp; S - T61 (KPK)"/>
    <s v="SQBIR.MS.01230.FY25-26.5"/>
    <m/>
    <m/>
    <m/>
    <m/>
    <s v=""/>
    <n v="274"/>
    <s v="SJ 100% BCI Combed Compact Cotton 120gsm CW62”"/>
    <s v="21690 DUSTED PINK"/>
    <n v="0"/>
    <n v="6"/>
    <n v="6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21690 Dusted Pink"/>
    <n v="120"/>
    <s v="44110912021690 Dusted Pink"/>
    <n v="20.16"/>
    <n v="-4.16"/>
    <n v="16"/>
    <s v=""/>
    <s v=""/>
    <s v=""/>
    <n v="0"/>
    <s v=""/>
    <n v="20.16"/>
    <n v="1.26"/>
    <n v="4.16"/>
  </r>
  <r>
    <s v="M &amp; S - T71"/>
    <s v="SQBIR.MS.154.FY26-27.1"/>
    <m/>
    <m/>
    <m/>
    <m/>
    <s v=""/>
    <n v="275"/>
    <s v="100% BCI COTTON 150 GSM CW 69 IN"/>
    <s v="ECRU 48055"/>
    <s v=""/>
    <n v="152.80000000000001"/>
    <n v="152.80000000000001"/>
    <n v="0"/>
    <m/>
    <n v="0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Ecru 48055 AOP"/>
    <n v="150"/>
    <s v="461085150Ecru 48055 AOP"/>
    <n v="0"/>
    <s v="#NA"/>
    <s v=""/>
    <s v=""/>
    <s v=""/>
    <s v=""/>
    <n v="0"/>
    <s v=""/>
    <n v="0"/>
    <n v="0.95599999999999996"/>
    <s v=""/>
  </r>
  <r>
    <s v="M &amp; S - T71"/>
    <s v="SQBIR.MS.154.FY26-27.2"/>
    <m/>
    <m/>
    <m/>
    <m/>
    <s v=""/>
    <n v="276"/>
    <s v="100% BCI COTTON 150 GSM CW 69 IN"/>
    <s v="ECRU 48055"/>
    <n v="-25.466666666666669"/>
    <n v="76.400000000000006"/>
    <m/>
    <n v="-76.400000000000006"/>
    <m/>
    <n v="-76.400000000000006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Ecru 48055 AOP"/>
    <n v="150"/>
    <s v="461085150Ecru 48055 AOP"/>
    <n v="0"/>
    <s v="#NA"/>
    <s v=""/>
    <s v=""/>
    <s v=""/>
    <s v=""/>
    <n v="76.400000000000006"/>
    <s v=""/>
    <n v="0"/>
    <n v="0.95599999999999996"/>
    <s v=""/>
  </r>
  <r>
    <s v="M &amp; S - T71"/>
    <s v="SQBIR.MS.154.FY26-27.1"/>
    <m/>
    <m/>
    <m/>
    <m/>
    <s v=""/>
    <n v="277"/>
    <s v="100% BCI COTTON 150 GSM CW 69 IN"/>
    <s v="ECRU 48055"/>
    <s v=""/>
    <n v="80"/>
    <n v="80"/>
    <n v="0"/>
    <m/>
    <n v="0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Ecru 48055 AOP"/>
    <n v="150"/>
    <s v="461085150Ecru 48055 AOP"/>
    <n v="0"/>
    <s v="#NA"/>
    <s v=""/>
    <n v="348.52600000000007"/>
    <s v=""/>
    <s v=""/>
    <s v=""/>
    <s v=""/>
    <n v="0"/>
    <n v="0.95599999999999996"/>
    <s v=""/>
  </r>
  <r>
    <s v="M &amp; S - T71"/>
    <s v="SQBIR.MS.154.FY26-27.2"/>
    <m/>
    <m/>
    <m/>
    <m/>
    <s v=""/>
    <n v="278"/>
    <s v="100% BCI COTTON 150 GSM CW 69 IN"/>
    <s v="ECRU 48055"/>
    <s v=""/>
    <n v="39.326000000000001"/>
    <m/>
    <n v="-39.326000000000001"/>
    <m/>
    <n v="-39.326000000000001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Ecru 48055 AOP"/>
    <n v="150"/>
    <s v="461085150Ecru 48055 AOP"/>
    <n v="0"/>
    <s v="#NA"/>
    <n v="232.8"/>
    <n v="348.52600000000007"/>
    <s v=""/>
    <s v=""/>
    <s v=""/>
    <s v=""/>
    <n v="0"/>
    <n v="0.95599999999999996"/>
    <n v="-232.8"/>
  </r>
  <r>
    <s v="M &amp; S - T71"/>
    <s v="SQBIR.MS.154.FY26-27.1"/>
    <m/>
    <m/>
    <m/>
    <m/>
    <b v="0"/>
    <n v="279"/>
    <s v="100% BCI COTTON 150 GSM CW 69 IN"/>
    <s v="PFD"/>
    <n v="0"/>
    <n v="40"/>
    <n v="40"/>
    <n v="0"/>
    <m/>
    <n v="0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PFD-AOP"/>
    <n v="150"/>
    <s v="461085150PFD-AOP"/>
    <n v="0"/>
    <s v="#NA"/>
    <n v="40"/>
    <n v="59.3"/>
    <s v=""/>
    <s v=""/>
    <n v="0"/>
    <b v="0"/>
    <n v="0"/>
    <n v="0.98599999999999999"/>
    <n v="-40"/>
  </r>
  <r>
    <s v="M &amp; S - T71"/>
    <s v="SQBIR.MS.154.FY26-27.2"/>
    <m/>
    <m/>
    <m/>
    <m/>
    <b v="0"/>
    <n v="280"/>
    <s v="100% BCI COTTON 150 GSM CW 69 IN"/>
    <s v="PFD"/>
    <n v="-6.4333333333333336"/>
    <n v="19.3"/>
    <m/>
    <n v="-19.3"/>
    <m/>
    <n v="-19.3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PFD-AOP"/>
    <n v="150"/>
    <s v="461085150PFD-AOP"/>
    <n v="0"/>
    <s v="#NA"/>
    <n v="40"/>
    <n v="59.3"/>
    <s v=""/>
    <s v=""/>
    <n v="19.3"/>
    <b v="0"/>
    <n v="0"/>
    <n v="0.98599999999999999"/>
    <n v="-40"/>
  </r>
  <r>
    <s v="M &amp; S - T61 (KPK)"/>
    <s v="SQBIR.MS.108.FY26-27.1"/>
    <m/>
    <m/>
    <m/>
    <m/>
    <b v="0"/>
    <n v="286"/>
    <s v="SJ 100% BCI Combed Compact Cotton 120gsm CW62”"/>
    <s v="PRALINE 22001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Praline 22001"/>
    <n v="120"/>
    <s v="462079120Praline 22001"/>
    <n v="0"/>
    <s v="#NA"/>
    <n v="0"/>
    <n v="88"/>
    <s v=""/>
    <s v=""/>
    <n v="88"/>
    <b v="0"/>
    <n v="0"/>
    <n v="0"/>
    <n v="0"/>
  </r>
  <r>
    <s v="M &amp; S - T61 (KPK)"/>
    <s v="SQBIR.MS.01213.FY25-26.8"/>
    <m/>
    <m/>
    <m/>
    <m/>
    <s v=""/>
    <n v="287"/>
    <s v="SJ 95% BCI Cmd Cmpt CTN 5% Inv Ly 140gsm CW63”"/>
    <s v="Pink Cloud"/>
    <s v=""/>
    <n v="17.443000000000001"/>
    <n v="17.443000000000001"/>
    <n v="0"/>
    <m/>
    <n v="0"/>
    <s v="463358"/>
    <s v="Solid"/>
    <x v="54"/>
    <d v="2026-10-10T00:00:00"/>
    <d v="2026-10-10T00:00:00"/>
    <s v="Hues Agreed qty as per SQBL required date"/>
    <s v="OTT ADVANCEMENT"/>
    <s v="Oct"/>
    <d v="2026-10-04T00:00:00"/>
    <m/>
    <m/>
    <m/>
    <m/>
    <m/>
    <m/>
    <m/>
    <m/>
    <m/>
    <m/>
    <s v="463358"/>
    <s v="Pink Cloud 23853"/>
    <n v="140"/>
    <s v="463358140Pink Cloud 23853"/>
    <n v="195"/>
    <n v="5"/>
    <s v=""/>
    <n v="18.459000000000003"/>
    <s v=""/>
    <s v=""/>
    <s v=""/>
    <s v=""/>
    <n v="195"/>
    <n v="0.97499999999999998"/>
    <s v=""/>
  </r>
  <r>
    <s v="M &amp; S - T61 (KPK)"/>
    <s v="SQBIR.MS.01213.FY25-26.8"/>
    <m/>
    <m/>
    <m/>
    <m/>
    <s v=""/>
    <n v="288"/>
    <s v="SJ 100% BCI Combed Compact Cotton 120gsm CW62”"/>
    <s v="MOONDAST"/>
    <n v="0"/>
    <n v="12.582000000000001"/>
    <n v="12.582000000000001"/>
    <n v="0"/>
    <m/>
    <n v="0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s v=""/>
    <s v=""/>
    <s v=""/>
    <s v=""/>
    <n v="0"/>
    <s v=""/>
    <n v="569.91"/>
    <n v="0.89"/>
    <s v=""/>
  </r>
  <r>
    <s v="M &amp; S - T71"/>
    <s v="SQBIR.MS.283.FY26-27.1"/>
    <m/>
    <m/>
    <m/>
    <m/>
    <s v=""/>
    <n v="289"/>
    <s v="100% BCI COTTON 150 GSM CW 69 IN"/>
    <s v="Cornflower 23687 AOP"/>
    <s v=""/>
    <n v="17.8"/>
    <n v="17.8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Cornflower 23687-AOP-G"/>
    <n v="150"/>
    <s v="465758150Cornflower 23687-AOP-G"/>
    <n v="166"/>
    <n v="-6"/>
    <s v=""/>
    <s v=""/>
    <s v=""/>
    <s v=""/>
    <s v=""/>
    <s v=""/>
    <n v="166"/>
    <n v="1.038"/>
    <s v=""/>
  </r>
  <r>
    <s v="M &amp; S - T71"/>
    <s v="SQBIR.MS.283.FY26-27.2"/>
    <m/>
    <m/>
    <m/>
    <m/>
    <s v=""/>
    <n v="290"/>
    <s v="100% BCI COTTON 150 GSM CW 69 IN"/>
    <s v="Cornflower 23687 AOP"/>
    <s v=""/>
    <n v="35.6"/>
    <n v="35.6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Cornflower 23687-AOP-G"/>
    <n v="150"/>
    <s v="465758150Cornflower 23687-AOP-G"/>
    <n v="166"/>
    <n v="-6"/>
    <n v="53.400000000000006"/>
    <n v="53.400000000000006"/>
    <s v=""/>
    <s v=""/>
    <s v=""/>
    <s v=""/>
    <n v="166"/>
    <n v="1.038"/>
    <n v="112.6"/>
  </r>
  <r>
    <s v="M &amp; S - T61 (KPK)"/>
    <s v="SQBIR.MS.134.FY26-27.8"/>
    <m/>
    <m/>
    <m/>
    <m/>
    <s v=""/>
    <n v="291"/>
    <s v="SJ 95% BCI Cmd Cmpt CTN 5% Inv Ly 140gsm CW63”"/>
    <s v="Black"/>
    <s v=""/>
    <n v="5.016"/>
    <n v="5.016"/>
    <n v="0"/>
    <m/>
    <n v="0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n v="5671.3159999999998"/>
    <n v="5903.3559999999998"/>
    <s v=""/>
    <s v=""/>
    <s v=""/>
    <s v=""/>
    <n v="5671.31"/>
    <n v="0.96099999999999997"/>
    <n v="-5.9999999994033715E-3"/>
  </r>
  <r>
    <s v="M &amp; S - T61 (KPK)"/>
    <s v="SQBIR.MS.132.FY26-27.1"/>
    <m/>
    <m/>
    <m/>
    <m/>
    <s v=""/>
    <n v="292"/>
    <s v="SJ 100% BCI Combed Compact Cotton 120gsm CW62”"/>
    <s v="White"/>
    <n v="0"/>
    <n v="278.375"/>
    <n v="278.375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805.58"/>
    <n v="107.2"/>
    <n v="803.42499999999995"/>
    <n v="910.625"/>
    <s v=""/>
    <s v=""/>
    <s v=""/>
    <s v=""/>
    <n v="805.58"/>
    <n v="0.88300000000000001"/>
    <n v="2.1550000000000864"/>
  </r>
  <r>
    <s v="M &amp; S - T61 (KPK)"/>
    <s v="SQBIR.MS.137.FY26-27.1"/>
    <m/>
    <m/>
    <m/>
    <m/>
    <s v=""/>
    <n v="293"/>
    <s v="SJ 100% BCI Combed Compact Cotton 120gsm CW62”"/>
    <s v="White"/>
    <n v="-35.733333333333327"/>
    <n v="252"/>
    <n v="144.80000000000001"/>
    <n v="-107.19999999999999"/>
    <m/>
    <n v="-107.19999999999999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20"/>
    <s v="459386120White 10001"/>
    <n v="805.58"/>
    <n v="107.2"/>
    <n v="803.42499999999995"/>
    <n v="910.625"/>
    <s v=""/>
    <s v=""/>
    <n v="107.19999999999999"/>
    <s v=""/>
    <n v="805.58"/>
    <n v="0.88300000000000001"/>
    <n v="2.1550000000000864"/>
  </r>
  <r>
    <s v="M &amp; S - T61 (KPK)"/>
    <s v="SQBIR.MS.108.FY26-27.1"/>
    <m/>
    <m/>
    <m/>
    <m/>
    <b v="0"/>
    <n v="295"/>
    <s v="SJ 95% BCI Cmd Cmpt CTN 5% Inv Ly 140gsm CW63”"/>
    <s v="Black 10005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"/>
    <n v="140"/>
    <s v="462079140Black 10005"/>
    <n v="0"/>
    <s v="#NA"/>
    <n v="0"/>
    <n v="466.4"/>
    <s v=""/>
    <s v=""/>
    <n v="466.4"/>
    <b v="0"/>
    <n v="0"/>
    <n v="0"/>
    <n v="0"/>
  </r>
  <r>
    <s v="M &amp; S - T61 (KPK)"/>
    <s v="SQBIR.MS.108.FY26-27.1"/>
    <m/>
    <m/>
    <m/>
    <m/>
    <s v=""/>
    <n v="296"/>
    <s v="SJ 95% BCI Cmd Cmpt CTN 5% Inv Ly 140gsm CW63”"/>
    <s v="Bros B0284"/>
    <s v="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ros B0284"/>
    <n v="140"/>
    <s v="462079140Bros B0284"/>
    <n v="0"/>
    <s v="#NA"/>
    <n v="0"/>
    <n v="466.4"/>
    <s v=""/>
    <s v=""/>
    <s v=""/>
    <s v=""/>
    <n v="0"/>
    <n v="0"/>
    <n v="0"/>
  </r>
  <r>
    <s v="M &amp; S - T61 (KPK)"/>
    <s v="SQBIR.MS.108.FY26-27.1"/>
    <m/>
    <m/>
    <m/>
    <m/>
    <b v="0"/>
    <n v="297"/>
    <s v="SJ 95% BCI Cmd Cmpt CTN 5% Inv Ly 140gsm CW63”"/>
    <s v="PRALINE 22001"/>
    <n v="-155.46666666666667"/>
    <n v="466.4"/>
    <m/>
    <n v="-466.4"/>
    <m/>
    <n v="-466.4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Praline 22001"/>
    <n v="140"/>
    <s v="462079140Praline 22001"/>
    <n v="0"/>
    <s v="#NA"/>
    <n v="0"/>
    <n v="466.4"/>
    <s v=""/>
    <s v=""/>
    <n v="466.4"/>
    <b v="0"/>
    <n v="0"/>
    <n v="0"/>
    <n v="0"/>
  </r>
  <r>
    <s v="M &amp; S - T61 (KPK)"/>
    <s v="SQBIR.MS.147.FY26-27.1"/>
    <m/>
    <m/>
    <m/>
    <m/>
    <s v=""/>
    <n v="298"/>
    <s v="SJ 95% BCI Cmd Cmpt CTN 5% Inv Ly 140gsm CW63”"/>
    <s v="White 10001"/>
    <n v="-6.9119999999999964"/>
    <n v="271.73599999999999"/>
    <n v="251"/>
    <n v="-20.73599999999999"/>
    <m/>
    <n v="-20.73599999999999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40"/>
    <s v="462079140White 10001"/>
    <n v="1067"/>
    <n v="24"/>
    <n v="251"/>
    <n v="275"/>
    <s v=""/>
    <s v=""/>
    <n v="20.73599999999999"/>
    <s v=""/>
    <n v="1067"/>
    <n v="0.97799999999999998"/>
    <n v="816"/>
  </r>
  <r>
    <s v="M &amp; S - T61 (KPK)"/>
    <s v="SQBIR.MS.143.FY26-27.1"/>
    <m/>
    <m/>
    <m/>
    <m/>
    <b v="0"/>
    <n v="299"/>
    <s v="SJ 95% BCI Cmd Cmpt CTN 5% Inv Ly 140gsm CW63”"/>
    <s v="MOONDAST"/>
    <n v="-84.333333333333329"/>
    <n v="253"/>
    <m/>
    <n v="-253"/>
    <m/>
    <n v="-253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s v=""/>
    <s v=""/>
    <n v="253"/>
    <b v="0"/>
    <n v="0"/>
    <n v="0"/>
    <n v="0"/>
  </r>
  <r>
    <s v="M &amp; S - T61 (KPK)"/>
    <s v="SQBIR.MS.143.FY26-27.9"/>
    <m/>
    <m/>
    <m/>
    <m/>
    <b v="0"/>
    <n v="300"/>
    <s v="SJ 95% BCI Cmd Cmpt CTN 5% Inv Ly 140gsm CW63”"/>
    <s v="MOONDAST"/>
    <n v="-0.36800000000000005"/>
    <n v="1.1040000000000001"/>
    <m/>
    <n v="-1.1040000000000001"/>
    <m/>
    <n v="-1.1040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s v=""/>
    <s v=""/>
    <n v="1.1040000000000001"/>
    <b v="0"/>
    <n v="0"/>
    <n v="0"/>
    <n v="0"/>
  </r>
  <r>
    <s v="M &amp; S - T61 (KPK)"/>
    <s v="SQBIR.MS.126.FY26-27.1"/>
    <m/>
    <m/>
    <m/>
    <m/>
    <b v="0"/>
    <n v="301"/>
    <s v="SJ 95% BCI Cmd Cmpt CTN 5% Inv Ly 140gsm CW63”"/>
    <s v="MOONDAST"/>
    <n v="-50.864666666666665"/>
    <n v="152.59399999999999"/>
    <m/>
    <n v="-152.59399999999999"/>
    <m/>
    <n v="-152.59399999999999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40"/>
    <s v="46356414033396 Moondust"/>
    <n v="0"/>
    <s v="#NA"/>
    <n v="0"/>
    <n v="406.69799999999998"/>
    <s v=""/>
    <s v=""/>
    <n v="152.59399999999999"/>
    <b v="0"/>
    <n v="0"/>
    <n v="0"/>
    <n v="0"/>
  </r>
  <r>
    <s v="M &amp; S - T61 (KPK)"/>
    <s v="SQBIR.MS.01210.FY25-26.11"/>
    <m/>
    <m/>
    <m/>
    <m/>
    <s v=""/>
    <n v="302"/>
    <s v="SJ 100% BCI Combed Compact Cotton 120gsm CW62”"/>
    <s v="Black 10005"/>
    <n v="0"/>
    <n v="307.5"/>
    <n v="307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727.38"/>
    <n v="-58.38"/>
    <s v=""/>
    <s v=""/>
    <s v=""/>
    <s v=""/>
    <s v=""/>
    <s v=""/>
    <n v="2727.38"/>
    <n v="1.022"/>
    <s v=""/>
  </r>
  <r>
    <s v="M&amp;S T14"/>
    <s v="SQBIR.MS.030.FY26-27.5"/>
    <m/>
    <m/>
    <m/>
    <m/>
    <s v=""/>
    <n v="303"/>
    <s v=" 95% BCI COTTON 5% LYCRA JERSEY GSM-150 CW-160 CM/63 INCH "/>
    <s v="CHAMBRAY 47330"/>
    <s v=""/>
    <n v="36.33"/>
    <n v="36.33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Chambray 47330"/>
    <n v="150"/>
    <s v="451243-Lycra150Chambray 47330"/>
    <n v="942"/>
    <n v="-38.5"/>
    <n v="36.33"/>
    <s v=""/>
    <s v=""/>
    <s v=""/>
    <s v=""/>
    <s v=""/>
    <n v="942"/>
    <n v="1.0429999999999999"/>
    <n v="905.67"/>
  </r>
  <r>
    <s v="M &amp; S - T33"/>
    <s v="SQBIR.MS.01266.FY25-26.2"/>
    <m/>
    <m/>
    <m/>
    <m/>
    <s v=""/>
    <n v="304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s v=""/>
    <s v=""/>
    <s v=""/>
    <s v=""/>
    <n v="0"/>
    <s v=""/>
    <n v="893.5"/>
    <n v="0.96199999999999997"/>
    <s v=""/>
  </r>
  <r>
    <s v="M&amp;S T14"/>
    <s v="SQBIR.MS.030.FY26-27.5"/>
    <m/>
    <m/>
    <m/>
    <m/>
    <s v=""/>
    <n v="308"/>
    <s v=" 95% BCI COTTON 5% LYCRA JERSEY GSM-150 CW-160 CM/63 INCH "/>
    <s v="DARK INK"/>
    <s v=""/>
    <n v="3.6309999999999998"/>
    <n v="3.6309999999999998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Dark Ink 17613"/>
    <n v="150"/>
    <s v="451243-Lycra150Dark Ink 17613"/>
    <n v="925.09"/>
    <n v="-21.59"/>
    <s v=""/>
    <n v="3.6309999999999998"/>
    <s v=""/>
    <s v=""/>
    <s v=""/>
    <s v=""/>
    <n v="925.09"/>
    <n v="1.024"/>
    <s v=""/>
  </r>
  <r>
    <s v="M &amp; S - T32"/>
    <s v="SQBIR.MS.01345.FY25-26.3"/>
    <m/>
    <m/>
    <m/>
    <m/>
    <s v=""/>
    <n v="309"/>
    <s v="SJ BCI 100% CTN NORMAL FINISH 120GSM CUT WIDTH 62"/>
    <s v="Black"/>
    <n v="0"/>
    <n v="48"/>
    <n v="48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Black 10005"/>
    <n v="120"/>
    <s v="449668120Black 10005"/>
    <n v="102"/>
    <n v="-4.5599999999999996"/>
    <n v="49.44"/>
    <n v="49.44"/>
    <s v=""/>
    <s v=""/>
    <n v="0"/>
    <s v=""/>
    <n v="102"/>
    <n v="1.0469999999999999"/>
    <n v="52.56"/>
  </r>
  <r>
    <s v="M &amp; S - T61 (KPK)"/>
    <s v="SQBIR.MS.107.FY26-27.1"/>
    <m/>
    <m/>
    <m/>
    <m/>
    <s v=""/>
    <n v="310"/>
    <s v="SJ 100% BCI Combed Compact Cotton 120gsm CW62”"/>
    <s v="Black 10005"/>
    <s v=""/>
    <n v="20.75"/>
    <m/>
    <n v="-20.75"/>
    <m/>
    <n v="-20.7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s v=""/>
    <s v=""/>
    <s v=""/>
    <s v=""/>
    <n v="0"/>
    <n v="0"/>
    <n v="0"/>
  </r>
  <r>
    <s v="M &amp; S - T61 (KPK)"/>
    <s v="SQBIR.MS.110.FY26-27.1"/>
    <m/>
    <m/>
    <m/>
    <m/>
    <s v=""/>
    <n v="311"/>
    <s v="SJ 100% BCI Combed Compact Cotton 120gsm CW62”"/>
    <s v="Black 10005"/>
    <s v=""/>
    <n v="307.5"/>
    <m/>
    <n v="-307.5"/>
    <m/>
    <n v="-307.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s v=""/>
    <s v=""/>
    <n v="307.5"/>
    <s v=""/>
    <n v="0"/>
    <n v="0"/>
    <n v="0"/>
  </r>
  <r>
    <s v="M &amp; S - T61 (KPK)"/>
    <s v="SQBIR.MS.108.FY26-27.2"/>
    <m/>
    <m/>
    <m/>
    <m/>
    <s v=""/>
    <n v="312"/>
    <s v="SJ 100% BCI Combed Compact Cotton 120gsm CW62”"/>
    <s v="Black 10005"/>
    <n v="-14.799999999999999"/>
    <n v="44.4"/>
    <m/>
    <n v="-44.4"/>
    <m/>
    <n v="-44.4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s v=""/>
    <s v=""/>
    <n v="44.4"/>
    <s v=""/>
    <n v="0"/>
    <n v="0"/>
    <n v="0"/>
  </r>
  <r>
    <s v="M &amp; S - T33"/>
    <s v="SQBIR.MS.01257.FY25-26.6"/>
    <m/>
    <m/>
    <m/>
    <m/>
    <s v=""/>
    <n v="313"/>
    <s v="94% Cotton 6% Spandex 190 GSM Molding CW 61 S/J"/>
    <s v="Bros"/>
    <n v="0"/>
    <n v="36.32"/>
    <n v="36.32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Bros B2692"/>
    <n v="190"/>
    <s v="451550-SP27 2231-Without Cup190Bros B2692"/>
    <n v="1572"/>
    <n v="-30.6"/>
    <n v="47.486000000000004"/>
    <n v="47.486000000000004"/>
    <s v=""/>
    <s v=""/>
    <n v="0"/>
    <s v=""/>
    <n v="1572"/>
    <n v="1.02"/>
    <n v="1524.5139999999999"/>
  </r>
  <r>
    <s v="M &amp; S - T33"/>
    <s v="SQBIR.MS.01261.FY25-26.4"/>
    <m/>
    <m/>
    <m/>
    <m/>
    <s v=""/>
    <n v="325"/>
    <s v="94% Cotton 6% Spandex 180 GSM No Molding CW 63  S/"/>
    <s v="Black"/>
    <n v="0"/>
    <n v="36.548000000000002"/>
    <n v="36.548000000000002"/>
    <n v="0"/>
    <m/>
    <n v="0"/>
    <s v="45155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1-SP27 9602-Without Cup"/>
    <s v="Black 10005"/>
    <n v="180"/>
    <s v="451551-SP27 9602-Without Cup180Black 10005"/>
    <n v="303"/>
    <n v="-11.34"/>
    <s v=""/>
    <s v=""/>
    <s v=""/>
    <s v=""/>
    <n v="0"/>
    <s v=""/>
    <n v="303"/>
    <n v="1.0389999999999999"/>
    <s v=""/>
  </r>
  <r>
    <s v="M &amp; S - T32"/>
    <s v="SQBIR.MS.01336.FY25-26.3"/>
    <m/>
    <m/>
    <m/>
    <m/>
    <s v=""/>
    <n v="327"/>
    <s v="SJ BCI 100% CTN NORMAL FINISH 120GSM CUT WIDTH 62"/>
    <s v="ROSE QUARTZ 23830"/>
    <s v=""/>
    <n v="1.44"/>
    <n v="1.44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Rose Quartz 23830"/>
    <n v="120"/>
    <s v="449668120Rose Quartz 23830"/>
    <n v="103.54"/>
    <n v="-6.1"/>
    <s v=""/>
    <n v="49.44"/>
    <s v=""/>
    <s v=""/>
    <s v=""/>
    <s v=""/>
    <n v="103.54"/>
    <n v="1.0629999999999999"/>
    <s v=""/>
  </r>
  <r>
    <s v="M &amp; S - T61 (KPK)"/>
    <s v="SQBIR.MS.01201.FY25-26.7"/>
    <m/>
    <m/>
    <m/>
    <m/>
    <s v=""/>
    <n v="328"/>
    <s v="SJ 95% BCI Cmd Cmpt CTN 5% Inv Ly 140gsm CW63”"/>
    <s v="Black"/>
    <n v="0"/>
    <n v="2124.366"/>
    <n v="2124.366"/>
    <n v="0"/>
    <m/>
    <n v="0"/>
    <s v="440955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0955"/>
    <s v="Black 10005"/>
    <n v="140"/>
    <s v="440955140Black 10005"/>
    <n v="34635.129999999997"/>
    <n v="-2301.11"/>
    <n v="2465.556"/>
    <n v="2465.556"/>
    <s v=""/>
    <s v=""/>
    <n v="0"/>
    <s v=""/>
    <n v="34635.129999999997"/>
    <n v="1.071"/>
    <n v="32169.573999999997"/>
  </r>
  <r>
    <s v="M &amp; S - T61 (KPK)"/>
    <s v="SQBIR.MS.01344.FY25-26.1"/>
    <m/>
    <m/>
    <m/>
    <m/>
    <s v=""/>
    <n v="329"/>
    <s v="SJ 100% BCI Combed Compact Cotton 120gsm CW62”"/>
    <s v="Navy 48633"/>
    <n v="0"/>
    <n v="16.600000000000001"/>
    <n v="16.60000000000000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464"/>
    <n v="-42"/>
    <s v=""/>
    <s v=""/>
    <s v=""/>
    <s v=""/>
    <n v="0"/>
    <s v=""/>
    <n v="464"/>
    <n v="1.1000000000000001"/>
    <s v=""/>
  </r>
  <r>
    <s v="M &amp; S - T61 (KPK)"/>
    <s v="SQBIR.MS.126.FY26-27.1"/>
    <m/>
    <m/>
    <m/>
    <m/>
    <s v=""/>
    <n v="332"/>
    <s v="SJ 100% BCI Combed Compact Cotton 120gsm CW62”"/>
    <s v="Bluebell"/>
    <n v="-6.8753333333333337"/>
    <n v="20.626000000000001"/>
    <m/>
    <n v="-20.626000000000001"/>
    <m/>
    <n v="-20.626000000000001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20"/>
    <s v="463564120BLUEBELL 23981"/>
    <n v="0"/>
    <s v="#NA"/>
    <s v=""/>
    <n v="52.801000000000002"/>
    <s v=""/>
    <s v=""/>
    <n v="20.626000000000001"/>
    <s v=""/>
    <n v="0"/>
    <n v="0"/>
    <s v=""/>
  </r>
  <r>
    <s v="M &amp; S - T61 (KPK)"/>
    <s v="SQBIR.MS.01249.FY25-26.5"/>
    <m/>
    <m/>
    <m/>
    <m/>
    <s v=""/>
    <n v="333"/>
    <s v="SJ 100% BCI Combed Compact Cotton 120gsm CW62”"/>
    <s v="Black 10005"/>
    <n v="0"/>
    <n v="36.94"/>
    <n v="36.94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ack 10005"/>
    <n v="120"/>
    <s v="441099120Black 10005"/>
    <n v="2863"/>
    <n v="159"/>
    <s v=""/>
    <s v=""/>
    <s v=""/>
    <s v=""/>
    <n v="0"/>
    <s v=""/>
    <n v="2863"/>
    <n v="0.94699999999999995"/>
    <s v=""/>
  </r>
  <r>
    <s v="M &amp; S - T61 (KPK)"/>
    <s v="SQBIR.MS.01201.FY25-26.8"/>
    <m/>
    <m/>
    <m/>
    <m/>
    <s v=""/>
    <n v="334"/>
    <s v="SJ 100% BCI Combed Compact Cotton 120gsm CW62”"/>
    <s v="Black"/>
    <s v=""/>
    <n v="31.123999999999999"/>
    <n v="31.123999999999999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20"/>
    <s v="440958120Black 10005"/>
    <n v="2885.2"/>
    <n v="-56.7"/>
    <n v="1352.2940000000001"/>
    <s v=""/>
    <s v=""/>
    <s v=""/>
    <s v=""/>
    <s v=""/>
    <n v="2885.2"/>
    <n v="1.02"/>
    <n v="1532.9059999999997"/>
  </r>
  <r>
    <s v="M &amp; S - T61 (KPK)"/>
    <s v="SQBIR.MS.01201.FY25-26.9"/>
    <m/>
    <m/>
    <m/>
    <m/>
    <s v=""/>
    <n v="335"/>
    <s v="SJ 100% BCI Combed Compact Cotton 120gsm CW62”"/>
    <s v="Black"/>
    <s v=""/>
    <n v="19"/>
    <n v="19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885.2"/>
    <n v="-56.7"/>
    <s v=""/>
    <n v="1352.2940000000001"/>
    <s v=""/>
    <s v=""/>
    <s v=""/>
    <s v=""/>
    <n v="2885.2"/>
    <n v="1.02"/>
    <s v=""/>
  </r>
  <r>
    <s v="M &amp; S - T33"/>
    <s v="SQBIR.MS.01266.FY25-26.3"/>
    <m/>
    <m/>
    <m/>
    <m/>
    <s v=""/>
    <n v="342"/>
    <s v="94% Cotton 6% Spandex 190 GSM Molding CW 61 S/J"/>
    <s v="Black"/>
    <s v="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s v=""/>
    <s v=""/>
    <s v=""/>
    <s v=""/>
    <s v=""/>
    <s v=""/>
    <n v="893.5"/>
    <n v="0.96199999999999997"/>
    <s v=""/>
  </r>
  <r>
    <s v="M &amp; S - T33"/>
    <s v="SQBIR.MS.01266.FY25-26.5"/>
    <m/>
    <m/>
    <m/>
    <m/>
    <s v=""/>
    <n v="343"/>
    <s v="94% Cotton 6% Spandex 235 GSM No Molding CW 64  S/"/>
    <s v="Black"/>
    <s v="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s v=""/>
    <s v=""/>
    <s v=""/>
    <s v=""/>
    <n v="330"/>
    <n v="1.026"/>
    <n v="98.55400000000003"/>
  </r>
  <r>
    <s v="M &amp; S - T61 (KPK)"/>
    <s v="SQBIR.MS.01201.FY25-26.7"/>
    <m/>
    <m/>
    <m/>
    <m/>
    <s v=""/>
    <n v="344"/>
    <s v="SJ 95% BCI Cmd Cmpt CTN 5% Inv Ly 140gsm CW63”"/>
    <s v="Black"/>
    <s v=""/>
    <n v="254.44399999999999"/>
    <n v="254.44399999999999"/>
    <n v="0"/>
    <m/>
    <n v="0"/>
    <s v="440936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36"/>
    <s v="Black 10005"/>
    <n v="140"/>
    <s v="440936140Black 10005"/>
    <n v="31458"/>
    <n v="-353.32"/>
    <s v=""/>
    <s v=""/>
    <s v=""/>
    <s v=""/>
    <s v=""/>
    <s v=""/>
    <n v="31458"/>
    <n v="1.0109999999999999"/>
    <s v=""/>
  </r>
  <r>
    <s v="M &amp; S - T61 (KPK)"/>
    <s v="SQBIR.MS.143.FY26-27.1"/>
    <m/>
    <m/>
    <m/>
    <m/>
    <s v=""/>
    <n v="353"/>
    <s v="SJ 95% BCI Cmd Cmpt CTN 5% Inv Ly 140gsm CW63”"/>
    <s v="Bluebell"/>
    <n v="-84.333333333333329"/>
    <n v="253"/>
    <m/>
    <n v="-253"/>
    <m/>
    <n v="-253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s v=""/>
    <s v=""/>
    <s v=""/>
    <s v=""/>
    <n v="253"/>
    <s v=""/>
    <n v="0"/>
    <n v="0"/>
    <s v=""/>
  </r>
  <r>
    <s v="M &amp; S - T61 (KPK)"/>
    <s v="SQBIR.MS.143.FY26-27.9"/>
    <m/>
    <m/>
    <m/>
    <m/>
    <s v=""/>
    <n v="354"/>
    <s v="SJ 95% BCI Cmd Cmpt CTN 5% Inv Ly 140gsm CW63”"/>
    <s v="Bluebell"/>
    <n v="-0.36800000000000005"/>
    <n v="1.1040000000000001"/>
    <m/>
    <n v="-1.1040000000000001"/>
    <m/>
    <n v="-1.1040000000000001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s v=""/>
    <s v=""/>
    <s v=""/>
    <s v=""/>
    <n v="1.1040000000000001"/>
    <s v=""/>
    <n v="0"/>
    <n v="0"/>
    <s v=""/>
  </r>
  <r>
    <s v="M &amp; S - T61 (KPK)"/>
    <s v="SQBIR.MS.126.FY26-27.1"/>
    <m/>
    <m/>
    <m/>
    <m/>
    <s v=""/>
    <n v="355"/>
    <s v="SJ 95% BCI Cmd Cmpt CTN 5% Inv Ly 140gsm CW63”"/>
    <s v="Bluebell"/>
    <n v="-50.864666666666665"/>
    <n v="152.59399999999999"/>
    <m/>
    <n v="-152.59399999999999"/>
    <m/>
    <n v="-152.59399999999999"/>
    <s v="463564"/>
    <s v="Solid"/>
    <x v="12"/>
    <d v="2026-10-25T00:00:00"/>
    <s v="25/10-2100 MTR, REST 28/10"/>
    <s v="Hues Agreed qty as per SQBL required date"/>
    <m/>
    <s v="Oct"/>
    <d v="2026-10-25T00:00:00"/>
    <m/>
    <m/>
    <m/>
    <m/>
    <m/>
    <m/>
    <m/>
    <m/>
    <m/>
    <m/>
    <s v="463564"/>
    <s v="BLUEBELL 23981"/>
    <n v="140"/>
    <s v="463564140BLUEBELL 23981"/>
    <n v="0"/>
    <s v="#NA"/>
    <s v=""/>
    <s v=""/>
    <s v=""/>
    <s v=""/>
    <n v="152.59399999999999"/>
    <s v=""/>
    <n v="0"/>
    <n v="0"/>
    <s v=""/>
  </r>
  <r>
    <s v="M &amp; S - T61 (KPK)"/>
    <s v="SQBIR.MS.108.FY26-27.2"/>
    <m/>
    <m/>
    <m/>
    <m/>
    <s v=""/>
    <n v="356"/>
    <s v="SJ 100% BCI Combed Compact Cotton 120gsm CW62”"/>
    <s v="Light cream 81001 Aop"/>
    <s v="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s v=""/>
    <s v=""/>
    <s v=""/>
    <s v=""/>
    <n v="44.4"/>
    <s v=""/>
    <n v="0"/>
    <n v="0"/>
    <s v=""/>
  </r>
  <r>
    <s v="M &amp; S - T61 (KPK)"/>
    <s v="SQBIR.MS.109.FY26-27.1"/>
    <m/>
    <m/>
    <m/>
    <m/>
    <s v=""/>
    <n v="357"/>
    <s v="SJ 100% BCI Combed Compact Cotton 120gsm CW62”"/>
    <s v="Light cream 81001 Aop"/>
    <s v="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s v=""/>
    <s v=""/>
    <s v=""/>
    <s v=""/>
    <s v=""/>
    <s v=""/>
    <n v="0"/>
    <n v="0"/>
    <s v=""/>
  </r>
  <r>
    <s v="M &amp; S - T61 (KPK)"/>
    <s v="SQBIR.MS.01346.FY25-26.1"/>
    <m/>
    <m/>
    <m/>
    <m/>
    <s v=""/>
    <n v="358"/>
    <s v="SJ 100% BCI Combed Compact Cotton 120gsm CW62”"/>
    <s v="Navy 48633"/>
    <s v=""/>
    <n v="24.6"/>
    <n v="24.6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20"/>
    <s v="457079120NAVY 48633"/>
    <n v="464"/>
    <n v="-42"/>
    <s v=""/>
    <s v=""/>
    <s v=""/>
    <s v=""/>
    <s v=""/>
    <s v=""/>
    <n v="464"/>
    <n v="1.1000000000000001"/>
    <s v=""/>
  </r>
  <r>
    <s v="M &amp; S - T61 (KPK)"/>
    <s v="SQBIR.MS.128.FY26-27.8"/>
    <m/>
    <m/>
    <m/>
    <m/>
    <s v=""/>
    <n v="362"/>
    <s v="SJ 95% BCI Cmd Cmpt CTN 5% Inv Ly 140gsm CW63”"/>
    <s v="Black"/>
    <s v=""/>
    <n v="8.1"/>
    <n v="8.1"/>
    <n v="0"/>
    <m/>
    <n v="0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n v="5671.3159999999998"/>
    <s v=""/>
    <s v=""/>
    <s v=""/>
    <s v=""/>
    <s v=""/>
    <n v="5671.31"/>
    <n v="0.96099999999999997"/>
    <n v="-5.9999999994033715E-3"/>
  </r>
  <r>
    <s v="M &amp; S - T61 (KPK)"/>
    <s v="SQBIR.MS.01204.FY25-26.13"/>
    <m/>
    <m/>
    <m/>
    <m/>
    <b v="0"/>
    <n v="369"/>
    <s v="SJ 100% BCI Combed Compact Cotton 120gsm CW62”"/>
    <s v="Light cream 81001 Aop"/>
    <n v="0"/>
    <n v="2"/>
    <n v="2"/>
    <n v="0"/>
    <m/>
    <n v="0"/>
    <s v="45719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190"/>
    <s v="Light Cream 81001-AOP-G"/>
    <n v="120"/>
    <s v="457190120Light Cream 81001-AOP-G"/>
    <n v="279"/>
    <n v="2"/>
    <s v=""/>
    <n v="2"/>
    <s v=""/>
    <s v=""/>
    <n v="0"/>
    <b v="0"/>
    <n v="279"/>
    <n v="0.99299999999999999"/>
    <s v=""/>
  </r>
  <r>
    <s v="M &amp; S - T61 (KPK)"/>
    <s v="SQBIR.MS.143.FY26-27.1"/>
    <m/>
    <m/>
    <m/>
    <m/>
    <s v=""/>
    <n v="370"/>
    <s v="SJ 95% BCI Cmd Cmpt CTN 5% Inv Ly 140gsm CW63”"/>
    <s v="Pink Cloud"/>
    <s v=""/>
    <n v="253"/>
    <m/>
    <n v="-253"/>
    <m/>
    <n v="-253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s v=""/>
    <n v="406.69799999999998"/>
    <s v=""/>
    <s v=""/>
    <s v=""/>
    <s v=""/>
    <n v="0"/>
    <n v="0"/>
    <s v=""/>
  </r>
  <r>
    <s v="M &amp; S - T61 (KPK)"/>
    <s v="SQBIR.MS.143.FY26-27.9"/>
    <m/>
    <m/>
    <m/>
    <m/>
    <s v=""/>
    <n v="371"/>
    <s v="SJ 95% BCI Cmd Cmpt CTN 5% Inv Ly 140gsm CW63”"/>
    <s v="Pink Cloud"/>
    <s v=""/>
    <n v="1.1040000000000001"/>
    <m/>
    <n v="-1.1040000000000001"/>
    <m/>
    <n v="-1.1040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40"/>
    <s v="463564140Pink Cloud 23853"/>
    <n v="0"/>
    <s v="#NA"/>
    <s v=""/>
    <n v="406.69799999999998"/>
    <s v=""/>
    <s v=""/>
    <s v=""/>
    <s v=""/>
    <n v="0"/>
    <n v="0"/>
    <s v=""/>
  </r>
  <r>
    <s v="M &amp; S - T61 (KPK)"/>
    <s v="SQBIR.MS.129.FY26-27.1"/>
    <m/>
    <m/>
    <m/>
    <m/>
    <s v=""/>
    <n v="372"/>
    <s v="SJ 95% BCI Cmd Cmpt CTN 5% Inv Ly 140gsm CW63”"/>
    <s v="White 10001"/>
    <s v=""/>
    <n v="1496.328"/>
    <m/>
    <n v="-1496.328"/>
    <m/>
    <n v="-1496.328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s v=""/>
    <n v="1532.9369999999999"/>
    <s v=""/>
    <s v=""/>
    <s v=""/>
    <s v=""/>
    <n v="0"/>
    <n v="0"/>
    <s v=""/>
  </r>
  <r>
    <s v="M &amp; S - T61 (KPK)"/>
    <s v="SQBIR.MS.129.FY26-27.1"/>
    <m/>
    <m/>
    <m/>
    <m/>
    <s v=""/>
    <n v="372"/>
    <s v="SJ 95% BCI Cmd Cmpt CTN 5% Inv Ly 140gsm CW63”"/>
    <s v="White 10001"/>
    <s v=""/>
    <n v="32.936999999999998"/>
    <m/>
    <n v="-32.936999999999998"/>
    <m/>
    <n v="-32.936999999999998"/>
    <s v="463564"/>
    <s v="Solid"/>
    <x v="14"/>
    <d v="2026-10-27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40"/>
    <s v="463564140White 10001"/>
    <n v="0"/>
    <s v="#NA"/>
    <s v=""/>
    <n v="1532.9369999999999"/>
    <s v=""/>
    <s v=""/>
    <s v=""/>
    <s v=""/>
    <n v="0"/>
    <n v="0"/>
    <s v=""/>
  </r>
  <r>
    <s v="M &amp; S - T33"/>
    <s v="SQBIR.MS.01259.FY25-26.1"/>
    <m/>
    <m/>
    <m/>
    <m/>
    <s v=""/>
    <n v="373"/>
    <s v="94% Cotton 6% Spandex 190 GSM Molding CW 61 S/J"/>
    <s v="Bros"/>
    <s v="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Bros B2692"/>
    <n v="190"/>
    <s v="451241-SP27 3276-Cup190Bros B2692"/>
    <n v="1657.82"/>
    <n v="193.77"/>
    <s v=""/>
    <n v="1093.7640000000001"/>
    <s v=""/>
    <s v=""/>
    <s v=""/>
    <s v=""/>
    <n v="1657.82"/>
    <n v="0.89500000000000002"/>
    <s v=""/>
  </r>
  <r>
    <s v="M &amp; S - T33"/>
    <s v="SQBIR.MS.01259.FY25-26.2"/>
    <m/>
    <m/>
    <m/>
    <m/>
    <s v=""/>
    <n v="374"/>
    <s v="94% Cotton 6% Spandex 190 GSM Molding CW 61 S/J"/>
    <s v="Bros"/>
    <s v=""/>
    <n v="977.76400000000001"/>
    <n v="783.99400000000003"/>
    <n v="-193.76999999999998"/>
    <m/>
    <n v="-193.76999999999998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Bros B2692"/>
    <n v="190"/>
    <s v="451241-SP27 3276-Cup190Bros B2692"/>
    <n v="1657.82"/>
    <n v="193.77"/>
    <s v=""/>
    <n v="1093.7640000000001"/>
    <s v=""/>
    <s v=""/>
    <s v=""/>
    <s v=""/>
    <n v="1657.82"/>
    <n v="0.89500000000000002"/>
    <s v=""/>
  </r>
  <r>
    <s v="M &amp; S - T33"/>
    <s v="SQBIR.MS.01263.FY25-26.1"/>
    <m/>
    <m/>
    <m/>
    <m/>
    <n v="66.28"/>
    <n v="375"/>
    <s v="94% Cotton 6% Spandex 190 GSM Molding CW 61 S/J"/>
    <s v="OPALINE 32548"/>
    <n v="0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OPALINE 32548"/>
    <n v="190"/>
    <s v="451241-SP27 3276-Cup190OPALINE 32548"/>
    <n v="3261.61"/>
    <n v="-66.28"/>
    <n v="1310.2200000000003"/>
    <n v="1310.2200000000003"/>
    <s v=""/>
    <s v=""/>
    <n v="0"/>
    <n v="66.28"/>
    <n v="3261.61"/>
    <n v="1.0209999999999999"/>
    <n v="1951.3899999999999"/>
  </r>
  <r>
    <s v="M &amp; S - T33"/>
    <s v="SQBIR.MS.01263.FY25-26.2"/>
    <m/>
    <m/>
    <m/>
    <m/>
    <s v=""/>
    <n v="376"/>
    <s v="94% Cotton 6% Spandex 190 GSM Molding CW 61 S/J"/>
    <s v="OPALINE 32548"/>
    <n v="0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OPALINE 32548"/>
    <n v="190"/>
    <s v="451241-SP27 3276-Cup190OPALINE 32548"/>
    <n v="3261.61"/>
    <n v="-66.28"/>
    <s v=""/>
    <n v="1310.2200000000003"/>
    <s v=""/>
    <s v=""/>
    <n v="0"/>
    <s v=""/>
    <n v="3261.61"/>
    <n v="1.0209999999999999"/>
    <s v=""/>
  </r>
  <r>
    <s v="M &amp; S - T33"/>
    <s v="SQBIR.MS.01263.FY25-26.3"/>
    <m/>
    <m/>
    <m/>
    <m/>
    <s v=""/>
    <n v="377"/>
    <s v="94% Cotton 6% Spandex 190 GSM Molding CW 61 S/J"/>
    <s v="OPALINE 32548"/>
    <n v="0"/>
    <n v="252.99600000000001"/>
    <n v="252.996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OPALINE 32548"/>
    <n v="190"/>
    <s v="451241-SP27 3276-Cup190OPALINE 32548"/>
    <n v="3261.61"/>
    <n v="-66.28"/>
    <s v=""/>
    <s v=""/>
    <s v=""/>
    <s v=""/>
    <n v="0"/>
    <s v=""/>
    <n v="3261.61"/>
    <n v="1.0209999999999999"/>
    <s v=""/>
  </r>
  <r>
    <s v="M &amp; S - T33"/>
    <s v="SQBIR.MS.01266.FY25-26.3"/>
    <m/>
    <m/>
    <m/>
    <m/>
    <s v=""/>
    <n v="378"/>
    <s v="94% Cotton 6% Spandex 235 GSM No Molding CW 64  S/"/>
    <s v="Black"/>
    <s v="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s v=""/>
    <s v=""/>
    <s v=""/>
    <s v=""/>
    <s v=""/>
    <s v=""/>
    <n v="330"/>
    <n v="1.026"/>
    <s v=""/>
  </r>
  <r>
    <s v="M &amp; S - T33"/>
    <s v="SQBIR.MS.01266.FY25-26.6"/>
    <m/>
    <m/>
    <m/>
    <m/>
    <s v=""/>
    <n v="379"/>
    <s v="94% Cotton 6% Spandex 190 GSM Molding CW 61 S/J"/>
    <s v="Black"/>
    <s v="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s v=""/>
    <n v="668.24099999999999"/>
    <s v=""/>
    <s v=""/>
    <s v=""/>
    <s v=""/>
    <n v="893.5"/>
    <n v="0.96199999999999997"/>
    <s v=""/>
  </r>
  <r>
    <s v="M &amp; S - T33"/>
    <s v="SQBIR.MS.01259.FY25-26.1"/>
    <m/>
    <m/>
    <m/>
    <m/>
    <s v=""/>
    <n v="380"/>
    <s v="94% Cotton 6% Spandex 235 GSM No Molding CW 64  S/"/>
    <s v="Soft Turquoise"/>
    <s v="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Soft Turquoise 21030"/>
    <n v="235"/>
    <s v="451241-SP27 3276-Cup235Soft Turquoise 21030"/>
    <n v="810.99"/>
    <n v="19.03"/>
    <n v="490.30799999999999"/>
    <n v="490.30799999999999"/>
    <s v=""/>
    <s v=""/>
    <s v=""/>
    <s v=""/>
    <n v="810.99"/>
    <n v="0.97699999999999998"/>
    <n v="320.68200000000002"/>
  </r>
  <r>
    <s v="M &amp; S - T33"/>
    <s v="SQBIR.MS.01259.FY25-26.2"/>
    <m/>
    <m/>
    <m/>
    <m/>
    <s v=""/>
    <n v="381"/>
    <s v="94% Cotton 6% Spandex 235 GSM No Molding CW 64  S/"/>
    <s v="Soft Turquoise"/>
    <s v="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Soft Turquoise 21030"/>
    <n v="235"/>
    <s v="451241-SP27 3276-Cup235Soft Turquoise 21030"/>
    <n v="810.99"/>
    <n v="19.03"/>
    <n v="490.30799999999999"/>
    <s v=""/>
    <s v=""/>
    <s v=""/>
    <s v=""/>
    <s v=""/>
    <n v="810.99"/>
    <n v="0.97699999999999998"/>
    <n v="320.68200000000002"/>
  </r>
  <r>
    <s v="M &amp; S - T61 (KPK)"/>
    <s v="SQBIR.MS.106.FY26-27.1"/>
    <m/>
    <m/>
    <m/>
    <m/>
    <s v=""/>
    <n v="382"/>
    <s v="SJ 95% BCI Cmd Cmpt CTN 5% Inv Ly 140gsm CW63”"/>
    <s v="PRALINE 22001"/>
    <s v=""/>
    <n v="924"/>
    <m/>
    <n v="-924"/>
    <m/>
    <n v="-92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s v=""/>
    <s v=""/>
    <s v=""/>
    <s v=""/>
    <s v=""/>
    <s v=""/>
    <n v="0"/>
    <n v="0"/>
    <s v=""/>
  </r>
  <r>
    <s v="M &amp; S - T61 (KPK)"/>
    <s v="SQBIR.MS.105.FY26-27.7"/>
    <m/>
    <m/>
    <m/>
    <m/>
    <s v=""/>
    <n v="383"/>
    <s v="SJ 95% BCI Cmd Cmpt CTN 5% Inv Ly 140gsm CW63”"/>
    <s v="PRALINE 22001"/>
    <s v=""/>
    <n v="1.054"/>
    <m/>
    <n v="-1.054"/>
    <m/>
    <n v="-1.05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s v=""/>
    <s v=""/>
    <s v=""/>
    <s v=""/>
    <s v=""/>
    <s v=""/>
    <n v="0"/>
    <n v="0"/>
    <s v=""/>
  </r>
  <r>
    <s v="M&amp;S T14"/>
    <s v="SQBIR.MS.077.FY26-27.5"/>
    <m/>
    <m/>
    <m/>
    <m/>
    <s v=""/>
    <n v="387"/>
    <s v=" 95% BCI COTTON 5% ELASTANE JERSEY GSM-150 CW-160 CM/63 INCH "/>
    <s v="DARK INK"/>
    <s v=""/>
    <n v="18.899999999999999"/>
    <m/>
    <n v="-18.899999999999999"/>
    <m/>
    <n v="-18.899999999999999"/>
    <s v="464475"/>
    <s v="Solid"/>
    <x v="12"/>
    <d v="2026-10-25T00:00:00"/>
    <d v="2026-10-25T00:00:00"/>
    <s v="Revised Plan given as per revised date"/>
    <s v="OTT ADVANCEMENT"/>
    <s v="Oct"/>
    <d v="2026-10-01T00:00:00"/>
    <m/>
    <m/>
    <m/>
    <m/>
    <m/>
    <m/>
    <m/>
    <m/>
    <m/>
    <m/>
    <s v="464475-Creora"/>
    <s v="Dark Ink 17613"/>
    <n v="150"/>
    <s v="464475-Creora150Dark Ink 17613"/>
    <n v="0"/>
    <s v="#NA"/>
    <s v=""/>
    <s v=""/>
    <s v=""/>
    <s v=""/>
    <s v=""/>
    <s v=""/>
    <n v="0"/>
    <n v="0"/>
    <s v=""/>
  </r>
  <r>
    <s v="M &amp; S - T61 (SHK)"/>
    <s v="SQBIR.MS.01269.FY25-26.1"/>
    <m/>
    <m/>
    <m/>
    <m/>
    <s v=""/>
    <n v="388"/>
    <s v="SQH020077-02 SJ 87% Cotton 13% Spx 245gsm MMF 68”"/>
    <s v="Black"/>
    <s v=""/>
    <n v="288.19099999999997"/>
    <n v="288.19099999999997"/>
    <n v="0"/>
    <m/>
    <n v="0"/>
    <s v="441046"/>
    <s v="Solid"/>
    <x v="34"/>
    <d v="2026-10-13T00:00:00"/>
    <d v="2026-10-13T00:00:00"/>
    <s v="Hues Agreed qty as per SQBL required date"/>
    <m/>
    <s v="Oct"/>
    <d v="2026-10-13T00:00:00"/>
    <m/>
    <m/>
    <m/>
    <m/>
    <m/>
    <m/>
    <m/>
    <m/>
    <m/>
    <m/>
    <s v="441046"/>
    <s v="Black 10005 MMF"/>
    <n v="245"/>
    <s v="441046245Black 10005 MMF"/>
    <n v="9549"/>
    <n v="-179"/>
    <s v=""/>
    <s v=""/>
    <s v=""/>
    <s v=""/>
    <s v=""/>
    <s v=""/>
    <n v="9549"/>
    <n v="1.0189999999999999"/>
    <s v=""/>
  </r>
  <r>
    <s v="M &amp; S - T61 (SHK)"/>
    <s v="SQBIR.MS.01279.FY25-26.5"/>
    <m/>
    <m/>
    <m/>
    <m/>
    <s v=""/>
    <n v="389"/>
    <s v="SJ BCI 100% CTN NORMAL FINISH 120GSM CUT WIDTH 62"/>
    <s v="MOSS GREEN"/>
    <n v="0"/>
    <n v="43.743000000000002"/>
    <n v="43.743000000000002"/>
    <n v="0"/>
    <m/>
    <n v="0"/>
    <s v="441327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1327"/>
    <s v="Moss Green 47977"/>
    <n v="120"/>
    <s v="441327120Moss Green 47977"/>
    <n v="289"/>
    <n v="-7"/>
    <s v=""/>
    <n v="62.36"/>
    <s v=""/>
    <s v=""/>
    <n v="0"/>
    <s v=""/>
    <n v="289"/>
    <n v="1.0249999999999999"/>
    <s v=""/>
  </r>
  <r>
    <s v="M &amp; S - T61 (KPK)"/>
    <s v="SQBIR.MS.01344.FY25-26.1"/>
    <m/>
    <m/>
    <m/>
    <m/>
    <s v=""/>
    <n v="390"/>
    <s v="SJ 100% BCI Combed Compact Cotton 120gsm CW62”"/>
    <s v="IVORY 80762"/>
    <n v="0"/>
    <n v="16.600000000000001"/>
    <n v="16.60000000000000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s v=""/>
    <s v=""/>
    <s v=""/>
    <s v=""/>
    <n v="319"/>
    <n v="1.026"/>
    <n v="225.172"/>
  </r>
  <r>
    <s v="M &amp; S - T61 (KPK)"/>
    <s v="SQBIR.MS.01346.FY25-26.1"/>
    <m/>
    <m/>
    <m/>
    <m/>
    <s v=""/>
    <n v="391"/>
    <s v="SJ 100% BCI Combed Compact Cotton 120gsm CW62”"/>
    <s v="IVORY 80762"/>
    <n v="0"/>
    <n v="14.228"/>
    <n v="14.228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s v=""/>
    <s v=""/>
    <s v=""/>
    <n v="0"/>
    <s v=""/>
    <n v="319"/>
    <n v="1.026"/>
    <n v="225.172"/>
  </r>
  <r>
    <s v="M &amp; S - T61 (KPK)"/>
    <s v="SQBIR.MS.124.FY26-27.1"/>
    <m/>
    <m/>
    <m/>
    <m/>
    <s v=""/>
    <n v="394"/>
    <s v="SJ 95% BCI Cmd Cmpt CTN 5% Inv Ly 140gsm CW63”"/>
    <s v="Black"/>
    <n v="0"/>
    <n v="1011.884"/>
    <n v="1011.884"/>
    <n v="0"/>
    <m/>
    <n v="0"/>
    <s v="459386"/>
    <s v="Solid"/>
    <x v="56"/>
    <d v="2026-10-08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n v="5671.3159999999998"/>
    <s v=""/>
    <s v=""/>
    <s v=""/>
    <n v="0"/>
    <s v=""/>
    <n v="5671.31"/>
    <n v="0.96099999999999997"/>
    <n v="-5.9999999994033715E-3"/>
  </r>
  <r>
    <s v="M &amp; S - T61 (KPK)"/>
    <s v="SQBIR.MS.124.FY26-27.1"/>
    <m/>
    <m/>
    <m/>
    <m/>
    <s v=""/>
    <n v="394"/>
    <s v="SJ 95% BCI Cmd Cmpt CTN 5% Inv Ly 140gsm CW63”"/>
    <s v="Black"/>
    <n v="0"/>
    <n v="548.11599999999999"/>
    <n v="548.11599999999999"/>
    <n v="0"/>
    <m/>
    <n v="0"/>
    <s v="459386"/>
    <s v="Solid"/>
    <x v="55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n v="5671.3159999999998"/>
    <s v=""/>
    <s v=""/>
    <s v=""/>
    <n v="0"/>
    <s v=""/>
    <n v="5671.31"/>
    <n v="0.96099999999999997"/>
    <n v="-5.9999999994033715E-3"/>
  </r>
  <r>
    <s v="M &amp; S - T61 (KPK)"/>
    <s v="SQBIR.MS.143.FY26-27.1"/>
    <m/>
    <m/>
    <m/>
    <m/>
    <b v="0"/>
    <n v="399"/>
    <s v="SJ 100% BCI Combed Compact Cotton 120gsm CW62”"/>
    <s v="White AOP Gusset 10001"/>
    <n v="-21.45"/>
    <n v="64.349999999999994"/>
    <m/>
    <n v="-64.349999999999994"/>
    <m/>
    <n v="-64.34999999999999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WHITE 10001 AOP-G"/>
    <n v="120"/>
    <s v="463564120WHITE 10001 AOP-G"/>
    <n v="0"/>
    <s v="#NA"/>
    <n v="0"/>
    <s v=""/>
    <s v=""/>
    <s v=""/>
    <n v="64.349999999999994"/>
    <b v="0"/>
    <n v="0"/>
    <n v="0"/>
    <n v="0"/>
  </r>
  <r>
    <s v="M &amp; S - T61 (KPK)"/>
    <s v="SQBIR.MS.126.FY26-27.1"/>
    <m/>
    <m/>
    <m/>
    <m/>
    <s v=""/>
    <n v="400"/>
    <s v="SJ 100% BCI Combed Compact Cotton 120gsm CW62”"/>
    <s v="White AOP Gusset 10001"/>
    <n v="-13.751333333333333"/>
    <n v="41.253999999999998"/>
    <m/>
    <n v="-41.253999999999998"/>
    <m/>
    <n v="-41.253999999999998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WHITE 10001 AOP-G"/>
    <n v="120"/>
    <s v="463564120WHITE 10001 AOP-G"/>
    <n v="0"/>
    <s v="#NA"/>
    <n v="0"/>
    <s v=""/>
    <s v=""/>
    <s v=""/>
    <n v="41.253999999999998"/>
    <s v=""/>
    <n v="0"/>
    <n v="0"/>
    <n v="0"/>
  </r>
  <r>
    <s v="M &amp; S - T61 (KPK)"/>
    <s v="SQBIR.MS.01191.FY25-26.7"/>
    <m/>
    <m/>
    <m/>
    <m/>
    <s v=""/>
    <n v="401"/>
    <s v="SJ 100% BCI Combed Compact Cotton 120gsm CW62”"/>
    <s v="MOONDAST"/>
    <s v=""/>
    <n v="4.5780000000000003"/>
    <n v="4.5780000000000003"/>
    <n v="0"/>
    <m/>
    <n v="0"/>
    <s v="440575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575"/>
    <s v="33396 Moondust"/>
    <n v="120"/>
    <s v="44057512033396 Moondust"/>
    <n v="569.91"/>
    <n v="70.319999999999993"/>
    <s v=""/>
    <s v=""/>
    <s v=""/>
    <s v=""/>
    <s v=""/>
    <s v=""/>
    <n v="569.91"/>
    <n v="0.89"/>
    <s v=""/>
  </r>
  <r>
    <s v="M &amp; S - T61 (KPK)"/>
    <s v="SQBIR.MS.01191.FY25-26.8"/>
    <m/>
    <m/>
    <m/>
    <m/>
    <s v=""/>
    <n v="402"/>
    <s v="SJ 100% BCI Combed Compact Cotton 120gsm CW62”"/>
    <s v="MOONDAST"/>
    <s v=""/>
    <n v="16.827000000000002"/>
    <n v="15.212"/>
    <n v="-1.615000000000002"/>
    <m/>
    <n v="-1.615000000000002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s v=""/>
    <s v=""/>
    <s v=""/>
    <s v=""/>
    <s v=""/>
    <s v=""/>
    <n v="569.91"/>
    <n v="0.89"/>
    <s v=""/>
  </r>
  <r>
    <s v="M &amp; S - T61 (KPK)"/>
    <s v="SQBIR.MS.01170.FY25-26.10"/>
    <m/>
    <m/>
    <m/>
    <m/>
    <s v=""/>
    <n v="403"/>
    <s v="SJ 100% BCI Combed Compact Cotton 120gsm CW62”"/>
    <s v="MOONDAST"/>
    <n v="-5.3056666666666663"/>
    <n v="15.917"/>
    <m/>
    <n v="-15.917"/>
    <m/>
    <n v="-15.917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s v=""/>
    <s v=""/>
    <s v=""/>
    <s v=""/>
    <n v="15.917"/>
    <s v=""/>
    <n v="569.91"/>
    <n v="0.89"/>
    <s v=""/>
  </r>
  <r>
    <s v="M &amp; S - T61 (KPK)"/>
    <s v="SQBIR.MS.01347.FY25-26.1"/>
    <m/>
    <m/>
    <m/>
    <m/>
    <s v=""/>
    <n v="404"/>
    <s v="SJ 95% BCI Cmd Cmpt CTN 5% Inv Ly 140gsm CW63”"/>
    <s v="Navy 48633"/>
    <s v="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3568.27"/>
    <n v="-94.27"/>
    <s v=""/>
    <s v=""/>
    <s v=""/>
    <s v=""/>
    <s v=""/>
    <s v=""/>
    <n v="3568.27"/>
    <n v="1.0269999999999999"/>
    <s v=""/>
  </r>
  <r>
    <s v="M &amp; S - T61 (KPK)"/>
    <s v="SQBIR.MS.01170.FY25-26.10"/>
    <m/>
    <m/>
    <m/>
    <m/>
    <s v=""/>
    <n v="405"/>
    <s v="SJ 95% BCI Cmd Cmpt CTN 5% Inv Ly 140gsm CW63”"/>
    <s v="Bluebell"/>
    <s v=""/>
    <n v="43.145000000000003"/>
    <n v="43.145000000000003"/>
    <n v="0"/>
    <m/>
    <n v="0"/>
    <s v="463358"/>
    <s v="Solid"/>
    <x v="54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BLUEBELL 23981"/>
    <n v="140"/>
    <s v="463358140BLUEBELL 23981"/>
    <n v="198"/>
    <n v="2"/>
    <n v="50.862000000000002"/>
    <n v="50.862000000000002"/>
    <s v=""/>
    <s v=""/>
    <s v=""/>
    <s v=""/>
    <n v="198"/>
    <n v="0.99"/>
    <n v="147.13800000000001"/>
  </r>
  <r>
    <s v="M &amp; S - T61 (SHK)"/>
    <s v="SQBIR.MS.024.FY26-27.2"/>
    <m/>
    <m/>
    <m/>
    <m/>
    <s v=""/>
    <n v="408"/>
    <s v="SJ BCI 100% CTN NORMAL FINISH 120GSM CUT WIDTH 62"/>
    <s v="Black 10005"/>
    <s v=""/>
    <n v="3.4569999999999999"/>
    <n v="3.456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s v=""/>
    <s v=""/>
    <s v=""/>
    <s v=""/>
    <s v=""/>
    <s v=""/>
    <n v="135.54"/>
    <n v="1.0429999999999999"/>
    <s v=""/>
  </r>
  <r>
    <s v="M &amp; S - T33"/>
    <s v="SQBIR.MS.01311.FY25-26.7"/>
    <m/>
    <m/>
    <m/>
    <m/>
    <s v=""/>
    <n v="409"/>
    <s v="94% Cotton 6% Spandex 180 GSM No Molding CW 63  S/"/>
    <s v="BLACK 10005.."/>
    <s v=""/>
    <n v="4.173"/>
    <m/>
    <n v="-4.173"/>
    <m/>
    <n v="-4.173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s v=""/>
    <s v=""/>
    <s v=""/>
    <s v=""/>
    <s v=""/>
    <s v=""/>
    <n v="0"/>
    <n v="0"/>
    <s v=""/>
  </r>
  <r>
    <s v="M &amp; S - T61 (SHK)"/>
    <s v="SQBIR.MS.01271.FY25-26.5"/>
    <m/>
    <m/>
    <m/>
    <m/>
    <s v=""/>
    <n v="410"/>
    <s v="SJ BCI 100% CTN NORMAL FINISH 120GSM CUT WIDTH 62"/>
    <s v="WHITE 10001"/>
    <s v=""/>
    <n v="10.76"/>
    <n v="10.76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White 10001"/>
    <n v="120"/>
    <s v="441046120White 10001"/>
    <n v="877"/>
    <n v="-9"/>
    <s v=""/>
    <s v=""/>
    <s v=""/>
    <s v=""/>
    <s v=""/>
    <s v=""/>
    <n v="877"/>
    <n v="1.01"/>
    <s v=""/>
  </r>
  <r>
    <s v="M &amp; S - T61 (KPK)"/>
    <s v="SQBIR.MS.01232.FY25-26.11"/>
    <m/>
    <m/>
    <m/>
    <m/>
    <s v=""/>
    <n v="411"/>
    <s v="SJ 95% BCI Cmd Cmpt CTN 5% Inv Ly 140gsm CW63”"/>
    <s v="Black 10005"/>
    <s v=""/>
    <n v="134.36600000000001"/>
    <n v="134.36600000000001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Black 10005"/>
    <n v="140"/>
    <s v="457190140Black 10005"/>
    <n v="2341"/>
    <n v="-41"/>
    <s v=""/>
    <n v="134.36600000000001"/>
    <s v=""/>
    <s v=""/>
    <s v=""/>
    <s v=""/>
    <n v="2341"/>
    <n v="1.018"/>
    <s v=""/>
  </r>
  <r>
    <s v="M &amp; S - T33"/>
    <s v="SQBIR.MS.01266.FY25-26.6"/>
    <m/>
    <m/>
    <m/>
    <m/>
    <s v=""/>
    <n v="422"/>
    <s v="94% Cotton 6% Spandex 235 GSM No Molding CW 64  S/"/>
    <s v="White"/>
    <s v="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White 10001"/>
    <n v="235"/>
    <s v="451281235White 10001"/>
    <n v="317"/>
    <n v="4.6500000000000004"/>
    <n v="231.44599999999997"/>
    <n v="231.44599999999997"/>
    <s v=""/>
    <s v=""/>
    <s v=""/>
    <s v=""/>
    <n v="317"/>
    <n v="0.98599999999999999"/>
    <n v="85.55400000000003"/>
  </r>
  <r>
    <s v="M &amp; S - T33"/>
    <s v="SQBIR.MS.01257.FY25-26.5"/>
    <m/>
    <m/>
    <m/>
    <m/>
    <s v=""/>
    <n v="423"/>
    <s v="94% Cotton 6% Spandex 235 GSM No Molding CW 64  S/"/>
    <s v="Vanilla"/>
    <s v=""/>
    <n v="12.528"/>
    <n v="12.528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Vanilla 47956"/>
    <n v="235"/>
    <s v="451550-SP27 2231-Without Cup235Vanilla 47956"/>
    <n v="957.76"/>
    <n v="-386.12"/>
    <s v=""/>
    <s v=""/>
    <s v=""/>
    <s v=""/>
    <s v=""/>
    <s v=""/>
    <n v="957.76"/>
    <n v="1.675"/>
    <s v=""/>
  </r>
  <r>
    <s v="M &amp; S - T33"/>
    <s v="SQBIR.MS.01257.FY25-26.6"/>
    <m/>
    <m/>
    <m/>
    <m/>
    <s v=""/>
    <n v="424"/>
    <s v="94% Cotton 6% Spandex 235 GSM No Molding CW 64  S/"/>
    <s v="Vanilla"/>
    <n v="0"/>
    <n v="89.37"/>
    <n v="89.37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Vanilla 47956"/>
    <n v="235"/>
    <s v="451550-SP27 2231-Without Cup235Vanilla 47956"/>
    <n v="957.76"/>
    <n v="-386.12"/>
    <n v="116.35300000000001"/>
    <s v=""/>
    <s v=""/>
    <s v=""/>
    <n v="0"/>
    <s v=""/>
    <n v="957.76"/>
    <n v="1.675"/>
    <n v="841.40699999999993"/>
  </r>
  <r>
    <s v="M &amp; S - T71"/>
    <s v="SQBIR.MS.155.FY26-27.1"/>
    <m/>
    <m/>
    <m/>
    <m/>
    <s v=""/>
    <n v="439"/>
    <s v="100% BCI COTTON 150 GSM CW 69 IN"/>
    <s v="White AOP Gusset"/>
    <s v=""/>
    <n v="54.6"/>
    <n v="54.6"/>
    <n v="0"/>
    <m/>
    <n v="0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WHITE 10001 AOP-G"/>
    <n v="150"/>
    <s v="461085150WHITE 10001 AOP-G"/>
    <n v="145.63999999999999"/>
    <n v="-8.64"/>
    <s v=""/>
    <n v="81.444000000000003"/>
    <s v=""/>
    <s v=""/>
    <n v="0"/>
    <s v=""/>
    <n v="145.63999999999999"/>
    <n v="1.0629999999999999"/>
    <s v=""/>
  </r>
  <r>
    <s v="M &amp; S - T71"/>
    <s v="SQBIR.MS.155.FY26-27.2"/>
    <m/>
    <m/>
    <m/>
    <m/>
    <s v=""/>
    <n v="440"/>
    <s v="100% BCI COTTON 150 GSM CW 69 IN"/>
    <s v="White AOP Gusset"/>
    <s v=""/>
    <n v="26.844000000000001"/>
    <n v="26.844000000000001"/>
    <n v="0"/>
    <m/>
    <n v="0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WHITE 10001 AOP-G"/>
    <n v="150"/>
    <s v="461085150WHITE 10001 AOP-G"/>
    <n v="145.63999999999999"/>
    <n v="-8.64"/>
    <n v="81.444000000000003"/>
    <n v="81.444000000000003"/>
    <s v=""/>
    <s v=""/>
    <s v=""/>
    <s v=""/>
    <n v="145.63999999999999"/>
    <n v="1.0629999999999999"/>
    <n v="64.195999999999984"/>
  </r>
  <r>
    <s v="M &amp; S - T61 (KPK)"/>
    <s v="SQBIR.MS.110.FY26-27.1"/>
    <m/>
    <m/>
    <m/>
    <m/>
    <s v=""/>
    <n v="444"/>
    <s v="SJ 95% BCI Cmd Cmpt CTN 5% Inv Ly 140gsm CW63”"/>
    <s v="Black 10005"/>
    <n v="-700"/>
    <n v="2100"/>
    <m/>
    <n v="-2100"/>
    <m/>
    <n v="-2100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s v=""/>
    <s v=""/>
    <n v="2100"/>
    <s v=""/>
    <n v="0"/>
    <n v="0"/>
    <n v="0"/>
  </r>
  <r>
    <s v="M &amp; S - T61 (KPK)"/>
    <s v="SQBIR.MS.110.FY26-27.1"/>
    <m/>
    <m/>
    <m/>
    <m/>
    <s v=""/>
    <n v="444"/>
    <s v="SJ 95% BCI Cmd Cmpt CTN 5% Inv Ly 140gsm CW63”"/>
    <s v="Black 10005"/>
    <s v=""/>
    <n v="1425"/>
    <m/>
    <n v="-1425"/>
    <m/>
    <n v="-1425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s v=""/>
    <s v=""/>
    <s v=""/>
    <s v=""/>
    <n v="0"/>
    <n v="0"/>
    <n v="0"/>
  </r>
  <r>
    <s v="M &amp; S - T61 (KPK)"/>
    <s v="SQBIR.MS.110.FY26-27.12"/>
    <m/>
    <m/>
    <m/>
    <m/>
    <s v=""/>
    <n v="445"/>
    <s v="SJ 95% BCI Cmd Cmpt CTN 5% Inv Ly 140gsm CW63”"/>
    <s v="Black 10005"/>
    <s v=""/>
    <n v="8.4600000000000009"/>
    <m/>
    <n v="-8.4600000000000009"/>
    <m/>
    <n v="-8.4600000000000009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s v=""/>
    <s v=""/>
    <s v=""/>
    <s v=""/>
    <n v="0"/>
    <n v="0"/>
    <n v="0"/>
  </r>
  <r>
    <s v="M &amp; S - T61 (KPK)"/>
    <s v="SQBIR.MS.108.FY26-27.2"/>
    <m/>
    <m/>
    <m/>
    <m/>
    <s v=""/>
    <n v="446"/>
    <s v="SJ 95% BCI Cmd Cmpt CTN 5% Inv Ly 140gsm CW63”"/>
    <s v="Black 10005"/>
    <s v=""/>
    <n v="233.2"/>
    <m/>
    <n v="-233.2"/>
    <m/>
    <n v="-233.2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s v=""/>
    <s v=""/>
    <s v=""/>
    <s v=""/>
    <n v="0"/>
    <n v="0"/>
    <n v="0"/>
  </r>
  <r>
    <s v="M &amp; S - T61 (KPK)"/>
    <s v="SQBIR.MS.137.FY26-27.1"/>
    <m/>
    <m/>
    <m/>
    <m/>
    <s v=""/>
    <n v="449"/>
    <s v="SJ 95% BCI Cmd Cmpt CTN 5% Inv Ly 140gsm CW63”"/>
    <s v="White"/>
    <s v=""/>
    <n v="1493.46"/>
    <n v="1493.46"/>
    <n v="0"/>
    <m/>
    <n v="0"/>
    <s v="459386"/>
    <s v="Solid"/>
    <x v="56"/>
    <d v="2026-10-08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n v="6718.75"/>
    <n v="8967.5"/>
    <s v=""/>
    <s v=""/>
    <s v=""/>
    <s v=""/>
    <n v="6723.76"/>
    <n v="0.749"/>
    <n v="5.0100000000002183"/>
  </r>
  <r>
    <s v="M &amp; S - T61 (KPK)"/>
    <s v="SQBIR.MS.137.FY26-27.1"/>
    <m/>
    <m/>
    <m/>
    <m/>
    <s v=""/>
    <n v="449"/>
    <s v="SJ 95% BCI Cmd Cmpt CTN 5% Inv Ly 140gsm CW63”"/>
    <s v="White"/>
    <s v=""/>
    <n v="387.54"/>
    <n v="387.54"/>
    <n v="0"/>
    <m/>
    <n v="0"/>
    <s v="459386"/>
    <s v="Solid"/>
    <x v="54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n v="6718.75"/>
    <n v="8967.5"/>
    <s v=""/>
    <s v=""/>
    <s v=""/>
    <s v=""/>
    <n v="6723.76"/>
    <n v="0.749"/>
    <n v="5.0100000000002183"/>
  </r>
  <r>
    <s v="M &amp; S - T33"/>
    <s v="SQBIR.MS.01311.FY25-26.1"/>
    <m/>
    <m/>
    <m/>
    <m/>
    <s v=""/>
    <n v="454"/>
    <s v="94% Cotton 6% Spandex 180 GSM No Molding CW 63  S/"/>
    <s v="BLACK 10005.."/>
    <s v=""/>
    <n v="128.404"/>
    <m/>
    <n v="-128.404"/>
    <m/>
    <n v="-128.404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s v=""/>
    <s v=""/>
    <n v="128.404"/>
    <s v=""/>
    <n v="0"/>
    <n v="0"/>
    <n v="0"/>
  </r>
  <r>
    <s v="M &amp; S - T33"/>
    <s v="SQBIR.MS.01311.FY25-26.2"/>
    <m/>
    <m/>
    <m/>
    <m/>
    <s v=""/>
    <n v="455"/>
    <s v="94% Cotton 6% Spandex 180 GSM No Molding CW 63  S/"/>
    <s v="BLACK 10005.."/>
    <n v="-21.400666666666666"/>
    <n v="64.201999999999998"/>
    <m/>
    <n v="-64.201999999999998"/>
    <m/>
    <n v="-64.201999999999998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Black 10005"/>
    <n v="180"/>
    <s v="452474-SP27 9643180Black 10005"/>
    <n v="0"/>
    <s v="#NA"/>
    <n v="0"/>
    <n v="260.98099999999999"/>
    <s v=""/>
    <s v=""/>
    <n v="64.201999999999998"/>
    <s v=""/>
    <n v="0"/>
    <n v="0"/>
    <n v="0"/>
  </r>
  <r>
    <s v="M &amp; S - T71"/>
    <s v="SQBIR.MS.155.FY26-27.2"/>
    <m/>
    <m/>
    <m/>
    <m/>
    <s v=""/>
    <n v="457"/>
    <s v="KNIT WEFT KNITTED SINGLE JERSEY BCI COMBED COTTON 100% GSM-150 CW-150CM/59INCH  "/>
    <s v="T71SU26 SAILING Stripe base 64447 Medium Coral-YD"/>
    <s v=""/>
    <n v="106.27200000000001"/>
    <n v="106.27200000000001"/>
    <n v="0"/>
    <m/>
    <n v="0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T71 SU26 SAILING Stripe base 64447 Medium Coral"/>
    <n v="150"/>
    <s v="461085150T71 SU26 SAILING Stripe base 64447 Medium Coral"/>
    <n v="540.11"/>
    <n v="-4.1100000000000003"/>
    <s v=""/>
    <s v=""/>
    <s v=""/>
    <s v=""/>
    <s v=""/>
    <s v=""/>
    <n v="540.11"/>
    <n v="1.008"/>
    <s v=""/>
  </r>
  <r>
    <s v="M &amp; S - T71"/>
    <s v="SQBIR.MS.285.FY26-27.2"/>
    <m/>
    <m/>
    <m/>
    <m/>
    <s v=""/>
    <n v="458"/>
    <s v=" 95% COTTON 5% ELASTANE JERSEY GSM-160 CW-165 CM/65 INCH "/>
    <s v="WHITE 10001"/>
    <n v="-308.25666666666666"/>
    <n v="924.77"/>
    <m/>
    <n v="-924.77"/>
    <m/>
    <n v="-924.77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s v=""/>
    <s v=""/>
    <s v=""/>
    <s v=""/>
    <n v="924.77"/>
    <s v=""/>
    <n v="0"/>
    <n v="0"/>
    <s v=""/>
  </r>
  <r>
    <s v="M &amp; S - T61 (KPK)"/>
    <s v="SQBIR.MS.105.FY26-27.1"/>
    <m/>
    <m/>
    <m/>
    <m/>
    <s v=""/>
    <n v="459"/>
    <s v="SJ 95% BCI Cmd Cmpt CTN 5% Inv Ly 140gsm CW63”"/>
    <s v="Black 10005"/>
    <s v=""/>
    <n v="423"/>
    <m/>
    <n v="-423"/>
    <m/>
    <n v="-423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s v=""/>
    <n v="6364.0190000000002"/>
    <s v=""/>
    <s v=""/>
    <s v=""/>
    <s v=""/>
    <n v="0"/>
    <n v="0"/>
    <s v=""/>
  </r>
  <r>
    <s v="M &amp; S - T61 (KPK)"/>
    <s v="SQBIR.MS.146.FY26-27.5"/>
    <m/>
    <m/>
    <m/>
    <m/>
    <s v=""/>
    <n v="460"/>
    <s v="SJ 100% BCI Combed Compact Cotton 120gsm CW62”"/>
    <s v="Black 10005"/>
    <s v=""/>
    <n v="48.75"/>
    <m/>
    <n v="-48.75"/>
    <m/>
    <n v="-48.75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s v=""/>
    <s v=""/>
    <s v=""/>
    <s v=""/>
    <n v="48.75"/>
    <s v=""/>
    <n v="0"/>
    <n v="0"/>
    <s v=""/>
  </r>
  <r>
    <s v="M &amp; S - T71"/>
    <s v="SQBIR.MS.285.FY26-27.8"/>
    <m/>
    <m/>
    <m/>
    <m/>
    <s v=""/>
    <n v="461"/>
    <s v=" 95% COTTON 5% ELASTANE JERSEY GSM-160 CW-165 CM/65 INCH "/>
    <s v="WHITE 10001"/>
    <s v=""/>
    <n v="9.24"/>
    <m/>
    <n v="-9.24"/>
    <m/>
    <n v="-9.24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n v="0"/>
    <s v=""/>
    <s v=""/>
    <s v=""/>
    <s v=""/>
    <s v=""/>
    <n v="0"/>
    <n v="0"/>
    <n v="0"/>
  </r>
  <r>
    <s v="M &amp; S - T61 (KPK)"/>
    <s v="SQBIR.MS.01213.FY25-26.8"/>
    <m/>
    <m/>
    <m/>
    <m/>
    <s v=""/>
    <n v="463"/>
    <s v="SJ 95% BCI Cmd Cmpt CTN 5% Inv Ly 140gsm CW63”"/>
    <s v="Bluebell"/>
    <s v=""/>
    <n v="7.7169999999999996"/>
    <n v="7.7169999999999996"/>
    <n v="0"/>
    <m/>
    <n v="0"/>
    <s v="463358"/>
    <s v="Solid"/>
    <x v="54"/>
    <d v="2026-10-10T00:00:00"/>
    <d v="2026-10-10T00:00:00"/>
    <s v="Hues Agreed qty as per SQBL required date"/>
    <s v="OTT ADVANCEMENT"/>
    <s v="Oct"/>
    <d v="2026-10-04T00:00:00"/>
    <m/>
    <m/>
    <m/>
    <m/>
    <m/>
    <m/>
    <m/>
    <m/>
    <m/>
    <m/>
    <s v="463358"/>
    <s v="BLUEBELL 23981"/>
    <n v="140"/>
    <s v="463358140BLUEBELL 23981"/>
    <n v="198"/>
    <n v="2"/>
    <s v=""/>
    <s v=""/>
    <s v=""/>
    <s v=""/>
    <s v=""/>
    <s v=""/>
    <n v="198"/>
    <n v="0.99"/>
    <s v=""/>
  </r>
  <r>
    <s v="M &amp; S - T61 (KPK)"/>
    <s v="SQBIR.MS.01191.FY25-26.7"/>
    <m/>
    <m/>
    <m/>
    <m/>
    <s v=""/>
    <n v="464"/>
    <s v="SJ 100% BCI Combed Compact Cotton 120gsm CW62”"/>
    <s v="MOONDAST"/>
    <s v=""/>
    <n v="3.036"/>
    <m/>
    <n v="-3.036"/>
    <m/>
    <n v="-3.036"/>
    <s v="463358"/>
    <s v="Solid"/>
    <x v="54"/>
    <d v="2026-10-10T00:00:00"/>
    <d v="2026-10-10T00:00:00"/>
    <s v="Hues Agreed qty as per SQBL required date"/>
    <s v="OTT ADVANCEMENT"/>
    <s v="Oct"/>
    <d v="2026-10-01T00:00:00"/>
    <m/>
    <m/>
    <m/>
    <m/>
    <m/>
    <m/>
    <m/>
    <m/>
    <m/>
    <m/>
    <s v="463358"/>
    <s v="33396 Moondust"/>
    <n v="120"/>
    <s v="46335812033396 Moondust"/>
    <n v="0"/>
    <s v="#NA"/>
    <s v=""/>
    <s v=""/>
    <s v=""/>
    <s v=""/>
    <s v=""/>
    <s v=""/>
    <n v="0"/>
    <n v="0"/>
    <s v=""/>
  </r>
  <r>
    <s v="M &amp; S - T61 (SHK)"/>
    <s v="SQBIR.MS.026.FY26-27.4"/>
    <m/>
    <m/>
    <m/>
    <m/>
    <s v=""/>
    <n v="465"/>
    <s v="SJ BCI 100% CTN NORMAL FINISH 120GSM CUT WIDTH 62"/>
    <s v="Black 10005"/>
    <s v=""/>
    <n v="9.4239999999999995"/>
    <n v="9.4239999999999995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s v=""/>
    <n v="128.23699999999999"/>
    <s v=""/>
    <s v=""/>
    <s v=""/>
    <s v=""/>
    <n v="135.54"/>
    <n v="1.0429999999999999"/>
    <s v=""/>
  </r>
  <r>
    <s v="M &amp; S - T33"/>
    <s v="SQBIR.MS.01300.FY25-26.5"/>
    <m/>
    <m/>
    <m/>
    <m/>
    <s v=""/>
    <n v="466"/>
    <s v="100% BCI Cotton 140gsm CW68”"/>
    <s v="Black"/>
    <s v=""/>
    <n v="51.6"/>
    <n v="51.6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140"/>
    <s v="451603-SP27 0713-Cookie Cup140Black 10005"/>
    <n v="462"/>
    <n v="-8.7799999999999994"/>
    <n v="281.22000000000003"/>
    <n v="281.22000000000003"/>
    <s v=""/>
    <s v=""/>
    <s v=""/>
    <s v=""/>
    <n v="462"/>
    <n v="1.0189999999999999"/>
    <n v="180.77999999999997"/>
  </r>
  <r>
    <s v="M &amp; S - T61 (SHK)"/>
    <s v="SQBIR.MS.025.FY26-27.2"/>
    <m/>
    <m/>
    <m/>
    <m/>
    <s v=""/>
    <n v="479"/>
    <s v="SJ BCI 100% CTN NORMAL FINISH 120GSM CUT WIDTH 62"/>
    <s v="WHITE 10001"/>
    <s v=""/>
    <n v="1.3240000000000001"/>
    <n v="1.3240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s v=""/>
    <s v=""/>
    <s v=""/>
    <s v=""/>
    <s v=""/>
    <n v="43"/>
    <n v="1"/>
    <n v="1.1529999999999987"/>
  </r>
  <r>
    <s v="M &amp; S - T33"/>
    <s v="SQBIR.MS.01266.FY25-26.4"/>
    <m/>
    <m/>
    <m/>
    <m/>
    <s v=""/>
    <n v="480"/>
    <s v="94% Cotton 6% Spandex 190 GSM Molding CW 61 S/J"/>
    <s v="Black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s v=""/>
    <s v=""/>
    <s v=""/>
    <s v=""/>
    <n v="0"/>
    <s v=""/>
    <n v="893.5"/>
    <n v="0.96199999999999997"/>
    <s v=""/>
  </r>
  <r>
    <s v="M &amp; S - T33"/>
    <s v="SQBIR.MS.01300.FY25-26.6"/>
    <m/>
    <m/>
    <m/>
    <m/>
    <s v=""/>
    <n v="481"/>
    <s v="100% BCI Cotton 140gsm CW68”"/>
    <s v="Black"/>
    <s v=""/>
    <n v="55.9"/>
    <n v="55.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140"/>
    <s v="451603-SP27 0713-Cookie Cup140Black 10005"/>
    <n v="462"/>
    <n v="-8.7799999999999994"/>
    <n v="281.22000000000003"/>
    <s v=""/>
    <s v=""/>
    <s v=""/>
    <s v=""/>
    <s v=""/>
    <n v="462"/>
    <n v="1.0189999999999999"/>
    <n v="180.77999999999997"/>
  </r>
  <r>
    <s v="M &amp; S - T33"/>
    <s v="SQBIR.MS.01300.FY25-26.7"/>
    <m/>
    <m/>
    <m/>
    <m/>
    <s v=""/>
    <n v="482"/>
    <s v="100% BCI Cotton 140gsm CW68”"/>
    <s v="Black"/>
    <n v="0"/>
    <n v="60.2"/>
    <n v="60.2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-Cookie Cup"/>
    <s v="Black 10005"/>
    <n v="140"/>
    <s v="451603-SP27 0713-Cookie Cup140Black 10005"/>
    <n v="462"/>
    <n v="-8.7799999999999994"/>
    <s v=""/>
    <n v="281.22000000000003"/>
    <s v=""/>
    <s v=""/>
    <n v="0"/>
    <s v=""/>
    <n v="462"/>
    <n v="1.0189999999999999"/>
    <s v=""/>
  </r>
  <r>
    <s v="M &amp; S - T61 (SHK)"/>
    <s v="SQBIR.MS.027.FY26-27.1"/>
    <m/>
    <m/>
    <m/>
    <m/>
    <s v=""/>
    <n v="483"/>
    <s v="SJ BCI 100% CTN NORMAL FINISH 120GSM CUT WIDTH 62"/>
    <s v="WHITE 10001"/>
    <s v=""/>
    <n v="26.466999999999999"/>
    <n v="26.466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n v="41.847000000000001"/>
    <s v=""/>
    <s v=""/>
    <s v=""/>
    <s v=""/>
    <n v="43"/>
    <n v="1"/>
    <n v="1.1529999999999987"/>
  </r>
  <r>
    <s v="M&amp;S T14"/>
    <s v="SQBIR.MS.031.FY26-27.5"/>
    <m/>
    <m/>
    <m/>
    <m/>
    <s v=""/>
    <n v="486"/>
    <s v=" 95% BCI COTTON 5% LYCRA JERSEY GSM-150 CW-160 CM/63 INCH "/>
    <s v="T14 VALENTINES STRIPE"/>
    <n v="0"/>
    <n v="23.91"/>
    <n v="23.91"/>
    <n v="0"/>
    <m/>
    <n v="0"/>
    <s v="451240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51240-Lycra"/>
    <s v="T14 YD VALENTINES STRIPE"/>
    <n v="150"/>
    <s v="451240-Lycra150T14 YD VALENTINES STRIPE"/>
    <n v="453.9"/>
    <n v="-4.5"/>
    <s v=""/>
    <n v="23.91"/>
    <s v=""/>
    <s v=""/>
    <n v="0"/>
    <s v=""/>
    <n v="453.9"/>
    <n v="1.01"/>
    <s v=""/>
  </r>
  <r>
    <s v="M &amp; S - T33"/>
    <s v="SQBIR.MS.01263.FY25-26.1"/>
    <m/>
    <m/>
    <m/>
    <m/>
    <s v=""/>
    <n v="489"/>
    <s v="94% Cotton 6% Spandex 235 GSM No Molding CW 64  S/"/>
    <s v="White"/>
    <s v=""/>
    <n v="365.87200000000001"/>
    <n v="317.48200000000003"/>
    <n v="-48.389999999999986"/>
    <m/>
    <n v="-48.389999999999986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White 10001"/>
    <n v="235"/>
    <s v="451241-SP27 3276-Cup235White 10001"/>
    <n v="1384"/>
    <n v="48.39"/>
    <s v=""/>
    <s v=""/>
    <s v=""/>
    <s v=""/>
    <n v="48.389999999999986"/>
    <s v=""/>
    <n v="1384"/>
    <n v="0.96599999999999997"/>
    <s v=""/>
  </r>
  <r>
    <s v="M &amp; S - T33"/>
    <s v="SQBIR.MS.01311.FY25-26.3"/>
    <m/>
    <m/>
    <m/>
    <m/>
    <s v=""/>
    <n v="490"/>
    <s v="94% Cotton 6% Spandex 180 GSM No Molding CW 63  S/"/>
    <s v="White"/>
    <s v=""/>
    <n v="64.201999999999998"/>
    <n v="64.201999999999998"/>
    <n v="0"/>
    <m/>
    <n v="0"/>
    <s v="45247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2474-SP27 9643"/>
    <s v="White 10001"/>
    <n v="180"/>
    <s v="452474-SP27 9643180White 10001"/>
    <n v="435"/>
    <n v="18.579999999999998"/>
    <s v=""/>
    <s v=""/>
    <s v=""/>
    <s v=""/>
    <s v=""/>
    <s v=""/>
    <n v="435"/>
    <n v="0.95899999999999996"/>
    <s v=""/>
  </r>
  <r>
    <s v="M &amp; S - T61 (KPK)"/>
    <s v="SQBIR.MS.01202.FY25-26.11"/>
    <m/>
    <m/>
    <m/>
    <m/>
    <s v=""/>
    <n v="491"/>
    <s v="SJ 95% BCI Cmd Cmpt CTN 5% Inv Ly 140gsm CW63”"/>
    <s v="MOONDAST"/>
    <n v="-7.9133333333333313"/>
    <n v="148"/>
    <n v="124.26"/>
    <n v="-23.739999999999995"/>
    <m/>
    <n v="-23.739999999999995"/>
    <s v="463358"/>
    <s v="Solid"/>
    <x v="54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33396 Moondust"/>
    <n v="140"/>
    <s v="46335814033396 Moondust"/>
    <n v="176.26"/>
    <n v="23.74"/>
    <s v=""/>
    <s v=""/>
    <s v=""/>
    <s v=""/>
    <n v="23.739999999999995"/>
    <s v=""/>
    <n v="176.26"/>
    <n v="0.88100000000000001"/>
    <s v=""/>
  </r>
  <r>
    <s v="M &amp; S - T61 (SHK)"/>
    <s v="SQBIR.MS.080.FY26-27.1"/>
    <m/>
    <m/>
    <m/>
    <m/>
    <s v=""/>
    <n v="492"/>
    <s v="SJ BCI 100% CTN NORMAL FINISH 120GSM CUT WIDTH 62"/>
    <s v="Black 10005"/>
    <s v=""/>
    <n v="121.16"/>
    <n v="121.16"/>
    <n v="0"/>
    <m/>
    <n v="0"/>
    <s v="45833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330"/>
    <s v="Black 10005"/>
    <n v="120"/>
    <s v="458330120Black 10005"/>
    <n v="1079"/>
    <n v="-21"/>
    <s v=""/>
    <s v=""/>
    <s v=""/>
    <s v=""/>
    <s v=""/>
    <s v=""/>
    <n v="1079"/>
    <n v="1.02"/>
    <s v=""/>
  </r>
  <r>
    <s v="M &amp; S - T61 (KPK)"/>
    <s v="SQBIR.MS.01216.FY25-26.2"/>
    <m/>
    <m/>
    <m/>
    <m/>
    <s v=""/>
    <n v="493"/>
    <s v="SJ 100% BCI Combed Compact Cotton 120gsm CW62”"/>
    <s v="Black"/>
    <s v=""/>
    <n v="16.966000000000001"/>
    <n v="16.966000000000001"/>
    <n v="0"/>
    <m/>
    <n v="0"/>
    <s v="440955"/>
    <s v="Solid"/>
    <x v="22"/>
    <d v="2026-10-07T00:00:00"/>
    <d v="2026-10-07T00:00:00"/>
    <s v="Revised Plan given as per revised date"/>
    <m/>
    <s v="Oct"/>
    <d v="2026-10-07T00:00:00"/>
    <m/>
    <m/>
    <m/>
    <m/>
    <m/>
    <m/>
    <m/>
    <m/>
    <m/>
    <m/>
    <s v="440955"/>
    <s v="Black 10005"/>
    <n v="120"/>
    <s v="440955120Black 10005"/>
    <n v="3078.93"/>
    <n v="-14.47"/>
    <n v="16.966000000000001"/>
    <n v="16.966000000000001"/>
    <s v=""/>
    <s v=""/>
    <s v=""/>
    <s v=""/>
    <n v="3078.93"/>
    <n v="1.0049999999999999"/>
    <n v="3061.9639999999999"/>
  </r>
  <r>
    <s v="M &amp; S - T33"/>
    <s v="SQBIR.MS.01302.FY25-26.6"/>
    <m/>
    <m/>
    <m/>
    <m/>
    <s v=""/>
    <n v="496"/>
    <s v="94% Cotton 6% Spandex 190 GSM Molding CW 61 S/J"/>
    <s v="White 10001"/>
    <s v=""/>
    <n v="400.4"/>
    <n v="400.4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n v="2486.4859999999999"/>
    <n v="3398.0359999999996"/>
    <s v=""/>
    <s v=""/>
    <s v=""/>
    <s v=""/>
    <n v="5854.27"/>
    <n v="0.86499999999999999"/>
    <n v="3367.7840000000006"/>
  </r>
  <r>
    <s v="M &amp; S - T61 (KPK)"/>
    <s v="SQBIR.MS.01198.FY25-26.9"/>
    <m/>
    <m/>
    <m/>
    <m/>
    <s v=""/>
    <n v="499"/>
    <s v="SJ 95% BCI Cmd Cmpt CTN 5% Inv Ly 140gsm CW63”"/>
    <s v="Black"/>
    <s v=""/>
    <n v="1300"/>
    <n v="130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s v=""/>
    <s v=""/>
    <s v=""/>
    <s v=""/>
    <s v=""/>
    <s v=""/>
    <n v="34340.26"/>
    <n v="1.0940000000000001"/>
    <s v=""/>
  </r>
  <r>
    <s v="M &amp; S - T33"/>
    <s v="SQBIR.MS.01302.FY25-26.3"/>
    <m/>
    <m/>
    <m/>
    <m/>
    <s v=""/>
    <n v="512"/>
    <s v="94% Cotton 6% Spandex 190 GSM Molding CW 61 S/J"/>
    <s v="White 10001"/>
    <n v="0"/>
    <n v="429"/>
    <n v="42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s v=""/>
    <s v=""/>
    <s v=""/>
    <n v="0"/>
    <s v=""/>
    <n v="5854.27"/>
    <n v="0.86499999999999999"/>
    <s v=""/>
  </r>
  <r>
    <s v="M &amp; S - T61 (KPK)"/>
    <s v="SQBIR.MS.132.FY26-27.8"/>
    <m/>
    <m/>
    <m/>
    <m/>
    <s v=""/>
    <n v="517"/>
    <s v="SJ 95% BCI Cmd Cmpt CTN 5% Inv Ly 140gsm CW63”"/>
    <s v="White"/>
    <s v=""/>
    <n v="9.9600000000000009"/>
    <n v="9.9600000000000009"/>
    <n v="0"/>
    <m/>
    <n v="0"/>
    <s v="459386"/>
    <s v="Solid"/>
    <x v="54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s v=""/>
    <n v="8967.5"/>
    <s v=""/>
    <s v=""/>
    <s v=""/>
    <s v=""/>
    <n v="6723.76"/>
    <n v="0.749"/>
    <s v=""/>
  </r>
  <r>
    <s v="M &amp; S - T71"/>
    <s v="SQBIR.MS.155.FY26-27.1"/>
    <m/>
    <m/>
    <m/>
    <m/>
    <s v=""/>
    <n v="521"/>
    <s v="KNIT WEFT KNITTED SINGLE JERSEY BCI COMBED COTTON 100% GSM-150 CW-150CM/59INCH  "/>
    <s v="T71SU26 SAILING Stripe"/>
    <s v=""/>
    <n v="426"/>
    <m/>
    <n v="-426"/>
    <m/>
    <n v="-426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T71 SU26 SAILING Stripe"/>
    <n v="150"/>
    <s v="461085150T71 SU26 SAILING Stripe"/>
    <n v="0"/>
    <s v="#NA"/>
    <s v=""/>
    <s v=""/>
    <s v=""/>
    <s v=""/>
    <n v="426"/>
    <s v=""/>
    <n v="0"/>
    <n v="0"/>
    <s v=""/>
  </r>
  <r>
    <s v="M &amp; S - T61 (KPK)"/>
    <s v="SQBIR.MS.147.FY26-27.5"/>
    <m/>
    <m/>
    <m/>
    <m/>
    <s v=""/>
    <n v="522"/>
    <s v="SJ 95% BCI Cmd Cmpt CTN 5% Inv Ly 140gsm CW63”"/>
    <s v="White 10001"/>
    <s v=""/>
    <n v="3.2639999999999998"/>
    <m/>
    <n v="-3.2639999999999998"/>
    <m/>
    <n v="-3.263999999999999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40"/>
    <s v="462079140White 10001"/>
    <n v="1067"/>
    <n v="24"/>
    <n v="251"/>
    <s v=""/>
    <s v=""/>
    <s v=""/>
    <s v=""/>
    <s v=""/>
    <n v="1067"/>
    <n v="0.97799999999999998"/>
    <n v="816"/>
  </r>
  <r>
    <s v="M &amp; S - T61 (KPK)"/>
    <s v="SQBIR.MS.108.FY26-27.1"/>
    <m/>
    <m/>
    <m/>
    <m/>
    <s v=""/>
    <n v="523"/>
    <s v="SJ 100% BCI Combed Compact Cotton 120gsm CW62”"/>
    <s v="Black AOP Gusset"/>
    <s v=""/>
    <n v="88"/>
    <n v="88"/>
    <n v="0"/>
    <m/>
    <n v="0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-AOP-G"/>
    <n v="120"/>
    <s v="462079120Black 10005-AOP-G"/>
    <n v="91.51"/>
    <n v="-3.51"/>
    <s v=""/>
    <s v=""/>
    <s v=""/>
    <s v=""/>
    <s v=""/>
    <s v=""/>
    <n v="91.51"/>
    <n v="1.04"/>
    <s v=""/>
  </r>
  <r>
    <s v="M &amp; S - T32"/>
    <s v="SQBIR.MS.01294.FY25-26.3"/>
    <m/>
    <m/>
    <m/>
    <m/>
    <s v=""/>
    <n v="526"/>
    <s v="SJ BCI 100% CTN NORMAL FINISH 120GSM CUT WIDTH 62"/>
    <s v="Black 10005"/>
    <s v=""/>
    <n v="1.9970000000000001"/>
    <n v="1.9970000000000001"/>
    <n v="0"/>
    <m/>
    <n v="0"/>
    <s v="446684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684"/>
    <s v="Black 10005"/>
    <n v="120"/>
    <s v="446684120Black 10005"/>
    <n v="17.84"/>
    <n v="-5.23"/>
    <s v=""/>
    <n v="1.9970000000000001"/>
    <s v=""/>
    <s v=""/>
    <s v=""/>
    <s v=""/>
    <n v="17.84"/>
    <n v="1.415"/>
    <s v=""/>
  </r>
  <r>
    <s v="M &amp; S - T61 (KPK)"/>
    <s v="SQBIR.MS.01166.FY25-26.13"/>
    <m/>
    <m/>
    <m/>
    <m/>
    <s v=""/>
    <n v="527"/>
    <s v="SJ 95% BCI Cmd Cmpt CTN 5% Inv Ly 140gsm CW63”"/>
    <s v="White"/>
    <s v=""/>
    <n v="998.91"/>
    <n v="998.91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40"/>
    <s v="440958140White 10001"/>
    <n v="21463.22"/>
    <n v="833.28"/>
    <s v=""/>
    <n v="9206.41"/>
    <s v=""/>
    <s v=""/>
    <s v=""/>
    <s v=""/>
    <n v="21463.22"/>
    <n v="0.96299999999999997"/>
    <s v=""/>
  </r>
  <r>
    <s v="M &amp; S - T61 (KPK)"/>
    <s v="SQBIR.MS.01233.FY25-26.14"/>
    <m/>
    <m/>
    <m/>
    <m/>
    <s v=""/>
    <n v="528"/>
    <s v="SJ 95% BCI Cmd Cmpt CTN 5% Inv Ly 140gsm CW63”"/>
    <s v="White"/>
    <s v=""/>
    <n v="1350"/>
    <n v="135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White 10001"/>
    <n v="140"/>
    <s v="440958140White 10001"/>
    <n v="21463.22"/>
    <n v="833.28"/>
    <s v=""/>
    <s v=""/>
    <s v=""/>
    <s v=""/>
    <s v=""/>
    <s v=""/>
    <n v="21463.22"/>
    <n v="0.96299999999999997"/>
    <s v=""/>
  </r>
  <r>
    <s v="M &amp; S - T61 (KPK)"/>
    <s v="SQBIR.MS.01233.FY25-26.15"/>
    <m/>
    <m/>
    <m/>
    <m/>
    <s v=""/>
    <n v="529"/>
    <s v="SJ 95% BCI Cmd Cmpt CTN 5% Inv Ly 140gsm CW63”"/>
    <s v="White"/>
    <s v=""/>
    <n v="1350"/>
    <n v="135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40"/>
    <s v="440958140White 10001"/>
    <n v="21463.22"/>
    <n v="833.28"/>
    <s v=""/>
    <n v="9206.41"/>
    <s v=""/>
    <s v=""/>
    <s v=""/>
    <s v=""/>
    <n v="21463.22"/>
    <n v="0.96299999999999997"/>
    <s v=""/>
  </r>
  <r>
    <s v="M &amp; S - T61 (KPK)"/>
    <s v="SQBIR.MS.01233.FY25-26.16"/>
    <m/>
    <m/>
    <m/>
    <m/>
    <s v=""/>
    <n v="530"/>
    <s v="SJ 95% BCI Cmd Cmpt CTN 5% Inv Ly 140gsm CW63”"/>
    <s v="White"/>
    <s v=""/>
    <n v="1350"/>
    <n v="135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40"/>
    <s v="440958140White 10001"/>
    <n v="21463.22"/>
    <n v="833.28"/>
    <s v=""/>
    <n v="9206.41"/>
    <s v=""/>
    <s v=""/>
    <s v=""/>
    <s v=""/>
    <n v="21463.22"/>
    <n v="0.96299999999999997"/>
    <s v=""/>
  </r>
  <r>
    <s v="M &amp; S - T61 (KPK)"/>
    <s v="SQBIR.MS.01203.FY25-26.8"/>
    <m/>
    <m/>
    <m/>
    <m/>
    <s v=""/>
    <n v="531"/>
    <s v="SJ 95% BCI Cmd Cmpt CTN 5% Inv Ly 140gsm CW63”"/>
    <s v="White"/>
    <s v=""/>
    <n v="4157.5"/>
    <n v="3324.22"/>
    <n v="-833.2800000000002"/>
    <m/>
    <n v="-833.2800000000002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40"/>
    <s v="440958140White 10001"/>
    <n v="21463.22"/>
    <n v="833.28"/>
    <s v=""/>
    <n v="9206.41"/>
    <s v=""/>
    <s v=""/>
    <s v=""/>
    <s v=""/>
    <n v="21463.22"/>
    <n v="0.96299999999999997"/>
    <s v=""/>
  </r>
  <r>
    <s v="M &amp; S - T61 (KPK)"/>
    <s v="SQBIR.MS.108.FY26-27.2"/>
    <m/>
    <m/>
    <m/>
    <m/>
    <s v=""/>
    <n v="533"/>
    <s v="SJ 95% BCI Cmd Cmpt CTN 5% Inv Ly 140gsm CW63”"/>
    <s v="Bros B0284"/>
    <s v=""/>
    <n v="233.2"/>
    <m/>
    <n v="-233.2"/>
    <m/>
    <n v="-233.2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s v=""/>
    <s v=""/>
    <s v=""/>
    <s v=""/>
    <s v=""/>
    <s v=""/>
    <n v="0"/>
    <n v="0"/>
    <s v=""/>
  </r>
  <r>
    <s v="M &amp; S - T33"/>
    <s v="SQBIR.MS.01304.FY25-26.2"/>
    <m/>
    <m/>
    <m/>
    <m/>
    <s v=""/>
    <n v="534"/>
    <s v="94% Cotton 6% Spandex 190 GSM Molding CW 61 S/J"/>
    <s v="Black"/>
    <n v="0"/>
    <n v="225.4"/>
    <n v="225.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s v=""/>
    <s v=""/>
    <s v=""/>
    <s v=""/>
    <n v="2093.67"/>
    <n v="0.99099999999999999"/>
    <n v="1047.6950000000002"/>
  </r>
  <r>
    <s v="M &amp; S - T33"/>
    <s v="SQBIR.MS.01304.FY25-26.3"/>
    <m/>
    <m/>
    <m/>
    <m/>
    <s v=""/>
    <n v="535"/>
    <s v="94% Cotton 6% Spandex 190 GSM Molding CW 61 S/J"/>
    <s v="Black"/>
    <n v="0"/>
    <n v="35"/>
    <n v="35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s v=""/>
    <s v=""/>
    <s v=""/>
    <s v=""/>
    <n v="0"/>
    <s v=""/>
    <n v="2093.67"/>
    <n v="0.99099999999999999"/>
    <s v=""/>
  </r>
  <r>
    <s v="M &amp; S - T33"/>
    <s v="SQBIR.MS.01304.FY25-26.4"/>
    <m/>
    <m/>
    <m/>
    <m/>
    <s v=""/>
    <n v="536"/>
    <s v="94% Cotton 6% Spandex 190 GSM Molding CW 61 S/J"/>
    <s v="Black"/>
    <s v=""/>
    <n v="11.9"/>
    <n v="11.9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s v=""/>
    <s v=""/>
    <s v=""/>
    <s v=""/>
    <s v=""/>
    <n v="2093.67"/>
    <n v="0.99099999999999999"/>
    <n v="1047.6950000000002"/>
  </r>
  <r>
    <s v="M &amp; S - T33"/>
    <s v="SQBIR.MS.01304.FY25-26.5"/>
    <m/>
    <m/>
    <m/>
    <m/>
    <s v=""/>
    <n v="537"/>
    <s v="94% Cotton 6% Spandex 190 GSM Molding CW 61 S/J"/>
    <s v="Black"/>
    <s v=""/>
    <n v="411.77499999999998"/>
    <n v="411.77499999999998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190"/>
    <s v="451547-SP27 7250190Black 10005"/>
    <n v="2093.67"/>
    <n v="19.98"/>
    <s v=""/>
    <n v="1045.9749999999999"/>
    <s v=""/>
    <s v=""/>
    <n v="0"/>
    <s v=""/>
    <n v="2093.67"/>
    <n v="0.99099999999999999"/>
    <s v=""/>
  </r>
  <r>
    <s v="M &amp; S - T61 (KPK)"/>
    <s v="SQBIR.MS.01167.FY25-26.10"/>
    <m/>
    <m/>
    <m/>
    <m/>
    <b v="0"/>
    <n v="538"/>
    <s v="SJ 95% BCI Cmd Cmpt CTN 5% Inv Ly 140gsm CW63”"/>
    <s v="Black 10005"/>
    <n v="0"/>
    <n v="1200"/>
    <n v="1200"/>
    <n v="0"/>
    <m/>
    <n v="0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40"/>
    <s v="441099140Black 10005"/>
    <n v="27344"/>
    <n v="1328"/>
    <n v="1200"/>
    <n v="1200"/>
    <s v=""/>
    <s v=""/>
    <n v="0"/>
    <b v="0"/>
    <n v="27344"/>
    <n v="0.95399999999999996"/>
    <n v="26144"/>
  </r>
  <r>
    <s v="M &amp; S - T71"/>
    <s v="SQBIR.MS.283.FY26-27.3"/>
    <m/>
    <m/>
    <m/>
    <m/>
    <b v="0"/>
    <n v="539"/>
    <s v="100% BCI COTTON 150 GSM CW 69 IN"/>
    <s v="Cornflower 23687 AOP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Cornflower 23687-AOP"/>
    <n v="150"/>
    <s v="465758150Cornflower 23687-AOP"/>
    <n v="0"/>
    <s v="#NA"/>
    <n v="0"/>
    <n v="35.186"/>
    <s v=""/>
    <s v=""/>
    <n v="35.186"/>
    <b v="0"/>
    <n v="0"/>
    <n v="0.97"/>
    <n v="0"/>
  </r>
  <r>
    <s v="M &amp; S - T71"/>
    <s v="SQBIR.MS.283.FY26-27.1"/>
    <m/>
    <m/>
    <m/>
    <m/>
    <s v=""/>
    <n v="540"/>
    <s v="100% BCI COTTON 150 GSM CW 69 IN"/>
    <s v="Straw 62925 AOP"/>
    <n v="0"/>
    <n v="8.9"/>
    <n v="8.9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Straw 62925-AOP-G"/>
    <n v="150"/>
    <s v="465758150Straw 62925-AOP-G"/>
    <n v="84"/>
    <n v="-4"/>
    <s v=""/>
    <s v=""/>
    <s v=""/>
    <s v=""/>
    <n v="0"/>
    <s v=""/>
    <n v="84"/>
    <n v="1.05"/>
    <s v=""/>
  </r>
  <r>
    <s v="M &amp; S - T71"/>
    <s v="SQBIR.MS.283.FY26-27.2"/>
    <m/>
    <m/>
    <m/>
    <m/>
    <s v=""/>
    <n v="541"/>
    <s v="100% BCI COTTON 150 GSM CW 69 IN"/>
    <s v="Straw 62925 AOP"/>
    <s v=""/>
    <n v="17.8"/>
    <n v="17.8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Straw 62925-AOP-G"/>
    <n v="150"/>
    <s v="465758150Straw 62925-AOP-G"/>
    <n v="84"/>
    <n v="-4"/>
    <n v="26.700000000000003"/>
    <s v=""/>
    <s v=""/>
    <s v=""/>
    <s v=""/>
    <s v=""/>
    <n v="84"/>
    <n v="1.05"/>
    <n v="57.3"/>
  </r>
  <r>
    <s v="M &amp; S - T71"/>
    <s v="SQBIR.MS.283.FY26-27.3"/>
    <m/>
    <m/>
    <m/>
    <m/>
    <s v=""/>
    <n v="542"/>
    <s v="100% BCI COTTON 150 GSM CW 69 IN"/>
    <s v="Straw 62925 AOP"/>
    <n v="-5.8643333333333336"/>
    <n v="17.593"/>
    <m/>
    <n v="-17.593"/>
    <m/>
    <n v="-17.593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Straw 62925-AOP"/>
    <n v="150"/>
    <s v="465758150Straw 62925-AOP"/>
    <n v="0"/>
    <s v="#NA"/>
    <s v=""/>
    <s v=""/>
    <s v=""/>
    <s v=""/>
    <n v="17.593"/>
    <s v=""/>
    <n v="0"/>
    <n v="0.99399999999999999"/>
    <s v=""/>
  </r>
  <r>
    <s v="M &amp; S - T33"/>
    <s v="SQBIR.MS.01257.FY25-26.4"/>
    <m/>
    <m/>
    <m/>
    <m/>
    <s v=""/>
    <n v="545"/>
    <s v="94% Cotton 6% Spandex 235 GSM No Molding CW 64  S/"/>
    <s v="Soft Turquoise"/>
    <s v=""/>
    <n v="42"/>
    <n v="42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-Without Cup"/>
    <s v="Soft Turquoise 21030"/>
    <n v="235"/>
    <s v="451550-SP27 2231-Without Cup235Soft Turquoise 21030"/>
    <n v="621"/>
    <n v="-49.36"/>
    <s v=""/>
    <n v="274.62400000000002"/>
    <s v=""/>
    <s v=""/>
    <s v=""/>
    <s v=""/>
    <n v="621"/>
    <n v="1.0860000000000001"/>
    <s v=""/>
  </r>
  <r>
    <s v="M &amp; S - T33"/>
    <s v="SQBIR.MS.01257.FY25-26.5"/>
    <m/>
    <m/>
    <m/>
    <m/>
    <s v=""/>
    <n v="546"/>
    <s v="94% Cotton 6% Spandex 235 GSM No Molding CW 64  S/"/>
    <s v="Soft Turquoise"/>
    <s v=""/>
    <n v="36.4"/>
    <n v="36.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Soft Turquoise 21030"/>
    <n v="235"/>
    <s v="451550-SP27 2231-Without Cup235Soft Turquoise 21030"/>
    <n v="621"/>
    <n v="-49.36"/>
    <n v="274.62400000000002"/>
    <n v="274.62400000000002"/>
    <s v=""/>
    <s v=""/>
    <s v=""/>
    <s v=""/>
    <n v="621"/>
    <n v="1.0860000000000001"/>
    <n v="346.37599999999998"/>
  </r>
  <r>
    <s v="M &amp; S - T33"/>
    <s v="SQBIR.MS.01257.FY25-26.6"/>
    <m/>
    <m/>
    <m/>
    <m/>
    <s v=""/>
    <n v="547"/>
    <s v="94% Cotton 6% Spandex 235 GSM No Molding CW 64  S/"/>
    <s v="Soft Turquoise"/>
    <s v=""/>
    <n v="196.22399999999999"/>
    <n v="196.22399999999999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Soft Turquoise 21030"/>
    <n v="235"/>
    <s v="451550-SP27 2231-Without Cup235Soft Turquoise 21030"/>
    <n v="621"/>
    <n v="-49.36"/>
    <s v=""/>
    <s v=""/>
    <s v=""/>
    <s v=""/>
    <n v="0"/>
    <s v=""/>
    <n v="621"/>
    <n v="1.0860000000000001"/>
    <s v=""/>
  </r>
  <r>
    <s v="M &amp; S - T33"/>
    <s v="SQBIR.MS.01311.FY25-26.2"/>
    <m/>
    <m/>
    <m/>
    <m/>
    <s v=""/>
    <n v="548"/>
    <s v="94% Cotton 6% Spandex 180 GSM No Molding CW 63  S/"/>
    <s v="White"/>
    <s v=""/>
    <n v="64.201999999999998"/>
    <n v="64.201999999999998"/>
    <n v="0"/>
    <m/>
    <n v="0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435"/>
    <n v="18.579999999999998"/>
    <s v=""/>
    <s v=""/>
    <s v=""/>
    <s v=""/>
    <s v=""/>
    <s v=""/>
    <n v="435"/>
    <n v="0.95899999999999996"/>
    <s v=""/>
  </r>
  <r>
    <s v="M&amp;S T14"/>
    <s v="SQBIR.MS.036.FY26-27.4"/>
    <m/>
    <m/>
    <m/>
    <m/>
    <s v=""/>
    <n v="549"/>
    <s v=" 95% BCI COTTON 5% ELASTANE JERSEY GSM-150 CW-160 CM/63 INCH "/>
    <s v="DARK INK"/>
    <s v=""/>
    <n v="37"/>
    <n v="37"/>
    <n v="0"/>
    <m/>
    <n v="0"/>
    <s v="45092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0921-Creora"/>
    <s v="Dark Ink 17613"/>
    <n v="150"/>
    <s v="450921-Creora150Dark Ink 17613"/>
    <n v="9362"/>
    <n v="-72.510000000000005"/>
    <s v=""/>
    <n v="37"/>
    <s v=""/>
    <s v=""/>
    <s v=""/>
    <s v=""/>
    <n v="9362"/>
    <n v="1.008"/>
    <s v=""/>
  </r>
  <r>
    <s v="M &amp; S - T61 (KPK)"/>
    <s v="SQBIR.MS.109.FY26-27.1"/>
    <m/>
    <m/>
    <m/>
    <m/>
    <s v=""/>
    <n v="550"/>
    <s v="SJ 100% BCI Combed Compact Cotton 120gsm CW62”"/>
    <s v="PRALINE 22001"/>
    <s v=""/>
    <n v="84"/>
    <m/>
    <n v="-84"/>
    <m/>
    <n v="-8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s v=""/>
    <s v=""/>
    <s v=""/>
    <s v=""/>
    <s v=""/>
    <s v=""/>
    <n v="0"/>
    <n v="0"/>
    <s v=""/>
  </r>
  <r>
    <s v="M &amp; S - T61 (KPK)"/>
    <s v="SQBIR.MS.106.FY26-27.1"/>
    <m/>
    <m/>
    <m/>
    <m/>
    <s v=""/>
    <n v="551"/>
    <s v="SJ 100% BCI Combed Compact Cotton 120gsm CW62”"/>
    <s v="PRALINE 22001"/>
    <n v="-32"/>
    <n v="96"/>
    <m/>
    <n v="-96"/>
    <m/>
    <n v="-96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s v=""/>
    <s v=""/>
    <s v=""/>
    <s v=""/>
    <n v="96"/>
    <s v=""/>
    <n v="0"/>
    <n v="0"/>
    <s v=""/>
  </r>
  <r>
    <s v="M &amp; S - T61 (KPK)"/>
    <s v="SQBIR.MS.01167.FY25-26.11"/>
    <m/>
    <m/>
    <m/>
    <m/>
    <s v=""/>
    <n v="552"/>
    <s v="SJ 100% BCI Combed Compact Cotton 120gsm CW62”"/>
    <s v="Black 10005"/>
    <s v=""/>
    <n v="262.5"/>
    <n v="262.5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727.38"/>
    <n v="-58.38"/>
    <s v=""/>
    <n v="1128.7"/>
    <s v=""/>
    <s v=""/>
    <s v=""/>
    <s v=""/>
    <n v="2727.38"/>
    <n v="1.022"/>
    <s v=""/>
  </r>
  <r>
    <s v="M &amp; S - T61 (KPK)"/>
    <s v="SQBIR.MS.01159.FY25-26.8"/>
    <m/>
    <m/>
    <m/>
    <m/>
    <s v=""/>
    <n v="553"/>
    <s v="SJ 100% BCI Combed Compact Cotton 120gsm CW62”"/>
    <s v="Black 10005"/>
    <s v=""/>
    <n v="157"/>
    <n v="157"/>
    <n v="0"/>
    <m/>
    <n v="0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20"/>
    <s v="441109120Black 10005"/>
    <n v="2727.38"/>
    <n v="-58.38"/>
    <n v="1128.7"/>
    <n v="1128.7"/>
    <s v=""/>
    <s v=""/>
    <n v="0"/>
    <s v=""/>
    <n v="2727.38"/>
    <n v="1.022"/>
    <n v="1598.68"/>
  </r>
  <r>
    <s v="M &amp; S - T61 (KPK)"/>
    <s v="SQBIR.MS.109.FY26-27.6"/>
    <m/>
    <m/>
    <m/>
    <m/>
    <s v=""/>
    <n v="554"/>
    <s v="SJ 95% BCI Cmd Cmpt CTN 5% Inv Ly 140gsm CW63”"/>
    <s v="Bros B0284"/>
    <s v=""/>
    <n v="1.0249999999999999"/>
    <m/>
    <n v="-1.0249999999999999"/>
    <m/>
    <n v="-1.0249999999999999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s v=""/>
    <s v=""/>
    <s v=""/>
    <s v=""/>
    <s v=""/>
    <n v="0"/>
    <n v="0"/>
    <n v="0"/>
  </r>
  <r>
    <s v="M &amp; S - T61 (KPK)"/>
    <s v="SQBIR.MS.106.FY26-27.1"/>
    <m/>
    <m/>
    <m/>
    <m/>
    <s v=""/>
    <n v="555"/>
    <s v="SJ 95% BCI Cmd Cmpt CTN 5% Inv Ly 140gsm CW63”"/>
    <s v="Bros B0284"/>
    <n v="-308"/>
    <n v="924"/>
    <m/>
    <n v="-924"/>
    <m/>
    <n v="-924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s v=""/>
    <s v=""/>
    <n v="924"/>
    <s v=""/>
    <n v="0"/>
    <n v="0"/>
    <n v="0"/>
  </r>
  <r>
    <s v="M &amp; S - T61 (KPK)"/>
    <s v="SQBIR.MS.105.FY26-27.7"/>
    <m/>
    <m/>
    <m/>
    <m/>
    <s v=""/>
    <n v="556"/>
    <s v="SJ 95% BCI Cmd Cmpt CTN 5% Inv Ly 140gsm CW63”"/>
    <s v="Bros B0284"/>
    <s v=""/>
    <n v="1.6539999999999999"/>
    <m/>
    <n v="-1.6539999999999999"/>
    <m/>
    <n v="-1.6539999999999999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n v="2419.0790000000002"/>
    <s v=""/>
    <s v=""/>
    <s v=""/>
    <s v=""/>
    <n v="0"/>
    <n v="0"/>
    <n v="0"/>
  </r>
  <r>
    <s v="M &amp; S - T61 (KPK)"/>
    <s v="SQBIR.MS.105.FY26-27.1"/>
    <m/>
    <m/>
    <m/>
    <m/>
    <s v=""/>
    <n v="557"/>
    <s v="SJ 95% BCI Cmd Cmpt CTN 5% Inv Ly 140gsm CW63”"/>
    <s v="PRALINE 22001"/>
    <s v=""/>
    <n v="104.521"/>
    <m/>
    <n v="-104.521"/>
    <m/>
    <n v="-104.521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n v="0"/>
    <n v="2418.4790000000003"/>
    <s v=""/>
    <s v=""/>
    <s v=""/>
    <s v=""/>
    <n v="0"/>
    <n v="0"/>
    <n v="0"/>
  </r>
  <r>
    <s v="M &amp; S - T61 (KPK)"/>
    <s v="SQBIR.MS.105.FY26-27.1"/>
    <m/>
    <m/>
    <m/>
    <m/>
    <s v=""/>
    <n v="557"/>
    <s v="SJ 95% BCI Cmd Cmpt CTN 5% Inv Ly 140gsm CW63”"/>
    <s v="PRALINE 22001"/>
    <n v="-106.15966666666667"/>
    <n v="318.47899999999998"/>
    <m/>
    <n v="-318.47899999999998"/>
    <m/>
    <n v="-318.47899999999998"/>
    <s v="463564"/>
    <s v="Solid"/>
    <x v="15"/>
    <d v="2026-10-28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40"/>
    <s v="463564140Praline 22001"/>
    <n v="0"/>
    <s v="#NA"/>
    <s v=""/>
    <s v=""/>
    <s v=""/>
    <s v=""/>
    <n v="318.47899999999998"/>
    <s v=""/>
    <n v="0"/>
    <n v="0"/>
    <s v=""/>
  </r>
  <r>
    <s v="M &amp; S - T61 (KPK)"/>
    <s v="SQBIR.MS.01167.FY25-26.11"/>
    <m/>
    <m/>
    <m/>
    <m/>
    <s v=""/>
    <n v="560"/>
    <s v="SJ 95% BCI Cmd Cmpt CTN 5% Inv Ly 140gsm CW63”"/>
    <s v="Black 10005"/>
    <n v="-221.14000000000001"/>
    <n v="2137.5"/>
    <n v="1474.08"/>
    <n v="-663.42000000000007"/>
    <m/>
    <n v="-663.42000000000007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2954.89"/>
    <n v="1674.11"/>
    <n v="8260.17"/>
    <n v="9934.2800000000007"/>
    <s v=""/>
    <s v=""/>
    <n v="663.42000000000007"/>
    <s v=""/>
    <n v="22954.89"/>
    <n v="0.93200000000000005"/>
    <n v="14694.72"/>
  </r>
  <r>
    <s v="M &amp; S - T71"/>
    <s v="SQBIR.MS.285.FY26-27.1"/>
    <m/>
    <m/>
    <m/>
    <m/>
    <s v=""/>
    <n v="586"/>
    <s v=" 95% COTTON 5% ELASTANE JERSEY GSM-160 CW-165 CM/65 INCH "/>
    <s v="WHITE 10001"/>
    <s v=""/>
    <n v="982.52"/>
    <m/>
    <n v="-982.52"/>
    <m/>
    <n v="-982.52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60"/>
    <s v="465758160White 10001"/>
    <n v="0"/>
    <s v="#NA"/>
    <s v=""/>
    <s v=""/>
    <s v=""/>
    <s v=""/>
    <s v=""/>
    <s v=""/>
    <n v="0"/>
    <n v="0"/>
    <s v=""/>
  </r>
  <r>
    <s v="M &amp; S - T71"/>
    <s v="SQBIR.MS.285.FY26-27.1"/>
    <m/>
    <m/>
    <m/>
    <m/>
    <s v=""/>
    <n v="587"/>
    <s v="100% BCI COTTON 150 GSM CW 69 IN"/>
    <s v="White"/>
    <s v=""/>
    <n v="116.116"/>
    <m/>
    <n v="-116.116"/>
    <m/>
    <n v="-116.116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n v="0"/>
    <n v="226.499"/>
    <s v=""/>
    <s v=""/>
    <s v=""/>
    <s v=""/>
    <n v="0"/>
    <n v="0"/>
    <n v="0"/>
  </r>
  <r>
    <s v="M &amp; S - T71"/>
    <s v="SQBIR.MS.285.FY26-27.2"/>
    <m/>
    <m/>
    <m/>
    <m/>
    <s v=""/>
    <n v="588"/>
    <s v="100% BCI COTTON 150 GSM CW 69 IN"/>
    <s v="White"/>
    <s v=""/>
    <n v="109.291"/>
    <m/>
    <n v="-109.291"/>
    <m/>
    <n v="-109.291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s v=""/>
    <s v=""/>
    <s v=""/>
    <s v=""/>
    <s v=""/>
    <s v=""/>
    <n v="0"/>
    <n v="0"/>
    <s v=""/>
  </r>
  <r>
    <s v="M &amp; S - T33"/>
    <s v="SQBIR.MS.01259.FY25-26.1"/>
    <m/>
    <m/>
    <m/>
    <m/>
    <s v=""/>
    <n v="592"/>
    <s v="94% Cotton 6% Spandex 190 GSM Molding CW 61 S/J"/>
    <s v="Vanilla"/>
    <s v="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Vanilla 47956"/>
    <n v="190"/>
    <s v="451241-SP27 3276-Cup190Vanilla 47956"/>
    <n v="1453"/>
    <n v="398.59"/>
    <n v="695.17399999999998"/>
    <n v="1093.7640000000001"/>
    <s v=""/>
    <s v=""/>
    <s v=""/>
    <s v=""/>
    <n v="1453"/>
    <n v="0.78500000000000003"/>
    <n v="757.82600000000002"/>
  </r>
  <r>
    <s v="M &amp; S - T33"/>
    <s v="SQBIR.MS.01259.FY25-26.2"/>
    <m/>
    <m/>
    <m/>
    <m/>
    <s v=""/>
    <n v="593"/>
    <s v="94% Cotton 6% Spandex 190 GSM Molding CW 61 S/J"/>
    <s v="Vanilla"/>
    <s v=""/>
    <n v="977.76400000000001"/>
    <n v="579.17399999999998"/>
    <n v="-398.59000000000003"/>
    <m/>
    <n v="-398.59000000000003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Vanilla 47956"/>
    <n v="190"/>
    <s v="451241-SP27 3276-Cup190Vanilla 47956"/>
    <n v="1453"/>
    <n v="398.59"/>
    <s v=""/>
    <s v=""/>
    <s v=""/>
    <s v=""/>
    <s v=""/>
    <s v=""/>
    <n v="1453"/>
    <n v="0.78500000000000003"/>
    <s v=""/>
  </r>
  <r>
    <s v="M &amp; S - T61 (SHK)"/>
    <s v="SQBIR.MS.025.FY26-27.3"/>
    <m/>
    <m/>
    <m/>
    <m/>
    <s v=""/>
    <n v="594"/>
    <s v="SJ BCI 100% CTN NORMAL FINISH 120GSM CUT WIDTH 62"/>
    <s v="MOSS GREEN"/>
    <n v="0"/>
    <n v="2.5870000000000002"/>
    <n v="2.5870000000000002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n v="30"/>
    <n v="30"/>
    <s v=""/>
    <s v=""/>
    <n v="0"/>
    <s v=""/>
    <n v="39.049999999999997"/>
    <n v="1.302"/>
    <n v="9.0499999999999972"/>
  </r>
  <r>
    <s v="M&amp;S T14"/>
    <s v="SQBIR.MS.031.FY26-27.5"/>
    <m/>
    <m/>
    <m/>
    <m/>
    <n v="18.260000000000002"/>
    <n v="610"/>
    <s v=" 95% BCI COTTON 5% LYCRA JERSEY GSM-150 CW-160 CM/63 INCH "/>
    <s v="BERRY RED 22506"/>
    <n v="0"/>
    <n v="23.6"/>
    <n v="23.6"/>
    <n v="0"/>
    <m/>
    <n v="0"/>
    <s v="451237"/>
    <s v="Solid"/>
    <x v="54"/>
    <d v="2026-10-10T00:00:00"/>
    <d v="2026-10-10T00:00:00"/>
    <s v="Revised Plan given as per revised date"/>
    <m/>
    <s v="Oct"/>
    <d v="2026-10-01T00:00:00"/>
    <m/>
    <m/>
    <m/>
    <m/>
    <m/>
    <m/>
    <m/>
    <m/>
    <m/>
    <m/>
    <s v="451237-Lycra"/>
    <s v="Berry Red 22506"/>
    <n v="150"/>
    <s v="451237-Lycra150Berry Red 22506"/>
    <n v="2052.94"/>
    <n v="-18.260000000000002"/>
    <n v="23.6"/>
    <s v=""/>
    <s v=""/>
    <s v=""/>
    <n v="0"/>
    <n v="18.260000000000002"/>
    <n v="2052.94"/>
    <n v="1.0089999999999999"/>
    <n v="2029.3400000000001"/>
  </r>
  <r>
    <s v="M &amp; S - T61 (KPK)"/>
    <s v="SQBIR.MS.01153.FY25-26.13"/>
    <m/>
    <m/>
    <m/>
    <m/>
    <s v=""/>
    <n v="614"/>
    <s v="SJ 100% BCI Combed Compact Cotton 120gsm CW62”"/>
    <s v="Black"/>
    <s v=""/>
    <n v="112"/>
    <n v="112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20"/>
    <s v="440958120Black 10005"/>
    <n v="2885.2"/>
    <n v="-56.7"/>
    <n v="1352.2940000000001"/>
    <n v="1352.2940000000001"/>
    <s v=""/>
    <s v=""/>
    <s v=""/>
    <s v=""/>
    <n v="2885.2"/>
    <n v="1.02"/>
    <n v="1532.9059999999997"/>
  </r>
  <r>
    <s v="M &amp; S - T61 (KPK)"/>
    <s v="SQBIR.MS.01235.FY25-26.8"/>
    <m/>
    <m/>
    <m/>
    <m/>
    <s v=""/>
    <n v="615"/>
    <s v="SJ 95% BCI Cmd Cmpt CTN 5% Inv Ly 140gsm CW63”"/>
    <s v="Black"/>
    <n v="0"/>
    <n v="1090"/>
    <n v="1090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s v=""/>
    <s v=""/>
    <n v="0"/>
    <s v=""/>
    <n v="34340.26"/>
    <n v="1.0940000000000001"/>
    <n v="10665.800000000003"/>
  </r>
  <r>
    <s v="M &amp; S - T61 (KPK)"/>
    <s v="SQBIR.MS.01235.FY25-26.9"/>
    <m/>
    <m/>
    <m/>
    <m/>
    <s v=""/>
    <n v="616"/>
    <s v="SJ 95% BCI Cmd Cmpt CTN 5% Inv Ly 140gsm CW63”"/>
    <s v="Black"/>
    <s v=""/>
    <n v="1090"/>
    <n v="109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s v=""/>
    <s v=""/>
    <s v=""/>
    <s v=""/>
    <s v=""/>
    <s v=""/>
    <n v="34340.26"/>
    <n v="1.0940000000000001"/>
    <s v=""/>
  </r>
  <r>
    <s v="M &amp; S - T61 (KPK)"/>
    <s v="SQBIR.MS.126.FY26-27.1"/>
    <m/>
    <m/>
    <m/>
    <m/>
    <s v=""/>
    <n v="617"/>
    <s v="SJ 100% BCI Combed Compact Cotton 120gsm CW62”"/>
    <s v="MOONDAST"/>
    <s v=""/>
    <n v="20.626000000000001"/>
    <m/>
    <n v="-20.626000000000001"/>
    <m/>
    <n v="-20.626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20"/>
    <s v="46356412033396 Moondust"/>
    <n v="0"/>
    <s v="#NA"/>
    <n v="0"/>
    <n v="52.801000000000002"/>
    <s v=""/>
    <s v=""/>
    <s v=""/>
    <s v=""/>
    <n v="0"/>
    <n v="0"/>
    <n v="0"/>
  </r>
  <r>
    <s v="M &amp; S - T61 (KPK)"/>
    <s v="SQBIR.MS.105.FY26-27.1"/>
    <m/>
    <m/>
    <m/>
    <m/>
    <s v=""/>
    <n v="618"/>
    <s v="SJ 100% BCI Combed Compact Cotton 120gsm CW62”"/>
    <s v="Light cream 81001 Aop"/>
    <s v=""/>
    <n v="36.845999999999997"/>
    <m/>
    <n v="-36.845999999999997"/>
    <m/>
    <n v="-36.845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s v=""/>
    <s v=""/>
    <s v=""/>
    <s v=""/>
    <s v=""/>
    <s v=""/>
    <n v="0"/>
    <n v="0"/>
    <s v=""/>
  </r>
  <r>
    <s v="M &amp; S - T61 (KPK)"/>
    <s v="SQBIR.MS.107.FY26-27.1"/>
    <m/>
    <m/>
    <m/>
    <m/>
    <s v=""/>
    <n v="619"/>
    <s v="SJ 100% BCI Combed Compact Cotton 120gsm CW62”"/>
    <s v="Light cream 81001 Aop"/>
    <s v="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n v="0"/>
    <n v="281.99599999999998"/>
    <s v=""/>
    <s v=""/>
    <s v=""/>
    <s v=""/>
    <n v="0"/>
    <n v="0"/>
    <n v="0"/>
  </r>
  <r>
    <s v="M &amp; S - T33"/>
    <s v="SQBIR.MS.01304.FY25-26.6"/>
    <m/>
    <m/>
    <m/>
    <m/>
    <n v="39.270000000000003"/>
    <n v="624"/>
    <s v="94% Cotton 6% Spandex 190 GSM Molding CW 61 S/J"/>
    <s v="OPALINE"/>
    <n v="0"/>
    <n v="64.2"/>
    <n v="64.2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OPALINE 32548"/>
    <n v="190"/>
    <s v="451547-SP27 7250190OPALINE 32548"/>
    <n v="2152.92"/>
    <n v="-39.270000000000003"/>
    <n v="64.2"/>
    <s v=""/>
    <s v=""/>
    <s v=""/>
    <n v="0"/>
    <n v="39.270000000000003"/>
    <n v="2152.92"/>
    <n v="1.0189999999999999"/>
    <n v="2088.7200000000003"/>
  </r>
  <r>
    <s v="M &amp; S - T61 (KPK)"/>
    <s v="SQBIR.MS.143.FY26-27.1"/>
    <m/>
    <m/>
    <m/>
    <m/>
    <s v=""/>
    <n v="627"/>
    <s v="SJ 100% BCI Combed Compact Cotton 120gsm CW62”"/>
    <s v="MOONDAST"/>
    <n v="-10.725"/>
    <n v="32.174999999999997"/>
    <m/>
    <n v="-32.174999999999997"/>
    <m/>
    <n v="-32.174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33396 Moondust"/>
    <n v="120"/>
    <s v="46356412033396 Moondust"/>
    <n v="0"/>
    <s v="#NA"/>
    <n v="0"/>
    <n v="52.801000000000002"/>
    <s v=""/>
    <s v=""/>
    <n v="32.174999999999997"/>
    <s v=""/>
    <n v="0"/>
    <n v="0"/>
    <n v="0"/>
  </r>
  <r>
    <s v="M &amp; S - T33"/>
    <s v="SQBIR.MS.01300.FY25-26.9"/>
    <m/>
    <m/>
    <m/>
    <m/>
    <s v=""/>
    <n v="628"/>
    <s v="100% BCI Cotton 140gsm CW68”"/>
    <s v="Black"/>
    <s v=""/>
    <n v="3.87"/>
    <n v="3.8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140"/>
    <s v="451603-SP27 0713-Cookie Cup140Black 10005"/>
    <n v="462"/>
    <n v="-8.7799999999999994"/>
    <s v=""/>
    <s v=""/>
    <s v=""/>
    <s v=""/>
    <s v=""/>
    <s v=""/>
    <n v="462"/>
    <n v="1.0189999999999999"/>
    <s v=""/>
  </r>
  <r>
    <s v="M &amp; S - T32"/>
    <s v="SQBIR.MS.01336.FY25-26.1"/>
    <m/>
    <m/>
    <m/>
    <m/>
    <s v=""/>
    <n v="629"/>
    <s v="SJ BCI 100% CTN NORMAL FINISH 120GSM CUT WIDTH 62"/>
    <s v="ROSE QUARTZ 23830"/>
    <s v=""/>
    <n v="48"/>
    <n v="48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Rose Quartz 23830"/>
    <n v="120"/>
    <s v="449668120Rose Quartz 23830"/>
    <n v="103.54"/>
    <n v="-6.1"/>
    <s v=""/>
    <s v=""/>
    <s v=""/>
    <s v=""/>
    <s v=""/>
    <s v=""/>
    <n v="103.54"/>
    <n v="1.0629999999999999"/>
    <s v=""/>
  </r>
  <r>
    <s v="M&amp;S T14"/>
    <s v="SQBIR.MS.032.FY26-27.5"/>
    <m/>
    <m/>
    <m/>
    <m/>
    <s v=""/>
    <n v="630"/>
    <s v=" 95% BCI COTTON 5% ELASTANE JERSEY GSM-150 CW-160 CM/63 INCH "/>
    <s v="Black"/>
    <s v=""/>
    <n v="86.644999999999996"/>
    <n v="86.644999999999996"/>
    <n v="0"/>
    <m/>
    <n v="0"/>
    <s v="450945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0945-Creora"/>
    <s v="Black 10005"/>
    <n v="150"/>
    <s v="450945-Creora150Black 10005"/>
    <n v="2512"/>
    <n v="-68.88"/>
    <n v="86.644999999999996"/>
    <n v="86.644999999999996"/>
    <s v=""/>
    <s v=""/>
    <s v=""/>
    <s v=""/>
    <n v="2512"/>
    <n v="1.028"/>
    <n v="2425.355"/>
  </r>
  <r>
    <s v="M &amp; S - T61 (KPK)"/>
    <s v="SQBIR.MS.139.FY26-27.1"/>
    <m/>
    <m/>
    <m/>
    <m/>
    <s v=""/>
    <n v="640"/>
    <s v="SJ 95% BCI Cmd Cmpt CTN 5% Inv Ly 140gsm CW63”"/>
    <s v="White"/>
    <s v=""/>
    <n v="1102.5"/>
    <n v="1102.5"/>
    <n v="0"/>
    <m/>
    <n v="0"/>
    <s v="459386"/>
    <s v="Solid"/>
    <x v="54"/>
    <d v="2026-10-10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s v=""/>
    <n v="8967.5"/>
    <s v=""/>
    <s v=""/>
    <s v=""/>
    <s v=""/>
    <n v="6723.76"/>
    <n v="0.749"/>
    <s v=""/>
  </r>
  <r>
    <s v="M &amp; S - T61 (KPK)"/>
    <s v="SQBIR.MS.139.FY26-27.1"/>
    <m/>
    <m/>
    <m/>
    <m/>
    <s v=""/>
    <n v="640"/>
    <s v="SJ 95% BCI Cmd Cmpt CTN 5% Inv Ly 140gsm CW63”"/>
    <s v="White"/>
    <s v=""/>
    <n v="1350"/>
    <n v="1350"/>
    <n v="0"/>
    <m/>
    <n v="0"/>
    <s v="459386"/>
    <s v="Solid"/>
    <x v="53"/>
    <d v="2026-10-12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s v=""/>
    <n v="8967.5"/>
    <s v=""/>
    <s v=""/>
    <s v=""/>
    <s v=""/>
    <n v="6723.76"/>
    <n v="0.749"/>
    <s v=""/>
  </r>
  <r>
    <s v="M &amp; S - T61 (KPK)"/>
    <s v="SQBIR.MS.01202.FY25-26.8"/>
    <m/>
    <m/>
    <m/>
    <m/>
    <s v=""/>
    <n v="642"/>
    <s v="SJ 95% BCI Cmd Cmpt CTN 5% Inv Ly 140gsm CW63”"/>
    <s v="Bluebell"/>
    <n v="0"/>
    <n v="116.77"/>
    <n v="116.77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ue Bell 23981"/>
    <n v="140"/>
    <s v="441099140Blue Bell 23981"/>
    <n v="2401.25"/>
    <n v="-27.25"/>
    <s v=""/>
    <s v=""/>
    <s v=""/>
    <s v=""/>
    <n v="0"/>
    <s v=""/>
    <n v="2401.25"/>
    <n v="1.0109999999999999"/>
    <s v=""/>
  </r>
  <r>
    <s v="M &amp; S - T33"/>
    <s v="SQBIR.MS.01258.FY25-26.6"/>
    <m/>
    <m/>
    <m/>
    <m/>
    <s v=""/>
    <n v="646"/>
    <s v="94% Cotton 6% Spandex 190 GSM Molding CW 61 S/J"/>
    <s v="Soft Turquoise"/>
    <s v=""/>
    <n v="116"/>
    <n v="116"/>
    <n v="0"/>
    <m/>
    <n v="0"/>
    <s v="451147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147-SP27 3276"/>
    <s v="Soft Turquoise 21030"/>
    <n v="190"/>
    <s v="451147-SP27 3276190Soft Turquoise 21030"/>
    <n v="2833.49"/>
    <n v="-1101.5"/>
    <s v=""/>
    <s v=""/>
    <s v=""/>
    <s v=""/>
    <s v=""/>
    <s v=""/>
    <n v="2833.49"/>
    <n v="1.6359999999999999"/>
    <s v=""/>
  </r>
  <r>
    <s v="M &amp; S - T33"/>
    <s v="SQBIR.MS.01258.FY25-26.7"/>
    <m/>
    <m/>
    <m/>
    <m/>
    <s v=""/>
    <n v="647"/>
    <s v="94% Cotton 6% Spandex 190 GSM Molding CW 61 S/J"/>
    <s v="Soft Turquoise"/>
    <s v=""/>
    <n v="116"/>
    <n v="116"/>
    <n v="0"/>
    <m/>
    <n v="0"/>
    <s v="451147"/>
    <s v="Solid"/>
    <x v="2"/>
    <d v="2026-10-11T00:00:00"/>
    <d v="2026-10-04T00:00:00"/>
    <s v="Hues Agreed qty as per SQBL required date"/>
    <m/>
    <s v="Oct"/>
    <d v="2026-10-11T00:00:00"/>
    <m/>
    <m/>
    <m/>
    <m/>
    <m/>
    <m/>
    <m/>
    <m/>
    <m/>
    <m/>
    <s v="451147-SP27 3276"/>
    <s v="Soft Turquoise 21030"/>
    <n v="190"/>
    <s v="451147-SP27 3276190Soft Turquoise 21030"/>
    <n v="2833.49"/>
    <n v="-1101.5"/>
    <n v="348"/>
    <n v="348"/>
    <s v=""/>
    <s v=""/>
    <n v="0"/>
    <s v=""/>
    <n v="2833.49"/>
    <n v="1.6359999999999999"/>
    <n v="2485.4899999999998"/>
  </r>
  <r>
    <s v="M &amp; S - T33"/>
    <s v="SQBIR.MS.01258.FY25-26.8"/>
    <m/>
    <m/>
    <m/>
    <m/>
    <s v=""/>
    <n v="648"/>
    <s v="94% Cotton 6% Spandex 190 GSM Molding CW 61 S/J"/>
    <s v="Soft Turquoise"/>
    <n v="0"/>
    <n v="116"/>
    <n v="116"/>
    <n v="0"/>
    <m/>
    <n v="0"/>
    <s v="451147"/>
    <s v="Solid"/>
    <x v="28"/>
    <d v="2026-10-18T00:00:00"/>
    <d v="2026-10-04T00:00:00"/>
    <s v="Hues Agreed qty as per SQBL required date"/>
    <m/>
    <s v="Oct"/>
    <d v="2026-10-18T00:00:00"/>
    <m/>
    <m/>
    <m/>
    <m/>
    <m/>
    <m/>
    <m/>
    <m/>
    <m/>
    <m/>
    <s v="451147-SP27 3276"/>
    <s v="Soft Turquoise 21030"/>
    <n v="190"/>
    <s v="451147-SP27 3276190Soft Turquoise 21030"/>
    <n v="2833.49"/>
    <n v="-1101.5"/>
    <n v="348"/>
    <s v=""/>
    <s v=""/>
    <s v=""/>
    <s v=""/>
    <s v=""/>
    <n v="2833.49"/>
    <n v="1.6359999999999999"/>
    <n v="2485.4899999999998"/>
  </r>
  <r>
    <s v="M &amp; S - T61 (SHK)"/>
    <s v="SQBIR.MS.080.FY26-27.2"/>
    <m/>
    <m/>
    <m/>
    <m/>
    <s v=""/>
    <n v="649"/>
    <s v="SJ BCI 100% CTN NORMAL FINISH 120GSM CUT WIDTH 62"/>
    <s v="Black 10005"/>
    <s v=""/>
    <n v="91.620999999999995"/>
    <n v="91.620999999999995"/>
    <n v="0"/>
    <m/>
    <n v="0"/>
    <s v="45833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330"/>
    <s v="Black 10005"/>
    <n v="120"/>
    <s v="458330120Black 10005"/>
    <n v="1079"/>
    <n v="-21"/>
    <s v=""/>
    <s v=""/>
    <s v=""/>
    <s v=""/>
    <s v=""/>
    <s v=""/>
    <n v="1079"/>
    <n v="1.02"/>
    <s v=""/>
  </r>
  <r>
    <s v="M &amp; S - T61 (SHK)"/>
    <s v="SQBIR.MS.01269.FY25-26.8"/>
    <m/>
    <m/>
    <m/>
    <m/>
    <s v=""/>
    <n v="650"/>
    <s v="SQH020077-02 SJ 87% Cotton 13% Spx 245gsm MMF 68”"/>
    <s v="Black"/>
    <s v=""/>
    <n v="107.29900000000001"/>
    <n v="107.29900000000001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Black 10005 MMF"/>
    <n v="245"/>
    <s v="441046245Black 10005 MMF"/>
    <n v="9549"/>
    <n v="-179"/>
    <s v=""/>
    <n v="395.49"/>
    <s v=""/>
    <s v=""/>
    <s v=""/>
    <s v=""/>
    <n v="9549"/>
    <n v="1.0189999999999999"/>
    <s v=""/>
  </r>
  <r>
    <s v="M &amp; S - T61 (SHK)"/>
    <s v="SQBIR.MS.01272.FY25-26.1"/>
    <m/>
    <m/>
    <m/>
    <m/>
    <s v=""/>
    <n v="651"/>
    <s v="SQH020077-02 SJ 87% Cotton 13% Spx 245gsm MMF 68”"/>
    <s v="ROSE QUARTS 23830"/>
    <s v=""/>
    <n v="176.55"/>
    <n v="176.55"/>
    <n v="0"/>
    <m/>
    <n v="0"/>
    <s v="441046"/>
    <s v="Solid"/>
    <x v="34"/>
    <d v="2026-10-13T00:00:00"/>
    <d v="2026-10-13T00:00:00"/>
    <s v="Hues Agreed qty as per SQBL required date"/>
    <m/>
    <s v="Oct"/>
    <d v="2026-10-13T00:00:00"/>
    <m/>
    <m/>
    <m/>
    <m/>
    <m/>
    <m/>
    <m/>
    <m/>
    <m/>
    <m/>
    <s v="441046"/>
    <s v="ROSE QUARTS 23830-MMF"/>
    <n v="245"/>
    <s v="441046245ROSE QUARTS 23830-MMF"/>
    <n v="5339"/>
    <n v="-88"/>
    <s v=""/>
    <s v=""/>
    <s v=""/>
    <s v=""/>
    <s v=""/>
    <s v=""/>
    <n v="5339"/>
    <n v="1.0169999999999999"/>
    <s v=""/>
  </r>
  <r>
    <s v="M &amp; S - T61 (KPK)"/>
    <s v="SQBIR.MS.01231.FY25-26.2"/>
    <m/>
    <m/>
    <m/>
    <m/>
    <s v=""/>
    <n v="652"/>
    <s v="SJ 95% BCI Cmd Cmpt CTN 5% Inv Ly 140gsm CW63”"/>
    <s v="White"/>
    <s v=""/>
    <n v="1342.999"/>
    <n v="1342.999"/>
    <n v="0"/>
    <m/>
    <n v="0"/>
    <s v="440936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36"/>
    <s v="White 10001"/>
    <n v="140"/>
    <s v="440936140White 10001"/>
    <n v="21660"/>
    <n v="-344.61"/>
    <s v=""/>
    <s v=""/>
    <s v=""/>
    <s v=""/>
    <s v=""/>
    <s v=""/>
    <n v="21660"/>
    <n v="1.016"/>
    <s v=""/>
  </r>
  <r>
    <s v="M &amp; S - T61 (KPK)"/>
    <s v="SQBIR.MS.107.FY26-27.1"/>
    <m/>
    <m/>
    <m/>
    <m/>
    <s v=""/>
    <n v="653"/>
    <s v="SJ 95% BCI Cmd Cmpt CTN 5% Inv Ly 140gsm CW63”"/>
    <s v="Black 10005"/>
    <s v=""/>
    <n v="10.34"/>
    <m/>
    <n v="-10.34"/>
    <m/>
    <n v="-10.34"/>
    <s v="463564"/>
    <s v="Solid"/>
    <x v="14"/>
    <d v="2026-10-27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s v=""/>
    <s v=""/>
    <s v=""/>
    <s v=""/>
    <s v=""/>
    <n v="0"/>
    <n v="0"/>
    <n v="0"/>
  </r>
  <r>
    <s v="M &amp; S - T61 (KPK)"/>
    <s v="SQBIR.MS.107.FY26-27.1"/>
    <m/>
    <m/>
    <m/>
    <m/>
    <s v=""/>
    <n v="653"/>
    <s v="SJ 95% BCI Cmd Cmpt CTN 5% Inv Ly 140gsm CW63”"/>
    <s v="Black 10005"/>
    <n v="-47.553333333333335"/>
    <n v="142.66"/>
    <m/>
    <n v="-142.66"/>
    <m/>
    <n v="-142.66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s v=""/>
    <s v=""/>
    <n v="142.66"/>
    <s v=""/>
    <n v="0"/>
    <n v="0"/>
    <n v="0"/>
  </r>
  <r>
    <s v="M &amp; S - T61 (KPK)"/>
    <s v="SQBIR.MS.01253.FY25-26.7"/>
    <m/>
    <m/>
    <m/>
    <m/>
    <s v=""/>
    <n v="654"/>
    <s v="SJ 95% BCI Cmd Cmpt CTN 5% Inv Ly 140gsm CW63”"/>
    <s v="Black 10005"/>
    <s v=""/>
    <n v="43.81"/>
    <n v="43.81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Black 10005"/>
    <n v="140"/>
    <s v="446001140Black 10005"/>
    <n v="1324"/>
    <n v="-25"/>
    <s v=""/>
    <s v=""/>
    <s v=""/>
    <s v=""/>
    <s v=""/>
    <s v=""/>
    <n v="1324"/>
    <n v="1.0189999999999999"/>
    <s v=""/>
  </r>
  <r>
    <s v="M &amp; S - T61 (KPK)"/>
    <s v="SQBIR.MS.01253.FY25-26.7"/>
    <m/>
    <m/>
    <m/>
    <m/>
    <s v=""/>
    <n v="655"/>
    <s v="SJ 95% BCI Cmd Cmpt CTN 5% Inv Ly 140gsm CW63”"/>
    <s v="Bros B0284"/>
    <s v=""/>
    <n v="54.22"/>
    <n v="54.22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Bros B0284"/>
    <n v="140"/>
    <s v="446001140Bros B0284"/>
    <n v="1325.11"/>
    <n v="-26.11"/>
    <s v=""/>
    <s v=""/>
    <s v=""/>
    <s v=""/>
    <s v=""/>
    <s v=""/>
    <n v="1325.11"/>
    <n v="1.02"/>
    <s v=""/>
  </r>
  <r>
    <s v="M &amp; S - T61 (KPK)"/>
    <s v="SQBIR.MS.01253.FY25-26.7"/>
    <m/>
    <m/>
    <m/>
    <m/>
    <n v="25"/>
    <n v="656"/>
    <s v="SJ 95% BCI Cmd Cmpt CTN 5% Inv Ly 140gsm CW63”"/>
    <s v="PRALINE 22001"/>
    <s v=""/>
    <n v="115.53"/>
    <n v="115.53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Praline 22001"/>
    <n v="140"/>
    <s v="446001140Praline 22001"/>
    <n v="1324"/>
    <n v="-25"/>
    <n v="115.53"/>
    <n v="115.53"/>
    <s v=""/>
    <s v=""/>
    <n v="0"/>
    <n v="25"/>
    <n v="1324"/>
    <n v="1.0189999999999999"/>
    <n v="1208.47"/>
  </r>
  <r>
    <s v="M &amp; S - T61 (KPK)"/>
    <s v="SQBIR.MS.01233.FY25-26.13"/>
    <m/>
    <m/>
    <m/>
    <m/>
    <s v=""/>
    <n v="657"/>
    <s v="SJ 100% BCI Combed Compact Cotton 120gsm CW62”"/>
    <s v="White"/>
    <s v=""/>
    <n v="15.1"/>
    <n v="15.1"/>
    <n v="0"/>
    <m/>
    <n v="0"/>
    <s v="440958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0958"/>
    <s v="White 10001"/>
    <n v="120"/>
    <s v="440958120White 10001"/>
    <n v="1936.68"/>
    <n v="-9.18"/>
    <n v="1110.0999999999999"/>
    <s v=""/>
    <s v=""/>
    <s v=""/>
    <s v=""/>
    <s v=""/>
    <n v="1936.68"/>
    <n v="1.0049999999999999"/>
    <n v="826.58000000000015"/>
  </r>
  <r>
    <s v="M &amp; S - T61 (KPK)"/>
    <s v="SQBIR.MS.01233.FY25-26.14"/>
    <m/>
    <m/>
    <m/>
    <m/>
    <s v=""/>
    <n v="658"/>
    <s v="SJ 100% BCI Combed Compact Cotton 120gsm CW62”"/>
    <s v="White"/>
    <s v=""/>
    <n v="110"/>
    <n v="110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White 10001"/>
    <n v="120"/>
    <s v="440958120White 10001"/>
    <n v="1936.68"/>
    <n v="-9.18"/>
    <n v="1110.0999999999999"/>
    <s v=""/>
    <s v=""/>
    <s v=""/>
    <s v=""/>
    <s v=""/>
    <n v="1936.68"/>
    <n v="1.0049999999999999"/>
    <n v="826.58000000000015"/>
  </r>
  <r>
    <s v="M &amp; S - T61 (KPK)"/>
    <s v="SQBIR.MS.01233.FY25-26.15"/>
    <m/>
    <m/>
    <m/>
    <m/>
    <s v=""/>
    <n v="659"/>
    <s v="SJ 100% BCI Combed Compact Cotton 120gsm CW62”"/>
    <s v="White"/>
    <s v=""/>
    <n v="110"/>
    <n v="110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White 10001"/>
    <n v="120"/>
    <s v="440958120White 10001"/>
    <n v="1936.68"/>
    <n v="-9.18"/>
    <s v=""/>
    <n v="1110.0999999999999"/>
    <s v=""/>
    <s v=""/>
    <s v=""/>
    <s v=""/>
    <n v="1936.68"/>
    <n v="1.0049999999999999"/>
    <s v=""/>
  </r>
  <r>
    <s v="M &amp; S - T61 (KPK)"/>
    <s v="SQBIR.MS.01233.FY25-26.16"/>
    <m/>
    <m/>
    <m/>
    <m/>
    <s v=""/>
    <n v="660"/>
    <s v="SJ 100% BCI Combed Compact Cotton 120gsm CW62”"/>
    <s v="White"/>
    <s v=""/>
    <n v="110"/>
    <n v="110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20"/>
    <s v="440958120White 10001"/>
    <n v="1936.68"/>
    <n v="-9.18"/>
    <s v=""/>
    <n v="1110.0999999999999"/>
    <s v=""/>
    <s v=""/>
    <s v=""/>
    <s v=""/>
    <n v="1936.68"/>
    <n v="1.0049999999999999"/>
    <s v=""/>
  </r>
  <r>
    <s v="M &amp; S - T61 (KPK)"/>
    <s v="SQBIR.MS.01203.FY25-26.7"/>
    <m/>
    <m/>
    <m/>
    <m/>
    <s v=""/>
    <n v="661"/>
    <s v="SJ 100% BCI Combed Compact Cotton 120gsm CW62”"/>
    <s v="White"/>
    <s v=""/>
    <n v="327.5"/>
    <n v="327.5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White 10001"/>
    <n v="120"/>
    <s v="440958120White 10001"/>
    <n v="1936.68"/>
    <n v="-9.18"/>
    <s v=""/>
    <n v="1110.0999999999999"/>
    <s v=""/>
    <s v=""/>
    <s v=""/>
    <s v=""/>
    <n v="1936.68"/>
    <n v="1.0049999999999999"/>
    <s v=""/>
  </r>
  <r>
    <s v="M &amp; S - T61 (KPK)"/>
    <s v="SQBIR.MS.01203.FY25-26.8"/>
    <m/>
    <m/>
    <m/>
    <m/>
    <s v=""/>
    <n v="662"/>
    <s v="SJ 100% BCI Combed Compact Cotton 120gsm CW62”"/>
    <s v="White"/>
    <s v=""/>
    <n v="327.5"/>
    <n v="327.5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White 10001"/>
    <n v="120"/>
    <s v="440958120White 10001"/>
    <n v="1936.68"/>
    <n v="-9.18"/>
    <s v=""/>
    <s v=""/>
    <s v=""/>
    <s v=""/>
    <s v=""/>
    <s v=""/>
    <n v="1936.68"/>
    <n v="1.0049999999999999"/>
    <s v=""/>
  </r>
  <r>
    <s v="M &amp; S - T61 (KPK)"/>
    <s v="SQBIR.MS.01198.FY25-26.9"/>
    <m/>
    <m/>
    <m/>
    <m/>
    <s v=""/>
    <n v="663"/>
    <s v="SJ 100% BCI Combed Compact Cotton 120gsm CW62”"/>
    <s v="Black"/>
    <s v=""/>
    <n v="137.5"/>
    <n v="137.5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20"/>
    <s v="440958120Black 10005"/>
    <n v="2885.2"/>
    <n v="-56.7"/>
    <s v=""/>
    <s v=""/>
    <s v=""/>
    <s v=""/>
    <s v=""/>
    <s v=""/>
    <n v="2885.2"/>
    <n v="1.02"/>
    <s v=""/>
  </r>
  <r>
    <s v="M &amp; S - T61 (KPK)"/>
    <s v="SQBIR.MS.01218.FY25-26.5"/>
    <m/>
    <m/>
    <m/>
    <m/>
    <s v=""/>
    <n v="664"/>
    <s v="SJ 100% BCI Combed Compact Cotton 120gsm CW62”"/>
    <s v="Black"/>
    <s v=""/>
    <n v="275"/>
    <n v="275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20"/>
    <s v="440958120Black 10005"/>
    <n v="2885.2"/>
    <n v="-56.7"/>
    <n v="1352.2940000000001"/>
    <n v="1352.2940000000001"/>
    <s v=""/>
    <s v=""/>
    <n v="0"/>
    <s v=""/>
    <n v="2885.2"/>
    <n v="1.02"/>
    <n v="1532.9059999999997"/>
  </r>
  <r>
    <s v="M &amp; S - T61 (KPK)"/>
    <s v="SQBIR.MS.01218.FY25-26.6"/>
    <m/>
    <m/>
    <m/>
    <m/>
    <s v=""/>
    <n v="665"/>
    <s v="SJ 100% BCI Combed Compact Cotton 120gsm CW62”"/>
    <s v="Black"/>
    <n v="0"/>
    <n v="202.67"/>
    <n v="202.67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20"/>
    <s v="440958120Black 10005"/>
    <n v="2885.2"/>
    <n v="-56.7"/>
    <n v="1352.2940000000001"/>
    <s v=""/>
    <s v=""/>
    <s v=""/>
    <s v=""/>
    <s v=""/>
    <n v="2885.2"/>
    <n v="1.02"/>
    <n v="1532.9059999999997"/>
  </r>
  <r>
    <s v="M &amp; S - T33"/>
    <s v="SQBIR.MS.01300.FY25-26.7"/>
    <m/>
    <m/>
    <m/>
    <m/>
    <s v=""/>
    <n v="666"/>
    <s v="94% Cotton 6% Spandex 180 GSM No Molding CW 63  S/"/>
    <s v="Black"/>
    <s v=""/>
    <n v="72.447999999999993"/>
    <n v="72.447999999999993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-Cookie Cup"/>
    <s v="Black 10005"/>
    <n v="180"/>
    <s v="451603-SP27 0713-Cookie Cup180Black 10005"/>
    <n v="1338.02"/>
    <n v="-17.29"/>
    <s v=""/>
    <s v=""/>
    <s v=""/>
    <s v=""/>
    <s v=""/>
    <s v=""/>
    <n v="1338.02"/>
    <n v="1.0129999999999999"/>
    <s v=""/>
  </r>
  <r>
    <s v="M &amp; S - T33"/>
    <s v="SQBIR.MS.01258.FY25-26.8"/>
    <m/>
    <m/>
    <m/>
    <m/>
    <s v=""/>
    <n v="669"/>
    <s v="94% Cotton 6% Spandex 235 GSM No Molding CW 64  S/"/>
    <s v="Soft Turquoise"/>
    <s v=""/>
    <n v="51.932000000000002"/>
    <n v="51.932000000000002"/>
    <n v="0"/>
    <m/>
    <n v="0"/>
    <s v="451147"/>
    <s v="Solid"/>
    <x v="28"/>
    <d v="2026-10-18T00:00:00"/>
    <d v="2026-10-04T00:00:00"/>
    <s v="Hues Agreed qty as per SQBL required date"/>
    <m/>
    <s v="Oct"/>
    <d v="2026-10-18T00:00:00"/>
    <m/>
    <m/>
    <m/>
    <m/>
    <m/>
    <m/>
    <m/>
    <m/>
    <m/>
    <m/>
    <s v="451147-SP27 3276"/>
    <s v="Soft Turquoise 21030"/>
    <n v="235"/>
    <s v="451147-SP27 3276235Soft Turquoise 21030"/>
    <n v="1108.94"/>
    <n v="-332.53"/>
    <s v=""/>
    <n v="51.932000000000002"/>
    <s v=""/>
    <s v=""/>
    <s v=""/>
    <s v=""/>
    <n v="1108.94"/>
    <n v="1.4279999999999999"/>
    <s v=""/>
  </r>
  <r>
    <s v="M &amp; S - T33"/>
    <s v="SQBIR.MS.01257.FY25-26.4"/>
    <m/>
    <m/>
    <m/>
    <m/>
    <s v=""/>
    <n v="670"/>
    <s v="94% Cotton 6% Spandex 190 GSM Molding CW 61 S/J"/>
    <s v="Soft Turquoise"/>
    <s v=""/>
    <n v="113.25"/>
    <n v="113.2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-Without Cup"/>
    <s v="Soft Turquoise 21030"/>
    <n v="190"/>
    <s v="451550-SP27 2231-Without Cup190Soft Turquoise 21030"/>
    <n v="1575.84"/>
    <n v="-34.44"/>
    <s v=""/>
    <s v=""/>
    <s v=""/>
    <s v=""/>
    <s v=""/>
    <s v=""/>
    <n v="1575.84"/>
    <n v="1.022"/>
    <s v=""/>
  </r>
  <r>
    <s v="M &amp; S - T33"/>
    <s v="SQBIR.MS.01257.FY25-26.5"/>
    <m/>
    <m/>
    <m/>
    <m/>
    <s v=""/>
    <n v="671"/>
    <s v="94% Cotton 6% Spandex 190 GSM Molding CW 61 S/J"/>
    <s v="Soft Turquoise"/>
    <s v=""/>
    <n v="98.15"/>
    <n v="98.15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Soft Turquoise 21030"/>
    <n v="190"/>
    <s v="451550-SP27 2231-Without Cup190Soft Turquoise 21030"/>
    <n v="1575.84"/>
    <n v="-34.44"/>
    <n v="740.50400000000002"/>
    <n v="740.50400000000002"/>
    <s v=""/>
    <s v=""/>
    <s v=""/>
    <s v=""/>
    <n v="1575.84"/>
    <n v="1.022"/>
    <n v="835.3359999999999"/>
  </r>
  <r>
    <s v="M &amp; S - T33"/>
    <s v="SQBIR.MS.01257.FY25-26.6"/>
    <m/>
    <m/>
    <m/>
    <m/>
    <s v=""/>
    <n v="672"/>
    <s v="94% Cotton 6% Spandex 190 GSM Molding CW 61 S/J"/>
    <s v="Soft Turquoise"/>
    <s v=""/>
    <n v="529.10400000000004"/>
    <n v="529.10400000000004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Soft Turquoise 21030"/>
    <n v="190"/>
    <s v="451550-SP27 2231-Without Cup190Soft Turquoise 21030"/>
    <n v="1575.84"/>
    <n v="-34.44"/>
    <s v=""/>
    <n v="740.50400000000002"/>
    <s v=""/>
    <s v=""/>
    <s v=""/>
    <s v=""/>
    <n v="1575.84"/>
    <n v="1.022"/>
    <s v=""/>
  </r>
  <r>
    <s v="M &amp; S - T61 (KPK)"/>
    <s v="SQBIR.MS.108.FY26-27.1"/>
    <m/>
    <m/>
    <m/>
    <m/>
    <s v=""/>
    <n v="673"/>
    <s v="SJ 100% BCI Combed Compact Cotton 120gsm CW62”"/>
    <s v="Light cream 81001 Aop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Light Cream 81001-AOP-G"/>
    <n v="120"/>
    <s v="462079120Light Cream 81001-AOP-G"/>
    <n v="0"/>
    <s v="#NA"/>
    <s v=""/>
    <s v=""/>
    <s v=""/>
    <s v=""/>
    <n v="88"/>
    <s v=""/>
    <n v="0"/>
    <n v="0"/>
    <s v=""/>
  </r>
  <r>
    <s v="M &amp; S - T61 (KPK)"/>
    <s v="SQBIR.MS.108.FY26-27.1"/>
    <m/>
    <m/>
    <m/>
    <m/>
    <s v=""/>
    <n v="674"/>
    <s v="SJ 100% BCI Combed Compact Cotton 120gsm CW62”"/>
    <s v="Black 10005"/>
    <n v="-29.333333333333332"/>
    <n v="88"/>
    <m/>
    <n v="-88"/>
    <m/>
    <n v="-88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Black 10005"/>
    <n v="120"/>
    <s v="462079120Black 10005"/>
    <n v="0"/>
    <s v="#NA"/>
    <s v=""/>
    <s v=""/>
    <s v=""/>
    <s v=""/>
    <n v="88"/>
    <s v=""/>
    <n v="0"/>
    <n v="0"/>
    <s v=""/>
  </r>
  <r>
    <s v="M &amp; S - T61 (KPK)"/>
    <s v="SQBIR.MS.108.FY26-27.1"/>
    <m/>
    <m/>
    <m/>
    <m/>
    <s v=""/>
    <n v="675"/>
    <s v="SJ 100% BCI Combed Compact Cotton 120gsm CW62”"/>
    <s v="Light Cream 81001"/>
    <s v=""/>
    <n v="88"/>
    <n v="88"/>
    <n v="0"/>
    <m/>
    <n v="0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Light Cream 81001"/>
    <n v="120"/>
    <s v="462079120Light Cream 81001"/>
    <n v="92"/>
    <n v="-4"/>
    <s v=""/>
    <n v="88"/>
    <s v=""/>
    <s v=""/>
    <n v="0"/>
    <s v=""/>
    <n v="92"/>
    <n v="1.0449999999999999"/>
    <s v=""/>
  </r>
  <r>
    <s v="M &amp; S - T61 (KPK)"/>
    <s v="SQBIR.MS.147.FY26-27.1"/>
    <m/>
    <m/>
    <m/>
    <m/>
    <s v=""/>
    <n v="676"/>
    <s v="SJ 100% BCI Combed Compact Cotton 120gsm CW62”"/>
    <s v="White 10001"/>
    <s v=""/>
    <n v="32.11"/>
    <n v="32.11"/>
    <n v="0"/>
    <m/>
    <n v="0"/>
    <s v="462079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62079"/>
    <s v="White 10001"/>
    <n v="120"/>
    <s v="462079120White 10001"/>
    <n v="131"/>
    <n v="-1"/>
    <s v=""/>
    <n v="32.11"/>
    <s v=""/>
    <s v=""/>
    <s v=""/>
    <s v=""/>
    <n v="131"/>
    <n v="1.008"/>
    <s v=""/>
  </r>
  <r>
    <s v="M &amp; S - T33"/>
    <s v="SQBIR.MS.01259.FY25-26.1"/>
    <m/>
    <m/>
    <m/>
    <m/>
    <s v=""/>
    <n v="677"/>
    <s v="94% Cotton 6% Spandex 235 GSM No Molding CW 64  S/"/>
    <s v="Vanilla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Vanilla 47956"/>
    <n v="235"/>
    <s v="451241-SP27 3276-Cup235Vanilla 47956"/>
    <n v="849.34"/>
    <n v="-19.32"/>
    <s v=""/>
    <n v="490.30799999999999"/>
    <s v=""/>
    <s v=""/>
    <s v=""/>
    <s v=""/>
    <n v="849.34"/>
    <n v="1.0229999999999999"/>
    <s v=""/>
  </r>
  <r>
    <s v="M &amp; S - T33"/>
    <s v="SQBIR.MS.01259.FY25-26.2"/>
    <m/>
    <m/>
    <m/>
    <m/>
    <s v=""/>
    <n v="678"/>
    <s v="94% Cotton 6% Spandex 235 GSM No Molding CW 64  S/"/>
    <s v="Vanilla"/>
    <s v="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Vanilla 47956"/>
    <n v="235"/>
    <s v="451241-SP27 3276-Cup235Vanilla 47956"/>
    <n v="849.34"/>
    <n v="-19.32"/>
    <s v=""/>
    <n v="490.30799999999999"/>
    <s v=""/>
    <s v=""/>
    <s v=""/>
    <s v=""/>
    <n v="849.34"/>
    <n v="1.0229999999999999"/>
    <s v=""/>
  </r>
  <r>
    <s v="M &amp; S - T33"/>
    <s v="SQBIR.MS.01301.FY25-26.1"/>
    <m/>
    <m/>
    <m/>
    <m/>
    <s v=""/>
    <n v="679"/>
    <s v="KNIT RIB 5x2 BCI COTTON 93% ELASTANE 7% GSM-185 CW-111 CM/44 INCH  "/>
    <s v="Rich Quartz"/>
    <s v=""/>
    <n v="4.1479999999999997"/>
    <n v="4.147999999999999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s v=""/>
    <s v=""/>
    <s v=""/>
    <s v=""/>
    <s v=""/>
    <s v=""/>
    <n v="349"/>
    <n v="0.99399999999999999"/>
    <s v=""/>
  </r>
  <r>
    <s v="M &amp; S - T33"/>
    <s v="SQBIR.MS.01303.FY25-26.2"/>
    <m/>
    <m/>
    <m/>
    <m/>
    <s v=""/>
    <n v="680"/>
    <s v="94% Cotton 6% Spandex 235 GSM No Molding CW 64  S/"/>
    <s v="10001 WHITE"/>
    <s v=""/>
    <n v="18.616"/>
    <n v="18.616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White 10001"/>
    <n v="235"/>
    <s v="451550-SP27 2231-Without Cup235White 10001"/>
    <n v="2522"/>
    <n v="-15.24"/>
    <n v="154.33600000000001"/>
    <n v="154.33600000000001"/>
    <s v=""/>
    <s v=""/>
    <s v=""/>
    <s v=""/>
    <n v="2522"/>
    <n v="1.006"/>
    <n v="2367.6639999999998"/>
  </r>
  <r>
    <s v="M &amp; S - T33"/>
    <s v="SQBIR.MS.01303.FY25-26.3"/>
    <m/>
    <m/>
    <m/>
    <m/>
    <s v=""/>
    <n v="681"/>
    <s v="94% Cotton 6% Spandex 235 GSM No Molding CW 64  S/"/>
    <s v="10001 WHITE"/>
    <n v="0"/>
    <n v="131.04"/>
    <n v="131.0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White 10001"/>
    <n v="235"/>
    <s v="451550-SP27 2231-Without Cup235White 10001"/>
    <n v="2522"/>
    <n v="-15.24"/>
    <n v="154.33600000000001"/>
    <n v="154.33600000000001"/>
    <s v=""/>
    <s v=""/>
    <n v="0"/>
    <s v=""/>
    <n v="2522"/>
    <n v="1.006"/>
    <n v="2367.6639999999998"/>
  </r>
  <r>
    <s v="M &amp; S - T33"/>
    <s v="SQBIR.MS.01303.FY25-26.4"/>
    <m/>
    <m/>
    <m/>
    <m/>
    <s v=""/>
    <n v="682"/>
    <s v="94% Cotton 6% Spandex 235 GSM No Molding CW 64  S/"/>
    <s v="10001 WHITE"/>
    <s v=""/>
    <n v="4.68"/>
    <n v="4.68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235"/>
    <s v="451550-SP27 2231-Without Cup235White 10001"/>
    <n v="2522"/>
    <n v="-15.24"/>
    <s v=""/>
    <s v=""/>
    <s v=""/>
    <s v=""/>
    <s v=""/>
    <s v=""/>
    <n v="2522"/>
    <n v="1.006"/>
    <s v=""/>
  </r>
  <r>
    <s v="M &amp; S - T33"/>
    <s v="SQBIR.MS.01302.FY25-26.10"/>
    <m/>
    <m/>
    <m/>
    <m/>
    <s v=""/>
    <n v="683"/>
    <s v="94% Cotton 6% Spandex 235 GSM No Molding CW 64  S/"/>
    <s v="Black"/>
    <n v="0"/>
    <n v="18.974"/>
    <n v="18.97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Black 10005"/>
    <n v="235"/>
    <s v="451550-SP27 2231-Without Cup235Black 10005"/>
    <n v="2382.77"/>
    <n v="-45.53"/>
    <s v=""/>
    <s v=""/>
    <s v=""/>
    <s v=""/>
    <n v="0"/>
    <s v=""/>
    <n v="2382.77"/>
    <n v="1.0189999999999999"/>
    <s v=""/>
  </r>
  <r>
    <s v="M &amp; S - T61 (KPK)"/>
    <s v="SQBIR.MS.01232.FY25-26.11"/>
    <m/>
    <m/>
    <m/>
    <m/>
    <s v=""/>
    <n v="693"/>
    <s v="SJ 100% BCI Combed Compact Cotton 120gsm CW62”"/>
    <s v="PRALINE 22001"/>
    <s v=""/>
    <n v="5.0519999999999996"/>
    <n v="5.0519999999999996"/>
    <n v="0"/>
    <m/>
    <n v="0"/>
    <s v="45719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7190"/>
    <s v="Praline 22001"/>
    <n v="120"/>
    <s v="457190120Praline 22001"/>
    <n v="247.72"/>
    <n v="-12.72"/>
    <s v=""/>
    <n v="5.0519999999999996"/>
    <s v=""/>
    <s v=""/>
    <s v=""/>
    <s v=""/>
    <n v="247.72"/>
    <n v="1.054"/>
    <s v=""/>
  </r>
  <r>
    <s v="M &amp; S - T61 (KPK)"/>
    <s v="SQBIR.MS.01167.FY25-26.10"/>
    <m/>
    <m/>
    <m/>
    <m/>
    <s v=""/>
    <n v="694"/>
    <s v="SJ 100% BCI Combed Compact Cotton 120gsm CW62”"/>
    <s v="Black 10005"/>
    <s v=""/>
    <n v="170"/>
    <n v="58.06"/>
    <n v="-111.94"/>
    <m/>
    <n v="-111.94"/>
    <s v="44109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Black 10005"/>
    <n v="120"/>
    <s v="441099120Black 10005"/>
    <n v="2863"/>
    <n v="159"/>
    <s v=""/>
    <s v=""/>
    <s v=""/>
    <s v=""/>
    <s v=""/>
    <s v=""/>
    <n v="2863"/>
    <n v="0.94699999999999995"/>
    <s v=""/>
  </r>
  <r>
    <s v="M &amp; S - T61 (KPK)"/>
    <s v="SQBIR.MS.01159.FY25-26.7"/>
    <m/>
    <m/>
    <m/>
    <m/>
    <s v=""/>
    <n v="695"/>
    <s v="SJ 100% BCI Combed Compact Cotton 120gsm CW62”"/>
    <s v="Black 10005"/>
    <n v="0"/>
    <n v="108.06"/>
    <n v="108.06"/>
    <n v="0"/>
    <m/>
    <n v="0"/>
    <s v="441099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1099"/>
    <s v="Black 10005"/>
    <n v="120"/>
    <s v="441099120Black 10005"/>
    <n v="2863"/>
    <n v="159"/>
    <n v="287.18099999999998"/>
    <n v="399.12099999999998"/>
    <s v=""/>
    <s v=""/>
    <n v="0"/>
    <s v=""/>
    <n v="2863"/>
    <n v="0.94699999999999995"/>
    <n v="2575.819"/>
  </r>
  <r>
    <s v="M &amp; S - T61 (KPK)"/>
    <s v="SQBIR.MS.01202.FY25-26.12"/>
    <m/>
    <m/>
    <m/>
    <m/>
    <s v=""/>
    <n v="696"/>
    <s v="SJ 95% BCI Cmd Cmpt CTN 5% Inv Ly 140gsm CW63”"/>
    <s v="Pink Cloud"/>
    <n v="0"/>
    <n v="1.016"/>
    <n v="1.016"/>
    <n v="0"/>
    <m/>
    <n v="0"/>
    <s v="463358"/>
    <s v="Solid"/>
    <x v="54"/>
    <d v="2026-10-10T00:00:00"/>
    <d v="2026-10-10T00:00:00"/>
    <s v="Hues Agreed qty as per SQBL required date"/>
    <s v="OTT ADVANCEMENT"/>
    <s v="Oct"/>
    <d v="2026-10-07T00:00:00"/>
    <m/>
    <m/>
    <m/>
    <m/>
    <m/>
    <m/>
    <m/>
    <m/>
    <m/>
    <m/>
    <s v="463358"/>
    <s v="Pink Cloud 23853"/>
    <n v="140"/>
    <s v="463358140Pink Cloud 23853"/>
    <n v="195"/>
    <n v="5"/>
    <n v="18.459000000000003"/>
    <s v=""/>
    <s v=""/>
    <s v=""/>
    <n v="0"/>
    <s v=""/>
    <n v="195"/>
    <n v="0.97499999999999998"/>
    <n v="176.541"/>
  </r>
  <r>
    <s v="M &amp; S - T33"/>
    <s v="SQBIR.MS.01265.FY25-26.14"/>
    <m/>
    <m/>
    <m/>
    <m/>
    <s v=""/>
    <n v="697"/>
    <s v="94% Cotton 6% Spandex 190 GSM Molding CW 61 S/J"/>
    <s v="Black"/>
    <n v="0"/>
    <n v="5.298"/>
    <n v="5.298"/>
    <n v="0"/>
    <m/>
    <n v="0"/>
    <s v="45124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241-SP27 3276-Cup"/>
    <s v="Black 10005"/>
    <n v="190"/>
    <s v="451241-SP27 3276-Cup190Black 10005"/>
    <n v="3216.03"/>
    <n v="-20.7"/>
    <n v="1315.518"/>
    <n v="1315.518"/>
    <s v=""/>
    <s v=""/>
    <n v="0"/>
    <s v=""/>
    <n v="3216.03"/>
    <n v="1.006"/>
    <n v="1900.5120000000002"/>
  </r>
  <r>
    <s v="M &amp; S - T33"/>
    <s v="SQBIR.MS.01263.FY25-26.1"/>
    <m/>
    <m/>
    <m/>
    <m/>
    <s v=""/>
    <n v="698"/>
    <s v="94% Cotton 6% Spandex 190 GSM Molding CW 61 S/J"/>
    <s v="Black"/>
    <s v="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Black 10005"/>
    <n v="190"/>
    <s v="451241-SP27 3276-Cup190Black 10005"/>
    <n v="3216.03"/>
    <n v="-20.7"/>
    <s v=""/>
    <n v="1315.518"/>
    <s v=""/>
    <s v=""/>
    <s v=""/>
    <s v=""/>
    <n v="3216.03"/>
    <n v="1.006"/>
    <s v=""/>
  </r>
  <r>
    <s v="M &amp; S - T33"/>
    <s v="SQBIR.MS.01263.FY25-26.2"/>
    <m/>
    <m/>
    <m/>
    <m/>
    <s v=""/>
    <n v="699"/>
    <s v="94% Cotton 6% Spandex 190 GSM Molding CW 61 S/J"/>
    <s v="Black"/>
    <s v="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Black 10005"/>
    <n v="190"/>
    <s v="451241-SP27 3276-Cup190Black 10005"/>
    <n v="3216.03"/>
    <n v="-20.7"/>
    <s v=""/>
    <s v=""/>
    <s v=""/>
    <s v=""/>
    <s v=""/>
    <s v=""/>
    <n v="3216.03"/>
    <n v="1.006"/>
    <s v=""/>
  </r>
  <r>
    <s v="M &amp; S - T33"/>
    <s v="SQBIR.MS.01263.FY25-26.3"/>
    <m/>
    <m/>
    <m/>
    <m/>
    <s v=""/>
    <n v="700"/>
    <s v="94% Cotton 6% Spandex 190 GSM Molding CW 61 S/J"/>
    <s v="Black"/>
    <s v=""/>
    <n v="252.99600000000001"/>
    <n v="252.99600000000001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Black 10005"/>
    <n v="190"/>
    <s v="451241-SP27 3276-Cup190Black 10005"/>
    <n v="3216.03"/>
    <n v="-20.7"/>
    <n v="1315.518"/>
    <n v="1315.518"/>
    <s v=""/>
    <s v=""/>
    <s v=""/>
    <s v=""/>
    <n v="3216.03"/>
    <n v="1.006"/>
    <n v="1900.5120000000002"/>
  </r>
  <r>
    <s v="M &amp; S - T33"/>
    <s v="SQBIR.MS.01266.FY25-26.1"/>
    <m/>
    <m/>
    <m/>
    <m/>
    <s v=""/>
    <n v="701"/>
    <s v="94% Cotton 6% Spandex 190 GSM Molding CW 61 S/J"/>
    <s v="Black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n v="633.04099999999994"/>
    <s v=""/>
    <s v=""/>
    <s v=""/>
    <n v="0"/>
    <s v=""/>
    <n v="893.5"/>
    <n v="0.96199999999999997"/>
    <n v="260.45900000000006"/>
  </r>
  <r>
    <s v="M &amp; S - T61 (KPK)"/>
    <s v="SQBIR.MS.01253.FY25-26.7"/>
    <m/>
    <m/>
    <m/>
    <m/>
    <s v=""/>
    <n v="702"/>
    <s v="SJ 100% BCI Combed Compact Cotton 120gsm CW62”"/>
    <s v="PRALINE 22001"/>
    <s v=""/>
    <n v="23.1"/>
    <n v="23.1"/>
    <n v="0"/>
    <m/>
    <n v="0"/>
    <s v="446001"/>
    <s v="Solid"/>
    <x v="22"/>
    <d v="2026-10-07T00:00:00"/>
    <d v="2026-10-07T00:00:00"/>
    <s v="Revised Plan given as per revised date"/>
    <m/>
    <s v="Oct"/>
    <d v="2026-10-01T00:00:00"/>
    <m/>
    <m/>
    <m/>
    <m/>
    <m/>
    <m/>
    <m/>
    <m/>
    <m/>
    <m/>
    <s v="446001"/>
    <s v="Praline 22001"/>
    <n v="120"/>
    <s v="446001120Praline 22001"/>
    <n v="131"/>
    <n v="1"/>
    <s v=""/>
    <s v=""/>
    <s v=""/>
    <s v=""/>
    <s v=""/>
    <s v=""/>
    <n v="131"/>
    <n v="0.99199999999999999"/>
    <s v=""/>
  </r>
  <r>
    <s v="M &amp; S - T61 (KPK)"/>
    <s v="SQBIR.MS.106.FY26-27.1"/>
    <m/>
    <m/>
    <m/>
    <m/>
    <s v=""/>
    <n v="710"/>
    <s v="SJ 100% BCI Combed Compact Cotton 120gsm CW62”"/>
    <s v="Light cream 81001 Aop"/>
    <s v=""/>
    <n v="96"/>
    <m/>
    <n v="-96"/>
    <m/>
    <n v="-96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Light Cream 81001-AOP-G"/>
    <n v="120"/>
    <s v="463564120Light Cream 81001-AOP-G"/>
    <n v="0"/>
    <s v="#NA"/>
    <s v=""/>
    <s v=""/>
    <s v=""/>
    <s v=""/>
    <s v=""/>
    <s v=""/>
    <n v="0"/>
    <n v="0"/>
    <s v=""/>
  </r>
  <r>
    <s v="M &amp; S - T61 (KPK)"/>
    <s v="SQBIR.MS.132.FY26-27.1"/>
    <m/>
    <m/>
    <m/>
    <m/>
    <s v=""/>
    <n v="712"/>
    <s v="SJ 95% BCI Cmd Cmpt CTN 5% Inv Ly 140gsm CW63”"/>
    <s v="White"/>
    <s v=""/>
    <n v="150"/>
    <n v="150"/>
    <n v="0"/>
    <m/>
    <n v="0"/>
    <s v="459386"/>
    <s v="Solid"/>
    <x v="53"/>
    <d v="2026-10-12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s v=""/>
    <s v=""/>
    <s v=""/>
    <s v=""/>
    <s v=""/>
    <s v=""/>
    <n v="6723.76"/>
    <n v="0.749"/>
    <s v=""/>
  </r>
  <r>
    <s v="M &amp; S - T61 (KPK)"/>
    <s v="SQBIR.MS.132.FY26-27.1"/>
    <m/>
    <m/>
    <m/>
    <m/>
    <s v=""/>
    <n v="712"/>
    <s v="SJ 95% BCI Cmd Cmpt CTN 5% Inv Ly 140gsm CW63”"/>
    <s v="White"/>
    <n v="-386.25"/>
    <n v="3377.5"/>
    <n v="2218.75"/>
    <n v="-1158.75"/>
    <m/>
    <n v="-1158.75"/>
    <s v="459386"/>
    <s v="Solid"/>
    <x v="26"/>
    <d v="2026-10-16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s v=""/>
    <s v=""/>
    <s v=""/>
    <s v=""/>
    <n v="1158.75"/>
    <s v=""/>
    <n v="6723.76"/>
    <n v="0.749"/>
    <s v=""/>
  </r>
  <r>
    <s v="M &amp; S - T61 (KPK)"/>
    <s v="SQBIR.MS.01347.FY25-26.2"/>
    <m/>
    <m/>
    <m/>
    <m/>
    <s v=""/>
    <n v="727"/>
    <s v="SJ 100% BCI Combed Compact Cotton 120gsm CW62”"/>
    <s v="IVORY 80762"/>
    <s v=""/>
    <n v="21"/>
    <n v="2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s v=""/>
    <s v=""/>
    <s v=""/>
    <s v=""/>
    <n v="319"/>
    <n v="1.026"/>
    <n v="225.172"/>
  </r>
  <r>
    <s v="M &amp; S - T61 (KPK)"/>
    <s v="SQBIR.MS.01347.FY25-26.3"/>
    <m/>
    <m/>
    <m/>
    <m/>
    <s v=""/>
    <n v="728"/>
    <s v="SJ 100% BCI Combed Compact Cotton 120gsm CW62”"/>
    <s v="IVORY 80762"/>
    <n v="0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20"/>
    <s v="457079120IVORY 80762"/>
    <n v="319"/>
    <n v="-8"/>
    <n v="93.828000000000003"/>
    <n v="93.828000000000003"/>
    <s v=""/>
    <s v=""/>
    <n v="0"/>
    <s v=""/>
    <n v="319"/>
    <n v="1.026"/>
    <n v="225.172"/>
  </r>
  <r>
    <s v="M &amp; S - T33"/>
    <s v="SQBIR.MS.01311.FY25-26.3"/>
    <m/>
    <m/>
    <m/>
    <m/>
    <s v=""/>
    <n v="736"/>
    <s v="94% Cotton 6% Spandex 180 GSM No Molding CW 63  S/"/>
    <s v="BLACK 10005.."/>
    <n v="-21.400666666666666"/>
    <n v="64.201999999999998"/>
    <m/>
    <n v="-64.201999999999998"/>
    <m/>
    <n v="-64.201999999999998"/>
    <s v="45247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2474-SP27 9643"/>
    <s v="Black 10005"/>
    <n v="180"/>
    <s v="452474-SP27 9643180Black 10005"/>
    <n v="0"/>
    <s v="#NA"/>
    <s v=""/>
    <s v=""/>
    <s v=""/>
    <s v=""/>
    <n v="64.201999999999998"/>
    <s v=""/>
    <n v="0"/>
    <n v="0"/>
    <s v=""/>
  </r>
  <r>
    <s v="M &amp; S - T33"/>
    <s v="SQBIR.MS.01300.FY25-26.8"/>
    <m/>
    <m/>
    <m/>
    <m/>
    <s v=""/>
    <n v="737"/>
    <s v="94% Cotton 6% Spandex 235 GSM No Molding CW 64  S/"/>
    <s v="Black"/>
    <s v=""/>
    <n v="23.326000000000001"/>
    <n v="23.326000000000001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-Cookie Cup"/>
    <s v="Black 10005"/>
    <n v="235"/>
    <s v="451603-SP27 0713-Cookie Cup235Black 10005"/>
    <n v="222"/>
    <n v="1.49"/>
    <n v="138.67699999999999"/>
    <n v="138.67699999999999"/>
    <s v=""/>
    <s v=""/>
    <s v=""/>
    <s v=""/>
    <n v="222"/>
    <n v="0.99299999999999999"/>
    <n v="83.323000000000008"/>
  </r>
  <r>
    <s v="M &amp; S - T33"/>
    <s v="SQBIR.MS.01300.FY25-26.9"/>
    <m/>
    <m/>
    <m/>
    <m/>
    <s v=""/>
    <n v="738"/>
    <s v="94% Cotton 6% Spandex 235 GSM No Molding CW 64  S/"/>
    <s v="Black"/>
    <s v=""/>
    <n v="1.9079999999999999"/>
    <n v="1.9079999999999999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-Cookie Cup"/>
    <s v="Black 10005"/>
    <n v="235"/>
    <s v="451603-SP27 0713-Cookie Cup235Black 10005"/>
    <n v="222"/>
    <n v="1.49"/>
    <s v=""/>
    <s v=""/>
    <s v=""/>
    <s v=""/>
    <s v=""/>
    <s v=""/>
    <n v="222"/>
    <n v="0.99299999999999999"/>
    <s v=""/>
  </r>
  <r>
    <s v="M &amp; S - T33"/>
    <s v="SQBIR.MS.01266.FY25-26.4"/>
    <m/>
    <m/>
    <m/>
    <m/>
    <s v=""/>
    <n v="739"/>
    <s v="94% Cotton 6% Spandex 235 GSM No Molding CW 64  S/"/>
    <s v="Black"/>
    <s v=""/>
    <n v="41.353999999999999"/>
    <n v="41.353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s v=""/>
    <s v=""/>
    <s v=""/>
    <s v=""/>
    <s v=""/>
    <s v=""/>
    <n v="330"/>
    <n v="1.026"/>
    <s v=""/>
  </r>
  <r>
    <s v="M &amp; S - T61 (KPK)"/>
    <s v="SQBIR.MS.01231.FY25-26.2"/>
    <m/>
    <m/>
    <m/>
    <m/>
    <n v="90.18"/>
    <n v="743"/>
    <s v="SJ 100% BCI Combed Compact Cotton 120gsm CW62”"/>
    <s v="White"/>
    <n v="0"/>
    <n v="36"/>
    <n v="36"/>
    <n v="0"/>
    <m/>
    <n v="0"/>
    <s v="440955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5"/>
    <s v="White 10001"/>
    <n v="120"/>
    <s v="440955120White 10001"/>
    <n v="2656.97"/>
    <n v="-90.18"/>
    <n v="36"/>
    <n v="36"/>
    <s v=""/>
    <s v=""/>
    <n v="0"/>
    <n v="90.18"/>
    <n v="2656.97"/>
    <n v="1.0349999999999999"/>
    <n v="2620.9699999999998"/>
  </r>
  <r>
    <s v="M &amp; S - T33"/>
    <s v="SQBIR.MS.01266.FY25-26.6"/>
    <m/>
    <m/>
    <m/>
    <m/>
    <s v=""/>
    <n v="744"/>
    <s v="94% Cotton 6% Spandex 235 GSM No Molding CW 64  S/"/>
    <s v="Black"/>
    <n v="0"/>
    <n v="45.104999999999997"/>
    <n v="45.104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s v=""/>
    <s v=""/>
    <s v=""/>
    <s v=""/>
    <n v="0"/>
    <s v=""/>
    <n v="330"/>
    <n v="1.026"/>
    <s v=""/>
  </r>
  <r>
    <s v="M &amp; S - T32"/>
    <s v="SQBIR.MS.01345.FY25-26.2"/>
    <m/>
    <m/>
    <m/>
    <m/>
    <s v=""/>
    <n v="745"/>
    <s v="SJ BCI 100% CTN NORMAL FINISH 120GSM CUT WIDTH 62"/>
    <s v="Black"/>
    <s v=""/>
    <n v="1.44"/>
    <n v="1.44"/>
    <n v="0"/>
    <m/>
    <n v="0"/>
    <s v="44966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9668"/>
    <s v="Black 10005"/>
    <n v="120"/>
    <s v="449668120Black 10005"/>
    <n v="102"/>
    <n v="-4.5599999999999996"/>
    <s v=""/>
    <s v=""/>
    <s v=""/>
    <s v=""/>
    <s v=""/>
    <s v=""/>
    <n v="102"/>
    <n v="1.0469999999999999"/>
    <s v=""/>
  </r>
  <r>
    <s v="M &amp; S - T61 (KPK)"/>
    <s v="SQBIR.MS.01218.FY25-26.5"/>
    <m/>
    <m/>
    <m/>
    <m/>
    <s v=""/>
    <n v="748"/>
    <s v="SJ 95% BCI Cmd Cmpt CTN 5% Inv Ly 140gsm CW63”"/>
    <s v="Black"/>
    <n v="0"/>
    <n v="643.46"/>
    <n v="643.46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s v=""/>
    <n v="23674.46"/>
    <s v=""/>
    <s v=""/>
    <n v="0"/>
    <s v=""/>
    <n v="34340.26"/>
    <n v="1.0940000000000001"/>
    <s v=""/>
  </r>
  <r>
    <s v="M &amp; S - T61 (KPK)"/>
    <s v="SQBIR.MS.01218.FY25-26.6"/>
    <m/>
    <m/>
    <m/>
    <m/>
    <s v=""/>
    <n v="749"/>
    <s v="SJ 95% BCI Cmd Cmpt CTN 5% Inv Ly 140gsm CW63”"/>
    <s v="Black"/>
    <s v=""/>
    <n v="3375"/>
    <n v="3375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s v=""/>
    <s v=""/>
    <s v=""/>
    <s v=""/>
    <n v="34340.26"/>
    <n v="1.0940000000000001"/>
    <n v="10665.800000000003"/>
  </r>
  <r>
    <s v="M &amp; S - T61 (KPK)"/>
    <s v="SQBIR.MS.01201.FY25-26.8"/>
    <m/>
    <m/>
    <m/>
    <m/>
    <s v=""/>
    <n v="750"/>
    <s v="SJ 95% BCI Cmd Cmpt CTN 5% Inv Ly 140gsm CW63”"/>
    <s v="Black"/>
    <s v=""/>
    <n v="4989"/>
    <n v="4989"/>
    <n v="0"/>
    <m/>
    <n v="0"/>
    <s v="4409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s v=""/>
    <s v=""/>
    <s v=""/>
    <s v=""/>
    <n v="34340.26"/>
    <n v="1.0940000000000001"/>
    <n v="10665.800000000003"/>
  </r>
  <r>
    <s v="M &amp; S - T61 (KPK)"/>
    <s v="SQBIR.MS.01201.FY25-26.9"/>
    <m/>
    <m/>
    <m/>
    <m/>
    <s v=""/>
    <n v="751"/>
    <s v="SJ 95% BCI Cmd Cmpt CTN 5% Inv Ly 140gsm CW63”"/>
    <s v="Black"/>
    <n v="0"/>
    <n v="4989"/>
    <n v="4989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s v=""/>
    <s v=""/>
    <s v=""/>
    <s v=""/>
    <n v="0"/>
    <s v=""/>
    <n v="34340.26"/>
    <n v="1.0940000000000001"/>
    <s v=""/>
  </r>
  <r>
    <s v="M &amp; S - T61 (KPK)"/>
    <s v="SQBIR.MS.01153.FY25-26.13"/>
    <m/>
    <m/>
    <m/>
    <m/>
    <s v=""/>
    <n v="752"/>
    <s v="SJ 95% BCI Cmd Cmpt CTN 5% Inv Ly 140gsm CW63”"/>
    <s v="Black"/>
    <s v=""/>
    <n v="836"/>
    <n v="836"/>
    <n v="0"/>
    <m/>
    <n v="0"/>
    <s v="44095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s v=""/>
    <s v=""/>
    <s v=""/>
    <s v=""/>
    <n v="34340.26"/>
    <n v="1.0940000000000001"/>
    <n v="10665.800000000003"/>
  </r>
  <r>
    <s v="M &amp; S - T61 (KPK)"/>
    <s v="SQBIR.MS.01153.FY25-26.14"/>
    <m/>
    <m/>
    <m/>
    <m/>
    <s v=""/>
    <n v="753"/>
    <s v="SJ 95% BCI Cmd Cmpt CTN 5% Inv Ly 140gsm CW63”"/>
    <s v="Black"/>
    <s v=""/>
    <n v="836"/>
    <n v="836"/>
    <n v="0"/>
    <m/>
    <n v="0"/>
    <s v="440958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s v=""/>
    <s v=""/>
    <s v=""/>
    <s v=""/>
    <n v="34340.26"/>
    <n v="1.0940000000000001"/>
    <n v="10665.800000000003"/>
  </r>
  <r>
    <s v="M &amp; S - T61 (KPK)"/>
    <s v="SQBIR.MS.01153.FY25-26.15"/>
    <m/>
    <m/>
    <m/>
    <m/>
    <s v=""/>
    <n v="754"/>
    <s v="SJ 95% BCI Cmd Cmpt CTN 5% Inv Ly 140gsm CW63”"/>
    <s v="Black"/>
    <s v=""/>
    <n v="836"/>
    <n v="836"/>
    <n v="0"/>
    <m/>
    <n v="0"/>
    <s v="440958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0958"/>
    <s v="Black 10005"/>
    <n v="140"/>
    <s v="440958140Black 10005"/>
    <n v="34340.26"/>
    <n v="-2945.26"/>
    <s v=""/>
    <s v=""/>
    <s v=""/>
    <s v=""/>
    <s v=""/>
    <s v=""/>
    <n v="34340.26"/>
    <n v="1.0940000000000001"/>
    <s v=""/>
  </r>
  <r>
    <s v="M &amp; S - T61 (KPK)"/>
    <s v="SQBIR.MS.01235.FY25-26.7"/>
    <m/>
    <m/>
    <m/>
    <m/>
    <s v=""/>
    <n v="755"/>
    <s v="SJ 95% BCI Cmd Cmpt CTN 5% Inv Ly 140gsm CW63”"/>
    <s v="Black"/>
    <n v="0"/>
    <n v="1090"/>
    <n v="1090"/>
    <n v="0"/>
    <m/>
    <n v="0"/>
    <s v="440958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40958"/>
    <s v="Black 10005"/>
    <n v="140"/>
    <s v="440958140Black 10005"/>
    <n v="34340.26"/>
    <n v="-2945.26"/>
    <n v="23674.46"/>
    <n v="23674.46"/>
    <s v=""/>
    <s v=""/>
    <n v="0"/>
    <s v=""/>
    <n v="34340.26"/>
    <n v="1.0940000000000001"/>
    <n v="10665.800000000003"/>
  </r>
  <r>
    <s v="M &amp; S - T33"/>
    <s v="SQBIR.MS.01303.FY25-26.2"/>
    <m/>
    <m/>
    <m/>
    <m/>
    <s v=""/>
    <n v="760"/>
    <s v="94% Cotton 6% Spandex 235 GSM No Molding CW 64  S/"/>
    <s v="DARK PEWTER"/>
    <s v=""/>
    <n v="18.616"/>
    <n v="18.616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Dark Pewter 46702"/>
    <n v="235"/>
    <s v="451550-SP27 2231-Without Cup235Dark Pewter 46702"/>
    <n v="179.69"/>
    <n v="-10.17"/>
    <s v=""/>
    <s v=""/>
    <s v=""/>
    <s v=""/>
    <s v=""/>
    <s v=""/>
    <n v="179.69"/>
    <n v="1.06"/>
    <s v=""/>
  </r>
  <r>
    <s v="M &amp; S - T33"/>
    <s v="SQBIR.MS.01303.FY25-26.3"/>
    <m/>
    <m/>
    <m/>
    <m/>
    <s v=""/>
    <n v="761"/>
    <s v="94% Cotton 6% Spandex 235 GSM No Molding CW 64  S/"/>
    <s v="DARK PEWTER"/>
    <s v=""/>
    <n v="131.04"/>
    <n v="131.04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Dark Pewter 46702"/>
    <n v="235"/>
    <s v="451550-SP27 2231-Without Cup235Dark Pewter 46702"/>
    <n v="179.69"/>
    <n v="-10.17"/>
    <n v="154.33600000000001"/>
    <n v="154.33600000000001"/>
    <s v=""/>
    <s v=""/>
    <s v=""/>
    <s v=""/>
    <n v="179.69"/>
    <n v="1.06"/>
    <n v="25.353999999999985"/>
  </r>
  <r>
    <s v="M &amp; S - T33"/>
    <s v="SQBIR.MS.01303.FY25-26.4"/>
    <m/>
    <m/>
    <m/>
    <m/>
    <s v=""/>
    <n v="762"/>
    <s v="94% Cotton 6% Spandex 235 GSM No Molding CW 64  S/"/>
    <s v="DARK PEWTER"/>
    <s v=""/>
    <n v="4.68"/>
    <n v="4.68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Dark Pewter 46702"/>
    <n v="235"/>
    <s v="451550-SP27 2231-Without Cup235Dark Pewter 46702"/>
    <n v="179.69"/>
    <n v="-10.17"/>
    <n v="154.33600000000001"/>
    <n v="154.33600000000001"/>
    <s v=""/>
    <s v=""/>
    <s v=""/>
    <s v=""/>
    <n v="179.69"/>
    <n v="1.06"/>
    <n v="25.353999999999985"/>
  </r>
  <r>
    <s v="M &amp; S - T33"/>
    <s v="SQBIR.MS.01257.FY25-26.4"/>
    <m/>
    <m/>
    <m/>
    <m/>
    <s v=""/>
    <n v="763"/>
    <s v="94% Cotton 6% Spandex 235 GSM No Molding CW 64  S/"/>
    <s v="Vanilla"/>
    <n v="0"/>
    <n v="14.455"/>
    <n v="14.455"/>
    <n v="0"/>
    <m/>
    <n v="0"/>
    <s v="451550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550-SP27 2231-Without Cup"/>
    <s v="Vanilla 47956"/>
    <n v="235"/>
    <s v="451550-SP27 2231-Without Cup235Vanilla 47956"/>
    <n v="957.76"/>
    <n v="-386.12"/>
    <n v="116.35300000000001"/>
    <n v="116.35300000000001"/>
    <s v=""/>
    <s v=""/>
    <n v="0"/>
    <s v=""/>
    <n v="957.76"/>
    <n v="1.675"/>
    <n v="841.40699999999993"/>
  </r>
  <r>
    <s v="M &amp; S - T61 (SHK)"/>
    <s v="SQBIR.MS.026.FY26-27.1"/>
    <m/>
    <m/>
    <m/>
    <m/>
    <s v=""/>
    <n v="764"/>
    <s v="SJ BCI 100% CTN NORMAL FINISH 120GSM CUT WIDTH 62"/>
    <s v="Black 10005"/>
    <s v=""/>
    <n v="26.463000000000001"/>
    <n v="26.463000000000001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s v=""/>
    <s v=""/>
    <s v=""/>
    <s v=""/>
    <s v=""/>
    <n v="135.54"/>
    <n v="1.0429999999999999"/>
    <n v="7.3029999999999973"/>
  </r>
  <r>
    <s v="M&amp;S T14"/>
    <s v="SQBIR.MS.031.FY26-27.5"/>
    <m/>
    <m/>
    <m/>
    <m/>
    <b v="0"/>
    <n v="765"/>
    <s v=" 95% BCI COTTON 5% LYCRA JERSEY GSM-150 CW-160 CM/63 INCH "/>
    <s v="BERRY RED 22506"/>
    <n v="0"/>
    <n v="12.824"/>
    <n v="12.824"/>
    <n v="0"/>
    <m/>
    <n v="0"/>
    <s v="45801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8011-Lycra"/>
    <s v="Berry Red 22506"/>
    <n v="150"/>
    <s v="458011-Lycra150Berry Red 22506"/>
    <n v="1280"/>
    <n v="0.98"/>
    <s v=""/>
    <s v=""/>
    <s v=""/>
    <s v=""/>
    <n v="0"/>
    <b v="0"/>
    <n v="1280"/>
    <n v="0.999"/>
    <s v=""/>
  </r>
  <r>
    <s v="M&amp;S T14"/>
    <s v="SQBIR.MS.030.FY26-27.7"/>
    <m/>
    <m/>
    <m/>
    <m/>
    <s v=""/>
    <n v="766"/>
    <s v=" 95% BCI COTTON 5% LYCRA JERSEY GSM-150 CW-160 CM/63 INCH "/>
    <s v="CHAMBRAY 47330"/>
    <n v="0"/>
    <n v="377.54"/>
    <n v="377.54"/>
    <n v="0"/>
    <m/>
    <n v="0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Chambray 47330"/>
    <n v="150"/>
    <s v="458011-Lycra150Chambray 47330"/>
    <n v="921"/>
    <n v="-17.5"/>
    <n v="377.54"/>
    <s v=""/>
    <s v=""/>
    <s v=""/>
    <n v="0"/>
    <s v=""/>
    <n v="921"/>
    <n v="1.0189999999999999"/>
    <n v="543.46"/>
  </r>
  <r>
    <s v="M &amp; S - T33"/>
    <s v="SQBIR.MS.01266.FY25-26.1"/>
    <m/>
    <m/>
    <m/>
    <m/>
    <s v=""/>
    <n v="772"/>
    <s v="94% Cotton 6% Spandex 190 GSM Molding CW 61 S/J"/>
    <s v="OPALINE 32548"/>
    <s v="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s v=""/>
    <s v=""/>
    <s v=""/>
    <s v=""/>
    <s v=""/>
    <n v="944.92"/>
    <n v="1.0169999999999999"/>
    <n v="276.67899999999997"/>
  </r>
  <r>
    <s v="M &amp; S - T33"/>
    <s v="SQBIR.MS.01266.FY25-26.2"/>
    <m/>
    <m/>
    <m/>
    <m/>
    <s v=""/>
    <n v="773"/>
    <s v="94% Cotton 6% Spandex 190 GSM Molding CW 61 S/J"/>
    <s v="OPALINE 32548"/>
    <n v="0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s v=""/>
    <s v=""/>
    <s v=""/>
    <n v="0"/>
    <s v=""/>
    <n v="944.92"/>
    <n v="1.0169999999999999"/>
    <n v="276.67899999999997"/>
  </r>
  <r>
    <s v="M &amp; S - T33"/>
    <s v="SQBIR.MS.01266.FY25-26.3"/>
    <m/>
    <m/>
    <m/>
    <m/>
    <s v=""/>
    <n v="774"/>
    <s v="94% Cotton 6% Spandex 190 GSM Molding CW 61 S/J"/>
    <s v="OPALINE 32548"/>
    <s v=""/>
    <n v="96.126999999999995"/>
    <n v="96.126999999999995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s v=""/>
    <s v=""/>
    <s v=""/>
    <s v=""/>
    <s v=""/>
    <n v="944.92"/>
    <n v="1.0169999999999999"/>
    <n v="276.67899999999997"/>
  </r>
  <r>
    <s v="M &amp; S - T33"/>
    <s v="SQBIR.MS.01266.FY25-26.4"/>
    <m/>
    <m/>
    <m/>
    <m/>
    <s v=""/>
    <n v="775"/>
    <s v="94% Cotton 6% Spandex 190 GSM Molding CW 61 S/J"/>
    <s v="OPALINE 32548"/>
    <n v="0"/>
    <n v="119.4"/>
    <n v="119.4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s v=""/>
    <s v=""/>
    <n v="0"/>
    <s v=""/>
    <n v="944.92"/>
    <n v="1.0169999999999999"/>
    <n v="276.67899999999997"/>
  </r>
  <r>
    <s v="M &amp; S - T33"/>
    <s v="SQBIR.MS.01266.FY25-26.5"/>
    <m/>
    <m/>
    <m/>
    <m/>
    <s v=""/>
    <n v="776"/>
    <s v="94% Cotton 6% Spandex 190 GSM Molding CW 61 S/J"/>
    <s v="OPALINE 32548"/>
    <s v="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s v=""/>
    <s v=""/>
    <s v=""/>
    <s v=""/>
    <s v=""/>
    <n v="944.92"/>
    <n v="1.0169999999999999"/>
    <n v="276.67899999999997"/>
  </r>
  <r>
    <s v="M &amp; S - T33"/>
    <s v="SQBIR.MS.01266.FY25-26.6"/>
    <m/>
    <m/>
    <m/>
    <m/>
    <s v=""/>
    <n v="777"/>
    <s v="94% Cotton 6% Spandex 190 GSM Molding CW 61 S/J"/>
    <s v="OPALINE 32548"/>
    <s v=""/>
    <n v="130.22999999999999"/>
    <n v="130.22999999999999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OPALINE 32548"/>
    <n v="190"/>
    <s v="451281190OPALINE 32548"/>
    <n v="944.92"/>
    <n v="-16.22"/>
    <n v="668.24099999999999"/>
    <n v="668.24099999999999"/>
    <s v=""/>
    <s v=""/>
    <n v="0"/>
    <s v=""/>
    <n v="944.92"/>
    <n v="1.0169999999999999"/>
    <n v="276.67899999999997"/>
  </r>
  <r>
    <s v="M&amp;S T14"/>
    <s v="SQBIR.MS.030.FY26-27.5"/>
    <m/>
    <m/>
    <m/>
    <m/>
    <s v=""/>
    <n v="780"/>
    <s v=" 95% BCI COTTON 5% LYCRA JERSEY GSM-150 CW-160 CM/63 INCH "/>
    <s v="GREEN 64512"/>
    <s v=""/>
    <n v="3.53"/>
    <n v="3.53"/>
    <n v="0"/>
    <m/>
    <n v="0"/>
    <s v="45124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243-Lycra"/>
    <s v="Green 64512"/>
    <n v="150"/>
    <s v="451243-Lycra150Green 64512"/>
    <n v="930.33"/>
    <n v="-26.83"/>
    <s v=""/>
    <n v="3.53"/>
    <s v=""/>
    <s v=""/>
    <s v=""/>
    <s v=""/>
    <n v="930.33"/>
    <n v="1.03"/>
    <s v=""/>
  </r>
  <r>
    <s v="M&amp;S T14"/>
    <s v="SQBIR.MS.030.FY26-27.5"/>
    <m/>
    <m/>
    <m/>
    <m/>
    <s v=""/>
    <n v="781"/>
    <s v=" 95% BCI COTTON 5% LYCRA JERSEY GSM-150 CW-160 CM/63 INCH "/>
    <s v="MEDIUM BLUE 80772"/>
    <s v=""/>
    <n v="45.02"/>
    <n v="45.02"/>
    <n v="0"/>
    <m/>
    <n v="0"/>
    <s v="451243"/>
    <s v="Solid"/>
    <x v="56"/>
    <d v="2026-10-08T00:00:00"/>
    <d v="2026-10-08T00:00:00"/>
    <s v="Revised Plan given as per revised date"/>
    <m/>
    <s v="Oct"/>
    <d v="2026-10-04T00:00:00"/>
    <m/>
    <m/>
    <m/>
    <m/>
    <m/>
    <m/>
    <m/>
    <m/>
    <m/>
    <m/>
    <s v="451243-Lycra"/>
    <s v="Medium Blue 80772"/>
    <n v="150"/>
    <s v="451243-Lycra150Medium Blue 80772"/>
    <n v="925"/>
    <n v="-21.49"/>
    <s v=""/>
    <n v="45.02"/>
    <s v=""/>
    <s v=""/>
    <s v=""/>
    <s v=""/>
    <n v="925"/>
    <n v="1.024"/>
    <s v=""/>
  </r>
  <r>
    <s v="M &amp; S - T61 (SHK)"/>
    <s v="SQBIR.MS.025.FY26-27.1"/>
    <m/>
    <m/>
    <m/>
    <m/>
    <s v=""/>
    <n v="790"/>
    <s v="SJ BCI 100% CTN NORMAL FINISH 120GSM CUT WIDTH 62"/>
    <s v="WHITE 10001"/>
    <s v=""/>
    <n v="1.9039999999999999"/>
    <n v="1.903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n v="41.847000000000001"/>
    <s v=""/>
    <s v=""/>
    <s v=""/>
    <n v="0"/>
    <s v=""/>
    <n v="43"/>
    <n v="1"/>
    <n v="1.1529999999999987"/>
  </r>
  <r>
    <s v="M &amp; S - T61 (SHK)"/>
    <s v="SQBIR.MS.025.FY26-27.1"/>
    <m/>
    <m/>
    <m/>
    <m/>
    <s v=""/>
    <n v="791"/>
    <s v="SJ BCI 100% CTN NORMAL FINISH 120GSM CUT WIDTH 62"/>
    <s v="MOSS GREEN"/>
    <n v="0"/>
    <n v="16.172999999999998"/>
    <n v="16.172999999999998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s v=""/>
    <s v=""/>
    <s v=""/>
    <s v=""/>
    <n v="0"/>
    <s v=""/>
    <n v="39.049999999999997"/>
    <n v="1.302"/>
    <s v=""/>
  </r>
  <r>
    <s v="M&amp;S T14"/>
    <s v="SQBIR.MS.030.FY26-27.5"/>
    <m/>
    <m/>
    <m/>
    <m/>
    <s v=""/>
    <n v="792"/>
    <s v=" 95% BCI COTTON 5% LYCRA JERSEY GSM-150 CW-160 CM/63 INCH "/>
    <s v="DARK SLATE 23891"/>
    <n v="-10.693333333333333"/>
    <n v="32.08"/>
    <m/>
    <n v="-32.08"/>
    <m/>
    <n v="-32.08"/>
    <s v="451243"/>
    <s v="Solid"/>
    <x v="56"/>
    <d v="2026-10-08T00:00:00"/>
    <d v="2026-10-08T00:00:00"/>
    <s v="Revised Plan given as per revised date"/>
    <m/>
    <s v="Oct"/>
    <d v="2026-10-04T00:00:00"/>
    <m/>
    <m/>
    <m/>
    <m/>
    <m/>
    <m/>
    <m/>
    <m/>
    <m/>
    <m/>
    <s v="451243-Lycra"/>
    <s v="Dark Slate 23891"/>
    <n v="150"/>
    <s v="451243-Lycra150Dark Slate 23891"/>
    <n v="871"/>
    <n v="32.5"/>
    <n v="0"/>
    <s v=""/>
    <s v=""/>
    <s v=""/>
    <n v="32.08"/>
    <s v=""/>
    <n v="871"/>
    <n v="0.96399999999999997"/>
    <n v="871"/>
  </r>
  <r>
    <s v="M &amp; S - T33"/>
    <s v="SQBIR.MS.01266.FY25-26.5"/>
    <m/>
    <m/>
    <m/>
    <m/>
    <s v=""/>
    <n v="793"/>
    <s v="94% Cotton 6% Spandex 190 GSM Molding CW 61 S/J"/>
    <s v="Black"/>
    <n v="-11.733333333333329"/>
    <n v="130.22999999999999"/>
    <n v="95.03"/>
    <n v="-35.199999999999989"/>
    <m/>
    <n v="-35.199999999999989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190"/>
    <s v="451281190Black 10005"/>
    <n v="893.5"/>
    <n v="35.200000000000003"/>
    <s v=""/>
    <s v=""/>
    <s v=""/>
    <s v=""/>
    <n v="35.199999999999989"/>
    <s v=""/>
    <n v="893.5"/>
    <n v="0.96199999999999997"/>
    <s v=""/>
  </r>
  <r>
    <s v="M &amp; S - T61 (KPK)"/>
    <s v="SQBIR.MS.138.FY26-27.7"/>
    <m/>
    <m/>
    <m/>
    <m/>
    <s v=""/>
    <n v="794"/>
    <s v="SJ 95% BCI Cmd Cmpt CTN 5% Inv Ly 140gsm CW63”"/>
    <s v="Black"/>
    <s v=""/>
    <n v="6.54"/>
    <m/>
    <n v="-6.54"/>
    <m/>
    <n v="-6.54"/>
    <s v="459390"/>
    <s v="Solid"/>
    <x v="7"/>
    <d v="2026-10-23T00:00:00"/>
    <d v="2026-10-23T00:00:00"/>
    <s v="Hues Agreed qty as per SQBL required date"/>
    <m/>
    <s v="Oct"/>
    <d v="2026-10-23T00:00:00"/>
    <m/>
    <m/>
    <m/>
    <m/>
    <m/>
    <m/>
    <m/>
    <m/>
    <m/>
    <m/>
    <s v="459390"/>
    <s v="Black 10005"/>
    <n v="140"/>
    <s v="459390140Black 10005"/>
    <n v="0"/>
    <s v="#NA"/>
    <s v=""/>
    <s v=""/>
    <s v=""/>
    <s v=""/>
    <s v=""/>
    <s v=""/>
    <n v="0"/>
    <n v="0"/>
    <s v=""/>
  </r>
  <r>
    <s v="M &amp; S - T61 (KPK)"/>
    <s v="SQBIR.MS.124.FY26-27.8"/>
    <m/>
    <m/>
    <m/>
    <m/>
    <s v=""/>
    <n v="797"/>
    <s v="SJ 95% BCI Cmd Cmpt CTN 5% Inv Ly 140gsm CW63”"/>
    <s v="Black"/>
    <n v="0"/>
    <n v="6.24"/>
    <n v="6.24"/>
    <n v="0"/>
    <m/>
    <n v="0"/>
    <s v="459386"/>
    <s v="Solid"/>
    <x v="55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s v=""/>
    <s v=""/>
    <s v=""/>
    <s v=""/>
    <n v="0"/>
    <s v=""/>
    <n v="5671.31"/>
    <n v="0.96099999999999997"/>
    <s v=""/>
  </r>
  <r>
    <s v="M &amp; S - T33"/>
    <s v="SQBIR.MS.01303.FY25-26.2"/>
    <m/>
    <m/>
    <m/>
    <m/>
    <s v=""/>
    <n v="799"/>
    <s v="94% Cotton 6% Spandex 190 GSM Molding CW 61 S/J"/>
    <s v="GREY MARL"/>
    <s v=""/>
    <n v="9.69"/>
    <n v="9.69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GREY MARL BC05"/>
    <n v="190"/>
    <s v="451550-SP27 2231-Without Cup190GREY MARL BC05"/>
    <n v="474"/>
    <n v="-14.34"/>
    <s v=""/>
    <n v="9.69"/>
    <s v=""/>
    <s v=""/>
    <s v=""/>
    <s v=""/>
    <n v="474"/>
    <n v="1.0309999999999999"/>
    <s v=""/>
  </r>
  <r>
    <s v="M &amp; S - T33"/>
    <s v="SQBIR.MS.01302.FY25-26.10"/>
    <m/>
    <m/>
    <m/>
    <m/>
    <s v=""/>
    <n v="800"/>
    <s v="94% Cotton 6% Spandex 190 GSM Molding CW 61 S/J"/>
    <s v="White 10001"/>
    <s v=""/>
    <n v="51.194000000000003"/>
    <n v="51.194000000000003"/>
    <n v="0"/>
    <m/>
    <n v="0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s v=""/>
    <s v=""/>
    <s v=""/>
    <s v=""/>
    <s v=""/>
    <n v="5854.27"/>
    <n v="0.86499999999999999"/>
    <s v=""/>
  </r>
  <r>
    <s v="M &amp; S - T33"/>
    <s v="SQBIR.MS.01302.FY25-26.11"/>
    <m/>
    <m/>
    <m/>
    <m/>
    <s v=""/>
    <n v="801"/>
    <s v="94% Cotton 6% Spandex 190 GSM Molding CW 61 S/J"/>
    <s v="White 10001"/>
    <s v=""/>
    <n v="572.71500000000003"/>
    <n v="572.71500000000003"/>
    <n v="0"/>
    <m/>
    <n v="0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s v=""/>
    <s v=""/>
    <s v=""/>
    <s v=""/>
    <s v=""/>
    <n v="5854.27"/>
    <n v="0.86499999999999999"/>
    <s v=""/>
  </r>
  <r>
    <s v="M &amp; S - T33"/>
    <s v="SQBIR.MS.01302.FY25-26.14"/>
    <m/>
    <m/>
    <m/>
    <m/>
    <s v=""/>
    <n v="802"/>
    <s v="94% Cotton 6% Spandex 190 GSM Molding CW 61 S/J"/>
    <s v="White 10001"/>
    <s v=""/>
    <n v="12.87"/>
    <n v="12.87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s v=""/>
    <s v=""/>
    <s v=""/>
    <s v=""/>
    <s v=""/>
    <n v="5854.27"/>
    <n v="0.86499999999999999"/>
    <s v=""/>
  </r>
  <r>
    <s v="M &amp; S - T61 (SHK)"/>
    <s v="SQBIR.MS.01279.FY25-26.1"/>
    <m/>
    <m/>
    <m/>
    <m/>
    <s v=""/>
    <n v="803"/>
    <s v="SJ BCI 100% CTN NORMAL FINISH 120GSM CUT WIDTH 62"/>
    <s v="MOSS GREEN"/>
    <s v=""/>
    <n v="18.617000000000001"/>
    <n v="18.617000000000001"/>
    <n v="0"/>
    <m/>
    <n v="0"/>
    <s v="441327"/>
    <s v="Solid"/>
    <x v="22"/>
    <d v="2026-10-07T00:00:00"/>
    <d v="2026-10-07T00:00:00"/>
    <s v="Hues Agreed qty as per SQBL required date"/>
    <m/>
    <s v="Oct"/>
    <d v="2026-10-13T00:00:00"/>
    <m/>
    <m/>
    <m/>
    <m/>
    <m/>
    <m/>
    <m/>
    <m/>
    <m/>
    <m/>
    <s v="441327"/>
    <s v="Moss Green 47977"/>
    <n v="120"/>
    <s v="441327120Moss Green 47977"/>
    <n v="289"/>
    <n v="-7"/>
    <n v="62.36"/>
    <n v="62.36"/>
    <s v=""/>
    <s v=""/>
    <s v=""/>
    <s v=""/>
    <n v="289"/>
    <n v="1.0249999999999999"/>
    <n v="226.64"/>
  </r>
  <r>
    <s v="M &amp; S - T33"/>
    <s v="SQBIR.MS.01304.FY25-26.4"/>
    <m/>
    <m/>
    <m/>
    <m/>
    <s v=""/>
    <n v="804"/>
    <s v="94% Cotton 6% Spandex 235 GSM No Molding CW 64  S/"/>
    <s v="Black"/>
    <n v="0"/>
    <n v="3.74"/>
    <n v="3.7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Black 10005"/>
    <n v="235"/>
    <s v="451547-SP27 7250235Black 10005"/>
    <n v="671"/>
    <n v="-6.71"/>
    <n v="277.82"/>
    <n v="277.82"/>
    <s v=""/>
    <s v=""/>
    <n v="0"/>
    <s v=""/>
    <n v="671"/>
    <n v="1.01"/>
    <n v="393.18"/>
  </r>
  <r>
    <s v="M &amp; S - T33"/>
    <s v="SQBIR.MS.01304.FY25-26.5"/>
    <m/>
    <m/>
    <m/>
    <m/>
    <s v=""/>
    <n v="805"/>
    <s v="94% Cotton 6% Spandex 235 GSM No Molding CW 64  S/"/>
    <s v="Black"/>
    <n v="0"/>
    <n v="129.41499999999999"/>
    <n v="129.4149999999999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235"/>
    <s v="451547-SP27 7250235Black 10005"/>
    <n v="671"/>
    <n v="-6.71"/>
    <s v=""/>
    <s v=""/>
    <s v=""/>
    <s v=""/>
    <n v="0"/>
    <s v=""/>
    <n v="671"/>
    <n v="1.01"/>
    <s v=""/>
  </r>
  <r>
    <s v="M &amp; S - T33"/>
    <s v="SQBIR.MS.01304.FY25-26.6"/>
    <m/>
    <m/>
    <m/>
    <m/>
    <s v=""/>
    <n v="806"/>
    <s v="94% Cotton 6% Spandex 235 GSM No Molding CW 64  S/"/>
    <s v="Black"/>
    <s v=""/>
    <n v="113.74"/>
    <n v="113.74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235"/>
    <s v="451547-SP27 7250235Black 10005"/>
    <n v="671"/>
    <n v="-6.71"/>
    <s v=""/>
    <s v=""/>
    <s v=""/>
    <s v=""/>
    <s v=""/>
    <s v=""/>
    <n v="671"/>
    <n v="1.01"/>
    <s v=""/>
  </r>
  <r>
    <s v="M &amp; S - T33"/>
    <s v="SQBIR.MS.01304.FY25-26.6"/>
    <m/>
    <m/>
    <m/>
    <m/>
    <s v=""/>
    <n v="807"/>
    <s v="94% Cotton 6% Spandex 190 GSM Molding CW 61 S/J"/>
    <s v="Black"/>
    <n v="0"/>
    <n v="361.9"/>
    <n v="361.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Black 10005"/>
    <n v="190"/>
    <s v="451547-SP27 7250190Black 10005"/>
    <n v="2093.67"/>
    <n v="19.98"/>
    <n v="1045.9749999999999"/>
    <n v="1045.9749999999999"/>
    <s v=""/>
    <s v=""/>
    <n v="0"/>
    <s v=""/>
    <n v="2093.67"/>
    <n v="0.99099999999999999"/>
    <n v="1047.6950000000002"/>
  </r>
  <r>
    <s v="M &amp; S - T71"/>
    <s v="SQBIR.MS.154.FY26-27.1"/>
    <m/>
    <m/>
    <m/>
    <m/>
    <s v=""/>
    <n v="808"/>
    <s v="100% BCI COTTON 150 GSM CW 69 IN"/>
    <s v="32312 Soft Blue"/>
    <s v=""/>
    <n v="152.80000000000001"/>
    <m/>
    <n v="-152.80000000000001"/>
    <m/>
    <n v="-152.80000000000001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32312 Soft Blue"/>
    <n v="150"/>
    <s v="46108515032312 Soft Blue"/>
    <n v="0"/>
    <s v="#NA"/>
    <n v="0"/>
    <n v="258.57600000000002"/>
    <s v=""/>
    <s v=""/>
    <s v=""/>
    <s v=""/>
    <n v="0"/>
    <n v="0"/>
    <n v="0"/>
  </r>
  <r>
    <s v="M &amp; S - T61 (KPK)"/>
    <s v="SQBIR.MS.01204.FY25-26.13"/>
    <m/>
    <m/>
    <m/>
    <m/>
    <s v=""/>
    <n v="809"/>
    <s v="SJ 95% BCI Cmd Cmpt CTN 5% Inv Ly 140gsm CW63”"/>
    <s v="PRALINE 22001"/>
    <s v=""/>
    <n v="48.77"/>
    <n v="48.77"/>
    <n v="0"/>
    <m/>
    <n v="0"/>
    <n v="465308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65308"/>
    <s v="Praline 22001"/>
    <n v="140"/>
    <s v="465308140Praline 22001"/>
    <n v="620"/>
    <n v="25"/>
    <s v=""/>
    <s v=""/>
    <s v=""/>
    <s v=""/>
    <s v=""/>
    <s v=""/>
    <n v="620"/>
    <n v="0.96099999999999997"/>
    <s v=""/>
  </r>
  <r>
    <s v="M &amp; S - T71"/>
    <s v="SQBIR.MS.283.FY26-27.1"/>
    <m/>
    <m/>
    <m/>
    <m/>
    <s v=""/>
    <n v="810"/>
    <s v="100% BCI COTTON 150 GSM CW 69 IN"/>
    <s v="Light Aqua 47199 AOP"/>
    <s v=""/>
    <n v="17.8"/>
    <n v="17.8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Light Aqua 47199-AOP-G"/>
    <n v="150"/>
    <s v="465758150Light Aqua 47199-AOP-G"/>
    <n v="163"/>
    <n v="-3"/>
    <s v=""/>
    <s v=""/>
    <s v=""/>
    <s v=""/>
    <n v="0"/>
    <s v=""/>
    <n v="163"/>
    <n v="1.0189999999999999"/>
    <s v=""/>
  </r>
  <r>
    <s v="M &amp; S - T71"/>
    <s v="SQBIR.MS.283.FY26-27.2"/>
    <m/>
    <m/>
    <m/>
    <m/>
    <s v=""/>
    <n v="811"/>
    <s v="100% BCI COTTON 150 GSM CW 69 IN"/>
    <s v="Light Aqua 47199 AOP"/>
    <s v=""/>
    <n v="35.6"/>
    <n v="35.6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Light Aqua 47199-AOP-G"/>
    <n v="150"/>
    <s v="465758150Light Aqua 47199-AOP-G"/>
    <n v="163"/>
    <n v="-3"/>
    <s v=""/>
    <n v="53.400000000000006"/>
    <s v=""/>
    <s v=""/>
    <s v=""/>
    <s v=""/>
    <n v="163"/>
    <n v="1.0189999999999999"/>
    <s v=""/>
  </r>
  <r>
    <s v="M &amp; S - T71"/>
    <s v="SQBIR.MS.283.FY26-27.3"/>
    <m/>
    <m/>
    <m/>
    <m/>
    <s v=""/>
    <n v="812"/>
    <s v="100% BCI COTTON 150 GSM CW 69 IN"/>
    <s v="Light Aqua 47199 AOP"/>
    <s v="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Light Aqua 47199-AOP"/>
    <n v="150"/>
    <s v="465758150Light Aqua 47199-AOP"/>
    <n v="0"/>
    <s v="#NA"/>
    <s v=""/>
    <n v="35.186"/>
    <s v=""/>
    <s v=""/>
    <s v=""/>
    <s v=""/>
    <n v="0"/>
    <n v="0.91300000000000003"/>
    <s v=""/>
  </r>
  <r>
    <s v="M &amp; S - T61 (KPK)"/>
    <s v="SQBIR.MS.108.FY26-27.2"/>
    <m/>
    <m/>
    <m/>
    <m/>
    <s v=""/>
    <n v="814"/>
    <s v="SJ 100% BCI Combed Compact Cotton 120gsm CW62”"/>
    <s v="PRALINE 22001"/>
    <s v=""/>
    <n v="44.4"/>
    <m/>
    <n v="-44.4"/>
    <m/>
    <n v="-44.4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s v=""/>
    <n v="281.99599999999998"/>
    <s v=""/>
    <s v=""/>
    <s v=""/>
    <s v=""/>
    <n v="0"/>
    <n v="0"/>
    <s v=""/>
  </r>
  <r>
    <s v="M &amp; S - T61 (KPK)"/>
    <s v="SQBIR.MS.01205.FY25-26.2"/>
    <m/>
    <m/>
    <m/>
    <m/>
    <s v=""/>
    <n v="815"/>
    <s v="SJ 95% BCI Cmd Cmpt CTN 5% Inv Ly 140gsm CW63”"/>
    <s v="ROSE QUARTS 23830"/>
    <s v=""/>
    <n v="529.49"/>
    <n v="529.49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ROSE QUARTS 23830"/>
    <n v="140"/>
    <s v="441109140ROSE QUARTS 23830"/>
    <n v="1432"/>
    <n v="-12"/>
    <n v="529.49"/>
    <n v="529.49"/>
    <s v=""/>
    <s v=""/>
    <s v=""/>
    <s v=""/>
    <n v="1432"/>
    <n v="1.008"/>
    <n v="902.51"/>
  </r>
  <r>
    <s v="M &amp; S - T61 (KPK)"/>
    <s v="SQBIR.MS.01168.FY25-26.8"/>
    <m/>
    <m/>
    <m/>
    <m/>
    <s v=""/>
    <n v="816"/>
    <s v="SJ 95% BCI Cmd Cmpt CTN 5% Inv Ly 140gsm CW63”"/>
    <s v="Light Cream 81001"/>
    <s v=""/>
    <n v="4.3099999999999996"/>
    <n v="4.3099999999999996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Light Cream 81001"/>
    <n v="140"/>
    <s v="441109140Light Cream 81001"/>
    <n v="153.32"/>
    <n v="-10.32"/>
    <s v=""/>
    <s v=""/>
    <s v=""/>
    <s v=""/>
    <s v=""/>
    <s v=""/>
    <n v="153.32"/>
    <n v="1.0720000000000001"/>
    <s v=""/>
  </r>
  <r>
    <s v="M &amp; S - T61 (KPK)"/>
    <s v="SQBIR.MS.139.FY26-27.2"/>
    <m/>
    <m/>
    <m/>
    <m/>
    <s v=""/>
    <n v="826"/>
    <s v="SJ 95% BCI Cmd Cmpt CTN 5% Inv Ly 140gsm CW63”"/>
    <s v="White"/>
    <n v="-363.33333333333331"/>
    <n v="1090"/>
    <m/>
    <n v="-1090"/>
    <m/>
    <n v="-1090"/>
    <s v="459386"/>
    <s v="Solid"/>
    <x v="26"/>
    <d v="2026-10-16T00:00:00"/>
    <s v="8/10-1500 mtr,10/10-1500,12/10-1500, rest 16/10"/>
    <s v="Hues Agreed qty as per SQBL required date"/>
    <m/>
    <s v="Oct"/>
    <d v="2026-10-04T00:00:00"/>
    <m/>
    <m/>
    <m/>
    <m/>
    <m/>
    <m/>
    <m/>
    <m/>
    <m/>
    <m/>
    <s v="459386"/>
    <s v="White 10001"/>
    <n v="140"/>
    <s v="459386140White 10001"/>
    <n v="6723.76"/>
    <n v="2248.75"/>
    <s v=""/>
    <s v=""/>
    <s v=""/>
    <s v=""/>
    <n v="1090"/>
    <s v=""/>
    <n v="6723.76"/>
    <n v="0.749"/>
    <s v=""/>
  </r>
  <r>
    <s v="M &amp; S - T61 (KPK)"/>
    <s v="SQBIR.MS.01194.FY25-26.9"/>
    <m/>
    <m/>
    <m/>
    <m/>
    <s v=""/>
    <n v="828"/>
    <s v="SJ 95% BCI Cmd Cmpt CTN 5% Inv Ly 140gsm CW63”"/>
    <s v="PRALINE 22001"/>
    <n v="0"/>
    <n v="43"/>
    <n v="43"/>
    <n v="0"/>
    <m/>
    <n v="0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Praline 22001"/>
    <n v="140"/>
    <s v="441109140Praline 22001"/>
    <n v="2113"/>
    <n v="-40"/>
    <n v="43"/>
    <s v=""/>
    <s v=""/>
    <s v=""/>
    <n v="0"/>
    <s v=""/>
    <n v="2113"/>
    <n v="1.0189999999999999"/>
    <n v="2070"/>
  </r>
  <r>
    <s v="M &amp; S - T33"/>
    <s v="SQBIR.MS.01302.FY25-26.11"/>
    <m/>
    <m/>
    <m/>
    <m/>
    <s v=""/>
    <n v="831"/>
    <s v="94% Cotton 6% Spandex 190 GSM Molding CW 61 S/J"/>
    <s v="OPALINE"/>
    <s v=""/>
    <n v="287.55599999999998"/>
    <m/>
    <n v="-287.55599999999998"/>
    <m/>
    <n v="-287.55599999999998"/>
    <s v="451550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0-SP27 2231-Without Cup"/>
    <s v="OPALINE 32548"/>
    <n v="190"/>
    <s v="451550-SP27 2231-Without Cup190OPALINE 32548"/>
    <n v="5904"/>
    <n v="402.15"/>
    <n v="0"/>
    <s v=""/>
    <s v=""/>
    <s v=""/>
    <s v=""/>
    <s v=""/>
    <n v="5904"/>
    <n v="0.93600000000000005"/>
    <n v="5904"/>
  </r>
  <r>
    <s v="M &amp; S - T61 (KPK)"/>
    <s v="SQBIR.MS.01221.FY25-26.6"/>
    <m/>
    <m/>
    <m/>
    <m/>
    <s v=""/>
    <n v="832"/>
    <s v="SJ 95% BCI Cmd Cmpt CTN 5% Inv Ly 140gsm CW63”"/>
    <s v="White 10001"/>
    <n v="-61.9"/>
    <n v="185.7"/>
    <m/>
    <n v="-185.7"/>
    <m/>
    <n v="-185.7"/>
    <s v="441099"/>
    <s v="Solid"/>
    <x v="55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99"/>
    <s v="White 10001"/>
    <n v="140"/>
    <s v="441099140White 10001"/>
    <n v="19632.439999999999"/>
    <n v="1559.56"/>
    <s v=""/>
    <s v=""/>
    <s v=""/>
    <s v=""/>
    <n v="185.7"/>
    <s v=""/>
    <n v="19632.439999999999"/>
    <n v="0.92600000000000005"/>
    <s v=""/>
  </r>
  <r>
    <s v="M &amp; S - T61 (KPK)"/>
    <s v="SQBIR.MS.01207.FY25-26.10"/>
    <m/>
    <m/>
    <m/>
    <m/>
    <s v=""/>
    <n v="833"/>
    <s v="SJ 95% BCI Cmd Cmpt CTN 5% Inv Ly 140gsm CW63”"/>
    <s v="White 10001"/>
    <n v="-63.633333333333333"/>
    <n v="190.9"/>
    <m/>
    <n v="-190.9"/>
    <m/>
    <n v="-190.9"/>
    <s v="44109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41099"/>
    <s v="White 10001"/>
    <n v="140"/>
    <s v="441099140White 10001"/>
    <n v="19632.439999999999"/>
    <n v="1559.56"/>
    <s v=""/>
    <s v=""/>
    <s v=""/>
    <s v=""/>
    <n v="190.9"/>
    <s v=""/>
    <n v="19632.439999999999"/>
    <n v="0.92600000000000005"/>
    <s v=""/>
  </r>
  <r>
    <s v="M &amp; S - T61 (KPK)"/>
    <s v="SQBIR.MS.109.FY26-27.1"/>
    <m/>
    <m/>
    <m/>
    <m/>
    <s v=""/>
    <n v="834"/>
    <s v="SJ 95% BCI Cmd Cmpt CTN 5% Inv Ly 140gsm CW63”"/>
    <s v="Bros B0284"/>
    <n v="-121.37366666666667"/>
    <n v="364.12099999999998"/>
    <m/>
    <n v="-364.12099999999998"/>
    <m/>
    <n v="-364.12099999999998"/>
    <s v="463564"/>
    <s v="Solid"/>
    <x v="12"/>
    <d v="2026-10-25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n v="0"/>
    <s v=""/>
    <s v=""/>
    <s v=""/>
    <n v="364.12099999999998"/>
    <s v=""/>
    <n v="0"/>
    <n v="0"/>
    <n v="0"/>
  </r>
  <r>
    <s v="M &amp; S - T61 (KPK)"/>
    <s v="SQBIR.MS.109.FY26-27.1"/>
    <m/>
    <m/>
    <m/>
    <m/>
    <s v=""/>
    <n v="834"/>
    <s v="SJ 95% BCI Cmd Cmpt CTN 5% Inv Ly 140gsm CW63”"/>
    <s v="Bros B0284"/>
    <s v=""/>
    <n v="319.07900000000001"/>
    <m/>
    <n v="-319.07900000000001"/>
    <m/>
    <n v="-319.07900000000001"/>
    <s v="463564"/>
    <s v="Solid"/>
    <x v="14"/>
    <d v="2026-10-27T00:00:00"/>
    <s v="25/10-2100 MTR,REST REQ QTY-27/10"/>
    <s v="Hues Agreed qty as per SQBL required date"/>
    <m/>
    <s v="Oct"/>
    <d v="2026-10-25T00:00:00"/>
    <m/>
    <m/>
    <m/>
    <m/>
    <m/>
    <m/>
    <m/>
    <m/>
    <m/>
    <m/>
    <s v="463564"/>
    <s v="Bros B0284"/>
    <n v="140"/>
    <s v="463564140Bros B0284"/>
    <n v="0"/>
    <s v="#NA"/>
    <s v=""/>
    <s v=""/>
    <s v=""/>
    <s v=""/>
    <s v=""/>
    <s v=""/>
    <n v="0"/>
    <n v="0"/>
    <s v=""/>
  </r>
  <r>
    <s v="M &amp; S - T61 (KPK)"/>
    <s v="SQBIR.MS.109.FY26-27.1"/>
    <m/>
    <m/>
    <m/>
    <m/>
    <s v=""/>
    <n v="835"/>
    <s v="SJ 100% BCI Combed Compact Cotton 120gsm CW62”"/>
    <s v="Black 10005"/>
    <s v=""/>
    <n v="83.539000000000001"/>
    <m/>
    <n v="-83.539000000000001"/>
    <m/>
    <n v="-83.539000000000001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s v=""/>
    <s v=""/>
    <s v=""/>
    <s v=""/>
    <n v="83.539000000000001"/>
    <s v=""/>
    <n v="0"/>
    <n v="0"/>
    <s v=""/>
  </r>
  <r>
    <s v="M &amp; S - T61 (KPK)"/>
    <s v="SQBIR.MS.106.FY26-27.1"/>
    <m/>
    <m/>
    <m/>
    <m/>
    <s v=""/>
    <n v="836"/>
    <s v="SJ 100% BCI Combed Compact Cotton 120gsm CW62”"/>
    <s v="Black 10005"/>
    <s v=""/>
    <n v="192"/>
    <m/>
    <n v="-192"/>
    <m/>
    <n v="-192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n v="0"/>
    <n v="733.83899999999994"/>
    <s v=""/>
    <s v=""/>
    <s v=""/>
    <s v=""/>
    <n v="0"/>
    <n v="0"/>
    <n v="0"/>
  </r>
  <r>
    <s v="M &amp; S - T33"/>
    <s v="SQBIR.MS.01302.FY25-26.3"/>
    <m/>
    <m/>
    <m/>
    <m/>
    <s v=""/>
    <n v="837"/>
    <s v="94% Cotton 6% Spandex 190 GSM Molding CW 61 S/J"/>
    <s v="Black"/>
    <s v=""/>
    <n v="230.50800000000001"/>
    <n v="230.50800000000001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Black 10005"/>
    <n v="190"/>
    <s v="451550-SP27 2231-Without Cup190Black 10005"/>
    <n v="6232.14"/>
    <n v="74.010000000000005"/>
    <s v=""/>
    <s v=""/>
    <s v=""/>
    <s v=""/>
    <s v=""/>
    <s v=""/>
    <n v="6232.14"/>
    <n v="0.98799999999999999"/>
    <s v=""/>
  </r>
  <r>
    <s v="M &amp; S - T33"/>
    <s v="SQBIR.MS.01302.FY25-26.6"/>
    <m/>
    <m/>
    <m/>
    <m/>
    <s v=""/>
    <n v="838"/>
    <s v="94% Cotton 6% Spandex 190 GSM Molding CW 61 S/J"/>
    <s v="Black"/>
    <s v=""/>
    <n v="335.60599999999999"/>
    <n v="335.6059999999999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Black 10005"/>
    <n v="190"/>
    <s v="451550-SP27 2231-Without Cup190Black 10005"/>
    <n v="6232.14"/>
    <n v="74.010000000000005"/>
    <s v=""/>
    <s v=""/>
    <s v=""/>
    <s v=""/>
    <s v=""/>
    <s v=""/>
    <n v="6232.14"/>
    <n v="0.98799999999999999"/>
    <s v=""/>
  </r>
  <r>
    <s v="M &amp; S - T33"/>
    <s v="SQBIR.MS.01302.FY25-26.7"/>
    <m/>
    <m/>
    <m/>
    <m/>
    <s v=""/>
    <n v="839"/>
    <s v="94% Cotton 6% Spandex 190 GSM Molding CW 61 S/J"/>
    <s v="Black"/>
    <s v=""/>
    <n v="479.43700000000001"/>
    <n v="479.43700000000001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Black 10005"/>
    <n v="190"/>
    <s v="451550-SP27 2231-Without Cup190Black 10005"/>
    <n v="6232.14"/>
    <n v="74.010000000000005"/>
    <s v=""/>
    <n v="2311.6239999999998"/>
    <s v=""/>
    <s v=""/>
    <s v=""/>
    <s v=""/>
    <n v="6232.14"/>
    <n v="0.98799999999999999"/>
    <s v=""/>
  </r>
  <r>
    <s v="M &amp; S - T33"/>
    <s v="SQBIR.MS.01302.FY25-26.8"/>
    <m/>
    <m/>
    <m/>
    <m/>
    <s v=""/>
    <n v="840"/>
    <s v="94% Cotton 6% Spandex 190 GSM Molding CW 61 S/J"/>
    <s v="Black"/>
    <s v=""/>
    <n v="407.52100000000002"/>
    <n v="407.52100000000002"/>
    <n v="0"/>
    <m/>
    <n v="0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-Without Cup"/>
    <s v="Black 10005"/>
    <n v="190"/>
    <s v="451550-SP27 2231-Without Cup190Black 10005"/>
    <n v="6232.14"/>
    <n v="74.010000000000005"/>
    <s v=""/>
    <s v=""/>
    <s v=""/>
    <s v=""/>
    <s v=""/>
    <s v=""/>
    <n v="6232.14"/>
    <n v="0.98799999999999999"/>
    <s v=""/>
  </r>
  <r>
    <s v="M &amp; S - T33"/>
    <s v="SQBIR.MS.01302.FY25-26.9"/>
    <m/>
    <m/>
    <m/>
    <m/>
    <s v=""/>
    <n v="841"/>
    <s v="94% Cotton 6% Spandex 190 GSM Molding CW 61 S/J"/>
    <s v="Black"/>
    <s v=""/>
    <n v="335.60599999999999"/>
    <n v="261.596"/>
    <n v="-74.009999999999991"/>
    <m/>
    <n v="-74.009999999999991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Black 10005"/>
    <n v="190"/>
    <s v="451550-SP27 2231-Without Cup190Black 10005"/>
    <n v="6232.14"/>
    <n v="74.010000000000005"/>
    <s v=""/>
    <n v="2311.6239999999998"/>
    <s v=""/>
    <s v=""/>
    <s v=""/>
    <s v=""/>
    <n v="6232.14"/>
    <n v="0.98799999999999999"/>
    <s v=""/>
  </r>
  <r>
    <s v="M &amp; S - T33"/>
    <s v="SQBIR.MS.01302.FY25-26.5"/>
    <m/>
    <m/>
    <m/>
    <m/>
    <s v=""/>
    <n v="842"/>
    <s v="94% Cotton 6% Spandex 190 GSM Molding CW 61 S/J"/>
    <s v="White 10001"/>
    <s v=""/>
    <n v="11.869"/>
    <n v="11.86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s v=""/>
    <s v=""/>
    <s v=""/>
    <s v=""/>
    <s v=""/>
    <n v="5854.27"/>
    <n v="0.86499999999999999"/>
    <s v=""/>
  </r>
  <r>
    <s v="M &amp; S - T61 (KPK)"/>
    <s v="SQBIR.MS.105.FY26-27.1"/>
    <m/>
    <m/>
    <m/>
    <m/>
    <s v=""/>
    <n v="843"/>
    <s v="SJ 100% BCI Combed Compact Cotton 120gsm CW62”"/>
    <s v="Black 10005"/>
    <s v=""/>
    <n v="36.9"/>
    <m/>
    <n v="-36.9"/>
    <m/>
    <n v="-36.9"/>
    <s v="463564"/>
    <s v="Solid"/>
    <x v="12"/>
    <d v="2026-10-25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20"/>
    <s v="463564120Black 10005"/>
    <n v="0"/>
    <s v="#NA"/>
    <s v=""/>
    <s v=""/>
    <s v=""/>
    <s v=""/>
    <s v=""/>
    <s v=""/>
    <n v="0"/>
    <n v="0"/>
    <s v=""/>
  </r>
  <r>
    <s v="M &amp; S - T61 (KPK)"/>
    <s v="SQBIR.MS.01202.FY25-26.12"/>
    <m/>
    <m/>
    <m/>
    <m/>
    <s v=""/>
    <n v="844"/>
    <s v="SJ 100% BCI Combed Compact Cotton 120gsm CW62”"/>
    <s v="MOONDAST"/>
    <s v=""/>
    <n v="18.225000000000001"/>
    <m/>
    <n v="-18.225000000000001"/>
    <m/>
    <n v="-18.225000000000001"/>
    <s v="440575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0575"/>
    <s v="33396 Moondust"/>
    <n v="120"/>
    <s v="44057512033396 Moondust"/>
    <n v="569.91"/>
    <n v="70.319999999999993"/>
    <s v=""/>
    <s v=""/>
    <s v=""/>
    <s v=""/>
    <s v=""/>
    <s v=""/>
    <n v="569.91"/>
    <n v="0.89"/>
    <s v=""/>
  </r>
  <r>
    <s v="M &amp; S - T61 (KPK)"/>
    <s v="SQBIR.MS.01202.FY25-26.9"/>
    <m/>
    <m/>
    <m/>
    <m/>
    <s v=""/>
    <n v="845"/>
    <s v="SJ 100% BCI Combed Compact Cotton 120gsm CW62”"/>
    <s v="MOONDAST"/>
    <s v=""/>
    <n v="18.646000000000001"/>
    <m/>
    <n v="-18.646000000000001"/>
    <m/>
    <n v="-18.646000000000001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s v=""/>
    <n v="175.45599999999999"/>
    <s v=""/>
    <s v=""/>
    <s v=""/>
    <s v=""/>
    <n v="569.91"/>
    <n v="0.89"/>
    <s v=""/>
  </r>
  <r>
    <s v="M &amp; S - T33"/>
    <s v="SQBIR.MS.01266.FY25-26.1"/>
    <m/>
    <m/>
    <m/>
    <m/>
    <s v=""/>
    <n v="854"/>
    <s v="94% Cotton 6% Spandex 235 GSM No Molding CW 64  S/"/>
    <s v="Black"/>
    <s v="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n v="231.44599999999997"/>
    <n v="231.44599999999997"/>
    <s v=""/>
    <s v=""/>
    <s v=""/>
    <s v=""/>
    <n v="330"/>
    <n v="1.026"/>
    <n v="98.55400000000003"/>
  </r>
  <r>
    <s v="M &amp; S - T61 (KPK)"/>
    <s v="SQBIR.MS.01170.FY25-26.9"/>
    <m/>
    <m/>
    <m/>
    <m/>
    <s v=""/>
    <n v="870"/>
    <s v="SJ 100% BCI Combed Compact Cotton 120gsm CW62”"/>
    <s v="MOONDAST"/>
    <s v=""/>
    <n v="15.917"/>
    <m/>
    <n v="-15.917"/>
    <m/>
    <n v="-15.917"/>
    <s v="440575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0575"/>
    <s v="33396 Moondust"/>
    <n v="120"/>
    <s v="44057512033396 Moondust"/>
    <n v="569.91"/>
    <n v="70.319999999999993"/>
    <n v="105.13600000000001"/>
    <n v="175.45599999999999"/>
    <s v=""/>
    <s v=""/>
    <s v=""/>
    <s v=""/>
    <n v="569.91"/>
    <n v="0.89"/>
    <n v="464.77399999999994"/>
  </r>
  <r>
    <s v="M &amp; S - T61 (KPK)"/>
    <s v="SQBIR.MS.01347.FY25-26.2"/>
    <m/>
    <m/>
    <m/>
    <m/>
    <s v=""/>
    <n v="884"/>
    <s v="SJ 95% BCI Cmd Cmpt CTN 5% Inv Ly 140gsm CW63”"/>
    <s v="Navy 48633"/>
    <s v="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3568.27"/>
    <n v="-94.27"/>
    <s v=""/>
    <s v=""/>
    <s v=""/>
    <s v=""/>
    <s v=""/>
    <s v=""/>
    <n v="3568.27"/>
    <n v="1.0269999999999999"/>
    <s v=""/>
  </r>
  <r>
    <s v="M &amp; S - T61 (KPK)"/>
    <s v="SQBIR.MS.01347.FY25-26.3"/>
    <m/>
    <m/>
    <m/>
    <m/>
    <s v=""/>
    <n v="885"/>
    <s v="SJ 95% BCI Cmd Cmpt CTN 5% Inv Ly 140gsm CW63”"/>
    <s v="Navy 48633"/>
    <s v="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40"/>
    <s v="457079140NAVY 48633"/>
    <n v="3568.27"/>
    <n v="-94.27"/>
    <n v="1207"/>
    <s v=""/>
    <s v=""/>
    <s v=""/>
    <s v=""/>
    <s v=""/>
    <n v="3568.27"/>
    <n v="1.0269999999999999"/>
    <n v="2361.27"/>
  </r>
  <r>
    <s v="M &amp; S - T61 (KPK)"/>
    <s v="SQBIR.MS.01347.FY25-26.4"/>
    <m/>
    <m/>
    <m/>
    <m/>
    <s v=""/>
    <n v="886"/>
    <s v="SJ 95% BCI Cmd Cmpt CTN 5% Inv Ly 140gsm CW63”"/>
    <s v="Navy 48633"/>
    <s v="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NAVY 48633"/>
    <n v="140"/>
    <s v="457079140NAVY 48633"/>
    <n v="3568.27"/>
    <n v="-94.27"/>
    <s v=""/>
    <s v=""/>
    <s v=""/>
    <s v=""/>
    <s v=""/>
    <s v=""/>
    <n v="3568.27"/>
    <n v="1.0269999999999999"/>
    <s v=""/>
  </r>
  <r>
    <s v="M &amp; S - T61 (KPK)"/>
    <s v="SQBIR.MS.01348.FY25-26.1"/>
    <m/>
    <m/>
    <m/>
    <m/>
    <s v=""/>
    <n v="887"/>
    <s v="SJ 95% BCI Cmd Cmpt CTN 5% Inv Ly 140gsm CW63”"/>
    <s v="Navy 48633"/>
    <s v=""/>
    <n v="116.6"/>
    <n v="116.6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3568.27"/>
    <n v="-94.27"/>
    <n v="1207"/>
    <n v="1207"/>
    <s v=""/>
    <s v=""/>
    <s v=""/>
    <s v=""/>
    <n v="3568.27"/>
    <n v="1.0269999999999999"/>
    <n v="2361.27"/>
  </r>
  <r>
    <s v="M &amp; S - T61 (KPK)"/>
    <s v="SQBIR.MS.01347.FY25-26.4"/>
    <m/>
    <m/>
    <m/>
    <m/>
    <s v=""/>
    <n v="888"/>
    <s v="SJ 100% BCI Combed Compact Cotton 120gsm CW62”"/>
    <s v="IVORY 80762"/>
    <s v=""/>
    <n v="21"/>
    <n v="2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20"/>
    <s v="457079120IVORY 80762"/>
    <n v="319"/>
    <n v="-8"/>
    <s v=""/>
    <s v=""/>
    <s v=""/>
    <s v=""/>
    <s v=""/>
    <s v=""/>
    <n v="319"/>
    <n v="1.026"/>
    <s v=""/>
  </r>
  <r>
    <s v="M &amp; S - T61 (SHK)"/>
    <s v="SQBIR.MS.025.FY26-27.2"/>
    <m/>
    <m/>
    <m/>
    <m/>
    <s v=""/>
    <n v="889"/>
    <s v="SJ BCI 100% CTN NORMAL FINISH 120GSM CUT WIDTH 62"/>
    <s v="MOSS GREEN"/>
    <s v=""/>
    <n v="11.24"/>
    <n v="11.24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Moss Green 47977"/>
    <n v="120"/>
    <s v="451557120Moss Green 47977"/>
    <n v="39.049999999999997"/>
    <n v="-9.0500000000000007"/>
    <s v=""/>
    <s v=""/>
    <s v=""/>
    <s v=""/>
    <s v=""/>
    <s v=""/>
    <n v="39.049999999999997"/>
    <n v="1.302"/>
    <s v=""/>
  </r>
  <r>
    <s v="M &amp; S - T61 (SHK)"/>
    <s v="SQBIR.MS.027.FY26-27.3"/>
    <m/>
    <m/>
    <m/>
    <m/>
    <s v=""/>
    <n v="892"/>
    <s v="SJ BCI 100% CTN NORMAL FINISH 120GSM CUT WIDTH 62"/>
    <s v="WHITE 10001"/>
    <s v=""/>
    <n v="6.8559999999999999"/>
    <n v="6.8559999999999999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White 10001"/>
    <n v="120"/>
    <s v="451557120White 10001"/>
    <n v="43"/>
    <n v="0"/>
    <s v=""/>
    <n v="41.847000000000001"/>
    <s v=""/>
    <s v=""/>
    <s v=""/>
    <s v=""/>
    <n v="43"/>
    <n v="1"/>
    <s v=""/>
  </r>
  <r>
    <s v="M &amp; S - T61 (KPK)"/>
    <s v="SQBIR.MS.01204.FY25-26.13"/>
    <m/>
    <m/>
    <m/>
    <m/>
    <s v=""/>
    <n v="893"/>
    <s v="SJ 100% BCI Combed Compact Cotton 120gsm CW62”"/>
    <s v="Black AOP Gusset"/>
    <s v=""/>
    <n v="18.45"/>
    <m/>
    <n v="-18.45"/>
    <m/>
    <n v="-18.45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-AOP-G"/>
    <n v="120"/>
    <s v="441109120Black 10005-AOP-G"/>
    <n v="0"/>
    <s v="#NA"/>
    <s v=""/>
    <s v=""/>
    <s v=""/>
    <s v=""/>
    <s v=""/>
    <s v=""/>
    <n v="0"/>
    <n v="0"/>
    <s v=""/>
  </r>
  <r>
    <s v="M &amp; S - T61 (KPK)"/>
    <s v="SQBIR.MS.01204.FY25-26.14"/>
    <m/>
    <m/>
    <m/>
    <m/>
    <s v=""/>
    <n v="894"/>
    <s v="SJ 100% BCI Combed Compact Cotton 120gsm CW62”"/>
    <s v="Black AOP Gusset"/>
    <s v=""/>
    <n v="18.45"/>
    <m/>
    <n v="-18.45"/>
    <m/>
    <n v="-18.45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-AOP-G"/>
    <n v="120"/>
    <s v="441109120Black 10005-AOP-G"/>
    <n v="0"/>
    <s v="#NA"/>
    <s v=""/>
    <s v=""/>
    <s v=""/>
    <s v=""/>
    <s v=""/>
    <s v=""/>
    <n v="0"/>
    <n v="0"/>
    <s v=""/>
  </r>
  <r>
    <s v="M &amp; S - T61 (KPK)"/>
    <s v="SQBIR.MS.01253.FY25-26.6"/>
    <m/>
    <m/>
    <m/>
    <m/>
    <s v=""/>
    <n v="895"/>
    <s v="SJ 100% BCI Combed Compact Cotton 120gsm CW62”"/>
    <s v="Black AOP Gusset"/>
    <s v=""/>
    <n v="16.600000000000001"/>
    <m/>
    <n v="-16.600000000000001"/>
    <m/>
    <n v="-16.600000000000001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Black 10005-AOP-G"/>
    <n v="120"/>
    <s v="441109120Black 10005-AOP-G"/>
    <n v="0"/>
    <s v="#NA"/>
    <s v=""/>
    <s v=""/>
    <s v=""/>
    <s v=""/>
    <s v=""/>
    <s v=""/>
    <n v="0"/>
    <n v="0"/>
    <s v=""/>
  </r>
  <r>
    <s v="M &amp; S - T61 (KPK)"/>
    <s v="SQBIR.MS.01194.FY25-26.9"/>
    <m/>
    <m/>
    <m/>
    <m/>
    <s v=""/>
    <n v="899"/>
    <s v="SJ 100% BCI Combed Compact Cotton 120gsm CW62”"/>
    <s v="Black AOP Gusset"/>
    <s v=""/>
    <n v="22.2"/>
    <m/>
    <n v="-22.2"/>
    <m/>
    <n v="-22.2"/>
    <s v="44110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109"/>
    <s v="Black 10005-AOP-G"/>
    <n v="120"/>
    <s v="441109120Black 10005-AOP-G"/>
    <n v="0"/>
    <s v="#NA"/>
    <s v=""/>
    <n v="75.7"/>
    <s v=""/>
    <s v=""/>
    <s v=""/>
    <s v=""/>
    <n v="0"/>
    <n v="0"/>
    <s v=""/>
  </r>
  <r>
    <s v="M &amp; S - T33"/>
    <s v="SQBIR.MS.01259.FY25-26.1"/>
    <m/>
    <m/>
    <m/>
    <m/>
    <s v=""/>
    <n v="901"/>
    <s v="94% Cotton 6% Spandex 190 GSM Molding CW 61 S/J"/>
    <s v="Soft Turquoise"/>
    <s v=""/>
    <n v="116"/>
    <n v="116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Soft Turquoise 21030"/>
    <n v="190"/>
    <s v="451241-SP27 3276-Cup190Soft Turquoise 21030"/>
    <n v="1822.8"/>
    <n v="28.79"/>
    <s v=""/>
    <s v=""/>
    <s v=""/>
    <s v=""/>
    <s v=""/>
    <s v=""/>
    <n v="1822.8"/>
    <n v="0.98399999999999999"/>
    <s v=""/>
  </r>
  <r>
    <s v="M &amp; S - T33"/>
    <s v="SQBIR.MS.01259.FY25-26.2"/>
    <m/>
    <m/>
    <m/>
    <m/>
    <s v=""/>
    <n v="902"/>
    <s v="94% Cotton 6% Spandex 190 GSM Molding CW 61 S/J"/>
    <s v="Soft Turquoise"/>
    <s v=""/>
    <n v="977.76400000000001"/>
    <n v="948.97400000000005"/>
    <n v="-28.789999999999964"/>
    <m/>
    <n v="-28.789999999999964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Soft Turquoise 21030"/>
    <n v="190"/>
    <s v="451241-SP27 3276-Cup190Soft Turquoise 21030"/>
    <n v="1822.8"/>
    <n v="28.79"/>
    <s v=""/>
    <n v="1093.7640000000001"/>
    <s v=""/>
    <s v=""/>
    <s v=""/>
    <s v=""/>
    <n v="1822.8"/>
    <n v="0.98399999999999999"/>
    <s v=""/>
  </r>
  <r>
    <s v="M &amp; S - T61 (KPK)"/>
    <s v="SQBIR.MS.134.FY26-27.1"/>
    <m/>
    <m/>
    <m/>
    <m/>
    <s v=""/>
    <n v="905"/>
    <s v="SJ 95% BCI Cmd Cmpt CTN 5% Inv Ly 140gsm CW63”"/>
    <s v="Black"/>
    <s v=""/>
    <n v="1095.644"/>
    <n v="1095.644"/>
    <n v="0"/>
    <m/>
    <n v="0"/>
    <s v="459386"/>
    <s v="Solid"/>
    <x v="55"/>
    <d v="2026-10-09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s v=""/>
    <s v=""/>
    <s v=""/>
    <s v=""/>
    <s v=""/>
    <s v=""/>
    <n v="5671.31"/>
    <n v="0.96099999999999997"/>
    <s v=""/>
  </r>
  <r>
    <s v="M &amp; S - T61 (KPK)"/>
    <s v="SQBIR.MS.134.FY26-27.1"/>
    <m/>
    <m/>
    <m/>
    <m/>
    <s v=""/>
    <n v="905"/>
    <s v="SJ 95% BCI Cmd Cmpt CTN 5% Inv Ly 140gsm CW63”"/>
    <s v="Black"/>
    <s v=""/>
    <n v="1203.356"/>
    <n v="971.31600000000003"/>
    <n v="-232.03999999999996"/>
    <m/>
    <n v="-232.03999999999996"/>
    <s v="459386"/>
    <s v="Solid"/>
    <x v="53"/>
    <d v="2026-10-12T00:00:00"/>
    <s v="7/10-750 mtr,8/10-2300 mtr,9/10-1650, rest 12/10"/>
    <s v="Hues Agreed qty as per SQBL required date"/>
    <m/>
    <s v="Oct"/>
    <d v="2026-10-04T00:00:00"/>
    <m/>
    <m/>
    <m/>
    <m/>
    <m/>
    <m/>
    <m/>
    <m/>
    <m/>
    <m/>
    <s v="459386"/>
    <s v="Black 10005"/>
    <n v="140"/>
    <s v="459386140Black 10005"/>
    <n v="5671.31"/>
    <n v="232.04"/>
    <s v=""/>
    <n v="5903.3559999999998"/>
    <s v=""/>
    <s v=""/>
    <s v=""/>
    <s v=""/>
    <n v="5671.31"/>
    <n v="0.96099999999999997"/>
    <s v=""/>
  </r>
  <r>
    <s v="M &amp; S - T71"/>
    <s v="SQBIR.MS.155.FY26-27.2"/>
    <m/>
    <m/>
    <m/>
    <m/>
    <s v=""/>
    <n v="910"/>
    <s v="KNIT WEFT KNITTED SINGLE JERSEY BCI COMBED COTTON 100% GSM-150 CW-150CM/59INCH  "/>
    <s v="T71SU26 SAILING Stripe"/>
    <s v=""/>
    <n v="212.54499999999999"/>
    <m/>
    <n v="-212.54499999999999"/>
    <m/>
    <n v="-212.54499999999999"/>
    <s v="461085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T71 SU26 SAILING Stripe"/>
    <n v="150"/>
    <s v="461085150T71 SU26 SAILING Stripe"/>
    <n v="0"/>
    <s v="#NA"/>
    <s v=""/>
    <s v=""/>
    <s v=""/>
    <s v=""/>
    <s v=""/>
    <s v=""/>
    <n v="0"/>
    <n v="0"/>
    <s v=""/>
  </r>
  <r>
    <s v="M &amp; S - T71"/>
    <s v="SQBIR.MS.155.FY26-27.1"/>
    <m/>
    <m/>
    <m/>
    <m/>
    <s v=""/>
    <n v="919"/>
    <s v="KNIT WEFT KNITTED SINGLE JERSEY BCI COMBED COTTON 100% GSM-150 CW-150CM/59INCH  "/>
    <s v="T71SU26 SAILING Stripe base 64447 Medium Coral-YD"/>
    <s v=""/>
    <n v="213"/>
    <n v="213"/>
    <n v="0"/>
    <m/>
    <n v="0"/>
    <s v="461085"/>
    <s v="Solid"/>
    <x v="54"/>
    <d v="2026-10-10T00:00:00"/>
    <d v="2026-10-10T00:00:00"/>
    <s v="Revised Plan given as per revised date"/>
    <s v="OTT ADVANCEMENT"/>
    <s v="Oct"/>
    <d v="2026-10-04T00:00:00"/>
    <m/>
    <m/>
    <m/>
    <m/>
    <m/>
    <m/>
    <m/>
    <m/>
    <m/>
    <m/>
    <s v="461085"/>
    <s v="T71 SU26 SAILING Stripe base 64447 Medium Coral"/>
    <n v="150"/>
    <s v="461085150T71 SU26 SAILING Stripe base 64447 Medium Coral"/>
    <n v="540.11"/>
    <n v="-4.1100000000000003"/>
    <n v="319.27199999999999"/>
    <n v="319.27199999999999"/>
    <s v=""/>
    <s v=""/>
    <s v=""/>
    <s v=""/>
    <n v="540.11"/>
    <n v="1.008"/>
    <n v="220.83800000000002"/>
  </r>
  <r>
    <s v="M &amp; S - T61 (KPK)"/>
    <s v="SQBIR.MS.129.FY26-27.1"/>
    <m/>
    <m/>
    <m/>
    <m/>
    <b v="0"/>
    <n v="920"/>
    <s v="SJ 100% BCI Combed Compact Cotton 120gsm CW62”"/>
    <s v="White 10001"/>
    <n v="-69.019333333333336"/>
    <n v="207.05799999999999"/>
    <m/>
    <n v="-207.05799999999999"/>
    <m/>
    <n v="-207.05799999999999"/>
    <s v="463564"/>
    <s v="Solid"/>
    <x v="12"/>
    <d v="2026-10-25T00:00:00"/>
    <s v="25/10-1500 MTR, REST REQ QTY-27/10"/>
    <s v="Hues Agreed qty as per SQBL required date"/>
    <m/>
    <s v="Oct"/>
    <d v="2026-10-25T00:00:00"/>
    <m/>
    <m/>
    <m/>
    <m/>
    <m/>
    <m/>
    <m/>
    <m/>
    <m/>
    <m/>
    <s v="463564"/>
    <s v="White 10001"/>
    <n v="120"/>
    <s v="463564120White 10001"/>
    <n v="0"/>
    <s v="#NA"/>
    <n v="0"/>
    <n v="207.05799999999999"/>
    <s v=""/>
    <s v=""/>
    <n v="207.05799999999999"/>
    <b v="0"/>
    <n v="0"/>
    <n v="0"/>
    <n v="0"/>
  </r>
  <r>
    <s v="M &amp; S - T61 (KPK)"/>
    <s v="SQBIR.MS.01159.FY25-26.8"/>
    <m/>
    <m/>
    <m/>
    <m/>
    <s v=""/>
    <n v="921"/>
    <s v="SJ 95% BCI Cmd Cmpt CTN 5% Inv Ly 140gsm CW63”"/>
    <s v="Black 10005"/>
    <s v=""/>
    <n v="1010.69"/>
    <m/>
    <n v="-1010.69"/>
    <m/>
    <n v="-1010.69"/>
    <s v="441109"/>
    <s v="Solid"/>
    <x v="3"/>
    <d v="2026-10-04T00:00:00"/>
    <d v="2026-10-04T00:00:00"/>
    <s v="Hues Agreed qty as per SQBL required date"/>
    <m/>
    <s v="Oct"/>
    <d v="2026-10-07T00:00:00"/>
    <m/>
    <m/>
    <m/>
    <m/>
    <m/>
    <m/>
    <m/>
    <m/>
    <m/>
    <m/>
    <s v="441109"/>
    <s v="Black 10005"/>
    <n v="140"/>
    <s v="441109140Black 10005"/>
    <n v="22954.89"/>
    <n v="1674.11"/>
    <n v="8260.17"/>
    <n v="9934.2800000000007"/>
    <s v=""/>
    <s v=""/>
    <s v=""/>
    <s v=""/>
    <n v="22954.89"/>
    <n v="0.93200000000000005"/>
    <n v="14694.72"/>
  </r>
  <r>
    <s v="M &amp; S - T33"/>
    <s v="SQBIR.MS.01304.FY25-26.2"/>
    <m/>
    <m/>
    <m/>
    <m/>
    <s v=""/>
    <n v="922"/>
    <s v="94% Cotton 6% Spandex 190 GSM Molding CW 61 S/J"/>
    <s v="White 10001"/>
    <s v=""/>
    <n v="225.4"/>
    <n v="225.4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159"/>
    <n v="-45.35"/>
    <s v=""/>
    <s v=""/>
    <s v=""/>
    <s v=""/>
    <s v=""/>
    <s v=""/>
    <n v="2159"/>
    <n v="1.0209999999999999"/>
    <s v=""/>
  </r>
  <r>
    <s v="M &amp; S - T33"/>
    <s v="SQBIR.MS.01304.FY25-26.3"/>
    <m/>
    <m/>
    <m/>
    <m/>
    <s v=""/>
    <n v="923"/>
    <s v="94% Cotton 6% Spandex 190 GSM Molding CW 61 S/J"/>
    <s v="White 10001"/>
    <s v=""/>
    <n v="35"/>
    <n v="35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159"/>
    <n v="-45.35"/>
    <n v="1045.9749999999999"/>
    <s v=""/>
    <s v=""/>
    <s v=""/>
    <s v=""/>
    <s v=""/>
    <n v="2159"/>
    <n v="1.0209999999999999"/>
    <n v="1113.0250000000001"/>
  </r>
  <r>
    <s v="M &amp; S - T33"/>
    <s v="SQBIR.MS.01304.FY25-26.4"/>
    <m/>
    <m/>
    <m/>
    <m/>
    <s v=""/>
    <n v="924"/>
    <s v="94% Cotton 6% Spandex 190 GSM Molding CW 61 S/J"/>
    <s v="White 10001"/>
    <s v=""/>
    <n v="11.9"/>
    <n v="11.9"/>
    <n v="0"/>
    <m/>
    <n v="0"/>
    <s v="451547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47-SP27 7250"/>
    <s v="White 10001"/>
    <n v="190"/>
    <s v="451547-SP27 7250190White 10001"/>
    <n v="2159"/>
    <n v="-45.35"/>
    <s v=""/>
    <n v="1045.9749999999999"/>
    <s v=""/>
    <s v=""/>
    <s v=""/>
    <s v=""/>
    <n v="2159"/>
    <n v="1.0209999999999999"/>
    <s v=""/>
  </r>
  <r>
    <s v="M &amp; S - T33"/>
    <s v="SQBIR.MS.01304.FY25-26.5"/>
    <m/>
    <m/>
    <m/>
    <m/>
    <s v=""/>
    <n v="925"/>
    <s v="94% Cotton 6% Spandex 190 GSM Molding CW 61 S/J"/>
    <s v="White 10001"/>
    <s v=""/>
    <n v="411.77499999999998"/>
    <n v="411.77499999999998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White 10001"/>
    <n v="190"/>
    <s v="451547-SP27 7250190White 10001"/>
    <n v="2159"/>
    <n v="-45.35"/>
    <n v="1045.9749999999999"/>
    <n v="1045.9749999999999"/>
    <s v=""/>
    <s v=""/>
    <s v=""/>
    <s v=""/>
    <n v="2159"/>
    <n v="1.0209999999999999"/>
    <n v="1113.0250000000001"/>
  </r>
  <r>
    <s v="M &amp; S - T33"/>
    <s v="SQBIR.MS.01304.FY25-26.6"/>
    <m/>
    <m/>
    <m/>
    <m/>
    <s v=""/>
    <n v="926"/>
    <s v="94% Cotton 6% Spandex 190 GSM Molding CW 61 S/J"/>
    <s v="White 10001"/>
    <s v=""/>
    <n v="361.9"/>
    <n v="361.9"/>
    <n v="0"/>
    <m/>
    <n v="0"/>
    <s v="451547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47-SP27 7250"/>
    <s v="White 10001"/>
    <n v="190"/>
    <s v="451547-SP27 7250190White 10001"/>
    <n v="2159"/>
    <n v="-45.35"/>
    <s v=""/>
    <s v=""/>
    <s v=""/>
    <s v=""/>
    <s v=""/>
    <s v=""/>
    <n v="2159"/>
    <n v="1.0209999999999999"/>
    <s v=""/>
  </r>
  <r>
    <s v="M &amp; S - T33"/>
    <s v="SQBIR.MS.01259.FY25-26.1"/>
    <m/>
    <m/>
    <m/>
    <m/>
    <s v=""/>
    <n v="927"/>
    <s v="94% Cotton 6% Spandex 235 GSM No Molding CW 64  S/"/>
    <s v="Bros"/>
    <n v="0"/>
    <n v="52"/>
    <n v="52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Bros B2692"/>
    <n v="235"/>
    <s v="451241-SP27 3276-Cup235Bros B2692"/>
    <n v="811.52"/>
    <n v="18.5"/>
    <s v=""/>
    <s v=""/>
    <s v=""/>
    <s v=""/>
    <n v="0"/>
    <s v=""/>
    <n v="811.52"/>
    <n v="0.97799999999999998"/>
    <s v=""/>
  </r>
  <r>
    <s v="M &amp; S - T33"/>
    <s v="SQBIR.MS.01259.FY25-26.2"/>
    <m/>
    <m/>
    <m/>
    <m/>
    <s v=""/>
    <n v="928"/>
    <s v="94% Cotton 6% Spandex 235 GSM No Molding CW 64  S/"/>
    <s v="Bros"/>
    <s v=""/>
    <n v="438.30799999999999"/>
    <n v="438.30799999999999"/>
    <n v="0"/>
    <m/>
    <n v="0"/>
    <s v="451241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241-SP27 3276-Cup"/>
    <s v="Bros B2692"/>
    <n v="235"/>
    <s v="451241-SP27 3276-Cup235Bros B2692"/>
    <n v="811.52"/>
    <n v="18.5"/>
    <s v=""/>
    <n v="490.30799999999999"/>
    <s v=""/>
    <s v=""/>
    <s v=""/>
    <s v=""/>
    <n v="811.52"/>
    <n v="0.97799999999999998"/>
    <s v=""/>
  </r>
  <r>
    <s v="M &amp; S - T33"/>
    <s v="SQBIR.MS.01311.FY25-26.7"/>
    <m/>
    <m/>
    <m/>
    <m/>
    <s v=""/>
    <n v="929"/>
    <s v="94% Cotton 6% Spandex 180 GSM No Molding CW 63  S/"/>
    <s v="White"/>
    <n v="0"/>
    <n v="4.173"/>
    <n v="4.173"/>
    <n v="0"/>
    <m/>
    <n v="0"/>
    <s v="452474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2474-SP27 9643"/>
    <s v="White 10001"/>
    <n v="180"/>
    <s v="452474-SP27 9643180White 10001"/>
    <n v="435"/>
    <n v="18.579999999999998"/>
    <n v="260.98099999999999"/>
    <n v="260.98099999999999"/>
    <s v=""/>
    <s v=""/>
    <n v="0"/>
    <s v=""/>
    <n v="435"/>
    <n v="0.95899999999999996"/>
    <n v="174.01900000000001"/>
  </r>
  <r>
    <s v="M &amp; S - T61 (KPK)"/>
    <s v="SQBIR.MS.01205.FY25-26.2"/>
    <m/>
    <m/>
    <m/>
    <m/>
    <n v="39.65"/>
    <n v="930"/>
    <s v="SJ 95% BCI Cmd Cmpt CTN 5% Inv Ly 140gsm CW63”"/>
    <s v="ROSE QUARTS 23830"/>
    <n v="0"/>
    <n v="187.71"/>
    <n v="187.71"/>
    <n v="0"/>
    <m/>
    <n v="0"/>
    <s v="45259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2593"/>
    <s v="ROSE QUARTS 23830"/>
    <n v="140"/>
    <s v="452593140ROSE QUARTS 23830"/>
    <n v="3828.92"/>
    <n v="-39.65"/>
    <s v=""/>
    <s v=""/>
    <s v=""/>
    <s v=""/>
    <n v="0"/>
    <n v="39.65"/>
    <n v="3828.92"/>
    <n v="1.01"/>
    <s v=""/>
  </r>
  <r>
    <s v="M&amp;S T14"/>
    <s v="SQBIR.MS.031.FY26-27.5"/>
    <m/>
    <m/>
    <m/>
    <m/>
    <s v=""/>
    <n v="932"/>
    <s v=" 95% BCI COTTON 5% LYCRA JERSEY GSM-150 CW-160 CM/63 INCH "/>
    <s v="DARK INK"/>
    <s v=""/>
    <n v="238.2"/>
    <n v="238.2"/>
    <n v="0"/>
    <m/>
    <n v="0"/>
    <s v="45801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8011-Lycra"/>
    <s v="Dark Ink 17613"/>
    <n v="150"/>
    <s v="458011-Lycra150Dark Ink 17613"/>
    <n v="2579"/>
    <n v="131.9"/>
    <s v=""/>
    <s v=""/>
    <s v=""/>
    <s v=""/>
    <s v=""/>
    <s v=""/>
    <n v="2579"/>
    <n v="0.95099999999999996"/>
    <s v=""/>
  </r>
  <r>
    <s v="M&amp;S T14"/>
    <s v="SQBIR.MS.030.FY26-27.7"/>
    <m/>
    <m/>
    <m/>
    <m/>
    <s v=""/>
    <n v="933"/>
    <s v=" 95% BCI COTTON 5% LYCRA JERSEY GSM-150 CW-160 CM/63 INCH "/>
    <s v="DARK INK"/>
    <n v="-43.966666666666661"/>
    <n v="903.5"/>
    <n v="771.6"/>
    <n v="-131.89999999999998"/>
    <m/>
    <n v="-131.89999999999998"/>
    <s v="458011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8011-Lycra"/>
    <s v="Dark Ink 17613"/>
    <n v="150"/>
    <s v="458011-Lycra150Dark Ink 17613"/>
    <n v="2579"/>
    <n v="131.9"/>
    <s v=""/>
    <s v=""/>
    <s v=""/>
    <s v=""/>
    <n v="131.89999999999998"/>
    <s v=""/>
    <n v="2579"/>
    <n v="0.95099999999999996"/>
    <s v=""/>
  </r>
  <r>
    <s v="M &amp; S - T33"/>
    <s v="SQBIR.MS.01266.FY25-26.2"/>
    <m/>
    <m/>
    <m/>
    <m/>
    <s v=""/>
    <n v="934"/>
    <s v="94% Cotton 6% Spandex 235 GSM No Molding CW 64  S/"/>
    <s v="Black"/>
    <s v=""/>
    <n v="33.293999999999997"/>
    <n v="33.293999999999997"/>
    <n v="0"/>
    <m/>
    <n v="0"/>
    <s v="45128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81"/>
    <s v="Black 10005"/>
    <n v="235"/>
    <s v="451281235Black 10005"/>
    <n v="330"/>
    <n v="-8.35"/>
    <s v=""/>
    <s v=""/>
    <s v=""/>
    <s v=""/>
    <s v=""/>
    <s v=""/>
    <n v="330"/>
    <n v="1.026"/>
    <s v=""/>
  </r>
  <r>
    <s v="M &amp; S - T33"/>
    <s v="SQBIR.MS.01300.FY25-26.8"/>
    <m/>
    <m/>
    <m/>
    <m/>
    <s v=""/>
    <n v="935"/>
    <s v="100% BCI Cotton 140gsm CW68”"/>
    <s v="Black"/>
    <n v="0"/>
    <n v="47.3"/>
    <n v="47.3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-Cookie Cup"/>
    <s v="Black 10005"/>
    <n v="140"/>
    <s v="451603-SP27 0713-Cookie Cup140Black 10005"/>
    <n v="462"/>
    <n v="-8.7799999999999994"/>
    <s v=""/>
    <n v="281.22000000000003"/>
    <s v=""/>
    <s v=""/>
    <n v="0"/>
    <s v=""/>
    <n v="462"/>
    <n v="1.0189999999999999"/>
    <s v=""/>
  </r>
  <r>
    <s v="M &amp; S - T61 (SHK)"/>
    <s v="SQBIR.MS.024.FY26-27.1"/>
    <m/>
    <m/>
    <m/>
    <m/>
    <s v=""/>
    <n v="936"/>
    <s v="SJ BCI 100% CTN NORMAL FINISH 120GSM CUT WIDTH 62"/>
    <s v="Black 10005"/>
    <s v=""/>
    <n v="57.134999999999998"/>
    <n v="57.134999999999998"/>
    <n v="0"/>
    <m/>
    <n v="0"/>
    <s v="451557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51557"/>
    <s v="Black 10005"/>
    <n v="120"/>
    <s v="451557120Black 10005"/>
    <n v="135.54"/>
    <n v="-5.54"/>
    <n v="128.23699999999999"/>
    <n v="128.23699999999999"/>
    <s v=""/>
    <s v=""/>
    <s v=""/>
    <s v=""/>
    <n v="135.54"/>
    <n v="1.0429999999999999"/>
    <n v="7.3029999999999973"/>
  </r>
  <r>
    <s v="M &amp; S - T61 (KPK)"/>
    <s v="SQBIR.MS.01250.FY25-26.11"/>
    <m/>
    <m/>
    <m/>
    <m/>
    <s v=""/>
    <n v="937"/>
    <s v="SJ 95% BCI Cmd Cmpt CTN 5% Inv Ly 140gsm CW63”"/>
    <s v="BROSS B1123"/>
    <s v=""/>
    <n v="4.7"/>
    <n v="4.7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BROSS B1123"/>
    <n v="140"/>
    <s v="441109140BROSS B1123"/>
    <n v="155"/>
    <n v="-5"/>
    <s v=""/>
    <s v=""/>
    <s v=""/>
    <s v=""/>
    <s v=""/>
    <s v=""/>
    <n v="155"/>
    <n v="1.0329999999999999"/>
    <s v=""/>
  </r>
  <r>
    <s v="M &amp; S - T61 (KPK)"/>
    <s v="SQBIR.MS.01218.FY25-26.5"/>
    <m/>
    <m/>
    <m/>
    <m/>
    <s v=""/>
    <n v="938"/>
    <s v="SJ 95% BCI Cmd Cmpt CTN 5% Inv Ly 140gsm CW63”"/>
    <s v="Black"/>
    <s v=""/>
    <n v="341.19"/>
    <n v="341.19"/>
    <n v="0"/>
    <m/>
    <n v="0"/>
    <s v="440955"/>
    <s v="Solid"/>
    <x v="22"/>
    <d v="2026-10-07T00:00:00"/>
    <d v="2026-10-07T00:00:00"/>
    <s v="Revised Plan given as per revised date"/>
    <m/>
    <s v="Oct"/>
    <d v="2026-10-04T00:00:00"/>
    <m/>
    <m/>
    <m/>
    <m/>
    <m/>
    <m/>
    <m/>
    <m/>
    <m/>
    <m/>
    <s v="440955"/>
    <s v="Black 10005"/>
    <n v="140"/>
    <s v="440955140Black 10005"/>
    <n v="34635.129999999997"/>
    <n v="-2301.11"/>
    <s v=""/>
    <s v=""/>
    <s v=""/>
    <s v=""/>
    <s v=""/>
    <s v=""/>
    <n v="34635.129999999997"/>
    <n v="1.071"/>
    <s v=""/>
  </r>
  <r>
    <s v="M &amp; S - T32"/>
    <s v="SQBIR.MS.01295.FY25-26.3"/>
    <m/>
    <m/>
    <m/>
    <m/>
    <s v=""/>
    <n v="940"/>
    <s v="SJ BCI 100% CTN NORMAL FINISH 120GSM CUT WIDTH 62"/>
    <s v="10001 WHITE"/>
    <s v=""/>
    <n v="1.869"/>
    <n v="1.869"/>
    <n v="0"/>
    <m/>
    <n v="0"/>
    <s v="446684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6684"/>
    <s v="White 10001"/>
    <n v="120"/>
    <s v="446684120White 10001"/>
    <n v="20"/>
    <n v="-1.39"/>
    <s v=""/>
    <n v="1.869"/>
    <s v=""/>
    <s v=""/>
    <s v=""/>
    <s v=""/>
    <n v="20"/>
    <n v="1.075"/>
    <s v=""/>
  </r>
  <r>
    <s v="M &amp; S - T33"/>
    <s v="SQBIR.MS.01302.FY25-26.4"/>
    <m/>
    <m/>
    <m/>
    <m/>
    <s v=""/>
    <n v="953"/>
    <s v="94% Cotton 6% Spandex 190 GSM Molding CW 61 S/J"/>
    <s v="White 10001"/>
    <s v=""/>
    <n v="42.9"/>
    <n v="42.9"/>
    <n v="0"/>
    <m/>
    <n v="0"/>
    <s v="451550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n v="3398.0359999999996"/>
    <s v=""/>
    <s v=""/>
    <s v=""/>
    <s v=""/>
    <n v="5854.27"/>
    <n v="0.86499999999999999"/>
    <s v=""/>
  </r>
  <r>
    <s v="M &amp; S - T33"/>
    <s v="SQBIR.MS.01301.FY25-26.2"/>
    <m/>
    <m/>
    <m/>
    <m/>
    <s v=""/>
    <n v="954"/>
    <s v="KNIT RIB 5x2 BCI COTTON 93% ELASTANE 7% GSM-185 CW-111 CM/44 INCH  "/>
    <s v="Rich Quartz"/>
    <s v=""/>
    <n v="197.518"/>
    <n v="197.518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s v=""/>
    <s v=""/>
    <s v=""/>
    <s v=""/>
    <n v="349"/>
    <n v="0.99399999999999999"/>
    <n v="-2.2379999999999995"/>
  </r>
  <r>
    <s v="M &amp; S - T33"/>
    <s v="SQBIR.MS.01301.FY25-26.3"/>
    <m/>
    <m/>
    <m/>
    <m/>
    <s v=""/>
    <n v="955"/>
    <s v="KNIT RIB 5x2 BCI COTTON 93% ELASTANE 7% GSM-185 CW-111 CM/44 INCH  "/>
    <s v="Rich Quartz"/>
    <n v="0"/>
    <n v="34.892000000000003"/>
    <n v="34.892000000000003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n v="351.238"/>
    <n v="351.238"/>
    <s v=""/>
    <s v=""/>
    <n v="0"/>
    <s v=""/>
    <n v="349"/>
    <n v="0.99399999999999999"/>
    <n v="-2.2379999999999995"/>
  </r>
  <r>
    <s v="M &amp; S - T33"/>
    <s v="SQBIR.MS.01301.FY25-26.4"/>
    <m/>
    <m/>
    <m/>
    <m/>
    <s v=""/>
    <n v="956"/>
    <s v="KNIT RIB 5x2 BCI COTTON 93% ELASTANE 7% GSM-185 CW-111 CM/44 INCH  "/>
    <s v="Rich Quartz"/>
    <n v="0"/>
    <n v="103.7"/>
    <n v="103.7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s v=""/>
    <s v=""/>
    <s v=""/>
    <s v=""/>
    <n v="0"/>
    <s v=""/>
    <n v="349"/>
    <n v="0.99399999999999999"/>
    <s v=""/>
  </r>
  <r>
    <s v="M &amp; S - T33"/>
    <s v="SQBIR.MS.01301.FY25-26.5"/>
    <m/>
    <m/>
    <m/>
    <m/>
    <s v=""/>
    <n v="957"/>
    <s v="KNIT RIB 5x2 BCI COTTON 93% ELASTANE 7% GSM-185 CW-111 CM/44 INCH  "/>
    <s v="Rich Quartz"/>
    <s v=""/>
    <n v="10.98"/>
    <n v="10.98"/>
    <n v="0"/>
    <m/>
    <n v="0"/>
    <s v="451603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603-SP27 0713"/>
    <s v="Rich Quartz (23661)"/>
    <n v="185"/>
    <s v="451603-SP27 0713185Rich Quartz (23661)"/>
    <n v="349"/>
    <n v="2.23"/>
    <s v=""/>
    <s v=""/>
    <s v=""/>
    <s v=""/>
    <s v=""/>
    <s v=""/>
    <n v="349"/>
    <n v="0.99399999999999999"/>
    <s v=""/>
  </r>
  <r>
    <s v="M &amp; S - T33"/>
    <s v="SQBIR.MS.01300.FY25-26.7"/>
    <m/>
    <m/>
    <m/>
    <m/>
    <s v=""/>
    <n v="958"/>
    <s v="KNIT RIB 5x2 BCI COTTON 93% ELASTANE 7% GSM-185 CW-111 CM/44 INCH  "/>
    <s v="GREY MARL BC05"/>
    <s v=""/>
    <n v="29.55"/>
    <n v="29.55"/>
    <n v="0"/>
    <m/>
    <n v="0"/>
    <s v="451603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1603-SP27 0713"/>
    <s v="GREY MARL BC05"/>
    <n v="185"/>
    <s v="451603-SP27 0713185GREY MARL BC05"/>
    <n v="1310"/>
    <n v="-24.12"/>
    <n v="29.55"/>
    <n v="29.55"/>
    <s v=""/>
    <s v=""/>
    <s v=""/>
    <s v=""/>
    <n v="1310"/>
    <n v="1.0189999999999999"/>
    <n v="1280.45"/>
  </r>
  <r>
    <s v="M &amp; S - T61 (SHK)"/>
    <s v="SQBIR.MS.01271.FY25-26.5"/>
    <m/>
    <m/>
    <m/>
    <m/>
    <s v=""/>
    <n v="959"/>
    <s v="SQH020077-02 SJ 87% Cotton 13% Spx 245gsm MMF 68”"/>
    <s v="WHITE 10001"/>
    <s v=""/>
    <n v="3.694"/>
    <n v="3.694"/>
    <n v="0"/>
    <m/>
    <n v="0"/>
    <s v="441046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41046"/>
    <s v="White 10001 MMF"/>
    <n v="245"/>
    <s v="441046245White 10001 MMF"/>
    <n v="2442"/>
    <n v="-27"/>
    <n v="3.694"/>
    <s v=""/>
    <s v=""/>
    <s v=""/>
    <s v=""/>
    <s v=""/>
    <n v="2442"/>
    <n v="1.0109999999999999"/>
    <n v="2438.306"/>
  </r>
  <r>
    <s v="M &amp; S - T33"/>
    <s v="SQBIR.MS.01263.FY25-26.1"/>
    <m/>
    <m/>
    <m/>
    <m/>
    <s v=""/>
    <n v="960"/>
    <s v="94% Cotton 6% Spandex 190 GSM Molding CW 61 S/J"/>
    <s v="White"/>
    <s v=""/>
    <n v="816.17600000000004"/>
    <n v="816.17600000000004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White 10001"/>
    <n v="190"/>
    <s v="451241-SP27 3276-Cup190White 10001"/>
    <n v="3156.72"/>
    <n v="38.61"/>
    <n v="1271.6100000000001"/>
    <n v="1310.2200000000003"/>
    <s v=""/>
    <s v=""/>
    <s v=""/>
    <s v=""/>
    <n v="3156.72"/>
    <n v="0.98799999999999999"/>
    <n v="1885.1099999999997"/>
  </r>
  <r>
    <s v="M &amp; S - T33"/>
    <s v="SQBIR.MS.01263.FY25-26.2"/>
    <m/>
    <m/>
    <m/>
    <m/>
    <s v=""/>
    <n v="961"/>
    <s v="94% Cotton 6% Spandex 190 GSM Molding CW 61 S/J"/>
    <s v="White"/>
    <s v=""/>
    <n v="241.048"/>
    <n v="241.048"/>
    <n v="0"/>
    <m/>
    <n v="0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White 10001"/>
    <n v="190"/>
    <s v="451241-SP27 3276-Cup190White 10001"/>
    <n v="3156.72"/>
    <n v="38.61"/>
    <n v="1271.6100000000001"/>
    <s v=""/>
    <s v=""/>
    <s v=""/>
    <s v=""/>
    <s v=""/>
    <n v="3156.72"/>
    <n v="0.98799999999999999"/>
    <n v="1885.1099999999997"/>
  </r>
  <r>
    <s v="M &amp; S - T33"/>
    <s v="SQBIR.MS.01263.FY25-26.3"/>
    <m/>
    <m/>
    <m/>
    <m/>
    <s v=""/>
    <n v="962"/>
    <s v="94% Cotton 6% Spandex 190 GSM Molding CW 61 S/J"/>
    <s v="White"/>
    <s v=""/>
    <n v="252.99600000000001"/>
    <n v="214.386"/>
    <n v="-38.610000000000014"/>
    <m/>
    <n v="-38.610000000000014"/>
    <s v="451241"/>
    <s v="Solid"/>
    <x v="1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241-SP27 3276-Cup"/>
    <s v="White 10001"/>
    <n v="190"/>
    <s v="451241-SP27 3276-Cup190White 10001"/>
    <n v="3156.72"/>
    <n v="38.61"/>
    <n v="1271.6100000000001"/>
    <n v="1310.2200000000003"/>
    <s v=""/>
    <s v=""/>
    <s v=""/>
    <s v=""/>
    <n v="3156.72"/>
    <n v="0.98799999999999999"/>
    <n v="1885.1099999999997"/>
  </r>
  <r>
    <s v="M &amp; S - T61 (KPK)"/>
    <s v="SQBIR.MS.01164.FY25-26.10"/>
    <m/>
    <m/>
    <m/>
    <m/>
    <s v=""/>
    <n v="964"/>
    <s v="SJ 100% BCI Combed Compact Cotton 120gsm CW62”"/>
    <s v="81001 light cream stripe"/>
    <s v=""/>
    <n v="9.1999999999999993"/>
    <n v="9.1999999999999993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Light Cream 81001-AOP-G"/>
    <n v="120"/>
    <s v="441109120Light Cream 81001-AOP-G"/>
    <n v="161"/>
    <n v="-11"/>
    <s v=""/>
    <s v=""/>
    <s v=""/>
    <s v=""/>
    <n v="0"/>
    <s v=""/>
    <n v="161"/>
    <n v="1.073"/>
    <s v=""/>
  </r>
  <r>
    <s v="M &amp; S - T61 (KPK)"/>
    <s v="SQBIR.MS.01250.FY25-26.11"/>
    <m/>
    <m/>
    <m/>
    <m/>
    <s v=""/>
    <n v="965"/>
    <s v="SJ 100% BCI Combed Compact Cotton 120gsm CW62”"/>
    <s v="81001 light cream stripe"/>
    <s v=""/>
    <n v="10.8"/>
    <n v="10.8"/>
    <n v="0"/>
    <m/>
    <n v="0"/>
    <s v="441109"/>
    <s v="Solid"/>
    <x v="3"/>
    <d v="2026-10-04T00:00:00"/>
    <d v="2026-10-04T00:00:00"/>
    <s v="Hues Agreed qty as per SQBL required date"/>
    <m/>
    <s v="Oct"/>
    <d v="2026-10-01T00:00:00"/>
    <m/>
    <m/>
    <m/>
    <m/>
    <m/>
    <m/>
    <m/>
    <m/>
    <m/>
    <m/>
    <s v="441109"/>
    <s v="Light Cream 81001-AOP-G"/>
    <n v="120"/>
    <s v="441109120Light Cream 81001-AOP-G"/>
    <n v="161"/>
    <n v="-11"/>
    <s v=""/>
    <n v="20"/>
    <s v=""/>
    <s v=""/>
    <s v=""/>
    <s v=""/>
    <n v="161"/>
    <n v="1.073"/>
    <s v=""/>
  </r>
  <r>
    <s v="M &amp; S - T33"/>
    <s v="SQBIR.MS.01302.FY25-26.7"/>
    <m/>
    <m/>
    <m/>
    <m/>
    <s v=""/>
    <n v="966"/>
    <s v="94% Cotton 6% Spandex 190 GSM Molding CW 61 S/J"/>
    <s v="White 10001"/>
    <s v=""/>
    <n v="572"/>
    <n v="547.04999999999995"/>
    <n v="-24.950000000000045"/>
    <m/>
    <n v="-24.950000000000045"/>
    <s v="451550"/>
    <s v="Solid"/>
    <x v="2"/>
    <d v="2026-10-01T00:00:00"/>
    <d v="2026-10-01T00:00:00"/>
    <s v="Hues Agreed qty as per SQBL required date"/>
    <m/>
    <s v="Oct"/>
    <d v="2026-10-0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n v="3398.0359999999996"/>
    <s v=""/>
    <s v=""/>
    <s v=""/>
    <s v=""/>
    <n v="5854.27"/>
    <n v="0.86499999999999999"/>
    <s v=""/>
  </r>
  <r>
    <s v="M &amp; S - T33"/>
    <s v="SQBIR.MS.01302.FY25-26.8"/>
    <m/>
    <m/>
    <m/>
    <m/>
    <s v=""/>
    <n v="967"/>
    <s v="94% Cotton 6% Spandex 190 GSM Molding CW 61 S/J"/>
    <s v="White 10001"/>
    <s v=""/>
    <n v="486.2"/>
    <m/>
    <n v="-486.2"/>
    <m/>
    <n v="-486.2"/>
    <s v="451550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n v="3398.0359999999996"/>
    <s v=""/>
    <s v=""/>
    <s v=""/>
    <s v=""/>
    <n v="5854.27"/>
    <n v="0.86499999999999999"/>
    <s v=""/>
  </r>
  <r>
    <s v="M &amp; S - T33"/>
    <s v="SQBIR.MS.01302.FY25-26.9"/>
    <m/>
    <m/>
    <m/>
    <m/>
    <s v=""/>
    <n v="968"/>
    <s v="94% Cotton 6% Spandex 190 GSM Molding CW 61 S/J"/>
    <s v="White 10001"/>
    <s v=""/>
    <n v="400.4"/>
    <m/>
    <n v="-400.4"/>
    <m/>
    <n v="-400.4"/>
    <s v="451550"/>
    <s v="Solid"/>
    <x v="28"/>
    <d v="2026-10-18T00:00:00"/>
    <d v="2026-10-18T00:00:00"/>
    <s v="Hues Agreed qty as per SQBL required date"/>
    <m/>
    <s v="Oct"/>
    <d v="2026-10-18T00:00:00"/>
    <m/>
    <m/>
    <m/>
    <m/>
    <m/>
    <m/>
    <m/>
    <m/>
    <m/>
    <m/>
    <s v="451550-SP27 2231-Without Cup"/>
    <s v="White 10001"/>
    <n v="190"/>
    <s v="451550-SP27 2231-Without Cup190White 10001"/>
    <n v="5854.27"/>
    <n v="911.55"/>
    <s v=""/>
    <n v="3398.0359999999996"/>
    <s v=""/>
    <s v=""/>
    <s v=""/>
    <s v=""/>
    <n v="5854.27"/>
    <n v="0.86499999999999999"/>
    <s v=""/>
  </r>
  <r>
    <s v="M &amp; S - T33"/>
    <s v="SQBIR.MS.01261.FY25-26.3"/>
    <m/>
    <m/>
    <m/>
    <m/>
    <s v=""/>
    <n v="969"/>
    <s v="94% Cotton 6% Spandex 180 GSM No Molding CW 63  S/"/>
    <s v="Black"/>
    <s v=""/>
    <n v="34.426000000000002"/>
    <n v="34.426000000000002"/>
    <n v="0"/>
    <m/>
    <n v="0"/>
    <s v="451551"/>
    <s v="Solid"/>
    <x v="6"/>
    <d v="2026-10-03T00:00:00"/>
    <d v="2026-10-03T00:00:00"/>
    <s v="Hues Agreed qty as per SQBL required date"/>
    <m/>
    <s v="Oct"/>
    <d v="2026-10-03T00:00:00"/>
    <m/>
    <m/>
    <m/>
    <m/>
    <m/>
    <m/>
    <m/>
    <m/>
    <m/>
    <m/>
    <s v="451551-SP27 9602-Without Cup"/>
    <s v="Black 10005"/>
    <n v="180"/>
    <s v="451551-SP27 9602-Without Cup180Black 10005"/>
    <n v="303"/>
    <n v="-11.34"/>
    <n v="70.974000000000004"/>
    <n v="70.974000000000004"/>
    <s v=""/>
    <s v=""/>
    <s v=""/>
    <s v=""/>
    <n v="303"/>
    <n v="1.0389999999999999"/>
    <n v="232.02600000000001"/>
  </r>
  <r>
    <s v="M &amp; S - T61 (KPK)"/>
    <s v="SQBIR.MS.108.FY26-27.2"/>
    <m/>
    <m/>
    <m/>
    <m/>
    <s v=""/>
    <n v="972"/>
    <s v="SJ 100% BCI Combed Compact Cotton 120gsm CW62”"/>
    <s v="Black AOP Gusset"/>
    <n v="-14.799999999999999"/>
    <n v="44.4"/>
    <m/>
    <n v="-44.4"/>
    <m/>
    <n v="-44.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234"/>
    <n v="421"/>
    <n v="0"/>
    <n v="186.05"/>
    <s v=""/>
    <s v=""/>
    <n v="44.4"/>
    <s v=""/>
    <n v="234"/>
    <n v="0.35699999999999998"/>
    <n v="234"/>
  </r>
  <r>
    <s v="M &amp; S - T61 (KPK)"/>
    <s v="SQBIR.MS.01344.FY25-26.1"/>
    <m/>
    <m/>
    <m/>
    <m/>
    <s v=""/>
    <n v="973"/>
    <s v="SJ 95% BCI Cmd Cmpt CTN 5% Inv Ly 140gsm CW63”"/>
    <s v="IVORY 80762"/>
    <n v="0"/>
    <n v="122.4"/>
    <n v="122.4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s v=""/>
    <s v=""/>
    <s v=""/>
    <s v=""/>
    <n v="0"/>
    <s v=""/>
    <n v="2894"/>
    <n v="1.0009999999999999"/>
    <s v=""/>
  </r>
  <r>
    <s v="M &amp; S - T61 (KPK)"/>
    <s v="SQBIR.MS.01346.FY25-26.1"/>
    <m/>
    <m/>
    <m/>
    <m/>
    <s v=""/>
    <n v="974"/>
    <s v="SJ 95% BCI Cmd Cmpt CTN 5% Inv Ly 140gsm CW63”"/>
    <s v="IVORY 80762"/>
    <n v="0"/>
    <n v="41.173999999999999"/>
    <n v="41.173999999999999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s v=""/>
    <s v=""/>
    <s v=""/>
    <s v=""/>
    <n v="0"/>
    <s v=""/>
    <n v="2894"/>
    <n v="1.0009999999999999"/>
    <s v=""/>
  </r>
  <r>
    <s v="M &amp; S - T61 (KPK)"/>
    <s v="SQBIR.MS.107.FY26-27.1"/>
    <m/>
    <m/>
    <m/>
    <m/>
    <s v=""/>
    <n v="975"/>
    <s v="SJ 100% BCI Combed Compact Cotton 120gsm CW62”"/>
    <s v="Black AOP Gusset"/>
    <s v=""/>
    <n v="20.75"/>
    <m/>
    <n v="-20.75"/>
    <m/>
    <n v="-20.75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234"/>
    <n v="421"/>
    <s v=""/>
    <s v=""/>
    <s v=""/>
    <s v=""/>
    <s v=""/>
    <s v=""/>
    <n v="234"/>
    <n v="0.35699999999999998"/>
    <s v=""/>
  </r>
  <r>
    <s v="M &amp; S - T61 (KPK)"/>
    <s v="SQBIR.MS.109.FY26-27.1"/>
    <m/>
    <m/>
    <m/>
    <m/>
    <s v=""/>
    <n v="984"/>
    <s v="SJ 100% BCI Combed Compact Cotton 120gsm CW62”"/>
    <s v="Black AOP Gusset"/>
    <s v=""/>
    <n v="84"/>
    <m/>
    <n v="-84"/>
    <m/>
    <n v="-84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Black 10005-AOP-G"/>
    <n v="120"/>
    <s v="463564120Black 10005-AOP-G"/>
    <n v="234"/>
    <n v="421"/>
    <s v=""/>
    <s v=""/>
    <s v=""/>
    <s v=""/>
    <s v=""/>
    <s v=""/>
    <n v="234"/>
    <n v="0.35699999999999998"/>
    <s v=""/>
  </r>
  <r>
    <s v="M &amp; S - T61 (KPK)"/>
    <s v="SQBIR.MS.105.FY26-27.1"/>
    <m/>
    <m/>
    <m/>
    <m/>
    <s v=""/>
    <n v="985"/>
    <s v="SJ 100% BCI Combed Compact Cotton 120gsm CW62”"/>
    <s v="PRALINE 22001"/>
    <s v=""/>
    <n v="36.845999999999997"/>
    <m/>
    <n v="-36.845999999999997"/>
    <m/>
    <n v="-36.845999999999997"/>
    <s v="463564"/>
    <s v="Solid"/>
    <x v="12"/>
    <d v="2026-10-25T00:00:00"/>
    <s v="25/10-2100 MTR,28/10-REST REQ QTY"/>
    <s v="Hues Agreed qty as per SQBL required date"/>
    <m/>
    <s v="Oct"/>
    <d v="2026-10-25T00:00:00"/>
    <m/>
    <m/>
    <m/>
    <m/>
    <m/>
    <m/>
    <m/>
    <m/>
    <m/>
    <m/>
    <s v="463564"/>
    <s v="Praline 22001"/>
    <n v="120"/>
    <s v="463564120Praline 22001"/>
    <n v="0"/>
    <s v="#NA"/>
    <s v=""/>
    <s v=""/>
    <s v=""/>
    <s v=""/>
    <s v=""/>
    <s v=""/>
    <n v="0"/>
    <n v="0"/>
    <s v=""/>
  </r>
  <r>
    <s v="M &amp; S - T61 (KPK)"/>
    <s v="SQBIR.MS.01347.FY25-26.2"/>
    <m/>
    <m/>
    <m/>
    <m/>
    <s v=""/>
    <n v="986"/>
    <s v="SJ 95% BCI Cmd Cmpt CTN 5% Inv Ly 140gsm CW63”"/>
    <s v="IVORY 80762"/>
    <s v="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s v=""/>
    <n v="847.57400000000007"/>
    <s v=""/>
    <s v=""/>
    <s v=""/>
    <s v=""/>
    <n v="2894"/>
    <n v="1.0009999999999999"/>
    <s v=""/>
  </r>
  <r>
    <s v="M &amp; S - T61 (KPK)"/>
    <s v="SQBIR.MS.01347.FY25-26.3"/>
    <m/>
    <m/>
    <m/>
    <m/>
    <s v=""/>
    <n v="987"/>
    <s v="SJ 95% BCI Cmd Cmpt CTN 5% Inv Ly 140gsm CW63”"/>
    <s v="IVORY 80762"/>
    <n v="0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40"/>
    <s v="457079140IVORY 80762"/>
    <n v="2894"/>
    <n v="-4"/>
    <n v="847.57400000000007"/>
    <n v="847.57400000000007"/>
    <s v=""/>
    <s v=""/>
    <n v="0"/>
    <s v=""/>
    <n v="2894"/>
    <n v="1.0009999999999999"/>
    <n v="2046.4259999999999"/>
  </r>
  <r>
    <s v="M &amp; S - T61 (KPK)"/>
    <s v="SQBIR.MS.01347.FY25-26.4"/>
    <m/>
    <m/>
    <m/>
    <m/>
    <s v=""/>
    <n v="988"/>
    <s v="SJ 95% BCI Cmd Cmpt CTN 5% Inv Ly 140gsm CW63”"/>
    <s v="IVORY 80762"/>
    <n v="0"/>
    <n v="171"/>
    <n v="171"/>
    <n v="0"/>
    <m/>
    <n v="0"/>
    <s v="457079"/>
    <s v="Solid"/>
    <x v="22"/>
    <d v="2026-10-07T00:00:00"/>
    <d v="2026-10-07T00:00:00"/>
    <s v="Hues Agreed qty as per SQBL required date"/>
    <m/>
    <s v="Oct"/>
    <d v="2026-10-07T00:00:00"/>
    <m/>
    <m/>
    <m/>
    <m/>
    <m/>
    <m/>
    <m/>
    <m/>
    <m/>
    <m/>
    <s v="457079"/>
    <s v="IVORY 80762"/>
    <n v="140"/>
    <s v="457079140IVORY 80762"/>
    <n v="2894"/>
    <n v="-4"/>
    <s v=""/>
    <s v=""/>
    <s v=""/>
    <s v=""/>
    <n v="0"/>
    <s v=""/>
    <n v="2894"/>
    <n v="1.0009999999999999"/>
    <s v=""/>
  </r>
  <r>
    <s v="M &amp; S - T61 (KPK)"/>
    <s v="SQBIR.MS.01344.FY25-26.1"/>
    <m/>
    <m/>
    <m/>
    <m/>
    <s v=""/>
    <n v="989"/>
    <s v="SJ 95% BCI Cmd Cmpt CTN 5% Inv Ly 140gsm CW63”"/>
    <s v="Navy 48633"/>
    <s v=""/>
    <n v="122.4"/>
    <n v="122.4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NAVY 48633"/>
    <n v="140"/>
    <s v="457079140NAVY 48633"/>
    <n v="3568.27"/>
    <n v="-94.27"/>
    <s v=""/>
    <s v=""/>
    <s v=""/>
    <s v=""/>
    <s v=""/>
    <s v=""/>
    <n v="3568.27"/>
    <n v="1.0269999999999999"/>
    <s v=""/>
  </r>
  <r>
    <s v="M &amp; S - T51"/>
    <s v="SQBIR.MS.01333.FY25-26.1"/>
    <m/>
    <m/>
    <m/>
    <m/>
    <s v=""/>
    <n v="990"/>
    <s v="SJ 95% BCI Cmd Cmpt CTN 5% Inv Ly 140gsm CW63”"/>
    <s v="DARK NAVY 33016"/>
    <s v=""/>
    <n v="220.65700000000001"/>
    <n v="220.65700000000001"/>
    <n v="0"/>
    <m/>
    <n v="0"/>
    <s v="465410"/>
    <s v="Solid"/>
    <x v="34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410"/>
    <s v="Dark Navy 33016"/>
    <n v="140"/>
    <s v="465410140Dark Navy 33016"/>
    <n v="381.01"/>
    <n v="13.97"/>
    <s v=""/>
    <n v="395"/>
    <s v=""/>
    <s v=""/>
    <s v=""/>
    <s v=""/>
    <n v="381.01"/>
    <n v="0.96499999999999997"/>
    <s v=""/>
  </r>
  <r>
    <s v="M &amp; S - T71"/>
    <s v="SQBIR.MS.285.FY26-27.8"/>
    <m/>
    <m/>
    <m/>
    <m/>
    <s v=""/>
    <n v="991"/>
    <s v="100% BCI COTTON 150 GSM CW 69 IN"/>
    <s v="White"/>
    <s v=""/>
    <n v="1.0920000000000001"/>
    <m/>
    <n v="-1.0920000000000001"/>
    <m/>
    <n v="-1.0920000000000001"/>
    <s v="465758"/>
    <s v="Solid"/>
    <x v="30"/>
    <d v="2026-10-20T00:00:00"/>
    <d v="2026-10-20T00:00:00"/>
    <s v="Revised Plan given as per revised date"/>
    <s v="OTT ADVANCEMENT"/>
    <s v="Oct"/>
    <d v="2026-10-11T00:00:00"/>
    <m/>
    <m/>
    <m/>
    <m/>
    <m/>
    <m/>
    <m/>
    <m/>
    <m/>
    <m/>
    <s v="465758"/>
    <s v="White 10001"/>
    <n v="150"/>
    <s v="465758150White 10001"/>
    <n v="0"/>
    <s v="#NA"/>
    <s v=""/>
    <n v="226.499"/>
    <s v=""/>
    <s v=""/>
    <s v=""/>
    <s v=""/>
    <n v="0"/>
    <n v="0"/>
    <s v=""/>
  </r>
  <r>
    <s v="M &amp; S - T71"/>
    <s v="SQBIR.MS.283.FY26-27.1"/>
    <m/>
    <m/>
    <m/>
    <m/>
    <s v=""/>
    <n v="992"/>
    <s v="100% BCI COTTON 150 GSM CW 69 IN"/>
    <s v="White AOP Gusset"/>
    <s v=""/>
    <n v="17.8"/>
    <n v="17.8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WHITE 10001 AOP-G"/>
    <n v="150"/>
    <s v="465758150WHITE 10001 AOP-G"/>
    <n v="156"/>
    <n v="4"/>
    <n v="53.400000000000006"/>
    <n v="53.400000000000006"/>
    <s v=""/>
    <s v=""/>
    <s v=""/>
    <s v=""/>
    <n v="156"/>
    <n v="0.97499999999999998"/>
    <n v="102.6"/>
  </r>
  <r>
    <s v="M &amp; S - T71"/>
    <s v="SQBIR.MS.283.FY26-27.2"/>
    <m/>
    <m/>
    <m/>
    <m/>
    <s v=""/>
    <n v="993"/>
    <s v="100% BCI COTTON 150 GSM CW 69 IN"/>
    <s v="White AOP Gusset"/>
    <s v=""/>
    <n v="35.6"/>
    <n v="35.6"/>
    <n v="0"/>
    <m/>
    <n v="0"/>
    <s v="465758"/>
    <s v="Solid"/>
    <x v="2"/>
    <d v="2026-10-11T00:00:00"/>
    <d v="2026-10-11T00:00:00"/>
    <s v="Hues Agreed qty as per SQBL required date"/>
    <m/>
    <s v="Oct"/>
    <d v="2026-10-11T00:00:00"/>
    <m/>
    <m/>
    <m/>
    <m/>
    <m/>
    <m/>
    <m/>
    <m/>
    <m/>
    <m/>
    <s v="465758"/>
    <s v="WHITE 10001 AOP-G"/>
    <n v="150"/>
    <s v="465758150WHITE 10001 AOP-G"/>
    <n v="156"/>
    <n v="4"/>
    <n v="53.400000000000006"/>
    <n v="53.400000000000006"/>
    <s v=""/>
    <s v=""/>
    <s v=""/>
    <s v=""/>
    <n v="156"/>
    <n v="0.97499999999999998"/>
    <n v="102.6"/>
  </r>
  <r>
    <s v="M &amp; S - T71"/>
    <s v="SQBIR.MS.283.FY26-27.3"/>
    <m/>
    <m/>
    <m/>
    <m/>
    <b v="0"/>
    <n v="994"/>
    <s v="100% BCI COTTON 150 GSM CW 69 IN"/>
    <s v="White AOP Gusset"/>
    <n v="-11.728666666666667"/>
    <n v="35.186"/>
    <m/>
    <n v="-35.186"/>
    <m/>
    <n v="-35.186"/>
    <s v="465758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WHITE 10001 AOP"/>
    <n v="150"/>
    <s v="465758150WHITE 10001 AOP"/>
    <n v="0"/>
    <s v="#NA"/>
    <n v="0"/>
    <n v="35.186"/>
    <s v=""/>
    <s v=""/>
    <n v="35.186"/>
    <b v="0"/>
    <n v="0"/>
    <n v="0.97799999999999998"/>
    <n v="0"/>
  </r>
  <r>
    <s v="M &amp; S - T61 (KPK)"/>
    <s v="SQBIR.MS.109.FY26-27.6"/>
    <m/>
    <m/>
    <m/>
    <m/>
    <s v=""/>
    <n v="995"/>
    <s v="SJ 95% BCI Cmd Cmpt CTN 5% Inv Ly 140gsm CW63”"/>
    <s v="Black 10005"/>
    <s v=""/>
    <n v="1.0249999999999999"/>
    <m/>
    <n v="-1.0249999999999999"/>
    <m/>
    <n v="-1.0249999999999999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s v=""/>
    <s v=""/>
    <s v=""/>
    <s v=""/>
    <n v="0"/>
    <n v="0"/>
    <n v="0"/>
  </r>
  <r>
    <s v="M &amp; S - T61 (KPK)"/>
    <s v="SQBIR.MS.01347.FY25-26.1"/>
    <m/>
    <m/>
    <m/>
    <m/>
    <s v=""/>
    <n v="999"/>
    <s v="SJ 95% BCI Cmd Cmpt CTN 5% Inv Ly 140gsm CW63”"/>
    <s v="IVORY 80762"/>
    <s v=""/>
    <n v="171"/>
    <n v="171"/>
    <n v="0"/>
    <m/>
    <n v="0"/>
    <s v="457079"/>
    <s v="Solid"/>
    <x v="3"/>
    <d v="2026-10-04T00:00:00"/>
    <d v="2026-10-04T00:00:00"/>
    <s v="Hues Agreed qty as per SQBL required date"/>
    <m/>
    <s v="Oct"/>
    <d v="2026-10-04T00:00:00"/>
    <m/>
    <m/>
    <m/>
    <m/>
    <m/>
    <m/>
    <m/>
    <m/>
    <m/>
    <m/>
    <s v="457079"/>
    <s v="IVORY 80762"/>
    <n v="140"/>
    <s v="457079140IVORY 80762"/>
    <n v="2894"/>
    <n v="-4"/>
    <s v=""/>
    <n v="847.57400000000007"/>
    <s v=""/>
    <s v=""/>
    <s v=""/>
    <s v=""/>
    <n v="2894"/>
    <n v="1.0009999999999999"/>
    <s v=""/>
  </r>
  <r>
    <s v="M &amp; S - T61 (KPK)"/>
    <s v="SQBIR.MS.106.FY26-27.1"/>
    <m/>
    <m/>
    <m/>
    <m/>
    <s v=""/>
    <n v="1022"/>
    <s v="SJ 95% BCI Cmd Cmpt CTN 5% Inv Ly 140gsm CW63”"/>
    <s v="Black 10005"/>
    <n v="-308"/>
    <n v="924"/>
    <m/>
    <n v="-924"/>
    <m/>
    <n v="-92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s v=""/>
    <s v=""/>
    <s v=""/>
    <s v=""/>
    <n v="924"/>
    <s v=""/>
    <n v="0"/>
    <n v="0"/>
    <s v=""/>
  </r>
  <r>
    <s v="M &amp; S - T61 (KPK)"/>
    <s v="SQBIR.MS.146.FY26-27.5"/>
    <m/>
    <m/>
    <m/>
    <m/>
    <s v=""/>
    <n v="1023"/>
    <s v="SJ 95% BCI Cmd Cmpt CTN 5% Inv Ly 140gsm CW63”"/>
    <s v="Black 10005"/>
    <n v="-136"/>
    <n v="408"/>
    <m/>
    <n v="-408"/>
    <m/>
    <n v="-408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n v="6364.0190000000002"/>
    <s v=""/>
    <s v=""/>
    <n v="408"/>
    <s v=""/>
    <n v="0"/>
    <n v="0"/>
    <n v="0"/>
  </r>
  <r>
    <s v="M &amp; S - T61 (KPK)"/>
    <s v="SQBIR.MS.146.FY26-27.8"/>
    <m/>
    <m/>
    <m/>
    <m/>
    <s v=""/>
    <n v="1024"/>
    <s v="SJ 95% BCI Cmd Cmpt CTN 5% Inv Ly 140gsm CW63”"/>
    <s v="Black 10005"/>
    <s v=""/>
    <n v="4.08"/>
    <m/>
    <n v="-4.08"/>
    <m/>
    <n v="-4.08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s v=""/>
    <s v=""/>
    <s v=""/>
    <s v=""/>
    <s v=""/>
    <s v=""/>
    <n v="0"/>
    <n v="0"/>
    <s v=""/>
  </r>
  <r>
    <s v="M &amp; S - T61 (KPK)"/>
    <s v="SQBIR.MS.105.FY26-27.7"/>
    <m/>
    <m/>
    <m/>
    <m/>
    <s v=""/>
    <n v="1025"/>
    <s v="SJ 95% BCI Cmd Cmpt CTN 5% Inv Ly 140gsm CW63”"/>
    <s v="Black 10005"/>
    <n v="-0.35133333333333333"/>
    <n v="1.054"/>
    <m/>
    <n v="-1.054"/>
    <m/>
    <n v="-1.05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n v="0"/>
    <s v=""/>
    <s v=""/>
    <s v=""/>
    <n v="1.054"/>
    <s v=""/>
    <n v="0"/>
    <n v="0"/>
    <n v="0"/>
  </r>
  <r>
    <s v="M &amp; S - T61 (KPK)"/>
    <s v="SQBIR.MS.109.FY26-27.1"/>
    <m/>
    <m/>
    <m/>
    <m/>
    <s v=""/>
    <n v="1028"/>
    <s v="SJ 95% BCI Cmd Cmpt CTN 5% Inv Ly 140gsm CW63”"/>
    <s v="Black 10005"/>
    <s v=""/>
    <n v="619.18100000000004"/>
    <m/>
    <n v="-619.18100000000004"/>
    <m/>
    <n v="-619.18100000000004"/>
    <s v="463564"/>
    <s v="Solid"/>
    <x v="16"/>
    <d v="2026-10-29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s v=""/>
    <n v="6364.0190000000002"/>
    <s v=""/>
    <s v=""/>
    <s v=""/>
    <s v=""/>
    <n v="0"/>
    <n v="0"/>
    <s v=""/>
  </r>
  <r>
    <s v="M &amp; S - T61 (KPK)"/>
    <s v="SQBIR.MS.109.FY26-27.1"/>
    <m/>
    <m/>
    <m/>
    <m/>
    <s v=""/>
    <n v="1028"/>
    <s v="SJ 95% BCI Cmd Cmpt CTN 5% Inv Ly 140gsm CW63”"/>
    <s v="Black 10005"/>
    <n v="-21.33966666666667"/>
    <n v="64.019000000000005"/>
    <m/>
    <n v="-64.019000000000005"/>
    <m/>
    <n v="-64.019000000000005"/>
    <s v="463564"/>
    <s v="Solid"/>
    <x v="8"/>
    <d v="2026-10-31T00:00:00"/>
    <s v="25/10-2100 MTR,27/10-2100 MTR,29/10-2100 MTR,31/10-2100 MTR,1-4 NOV-2100 MTR/DAY,5/11-CLOSED"/>
    <s v="Hues Agreed qty as per SQBL required date"/>
    <m/>
    <s v="Oct"/>
    <d v="2026-10-25T00:00:00"/>
    <m/>
    <m/>
    <m/>
    <m/>
    <m/>
    <m/>
    <m/>
    <m/>
    <m/>
    <m/>
    <s v="463564"/>
    <s v="Black 10005"/>
    <n v="140"/>
    <s v="463564140Black 10005"/>
    <n v="0"/>
    <s v="#NA"/>
    <s v=""/>
    <s v=""/>
    <s v=""/>
    <s v=""/>
    <n v="64.019000000000005"/>
    <s v=""/>
    <n v="0"/>
    <n v="0"/>
    <s v=""/>
  </r>
  <r>
    <s v="M &amp; S - T61 (KPK)"/>
    <s v="SQBIR.MS.126.FY26-27.1"/>
    <m/>
    <m/>
    <m/>
    <m/>
    <s v=""/>
    <n v="1029"/>
    <s v="SJ 100% BCI Combed Compact Cotton 120gsm CW62”"/>
    <s v="Pink Cloud"/>
    <n v="-6.8753333333333337"/>
    <n v="20.626000000000001"/>
    <m/>
    <n v="-20.626000000000001"/>
    <m/>
    <n v="-20.626000000000001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20"/>
    <s v="463564120Pink Cloud 23853"/>
    <n v="0"/>
    <s v="#NA"/>
    <n v="0"/>
    <n v="52.801000000000002"/>
    <s v=""/>
    <s v=""/>
    <n v="20.626000000000001"/>
    <s v=""/>
    <n v="0"/>
    <n v="0"/>
    <n v="0"/>
  </r>
  <r>
    <s v="M &amp; S - T61 (KPK)"/>
    <s v="SQBIR.MS.143.FY26-27.1"/>
    <m/>
    <m/>
    <m/>
    <m/>
    <s v=""/>
    <n v="1030"/>
    <s v="SJ 100% BCI Combed Compact Cotton 120gsm CW62”"/>
    <s v="Pink Cloud"/>
    <s v=""/>
    <n v="32.174999999999997"/>
    <m/>
    <n v="-32.174999999999997"/>
    <m/>
    <n v="-32.174999999999997"/>
    <s v="463564"/>
    <s v="Solid"/>
    <x v="12"/>
    <d v="2026-10-25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Pink Cloud 23853"/>
    <n v="120"/>
    <s v="463564120Pink Cloud 23853"/>
    <n v="0"/>
    <s v="#NA"/>
    <s v=""/>
    <s v=""/>
    <s v=""/>
    <s v=""/>
    <s v=""/>
    <s v=""/>
    <n v="0"/>
    <n v="0"/>
    <s v=""/>
  </r>
  <r>
    <s v="M &amp; S - T61 (KPK)"/>
    <s v="SQBIR.MS.01346.FY25-26.1"/>
    <m/>
    <m/>
    <m/>
    <m/>
    <s v=""/>
    <n v="1"/>
    <s v="SJ 95% BCI Cmd Cmpt CTN 5% Inv Ly 140gsm CW61”"/>
    <s v="SUM25 L T61 MINI DOT DUSTYGREEN"/>
    <n v="0"/>
    <n v="291.39999999999998"/>
    <n v="291.39999999999998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s v=""/>
    <n v="2491.6"/>
    <s v=""/>
    <s v=""/>
    <n v="0"/>
    <s v=""/>
    <e v="#N/A"/>
    <e v="#N/A"/>
    <s v=""/>
  </r>
  <r>
    <s v="Lane Bryant"/>
    <s v="SQBIR.MGFLaneBryant.065.FY26-27.1"/>
    <m/>
    <m/>
    <m/>
    <m/>
    <s v=""/>
    <n v="6"/>
    <s v="95%Ctn 5%Elastane 150GSM CW 64"/>
    <s v="Citrus-Buds-004-Bright-White-CSP27208b"/>
    <s v=""/>
    <n v="979.47799999999995"/>
    <m/>
    <n v="-979.47799999999995"/>
    <m/>
    <n v="-979.47799999999995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63.FY26-27.1"/>
    <m/>
    <m/>
    <m/>
    <m/>
    <s v=""/>
    <n v="11"/>
    <s v="95%Ctn 5%Elastane 150GSM CW 64"/>
    <s v="Serene-Floral-034-Pale-Denim-Blue-CSP27025"/>
    <n v="-102.11900000000001"/>
    <n v="306.35700000000003"/>
    <m/>
    <n v="-306.35700000000003"/>
    <m/>
    <n v="-306.35700000000003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n v="306.35700000000003"/>
    <s v=""/>
    <e v="#N/A"/>
    <e v="#N/A"/>
    <n v="0"/>
  </r>
  <r>
    <s v="Lane Bryant"/>
    <s v="SQBIR.MGFLaneBryant.063.FY26-27.2"/>
    <m/>
    <m/>
    <m/>
    <m/>
    <s v=""/>
    <n v="12"/>
    <s v="95%Ctn 5%Elastane 150GSM CW 64"/>
    <s v="Serene-Floral-034-Pale-Denim-Blue-CSP27025"/>
    <n v="-262.20666666666665"/>
    <n v="786.62"/>
    <m/>
    <n v="-786.62"/>
    <m/>
    <n v="-786.62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s v=""/>
    <s v=""/>
    <s v=""/>
    <s v=""/>
    <s v=""/>
    <e v="#N/A"/>
    <e v="#N/A"/>
    <n v="0"/>
  </r>
  <r>
    <s v="Lane Bryant"/>
    <s v="SQBIR.MGFLaneBryant.063.FY26-27.3"/>
    <m/>
    <m/>
    <m/>
    <m/>
    <s v=""/>
    <n v="13"/>
    <s v="95%Ctn 5%Elastane 150GSM CW 64"/>
    <s v="Serene-Floral-034-Pale-Denim-Blue-CSP27025"/>
    <s v=""/>
    <n v="3.1890000000000001"/>
    <m/>
    <n v="-3.1890000000000001"/>
    <m/>
    <n v="-3.1890000000000001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s v=""/>
    <s v=""/>
    <e v="#N/A"/>
    <e v="#N/A"/>
    <n v="0"/>
  </r>
  <r>
    <s v="Lane Bryant"/>
    <s v="SQBIR.MGFLaneBryant.066.FY26-27.1"/>
    <m/>
    <m/>
    <m/>
    <m/>
    <s v=""/>
    <n v="14"/>
    <s v="95%Ctn 5%Elastane 150GSM CW 64"/>
    <s v="Serene-Floral-034-Pale-Denim-Blue-CSP27025"/>
    <n v="-228.452"/>
    <n v="685.35599999999999"/>
    <m/>
    <n v="-685.35599999999999"/>
    <m/>
    <n v="-685.35599999999999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685.35599999999999"/>
    <s v=""/>
    <e v="#N/A"/>
    <e v="#N/A"/>
    <s v=""/>
  </r>
  <r>
    <s v="Lane Bryant"/>
    <s v="SQBIR.MGFLaneBryant.066.FY26-27.2"/>
    <m/>
    <m/>
    <m/>
    <m/>
    <s v=""/>
    <n v="15"/>
    <s v="95%Ctn 5%Elastane 150GSM CW 64"/>
    <s v="Serene-Floral-034-Pale-Denim-Blue-CSP27025"/>
    <n v="-398"/>
    <n v="1194"/>
    <m/>
    <n v="-1194"/>
    <m/>
    <n v="-1194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n v="1194"/>
    <s v=""/>
    <e v="#N/A"/>
    <e v="#N/A"/>
    <n v="0"/>
  </r>
  <r>
    <s v="Lane Bryant"/>
    <s v="SQBIR.MGFLaneBryant.066.FY26-27.3"/>
    <m/>
    <m/>
    <m/>
    <m/>
    <s v=""/>
    <n v="16"/>
    <s v="95%Ctn 5%Elastane 150GSM CW 64"/>
    <s v="Serene-Floral-034-Pale-Denim-Blue-CSP27025"/>
    <s v=""/>
    <n v="2.5870000000000002"/>
    <m/>
    <n v="-2.5870000000000002"/>
    <m/>
    <n v="-2.5870000000000002"/>
    <s v="461071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30.FY26-27.2"/>
    <m/>
    <m/>
    <m/>
    <m/>
    <s v=""/>
    <n v="27"/>
    <s v="95%Ctn 5%Elastane 150GSM CW 64"/>
    <s v="Lunar-Dot-047-LHG-Maritime-Blue-CSP27079"/>
    <n v="-30.473333333333333"/>
    <n v="91.42"/>
    <m/>
    <n v="-91.42"/>
    <m/>
    <n v="-91.42"/>
    <s v="458743"/>
    <s v="AOP"/>
    <x v="30"/>
    <d v="2026-10-20T00:00:00"/>
    <d v="2026-10-19T00:00:00"/>
    <s v="Revised Plan given as per revised date"/>
    <s v="PFP Fabric Delay"/>
    <s v="Oct"/>
    <d v="2026-10-03T00:00:00"/>
    <m/>
    <m/>
    <m/>
    <m/>
    <m/>
    <m/>
    <m/>
    <m/>
    <m/>
    <m/>
    <s v="458743"/>
    <s v="AOP"/>
    <n v="150"/>
    <s v="458743150AOP"/>
    <n v="0"/>
    <s v="#NA"/>
    <s v=""/>
    <n v="3921.0639999999999"/>
    <s v=""/>
    <s v=""/>
    <n v="91.42"/>
    <s v=""/>
    <e v="#N/A"/>
    <e v="#N/A"/>
    <s v=""/>
  </r>
  <r>
    <s v="M &amp; S - T61 (KPK)"/>
    <s v="SQBIR.MS.143.FY26-27.9"/>
    <m/>
    <m/>
    <m/>
    <m/>
    <s v=""/>
    <n v="32"/>
    <s v="SJ 95% BCI Cmd Cmpt CTN 5% Inv Ly 140gsm CW61”"/>
    <s v="SP27 L T61 MEADOW FLORAL STRIPE GREEN"/>
    <s v=""/>
    <n v="1.3320000000000001"/>
    <m/>
    <n v="-1.3320000000000001"/>
    <m/>
    <n v="-1.3320000000000001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s v=""/>
    <s v=""/>
    <s v=""/>
    <s v=""/>
    <s v=""/>
    <s v=""/>
    <e v="#N/A"/>
    <e v="#N/A"/>
    <s v=""/>
  </r>
  <r>
    <s v="M &amp; S - T61 (KPK)"/>
    <s v="SQBIR.MS.126.FY26-27.1"/>
    <m/>
    <m/>
    <m/>
    <m/>
    <s v=""/>
    <n v="33"/>
    <s v="SJ 95% BCI Cmd Cmpt CTN 5% Inv Ly 140gsm CW61”"/>
    <s v="SP27 L T61 MEADOW FLORAL STRIPE GREEN"/>
    <n v="-58.94466666666667"/>
    <n v="176.834"/>
    <m/>
    <n v="-176.834"/>
    <m/>
    <n v="-176.834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n v="176.834"/>
    <s v=""/>
    <e v="#N/A"/>
    <e v="#N/A"/>
    <n v="0"/>
  </r>
  <r>
    <s v="Lane Bryant"/>
    <s v="SQBIR.MGFLaneBryant.065.FY26-27.2"/>
    <m/>
    <m/>
    <m/>
    <m/>
    <s v=""/>
    <n v="36"/>
    <s v="95%Ctn 5%Elastane 150GSM CW 64"/>
    <s v="Citrus-Buds-004-Bright-White-CSP27208b"/>
    <n v="-486.42233333333337"/>
    <n v="1459.2670000000001"/>
    <m/>
    <n v="-1459.2670000000001"/>
    <m/>
    <n v="-1459.2670000000001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1459.2670000000001"/>
    <s v=""/>
    <e v="#N/A"/>
    <e v="#N/A"/>
    <s v=""/>
  </r>
  <r>
    <s v="Lane Bryant"/>
    <s v="SQBIR.MGFLaneBryant.065.FY26-27.3"/>
    <m/>
    <m/>
    <m/>
    <m/>
    <s v=""/>
    <n v="37"/>
    <s v="95%Ctn 5%Elastane 150GSM CW 64"/>
    <s v="Citrus-Buds-004-Bright-White-CSP27208b"/>
    <n v="-0.8623333333333334"/>
    <n v="2.5870000000000002"/>
    <m/>
    <n v="-2.5870000000000002"/>
    <m/>
    <n v="-2.5870000000000002"/>
    <s v="461071"/>
    <s v="AOP"/>
    <x v="8"/>
    <d v="2026-10-31T00:00:00"/>
    <d v="2026-10-3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2.5870000000000002"/>
    <s v=""/>
    <e v="#N/A"/>
    <e v="#N/A"/>
    <s v=""/>
  </r>
  <r>
    <s v="Lane Bryant"/>
    <s v="SQBIR.MGFLaneBryant.051.FY26-27.1"/>
    <m/>
    <m/>
    <m/>
    <m/>
    <s v=""/>
    <n v="38"/>
    <s v="95%Ctn 5%Elastane 150GSM CW 64"/>
    <s v="Citrus-Buds-005-Wedgewood-CSP27208b"/>
    <s v=""/>
    <n v="750.92499999999995"/>
    <m/>
    <n v="-750.92499999999995"/>
    <m/>
    <n v="-750.924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51.FY26-27.2"/>
    <m/>
    <m/>
    <m/>
    <m/>
    <s v=""/>
    <n v="39"/>
    <s v="95%Ctn 5%Elastane 150GSM CW 64"/>
    <s v="Citrus-Buds-005-Wedgewood-CSP27208b"/>
    <s v=""/>
    <n v="2.4790000000000001"/>
    <m/>
    <n v="-2.4790000000000001"/>
    <m/>
    <n v="-2.4790000000000001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s v=""/>
    <s v=""/>
    <e v="#N/A"/>
    <e v="#N/A"/>
    <s v=""/>
  </r>
  <r>
    <s v="Lane Bryant"/>
    <s v="SQBIR.MGFLaneBryant.069.FY26-27.1"/>
    <m/>
    <m/>
    <m/>
    <m/>
    <s v=""/>
    <n v="40"/>
    <s v="95%Ctn 5%Elastane 150GSM CW 64"/>
    <s v="Coastal-Gingham-001-Maritime-Blue-CSU26004b"/>
    <n v="-199.75199999999998"/>
    <n v="599.25599999999997"/>
    <m/>
    <n v="-599.25599999999997"/>
    <m/>
    <n v="-599.25599999999997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599.25599999999997"/>
    <s v=""/>
    <e v="#N/A"/>
    <e v="#N/A"/>
    <s v=""/>
  </r>
  <r>
    <s v="Lane Bryant"/>
    <s v="SQBIR.MGFLaneBryant.069.FY26-27.2"/>
    <m/>
    <m/>
    <m/>
    <m/>
    <s v=""/>
    <n v="41"/>
    <s v="95%Ctn 5%Elastane 150GSM CW 64"/>
    <s v="Coastal-Gingham-001-Maritime-Blue-CSU26004b"/>
    <n v="-406"/>
    <n v="1218"/>
    <m/>
    <n v="-1218"/>
    <m/>
    <n v="-1218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n v="1218"/>
    <s v=""/>
    <e v="#N/A"/>
    <e v="#N/A"/>
    <s v=""/>
  </r>
  <r>
    <s v="Lane Bryant"/>
    <s v="SQBIR.MGFLaneBryant.069.FY26-27.3"/>
    <m/>
    <m/>
    <m/>
    <m/>
    <s v=""/>
    <n v="42"/>
    <s v="95%Ctn 5%Elastane 150GSM CW 64"/>
    <s v="Coastal-Gingham-001-Maritime-Blue-CSU26004b"/>
    <n v="-0.7443333333333334"/>
    <n v="2.2330000000000001"/>
    <m/>
    <n v="-2.2330000000000001"/>
    <m/>
    <n v="-2.2330000000000001"/>
    <s v="461071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s v=""/>
    <s v=""/>
    <s v=""/>
    <n v="2.2330000000000001"/>
    <s v=""/>
    <e v="#N/A"/>
    <e v="#N/A"/>
    <n v="0"/>
  </r>
  <r>
    <s v="M &amp; S - T61 (KPK)"/>
    <s v="SQBIR.MS.01202.FY25-26.11"/>
    <m/>
    <m/>
    <m/>
    <m/>
    <s v=""/>
    <n v="50"/>
    <s v="SJ 95% BCI Cmd Cmpt CTN 5% Inv Ly 140gsm CW61”"/>
    <s v="SP27 L T61 MEADOW FLORA LWHITE"/>
    <s v=""/>
    <n v="48.411000000000001"/>
    <m/>
    <n v="-48.411000000000001"/>
    <m/>
    <n v="-48.411000000000001"/>
    <s v="463358"/>
    <s v="AOP"/>
    <x v="4"/>
    <d v="2026-10-26T00:00:00"/>
    <d v="2026-10-25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s v=""/>
    <s v=""/>
    <s v=""/>
    <s v=""/>
    <s v=""/>
    <s v=""/>
    <e v="#N/A"/>
    <e v="#N/A"/>
    <s v=""/>
  </r>
  <r>
    <s v="M &amp; S - T61 (KPK)"/>
    <s v="SQBIR.MS.01202.FY25-26.12"/>
    <m/>
    <m/>
    <m/>
    <m/>
    <s v=""/>
    <n v="51"/>
    <s v="SJ 95% BCI Cmd Cmpt CTN 5% Inv Ly 140gsm CW61”"/>
    <s v="SP27 L T61 MEADOW FLORA LWHITE"/>
    <n v="-0.5033333333333333"/>
    <n v="1.51"/>
    <m/>
    <n v="-1.51"/>
    <m/>
    <n v="-1.51"/>
    <s v="463358"/>
    <s v="AOP"/>
    <x v="4"/>
    <d v="2026-10-26T00:00:00"/>
    <d v="2026-10-25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s v=""/>
    <s v=""/>
    <s v=""/>
    <s v=""/>
    <s v=""/>
    <s v=""/>
    <e v="#N/A"/>
    <e v="#N/A"/>
    <s v=""/>
  </r>
  <r>
    <s v="Lane Bryant"/>
    <s v="SQBIR.MGFLaneBryant.064.FY26-27.1"/>
    <m/>
    <m/>
    <m/>
    <m/>
    <s v=""/>
    <n v="58"/>
    <s v="95%Ctn 5%Elastane 150GSM CW 64"/>
    <s v="Lunar-Dot-013-LHG-CSP27079"/>
    <n v="-43.039333333333332"/>
    <n v="129.11799999999999"/>
    <m/>
    <n v="-129.11799999999999"/>
    <m/>
    <n v="-129.11799999999999"/>
    <s v="461071"/>
    <s v="AOP"/>
    <x v="31"/>
    <d v="2026-10-21T00:00:00"/>
    <d v="2026-10-2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n v="129.11799999999999"/>
    <s v=""/>
    <e v="#N/A"/>
    <e v="#N/A"/>
    <s v=""/>
  </r>
  <r>
    <s v="Lane Bryant"/>
    <s v="SQBIR.MGFLaneBryant.064.FY26-27.2"/>
    <m/>
    <m/>
    <m/>
    <m/>
    <s v=""/>
    <n v="59"/>
    <s v="95%Ctn 5%Elastane 150GSM CW 64"/>
    <s v="Lunar-Dot-013-LHG-CSP27079"/>
    <n v="-64.822333333333333"/>
    <n v="194.46700000000001"/>
    <m/>
    <n v="-194.46700000000001"/>
    <m/>
    <n v="-194.46700000000001"/>
    <s v="461071"/>
    <s v="AOP"/>
    <x v="31"/>
    <d v="2026-10-21T00:00:00"/>
    <d v="2026-10-20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194.46700000000001"/>
    <s v=""/>
    <e v="#N/A"/>
    <e v="#N/A"/>
    <s v=""/>
  </r>
  <r>
    <s v="M&amp;S T14"/>
    <s v="SQBIR.MS.031.FY26-27.5"/>
    <m/>
    <m/>
    <m/>
    <m/>
    <s v=""/>
    <n v="60"/>
    <s v=" 95% BCI COTTON 5% LYCRA JERSEY GSM-150 CW-155 CM/61 INCH "/>
    <s v="T14 VALENTINES DARK INK AOP"/>
    <n v="0"/>
    <n v="2.1680000000000001"/>
    <n v="2.1680000000000001"/>
    <n v="0"/>
    <m/>
    <n v="0"/>
    <s v="458011"/>
    <s v="AOP"/>
    <x v="52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8011-Lycra"/>
    <s v="AOP"/>
    <n v="150"/>
    <s v="458011-Lycra150AOP"/>
    <n v="0"/>
    <s v="#NA"/>
    <n v="4.3360000000000003"/>
    <s v=""/>
    <s v=""/>
    <s v=""/>
    <n v="0"/>
    <s v=""/>
    <e v="#N/A"/>
    <e v="#N/A"/>
    <n v="-4.3360000000000003"/>
  </r>
  <r>
    <s v="M &amp; S - T61 (KPK)"/>
    <s v="SQBIR.MS.01347.FY25-26.1"/>
    <m/>
    <m/>
    <m/>
    <m/>
    <s v=""/>
    <n v="61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s v=""/>
    <s v=""/>
    <s v=""/>
    <s v=""/>
    <n v="177"/>
    <s v=""/>
    <e v="#N/A"/>
    <e v="#N/A"/>
    <s v=""/>
  </r>
  <r>
    <s v="M &amp; S - T61 (KPK)"/>
    <s v="SQBIR.MS.01347.FY25-26.2"/>
    <m/>
    <m/>
    <m/>
    <m/>
    <s v=""/>
    <n v="62"/>
    <s v="SJ 95% BCI Cmd Cmpt CTN 5% Inv Ly 140gsm CW61”"/>
    <s v="SU25 L T61 SCRIMBLE FLORA IVORY"/>
    <s v="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s v=""/>
    <s v=""/>
    <s v=""/>
    <s v=""/>
    <s v=""/>
    <s v=""/>
    <e v="#N/A"/>
    <e v="#N/A"/>
    <s v=""/>
  </r>
  <r>
    <s v="M &amp; S - T61 (KPK)"/>
    <s v="SQBIR.MS.01347.FY25-26.3"/>
    <m/>
    <m/>
    <m/>
    <m/>
    <s v=""/>
    <n v="63"/>
    <s v="SJ 95% BCI Cmd Cmpt CTN 5% Inv Ly 140gsm CW61”"/>
    <s v="SU25 L T61 SCRIMBLE FLORA IVORY"/>
    <n v="-59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7T00:00:00"/>
    <m/>
    <m/>
    <m/>
    <m/>
    <m/>
    <m/>
    <m/>
    <m/>
    <m/>
    <m/>
    <s v="457079"/>
    <s v="AOP"/>
    <n v="140"/>
    <s v="457079140AOP"/>
    <n v="0"/>
    <s v="#NA"/>
    <s v=""/>
    <s v=""/>
    <s v=""/>
    <s v=""/>
    <n v="177"/>
    <s v=""/>
    <e v="#N/A"/>
    <e v="#N/A"/>
    <s v=""/>
  </r>
  <r>
    <s v="M &amp; S - T61 (KPK)"/>
    <s v="SQBIR.MS.01347.FY25-26.4"/>
    <m/>
    <m/>
    <m/>
    <m/>
    <s v=""/>
    <n v="64"/>
    <s v="SJ 95% BCI Cmd Cmpt CTN 5% Inv Ly 140gsm CW61”"/>
    <s v="SU25 L T61 SCRIMBLE FLORA IVORY"/>
    <s v=""/>
    <n v="177"/>
    <m/>
    <n v="-177"/>
    <m/>
    <n v="-177"/>
    <s v="457079"/>
    <s v="AOP"/>
    <x v="5"/>
    <s v="Plan TBC"/>
    <s v="Plan TBC"/>
    <s v="Plan will confirm once receive PP approval"/>
    <s v="Waiting for PP approval"/>
    <s v="Oct"/>
    <d v="2026-10-07T00:00:00"/>
    <m/>
    <m/>
    <m/>
    <m/>
    <m/>
    <m/>
    <m/>
    <m/>
    <m/>
    <m/>
    <s v="457079"/>
    <s v="AOP"/>
    <n v="140"/>
    <s v="457079140AOP"/>
    <n v="0"/>
    <s v="#NA"/>
    <s v=""/>
    <s v=""/>
    <s v=""/>
    <s v=""/>
    <s v=""/>
    <s v=""/>
    <e v="#N/A"/>
    <e v="#N/A"/>
    <s v=""/>
  </r>
  <r>
    <s v="M &amp; S - T61 (KPK)"/>
    <s v="SQBIR.MS.01348.FY25-26.1"/>
    <m/>
    <m/>
    <m/>
    <m/>
    <s v=""/>
    <n v="65"/>
    <s v="SJ 95% BCI Cmd Cmpt CTN 5% Inv Ly 140gsm CW61”"/>
    <s v="SU25 L T61 SCRIMBLE FLORA IVORY"/>
    <n v="-40.133333333333333"/>
    <n v="120.4"/>
    <m/>
    <n v="-120.4"/>
    <m/>
    <n v="-120.4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s v=""/>
    <n v="2491.6"/>
    <s v=""/>
    <s v=""/>
    <n v="120.4"/>
    <s v=""/>
    <e v="#N/A"/>
    <e v="#N/A"/>
    <s v=""/>
  </r>
  <r>
    <s v="M &amp; S - T61 (KPK)"/>
    <s v="SQBIR.MS.01344.FY25-26.1"/>
    <m/>
    <m/>
    <m/>
    <m/>
    <s v=""/>
    <n v="66"/>
    <s v="SJ 95% BCI Cmd Cmpt CTN 5% Inv Ly 140gsm CW61”"/>
    <s v="SUM25 L T61 MINI DOT DUSTYGREEN"/>
    <s v=""/>
    <n v="126"/>
    <n v="126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s v=""/>
    <s v=""/>
    <s v=""/>
    <s v=""/>
    <s v=""/>
    <s v=""/>
    <e v="#N/A"/>
    <e v="#N/A"/>
    <s v=""/>
  </r>
  <r>
    <s v="M &amp; S - T61 (KPK)"/>
    <s v="SQBIR.MS.143.FY26-27.1"/>
    <m/>
    <m/>
    <m/>
    <m/>
    <s v=""/>
    <n v="101"/>
    <s v="SJ 95% BCI Cmd Cmpt CTN 5% Inv Ly 140gsm CW61”"/>
    <s v="SP27 L T61 MEADOW FLORA LWHITE"/>
    <s v=""/>
    <n v="261.52499999999998"/>
    <m/>
    <n v="-261.52499999999998"/>
    <m/>
    <n v="-261.52499999999998"/>
    <n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s v=""/>
    <s v=""/>
    <e v="#N/A"/>
    <e v="#N/A"/>
    <n v="0"/>
  </r>
  <r>
    <s v="M &amp; S - T61 (KPK)"/>
    <s v="SQBIR.MS.105.FY26-27.1"/>
    <m/>
    <m/>
    <m/>
    <m/>
    <s v=""/>
    <n v="102"/>
    <s v="SJ 95% BCI Cmd Cmpt CTN 5% Inv Ly 140gsm CW61”"/>
    <s v="AU26 L T61 RANDOM SPOT BLACK LIGHTCREAM SPEC"/>
    <s v=""/>
    <n v="435.3"/>
    <m/>
    <n v="-435.3"/>
    <m/>
    <n v="-435.3"/>
    <n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s v=""/>
    <s v=""/>
    <s v=""/>
    <s v=""/>
    <s v=""/>
    <s v=""/>
    <e v="#N/A"/>
    <e v="#N/A"/>
    <s v=""/>
  </r>
  <r>
    <s v="M &amp; S - T61 (KPK)"/>
    <s v="SQBIR.MS.107.FY26-27.1"/>
    <m/>
    <m/>
    <m/>
    <m/>
    <s v=""/>
    <n v="103"/>
    <s v="SJ 95% BCI Cmd Cmpt CTN 5% Inv Ly 140gsm CW61”"/>
    <s v="AU26 L T61 RANDOM SPOT BLACK LIGHTCREAM SPEC"/>
    <s v=""/>
    <n v="177.5"/>
    <m/>
    <n v="-177.5"/>
    <m/>
    <n v="-177.5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s v=""/>
    <s v=""/>
    <e v="#N/A"/>
    <e v="#N/A"/>
    <n v="0"/>
  </r>
  <r>
    <s v="M &amp; S - T61 (KPK)"/>
    <s v="SQBIR.MS.109.FY26-27.6"/>
    <m/>
    <m/>
    <m/>
    <m/>
    <s v=""/>
    <n v="106"/>
    <s v="SJ 95% BCI Cmd Cmpt CTN 5% Inv Ly 140gsm CW61”"/>
    <s v="AU26 L T61 CROWDED SPOT LIGHTCREAM SPEC"/>
    <s v=""/>
    <n v="1.0609999999999999"/>
    <m/>
    <n v="-1.0609999999999999"/>
    <m/>
    <n v="-1.060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s v=""/>
    <s v=""/>
    <s v=""/>
    <s v=""/>
    <s v=""/>
    <s v=""/>
    <e v="#N/A"/>
    <e v="#N/A"/>
    <s v=""/>
  </r>
  <r>
    <s v="M &amp; S - T61 (KPK)"/>
    <s v="SQBIR.MS.106.FY26-27.1"/>
    <m/>
    <m/>
    <m/>
    <m/>
    <s v=""/>
    <n v="107"/>
    <s v="SJ 95% BCI Cmd Cmpt CTN 5% Inv Ly 140gsm CW61”"/>
    <s v="AU26 L T61 CROWDED SPOT LIGHTCREAM SPEC"/>
    <s v=""/>
    <n v="976"/>
    <m/>
    <n v="-976"/>
    <m/>
    <n v="-976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s v=""/>
    <s v=""/>
    <e v="#N/A"/>
    <e v="#N/A"/>
    <n v="0"/>
  </r>
  <r>
    <s v="M&amp;S T14"/>
    <s v="SQBIR.MS.031.FY26-27.5"/>
    <m/>
    <m/>
    <m/>
    <m/>
    <s v=""/>
    <n v="116"/>
    <s v=" 95% BCI COTTON 5% LYCRA JERSEY GSM-150 CW-155 CM/61 INCH "/>
    <s v="T14 VALENTINES BERRY RED AOP"/>
    <s v=""/>
    <n v="2.1680000000000001"/>
    <n v="2.1680000000000001"/>
    <n v="0"/>
    <m/>
    <n v="0"/>
    <s v="458011"/>
    <s v="AOP"/>
    <x v="52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8011-Lycra"/>
    <s v="AOP"/>
    <n v="150"/>
    <s v="458011-Lycra150AOP"/>
    <n v="0"/>
    <s v="#NA"/>
    <n v="4.3360000000000003"/>
    <n v="4.3360000000000003"/>
    <s v=""/>
    <s v=""/>
    <s v=""/>
    <s v=""/>
    <e v="#N/A"/>
    <e v="#N/A"/>
    <n v="-4.3360000000000003"/>
  </r>
  <r>
    <s v="M &amp; S - T61 (KPK)"/>
    <s v="SQBIR.MS.108.FY26-27.1"/>
    <m/>
    <m/>
    <m/>
    <m/>
    <s v=""/>
    <n v="164"/>
    <s v="SJ 95% BCI Cmd Cmpt CTN 5% Inv Ly 140gsm CW61”"/>
    <s v="AU26 L T61 CROWDED SPOT LIGHTCREAM SPEC"/>
    <n v="-160.53333333333333"/>
    <n v="481.6"/>
    <m/>
    <n v="-481.6"/>
    <m/>
    <n v="-481.6"/>
    <s v="462079"/>
    <s v="AOP"/>
    <x v="4"/>
    <d v="2026-10-26T00:00:00"/>
    <d v="2026-10-25T00:00:00"/>
    <s v="Revised Plan given as per revised date"/>
    <s v="Combine print (Small Order)"/>
    <s v="Oct"/>
    <d v="2026-10-18T00:00:00"/>
    <m/>
    <m/>
    <m/>
    <m/>
    <m/>
    <m/>
    <m/>
    <m/>
    <m/>
    <m/>
    <s v="462079"/>
    <s v="AOP"/>
    <n v="140"/>
    <s v="462079140AOP"/>
    <n v="0"/>
    <s v="#NA"/>
    <n v="0"/>
    <n v="963.2"/>
    <s v=""/>
    <s v=""/>
    <n v="481.6"/>
    <s v=""/>
    <e v="#N/A"/>
    <e v="#N/A"/>
    <n v="0"/>
  </r>
  <r>
    <s v="Lane Bryant"/>
    <s v="SQBIR.MGFLaneBryant.019.FY26-27.2"/>
    <m/>
    <m/>
    <m/>
    <m/>
    <s v=""/>
    <n v="170"/>
    <s v="95%Ctn 5%Elastane 150GSM CW 64"/>
    <s v="Cleo-Stripe-024-Arctic-Dawn-CSP27034b"/>
    <n v="-0.6343333333333333"/>
    <n v="1.903"/>
    <m/>
    <n v="-1.903"/>
    <m/>
    <n v="-1.903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1.903"/>
    <s v=""/>
    <e v="#N/A"/>
    <e v="#N/A"/>
    <n v="0"/>
  </r>
  <r>
    <s v="Lane Bryant"/>
    <s v="SQBIR.MGFLaneBryant.021.FY26-27.1"/>
    <m/>
    <m/>
    <m/>
    <m/>
    <s v=""/>
    <n v="171"/>
    <s v="95%Ctn 5%Elastane 150GSM CW 64"/>
    <s v="Cleo-Stripe-024-Arctic-Dawn-CSP27034b"/>
    <n v="-190.14966666666666"/>
    <n v="570.44899999999996"/>
    <m/>
    <n v="-570.44899999999996"/>
    <m/>
    <n v="-570.44899999999996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570.44899999999996"/>
    <s v=""/>
    <e v="#N/A"/>
    <e v="#N/A"/>
    <n v="0"/>
  </r>
  <r>
    <s v="Lane Bryant"/>
    <s v="SQBIR.MGFLaneBryant.034.FY26-27.3"/>
    <m/>
    <m/>
    <m/>
    <m/>
    <s v=""/>
    <n v="195"/>
    <s v="95%Ctn 5%Elastane 150GSM CW 64"/>
    <s v="Jenna-Floral-033-Maritime-Blue-CSP27080c"/>
    <n v="-1.2"/>
    <n v="3.6"/>
    <m/>
    <n v="-3.6"/>
    <m/>
    <n v="-3.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3.6"/>
    <s v=""/>
    <e v="#N/A"/>
    <e v="#N/A"/>
    <n v="0"/>
  </r>
  <r>
    <s v="Lane Bryant"/>
    <s v="SQBIR.MGFLaneBryant.027.FY26-27.1"/>
    <m/>
    <m/>
    <m/>
    <m/>
    <s v=""/>
    <n v="196"/>
    <s v="95%Ctn 5%Elastane 150GSM CW 64"/>
    <s v="Lunar-Dot-033-Rosy-Future-CSP27079"/>
    <n v="-217.76400000000001"/>
    <n v="653.29200000000003"/>
    <m/>
    <n v="-653.29200000000003"/>
    <m/>
    <n v="-653.29200000000003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653.29200000000003"/>
    <s v=""/>
    <e v="#N/A"/>
    <e v="#N/A"/>
    <n v="0"/>
  </r>
  <r>
    <s v="Lane Bryant"/>
    <s v="SQBIR.MGFLaneBryant.027.FY26-27.2"/>
    <m/>
    <m/>
    <m/>
    <m/>
    <s v=""/>
    <n v="197"/>
    <s v="95%Ctn 5%Elastane 150GSM CW 64"/>
    <s v="Lunar-Dot-033-Rosy-Future-CSP27079"/>
    <n v="-229.46666666666667"/>
    <n v="688.4"/>
    <m/>
    <n v="-688.4"/>
    <m/>
    <n v="-688.4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688.4"/>
    <s v=""/>
    <e v="#N/A"/>
    <e v="#N/A"/>
    <n v="0"/>
  </r>
  <r>
    <s v="Lane Bryant"/>
    <s v="SQBIR.MGFLaneBryant.027.FY26-27.3"/>
    <m/>
    <m/>
    <m/>
    <m/>
    <s v=""/>
    <n v="198"/>
    <s v="95%Ctn 5%Elastane 150GSM CW 64"/>
    <s v="Lunar-Dot-033-Rosy-Future-CSP27079"/>
    <n v="-0.6313333333333333"/>
    <n v="1.8939999999999999"/>
    <m/>
    <n v="-1.8939999999999999"/>
    <m/>
    <n v="-1.8939999999999999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1.8939999999999999"/>
    <s v=""/>
    <e v="#N/A"/>
    <e v="#N/A"/>
    <n v="0"/>
  </r>
  <r>
    <s v="Lane Bryant"/>
    <s v="SQBIR.MGFLaneBryant.032.FY26-27.1"/>
    <m/>
    <m/>
    <m/>
    <m/>
    <s v=""/>
    <n v="199"/>
    <s v="95%Ctn 5%Elastane 150GSM CW 64"/>
    <s v="Lunar-Dot-033-Rosy-Future-CSP27079"/>
    <s v=""/>
    <n v="129.11500000000001"/>
    <m/>
    <n v="-129.11500000000001"/>
    <m/>
    <n v="-129.11500000000001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32.FY26-27.2"/>
    <m/>
    <m/>
    <m/>
    <m/>
    <s v=""/>
    <n v="200"/>
    <s v="95%Ctn 5%Elastane 150GSM CW 64"/>
    <s v="Lunar-Dot-033-Rosy-Future-CSP27079"/>
    <s v=""/>
    <n v="233.345"/>
    <m/>
    <n v="-233.345"/>
    <m/>
    <n v="-233.345"/>
    <s v="458617"/>
    <s v="AOP"/>
    <x v="14"/>
    <d v="2026-10-27T00:00:00"/>
    <d v="2026-10-26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36.FY26-27.1"/>
    <m/>
    <m/>
    <m/>
    <m/>
    <s v=""/>
    <n v="201"/>
    <s v="95%Ctn 5%Elastane 150GSM CW 64"/>
    <s v="Lunar-Dot-033-Rosy-Future-CSP27079"/>
    <n v="-215.05866666666668"/>
    <n v="645.17600000000004"/>
    <m/>
    <n v="-645.17600000000004"/>
    <m/>
    <n v="-645.17600000000004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645.17600000000004"/>
    <s v=""/>
    <e v="#N/A"/>
    <e v="#N/A"/>
    <n v="0"/>
  </r>
  <r>
    <s v="Lane Bryant"/>
    <s v="SQBIR.MGFLaneBryant.036.FY26-27.2"/>
    <m/>
    <m/>
    <m/>
    <m/>
    <s v=""/>
    <n v="202"/>
    <s v="95%Ctn 5%Elastane 150GSM CW 64"/>
    <s v="Lunar-Dot-033-Rosy-Future-CSP27079"/>
    <n v="-254.989"/>
    <n v="764.96699999999998"/>
    <m/>
    <n v="-764.96699999999998"/>
    <m/>
    <n v="-764.96699999999998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764.96699999999998"/>
    <s v=""/>
    <e v="#N/A"/>
    <e v="#N/A"/>
    <n v="0"/>
  </r>
  <r>
    <s v="Lane Bryant"/>
    <s v="SQBIR.MGFLaneBryant.036.FY26-27.3"/>
    <m/>
    <m/>
    <m/>
    <m/>
    <s v=""/>
    <n v="203"/>
    <s v="95%Ctn 5%Elastane 150GSM CW 64"/>
    <s v="Lunar-Dot-033-Rosy-Future-CSP27079"/>
    <n v="-0.85266666666666657"/>
    <n v="2.5579999999999998"/>
    <m/>
    <n v="-2.5579999999999998"/>
    <m/>
    <n v="-2.5579999999999998"/>
    <s v="458617"/>
    <s v="AOP"/>
    <x v="14"/>
    <d v="2026-10-27T00:00:00"/>
    <d v="2026-10-26T00:00:00"/>
    <s v="Revised Plan given as per revised date"/>
    <s v="PFP Fabric Delay"/>
    <s v="Oct"/>
    <d v="2026-10-1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2.5579999999999998"/>
    <s v=""/>
    <e v="#N/A"/>
    <e v="#N/A"/>
    <n v="0"/>
  </r>
  <r>
    <s v="Lane Bryant"/>
    <s v="SQBIR.MGFLaneBryant.042.FY26-27.1"/>
    <m/>
    <m/>
    <m/>
    <m/>
    <s v=""/>
    <n v="204"/>
    <s v="95%Ctn 5%Elastane 150GSM CW 64"/>
    <s v="Lunar-Dot-033-Rosy-Future-CSP27079"/>
    <n v="-125.77466666666668"/>
    <n v="377.32400000000001"/>
    <m/>
    <n v="-377.32400000000001"/>
    <m/>
    <n v="-377.32400000000001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377.32400000000001"/>
    <s v=""/>
    <e v="#N/A"/>
    <e v="#N/A"/>
    <n v="0"/>
  </r>
  <r>
    <s v="Lane Bryant"/>
    <s v="SQBIR.MGFLaneBryant.042.FY26-27.2"/>
    <m/>
    <m/>
    <m/>
    <m/>
    <s v=""/>
    <n v="205"/>
    <s v="95%Ctn 5%Elastane 150GSM CW 64"/>
    <s v="Lunar-Dot-033-Rosy-Future-CSP27079"/>
    <n v="-0.61366666666666669"/>
    <n v="1.841"/>
    <m/>
    <n v="-1.841"/>
    <m/>
    <n v="-1.841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1.841"/>
    <s v=""/>
    <e v="#N/A"/>
    <e v="#N/A"/>
    <n v="0"/>
  </r>
  <r>
    <s v="Lane Bryant"/>
    <s v="SQBIR.MGFLaneBryant.043.FY26-27.1"/>
    <m/>
    <m/>
    <m/>
    <m/>
    <s v=""/>
    <n v="206"/>
    <s v="95%Ctn 5%Elastane 150GSM CW 64"/>
    <s v="Lunar-Dot-033-Rosy-Future-CSP27079"/>
    <n v="-154.81866666666667"/>
    <n v="464.45600000000002"/>
    <m/>
    <n v="-464.45600000000002"/>
    <m/>
    <n v="-464.45600000000002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464.45600000000002"/>
    <s v=""/>
    <e v="#N/A"/>
    <e v="#N/A"/>
    <n v="0"/>
  </r>
  <r>
    <s v="Lane Bryant"/>
    <s v="SQBIR.MGFLaneBryant.043.FY26-27.2"/>
    <m/>
    <m/>
    <m/>
    <m/>
    <s v=""/>
    <n v="207"/>
    <s v="95%Ctn 5%Elastane 150GSM CW 64"/>
    <s v="Lunar-Dot-033-Rosy-Future-CSP27079"/>
    <s v=""/>
    <n v="3.7789999999999999"/>
    <m/>
    <n v="-3.7789999999999999"/>
    <m/>
    <n v="-3.7789999999999999"/>
    <s v="458617"/>
    <s v="AOP"/>
    <x v="14"/>
    <d v="2026-10-27T00:00:00"/>
    <d v="2026-10-26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M &amp; S - T61 (KPK)"/>
    <s v="SQBIR.MS.01202.FY25-26.12"/>
    <m/>
    <m/>
    <m/>
    <m/>
    <s v=""/>
    <n v="208"/>
    <s v="SJ 95% BCI Cmd Cmpt CTN 5% Inv Ly 140gsm CW61”"/>
    <s v="SP27 L T61 MEADOW FLORAL STRIPE GREEN"/>
    <n v="-27.641000000000002"/>
    <n v="82.923000000000002"/>
    <m/>
    <n v="-82.923000000000002"/>
    <m/>
    <n v="-82.923000000000002"/>
    <s v="463358"/>
    <s v="AOP"/>
    <x v="8"/>
    <d v="2026-10-31T00:00:00"/>
    <d v="2026-10-30T00:00:00"/>
    <s v="Revised Plan given as per revised date"/>
    <s v="Combine print (Small Order)"/>
    <s v="Oct"/>
    <d v="2026-10-07T00:00:00"/>
    <m/>
    <m/>
    <m/>
    <m/>
    <m/>
    <m/>
    <m/>
    <m/>
    <m/>
    <m/>
    <s v="463358"/>
    <s v="AOP"/>
    <n v="140"/>
    <s v="463358140AOP"/>
    <n v="0"/>
    <s v="#NA"/>
    <n v="0"/>
    <n v="132.84399999999999"/>
    <s v=""/>
    <s v=""/>
    <n v="82.923000000000002"/>
    <s v=""/>
    <e v="#N/A"/>
    <e v="#N/A"/>
    <n v="0"/>
  </r>
  <r>
    <s v="M &amp; S - T61 (KPK)"/>
    <s v="SQBIR.MS.01346.FY25-26.1"/>
    <m/>
    <m/>
    <m/>
    <m/>
    <s v=""/>
    <n v="209"/>
    <s v="SJ 95% BCI Cmd Cmpt CTN 5% Inv Ly 140gsm CW61”"/>
    <s v="SU25 L T61 SCRIMBLE FLORA IVORY"/>
    <n v="-97.133333333333326"/>
    <n v="291.39999999999998"/>
    <m/>
    <n v="-291.39999999999998"/>
    <m/>
    <n v="-291.39999999999998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s v=""/>
    <s v=""/>
    <n v="291.39999999999998"/>
    <s v=""/>
    <e v="#N/A"/>
    <e v="#N/A"/>
    <n v="-1245.8"/>
  </r>
  <r>
    <s v="M &amp; S - T71"/>
    <s v="SQBIR.MS.283.FY26-27.1"/>
    <m/>
    <m/>
    <m/>
    <m/>
    <s v=""/>
    <n v="236"/>
    <s v="KNIT WEFT KNITTED SINGLE JERSEY BCI COMBED COTTON 100% GSM-150 CW-168 CM/66 INCH  "/>
    <s v="T71SU26 ANIMAL FACES BASE 23687 Cornflower"/>
    <n v="-56.666666666666664"/>
    <n v="170"/>
    <m/>
    <n v="-170"/>
    <m/>
    <n v="-170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170"/>
    <s v=""/>
    <e v="#N/A"/>
    <e v="#N/A"/>
    <n v="0"/>
  </r>
  <r>
    <s v="M &amp; S - T71"/>
    <s v="SQBIR.MS.283.FY26-27.2"/>
    <m/>
    <m/>
    <m/>
    <m/>
    <s v=""/>
    <n v="237"/>
    <s v="KNIT WEFT KNITTED SINGLE JERSEY BCI COMBED COTTON 100% GSM-150 CW-168 CM/66 INCH  "/>
    <s v="T71SU26 ANIMAL FACES BASE 23687 Cornflower"/>
    <n v="-113.33333333333333"/>
    <n v="340"/>
    <m/>
    <n v="-340"/>
    <m/>
    <n v="-340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340"/>
    <s v=""/>
    <e v="#N/A"/>
    <e v="#N/A"/>
    <n v="0"/>
  </r>
  <r>
    <s v="M &amp; S - T71"/>
    <s v="SQBIR.MS.283.FY26-27.3"/>
    <m/>
    <m/>
    <m/>
    <m/>
    <s v=""/>
    <n v="238"/>
    <s v="KNIT WEFT KNITTED SINGLE JERSEY BCI COMBED COTTON 100% GSM-150 CW-168 CM/66 INCH  "/>
    <s v="T71SU26 ANIMAL FACES BASE 23687 Cornflower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339.96"/>
    <s v=""/>
    <e v="#N/A"/>
    <e v="#N/A"/>
    <n v="0"/>
  </r>
  <r>
    <s v="M &amp; S - T71"/>
    <s v="SQBIR.MS.283.FY26-27.6"/>
    <m/>
    <m/>
    <m/>
    <m/>
    <s v=""/>
    <n v="239"/>
    <s v="KNIT WEFT KNITTED SINGLE JERSEY BCI COMBED COTTON 100% GSM-150 CW-168 CM/66 INCH  "/>
    <s v="T71SU26 ANIMAL FACES BASE 23687 Cornflower"/>
    <n v="-0.68"/>
    <n v="2.04"/>
    <m/>
    <n v="-2.04"/>
    <m/>
    <n v="-2.04"/>
    <s v="465758"/>
    <s v="AOP"/>
    <x v="31"/>
    <d v="2026-10-21T00:00:00"/>
    <d v="2026-10-20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2.04"/>
    <s v=""/>
    <e v="#N/A"/>
    <e v="#N/A"/>
    <n v="0"/>
  </r>
  <r>
    <s v="M &amp; S - T71"/>
    <s v="SQBIR.MS.283.FY26-27.1"/>
    <m/>
    <m/>
    <m/>
    <m/>
    <s v=""/>
    <n v="240"/>
    <s v="KNIT WEFT KNITTED SINGLE JERSEY BCI COMBED COTTON 100% GSM-150 CW-168 CM/66 INCH  "/>
    <s v="T71SU26 ANIMAL FACES BASE 23987 Aqua"/>
    <n v="-56.666666666666664"/>
    <n v="170"/>
    <m/>
    <n v="-170"/>
    <m/>
    <n v="-170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170"/>
    <s v=""/>
    <e v="#N/A"/>
    <e v="#N/A"/>
    <n v="0"/>
  </r>
  <r>
    <s v="M &amp; S - T71"/>
    <s v="SQBIR.MS.283.FY26-27.2"/>
    <m/>
    <m/>
    <m/>
    <m/>
    <s v=""/>
    <n v="241"/>
    <s v="KNIT WEFT KNITTED SINGLE JERSEY BCI COMBED COTTON 100% GSM-150 CW-168 CM/66 INCH  "/>
    <s v="T71SU26 ANIMAL FACES BASE 23987 Aqua"/>
    <n v="-113.33333333333333"/>
    <n v="340"/>
    <m/>
    <n v="-340"/>
    <m/>
    <n v="-340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340"/>
    <s v=""/>
    <e v="#N/A"/>
    <e v="#N/A"/>
    <n v="0"/>
  </r>
  <r>
    <s v="M &amp; S - T71"/>
    <s v="SQBIR.MS.283.FY26-27.3"/>
    <m/>
    <m/>
    <m/>
    <m/>
    <s v=""/>
    <n v="242"/>
    <s v="KNIT WEFT KNITTED SINGLE JERSEY BCI COMBED COTTON 100% GSM-150 CW-168 CM/66 INCH  "/>
    <s v="T71SU26 ANIMAL FACES BASE 23987 Aqua"/>
    <s v="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s v=""/>
    <s v=""/>
    <e v="#N/A"/>
    <e v="#N/A"/>
    <n v="0"/>
  </r>
  <r>
    <s v="Lane Bryant"/>
    <s v="SQBIR.MGFLaneBryant.029.FY26-27.2"/>
    <m/>
    <m/>
    <m/>
    <m/>
    <s v=""/>
    <n v="263"/>
    <s v="95%Ctn 5%Elastane 150GSM CW 64"/>
    <s v="Delicate-Ditsy-032-Maritime-Blue-CSP27045"/>
    <n v="-244.55499999999998"/>
    <n v="733.66499999999996"/>
    <m/>
    <n v="-733.66499999999996"/>
    <m/>
    <n v="-733.6649999999999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733.66499999999996"/>
    <s v=""/>
    <e v="#N/A"/>
    <e v="#N/A"/>
    <n v="0"/>
  </r>
  <r>
    <s v="Lane Bryant"/>
    <s v="SQBIR.MGFLaneBryant.029.FY26-27.3"/>
    <m/>
    <m/>
    <m/>
    <m/>
    <s v=""/>
    <n v="264"/>
    <s v="95%Ctn 5%Elastane 150GSM CW 64"/>
    <s v="Delicate-Ditsy-032-Maritime-Blue-CSP27045"/>
    <n v="-0.67266666666666663"/>
    <n v="2.0179999999999998"/>
    <m/>
    <n v="-2.0179999999999998"/>
    <m/>
    <n v="-2.0179999999999998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2.0179999999999998"/>
    <s v=""/>
    <e v="#N/A"/>
    <e v="#N/A"/>
    <n v="0"/>
  </r>
  <r>
    <s v="Lane Bryant"/>
    <s v="SQBIR.MGFLaneBryant.039.FY26-27.1"/>
    <m/>
    <m/>
    <m/>
    <m/>
    <s v=""/>
    <n v="265"/>
    <s v="95%Ctn 5%Elastane 150GSM CW 64"/>
    <s v="Delicate-Ditsy-032-Maritime-Blue-CSP27045"/>
    <n v="-123.03666666666668"/>
    <n v="369.11"/>
    <m/>
    <n v="-369.11"/>
    <m/>
    <n v="-369.11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369.11"/>
    <s v=""/>
    <e v="#N/A"/>
    <e v="#N/A"/>
    <n v="0"/>
  </r>
  <r>
    <s v="Lane Bryant"/>
    <s v="SQBIR.MGFLaneBryant.039.FY26-27.2"/>
    <m/>
    <m/>
    <m/>
    <m/>
    <s v=""/>
    <n v="266"/>
    <s v="95%Ctn 5%Elastane 150GSM CW 64"/>
    <s v="Delicate-Ditsy-032-Maritime-Blue-CSP27045"/>
    <n v="-190.55766666666668"/>
    <n v="571.673"/>
    <m/>
    <n v="-571.673"/>
    <m/>
    <n v="-571.673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571.673"/>
    <s v=""/>
    <e v="#N/A"/>
    <e v="#N/A"/>
    <n v="0"/>
  </r>
  <r>
    <s v="Lane Bryant"/>
    <s v="SQBIR.MGFLaneBryant.039.FY26-27.3"/>
    <m/>
    <m/>
    <m/>
    <m/>
    <s v=""/>
    <n v="267"/>
    <s v="95%Ctn 5%Elastane 150GSM CW 64"/>
    <s v="Delicate-Ditsy-032-Maritime-Blue-CSP27045"/>
    <n v="-1.2769999999999999"/>
    <n v="3.831"/>
    <m/>
    <n v="-3.831"/>
    <m/>
    <n v="-3.831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3.831"/>
    <s v=""/>
    <e v="#N/A"/>
    <e v="#N/A"/>
    <n v="0"/>
  </r>
  <r>
    <s v="Lane Bryant"/>
    <s v="SQBIR.MGFLaneBryant.028.FY26-27.1"/>
    <m/>
    <m/>
    <m/>
    <m/>
    <s v=""/>
    <n v="268"/>
    <s v="95%Ctn 5%Elastane 150GSM CW 64"/>
    <s v="Garden-Blooms-008-Maritime-Blue-CSP27115"/>
    <n v="-215.68266666666668"/>
    <n v="647.048"/>
    <m/>
    <n v="-647.048"/>
    <m/>
    <n v="-647.048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647.048"/>
    <s v=""/>
    <e v="#N/A"/>
    <e v="#N/A"/>
    <n v="0"/>
  </r>
  <r>
    <s v="M &amp; S - T71"/>
    <s v="SQBIR.MS.283.FY26-27.1"/>
    <m/>
    <m/>
    <m/>
    <m/>
    <s v=""/>
    <n v="269"/>
    <s v="KNIT WEFT KNITTED SINGLE JERSEY BCI COMBED COTTON 100% GSM-150 CW-168 CM/66 INCH  "/>
    <s v="T71SU26 ANIMAL FACES BASE 47199 Light Aqua"/>
    <s v=""/>
    <n v="170"/>
    <m/>
    <n v="-170"/>
    <m/>
    <n v="-17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s v=""/>
    <s v=""/>
    <e v="#N/A"/>
    <e v="#N/A"/>
    <n v="0"/>
  </r>
  <r>
    <s v="M &amp; S - T71"/>
    <s v="SQBIR.MS.283.FY26-27.2"/>
    <m/>
    <m/>
    <m/>
    <m/>
    <s v=""/>
    <n v="270"/>
    <s v="KNIT WEFT KNITTED SINGLE JERSEY BCI COMBED COTTON 100% GSM-150 CW-168 CM/66 INCH  "/>
    <s v="T71SU26 ANIMAL FACES BASE 47199 Light Aqua"/>
    <n v="-113.33333333333333"/>
    <n v="340"/>
    <m/>
    <n v="-340"/>
    <m/>
    <n v="-34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340"/>
    <s v=""/>
    <e v="#N/A"/>
    <e v="#N/A"/>
    <n v="0"/>
  </r>
  <r>
    <s v="M &amp; S - T71"/>
    <s v="SQBIR.MS.283.FY26-27.3"/>
    <m/>
    <m/>
    <m/>
    <m/>
    <s v=""/>
    <n v="271"/>
    <s v="KNIT WEFT KNITTED SINGLE JERSEY BCI COMBED COTTON 100% GSM-150 CW-168 CM/66 INCH  "/>
    <s v="T71SU26 ANIMAL FACES BASE 47199 Light Aqua"/>
    <n v="-113.32"/>
    <n v="339.96"/>
    <m/>
    <n v="-339.96"/>
    <m/>
    <n v="-339.96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339.96"/>
    <s v=""/>
    <e v="#N/A"/>
    <e v="#N/A"/>
    <n v="0"/>
  </r>
  <r>
    <s v="M &amp; S - T71"/>
    <s v="SQBIR.MS.154.FY26-27.1"/>
    <m/>
    <m/>
    <m/>
    <m/>
    <s v=""/>
    <n v="281"/>
    <s v="KNIT JERSEY BCI COTTON 100% GSM-150 CW-170/67CM/INCH AOP"/>
    <s v="T71 DINOSAURS 23275 Cobalt"/>
    <n v="0"/>
    <n v="505.2"/>
    <n v="505.2"/>
    <n v="0"/>
    <m/>
    <n v="0"/>
    <s v="461085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1503.6"/>
    <n v="2253.087"/>
    <s v=""/>
    <s v=""/>
    <n v="0"/>
    <s v=""/>
    <e v="#N/A"/>
    <e v="#N/A"/>
    <n v="-1503.6"/>
  </r>
  <r>
    <s v="M &amp; S - T71"/>
    <s v="SQBIR.MS.154.FY26-27.2"/>
    <m/>
    <m/>
    <m/>
    <m/>
    <s v=""/>
    <n v="282"/>
    <s v="KNIT JERSEY BCI COTTON 100% GSM-150 CW-170/67CM/INCH AOP"/>
    <s v="T71 DINOSAURS 23275 Cobalt"/>
    <n v="-84.119666666666674"/>
    <n v="252.35900000000001"/>
    <m/>
    <n v="-252.35900000000001"/>
    <m/>
    <n v="-252.35900000000001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1503.6"/>
    <s v=""/>
    <s v=""/>
    <s v=""/>
    <n v="252.35900000000001"/>
    <s v=""/>
    <e v="#N/A"/>
    <e v="#N/A"/>
    <n v="-1503.6"/>
  </r>
  <r>
    <s v="M &amp; S - T61 (KPK)"/>
    <s v="SQBIR.MS.01170.FY25-26.10"/>
    <m/>
    <m/>
    <m/>
    <m/>
    <s v=""/>
    <n v="283"/>
    <s v="SJ 95% BCI Cmd Cmpt CTN 5% Inv Ly 140gsm CW61”"/>
    <s v="SP27 L T61 MEADOW FLORAL STRIPE GREEN"/>
    <s v=""/>
    <n v="68.424000000000007"/>
    <n v="68.424000000000007"/>
    <n v="0"/>
    <m/>
    <n v="0"/>
    <s v="440575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40575"/>
    <s v="AOP"/>
    <n v="140"/>
    <s v="440575140AOP"/>
    <n v="0"/>
    <s v="#NA"/>
    <s v=""/>
    <s v=""/>
    <s v=""/>
    <s v=""/>
    <n v="0"/>
    <s v=""/>
    <e v="#N/A"/>
    <e v="#N/A"/>
    <s v=""/>
  </r>
  <r>
    <s v="M &amp; S - T71"/>
    <s v="SQBIR.MS.155.FY26-27.1"/>
    <m/>
    <m/>
    <m/>
    <m/>
    <s v=""/>
    <n v="284"/>
    <s v="KNIT WEFT KNITTED SINGLE JERSEY BCI COMBED COTTON 100% GSM-150 CW-168 CM/66 INCH  "/>
    <s v="T71SU26 SAILING AOP BASE 17492 Powder Blue"/>
    <s v=""/>
    <n v="330.8"/>
    <n v="330.8"/>
    <n v="0"/>
    <m/>
    <n v="0"/>
    <s v="461085"/>
    <s v="AOP"/>
    <x v="27"/>
    <d v="2026-10-17T00:00:00"/>
    <d v="2026-10-16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1503.6"/>
    <n v="2253.087"/>
    <s v=""/>
    <s v=""/>
    <s v=""/>
    <s v=""/>
    <e v="#N/A"/>
    <e v="#N/A"/>
    <n v="-1503.6"/>
  </r>
  <r>
    <s v="M &amp; S - T71"/>
    <s v="SQBIR.MS.155.FY26-27.2"/>
    <m/>
    <m/>
    <m/>
    <m/>
    <s v=""/>
    <n v="285"/>
    <s v="KNIT WEFT KNITTED SINGLE JERSEY BCI COMBED COTTON 100% GSM-150 CW-168 CM/66 INCH  "/>
    <s v="T71SU26 SAILING AOP BASE 17492 Powder Blue"/>
    <s v=""/>
    <n v="164.61099999999999"/>
    <m/>
    <n v="-164.61099999999999"/>
    <m/>
    <n v="-164.61099999999999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s v=""/>
    <n v="2253.087"/>
    <s v=""/>
    <s v=""/>
    <s v=""/>
    <s v=""/>
    <e v="#N/A"/>
    <e v="#N/A"/>
    <s v=""/>
  </r>
  <r>
    <s v="M &amp; S - T61 (KPK)"/>
    <s v="SQBIR.MS.108.FY26-27.1"/>
    <m/>
    <m/>
    <m/>
    <m/>
    <s v=""/>
    <n v="294"/>
    <s v="SJ 95% BCI Cmd Cmpt CTN 5% Inv Ly 140gsm CW61”"/>
    <s v="AU26 L T61 RANDOM SPOT BLACK LIGHTCREAM SPEC"/>
    <s v=""/>
    <n v="481.6"/>
    <m/>
    <n v="-481.6"/>
    <m/>
    <n v="-481.6"/>
    <s v="462079"/>
    <s v="AOP"/>
    <x v="4"/>
    <d v="2026-10-26T00:00:00"/>
    <d v="2026-10-25T00:00:00"/>
    <s v="Revised Plan given as per revised date"/>
    <s v="Combine print (Small Order)"/>
    <s v="Oct"/>
    <d v="2026-10-18T00:00:00"/>
    <m/>
    <m/>
    <m/>
    <m/>
    <m/>
    <m/>
    <m/>
    <m/>
    <m/>
    <m/>
    <s v="462079"/>
    <s v="AOP"/>
    <n v="140"/>
    <s v="462079140AOP"/>
    <n v="0"/>
    <s v="#NA"/>
    <n v="0"/>
    <n v="963.2"/>
    <s v=""/>
    <s v=""/>
    <s v=""/>
    <s v=""/>
    <e v="#N/A"/>
    <e v="#N/A"/>
    <n v="0"/>
  </r>
  <r>
    <s v="M &amp; S - T61 (KPK)"/>
    <s v="SQBIR.MS.143.FY26-27.9"/>
    <m/>
    <m/>
    <m/>
    <m/>
    <s v=""/>
    <n v="305"/>
    <s v="SJ 95% BCI Cmd Cmpt CTN 5% Inv Ly 140gsm CW61”"/>
    <s v="SP27 L T61 MEADOW FLORA LWHITE"/>
    <s v=""/>
    <n v="1.1419999999999999"/>
    <m/>
    <n v="-1.1419999999999999"/>
    <m/>
    <n v="-1.141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s v=""/>
    <n v="5945.2260000000006"/>
    <s v=""/>
    <s v=""/>
    <s v=""/>
    <s v=""/>
    <e v="#N/A"/>
    <e v="#N/A"/>
    <s v=""/>
  </r>
  <r>
    <s v="M &amp; S - T61 (KPK)"/>
    <s v="SQBIR.MS.01344.FY25-26.1"/>
    <m/>
    <m/>
    <m/>
    <m/>
    <s v=""/>
    <n v="330"/>
    <s v="SJ 95% BCI Cmd Cmpt CTN 5% Inv Ly 140gsm CW61”"/>
    <s v="SU25 L T61 SCRIMBLE FLORA IVORY"/>
    <s v=""/>
    <n v="126"/>
    <m/>
    <n v="-126"/>
    <m/>
    <n v="-126"/>
    <s v="457079"/>
    <s v="AOP"/>
    <x v="5"/>
    <s v="Plan TBC"/>
    <s v="Plan TBC"/>
    <s v="Plan will confirm once receive PP approval"/>
    <s v="Waiting for PP approval"/>
    <s v="Oct"/>
    <d v="2026-10-04T00:00:00"/>
    <m/>
    <m/>
    <m/>
    <m/>
    <m/>
    <m/>
    <m/>
    <m/>
    <m/>
    <m/>
    <s v="457079"/>
    <s v="AOP"/>
    <n v="140"/>
    <s v="457079140AOP"/>
    <n v="0"/>
    <s v="#NA"/>
    <n v="1245.8"/>
    <n v="2491.6"/>
    <s v=""/>
    <s v=""/>
    <s v=""/>
    <s v=""/>
    <e v="#N/A"/>
    <e v="#N/A"/>
    <n v="-1245.8"/>
  </r>
  <r>
    <s v="M &amp; S - T61 (KPK)"/>
    <s v="SQBIR.MS.109.FY26-27.1"/>
    <m/>
    <m/>
    <m/>
    <m/>
    <s v=""/>
    <n v="336"/>
    <s v="SJ 95% BCI Cmd Cmpt CTN 5% Inv Ly 140gsm CW61”"/>
    <s v="AU26 L T61 RANDOM SPOT BLACK LIGHTCREAM SPEC"/>
    <s v=""/>
    <n v="707.2"/>
    <m/>
    <n v="-707.2"/>
    <m/>
    <n v="-707.2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s v=""/>
    <n v="5945.2260000000006"/>
    <s v=""/>
    <s v=""/>
    <s v=""/>
    <s v=""/>
    <e v="#N/A"/>
    <e v="#N/A"/>
    <s v=""/>
  </r>
  <r>
    <s v="M &amp; S - T61 (KPK)"/>
    <s v="SQBIR.MS.109.FY26-27.6"/>
    <m/>
    <m/>
    <m/>
    <m/>
    <s v=""/>
    <n v="337"/>
    <s v="SJ 95% BCI Cmd Cmpt CTN 5% Inv Ly 140gsm CW61”"/>
    <s v="AU26 L T61 RANDOM SPOT BLACK LIGHTCREAM SPEC"/>
    <s v=""/>
    <n v="1.0609999999999999"/>
    <m/>
    <n v="-1.0609999999999999"/>
    <m/>
    <n v="-1.060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s v=""/>
    <s v=""/>
    <e v="#N/A"/>
    <e v="#N/A"/>
    <n v="0"/>
  </r>
  <r>
    <s v="M &amp; S - T61 (KPK)"/>
    <s v="SQBIR.MS.106.FY26-27.1"/>
    <m/>
    <m/>
    <m/>
    <m/>
    <s v=""/>
    <n v="338"/>
    <s v="SJ 95% BCI Cmd Cmpt CTN 5% Inv Ly 140gsm CW61”"/>
    <s v="AU26 L T61 RANDOM SPOT BLACK LIGHTCREAM SPEC"/>
    <s v=""/>
    <n v="960"/>
    <m/>
    <n v="-960"/>
    <m/>
    <n v="-960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s v=""/>
    <n v="5945.2260000000006"/>
    <s v=""/>
    <s v=""/>
    <s v=""/>
    <s v=""/>
    <e v="#N/A"/>
    <e v="#N/A"/>
    <s v=""/>
  </r>
  <r>
    <s v="M &amp; S - T61 (KPK)"/>
    <s v="SQBIR.MS.105.FY26-27.7"/>
    <m/>
    <m/>
    <m/>
    <m/>
    <s v=""/>
    <n v="339"/>
    <s v="SJ 95% BCI Cmd Cmpt CTN 5% Inv Ly 140gsm CW61”"/>
    <s v="AU26 L T61 RANDOM SPOT BLACK LIGHTCREAM SPEC"/>
    <s v=""/>
    <n v="1.1739999999999999"/>
    <m/>
    <n v="-1.1739999999999999"/>
    <m/>
    <n v="-1.1739999999999999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s v=""/>
    <s v=""/>
    <e v="#N/A"/>
    <e v="#N/A"/>
    <n v="0"/>
  </r>
  <r>
    <s v="M &amp; S - T61 (KPK)"/>
    <s v="SQBIR.MS.01347.FY25-26.3"/>
    <m/>
    <m/>
    <m/>
    <m/>
    <s v=""/>
    <n v="384"/>
    <s v="SJ 95% BCI Cmd Cmpt CTN 5% Inv Ly 140gsm CW61”"/>
    <s v="SUM25 L T61 MINI DOT DUSTYGREEN"/>
    <s v=""/>
    <n v="177"/>
    <n v="177"/>
    <n v="0"/>
    <m/>
    <n v="0"/>
    <s v="457079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079"/>
    <s v="AOP"/>
    <n v="140"/>
    <s v="457079140AOP"/>
    <n v="0"/>
    <s v="#NA"/>
    <n v="1245.8"/>
    <n v="2491.6"/>
    <s v=""/>
    <s v=""/>
    <s v=""/>
    <s v=""/>
    <e v="#N/A"/>
    <e v="#N/A"/>
    <n v="-1245.8"/>
  </r>
  <r>
    <s v="M &amp; S - T61 (KPK)"/>
    <s v="SQBIR.MS.01347.FY25-26.4"/>
    <m/>
    <m/>
    <m/>
    <m/>
    <s v=""/>
    <n v="385"/>
    <s v="SJ 95% BCI Cmd Cmpt CTN 5% Inv Ly 140gsm CW61”"/>
    <s v="SUM25 L T61 MINI DOT DUSTYGREEN"/>
    <n v="0"/>
    <n v="177"/>
    <n v="177"/>
    <n v="0"/>
    <m/>
    <n v="0"/>
    <s v="457079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079"/>
    <s v="AOP"/>
    <n v="140"/>
    <s v="457079140AOP"/>
    <n v="0"/>
    <s v="#NA"/>
    <s v=""/>
    <s v=""/>
    <s v=""/>
    <s v=""/>
    <n v="0"/>
    <s v=""/>
    <e v="#N/A"/>
    <e v="#N/A"/>
    <s v=""/>
  </r>
  <r>
    <s v="M &amp; S - T61 (KPK)"/>
    <s v="SQBIR.MS.143.FY26-27.1"/>
    <m/>
    <m/>
    <m/>
    <m/>
    <s v=""/>
    <n v="386"/>
    <s v="SJ 95% BCI Cmd Cmpt CTN 5% Inv Ly 140gsm CW61”"/>
    <s v="SP27 L T61 MEADOW FLORAL STRIPE GREEN"/>
    <n v="-101.75"/>
    <n v="305.25"/>
    <m/>
    <n v="-305.25"/>
    <m/>
    <n v="-305.25"/>
    <s v="463564"/>
    <s v="AOP"/>
    <x v="8"/>
    <d v="2026-10-31T00:00:00"/>
    <d v="2026-10-30T00:00:00"/>
    <s v="Revised Plan given as per revised date"/>
    <s v="PFP Fabric Delay"/>
    <s v="Oct"/>
    <d v="2026-10-25T00:00:00"/>
    <m/>
    <m/>
    <m/>
    <m/>
    <m/>
    <m/>
    <m/>
    <m/>
    <m/>
    <m/>
    <s v="463564"/>
    <s v="AOP"/>
    <n v="140"/>
    <s v="463564140AOP"/>
    <n v="0"/>
    <s v="#NA"/>
    <n v="0"/>
    <s v=""/>
    <s v=""/>
    <s v=""/>
    <n v="305.25"/>
    <s v=""/>
    <e v="#N/A"/>
    <e v="#N/A"/>
    <n v="0"/>
  </r>
  <r>
    <s v="Lane Bryant"/>
    <s v="SQBIR.MGFLaneBryant.059.FY26-27.1"/>
    <m/>
    <m/>
    <m/>
    <m/>
    <s v=""/>
    <n v="396"/>
    <s v="95%Ctn 5%Elastane 150GSM CW 64"/>
    <s v="Floating-Petals-Stripe-032-Skywriting-CSP27223"/>
    <n v="-255.279"/>
    <n v="765.83699999999999"/>
    <m/>
    <n v="-765.83699999999999"/>
    <m/>
    <n v="-765.836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765.83699999999999"/>
    <s v=""/>
    <e v="#N/A"/>
    <e v="#N/A"/>
    <s v=""/>
  </r>
  <r>
    <s v="Lane Bryant"/>
    <s v="SQBIR.MGFLaneBryant.059.FY26-27.2"/>
    <m/>
    <m/>
    <m/>
    <m/>
    <s v=""/>
    <n v="397"/>
    <s v="95%Ctn 5%Elastane 150GSM CW 64"/>
    <s v="Floating-Petals-Stripe-032-Skywriting-CSP27223"/>
    <n v="-345.923"/>
    <n v="1037.769"/>
    <m/>
    <n v="-1037.769"/>
    <m/>
    <n v="-1037.76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1037.769"/>
    <s v=""/>
    <e v="#N/A"/>
    <e v="#N/A"/>
    <s v=""/>
  </r>
  <r>
    <s v="Lane Bryant"/>
    <s v="SQBIR.MGFLaneBryant.059.FY26-27.3"/>
    <m/>
    <m/>
    <m/>
    <m/>
    <s v=""/>
    <n v="398"/>
    <s v="95%Ctn 5%Elastane 150GSM CW 64"/>
    <s v="Floating-Petals-Stripe-032-Skywriting-CSP27223"/>
    <n v="-1.054"/>
    <n v="3.1619999999999999"/>
    <m/>
    <n v="-3.1619999999999999"/>
    <m/>
    <n v="-3.16199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n v="3.1619999999999999"/>
    <s v=""/>
    <e v="#N/A"/>
    <e v="#N/A"/>
    <s v=""/>
  </r>
  <r>
    <s v="Lane Bryant"/>
    <s v="SQBIR.MGFLaneBryant.062.FY26-27.1"/>
    <m/>
    <m/>
    <m/>
    <m/>
    <s v=""/>
    <n v="406"/>
    <s v="95%Ctn 5%Elastane 150GSM CW 64"/>
    <s v="Vivid-Stripe-006-Maritime-Blue-CSP27075c"/>
    <s v=""/>
    <n v="320.767"/>
    <m/>
    <n v="-320.767"/>
    <m/>
    <n v="-320.767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s v=""/>
    <s v=""/>
    <s v=""/>
    <s v=""/>
    <s v=""/>
    <e v="#N/A"/>
    <e v="#N/A"/>
    <n v="0"/>
  </r>
  <r>
    <s v="Lane Bryant"/>
    <s v="SQBIR.MGFLaneBryant.062.FY26-27.2"/>
    <m/>
    <m/>
    <m/>
    <m/>
    <s v=""/>
    <n v="407"/>
    <s v="95%Ctn 5%Elastane 150GSM CW 64"/>
    <s v="Vivid-Stripe-006-Maritime-Blue-CSP27075c"/>
    <n v="-274.54000000000002"/>
    <n v="823.62"/>
    <m/>
    <n v="-823.62"/>
    <m/>
    <n v="-823.62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823.62"/>
    <s v=""/>
    <e v="#N/A"/>
    <e v="#N/A"/>
    <s v=""/>
  </r>
  <r>
    <s v="Lane Bryant"/>
    <s v="SQBIR.MGFLaneBryant.035.FY26-27.1"/>
    <m/>
    <m/>
    <m/>
    <m/>
    <s v=""/>
    <n v="412"/>
    <s v="95%Ctn 5%Elastane 150GSM CW 64"/>
    <s v="Butterfly Bouquet-012-LHG-CSP27099"/>
    <n v="-268.82333333333332"/>
    <n v="806.47"/>
    <m/>
    <n v="-806.47"/>
    <m/>
    <n v="-806.47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s v=""/>
    <s v=""/>
    <s v=""/>
    <n v="806.47"/>
    <s v=""/>
    <e v="#N/A"/>
    <e v="#N/A"/>
    <n v="0"/>
  </r>
  <r>
    <s v="Lane Bryant"/>
    <s v="SQBIR.MGFLaneBryant.035.FY26-27.2"/>
    <m/>
    <m/>
    <m/>
    <m/>
    <s v=""/>
    <n v="413"/>
    <s v="95%Ctn 5%Elastane 150GSM CW 64"/>
    <s v="Butterfly Bouquet-012-LHG-CSP27099"/>
    <n v="-400.67800000000005"/>
    <n v="1202.0340000000001"/>
    <m/>
    <n v="-1202.0340000000001"/>
    <m/>
    <n v="-1202.0340000000001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1202.0340000000001"/>
    <s v=""/>
    <e v="#N/A"/>
    <e v="#N/A"/>
    <s v=""/>
  </r>
  <r>
    <s v="Lane Bryant"/>
    <s v="SQBIR.MGFLaneBryant.035.FY26-27.3"/>
    <m/>
    <m/>
    <m/>
    <m/>
    <s v=""/>
    <n v="414"/>
    <s v="95%Ctn 5%Elastane 150GSM CW 64"/>
    <s v="Butterfly Bouquet-012-LHG-CSP27099"/>
    <n v="-0.72133333333333338"/>
    <n v="2.1640000000000001"/>
    <m/>
    <n v="-2.1640000000000001"/>
    <m/>
    <n v="-2.1640000000000001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s v=""/>
    <s v=""/>
    <s v=""/>
    <n v="2.1640000000000001"/>
    <s v=""/>
    <e v="#N/A"/>
    <e v="#N/A"/>
    <n v="0"/>
  </r>
  <r>
    <s v="Lane Bryant"/>
    <s v="SQBIR.MGFLaneBryant.026.FY26-27.1"/>
    <m/>
    <m/>
    <m/>
    <m/>
    <s v=""/>
    <n v="415"/>
    <s v="95%Ctn 5%Elastane 150GSM CW 64"/>
    <s v="Butterfly Bouquet-013-Arctic Dawn-CSP27099"/>
    <n v="-92.865666666666655"/>
    <n v="278.59699999999998"/>
    <m/>
    <n v="-278.59699999999998"/>
    <m/>
    <n v="-278.59699999999998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278.59699999999998"/>
    <s v=""/>
    <e v="#N/A"/>
    <e v="#N/A"/>
    <n v="0"/>
  </r>
  <r>
    <s v="Lane Bryant"/>
    <s v="SQBIR.MGFLaneBryant.026.FY26-27.2"/>
    <m/>
    <m/>
    <m/>
    <m/>
    <s v=""/>
    <n v="416"/>
    <s v="95%Ctn 5%Elastane 150GSM CW 64"/>
    <s v="Butterfly Bouquet-013-Arctic Dawn-CSP27099"/>
    <s v=""/>
    <n v="584.64499999999998"/>
    <m/>
    <n v="-584.64499999999998"/>
    <m/>
    <n v="-584.64499999999998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s v=""/>
    <s v=""/>
    <s v=""/>
    <s v=""/>
    <s v=""/>
    <e v="#N/A"/>
    <e v="#N/A"/>
    <n v="0"/>
  </r>
  <r>
    <s v="Lane Bryant"/>
    <s v="SQBIR.MGFLaneBryant.026.FY26-27.3"/>
    <m/>
    <m/>
    <m/>
    <m/>
    <s v=""/>
    <n v="417"/>
    <s v="95%Ctn 5%Elastane 150GSM CW 64"/>
    <s v="Butterfly Bouquet-013-Arctic Dawn-CSP27099"/>
    <n v="-0.6253333333333333"/>
    <n v="1.8759999999999999"/>
    <m/>
    <n v="-1.8759999999999999"/>
    <m/>
    <n v="-1.8759999999999999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n v="26510.227999999996"/>
    <s v=""/>
    <s v=""/>
    <n v="1.8759999999999999"/>
    <s v=""/>
    <e v="#N/A"/>
    <e v="#N/A"/>
    <s v=""/>
  </r>
  <r>
    <s v="Lane Bryant"/>
    <s v="SQBIR.MGFLaneBryant.033.FY26-27.1"/>
    <m/>
    <m/>
    <m/>
    <m/>
    <s v=""/>
    <n v="418"/>
    <s v="95%Ctn 5%Elastane 150GSM CW 64"/>
    <s v="Butterfly Bouquet-013-Arctic Dawn-CSP27099"/>
    <n v="-351.77733333333339"/>
    <n v="1055.3320000000001"/>
    <m/>
    <n v="-1055.3320000000001"/>
    <m/>
    <n v="-1055.332000000000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1055.3320000000001"/>
    <s v=""/>
    <e v="#N/A"/>
    <e v="#N/A"/>
    <n v="0"/>
  </r>
  <r>
    <s v="Lane Bryant"/>
    <s v="SQBIR.MGFLaneBryant.033.FY26-27.2"/>
    <m/>
    <m/>
    <m/>
    <m/>
    <s v=""/>
    <n v="419"/>
    <s v="95%Ctn 5%Elastane 150GSM CW 64"/>
    <s v="Butterfly Bouquet-013-Arctic Dawn-CSP27099"/>
    <s v=""/>
    <n v="1689.9480000000001"/>
    <m/>
    <n v="-1689.9480000000001"/>
    <m/>
    <n v="-1689.948000000000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33.FY26-27.3"/>
    <m/>
    <m/>
    <m/>
    <m/>
    <s v=""/>
    <n v="420"/>
    <s v="95%Ctn 5%Elastane 150GSM CW 64"/>
    <s v="Butterfly Bouquet-013-Arctic Dawn-CSP27099"/>
    <s v=""/>
    <n v="3.51"/>
    <m/>
    <n v="-3.51"/>
    <m/>
    <n v="-3.5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19.FY26-27.1"/>
    <m/>
    <m/>
    <m/>
    <m/>
    <s v=""/>
    <n v="421"/>
    <s v="95%Ctn 5%Elastane 150GSM CW 64"/>
    <s v="Cleo-Stripe-024-Arctic-Dawn-CSP27034b"/>
    <n v="-177.44033333333334"/>
    <n v="532.32100000000003"/>
    <m/>
    <n v="-532.32100000000003"/>
    <m/>
    <n v="-532.32100000000003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532.32100000000003"/>
    <s v=""/>
    <e v="#N/A"/>
    <e v="#N/A"/>
    <s v=""/>
  </r>
  <r>
    <s v="Lane Bryant"/>
    <s v="SQBIR.MGFLaneBryant.021.FY26-27.2"/>
    <m/>
    <m/>
    <m/>
    <m/>
    <s v=""/>
    <n v="425"/>
    <s v="95%Ctn 5%Elastane 150GSM CW 64"/>
    <s v="Cleo-Stripe-024-Arctic-Dawn-CSP27034b"/>
    <n v="-1.1599999999999999"/>
    <n v="3.48"/>
    <m/>
    <n v="-3.48"/>
    <m/>
    <n v="-3.48"/>
    <s v="458617"/>
    <s v="AOP"/>
    <x v="13"/>
    <d v="2026-10-24T00:00:00"/>
    <d v="2026-10-23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3.48"/>
    <s v=""/>
    <e v="#N/A"/>
    <e v="#N/A"/>
    <n v="0"/>
  </r>
  <r>
    <s v="Lane Bryant"/>
    <s v="SQBIR.MGFLaneBryant.018.FY26-27.1"/>
    <m/>
    <m/>
    <m/>
    <m/>
    <s v=""/>
    <n v="426"/>
    <s v="95%Ctn 5%Elastane 150GSM CW 64"/>
    <s v="Darling-Animal-020-Bright-White-CSP27035"/>
    <s v=""/>
    <n v="223.40899999999999"/>
    <m/>
    <n v="-223.40899999999999"/>
    <m/>
    <n v="-223.408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s v=""/>
    <s v=""/>
    <s v=""/>
    <s v=""/>
    <s v=""/>
    <e v="#N/A"/>
    <e v="#N/A"/>
    <n v="0"/>
  </r>
  <r>
    <s v="Lane Bryant"/>
    <s v="SQBIR.MGFLaneBryant.018.FY26-27.2"/>
    <m/>
    <m/>
    <m/>
    <m/>
    <s v=""/>
    <n v="427"/>
    <s v="95%Ctn 5%Elastane 150GSM CW 64"/>
    <s v="Darling-Animal-020-Bright-White-CSP27035"/>
    <s v=""/>
    <n v="1.9990000000000001"/>
    <m/>
    <n v="-1.9990000000000001"/>
    <m/>
    <n v="-1.99900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1.9990000000000001"/>
    <s v=""/>
    <e v="#N/A"/>
    <e v="#N/A"/>
    <n v="0"/>
  </r>
  <r>
    <s v="Lane Bryant"/>
    <s v="SQBIR.MGFLaneBryant.020.FY26-27.1"/>
    <m/>
    <m/>
    <m/>
    <m/>
    <s v=""/>
    <n v="428"/>
    <s v="95%Ctn 5%Elastane 150GSM CW 64"/>
    <s v="Darling-Animal-020-Bright-White-CSP27035"/>
    <s v=""/>
    <n v="590.98500000000001"/>
    <m/>
    <n v="-590.98500000000001"/>
    <m/>
    <n v="-590.985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s v=""/>
    <s v=""/>
    <s v=""/>
    <s v=""/>
    <s v=""/>
    <e v="#N/A"/>
    <e v="#N/A"/>
    <n v="0"/>
  </r>
  <r>
    <s v="Lane Bryant"/>
    <s v="SQBIR.MGFLaneBryant.020.FY26-27.2"/>
    <m/>
    <m/>
    <m/>
    <m/>
    <s v=""/>
    <n v="429"/>
    <s v="95%Ctn 5%Elastane 150GSM CW 64"/>
    <s v="Darling-Animal-020-Bright-White-CSP27035"/>
    <n v="-1.2023333333333335"/>
    <n v="3.6070000000000002"/>
    <m/>
    <n v="-3.6070000000000002"/>
    <m/>
    <n v="-3.6070000000000002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3.6070000000000002"/>
    <s v=""/>
    <e v="#N/A"/>
    <e v="#N/A"/>
    <n v="0"/>
  </r>
  <r>
    <s v="Lane Bryant"/>
    <s v="SQBIR.MGFLaneBryant.018.FY26-27.1"/>
    <m/>
    <m/>
    <m/>
    <m/>
    <s v=""/>
    <n v="430"/>
    <s v="95%Ctn 5%Elastane 150GSM CW 64"/>
    <s v="Darling-Animal-021-Tap-Shoe-CSP27035"/>
    <n v="-74.469666666666669"/>
    <n v="223.40899999999999"/>
    <m/>
    <n v="-223.40899999999999"/>
    <m/>
    <n v="-223.408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18.FY26-27.2"/>
    <m/>
    <m/>
    <m/>
    <m/>
    <s v=""/>
    <n v="431"/>
    <s v="95%Ctn 5%Elastane 150GSM CW 64"/>
    <s v="Darling-Animal-021-Tap-Shoe-CSP27035"/>
    <n v="-0.66666666666666663"/>
    <n v="2"/>
    <m/>
    <n v="-2"/>
    <m/>
    <n v="-2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2"/>
    <s v=""/>
    <e v="#N/A"/>
    <e v="#N/A"/>
    <n v="0"/>
  </r>
  <r>
    <s v="Lane Bryant"/>
    <s v="SQBIR.MGFLaneBryant.020.FY26-27.1"/>
    <m/>
    <m/>
    <m/>
    <m/>
    <s v=""/>
    <n v="432"/>
    <s v="95%Ctn 5%Elastane 150GSM CW 64"/>
    <s v="Darling-Animal-021-Tap-Shoe-CSP27035"/>
    <n v="-196.995"/>
    <n v="590.98500000000001"/>
    <m/>
    <n v="-590.98500000000001"/>
    <m/>
    <n v="-590.98500000000001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590.98500000000001"/>
    <s v=""/>
    <e v="#N/A"/>
    <e v="#N/A"/>
    <s v=""/>
  </r>
  <r>
    <s v="Lane Bryant"/>
    <s v="SQBIR.MGFLaneBryant.020.FY26-27.2"/>
    <m/>
    <m/>
    <m/>
    <m/>
    <s v=""/>
    <n v="433"/>
    <s v="95%Ctn 5%Elastane 150GSM CW 64"/>
    <s v="Darling-Animal-021-Tap-Shoe-CSP27035"/>
    <s v=""/>
    <n v="3.6059999999999999"/>
    <m/>
    <n v="-3.6059999999999999"/>
    <m/>
    <n v="-3.6059999999999999"/>
    <s v="458617"/>
    <s v="AOP"/>
    <x v="15"/>
    <d v="2026-10-28T00:00:00"/>
    <d v="2026-10-27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29.FY26-27.1"/>
    <m/>
    <m/>
    <m/>
    <m/>
    <s v=""/>
    <n v="434"/>
    <s v="95%Ctn 5%Elastane 150GSM CW 64"/>
    <s v="Delicate-Ditsy-032-Maritime-Blue-CSP27045"/>
    <n v="-99.900999999999996"/>
    <n v="299.70299999999997"/>
    <m/>
    <n v="-299.70299999999997"/>
    <m/>
    <n v="-299.70299999999997"/>
    <s v="458617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299.70299999999997"/>
    <s v=""/>
    <e v="#N/A"/>
    <e v="#N/A"/>
    <s v=""/>
  </r>
  <r>
    <s v="Lane Bryant"/>
    <s v="SQBIR.MGFLaneBryant.062.FY26-27.3"/>
    <m/>
    <m/>
    <m/>
    <m/>
    <s v=""/>
    <n v="435"/>
    <s v="95%Ctn 5%Elastane 150GSM CW 64"/>
    <s v="Vivid-Stripe-006-Maritime-Blue-CSP27075c"/>
    <s v=""/>
    <n v="3.331"/>
    <m/>
    <n v="-3.331"/>
    <m/>
    <n v="-3.331"/>
    <s v="461071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s v=""/>
    <s v=""/>
    <e v="#N/A"/>
    <e v="#N/A"/>
    <n v="0"/>
  </r>
  <r>
    <s v="Lane Bryant"/>
    <s v="SQBIR.MGFLaneBryant.067.FY26-27.1"/>
    <m/>
    <m/>
    <m/>
    <m/>
    <s v=""/>
    <n v="436"/>
    <s v="95%Ctn 5%Elastane 150GSM CW 64"/>
    <s v="Vivid-Stripe-026-Bright-White-CSP27075c"/>
    <n v="-233.04399999999998"/>
    <n v="699.13199999999995"/>
    <m/>
    <n v="-699.13199999999995"/>
    <m/>
    <n v="-699.131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s v=""/>
    <s v=""/>
    <s v=""/>
    <n v="699.13199999999995"/>
    <s v=""/>
    <e v="#N/A"/>
    <e v="#N/A"/>
    <n v="0"/>
  </r>
  <r>
    <s v="Lane Bryant"/>
    <s v="SQBIR.MGFLaneBryant.067.FY26-27.2"/>
    <m/>
    <m/>
    <m/>
    <m/>
    <s v=""/>
    <n v="437"/>
    <s v="95%Ctn 5%Elastane 150GSM CW 64"/>
    <s v="Vivid-Stripe-026-Bright-White-CSP27075c"/>
    <s v=""/>
    <n v="1082.5989999999999"/>
    <m/>
    <n v="-1082.5989999999999"/>
    <m/>
    <n v="-1082.5989999999999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s v=""/>
    <s v=""/>
    <e v="#N/A"/>
    <e v="#N/A"/>
    <n v="0"/>
  </r>
  <r>
    <s v="Lane Bryant"/>
    <s v="SQBIR.MGFLaneBryant.067.FY26-27.3"/>
    <m/>
    <m/>
    <m/>
    <m/>
    <s v=""/>
    <n v="438"/>
    <s v="95%Ctn 5%Elastane 150GSM CW 64"/>
    <s v="Vivid-Stripe-026-Bright-White-CSP27075c"/>
    <n v="-0.8796666666666666"/>
    <n v="2.6389999999999998"/>
    <m/>
    <n v="-2.6389999999999998"/>
    <m/>
    <n v="-2.63899999999999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n v="2.6389999999999998"/>
    <s v=""/>
    <e v="#N/A"/>
    <e v="#N/A"/>
    <n v="0"/>
  </r>
  <r>
    <s v="M &amp; S - T61 (KPK)"/>
    <s v="SQBIR.MS.105.FY26-27.7"/>
    <m/>
    <m/>
    <m/>
    <m/>
    <s v=""/>
    <n v="443"/>
    <s v="SJ 95% BCI Cmd Cmpt CTN 5% Inv Ly 140gsm CW61”"/>
    <s v="AU26 L T61 CROWDED SPOT LIGHTCREAM SPEC"/>
    <n v="-0.41533333333333333"/>
    <n v="1.246"/>
    <m/>
    <n v="-1.246"/>
    <m/>
    <n v="-1.246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n v="1.246"/>
    <s v=""/>
    <e v="#N/A"/>
    <e v="#N/A"/>
    <n v="0"/>
  </r>
  <r>
    <s v="Lane Bryant"/>
    <s v="SQBIR.MGFLaneBryant.060.FY26-27.3"/>
    <m/>
    <m/>
    <m/>
    <m/>
    <s v=""/>
    <n v="450"/>
    <s v="95%Ctn 5%Elastane 150GSM CW 64"/>
    <s v="Bee Gingham-006-Pale Denim Blue-CSP27227"/>
    <s v=""/>
    <n v="3.339"/>
    <m/>
    <n v="-3.339"/>
    <m/>
    <n v="-3.33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s v=""/>
    <s v=""/>
    <e v="#N/A"/>
    <e v="#N/A"/>
    <n v="0"/>
  </r>
  <r>
    <s v="Lane Bryant"/>
    <s v="SQBIR.MGFLaneBryant.047.FY26-27.1"/>
    <m/>
    <m/>
    <m/>
    <m/>
    <s v=""/>
    <n v="451"/>
    <s v="95%Ctn 5%Elastane 150GSM CW 64"/>
    <s v="Bee Gingham-006-Pale Denim Blue-CSP27227"/>
    <n v="-222.97466666666665"/>
    <n v="668.92399999999998"/>
    <m/>
    <n v="-668.92399999999998"/>
    <m/>
    <n v="-668.92399999999998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n v="668.92399999999998"/>
    <s v=""/>
    <e v="#N/A"/>
    <e v="#N/A"/>
    <n v="0"/>
  </r>
  <r>
    <s v="Lane Bryant"/>
    <s v="SQBIR.MGFLaneBryant.047.FY26-27.2"/>
    <m/>
    <m/>
    <m/>
    <m/>
    <s v=""/>
    <n v="452"/>
    <s v="95%Ctn 5%Elastane 150GSM CW 64"/>
    <s v="Bee Gingham-006-Pale Denim Blue-CSP27227"/>
    <s v=""/>
    <n v="1057.5429999999999"/>
    <m/>
    <n v="-1057.5429999999999"/>
    <m/>
    <n v="-1057.542999999999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s v=""/>
    <s v=""/>
    <s v=""/>
    <s v=""/>
    <s v=""/>
    <e v="#N/A"/>
    <e v="#N/A"/>
    <n v="0"/>
  </r>
  <r>
    <s v="Lane Bryant"/>
    <s v="SQBIR.MGFLaneBryant.047.FY26-27.3"/>
    <m/>
    <m/>
    <m/>
    <m/>
    <s v=""/>
    <n v="453"/>
    <s v="95%Ctn 5%Elastane 150GSM CW 64"/>
    <s v="Bee Gingham-006-Pale Denim Blue-CSP27227"/>
    <n v="-0.83099999999999996"/>
    <n v="2.4929999999999999"/>
    <m/>
    <n v="-2.4929999999999999"/>
    <m/>
    <n v="-2.4929999999999999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n v="2.4929999999999999"/>
    <s v=""/>
    <e v="#N/A"/>
    <e v="#N/A"/>
    <n v="0"/>
  </r>
  <r>
    <s v="M &amp; S - T61 (KPK)"/>
    <s v="SQBIR.MS.126.FY26-27.1"/>
    <m/>
    <m/>
    <m/>
    <m/>
    <s v=""/>
    <n v="456"/>
    <s v="SJ 95% BCI Cmd Cmpt CTN 5% Inv Ly 140gsm CW61”"/>
    <s v="SP27 L T61 MEADOW FLORA LWHITE"/>
    <s v=""/>
    <n v="157.001"/>
    <m/>
    <n v="-157.001"/>
    <m/>
    <n v="-157.001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s v=""/>
    <s v=""/>
    <s v=""/>
    <s v=""/>
    <s v=""/>
    <e v="#N/A"/>
    <e v="#N/A"/>
    <n v="0"/>
  </r>
  <r>
    <s v="M&amp;S T14"/>
    <s v="SQBIR.MS.031.FY26-27.5"/>
    <m/>
    <m/>
    <m/>
    <m/>
    <s v=""/>
    <n v="487"/>
    <s v=" 95% BCI COTTON 5% LYCRA JERSEY GSM-150 CW-155 CM/61 INCH "/>
    <s v="T14 VALENTINES BERRY RED AOP"/>
    <n v="0"/>
    <n v="368.5"/>
    <n v="368.5"/>
    <n v="0"/>
    <m/>
    <n v="0"/>
    <s v="451240"/>
    <s v="AOP"/>
    <x v="52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1240-Lycra"/>
    <s v="AOP"/>
    <n v="150"/>
    <s v="451240-Lycra150AOP"/>
    <n v="0"/>
    <s v="#NA"/>
    <s v=""/>
    <s v=""/>
    <s v=""/>
    <s v=""/>
    <n v="0"/>
    <s v=""/>
    <e v="#N/A"/>
    <e v="#N/A"/>
    <s v=""/>
  </r>
  <r>
    <s v="M&amp;S T14"/>
    <s v="SQBIR.MS.031.FY26-27.5"/>
    <m/>
    <m/>
    <m/>
    <m/>
    <s v=""/>
    <n v="488"/>
    <s v=" 95% BCI COTTON 5% LYCRA JERSEY GSM-150 CW-155 CM/61 INCH "/>
    <s v="T14 VALENTINES DARK INK AOP"/>
    <s v=""/>
    <n v="368.5"/>
    <n v="368.5"/>
    <n v="0"/>
    <m/>
    <n v="0"/>
    <s v="451240"/>
    <s v="AOP"/>
    <x v="52"/>
    <d v="2026-10-02T00:00:00"/>
    <d v="2026-10-01T00:00:00"/>
    <s v="Hues Agreed qty as per SQBL required date"/>
    <s v="RFD Done"/>
    <s v="Oct"/>
    <d v="2026-10-01T00:00:00"/>
    <m/>
    <m/>
    <m/>
    <m/>
    <m/>
    <m/>
    <m/>
    <m/>
    <m/>
    <m/>
    <s v="451240-Lycra"/>
    <s v="AOP"/>
    <n v="150"/>
    <s v="451240-Lycra150AOP"/>
    <n v="0"/>
    <s v="#NA"/>
    <s v=""/>
    <s v=""/>
    <s v=""/>
    <s v=""/>
    <s v=""/>
    <s v=""/>
    <e v="#N/A"/>
    <e v="#N/A"/>
    <s v=""/>
  </r>
  <r>
    <s v="Lane Bryant"/>
    <s v="SQBIR.MGFLaneBryant.070.FY26-27.1"/>
    <m/>
    <m/>
    <m/>
    <m/>
    <s v=""/>
    <n v="500"/>
    <s v="95%Ctn 5%Elastane 150GSM CW 64"/>
    <s v="Lunar-Dot-007-Garden-Topiary-CSP27079"/>
    <s v=""/>
    <n v="71.311000000000007"/>
    <m/>
    <n v="-71.311000000000007"/>
    <m/>
    <n v="-71.311000000000007"/>
    <s v="461071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70.FY26-27.2"/>
    <m/>
    <m/>
    <m/>
    <m/>
    <s v=""/>
    <n v="501"/>
    <s v="95%Ctn 5%Elastane 150GSM CW 64"/>
    <s v="Lunar-Dot-007-Garden-Topiary-CSP27079"/>
    <s v=""/>
    <n v="154.65700000000001"/>
    <m/>
    <n v="-154.65700000000001"/>
    <m/>
    <n v="-154.65700000000001"/>
    <s v="461071"/>
    <s v="AOP"/>
    <x v="17"/>
    <d v="2026-10-22T00:00:00"/>
    <d v="2026-10-2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M &amp; S - T61 (KPK)"/>
    <s v="SQBIR.MS.01348.FY25-26.1"/>
    <m/>
    <m/>
    <m/>
    <m/>
    <s v=""/>
    <n v="518"/>
    <s v="SJ 95% BCI Cmd Cmpt CTN 5% Inv Ly 140gsm CW61”"/>
    <s v="SUM25 L T61 MINI DOT DUSTYGREEN"/>
    <s v=""/>
    <n v="120.4"/>
    <n v="120.4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s v=""/>
    <s v=""/>
    <s v=""/>
    <s v=""/>
    <s v=""/>
    <s v=""/>
    <e v="#N/A"/>
    <e v="#N/A"/>
    <s v=""/>
  </r>
  <r>
    <s v="M &amp; S - T71"/>
    <s v="SQBIR.MS.155.FY26-27.1"/>
    <m/>
    <m/>
    <m/>
    <m/>
    <s v=""/>
    <n v="519"/>
    <s v="KNIT WEFT KNITTED SINGLE JERSEY BCI COMBED COTTON 100% GSM-150 CW-168 CM/66 INCH  "/>
    <s v="T71SU26 SAILING AOP BASE 47316 Royal Blue"/>
    <s v=""/>
    <n v="330.8"/>
    <n v="330.8"/>
    <n v="0"/>
    <m/>
    <n v="0"/>
    <s v="461085"/>
    <s v="AOP"/>
    <x v="26"/>
    <d v="2026-10-16T00:00:00"/>
    <d v="2026-10-15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1503.6"/>
    <n v="2253.087"/>
    <s v=""/>
    <s v=""/>
    <s v=""/>
    <s v=""/>
    <e v="#N/A"/>
    <e v="#N/A"/>
    <n v="-1503.6"/>
  </r>
  <r>
    <s v="M &amp; S - T71"/>
    <s v="SQBIR.MS.155.FY26-27.2"/>
    <m/>
    <m/>
    <m/>
    <m/>
    <s v=""/>
    <n v="520"/>
    <s v="KNIT WEFT KNITTED SINGLE JERSEY BCI COMBED COTTON 100% GSM-150 CW-168 CM/66 INCH  "/>
    <s v="T71SU26 SAILING AOP BASE 47316 Royal Blue"/>
    <s v=""/>
    <n v="164.61099999999999"/>
    <m/>
    <n v="-164.61099999999999"/>
    <m/>
    <n v="-164.61099999999999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1503.6"/>
    <s v=""/>
    <s v=""/>
    <s v=""/>
    <s v=""/>
    <s v=""/>
    <e v="#N/A"/>
    <e v="#N/A"/>
    <n v="-1503.6"/>
  </r>
  <r>
    <s v="M &amp; S - T71"/>
    <s v="SQBIR.MS.283.FY26-27.6"/>
    <m/>
    <m/>
    <m/>
    <m/>
    <s v=""/>
    <n v="581"/>
    <s v="KNIT WEFT KNITTED SINGLE JERSEY BCI COMBED COTTON 100% GSM-150 CW-168 CM/66 INCH  "/>
    <s v="T71SU26 ANIMAL FACES BASE 47199 Light Aqua"/>
    <n v="-0.68"/>
    <n v="2.04"/>
    <m/>
    <n v="-2.04"/>
    <m/>
    <n v="-2.04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2.04"/>
    <s v=""/>
    <e v="#N/A"/>
    <e v="#N/A"/>
    <n v="0"/>
  </r>
  <r>
    <s v="M &amp; S - T71"/>
    <s v="SQBIR.MS.283.FY26-27.1"/>
    <m/>
    <m/>
    <m/>
    <m/>
    <s v=""/>
    <n v="582"/>
    <s v="KNIT WEFT KNITTED SINGLE JERSEY BCI COMBED COTTON 100% GSM-150 CW-168 CM/66 INCH  "/>
    <s v="T71SU26 ANIMAL FACES BASE 62925 Straw"/>
    <s v=""/>
    <n v="85"/>
    <m/>
    <n v="-85"/>
    <m/>
    <n v="-85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s v=""/>
    <s v=""/>
    <e v="#N/A"/>
    <e v="#N/A"/>
    <n v="0"/>
  </r>
  <r>
    <s v="M &amp; S - T71"/>
    <s v="SQBIR.MS.283.FY26-27.2"/>
    <m/>
    <m/>
    <m/>
    <m/>
    <s v=""/>
    <n v="583"/>
    <s v="KNIT WEFT KNITTED SINGLE JERSEY BCI COMBED COTTON 100% GSM-150 CW-168 CM/66 INCH  "/>
    <s v="T71SU26 ANIMAL FACES BASE 62925 Straw"/>
    <n v="-56.666666666666664"/>
    <n v="170"/>
    <m/>
    <n v="-170"/>
    <m/>
    <n v="-170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170"/>
    <s v=""/>
    <e v="#N/A"/>
    <e v="#N/A"/>
    <n v="0"/>
  </r>
  <r>
    <s v="M &amp; S - T71"/>
    <s v="SQBIR.MS.283.FY26-27.3"/>
    <m/>
    <m/>
    <m/>
    <m/>
    <s v=""/>
    <n v="584"/>
    <s v="KNIT WEFT KNITTED SINGLE JERSEY BCI COMBED COTTON 100% GSM-150 CW-168 CM/66 INCH  "/>
    <s v="T71SU26 ANIMAL FACES BASE 62925 Straw"/>
    <n v="-56.66"/>
    <n v="169.98"/>
    <m/>
    <n v="-169.98"/>
    <m/>
    <n v="-169.98"/>
    <s v="465758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169.98"/>
    <s v=""/>
    <e v="#N/A"/>
    <e v="#N/A"/>
    <n v="0"/>
  </r>
  <r>
    <s v="M &amp; S - T71"/>
    <s v="SQBIR.MS.283.FY26-27.6"/>
    <m/>
    <m/>
    <m/>
    <m/>
    <s v=""/>
    <n v="585"/>
    <s v="KNIT WEFT KNITTED SINGLE JERSEY BCI COMBED COTTON 100% GSM-150 CW-168 CM/66 INCH  "/>
    <s v="T71SU26 ANIMAL FACES BASE 62925 Straw"/>
    <n v="-0.34"/>
    <n v="1.02"/>
    <m/>
    <n v="-1.02"/>
    <m/>
    <n v="-1.02"/>
    <s v="465758"/>
    <s v="AOP"/>
    <x v="17"/>
    <d v="2026-10-22T00:00:00"/>
    <d v="2026-10-21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n v="0"/>
    <n v="2982"/>
    <s v=""/>
    <s v=""/>
    <n v="1.02"/>
    <s v=""/>
    <e v="#N/A"/>
    <e v="#N/A"/>
    <n v="0"/>
  </r>
  <r>
    <s v="M &amp; S - T71"/>
    <s v="SQBIR.MS.283.FY26-27.6"/>
    <m/>
    <m/>
    <m/>
    <m/>
    <s v=""/>
    <n v="589"/>
    <s v="KNIT WEFT KNITTED SINGLE JERSEY BCI COMBED COTTON 100% GSM-150 CW-168 CM/66 INCH  "/>
    <s v="T71SU26 ANIMAL FACES BASE 23987 Aqua"/>
    <s v=""/>
    <n v="2.04"/>
    <m/>
    <n v="-2.04"/>
    <m/>
    <n v="-2.04"/>
    <s v="465758"/>
    <s v="AOP"/>
    <x v="7"/>
    <d v="2026-10-23T00:00:00"/>
    <d v="2026-10-22T00:00:00"/>
    <s v="Revised Plan given as per revised date"/>
    <s v="PFP Fabric Delay"/>
    <s v="Oct"/>
    <d v="2026-10-11T00:00:00"/>
    <m/>
    <m/>
    <m/>
    <m/>
    <m/>
    <m/>
    <m/>
    <m/>
    <m/>
    <m/>
    <s v="465758"/>
    <s v="AOP"/>
    <n v="150"/>
    <s v="465758150AOP"/>
    <n v="0"/>
    <s v="#NA"/>
    <s v=""/>
    <s v=""/>
    <s v=""/>
    <s v=""/>
    <s v=""/>
    <s v=""/>
    <e v="#N/A"/>
    <e v="#N/A"/>
    <s v=""/>
  </r>
  <r>
    <s v="Lane Bryant"/>
    <s v="SQBIR.MGFLaneBryant.030.FY26-27.1"/>
    <m/>
    <m/>
    <m/>
    <m/>
    <s v=""/>
    <n v="595"/>
    <s v="95%Ctn 5%Elastane 150GSM CW 64"/>
    <s v="Lunar-Dot-047-LHG-Maritime-Blue-CSP27079"/>
    <s v=""/>
    <n v="90.08"/>
    <m/>
    <n v="-90.08"/>
    <m/>
    <n v="-90.08"/>
    <s v="458743"/>
    <s v="AOP"/>
    <x v="30"/>
    <d v="2026-10-20T00:00:00"/>
    <d v="2026-10-19T00:00:00"/>
    <s v="Revised Plan given as per revised date"/>
    <s v="PFP Fabric Delay"/>
    <s v="Oct"/>
    <d v="2026-10-03T00:00:00"/>
    <m/>
    <m/>
    <m/>
    <m/>
    <m/>
    <m/>
    <m/>
    <m/>
    <m/>
    <m/>
    <s v="458743"/>
    <s v="AOP"/>
    <n v="150"/>
    <s v="458743150AOP"/>
    <n v="0"/>
    <s v="#NA"/>
    <n v="0"/>
    <n v="3921.0639999999999"/>
    <s v=""/>
    <s v=""/>
    <s v=""/>
    <s v=""/>
    <e v="#N/A"/>
    <e v="#N/A"/>
    <n v="0"/>
  </r>
  <r>
    <s v="Lane Bryant"/>
    <s v="SQBIR.MGFLaneBryant.040.FY26-27.1"/>
    <m/>
    <m/>
    <m/>
    <m/>
    <s v=""/>
    <n v="611"/>
    <s v="95%Ctn 5%Elastane 150GSM CW 64"/>
    <s v="Botanical Beauty-014-Rosy Future-CSP27019e"/>
    <s v=""/>
    <n v="145.38200000000001"/>
    <m/>
    <n v="-145.38200000000001"/>
    <m/>
    <n v="-145.38200000000001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s v=""/>
    <s v=""/>
    <s v=""/>
    <s v=""/>
    <s v=""/>
    <s v=""/>
    <e v="#N/A"/>
    <e v="#N/A"/>
    <s v=""/>
  </r>
  <r>
    <s v="Lane Bryant"/>
    <s v="SQBIR.MGFLaneBryant.040.FY26-27.2"/>
    <m/>
    <m/>
    <m/>
    <m/>
    <s v=""/>
    <n v="612"/>
    <s v="95%Ctn 5%Elastane 150GSM CW 64"/>
    <s v="Botanical Beauty-014-Rosy Future-CSP27019e"/>
    <n v="-119.83333333333333"/>
    <n v="359.5"/>
    <m/>
    <n v="-359.5"/>
    <m/>
    <n v="-359.5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n v="0"/>
    <n v="506.464"/>
    <s v=""/>
    <s v=""/>
    <n v="359.5"/>
    <s v=""/>
    <e v="#N/A"/>
    <e v="#N/A"/>
    <n v="0"/>
  </r>
  <r>
    <s v="Lane Bryant"/>
    <s v="SQBIR.MGFLaneBryant.040.FY26-27.3"/>
    <m/>
    <m/>
    <m/>
    <m/>
    <s v=""/>
    <n v="613"/>
    <s v="95%Ctn 5%Elastane 150GSM CW 64"/>
    <s v="Botanical Beauty-014-Rosy Future-CSP27019e"/>
    <n v="-0.52733333333333332"/>
    <n v="1.5820000000000001"/>
    <m/>
    <n v="-1.5820000000000001"/>
    <m/>
    <n v="-1.5820000000000001"/>
    <s v="459775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9775"/>
    <s v="AOP"/>
    <n v="150"/>
    <s v="459775150AOP"/>
    <n v="0"/>
    <s v="#NA"/>
    <s v=""/>
    <s v=""/>
    <s v=""/>
    <s v=""/>
    <n v="1.5820000000000001"/>
    <s v=""/>
    <e v="#N/A"/>
    <e v="#N/A"/>
    <s v=""/>
  </r>
  <r>
    <s v="Lane Bryant"/>
    <s v="SQBIR.MGFLaneBryant.049.FY26-27.3"/>
    <m/>
    <m/>
    <m/>
    <m/>
    <s v=""/>
    <n v="623"/>
    <s v="95%Ctn 5%Elastane 150GSM CW 64"/>
    <s v="Floating-Buds-029-LHG-CSP27221"/>
    <n v="-0.82133333333333336"/>
    <n v="2.464"/>
    <m/>
    <n v="-2.464"/>
    <m/>
    <n v="-2.464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n v="2.464"/>
    <s v=""/>
    <e v="#N/A"/>
    <e v="#N/A"/>
    <n v="0"/>
  </r>
  <r>
    <s v="M &amp; S - T61 (KPK)"/>
    <s v="SQBIR.MS.01204.FY25-26.14"/>
    <m/>
    <m/>
    <m/>
    <m/>
    <s v=""/>
    <n v="643"/>
    <s v="SJ 95% BCI Cmd Cmpt CTN 5% Inv Ly 140gsm CW61”"/>
    <s v="AU26 L T61 CROWDED SPOT LIGHTCREAM SPEC"/>
    <n v="0"/>
    <n v="12.836"/>
    <n v="12.836"/>
    <n v="0"/>
    <m/>
    <n v="0"/>
    <s v="457190"/>
    <s v="AOP"/>
    <x v="56"/>
    <d v="2026-10-08T00:00:00"/>
    <d v="2026-10-07T00:00:00"/>
    <s v="Hues Agreed qty as per SQBL required date"/>
    <s v="RFD Done"/>
    <s v="Oct"/>
    <d v="2026-10-07T00:00:00"/>
    <m/>
    <m/>
    <m/>
    <m/>
    <m/>
    <m/>
    <m/>
    <m/>
    <m/>
    <m/>
    <s v="457190"/>
    <s v="AOP"/>
    <n v="140"/>
    <s v="457190140AOP"/>
    <n v="0"/>
    <s v="#NA"/>
    <n v="12.836"/>
    <s v=""/>
    <s v=""/>
    <s v=""/>
    <s v=""/>
    <s v=""/>
    <e v="#N/A"/>
    <e v="#N/A"/>
    <n v="-12.836"/>
  </r>
  <r>
    <s v="Lane Bryant"/>
    <s v="SQBIR.MGFLaneBryant.064.FY26-27.1"/>
    <m/>
    <m/>
    <m/>
    <m/>
    <s v=""/>
    <n v="703"/>
    <s v="95%Ctn 5%Elastane 150GSM CW 64"/>
    <s v="Floating-Buds-029-LHG-CSP27221"/>
    <n v="-255.239"/>
    <n v="765.71699999999998"/>
    <m/>
    <n v="-765.71699999999998"/>
    <m/>
    <n v="-765.716999999999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n v="765.71699999999998"/>
    <s v=""/>
    <e v="#N/A"/>
    <e v="#N/A"/>
    <s v=""/>
  </r>
  <r>
    <s v="Lane Bryant"/>
    <s v="SQBIR.MGFLaneBryant.064.FY26-27.2"/>
    <m/>
    <m/>
    <m/>
    <m/>
    <s v=""/>
    <n v="704"/>
    <s v="95%Ctn 5%Elastane 150GSM CW 64"/>
    <s v="Floating-Buds-029-LHG-CSP27221"/>
    <n v="-384.42"/>
    <n v="1153.26"/>
    <m/>
    <n v="-1153.26"/>
    <m/>
    <n v="-1153.26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1153.26"/>
    <s v=""/>
    <e v="#N/A"/>
    <e v="#N/A"/>
    <s v=""/>
  </r>
  <r>
    <s v="Lane Bryant"/>
    <s v="SQBIR.MGFLaneBryant.064.FY26-27.3"/>
    <m/>
    <m/>
    <m/>
    <m/>
    <s v=""/>
    <n v="705"/>
    <s v="95%Ctn 5%Elastane 150GSM CW 64"/>
    <s v="Floating-Buds-029-LHG-CSP27221"/>
    <n v="-0.93699999999999994"/>
    <n v="2.8109999999999999"/>
    <m/>
    <n v="-2.8109999999999999"/>
    <m/>
    <n v="-2.8109999999999999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n v="2.8109999999999999"/>
    <s v=""/>
    <e v="#N/A"/>
    <e v="#N/A"/>
    <s v=""/>
  </r>
  <r>
    <s v="Lane Bryant"/>
    <s v="SQBIR.MGFLaneBryant.049.FY26-27.1"/>
    <m/>
    <m/>
    <m/>
    <m/>
    <s v=""/>
    <n v="706"/>
    <s v="95%Ctn 5%Elastane 150GSM CW 64"/>
    <s v="Floating-Buds-029-LHG-CSP27221"/>
    <s v=""/>
    <n v="550.81600000000003"/>
    <m/>
    <n v="-550.81600000000003"/>
    <m/>
    <n v="-550.81600000000003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49.FY26-27.2"/>
    <m/>
    <m/>
    <m/>
    <m/>
    <s v=""/>
    <n v="707"/>
    <s v="95%Ctn 5%Elastane 150GSM CW 64"/>
    <s v="Floating-Buds-029-LHG-CSP27221"/>
    <s v=""/>
    <n v="896"/>
    <m/>
    <n v="-896"/>
    <m/>
    <n v="-896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M &amp; S - T61 (KPK)"/>
    <s v="SQBIR.MS.01347.FY25-26.1"/>
    <m/>
    <m/>
    <m/>
    <m/>
    <s v=""/>
    <n v="708"/>
    <s v="SJ 95% BCI Cmd Cmpt CTN 5% Inv Ly 140gsm CW61”"/>
    <s v="SUM25 L T61 MINI DOT DUSTYGREEN"/>
    <s v=""/>
    <n v="177"/>
    <n v="177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s v=""/>
    <s v=""/>
    <s v=""/>
    <s v=""/>
    <s v=""/>
    <s v=""/>
    <e v="#N/A"/>
    <e v="#N/A"/>
    <s v=""/>
  </r>
  <r>
    <s v="M &amp; S - T61 (KPK)"/>
    <s v="SQBIR.MS.01347.FY25-26.2"/>
    <m/>
    <m/>
    <m/>
    <m/>
    <s v=""/>
    <n v="709"/>
    <s v="SJ 95% BCI Cmd Cmpt CTN 5% Inv Ly 140gsm CW61”"/>
    <s v="SUM25 L T61 MINI DOT DUSTYGREEN"/>
    <s v=""/>
    <n v="177"/>
    <n v="177"/>
    <n v="0"/>
    <m/>
    <n v="0"/>
    <s v="457079"/>
    <s v="AOP"/>
    <x v="0"/>
    <d v="2026-10-05T00:00:00"/>
    <d v="2026-10-04T00:00:00"/>
    <s v="Hues Agreed qty as per SQBL required date"/>
    <s v="RFD Done"/>
    <s v="Oct"/>
    <d v="2026-10-04T00:00:00"/>
    <m/>
    <m/>
    <m/>
    <m/>
    <m/>
    <m/>
    <m/>
    <m/>
    <m/>
    <m/>
    <s v="457079"/>
    <s v="AOP"/>
    <n v="140"/>
    <s v="457079140AOP"/>
    <n v="0"/>
    <s v="#NA"/>
    <s v=""/>
    <n v="2491.6"/>
    <s v=""/>
    <s v=""/>
    <s v=""/>
    <s v=""/>
    <e v="#N/A"/>
    <e v="#N/A"/>
    <s v=""/>
  </r>
  <r>
    <s v="M &amp; S - T61 (KPK)"/>
    <s v="SQBIR.MS.108.FY26-27.2"/>
    <m/>
    <m/>
    <m/>
    <m/>
    <s v=""/>
    <n v="756"/>
    <s v="SJ 95% BCI Cmd Cmpt CTN 5% Inv Ly 140gsm CW61”"/>
    <s v="AU26 L T61 RANDOM SPOT BLACK LIGHTCREAM SPEC"/>
    <n v="-80.266666666666666"/>
    <n v="240.8"/>
    <m/>
    <n v="-240.8"/>
    <m/>
    <n v="-240.8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s v=""/>
    <n v="5945.2260000000006"/>
    <s v=""/>
    <s v=""/>
    <n v="240.8"/>
    <s v=""/>
    <e v="#N/A"/>
    <e v="#N/A"/>
    <s v=""/>
  </r>
  <r>
    <s v="M &amp; S - T71"/>
    <s v="SQBIR.MS.154.FY26-27.1"/>
    <m/>
    <m/>
    <m/>
    <m/>
    <s v=""/>
    <n v="757"/>
    <s v="KNIT JERSEY BCI COTTON 100% GSM-150 CW-170/67CM/INCH AOP"/>
    <s v="T71 DINOSAURS 47848 Fresh Blue"/>
    <s v=""/>
    <n v="336.8"/>
    <n v="336.8"/>
    <n v="0"/>
    <m/>
    <n v="0"/>
    <s v="461085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61085"/>
    <s v="AOP"/>
    <n v="150"/>
    <s v="461085150AOP"/>
    <n v="0"/>
    <s v="#NA"/>
    <n v="1503.6"/>
    <s v=""/>
    <s v=""/>
    <s v=""/>
    <s v=""/>
    <s v=""/>
    <e v="#N/A"/>
    <e v="#N/A"/>
    <n v="-1503.6"/>
  </r>
  <r>
    <s v="M &amp; S - T71"/>
    <s v="SQBIR.MS.154.FY26-27.2"/>
    <m/>
    <m/>
    <m/>
    <m/>
    <s v=""/>
    <n v="758"/>
    <s v="KNIT JERSEY BCI COTTON 100% GSM-150 CW-170/67CM/INCH AOP"/>
    <s v="T71 DINOSAURS 47848 Fresh Blue"/>
    <n v="-55.968666666666671"/>
    <n v="167.90600000000001"/>
    <m/>
    <n v="-167.90600000000001"/>
    <m/>
    <n v="-167.90600000000001"/>
    <s v="461085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1085"/>
    <s v="AOP"/>
    <n v="150"/>
    <s v="461085150AOP"/>
    <n v="0"/>
    <s v="#NA"/>
    <n v="1503.6"/>
    <n v="2253.087"/>
    <s v=""/>
    <s v=""/>
    <n v="167.90600000000001"/>
    <s v=""/>
    <e v="#N/A"/>
    <e v="#N/A"/>
    <n v="-1503.6"/>
  </r>
  <r>
    <s v="Lane Bryant"/>
    <s v="SQBIR.MGFLaneBryant.028.FY26-27.2"/>
    <m/>
    <m/>
    <m/>
    <m/>
    <s v=""/>
    <n v="767"/>
    <s v="95%Ctn 5%Elastane 150GSM CW 64"/>
    <s v="Garden-Blooms-008-Maritime-Blue-CSP27115"/>
    <n v="-227.33333333333334"/>
    <n v="682"/>
    <m/>
    <n v="-682"/>
    <m/>
    <n v="-68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682"/>
    <s v=""/>
    <e v="#N/A"/>
    <e v="#N/A"/>
    <s v=""/>
  </r>
  <r>
    <s v="Lane Bryant"/>
    <s v="SQBIR.MGFLaneBryant.028.FY26-27.3"/>
    <m/>
    <m/>
    <m/>
    <m/>
    <s v=""/>
    <n v="768"/>
    <s v="95%Ctn 5%Elastane 150GSM CW 64"/>
    <s v="Garden-Blooms-008-Maritime-Blue-CSP27115"/>
    <s v=""/>
    <n v="1.8759999999999999"/>
    <m/>
    <n v="-1.8759999999999999"/>
    <m/>
    <n v="-1.8759999999999999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38.FY26-27.1"/>
    <m/>
    <m/>
    <m/>
    <m/>
    <s v=""/>
    <n v="769"/>
    <s v="95%Ctn 5%Elastane 150GSM CW 64"/>
    <s v="Garden-Blooms-008-Maritime-Blue-CSP27115"/>
    <n v="-191.68733333333333"/>
    <n v="575.06200000000001"/>
    <m/>
    <n v="-575.06200000000001"/>
    <m/>
    <n v="-575.06200000000001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575.06200000000001"/>
    <s v=""/>
    <e v="#N/A"/>
    <e v="#N/A"/>
    <n v="0"/>
  </r>
  <r>
    <s v="Lane Bryant"/>
    <s v="SQBIR.MGFLaneBryant.038.FY26-27.2"/>
    <m/>
    <m/>
    <m/>
    <m/>
    <s v=""/>
    <n v="770"/>
    <s v="95%Ctn 5%Elastane 150GSM CW 64"/>
    <s v="Garden-Blooms-008-Maritime-Blue-CSP27115"/>
    <n v="-222.53333333333333"/>
    <n v="667.6"/>
    <m/>
    <n v="-667.6"/>
    <m/>
    <n v="-667.6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667.6"/>
    <s v=""/>
    <e v="#N/A"/>
    <e v="#N/A"/>
    <n v="0"/>
  </r>
  <r>
    <s v="Lane Bryant"/>
    <s v="SQBIR.MGFLaneBryant.038.FY26-27.3"/>
    <m/>
    <m/>
    <m/>
    <m/>
    <s v=""/>
    <n v="771"/>
    <s v="95%Ctn 5%Elastane 150GSM CW 64"/>
    <s v="Garden-Blooms-008-Maritime-Blue-CSP27115"/>
    <s v=""/>
    <n v="2.2040000000000002"/>
    <m/>
    <n v="-2.2040000000000002"/>
    <m/>
    <n v="-2.204000000000000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n v="26510.227999999996"/>
    <s v=""/>
    <s v=""/>
    <s v=""/>
    <s v=""/>
    <e v="#N/A"/>
    <e v="#N/A"/>
    <s v=""/>
  </r>
  <r>
    <s v="Lane Bryant"/>
    <s v="SQBIR.MGFLaneBryant.034.FY26-27.1"/>
    <m/>
    <m/>
    <m/>
    <m/>
    <s v=""/>
    <n v="778"/>
    <s v="95%Ctn 5%Elastane 150GSM CW 64"/>
    <s v="Jenna-Floral-033-Maritime-Blue-CSP27080c"/>
    <s v=""/>
    <n v="1279.2"/>
    <m/>
    <n v="-1279.2"/>
    <m/>
    <n v="-1279.2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s v=""/>
    <s v=""/>
    <e v="#N/A"/>
    <e v="#N/A"/>
    <s v=""/>
  </r>
  <r>
    <s v="Lane Bryant"/>
    <s v="SQBIR.MGFLaneBryant.034.FY26-27.2"/>
    <m/>
    <m/>
    <m/>
    <m/>
    <s v=""/>
    <n v="779"/>
    <s v="95%Ctn 5%Elastane 150GSM CW 64"/>
    <s v="Jenna-Floral-033-Maritime-Blue-CSP27080c"/>
    <s v=""/>
    <n v="1733.28"/>
    <m/>
    <n v="-1733.28"/>
    <m/>
    <n v="-1733.28"/>
    <s v="458617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n v="26510.227999999996"/>
    <s v=""/>
    <s v=""/>
    <s v=""/>
    <s v=""/>
    <e v="#N/A"/>
    <e v="#N/A"/>
    <s v=""/>
  </r>
  <r>
    <s v="M &amp; S - T61 (KPK)"/>
    <s v="SQBIR.MS.105.FY26-27.1"/>
    <m/>
    <m/>
    <m/>
    <m/>
    <s v=""/>
    <n v="813"/>
    <s v="SJ 95% BCI Cmd Cmpt CTN 5% Inv Ly 140gsm CW61”"/>
    <s v="AU26 L T61 CROWDED SPOT LIGHTCREAM SPEC"/>
    <s v=""/>
    <n v="435.3"/>
    <m/>
    <n v="-435.3"/>
    <m/>
    <n v="-435.3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s v=""/>
    <s v=""/>
    <s v=""/>
    <s v=""/>
    <s v=""/>
    <s v=""/>
    <e v="#N/A"/>
    <e v="#N/A"/>
    <s v=""/>
  </r>
  <r>
    <s v="Lane Bryant"/>
    <s v="SQBIR.MGFLaneBryant.074.FY26-27.1"/>
    <m/>
    <m/>
    <m/>
    <m/>
    <s v=""/>
    <n v="817"/>
    <s v="95%Ctn 5%Elastane 150GSM CW 64"/>
    <s v="Floating-Petals-Stripe-032-Skywriting-CSP27223"/>
    <s v=""/>
    <n v="335.13499999999999"/>
    <m/>
    <n v="-335.13499999999999"/>
    <m/>
    <n v="-335.13499999999999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335.13499999999999"/>
    <s v=""/>
    <e v="#N/A"/>
    <e v="#N/A"/>
    <s v=""/>
  </r>
  <r>
    <s v="Lane Bryant"/>
    <s v="SQBIR.MGFLaneBryant.074.FY26-27.2"/>
    <m/>
    <m/>
    <m/>
    <m/>
    <s v=""/>
    <n v="818"/>
    <s v="95%Ctn 5%Elastane 150GSM CW 64"/>
    <s v="Floating-Petals-Stripe-032-Skywriting-CSP27223"/>
    <n v="-322.40000000000003"/>
    <n v="967.2"/>
    <m/>
    <n v="-967.2"/>
    <m/>
    <n v="-967.2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n v="967.2"/>
    <s v=""/>
    <e v="#N/A"/>
    <e v="#N/A"/>
    <s v=""/>
  </r>
  <r>
    <s v="Lane Bryant"/>
    <s v="SQBIR.MGFLaneBryant.074.FY26-27.3"/>
    <m/>
    <m/>
    <m/>
    <m/>
    <s v=""/>
    <n v="819"/>
    <s v="95%Ctn 5%Elastane 150GSM CW 64"/>
    <s v="Floating-Petals-Stripe-032-Skywriting-CSP27223"/>
    <n v="-1.2089999999999999"/>
    <n v="3.6269999999999998"/>
    <m/>
    <n v="-3.6269999999999998"/>
    <m/>
    <n v="-3.6269999999999998"/>
    <s v="461071"/>
    <s v="AOP"/>
    <x v="15"/>
    <d v="2026-10-28T00:00:00"/>
    <d v="2026-10-27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3.6269999999999998"/>
    <s v=""/>
    <e v="#N/A"/>
    <e v="#N/A"/>
    <s v=""/>
  </r>
  <r>
    <s v="Lane Bryant"/>
    <s v="SQBIR.MGFLaneBryant.070.FY26-27.1"/>
    <m/>
    <m/>
    <m/>
    <m/>
    <s v=""/>
    <n v="820"/>
    <s v="95%Ctn 5%Elastane 150GSM CW 64"/>
    <s v="Jenna-Floral-014-Garden-Topiary-CSP27080"/>
    <s v=""/>
    <n v="442.62"/>
    <m/>
    <n v="-442.62"/>
    <m/>
    <n v="-442.6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442.62"/>
    <s v=""/>
    <e v="#N/A"/>
    <e v="#N/A"/>
    <s v=""/>
  </r>
  <r>
    <s v="Lane Bryant"/>
    <s v="SQBIR.MGFLaneBryant.070.FY26-27.2"/>
    <m/>
    <m/>
    <m/>
    <m/>
    <s v=""/>
    <n v="821"/>
    <s v="95%Ctn 5%Elastane 150GSM CW 64"/>
    <s v="Jenna-Floral-014-Garden-Topiary-CSP27080"/>
    <n v="-319.98"/>
    <n v="959.94"/>
    <m/>
    <n v="-959.94"/>
    <m/>
    <n v="-959.94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n v="959.94"/>
    <s v=""/>
    <e v="#N/A"/>
    <e v="#N/A"/>
    <s v=""/>
  </r>
  <r>
    <s v="Lane Bryant"/>
    <s v="SQBIR.MGFLaneBryant.070.FY26-27.3"/>
    <m/>
    <m/>
    <m/>
    <m/>
    <s v=""/>
    <n v="822"/>
    <s v="95%Ctn 5%Elastane 150GSM CW 64"/>
    <s v="Jenna-Floral-014-Garden-Topiary-CSP27080"/>
    <s v=""/>
    <n v="1.98"/>
    <m/>
    <n v="-1.98"/>
    <m/>
    <n v="-1.98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68.FY26-27.1"/>
    <m/>
    <m/>
    <m/>
    <m/>
    <s v=""/>
    <n v="823"/>
    <s v="95%Ctn 5%Elastane 150GSM CW 64"/>
    <s v="Jenna-Floral-024-Maritime-Blue-CSP27080"/>
    <s v=""/>
    <n v="979.47799999999995"/>
    <m/>
    <n v="-979.47799999999995"/>
    <m/>
    <n v="-979.47799999999995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68.FY26-27.2"/>
    <m/>
    <m/>
    <m/>
    <m/>
    <s v=""/>
    <n v="829"/>
    <s v="95%Ctn 5%Elastane 150GSM CW 64"/>
    <s v="Jenna-Floral-024-Maritime-Blue-CSP27080"/>
    <n v="-530.66666666666663"/>
    <n v="1592"/>
    <m/>
    <n v="-1592"/>
    <m/>
    <n v="-159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68.FY26-27.3"/>
    <m/>
    <m/>
    <m/>
    <m/>
    <s v=""/>
    <n v="830"/>
    <s v="95%Ctn 5%Elastane 150GSM CW 64"/>
    <s v="Jenna-Floral-024-Maritime-Blue-CSP27080"/>
    <n v="-0.8623333333333334"/>
    <n v="2.5870000000000002"/>
    <m/>
    <n v="-2.5870000000000002"/>
    <m/>
    <n v="-2.5870000000000002"/>
    <s v="461071"/>
    <s v="AOP"/>
    <x v="8"/>
    <d v="2026-10-31T00:00:00"/>
    <d v="2026-10-31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n v="0"/>
    <n v="25847.263999999996"/>
    <s v=""/>
    <s v=""/>
    <n v="2.5870000000000002"/>
    <s v=""/>
    <e v="#N/A"/>
    <e v="#N/A"/>
    <n v="0"/>
  </r>
  <r>
    <s v="M &amp; S - T61 (KPK)"/>
    <s v="SQBIR.MS.107.FY26-27.1"/>
    <m/>
    <m/>
    <m/>
    <m/>
    <s v=""/>
    <n v="856"/>
    <s v="SJ 95% BCI Cmd Cmpt CTN 5% Inv Ly 140gsm CW61”"/>
    <s v="AU26 L T61 CROWDED SPOT LIGHTCREAM SPEC"/>
    <s v=""/>
    <n v="157.5"/>
    <m/>
    <n v="-157.5"/>
    <m/>
    <n v="-157.5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s v=""/>
    <s v=""/>
    <e v="#N/A"/>
    <e v="#N/A"/>
    <n v="0"/>
  </r>
  <r>
    <s v="M &amp; S - T61 (KPK)"/>
    <s v="SQBIR.MS.108.FY26-27.2"/>
    <m/>
    <m/>
    <m/>
    <m/>
    <s v=""/>
    <n v="857"/>
    <s v="SJ 95% BCI Cmd Cmpt CTN 5% Inv Ly 140gsm CW61”"/>
    <s v="AU26 L T61 CROWDED SPOT LIGHTCREAM SPEC"/>
    <n v="-80.266666666666666"/>
    <n v="240.8"/>
    <m/>
    <n v="-240.8"/>
    <m/>
    <n v="-240.8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s v=""/>
    <s v=""/>
    <s v=""/>
    <n v="240.8"/>
    <s v=""/>
    <e v="#N/A"/>
    <e v="#N/A"/>
    <n v="0"/>
  </r>
  <r>
    <s v="M &amp; S - T61 (KPK)"/>
    <s v="SQBIR.MS.109.FY26-27.1"/>
    <m/>
    <m/>
    <m/>
    <m/>
    <s v=""/>
    <n v="858"/>
    <s v="SJ 95% BCI Cmd Cmpt CTN 5% Inv Ly 140gsm CW61”"/>
    <s v="AU26 L T61 CROWDED SPOT LIGHTCREAM SPEC"/>
    <n v="-235.73333333333335"/>
    <n v="707.2"/>
    <m/>
    <n v="-707.2"/>
    <m/>
    <n v="-707.2"/>
    <s v="463564"/>
    <s v="AOP"/>
    <x v="4"/>
    <d v="2026-10-26T00:00:00"/>
    <d v="2026-10-25T00:00:00"/>
    <s v="Hues Agreed qty as per SQBL required date"/>
    <m/>
    <s v="Oct"/>
    <d v="2026-10-25T00:00:00"/>
    <m/>
    <m/>
    <m/>
    <m/>
    <m/>
    <m/>
    <m/>
    <m/>
    <m/>
    <m/>
    <s v="463564"/>
    <s v="AOP"/>
    <n v="140"/>
    <s v="463564140AOP"/>
    <n v="0"/>
    <s v="#NA"/>
    <n v="0"/>
    <n v="5945.2260000000006"/>
    <s v=""/>
    <s v=""/>
    <n v="707.2"/>
    <s v=""/>
    <e v="#N/A"/>
    <e v="#N/A"/>
    <n v="0"/>
  </r>
  <r>
    <s v="Lane Bryant"/>
    <s v="SQBIR.MGFLaneBryant.024.FY26-27.1"/>
    <m/>
    <m/>
    <m/>
    <m/>
    <s v=""/>
    <n v="872"/>
    <s v="95%Ctn 5%Elastane 150GSM CW 64"/>
    <s v="Ditsy-Blooms-034-Bright-White-CSP27006"/>
    <s v=""/>
    <n v="819.846"/>
    <m/>
    <n v="-819.846"/>
    <m/>
    <n v="-819.846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s v=""/>
    <s v=""/>
    <s v=""/>
    <s v=""/>
    <e v="#N/A"/>
    <e v="#N/A"/>
    <n v="0"/>
  </r>
  <r>
    <s v="Lane Bryant"/>
    <s v="SQBIR.MGFLaneBryant.024.FY26-27.2"/>
    <m/>
    <m/>
    <m/>
    <m/>
    <s v=""/>
    <n v="873"/>
    <s v="95%Ctn 5%Elastane 150GSM CW 64"/>
    <s v="Ditsy-Blooms-034-Bright-White-CSP27006"/>
    <n v="-1.665"/>
    <n v="4.9950000000000001"/>
    <m/>
    <n v="-4.9950000000000001"/>
    <m/>
    <n v="-4.9950000000000001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s v=""/>
    <s v=""/>
    <s v=""/>
    <n v="4.9950000000000001"/>
    <s v=""/>
    <e v="#N/A"/>
    <e v="#N/A"/>
    <s v=""/>
  </r>
  <r>
    <s v="Lane Bryant"/>
    <s v="SQBIR.MGFLaneBryant.024.FY26-27.1"/>
    <m/>
    <m/>
    <m/>
    <m/>
    <s v=""/>
    <n v="874"/>
    <s v="95%Ctn 5%Elastane 150GSM CW 64"/>
    <s v="Ditsy-Blooms-037-Tap-Shoe-CSP27006"/>
    <n v="-273.28199999999998"/>
    <n v="819.846"/>
    <m/>
    <n v="-819.846"/>
    <m/>
    <n v="-819.846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n v="3921.0639999999999"/>
    <s v=""/>
    <s v=""/>
    <n v="819.846"/>
    <s v=""/>
    <e v="#N/A"/>
    <e v="#N/A"/>
    <s v=""/>
  </r>
  <r>
    <s v="Lane Bryant"/>
    <s v="SQBIR.MGFLaneBryant.024.FY26-27.2"/>
    <m/>
    <m/>
    <m/>
    <m/>
    <s v=""/>
    <n v="875"/>
    <s v="95%Ctn 5%Elastane 150GSM CW 64"/>
    <s v="Ditsy-Blooms-037-Tap-Shoe-CSP27006"/>
    <s v=""/>
    <n v="4.9950000000000001"/>
    <m/>
    <n v="-4.9950000000000001"/>
    <m/>
    <n v="-4.9950000000000001"/>
    <s v="458743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s v=""/>
    <s v=""/>
    <s v=""/>
    <s v=""/>
    <s v=""/>
    <e v="#N/A"/>
    <e v="#N/A"/>
    <s v=""/>
  </r>
  <r>
    <s v="Lane Bryant"/>
    <s v="SQBIR.MGFLaneBryant.044.FY26-27.1"/>
    <m/>
    <m/>
    <m/>
    <m/>
    <s v=""/>
    <n v="876"/>
    <s v="95%Ctn 5%Elastane 150GSM CW 64"/>
    <s v="Lunar-Dot-013-LHG-CSP27079"/>
    <s v=""/>
    <n v="377.32400000000001"/>
    <m/>
    <n v="-377.32400000000001"/>
    <m/>
    <n v="-377.32400000000001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s v=""/>
    <s v=""/>
    <s v=""/>
    <s v=""/>
    <s v=""/>
    <e v="#N/A"/>
    <e v="#N/A"/>
    <s v=""/>
  </r>
  <r>
    <s v="Lane Bryant"/>
    <s v="SQBIR.MGFLaneBryant.044.FY26-27.2"/>
    <m/>
    <m/>
    <m/>
    <m/>
    <s v=""/>
    <n v="877"/>
    <s v="95%Ctn 5%Elastane 150GSM CW 64"/>
    <s v="Lunar-Dot-013-LHG-CSP27079"/>
    <s v=""/>
    <n v="1.841"/>
    <m/>
    <n v="-1.841"/>
    <m/>
    <n v="-1.841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n v="3921.0639999999999"/>
    <s v=""/>
    <s v=""/>
    <s v=""/>
    <s v=""/>
    <e v="#N/A"/>
    <e v="#N/A"/>
    <s v=""/>
  </r>
  <r>
    <s v="Lane Bryant"/>
    <s v="SQBIR.MGFLaneBryant.024.FY26-27.1"/>
    <m/>
    <m/>
    <m/>
    <m/>
    <s v=""/>
    <n v="878"/>
    <s v="95%Ctn 5%Elastane 150GSM CW 64"/>
    <s v="Lunar-Dot-013-LHG-CSP27079"/>
    <n v="-206.48099999999999"/>
    <n v="619.44299999999998"/>
    <m/>
    <n v="-619.44299999999998"/>
    <m/>
    <n v="-619.44299999999998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n v="3921.0639999999999"/>
    <s v=""/>
    <s v=""/>
    <n v="619.44299999999998"/>
    <s v=""/>
    <e v="#N/A"/>
    <e v="#N/A"/>
    <n v="0"/>
  </r>
  <r>
    <s v="Lane Bryant"/>
    <s v="SQBIR.MGFLaneBryant.024.FY26-27.2"/>
    <m/>
    <m/>
    <m/>
    <m/>
    <s v=""/>
    <n v="879"/>
    <s v="95%Ctn 5%Elastane 150GSM CW 64"/>
    <s v="Lunar-Dot-013-LHG-CSP27079"/>
    <n v="-1.2596666666666667"/>
    <n v="3.7789999999999999"/>
    <m/>
    <n v="-3.7789999999999999"/>
    <m/>
    <n v="-3.778999999999999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s v=""/>
    <s v=""/>
    <s v=""/>
    <n v="3.7789999999999999"/>
    <s v=""/>
    <e v="#N/A"/>
    <e v="#N/A"/>
    <s v=""/>
  </r>
  <r>
    <s v="Lane Bryant"/>
    <s v="SQBIR.MGFLaneBryant.019.FY26-27.1"/>
    <m/>
    <m/>
    <m/>
    <m/>
    <s v=""/>
    <n v="880"/>
    <s v="95%Ctn 5%Elastane 150GSM CW 64"/>
    <s v="Lunar-Dot-021-Maritime-Blue-CSP27079"/>
    <n v="-174.36333333333334"/>
    <n v="523.09"/>
    <m/>
    <n v="-523.09"/>
    <m/>
    <n v="-523.0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s v=""/>
    <s v=""/>
    <s v=""/>
    <n v="523.09"/>
    <s v=""/>
    <e v="#N/A"/>
    <e v="#N/A"/>
    <s v=""/>
  </r>
  <r>
    <s v="Lane Bryant"/>
    <s v="SQBIR.MGFLaneBryant.019.FY26-27.2"/>
    <m/>
    <m/>
    <m/>
    <m/>
    <s v=""/>
    <n v="881"/>
    <s v="95%Ctn 5%Elastane 150GSM CW 64"/>
    <s v="Lunar-Dot-021-Maritime-Blue-CSP27079"/>
    <s v=""/>
    <n v="1.87"/>
    <m/>
    <n v="-1.87"/>
    <m/>
    <n v="-1.87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s v=""/>
    <s v=""/>
    <s v=""/>
    <s v=""/>
    <s v=""/>
    <e v="#N/A"/>
    <e v="#N/A"/>
    <s v=""/>
  </r>
  <r>
    <s v="Lane Bryant"/>
    <s v="SQBIR.MGFLaneBryant.021.FY26-27.1"/>
    <m/>
    <m/>
    <m/>
    <m/>
    <s v=""/>
    <n v="882"/>
    <s v="95%Ctn 5%Elastane 150GSM CW 64"/>
    <s v="Lunar-Dot-021-Maritime-Blue-CSP27079"/>
    <s v=""/>
    <n v="559.12300000000005"/>
    <m/>
    <n v="-559.12300000000005"/>
    <m/>
    <n v="-559.12300000000005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n v="0"/>
    <s v=""/>
    <s v=""/>
    <s v=""/>
    <s v=""/>
    <s v=""/>
    <e v="#N/A"/>
    <e v="#N/A"/>
    <n v="0"/>
  </r>
  <r>
    <s v="Lane Bryant"/>
    <s v="SQBIR.MGFLaneBryant.021.FY26-27.2"/>
    <m/>
    <m/>
    <m/>
    <m/>
    <s v=""/>
    <n v="883"/>
    <s v="95%Ctn 5%Elastane 150GSM CW 64"/>
    <s v="Lunar-Dot-021-Maritime-Blue-CSP27079"/>
    <s v=""/>
    <n v="3.4119999999999999"/>
    <m/>
    <n v="-3.4119999999999999"/>
    <m/>
    <n v="-3.4119999999999999"/>
    <s v="458743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743"/>
    <s v="AOP"/>
    <n v="150"/>
    <s v="458743150AOP"/>
    <n v="0"/>
    <s v="#NA"/>
    <s v=""/>
    <s v=""/>
    <s v=""/>
    <s v=""/>
    <s v=""/>
    <s v=""/>
    <e v="#N/A"/>
    <e v="#N/A"/>
    <s v=""/>
  </r>
  <r>
    <s v="Lane Bryant"/>
    <s v="SQBIR.MGFLaneBryant.031.FY26-27.3"/>
    <m/>
    <m/>
    <m/>
    <m/>
    <s v=""/>
    <n v="890"/>
    <s v="95%Ctn 5%Elastane 150GSM CW 64"/>
    <s v="Butterfly Bouquet-005-Maritime Blue-CSP27099"/>
    <n v="-0.95699999999999996"/>
    <n v="2.871"/>
    <m/>
    <n v="-2.871"/>
    <m/>
    <n v="-2.87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2.871"/>
    <s v=""/>
    <e v="#N/A"/>
    <e v="#N/A"/>
    <n v="0"/>
  </r>
  <r>
    <s v="Lane Bryant"/>
    <s v="SQBIR.MGFLaneBryant.030.FY26-27.1"/>
    <m/>
    <m/>
    <m/>
    <m/>
    <s v=""/>
    <n v="891"/>
    <s v="95%Ctn 5%Elastane 150GSM CW 64"/>
    <s v="Butterfly Bouquet-012-LHG-CSP27099"/>
    <s v=""/>
    <n v="699.92200000000003"/>
    <m/>
    <n v="-699.92200000000003"/>
    <m/>
    <n v="-699.92200000000003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s v=""/>
    <s v=""/>
    <e v="#N/A"/>
    <e v="#N/A"/>
    <s v=""/>
  </r>
  <r>
    <s v="Lane Bryant"/>
    <s v="SQBIR.MGFLaneBryant.030.FY26-27.2"/>
    <m/>
    <m/>
    <m/>
    <m/>
    <s v=""/>
    <n v="896"/>
    <s v="95%Ctn 5%Elastane 150GSM CW 64"/>
    <s v="Butterfly Bouquet-012-LHG-CSP27099"/>
    <n v="-236.77799999999999"/>
    <n v="710.33399999999995"/>
    <m/>
    <n v="-710.33399999999995"/>
    <m/>
    <n v="-710.33399999999995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710.33399999999995"/>
    <s v=""/>
    <e v="#N/A"/>
    <e v="#N/A"/>
    <s v=""/>
  </r>
  <r>
    <s v="Lane Bryant"/>
    <s v="SQBIR.MGFLaneBryant.030.FY26-27.3"/>
    <m/>
    <m/>
    <m/>
    <m/>
    <s v=""/>
    <n v="897"/>
    <s v="95%Ctn 5%Elastane 150GSM CW 64"/>
    <s v="Butterfly Bouquet-012-LHG-CSP27099"/>
    <n v="-0.67366666666666664"/>
    <n v="2.0209999999999999"/>
    <m/>
    <n v="-2.0209999999999999"/>
    <m/>
    <n v="-2.0209999999999999"/>
    <s v="458617"/>
    <s v="AOP"/>
    <x v="4"/>
    <d v="2026-10-26T00:00:00"/>
    <d v="2026-10-25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2.0209999999999999"/>
    <s v=""/>
    <e v="#N/A"/>
    <e v="#N/A"/>
    <n v="0"/>
  </r>
  <r>
    <s v="Lane Bryant"/>
    <s v="SQBIR.MGFLaneBryant.060.FY26-27.1"/>
    <m/>
    <m/>
    <m/>
    <m/>
    <s v=""/>
    <n v="911"/>
    <s v="95%Ctn 5%Elastane 150GSM CW 64"/>
    <s v="Bee Gingham-006-Pale Denim Blue-CSP27227"/>
    <s v=""/>
    <n v="808.70600000000002"/>
    <m/>
    <n v="-808.70600000000002"/>
    <m/>
    <n v="-808.70600000000002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n v="25847.263999999996"/>
    <s v=""/>
    <s v=""/>
    <s v=""/>
    <s v=""/>
    <e v="#N/A"/>
    <e v="#N/A"/>
    <s v=""/>
  </r>
  <r>
    <s v="Lane Bryant"/>
    <s v="SQBIR.MGFLaneBryant.060.FY26-27.2"/>
    <m/>
    <m/>
    <m/>
    <m/>
    <s v=""/>
    <n v="912"/>
    <s v="95%Ctn 5%Elastane 150GSM CW 64"/>
    <s v="Bee Gingham-006-Pale Denim Blue-CSP27227"/>
    <s v=""/>
    <n v="1369.8810000000001"/>
    <m/>
    <n v="-1369.8810000000001"/>
    <m/>
    <n v="-1369.8810000000001"/>
    <s v="461071"/>
    <s v="AOP"/>
    <x v="16"/>
    <d v="2026-10-29T00:00:00"/>
    <d v="2026-10-28T00:00:00"/>
    <s v="Revised Plan given as per revised date"/>
    <s v="PFP Fabric Delay"/>
    <s v="Oct"/>
    <d v="2026-10-03T00:00:00"/>
    <m/>
    <m/>
    <m/>
    <m/>
    <m/>
    <m/>
    <m/>
    <m/>
    <m/>
    <m/>
    <s v="461071"/>
    <s v="AOP"/>
    <n v="150"/>
    <s v="461071150AOP"/>
    <n v="0"/>
    <s v="#NA"/>
    <s v=""/>
    <s v=""/>
    <s v=""/>
    <s v=""/>
    <s v=""/>
    <s v=""/>
    <e v="#N/A"/>
    <e v="#N/A"/>
    <s v=""/>
  </r>
  <r>
    <s v="Lane Bryant"/>
    <s v="SQBIR.MGFLaneBryant.037.FY26-27.1"/>
    <m/>
    <m/>
    <m/>
    <m/>
    <s v=""/>
    <n v="913"/>
    <s v="95%Ctn 5%Elastane 150GSM CW 64"/>
    <s v="Lunar-Dot-004-Tap-Shoe-CSP27079"/>
    <n v="-333.59999999999997"/>
    <n v="1000.8"/>
    <m/>
    <n v="-1000.8"/>
    <m/>
    <n v="-1000.8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s v=""/>
    <n v="1773.3430000000001"/>
    <s v=""/>
    <s v=""/>
    <n v="1000.8"/>
    <s v=""/>
    <e v="#N/A"/>
    <e v="#N/A"/>
    <s v=""/>
  </r>
  <r>
    <s v="Lane Bryant"/>
    <s v="SQBIR.MGFLaneBryant.037.FY26-27.2"/>
    <m/>
    <m/>
    <m/>
    <m/>
    <s v=""/>
    <n v="914"/>
    <s v="95%Ctn 5%Elastane 150GSM CW 64"/>
    <s v="Lunar-Dot-004-Tap-Shoe-CSP27079"/>
    <s v=""/>
    <n v="1.835"/>
    <m/>
    <n v="-1.835"/>
    <m/>
    <n v="-1.835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s v=""/>
    <s v=""/>
    <s v=""/>
    <s v=""/>
    <s v=""/>
    <s v=""/>
    <e v="#N/A"/>
    <e v="#N/A"/>
    <s v=""/>
  </r>
  <r>
    <s v="Lane Bryant"/>
    <s v="SQBIR.MGFLaneBryant.044.FY26-27.1"/>
    <m/>
    <m/>
    <m/>
    <m/>
    <s v=""/>
    <n v="915"/>
    <s v="95%Ctn 5%Elastane 150GSM CW 64"/>
    <s v="Lunar-Dot-004-Tap-Shoe-CSP27079"/>
    <s v=""/>
    <n v="548.07899999999995"/>
    <m/>
    <n v="-548.07899999999995"/>
    <m/>
    <n v="-548.07899999999995"/>
    <s v="460989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60989"/>
    <s v="AOP"/>
    <n v="150"/>
    <s v="460989150AOP"/>
    <n v="0"/>
    <s v="#NA"/>
    <n v="0"/>
    <s v=""/>
    <s v=""/>
    <s v=""/>
    <n v="548.07899999999995"/>
    <s v=""/>
    <e v="#N/A"/>
    <e v="#N/A"/>
    <n v="0"/>
  </r>
  <r>
    <s v="Lane Bryant"/>
    <s v="SQBIR.MGFLaneBryant.044.FY26-27.2"/>
    <m/>
    <m/>
    <m/>
    <m/>
    <s v=""/>
    <n v="916"/>
    <s v="95%Ctn 5%Elastane 150GSM CW 64"/>
    <s v="Lunar-Dot-004-Tap-Shoe-CSP27079"/>
    <s v=""/>
    <n v="2.673"/>
    <m/>
    <n v="-2.673"/>
    <m/>
    <n v="-2.673"/>
    <s v="460989"/>
    <s v="AOP"/>
    <x v="12"/>
    <d v="2026-10-25T00:00:00"/>
    <d v="2026-10-24T00:00:00"/>
    <s v="Revised Plan given as per revised date"/>
    <s v="PFP Fabric Delay"/>
    <s v="Oct"/>
    <d v="2026-10-02T00:00:00"/>
    <m/>
    <m/>
    <m/>
    <m/>
    <m/>
    <m/>
    <m/>
    <m/>
    <m/>
    <m/>
    <s v="460989"/>
    <s v="AOP"/>
    <n v="150"/>
    <s v="460989150AOP"/>
    <n v="0"/>
    <s v="#NA"/>
    <s v=""/>
    <n v="1773.3430000000001"/>
    <s v=""/>
    <s v=""/>
    <s v=""/>
    <s v=""/>
    <e v="#N/A"/>
    <e v="#N/A"/>
    <s v=""/>
  </r>
  <r>
    <s v="Lane Bryant"/>
    <s v="SQBIR.MGFLaneBryant.031.FY26-27.1"/>
    <m/>
    <m/>
    <m/>
    <m/>
    <s v=""/>
    <n v="917"/>
    <s v="95%Ctn 5%Elastane 150GSM CW 64"/>
    <s v="Lunar-Dot-026-Maritime-Blue-CSP27079"/>
    <n v="-26.909666666666666"/>
    <n v="80.728999999999999"/>
    <m/>
    <n v="-80.728999999999999"/>
    <m/>
    <n v="-80.728999999999999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n v="1773.3430000000001"/>
    <s v=""/>
    <s v=""/>
    <n v="80.728999999999999"/>
    <s v=""/>
    <e v="#N/A"/>
    <e v="#N/A"/>
    <n v="0"/>
  </r>
  <r>
    <s v="Lane Bryant"/>
    <s v="SQBIR.MGFLaneBryant.031.FY26-27.2"/>
    <m/>
    <m/>
    <m/>
    <m/>
    <s v=""/>
    <n v="918"/>
    <s v="95%Ctn 5%Elastane 150GSM CW 64"/>
    <s v="Lunar-Dot-026-Maritime-Blue-CSP27079"/>
    <n v="-46.408999999999999"/>
    <n v="139.227"/>
    <m/>
    <n v="-139.227"/>
    <m/>
    <n v="-139.227"/>
    <s v="460989"/>
    <s v="AOP"/>
    <x v="12"/>
    <d v="2026-10-25T00:00:00"/>
    <d v="2026-10-24T00:00:00"/>
    <s v="Revised Plan given as per revised date"/>
    <s v="PFP Fabric Delay"/>
    <s v="Oct"/>
    <d v="2026-10-03T00:00:00"/>
    <m/>
    <m/>
    <m/>
    <m/>
    <m/>
    <m/>
    <m/>
    <m/>
    <m/>
    <m/>
    <s v="460989"/>
    <s v="AOP"/>
    <n v="150"/>
    <s v="460989150AOP"/>
    <n v="0"/>
    <s v="#NA"/>
    <n v="0"/>
    <s v=""/>
    <s v=""/>
    <s v=""/>
    <n v="139.227"/>
    <s v=""/>
    <e v="#N/A"/>
    <e v="#N/A"/>
    <n v="0"/>
  </r>
  <r>
    <s v="Lane Bryant"/>
    <s v="SQBIR.MGFLaneBryant.032.FY26-27.1"/>
    <m/>
    <m/>
    <m/>
    <m/>
    <s v=""/>
    <n v="1001"/>
    <s v="95%Ctn 5%Elastane 150GSM CW 64"/>
    <s v="Botanical Beauty-014-Rosy Future-CSP27019e"/>
    <n v="-235.35833333333335"/>
    <n v="706.07500000000005"/>
    <m/>
    <n v="-706.07500000000005"/>
    <m/>
    <n v="-706.07500000000005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706.07500000000005"/>
    <s v=""/>
    <e v="#N/A"/>
    <e v="#N/A"/>
    <s v=""/>
  </r>
  <r>
    <s v="Lane Bryant"/>
    <s v="SQBIR.MGFLaneBryant.032.FY26-27.2"/>
    <m/>
    <m/>
    <m/>
    <m/>
    <s v=""/>
    <n v="1002"/>
    <s v="95%Ctn 5%Elastane 150GSM CW 64"/>
    <s v="Botanical Beauty-014-Rosy Future-CSP27019e"/>
    <n v="-425.35466666666667"/>
    <n v="1276.0640000000001"/>
    <m/>
    <n v="-1276.0640000000001"/>
    <m/>
    <n v="-1276.0640000000001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1276.0640000000001"/>
    <s v=""/>
    <e v="#N/A"/>
    <e v="#N/A"/>
    <s v=""/>
  </r>
  <r>
    <s v="Lane Bryant"/>
    <s v="SQBIR.MGFLaneBryant.032.FY26-27.3"/>
    <m/>
    <m/>
    <m/>
    <m/>
    <s v=""/>
    <n v="1003"/>
    <s v="95%Ctn 5%Elastane 150GSM CW 64"/>
    <s v="Botanical Beauty-014-Rosy Future-CSP27019e"/>
    <n v="-0.95699999999999996"/>
    <n v="2.871"/>
    <m/>
    <n v="-2.871"/>
    <m/>
    <n v="-2.871"/>
    <s v="458617"/>
    <s v="AOP"/>
    <x v="7"/>
    <d v="2026-10-23T00:00:00"/>
    <d v="2026-10-22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2.871"/>
    <s v=""/>
    <e v="#N/A"/>
    <e v="#N/A"/>
    <s v=""/>
  </r>
  <r>
    <s v="Lane Bryant"/>
    <s v="SQBIR.MGFLaneBryant.042.FY26-27.1"/>
    <m/>
    <m/>
    <m/>
    <m/>
    <s v=""/>
    <n v="1004"/>
    <s v="95%Ctn 5%Elastane 150GSM CW 64"/>
    <s v="Botanical Beauty-014-Rosy Future-CSP27019e"/>
    <s v=""/>
    <n v="377.32400000000001"/>
    <m/>
    <n v="-377.32400000000001"/>
    <m/>
    <n v="-377.32400000000001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s v=""/>
    <s v=""/>
    <s v=""/>
    <s v=""/>
    <s v=""/>
    <s v=""/>
    <e v="#N/A"/>
    <e v="#N/A"/>
    <s v=""/>
  </r>
  <r>
    <s v="Lane Bryant"/>
    <s v="SQBIR.MGFLaneBryant.042.FY26-27.2"/>
    <m/>
    <m/>
    <m/>
    <m/>
    <s v=""/>
    <n v="1005"/>
    <s v="95%Ctn 5%Elastane 150GSM CW 64"/>
    <s v="Botanical Beauty-014-Rosy Future-CSP27019e"/>
    <n v="-0.61366666666666669"/>
    <n v="1.841"/>
    <m/>
    <n v="-1.841"/>
    <m/>
    <n v="-1.841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n v="1.841"/>
    <s v=""/>
    <e v="#N/A"/>
    <e v="#N/A"/>
    <n v="0"/>
  </r>
  <r>
    <s v="Lane Bryant"/>
    <s v="SQBIR.MGFLaneBryant.043.FY26-27.1"/>
    <m/>
    <m/>
    <m/>
    <m/>
    <s v=""/>
    <n v="1006"/>
    <s v="95%Ctn 5%Elastane 150GSM CW 64"/>
    <s v="Botanical Beauty-014-Rosy Future-CSP27019e"/>
    <s v=""/>
    <n v="464.45600000000002"/>
    <m/>
    <n v="-464.45600000000002"/>
    <m/>
    <n v="-464.45600000000002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s v=""/>
    <n v="26510.227999999996"/>
    <s v=""/>
    <s v=""/>
    <s v=""/>
    <s v=""/>
    <e v="#N/A"/>
    <e v="#N/A"/>
    <s v=""/>
  </r>
  <r>
    <s v="Lane Bryant"/>
    <s v="SQBIR.MGFLaneBryant.043.FY26-27.2"/>
    <m/>
    <m/>
    <m/>
    <m/>
    <s v=""/>
    <n v="1007"/>
    <s v="95%Ctn 5%Elastane 150GSM CW 64"/>
    <s v="Botanical Beauty-014-Rosy Future-CSP27019e"/>
    <n v="-1.2596666666666667"/>
    <n v="3.7789999999999999"/>
    <m/>
    <n v="-3.7789999999999999"/>
    <m/>
    <n v="-3.7789999999999999"/>
    <s v="458617"/>
    <s v="AOP"/>
    <x v="7"/>
    <d v="2026-10-23T00:00:00"/>
    <d v="2026-10-22T00:00:00"/>
    <s v="Revised Plan given as per revised date"/>
    <s v="PFP Fabric Delay"/>
    <s v="Oct"/>
    <d v="2026-10-02T00:00:00"/>
    <m/>
    <m/>
    <m/>
    <m/>
    <m/>
    <m/>
    <m/>
    <m/>
    <m/>
    <m/>
    <s v="458617"/>
    <s v="AOP"/>
    <n v="150"/>
    <s v="458617150AOP"/>
    <n v="0"/>
    <s v="#NA"/>
    <s v=""/>
    <s v=""/>
    <s v=""/>
    <s v=""/>
    <n v="3.7789999999999999"/>
    <s v=""/>
    <e v="#N/A"/>
    <e v="#N/A"/>
    <s v=""/>
  </r>
  <r>
    <s v="Lane Bryant"/>
    <s v="SQBIR.MGFLaneBryant.031.FY26-27.1"/>
    <m/>
    <m/>
    <m/>
    <m/>
    <s v=""/>
    <n v="1008"/>
    <s v="95%Ctn 5%Elastane 150GSM CW 64"/>
    <s v="Butterfly Bouquet-005-Maritime Blue-CSP27099"/>
    <s v=""/>
    <n v="863.21400000000006"/>
    <m/>
    <n v="-863.21400000000006"/>
    <m/>
    <n v="-863.21400000000006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n v="0"/>
    <n v="26510.227999999996"/>
    <s v=""/>
    <s v=""/>
    <s v=""/>
    <s v=""/>
    <e v="#N/A"/>
    <e v="#N/A"/>
    <n v="0"/>
  </r>
  <r>
    <s v="Lane Bryant"/>
    <s v="SQBIR.MGFLaneBryant.031.FY26-27.2"/>
    <m/>
    <m/>
    <m/>
    <m/>
    <s v=""/>
    <n v="1009"/>
    <s v="95%Ctn 5%Elastane 150GSM CW 64"/>
    <s v="Butterfly Bouquet-005-Maritime Blue-CSP27099"/>
    <s v=""/>
    <n v="1488.71"/>
    <m/>
    <n v="-1488.71"/>
    <m/>
    <n v="-1488.71"/>
    <s v="458617"/>
    <s v="AOP"/>
    <x v="13"/>
    <d v="2026-10-24T00:00:00"/>
    <d v="2026-10-23T00:00:00"/>
    <s v="Revised Plan given as per revised date"/>
    <s v="PFP Fabric Delay"/>
    <s v="Oct"/>
    <d v="2026-10-03T00:00:00"/>
    <m/>
    <m/>
    <m/>
    <m/>
    <m/>
    <m/>
    <m/>
    <m/>
    <m/>
    <m/>
    <s v="458617"/>
    <s v="AOP"/>
    <n v="150"/>
    <s v="458617150AOP"/>
    <n v="0"/>
    <s v="#NA"/>
    <s v=""/>
    <s v=""/>
    <s v=""/>
    <s v=""/>
    <s v=""/>
    <s v=""/>
    <e v="#N/A"/>
    <e v="#N/A"/>
    <s v=""/>
  </r>
  <r>
    <s v="Hema"/>
    <s v="SQBIR.HEMA.172.FY26-27.1"/>
    <m/>
    <m/>
    <m/>
    <m/>
    <s v=""/>
    <n v="1980"/>
    <s v=" 96% BCI COTTON 4% ELASTANE SINGLE JERSEY GSM-160 CW-163 CM "/>
    <s v="Dark denim Flower AOP on Gardenia-11-0604TCX"/>
    <n v="-291.65633333333335"/>
    <n v="874.96900000000005"/>
    <m/>
    <n v="-874.96900000000005"/>
    <m/>
    <n v="-874.96900000000005"/>
    <n v="457876"/>
    <s v="AOP"/>
    <x v="31"/>
    <d v="2026-10-21T00:00:00"/>
    <d v="2026-10-20T00:00:00"/>
    <s v="Revised Plan given as per revised date"/>
    <s v="PFP Fabric Delay"/>
    <s v="Oct"/>
    <d v="2026-10-15T00:00:00"/>
    <m/>
    <m/>
    <m/>
    <m/>
    <m/>
    <m/>
    <m/>
    <m/>
    <m/>
    <m/>
    <s v="457876"/>
    <s v="AOP"/>
    <n v="160"/>
    <s v="457876160AOP"/>
    <n v="0"/>
    <s v="#NA"/>
    <s v=""/>
    <s v=""/>
    <s v=""/>
    <s v=""/>
    <n v="874.96900000000005"/>
    <s v=""/>
    <e v="#N/A"/>
    <e v="#N/A"/>
    <s v=""/>
  </r>
  <r>
    <s v="Hema"/>
    <s v="SQBIR.HEMA.173.FY26-27.1"/>
    <m/>
    <m/>
    <m/>
    <m/>
    <s v=""/>
    <n v="1981"/>
    <s v=" 96% BCI COTTON 4% ELASTANE SINGLE JERSEY GSM-160 CW-163 CM "/>
    <s v="Dark denim Flower AOP on Gardenia-11-0604TCX"/>
    <n v="0"/>
    <n v="1365.952"/>
    <n v="1365.952"/>
    <n v="0"/>
    <m/>
    <n v="0"/>
    <n v="457876"/>
    <s v="AOP"/>
    <x v="28"/>
    <d v="2026-10-18T00:00:00"/>
    <d v="2026-10-17T00:00:00"/>
    <s v="Revised Plan given as per revised date"/>
    <s v="PFP Fabric Delay"/>
    <s v="Oct"/>
    <d v="2026-10-05T00:00:00"/>
    <m/>
    <m/>
    <m/>
    <m/>
    <m/>
    <m/>
    <m/>
    <m/>
    <m/>
    <m/>
    <s v="457876"/>
    <s v="AOP"/>
    <n v="160"/>
    <s v="457876160AOP"/>
    <n v="0"/>
    <s v="#NA"/>
    <n v="3591.5250000000005"/>
    <n v="5247.13"/>
    <s v=""/>
    <s v=""/>
    <n v="0"/>
    <s v=""/>
    <e v="#N/A"/>
    <e v="#N/A"/>
    <n v="-3591.5250000000005"/>
  </r>
  <r>
    <s v="Hema"/>
    <s v="SQBIR.HEMA.190.FY26-27.1"/>
    <m/>
    <m/>
    <m/>
    <m/>
    <s v=""/>
    <n v="1986"/>
    <s v=" 96% BCI COTTON 4% ELASTANE SINGLE JERSEY GSM-160 CW-163 CM "/>
    <s v="Gardenia Flower AOP on Black Onyx-19-4003 TCX"/>
    <s v=""/>
    <n v="341.88099999999997"/>
    <n v="341.88099999999997"/>
    <n v="0"/>
    <m/>
    <n v="0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s v=""/>
    <n v="7364.6959999999999"/>
    <s v=""/>
    <s v=""/>
    <s v=""/>
    <s v=""/>
    <e v="#N/A"/>
    <e v="#N/A"/>
    <s v=""/>
  </r>
  <r>
    <s v="Hema"/>
    <s v="SQBIR.HEMA.190.FY26-27.2"/>
    <m/>
    <m/>
    <m/>
    <m/>
    <s v=""/>
    <n v="1987"/>
    <s v=" 96% BCI COTTON 4% ELASTANE SINGLE JERSEY GSM-160 CW-163 CM "/>
    <s v="Gardenia Flower AOP on Black Onyx-19-4003 TCX"/>
    <n v="0"/>
    <n v="1.236"/>
    <n v="1.236"/>
    <n v="0"/>
    <m/>
    <n v="0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s v=""/>
    <n v="7364.6959999999999"/>
    <s v=""/>
    <s v=""/>
    <s v=""/>
    <s v=""/>
    <e v="#N/A"/>
    <e v="#N/A"/>
    <s v=""/>
  </r>
  <r>
    <s v="Hema"/>
    <s v="SQBIR.HEMA.234.FY26-27.1"/>
    <m/>
    <m/>
    <m/>
    <m/>
    <s v=""/>
    <n v="1989"/>
    <s v=" 96% BCI COTTON 4% ELASTANE SINGLE JERSEY GSM-160 CW-163 CM "/>
    <s v="Gardenia Flower AOP on Black Onyx-19-4003 TCX"/>
    <s v=""/>
    <n v="717.61300000000006"/>
    <m/>
    <n v="-717.61300000000006"/>
    <m/>
    <n v="-717.61300000000006"/>
    <n v="454434"/>
    <s v="AOP"/>
    <x v="8"/>
    <d v="2026-10-31T00:00:00"/>
    <d v="2026-10-30T00:00:00"/>
    <s v="Revised Plan given as per revised date"/>
    <s v="PFP Fabric Delay"/>
    <s v="Oct"/>
    <d v="2026-10-12T00:00:00"/>
    <m/>
    <m/>
    <m/>
    <m/>
    <m/>
    <m/>
    <m/>
    <m/>
    <m/>
    <m/>
    <s v="454434"/>
    <s v="AOP"/>
    <n v="160"/>
    <s v="454434160AOP"/>
    <n v="0"/>
    <s v="#NA"/>
    <n v="5734.2910000000002"/>
    <n v="7364.6959999999999"/>
    <s v=""/>
    <s v=""/>
    <s v=""/>
    <s v=""/>
    <e v="#N/A"/>
    <e v="#N/A"/>
    <n v="-5734.2910000000002"/>
  </r>
  <r>
    <s v="Hema"/>
    <s v="SQBIR.HEMA.234.FY26-27.2"/>
    <m/>
    <m/>
    <m/>
    <m/>
    <s v=""/>
    <n v="1990"/>
    <s v=" 96% BCI COTTON 4% ELASTANE SINGLE JERSEY GSM-160 CW-163 CM "/>
    <s v="Gardenia Flower AOP on Black Onyx-19-4003 TCX"/>
    <n v="-0.8656666666666667"/>
    <n v="2.597"/>
    <m/>
    <n v="-2.597"/>
    <m/>
    <n v="-2.597"/>
    <n v="454434"/>
    <s v="AOP"/>
    <x v="8"/>
    <d v="2026-10-31T00:00:00"/>
    <d v="2026-10-30T00:00:00"/>
    <s v="Revised Plan given as per revised date"/>
    <s v="PFP Fabric Delay"/>
    <s v="Oct"/>
    <d v="2026-10-15T00:00:00"/>
    <m/>
    <m/>
    <m/>
    <m/>
    <m/>
    <m/>
    <m/>
    <m/>
    <m/>
    <m/>
    <s v="454434"/>
    <s v="AOP"/>
    <n v="160"/>
    <s v="454434160AOP"/>
    <n v="0"/>
    <s v="#NA"/>
    <s v=""/>
    <s v=""/>
    <s v=""/>
    <s v=""/>
    <s v=""/>
    <s v=""/>
    <e v="#N/A"/>
    <e v="#N/A"/>
    <s v=""/>
  </r>
  <r>
    <s v="Hema"/>
    <s v="SQBIR.HEMA.235.FY26-27.1"/>
    <m/>
    <m/>
    <m/>
    <m/>
    <s v=""/>
    <n v="1991"/>
    <s v=" 96% BCI COTTON 4% ELASTANE SINGLE JERSEY GSM-160 CW-163 CM "/>
    <s v="Gardenia Flower AOP on Black Onyx-19-4003 TCX"/>
    <n v="0"/>
    <n v="690.22299999999996"/>
    <n v="690.22299999999996"/>
    <n v="0"/>
    <m/>
    <n v="0"/>
    <n v="454434"/>
    <s v="AOP"/>
    <x v="28"/>
    <d v="2026-10-18T00:00:00"/>
    <d v="2026-10-17T00:00:00"/>
    <s v="Revised Plan given as per revised date"/>
    <s v="PFP Fabric Delay"/>
    <s v="Oct"/>
    <d v="2026-10-04T00:00:00"/>
    <m/>
    <m/>
    <m/>
    <m/>
    <m/>
    <m/>
    <m/>
    <m/>
    <m/>
    <m/>
    <s v="454434"/>
    <s v="AOP"/>
    <n v="160"/>
    <s v="454434160AOP"/>
    <n v="0"/>
    <s v="#NA"/>
    <n v="5734.2910000000002"/>
    <n v="7364.6959999999999"/>
    <s v=""/>
    <s v=""/>
    <n v="0"/>
    <s v=""/>
    <e v="#N/A"/>
    <e v="#N/A"/>
    <n v="-5734.2910000000002"/>
  </r>
  <r>
    <s v="Hema"/>
    <s v="SQBIR.HEMA.273.FY26-27.1"/>
    <m/>
    <m/>
    <m/>
    <m/>
    <s v=""/>
    <n v="1992"/>
    <s v=" 96% BCI COTTON 4% ELASTANE SINGLE JERSEY GSM-160 CW-163 CM "/>
    <s v="Gardenia Flower AOP on Black Onyx-19-4003 TCX"/>
    <s v=""/>
    <n v="594.40499999999997"/>
    <n v="594.40499999999997"/>
    <n v="0"/>
    <m/>
    <n v="0"/>
    <n v="454434"/>
    <s v="AOP"/>
    <x v="28"/>
    <d v="2026-10-18T00:00:00"/>
    <d v="2026-10-17T00:00:00"/>
    <s v="Revised Plan given as per revised date"/>
    <s v="PFP Fabric Delay"/>
    <s v="Oct"/>
    <d v="2026-10-03T00:00:00"/>
    <m/>
    <m/>
    <m/>
    <m/>
    <m/>
    <m/>
    <m/>
    <m/>
    <m/>
    <m/>
    <s v="454434"/>
    <s v="AOP"/>
    <n v="160"/>
    <s v="454434160AOP"/>
    <n v="0"/>
    <s v="#NA"/>
    <n v="5734.2910000000002"/>
    <s v=""/>
    <s v=""/>
    <s v=""/>
    <s v=""/>
    <s v=""/>
    <e v="#N/A"/>
    <e v="#N/A"/>
    <n v="-5734.2910000000002"/>
  </r>
  <r>
    <s v="Hema"/>
    <s v="SQBIR.HEMA.273.FY26-27.2"/>
    <m/>
    <m/>
    <m/>
    <m/>
    <s v=""/>
    <n v="1993"/>
    <s v=" 96% BCI COTTON 4% ELASTANE SINGLE JERSEY GSM-160 CW-163 CM "/>
    <s v="Gardenia Flower AOP on Black Onyx-19-4003 TCX"/>
    <s v=""/>
    <n v="2.1509999999999998"/>
    <n v="2.1509999999999998"/>
    <n v="0"/>
    <m/>
    <n v="0"/>
    <n v="454434"/>
    <s v="AOP"/>
    <x v="28"/>
    <d v="2026-10-18T00:00:00"/>
    <d v="2026-10-17T00:00:00"/>
    <s v="Revised Plan given as per revised date"/>
    <s v="PFP Fabric Delay"/>
    <s v="Oct"/>
    <d v="2026-10-09T00:00:00"/>
    <m/>
    <m/>
    <m/>
    <m/>
    <m/>
    <m/>
    <m/>
    <m/>
    <m/>
    <m/>
    <s v="454434"/>
    <s v="AOP"/>
    <n v="160"/>
    <s v="454434160AOP"/>
    <n v="0"/>
    <s v="#NA"/>
    <n v="5734.2910000000002"/>
    <n v="7364.6959999999999"/>
    <s v=""/>
    <s v=""/>
    <s v=""/>
    <s v=""/>
    <e v="#N/A"/>
    <e v="#N/A"/>
    <n v="-5734.2910000000002"/>
  </r>
  <r>
    <s v="Hema"/>
    <s v="SQBIR.HEMA.274.FY26-27.1"/>
    <m/>
    <m/>
    <m/>
    <m/>
    <s v=""/>
    <n v="1994"/>
    <s v=" 96% BCI COTTON 4% ELASTANE SINGLE JERSEY GSM-160 CW-163 CM "/>
    <s v="Gardenia Flower AOP on Black Onyx-19-4003 TCX"/>
    <n v="0"/>
    <n v="868.70100000000002"/>
    <n v="868.70100000000002"/>
    <n v="0"/>
    <m/>
    <n v="0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5734.2910000000002"/>
    <n v="7364.6959999999999"/>
    <s v=""/>
    <s v=""/>
    <n v="0"/>
    <s v=""/>
    <e v="#N/A"/>
    <e v="#N/A"/>
    <n v="-5734.2910000000002"/>
  </r>
  <r>
    <s v="Hema"/>
    <s v="SQBIR.HEMA.276.FY26-27.1"/>
    <m/>
    <m/>
    <m/>
    <m/>
    <s v=""/>
    <n v="2041"/>
    <s v=" 96% BCI COTTON 4% ELASTANE SINGLE JERSEY GSM-160 CW-163 CM "/>
    <s v="Gardenia Flower AOP on Black Onyx-19-4003 TCX"/>
    <s v=""/>
    <n v="496.34"/>
    <n v="496.34"/>
    <n v="0"/>
    <m/>
    <n v="0"/>
    <n v="454434"/>
    <s v="AOP"/>
    <x v="28"/>
    <d v="2026-10-18T00:00:00"/>
    <d v="2026-10-17T00:00:00"/>
    <s v="Revised Plan given as per revised date"/>
    <s v="PFP Fabric Delay"/>
    <s v="Oct"/>
    <d v="2026-10-07T00:00:00"/>
    <m/>
    <m/>
    <m/>
    <m/>
    <m/>
    <m/>
    <m/>
    <m/>
    <m/>
    <m/>
    <s v="454434"/>
    <s v="AOP"/>
    <n v="160"/>
    <s v="454434160AOP"/>
    <n v="0"/>
    <s v="#NA"/>
    <n v="5734.2910000000002"/>
    <n v="7364.6959999999999"/>
    <s v=""/>
    <s v=""/>
    <s v=""/>
    <s v=""/>
    <e v="#N/A"/>
    <e v="#N/A"/>
    <n v="-5734.2910000000002"/>
  </r>
  <r>
    <s v="Hema"/>
    <s v="SQBIR.HEMA.227.FY26-27.1"/>
    <m/>
    <m/>
    <m/>
    <m/>
    <s v=""/>
    <n v="2092"/>
    <s v=" 96% BCI COTTON 4% ELASTANE SINGLE JERSEY GSM-160 CW-163 CM "/>
    <s v="Dark denim Flower AOP on Gardenia-11-0604TCX"/>
    <s v=""/>
    <n v="716.94299999999998"/>
    <n v="716.94299999999998"/>
    <n v="0"/>
    <m/>
    <n v="0"/>
    <n v="457876"/>
    <s v="AOP"/>
    <x v="28"/>
    <d v="2026-10-18T00:00:00"/>
    <d v="2026-10-17T00:00:00"/>
    <s v="Revised Plan given as per revised date"/>
    <s v="PFP Fabric Delay"/>
    <s v="Oct"/>
    <d v="2026-10-12T00:00:00"/>
    <m/>
    <m/>
    <m/>
    <m/>
    <m/>
    <m/>
    <m/>
    <m/>
    <m/>
    <m/>
    <s v="457876"/>
    <s v="AOP"/>
    <n v="160"/>
    <s v="457876160AOP"/>
    <n v="0"/>
    <s v="#NA"/>
    <n v="3591.5250000000005"/>
    <s v=""/>
    <s v=""/>
    <s v=""/>
    <s v=""/>
    <s v=""/>
    <e v="#N/A"/>
    <e v="#N/A"/>
    <n v="-3591.5250000000005"/>
  </r>
  <r>
    <s v="Hema"/>
    <s v="SQBIR.HEMA.175.FY26-27.1"/>
    <m/>
    <m/>
    <m/>
    <m/>
    <s v=""/>
    <n v="2098"/>
    <s v=" 96% BCI COTTON 4% ELASTANE SINGLE JERSEY GSM-160 CW-163 CM "/>
    <s v="Dark denim Flower AOP on Gardenia-11-0604TCX"/>
    <n v="-260.21199999999999"/>
    <n v="780.63599999999997"/>
    <m/>
    <n v="-780.63599999999997"/>
    <m/>
    <n v="-780.63599999999997"/>
    <n v="457876"/>
    <s v="AOP"/>
    <x v="31"/>
    <d v="2026-10-21T00:00:00"/>
    <d v="2026-10-20T00:00:00"/>
    <s v="Revised Plan given as per revised date"/>
    <s v="PFP Fabric Delay"/>
    <s v="Oct"/>
    <d v="2026-10-17T00:00:00"/>
    <m/>
    <m/>
    <m/>
    <m/>
    <m/>
    <m/>
    <m/>
    <m/>
    <m/>
    <m/>
    <s v="457876"/>
    <s v="AOP"/>
    <n v="160"/>
    <s v="457876160AOP"/>
    <n v="0"/>
    <s v="#NA"/>
    <s v=""/>
    <s v=""/>
    <s v=""/>
    <s v=""/>
    <n v="780.63599999999997"/>
    <s v=""/>
    <e v="#N/A"/>
    <e v="#N/A"/>
    <s v=""/>
  </r>
  <r>
    <s v="Hema"/>
    <s v="SQBIR.HEMA.260.FY26-27.1"/>
    <m/>
    <m/>
    <m/>
    <m/>
    <s v=""/>
    <n v="2173"/>
    <s v=" 96% BCI COTTON 4% ELASTANE SINGLE JERSEY GSM-160 CW-163 CM "/>
    <s v="Dark denim Flower AOP on Gardenia-11-0604TCX"/>
    <n v="0"/>
    <n v="593.84900000000005"/>
    <n v="593.84900000000005"/>
    <n v="0"/>
    <m/>
    <n v="0"/>
    <n v="457876"/>
    <s v="AOP"/>
    <x v="28"/>
    <d v="2026-10-18T00:00:00"/>
    <d v="2026-10-17T00:00:00"/>
    <s v="Revised Plan given as per revised date"/>
    <s v="PFP Fabric Delay"/>
    <s v="Oct"/>
    <d v="2026-10-01T00:00:00"/>
    <m/>
    <m/>
    <m/>
    <m/>
    <m/>
    <m/>
    <m/>
    <m/>
    <m/>
    <m/>
    <s v="457876"/>
    <s v="AOP"/>
    <n v="160"/>
    <s v="457876160AOP"/>
    <n v="0"/>
    <s v="#NA"/>
    <s v=""/>
    <s v=""/>
    <s v=""/>
    <s v=""/>
    <n v="0"/>
    <s v=""/>
    <e v="#N/A"/>
    <e v="#N/A"/>
    <s v=""/>
  </r>
  <r>
    <s v="Hema"/>
    <s v="SQBIR.HEMA.260.FY26-27.2"/>
    <m/>
    <m/>
    <m/>
    <m/>
    <s v=""/>
    <n v="2174"/>
    <s v=" 96% BCI COTTON 4% ELASTANE SINGLE JERSEY GSM-160 CW-163 CM "/>
    <s v="Dark denim Flower AOP on Gardenia-11-0604TCX"/>
    <s v=""/>
    <n v="2.1480000000000001"/>
    <n v="2.1480000000000001"/>
    <n v="0"/>
    <m/>
    <n v="0"/>
    <n v="457876"/>
    <s v="AOP"/>
    <x v="28"/>
    <d v="2026-10-18T00:00:00"/>
    <d v="2026-10-17T00:00:00"/>
    <s v="Revised Plan given as per revised date"/>
    <s v="PFP Fabric Delay"/>
    <s v="Oct"/>
    <d v="2026-10-01T00:00:00"/>
    <m/>
    <m/>
    <m/>
    <m/>
    <m/>
    <m/>
    <m/>
    <m/>
    <m/>
    <m/>
    <s v="457876"/>
    <s v="AOP"/>
    <n v="160"/>
    <s v="457876160AOP"/>
    <n v="0"/>
    <s v="#NA"/>
    <n v="3591.5250000000005"/>
    <n v="5247.13"/>
    <s v=""/>
    <s v=""/>
    <n v="0"/>
    <s v=""/>
    <e v="#N/A"/>
    <e v="#N/A"/>
    <n v="-3591.5250000000005"/>
  </r>
  <r>
    <s v="Hema"/>
    <s v="SQBIR.HEMA.178.FY26-27.1"/>
    <m/>
    <m/>
    <m/>
    <m/>
    <s v=""/>
    <n v="2195"/>
    <s v=" 96% BCI COTTON 4% ELASTANE SINGLE JERSEY GSM-160 CW-163 CM "/>
    <s v="Gardenia Flower AOP on Black Onyx-19-4003 TCX"/>
    <s v=""/>
    <n v="875.78599999999994"/>
    <n v="875.78599999999994"/>
    <n v="0"/>
    <m/>
    <n v="0"/>
    <n v="454434"/>
    <s v="AOP"/>
    <x v="28"/>
    <d v="2026-10-18T00:00:00"/>
    <d v="2026-10-17T00:00:00"/>
    <s v="Revised Plan given as per revised date"/>
    <s v="PFP Fabric Delay"/>
    <s v="Oct"/>
    <d v="2026-10-07T00:00:00"/>
    <m/>
    <m/>
    <m/>
    <m/>
    <m/>
    <m/>
    <m/>
    <m/>
    <m/>
    <m/>
    <s v="454434"/>
    <s v="AOP"/>
    <n v="160"/>
    <s v="454434160AOP"/>
    <n v="0"/>
    <s v="#NA"/>
    <n v="5734.2910000000002"/>
    <n v="7364.6959999999999"/>
    <s v=""/>
    <s v=""/>
    <s v=""/>
    <s v=""/>
    <e v="#N/A"/>
    <e v="#N/A"/>
    <n v="-5734.2910000000002"/>
  </r>
  <r>
    <s v="Hema"/>
    <s v="SQBIR.HEMA.179.FY26-27.1"/>
    <m/>
    <m/>
    <m/>
    <m/>
    <s v=""/>
    <n v="2196"/>
    <s v=" 96% BCI COTTON 4% ELASTANE SINGLE JERSEY GSM-160 CW-163 CM "/>
    <s v="Gardenia Flower AOP on Black Onyx-19-4003 TCX"/>
    <n v="0"/>
    <n v="1367.2280000000001"/>
    <n v="1367.2280000000001"/>
    <n v="0"/>
    <m/>
    <n v="0"/>
    <n v="454434"/>
    <s v="AOP"/>
    <x v="28"/>
    <d v="2026-10-18T00:00:00"/>
    <d v="2026-10-17T00:00:00"/>
    <s v="Revised Plan given as per revised date"/>
    <s v="PFP Fabric Delay"/>
    <s v="Oct"/>
    <d v="2026-10-10T00:00:00"/>
    <m/>
    <m/>
    <m/>
    <m/>
    <m/>
    <m/>
    <m/>
    <m/>
    <m/>
    <m/>
    <s v="454434"/>
    <s v="AOP"/>
    <n v="160"/>
    <s v="454434160AOP"/>
    <n v="0"/>
    <s v="#NA"/>
    <s v=""/>
    <s v=""/>
    <s v=""/>
    <s v=""/>
    <n v="0"/>
    <s v=""/>
    <e v="#N/A"/>
    <e v="#N/A"/>
    <s v=""/>
  </r>
  <r>
    <s v="Hema"/>
    <s v="SQBIR.HEMA.209.FY26-27.1"/>
    <m/>
    <m/>
    <m/>
    <m/>
    <s v=""/>
    <n v="2197"/>
    <s v=" 96% BCI COTTON 4% ELASTANE SINGLE JERSEY GSM-160 CW-163 CM "/>
    <s v="Gardenia Flower AOP on Black Onyx-19-4003 TCX"/>
    <n v="-303.39833333333337"/>
    <n v="910.19500000000005"/>
    <m/>
    <n v="-910.19500000000005"/>
    <m/>
    <n v="-910.19500000000005"/>
    <n v="454434"/>
    <s v="AOP"/>
    <x v="8"/>
    <d v="2026-10-31T00:00:00"/>
    <d v="2026-10-30T00:00:00"/>
    <s v="Revised Plan given as per revised date"/>
    <s v="PFP Fabric Delay"/>
    <s v="Oct"/>
    <d v="2026-10-15T00:00:00"/>
    <m/>
    <m/>
    <m/>
    <m/>
    <m/>
    <m/>
    <m/>
    <m/>
    <m/>
    <m/>
    <s v="454434"/>
    <s v="AOP"/>
    <n v="160"/>
    <s v="454434160AOP"/>
    <n v="0"/>
    <s v="#NA"/>
    <s v=""/>
    <s v=""/>
    <s v=""/>
    <s v=""/>
    <n v="910.19500000000005"/>
    <s v=""/>
    <e v="#N/A"/>
    <e v="#N/A"/>
    <s v=""/>
  </r>
  <r>
    <s v="Hema"/>
    <s v="SQBIR.HEMA.203.FY26-27.1"/>
    <m/>
    <m/>
    <m/>
    <m/>
    <s v=""/>
    <n v="2198"/>
    <s v=" 96% BCI COTTON 4% ELASTANE SINGLE JERSEY GSM-160 CW-163 CM "/>
    <s v="Dark denim Flower AOP on Gardenia-11-0604TCX"/>
    <s v=""/>
    <n v="909.34400000000005"/>
    <n v="909.34400000000005"/>
    <n v="0"/>
    <m/>
    <n v="0"/>
    <n v="457876"/>
    <s v="AOP"/>
    <x v="28"/>
    <d v="2026-10-18T00:00:00"/>
    <d v="2026-10-17T00:00:00"/>
    <s v="Revised Plan given as per revised date"/>
    <s v="PFP Fabric Delay"/>
    <s v="Oct"/>
    <d v="2026-10-08T00:00:00"/>
    <m/>
    <m/>
    <m/>
    <m/>
    <m/>
    <m/>
    <m/>
    <m/>
    <m/>
    <m/>
    <s v="457876"/>
    <s v="AOP"/>
    <n v="160"/>
    <s v="457876160AOP"/>
    <n v="0"/>
    <s v="#NA"/>
    <s v=""/>
    <s v=""/>
    <s v=""/>
    <s v=""/>
    <s v=""/>
    <s v=""/>
    <e v="#N/A"/>
    <e v="#N/A"/>
    <s v=""/>
  </r>
  <r>
    <s v="Hema"/>
    <s v="SQBIR.HEMA.203.FY26-27.2"/>
    <m/>
    <m/>
    <m/>
    <m/>
    <s v=""/>
    <n v="2199"/>
    <s v=" 96% BCI COTTON 4% ELASTANE SINGLE JERSEY GSM-160 CW-163 CM "/>
    <s v="Dark denim Flower AOP on Gardenia-11-0604TCX"/>
    <n v="0"/>
    <n v="3.2890000000000001"/>
    <n v="3.2890000000000001"/>
    <n v="0"/>
    <m/>
    <n v="0"/>
    <n v="457876"/>
    <s v="AOP"/>
    <x v="28"/>
    <d v="2026-10-18T00:00:00"/>
    <d v="2026-10-17T00:00:00"/>
    <s v="Revised Plan given as per revised date"/>
    <s v="PFP Fabric Delay"/>
    <s v="Oct"/>
    <d v="2026-10-11T00:00:00"/>
    <m/>
    <m/>
    <m/>
    <m/>
    <m/>
    <m/>
    <m/>
    <m/>
    <m/>
    <m/>
    <s v="457876"/>
    <s v="AOP"/>
    <n v="160"/>
    <s v="457876160AOP"/>
    <n v="0"/>
    <s v="#NA"/>
    <n v="3591.5250000000005"/>
    <n v="5247.13"/>
    <s v=""/>
    <s v=""/>
    <n v="0"/>
    <s v=""/>
    <e v="#N/A"/>
    <e v="#N/A"/>
    <n v="-3591.5250000000005"/>
  </r>
  <r>
    <s v="Hema"/>
    <s v="SQBIR.HEMA.275.FY26-27.1"/>
    <m/>
    <m/>
    <m/>
    <m/>
    <s v=""/>
    <n v="2200"/>
    <s v=" 96% BCI COTTON 4% ELASTANE SINGLE JERSEY GSM-160 CW-163 CM "/>
    <s v="Gardenia Flower AOP on Black Onyx-19-4003 TCX"/>
    <s v=""/>
    <n v="496.34"/>
    <n v="496.34"/>
    <n v="0"/>
    <m/>
    <n v="0"/>
    <n v="454434"/>
    <s v="AOP"/>
    <x v="25"/>
    <d v="2026-10-15T00:00:00"/>
    <d v="2026-10-14T00:00:00"/>
    <s v="Revised Plan given as per revised date"/>
    <s v="PFP Fabric Delay"/>
    <s v="Oct"/>
    <d v="2026-10-01T00:00:00"/>
    <m/>
    <m/>
    <m/>
    <m/>
    <m/>
    <m/>
    <m/>
    <m/>
    <m/>
    <m/>
    <s v="454434"/>
    <s v="AOP"/>
    <n v="160"/>
    <s v="454434160AOP"/>
    <n v="0"/>
    <s v="#NA"/>
    <n v="5734.2910000000002"/>
    <n v="7364.6959999999999"/>
    <s v=""/>
    <s v=""/>
    <s v=""/>
    <s v=""/>
    <e v="#N/A"/>
    <e v="#N/A"/>
    <n v="-5734.2910000000002"/>
  </r>
  <r>
    <s v="LIDL"/>
    <s v="QLK.LIDLASIAPTELIMIT.002.FY26-27.4"/>
    <m/>
    <m/>
    <m/>
    <m/>
    <s v=""/>
    <n v="2265"/>
    <s v=" 95% CMIA COTTON 5% ELASTANE SINGLE JERSEY GSM-160 CW-162 CM "/>
    <s v="Geometric AOP (Real Black)"/>
    <s v=""/>
    <n v="5000"/>
    <n v="5000"/>
    <n v="0"/>
    <m/>
    <n v="0"/>
    <n v="459160"/>
    <s v="AOP"/>
    <x v="0"/>
    <d v="2026-10-05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n v="20000"/>
    <s v=""/>
    <s v=""/>
    <s v=""/>
    <s v=""/>
    <s v=""/>
    <e v="#N/A"/>
    <e v="#N/A"/>
    <n v="-20000"/>
  </r>
  <r>
    <s v="LIDL"/>
    <s v="QLK.LIDLASIAPTELIMIT.002.FY26-27.4"/>
    <m/>
    <m/>
    <m/>
    <m/>
    <s v=""/>
    <n v="2266"/>
    <s v=" 95% CMIA COTTON 5% ELASTANE SINGLE JERSEY GSM-160 CW-162 CM "/>
    <s v="TROPICAL AOP (Chambray Blue)"/>
    <s v=""/>
    <n v="5000"/>
    <n v="5000"/>
    <n v="0"/>
    <m/>
    <n v="0"/>
    <n v="459160"/>
    <s v="AOP"/>
    <x v="2"/>
    <d v="2026-10-11T00:00:00"/>
    <d v="2026-10-10T00:00:00"/>
    <s v="Hues Agreed qty as per SQBL required date"/>
    <s v="2nd Slot order plan shared by Mr. Ferdous"/>
    <s v="Oct"/>
    <d v="2026-10-10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s v=""/>
    <n v="20000"/>
    <s v=""/>
    <s v=""/>
    <s v=""/>
    <s v=""/>
    <e v="#N/A"/>
    <e v="#N/A"/>
    <s v=""/>
  </r>
  <r>
    <s v="LIDL"/>
    <s v="QLK.LIDLASIAPTELIMIT.002.FY26-27.4"/>
    <m/>
    <m/>
    <m/>
    <m/>
    <s v=""/>
    <n v="2267"/>
    <s v=" 95% CMIA COTTON 5% ELASTANE SINGLE JERSEY GSM-160 CW-162 CM "/>
    <s v="Geometric AOP (Real Black)"/>
    <n v="0"/>
    <n v="5000"/>
    <n v="5000"/>
    <n v="0"/>
    <m/>
    <n v="0"/>
    <n v="459160"/>
    <s v="AOP"/>
    <x v="0"/>
    <d v="2026-10-05T00:00:00"/>
    <d v="2026-10-04T00:00:00"/>
    <s v="Hues Agreed qty as per SQBL required date"/>
    <s v="2nd Slot order plan shared by Mr. Ferdous"/>
    <s v="Oct"/>
    <d v="2026-10-04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s v=""/>
    <s v=""/>
    <s v=""/>
    <s v=""/>
    <n v="0"/>
    <s v=""/>
    <e v="#N/A"/>
    <e v="#N/A"/>
    <s v=""/>
  </r>
  <r>
    <s v="LIDL"/>
    <s v="QLK.LIDLASIAPTELIMIT.002.FY26-27.4"/>
    <m/>
    <m/>
    <m/>
    <m/>
    <s v=""/>
    <n v="2268"/>
    <s v=" 95% CMIA COTTON 5% ELASTANE SINGLE JERSEY GSM-160 CW-162 CM "/>
    <s v="TROPICAL AOP (Chambray Blue)"/>
    <n v="0"/>
    <n v="5000"/>
    <n v="5000"/>
    <n v="0"/>
    <m/>
    <n v="0"/>
    <n v="459160"/>
    <s v="AOP"/>
    <x v="2"/>
    <d v="2026-10-11T00:00:00"/>
    <d v="2026-10-10T00:00:00"/>
    <s v="Hues Agreed qty as per SQBL required date"/>
    <s v="2nd Slot order plan shared by Mr. Ferdous"/>
    <s v="Oct"/>
    <d v="2026-10-10T00:00:00"/>
    <m/>
    <m/>
    <m/>
    <m/>
    <m/>
    <m/>
    <m/>
    <m/>
    <m/>
    <m/>
    <s v="459160#Style-2607 (MENS)-Creora-Srilanka order"/>
    <s v="AOP"/>
    <n v="160"/>
    <s v="459160#Style-2607 (MENS)-Creora-Srilanka order160AOP"/>
    <n v="0"/>
    <s v="#NA"/>
    <s v=""/>
    <n v="20000"/>
    <s v=""/>
    <s v=""/>
    <n v="0"/>
    <s v=""/>
    <e v="#N/A"/>
    <e v="#N/A"/>
    <s v=""/>
  </r>
  <r>
    <s v="LIDL"/>
    <m/>
    <m/>
    <m/>
    <m/>
    <m/>
    <s v=""/>
    <m/>
    <s v="95% CMIA COTTON 5% ELASTANE CRERORA SINGLE JERSEY GSM-160 CW-167 cm"/>
    <s v="Green FeederStripe"/>
    <s v=""/>
    <n v="1500"/>
    <m/>
    <n v="-1500"/>
    <m/>
    <n v="-1500"/>
    <n v="461780"/>
    <s v="Solid"/>
    <x v="18"/>
    <d v="2026-10-30T00:00:00"/>
    <s v="30th Oct-6th Nov in every alter day 15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Green FeederStripe"/>
    <s v=""/>
    <n v="1500"/>
    <m/>
    <n v="-1500"/>
    <m/>
    <n v="-1500"/>
    <n v="461780"/>
    <s v="Solid"/>
    <x v="9"/>
    <d v="2026-11-01T00:00:00"/>
    <s v="30th Oct-6th Nov in every alter day 15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Green FeederStripe"/>
    <s v=""/>
    <n v="1500"/>
    <m/>
    <n v="-1500"/>
    <m/>
    <n v="-1500"/>
    <n v="461780"/>
    <s v="Solid"/>
    <x v="11"/>
    <d v="2026-11-03T00:00:00"/>
    <s v="30th Oct-6th Nov in every alter day 15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s v=""/>
    <s v=""/>
    <n v="1500"/>
    <s v=""/>
    <n v="0"/>
    <n v="0"/>
    <n v="0"/>
  </r>
  <r>
    <s v="LIDL"/>
    <m/>
    <m/>
    <m/>
    <m/>
    <m/>
    <s v=""/>
    <m/>
    <s v="95% CMIA COTTON 5% ELASTANE CRERORA SINGLE JERSEY GSM-160 CW-167 cm"/>
    <s v="Green FeederStripe"/>
    <s v=""/>
    <n v="500"/>
    <m/>
    <n v="-500"/>
    <m/>
    <n v="-500"/>
    <n v="461780"/>
    <s v="Solid"/>
    <x v="20"/>
    <d v="2026-11-05T00:00:00"/>
    <s v="30th Oct-6th Nov in every alter day 15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Green FeederStripe"/>
    <n v="-1333.3333333333333"/>
    <n v="4000"/>
    <m/>
    <n v="-4000"/>
    <m/>
    <n v="-4000"/>
    <n v="461780"/>
    <s v="Solid"/>
    <x v="20"/>
    <d v="2026-11-05T00:00:00"/>
    <s v="30th Oct-6th Nov in every alter day 1500 mtr"/>
    <s v="Revised Plan given as per revised date"/>
    <s v="Revised"/>
    <s v="Oct"/>
    <d v="2026-10-22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s v=""/>
    <s v=""/>
    <s v=""/>
    <s v=""/>
    <n v="4000"/>
    <s v=""/>
    <n v="0"/>
    <n v="0"/>
    <s v=""/>
  </r>
  <r>
    <s v="LIDL"/>
    <m/>
    <m/>
    <m/>
    <m/>
    <m/>
    <s v=""/>
    <m/>
    <s v="95% CMIA COTTON 5% ELASTANE CRERORA SINGLE JERSEY GSM-160 CW-167 cm"/>
    <s v="Green FeederStripe"/>
    <s v=""/>
    <n v="3849"/>
    <m/>
    <n v="-3849"/>
    <m/>
    <n v="-3849"/>
    <n v="461780"/>
    <s v="Solid"/>
    <x v="20"/>
    <d v="2026-11-05T00:00:00"/>
    <s v="30th Oct-6th Nov in every alter day 1500 mtr"/>
    <s v="Revised Plan given as per revised date"/>
    <s v="Revised"/>
    <s v="Oct"/>
    <d v="2026-10-28T00:00:00"/>
    <m/>
    <m/>
    <m/>
    <m/>
    <m/>
    <m/>
    <m/>
    <m/>
    <m/>
    <m/>
    <s v="461780#Style-2607 (MENS)-Creora-Srilanka order"/>
    <s v="Green Feeder Stripe"/>
    <n v="160"/>
    <s v="461780#Style-2607 (MENS)-Creora-Srilanka order160Green Feeder Stripe"/>
    <n v="0"/>
    <s v="#NA"/>
    <n v="0"/>
    <n v="12849"/>
    <s v=""/>
    <s v=""/>
    <n v="3849"/>
    <s v=""/>
    <n v="0"/>
    <n v="0"/>
    <n v="0"/>
  </r>
  <r>
    <s v="LIDL"/>
    <m/>
    <m/>
    <m/>
    <m/>
    <m/>
    <s v=""/>
    <m/>
    <s v="95% CMIA COTTON 5% ELASTANE CRERORA SINGLE JERSEY GSM-160 CW-167 cm"/>
    <s v="Black"/>
    <s v=""/>
    <n v="2000"/>
    <m/>
    <n v="-2000"/>
    <m/>
    <n v="-2000"/>
    <n v="461780"/>
    <s v="Solid"/>
    <x v="18"/>
    <d v="2026-10-30T00:00:00"/>
    <s v="30 Oct-10th Nov /Day 2000 mtr"/>
    <s v="Revised Plan given as per revised date"/>
    <s v="Revised"/>
    <s v="Oct"/>
    <d v="2026-10-15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Black"/>
    <n v="-666.66666666666663"/>
    <n v="2000"/>
    <m/>
    <n v="-2000"/>
    <m/>
    <n v="-2000"/>
    <n v="461780"/>
    <s v="Solid"/>
    <x v="8"/>
    <d v="2026-10-31T00:00:00"/>
    <s v="30 Oct-10th Nov /Day 2000 mtr"/>
    <s v="Revised Plan given as per revised date"/>
    <s v="Revised"/>
    <s v="Oct"/>
    <d v="2026-10-15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s v=""/>
    <n v="19797"/>
    <s v=""/>
    <s v=""/>
    <n v="2000"/>
    <s v=""/>
    <n v="0"/>
    <n v="0"/>
    <s v=""/>
  </r>
  <r>
    <s v="LIDL"/>
    <m/>
    <m/>
    <m/>
    <m/>
    <m/>
    <s v=""/>
    <m/>
    <s v="95% CMIA COTTON 5% ELASTANE CRERORA SINGLE JERSEY GSM-160 CW-167 cm"/>
    <s v="Black"/>
    <n v="-666.66666666666663"/>
    <n v="2000"/>
    <m/>
    <n v="-2000"/>
    <m/>
    <n v="-2000"/>
    <n v="461780"/>
    <s v="Solid"/>
    <x v="9"/>
    <d v="2026-11-01T00:00:00"/>
    <s v="30 Oct-10th Nov /Day 2000 mtr"/>
    <s v="Revised Plan given as per revised date"/>
    <s v="Revised"/>
    <s v="Oct"/>
    <d v="2026-10-15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s v=""/>
    <s v=""/>
    <s v=""/>
    <s v=""/>
    <n v="2000"/>
    <s v=""/>
    <n v="0"/>
    <n v="0"/>
    <s v=""/>
  </r>
  <r>
    <s v="LIDL"/>
    <m/>
    <m/>
    <m/>
    <m/>
    <m/>
    <s v=""/>
    <m/>
    <s v="95% CMIA COTTON 5% ELASTANE CRERORA SINGLE JERSEY GSM-160 CW-167 cm"/>
    <s v="Black"/>
    <n v="-666.66666666666663"/>
    <n v="2000"/>
    <m/>
    <n v="-2000"/>
    <m/>
    <n v="-2000"/>
    <n v="461780"/>
    <s v="Solid"/>
    <x v="10"/>
    <d v="2026-11-02T00:00:00"/>
    <s v="30 Oct-10th Nov /Day 2000 mtr"/>
    <s v="Revised Plan given as per revised date"/>
    <s v="Revised"/>
    <s v="Oct"/>
    <d v="2026-10-22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s v=""/>
    <n v="19797"/>
    <s v=""/>
    <s v=""/>
    <n v="2000"/>
    <s v=""/>
    <n v="0"/>
    <n v="0"/>
    <s v=""/>
  </r>
  <r>
    <s v="LIDL"/>
    <m/>
    <m/>
    <m/>
    <m/>
    <m/>
    <s v=""/>
    <m/>
    <s v="95% CMIA COTTON 5% ELASTANE CRERORA SINGLE JERSEY GSM-160 CW-167 cm"/>
    <s v="Black"/>
    <n v="-666.66666666666663"/>
    <n v="2000"/>
    <m/>
    <n v="-2000"/>
    <m/>
    <n v="-2000"/>
    <n v="461780"/>
    <s v="Solid"/>
    <x v="11"/>
    <d v="2026-11-03T00:00:00"/>
    <s v="30 Oct-10th Nov /Day 2000 mtr"/>
    <s v="Revised Plan given as per revised date"/>
    <s v="Revised"/>
    <s v="Oct"/>
    <d v="2026-10-22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s v=""/>
    <s v=""/>
    <n v="2000"/>
    <s v=""/>
    <n v="0"/>
    <n v="0"/>
    <n v="0"/>
  </r>
  <r>
    <s v="LIDL"/>
    <m/>
    <m/>
    <m/>
    <m/>
    <m/>
    <s v=""/>
    <m/>
    <s v="95% CMIA COTTON 5% ELASTANE CRERORA SINGLE JERSEY GSM-160 CW-167 cm"/>
    <s v="Black"/>
    <s v=""/>
    <n v="2000"/>
    <m/>
    <n v="-2000"/>
    <m/>
    <n v="-2000"/>
    <n v="461780"/>
    <s v="Solid"/>
    <x v="19"/>
    <d v="2026-11-04T00:00:00"/>
    <s v="30 Oct-10th Nov /Day 2000 mtr"/>
    <s v="Revised Plan given as per revised date"/>
    <s v="Revised"/>
    <s v="Oct"/>
    <d v="2026-10-22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Black"/>
    <n v="-333.33333333333331"/>
    <n v="1000"/>
    <m/>
    <n v="-1000"/>
    <m/>
    <n v="-1000"/>
    <n v="461780"/>
    <s v="Solid"/>
    <x v="20"/>
    <d v="2026-11-05T00:00:00"/>
    <s v="30 Oct-10th Nov /Day 2000 mtr"/>
    <s v="Revised Plan given as per revised date"/>
    <s v="Revised"/>
    <s v="Oct"/>
    <d v="2026-10-22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s v=""/>
    <s v=""/>
    <s v=""/>
    <n v="1000"/>
    <s v=""/>
    <n v="0"/>
    <n v="0"/>
    <n v="0"/>
  </r>
  <r>
    <s v="LIDL"/>
    <m/>
    <m/>
    <m/>
    <m/>
    <m/>
    <s v=""/>
    <m/>
    <s v="95% CMIA COTTON 5% ELASTANE CRERORA SINGLE JERSEY GSM-160 CW-167 cm"/>
    <s v="Black"/>
    <n v="-333.33333333333331"/>
    <n v="1000"/>
    <m/>
    <n v="-1000"/>
    <m/>
    <n v="-1000"/>
    <n v="461780"/>
    <s v="Solid"/>
    <x v="20"/>
    <d v="2026-11-05T00:00:00"/>
    <s v="30 Oct-10th Nov /Day 2000 mtr"/>
    <s v="Revised Plan given as per revised date"/>
    <s v="Revised"/>
    <s v="Oct"/>
    <d v="2026-10-28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s v=""/>
    <s v=""/>
    <s v=""/>
    <s v=""/>
    <n v="1000"/>
    <s v=""/>
    <n v="0"/>
    <n v="0"/>
    <s v=""/>
  </r>
  <r>
    <s v="LIDL"/>
    <m/>
    <m/>
    <m/>
    <m/>
    <m/>
    <s v=""/>
    <m/>
    <s v="95% CMIA COTTON 5% ELASTANE CRERORA SINGLE JERSEY GSM-160 CW-167 cm"/>
    <s v="Black"/>
    <n v="-666.66666666666663"/>
    <n v="2000"/>
    <m/>
    <n v="-2000"/>
    <m/>
    <n v="-2000"/>
    <n v="461780"/>
    <s v="Solid"/>
    <x v="21"/>
    <d v="2026-11-06T00:00:00"/>
    <s v="30 Oct-10th Nov /Day 2000 mtr"/>
    <s v="Revised Plan given as per revised date"/>
    <s v="Revised"/>
    <s v="Oct"/>
    <d v="2026-10-28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s v=""/>
    <s v=""/>
    <s v=""/>
    <n v="2000"/>
    <s v=""/>
    <n v="0"/>
    <n v="0"/>
    <n v="0"/>
  </r>
  <r>
    <s v="LIDL"/>
    <m/>
    <m/>
    <m/>
    <m/>
    <m/>
    <s v=""/>
    <m/>
    <s v="95% CMIA COTTON 5% ELASTANE CRERORA SINGLE JERSEY GSM-160 CW-167 cm"/>
    <s v="Black"/>
    <n v="-666.66666666666663"/>
    <n v="2000"/>
    <m/>
    <n v="-2000"/>
    <m/>
    <n v="-2000"/>
    <n v="461780"/>
    <s v="Solid"/>
    <x v="32"/>
    <d v="2026-11-07T00:00:00"/>
    <s v="30 Oct-10th Nov /Day 2000 mtr"/>
    <s v="Revised Plan given as per revised date"/>
    <s v="Revised"/>
    <s v="Oct"/>
    <d v="2026-10-28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s v=""/>
    <s v=""/>
    <s v=""/>
    <s v=""/>
    <n v="2000"/>
    <s v=""/>
    <n v="0"/>
    <n v="0"/>
    <s v=""/>
  </r>
  <r>
    <s v="LIDL"/>
    <m/>
    <m/>
    <m/>
    <m/>
    <m/>
    <s v=""/>
    <m/>
    <s v="95% CMIA COTTON 5% ELASTANE CRERORA SINGLE JERSEY GSM-160 CW-167 cm"/>
    <s v="Black"/>
    <n v="-599"/>
    <n v="1797"/>
    <m/>
    <n v="-1797"/>
    <m/>
    <n v="-1797"/>
    <n v="461780"/>
    <s v="Solid"/>
    <x v="33"/>
    <d v="2026-11-08T00:00:00"/>
    <s v="30 Oct-10th Nov /Day 2000 mtr"/>
    <s v="Revised Plan given as per revised date"/>
    <s v="Revised"/>
    <s v="Oct"/>
    <d v="2026-10-28T00:00:00"/>
    <m/>
    <m/>
    <m/>
    <m/>
    <m/>
    <m/>
    <m/>
    <m/>
    <m/>
    <m/>
    <s v="461780#Style-2607 (MENS)-36 Dia-Creora-Srilanka order"/>
    <s v="Black"/>
    <n v="160"/>
    <s v="461780#Style-2607 (MENS)-36 Dia-Creora-Srilanka order160Black"/>
    <n v="0"/>
    <s v="#NA"/>
    <n v="0"/>
    <n v="19797"/>
    <s v=""/>
    <s v=""/>
    <n v="1797"/>
    <s v=""/>
    <n v="0"/>
    <n v="0"/>
    <n v="0"/>
  </r>
  <r>
    <s v="LIDL"/>
    <m/>
    <m/>
    <m/>
    <m/>
    <m/>
    <s v=""/>
    <m/>
    <s v="95% CMIA COTTON 5% ELASTANE CRERORA SINGLE JERSEY GSM-160 CW-167 cm"/>
    <s v="Green"/>
    <s v=""/>
    <n v="3000"/>
    <m/>
    <n v="-3000"/>
    <m/>
    <n v="-3000"/>
    <n v="461780"/>
    <s v="Solid"/>
    <x v="4"/>
    <d v="2026-10-26T00:00:00"/>
    <s v="26th-4th Nov/Day-30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Green"/>
    <s v=""/>
    <n v="3000"/>
    <m/>
    <n v="-3000"/>
    <m/>
    <n v="-3000"/>
    <n v="461780"/>
    <s v="Solid"/>
    <x v="14"/>
    <d v="2026-10-27T00:00:00"/>
    <s v="26th-4th Nov/Day-30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Green"/>
    <s v=""/>
    <n v="3000"/>
    <m/>
    <n v="-3000"/>
    <m/>
    <n v="-3000"/>
    <n v="461780"/>
    <s v="Solid"/>
    <x v="15"/>
    <d v="2026-10-28T00:00:00"/>
    <s v="26th-4th Nov/Day-3000 mtr"/>
    <s v="Revised Plan given as per revised date"/>
    <s v="Revised"/>
    <s v="Oct"/>
    <d v="2026-10-22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Green"/>
    <n v="-1000"/>
    <n v="3000"/>
    <m/>
    <n v="-3000"/>
    <m/>
    <n v="-3000"/>
    <n v="461780"/>
    <s v="Solid"/>
    <x v="16"/>
    <d v="2026-10-29T00:00:00"/>
    <s v="26th-4th Nov/Day-3000 mtr"/>
    <s v="Revised Plan given as per revised date"/>
    <s v="Revised"/>
    <s v="Oct"/>
    <d v="2026-10-22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s v=""/>
    <s v=""/>
    <s v=""/>
    <s v=""/>
    <n v="3000"/>
    <s v=""/>
    <n v="0"/>
    <n v="0"/>
    <s v=""/>
  </r>
  <r>
    <s v="LIDL"/>
    <m/>
    <m/>
    <m/>
    <m/>
    <m/>
    <s v=""/>
    <m/>
    <s v="95% CMIA COTTON 5% ELASTANE CRERORA SINGLE JERSEY GSM-160 CW-167 cm"/>
    <s v="Green"/>
    <s v=""/>
    <n v="1000"/>
    <m/>
    <n v="-1000"/>
    <m/>
    <n v="-1000"/>
    <n v="461780"/>
    <s v="Solid"/>
    <x v="18"/>
    <d v="2026-10-30T00:00:00"/>
    <s v="26th-4th Nov/Day-3000 mtr"/>
    <s v="Revised Plan given as per revised date"/>
    <s v="Revised"/>
    <s v="Oct"/>
    <d v="2026-10-22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Green"/>
    <n v="-666.66666666666663"/>
    <n v="2000"/>
    <m/>
    <n v="-2000"/>
    <m/>
    <n v="-2000"/>
    <n v="461780"/>
    <s v="Solid"/>
    <x v="18"/>
    <d v="2026-10-30T00:00:00"/>
    <s v="26th-4th Nov/Day-3000 mtr"/>
    <s v="Revised Plan given as per revised date"/>
    <s v="Revised"/>
    <s v="Oct"/>
    <d v="2026-10-28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s v=""/>
    <s v=""/>
    <s v=""/>
    <s v=""/>
    <n v="2000"/>
    <s v=""/>
    <n v="0"/>
    <n v="0"/>
    <s v=""/>
  </r>
  <r>
    <s v="LIDL"/>
    <m/>
    <m/>
    <m/>
    <m/>
    <m/>
    <s v=""/>
    <m/>
    <s v="95% CMIA COTTON 5% ELASTANE CRERORA SINGLE JERSEY GSM-160 CW-167 cm"/>
    <s v="Green"/>
    <n v="-1000"/>
    <n v="3000"/>
    <m/>
    <n v="-3000"/>
    <m/>
    <n v="-3000"/>
    <n v="461780"/>
    <s v="Solid"/>
    <x v="8"/>
    <d v="2026-10-31T00:00:00"/>
    <s v="26th-4th Nov/Day-3000 mtr"/>
    <s v="Revised Plan given as per revised date"/>
    <s v="Revised"/>
    <s v="Oct"/>
    <d v="2026-10-28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n v="0"/>
    <n v="19797"/>
    <s v=""/>
    <s v=""/>
    <n v="3000"/>
    <s v=""/>
    <n v="0"/>
    <n v="0"/>
    <n v="0"/>
  </r>
  <r>
    <s v="LIDL"/>
    <m/>
    <m/>
    <m/>
    <m/>
    <m/>
    <s v=""/>
    <m/>
    <s v="95% CMIA COTTON 5% ELASTANE CRERORA SINGLE JERSEY GSM-160 CW-167 cm"/>
    <s v="Green"/>
    <n v="-599"/>
    <n v="1797"/>
    <m/>
    <n v="-1797"/>
    <m/>
    <n v="-1797"/>
    <n v="461780"/>
    <s v="Solid"/>
    <x v="9"/>
    <d v="2026-11-01T00:00:00"/>
    <s v="26th-4th Nov/Day-3000 mtr"/>
    <s v="Revised Plan given as per revised date"/>
    <s v="Revised"/>
    <s v="Oct"/>
    <d v="2026-10-28T00:00:00"/>
    <m/>
    <m/>
    <m/>
    <m/>
    <m/>
    <m/>
    <m/>
    <m/>
    <m/>
    <m/>
    <s v="461780#Style-2607 (MENS)-Creora-Srilanka order"/>
    <s v="GREEN"/>
    <n v="160"/>
    <s v="461780#Style-2607 (MENS)-Creora-Srilanka order160GREEN"/>
    <n v="0"/>
    <s v="#NA"/>
    <s v=""/>
    <n v="19797"/>
    <s v=""/>
    <s v=""/>
    <n v="1797"/>
    <s v=""/>
    <n v="0"/>
    <n v="0"/>
    <s v=""/>
  </r>
  <r>
    <s v="LIDL"/>
    <m/>
    <m/>
    <m/>
    <m/>
    <m/>
    <s v=""/>
    <m/>
    <s v="95% CMIA COTTON 5% ELASTANE CRERORA SINGLE JERSEY GSM-160 CW-167 cm"/>
    <s v="Nine Iron"/>
    <n v="-666.66666666666663"/>
    <n v="2000"/>
    <m/>
    <n v="-2000"/>
    <m/>
    <n v="-2000"/>
    <n v="461780"/>
    <s v="Solid"/>
    <x v="12"/>
    <d v="2026-10-25T00:00:00"/>
    <s v="25th-2nd Nov in every alter day-20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s v=""/>
    <s v=""/>
    <s v=""/>
    <s v=""/>
    <n v="2000"/>
    <s v=""/>
    <n v="0"/>
    <n v="0"/>
    <s v=""/>
  </r>
  <r>
    <s v="LIDL"/>
    <m/>
    <m/>
    <m/>
    <m/>
    <m/>
    <s v=""/>
    <m/>
    <s v="95% CMIA COTTON 5% ELASTANE CRERORA SINGLE JERSEY GSM-160 CW-167 cm"/>
    <s v="Nine Iron"/>
    <n v="-500"/>
    <n v="1500"/>
    <m/>
    <n v="-1500"/>
    <m/>
    <n v="-1500"/>
    <n v="461780"/>
    <s v="Solid"/>
    <x v="14"/>
    <d v="2026-10-27T00:00:00"/>
    <s v="25th-2nd Nov in every alter day-2000 mtr"/>
    <s v="Revised Plan given as per revised date"/>
    <s v="Revised"/>
    <s v="Oct"/>
    <d v="2026-10-15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n v="0"/>
    <n v="9898"/>
    <s v=""/>
    <s v=""/>
    <n v="1500"/>
    <s v=""/>
    <n v="0"/>
    <n v="0"/>
    <n v="0"/>
  </r>
  <r>
    <s v="LIDL"/>
    <m/>
    <m/>
    <m/>
    <m/>
    <m/>
    <s v=""/>
    <m/>
    <s v="95% CMIA COTTON 5% ELASTANE CRERORA SINGLE JERSEY GSM-160 CW-167 cm"/>
    <s v="Nine Iron"/>
    <s v=""/>
    <n v="500"/>
    <m/>
    <n v="-500"/>
    <m/>
    <n v="-500"/>
    <n v="461780"/>
    <s v="Solid"/>
    <x v="14"/>
    <d v="2026-10-27T00:00:00"/>
    <s v="25th-2nd Nov in every alter day-2000 mtr"/>
    <s v="Revised Plan given as per revised date"/>
    <s v="Revised"/>
    <s v="Oct"/>
    <d v="2026-10-22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Nine Iron"/>
    <n v="-666.66666666666663"/>
    <n v="2000"/>
    <m/>
    <n v="-2000"/>
    <m/>
    <n v="-2000"/>
    <n v="461780"/>
    <s v="Solid"/>
    <x v="16"/>
    <d v="2026-10-29T00:00:00"/>
    <s v="25th-2nd Nov in every alter day-2000 mtr"/>
    <s v="Revised Plan given as per revised date"/>
    <s v="Revised"/>
    <s v="Oct"/>
    <d v="2026-10-22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s v=""/>
    <s v=""/>
    <s v=""/>
    <s v=""/>
    <n v="2000"/>
    <s v=""/>
    <n v="0"/>
    <n v="0"/>
    <s v=""/>
  </r>
  <r>
    <s v="LIDL"/>
    <m/>
    <m/>
    <m/>
    <m/>
    <m/>
    <s v=""/>
    <m/>
    <s v="95% CMIA COTTON 5% ELASTANE CRERORA SINGLE JERSEY GSM-160 CW-167 cm"/>
    <s v="Nine Iron"/>
    <s v=""/>
    <n v="500"/>
    <m/>
    <n v="-500"/>
    <m/>
    <n v="-500"/>
    <n v="461780"/>
    <s v="Solid"/>
    <x v="8"/>
    <d v="2026-10-31T00:00:00"/>
    <s v="25th-2nd Nov in every alter day-2000 mtr"/>
    <s v="Revised Plan given as per revised date"/>
    <s v="Revised"/>
    <s v="Oct"/>
    <d v="2026-10-22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Nine Iron"/>
    <s v=""/>
    <n v="1500"/>
    <m/>
    <n v="-1500"/>
    <m/>
    <n v="-1500"/>
    <n v="461780"/>
    <s v="Solid"/>
    <x v="8"/>
    <d v="2026-10-31T00:00:00"/>
    <s v="25th-2nd Nov in every alter day-2000 mtr"/>
    <s v="Revised Plan given as per revised date"/>
    <s v="Revised"/>
    <s v="Oct"/>
    <d v="2026-10-28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Nine Iron"/>
    <s v=""/>
    <n v="1898"/>
    <m/>
    <n v="-1898"/>
    <m/>
    <n v="-1898"/>
    <n v="461780"/>
    <s v="Solid"/>
    <x v="10"/>
    <d v="2026-11-02T00:00:00"/>
    <s v="25th-2nd Nov in every alter day-2000 mtr"/>
    <s v="Revised Plan given as per revised date"/>
    <s v="Revised"/>
    <s v="Oct"/>
    <d v="2026-10-28T00:00:00"/>
    <m/>
    <m/>
    <m/>
    <m/>
    <m/>
    <m/>
    <m/>
    <m/>
    <m/>
    <m/>
    <s v="461780#Style-2607 (MENS)-Creora-Srilanka order"/>
    <s v="Nine Iron 19-3908 TCX."/>
    <n v="160"/>
    <s v="461780#Style-2607 (MENS)-Creora-Srilanka order160Nine Iron 19-3908 TCX.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Laurel Oak"/>
    <n v="-266.66666666666669"/>
    <n v="800"/>
    <m/>
    <n v="-800"/>
    <m/>
    <n v="-800"/>
    <n v="461331"/>
    <s v="Solid"/>
    <x v="11"/>
    <d v="2026-11-03T00:00:00"/>
    <s v="3rd Nov-800 mtr, 5th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Laurel Oak 17-0610 TCX"/>
    <n v="160"/>
    <s v="461331#Style-2607 (MENS)-Creora-Srilanka order160Laurel Oak 17-0610 TCX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Laurel Oak"/>
    <s v=""/>
    <n v="1200"/>
    <m/>
    <n v="-1200"/>
    <m/>
    <n v="-1200"/>
    <n v="461331"/>
    <s v="Solid"/>
    <x v="20"/>
    <d v="2026-11-05T00:00:00"/>
    <s v="3rd Nov-800 mtr, 5th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Laurel Oak 17-0610 TCX"/>
    <n v="160"/>
    <s v="461331#Style-2607 (MENS)-Creora-Srilanka order160Laurel Oak 17-0610 TCX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ELASTANE CRERORA SINGLE JERSEY GSM-160 CW-167 cm"/>
    <s v="Laurel Oak"/>
    <n v="-560.66666666666663"/>
    <n v="1682"/>
    <m/>
    <n v="-1682"/>
    <m/>
    <n v="-1682"/>
    <n v="461331"/>
    <s v="Solid"/>
    <x v="20"/>
    <d v="2026-11-05T00:00:00"/>
    <s v="3rd Nov-800 mtr, 5th Balance Qty"/>
    <s v="Revised Plan given as per revised date"/>
    <s v="Revised"/>
    <s v="Oct"/>
    <d v="2026-10-12T00:00:00"/>
    <m/>
    <m/>
    <m/>
    <m/>
    <m/>
    <m/>
    <m/>
    <m/>
    <m/>
    <m/>
    <s v="461331#Style-2607 (MENS)-Creora-Srilanka order"/>
    <s v="Laurel Oak 17-0610 TCX"/>
    <n v="160"/>
    <s v="461331#Style-2607 (MENS)-Creora-Srilanka order160Laurel Oak 17-0610 TCX"/>
    <n v="0"/>
    <s v="#NA"/>
    <s v=""/>
    <s v=""/>
    <s v=""/>
    <s v=""/>
    <n v="1682"/>
    <s v=""/>
    <n v="0"/>
    <n v="0"/>
    <s v=""/>
  </r>
  <r>
    <s v="LIDL"/>
    <m/>
    <m/>
    <m/>
    <m/>
    <m/>
    <s v=""/>
    <m/>
    <s v="95% CMIA COTTON 5% ELASTANE CRERORA SINGLE JERSEY GSM-160 CW-167 cm"/>
    <s v="Andorra"/>
    <s v=""/>
    <n v="800"/>
    <m/>
    <n v="-800"/>
    <m/>
    <n v="-800"/>
    <n v="461331"/>
    <s v="Solid"/>
    <x v="10"/>
    <d v="2026-11-02T00:00:00"/>
    <s v="2nd Nov-800 mtr, 4th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Andorra-19-1327 TCX"/>
    <n v="160"/>
    <s v="461331#Style-2607 (MENS)-Creora-Srilanka order160Andorra-19-1327 TCX"/>
    <n v="0"/>
    <s v="#NA"/>
    <n v="0"/>
    <n v="3682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Andorra"/>
    <n v="-400"/>
    <n v="1200"/>
    <m/>
    <n v="-1200"/>
    <m/>
    <n v="-1200"/>
    <n v="461331"/>
    <s v="Solid"/>
    <x v="19"/>
    <d v="2026-11-04T00:00:00"/>
    <s v="2nd Nov-800 mtr, 4th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Andorra-19-1327 TCX"/>
    <n v="160"/>
    <s v="461331#Style-2607 (MENS)-Creora-Srilanka order160Andorra-19-1327 TCX"/>
    <n v="0"/>
    <s v="#NA"/>
    <s v=""/>
    <n v="3682"/>
    <s v=""/>
    <s v=""/>
    <n v="1200"/>
    <s v=""/>
    <n v="0"/>
    <n v="0"/>
    <s v=""/>
  </r>
  <r>
    <s v="LIDL"/>
    <m/>
    <m/>
    <m/>
    <m/>
    <m/>
    <s v=""/>
    <m/>
    <s v="95% CMIA COTTON 5% ELASTANE CRERORA SINGLE JERSEY GSM-160 CW-167 cm"/>
    <s v="Andorra"/>
    <s v=""/>
    <n v="1682"/>
    <m/>
    <n v="-1682"/>
    <m/>
    <n v="-1682"/>
    <n v="461331"/>
    <s v="Solid"/>
    <x v="19"/>
    <d v="2026-11-04T00:00:00"/>
    <s v="2nd Nov-800 mtr, 4th Balance Qty"/>
    <s v="Revised Plan given as per revised date"/>
    <s v="Revised"/>
    <s v="Oct"/>
    <d v="2026-10-12T00:00:00"/>
    <m/>
    <m/>
    <m/>
    <m/>
    <m/>
    <m/>
    <m/>
    <m/>
    <m/>
    <m/>
    <s v="461331#Style-2607 (MENS)-Creora-Srilanka order"/>
    <s v="Andorra-19-1327 TCX"/>
    <n v="160"/>
    <s v="461331#Style-2607 (MENS)-Creora-Srilanka order160Andorra-19-1327 TCX"/>
    <n v="0"/>
    <s v="#NA"/>
    <n v="0"/>
    <n v="3682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Navy Blazer"/>
    <n v="-314.19333333333333"/>
    <n v="1000"/>
    <n v="57.42"/>
    <n v="-942.58"/>
    <m/>
    <n v="-942.58"/>
    <n v="461331"/>
    <s v="Solid"/>
    <x v="16"/>
    <d v="2026-10-29T00:00:00"/>
    <s v="29th Oct-1000 Mtr, 3rd Nov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Navy Blazer 19-3923 tcx"/>
    <n v="160"/>
    <s v="461331#Style-2607 (MENS)-Creora-Srilanka order160Navy Blazer 19-3923 tcx"/>
    <n v="98.42"/>
    <n v="8280.58"/>
    <s v=""/>
    <n v="8338"/>
    <s v=""/>
    <s v=""/>
    <n v="942.58"/>
    <s v=""/>
    <n v="98.42"/>
    <n v="0.90700000000000003"/>
    <s v=""/>
  </r>
  <r>
    <s v="LIDL"/>
    <m/>
    <m/>
    <m/>
    <m/>
    <m/>
    <s v=""/>
    <m/>
    <s v="95% CMIA COTTON 5% ELASTANE CRERORA SINGLE JERSEY GSM-160 CW-167 cm"/>
    <s v="Navy Blazer"/>
    <s v=""/>
    <n v="2000"/>
    <m/>
    <n v="-2000"/>
    <m/>
    <n v="-2000"/>
    <n v="461331"/>
    <s v="Solid"/>
    <x v="11"/>
    <d v="2026-11-03T00:00:00"/>
    <s v="29th Oct-1000 Mtr, 3rd Nov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Navy Blazer 19-3923 tcx"/>
    <n v="160"/>
    <s v="461331#Style-2607 (MENS)-Creora-Srilanka order160Navy Blazer 19-3923 tcx"/>
    <n v="98.42"/>
    <n v="8280.58"/>
    <n v="57.42"/>
    <n v="8338"/>
    <s v=""/>
    <s v=""/>
    <s v=""/>
    <s v=""/>
    <n v="98.42"/>
    <n v="0.90700000000000003"/>
    <n v="41"/>
  </r>
  <r>
    <s v="LIDL"/>
    <m/>
    <m/>
    <m/>
    <m/>
    <m/>
    <s v=""/>
    <m/>
    <s v="95% CMIA COTTON 5% ELASTANE CRERORA SINGLE JERSEY GSM-160 CW-167 cm"/>
    <s v="Navy Blazer"/>
    <n v="-1779.3333333333333"/>
    <n v="5338"/>
    <m/>
    <n v="-5338"/>
    <m/>
    <n v="-5338"/>
    <n v="461331"/>
    <s v="Solid"/>
    <x v="11"/>
    <d v="2026-11-03T00:00:00"/>
    <s v="29th Oct-1000 Mtr, 3rd Nov Balance Qty"/>
    <s v="Revised Plan given as per revised date"/>
    <s v="Revised"/>
    <s v="Oct"/>
    <d v="2026-10-12T00:00:00"/>
    <m/>
    <m/>
    <m/>
    <m/>
    <m/>
    <m/>
    <m/>
    <m/>
    <m/>
    <m/>
    <s v="461331#Style-2607 (MENS)-Creora-Srilanka order"/>
    <s v="Navy Blazer 19-3923 tcx"/>
    <n v="160"/>
    <s v="461331#Style-2607 (MENS)-Creora-Srilanka order160Navy Blazer 19-3923 tcx"/>
    <n v="98.42"/>
    <n v="8280.58"/>
    <s v=""/>
    <n v="8338"/>
    <s v=""/>
    <s v=""/>
    <n v="5338"/>
    <s v=""/>
    <n v="98.42"/>
    <n v="0.90700000000000003"/>
    <s v=""/>
  </r>
  <r>
    <s v="LIDL"/>
    <m/>
    <m/>
    <m/>
    <m/>
    <m/>
    <s v=""/>
    <m/>
    <s v="95% CMIA COTTON 5% ELASTANE CRERORA SINGLE JERSEY GSM-160 CW-167 cm"/>
    <s v="Surf the Web"/>
    <s v=""/>
    <n v="1800"/>
    <m/>
    <n v="-1800"/>
    <m/>
    <n v="-1800"/>
    <n v="461331"/>
    <s v="Solid"/>
    <x v="19"/>
    <d v="2026-11-04T00:00:00"/>
    <s v="4th Nov-1800 mtr, 6th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SURF THE WEB 19-3952 TCX"/>
    <n v="160"/>
    <s v="461331#Style-2607 (MENS)-Creora-Srilanka order160SURF THE WEB 19-3952 TCX"/>
    <n v="0"/>
    <s v="#NA"/>
    <n v="0"/>
    <s v="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Surf the Web"/>
    <n v="-233.33333333333334"/>
    <n v="700"/>
    <m/>
    <n v="-700"/>
    <m/>
    <n v="-700"/>
    <n v="461331"/>
    <s v="Solid"/>
    <x v="21"/>
    <d v="2026-11-06T00:00:00"/>
    <s v="4th Nov-1800 mtr, 6th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SURF THE WEB 19-3952 TCX"/>
    <n v="160"/>
    <s v="461331#Style-2607 (MENS)-Creora-Srilanka order160SURF THE WEB 19-3952 TCX"/>
    <n v="0"/>
    <s v="#NA"/>
    <s v=""/>
    <s v=""/>
    <s v=""/>
    <s v=""/>
    <n v="700"/>
    <s v=""/>
    <n v="0"/>
    <n v="0"/>
    <s v=""/>
  </r>
  <r>
    <s v="LIDL"/>
    <m/>
    <m/>
    <m/>
    <m/>
    <m/>
    <s v=""/>
    <m/>
    <s v="95% CMIA COTTON 5% ELASTANE CRERORA SINGLE JERSEY GSM-160 CW-167 cm"/>
    <s v="Surf the Web"/>
    <s v=""/>
    <n v="2155"/>
    <m/>
    <n v="-2155"/>
    <m/>
    <n v="-2155"/>
    <n v="461331"/>
    <s v="Solid"/>
    <x v="21"/>
    <d v="2026-11-06T00:00:00"/>
    <s v="4th Nov-1800 mtr, 6th Balance Qty"/>
    <s v="Revised Plan given as per revised date"/>
    <s v="Revised"/>
    <s v="Oct"/>
    <d v="2026-10-12T00:00:00"/>
    <m/>
    <m/>
    <m/>
    <m/>
    <m/>
    <m/>
    <m/>
    <m/>
    <m/>
    <m/>
    <s v="461331#Style-2607 (MENS)-Creora-Srilanka order"/>
    <s v="SURF THE WEB 19-3952 TCX"/>
    <n v="160"/>
    <s v="461331#Style-2607 (MENS)-Creora-Srilanka order160SURF THE WEB 19-3952 TCX"/>
    <n v="0"/>
    <s v="#NA"/>
    <n v="0"/>
    <n v="4655"/>
    <s v=""/>
    <s v=""/>
    <s v=""/>
    <s v=""/>
    <n v="0"/>
    <n v="0"/>
    <n v="0"/>
  </r>
  <r>
    <s v="LIDL"/>
    <m/>
    <m/>
    <m/>
    <m/>
    <m/>
    <s v=""/>
    <m/>
    <s v="95% CMIA COTTON 5% ELASTANE CRERORA SINGLE JERSEY GSM-160 CW-167 cm"/>
    <s v="MID GREY MELANGE"/>
    <n v="-238.66333333333333"/>
    <n v="800"/>
    <n v="84.01"/>
    <n v="-715.99"/>
    <m/>
    <n v="-715.99"/>
    <n v="461331"/>
    <s v="Solid"/>
    <x v="14"/>
    <d v="2026-10-27T00:00:00"/>
    <s v="27th Oct-800 mtr, 31st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Mid Grey Melange"/>
    <n v="160"/>
    <s v="461331#Style-2607 (MENS)-Creora-Srilanka order160Mid Grey Melange"/>
    <n v="106"/>
    <n v="4570.99"/>
    <s v=""/>
    <n v="4655"/>
    <s v=""/>
    <s v=""/>
    <n v="715.99"/>
    <s v=""/>
    <n v="106"/>
    <n v="0.76900000000000002"/>
    <s v=""/>
  </r>
  <r>
    <s v="LIDL"/>
    <m/>
    <m/>
    <m/>
    <m/>
    <m/>
    <s v=""/>
    <m/>
    <s v="95% CMIA COTTON 5% ELASTANE CRERORA SINGLE JERSEY GSM-160 CW-167 cm"/>
    <s v="MID GREY MELANGE"/>
    <s v=""/>
    <n v="1700"/>
    <m/>
    <n v="-1700"/>
    <m/>
    <n v="-1700"/>
    <n v="461331"/>
    <s v="Solid"/>
    <x v="8"/>
    <d v="2026-10-31T00:00:00"/>
    <s v="27th Oct-800 mtr, 31st Balance Qty"/>
    <s v="Revised Plan given as per revised date"/>
    <s v="Revised"/>
    <s v="Oct"/>
    <d v="2026-10-08T00:00:00"/>
    <m/>
    <m/>
    <m/>
    <m/>
    <m/>
    <m/>
    <m/>
    <m/>
    <m/>
    <m/>
    <s v="461331#Style-2607 (MENS)-Creora-Srilanka order"/>
    <s v="Mid Grey Melange"/>
    <n v="160"/>
    <s v="461331#Style-2607 (MENS)-Creora-Srilanka order160Mid Grey Melange"/>
    <n v="106"/>
    <n v="4570.99"/>
    <n v="84.01"/>
    <s v=""/>
    <s v=""/>
    <s v=""/>
    <s v=""/>
    <s v=""/>
    <n v="106"/>
    <n v="0.76900000000000002"/>
    <n v="21.989999999999995"/>
  </r>
  <r>
    <s v="LIDL"/>
    <m/>
    <m/>
    <m/>
    <m/>
    <m/>
    <s v=""/>
    <m/>
    <s v="95% CMIA COTTON 5% ELASTANE CRERORA SINGLE JERSEY GSM-160 CW-167 cm"/>
    <s v="MID GREY MELANGE"/>
    <s v=""/>
    <n v="2155"/>
    <m/>
    <n v="-2155"/>
    <m/>
    <n v="-2155"/>
    <n v="461331"/>
    <s v="Solid"/>
    <x v="8"/>
    <d v="2026-10-31T00:00:00"/>
    <s v="27th Oct-800 mtr, 31st Balance Qty"/>
    <s v="Revised Plan given as per revised date"/>
    <s v="Revised"/>
    <s v="Oct"/>
    <d v="2026-10-12T00:00:00"/>
    <m/>
    <m/>
    <m/>
    <m/>
    <m/>
    <m/>
    <m/>
    <m/>
    <m/>
    <m/>
    <s v="461331#Style-2607 (MENS)-Creora-Srilanka order"/>
    <s v="Mid Grey Melange"/>
    <n v="160"/>
    <s v="461331#Style-2607 (MENS)-Creora-Srilanka order160Mid Grey Melange"/>
    <n v="106"/>
    <n v="4570.99"/>
    <s v=""/>
    <n v="4655"/>
    <s v=""/>
    <s v=""/>
    <s v=""/>
    <s v=""/>
    <n v="106"/>
    <n v="0.76900000000000002"/>
    <s v=""/>
  </r>
  <r>
    <s v="LIDL"/>
    <m/>
    <m/>
    <m/>
    <m/>
    <m/>
    <s v=""/>
    <m/>
    <s v="95% CMIA COTTON 5% LYCRA WEFT KNITTED JERSEY GSM-160 CW-167 cm"/>
    <s v="Bright White"/>
    <s v=""/>
    <n v="1200"/>
    <n v="92.02"/>
    <n v="-1107.98"/>
    <m/>
    <n v="-1107.98"/>
    <n v="461486"/>
    <s v="Solid"/>
    <x v="15"/>
    <d v="2026-10-28T00:00:00"/>
    <s v="28-Oct-1200 mtr, 29-Oct-1200 mtr, (2-Nov to 7-Nov)-1200 mtr/day, Close by 14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s v=""/>
    <s v=""/>
    <s v=""/>
    <s v=""/>
    <s v=""/>
    <n v="92"/>
    <n v="0.91"/>
    <s v=""/>
  </r>
  <r>
    <s v="LIDL"/>
    <m/>
    <m/>
    <m/>
    <m/>
    <m/>
    <s v=""/>
    <m/>
    <s v="95% CMIA COTTON 5% LYCRA WEFT KNITTED JERSEY GSM-160 CW-167 cm"/>
    <s v="Bright White"/>
    <n v="-400"/>
    <n v="1200"/>
    <m/>
    <n v="-1200"/>
    <m/>
    <n v="-1200"/>
    <n v="461486"/>
    <s v="Solid"/>
    <x v="16"/>
    <d v="2026-10-29T00:00:00"/>
    <s v="28-Oct-1200 mtr, 29-Oct-1200 mtr, (2-Nov to 7-Nov)-1200 mtr/day, Close by 14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s v=""/>
    <s v=""/>
    <s v=""/>
    <s v=""/>
    <s v=""/>
    <n v="92"/>
    <n v="0.91"/>
    <s v=""/>
  </r>
  <r>
    <s v="LIDL"/>
    <m/>
    <m/>
    <m/>
    <m/>
    <m/>
    <s v=""/>
    <m/>
    <s v="95% CMIA COTTON 5% LYCRA WEFT KNITTED JERSEY GSM-160 CW-167 cm"/>
    <s v="Bright White"/>
    <s v=""/>
    <n v="1200"/>
    <m/>
    <n v="-1200"/>
    <m/>
    <n v="-1200"/>
    <n v="461486"/>
    <s v="Solid"/>
    <x v="10"/>
    <d v="2026-11-02T00:00:00"/>
    <s v="28-Oct-1200 mtr, 29-Oct-1200 mtr, (2-Nov to 7-Nov)-1200 mtr/day, Close by 14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n v="92.02"/>
    <s v=""/>
    <s v=""/>
    <s v=""/>
    <s v=""/>
    <s v=""/>
    <n v="92"/>
    <n v="0.91"/>
    <n v="-1.9999999999996021E-2"/>
  </r>
  <r>
    <s v="LIDL"/>
    <m/>
    <m/>
    <m/>
    <m/>
    <m/>
    <s v=""/>
    <m/>
    <s v="95% CMIA COTTON 5% LYCRA WEFT KNITTED JERSEY GSM-160 CW-167 cm"/>
    <s v="Bright White"/>
    <s v=""/>
    <n v="1200"/>
    <m/>
    <n v="-1200"/>
    <m/>
    <n v="-1200"/>
    <n v="461486"/>
    <s v="Solid"/>
    <x v="11"/>
    <d v="2026-11-03T00:00:00"/>
    <s v="28-Oct-1200 mtr, 29-Oct-1200 mtr, (2-Nov to 7-Nov)-1200 mtr/day, Close by 14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s v=""/>
    <s v=""/>
    <s v=""/>
    <s v=""/>
    <s v=""/>
    <n v="92"/>
    <n v="0.91"/>
    <s v=""/>
  </r>
  <r>
    <s v="LIDL"/>
    <m/>
    <m/>
    <m/>
    <m/>
    <m/>
    <s v=""/>
    <m/>
    <s v="95% CMIA COTTON 5% LYCRA WEFT KNITTED JERSEY GSM-160 CW-167 cm"/>
    <s v="Bright White"/>
    <s v=""/>
    <n v="200"/>
    <m/>
    <n v="-200"/>
    <m/>
    <n v="-200"/>
    <n v="461486"/>
    <s v="Solid"/>
    <x v="19"/>
    <d v="2026-11-04T00:00:00"/>
    <s v="28-Oct-1200 mtr, 29-Oct-1200 mtr, (2-Nov to 7-Nov)-1200 mtr/day, Close by 14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n v="92.02"/>
    <n v="14966"/>
    <s v=""/>
    <s v=""/>
    <s v=""/>
    <s v=""/>
    <n v="92"/>
    <n v="0.91"/>
    <n v="-1.9999999999996021E-2"/>
  </r>
  <r>
    <s v="LIDL"/>
    <m/>
    <m/>
    <m/>
    <m/>
    <m/>
    <s v=""/>
    <m/>
    <s v="95% CMIA COTTON 5% LYCRA WEFT KNITTED JERSEY GSM-160 CW-167 cm"/>
    <s v="Bright White"/>
    <n v="-333.33333333333331"/>
    <n v="1000"/>
    <m/>
    <n v="-1000"/>
    <m/>
    <n v="-1000"/>
    <n v="461486"/>
    <s v="Solid"/>
    <x v="19"/>
    <d v="2026-11-04T00:00:00"/>
    <s v="28-Oct-1200 mtr, 29-Oct-1200 mtr, (2-Nov to 7-Nov)-1200 mtr/day, Close by 14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s v=""/>
    <s v=""/>
    <s v=""/>
    <n v="1000"/>
    <s v=""/>
    <n v="92"/>
    <n v="0.91"/>
    <s v=""/>
  </r>
  <r>
    <s v="LIDL"/>
    <m/>
    <m/>
    <m/>
    <m/>
    <m/>
    <s v=""/>
    <m/>
    <s v="95% CMIA COTTON 5% LYCRA WEFT KNITTED JERSEY GSM-160 CW-167 cm"/>
    <s v="Bright White"/>
    <s v=""/>
    <n v="1200"/>
    <m/>
    <n v="-1200"/>
    <m/>
    <n v="-1200"/>
    <n v="461486"/>
    <s v="Solid"/>
    <x v="20"/>
    <d v="2026-11-05T00:00:00"/>
    <s v="28-Oct-1200 mtr, 29-Oct-1200 mtr, (2-Nov to 7-Nov)-1200 mtr/day, Close by 14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n v="92.02"/>
    <n v="14966"/>
    <s v=""/>
    <s v=""/>
    <s v=""/>
    <s v=""/>
    <n v="92"/>
    <n v="0.91"/>
    <n v="-1.9999999999996021E-2"/>
  </r>
  <r>
    <s v="LIDL"/>
    <m/>
    <m/>
    <m/>
    <m/>
    <m/>
    <s v=""/>
    <m/>
    <s v="95% CMIA COTTON 5% LYCRA WEFT KNITTED JERSEY GSM-160 CW-167 cm"/>
    <s v="Bright White"/>
    <n v="-400"/>
    <n v="1200"/>
    <m/>
    <n v="-1200"/>
    <m/>
    <n v="-1200"/>
    <n v="461486"/>
    <s v="Solid"/>
    <x v="21"/>
    <d v="2026-11-06T00:00:00"/>
    <s v="28-Oct-1200 mtr, 29-Oct-1200 mtr, (2-Nov to 7-Nov)-1200 mtr/day, Close by 14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n v="14966"/>
    <s v=""/>
    <s v=""/>
    <n v="1200"/>
    <s v=""/>
    <n v="92"/>
    <n v="0.91"/>
    <s v=""/>
  </r>
  <r>
    <s v="LIDL"/>
    <m/>
    <m/>
    <m/>
    <m/>
    <m/>
    <s v=""/>
    <m/>
    <s v="95% CMIA COTTON 5% LYCRA WEFT KNITTED JERSEY GSM-160 CW-167 cm"/>
    <s v="Bright White"/>
    <s v=""/>
    <n v="1200"/>
    <m/>
    <n v="-1200"/>
    <m/>
    <n v="-1200"/>
    <n v="461486"/>
    <s v="Solid"/>
    <x v="32"/>
    <d v="2026-11-07T00:00:00"/>
    <s v="28-Oct-1200 mtr, 29-Oct-1200 mtr, (2-Nov to 7-Nov)-1200 mtr/day, Close by 14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n v="14966"/>
    <s v=""/>
    <s v=""/>
    <s v=""/>
    <s v=""/>
    <n v="92"/>
    <n v="0.91"/>
    <s v=""/>
  </r>
  <r>
    <s v="LIDL"/>
    <m/>
    <m/>
    <m/>
    <m/>
    <m/>
    <s v=""/>
    <m/>
    <s v="95% CMIA COTTON 5% LYCRA WEFT KNITTED JERSEY GSM-160 CW-167 cm"/>
    <s v="Bright White"/>
    <s v=""/>
    <n v="400"/>
    <m/>
    <n v="-400"/>
    <m/>
    <n v="-400"/>
    <n v="461486"/>
    <s v="Solid"/>
    <x v="40"/>
    <d v="2026-11-14T00:00:00"/>
    <s v="28-Oct-1200 mtr, 29-Oct-1200 mtr, (2-Nov to 7-Nov)-1200 mtr/day, Close by 14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s v=""/>
    <s v=""/>
    <s v=""/>
    <s v=""/>
    <s v=""/>
    <n v="92"/>
    <n v="0.91"/>
    <s v=""/>
  </r>
  <r>
    <s v="LIDL"/>
    <m/>
    <m/>
    <m/>
    <m/>
    <m/>
    <s v=""/>
    <m/>
    <s v="95% CMIA COTTON 5% LYCRA WEFT KNITTED JERSEY GSM-160 CW-167 cm"/>
    <s v="Bright White"/>
    <s v=""/>
    <n v="4966"/>
    <m/>
    <n v="-4966"/>
    <m/>
    <n v="-4966"/>
    <n v="461486"/>
    <s v="Solid"/>
    <x v="40"/>
    <d v="2026-11-14T00:00:00"/>
    <s v="28-Oct-1200 mtr, 29-Oct-1200 mtr, (2-Nov to 7-Nov)-1200 mtr/day, Close by 14-Nov"/>
    <s v="Revised Plan given as per revised date"/>
    <s v="Revised"/>
    <s v="Oct"/>
    <d v="2026-10-16T00:00:00"/>
    <m/>
    <m/>
    <m/>
    <m/>
    <m/>
    <m/>
    <m/>
    <m/>
    <m/>
    <m/>
    <s v="461486#Style-2607 (CHILD)-Lycra-Srilanka order"/>
    <s v="Bright White 11-0601 TCX"/>
    <n v="160"/>
    <s v="461486#Style-2607 (CHILD)-Lycra-Srilanka order160Bright White 11-0601 TCX"/>
    <n v="92"/>
    <n v="14873.98"/>
    <s v=""/>
    <s v=""/>
    <s v=""/>
    <s v=""/>
    <s v=""/>
    <s v=""/>
    <n v="92"/>
    <n v="0.91"/>
    <s v=""/>
  </r>
  <r>
    <s v="LIDL"/>
    <m/>
    <m/>
    <m/>
    <m/>
    <m/>
    <s v=""/>
    <m/>
    <s v="95% CMIA COTTON 5% LYCRA WEFT KNITTED JERSEY GSM-160 CW-167 cm"/>
    <s v="Woodrose"/>
    <s v=""/>
    <n v="800"/>
    <m/>
    <n v="-800"/>
    <m/>
    <n v="-800"/>
    <n v="461486"/>
    <s v="Solid"/>
    <x v="19"/>
    <d v="2026-11-04T00:00:00"/>
    <s v="46330 (= 04-Nov-26)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s v=""/>
    <s v=""/>
    <s v=""/>
    <s v=""/>
    <n v="800"/>
    <s v=""/>
    <n v="0"/>
    <n v="0"/>
    <s v=""/>
  </r>
  <r>
    <s v="LIDL"/>
    <m/>
    <m/>
    <m/>
    <m/>
    <m/>
    <s v=""/>
    <m/>
    <s v="95% CMIA COTTON 5% LYCRA WEFT KNITTED JERSEY GSM-160 CW-167 cm"/>
    <s v="Woodrose"/>
    <s v=""/>
    <n v="800"/>
    <m/>
    <n v="-800"/>
    <m/>
    <n v="-800"/>
    <n v="461486"/>
    <s v="Solid"/>
    <x v="19"/>
    <d v="2026-11-04T00:00:00"/>
    <s v="46330 (= 04-Nov-26)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n v="0"/>
    <n v="2051"/>
    <s v=""/>
    <s v=""/>
    <s v=""/>
    <s v=""/>
    <n v="0"/>
    <n v="0"/>
    <n v="0"/>
  </r>
  <r>
    <s v="LIDL"/>
    <m/>
    <m/>
    <m/>
    <m/>
    <m/>
    <s v=""/>
    <m/>
    <s v="95% CMIA COTTON 5% LYCRA WEFT KNITTED JERSEY GSM-160 CW-167 cm"/>
    <s v="Woodrose"/>
    <n v="-150.33333333333334"/>
    <n v="451"/>
    <m/>
    <n v="-451"/>
    <m/>
    <n v="-451"/>
    <n v="461486"/>
    <s v="Solid"/>
    <x v="19"/>
    <d v="2026-11-04T00:00:00"/>
    <s v="46330 (= 04-Nov-26)"/>
    <s v="Revised Plan given as per revised date"/>
    <s v="Revised"/>
    <s v="Oct"/>
    <d v="2026-10-16T00:00:00"/>
    <m/>
    <m/>
    <m/>
    <m/>
    <m/>
    <m/>
    <m/>
    <m/>
    <m/>
    <m/>
    <s v="461486#Style-2607 (CHILD)-Lycra-Srilanka order"/>
    <s v="WOODROSE-16-1806TCX"/>
    <n v="160"/>
    <s v="461486#Style-2607 (CHILD)-Lycra-Srilanka order160WOODROSE-16-1806TCX"/>
    <n v="0"/>
    <s v="#NA"/>
    <s v=""/>
    <n v="2051"/>
    <s v=""/>
    <s v=""/>
    <n v="451"/>
    <s v=""/>
    <n v="0"/>
    <n v="0"/>
    <s v=""/>
  </r>
  <r>
    <s v="LIDL"/>
    <m/>
    <m/>
    <m/>
    <m/>
    <m/>
    <s v=""/>
    <m/>
    <s v="95% CMIA COTTON 5% LYCRA WEFT KNITTED JERSEY GSM-160 CW-167 cm"/>
    <s v="Folkstone Gray"/>
    <s v=""/>
    <n v="1800"/>
    <m/>
    <n v="-1800"/>
    <m/>
    <n v="-1800"/>
    <n v="461486"/>
    <s v="Solid"/>
    <x v="9"/>
    <d v="2026-11-01T00:00:00"/>
    <s v="1-Nov-1800 mtr, 3-Nov-1800 mtr, Close by 5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Folkstone Gray"/>
    <s v=""/>
    <n v="200"/>
    <m/>
    <n v="-200"/>
    <m/>
    <n v="-200"/>
    <n v="461486"/>
    <s v="Solid"/>
    <x v="11"/>
    <d v="2026-11-03T00:00:00"/>
    <s v="1-Nov-1800 mtr, 3-Nov-1800 mtr, Close by 5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s v=""/>
    <n v="5432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Folkstone Gray"/>
    <s v=""/>
    <n v="1600"/>
    <m/>
    <n v="-1600"/>
    <m/>
    <n v="-1600"/>
    <n v="461486"/>
    <s v="Solid"/>
    <x v="11"/>
    <d v="2026-11-03T00:00:00"/>
    <s v="1-Nov-1800 mtr, 3-Nov-1800 mtr, Close by 5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n v="0"/>
    <s v=""/>
    <s v=""/>
    <s v=""/>
    <s v=""/>
    <s v=""/>
    <n v="0"/>
    <n v="0"/>
    <n v="0"/>
  </r>
  <r>
    <s v="LIDL"/>
    <m/>
    <m/>
    <m/>
    <m/>
    <m/>
    <s v=""/>
    <m/>
    <s v="95% CMIA COTTON 5% LYCRA WEFT KNITTED JERSEY GSM-160 CW-167 cm"/>
    <s v="Folkstone Gray"/>
    <n v="-133.33333333333334"/>
    <n v="400"/>
    <m/>
    <n v="-400"/>
    <m/>
    <n v="-400"/>
    <n v="461486"/>
    <s v="Solid"/>
    <x v="20"/>
    <d v="2026-11-05T00:00:00"/>
    <s v="1-Nov-1800 mtr, 3-Nov-1800 mtr, Close by 5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s v=""/>
    <s v=""/>
    <s v=""/>
    <s v=""/>
    <n v="400"/>
    <s v=""/>
    <n v="0"/>
    <n v="0"/>
    <s v=""/>
  </r>
  <r>
    <s v="LIDL"/>
    <m/>
    <m/>
    <m/>
    <m/>
    <m/>
    <s v=""/>
    <m/>
    <s v="95% CMIA COTTON 5% LYCRA WEFT KNITTED JERSEY GSM-160 CW-167 cm"/>
    <s v="Folkstone Gray"/>
    <s v=""/>
    <n v="1432"/>
    <m/>
    <n v="-1432"/>
    <m/>
    <n v="-1432"/>
    <n v="461486"/>
    <s v="Solid"/>
    <x v="20"/>
    <d v="2026-11-05T00:00:00"/>
    <s v="1-Nov-1800 mtr, 3-Nov-1800 mtr, Close by 5-Nov"/>
    <s v="Revised Plan given as per revised date"/>
    <s v="Revised"/>
    <s v="Oct"/>
    <d v="2026-10-16T00:00:00"/>
    <m/>
    <m/>
    <m/>
    <m/>
    <m/>
    <m/>
    <m/>
    <m/>
    <m/>
    <m/>
    <s v="461486#Style-2607 (CHILD)-Lycra-Srilanka order"/>
    <s v="Folkstone Gray 18-3910 TCX"/>
    <n v="160"/>
    <s v="461486#Style-2607 (CHILD)-Lycra-Srilanka order160Folkstone Gray 18-3910 TCX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Winetasting"/>
    <s v=""/>
    <n v="800"/>
    <n v="88.01"/>
    <n v="-711.99"/>
    <m/>
    <n v="-711.99"/>
    <n v="461486"/>
    <s v="Solid"/>
    <x v="13"/>
    <d v="2026-10-24T00:00:00"/>
    <s v="46319 (= 24-Oct-26)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88"/>
    <n v="1962.99"/>
    <s v=""/>
    <s v=""/>
    <s v=""/>
    <s v=""/>
    <s v=""/>
    <s v=""/>
    <n v="88"/>
    <n v="0.83899999999999997"/>
    <s v=""/>
  </r>
  <r>
    <s v="LIDL"/>
    <m/>
    <m/>
    <m/>
    <m/>
    <m/>
    <s v=""/>
    <m/>
    <s v="95% CMIA COTTON 5% LYCRA WEFT KNITTED JERSEY GSM-160 CW-167 cm"/>
    <s v="Winetasting"/>
    <s v=""/>
    <n v="800"/>
    <m/>
    <n v="-800"/>
    <m/>
    <n v="-800"/>
    <n v="461486"/>
    <s v="Solid"/>
    <x v="13"/>
    <d v="2026-10-24T00:00:00"/>
    <s v="46319 (= 24-Oct-26)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88"/>
    <n v="1962.99"/>
    <s v=""/>
    <s v=""/>
    <s v=""/>
    <s v=""/>
    <s v=""/>
    <s v=""/>
    <n v="88"/>
    <n v="0.83899999999999997"/>
    <s v=""/>
  </r>
  <r>
    <s v="LIDL"/>
    <m/>
    <m/>
    <m/>
    <m/>
    <m/>
    <s v=""/>
    <m/>
    <s v="95% CMIA COTTON 5% LYCRA WEFT KNITTED JERSEY GSM-160 CW-167 cm"/>
    <s v="Winetasting"/>
    <n v="-150.33333333333334"/>
    <n v="451"/>
    <m/>
    <n v="-451"/>
    <m/>
    <n v="-451"/>
    <n v="461486"/>
    <s v="Solid"/>
    <x v="13"/>
    <d v="2026-10-24T00:00:00"/>
    <s v="46319 (= 24-Oct-26)"/>
    <s v="Revised Plan given as per revised date"/>
    <s v="Revised"/>
    <s v="Oct"/>
    <d v="2026-10-16T00:00:00"/>
    <m/>
    <m/>
    <m/>
    <m/>
    <m/>
    <m/>
    <m/>
    <m/>
    <m/>
    <m/>
    <s v="461486#Style-2607 (CHILD)-Lycra-Srilanka order"/>
    <s v="winetasting 19-2118 tcx"/>
    <n v="160"/>
    <s v="461486#Style-2607 (CHILD)-Lycra-Srilanka order160winetasting 19-2118 tcx"/>
    <n v="88"/>
    <n v="1962.99"/>
    <s v=""/>
    <s v=""/>
    <s v=""/>
    <s v=""/>
    <n v="451"/>
    <s v=""/>
    <n v="88"/>
    <n v="0.83899999999999997"/>
    <s v=""/>
  </r>
  <r>
    <s v="LIDL"/>
    <m/>
    <m/>
    <m/>
    <m/>
    <m/>
    <s v=""/>
    <m/>
    <s v="95% CMIA COTTON 5% LYCRA WEFT KNITTED JERSEY GSM-160 CW-167 cm"/>
    <s v="Navy Blazer"/>
    <s v=""/>
    <n v="1800"/>
    <m/>
    <n v="-1800"/>
    <m/>
    <n v="-1800"/>
    <n v="461486"/>
    <s v="Solid"/>
    <x v="4"/>
    <d v="2026-10-26T00:00:00"/>
    <s v="26-Oct- 1800 mtr, 2-Nov-Balance Qty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Navy Blazer"/>
    <n v="-66.666666666666671"/>
    <n v="200"/>
    <m/>
    <n v="-200"/>
    <m/>
    <n v="-200"/>
    <n v="461486"/>
    <s v="Solid"/>
    <x v="10"/>
    <d v="2026-11-02T00:00:00"/>
    <s v="26-Oct- 1800 mtr, 2-Nov-Balance Qty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s v=""/>
    <s v=""/>
    <s v=""/>
    <s v=""/>
    <n v="200"/>
    <s v=""/>
    <n v="0"/>
    <n v="0"/>
    <s v=""/>
  </r>
  <r>
    <s v="LIDL"/>
    <m/>
    <m/>
    <m/>
    <m/>
    <m/>
    <s v=""/>
    <m/>
    <s v="95% CMIA COTTON 5% LYCRA WEFT KNITTED JERSEY GSM-160 CW-167 cm"/>
    <s v="Navy Blazer"/>
    <s v=""/>
    <n v="2000"/>
    <m/>
    <n v="-2000"/>
    <m/>
    <n v="-2000"/>
    <n v="461486"/>
    <s v="Solid"/>
    <x v="10"/>
    <d v="2026-11-02T00:00:00"/>
    <s v="26-Oct- 1800 mtr, 2-Nov-Balance Qty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Navy Blazer"/>
    <n v="-477.33333333333331"/>
    <n v="1432"/>
    <m/>
    <n v="-1432"/>
    <m/>
    <n v="-1432"/>
    <n v="461486"/>
    <s v="Solid"/>
    <x v="10"/>
    <d v="2026-11-02T00:00:00"/>
    <s v="26-Oct- 1800 mtr, 2-Nov-Balance Qty"/>
    <s v="Revised Plan given as per revised date"/>
    <s v="Revised"/>
    <s v="Oct"/>
    <d v="2026-10-16T00:00:00"/>
    <m/>
    <m/>
    <m/>
    <m/>
    <m/>
    <m/>
    <m/>
    <m/>
    <m/>
    <m/>
    <s v="461486#Style-2607 (CHILD)-Lycra-Srilanka order"/>
    <s v="Navy Blazer 19-3923 tcx"/>
    <n v="160"/>
    <s v="461486#Style-2607 (CHILD)-Lycra-Srilanka order160Navy Blazer 19-3923 tcx"/>
    <n v="0"/>
    <s v="#NA"/>
    <s v=""/>
    <s v=""/>
    <s v=""/>
    <s v=""/>
    <n v="1432"/>
    <s v=""/>
    <n v="0"/>
    <n v="0"/>
    <s v=""/>
  </r>
  <r>
    <s v="LIDL"/>
    <m/>
    <m/>
    <m/>
    <m/>
    <m/>
    <s v=""/>
    <m/>
    <s v="95% CMIA COTTON 5% LYCRA WEFT KNITTED JERSEY GSM-160 CW-167 cm"/>
    <s v="Black"/>
    <s v=""/>
    <n v="2000"/>
    <m/>
    <n v="-2000"/>
    <m/>
    <n v="-2000"/>
    <n v="461486"/>
    <s v="Solid"/>
    <x v="18"/>
    <d v="2026-10-30T00:00:00"/>
    <s v="30th Oct-2000 Mtr, 4th Nov Balance Qty"/>
    <s v="Revised Plan given as per revised date"/>
    <s v="Revised"/>
    <s v="Oct"/>
    <d v="2026-10-08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Black"/>
    <n v="-500"/>
    <n v="1500"/>
    <m/>
    <n v="-1500"/>
    <m/>
    <n v="-1500"/>
    <n v="461486"/>
    <s v="Solid"/>
    <x v="19"/>
    <d v="2026-11-04T00:00:00"/>
    <s v="30th Oct-2000 Mtr, 4th Nov Balance Qty"/>
    <s v="Revised Plan given as per revised date"/>
    <s v="Revised"/>
    <s v="Oct"/>
    <d v="2026-10-08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s v=""/>
    <s v=""/>
    <s v=""/>
    <s v=""/>
    <n v="1500"/>
    <s v=""/>
    <n v="0"/>
    <n v="0"/>
    <s v=""/>
  </r>
  <r>
    <s v="LIDL"/>
    <m/>
    <m/>
    <m/>
    <m/>
    <m/>
    <s v=""/>
    <m/>
    <s v="95% CMIA COTTON 5% LYCRA WEFT KNITTED JERSEY GSM-160 CW-167 cm"/>
    <s v="Black"/>
    <s v=""/>
    <n v="3000"/>
    <m/>
    <n v="-3000"/>
    <m/>
    <n v="-3000"/>
    <n v="461486"/>
    <s v="Solid"/>
    <x v="19"/>
    <d v="2026-11-04T00:00:00"/>
    <s v="30th Oct-2000 Mtr, 4th Nov Balance Qty"/>
    <s v="Revised Plan given as per revised date"/>
    <s v="Revised"/>
    <s v="Oct"/>
    <d v="2026-10-12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Black"/>
    <n v="-327.66666666666669"/>
    <n v="983"/>
    <m/>
    <n v="-983"/>
    <m/>
    <n v="-983"/>
    <n v="461486"/>
    <s v="Solid"/>
    <x v="19"/>
    <d v="2026-11-04T00:00:00"/>
    <s v="30th Oct-2000 Mtr, 4th Nov Balance Qty"/>
    <s v="Revised Plan given as per revised date"/>
    <s v="Revised"/>
    <s v="Oct"/>
    <d v="2026-10-16T00:00:00"/>
    <m/>
    <m/>
    <m/>
    <m/>
    <m/>
    <m/>
    <m/>
    <m/>
    <m/>
    <m/>
    <s v="461486#Style-2607 (CHILD)-36 Dia-Lycra-Srilanka order"/>
    <s v="Black"/>
    <n v="160"/>
    <s v="461486#Style-2607 (CHILD)-36 Dia-Lycra-Srilanka order160Black"/>
    <n v="0"/>
    <s v="#NA"/>
    <s v=""/>
    <s v=""/>
    <s v=""/>
    <s v=""/>
    <n v="983"/>
    <s v=""/>
    <n v="0"/>
    <n v="0"/>
    <s v=""/>
  </r>
  <r>
    <s v="LIDL"/>
    <m/>
    <m/>
    <m/>
    <m/>
    <m/>
    <s v=""/>
    <m/>
    <s v="95% CMIA COTTON 5% LYCRA WEFT KNITTED JERSEY GSM-160 CW-167 cm"/>
    <s v="LT Grey Melange"/>
    <s v=""/>
    <n v="1000"/>
    <m/>
    <n v="-1000"/>
    <m/>
    <n v="-1000"/>
    <n v="461486"/>
    <s v="Solid"/>
    <x v="20"/>
    <d v="2026-11-05T00:00:00"/>
    <s v="(5-Nov to 9-Nov)-1000 mtr/day, Close by 10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LT Grey Melange"/>
    <n v="-333.33333333333331"/>
    <n v="1000"/>
    <m/>
    <n v="-1000"/>
    <m/>
    <n v="-1000"/>
    <n v="461486"/>
    <s v="Solid"/>
    <x v="21"/>
    <d v="2026-11-06T00:00:00"/>
    <s v="(5-Nov to 9-Nov)-1000 mtr/day, Close by 10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n v="1000"/>
    <s v=""/>
    <n v="0"/>
    <n v="0"/>
    <s v=""/>
  </r>
  <r>
    <s v="LIDL"/>
    <m/>
    <m/>
    <m/>
    <m/>
    <m/>
    <s v=""/>
    <m/>
    <s v="95% CMIA COTTON 5% LYCRA WEFT KNITTED JERSEY GSM-160 CW-167 cm"/>
    <s v="LT Grey Melange"/>
    <s v=""/>
    <n v="1000"/>
    <m/>
    <n v="-1000"/>
    <m/>
    <n v="-1000"/>
    <n v="461486"/>
    <s v="Solid"/>
    <x v="32"/>
    <d v="2026-11-07T00:00:00"/>
    <s v="(5-Nov to 9-Nov)-1000 mtr/day, Close by 10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LT Grey Melange"/>
    <n v="-166.66666666666666"/>
    <n v="500"/>
    <m/>
    <n v="-500"/>
    <m/>
    <n v="-500"/>
    <n v="461486"/>
    <s v="Solid"/>
    <x v="33"/>
    <d v="2026-11-08T00:00:00"/>
    <s v="(5-Nov to 9-Nov)-1000 mtr/day, Close by 10-Nov"/>
    <s v="Revised Plan given as per revised date"/>
    <s v="Revised"/>
    <s v="Oct"/>
    <d v="2026-10-08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n v="500"/>
    <s v=""/>
    <n v="0"/>
    <n v="0"/>
    <s v=""/>
  </r>
  <r>
    <s v="LIDL"/>
    <m/>
    <m/>
    <m/>
    <m/>
    <m/>
    <s v=""/>
    <m/>
    <s v="95% CMIA COTTON 5% LYCRA WEFT KNITTED JERSEY GSM-160 CW-167 cm"/>
    <s v="LT Grey Melange"/>
    <s v=""/>
    <n v="500"/>
    <m/>
    <n v="-500"/>
    <m/>
    <n v="-500"/>
    <n v="461486"/>
    <s v="Solid"/>
    <x v="33"/>
    <d v="2026-11-08T00:00:00"/>
    <s v="(5-Nov to 9-Nov)-1000 mtr/day, Close by 10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LT Grey Melange"/>
    <n v="-333.33333333333331"/>
    <n v="1000"/>
    <m/>
    <n v="-1000"/>
    <m/>
    <n v="-1000"/>
    <n v="461486"/>
    <s v="Solid"/>
    <x v="35"/>
    <d v="2026-11-09T00:00:00"/>
    <s v="(5-Nov to 9-Nov)-1000 mtr/day, Close by 10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n v="1000"/>
    <s v=""/>
    <n v="0"/>
    <n v="0"/>
    <s v=""/>
  </r>
  <r>
    <s v="LIDL"/>
    <m/>
    <m/>
    <m/>
    <m/>
    <m/>
    <s v=""/>
    <m/>
    <s v="95% CMIA COTTON 5% LYCRA WEFT KNITTED JERSEY GSM-160 CW-167 cm"/>
    <s v="LT Grey Melange"/>
    <s v=""/>
    <n v="1500"/>
    <m/>
    <n v="-1500"/>
    <m/>
    <n v="-1500"/>
    <n v="461486"/>
    <s v="Solid"/>
    <x v="36"/>
    <d v="2026-11-10T00:00:00"/>
    <s v="(5-Nov to 9-Nov)-1000 mtr/day, Close by 10-Nov"/>
    <s v="Revised Plan given as per revised date"/>
    <s v="Revised"/>
    <s v="Oct"/>
    <d v="2026-10-12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s v=""/>
    <s v=""/>
    <n v="0"/>
    <n v="0"/>
    <s v=""/>
  </r>
  <r>
    <s v="LIDL"/>
    <m/>
    <m/>
    <m/>
    <m/>
    <m/>
    <s v=""/>
    <m/>
    <s v="95% CMIA COTTON 5% LYCRA WEFT KNITTED JERSEY GSM-160 CW-167 cm"/>
    <s v="LT Grey Melange"/>
    <n v="-327.66666666666669"/>
    <n v="983"/>
    <m/>
    <n v="-983"/>
    <m/>
    <n v="-983"/>
    <n v="461486"/>
    <s v="Solid"/>
    <x v="36"/>
    <d v="2026-11-10T00:00:00"/>
    <s v="(5-Nov to 9-Nov)-1000 mtr/day, Close by 10-Nov"/>
    <s v="Revised Plan given as per revised date"/>
    <s v="Revised"/>
    <s v="Oct"/>
    <d v="2026-10-16T00:00:00"/>
    <m/>
    <m/>
    <m/>
    <m/>
    <m/>
    <m/>
    <m/>
    <m/>
    <m/>
    <m/>
    <s v="461486#Style-2607 (CHILD)-Lycra-Srilanka order"/>
    <s v="LIGHT GREY MELANGE"/>
    <n v="160"/>
    <s v="461486#Style-2607 (CHILD)-Lycra-Srilanka order160LIGHT GREY MELANGE"/>
    <n v="0"/>
    <s v="#NA"/>
    <s v=""/>
    <s v=""/>
    <s v=""/>
    <s v=""/>
    <n v="983"/>
    <s v=""/>
    <n v="0"/>
    <n v="0"/>
    <s v=""/>
  </r>
  <r>
    <m/>
    <m/>
    <m/>
    <m/>
    <m/>
    <m/>
    <m/>
    <m/>
    <m/>
    <m/>
    <m/>
    <m/>
    <m/>
    <m/>
    <m/>
    <m/>
    <m/>
    <m/>
    <x v="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1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A4:F63" firstHeaderRow="1" firstDataRow="2" firstDataCol="1"/>
  <pivotFields count="5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1" outline="0" showAll="0"/>
    <pivotField dataField="1" compact="0" outline="0" showAll="0"/>
    <pivotField dataField="1" compact="0" numFmtId="1" outline="0" showAll="0"/>
    <pivotField compact="0" outline="0" showAll="0"/>
    <pivotField compact="0" outline="0" showAll="0"/>
    <pivotField axis="axisRow" compact="0" outline="0" showAll="0" sortType="ascending">
      <items count="59">
        <item h="1" x="5"/>
        <item x="1"/>
        <item x="52"/>
        <item x="6"/>
        <item x="3"/>
        <item x="0"/>
        <item x="24"/>
        <item x="22"/>
        <item x="56"/>
        <item x="23"/>
        <item x="54"/>
        <item x="2"/>
        <item x="53"/>
        <item x="34"/>
        <item x="55"/>
        <item x="25"/>
        <item x="26"/>
        <item x="27"/>
        <item x="28"/>
        <item x="29"/>
        <item x="30"/>
        <item x="31"/>
        <item x="17"/>
        <item x="7"/>
        <item x="13"/>
        <item x="12"/>
        <item x="4"/>
        <item x="14"/>
        <item x="15"/>
        <item x="16"/>
        <item x="18"/>
        <item x="8"/>
        <item x="9"/>
        <item x="10"/>
        <item x="11"/>
        <item x="19"/>
        <item x="20"/>
        <item x="2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5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Req Qty(Mtr)" fld="11" baseField="0" baseItem="0" numFmtId="3"/>
    <dataField name="  RFD Qty." fld="12" baseField="0" baseItem="0" numFmtId="3"/>
    <dataField name="   Balance to RFD" fld="13" baseField="0" baseItem="0" numFmtId="3"/>
    <dataField name="   Recovered Qty" fld="14" baseField="0" baseItem="0" numFmtId="3"/>
    <dataField name="  Final Balance" fld="15" baseField="0" baseItem="0" numFmtId="3"/>
  </dataFields>
  <formats count="7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grandRow="1" outline="0" fieldPosition="0"/>
    </format>
    <format dxfId="11">
      <pivotArea dataOnly="0" labelOnly="1" grandRow="1" outline="0" fieldPosition="0"/>
    </format>
    <format dxfId="10">
      <pivotArea field="18" type="button" dataOnly="0" labelOnly="1" outline="0" axis="axisRow" fieldPosition="0"/>
    </format>
    <format dxfId="9">
      <pivotArea dataOnly="0" labelOnly="1" outline="0" fieldPosition="0">
        <references count="1">
          <reference field="18" count="0"/>
        </references>
      </pivotArea>
    </format>
    <format dxfId="8">
      <pivotArea dataOnly="0" labelOnly="1" grandRow="1" outline="0" fieldPosition="0"/>
    </format>
  </format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4356"/>
      </a:accent1>
      <a:accent2>
        <a:srgbClr val="366083"/>
      </a:accent2>
      <a:accent3>
        <a:srgbClr val="B7A19B"/>
      </a:accent3>
      <a:accent4>
        <a:srgbClr val="929597"/>
      </a:accent4>
      <a:accent5>
        <a:srgbClr val="AF4F5A"/>
      </a:accent5>
      <a:accent6>
        <a:srgbClr val="957B8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4356"/>
  </sheetPr>
  <dimension ref="A1:X61"/>
  <sheetViews>
    <sheetView showGridLines="0" topLeftCell="A13" zoomScale="80" zoomScaleNormal="80" workbookViewId="0">
      <selection activeCell="T31" sqref="T31"/>
    </sheetView>
  </sheetViews>
  <sheetFormatPr defaultColWidth="9.109375" defaultRowHeight="14.4" x14ac:dyDescent="0.3"/>
  <cols>
    <col min="1" max="1" width="3" style="15" customWidth="1"/>
    <col min="2" max="2" width="3" customWidth="1"/>
    <col min="3" max="3" width="22" style="15" customWidth="1"/>
    <col min="4" max="6" width="11" style="13" customWidth="1"/>
    <col min="7" max="7" width="11" style="14" customWidth="1"/>
    <col min="8" max="8" width="2" style="14" customWidth="1"/>
    <col min="9" max="9" width="12.44140625" style="13" customWidth="1"/>
    <col min="10" max="10" width="16" style="13" customWidth="1"/>
    <col min="11" max="11" width="12.44140625" style="13" bestFit="1" customWidth="1"/>
    <col min="12" max="12" width="12.44140625" style="13" customWidth="1"/>
    <col min="13" max="13" width="12.44140625" customWidth="1"/>
    <col min="14" max="14" width="12.44140625" style="15" customWidth="1"/>
    <col min="15" max="15" width="2" style="15" customWidth="1"/>
    <col min="16" max="16" width="14" style="16" customWidth="1"/>
    <col min="17" max="17" width="14" style="15" customWidth="1"/>
    <col min="18" max="18" width="2" style="15" customWidth="1"/>
    <col min="19" max="21" width="14" style="15" customWidth="1"/>
    <col min="22" max="22" width="12.5546875" style="15" hidden="1" customWidth="1"/>
    <col min="23" max="23" width="16" style="15" hidden="1" customWidth="1"/>
    <col min="24" max="24" width="16" style="15" customWidth="1"/>
    <col min="25" max="26" width="9.109375" style="15" customWidth="1"/>
    <col min="27" max="16384" width="9.109375" style="15"/>
  </cols>
  <sheetData>
    <row r="1" spans="1:24" ht="12.75" customHeight="1" x14ac:dyDescent="0.3">
      <c r="A1" s="27"/>
      <c r="B1" s="27"/>
      <c r="C1" s="27"/>
      <c r="D1" s="28"/>
      <c r="E1" s="7"/>
      <c r="U1" s="19"/>
    </row>
    <row r="2" spans="1:24" ht="0.6" customHeight="1" x14ac:dyDescent="0.3">
      <c r="D2" s="7"/>
      <c r="E2" s="7"/>
      <c r="U2" s="19"/>
      <c r="V2" s="19"/>
    </row>
    <row r="3" spans="1:24" ht="6" hidden="1" customHeight="1" x14ac:dyDescent="0.3">
      <c r="D3" s="7"/>
      <c r="E3" s="7"/>
      <c r="U3" s="19"/>
      <c r="V3" s="19"/>
    </row>
    <row r="4" spans="1:24" ht="27" customHeight="1" x14ac:dyDescent="0.3">
      <c r="B4" s="15"/>
      <c r="C4" s="125" t="s">
        <v>445</v>
      </c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7"/>
      <c r="W4" s="20"/>
    </row>
    <row r="5" spans="1:24" s="38" customFormat="1" ht="22.2" customHeight="1" x14ac:dyDescent="0.3">
      <c r="C5" s="128" t="s">
        <v>476</v>
      </c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7"/>
      <c r="W5" s="39"/>
    </row>
    <row r="6" spans="1:24" ht="25.5" hidden="1" customHeight="1" x14ac:dyDescent="0.4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0" t="s">
        <v>446</v>
      </c>
      <c r="T6" s="31"/>
      <c r="U6" s="32">
        <v>46258</v>
      </c>
      <c r="W6" s="21"/>
    </row>
    <row r="7" spans="1:24" ht="19.2" customHeight="1" x14ac:dyDescent="0.3">
      <c r="C7" s="40">
        <v>46324</v>
      </c>
      <c r="D7" s="41"/>
      <c r="E7" s="41"/>
      <c r="F7" s="41"/>
      <c r="G7" s="41"/>
      <c r="H7" s="41"/>
      <c r="I7" s="42">
        <f>C7+1</f>
      </c>
      <c r="J7" s="41"/>
      <c r="K7" s="41"/>
      <c r="L7" s="41"/>
      <c r="M7" s="42">
        <f>C7</f>
      </c>
      <c r="N7" s="41"/>
      <c r="O7" s="41"/>
      <c r="P7" s="43"/>
      <c r="Q7" s="44"/>
      <c r="R7" s="45"/>
      <c r="S7" s="40" t="s">
        <v>446</v>
      </c>
      <c r="T7" s="46"/>
      <c r="U7" s="40">
        <v>46308</v>
      </c>
    </row>
    <row r="8" spans="1:24" ht="21.6" customHeight="1" x14ac:dyDescent="0.3">
      <c r="C8" s="129" t="s">
        <v>447</v>
      </c>
      <c r="D8" s="133">
        <f ca="1">TODAY()</f>
      </c>
      <c r="E8" s="134"/>
      <c r="F8" s="134"/>
      <c r="G8" s="135"/>
      <c r="H8" s="41"/>
      <c r="I8" s="137" t="s">
        <v>448</v>
      </c>
      <c r="J8" s="134"/>
      <c r="K8" s="134"/>
      <c r="L8" s="134"/>
      <c r="M8" s="134"/>
      <c r="N8" s="135"/>
      <c r="O8" s="41"/>
      <c r="P8" s="136" t="s">
        <v>449</v>
      </c>
      <c r="Q8" s="131" t="s">
        <v>450</v>
      </c>
      <c r="R8" s="46"/>
      <c r="S8" s="129" t="s">
        <v>451</v>
      </c>
      <c r="T8" s="138" t="s">
        <v>452</v>
      </c>
      <c r="U8" s="131" t="s">
        <v>453</v>
      </c>
      <c r="W8" s="21">
        <f>SUBTOTAL(9,W10:W20)</f>
      </c>
    </row>
    <row r="9" spans="1:24" ht="46.8" customHeight="1" x14ac:dyDescent="0.3">
      <c r="C9" s="130"/>
      <c r="D9" s="47" t="s">
        <v>454</v>
      </c>
      <c r="E9" s="47" t="s">
        <v>455</v>
      </c>
      <c r="F9" s="47" t="s">
        <v>456</v>
      </c>
      <c r="G9" s="48" t="s">
        <v>457</v>
      </c>
      <c r="H9" s="49"/>
      <c r="I9" s="50" t="s">
        <v>454</v>
      </c>
      <c r="J9" s="47" t="str">
        <f ca="1">"ACTUAL UPTO "&amp;TEXT(TODAY(),"mmmm d, yyyy")</f>
      </c>
      <c r="K9" s="51" t="s">
        <v>458</v>
      </c>
      <c r="L9" s="47" t="s">
        <v>459</v>
      </c>
      <c r="M9" s="47" t="s">
        <v>460</v>
      </c>
      <c r="N9" s="48" t="s">
        <v>461</v>
      </c>
      <c r="O9" s="49"/>
      <c r="P9" s="130"/>
      <c r="Q9" s="132"/>
      <c r="R9" s="46"/>
      <c r="S9" s="130"/>
      <c r="T9" s="139"/>
      <c r="U9" s="132"/>
    </row>
    <row r="10" spans="1:24" ht="21.9" customHeight="1" x14ac:dyDescent="0.3">
      <c r="C10" s="52" t="s">
        <v>151</v>
      </c>
      <c r="D10" s="53">
        <f>SUMIFS('Fab Plan-Final'!L:L,'Fab Plan-Final'!S:S,'Buyer Wise OTT Hit Rate'!$C$7,'Fab Plan-Final'!A:A,'Buyer Wise OTT Hit Rate'!C10)</f>
      </c>
      <c r="E10" s="53">
        <f>SUMIFS('Fab Plan-Final'!M:M,'Fab Plan-Final'!S:S,'Buyer Wise OTT Hit Rate'!$C$7,'Fab Plan-Final'!A:A,'Buyer Wise OTT Hit Rate'!C10)</f>
      </c>
      <c r="F10" s="54">
        <f t="shared" ref="F10:F23" si="0">E10-D10</f>
      </c>
      <c r="G10" s="55">
        <f t="shared" ref="G10:G23" si="1">IFERROR((E10/D10),"")</f>
      </c>
      <c r="H10" s="56"/>
      <c r="I10" s="57">
        <f>SUMIFS('Fab Plan-Final'!L:L,
'Fab Plan-Final'!S:S,"&lt;"&amp;$I$7,
'Fab Plan-Final'!A:A,'Buyer Wise OTT Hit Rate'!C10)</f>
      </c>
      <c r="J10" s="53">
        <f>SUMIFS('Fab Plan-Final'!M:M,
'Fab Plan-Final'!S:S,"&lt;"&amp;$I$7,
'Fab Plan-Final'!A:A,'Buyer Wise OTT Hit Rate'!C10)</f>
      </c>
      <c r="K10" s="58">
        <f t="shared" ref="K10:K24" si="2">IFERROR(J10/I10,"")</f>
      </c>
      <c r="L10" s="54">
        <f t="shared" ref="L10:L23" si="3">J10-I10</f>
      </c>
      <c r="M10" s="54">
        <f>SUMIFS('Fab Plan-Final'!M:M,
'Fab Plan-Final'!S:S,"&gt;"&amp;$M$7,
'Fab Plan-Final'!A:A,'Buyer Wise OTT Hit Rate'!C10)</f>
      </c>
      <c r="N10" s="55">
        <f t="shared" ref="N10:N24" si="4">IFERROR((J10+M10)/I10,"")</f>
      </c>
      <c r="O10" s="56"/>
      <c r="P10" s="59">
        <f>SUMIFS('Fab Plan-Final'!O:O,
'Fab Plan-Final'!S:S,"&lt;"&amp;$I$7,
'Fab Plan-Final'!A:A,'Buyer Wise OTT Hit Rate'!C10)</f>
      </c>
      <c r="Q10" s="60">
        <f t="shared" ref="Q10:Q23" si="5">(J10+P10)-I10</f>
      </c>
      <c r="R10" s="61"/>
      <c r="S10" s="62">
        <f>SUMIFS('Fab Plan-Final'!L:L,'Fab Plan-Final'!A:A,'Buyer Wise OTT Hit Rate'!C10)</f>
      </c>
      <c r="T10" s="63">
        <f t="shared" ref="T10:T23" si="6">J10+M10+P10</f>
      </c>
      <c r="U10" s="64">
        <f t="shared" ref="U10:U23" si="7">S10-T10</f>
      </c>
      <c r="V10" s="13">
        <v>18549.675999999999</v>
      </c>
      <c r="W10" s="7">
        <f t="shared" ref="W10:W20" si="8">V10-M10</f>
      </c>
      <c r="X10" s="17"/>
    </row>
    <row r="11" spans="1:24" ht="21.9" customHeight="1" x14ac:dyDescent="0.3">
      <c r="C11" s="65" t="s">
        <v>288</v>
      </c>
      <c r="D11" s="66">
        <f>SUMIFS('Fab Plan-Final'!L:L,'Fab Plan-Final'!S:S,'Buyer Wise OTT Hit Rate'!$C$7,'Fab Plan-Final'!A:A,'Buyer Wise OTT Hit Rate'!C11)</f>
      </c>
      <c r="E11" s="66">
        <f>SUMIFS('Fab Plan-Final'!M:M,'Fab Plan-Final'!S:S,'Buyer Wise OTT Hit Rate'!$C$7,'Fab Plan-Final'!A:A,'Buyer Wise OTT Hit Rate'!C11)</f>
      </c>
      <c r="F11" s="67">
        <f t="shared" si="0"/>
      </c>
      <c r="G11" s="68">
        <f t="shared" si="1"/>
      </c>
      <c r="H11" s="56"/>
      <c r="I11" s="69">
        <f>SUMIFS('Fab Plan-Final'!L:L,
'Fab Plan-Final'!S:S,"&lt;"&amp;$I$7,
'Fab Plan-Final'!A:A,'Buyer Wise OTT Hit Rate'!C11)</f>
      </c>
      <c r="J11" s="66">
        <f>SUMIFS('Fab Plan-Final'!M:M,
'Fab Plan-Final'!S:S,"&lt;"&amp;$I$7,
'Fab Plan-Final'!A:A,'Buyer Wise OTT Hit Rate'!C11)</f>
      </c>
      <c r="K11" s="70">
        <f t="shared" si="2"/>
      </c>
      <c r="L11" s="67">
        <f t="shared" si="3"/>
      </c>
      <c r="M11" s="67">
        <f>SUMIFS('Fab Plan-Final'!M:M,
'Fab Plan-Final'!S:S,"&gt;"&amp;$M$7,
'Fab Plan-Final'!A:A,'Buyer Wise OTT Hit Rate'!C11)</f>
      </c>
      <c r="N11" s="68">
        <f t="shared" si="4"/>
      </c>
      <c r="O11" s="56"/>
      <c r="P11" s="71">
        <f>SUMIFS('Fab Plan-Final'!O:O,
'Fab Plan-Final'!S:S,"&lt;"&amp;$I$7,
'Fab Plan-Final'!A:A,'Buyer Wise OTT Hit Rate'!C11)</f>
      </c>
      <c r="Q11" s="72">
        <f t="shared" si="5"/>
      </c>
      <c r="R11" s="61"/>
      <c r="S11" s="69">
        <f>SUMIFS('Fab Plan-Final'!L:L,'Fab Plan-Final'!A:A,'Buyer Wise OTT Hit Rate'!C11)</f>
      </c>
      <c r="T11" s="73">
        <f t="shared" si="6"/>
      </c>
      <c r="U11" s="74">
        <f t="shared" si="7"/>
      </c>
      <c r="V11" s="13">
        <v>26775.578000000001</v>
      </c>
      <c r="W11" s="7">
        <f t="shared" si="8"/>
      </c>
      <c r="X11" s="17"/>
    </row>
    <row r="12" spans="1:24" ht="21.9" customHeight="1" x14ac:dyDescent="0.3">
      <c r="C12" s="75" t="s">
        <v>93</v>
      </c>
      <c r="D12" s="76">
        <f>SUMIFS('Fab Plan-Final'!L:L,'Fab Plan-Final'!S:S,'Buyer Wise OTT Hit Rate'!$C$7,'Fab Plan-Final'!A:A,'Buyer Wise OTT Hit Rate'!C12)</f>
      </c>
      <c r="E12" s="76">
        <f>SUMIFS('Fab Plan-Final'!M:M,'Fab Plan-Final'!S:S,'Buyer Wise OTT Hit Rate'!$C$7,'Fab Plan-Final'!A:A,'Buyer Wise OTT Hit Rate'!C12)</f>
      </c>
      <c r="F12" s="77">
        <f t="shared" si="0"/>
      </c>
      <c r="G12" s="78" t="str">
        <f t="shared" si="1"/>
        <v/>
      </c>
      <c r="H12" s="56"/>
      <c r="I12" s="62">
        <f>SUMIFS('Fab Plan-Final'!L:L,
'Fab Plan-Final'!S:S,"&lt;"&amp;$I$7,
'Fab Plan-Final'!A:A,'Buyer Wise OTT Hit Rate'!C12)</f>
      </c>
      <c r="J12" s="76">
        <f>SUMIFS('Fab Plan-Final'!M:M,
'Fab Plan-Final'!S:S,"&lt;"&amp;$I$7,
'Fab Plan-Final'!A:A,'Buyer Wise OTT Hit Rate'!C12)</f>
      </c>
      <c r="K12" s="79" t="str">
        <f t="shared" si="2"/>
        <v/>
      </c>
      <c r="L12" s="77">
        <f t="shared" si="3"/>
        <v>0</v>
      </c>
      <c r="M12" s="77">
        <f>SUMIFS('Fab Plan-Final'!M:M,
'Fab Plan-Final'!S:S,"&gt;"&amp;$M$7,
'Fab Plan-Final'!A:A,'Buyer Wise OTT Hit Rate'!C12)</f>
      </c>
      <c r="N12" s="78" t="str">
        <f t="shared" si="4"/>
        <v/>
      </c>
      <c r="O12" s="56"/>
      <c r="P12" s="80">
        <f>SUMIFS('Fab Plan-Final'!O:O,
'Fab Plan-Final'!S:S,"&lt;"&amp;$I$7,
'Fab Plan-Final'!A:A,'Buyer Wise OTT Hit Rate'!C12)</f>
      </c>
      <c r="Q12" s="81">
        <f t="shared" si="5"/>
      </c>
      <c r="R12" s="61"/>
      <c r="S12" s="62">
        <f>SUMIFS('Fab Plan-Final'!L:L,'Fab Plan-Final'!A:A,'Buyer Wise OTT Hit Rate'!C12)</f>
      </c>
      <c r="T12" s="63">
        <f t="shared" si="6"/>
      </c>
      <c r="U12" s="64">
        <f t="shared" si="7"/>
      </c>
      <c r="V12" s="13"/>
      <c r="W12" s="7">
        <f t="shared" si="8"/>
      </c>
      <c r="X12" s="17"/>
    </row>
    <row r="13" spans="1:24" ht="21.9" customHeight="1" x14ac:dyDescent="0.3">
      <c r="C13" s="65" t="s">
        <v>76</v>
      </c>
      <c r="D13" s="66">
        <f>SUMIFS('Fab Plan-Final'!L:L,'Fab Plan-Final'!S:S,'Buyer Wise OTT Hit Rate'!$C$7,'Fab Plan-Final'!A:A,'Buyer Wise OTT Hit Rate'!C13)</f>
      </c>
      <c r="E13" s="66">
        <f>SUMIFS('Fab Plan-Final'!M:M,'Fab Plan-Final'!S:S,'Buyer Wise OTT Hit Rate'!$C$7,'Fab Plan-Final'!A:A,'Buyer Wise OTT Hit Rate'!C13)</f>
      </c>
      <c r="F13" s="67">
        <f t="shared" si="0"/>
      </c>
      <c r="G13" s="68">
        <f t="shared" si="1"/>
      </c>
      <c r="H13" s="56"/>
      <c r="I13" s="69">
        <f>SUMIFS('Fab Plan-Final'!L:L,
'Fab Plan-Final'!S:S,"&lt;"&amp;$I$7,
'Fab Plan-Final'!A:A,'Buyer Wise OTT Hit Rate'!C13)</f>
      </c>
      <c r="J13" s="66">
        <f>SUMIFS('Fab Plan-Final'!M:M,
'Fab Plan-Final'!S:S,"&lt;"&amp;$I$7,
'Fab Plan-Final'!A:A,'Buyer Wise OTT Hit Rate'!C13)</f>
      </c>
      <c r="K13" s="70">
        <f t="shared" si="2"/>
      </c>
      <c r="L13" s="67">
        <f t="shared" si="3"/>
      </c>
      <c r="M13" s="67">
        <f>SUMIFS('Fab Plan-Final'!M:M,
'Fab Plan-Final'!S:S,"&gt;"&amp;$M$7,
'Fab Plan-Final'!A:A,'Buyer Wise OTT Hit Rate'!C13)</f>
      </c>
      <c r="N13" s="68">
        <f t="shared" si="4"/>
      </c>
      <c r="O13" s="56"/>
      <c r="P13" s="71">
        <f>SUMIFS('Fab Plan-Final'!O:O,
'Fab Plan-Final'!S:S,"&lt;"&amp;$I$7,
'Fab Plan-Final'!A:A,'Buyer Wise OTT Hit Rate'!C13)</f>
      </c>
      <c r="Q13" s="72">
        <f t="shared" si="5"/>
      </c>
      <c r="R13" s="61"/>
      <c r="S13" s="69">
        <f>SUMIFS('Fab Plan-Final'!L:L,'Fab Plan-Final'!A:A,'Buyer Wise OTT Hit Rate'!C13)</f>
      </c>
      <c r="T13" s="73">
        <f t="shared" si="6"/>
      </c>
      <c r="U13" s="74">
        <f t="shared" si="7"/>
      </c>
      <c r="V13" s="13">
        <v>240639.47200000001</v>
      </c>
      <c r="W13" s="7">
        <f t="shared" si="8"/>
      </c>
      <c r="X13" s="17"/>
    </row>
    <row r="14" spans="1:24" ht="21.75" customHeight="1" x14ac:dyDescent="0.3">
      <c r="C14" s="75" t="s">
        <v>60</v>
      </c>
      <c r="D14" s="76">
        <f>SUMIFS('Fab Plan-Final'!L:L,'Fab Plan-Final'!S:S,'Buyer Wise OTT Hit Rate'!$C$7,'Fab Plan-Final'!A:A,'Buyer Wise OTT Hit Rate'!C14)</f>
      </c>
      <c r="E14" s="76">
        <f>SUMIFS('Fab Plan-Final'!M:M,'Fab Plan-Final'!S:S,'Buyer Wise OTT Hit Rate'!$C$7,'Fab Plan-Final'!A:A,'Buyer Wise OTT Hit Rate'!C14)</f>
      </c>
      <c r="F14" s="77">
        <f t="shared" si="0"/>
      </c>
      <c r="G14" s="78">
        <f t="shared" si="1"/>
      </c>
      <c r="H14" s="56"/>
      <c r="I14" s="62">
        <f>SUMIFS('Fab Plan-Final'!L:L,
'Fab Plan-Final'!S:S,"&lt;"&amp;$I$7,
'Fab Plan-Final'!A:A,'Buyer Wise OTT Hit Rate'!C14)</f>
      </c>
      <c r="J14" s="76">
        <f>SUMIFS('Fab Plan-Final'!M:M,
'Fab Plan-Final'!S:S,"&lt;"&amp;$I$7,
'Fab Plan-Final'!A:A,'Buyer Wise OTT Hit Rate'!C14)</f>
      </c>
      <c r="K14" s="79">
        <f t="shared" si="2"/>
      </c>
      <c r="L14" s="77">
        <f t="shared" si="3"/>
      </c>
      <c r="M14" s="77">
        <f>SUMIFS('Fab Plan-Final'!M:M,
'Fab Plan-Final'!S:S,"&gt;"&amp;$M$7,
'Fab Plan-Final'!A:A,'Buyer Wise OTT Hit Rate'!C14)</f>
      </c>
      <c r="N14" s="78">
        <f t="shared" si="4"/>
      </c>
      <c r="O14" s="56"/>
      <c r="P14" s="80">
        <f>SUMIFS('Fab Plan-Final'!O:O,
'Fab Plan-Final'!S:S,"&lt;"&amp;$I$7,
'Fab Plan-Final'!A:A,'Buyer Wise OTT Hit Rate'!C14)</f>
      </c>
      <c r="Q14" s="81">
        <f t="shared" si="5"/>
      </c>
      <c r="R14" s="61"/>
      <c r="S14" s="62">
        <f>SUMIFS('Fab Plan-Final'!L:L,'Fab Plan-Final'!A:A,'Buyer Wise OTT Hit Rate'!C14)</f>
      </c>
      <c r="T14" s="63">
        <f t="shared" si="6"/>
      </c>
      <c r="U14" s="64">
        <f t="shared" si="7"/>
      </c>
      <c r="V14" s="13">
        <v>126361.9045</v>
      </c>
      <c r="W14" s="7">
        <f t="shared" si="8"/>
      </c>
      <c r="X14" s="17"/>
    </row>
    <row r="15" spans="1:24" ht="21.75" customHeight="1" x14ac:dyDescent="0.3">
      <c r="C15" s="65" t="s">
        <v>462</v>
      </c>
      <c r="D15" s="66">
        <f>SUMIFS('Fab Plan-Final'!L:L,'Fab Plan-Final'!S:S,'Buyer Wise OTT Hit Rate'!$C$7,'Fab Plan-Final'!A:A,'Buyer Wise OTT Hit Rate'!C15)</f>
      </c>
      <c r="E15" s="66">
        <f>SUMIFS('Fab Plan-Final'!M:M,'Fab Plan-Final'!S:S,'Buyer Wise OTT Hit Rate'!$C$7,'Fab Plan-Final'!A:A,'Buyer Wise OTT Hit Rate'!C15)</f>
      </c>
      <c r="F15" s="67">
        <f t="shared" si="0"/>
      </c>
      <c r="G15" s="68" t="str">
        <f t="shared" si="1"/>
        <v/>
      </c>
      <c r="H15" s="56"/>
      <c r="I15" s="69">
        <f>SUMIFS('Fab Plan-Final'!L:L,
'Fab Plan-Final'!S:S,"&lt;"&amp;$I$7,
'Fab Plan-Final'!A:A,'Buyer Wise OTT Hit Rate'!C15)</f>
      </c>
      <c r="J15" s="66">
        <f>SUMIFS('Fab Plan-Final'!M:M,
'Fab Plan-Final'!S:S,"&lt;"&amp;$I$7,
'Fab Plan-Final'!A:A,'Buyer Wise OTT Hit Rate'!C15)</f>
      </c>
      <c r="K15" s="70" t="str">
        <f t="shared" si="2"/>
        <v/>
      </c>
      <c r="L15" s="67">
        <f t="shared" si="3"/>
        <v>0</v>
      </c>
      <c r="M15" s="67">
        <f>SUMIFS('Fab Plan-Final'!M:M,
'Fab Plan-Final'!S:S,"&gt;"&amp;$M$7,
'Fab Plan-Final'!A:A,'Buyer Wise OTT Hit Rate'!C15)</f>
      </c>
      <c r="N15" s="68" t="str">
        <f t="shared" si="4"/>
        <v/>
      </c>
      <c r="O15" s="56"/>
      <c r="P15" s="71">
        <f>SUMIFS('Fab Plan-Final'!O:O,
'Fab Plan-Final'!S:S,"&lt;"&amp;$I$7,
'Fab Plan-Final'!A:A,'Buyer Wise OTT Hit Rate'!C15)</f>
      </c>
      <c r="Q15" s="72">
        <f t="shared" si="5"/>
      </c>
      <c r="R15" s="61"/>
      <c r="S15" s="69">
        <f>SUMIFS('Fab Plan-Final'!L:L,'Fab Plan-Final'!A:A,'Buyer Wise OTT Hit Rate'!C15)</f>
      </c>
      <c r="T15" s="73">
        <f t="shared" si="6"/>
      </c>
      <c r="U15" s="74">
        <f t="shared" si="7"/>
      </c>
      <c r="V15" s="13"/>
      <c r="W15" s="7">
        <f t="shared" si="8"/>
      </c>
      <c r="X15" s="17"/>
    </row>
    <row r="16" spans="1:24" ht="21.9" customHeight="1" x14ac:dyDescent="0.3">
      <c r="C16" s="75" t="s">
        <v>268</v>
      </c>
      <c r="D16" s="76">
        <f>SUMIFS('Fab Plan-Final'!L:L,'Fab Plan-Final'!S:S,'Buyer Wise OTT Hit Rate'!$C$7,'Fab Plan-Final'!A:A,'Buyer Wise OTT Hit Rate'!C16)</f>
      </c>
      <c r="E16" s="76">
        <f>SUMIFS('Fab Plan-Final'!M:M,'Fab Plan-Final'!S:S,'Buyer Wise OTT Hit Rate'!$C$7,'Fab Plan-Final'!A:A,'Buyer Wise OTT Hit Rate'!C16)</f>
      </c>
      <c r="F16" s="77">
        <f t="shared" si="0"/>
      </c>
      <c r="G16" s="78">
        <f t="shared" si="1"/>
      </c>
      <c r="H16" s="56"/>
      <c r="I16" s="62">
        <f>SUMIFS('Fab Plan-Final'!L:L,
'Fab Plan-Final'!S:S,"&lt;"&amp;$I$7,
'Fab Plan-Final'!A:A,'Buyer Wise OTT Hit Rate'!C16)</f>
      </c>
      <c r="J16" s="76">
        <f>SUMIFS('Fab Plan-Final'!M:M,
'Fab Plan-Final'!S:S,"&lt;"&amp;$I$7,
'Fab Plan-Final'!A:A,'Buyer Wise OTT Hit Rate'!C16)</f>
      </c>
      <c r="K16" s="79">
        <f t="shared" si="2"/>
      </c>
      <c r="L16" s="77">
        <f t="shared" si="3"/>
      </c>
      <c r="M16" s="77">
        <f>SUMIFS('Fab Plan-Final'!M:M,
'Fab Plan-Final'!S:S,"&gt;"&amp;$M$7,
'Fab Plan-Final'!A:A,'Buyer Wise OTT Hit Rate'!C16)</f>
      </c>
      <c r="N16" s="78">
        <f t="shared" si="4"/>
      </c>
      <c r="O16" s="56"/>
      <c r="P16" s="80">
        <f>SUMIFS('Fab Plan-Final'!O:O,
'Fab Plan-Final'!S:S,"&lt;"&amp;$I$7,
'Fab Plan-Final'!A:A,'Buyer Wise OTT Hit Rate'!C16)</f>
      </c>
      <c r="Q16" s="81">
        <f t="shared" si="5"/>
      </c>
      <c r="R16" s="61"/>
      <c r="S16" s="62">
        <f>SUMIFS('Fab Plan-Final'!L:L,'Fab Plan-Final'!A:A,'Buyer Wise OTT Hit Rate'!C16)</f>
      </c>
      <c r="T16" s="63">
        <f t="shared" si="6"/>
      </c>
      <c r="U16" s="64">
        <f t="shared" si="7"/>
      </c>
      <c r="V16" s="13">
        <v>873.423</v>
      </c>
      <c r="W16" s="7">
        <f t="shared" si="8"/>
      </c>
      <c r="X16" s="17"/>
    </row>
    <row r="17" spans="3:24" ht="21.9" customHeight="1" x14ac:dyDescent="0.3">
      <c r="C17" s="65" t="s">
        <v>82</v>
      </c>
      <c r="D17" s="66">
        <f>SUMIFS('Fab Plan-Final'!L:L,'Fab Plan-Final'!S:S,'Buyer Wise OTT Hit Rate'!$C$7,'Fab Plan-Final'!A:A,'Buyer Wise OTT Hit Rate'!C17)</f>
      </c>
      <c r="E17" s="66">
        <f>SUMIFS('Fab Plan-Final'!M:M,'Fab Plan-Final'!S:S,'Buyer Wise OTT Hit Rate'!$C$7,'Fab Plan-Final'!A:A,'Buyer Wise OTT Hit Rate'!C17)</f>
      </c>
      <c r="F17" s="67">
        <f t="shared" si="0"/>
      </c>
      <c r="G17" s="68" t="str">
        <f t="shared" si="1"/>
        <v/>
      </c>
      <c r="H17" s="56"/>
      <c r="I17" s="69">
        <f>SUMIFS('Fab Plan-Final'!L:L,
'Fab Plan-Final'!S:S,"&lt;"&amp;$I$7,
'Fab Plan-Final'!A:A,'Buyer Wise OTT Hit Rate'!C17)</f>
      </c>
      <c r="J17" s="66">
        <f>SUMIFS('Fab Plan-Final'!M:M,
'Fab Plan-Final'!S:S,"&lt;"&amp;$I$7,
'Fab Plan-Final'!A:A,'Buyer Wise OTT Hit Rate'!C17)</f>
      </c>
      <c r="K17" s="70">
        <f t="shared" si="2"/>
      </c>
      <c r="L17" s="67">
        <f t="shared" si="3"/>
      </c>
      <c r="M17" s="67">
        <f>SUMIFS('Fab Plan-Final'!M:M,
'Fab Plan-Final'!S:S,"&gt;"&amp;$M$7,
'Fab Plan-Final'!A:A,'Buyer Wise OTT Hit Rate'!C17)</f>
      </c>
      <c r="N17" s="68">
        <f t="shared" si="4"/>
      </c>
      <c r="O17" s="56"/>
      <c r="P17" s="71">
        <f>SUMIFS('Fab Plan-Final'!O:O,
'Fab Plan-Final'!S:S,"&lt;"&amp;$I$7,
'Fab Plan-Final'!A:A,'Buyer Wise OTT Hit Rate'!C17)</f>
      </c>
      <c r="Q17" s="72">
        <f t="shared" si="5"/>
      </c>
      <c r="R17" s="61"/>
      <c r="S17" s="69">
        <f>SUMIFS('Fab Plan-Final'!L:L,'Fab Plan-Final'!A:A,'Buyer Wise OTT Hit Rate'!C17)</f>
      </c>
      <c r="T17" s="73">
        <f t="shared" si="6"/>
      </c>
      <c r="U17" s="74">
        <f t="shared" si="7"/>
      </c>
      <c r="V17" s="13">
        <v>331.8</v>
      </c>
      <c r="W17" s="7">
        <f t="shared" si="8"/>
      </c>
      <c r="X17" s="17"/>
    </row>
    <row r="18" spans="3:24" ht="21.9" customHeight="1" x14ac:dyDescent="0.3">
      <c r="C18" s="75" t="s">
        <v>463</v>
      </c>
      <c r="D18" s="76">
        <f>SUMIFS('Fab Plan-Final'!L:L,'Fab Plan-Final'!S:S,'Buyer Wise OTT Hit Rate'!$C$7,'Fab Plan-Final'!A:A,'Buyer Wise OTT Hit Rate'!C18)</f>
      </c>
      <c r="E18" s="76">
        <f>SUMIFS('Fab Plan-Final'!M:M,'Fab Plan-Final'!S:S,'Buyer Wise OTT Hit Rate'!$C$7,'Fab Plan-Final'!A:A,'Buyer Wise OTT Hit Rate'!C18)</f>
      </c>
      <c r="F18" s="77">
        <f t="shared" si="0"/>
      </c>
      <c r="G18" s="78" t="str">
        <f t="shared" si="1"/>
        <v/>
      </c>
      <c r="H18" s="56"/>
      <c r="I18" s="62">
        <f>SUMIFS('Fab Plan-Final'!L:L,
'Fab Plan-Final'!S:S,"&lt;"&amp;$I$7,
'Fab Plan-Final'!A:A,'Buyer Wise OTT Hit Rate'!C18)</f>
      </c>
      <c r="J18" s="76">
        <f>SUMIFS('Fab Plan-Final'!M:M,
'Fab Plan-Final'!S:S,"&lt;"&amp;$I$7,
'Fab Plan-Final'!A:A,'Buyer Wise OTT Hit Rate'!C18)</f>
      </c>
      <c r="K18" s="79" t="str">
        <f t="shared" si="2"/>
        <v/>
      </c>
      <c r="L18" s="77">
        <f t="shared" si="3"/>
        <v>0</v>
      </c>
      <c r="M18" s="77">
        <f>SUMIFS('Fab Plan-Final'!M:M,
'Fab Plan-Final'!S:S,"&gt;"&amp;$M$7,
'Fab Plan-Final'!A:A,'Buyer Wise OTT Hit Rate'!C18)</f>
      </c>
      <c r="N18" s="78" t="str">
        <f t="shared" si="4"/>
        <v/>
      </c>
      <c r="O18" s="56"/>
      <c r="P18" s="80">
        <f>SUMIFS('Fab Plan-Final'!O:O,
'Fab Plan-Final'!S:S,"&lt;"&amp;$I$7,
'Fab Plan-Final'!A:A,'Buyer Wise OTT Hit Rate'!C18)</f>
      </c>
      <c r="Q18" s="81">
        <f t="shared" si="5"/>
      </c>
      <c r="R18" s="61"/>
      <c r="S18" s="62">
        <f>SUMIFS('Fab Plan-Final'!L:L,'Fab Plan-Final'!A:A,'Buyer Wise OTT Hit Rate'!C18)</f>
      </c>
      <c r="T18" s="63">
        <f t="shared" si="6"/>
      </c>
      <c r="U18" s="64">
        <f t="shared" si="7"/>
      </c>
      <c r="V18" s="13">
        <v>47</v>
      </c>
      <c r="W18" s="7">
        <f t="shared" si="8"/>
      </c>
      <c r="X18" s="17"/>
    </row>
    <row r="19" spans="3:24" ht="21.9" customHeight="1" x14ac:dyDescent="0.3">
      <c r="C19" s="65" t="s">
        <v>311</v>
      </c>
      <c r="D19" s="66">
        <f>SUMIFS('Fab Plan-Final'!L:L,'Fab Plan-Final'!S:S,'Buyer Wise OTT Hit Rate'!$C$7,'Fab Plan-Final'!A:A,'Buyer Wise OTT Hit Rate'!C19)</f>
      </c>
      <c r="E19" s="66">
        <f>SUMIFS('Fab Plan-Final'!M:M,'Fab Plan-Final'!S:S,'Buyer Wise OTT Hit Rate'!$C$7,'Fab Plan-Final'!A:A,'Buyer Wise OTT Hit Rate'!C19)</f>
      </c>
      <c r="F19" s="67">
        <f t="shared" si="0"/>
      </c>
      <c r="G19" s="68" t="str">
        <f t="shared" si="1"/>
        <v/>
      </c>
      <c r="H19" s="56"/>
      <c r="I19" s="69">
        <f>SUMIFS('Fab Plan-Final'!L:L,
'Fab Plan-Final'!S:S,"&lt;"&amp;$I$7,
'Fab Plan-Final'!A:A,'Buyer Wise OTT Hit Rate'!C19)</f>
      </c>
      <c r="J19" s="66">
        <f>SUMIFS('Fab Plan-Final'!M:M,
'Fab Plan-Final'!S:S,"&lt;"&amp;$I$7,
'Fab Plan-Final'!A:A,'Buyer Wise OTT Hit Rate'!C19)</f>
      </c>
      <c r="K19" s="70">
        <f t="shared" si="2"/>
      </c>
      <c r="L19" s="67">
        <f t="shared" si="3"/>
      </c>
      <c r="M19" s="67">
        <f>SUMIFS('Fab Plan-Final'!M:M,
'Fab Plan-Final'!S:S,"&gt;"&amp;$M$7,
'Fab Plan-Final'!A:A,'Buyer Wise OTT Hit Rate'!C19)</f>
      </c>
      <c r="N19" s="68">
        <f t="shared" si="4"/>
      </c>
      <c r="O19" s="56"/>
      <c r="P19" s="71">
        <f>SUMIFS('Fab Plan-Final'!O:O,
'Fab Plan-Final'!S:S,"&lt;"&amp;$I$7,
'Fab Plan-Final'!A:A,'Buyer Wise OTT Hit Rate'!C19)</f>
      </c>
      <c r="Q19" s="72">
        <f t="shared" si="5"/>
      </c>
      <c r="R19" s="61"/>
      <c r="S19" s="69">
        <f>SUMIFS('Fab Plan-Final'!L:L,'Fab Plan-Final'!A:A,'Buyer Wise OTT Hit Rate'!C19)</f>
      </c>
      <c r="T19" s="73">
        <f t="shared" si="6"/>
      </c>
      <c r="U19" s="74">
        <f t="shared" si="7"/>
      </c>
      <c r="V19" s="13">
        <v>2097.5538000000001</v>
      </c>
      <c r="W19" s="7">
        <f t="shared" si="8"/>
      </c>
      <c r="X19" s="17"/>
    </row>
    <row r="20" spans="3:24" ht="21.9" customHeight="1" x14ac:dyDescent="0.3">
      <c r="C20" s="75" t="s">
        <v>263</v>
      </c>
      <c r="D20" s="76">
        <f>SUMIFS('Fab Plan-Final'!L:L,'Fab Plan-Final'!S:S,'Buyer Wise OTT Hit Rate'!$C$7,'Fab Plan-Final'!A:A,'Buyer Wise OTT Hit Rate'!C20)</f>
      </c>
      <c r="E20" s="76">
        <f>SUMIFS('Fab Plan-Final'!M:M,'Fab Plan-Final'!S:S,'Buyer Wise OTT Hit Rate'!$C$7,'Fab Plan-Final'!A:A,'Buyer Wise OTT Hit Rate'!C20)</f>
      </c>
      <c r="F20" s="77">
        <f t="shared" si="0"/>
      </c>
      <c r="G20" s="78">
        <f t="shared" si="1"/>
      </c>
      <c r="H20" s="56"/>
      <c r="I20" s="62">
        <f>SUMIFS('Fab Plan-Final'!L:L,
'Fab Plan-Final'!S:S,"&lt;"&amp;$I$7,
'Fab Plan-Final'!A:A,'Buyer Wise OTT Hit Rate'!C20)</f>
      </c>
      <c r="J20" s="76">
        <f>SUMIFS('Fab Plan-Final'!M:M,
'Fab Plan-Final'!S:S,"&lt;"&amp;$I$7,
'Fab Plan-Final'!A:A,'Buyer Wise OTT Hit Rate'!C20)</f>
      </c>
      <c r="K20" s="79">
        <f t="shared" si="2"/>
      </c>
      <c r="L20" s="77">
        <f t="shared" si="3"/>
      </c>
      <c r="M20" s="77">
        <f>SUMIFS('Fab Plan-Final'!M:M,
'Fab Plan-Final'!S:S,"&gt;"&amp;$M$7,
'Fab Plan-Final'!A:A,'Buyer Wise OTT Hit Rate'!C20)</f>
      </c>
      <c r="N20" s="78">
        <f t="shared" si="4"/>
      </c>
      <c r="O20" s="56"/>
      <c r="P20" s="80">
        <f>SUMIFS('Fab Plan-Final'!O:O,
'Fab Plan-Final'!S:S,"&lt;"&amp;$I$7,
'Fab Plan-Final'!A:A,'Buyer Wise OTT Hit Rate'!C20)</f>
      </c>
      <c r="Q20" s="81">
        <f t="shared" si="5"/>
      </c>
      <c r="R20" s="61"/>
      <c r="S20" s="62">
        <f>SUMIFS('Fab Plan-Final'!L:L,'Fab Plan-Final'!A:A,'Buyer Wise OTT Hit Rate'!C20)</f>
      </c>
      <c r="T20" s="63">
        <f t="shared" si="6"/>
      </c>
      <c r="U20" s="64">
        <f t="shared" si="7"/>
      </c>
      <c r="V20" s="13">
        <v>3396.7809999999999</v>
      </c>
      <c r="W20" s="7">
        <f t="shared" si="8"/>
      </c>
      <c r="X20" s="17"/>
    </row>
    <row r="21" spans="3:24" ht="21.9" customHeight="1" x14ac:dyDescent="0.3">
      <c r="C21" s="65" t="s">
        <v>282</v>
      </c>
      <c r="D21" s="66">
        <f>SUMIFS('Fab Plan-Final'!L:L,'Fab Plan-Final'!S:S,'Buyer Wise OTT Hit Rate'!$C$7,'Fab Plan-Final'!A:A,'Buyer Wise OTT Hit Rate'!C21)</f>
      </c>
      <c r="E21" s="66">
        <f>SUMIFS('Fab Plan-Final'!M:M,'Fab Plan-Final'!S:S,'Buyer Wise OTT Hit Rate'!$C$7,'Fab Plan-Final'!A:A,'Buyer Wise OTT Hit Rate'!C21)</f>
      </c>
      <c r="F21" s="67">
        <f t="shared" si="0"/>
      </c>
      <c r="G21" s="68" t="str">
        <f t="shared" si="1"/>
        <v/>
      </c>
      <c r="H21" s="56"/>
      <c r="I21" s="69">
        <f>SUMIFS('Fab Plan-Final'!L:L,
'Fab Plan-Final'!S:S,"&lt;"&amp;$I$7,
'Fab Plan-Final'!A:A,'Buyer Wise OTT Hit Rate'!C21)</f>
      </c>
      <c r="J21" s="66">
        <f>SUMIFS('Fab Plan-Final'!M:M,
'Fab Plan-Final'!S:S,"&lt;"&amp;$I$7,
'Fab Plan-Final'!A:A,'Buyer Wise OTT Hit Rate'!C21)</f>
      </c>
      <c r="K21" s="70" t="str">
        <f t="shared" si="2"/>
        <v/>
      </c>
      <c r="L21" s="67">
        <f t="shared" si="3"/>
        <v>0</v>
      </c>
      <c r="M21" s="67">
        <f>SUMIFS('Fab Plan-Final'!M:M,
'Fab Plan-Final'!S:S,"&gt;"&amp;$M$7,
'Fab Plan-Final'!A:A,'Buyer Wise OTT Hit Rate'!C21)</f>
      </c>
      <c r="N21" s="68" t="str">
        <f t="shared" si="4"/>
        <v/>
      </c>
      <c r="O21" s="56"/>
      <c r="P21" s="71">
        <f>SUMIFS('Fab Plan-Final'!O:O,
'Fab Plan-Final'!S:S,"&lt;"&amp;$I$7,
'Fab Plan-Final'!A:A,'Buyer Wise OTT Hit Rate'!C21)</f>
      </c>
      <c r="Q21" s="72">
        <f t="shared" si="5"/>
      </c>
      <c r="R21" s="61"/>
      <c r="S21" s="69">
        <f>SUMIFS('Fab Plan-Final'!L:L,'Fab Plan-Final'!A:A,'Buyer Wise OTT Hit Rate'!C21)</f>
      </c>
      <c r="T21" s="73">
        <f t="shared" si="6"/>
      </c>
      <c r="U21" s="74">
        <f t="shared" si="7"/>
      </c>
      <c r="V21" s="13"/>
      <c r="W21" s="7"/>
      <c r="X21" s="17"/>
    </row>
    <row r="22" spans="3:24" ht="21.9" customHeight="1" x14ac:dyDescent="0.3">
      <c r="C22" s="75" t="s">
        <v>125</v>
      </c>
      <c r="D22" s="76">
        <f>SUMIFS('Fab Plan-Final'!L:L,'Fab Plan-Final'!S:S,'Buyer Wise OTT Hit Rate'!$C$7,'Fab Plan-Final'!A:A,'Buyer Wise OTT Hit Rate'!C22)</f>
      </c>
      <c r="E22" s="76">
        <f>SUMIFS('Fab Plan-Final'!M:M,'Fab Plan-Final'!S:S,'Buyer Wise OTT Hit Rate'!$C$7,'Fab Plan-Final'!A:A,'Buyer Wise OTT Hit Rate'!C22)</f>
      </c>
      <c r="F22" s="77">
        <f t="shared" si="0"/>
      </c>
      <c r="G22" s="78" t="str">
        <f t="shared" si="1"/>
        <v/>
      </c>
      <c r="H22" s="56"/>
      <c r="I22" s="62">
        <f>SUMIFS('Fab Plan-Final'!L:L,
'Fab Plan-Final'!S:S,"&lt;"&amp;$I$7,
'Fab Plan-Final'!A:A,'Buyer Wise OTT Hit Rate'!C22)</f>
      </c>
      <c r="J22" s="76">
        <f>SUMIFS('Fab Plan-Final'!M:M,
'Fab Plan-Final'!S:S,"&lt;"&amp;$I$7,
'Fab Plan-Final'!A:A,'Buyer Wise OTT Hit Rate'!C22)</f>
      </c>
      <c r="K22" s="79">
        <f t="shared" si="2"/>
      </c>
      <c r="L22" s="77">
        <f t="shared" si="3"/>
      </c>
      <c r="M22" s="77">
        <f>SUMIFS('Fab Plan-Final'!M:M,
'Fab Plan-Final'!S:S,"&gt;"&amp;$M$7,
'Fab Plan-Final'!A:A,'Buyer Wise OTT Hit Rate'!C22)</f>
      </c>
      <c r="N22" s="78">
        <f t="shared" si="4"/>
      </c>
      <c r="O22" s="56"/>
      <c r="P22" s="80">
        <f>SUMIFS('Fab Plan-Final'!O:O,
'Fab Plan-Final'!S:S,"&lt;"&amp;$I$7,
'Fab Plan-Final'!A:A,'Buyer Wise OTT Hit Rate'!C22)</f>
      </c>
      <c r="Q22" s="81">
        <f t="shared" si="5"/>
      </c>
      <c r="R22" s="61"/>
      <c r="S22" s="62">
        <f>SUMIFS('Fab Plan-Final'!L:L,'Fab Plan-Final'!A:A,'Buyer Wise OTT Hit Rate'!C22)</f>
      </c>
      <c r="T22" s="63">
        <f t="shared" si="6"/>
      </c>
      <c r="U22" s="64">
        <f t="shared" si="7"/>
      </c>
      <c r="V22" s="13"/>
      <c r="W22" s="7"/>
      <c r="X22" s="17"/>
    </row>
    <row r="23" spans="3:24" ht="21.9" customHeight="1" thickBot="1" x14ac:dyDescent="0.35">
      <c r="C23" s="65" t="s">
        <v>253</v>
      </c>
      <c r="D23" s="66">
        <f>SUMIFS('Fab Plan-Final'!L:L,'Fab Plan-Final'!S:S,'Buyer Wise OTT Hit Rate'!$C$7,'Fab Plan-Final'!A:A,'Buyer Wise OTT Hit Rate'!C23)</f>
      </c>
      <c r="E23" s="66">
        <f>SUMIFS('Fab Plan-Final'!M:M,'Fab Plan-Final'!S:S,'Buyer Wise OTT Hit Rate'!$C$7,'Fab Plan-Final'!A:A,'Buyer Wise OTT Hit Rate'!C23)</f>
      </c>
      <c r="F23" s="67">
        <f t="shared" si="0"/>
      </c>
      <c r="G23" s="68" t="str">
        <f t="shared" si="1"/>
        <v/>
      </c>
      <c r="H23" s="56"/>
      <c r="I23" s="69">
        <f>SUMIFS('Fab Plan-Final'!L:L,
'Fab Plan-Final'!S:S,"&lt;"&amp;$I$7,
'Fab Plan-Final'!A:A,'Buyer Wise OTT Hit Rate'!C23)</f>
      </c>
      <c r="J23" s="66">
        <f>SUMIFS('Fab Plan-Final'!M:M,
'Fab Plan-Final'!S:S,"&lt;"&amp;$I$7,
'Fab Plan-Final'!A:A,'Buyer Wise OTT Hit Rate'!C23)</f>
      </c>
      <c r="K23" s="70">
        <f t="shared" si="2"/>
      </c>
      <c r="L23" s="67">
        <f t="shared" si="3"/>
      </c>
      <c r="M23" s="67">
        <f>SUMIFS('Fab Plan-Final'!M:M,
'Fab Plan-Final'!S:S,"&gt;"&amp;$M$7,
'Fab Plan-Final'!A:A,'Buyer Wise OTT Hit Rate'!C23)</f>
      </c>
      <c r="N23" s="68">
        <f t="shared" si="4"/>
      </c>
      <c r="O23" s="56"/>
      <c r="P23" s="71">
        <f>SUMIFS('Fab Plan-Final'!O:O,
'Fab Plan-Final'!S:S,"&lt;"&amp;$I$7,
'Fab Plan-Final'!A:A,'Buyer Wise OTT Hit Rate'!C23)</f>
      </c>
      <c r="Q23" s="72">
        <f t="shared" si="5"/>
      </c>
      <c r="R23" s="61"/>
      <c r="S23" s="69">
        <f>SUMIFS('Fab Plan-Final'!L:L,'Fab Plan-Final'!A:A,'Buyer Wise OTT Hit Rate'!C23)</f>
      </c>
      <c r="T23" s="73">
        <f t="shared" si="6"/>
      </c>
      <c r="U23" s="74">
        <f t="shared" si="7"/>
      </c>
      <c r="V23" s="13"/>
      <c r="W23" s="7"/>
      <c r="X23" s="17"/>
    </row>
    <row r="24" spans="3:24" ht="21" customHeight="1" x14ac:dyDescent="0.3">
      <c r="C24" s="82" t="s">
        <v>464</v>
      </c>
      <c r="D24" s="83">
        <f>SUM(D10:D23)</f>
      </c>
      <c r="E24" s="83">
        <f>SUM(E10:E23)</f>
      </c>
      <c r="F24" s="83">
        <f>SUM(F10:F23)</f>
      </c>
      <c r="G24" s="84">
        <f>IFERROR(E24/D24,"")</f>
      </c>
      <c r="H24" s="85"/>
      <c r="I24" s="86">
        <f>SUM(I10:I23)</f>
      </c>
      <c r="J24" s="83">
        <f>SUM(J10:J23)</f>
      </c>
      <c r="K24" s="87">
        <f t="shared" si="2"/>
      </c>
      <c r="L24" s="83">
        <f>SUM(L10:L23)</f>
      </c>
      <c r="M24" s="83">
        <f>SUM(M10:M23)</f>
      </c>
      <c r="N24" s="88">
        <f t="shared" si="4"/>
      </c>
      <c r="O24" s="85"/>
      <c r="P24" s="86">
        <f>SUM(P10:P23)</f>
      </c>
      <c r="Q24" s="89">
        <f>SUM(Q10:Q23)</f>
      </c>
      <c r="R24" s="90"/>
      <c r="S24" s="86">
        <f>SUM(S10:S23)</f>
      </c>
      <c r="T24" s="83">
        <f>SUM(T10:T23)</f>
      </c>
      <c r="U24" s="89">
        <f>SUM(U10:U23)</f>
      </c>
      <c r="V24" s="19"/>
      <c r="X24" s="19"/>
    </row>
    <row r="25" spans="3:24" x14ac:dyDescent="0.3">
      <c r="D25" s="7"/>
      <c r="E25" s="7"/>
      <c r="S25" s="18"/>
      <c r="T25" s="18"/>
      <c r="U25" s="19"/>
    </row>
    <row r="26" spans="3:24" x14ac:dyDescent="0.3">
      <c r="D26" s="22"/>
      <c r="E26" s="7"/>
      <c r="U26" s="19"/>
    </row>
    <row r="27" spans="3:24" x14ac:dyDescent="0.3">
      <c r="G27" s="13"/>
      <c r="U27" s="24"/>
    </row>
    <row r="28" spans="3:24" x14ac:dyDescent="0.3">
      <c r="G28" s="13"/>
    </row>
    <row r="30" spans="3:24" ht="18" customHeight="1" x14ac:dyDescent="0.3">
      <c r="I30" s="23"/>
      <c r="T30" s="24"/>
    </row>
    <row r="31" spans="3:24" ht="18" customHeight="1" x14ac:dyDescent="0.3">
      <c r="I31" s="23"/>
      <c r="J31" s="15"/>
      <c r="K31" s="15"/>
      <c r="L31" s="15"/>
      <c r="M31" s="15"/>
    </row>
    <row r="32" spans="3:24" ht="18" customHeight="1" x14ac:dyDescent="0.3">
      <c r="G32" s="23"/>
      <c r="I32" s="23"/>
    </row>
    <row r="33" spans="7:19" ht="18" customHeight="1" x14ac:dyDescent="0.3">
      <c r="G33" s="23"/>
      <c r="I33" s="23"/>
      <c r="N33" s="13"/>
      <c r="O33" s="13"/>
      <c r="P33" s="13"/>
      <c r="S33" s="24"/>
    </row>
    <row r="34" spans="7:19" ht="18" customHeight="1" x14ac:dyDescent="0.3">
      <c r="G34" s="23"/>
      <c r="I34" s="23"/>
      <c r="J34" s="15"/>
      <c r="K34" s="15"/>
      <c r="L34" s="15"/>
      <c r="M34" s="15"/>
    </row>
    <row r="35" spans="7:19" ht="18" customHeight="1" x14ac:dyDescent="0.3">
      <c r="G35" s="23"/>
      <c r="I35" s="23"/>
      <c r="N35" s="7"/>
      <c r="O35" s="7"/>
    </row>
    <row r="36" spans="7:19" ht="18" customHeight="1" x14ac:dyDescent="0.3">
      <c r="G36" s="23"/>
      <c r="I36" s="23"/>
      <c r="J36" s="15"/>
      <c r="K36" s="15"/>
      <c r="L36" s="15"/>
      <c r="M36" s="15"/>
      <c r="N36" s="7"/>
      <c r="O36" s="7"/>
      <c r="S36" s="24"/>
    </row>
    <row r="37" spans="7:19" ht="18" customHeight="1" x14ac:dyDescent="0.3">
      <c r="G37" s="23"/>
      <c r="I37" s="23"/>
      <c r="J37" s="15"/>
      <c r="K37" s="15"/>
      <c r="L37" s="15"/>
      <c r="M37" s="15"/>
      <c r="O37" s="7"/>
    </row>
    <row r="38" spans="7:19" ht="18" customHeight="1" x14ac:dyDescent="0.3">
      <c r="G38" s="23"/>
      <c r="I38" s="23"/>
      <c r="J38" s="15"/>
      <c r="K38" s="15"/>
      <c r="L38" s="15"/>
      <c r="M38" s="15"/>
      <c r="O38" s="7"/>
    </row>
    <row r="39" spans="7:19" ht="18" customHeight="1" x14ac:dyDescent="0.3">
      <c r="G39" s="23"/>
      <c r="I39" s="23"/>
      <c r="O39" s="7"/>
    </row>
    <row r="40" spans="7:19" ht="18" customHeight="1" x14ac:dyDescent="0.3">
      <c r="G40" s="23"/>
      <c r="I40" s="23"/>
      <c r="O40" s="7"/>
      <c r="S40" s="24"/>
    </row>
    <row r="41" spans="7:19" ht="18" customHeight="1" x14ac:dyDescent="0.3">
      <c r="G41" s="23"/>
      <c r="I41" s="23"/>
      <c r="O41" s="7"/>
    </row>
    <row r="42" spans="7:19" ht="18" customHeight="1" x14ac:dyDescent="0.3">
      <c r="G42" s="23"/>
      <c r="I42" s="23"/>
      <c r="J42" s="15"/>
      <c r="K42" s="15"/>
      <c r="L42" s="15"/>
      <c r="M42" s="15"/>
      <c r="O42" s="7"/>
    </row>
    <row r="43" spans="7:19" ht="18" customHeight="1" x14ac:dyDescent="0.3">
      <c r="G43" s="23"/>
      <c r="I43" s="23"/>
      <c r="O43" s="7"/>
    </row>
    <row r="44" spans="7:19" ht="18" customHeight="1" x14ac:dyDescent="0.3">
      <c r="G44" s="23"/>
      <c r="I44" s="23"/>
    </row>
    <row r="45" spans="7:19" ht="18" customHeight="1" x14ac:dyDescent="0.3">
      <c r="G45" s="23"/>
      <c r="I45" s="23"/>
    </row>
    <row r="46" spans="7:19" ht="18" customHeight="1" x14ac:dyDescent="0.3">
      <c r="I46" s="23"/>
    </row>
    <row r="47" spans="7:19" x14ac:dyDescent="0.3">
      <c r="J47" s="15"/>
      <c r="K47" s="15"/>
      <c r="L47" s="15"/>
    </row>
    <row r="48" spans="7:19" x14ac:dyDescent="0.3">
      <c r="J48" s="15"/>
      <c r="K48" s="15"/>
      <c r="L48" s="15"/>
    </row>
    <row r="49" spans="6:12" x14ac:dyDescent="0.3">
      <c r="J49" s="15"/>
      <c r="K49" s="15"/>
      <c r="L49" s="15"/>
    </row>
    <row r="50" spans="6:12" x14ac:dyDescent="0.3">
      <c r="J50" s="15"/>
      <c r="K50" s="15"/>
      <c r="L50" s="15"/>
    </row>
    <row r="51" spans="6:12" x14ac:dyDescent="0.3">
      <c r="J51" s="15"/>
      <c r="K51" s="15"/>
      <c r="L51" s="15"/>
    </row>
    <row r="52" spans="6:12" x14ac:dyDescent="0.3">
      <c r="J52" s="15"/>
      <c r="K52" s="15"/>
      <c r="L52" s="15"/>
    </row>
    <row r="59" spans="6:12" x14ac:dyDescent="0.3">
      <c r="F59" s="5"/>
    </row>
    <row r="60" spans="6:12" x14ac:dyDescent="0.3">
      <c r="G60" s="12"/>
    </row>
    <row r="61" spans="6:12" x14ac:dyDescent="0.3">
      <c r="F61" s="10"/>
      <c r="G61" s="7"/>
    </row>
  </sheetData>
  <mergeCells count="10">
    <mergeCell ref="C4:U4"/>
    <mergeCell ref="C5:U5"/>
    <mergeCell ref="C8:C9"/>
    <mergeCell ref="U8:U9"/>
    <mergeCell ref="D8:G8"/>
    <mergeCell ref="Q8:Q9"/>
    <mergeCell ref="P8:P9"/>
    <mergeCell ref="S8:S9"/>
    <mergeCell ref="I8:N8"/>
    <mergeCell ref="T8:T9"/>
  </mergeCells>
  <conditionalFormatting sqref="G10:G24 K10:K24 N10:N24">
    <cfRule type="cellIs" dxfId="7" priority="3" operator="between">
      <formula>0.000001</formula>
      <formula>0.95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664356"/>
  </sheetPr>
  <dimension ref="A1:AX2844"/>
  <sheetViews>
    <sheetView showGridLines="0" tabSelected="1" zoomScale="85" zoomScaleNormal="80" workbookViewId="0">
      <pane xSplit="2" ySplit="2" topLeftCell="G296" activePane="bottomRight" state="frozen"/>
      <selection pane="topRight"/>
      <selection pane="bottomLeft" activeCell="M22" sqref="M22"/>
      <selection pane="bottomRight" activeCell="Q1447" sqref="Q1447"/>
    </sheetView>
  </sheetViews>
  <sheetFormatPr defaultRowHeight="15" customHeight="1" outlineLevelCol="1" x14ac:dyDescent="0.3"/>
  <cols>
    <col min="1" max="1" width="11.33203125" style="1" customWidth="1"/>
    <col min="2" max="2" width="21" hidden="1" customWidth="1" outlineLevel="1"/>
    <col min="3" max="3" width="23.109375" hidden="1" customWidth="1" outlineLevel="1"/>
    <col min="4" max="4" width="17.109375" hidden="1" customWidth="1" outlineLevel="1"/>
    <col min="5" max="6" width="9.109375" hidden="1" customWidth="1" outlineLevel="1"/>
    <col min="7" max="7" width="8.33203125" customWidth="1" collapsed="1"/>
    <col min="8" max="8" width="9.33203125" hidden="1" customWidth="1" outlineLevel="1"/>
    <col min="9" max="9" width="26.6640625" style="1" customWidth="1" collapsed="1"/>
    <col min="10" max="10" width="25.44140625" style="1" customWidth="1"/>
    <col min="11" max="11" width="9.44140625" style="25" customWidth="1"/>
    <col min="12" max="12" width="11.109375" style="4" customWidth="1"/>
    <col min="13" max="13" width="12.109375" style="1" customWidth="1"/>
    <col min="14" max="14" width="11" style="1" hidden="1" customWidth="1" outlineLevel="1"/>
    <col min="15" max="15" width="7.88671875" style="1" hidden="1" customWidth="1" outlineLevel="1"/>
    <col min="16" max="16" width="11" style="1" customWidth="1" collapsed="1"/>
    <col min="17" max="17" width="13.5546875" style="1" customWidth="1"/>
    <col min="18" max="18" width="9.109375" style="1" customWidth="1"/>
    <col min="19" max="19" width="11.109375" style="1" customWidth="1"/>
    <col min="20" max="20" width="9.109375" style="10" hidden="1" customWidth="1" outlineLevel="1"/>
    <col min="21" max="21" width="14.6640625" style="6" hidden="1" customWidth="1" outlineLevel="1" collapsed="1"/>
    <col min="22" max="22" width="25.33203125" style="3" hidden="1" customWidth="1" outlineLevel="1"/>
    <col min="23" max="23" width="6.109375" hidden="1" customWidth="1" outlineLevel="1" collapsed="1"/>
    <col min="24" max="24" width="10.44140625" customWidth="1" collapsed="1"/>
    <col min="25" max="25" width="13.6640625" style="26" customWidth="1" collapsed="1"/>
    <col min="26" max="26" width="21" style="2" hidden="1" customWidth="1" outlineLevel="1"/>
    <col min="27" max="27" width="11" style="5" hidden="1" customWidth="1" outlineLevel="1"/>
    <col min="28" max="28" width="9.109375" style="5" hidden="1" customWidth="1" outlineLevel="1"/>
    <col min="29" max="29" width="8.88671875" style="5" hidden="1" customWidth="1" outlineLevel="1"/>
    <col min="30" max="30" width="8.33203125" style="6" hidden="1" customWidth="1" outlineLevel="1" collapsed="1"/>
    <col min="31" max="32" width="8.88671875" style="5" hidden="1" customWidth="1" outlineLevel="1"/>
    <col min="33" max="33" width="5.44140625" customWidth="1" collapsed="1"/>
    <col min="34" max="34" width="8.33203125" style="6" hidden="1" customWidth="1" outlineLevel="1" collapsed="1"/>
    <col min="35" max="35" width="9.88671875" style="2" hidden="1" customWidth="1" outlineLevel="1" collapsed="1"/>
    <col min="36" max="36" width="9.88671875" style="3" customWidth="1" collapsed="1"/>
    <col min="37" max="37" width="11.6640625" style="2" customWidth="1"/>
    <col min="38" max="38" width="9.6640625" style="2" customWidth="1"/>
    <col min="39" max="39" width="5.6640625" style="2" hidden="1" customWidth="1" outlineLevel="1"/>
    <col min="40" max="40" width="9.109375" customWidth="1" collapsed="1"/>
    <col min="41" max="41" width="10" customWidth="1"/>
    <col min="42" max="42" width="8.44140625" customWidth="1"/>
    <col min="43" max="43" width="12" bestFit="1" customWidth="1"/>
    <col min="44" max="44" width="10.5546875" hidden="1" customWidth="1" outlineLevel="1"/>
    <col min="45" max="45" width="8.44140625" hidden="1" customWidth="1" outlineLevel="1"/>
    <col min="46" max="46" width="11.44140625" customWidth="1" collapsed="1"/>
    <col min="47" max="47" width="9.109375" style="17" customWidth="1"/>
    <col min="48" max="48" width="9.109375" hidden="1" customWidth="1" outlineLevel="1"/>
    <col min="49" max="49" width="9.109375" style="8" customWidth="1" collapsed="1"/>
    <col min="50" max="50" width="9.109375" style="17" customWidth="1"/>
  </cols>
  <sheetData>
    <row r="1" spans="1:50" ht="19.95" customHeight="1" x14ac:dyDescent="0.3">
      <c r="A1" s="95"/>
      <c r="B1" s="95"/>
      <c r="C1" s="95"/>
      <c r="D1" s="95"/>
      <c r="E1" s="95"/>
      <c r="F1" s="95"/>
      <c r="G1" s="95"/>
      <c r="H1" s="95"/>
      <c r="I1" s="95"/>
      <c r="J1" s="95">
        <f>L1/3</f>
      </c>
      <c r="K1" s="96">
        <f>SUBTOTAL(9,K3:K99956)</f>
      </c>
      <c r="L1" s="96">
        <f>SUBTOTAL(9,L3:L998684)</f>
      </c>
      <c r="M1" s="96">
        <f>SUBTOTAL(9,M3:M998684)</f>
      </c>
      <c r="N1" s="96">
        <f>SUBTOTAL(9,N3:N998684)</f>
      </c>
      <c r="O1" s="96">
        <f>SUBTOTAL(9,O3:O998684)</f>
      </c>
      <c r="P1" s="96">
        <f>SUBTOTAL(9,P3:P998684)</f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7"/>
      <c r="AJ1" s="98"/>
      <c r="AK1" s="98"/>
      <c r="AL1" s="98"/>
      <c r="AM1" s="98" t="s">
        <v>0</v>
      </c>
      <c r="AN1" s="98" t="s">
        <v>1</v>
      </c>
      <c r="AO1" s="98" t="s">
        <v>2</v>
      </c>
      <c r="AP1" s="99" t="s">
        <v>3</v>
      </c>
      <c r="AQ1" s="98" t="s">
        <v>4</v>
      </c>
      <c r="AR1" s="100" t="s">
        <v>5</v>
      </c>
      <c r="AS1" s="98" t="s">
        <v>6</v>
      </c>
      <c r="AT1" s="101" t="s">
        <v>7</v>
      </c>
      <c r="AU1" s="99" t="s">
        <v>8</v>
      </c>
      <c r="AV1" s="98" t="s">
        <v>9</v>
      </c>
      <c r="AW1" s="102" t="s">
        <v>10</v>
      </c>
      <c r="AX1" s="99" t="s">
        <v>11</v>
      </c>
    </row>
    <row r="2" spans="1:50" ht="36" customHeight="1" x14ac:dyDescent="0.3">
      <c r="A2" s="103" t="s">
        <v>12</v>
      </c>
      <c r="B2" s="103" t="s">
        <v>13</v>
      </c>
      <c r="C2" s="103" t="s">
        <v>14</v>
      </c>
      <c r="D2" s="103" t="s">
        <v>15</v>
      </c>
      <c r="E2" s="103" t="s">
        <v>16</v>
      </c>
      <c r="F2" s="103" t="s">
        <v>17</v>
      </c>
      <c r="G2" s="103" t="s">
        <v>18</v>
      </c>
      <c r="H2" s="103" t="s">
        <v>19</v>
      </c>
      <c r="I2" s="103" t="s">
        <v>20</v>
      </c>
      <c r="J2" s="103" t="s">
        <v>21</v>
      </c>
      <c r="K2" s="104" t="s">
        <v>22</v>
      </c>
      <c r="L2" s="105" t="s">
        <v>23</v>
      </c>
      <c r="M2" s="103" t="s">
        <v>24</v>
      </c>
      <c r="N2" s="103" t="s">
        <v>25</v>
      </c>
      <c r="O2" s="103" t="s">
        <v>26</v>
      </c>
      <c r="P2" s="103" t="s">
        <v>27</v>
      </c>
      <c r="Q2" s="103" t="s">
        <v>28</v>
      </c>
      <c r="R2" s="106" t="s">
        <v>29</v>
      </c>
      <c r="S2" s="106" t="s">
        <v>30</v>
      </c>
      <c r="T2" s="107" t="s">
        <v>31</v>
      </c>
      <c r="U2" s="107" t="s">
        <v>32</v>
      </c>
      <c r="V2" s="103" t="s">
        <v>33</v>
      </c>
      <c r="W2" s="103" t="s">
        <v>34</v>
      </c>
      <c r="X2" s="103" t="s">
        <v>35</v>
      </c>
      <c r="Y2" s="107" t="s">
        <v>36</v>
      </c>
      <c r="Z2" s="103" t="s">
        <v>37</v>
      </c>
      <c r="AA2" s="107" t="s">
        <v>38</v>
      </c>
      <c r="AB2" s="107" t="s">
        <v>39</v>
      </c>
      <c r="AC2" s="107" t="s">
        <v>40</v>
      </c>
      <c r="AD2" s="107" t="s">
        <v>41</v>
      </c>
      <c r="AE2" s="107" t="s">
        <v>42</v>
      </c>
      <c r="AF2" s="107" t="s">
        <v>43</v>
      </c>
      <c r="AG2" s="103" t="s">
        <v>44</v>
      </c>
      <c r="AH2" s="107" t="s">
        <v>32</v>
      </c>
      <c r="AI2" s="103" t="s">
        <v>34</v>
      </c>
      <c r="AJ2" s="108" t="s">
        <v>45</v>
      </c>
      <c r="AK2" s="108" t="s">
        <v>46</v>
      </c>
      <c r="AL2" s="108" t="s">
        <v>47</v>
      </c>
      <c r="AM2" s="108" t="s">
        <v>48</v>
      </c>
      <c r="AN2" s="108" t="s">
        <v>49</v>
      </c>
      <c r="AO2" s="108" t="s">
        <v>50</v>
      </c>
      <c r="AP2" s="108" t="s">
        <v>51</v>
      </c>
      <c r="AQ2" s="108" t="s">
        <v>52</v>
      </c>
      <c r="AR2" s="108" t="s">
        <v>53</v>
      </c>
      <c r="AS2" s="108" t="s">
        <v>54</v>
      </c>
      <c r="AT2" s="109" t="s">
        <v>55</v>
      </c>
      <c r="AU2" s="110" t="s">
        <v>56</v>
      </c>
      <c r="AV2" s="108" t="s">
        <v>57</v>
      </c>
      <c r="AW2" s="111" t="s">
        <v>58</v>
      </c>
      <c r="AX2" s="110" t="s">
        <v>59</v>
      </c>
    </row>
    <row r="3" spans="1:50" ht="15" hidden="1" customHeight="1" x14ac:dyDescent="0.3">
      <c r="A3" s="94" t="s">
        <v>268</v>
      </c>
      <c r="B3" s="94"/>
      <c r="C3" s="94"/>
      <c r="D3" s="94"/>
      <c r="E3" s="94"/>
      <c r="F3" s="94"/>
      <c r="G3" s="112">
        <f>AU3</f>
      </c>
      <c r="H3" s="113"/>
      <c r="I3" s="94" t="s">
        <v>278</v>
      </c>
      <c r="J3" s="94" t="s">
        <v>279</v>
      </c>
      <c r="K3" s="114">
        <f>P3/3</f>
      </c>
      <c r="L3" s="115">
        <v>0</v>
      </c>
      <c r="M3" s="116">
        <f>L3</f>
      </c>
      <c r="N3" s="117">
        <f>M3-L3</f>
      </c>
      <c r="O3" s="112"/>
      <c r="P3" s="118">
        <f>N3+O3</f>
      </c>
      <c r="Q3" s="94" t="s">
        <v>771</v>
      </c>
      <c r="R3" s="94" t="s">
        <v>63</v>
      </c>
      <c r="S3" s="119">
        <v>46321</v>
      </c>
      <c r="T3" s="119"/>
      <c r="U3" s="119">
        <v>46321</v>
      </c>
      <c r="V3" s="94"/>
      <c r="W3" s="94"/>
      <c r="X3" s="94"/>
      <c r="Y3" s="119">
        <v>46320</v>
      </c>
      <c r="Z3" s="94"/>
      <c r="AA3" s="120"/>
      <c r="AB3" s="120"/>
      <c r="AC3" s="120"/>
      <c r="AD3" s="120"/>
      <c r="AE3" s="120"/>
      <c r="AF3" s="120"/>
      <c r="AG3" s="94"/>
      <c r="AH3" s="120"/>
      <c r="AI3" s="94"/>
      <c r="AJ3" s="94" t="s">
        <v>771</v>
      </c>
      <c r="AK3" s="94" t="s">
        <v>280</v>
      </c>
      <c r="AL3" s="94">
        <v>120</v>
      </c>
      <c r="AM3" s="94" t="str">
        <f>TRIM(AJ3)&amp;TRIM(AL3)&amp;TRIM(AK3)</f>
      </c>
      <c r="AN3" s="116">
        <v>189</v>
      </c>
      <c r="AO3" s="116">
        <v>-9</v>
      </c>
      <c r="AP3" s="116">
        <f>SUMIFS(M:M,AM:AM,AM3)+SUMIFS(O:O,AM:AM,AM3)</f>
      </c>
      <c r="AQ3" s="116">
        <f>SUMIFS(L:L,AM:AM,AM3)</f>
      </c>
      <c r="AR3" s="116">
        <f>AQ3-AP3</f>
      </c>
      <c r="AS3" s="94" t="str">
        <f>IF(AN3&gt;=AQ3,"ok","ck")</f>
      </c>
      <c r="AT3" s="116">
        <f>-P3</f>
      </c>
      <c r="AU3" s="115">
        <f>IF(SUMIFS(AT:AT,AM:AM,AM3)&gt;AO3,(SUMIFS(AT:AT,AM:AM,AM3)-AO3))</f>
      </c>
      <c r="AV3" s="116">
        <v>189</v>
      </c>
      <c r="AW3" s="121">
        <v>1.05</v>
      </c>
      <c r="AX3" s="115">
        <f>AN3-AP3</f>
      </c>
    </row>
    <row r="4" spans="1:50" ht="15" hidden="1" customHeight="1" x14ac:dyDescent="0.3">
      <c r="A4" s="94" t="s">
        <v>268</v>
      </c>
      <c r="B4" s="94"/>
      <c r="C4" s="94"/>
      <c r="D4" s="94"/>
      <c r="E4" s="94"/>
      <c r="F4" s="94"/>
      <c r="G4" s="112">
        <f>AU4</f>
      </c>
      <c r="H4" s="113"/>
      <c r="I4" s="94" t="s">
        <v>390</v>
      </c>
      <c r="J4" s="94" t="s">
        <v>279</v>
      </c>
      <c r="K4" s="114">
        <f>P4/3</f>
      </c>
      <c r="L4" s="115">
        <v>21.92</v>
      </c>
      <c r="M4" s="116"/>
      <c r="N4" s="117">
        <f>M4-L4</f>
      </c>
      <c r="O4" s="112"/>
      <c r="P4" s="118">
        <f>N4+O4</f>
      </c>
      <c r="Q4" s="94" t="s">
        <v>771</v>
      </c>
      <c r="R4" s="94" t="s">
        <v>63</v>
      </c>
      <c r="S4" s="119">
        <v>46320</v>
      </c>
      <c r="T4" s="119"/>
      <c r="U4" s="120">
        <v>46320</v>
      </c>
      <c r="V4" s="94"/>
      <c r="W4" s="94"/>
      <c r="X4" s="94"/>
      <c r="Y4" s="119">
        <v>46320</v>
      </c>
      <c r="Z4" s="94"/>
      <c r="AA4" s="120"/>
      <c r="AB4" s="120"/>
      <c r="AC4" s="120"/>
      <c r="AD4" s="120"/>
      <c r="AE4" s="120"/>
      <c r="AF4" s="120"/>
      <c r="AG4" s="94"/>
      <c r="AH4" s="120"/>
      <c r="AI4" s="94"/>
      <c r="AJ4" s="94" t="s">
        <v>771</v>
      </c>
      <c r="AK4" s="94" t="s">
        <v>280</v>
      </c>
      <c r="AL4" s="94">
        <v>140</v>
      </c>
      <c r="AM4" s="94" t="str">
        <f>TRIM(AJ4)&amp;TRIM(AL4)&amp;TRIM(AK4)</f>
      </c>
      <c r="AN4" s="116">
        <v>1543</v>
      </c>
      <c r="AO4" s="116">
        <v>22</v>
      </c>
      <c r="AP4" s="116">
        <f>SUMIFS(M:M,AM:AM,AM4)+SUMIFS(O:O,AM:AM,AM4)</f>
      </c>
      <c r="AQ4" s="116">
        <f>SUMIFS(L:L,AM:AM,AM4)</f>
      </c>
      <c r="AR4" s="116">
        <f>AQ4-AP4</f>
      </c>
      <c r="AS4" s="94" t="str">
        <f>IF(AN4&gt;=AQ4,"ok","ck")</f>
      </c>
      <c r="AT4" s="116">
        <f>-P4</f>
      </c>
      <c r="AU4" s="115">
        <f>IF(SUMIFS(AT:AT,AM:AM,AM4)&gt;AO4,(SUMIFS(AT:AT,AM:AM,AM4)-AO4))</f>
      </c>
      <c r="AV4" s="116">
        <v>1543</v>
      </c>
      <c r="AW4" s="121">
        <v>0.986</v>
      </c>
      <c r="AX4" s="115">
        <f>AN4-AP4</f>
      </c>
    </row>
    <row r="5" spans="1:50" ht="15" hidden="1" customHeight="1" x14ac:dyDescent="0.3">
      <c r="A5" s="94" t="s">
        <v>268</v>
      </c>
      <c r="B5" s="94"/>
      <c r="C5" s="94"/>
      <c r="D5" s="94"/>
      <c r="E5" s="94"/>
      <c r="F5" s="94"/>
      <c r="G5" s="112">
        <f>AU5</f>
      </c>
      <c r="H5" s="113"/>
      <c r="I5" s="94" t="s">
        <v>390</v>
      </c>
      <c r="J5" s="94" t="s">
        <v>497</v>
      </c>
      <c r="K5" s="114">
        <f>P5/3</f>
      </c>
      <c r="L5" s="115">
        <v>0</v>
      </c>
      <c r="M5" s="116">
        <f>L5</f>
      </c>
      <c r="N5" s="117">
        <f>M5-L5</f>
      </c>
      <c r="O5" s="112"/>
      <c r="P5" s="118">
        <f>N5+O5</f>
      </c>
      <c r="Q5" s="94" t="s">
        <v>772</v>
      </c>
      <c r="R5" s="94" t="s">
        <v>63</v>
      </c>
      <c r="S5" s="119">
        <v>46320</v>
      </c>
      <c r="T5" s="119"/>
      <c r="U5" s="119">
        <v>46320</v>
      </c>
      <c r="V5" s="94"/>
      <c r="W5" s="94"/>
      <c r="X5" s="94"/>
      <c r="Y5" s="119">
        <v>46320</v>
      </c>
      <c r="Z5" s="94"/>
      <c r="AA5" s="120"/>
      <c r="AB5" s="120"/>
      <c r="AC5" s="120"/>
      <c r="AD5" s="120"/>
      <c r="AE5" s="120"/>
      <c r="AF5" s="120"/>
      <c r="AG5" s="94"/>
      <c r="AH5" s="120"/>
      <c r="AI5" s="94"/>
      <c r="AJ5" s="94" t="s">
        <v>772</v>
      </c>
      <c r="AK5" s="94" t="s">
        <v>366</v>
      </c>
      <c r="AL5" s="94">
        <v>140</v>
      </c>
      <c r="AM5" s="94" t="str">
        <f>TRIM(AJ5)&amp;TRIM(AL5)&amp;TRIM(AK5)</f>
      </c>
      <c r="AN5" s="116">
        <v>600</v>
      </c>
      <c r="AO5" s="116">
        <v>-16.3</v>
      </c>
      <c r="AP5" s="116">
        <f>SUMIFS(M:M,AM:AM,AM5)+SUMIFS(O:O,AM:AM,AM5)</f>
      </c>
      <c r="AQ5" s="116">
        <f>SUMIFS(L:L,AM:AM,AM5)</f>
      </c>
      <c r="AR5" s="116">
        <f>AQ5-AP5</f>
      </c>
      <c r="AS5" s="94" t="str">
        <f>IF(AN5&gt;=AQ5,"ok","ck")</f>
      </c>
      <c r="AT5" s="116">
        <f>-P5</f>
      </c>
      <c r="AU5" s="115">
        <f>IF(SUMIFS(AT:AT,AM:AM,AM5)&gt;AO5,(SUMIFS(AT:AT,AM:AM,AM5)-AO5))</f>
      </c>
      <c r="AV5" s="116">
        <v>600</v>
      </c>
      <c r="AW5" s="121">
        <v>1.028</v>
      </c>
      <c r="AX5" s="115">
        <f>AN5-AP5</f>
      </c>
    </row>
    <row r="6" spans="1:50" ht="15" hidden="1" customHeight="1" x14ac:dyDescent="0.3">
      <c r="A6" s="94" t="s">
        <v>82</v>
      </c>
      <c r="B6" s="94"/>
      <c r="C6" s="94"/>
      <c r="D6" s="94"/>
      <c r="E6" s="94"/>
      <c r="F6" s="94"/>
      <c r="G6" s="112">
        <f>AU6</f>
      </c>
      <c r="H6" s="113"/>
      <c r="I6" s="94" t="s">
        <v>240</v>
      </c>
      <c r="J6" s="94" t="s">
        <v>251</v>
      </c>
      <c r="K6" s="114">
        <f>P6/3</f>
      </c>
      <c r="L6" s="115">
        <v>0</v>
      </c>
      <c r="M6" s="116"/>
      <c r="N6" s="117">
        <f>M6-L6</f>
      </c>
      <c r="O6" s="112"/>
      <c r="P6" s="118">
        <f>N6+O6</f>
      </c>
      <c r="Q6" s="94" t="s">
        <v>242</v>
      </c>
      <c r="R6" s="94" t="s">
        <v>63</v>
      </c>
      <c r="S6" s="119">
        <v>46328</v>
      </c>
      <c r="T6" s="119"/>
      <c r="U6" s="119">
        <v>46328</v>
      </c>
      <c r="V6" s="94"/>
      <c r="W6" s="94"/>
      <c r="X6" s="94"/>
      <c r="Y6" s="119">
        <v>46328</v>
      </c>
      <c r="Z6" s="94"/>
      <c r="AA6" s="120"/>
      <c r="AB6" s="120"/>
      <c r="AC6" s="120"/>
      <c r="AD6" s="120"/>
      <c r="AE6" s="120"/>
      <c r="AF6" s="120"/>
      <c r="AG6" s="94"/>
      <c r="AH6" s="120"/>
      <c r="AI6" s="94"/>
      <c r="AJ6" s="94" t="s">
        <v>243</v>
      </c>
      <c r="AK6" s="94" t="s">
        <v>252</v>
      </c>
      <c r="AL6" s="94">
        <v>190</v>
      </c>
      <c r="AM6" s="94" t="str">
        <f>TRIM(AJ6)&amp;TRIM(AL6)&amp;TRIM(AK6)</f>
      </c>
      <c r="AN6" s="116">
        <v>69621.11</v>
      </c>
      <c r="AO6" s="116">
        <v>9428.16</v>
      </c>
      <c r="AP6" s="116">
        <f>SUMIFS(M:M,AM:AM,AM6)+SUMIFS(O:O,AM:AM,AM6)</f>
      </c>
      <c r="AQ6" s="116">
        <f>SUMIFS(L:L,AM:AM,AM6)</f>
      </c>
      <c r="AR6" s="116">
        <f>AQ6-AP6</f>
      </c>
      <c r="AS6" s="94" t="str">
        <f>IF(AN6&gt;=AQ6,"ok","ck")</f>
      </c>
      <c r="AT6" s="116">
        <f>-P6</f>
      </c>
      <c r="AU6" s="115">
        <f>IF(SUMIFS(AT:AT,AM:AM,AM6)&gt;AO6,(SUMIFS(AT:AT,AM:AM,AM6)-AO6))</f>
      </c>
      <c r="AV6" s="116">
        <v>43</v>
      </c>
      <c r="AW6" s="121">
        <v>0.159</v>
      </c>
      <c r="AX6" s="115">
        <f>AN6-AP6</f>
      </c>
    </row>
    <row r="7" spans="1:50" ht="15" hidden="1" customHeight="1" x14ac:dyDescent="0.3">
      <c r="A7" s="94" t="s">
        <v>82</v>
      </c>
      <c r="B7" s="94"/>
      <c r="C7" s="94"/>
      <c r="D7" s="94"/>
      <c r="E7" s="94"/>
      <c r="F7" s="94"/>
      <c r="G7" s="112">
        <f>AU7</f>
      </c>
      <c r="H7" s="113"/>
      <c r="I7" s="94" t="s">
        <v>240</v>
      </c>
      <c r="J7" s="94" t="s">
        <v>251</v>
      </c>
      <c r="K7" s="114">
        <f>P7/3</f>
      </c>
      <c r="L7" s="115">
        <v>0</v>
      </c>
      <c r="M7" s="116"/>
      <c r="N7" s="117">
        <f>M7-L7</f>
      </c>
      <c r="O7" s="112"/>
      <c r="P7" s="118">
        <f>N7+O7</f>
      </c>
      <c r="Q7" s="94" t="s">
        <v>242</v>
      </c>
      <c r="R7" s="94" t="s">
        <v>63</v>
      </c>
      <c r="S7" s="119">
        <v>46331</v>
      </c>
      <c r="T7" s="119"/>
      <c r="U7" s="119">
        <v>46331</v>
      </c>
      <c r="V7" s="94"/>
      <c r="W7" s="94"/>
      <c r="X7" s="94"/>
      <c r="Y7" s="119">
        <v>46331</v>
      </c>
      <c r="Z7" s="94"/>
      <c r="AA7" s="120"/>
      <c r="AB7" s="120"/>
      <c r="AC7" s="120"/>
      <c r="AD7" s="120"/>
      <c r="AE7" s="120"/>
      <c r="AF7" s="120"/>
      <c r="AG7" s="94"/>
      <c r="AH7" s="120"/>
      <c r="AI7" s="94"/>
      <c r="AJ7" s="94" t="s">
        <v>243</v>
      </c>
      <c r="AK7" s="94" t="s">
        <v>252</v>
      </c>
      <c r="AL7" s="94">
        <v>190</v>
      </c>
      <c r="AM7" s="94" t="str">
        <f>TRIM(AJ7)&amp;TRIM(AL7)&amp;TRIM(AK7)</f>
      </c>
      <c r="AN7" s="116">
        <v>69621.11</v>
      </c>
      <c r="AO7" s="116">
        <v>9428.16</v>
      </c>
      <c r="AP7" s="116">
        <f>SUMIFS(M:M,AM:AM,AM7)+SUMIFS(O:O,AM:AM,AM7)</f>
      </c>
      <c r="AQ7" s="116">
        <f>SUMIFS(L:L,AM:AM,AM7)</f>
      </c>
      <c r="AR7" s="116">
        <f>AQ7-AP7</f>
      </c>
      <c r="AS7" s="94" t="str">
        <f>IF(AN7&gt;=AQ7,"ok","ck")</f>
      </c>
      <c r="AT7" s="116">
        <f>-P7</f>
      </c>
      <c r="AU7" s="115">
        <f>IF(SUMIFS(AT:AT,AM:AM,AM7)&gt;AO7,(SUMIFS(AT:AT,AM:AM,AM7)-AO7))</f>
      </c>
      <c r="AV7" s="116">
        <v>43</v>
      </c>
      <c r="AW7" s="121">
        <v>0.159</v>
      </c>
      <c r="AX7" s="115">
        <f>AN7-AP7</f>
      </c>
    </row>
    <row r="8" spans="1:50" ht="15" hidden="1" customHeight="1" x14ac:dyDescent="0.3">
      <c r="A8" s="94" t="s">
        <v>268</v>
      </c>
      <c r="B8" s="94"/>
      <c r="C8" s="94"/>
      <c r="D8" s="94"/>
      <c r="E8" s="94"/>
      <c r="F8" s="94"/>
      <c r="G8" s="112">
        <f>AU8</f>
      </c>
      <c r="H8" s="113"/>
      <c r="I8" s="94" t="s">
        <v>390</v>
      </c>
      <c r="J8" s="94" t="s">
        <v>270</v>
      </c>
      <c r="K8" s="114">
        <f>P8/3</f>
      </c>
      <c r="L8" s="115">
        <v>-11.647</v>
      </c>
      <c r="M8" s="116">
        <f>L8</f>
      </c>
      <c r="N8" s="117">
        <f>M8-L8</f>
      </c>
      <c r="O8" s="112"/>
      <c r="P8" s="118">
        <f>N8+O8</f>
      </c>
      <c r="Q8" s="94" t="s">
        <v>287</v>
      </c>
      <c r="R8" s="94" t="s">
        <v>63</v>
      </c>
      <c r="S8" s="120">
        <v>46320</v>
      </c>
      <c r="T8" s="120"/>
      <c r="U8" s="120">
        <v>46320</v>
      </c>
      <c r="V8" s="94"/>
      <c r="W8" s="94"/>
      <c r="X8" s="94"/>
      <c r="Y8" s="119">
        <v>46320</v>
      </c>
      <c r="Z8" s="94"/>
      <c r="AA8" s="120"/>
      <c r="AB8" s="120"/>
      <c r="AC8" s="120"/>
      <c r="AD8" s="120"/>
      <c r="AE8" s="120"/>
      <c r="AF8" s="120"/>
      <c r="AG8" s="94"/>
      <c r="AH8" s="120"/>
      <c r="AI8" s="94"/>
      <c r="AJ8" s="94" t="s">
        <v>287</v>
      </c>
      <c r="AK8" s="94" t="s">
        <v>272</v>
      </c>
      <c r="AL8" s="94">
        <v>140</v>
      </c>
      <c r="AM8" s="94" t="str">
        <f>TRIM(AJ8)&amp;TRIM(AL8)&amp;TRIM(AK8)</f>
      </c>
      <c r="AN8" s="116">
        <v>3981</v>
      </c>
      <c r="AO8" s="116">
        <v>-85.47</v>
      </c>
      <c r="AP8" s="116">
        <f>SUMIFS(M:M,AM:AM,AM8)+SUMIFS(O:O,AM:AM,AM8)</f>
      </c>
      <c r="AQ8" s="116">
        <f>SUMIFS(L:L,AM:AM,AM8)</f>
      </c>
      <c r="AR8" s="116">
        <f>AQ8-AP8</f>
      </c>
      <c r="AS8" s="94" t="str">
        <f>IF(AN8&gt;=AQ8,"ok","ck")</f>
      </c>
      <c r="AT8" s="116">
        <f>-P8</f>
      </c>
      <c r="AU8" s="115">
        <f>IF(SUMIFS(AT:AT,AM:AM,AM8)&gt;AO8,(SUMIFS(AT:AT,AM:AM,AM8)-AO8))</f>
      </c>
      <c r="AV8" s="116">
        <v>3981</v>
      </c>
      <c r="AW8" s="121">
        <v>1.022</v>
      </c>
      <c r="AX8" s="115">
        <f>AN8-AP8</f>
      </c>
    </row>
    <row r="9" spans="1:50" ht="15" hidden="1" customHeight="1" x14ac:dyDescent="0.3">
      <c r="A9" s="94" t="s">
        <v>268</v>
      </c>
      <c r="B9" s="94"/>
      <c r="C9" s="94"/>
      <c r="D9" s="94"/>
      <c r="E9" s="94"/>
      <c r="F9" s="94"/>
      <c r="G9" s="112">
        <f>AU9</f>
      </c>
      <c r="H9" s="113"/>
      <c r="I9" s="94" t="s">
        <v>269</v>
      </c>
      <c r="J9" s="94" t="s">
        <v>353</v>
      </c>
      <c r="K9" s="114">
        <f>P9/3</f>
      </c>
      <c r="L9" s="115">
        <v>2894</v>
      </c>
      <c r="M9" s="116"/>
      <c r="N9" s="117">
        <f>M9-L9</f>
      </c>
      <c r="O9" s="112"/>
      <c r="P9" s="118">
        <f>N9+O9</f>
      </c>
      <c r="Q9" s="94" t="s">
        <v>773</v>
      </c>
      <c r="R9" s="94" t="s">
        <v>63</v>
      </c>
      <c r="S9" s="119">
        <v>46344</v>
      </c>
      <c r="T9" s="119"/>
      <c r="U9" s="119" t="s">
        <v>630</v>
      </c>
      <c r="V9" s="94"/>
      <c r="W9" s="94"/>
      <c r="X9" s="94"/>
      <c r="Y9" s="119">
        <v>46342</v>
      </c>
      <c r="Z9" s="94"/>
      <c r="AA9" s="120"/>
      <c r="AB9" s="120"/>
      <c r="AC9" s="120"/>
      <c r="AD9" s="120"/>
      <c r="AE9" s="120"/>
      <c r="AF9" s="120"/>
      <c r="AG9" s="94"/>
      <c r="AH9" s="120"/>
      <c r="AI9" s="94"/>
      <c r="AJ9" s="94" t="s">
        <v>773</v>
      </c>
      <c r="AK9" s="94" t="s">
        <v>381</v>
      </c>
      <c r="AL9" s="94">
        <v>140</v>
      </c>
      <c r="AM9" s="94" t="str">
        <f>TRIM(AJ9)&amp;TRIM(AL9)&amp;TRIM(AK9)</f>
      </c>
      <c r="AN9" s="116">
        <v>0</v>
      </c>
      <c r="AO9" s="116" t="inlineStr">
        <is>
          <t>#NA</t>
        </is>
      </c>
      <c r="AP9" s="116">
        <f>SUMIFS(M:M,AM:AM,AM9)+SUMIFS(O:O,AM:AM,AM9)</f>
      </c>
      <c r="AQ9" s="116">
        <f>SUMIFS(L:L,AM:AM,AM9)</f>
      </c>
      <c r="AR9" s="116">
        <f>AQ9-AP9</f>
      </c>
      <c r="AS9" s="94" t="str">
        <f>IF(AN9&gt;=AQ9,"ok","ck")</f>
      </c>
      <c r="AT9" s="116">
        <f>-P9</f>
      </c>
      <c r="AU9" s="115">
        <f>IF(SUMIFS(AT:AT,AM:AM,AM9)&gt;AO9,(SUMIFS(AT:AT,AM:AM,AM9)-AO9))</f>
      </c>
      <c r="AV9" s="116">
        <v>0</v>
      </c>
      <c r="AW9" s="121">
        <v>0</v>
      </c>
      <c r="AX9" s="115">
        <f>AN9-AP9</f>
      </c>
    </row>
    <row r="10" spans="1:50" ht="15" hidden="1" customHeight="1" x14ac:dyDescent="0.3">
      <c r="A10" s="94" t="s">
        <v>268</v>
      </c>
      <c r="B10" s="94"/>
      <c r="C10" s="94"/>
      <c r="D10" s="94"/>
      <c r="E10" s="94"/>
      <c r="F10" s="94"/>
      <c r="G10" s="112">
        <f>AU10</f>
      </c>
      <c r="H10" s="113"/>
      <c r="I10" s="94" t="s">
        <v>269</v>
      </c>
      <c r="J10" s="94" t="s">
        <v>353</v>
      </c>
      <c r="K10" s="114">
        <f>P10/3</f>
      </c>
      <c r="L10" s="115">
        <v>1106</v>
      </c>
      <c r="M10" s="116"/>
      <c r="N10" s="117">
        <f>M10-L10</f>
      </c>
      <c r="O10" s="112"/>
      <c r="P10" s="118">
        <f>N10+O10</f>
      </c>
      <c r="Q10" s="94" t="s">
        <v>773</v>
      </c>
      <c r="R10" s="94" t="s">
        <v>63</v>
      </c>
      <c r="S10" s="119">
        <v>46347</v>
      </c>
      <c r="T10" s="119"/>
      <c r="U10" s="119" t="s">
        <v>630</v>
      </c>
      <c r="V10" s="94"/>
      <c r="W10" s="94"/>
      <c r="X10" s="94"/>
      <c r="Y10" s="119">
        <v>46342</v>
      </c>
      <c r="Z10" s="94"/>
      <c r="AA10" s="120"/>
      <c r="AB10" s="120"/>
      <c r="AC10" s="120"/>
      <c r="AD10" s="120"/>
      <c r="AE10" s="120"/>
      <c r="AF10" s="120"/>
      <c r="AG10" s="94"/>
      <c r="AH10" s="120"/>
      <c r="AI10" s="94"/>
      <c r="AJ10" s="94" t="s">
        <v>773</v>
      </c>
      <c r="AK10" s="94" t="s">
        <v>381</v>
      </c>
      <c r="AL10" s="94">
        <v>140</v>
      </c>
      <c r="AM10" s="94" t="str">
        <f>TRIM(AJ10)&amp;TRIM(AL10)&amp;TRIM(AK10)</f>
      </c>
      <c r="AN10" s="116">
        <v>0</v>
      </c>
      <c r="AO10" s="116" t="inlineStr">
        <is>
          <t>#NA</t>
        </is>
      </c>
      <c r="AP10" s="116">
        <f>SUMIFS(M:M,AM:AM,AM10)+SUMIFS(O:O,AM:AM,AM10)</f>
      </c>
      <c r="AQ10" s="116">
        <f>SUMIFS(L:L,AM:AM,AM10)</f>
      </c>
      <c r="AR10" s="116">
        <f>AQ10-AP10</f>
      </c>
      <c r="AS10" s="94" t="str">
        <f>IF(AN10&gt;=AQ10,"ok","ck")</f>
      </c>
      <c r="AT10" s="116">
        <f>-P10</f>
      </c>
      <c r="AU10" s="115">
        <f>IF(SUMIFS(AT:AT,AM:AM,AM10)&gt;AO10,(SUMIFS(AT:AT,AM:AM,AM10)-AO10))</f>
      </c>
      <c r="AV10" s="116">
        <v>0</v>
      </c>
      <c r="AW10" s="121">
        <v>0</v>
      </c>
      <c r="AX10" s="115">
        <f>AN10-AP10</f>
      </c>
    </row>
    <row r="11" spans="1:50" ht="15" hidden="1" customHeight="1" x14ac:dyDescent="0.3">
      <c r="A11" s="94" t="s">
        <v>268</v>
      </c>
      <c r="B11" s="94"/>
      <c r="C11" s="94"/>
      <c r="D11" s="94"/>
      <c r="E11" s="94"/>
      <c r="F11" s="94"/>
      <c r="G11" s="112">
        <f>AU11</f>
      </c>
      <c r="H11" s="113"/>
      <c r="I11" s="94" t="s">
        <v>278</v>
      </c>
      <c r="J11" s="94" t="s">
        <v>381</v>
      </c>
      <c r="K11" s="114">
        <f>P11/3</f>
      </c>
      <c r="L11" s="115">
        <v>0.40400000000000003</v>
      </c>
      <c r="M11" s="116"/>
      <c r="N11" s="117">
        <f>M11-L11</f>
      </c>
      <c r="O11" s="112"/>
      <c r="P11" s="118">
        <f>N11+O11</f>
      </c>
      <c r="Q11" s="94" t="s">
        <v>774</v>
      </c>
      <c r="R11" s="94" t="s">
        <v>63</v>
      </c>
      <c r="S11" s="119">
        <v>46338</v>
      </c>
      <c r="T11" s="119"/>
      <c r="U11" s="119">
        <v>46338</v>
      </c>
      <c r="V11" s="94"/>
      <c r="W11" s="94"/>
      <c r="X11" s="94"/>
      <c r="Y11" s="119">
        <v>46338</v>
      </c>
      <c r="Z11" s="94"/>
      <c r="AA11" s="120"/>
      <c r="AB11" s="120"/>
      <c r="AC11" s="120"/>
      <c r="AD11" s="120"/>
      <c r="AE11" s="120"/>
      <c r="AF11" s="120"/>
      <c r="AG11" s="94"/>
      <c r="AH11" s="120"/>
      <c r="AI11" s="94"/>
      <c r="AJ11" s="94" t="s">
        <v>774</v>
      </c>
      <c r="AK11" s="94" t="s">
        <v>381</v>
      </c>
      <c r="AL11" s="94">
        <v>120</v>
      </c>
      <c r="AM11" s="94" t="str">
        <f>TRIM(AJ11)&amp;TRIM(AL11)&amp;TRIM(AK11)</f>
      </c>
      <c r="AN11" s="116">
        <v>0</v>
      </c>
      <c r="AO11" s="116" t="inlineStr">
        <is>
          <t>#NA</t>
        </is>
      </c>
      <c r="AP11" s="116">
        <f>SUMIFS(M:M,AM:AM,AM11)+SUMIFS(O:O,AM:AM,AM11)</f>
      </c>
      <c r="AQ11" s="116">
        <f>SUMIFS(L:L,AM:AM,AM11)</f>
      </c>
      <c r="AR11" s="116">
        <f>AQ11-AP11</f>
      </c>
      <c r="AS11" s="94" t="str">
        <f>IF(AN11&gt;=AQ11,"ok","ck")</f>
      </c>
      <c r="AT11" s="116">
        <f>-P11</f>
      </c>
      <c r="AU11" s="115">
        <f>IF(SUMIFS(AT:AT,AM:AM,AM11)&gt;AO11,(SUMIFS(AT:AT,AM:AM,AM11)-AO11))</f>
      </c>
      <c r="AV11" s="116">
        <v>0</v>
      </c>
      <c r="AW11" s="121">
        <v>0</v>
      </c>
      <c r="AX11" s="115">
        <f>AN11-AP11</f>
      </c>
    </row>
    <row r="12" spans="1:50" ht="15" hidden="1" customHeight="1" x14ac:dyDescent="0.3">
      <c r="A12" s="94" t="s">
        <v>268</v>
      </c>
      <c r="B12" s="94"/>
      <c r="C12" s="94"/>
      <c r="D12" s="94"/>
      <c r="E12" s="94"/>
      <c r="F12" s="94"/>
      <c r="G12" s="112">
        <f>AU12</f>
      </c>
      <c r="H12" s="113"/>
      <c r="I12" s="94" t="s">
        <v>278</v>
      </c>
      <c r="J12" s="94" t="s">
        <v>381</v>
      </c>
      <c r="K12" s="114">
        <f>P12/3</f>
      </c>
      <c r="L12" s="115">
        <v>0.40400000000000003</v>
      </c>
      <c r="M12" s="116"/>
      <c r="N12" s="117">
        <f>M12-L12</f>
      </c>
      <c r="O12" s="112"/>
      <c r="P12" s="118">
        <f>N12+O12</f>
      </c>
      <c r="Q12" s="94" t="s">
        <v>774</v>
      </c>
      <c r="R12" s="94" t="s">
        <v>63</v>
      </c>
      <c r="S12" s="119">
        <v>46338</v>
      </c>
      <c r="T12" s="119"/>
      <c r="U12" s="119">
        <v>46338</v>
      </c>
      <c r="V12" s="94"/>
      <c r="W12" s="94"/>
      <c r="X12" s="94"/>
      <c r="Y12" s="119">
        <v>46338</v>
      </c>
      <c r="Z12" s="94"/>
      <c r="AA12" s="120"/>
      <c r="AB12" s="120"/>
      <c r="AC12" s="120"/>
      <c r="AD12" s="120"/>
      <c r="AE12" s="120"/>
      <c r="AF12" s="120"/>
      <c r="AG12" s="94"/>
      <c r="AH12" s="120"/>
      <c r="AI12" s="94"/>
      <c r="AJ12" s="94" t="s">
        <v>774</v>
      </c>
      <c r="AK12" s="94" t="s">
        <v>381</v>
      </c>
      <c r="AL12" s="94">
        <v>120</v>
      </c>
      <c r="AM12" s="94" t="str">
        <f>TRIM(AJ12)&amp;TRIM(AL12)&amp;TRIM(AK12)</f>
      </c>
      <c r="AN12" s="116">
        <v>0</v>
      </c>
      <c r="AO12" s="116" t="inlineStr">
        <is>
          <t>#NA</t>
        </is>
      </c>
      <c r="AP12" s="116">
        <f>SUMIFS(M:M,AM:AM,AM12)+SUMIFS(O:O,AM:AM,AM12)</f>
      </c>
      <c r="AQ12" s="116">
        <f>SUMIFS(L:L,AM:AM,AM12)</f>
      </c>
      <c r="AR12" s="116">
        <f>AQ12-AP12</f>
      </c>
      <c r="AS12" s="94" t="str">
        <f>IF(AN12&gt;=AQ12,"ok","ck")</f>
      </c>
      <c r="AT12" s="116">
        <f>-P12</f>
      </c>
      <c r="AU12" s="115">
        <f>IF(SUMIFS(AT:AT,AM:AM,AM12)&gt;AO12,(SUMIFS(AT:AT,AM:AM,AM12)-AO12))</f>
      </c>
      <c r="AV12" s="116">
        <v>0</v>
      </c>
      <c r="AW12" s="121">
        <v>0</v>
      </c>
      <c r="AX12" s="115">
        <f>AN12-AP12</f>
      </c>
    </row>
    <row r="13" spans="1:50" ht="15" customHeight="1" x14ac:dyDescent="0.3">
      <c r="A13" s="94" t="s">
        <v>862</v>
      </c>
      <c r="B13" s="94"/>
      <c r="C13" s="94"/>
      <c r="D13" s="94"/>
      <c r="E13" s="94"/>
      <c r="F13" s="94"/>
      <c r="G13" s="112">
        <f>AU13</f>
      </c>
      <c r="H13" s="113"/>
      <c r="I13" s="94" t="s">
        <v>390</v>
      </c>
      <c r="J13" s="94" t="s">
        <v>267</v>
      </c>
      <c r="K13" s="114">
        <f>P13/3</f>
      </c>
      <c r="L13" s="115">
        <v>1024.501</v>
      </c>
      <c r="M13" s="116">
        <v>1024.501</v>
      </c>
      <c r="N13" s="117">
        <f>M13-L13</f>
      </c>
      <c r="O13" s="112"/>
      <c r="P13" s="118">
        <f>N13+O13</f>
      </c>
      <c r="Q13" s="94"/>
      <c r="R13" s="94" t="s">
        <v>63</v>
      </c>
      <c r="S13" s="119">
        <v>46327</v>
      </c>
      <c r="T13" s="119"/>
      <c r="U13" s="119" t="s">
        <v>631</v>
      </c>
      <c r="V13" s="94"/>
      <c r="W13" s="94"/>
      <c r="X13" s="94"/>
      <c r="Y13" s="119">
        <v>46320</v>
      </c>
      <c r="Z13" s="94"/>
      <c r="AA13" s="120"/>
      <c r="AB13" s="120"/>
      <c r="AC13" s="120"/>
      <c r="AD13" s="120"/>
      <c r="AE13" s="120"/>
      <c r="AF13" s="120"/>
      <c r="AG13" s="94"/>
      <c r="AH13" s="120"/>
      <c r="AI13" s="94"/>
      <c r="AJ13" s="94"/>
      <c r="AK13" s="94"/>
      <c r="AL13" s="94">
        <v>140</v>
      </c>
      <c r="AM13" s="94" t="str">
        <f>TRIM(AJ13)&amp;TRIM(AL13)&amp;TRIM(AK13)</f>
      </c>
      <c r="AN13" s="116">
        <v>0</v>
      </c>
      <c r="AO13" s="116" t="inlineStr">
        <is>
          <t>#NA</t>
        </is>
      </c>
      <c r="AP13" s="116">
        <f>SUMIFS(M:M,AM:AM,AM13)+SUMIFS(O:O,AM:AM,AM13)</f>
      </c>
      <c r="AQ13" s="116">
        <f>SUMIFS(L:L,AM:AM,AM13)</f>
      </c>
      <c r="AR13" s="116">
        <f>AQ13-AP13</f>
      </c>
      <c r="AS13" s="94" t="str">
        <f>IF(AN13&gt;=AQ13,"ok","ck")</f>
      </c>
      <c r="AT13" s="116">
        <f>-P13</f>
      </c>
      <c r="AU13" s="115">
        <f>IF(SUMIFS(AT:AT,AM:AM,AM13)&gt;AO13,(SUMIFS(AT:AT,AM:AM,AM13)-AO13))</f>
      </c>
      <c r="AV13" s="116" t="e">
        <v>#N/A</v>
      </c>
      <c r="AW13" s="121" t="e">
        <v>#N/A</v>
      </c>
      <c r="AX13" s="115">
        <f>AN13-AP13</f>
      </c>
    </row>
    <row r="14" spans="1:50" ht="15" hidden="1" customHeight="1" x14ac:dyDescent="0.3">
      <c r="A14" s="94" t="s">
        <v>60</v>
      </c>
      <c r="B14" s="94"/>
      <c r="C14" s="94"/>
      <c r="D14" s="94"/>
      <c r="E14" s="94"/>
      <c r="F14" s="94"/>
      <c r="G14" s="112">
        <f>AU14</f>
      </c>
      <c r="H14" s="113"/>
      <c r="I14" s="94" t="s">
        <v>70</v>
      </c>
      <c r="J14" s="94" t="s">
        <v>66</v>
      </c>
      <c r="K14" s="114">
        <f>P14/3</f>
      </c>
      <c r="L14" s="115">
        <v>480</v>
      </c>
      <c r="M14" s="116"/>
      <c r="N14" s="117">
        <f>M14-L14</f>
      </c>
      <c r="O14" s="112"/>
      <c r="P14" s="118">
        <f>N14+O14</f>
      </c>
      <c r="Q14" s="94" t="s">
        <v>67</v>
      </c>
      <c r="R14" s="94" t="s">
        <v>63</v>
      </c>
      <c r="S14" s="119">
        <v>46325</v>
      </c>
      <c r="T14" s="119"/>
      <c r="U14" s="119">
        <v>46325</v>
      </c>
      <c r="V14" s="94"/>
      <c r="W14" s="94"/>
      <c r="X14" s="94"/>
      <c r="Y14" s="119">
        <v>46320</v>
      </c>
      <c r="Z14" s="94"/>
      <c r="AA14" s="120"/>
      <c r="AB14" s="120"/>
      <c r="AC14" s="120"/>
      <c r="AD14" s="120"/>
      <c r="AE14" s="120"/>
      <c r="AF14" s="120"/>
      <c r="AG14" s="94"/>
      <c r="AH14" s="120"/>
      <c r="AI14" s="94"/>
      <c r="AJ14" s="94" t="s">
        <v>67</v>
      </c>
      <c r="AK14" s="94" t="s">
        <v>66</v>
      </c>
      <c r="AL14" s="94">
        <v>140</v>
      </c>
      <c r="AM14" s="94" t="str">
        <f>TRIM(AJ14)&amp;TRIM(AL14)&amp;TRIM(AK14)</f>
      </c>
      <c r="AN14" s="116">
        <v>16424.84</v>
      </c>
      <c r="AO14" s="116">
        <v>2141.13</v>
      </c>
      <c r="AP14" s="116">
        <f>SUMIFS(M:M,AM:AM,AM14)+SUMIFS(O:O,AM:AM,AM14)</f>
      </c>
      <c r="AQ14" s="116">
        <f>SUMIFS(L:L,AM:AM,AM14)</f>
      </c>
      <c r="AR14" s="116">
        <f>AQ14-AP14</f>
      </c>
      <c r="AS14" s="94" t="str">
        <f>IF(AN14&gt;=AQ14,"ok","ck")</f>
      </c>
      <c r="AT14" s="116">
        <f>-P14</f>
      </c>
      <c r="AU14" s="115">
        <f>IF(SUMIFS(AT:AT,AM:AM,AM14)&gt;AO14,(SUMIFS(AT:AT,AM:AM,AM14)-AO14))</f>
      </c>
      <c r="AV14" s="116">
        <v>317</v>
      </c>
      <c r="AW14" s="121">
        <v>0.744</v>
      </c>
      <c r="AX14" s="115">
        <f>AN14-AP14</f>
      </c>
    </row>
    <row r="15" spans="1:50" ht="15" hidden="1" customHeight="1" x14ac:dyDescent="0.3">
      <c r="A15" s="94" t="s">
        <v>60</v>
      </c>
      <c r="B15" s="94"/>
      <c r="C15" s="94"/>
      <c r="D15" s="94"/>
      <c r="E15" s="94"/>
      <c r="F15" s="94"/>
      <c r="G15" s="112">
        <f>AU15</f>
      </c>
      <c r="H15" s="113"/>
      <c r="I15" s="94" t="s">
        <v>70</v>
      </c>
      <c r="J15" s="94" t="s">
        <v>66</v>
      </c>
      <c r="K15" s="114">
        <f>P15/3</f>
      </c>
      <c r="L15" s="115">
        <v>800.78899999999999</v>
      </c>
      <c r="M15" s="116"/>
      <c r="N15" s="117">
        <f>M15-L15</f>
      </c>
      <c r="O15" s="112"/>
      <c r="P15" s="118">
        <f>N15+O15</f>
      </c>
      <c r="Q15" s="94" t="s">
        <v>67</v>
      </c>
      <c r="R15" s="94" t="s">
        <v>63</v>
      </c>
      <c r="S15" s="119">
        <v>46325</v>
      </c>
      <c r="T15" s="119"/>
      <c r="U15" s="119">
        <v>46325</v>
      </c>
      <c r="V15" s="94"/>
      <c r="W15" s="94"/>
      <c r="X15" s="94"/>
      <c r="Y15" s="119">
        <v>46321</v>
      </c>
      <c r="Z15" s="94"/>
      <c r="AA15" s="120"/>
      <c r="AB15" s="120"/>
      <c r="AC15" s="120"/>
      <c r="AD15" s="120"/>
      <c r="AE15" s="120"/>
      <c r="AF15" s="120"/>
      <c r="AG15" s="94"/>
      <c r="AH15" s="120"/>
      <c r="AI15" s="94"/>
      <c r="AJ15" s="94" t="s">
        <v>67</v>
      </c>
      <c r="AK15" s="94" t="s">
        <v>66</v>
      </c>
      <c r="AL15" s="94">
        <v>140</v>
      </c>
      <c r="AM15" s="94" t="str">
        <f>TRIM(AJ15)&amp;TRIM(AL15)&amp;TRIM(AK15)</f>
      </c>
      <c r="AN15" s="116">
        <v>16424.84</v>
      </c>
      <c r="AO15" s="116">
        <v>2141.13</v>
      </c>
      <c r="AP15" s="116">
        <f>SUMIFS(M:M,AM:AM,AM15)+SUMIFS(O:O,AM:AM,AM15)</f>
      </c>
      <c r="AQ15" s="116">
        <f>SUMIFS(L:L,AM:AM,AM15)</f>
      </c>
      <c r="AR15" s="116">
        <f>AQ15-AP15</f>
      </c>
      <c r="AS15" s="94" t="str">
        <f>IF(AN15&gt;=AQ15,"ok","ck")</f>
      </c>
      <c r="AT15" s="116">
        <f>-P15</f>
      </c>
      <c r="AU15" s="115">
        <f>IF(SUMIFS(AT:AT,AM:AM,AM15)&gt;AO15,(SUMIFS(AT:AT,AM:AM,AM15)-AO15))</f>
      </c>
      <c r="AV15" s="116">
        <v>317</v>
      </c>
      <c r="AW15" s="121">
        <v>0.744</v>
      </c>
      <c r="AX15" s="115">
        <f>AN15-AP15</f>
      </c>
    </row>
    <row r="16" spans="1:50" ht="15" hidden="1" customHeight="1" x14ac:dyDescent="0.3">
      <c r="A16" s="94" t="s">
        <v>82</v>
      </c>
      <c r="B16" s="94"/>
      <c r="C16" s="94"/>
      <c r="D16" s="94"/>
      <c r="E16" s="94"/>
      <c r="F16" s="94"/>
      <c r="G16" s="112">
        <f>AU16</f>
      </c>
      <c r="H16" s="113"/>
      <c r="I16" s="94" t="s">
        <v>83</v>
      </c>
      <c r="J16" s="94" t="s">
        <v>84</v>
      </c>
      <c r="K16" s="114">
        <f>P16/3</f>
      </c>
      <c r="L16" s="115">
        <v>0</v>
      </c>
      <c r="M16" s="116">
        <f>L16</f>
      </c>
      <c r="N16" s="117">
        <f>M16-L16</f>
      </c>
      <c r="O16" s="112"/>
      <c r="P16" s="118">
        <f>N16+O16</f>
      </c>
      <c r="Q16" s="94" t="s">
        <v>848</v>
      </c>
      <c r="R16" s="94" t="s">
        <v>63</v>
      </c>
      <c r="S16" s="119">
        <v>46320</v>
      </c>
      <c r="T16" s="119"/>
      <c r="U16" s="119">
        <v>46320</v>
      </c>
      <c r="V16" s="94"/>
      <c r="W16" s="94"/>
      <c r="X16" s="94"/>
      <c r="Y16" s="119">
        <v>46320</v>
      </c>
      <c r="Z16" s="94"/>
      <c r="AA16" s="120"/>
      <c r="AB16" s="120"/>
      <c r="AC16" s="120"/>
      <c r="AD16" s="120"/>
      <c r="AE16" s="120"/>
      <c r="AF16" s="120"/>
      <c r="AG16" s="94"/>
      <c r="AH16" s="120"/>
      <c r="AI16" s="94"/>
      <c r="AJ16" s="94" t="s">
        <v>775</v>
      </c>
      <c r="AK16" s="94" t="s">
        <v>87</v>
      </c>
      <c r="AL16" s="94">
        <v>160</v>
      </c>
      <c r="AM16" s="94" t="str">
        <f>TRIM(AJ16)&amp;TRIM(AL16)&amp;TRIM(AK16)</f>
      </c>
      <c r="AN16" s="116">
        <v>2795</v>
      </c>
      <c r="AO16" s="116">
        <v>-56</v>
      </c>
      <c r="AP16" s="116">
        <f>SUMIFS(M:M,AM:AM,AM16)+SUMIFS(O:O,AM:AM,AM16)</f>
      </c>
      <c r="AQ16" s="116">
        <f>SUMIFS(L:L,AM:AM,AM16)</f>
      </c>
      <c r="AR16" s="116">
        <f>AQ16-AP16</f>
      </c>
      <c r="AS16" s="94" t="str">
        <f>IF(AN16&gt;=AQ16,"ok","ck")</f>
      </c>
      <c r="AT16" s="116">
        <f>-P16</f>
      </c>
      <c r="AU16" s="115">
        <f>IF(SUMIFS(AT:AT,AM:AM,AM16)&gt;AO16,(SUMIFS(AT:AT,AM:AM,AM16)-AO16))</f>
      </c>
      <c r="AV16" s="116">
        <v>2795</v>
      </c>
      <c r="AW16" s="121">
        <v>1.02</v>
      </c>
      <c r="AX16" s="115">
        <f>AN16-AP16</f>
      </c>
    </row>
    <row r="17" spans="1:50" ht="15" hidden="1" customHeight="1" x14ac:dyDescent="0.3">
      <c r="A17" s="94" t="s">
        <v>82</v>
      </c>
      <c r="B17" s="94"/>
      <c r="C17" s="94"/>
      <c r="D17" s="94"/>
      <c r="E17" s="94"/>
      <c r="F17" s="94"/>
      <c r="G17" s="112">
        <f>AU17</f>
      </c>
      <c r="H17" s="113"/>
      <c r="I17" s="94" t="s">
        <v>83</v>
      </c>
      <c r="J17" s="94" t="s">
        <v>84</v>
      </c>
      <c r="K17" s="114">
        <f>P17/3</f>
      </c>
      <c r="L17" s="115">
        <v>0</v>
      </c>
      <c r="M17" s="116">
        <f>L17</f>
      </c>
      <c r="N17" s="117">
        <f>M17-L17</f>
      </c>
      <c r="O17" s="112"/>
      <c r="P17" s="118">
        <f>N17+O17</f>
      </c>
      <c r="Q17" s="94" t="s">
        <v>848</v>
      </c>
      <c r="R17" s="94" t="s">
        <v>63</v>
      </c>
      <c r="S17" s="119">
        <v>46324</v>
      </c>
      <c r="T17" s="119"/>
      <c r="U17" s="119">
        <v>46324</v>
      </c>
      <c r="V17" s="94"/>
      <c r="W17" s="94"/>
      <c r="X17" s="94"/>
      <c r="Y17" s="119">
        <v>46324</v>
      </c>
      <c r="Z17" s="94"/>
      <c r="AA17" s="120"/>
      <c r="AB17" s="120"/>
      <c r="AC17" s="120"/>
      <c r="AD17" s="120"/>
      <c r="AE17" s="120"/>
      <c r="AF17" s="120"/>
      <c r="AG17" s="94"/>
      <c r="AH17" s="120"/>
      <c r="AI17" s="94"/>
      <c r="AJ17" s="94" t="s">
        <v>775</v>
      </c>
      <c r="AK17" s="94" t="s">
        <v>87</v>
      </c>
      <c r="AL17" s="94">
        <v>160</v>
      </c>
      <c r="AM17" s="94" t="str">
        <f>TRIM(AJ17)&amp;TRIM(AL17)&amp;TRIM(AK17)</f>
      </c>
      <c r="AN17" s="116">
        <v>2795</v>
      </c>
      <c r="AO17" s="116">
        <v>-56</v>
      </c>
      <c r="AP17" s="116">
        <f>SUMIFS(M:M,AM:AM,AM17)+SUMIFS(O:O,AM:AM,AM17)</f>
      </c>
      <c r="AQ17" s="116">
        <f>SUMIFS(L:L,AM:AM,AM17)</f>
      </c>
      <c r="AR17" s="116">
        <f>AQ17-AP17</f>
      </c>
      <c r="AS17" s="94" t="str">
        <f>IF(AN17&gt;=AQ17,"ok","ck")</f>
      </c>
      <c r="AT17" s="116">
        <f>-P17</f>
      </c>
      <c r="AU17" s="115">
        <f>IF(SUMIFS(AT:AT,AM:AM,AM17)&gt;AO17,(SUMIFS(AT:AT,AM:AM,AM17)-AO17))</f>
      </c>
      <c r="AV17" s="116">
        <v>2795</v>
      </c>
      <c r="AW17" s="121">
        <v>1.02</v>
      </c>
      <c r="AX17" s="115">
        <f>AN17-AP17</f>
      </c>
    </row>
    <row r="18" spans="1:50" ht="15" hidden="1" customHeight="1" x14ac:dyDescent="0.3">
      <c r="A18" s="94" t="s">
        <v>60</v>
      </c>
      <c r="B18" s="94"/>
      <c r="C18" s="94"/>
      <c r="D18" s="94"/>
      <c r="E18" s="94"/>
      <c r="F18" s="94"/>
      <c r="G18" s="112">
        <f>AU18</f>
      </c>
      <c r="H18" s="113"/>
      <c r="I18" s="94" t="s">
        <v>482</v>
      </c>
      <c r="J18" s="94" t="s">
        <v>498</v>
      </c>
      <c r="K18" s="114">
        <f>P18/3</f>
      </c>
      <c r="L18" s="115">
        <v>-1E-3</v>
      </c>
      <c r="M18" s="116">
        <f>L18</f>
      </c>
      <c r="N18" s="117">
        <f>M18-L18</f>
      </c>
      <c r="O18" s="112"/>
      <c r="P18" s="118">
        <f>N18+O18</f>
      </c>
      <c r="Q18" s="94" t="s">
        <v>776</v>
      </c>
      <c r="R18" s="94" t="s">
        <v>63</v>
      </c>
      <c r="S18" s="119">
        <v>46342</v>
      </c>
      <c r="T18" s="119"/>
      <c r="U18" s="119">
        <v>46342</v>
      </c>
      <c r="V18" s="94"/>
      <c r="W18" s="94"/>
      <c r="X18" s="94"/>
      <c r="Y18" s="119">
        <v>46342</v>
      </c>
      <c r="Z18" s="94"/>
      <c r="AA18" s="120"/>
      <c r="AB18" s="120"/>
      <c r="AC18" s="120"/>
      <c r="AD18" s="120"/>
      <c r="AE18" s="120"/>
      <c r="AF18" s="120"/>
      <c r="AG18" s="94"/>
      <c r="AH18" s="120"/>
      <c r="AI18" s="94"/>
      <c r="AJ18" s="94" t="s">
        <v>776</v>
      </c>
      <c r="AK18" s="94" t="s">
        <v>691</v>
      </c>
      <c r="AL18" s="94">
        <v>110</v>
      </c>
      <c r="AM18" s="94" t="str">
        <f>TRIM(AJ18)&amp;TRIM(AL18)&amp;TRIM(AK18)</f>
      </c>
      <c r="AN18" s="116">
        <v>96</v>
      </c>
      <c r="AO18" s="116">
        <v>-2.02</v>
      </c>
      <c r="AP18" s="116">
        <f>SUMIFS(M:M,AM:AM,AM18)+SUMIFS(O:O,AM:AM,AM18)</f>
      </c>
      <c r="AQ18" s="116">
        <f>SUMIFS(L:L,AM:AM,AM18)</f>
      </c>
      <c r="AR18" s="116">
        <f>AQ18-AP18</f>
      </c>
      <c r="AS18" s="94" t="str">
        <f>IF(AN18&gt;=AQ18,"ok","ck")</f>
      </c>
      <c r="AT18" s="116">
        <f>-P18</f>
      </c>
      <c r="AU18" s="115">
        <f>IF(SUMIFS(AT:AT,AM:AM,AM18)&gt;AO18,(SUMIFS(AT:AT,AM:AM,AM18)-AO18))</f>
      </c>
      <c r="AV18" s="116">
        <v>96</v>
      </c>
      <c r="AW18" s="121">
        <v>1.021</v>
      </c>
      <c r="AX18" s="115">
        <f>AN18-AP18</f>
      </c>
    </row>
    <row r="19" spans="1:50" ht="15" hidden="1" customHeight="1" x14ac:dyDescent="0.3">
      <c r="A19" s="94" t="s">
        <v>268</v>
      </c>
      <c r="B19" s="94"/>
      <c r="C19" s="94"/>
      <c r="D19" s="94"/>
      <c r="E19" s="94"/>
      <c r="F19" s="94"/>
      <c r="G19" s="112">
        <f>AU19</f>
      </c>
      <c r="H19" s="113"/>
      <c r="I19" s="94" t="s">
        <v>390</v>
      </c>
      <c r="J19" s="94" t="s">
        <v>497</v>
      </c>
      <c r="K19" s="114">
        <f>P19/3</f>
      </c>
      <c r="L19" s="115">
        <v>0</v>
      </c>
      <c r="M19" s="116">
        <f>L19</f>
      </c>
      <c r="N19" s="117">
        <f>M19-L19</f>
      </c>
      <c r="O19" s="112"/>
      <c r="P19" s="118">
        <f>N19+O19</f>
      </c>
      <c r="Q19" s="94" t="s">
        <v>772</v>
      </c>
      <c r="R19" s="94" t="s">
        <v>63</v>
      </c>
      <c r="S19" s="119">
        <v>46321</v>
      </c>
      <c r="T19" s="119"/>
      <c r="U19" s="120">
        <v>46321</v>
      </c>
      <c r="V19" s="94"/>
      <c r="W19" s="94"/>
      <c r="X19" s="94"/>
      <c r="Y19" s="119">
        <v>46321</v>
      </c>
      <c r="Z19" s="94"/>
      <c r="AA19" s="120"/>
      <c r="AB19" s="120"/>
      <c r="AC19" s="120"/>
      <c r="AD19" s="120"/>
      <c r="AE19" s="120"/>
      <c r="AF19" s="120"/>
      <c r="AG19" s="94"/>
      <c r="AH19" s="120"/>
      <c r="AI19" s="94"/>
      <c r="AJ19" s="94" t="s">
        <v>772</v>
      </c>
      <c r="AK19" s="94" t="s">
        <v>366</v>
      </c>
      <c r="AL19" s="94">
        <v>140</v>
      </c>
      <c r="AM19" s="94" t="str">
        <f>TRIM(AJ19)&amp;TRIM(AL19)&amp;TRIM(AK19)</f>
      </c>
      <c r="AN19" s="116">
        <v>600</v>
      </c>
      <c r="AO19" s="116">
        <v>-16.3</v>
      </c>
      <c r="AP19" s="116">
        <f>SUMIFS(M:M,AM:AM,AM19)+SUMIFS(O:O,AM:AM,AM19)</f>
      </c>
      <c r="AQ19" s="116">
        <f>SUMIFS(L:L,AM:AM,AM19)</f>
      </c>
      <c r="AR19" s="116">
        <f>AQ19-AP19</f>
      </c>
      <c r="AS19" s="94" t="str">
        <f>IF(AN19&gt;=AQ19,"ok","ck")</f>
      </c>
      <c r="AT19" s="116">
        <f>-P19</f>
      </c>
      <c r="AU19" s="115">
        <f>IF(SUMIFS(AT:AT,AM:AM,AM19)&gt;AO19,(SUMIFS(AT:AT,AM:AM,AM19)-AO19))</f>
      </c>
      <c r="AV19" s="116">
        <v>600</v>
      </c>
      <c r="AW19" s="121">
        <v>1.028</v>
      </c>
      <c r="AX19" s="115">
        <f>AN19-AP19</f>
      </c>
    </row>
    <row r="20" spans="1:50" ht="15" hidden="1" customHeight="1" x14ac:dyDescent="0.3">
      <c r="A20" s="94" t="s">
        <v>82</v>
      </c>
      <c r="B20" s="94"/>
      <c r="C20" s="94"/>
      <c r="D20" s="94"/>
      <c r="E20" s="94"/>
      <c r="F20" s="94"/>
      <c r="G20" s="112">
        <f>AU20</f>
      </c>
      <c r="H20" s="113"/>
      <c r="I20" s="94" t="s">
        <v>83</v>
      </c>
      <c r="J20" s="94" t="s">
        <v>71</v>
      </c>
      <c r="K20" s="114">
        <f>P20/3</f>
      </c>
      <c r="L20" s="115">
        <v>-332.52699999999999</v>
      </c>
      <c r="M20" s="116">
        <f>L20</f>
      </c>
      <c r="N20" s="117">
        <f>M20-L20</f>
      </c>
      <c r="O20" s="112"/>
      <c r="P20" s="118">
        <f>N20+O20</f>
      </c>
      <c r="Q20" s="94" t="s">
        <v>849</v>
      </c>
      <c r="R20" s="94" t="s">
        <v>63</v>
      </c>
      <c r="S20" s="119">
        <v>46320</v>
      </c>
      <c r="T20" s="119"/>
      <c r="U20" s="120">
        <v>46320</v>
      </c>
      <c r="V20" s="94"/>
      <c r="W20" s="94"/>
      <c r="X20" s="94"/>
      <c r="Y20" s="119">
        <v>46320</v>
      </c>
      <c r="Z20" s="94"/>
      <c r="AA20" s="120"/>
      <c r="AB20" s="120"/>
      <c r="AC20" s="120"/>
      <c r="AD20" s="120"/>
      <c r="AE20" s="120"/>
      <c r="AF20" s="120"/>
      <c r="AG20" s="94"/>
      <c r="AH20" s="120"/>
      <c r="AI20" s="94"/>
      <c r="AJ20" s="94" t="s">
        <v>777</v>
      </c>
      <c r="AK20" s="94" t="s">
        <v>71</v>
      </c>
      <c r="AL20" s="94">
        <v>160</v>
      </c>
      <c r="AM20" s="94" t="str">
        <f>TRIM(AJ20)&amp;TRIM(AL20)&amp;TRIM(AK20)</f>
      </c>
      <c r="AN20" s="116">
        <v>70760.04</v>
      </c>
      <c r="AO20" s="116">
        <v>-2548.43</v>
      </c>
      <c r="AP20" s="116">
        <f>SUMIFS(M:M,AM:AM,AM20)+SUMIFS(O:O,AM:AM,AM20)</f>
      </c>
      <c r="AQ20" s="116">
        <f>SUMIFS(L:L,AM:AM,AM20)</f>
      </c>
      <c r="AR20" s="116">
        <f>AQ20-AP20</f>
      </c>
      <c r="AS20" s="94" t="str">
        <f>IF(AN20&gt;=AQ20,"ok","ck")</f>
      </c>
      <c r="AT20" s="116">
        <f>-P20</f>
      </c>
      <c r="AU20" s="115">
        <f>IF(SUMIFS(AT:AT,AM:AM,AM20)&gt;AO20,(SUMIFS(AT:AT,AM:AM,AM20)-AO20))</f>
      </c>
      <c r="AV20" s="116">
        <v>35101.78</v>
      </c>
      <c r="AW20" s="121">
        <v>1.029</v>
      </c>
      <c r="AX20" s="115">
        <f>AN20-AP20</f>
      </c>
    </row>
    <row r="21" spans="1:50" ht="15" hidden="1" customHeight="1" x14ac:dyDescent="0.3">
      <c r="A21" s="94" t="s">
        <v>60</v>
      </c>
      <c r="B21" s="94"/>
      <c r="C21" s="94"/>
      <c r="D21" s="94"/>
      <c r="E21" s="94"/>
      <c r="F21" s="94"/>
      <c r="G21" s="112">
        <f>AU21</f>
      </c>
      <c r="H21" s="113"/>
      <c r="I21" s="94" t="s">
        <v>70</v>
      </c>
      <c r="J21" s="94" t="s">
        <v>66</v>
      </c>
      <c r="K21" s="114">
        <f>P21/3</f>
      </c>
      <c r="L21" s="115">
        <v>364.37799999999999</v>
      </c>
      <c r="M21" s="116"/>
      <c r="N21" s="117">
        <f>M21-L21</f>
      </c>
      <c r="O21" s="112"/>
      <c r="P21" s="118">
        <f>N21+O21</f>
      </c>
      <c r="Q21" s="94" t="s">
        <v>67</v>
      </c>
      <c r="R21" s="94" t="s">
        <v>63</v>
      </c>
      <c r="S21" s="119">
        <v>46325</v>
      </c>
      <c r="T21" s="119"/>
      <c r="U21" s="120">
        <v>46325</v>
      </c>
      <c r="V21" s="94"/>
      <c r="W21" s="94"/>
      <c r="X21" s="94"/>
      <c r="Y21" s="119">
        <v>46337</v>
      </c>
      <c r="Z21" s="94"/>
      <c r="AA21" s="120"/>
      <c r="AB21" s="120"/>
      <c r="AC21" s="120"/>
      <c r="AD21" s="120"/>
      <c r="AE21" s="120"/>
      <c r="AF21" s="120"/>
      <c r="AG21" s="94"/>
      <c r="AH21" s="120"/>
      <c r="AI21" s="94"/>
      <c r="AJ21" s="94" t="s">
        <v>67</v>
      </c>
      <c r="AK21" s="94" t="s">
        <v>66</v>
      </c>
      <c r="AL21" s="94">
        <v>140</v>
      </c>
      <c r="AM21" s="94" t="str">
        <f>TRIM(AJ21)&amp;TRIM(AL21)&amp;TRIM(AK21)</f>
      </c>
      <c r="AN21" s="116">
        <v>16424.84</v>
      </c>
      <c r="AO21" s="116">
        <v>2141.13</v>
      </c>
      <c r="AP21" s="116">
        <f>SUMIFS(M:M,AM:AM,AM21)+SUMIFS(O:O,AM:AM,AM21)</f>
      </c>
      <c r="AQ21" s="116">
        <f>SUMIFS(L:L,AM:AM,AM21)</f>
      </c>
      <c r="AR21" s="116">
        <f>AQ21-AP21</f>
      </c>
      <c r="AS21" s="94" t="str">
        <f>IF(AN21&gt;=AQ21,"ok","ck")</f>
      </c>
      <c r="AT21" s="116">
        <f>-P21</f>
      </c>
      <c r="AU21" s="115">
        <f>IF(SUMIFS(AT:AT,AM:AM,AM21)&gt;AO21,(SUMIFS(AT:AT,AM:AM,AM21)-AO21))</f>
      </c>
      <c r="AV21" s="116">
        <v>317</v>
      </c>
      <c r="AW21" s="121">
        <v>0.744</v>
      </c>
      <c r="AX21" s="115">
        <f>AN21-AP21</f>
      </c>
    </row>
    <row r="22" spans="1:50" ht="15" hidden="1" customHeight="1" x14ac:dyDescent="0.3">
      <c r="A22" s="94" t="s">
        <v>60</v>
      </c>
      <c r="B22" s="94"/>
      <c r="C22" s="94"/>
      <c r="D22" s="94"/>
      <c r="E22" s="94"/>
      <c r="F22" s="94"/>
      <c r="G22" s="112">
        <f>AU22</f>
      </c>
      <c r="H22" s="113"/>
      <c r="I22" s="94" t="s">
        <v>70</v>
      </c>
      <c r="J22" s="94" t="s">
        <v>66</v>
      </c>
      <c r="K22" s="114">
        <f>P22/3</f>
      </c>
      <c r="L22" s="115">
        <v>8.2000000000000003E-2</v>
      </c>
      <c r="M22" s="116"/>
      <c r="N22" s="117">
        <f>M22-L22</f>
      </c>
      <c r="O22" s="112"/>
      <c r="P22" s="118">
        <f>N22+O22</f>
      </c>
      <c r="Q22" s="94" t="s">
        <v>67</v>
      </c>
      <c r="R22" s="94" t="s">
        <v>63</v>
      </c>
      <c r="S22" s="119">
        <v>46325</v>
      </c>
      <c r="T22" s="119"/>
      <c r="U22" s="120">
        <v>46325</v>
      </c>
      <c r="V22" s="94"/>
      <c r="W22" s="94"/>
      <c r="X22" s="94"/>
      <c r="Y22" s="119">
        <v>46341</v>
      </c>
      <c r="Z22" s="94"/>
      <c r="AA22" s="120"/>
      <c r="AB22" s="120"/>
      <c r="AC22" s="120"/>
      <c r="AD22" s="120"/>
      <c r="AE22" s="120"/>
      <c r="AF22" s="120"/>
      <c r="AG22" s="94"/>
      <c r="AH22" s="120"/>
      <c r="AI22" s="94"/>
      <c r="AJ22" s="94" t="s">
        <v>67</v>
      </c>
      <c r="AK22" s="94" t="s">
        <v>66</v>
      </c>
      <c r="AL22" s="94">
        <v>140</v>
      </c>
      <c r="AM22" s="94" t="str">
        <f>TRIM(AJ22)&amp;TRIM(AL22)&amp;TRIM(AK22)</f>
      </c>
      <c r="AN22" s="116">
        <v>16424.84</v>
      </c>
      <c r="AO22" s="116">
        <v>2141.13</v>
      </c>
      <c r="AP22" s="116">
        <f>SUMIFS(M:M,AM:AM,AM22)+SUMIFS(O:O,AM:AM,AM22)</f>
      </c>
      <c r="AQ22" s="116">
        <f>SUMIFS(L:L,AM:AM,AM22)</f>
      </c>
      <c r="AR22" s="116">
        <f>AQ22-AP22</f>
      </c>
      <c r="AS22" s="94" t="str">
        <f>IF(AN22&gt;=AQ22,"ok","ck")</f>
      </c>
      <c r="AT22" s="116">
        <f>-P22</f>
      </c>
      <c r="AU22" s="115">
        <f>IF(SUMIFS(AT:AT,AM:AM,AM22)&gt;AO22,(SUMIFS(AT:AT,AM:AM,AM22)-AO22))</f>
      </c>
      <c r="AV22" s="116">
        <v>317</v>
      </c>
      <c r="AW22" s="121">
        <v>0.744</v>
      </c>
      <c r="AX22" s="115">
        <f>AN22-AP22</f>
      </c>
    </row>
    <row r="23" spans="1:50" ht="15" hidden="1" customHeight="1" x14ac:dyDescent="0.3">
      <c r="A23" s="94" t="s">
        <v>60</v>
      </c>
      <c r="B23" s="94"/>
      <c r="C23" s="94"/>
      <c r="D23" s="94"/>
      <c r="E23" s="94"/>
      <c r="F23" s="94"/>
      <c r="G23" s="112">
        <f>AU23</f>
      </c>
      <c r="H23" s="113"/>
      <c r="I23" s="94" t="s">
        <v>70</v>
      </c>
      <c r="J23" s="94" t="s">
        <v>68</v>
      </c>
      <c r="K23" s="114">
        <f>P23/3</f>
      </c>
      <c r="L23" s="115">
        <v>-9.5540000000000003</v>
      </c>
      <c r="M23" s="116">
        <f>L23</f>
      </c>
      <c r="N23" s="117">
        <f>M23-L23</f>
      </c>
      <c r="O23" s="112"/>
      <c r="P23" s="118">
        <f>N23+O23</f>
      </c>
      <c r="Q23" s="94" t="s">
        <v>67</v>
      </c>
      <c r="R23" s="94" t="s">
        <v>63</v>
      </c>
      <c r="S23" s="119">
        <v>46320</v>
      </c>
      <c r="T23" s="119"/>
      <c r="U23" s="120">
        <v>46320</v>
      </c>
      <c r="V23" s="94"/>
      <c r="W23" s="94"/>
      <c r="X23" s="94"/>
      <c r="Y23" s="119">
        <v>46320</v>
      </c>
      <c r="Z23" s="94"/>
      <c r="AA23" s="120"/>
      <c r="AB23" s="120"/>
      <c r="AC23" s="120"/>
      <c r="AD23" s="120"/>
      <c r="AE23" s="120"/>
      <c r="AF23" s="120"/>
      <c r="AG23" s="94"/>
      <c r="AH23" s="120"/>
      <c r="AI23" s="94"/>
      <c r="AJ23" s="94" t="s">
        <v>67</v>
      </c>
      <c r="AK23" s="94" t="s">
        <v>69</v>
      </c>
      <c r="AL23" s="94">
        <v>140</v>
      </c>
      <c r="AM23" s="94" t="str">
        <f>TRIM(AJ23)&amp;TRIM(AL23)&amp;TRIM(AK23)</f>
      </c>
      <c r="AN23" s="116">
        <v>2601</v>
      </c>
      <c r="AO23" s="116">
        <v>-61</v>
      </c>
      <c r="AP23" s="116">
        <f>SUMIFS(M:M,AM:AM,AM23)+SUMIFS(O:O,AM:AM,AM23)</f>
      </c>
      <c r="AQ23" s="116">
        <f>SUMIFS(L:L,AM:AM,AM23)</f>
      </c>
      <c r="AR23" s="116">
        <f>AQ23-AP23</f>
      </c>
      <c r="AS23" s="94" t="str">
        <f>IF(AN23&gt;=AQ23,"ok","ck")</f>
      </c>
      <c r="AT23" s="116">
        <f>-P23</f>
      </c>
      <c r="AU23" s="115">
        <f>IF(SUMIFS(AT:AT,AM:AM,AM23)&gt;AO23,(SUMIFS(AT:AT,AM:AM,AM23)-AO23))</f>
      </c>
      <c r="AV23" s="116">
        <v>2601</v>
      </c>
      <c r="AW23" s="121">
        <v>1.024</v>
      </c>
      <c r="AX23" s="115">
        <f>AN23-AP23</f>
      </c>
    </row>
    <row r="24" spans="1:50" ht="15" hidden="1" customHeight="1" x14ac:dyDescent="0.3">
      <c r="A24" s="94" t="s">
        <v>82</v>
      </c>
      <c r="B24" s="94"/>
      <c r="C24" s="94"/>
      <c r="D24" s="94"/>
      <c r="E24" s="94"/>
      <c r="F24" s="94"/>
      <c r="G24" s="112">
        <f>AU24</f>
      </c>
      <c r="H24" s="113"/>
      <c r="I24" s="94" t="s">
        <v>240</v>
      </c>
      <c r="J24" s="94" t="s">
        <v>66</v>
      </c>
      <c r="K24" s="114">
        <f>P24/3</f>
      </c>
      <c r="L24" s="115">
        <v>0</v>
      </c>
      <c r="M24" s="116"/>
      <c r="N24" s="117">
        <f>M24-L24</f>
      </c>
      <c r="O24" s="112"/>
      <c r="P24" s="118">
        <f>N24+O24</f>
      </c>
      <c r="Q24" s="94" t="s">
        <v>242</v>
      </c>
      <c r="R24" s="94" t="s">
        <v>63</v>
      </c>
      <c r="S24" s="119">
        <v>46331</v>
      </c>
      <c r="T24" s="119"/>
      <c r="U24" s="120">
        <v>46331</v>
      </c>
      <c r="V24" s="94"/>
      <c r="W24" s="94"/>
      <c r="X24" s="94"/>
      <c r="Y24" s="119">
        <v>46331</v>
      </c>
      <c r="Z24" s="94"/>
      <c r="AA24" s="120"/>
      <c r="AB24" s="120"/>
      <c r="AC24" s="120"/>
      <c r="AD24" s="120"/>
      <c r="AE24" s="120"/>
      <c r="AF24" s="120"/>
      <c r="AG24" s="94"/>
      <c r="AH24" s="120"/>
      <c r="AI24" s="94"/>
      <c r="AJ24" s="94" t="s">
        <v>243</v>
      </c>
      <c r="AK24" s="94" t="s">
        <v>66</v>
      </c>
      <c r="AL24" s="94">
        <v>190</v>
      </c>
      <c r="AM24" s="94" t="str">
        <f>TRIM(AJ24)&amp;TRIM(AL24)&amp;TRIM(AK24)</f>
      </c>
      <c r="AN24" s="116">
        <v>77382.29</v>
      </c>
      <c r="AO24" s="116">
        <v>1396.71</v>
      </c>
      <c r="AP24" s="116">
        <f>SUMIFS(M:M,AM:AM,AM24)+SUMIFS(O:O,AM:AM,AM24)</f>
      </c>
      <c r="AQ24" s="116">
        <f>SUMIFS(L:L,AM:AM,AM24)</f>
      </c>
      <c r="AR24" s="116">
        <f>AQ24-AP24</f>
      </c>
      <c r="AS24" s="94" t="str">
        <f>IF(AN24&gt;=AQ24,"ok","ck")</f>
      </c>
      <c r="AT24" s="116">
        <f>-P24</f>
      </c>
      <c r="AU24" s="115">
        <f>IF(SUMIFS(AT:AT,AM:AM,AM24)&gt;AO24,(SUMIFS(AT:AT,AM:AM,AM24)-AO24))</f>
      </c>
      <c r="AV24" s="116">
        <v>9721.87</v>
      </c>
      <c r="AW24" s="121">
        <v>0.914</v>
      </c>
      <c r="AX24" s="115">
        <f>AN24-AP24</f>
      </c>
    </row>
    <row r="25" spans="1:50" ht="15" hidden="1" customHeight="1" x14ac:dyDescent="0.3">
      <c r="A25" s="94" t="s">
        <v>268</v>
      </c>
      <c r="B25" s="94"/>
      <c r="C25" s="94"/>
      <c r="D25" s="94"/>
      <c r="E25" s="94"/>
      <c r="F25" s="94"/>
      <c r="G25" s="112">
        <f>AU25</f>
      </c>
      <c r="H25" s="113"/>
      <c r="I25" s="94" t="s">
        <v>278</v>
      </c>
      <c r="J25" s="94" t="s">
        <v>293</v>
      </c>
      <c r="K25" s="114">
        <f>P25/3</f>
      </c>
      <c r="L25" s="115">
        <v>4.95</v>
      </c>
      <c r="M25" s="116">
        <f>L25</f>
      </c>
      <c r="N25" s="117">
        <f>M25-L25</f>
      </c>
      <c r="O25" s="112"/>
      <c r="P25" s="118">
        <f>N25+O25</f>
      </c>
      <c r="Q25" s="94" t="s">
        <v>271</v>
      </c>
      <c r="R25" s="94" t="s">
        <v>63</v>
      </c>
      <c r="S25" s="119">
        <v>46320</v>
      </c>
      <c r="T25" s="119"/>
      <c r="U25" s="120">
        <v>46320</v>
      </c>
      <c r="V25" s="94"/>
      <c r="W25" s="94"/>
      <c r="X25" s="94"/>
      <c r="Y25" s="119">
        <v>46320</v>
      </c>
      <c r="Z25" s="94"/>
      <c r="AA25" s="120"/>
      <c r="AB25" s="120"/>
      <c r="AC25" s="120"/>
      <c r="AD25" s="120"/>
      <c r="AE25" s="120"/>
      <c r="AF25" s="120"/>
      <c r="AG25" s="94"/>
      <c r="AH25" s="120"/>
      <c r="AI25" s="94"/>
      <c r="AJ25" s="94" t="s">
        <v>271</v>
      </c>
      <c r="AK25" s="94" t="s">
        <v>294</v>
      </c>
      <c r="AL25" s="94">
        <v>120</v>
      </c>
      <c r="AM25" s="94" t="str">
        <f>TRIM(AJ25)&amp;TRIM(AL25)&amp;TRIM(AK25)</f>
      </c>
      <c r="AN25" s="116">
        <v>666</v>
      </c>
      <c r="AO25" s="116">
        <v>-13</v>
      </c>
      <c r="AP25" s="116">
        <f>SUMIFS(M:M,AM:AM,AM25)+SUMIFS(O:O,AM:AM,AM25)</f>
      </c>
      <c r="AQ25" s="116">
        <f>SUMIFS(L:L,AM:AM,AM25)</f>
      </c>
      <c r="AR25" s="116">
        <f>AQ25-AP25</f>
      </c>
      <c r="AS25" s="94" t="str">
        <f>IF(AN25&gt;=AQ25,"ok","ck")</f>
      </c>
      <c r="AT25" s="116">
        <f>-P25</f>
      </c>
      <c r="AU25" s="115">
        <f>IF(SUMIFS(AT:AT,AM:AM,AM25)&gt;AO25,(SUMIFS(AT:AT,AM:AM,AM25)-AO25))</f>
      </c>
      <c r="AV25" s="116">
        <v>666</v>
      </c>
      <c r="AW25" s="121">
        <v>1.02</v>
      </c>
      <c r="AX25" s="115">
        <f>AN25-AP25</f>
      </c>
    </row>
    <row r="26" spans="1:50" ht="15" hidden="1" customHeight="1" x14ac:dyDescent="0.3">
      <c r="A26" s="94" t="s">
        <v>82</v>
      </c>
      <c r="B26" s="94"/>
      <c r="C26" s="94"/>
      <c r="D26" s="94"/>
      <c r="E26" s="94"/>
      <c r="F26" s="94"/>
      <c r="G26" s="112">
        <f>AU26</f>
      </c>
      <c r="H26" s="113"/>
      <c r="I26" s="94" t="s">
        <v>240</v>
      </c>
      <c r="J26" s="94" t="s">
        <v>66</v>
      </c>
      <c r="K26" s="114">
        <f>P26/3</f>
      </c>
      <c r="L26" s="115">
        <v>0</v>
      </c>
      <c r="M26" s="116"/>
      <c r="N26" s="117">
        <f>M26-L26</f>
      </c>
      <c r="O26" s="112"/>
      <c r="P26" s="118">
        <f>N26+O26</f>
      </c>
      <c r="Q26" s="94" t="s">
        <v>242</v>
      </c>
      <c r="R26" s="94" t="s">
        <v>63</v>
      </c>
      <c r="S26" s="119">
        <v>46328</v>
      </c>
      <c r="T26" s="119"/>
      <c r="U26" s="119">
        <v>46328</v>
      </c>
      <c r="V26" s="94"/>
      <c r="W26" s="94"/>
      <c r="X26" s="94"/>
      <c r="Y26" s="119">
        <v>46328</v>
      </c>
      <c r="Z26" s="94"/>
      <c r="AA26" s="120"/>
      <c r="AB26" s="120"/>
      <c r="AC26" s="120"/>
      <c r="AD26" s="120"/>
      <c r="AE26" s="120"/>
      <c r="AF26" s="120"/>
      <c r="AG26" s="94"/>
      <c r="AH26" s="120"/>
      <c r="AI26" s="94"/>
      <c r="AJ26" s="94" t="s">
        <v>243</v>
      </c>
      <c r="AK26" s="94" t="s">
        <v>66</v>
      </c>
      <c r="AL26" s="94">
        <v>190</v>
      </c>
      <c r="AM26" s="94" t="str">
        <f>TRIM(AJ26)&amp;TRIM(AL26)&amp;TRIM(AK26)</f>
      </c>
      <c r="AN26" s="116">
        <v>77382.29</v>
      </c>
      <c r="AO26" s="116">
        <v>1396.71</v>
      </c>
      <c r="AP26" s="116">
        <f>SUMIFS(M:M,AM:AM,AM26)+SUMIFS(O:O,AM:AM,AM26)</f>
      </c>
      <c r="AQ26" s="116">
        <f>SUMIFS(L:L,AM:AM,AM26)</f>
      </c>
      <c r="AR26" s="116">
        <f>AQ26-AP26</f>
      </c>
      <c r="AS26" s="94" t="str">
        <f>IF(AN26&gt;=AQ26,"ok","ck")</f>
      </c>
      <c r="AT26" s="116">
        <f>-P26</f>
      </c>
      <c r="AU26" s="115">
        <f>IF(SUMIFS(AT:AT,AM:AM,AM26)&gt;AO26,(SUMIFS(AT:AT,AM:AM,AM26)-AO26))</f>
      </c>
      <c r="AV26" s="116">
        <v>9721.87</v>
      </c>
      <c r="AW26" s="121">
        <v>0.914</v>
      </c>
      <c r="AX26" s="115">
        <f>AN26-AP26</f>
      </c>
    </row>
    <row r="27" spans="1:50" ht="15" hidden="1" customHeight="1" x14ac:dyDescent="0.3">
      <c r="A27" s="94" t="s">
        <v>268</v>
      </c>
      <c r="B27" s="94"/>
      <c r="C27" s="94"/>
      <c r="D27" s="94"/>
      <c r="E27" s="94"/>
      <c r="F27" s="94"/>
      <c r="G27" s="112">
        <f>AU27</f>
      </c>
      <c r="H27" s="113"/>
      <c r="I27" s="94" t="s">
        <v>278</v>
      </c>
      <c r="J27" s="94" t="s">
        <v>317</v>
      </c>
      <c r="K27" s="114">
        <f>P27/3</f>
      </c>
      <c r="L27" s="115">
        <v>0.154</v>
      </c>
      <c r="M27" s="116"/>
      <c r="N27" s="117">
        <f>M27-L27</f>
      </c>
      <c r="O27" s="112"/>
      <c r="P27" s="118">
        <f>N27+O27</f>
      </c>
      <c r="Q27" s="94" t="s">
        <v>778</v>
      </c>
      <c r="R27" s="94" t="s">
        <v>63</v>
      </c>
      <c r="S27" s="119">
        <v>46345</v>
      </c>
      <c r="T27" s="119"/>
      <c r="U27" s="120">
        <v>46345</v>
      </c>
      <c r="V27" s="94"/>
      <c r="W27" s="94"/>
      <c r="X27" s="94"/>
      <c r="Y27" s="119">
        <v>46345</v>
      </c>
      <c r="Z27" s="94"/>
      <c r="AA27" s="120"/>
      <c r="AB27" s="120"/>
      <c r="AC27" s="120"/>
      <c r="AD27" s="120"/>
      <c r="AE27" s="120"/>
      <c r="AF27" s="120"/>
      <c r="AG27" s="94"/>
      <c r="AH27" s="120"/>
      <c r="AI27" s="94"/>
      <c r="AJ27" s="94" t="s">
        <v>778</v>
      </c>
      <c r="AK27" s="94" t="s">
        <v>317</v>
      </c>
      <c r="AL27" s="94">
        <v>120</v>
      </c>
      <c r="AM27" s="94" t="str">
        <f>TRIM(AJ27)&amp;TRIM(AL27)&amp;TRIM(AK27)</f>
      </c>
      <c r="AN27" s="116">
        <v>0</v>
      </c>
      <c r="AO27" s="116" t="inlineStr">
        <is>
          <t>#NA</t>
        </is>
      </c>
      <c r="AP27" s="116">
        <f>SUMIFS(M:M,AM:AM,AM27)+SUMIFS(O:O,AM:AM,AM27)</f>
      </c>
      <c r="AQ27" s="116">
        <f>SUMIFS(L:L,AM:AM,AM27)</f>
      </c>
      <c r="AR27" s="116">
        <f>AQ27-AP27</f>
      </c>
      <c r="AS27" s="94" t="str">
        <f>IF(AN27&gt;=AQ27,"ok","ck")</f>
      </c>
      <c r="AT27" s="116">
        <f>-P27</f>
      </c>
      <c r="AU27" s="115">
        <f>IF(SUMIFS(AT:AT,AM:AM,AM27)&gt;AO27,(SUMIFS(AT:AT,AM:AM,AM27)-AO27))</f>
      </c>
      <c r="AV27" s="116">
        <v>0</v>
      </c>
      <c r="AW27" s="121">
        <v>0</v>
      </c>
      <c r="AX27" s="115">
        <f>AN27-AP27</f>
      </c>
    </row>
    <row r="28" spans="1:50" ht="15" hidden="1" customHeight="1" x14ac:dyDescent="0.3">
      <c r="A28" s="94" t="s">
        <v>268</v>
      </c>
      <c r="B28" s="94"/>
      <c r="C28" s="94"/>
      <c r="D28" s="94"/>
      <c r="E28" s="94"/>
      <c r="F28" s="94"/>
      <c r="G28" s="112">
        <f>AU28</f>
      </c>
      <c r="H28" s="113"/>
      <c r="I28" s="94" t="s">
        <v>278</v>
      </c>
      <c r="J28" s="94" t="s">
        <v>317</v>
      </c>
      <c r="K28" s="114">
        <f>P28/3</f>
      </c>
      <c r="L28" s="115">
        <v>34.44</v>
      </c>
      <c r="M28" s="116"/>
      <c r="N28" s="117">
        <f>M28-L28</f>
      </c>
      <c r="O28" s="112"/>
      <c r="P28" s="118">
        <f>N28+O28</f>
      </c>
      <c r="Q28" s="94" t="s">
        <v>778</v>
      </c>
      <c r="R28" s="94" t="s">
        <v>63</v>
      </c>
      <c r="S28" s="119">
        <v>46335</v>
      </c>
      <c r="T28" s="119"/>
      <c r="U28" s="120">
        <v>46335</v>
      </c>
      <c r="V28" s="94"/>
      <c r="W28" s="94"/>
      <c r="X28" s="94"/>
      <c r="Y28" s="119">
        <v>46337</v>
      </c>
      <c r="Z28" s="94"/>
      <c r="AA28" s="120"/>
      <c r="AB28" s="120"/>
      <c r="AC28" s="120"/>
      <c r="AD28" s="120"/>
      <c r="AE28" s="120"/>
      <c r="AF28" s="120"/>
      <c r="AG28" s="94"/>
      <c r="AH28" s="120"/>
      <c r="AI28" s="94"/>
      <c r="AJ28" s="94" t="s">
        <v>778</v>
      </c>
      <c r="AK28" s="94" t="s">
        <v>317</v>
      </c>
      <c r="AL28" s="94">
        <v>120</v>
      </c>
      <c r="AM28" s="94" t="str">
        <f>TRIM(AJ28)&amp;TRIM(AL28)&amp;TRIM(AK28)</f>
      </c>
      <c r="AN28" s="116">
        <v>0</v>
      </c>
      <c r="AO28" s="116" t="inlineStr">
        <is>
          <t>#NA</t>
        </is>
      </c>
      <c r="AP28" s="116">
        <f>SUMIFS(M:M,AM:AM,AM28)+SUMIFS(O:O,AM:AM,AM28)</f>
      </c>
      <c r="AQ28" s="116">
        <f>SUMIFS(L:L,AM:AM,AM28)</f>
      </c>
      <c r="AR28" s="116">
        <f>AQ28-AP28</f>
      </c>
      <c r="AS28" s="94" t="str">
        <f>IF(AN28&gt;=AQ28,"ok","ck")</f>
      </c>
      <c r="AT28" s="116">
        <f>-P28</f>
      </c>
      <c r="AU28" s="115">
        <f>IF(SUMIFS(AT:AT,AM:AM,AM28)&gt;AO28,(SUMIFS(AT:AT,AM:AM,AM28)-AO28))</f>
      </c>
      <c r="AV28" s="116">
        <v>0</v>
      </c>
      <c r="AW28" s="121">
        <v>0</v>
      </c>
      <c r="AX28" s="115">
        <f>AN28-AP28</f>
      </c>
    </row>
    <row r="29" spans="1:50" ht="15" hidden="1" customHeight="1" x14ac:dyDescent="0.3">
      <c r="A29" s="94" t="s">
        <v>60</v>
      </c>
      <c r="B29" s="94"/>
      <c r="C29" s="94"/>
      <c r="D29" s="94"/>
      <c r="E29" s="94"/>
      <c r="F29" s="94"/>
      <c r="G29" s="112">
        <f>AU29</f>
      </c>
      <c r="H29" s="113"/>
      <c r="I29" s="94" t="s">
        <v>482</v>
      </c>
      <c r="J29" s="94" t="s">
        <v>122</v>
      </c>
      <c r="K29" s="114">
        <f>P29/3</f>
      </c>
      <c r="L29" s="115">
        <v>2.5</v>
      </c>
      <c r="M29" s="116"/>
      <c r="N29" s="117">
        <f>M29-L29</f>
      </c>
      <c r="O29" s="112"/>
      <c r="P29" s="118">
        <f>N29+O29</f>
      </c>
      <c r="Q29" s="94" t="s">
        <v>779</v>
      </c>
      <c r="R29" s="94" t="s">
        <v>63</v>
      </c>
      <c r="S29" s="119">
        <v>46340</v>
      </c>
      <c r="T29" s="119"/>
      <c r="U29" s="120">
        <v>46340</v>
      </c>
      <c r="V29" s="94"/>
      <c r="W29" s="94"/>
      <c r="X29" s="94"/>
      <c r="Y29" s="119">
        <v>46337</v>
      </c>
      <c r="Z29" s="94"/>
      <c r="AA29" s="120"/>
      <c r="AB29" s="120"/>
      <c r="AC29" s="120"/>
      <c r="AD29" s="120"/>
      <c r="AE29" s="120"/>
      <c r="AF29" s="120"/>
      <c r="AG29" s="94"/>
      <c r="AH29" s="120"/>
      <c r="AI29" s="94"/>
      <c r="AJ29" s="94" t="s">
        <v>779</v>
      </c>
      <c r="AK29" s="94" t="s">
        <v>692</v>
      </c>
      <c r="AL29" s="94">
        <v>110</v>
      </c>
      <c r="AM29" s="94" t="str">
        <f>TRIM(AJ29)&amp;TRIM(AL29)&amp;TRIM(AK29)</f>
      </c>
      <c r="AN29" s="116">
        <v>0</v>
      </c>
      <c r="AO29" s="116" t="inlineStr">
        <is>
          <t>#NA</t>
        </is>
      </c>
      <c r="AP29" s="116">
        <f>SUMIFS(M:M,AM:AM,AM29)+SUMIFS(O:O,AM:AM,AM29)</f>
      </c>
      <c r="AQ29" s="116">
        <f>SUMIFS(L:L,AM:AM,AM29)</f>
      </c>
      <c r="AR29" s="116">
        <f>AQ29-AP29</f>
      </c>
      <c r="AS29" s="94" t="str">
        <f>IF(AN29&gt;=AQ29,"ok","ck")</f>
      </c>
      <c r="AT29" s="116">
        <f>-P29</f>
      </c>
      <c r="AU29" s="115">
        <f>IF(SUMIFS(AT:AT,AM:AM,AM29)&gt;AO29,(SUMIFS(AT:AT,AM:AM,AM29)-AO29))</f>
      </c>
      <c r="AV29" s="116">
        <v>0</v>
      </c>
      <c r="AW29" s="121">
        <v>0</v>
      </c>
      <c r="AX29" s="115">
        <f>AN29-AP29</f>
      </c>
    </row>
    <row r="30" spans="1:50" ht="15" hidden="1" customHeight="1" x14ac:dyDescent="0.3">
      <c r="A30" s="94" t="s">
        <v>60</v>
      </c>
      <c r="B30" s="94"/>
      <c r="C30" s="94"/>
      <c r="D30" s="94"/>
      <c r="E30" s="94"/>
      <c r="F30" s="94"/>
      <c r="G30" s="112">
        <f>AU30</f>
      </c>
      <c r="H30" s="113"/>
      <c r="I30" s="94" t="s">
        <v>482</v>
      </c>
      <c r="J30" s="94" t="s">
        <v>122</v>
      </c>
      <c r="K30" s="114">
        <f>P30/3</f>
      </c>
      <c r="L30" s="115">
        <v>3.2810000000000001</v>
      </c>
      <c r="M30" s="116"/>
      <c r="N30" s="117">
        <f>M30-L30</f>
      </c>
      <c r="O30" s="112"/>
      <c r="P30" s="118">
        <f>N30+O30</f>
      </c>
      <c r="Q30" s="94" t="s">
        <v>779</v>
      </c>
      <c r="R30" s="94" t="s">
        <v>63</v>
      </c>
      <c r="S30" s="119">
        <v>46340</v>
      </c>
      <c r="T30" s="119"/>
      <c r="U30" s="120">
        <v>46340</v>
      </c>
      <c r="V30" s="94"/>
      <c r="W30" s="94"/>
      <c r="X30" s="94"/>
      <c r="Y30" s="119">
        <v>46340</v>
      </c>
      <c r="Z30" s="94"/>
      <c r="AA30" s="120"/>
      <c r="AB30" s="120"/>
      <c r="AC30" s="120"/>
      <c r="AD30" s="120"/>
      <c r="AE30" s="120"/>
      <c r="AF30" s="120"/>
      <c r="AG30" s="94"/>
      <c r="AH30" s="120"/>
      <c r="AI30" s="94"/>
      <c r="AJ30" s="94" t="s">
        <v>779</v>
      </c>
      <c r="AK30" s="94" t="s">
        <v>692</v>
      </c>
      <c r="AL30" s="94">
        <v>110</v>
      </c>
      <c r="AM30" s="94" t="str">
        <f>TRIM(AJ30)&amp;TRIM(AL30)&amp;TRIM(AK30)</f>
      </c>
      <c r="AN30" s="116">
        <v>0</v>
      </c>
      <c r="AO30" s="116" t="inlineStr">
        <is>
          <t>#NA</t>
        </is>
      </c>
      <c r="AP30" s="116">
        <f>SUMIFS(M:M,AM:AM,AM30)+SUMIFS(O:O,AM:AM,AM30)</f>
      </c>
      <c r="AQ30" s="116">
        <f>SUMIFS(L:L,AM:AM,AM30)</f>
      </c>
      <c r="AR30" s="116">
        <f>AQ30-AP30</f>
      </c>
      <c r="AS30" s="94" t="str">
        <f>IF(AN30&gt;=AQ30,"ok","ck")</f>
      </c>
      <c r="AT30" s="116">
        <f>-P30</f>
      </c>
      <c r="AU30" s="115">
        <f>IF(SUMIFS(AT:AT,AM:AM,AM30)&gt;AO30,(SUMIFS(AT:AT,AM:AM,AM30)-AO30))</f>
      </c>
      <c r="AV30" s="116">
        <v>0</v>
      </c>
      <c r="AW30" s="121">
        <v>0</v>
      </c>
      <c r="AX30" s="115">
        <f>AN30-AP30</f>
      </c>
    </row>
    <row r="31" spans="1:50" ht="15" customHeight="1" x14ac:dyDescent="0.3">
      <c r="A31" s="94" t="s">
        <v>862</v>
      </c>
      <c r="B31" s="94"/>
      <c r="C31" s="94"/>
      <c r="D31" s="94"/>
      <c r="E31" s="94"/>
      <c r="F31" s="94"/>
      <c r="G31" s="112">
        <f>AU31</f>
      </c>
      <c r="H31" s="113"/>
      <c r="I31" s="94" t="s">
        <v>278</v>
      </c>
      <c r="J31" s="94" t="s">
        <v>267</v>
      </c>
      <c r="K31" s="114">
        <f>P31/3</f>
      </c>
      <c r="L31" s="115">
        <v>120.514</v>
      </c>
      <c r="M31" s="116">
        <v>120.514</v>
      </c>
      <c r="N31" s="117">
        <f>M31-L31</f>
      </c>
      <c r="O31" s="112"/>
      <c r="P31" s="118">
        <f>N31+O31</f>
      </c>
      <c r="Q31" s="94"/>
      <c r="R31" s="94" t="s">
        <v>63</v>
      </c>
      <c r="S31" s="119">
        <v>46327</v>
      </c>
      <c r="T31" s="119"/>
      <c r="U31" s="120" t="s">
        <v>631</v>
      </c>
      <c r="V31" s="94"/>
      <c r="W31" s="94"/>
      <c r="X31" s="94"/>
      <c r="Y31" s="119">
        <v>46320</v>
      </c>
      <c r="Z31" s="94"/>
      <c r="AA31" s="120"/>
      <c r="AB31" s="120"/>
      <c r="AC31" s="120"/>
      <c r="AD31" s="120"/>
      <c r="AE31" s="120"/>
      <c r="AF31" s="120"/>
      <c r="AG31" s="94"/>
      <c r="AH31" s="120"/>
      <c r="AI31" s="94"/>
      <c r="AJ31" s="94"/>
      <c r="AK31" s="94"/>
      <c r="AL31" s="94">
        <v>120</v>
      </c>
      <c r="AM31" s="94" t="str">
        <f>TRIM(AJ31)&amp;TRIM(AL31)&amp;TRIM(AK31)</f>
      </c>
      <c r="AN31" s="116">
        <v>0</v>
      </c>
      <c r="AO31" s="116" t="inlineStr">
        <is>
          <t>#NA</t>
        </is>
      </c>
      <c r="AP31" s="116">
        <f>SUMIFS(M:M,AM:AM,AM31)+SUMIFS(O:O,AM:AM,AM31)</f>
      </c>
      <c r="AQ31" s="116">
        <f>SUMIFS(L:L,AM:AM,AM31)</f>
      </c>
      <c r="AR31" s="116">
        <f>AQ31-AP31</f>
      </c>
      <c r="AS31" s="94" t="str">
        <f>IF(AN31&gt;=AQ31,"ok","ck")</f>
      </c>
      <c r="AT31" s="116">
        <f>-P31</f>
      </c>
      <c r="AU31" s="115">
        <f>IF(SUMIFS(AT:AT,AM:AM,AM31)&gt;AO31,(SUMIFS(AT:AT,AM:AM,AM31)-AO31))</f>
      </c>
      <c r="AV31" s="116" t="e">
        <v>#N/A</v>
      </c>
      <c r="AW31" s="121" t="e">
        <v>#N/A</v>
      </c>
      <c r="AX31" s="115">
        <f>AN31-AP31</f>
      </c>
    </row>
    <row r="32" spans="1:50" ht="15" hidden="1" customHeight="1" x14ac:dyDescent="0.3">
      <c r="A32" s="94" t="s">
        <v>268</v>
      </c>
      <c r="B32" s="94"/>
      <c r="C32" s="94"/>
      <c r="D32" s="94"/>
      <c r="E32" s="94"/>
      <c r="F32" s="94"/>
      <c r="G32" s="112">
        <f>AU32</f>
      </c>
      <c r="H32" s="113"/>
      <c r="I32" s="94" t="s">
        <v>390</v>
      </c>
      <c r="J32" s="94" t="s">
        <v>270</v>
      </c>
      <c r="K32" s="114">
        <f>P32/3</f>
      </c>
      <c r="L32" s="115">
        <v>27.61</v>
      </c>
      <c r="M32" s="116"/>
      <c r="N32" s="117">
        <f>M32-L32</f>
      </c>
      <c r="O32" s="112"/>
      <c r="P32" s="118">
        <f>N32+O32</f>
      </c>
      <c r="Q32" s="94" t="s">
        <v>780</v>
      </c>
      <c r="R32" s="94" t="s">
        <v>63</v>
      </c>
      <c r="S32" s="119">
        <v>46320</v>
      </c>
      <c r="T32" s="119"/>
      <c r="U32" s="120">
        <v>46320</v>
      </c>
      <c r="V32" s="94"/>
      <c r="W32" s="94"/>
      <c r="X32" s="94"/>
      <c r="Y32" s="119">
        <v>46320</v>
      </c>
      <c r="Z32" s="94"/>
      <c r="AA32" s="120"/>
      <c r="AB32" s="120"/>
      <c r="AC32" s="120"/>
      <c r="AD32" s="120"/>
      <c r="AE32" s="120"/>
      <c r="AF32" s="120"/>
      <c r="AG32" s="94"/>
      <c r="AH32" s="120"/>
      <c r="AI32" s="94"/>
      <c r="AJ32" s="94" t="s">
        <v>780</v>
      </c>
      <c r="AK32" s="94" t="s">
        <v>272</v>
      </c>
      <c r="AL32" s="94">
        <v>140</v>
      </c>
      <c r="AM32" s="94" t="str">
        <f>TRIM(AJ32)&amp;TRIM(AL32)&amp;TRIM(AK32)</f>
      </c>
      <c r="AN32" s="116">
        <v>526</v>
      </c>
      <c r="AO32" s="116">
        <v>28</v>
      </c>
      <c r="AP32" s="116">
        <f>SUMIFS(M:M,AM:AM,AM32)+SUMIFS(O:O,AM:AM,AM32)</f>
      </c>
      <c r="AQ32" s="116">
        <f>SUMIFS(L:L,AM:AM,AM32)</f>
      </c>
      <c r="AR32" s="116">
        <f>AQ32-AP32</f>
      </c>
      <c r="AS32" s="94" t="str">
        <f>IF(AN32&gt;=AQ32,"ok","ck")</f>
      </c>
      <c r="AT32" s="116">
        <f>-P32</f>
      </c>
      <c r="AU32" s="115">
        <f>IF(SUMIFS(AT:AT,AM:AM,AM32)&gt;AO32,(SUMIFS(AT:AT,AM:AM,AM32)-AO32))</f>
      </c>
      <c r="AV32" s="116">
        <v>526</v>
      </c>
      <c r="AW32" s="121">
        <v>0.949</v>
      </c>
      <c r="AX32" s="115">
        <f>AN32-AP32</f>
      </c>
    </row>
    <row r="33" spans="1:50" ht="15" hidden="1" customHeight="1" x14ac:dyDescent="0.3">
      <c r="A33" s="94" t="s">
        <v>282</v>
      </c>
      <c r="B33" s="94"/>
      <c r="C33" s="94"/>
      <c r="D33" s="94"/>
      <c r="E33" s="94"/>
      <c r="F33" s="94"/>
      <c r="G33" s="112">
        <f>AU33</f>
      </c>
      <c r="H33" s="113"/>
      <c r="I33" s="94" t="s">
        <v>390</v>
      </c>
      <c r="J33" s="94" t="s">
        <v>283</v>
      </c>
      <c r="K33" s="114">
        <f>P33/3</f>
      </c>
      <c r="L33" s="115">
        <v>0</v>
      </c>
      <c r="M33" s="116">
        <f>L33</f>
      </c>
      <c r="N33" s="117">
        <f>M33-L33</f>
      </c>
      <c r="O33" s="112"/>
      <c r="P33" s="118">
        <f>N33+O33</f>
      </c>
      <c r="Q33" s="94" t="s">
        <v>284</v>
      </c>
      <c r="R33" s="94" t="s">
        <v>63</v>
      </c>
      <c r="S33" s="119">
        <v>46321</v>
      </c>
      <c r="T33" s="119"/>
      <c r="U33" s="120">
        <v>46321</v>
      </c>
      <c r="V33" s="94"/>
      <c r="W33" s="94"/>
      <c r="X33" s="94"/>
      <c r="Y33" s="119">
        <v>46321</v>
      </c>
      <c r="Z33" s="94"/>
      <c r="AA33" s="120"/>
      <c r="AB33" s="120"/>
      <c r="AC33" s="120"/>
      <c r="AD33" s="120"/>
      <c r="AE33" s="120"/>
      <c r="AF33" s="120"/>
      <c r="AG33" s="94"/>
      <c r="AH33" s="120"/>
      <c r="AI33" s="94"/>
      <c r="AJ33" s="94" t="s">
        <v>284</v>
      </c>
      <c r="AK33" s="94" t="s">
        <v>285</v>
      </c>
      <c r="AL33" s="94">
        <v>140</v>
      </c>
      <c r="AM33" s="94" t="str">
        <f>TRIM(AJ33)&amp;TRIM(AL33)&amp;TRIM(AK33)</f>
      </c>
      <c r="AN33" s="116">
        <v>381.01</v>
      </c>
      <c r="AO33" s="116">
        <v>13.97</v>
      </c>
      <c r="AP33" s="116">
        <f>SUMIFS(M:M,AM:AM,AM33)+SUMIFS(O:O,AM:AM,AM33)</f>
      </c>
      <c r="AQ33" s="116">
        <f>SUMIFS(L:L,AM:AM,AM33)</f>
      </c>
      <c r="AR33" s="116">
        <f>AQ33-AP33</f>
      </c>
      <c r="AS33" s="94" t="str">
        <f>IF(AN33&gt;=AQ33,"ok","ck")</f>
      </c>
      <c r="AT33" s="116">
        <f>-P33</f>
      </c>
      <c r="AU33" s="115">
        <f>IF(SUMIFS(AT:AT,AM:AM,AM33)&gt;AO33,(SUMIFS(AT:AT,AM:AM,AM33)-AO33))</f>
      </c>
      <c r="AV33" s="116">
        <v>381.01</v>
      </c>
      <c r="AW33" s="121">
        <v>0.965</v>
      </c>
      <c r="AX33" s="115">
        <f>AN33-AP33</f>
      </c>
    </row>
    <row r="34" spans="1:50" ht="15" hidden="1" customHeight="1" x14ac:dyDescent="0.3">
      <c r="A34" s="94" t="s">
        <v>282</v>
      </c>
      <c r="B34" s="94"/>
      <c r="C34" s="94"/>
      <c r="D34" s="94"/>
      <c r="E34" s="94"/>
      <c r="F34" s="94"/>
      <c r="G34" s="112">
        <f>AU34</f>
      </c>
      <c r="H34" s="113"/>
      <c r="I34" s="94" t="s">
        <v>390</v>
      </c>
      <c r="J34" s="94" t="s">
        <v>283</v>
      </c>
      <c r="K34" s="114">
        <f>P34/3</f>
      </c>
      <c r="L34" s="115">
        <v>14</v>
      </c>
      <c r="M34" s="116">
        <f>L34</f>
      </c>
      <c r="N34" s="117">
        <f>M34-L34</f>
      </c>
      <c r="O34" s="112"/>
      <c r="P34" s="118">
        <f>N34+O34</f>
      </c>
      <c r="Q34" s="94" t="s">
        <v>284</v>
      </c>
      <c r="R34" s="94" t="s">
        <v>63</v>
      </c>
      <c r="S34" s="119">
        <v>46331</v>
      </c>
      <c r="T34" s="119"/>
      <c r="U34" s="120">
        <v>46331</v>
      </c>
      <c r="V34" s="94"/>
      <c r="W34" s="94"/>
      <c r="X34" s="94"/>
      <c r="Y34" s="119">
        <v>46323</v>
      </c>
      <c r="Z34" s="94"/>
      <c r="AA34" s="120"/>
      <c r="AB34" s="120"/>
      <c r="AC34" s="120"/>
      <c r="AD34" s="120"/>
      <c r="AE34" s="120"/>
      <c r="AF34" s="120"/>
      <c r="AG34" s="94"/>
      <c r="AH34" s="120"/>
      <c r="AI34" s="94"/>
      <c r="AJ34" s="94" t="s">
        <v>284</v>
      </c>
      <c r="AK34" s="94" t="s">
        <v>285</v>
      </c>
      <c r="AL34" s="94">
        <v>140</v>
      </c>
      <c r="AM34" s="94" t="str">
        <f>TRIM(AJ34)&amp;TRIM(AL34)&amp;TRIM(AK34)</f>
      </c>
      <c r="AN34" s="116">
        <v>381.01</v>
      </c>
      <c r="AO34" s="116">
        <v>13.97</v>
      </c>
      <c r="AP34" s="116">
        <f>SUMIFS(M:M,AM:AM,AM34)+SUMIFS(O:O,AM:AM,AM34)</f>
      </c>
      <c r="AQ34" s="116">
        <f>SUMIFS(L:L,AM:AM,AM34)</f>
      </c>
      <c r="AR34" s="116">
        <f>AQ34-AP34</f>
      </c>
      <c r="AS34" s="94" t="str">
        <f>IF(AN34&gt;=AQ34,"ok","ck")</f>
      </c>
      <c r="AT34" s="116">
        <f>-P34</f>
      </c>
      <c r="AU34" s="115">
        <f>IF(SUMIFS(AT:AT,AM:AM,AM34)&gt;AO34,(SUMIFS(AT:AT,AM:AM,AM34)-AO34))</f>
      </c>
      <c r="AV34" s="116">
        <v>381.01</v>
      </c>
      <c r="AW34" s="121">
        <v>0.965</v>
      </c>
      <c r="AX34" s="115">
        <f>AN34-AP34</f>
      </c>
    </row>
    <row r="35" spans="1:50" ht="15" hidden="1" customHeight="1" x14ac:dyDescent="0.3">
      <c r="A35" s="94" t="s">
        <v>282</v>
      </c>
      <c r="B35" s="94"/>
      <c r="C35" s="94"/>
      <c r="D35" s="94"/>
      <c r="E35" s="94"/>
      <c r="F35" s="94"/>
      <c r="G35" s="112">
        <f>AU35</f>
      </c>
      <c r="H35" s="113"/>
      <c r="I35" s="94" t="s">
        <v>390</v>
      </c>
      <c r="J35" s="94" t="s">
        <v>283</v>
      </c>
      <c r="K35" s="114">
        <f>P35/3</f>
      </c>
      <c r="L35" s="115">
        <v>0</v>
      </c>
      <c r="M35" s="116">
        <f>L35</f>
      </c>
      <c r="N35" s="117">
        <f>M35-L35</f>
      </c>
      <c r="O35" s="112"/>
      <c r="P35" s="118">
        <f>N35+O35</f>
      </c>
      <c r="Q35" s="94" t="s">
        <v>284</v>
      </c>
      <c r="R35" s="94" t="s">
        <v>63</v>
      </c>
      <c r="S35" s="119">
        <v>46321</v>
      </c>
      <c r="T35" s="119"/>
      <c r="U35" s="119">
        <v>46321</v>
      </c>
      <c r="V35" s="94"/>
      <c r="W35" s="94"/>
      <c r="X35" s="94"/>
      <c r="Y35" s="119">
        <v>46321</v>
      </c>
      <c r="Z35" s="94"/>
      <c r="AA35" s="120"/>
      <c r="AB35" s="120"/>
      <c r="AC35" s="120"/>
      <c r="AD35" s="120"/>
      <c r="AE35" s="120"/>
      <c r="AF35" s="120"/>
      <c r="AG35" s="94"/>
      <c r="AH35" s="120"/>
      <c r="AI35" s="94"/>
      <c r="AJ35" s="94" t="s">
        <v>284</v>
      </c>
      <c r="AK35" s="94" t="s">
        <v>285</v>
      </c>
      <c r="AL35" s="94">
        <v>140</v>
      </c>
      <c r="AM35" s="94" t="str">
        <f>TRIM(AJ35)&amp;TRIM(AL35)&amp;TRIM(AK35)</f>
      </c>
      <c r="AN35" s="116">
        <v>381.01</v>
      </c>
      <c r="AO35" s="116">
        <v>13.97</v>
      </c>
      <c r="AP35" s="116">
        <f>SUMIFS(M:M,AM:AM,AM35)+SUMIFS(O:O,AM:AM,AM35)</f>
      </c>
      <c r="AQ35" s="116">
        <f>SUMIFS(L:L,AM:AM,AM35)</f>
      </c>
      <c r="AR35" s="116">
        <f>AQ35-AP35</f>
      </c>
      <c r="AS35" s="94" t="str">
        <f>IF(AN35&gt;=AQ35,"ok","ck")</f>
      </c>
      <c r="AT35" s="116">
        <f>-P35</f>
      </c>
      <c r="AU35" s="115">
        <f>IF(SUMIFS(AT:AT,AM:AM,AM35)&gt;AO35,(SUMIFS(AT:AT,AM:AM,AM35)-AO35))</f>
      </c>
      <c r="AV35" s="116">
        <v>381.01</v>
      </c>
      <c r="AW35" s="121">
        <v>0.965</v>
      </c>
      <c r="AX35" s="115">
        <f>AN35-AP35</f>
      </c>
    </row>
    <row r="36" spans="1:50" ht="15" hidden="1" customHeight="1" x14ac:dyDescent="0.3">
      <c r="A36" s="94" t="s">
        <v>82</v>
      </c>
      <c r="B36" s="94"/>
      <c r="C36" s="94"/>
      <c r="D36" s="94"/>
      <c r="E36" s="94"/>
      <c r="F36" s="94"/>
      <c r="G36" s="112">
        <f>AU36</f>
      </c>
      <c r="H36" s="113"/>
      <c r="I36" s="94" t="s">
        <v>240</v>
      </c>
      <c r="J36" s="94" t="s">
        <v>245</v>
      </c>
      <c r="K36" s="114">
        <f>P36/3</f>
      </c>
      <c r="L36" s="115">
        <v>0</v>
      </c>
      <c r="M36" s="116"/>
      <c r="N36" s="117">
        <f>M36-L36</f>
      </c>
      <c r="O36" s="112"/>
      <c r="P36" s="118">
        <f>N36+O36</f>
      </c>
      <c r="Q36" s="94" t="s">
        <v>242</v>
      </c>
      <c r="R36" s="94" t="s">
        <v>63</v>
      </c>
      <c r="S36" s="119">
        <v>46320</v>
      </c>
      <c r="T36" s="119"/>
      <c r="U36" s="119">
        <v>46320</v>
      </c>
      <c r="V36" s="94"/>
      <c r="W36" s="94"/>
      <c r="X36" s="94"/>
      <c r="Y36" s="119">
        <v>46320</v>
      </c>
      <c r="Z36" s="94"/>
      <c r="AA36" s="120"/>
      <c r="AB36" s="120"/>
      <c r="AC36" s="120"/>
      <c r="AD36" s="120"/>
      <c r="AE36" s="120"/>
      <c r="AF36" s="120"/>
      <c r="AG36" s="94"/>
      <c r="AH36" s="120"/>
      <c r="AI36" s="94"/>
      <c r="AJ36" s="94" t="s">
        <v>243</v>
      </c>
      <c r="AK36" s="94" t="s">
        <v>246</v>
      </c>
      <c r="AL36" s="94">
        <v>190</v>
      </c>
      <c r="AM36" s="94" t="str">
        <f>TRIM(AJ36)&amp;TRIM(AL36)&amp;TRIM(AK36)</f>
      </c>
      <c r="AN36" s="116">
        <v>54271.64</v>
      </c>
      <c r="AO36" s="116">
        <v>3151.36</v>
      </c>
      <c r="AP36" s="116">
        <f>SUMIFS(M:M,AM:AM,AM36)+SUMIFS(O:O,AM:AM,AM36)</f>
      </c>
      <c r="AQ36" s="116">
        <f>SUMIFS(L:L,AM:AM,AM36)</f>
      </c>
      <c r="AR36" s="116">
        <f>AQ36-AP36</f>
      </c>
      <c r="AS36" s="94" t="str">
        <f>IF(AN36&gt;=AQ36,"ok","ck")</f>
      </c>
      <c r="AT36" s="116">
        <f>-P36</f>
      </c>
      <c r="AU36" s="115">
        <f>IF(SUMIFS(AT:AT,AM:AM,AM36)&gt;AO36,(SUMIFS(AT:AT,AM:AM,AM36)-AO36))</f>
      </c>
      <c r="AV36" s="116">
        <v>56</v>
      </c>
      <c r="AW36" s="121">
        <v>0.093</v>
      </c>
      <c r="AX36" s="115">
        <f>AN36-AP36</f>
      </c>
    </row>
    <row r="37" spans="1:50" ht="15" hidden="1" customHeight="1" x14ac:dyDescent="0.3">
      <c r="A37" s="94" t="s">
        <v>82</v>
      </c>
      <c r="B37" s="94"/>
      <c r="C37" s="94"/>
      <c r="D37" s="94"/>
      <c r="E37" s="94"/>
      <c r="F37" s="94"/>
      <c r="G37" s="112">
        <f>AU37</f>
      </c>
      <c r="H37" s="113"/>
      <c r="I37" s="94" t="s">
        <v>240</v>
      </c>
      <c r="J37" s="94" t="s">
        <v>245</v>
      </c>
      <c r="K37" s="114">
        <f>P37/3</f>
      </c>
      <c r="L37" s="115">
        <v>0</v>
      </c>
      <c r="M37" s="116"/>
      <c r="N37" s="117">
        <f>M37-L37</f>
      </c>
      <c r="O37" s="112"/>
      <c r="P37" s="118">
        <f>N37+O37</f>
      </c>
      <c r="Q37" s="94" t="s">
        <v>242</v>
      </c>
      <c r="R37" s="94" t="s">
        <v>63</v>
      </c>
      <c r="S37" s="119">
        <v>46320</v>
      </c>
      <c r="T37" s="119"/>
      <c r="U37" s="120">
        <v>46320</v>
      </c>
      <c r="V37" s="94"/>
      <c r="W37" s="94"/>
      <c r="X37" s="94"/>
      <c r="Y37" s="119">
        <v>46320</v>
      </c>
      <c r="Z37" s="94"/>
      <c r="AA37" s="120"/>
      <c r="AB37" s="120"/>
      <c r="AC37" s="120"/>
      <c r="AD37" s="120"/>
      <c r="AE37" s="120"/>
      <c r="AF37" s="120"/>
      <c r="AG37" s="94"/>
      <c r="AH37" s="120"/>
      <c r="AI37" s="94"/>
      <c r="AJ37" s="94" t="s">
        <v>243</v>
      </c>
      <c r="AK37" s="94" t="s">
        <v>246</v>
      </c>
      <c r="AL37" s="94">
        <v>190</v>
      </c>
      <c r="AM37" s="94" t="str">
        <f>TRIM(AJ37)&amp;TRIM(AL37)&amp;TRIM(AK37)</f>
      </c>
      <c r="AN37" s="116">
        <v>54271.64</v>
      </c>
      <c r="AO37" s="116">
        <v>3151.36</v>
      </c>
      <c r="AP37" s="116">
        <f>SUMIFS(M:M,AM:AM,AM37)+SUMIFS(O:O,AM:AM,AM37)</f>
      </c>
      <c r="AQ37" s="116">
        <f>SUMIFS(L:L,AM:AM,AM37)</f>
      </c>
      <c r="AR37" s="116">
        <f>AQ37-AP37</f>
      </c>
      <c r="AS37" s="94" t="str">
        <f>IF(AN37&gt;=AQ37,"ok","ck")</f>
      </c>
      <c r="AT37" s="116">
        <f>-P37</f>
      </c>
      <c r="AU37" s="115">
        <f>IF(SUMIFS(AT:AT,AM:AM,AM37)&gt;AO37,(SUMIFS(AT:AT,AM:AM,AM37)-AO37))</f>
      </c>
      <c r="AV37" s="116">
        <v>56</v>
      </c>
      <c r="AW37" s="121">
        <v>0.093</v>
      </c>
      <c r="AX37" s="115">
        <f>AN37-AP37</f>
      </c>
    </row>
    <row r="38" spans="1:50" ht="15" hidden="1" customHeight="1" x14ac:dyDescent="0.3">
      <c r="A38" s="94" t="s">
        <v>82</v>
      </c>
      <c r="B38" s="94"/>
      <c r="C38" s="94"/>
      <c r="D38" s="94"/>
      <c r="E38" s="94"/>
      <c r="F38" s="94"/>
      <c r="G38" s="112">
        <f>AU38</f>
      </c>
      <c r="H38" s="113"/>
      <c r="I38" s="94" t="s">
        <v>240</v>
      </c>
      <c r="J38" s="94" t="s">
        <v>245</v>
      </c>
      <c r="K38" s="114">
        <f>P38/3</f>
      </c>
      <c r="L38" s="115">
        <v>0</v>
      </c>
      <c r="M38" s="116"/>
      <c r="N38" s="117">
        <f>M38-L38</f>
      </c>
      <c r="O38" s="112"/>
      <c r="P38" s="118">
        <f>N38+O38</f>
      </c>
      <c r="Q38" s="94" t="s">
        <v>242</v>
      </c>
      <c r="R38" s="94" t="s">
        <v>63</v>
      </c>
      <c r="S38" s="119">
        <v>46320</v>
      </c>
      <c r="T38" s="119"/>
      <c r="U38" s="120">
        <v>46320</v>
      </c>
      <c r="V38" s="94"/>
      <c r="W38" s="94"/>
      <c r="X38" s="94"/>
      <c r="Y38" s="119">
        <v>46320</v>
      </c>
      <c r="Z38" s="94"/>
      <c r="AA38" s="120"/>
      <c r="AB38" s="120"/>
      <c r="AC38" s="120"/>
      <c r="AD38" s="120"/>
      <c r="AE38" s="120"/>
      <c r="AF38" s="120"/>
      <c r="AG38" s="94"/>
      <c r="AH38" s="120"/>
      <c r="AI38" s="94"/>
      <c r="AJ38" s="94" t="s">
        <v>243</v>
      </c>
      <c r="AK38" s="94" t="s">
        <v>246</v>
      </c>
      <c r="AL38" s="94">
        <v>190</v>
      </c>
      <c r="AM38" s="94" t="str">
        <f>TRIM(AJ38)&amp;TRIM(AL38)&amp;TRIM(AK38)</f>
      </c>
      <c r="AN38" s="116">
        <v>54271.64</v>
      </c>
      <c r="AO38" s="116">
        <v>3151.36</v>
      </c>
      <c r="AP38" s="116">
        <f>SUMIFS(M:M,AM:AM,AM38)+SUMIFS(O:O,AM:AM,AM38)</f>
      </c>
      <c r="AQ38" s="116">
        <f>SUMIFS(L:L,AM:AM,AM38)</f>
      </c>
      <c r="AR38" s="116">
        <f>AQ38-AP38</f>
      </c>
      <c r="AS38" s="94" t="str">
        <f>IF(AN38&gt;=AQ38,"ok","ck")</f>
      </c>
      <c r="AT38" s="116">
        <f>-P38</f>
      </c>
      <c r="AU38" s="115">
        <f>IF(SUMIFS(AT:AT,AM:AM,AM38)&gt;AO38,(SUMIFS(AT:AT,AM:AM,AM38)-AO38))</f>
      </c>
      <c r="AV38" s="116">
        <v>56</v>
      </c>
      <c r="AW38" s="121">
        <v>0.093</v>
      </c>
      <c r="AX38" s="115">
        <f>AN38-AP38</f>
      </c>
    </row>
    <row r="39" spans="1:50" ht="15" hidden="1" customHeight="1" x14ac:dyDescent="0.3">
      <c r="A39" s="94" t="s">
        <v>82</v>
      </c>
      <c r="B39" s="94"/>
      <c r="C39" s="94"/>
      <c r="D39" s="94"/>
      <c r="E39" s="94"/>
      <c r="F39" s="94"/>
      <c r="G39" s="112">
        <f>AU39</f>
      </c>
      <c r="H39" s="113"/>
      <c r="I39" s="94" t="s">
        <v>240</v>
      </c>
      <c r="J39" s="94" t="s">
        <v>245</v>
      </c>
      <c r="K39" s="114">
        <f>P39/3</f>
      </c>
      <c r="L39" s="115">
        <v>0</v>
      </c>
      <c r="M39" s="116"/>
      <c r="N39" s="117">
        <f>M39-L39</f>
      </c>
      <c r="O39" s="112"/>
      <c r="P39" s="118">
        <f>N39+O39</f>
      </c>
      <c r="Q39" s="94" t="s">
        <v>242</v>
      </c>
      <c r="R39" s="94" t="s">
        <v>63</v>
      </c>
      <c r="S39" s="119">
        <v>46331</v>
      </c>
      <c r="T39" s="119"/>
      <c r="U39" s="119">
        <v>46331</v>
      </c>
      <c r="V39" s="94"/>
      <c r="W39" s="94"/>
      <c r="X39" s="94"/>
      <c r="Y39" s="119">
        <v>46331</v>
      </c>
      <c r="Z39" s="94"/>
      <c r="AA39" s="120"/>
      <c r="AB39" s="120"/>
      <c r="AC39" s="120"/>
      <c r="AD39" s="120"/>
      <c r="AE39" s="120"/>
      <c r="AF39" s="120"/>
      <c r="AG39" s="94"/>
      <c r="AH39" s="120"/>
      <c r="AI39" s="94"/>
      <c r="AJ39" s="94" t="s">
        <v>243</v>
      </c>
      <c r="AK39" s="94" t="s">
        <v>246</v>
      </c>
      <c r="AL39" s="94">
        <v>190</v>
      </c>
      <c r="AM39" s="94" t="str">
        <f>TRIM(AJ39)&amp;TRIM(AL39)&amp;TRIM(AK39)</f>
      </c>
      <c r="AN39" s="116">
        <v>54271.64</v>
      </c>
      <c r="AO39" s="116">
        <v>3151.36</v>
      </c>
      <c r="AP39" s="116">
        <f>SUMIFS(M:M,AM:AM,AM39)+SUMIFS(O:O,AM:AM,AM39)</f>
      </c>
      <c r="AQ39" s="116">
        <f>SUMIFS(L:L,AM:AM,AM39)</f>
      </c>
      <c r="AR39" s="116">
        <f>AQ39-AP39</f>
      </c>
      <c r="AS39" s="94" t="str">
        <f>IF(AN39&gt;=AQ39,"ok","ck")</f>
      </c>
      <c r="AT39" s="116">
        <f>-P39</f>
      </c>
      <c r="AU39" s="115">
        <f>IF(SUMIFS(AT:AT,AM:AM,AM39)&gt;AO39,(SUMIFS(AT:AT,AM:AM,AM39)-AO39))</f>
      </c>
      <c r="AV39" s="116">
        <v>56</v>
      </c>
      <c r="AW39" s="121">
        <v>0.093</v>
      </c>
      <c r="AX39" s="115">
        <f>AN39-AP39</f>
      </c>
    </row>
    <row r="40" spans="1:50" ht="15" hidden="1" customHeight="1" x14ac:dyDescent="0.3">
      <c r="A40" s="94" t="s">
        <v>82</v>
      </c>
      <c r="B40" s="94"/>
      <c r="C40" s="94"/>
      <c r="D40" s="94"/>
      <c r="E40" s="94"/>
      <c r="F40" s="94"/>
      <c r="G40" s="112">
        <f>AU40</f>
      </c>
      <c r="H40" s="113"/>
      <c r="I40" s="94" t="s">
        <v>240</v>
      </c>
      <c r="J40" s="94" t="s">
        <v>245</v>
      </c>
      <c r="K40" s="114">
        <f>P40/3</f>
      </c>
      <c r="L40" s="115">
        <v>0</v>
      </c>
      <c r="M40" s="116"/>
      <c r="N40" s="117">
        <f>M40-L40</f>
      </c>
      <c r="O40" s="112"/>
      <c r="P40" s="118">
        <f>N40+O40</f>
      </c>
      <c r="Q40" s="94" t="s">
        <v>242</v>
      </c>
      <c r="R40" s="94" t="s">
        <v>63</v>
      </c>
      <c r="S40" s="119">
        <v>46340</v>
      </c>
      <c r="T40" s="119"/>
      <c r="U40" s="119">
        <v>46340</v>
      </c>
      <c r="V40" s="94"/>
      <c r="W40" s="94"/>
      <c r="X40" s="94"/>
      <c r="Y40" s="119">
        <v>46340</v>
      </c>
      <c r="Z40" s="94"/>
      <c r="AA40" s="120"/>
      <c r="AB40" s="120"/>
      <c r="AC40" s="120"/>
      <c r="AD40" s="120"/>
      <c r="AE40" s="120"/>
      <c r="AF40" s="120"/>
      <c r="AG40" s="94"/>
      <c r="AH40" s="120"/>
      <c r="AI40" s="94"/>
      <c r="AJ40" s="94" t="s">
        <v>243</v>
      </c>
      <c r="AK40" s="94" t="s">
        <v>246</v>
      </c>
      <c r="AL40" s="94">
        <v>190</v>
      </c>
      <c r="AM40" s="94" t="str">
        <f>TRIM(AJ40)&amp;TRIM(AL40)&amp;TRIM(AK40)</f>
      </c>
      <c r="AN40" s="116">
        <v>54271.64</v>
      </c>
      <c r="AO40" s="116">
        <v>3151.36</v>
      </c>
      <c r="AP40" s="116">
        <f>SUMIFS(M:M,AM:AM,AM40)+SUMIFS(O:O,AM:AM,AM40)</f>
      </c>
      <c r="AQ40" s="116">
        <f>SUMIFS(L:L,AM:AM,AM40)</f>
      </c>
      <c r="AR40" s="116">
        <f>AQ40-AP40</f>
      </c>
      <c r="AS40" s="94" t="str">
        <f>IF(AN40&gt;=AQ40,"ok","ck")</f>
      </c>
      <c r="AT40" s="116">
        <f>-P40</f>
      </c>
      <c r="AU40" s="115">
        <f>IF(SUMIFS(AT:AT,AM:AM,AM40)&gt;AO40,(SUMIFS(AT:AT,AM:AM,AM40)-AO40))</f>
      </c>
      <c r="AV40" s="116">
        <v>56</v>
      </c>
      <c r="AW40" s="121">
        <v>0.093</v>
      </c>
      <c r="AX40" s="115">
        <f>AN40-AP40</f>
      </c>
    </row>
    <row r="41" spans="1:50" ht="15" hidden="1" customHeight="1" x14ac:dyDescent="0.3">
      <c r="A41" s="94" t="s">
        <v>82</v>
      </c>
      <c r="B41" s="94"/>
      <c r="C41" s="94"/>
      <c r="D41" s="94"/>
      <c r="E41" s="94"/>
      <c r="F41" s="94"/>
      <c r="G41" s="112">
        <f>AU41</f>
      </c>
      <c r="H41" s="113"/>
      <c r="I41" s="94" t="s">
        <v>240</v>
      </c>
      <c r="J41" s="94" t="s">
        <v>249</v>
      </c>
      <c r="K41" s="114">
        <f>P41/3</f>
      </c>
      <c r="L41" s="115">
        <v>0</v>
      </c>
      <c r="M41" s="116"/>
      <c r="N41" s="117">
        <f>M41-L41</f>
      </c>
      <c r="O41" s="112"/>
      <c r="P41" s="118">
        <f>N41+O41</f>
      </c>
      <c r="Q41" s="94" t="s">
        <v>242</v>
      </c>
      <c r="R41" s="94" t="s">
        <v>63</v>
      </c>
      <c r="S41" s="119">
        <v>46320</v>
      </c>
      <c r="T41" s="119"/>
      <c r="U41" s="120">
        <v>46320</v>
      </c>
      <c r="V41" s="94"/>
      <c r="W41" s="94"/>
      <c r="X41" s="94"/>
      <c r="Y41" s="119">
        <v>46320</v>
      </c>
      <c r="Z41" s="94"/>
      <c r="AA41" s="120"/>
      <c r="AB41" s="120"/>
      <c r="AC41" s="120"/>
      <c r="AD41" s="120"/>
      <c r="AE41" s="120"/>
      <c r="AF41" s="120"/>
      <c r="AG41" s="94"/>
      <c r="AH41" s="120"/>
      <c r="AI41" s="94"/>
      <c r="AJ41" s="94" t="s">
        <v>243</v>
      </c>
      <c r="AK41" s="94" t="s">
        <v>250</v>
      </c>
      <c r="AL41" s="94">
        <v>190</v>
      </c>
      <c r="AM41" s="94" t="str">
        <f>TRIM(AJ41)&amp;TRIM(AL41)&amp;TRIM(AK41)</f>
      </c>
      <c r="AN41" s="116">
        <v>55976.65</v>
      </c>
      <c r="AO41" s="116">
        <v>1626.51</v>
      </c>
      <c r="AP41" s="116">
        <f>SUMIFS(M:M,AM:AM,AM41)+SUMIFS(O:O,AM:AM,AM41)</f>
      </c>
      <c r="AQ41" s="116">
        <f>SUMIFS(L:L,AM:AM,AM41)</f>
      </c>
      <c r="AR41" s="116">
        <f>AQ41-AP41</f>
      </c>
      <c r="AS41" s="94" t="str">
        <f>IF(AN41&gt;=AQ41,"ok","ck")</f>
      </c>
      <c r="AT41" s="116">
        <f>-P41</f>
      </c>
      <c r="AU41" s="115">
        <f>IF(SUMIFS(AT:AT,AM:AM,AM41)&gt;AO41,(SUMIFS(AT:AT,AM:AM,AM41)-AO41))</f>
      </c>
      <c r="AV41" s="116">
        <v>48</v>
      </c>
      <c r="AW41" s="121">
        <v>0.266</v>
      </c>
      <c r="AX41" s="115">
        <f>AN41-AP41</f>
      </c>
    </row>
    <row r="42" spans="1:50" ht="15" hidden="1" customHeight="1" x14ac:dyDescent="0.3">
      <c r="A42" s="94" t="s">
        <v>82</v>
      </c>
      <c r="B42" s="94"/>
      <c r="C42" s="94"/>
      <c r="D42" s="94"/>
      <c r="E42" s="94"/>
      <c r="F42" s="94"/>
      <c r="G42" s="112">
        <f>AU42</f>
      </c>
      <c r="H42" s="113"/>
      <c r="I42" s="94" t="s">
        <v>240</v>
      </c>
      <c r="J42" s="94" t="s">
        <v>249</v>
      </c>
      <c r="K42" s="114">
        <f>P42/3</f>
      </c>
      <c r="L42" s="115">
        <v>0</v>
      </c>
      <c r="M42" s="116"/>
      <c r="N42" s="117">
        <f>M42-L42</f>
      </c>
      <c r="O42" s="112"/>
      <c r="P42" s="118">
        <f>N42+O42</f>
      </c>
      <c r="Q42" s="94" t="s">
        <v>242</v>
      </c>
      <c r="R42" s="94" t="s">
        <v>63</v>
      </c>
      <c r="S42" s="119">
        <v>46320</v>
      </c>
      <c r="T42" s="119"/>
      <c r="U42" s="120">
        <v>46320</v>
      </c>
      <c r="V42" s="94"/>
      <c r="W42" s="94"/>
      <c r="X42" s="94"/>
      <c r="Y42" s="119">
        <v>46320</v>
      </c>
      <c r="Z42" s="94"/>
      <c r="AA42" s="120"/>
      <c r="AB42" s="120"/>
      <c r="AC42" s="120"/>
      <c r="AD42" s="120"/>
      <c r="AE42" s="120"/>
      <c r="AF42" s="120"/>
      <c r="AG42" s="94"/>
      <c r="AH42" s="120"/>
      <c r="AI42" s="94"/>
      <c r="AJ42" s="94" t="s">
        <v>243</v>
      </c>
      <c r="AK42" s="94" t="s">
        <v>250</v>
      </c>
      <c r="AL42" s="94">
        <v>190</v>
      </c>
      <c r="AM42" s="94" t="str">
        <f>TRIM(AJ42)&amp;TRIM(AL42)&amp;TRIM(AK42)</f>
      </c>
      <c r="AN42" s="116">
        <v>55976.65</v>
      </c>
      <c r="AO42" s="116">
        <v>1626.51</v>
      </c>
      <c r="AP42" s="116">
        <f>SUMIFS(M:M,AM:AM,AM42)+SUMIFS(O:O,AM:AM,AM42)</f>
      </c>
      <c r="AQ42" s="116">
        <f>SUMIFS(L:L,AM:AM,AM42)</f>
      </c>
      <c r="AR42" s="116">
        <f>AQ42-AP42</f>
      </c>
      <c r="AS42" s="94" t="str">
        <f>IF(AN42&gt;=AQ42,"ok","ck")</f>
      </c>
      <c r="AT42" s="116">
        <f>-P42</f>
      </c>
      <c r="AU42" s="115">
        <f>IF(SUMIFS(AT:AT,AM:AM,AM42)&gt;AO42,(SUMIFS(AT:AT,AM:AM,AM42)-AO42))</f>
      </c>
      <c r="AV42" s="116">
        <v>48</v>
      </c>
      <c r="AW42" s="121">
        <v>0.266</v>
      </c>
      <c r="AX42" s="115">
        <f>AN42-AP42</f>
      </c>
    </row>
    <row r="43" spans="1:50" ht="15" hidden="1" customHeight="1" x14ac:dyDescent="0.3">
      <c r="A43" s="94" t="s">
        <v>60</v>
      </c>
      <c r="B43" s="94"/>
      <c r="C43" s="94"/>
      <c r="D43" s="94"/>
      <c r="E43" s="94"/>
      <c r="F43" s="94"/>
      <c r="G43" s="112">
        <f>AU43</f>
      </c>
      <c r="H43" s="113"/>
      <c r="I43" s="94" t="s">
        <v>482</v>
      </c>
      <c r="J43" s="94" t="s">
        <v>499</v>
      </c>
      <c r="K43" s="114">
        <f>P43/3</f>
      </c>
      <c r="L43" s="115">
        <v>0</v>
      </c>
      <c r="M43" s="116"/>
      <c r="N43" s="117">
        <f>M43-L43</f>
      </c>
      <c r="O43" s="112"/>
      <c r="P43" s="118">
        <f>N43+O43</f>
      </c>
      <c r="Q43" s="94" t="s">
        <v>781</v>
      </c>
      <c r="R43" s="94" t="s">
        <v>63</v>
      </c>
      <c r="S43" s="119">
        <v>46334</v>
      </c>
      <c r="T43" s="119"/>
      <c r="U43" s="120">
        <v>46334</v>
      </c>
      <c r="V43" s="94"/>
      <c r="W43" s="94"/>
      <c r="X43" s="94"/>
      <c r="Y43" s="119">
        <v>46334</v>
      </c>
      <c r="Z43" s="94"/>
      <c r="AA43" s="120"/>
      <c r="AB43" s="120"/>
      <c r="AC43" s="120"/>
      <c r="AD43" s="120"/>
      <c r="AE43" s="120"/>
      <c r="AF43" s="120"/>
      <c r="AG43" s="94"/>
      <c r="AH43" s="120"/>
      <c r="AI43" s="94"/>
      <c r="AJ43" s="94" t="s">
        <v>781</v>
      </c>
      <c r="AK43" s="94" t="s">
        <v>693</v>
      </c>
      <c r="AL43" s="94">
        <v>110</v>
      </c>
      <c r="AM43" s="94" t="str">
        <f>TRIM(AJ43)&amp;TRIM(AL43)&amp;TRIM(AK43)</f>
      </c>
      <c r="AN43" s="116">
        <v>0</v>
      </c>
      <c r="AO43" s="116" t="inlineStr">
        <is>
          <t>#NA</t>
        </is>
      </c>
      <c r="AP43" s="116">
        <f>SUMIFS(M:M,AM:AM,AM43)+SUMIFS(O:O,AM:AM,AM43)</f>
      </c>
      <c r="AQ43" s="116">
        <f>SUMIFS(L:L,AM:AM,AM43)</f>
      </c>
      <c r="AR43" s="116">
        <f>AQ43-AP43</f>
      </c>
      <c r="AS43" s="94" t="str">
        <f>IF(AN43&gt;=AQ43,"ok","ck")</f>
      </c>
      <c r="AT43" s="116">
        <f>-P43</f>
      </c>
      <c r="AU43" s="115">
        <f>IF(SUMIFS(AT:AT,AM:AM,AM43)&gt;AO43,(SUMIFS(AT:AT,AM:AM,AM43)-AO43))</f>
      </c>
      <c r="AV43" s="116">
        <v>0</v>
      </c>
      <c r="AW43" s="121">
        <v>0</v>
      </c>
      <c r="AX43" s="115">
        <f>AN43-AP43</f>
      </c>
    </row>
    <row r="44" spans="1:50" ht="15" hidden="1" customHeight="1" x14ac:dyDescent="0.3">
      <c r="A44" s="94" t="s">
        <v>268</v>
      </c>
      <c r="B44" s="94"/>
      <c r="C44" s="94"/>
      <c r="D44" s="94"/>
      <c r="E44" s="94"/>
      <c r="F44" s="94"/>
      <c r="G44" s="112">
        <f>AU44</f>
      </c>
      <c r="H44" s="113"/>
      <c r="I44" s="94" t="s">
        <v>278</v>
      </c>
      <c r="J44" s="94" t="s">
        <v>317</v>
      </c>
      <c r="K44" s="114">
        <f>P44/3</f>
      </c>
      <c r="L44" s="115">
        <v>43.05</v>
      </c>
      <c r="M44" s="116">
        <f>L44</f>
      </c>
      <c r="N44" s="117">
        <f>M44-L44</f>
      </c>
      <c r="O44" s="112"/>
      <c r="P44" s="118">
        <f>N44+O44</f>
      </c>
      <c r="Q44" s="94" t="s">
        <v>305</v>
      </c>
      <c r="R44" s="94" t="s">
        <v>63</v>
      </c>
      <c r="S44" s="119">
        <v>46333</v>
      </c>
      <c r="T44" s="119"/>
      <c r="U44" s="119">
        <v>46333</v>
      </c>
      <c r="V44" s="94"/>
      <c r="W44" s="94"/>
      <c r="X44" s="94"/>
      <c r="Y44" s="119">
        <v>46323</v>
      </c>
      <c r="Z44" s="94"/>
      <c r="AA44" s="120"/>
      <c r="AB44" s="120"/>
      <c r="AC44" s="120"/>
      <c r="AD44" s="120"/>
      <c r="AE44" s="120"/>
      <c r="AF44" s="120"/>
      <c r="AG44" s="94"/>
      <c r="AH44" s="120"/>
      <c r="AI44" s="94"/>
      <c r="AJ44" s="94" t="s">
        <v>305</v>
      </c>
      <c r="AK44" s="94" t="s">
        <v>317</v>
      </c>
      <c r="AL44" s="94">
        <v>120</v>
      </c>
      <c r="AM44" s="94" t="str">
        <f>TRIM(AJ44)&amp;TRIM(AL44)&amp;TRIM(AK44)</f>
      </c>
      <c r="AN44" s="116">
        <v>921</v>
      </c>
      <c r="AO44" s="116">
        <v>-44</v>
      </c>
      <c r="AP44" s="116">
        <f>SUMIFS(M:M,AM:AM,AM44)+SUMIFS(O:O,AM:AM,AM44)</f>
      </c>
      <c r="AQ44" s="116">
        <f>SUMIFS(L:L,AM:AM,AM44)</f>
      </c>
      <c r="AR44" s="116">
        <f>AQ44-AP44</f>
      </c>
      <c r="AS44" s="94" t="str">
        <f>IF(AN44&gt;=AQ44,"ok","ck")</f>
      </c>
      <c r="AT44" s="116">
        <f>-P44</f>
      </c>
      <c r="AU44" s="115">
        <f>IF(SUMIFS(AT:AT,AM:AM,AM44)&gt;AO44,(SUMIFS(AT:AT,AM:AM,AM44)-AO44))</f>
      </c>
      <c r="AV44" s="116">
        <v>921</v>
      </c>
      <c r="AW44" s="121">
        <v>1.05</v>
      </c>
      <c r="AX44" s="115">
        <f>AN44-AP44</f>
      </c>
    </row>
    <row r="45" spans="1:50" ht="15" hidden="1" customHeight="1" x14ac:dyDescent="0.3">
      <c r="A45" s="94" t="s">
        <v>268</v>
      </c>
      <c r="B45" s="94"/>
      <c r="C45" s="94"/>
      <c r="D45" s="94"/>
      <c r="E45" s="94"/>
      <c r="F45" s="94"/>
      <c r="G45" s="112">
        <f>AU45</f>
      </c>
      <c r="H45" s="113"/>
      <c r="I45" s="94" t="s">
        <v>278</v>
      </c>
      <c r="J45" s="94" t="s">
        <v>317</v>
      </c>
      <c r="K45" s="114">
        <f>P45/3</f>
      </c>
      <c r="L45" s="115">
        <v>43.05</v>
      </c>
      <c r="M45" s="116">
        <f>L45</f>
      </c>
      <c r="N45" s="117">
        <f>M45-L45</f>
      </c>
      <c r="O45" s="112"/>
      <c r="P45" s="118">
        <f>N45+O45</f>
      </c>
      <c r="Q45" s="94" t="s">
        <v>305</v>
      </c>
      <c r="R45" s="94" t="s">
        <v>63</v>
      </c>
      <c r="S45" s="119">
        <v>46333</v>
      </c>
      <c r="T45" s="119"/>
      <c r="U45" s="119">
        <v>46333</v>
      </c>
      <c r="V45" s="94"/>
      <c r="W45" s="94"/>
      <c r="X45" s="94"/>
      <c r="Y45" s="119">
        <v>46342</v>
      </c>
      <c r="Z45" s="94"/>
      <c r="AA45" s="120"/>
      <c r="AB45" s="120"/>
      <c r="AC45" s="120"/>
      <c r="AD45" s="120"/>
      <c r="AE45" s="120"/>
      <c r="AF45" s="120"/>
      <c r="AG45" s="94"/>
      <c r="AH45" s="120"/>
      <c r="AI45" s="94"/>
      <c r="AJ45" s="94" t="s">
        <v>305</v>
      </c>
      <c r="AK45" s="94" t="s">
        <v>317</v>
      </c>
      <c r="AL45" s="94">
        <v>120</v>
      </c>
      <c r="AM45" s="94" t="str">
        <f>TRIM(AJ45)&amp;TRIM(AL45)&amp;TRIM(AK45)</f>
      </c>
      <c r="AN45" s="116">
        <v>921</v>
      </c>
      <c r="AO45" s="116">
        <v>-44</v>
      </c>
      <c r="AP45" s="116">
        <f>SUMIFS(M:M,AM:AM,AM45)+SUMIFS(O:O,AM:AM,AM45)</f>
      </c>
      <c r="AQ45" s="116">
        <f>SUMIFS(L:L,AM:AM,AM45)</f>
      </c>
      <c r="AR45" s="116">
        <f>AQ45-AP45</f>
      </c>
      <c r="AS45" s="94" t="str">
        <f>IF(AN45&gt;=AQ45,"ok","ck")</f>
      </c>
      <c r="AT45" s="116">
        <f>-P45</f>
      </c>
      <c r="AU45" s="115">
        <f>IF(SUMIFS(AT:AT,AM:AM,AM45)&gt;AO45,(SUMIFS(AT:AT,AM:AM,AM45)-AO45))</f>
      </c>
      <c r="AV45" s="116">
        <v>921</v>
      </c>
      <c r="AW45" s="121">
        <v>1.05</v>
      </c>
      <c r="AX45" s="115">
        <f>AN45-AP45</f>
      </c>
    </row>
    <row r="46" spans="1:50" ht="15" hidden="1" customHeight="1" x14ac:dyDescent="0.3">
      <c r="A46" s="94" t="s">
        <v>268</v>
      </c>
      <c r="B46" s="94"/>
      <c r="C46" s="94"/>
      <c r="D46" s="94"/>
      <c r="E46" s="94"/>
      <c r="F46" s="94"/>
      <c r="G46" s="112">
        <f>AU46</f>
      </c>
      <c r="H46" s="113"/>
      <c r="I46" s="94" t="s">
        <v>278</v>
      </c>
      <c r="J46" s="94" t="s">
        <v>317</v>
      </c>
      <c r="K46" s="114">
        <f>P46/3</f>
      </c>
      <c r="L46" s="115">
        <v>123</v>
      </c>
      <c r="M46" s="116">
        <f>L46</f>
      </c>
      <c r="N46" s="117">
        <f>M46-L46</f>
      </c>
      <c r="O46" s="112"/>
      <c r="P46" s="118">
        <f>N46+O46</f>
      </c>
      <c r="Q46" s="94" t="s">
        <v>305</v>
      </c>
      <c r="R46" s="94" t="s">
        <v>63</v>
      </c>
      <c r="S46" s="119">
        <v>46333</v>
      </c>
      <c r="T46" s="119"/>
      <c r="U46" s="119">
        <v>46333</v>
      </c>
      <c r="V46" s="94"/>
      <c r="W46" s="94"/>
      <c r="X46" s="94"/>
      <c r="Y46" s="119">
        <v>46344</v>
      </c>
      <c r="Z46" s="94"/>
      <c r="AA46" s="120"/>
      <c r="AB46" s="120"/>
      <c r="AC46" s="120"/>
      <c r="AD46" s="120"/>
      <c r="AE46" s="120"/>
      <c r="AF46" s="120"/>
      <c r="AG46" s="94"/>
      <c r="AH46" s="120"/>
      <c r="AI46" s="94"/>
      <c r="AJ46" s="94" t="s">
        <v>305</v>
      </c>
      <c r="AK46" s="94" t="s">
        <v>317</v>
      </c>
      <c r="AL46" s="94">
        <v>120</v>
      </c>
      <c r="AM46" s="94" t="str">
        <f>TRIM(AJ46)&amp;TRIM(AL46)&amp;TRIM(AK46)</f>
      </c>
      <c r="AN46" s="116">
        <v>921</v>
      </c>
      <c r="AO46" s="116">
        <v>-44</v>
      </c>
      <c r="AP46" s="116">
        <f>SUMIFS(M:M,AM:AM,AM46)+SUMIFS(O:O,AM:AM,AM46)</f>
      </c>
      <c r="AQ46" s="116">
        <f>SUMIFS(L:L,AM:AM,AM46)</f>
      </c>
      <c r="AR46" s="116">
        <f>AQ46-AP46</f>
      </c>
      <c r="AS46" s="94" t="str">
        <f>IF(AN46&gt;=AQ46,"ok","ck")</f>
      </c>
      <c r="AT46" s="116">
        <f>-P46</f>
      </c>
      <c r="AU46" s="115">
        <f>IF(SUMIFS(AT:AT,AM:AM,AM46)&gt;AO46,(SUMIFS(AT:AT,AM:AM,AM46)-AO46))</f>
      </c>
      <c r="AV46" s="116">
        <v>921</v>
      </c>
      <c r="AW46" s="121">
        <v>1.05</v>
      </c>
      <c r="AX46" s="115">
        <f>AN46-AP46</f>
      </c>
    </row>
    <row r="47" spans="1:50" ht="15" hidden="1" customHeight="1" x14ac:dyDescent="0.3">
      <c r="A47" s="94" t="s">
        <v>268</v>
      </c>
      <c r="B47" s="94"/>
      <c r="C47" s="94"/>
      <c r="D47" s="94"/>
      <c r="E47" s="94"/>
      <c r="F47" s="94"/>
      <c r="G47" s="112">
        <f>AU47</f>
      </c>
      <c r="H47" s="113"/>
      <c r="I47" s="94" t="s">
        <v>278</v>
      </c>
      <c r="J47" s="94" t="s">
        <v>317</v>
      </c>
      <c r="K47" s="114">
        <f>P47/3</f>
      </c>
      <c r="L47" s="115">
        <v>20.75</v>
      </c>
      <c r="M47" s="116">
        <f>L47</f>
      </c>
      <c r="N47" s="117">
        <f>M47-L47</f>
      </c>
      <c r="O47" s="112"/>
      <c r="P47" s="118">
        <f>N47+O47</f>
      </c>
      <c r="Q47" s="94" t="s">
        <v>305</v>
      </c>
      <c r="R47" s="94" t="s">
        <v>63</v>
      </c>
      <c r="S47" s="119">
        <v>46333</v>
      </c>
      <c r="T47" s="119"/>
      <c r="U47" s="119">
        <v>46333</v>
      </c>
      <c r="V47" s="94"/>
      <c r="W47" s="94"/>
      <c r="X47" s="94"/>
      <c r="Y47" s="119">
        <v>46321</v>
      </c>
      <c r="Z47" s="94"/>
      <c r="AA47" s="120"/>
      <c r="AB47" s="120"/>
      <c r="AC47" s="120"/>
      <c r="AD47" s="120"/>
      <c r="AE47" s="120"/>
      <c r="AF47" s="120"/>
      <c r="AG47" s="94"/>
      <c r="AH47" s="120"/>
      <c r="AI47" s="94"/>
      <c r="AJ47" s="94" t="s">
        <v>305</v>
      </c>
      <c r="AK47" s="94" t="s">
        <v>317</v>
      </c>
      <c r="AL47" s="94">
        <v>120</v>
      </c>
      <c r="AM47" s="94" t="str">
        <f>TRIM(AJ47)&amp;TRIM(AL47)&amp;TRIM(AK47)</f>
      </c>
      <c r="AN47" s="116">
        <v>921</v>
      </c>
      <c r="AO47" s="116">
        <v>-44</v>
      </c>
      <c r="AP47" s="116">
        <f>SUMIFS(M:M,AM:AM,AM47)+SUMIFS(O:O,AM:AM,AM47)</f>
      </c>
      <c r="AQ47" s="116">
        <f>SUMIFS(L:L,AM:AM,AM47)</f>
      </c>
      <c r="AR47" s="116">
        <f>AQ47-AP47</f>
      </c>
      <c r="AS47" s="94" t="str">
        <f>IF(AN47&gt;=AQ47,"ok","ck")</f>
      </c>
      <c r="AT47" s="116">
        <f>-P47</f>
      </c>
      <c r="AU47" s="115">
        <f>IF(SUMIFS(AT:AT,AM:AM,AM47)&gt;AO47,(SUMIFS(AT:AT,AM:AM,AM47)-AO47))</f>
      </c>
      <c r="AV47" s="116">
        <v>921</v>
      </c>
      <c r="AW47" s="121">
        <v>1.05</v>
      </c>
      <c r="AX47" s="115">
        <f>AN47-AP47</f>
      </c>
    </row>
    <row r="48" spans="1:50" ht="15" hidden="1" customHeight="1" x14ac:dyDescent="0.3">
      <c r="A48" s="94" t="s">
        <v>268</v>
      </c>
      <c r="B48" s="94"/>
      <c r="C48" s="94"/>
      <c r="D48" s="94"/>
      <c r="E48" s="94"/>
      <c r="F48" s="94"/>
      <c r="G48" s="112">
        <f>AU48</f>
      </c>
      <c r="H48" s="113"/>
      <c r="I48" s="94" t="s">
        <v>278</v>
      </c>
      <c r="J48" s="94" t="s">
        <v>317</v>
      </c>
      <c r="K48" s="114">
        <f>P48/3</f>
      </c>
      <c r="L48" s="115">
        <v>18.675000000000001</v>
      </c>
      <c r="M48" s="116">
        <f>L48</f>
      </c>
      <c r="N48" s="117">
        <f>M48-L48</f>
      </c>
      <c r="O48" s="112"/>
      <c r="P48" s="118">
        <f>N48+O48</f>
      </c>
      <c r="Q48" s="94" t="s">
        <v>305</v>
      </c>
      <c r="R48" s="94" t="s">
        <v>63</v>
      </c>
      <c r="S48" s="119">
        <v>46333</v>
      </c>
      <c r="T48" s="119"/>
      <c r="U48" s="119">
        <v>46333</v>
      </c>
      <c r="V48" s="94"/>
      <c r="W48" s="94"/>
      <c r="X48" s="94"/>
      <c r="Y48" s="119">
        <v>46331</v>
      </c>
      <c r="Z48" s="94"/>
      <c r="AA48" s="120"/>
      <c r="AB48" s="120"/>
      <c r="AC48" s="120"/>
      <c r="AD48" s="120"/>
      <c r="AE48" s="120"/>
      <c r="AF48" s="120"/>
      <c r="AG48" s="94"/>
      <c r="AH48" s="120"/>
      <c r="AI48" s="94"/>
      <c r="AJ48" s="94" t="s">
        <v>305</v>
      </c>
      <c r="AK48" s="94" t="s">
        <v>317</v>
      </c>
      <c r="AL48" s="94">
        <v>120</v>
      </c>
      <c r="AM48" s="94" t="str">
        <f>TRIM(AJ48)&amp;TRIM(AL48)&amp;TRIM(AK48)</f>
      </c>
      <c r="AN48" s="116">
        <v>921</v>
      </c>
      <c r="AO48" s="116">
        <v>-44</v>
      </c>
      <c r="AP48" s="116">
        <f>SUMIFS(M:M,AM:AM,AM48)+SUMIFS(O:O,AM:AM,AM48)</f>
      </c>
      <c r="AQ48" s="116">
        <f>SUMIFS(L:L,AM:AM,AM48)</f>
      </c>
      <c r="AR48" s="116">
        <f>AQ48-AP48</f>
      </c>
      <c r="AS48" s="94" t="str">
        <f>IF(AN48&gt;=AQ48,"ok","ck")</f>
      </c>
      <c r="AT48" s="116">
        <f>-P48</f>
      </c>
      <c r="AU48" s="115">
        <f>IF(SUMIFS(AT:AT,AM:AM,AM48)&gt;AO48,(SUMIFS(AT:AT,AM:AM,AM48)-AO48))</f>
      </c>
      <c r="AV48" s="116">
        <v>921</v>
      </c>
      <c r="AW48" s="121">
        <v>1.05</v>
      </c>
      <c r="AX48" s="115">
        <f>AN48-AP48</f>
      </c>
    </row>
    <row r="49" spans="1:50" ht="15" hidden="1" customHeight="1" x14ac:dyDescent="0.3">
      <c r="A49" s="94" t="s">
        <v>268</v>
      </c>
      <c r="B49" s="94"/>
      <c r="C49" s="94"/>
      <c r="D49" s="94"/>
      <c r="E49" s="94"/>
      <c r="F49" s="94"/>
      <c r="G49" s="112">
        <f>AU49</f>
      </c>
      <c r="H49" s="113"/>
      <c r="I49" s="94" t="s">
        <v>278</v>
      </c>
      <c r="J49" s="94" t="s">
        <v>317</v>
      </c>
      <c r="K49" s="114">
        <f>P49/3</f>
      </c>
      <c r="L49" s="115">
        <v>0.13400000000000001</v>
      </c>
      <c r="M49" s="116">
        <f>L49</f>
      </c>
      <c r="N49" s="117">
        <f>M49-L49</f>
      </c>
      <c r="O49" s="112"/>
      <c r="P49" s="118">
        <f>N49+O49</f>
      </c>
      <c r="Q49" s="94" t="s">
        <v>305</v>
      </c>
      <c r="R49" s="94" t="s">
        <v>63</v>
      </c>
      <c r="S49" s="119">
        <v>46323</v>
      </c>
      <c r="T49" s="119"/>
      <c r="U49" s="119">
        <v>46323</v>
      </c>
      <c r="V49" s="94"/>
      <c r="W49" s="94"/>
      <c r="X49" s="94"/>
      <c r="Y49" s="119">
        <v>46323</v>
      </c>
      <c r="Z49" s="94"/>
      <c r="AA49" s="120"/>
      <c r="AB49" s="120"/>
      <c r="AC49" s="120"/>
      <c r="AD49" s="120"/>
      <c r="AE49" s="120"/>
      <c r="AF49" s="120"/>
      <c r="AG49" s="94"/>
      <c r="AH49" s="120"/>
      <c r="AI49" s="94"/>
      <c r="AJ49" s="94" t="s">
        <v>305</v>
      </c>
      <c r="AK49" s="94" t="s">
        <v>317</v>
      </c>
      <c r="AL49" s="94">
        <v>120</v>
      </c>
      <c r="AM49" s="94" t="str">
        <f>TRIM(AJ49)&amp;TRIM(AL49)&amp;TRIM(AK49)</f>
      </c>
      <c r="AN49" s="116">
        <v>921</v>
      </c>
      <c r="AO49" s="116">
        <v>-44</v>
      </c>
      <c r="AP49" s="116">
        <f>SUMIFS(M:M,AM:AM,AM49)+SUMIFS(O:O,AM:AM,AM49)</f>
      </c>
      <c r="AQ49" s="116">
        <f>SUMIFS(L:L,AM:AM,AM49)</f>
      </c>
      <c r="AR49" s="116">
        <f>AQ49-AP49</f>
      </c>
      <c r="AS49" s="94" t="str">
        <f>IF(AN49&gt;=AQ49,"ok","ck")</f>
      </c>
      <c r="AT49" s="116">
        <f>-P49</f>
      </c>
      <c r="AU49" s="115">
        <f>IF(SUMIFS(AT:AT,AM:AM,AM49)&gt;AO49,(SUMIFS(AT:AT,AM:AM,AM49)-AO49))</f>
      </c>
      <c r="AV49" s="116">
        <v>921</v>
      </c>
      <c r="AW49" s="121">
        <v>1.05</v>
      </c>
      <c r="AX49" s="115">
        <f>AN49-AP49</f>
      </c>
    </row>
    <row r="50" spans="1:50" ht="15" hidden="1" customHeight="1" x14ac:dyDescent="0.3">
      <c r="A50" s="94" t="s">
        <v>268</v>
      </c>
      <c r="B50" s="94"/>
      <c r="C50" s="94"/>
      <c r="D50" s="94"/>
      <c r="E50" s="94"/>
      <c r="F50" s="94"/>
      <c r="G50" s="112">
        <f>AU50</f>
      </c>
      <c r="H50" s="113"/>
      <c r="I50" s="94" t="s">
        <v>278</v>
      </c>
      <c r="J50" s="94" t="s">
        <v>317</v>
      </c>
      <c r="K50" s="114">
        <f>P50/3</f>
      </c>
      <c r="L50" s="115">
        <v>44.4</v>
      </c>
      <c r="M50" s="116">
        <f>L50</f>
      </c>
      <c r="N50" s="117">
        <f>M50-L50</f>
      </c>
      <c r="O50" s="112"/>
      <c r="P50" s="118">
        <f>N50+O50</f>
      </c>
      <c r="Q50" s="94" t="s">
        <v>305</v>
      </c>
      <c r="R50" s="94" t="s">
        <v>63</v>
      </c>
      <c r="S50" s="119">
        <v>46333</v>
      </c>
      <c r="T50" s="119"/>
      <c r="U50" s="120">
        <v>46333</v>
      </c>
      <c r="V50" s="94"/>
      <c r="W50" s="94"/>
      <c r="X50" s="94"/>
      <c r="Y50" s="119">
        <v>46326</v>
      </c>
      <c r="Z50" s="94"/>
      <c r="AA50" s="120"/>
      <c r="AB50" s="120"/>
      <c r="AC50" s="120"/>
      <c r="AD50" s="120"/>
      <c r="AE50" s="120"/>
      <c r="AF50" s="120"/>
      <c r="AG50" s="94"/>
      <c r="AH50" s="120"/>
      <c r="AI50" s="94"/>
      <c r="AJ50" s="94" t="s">
        <v>305</v>
      </c>
      <c r="AK50" s="94" t="s">
        <v>317</v>
      </c>
      <c r="AL50" s="94">
        <v>120</v>
      </c>
      <c r="AM50" s="94" t="str">
        <f>TRIM(AJ50)&amp;TRIM(AL50)&amp;TRIM(AK50)</f>
      </c>
      <c r="AN50" s="116">
        <v>921</v>
      </c>
      <c r="AO50" s="116">
        <v>-44</v>
      </c>
      <c r="AP50" s="116">
        <f>SUMIFS(M:M,AM:AM,AM50)+SUMIFS(O:O,AM:AM,AM50)</f>
      </c>
      <c r="AQ50" s="116">
        <f>SUMIFS(L:L,AM:AM,AM50)</f>
      </c>
      <c r="AR50" s="116">
        <f>AQ50-AP50</f>
      </c>
      <c r="AS50" s="94" t="str">
        <f>IF(AN50&gt;=AQ50,"ok","ck")</f>
      </c>
      <c r="AT50" s="116">
        <f>-P50</f>
      </c>
      <c r="AU50" s="115">
        <f>IF(SUMIFS(AT:AT,AM:AM,AM50)&gt;AO50,(SUMIFS(AT:AT,AM:AM,AM50)-AO50))</f>
      </c>
      <c r="AV50" s="116">
        <v>921</v>
      </c>
      <c r="AW50" s="121">
        <v>1.05</v>
      </c>
      <c r="AX50" s="115">
        <f>AN50-AP50</f>
      </c>
    </row>
    <row r="51" spans="1:50" ht="15" hidden="1" customHeight="1" x14ac:dyDescent="0.3">
      <c r="A51" s="94" t="s">
        <v>268</v>
      </c>
      <c r="B51" s="94"/>
      <c r="C51" s="94"/>
      <c r="D51" s="94"/>
      <c r="E51" s="94"/>
      <c r="F51" s="94"/>
      <c r="G51" s="112">
        <f>AU51</f>
      </c>
      <c r="H51" s="113"/>
      <c r="I51" s="94" t="s">
        <v>278</v>
      </c>
      <c r="J51" s="94" t="s">
        <v>317</v>
      </c>
      <c r="K51" s="114">
        <f>P51/3</f>
      </c>
      <c r="L51" s="115">
        <v>33.299999999999997</v>
      </c>
      <c r="M51" s="116">
        <f>L51</f>
      </c>
      <c r="N51" s="117">
        <f>M51-L51</f>
      </c>
      <c r="O51" s="112"/>
      <c r="P51" s="118">
        <f>N51+O51</f>
      </c>
      <c r="Q51" s="94" t="s">
        <v>305</v>
      </c>
      <c r="R51" s="94" t="s">
        <v>63</v>
      </c>
      <c r="S51" s="119">
        <v>46333</v>
      </c>
      <c r="T51" s="119"/>
      <c r="U51" s="120">
        <v>46333</v>
      </c>
      <c r="V51" s="94"/>
      <c r="W51" s="94"/>
      <c r="X51" s="94"/>
      <c r="Y51" s="119">
        <v>46334</v>
      </c>
      <c r="Z51" s="94"/>
      <c r="AA51" s="120"/>
      <c r="AB51" s="120"/>
      <c r="AC51" s="120"/>
      <c r="AD51" s="120"/>
      <c r="AE51" s="120"/>
      <c r="AF51" s="120"/>
      <c r="AG51" s="94"/>
      <c r="AH51" s="120"/>
      <c r="AI51" s="94"/>
      <c r="AJ51" s="94" t="s">
        <v>305</v>
      </c>
      <c r="AK51" s="94" t="s">
        <v>317</v>
      </c>
      <c r="AL51" s="94">
        <v>120</v>
      </c>
      <c r="AM51" s="94" t="str">
        <f>TRIM(AJ51)&amp;TRIM(AL51)&amp;TRIM(AK51)</f>
      </c>
      <c r="AN51" s="116">
        <v>921</v>
      </c>
      <c r="AO51" s="116">
        <v>-44</v>
      </c>
      <c r="AP51" s="116">
        <f>SUMIFS(M:M,AM:AM,AM51)+SUMIFS(O:O,AM:AM,AM51)</f>
      </c>
      <c r="AQ51" s="116">
        <f>SUMIFS(L:L,AM:AM,AM51)</f>
      </c>
      <c r="AR51" s="116">
        <f>AQ51-AP51</f>
      </c>
      <c r="AS51" s="94" t="str">
        <f>IF(AN51&gt;=AQ51,"ok","ck")</f>
      </c>
      <c r="AT51" s="116">
        <f>-P51</f>
      </c>
      <c r="AU51" s="115">
        <f>IF(SUMIFS(AT:AT,AM:AM,AM51)&gt;AO51,(SUMIFS(AT:AT,AM:AM,AM51)-AO51))</f>
      </c>
      <c r="AV51" s="116">
        <v>921</v>
      </c>
      <c r="AW51" s="121">
        <v>1.05</v>
      </c>
      <c r="AX51" s="115">
        <f>AN51-AP51</f>
      </c>
    </row>
    <row r="52" spans="1:50" ht="15" hidden="1" customHeight="1" x14ac:dyDescent="0.3">
      <c r="A52" s="94" t="s">
        <v>263</v>
      </c>
      <c r="B52" s="94"/>
      <c r="C52" s="94"/>
      <c r="D52" s="94"/>
      <c r="E52" s="94"/>
      <c r="F52" s="94"/>
      <c r="G52" s="112">
        <f>AU52</f>
      </c>
      <c r="H52" s="113"/>
      <c r="I52" s="94" t="s">
        <v>264</v>
      </c>
      <c r="J52" s="94" t="s">
        <v>265</v>
      </c>
      <c r="K52" s="114">
        <f>P52/3</f>
      </c>
      <c r="L52" s="115">
        <v>0</v>
      </c>
      <c r="M52" s="116">
        <f>L52</f>
      </c>
      <c r="N52" s="117">
        <f>M52-L52</f>
      </c>
      <c r="O52" s="112"/>
      <c r="P52" s="118">
        <f>N52+O52</f>
      </c>
      <c r="Q52" s="94" t="s">
        <v>364</v>
      </c>
      <c r="R52" s="94" t="s">
        <v>63</v>
      </c>
      <c r="S52" s="119">
        <v>46320</v>
      </c>
      <c r="T52" s="119"/>
      <c r="U52" s="120">
        <v>46320</v>
      </c>
      <c r="V52" s="94"/>
      <c r="W52" s="94"/>
      <c r="X52" s="94"/>
      <c r="Y52" s="119">
        <v>46320</v>
      </c>
      <c r="Z52" s="94"/>
      <c r="AA52" s="120"/>
      <c r="AB52" s="120"/>
      <c r="AC52" s="120"/>
      <c r="AD52" s="120"/>
      <c r="AE52" s="120"/>
      <c r="AF52" s="120"/>
      <c r="AG52" s="94"/>
      <c r="AH52" s="120"/>
      <c r="AI52" s="94"/>
      <c r="AJ52" s="94" t="s">
        <v>364</v>
      </c>
      <c r="AK52" s="94" t="s">
        <v>267</v>
      </c>
      <c r="AL52" s="94">
        <v>120</v>
      </c>
      <c r="AM52" s="94" t="str">
        <f>TRIM(AJ52)&amp;TRIM(AL52)&amp;TRIM(AK52)</f>
      </c>
      <c r="AN52" s="116">
        <v>1326</v>
      </c>
      <c r="AO52" s="116">
        <v>-28</v>
      </c>
      <c r="AP52" s="116">
        <f>SUMIFS(M:M,AM:AM,AM52)+SUMIFS(O:O,AM:AM,AM52)</f>
      </c>
      <c r="AQ52" s="116">
        <f>SUMIFS(L:L,AM:AM,AM52)</f>
      </c>
      <c r="AR52" s="116">
        <f>AQ52-AP52</f>
      </c>
      <c r="AS52" s="94" t="str">
        <f>IF(AN52&gt;=AQ52,"ok","ck")</f>
      </c>
      <c r="AT52" s="116">
        <f>-P52</f>
      </c>
      <c r="AU52" s="115">
        <f>IF(SUMIFS(AT:AT,AM:AM,AM52)&gt;AO52,(SUMIFS(AT:AT,AM:AM,AM52)-AO52))</f>
      </c>
      <c r="AV52" s="116">
        <v>1326</v>
      </c>
      <c r="AW52" s="121">
        <v>1.022</v>
      </c>
      <c r="AX52" s="115">
        <f>AN52-AP52</f>
      </c>
    </row>
    <row r="53" spans="1:50" ht="15" hidden="1" customHeight="1" x14ac:dyDescent="0.3">
      <c r="A53" s="94" t="s">
        <v>268</v>
      </c>
      <c r="B53" s="94"/>
      <c r="C53" s="94"/>
      <c r="D53" s="94"/>
      <c r="E53" s="94"/>
      <c r="F53" s="94"/>
      <c r="G53" s="112">
        <f>AU53</f>
      </c>
      <c r="H53" s="113"/>
      <c r="I53" s="94" t="s">
        <v>278</v>
      </c>
      <c r="J53" s="94" t="s">
        <v>317</v>
      </c>
      <c r="K53" s="114">
        <f>P53/3</f>
      </c>
      <c r="L53" s="115">
        <v>36.845999999999997</v>
      </c>
      <c r="M53" s="116">
        <f>L53</f>
      </c>
      <c r="N53" s="117">
        <f>M53-L53</f>
      </c>
      <c r="O53" s="112"/>
      <c r="P53" s="118">
        <f>N53+O53</f>
      </c>
      <c r="Q53" s="94" t="s">
        <v>305</v>
      </c>
      <c r="R53" s="94" t="s">
        <v>63</v>
      </c>
      <c r="S53" s="119">
        <v>46333</v>
      </c>
      <c r="T53" s="119"/>
      <c r="U53" s="120">
        <v>46333</v>
      </c>
      <c r="V53" s="94"/>
      <c r="W53" s="94"/>
      <c r="X53" s="94"/>
      <c r="Y53" s="119">
        <v>46320</v>
      </c>
      <c r="Z53" s="94"/>
      <c r="AA53" s="120"/>
      <c r="AB53" s="120"/>
      <c r="AC53" s="120"/>
      <c r="AD53" s="120"/>
      <c r="AE53" s="120"/>
      <c r="AF53" s="120"/>
      <c r="AG53" s="94"/>
      <c r="AH53" s="120"/>
      <c r="AI53" s="94"/>
      <c r="AJ53" s="94" t="s">
        <v>305</v>
      </c>
      <c r="AK53" s="94" t="s">
        <v>317</v>
      </c>
      <c r="AL53" s="94">
        <v>120</v>
      </c>
      <c r="AM53" s="94" t="str">
        <f>TRIM(AJ53)&amp;TRIM(AL53)&amp;TRIM(AK53)</f>
      </c>
      <c r="AN53" s="116">
        <v>921</v>
      </c>
      <c r="AO53" s="116">
        <v>-44</v>
      </c>
      <c r="AP53" s="116">
        <f>SUMIFS(M:M,AM:AM,AM53)+SUMIFS(O:O,AM:AM,AM53)</f>
      </c>
      <c r="AQ53" s="116">
        <f>SUMIFS(L:L,AM:AM,AM53)</f>
      </c>
      <c r="AR53" s="116">
        <f>AQ53-AP53</f>
      </c>
      <c r="AS53" s="94" t="str">
        <f>IF(AN53&gt;=AQ53,"ok","ck")</f>
      </c>
      <c r="AT53" s="116">
        <f>-P53</f>
      </c>
      <c r="AU53" s="115">
        <f>IF(SUMIFS(AT:AT,AM:AM,AM53)&gt;AO53,(SUMIFS(AT:AT,AM:AM,AM53)-AO53))</f>
      </c>
      <c r="AV53" s="116">
        <v>921</v>
      </c>
      <c r="AW53" s="121">
        <v>1.05</v>
      </c>
      <c r="AX53" s="115">
        <f>AN53-AP53</f>
      </c>
    </row>
    <row r="54" spans="1:50" ht="15" hidden="1" customHeight="1" x14ac:dyDescent="0.3">
      <c r="A54" s="94" t="s">
        <v>82</v>
      </c>
      <c r="B54" s="94"/>
      <c r="C54" s="94"/>
      <c r="D54" s="94"/>
      <c r="E54" s="94"/>
      <c r="F54" s="94"/>
      <c r="G54" s="112">
        <f>AU54</f>
      </c>
      <c r="H54" s="113"/>
      <c r="I54" s="94" t="s">
        <v>240</v>
      </c>
      <c r="J54" s="94" t="s">
        <v>249</v>
      </c>
      <c r="K54" s="114">
        <f>P54/3</f>
      </c>
      <c r="L54" s="115">
        <v>0</v>
      </c>
      <c r="M54" s="116"/>
      <c r="N54" s="117">
        <f>M54-L54</f>
      </c>
      <c r="O54" s="112"/>
      <c r="P54" s="118">
        <f>N54+O54</f>
      </c>
      <c r="Q54" s="94" t="s">
        <v>242</v>
      </c>
      <c r="R54" s="94" t="s">
        <v>63</v>
      </c>
      <c r="S54" s="119">
        <v>46320</v>
      </c>
      <c r="T54" s="119"/>
      <c r="U54" s="120">
        <v>46320</v>
      </c>
      <c r="V54" s="94"/>
      <c r="W54" s="94"/>
      <c r="X54" s="94"/>
      <c r="Y54" s="119">
        <v>46320</v>
      </c>
      <c r="Z54" s="94"/>
      <c r="AA54" s="120"/>
      <c r="AB54" s="120"/>
      <c r="AC54" s="120"/>
      <c r="AD54" s="120"/>
      <c r="AE54" s="120"/>
      <c r="AF54" s="120"/>
      <c r="AG54" s="94"/>
      <c r="AH54" s="120"/>
      <c r="AI54" s="94"/>
      <c r="AJ54" s="94" t="s">
        <v>243</v>
      </c>
      <c r="AK54" s="94" t="s">
        <v>250</v>
      </c>
      <c r="AL54" s="94">
        <v>190</v>
      </c>
      <c r="AM54" s="94" t="str">
        <f>TRIM(AJ54)&amp;TRIM(AL54)&amp;TRIM(AK54)</f>
      </c>
      <c r="AN54" s="116">
        <v>55976.65</v>
      </c>
      <c r="AO54" s="116">
        <v>1626.51</v>
      </c>
      <c r="AP54" s="116">
        <f>SUMIFS(M:M,AM:AM,AM54)+SUMIFS(O:O,AM:AM,AM54)</f>
      </c>
      <c r="AQ54" s="116">
        <f>SUMIFS(L:L,AM:AM,AM54)</f>
      </c>
      <c r="AR54" s="116">
        <f>AQ54-AP54</f>
      </c>
      <c r="AS54" s="94" t="str">
        <f>IF(AN54&gt;=AQ54,"ok","ck")</f>
      </c>
      <c r="AT54" s="116">
        <f>-P54</f>
      </c>
      <c r="AU54" s="115">
        <f>IF(SUMIFS(AT:AT,AM:AM,AM54)&gt;AO54,(SUMIFS(AT:AT,AM:AM,AM54)-AO54))</f>
      </c>
      <c r="AV54" s="116">
        <v>48</v>
      </c>
      <c r="AW54" s="121">
        <v>0.266</v>
      </c>
      <c r="AX54" s="115">
        <f>AN54-AP54</f>
      </c>
    </row>
    <row r="55" spans="1:50" ht="15" hidden="1" customHeight="1" x14ac:dyDescent="0.3">
      <c r="A55" s="94" t="s">
        <v>82</v>
      </c>
      <c r="B55" s="94"/>
      <c r="C55" s="94"/>
      <c r="D55" s="94"/>
      <c r="E55" s="94"/>
      <c r="F55" s="94"/>
      <c r="G55" s="112">
        <f>AU55</f>
      </c>
      <c r="H55" s="113"/>
      <c r="I55" s="94" t="s">
        <v>240</v>
      </c>
      <c r="J55" s="94" t="s">
        <v>249</v>
      </c>
      <c r="K55" s="114">
        <f>P55/3</f>
      </c>
      <c r="L55" s="115">
        <v>0</v>
      </c>
      <c r="M55" s="116"/>
      <c r="N55" s="117">
        <f>M55-L55</f>
      </c>
      <c r="O55" s="112"/>
      <c r="P55" s="118">
        <f>N55+O55</f>
      </c>
      <c r="Q55" s="94" t="s">
        <v>242</v>
      </c>
      <c r="R55" s="94" t="s">
        <v>63</v>
      </c>
      <c r="S55" s="119">
        <v>46331</v>
      </c>
      <c r="T55" s="119"/>
      <c r="U55" s="120">
        <v>46331</v>
      </c>
      <c r="V55" s="94"/>
      <c r="W55" s="94"/>
      <c r="X55" s="94"/>
      <c r="Y55" s="119">
        <v>46331</v>
      </c>
      <c r="Z55" s="94"/>
      <c r="AA55" s="120"/>
      <c r="AB55" s="120"/>
      <c r="AC55" s="120"/>
      <c r="AD55" s="120"/>
      <c r="AE55" s="120"/>
      <c r="AF55" s="120"/>
      <c r="AG55" s="94"/>
      <c r="AH55" s="120"/>
      <c r="AI55" s="94"/>
      <c r="AJ55" s="94" t="s">
        <v>243</v>
      </c>
      <c r="AK55" s="94" t="s">
        <v>250</v>
      </c>
      <c r="AL55" s="94">
        <v>190</v>
      </c>
      <c r="AM55" s="94" t="str">
        <f>TRIM(AJ55)&amp;TRIM(AL55)&amp;TRIM(AK55)</f>
      </c>
      <c r="AN55" s="116">
        <v>55976.65</v>
      </c>
      <c r="AO55" s="116">
        <v>1626.51</v>
      </c>
      <c r="AP55" s="116">
        <f>SUMIFS(M:M,AM:AM,AM55)+SUMIFS(O:O,AM:AM,AM55)</f>
      </c>
      <c r="AQ55" s="116">
        <f>SUMIFS(L:L,AM:AM,AM55)</f>
      </c>
      <c r="AR55" s="116">
        <f>AQ55-AP55</f>
      </c>
      <c r="AS55" s="94" t="str">
        <f>IF(AN55&gt;=AQ55,"ok","ck")</f>
      </c>
      <c r="AT55" s="116">
        <f>-P55</f>
      </c>
      <c r="AU55" s="115">
        <f>IF(SUMIFS(AT:AT,AM:AM,AM55)&gt;AO55,(SUMIFS(AT:AT,AM:AM,AM55)-AO55))</f>
      </c>
      <c r="AV55" s="116">
        <v>48</v>
      </c>
      <c r="AW55" s="121">
        <v>0.266</v>
      </c>
      <c r="AX55" s="115">
        <f>AN55-AP55</f>
      </c>
    </row>
    <row r="56" spans="1:50" ht="15" hidden="1" customHeight="1" x14ac:dyDescent="0.3">
      <c r="A56" s="94" t="s">
        <v>82</v>
      </c>
      <c r="B56" s="94"/>
      <c r="C56" s="94"/>
      <c r="D56" s="94"/>
      <c r="E56" s="94"/>
      <c r="F56" s="94"/>
      <c r="G56" s="112">
        <f>AU56</f>
      </c>
      <c r="H56" s="113"/>
      <c r="I56" s="94" t="s">
        <v>240</v>
      </c>
      <c r="J56" s="94" t="s">
        <v>249</v>
      </c>
      <c r="K56" s="114">
        <f>P56/3</f>
      </c>
      <c r="L56" s="115">
        <v>0</v>
      </c>
      <c r="M56" s="116"/>
      <c r="N56" s="117">
        <f>M56-L56</f>
      </c>
      <c r="O56" s="112"/>
      <c r="P56" s="118">
        <f>N56+O56</f>
      </c>
      <c r="Q56" s="94" t="s">
        <v>242</v>
      </c>
      <c r="R56" s="94" t="s">
        <v>63</v>
      </c>
      <c r="S56" s="119">
        <v>46340</v>
      </c>
      <c r="T56" s="119"/>
      <c r="U56" s="120">
        <v>46340</v>
      </c>
      <c r="V56" s="94"/>
      <c r="W56" s="94"/>
      <c r="X56" s="94"/>
      <c r="Y56" s="119">
        <v>46340</v>
      </c>
      <c r="Z56" s="94"/>
      <c r="AA56" s="120"/>
      <c r="AB56" s="120"/>
      <c r="AC56" s="120"/>
      <c r="AD56" s="120"/>
      <c r="AE56" s="120"/>
      <c r="AF56" s="120"/>
      <c r="AG56" s="94"/>
      <c r="AH56" s="120"/>
      <c r="AI56" s="94"/>
      <c r="AJ56" s="94" t="s">
        <v>243</v>
      </c>
      <c r="AK56" s="94" t="s">
        <v>250</v>
      </c>
      <c r="AL56" s="94">
        <v>190</v>
      </c>
      <c r="AM56" s="94" t="str">
        <f>TRIM(AJ56)&amp;TRIM(AL56)&amp;TRIM(AK56)</f>
      </c>
      <c r="AN56" s="116">
        <v>55976.65</v>
      </c>
      <c r="AO56" s="116">
        <v>1626.51</v>
      </c>
      <c r="AP56" s="116">
        <f>SUMIFS(M:M,AM:AM,AM56)+SUMIFS(O:O,AM:AM,AM56)</f>
      </c>
      <c r="AQ56" s="116">
        <f>SUMIFS(L:L,AM:AM,AM56)</f>
      </c>
      <c r="AR56" s="116">
        <f>AQ56-AP56</f>
      </c>
      <c r="AS56" s="94" t="str">
        <f>IF(AN56&gt;=AQ56,"ok","ck")</f>
      </c>
      <c r="AT56" s="116">
        <f>-P56</f>
      </c>
      <c r="AU56" s="115">
        <f>IF(SUMIFS(AT:AT,AM:AM,AM56)&gt;AO56,(SUMIFS(AT:AT,AM:AM,AM56)-AO56))</f>
      </c>
      <c r="AV56" s="116">
        <v>48</v>
      </c>
      <c r="AW56" s="121">
        <v>0.266</v>
      </c>
      <c r="AX56" s="115">
        <f>AN56-AP56</f>
      </c>
    </row>
    <row r="57" spans="1:50" ht="15" customHeight="1" x14ac:dyDescent="0.3">
      <c r="A57" s="94" t="s">
        <v>862</v>
      </c>
      <c r="B57" s="94"/>
      <c r="C57" s="94"/>
      <c r="D57" s="94"/>
      <c r="E57" s="94"/>
      <c r="F57" s="94"/>
      <c r="G57" s="112">
        <f>AU57</f>
      </c>
      <c r="H57" s="113"/>
      <c r="I57" s="94" t="s">
        <v>390</v>
      </c>
      <c r="J57" s="94" t="s">
        <v>267</v>
      </c>
      <c r="K57" s="114">
        <f>P57/3</f>
      </c>
      <c r="L57" s="115">
        <v>1377.7670000000001</v>
      </c>
      <c r="M57" s="116"/>
      <c r="N57" s="117">
        <f>M57-L57</f>
      </c>
      <c r="O57" s="112"/>
      <c r="P57" s="118">
        <f>N57+O57</f>
      </c>
      <c r="Q57" s="94"/>
      <c r="R57" s="94" t="s">
        <v>63</v>
      </c>
      <c r="S57" s="119">
        <v>46336</v>
      </c>
      <c r="T57" s="119"/>
      <c r="U57" s="120" t="s">
        <v>631</v>
      </c>
      <c r="V57" s="94"/>
      <c r="W57" s="94"/>
      <c r="X57" s="94"/>
      <c r="Y57" s="119">
        <v>46323</v>
      </c>
      <c r="Z57" s="94"/>
      <c r="AA57" s="120"/>
      <c r="AB57" s="120"/>
      <c r="AC57" s="120"/>
      <c r="AD57" s="120"/>
      <c r="AE57" s="120"/>
      <c r="AF57" s="120"/>
      <c r="AG57" s="94"/>
      <c r="AH57" s="120"/>
      <c r="AI57" s="94"/>
      <c r="AJ57" s="94"/>
      <c r="AK57" s="94"/>
      <c r="AL57" s="94">
        <v>140</v>
      </c>
      <c r="AM57" s="94" t="str">
        <f>TRIM(AJ57)&amp;TRIM(AL57)&amp;TRIM(AK57)</f>
      </c>
      <c r="AN57" s="116">
        <v>0</v>
      </c>
      <c r="AO57" s="116" t="inlineStr">
        <is>
          <t>#NA</t>
        </is>
      </c>
      <c r="AP57" s="116">
        <f>SUMIFS(M:M,AM:AM,AM57)+SUMIFS(O:O,AM:AM,AM57)</f>
      </c>
      <c r="AQ57" s="116">
        <f>SUMIFS(L:L,AM:AM,AM57)</f>
      </c>
      <c r="AR57" s="116">
        <f>AQ57-AP57</f>
      </c>
      <c r="AS57" s="94" t="str">
        <f>IF(AN57&gt;=AQ57,"ok","ck")</f>
      </c>
      <c r="AT57" s="116">
        <f>-P57</f>
      </c>
      <c r="AU57" s="115">
        <f>IF(SUMIFS(AT:AT,AM:AM,AM57)&gt;AO57,(SUMIFS(AT:AT,AM:AM,AM57)-AO57))</f>
      </c>
      <c r="AV57" s="116" t="e">
        <v>#N/A</v>
      </c>
      <c r="AW57" s="121" t="e">
        <v>#N/A</v>
      </c>
      <c r="AX57" s="115">
        <f>AN57-AP57</f>
      </c>
    </row>
    <row r="58" spans="1:50" ht="15" hidden="1" customHeight="1" x14ac:dyDescent="0.3">
      <c r="A58" s="94" t="s">
        <v>60</v>
      </c>
      <c r="B58" s="94"/>
      <c r="C58" s="94"/>
      <c r="D58" s="94"/>
      <c r="E58" s="94"/>
      <c r="F58" s="94"/>
      <c r="G58" s="112">
        <f>AU58</f>
      </c>
      <c r="H58" s="113"/>
      <c r="I58" s="94" t="s">
        <v>482</v>
      </c>
      <c r="J58" s="94" t="s">
        <v>500</v>
      </c>
      <c r="K58" s="114">
        <f>P58/3</f>
      </c>
      <c r="L58" s="115">
        <v>0</v>
      </c>
      <c r="M58" s="116">
        <f>L58</f>
      </c>
      <c r="N58" s="117">
        <f>M58-L58</f>
      </c>
      <c r="O58" s="112"/>
      <c r="P58" s="118">
        <f>N58+O58</f>
      </c>
      <c r="Q58" s="94" t="s">
        <v>776</v>
      </c>
      <c r="R58" s="94" t="s">
        <v>63</v>
      </c>
      <c r="S58" s="119">
        <v>46335</v>
      </c>
      <c r="T58" s="119"/>
      <c r="U58" s="120">
        <v>46335</v>
      </c>
      <c r="V58" s="94"/>
      <c r="W58" s="94"/>
      <c r="X58" s="94"/>
      <c r="Y58" s="119">
        <v>46335</v>
      </c>
      <c r="Z58" s="94"/>
      <c r="AA58" s="120"/>
      <c r="AB58" s="120"/>
      <c r="AC58" s="120"/>
      <c r="AD58" s="120"/>
      <c r="AE58" s="120"/>
      <c r="AF58" s="120"/>
      <c r="AG58" s="94"/>
      <c r="AH58" s="120"/>
      <c r="AI58" s="94"/>
      <c r="AJ58" s="94" t="s">
        <v>776</v>
      </c>
      <c r="AK58" s="94" t="s">
        <v>694</v>
      </c>
      <c r="AL58" s="94">
        <v>110</v>
      </c>
      <c r="AM58" s="94" t="str">
        <f>TRIM(AJ58)&amp;TRIM(AL58)&amp;TRIM(AK58)</f>
      </c>
      <c r="AN58" s="116">
        <v>35</v>
      </c>
      <c r="AO58" s="116">
        <v>0</v>
      </c>
      <c r="AP58" s="116">
        <f>SUMIFS(M:M,AM:AM,AM58)+SUMIFS(O:O,AM:AM,AM58)</f>
      </c>
      <c r="AQ58" s="116">
        <f>SUMIFS(L:L,AM:AM,AM58)</f>
      </c>
      <c r="AR58" s="116">
        <f>AQ58-AP58</f>
      </c>
      <c r="AS58" s="94" t="str">
        <f>IF(AN58&gt;=AQ58,"ok","ck")</f>
      </c>
      <c r="AT58" s="116">
        <f>-P58</f>
      </c>
      <c r="AU58" s="115">
        <f>IF(SUMIFS(AT:AT,AM:AM,AM58)&gt;AO58,(SUMIFS(AT:AT,AM:AM,AM58)-AO58))</f>
      </c>
      <c r="AV58" s="116">
        <v>35</v>
      </c>
      <c r="AW58" s="121">
        <v>1</v>
      </c>
      <c r="AX58" s="115">
        <f>AN58-AP58</f>
      </c>
    </row>
    <row r="59" spans="1:50" ht="15" hidden="1" customHeight="1" x14ac:dyDescent="0.3">
      <c r="A59" s="94" t="s">
        <v>60</v>
      </c>
      <c r="B59" s="94"/>
      <c r="C59" s="94"/>
      <c r="D59" s="94"/>
      <c r="E59" s="94"/>
      <c r="F59" s="94"/>
      <c r="G59" s="112">
        <f>AU59</f>
      </c>
      <c r="H59" s="113"/>
      <c r="I59" s="94" t="s">
        <v>482</v>
      </c>
      <c r="J59" s="94" t="s">
        <v>498</v>
      </c>
      <c r="K59" s="114">
        <f>P59/3</f>
      </c>
      <c r="L59" s="115">
        <v>-0.183</v>
      </c>
      <c r="M59" s="116">
        <f>L59</f>
      </c>
      <c r="N59" s="117">
        <f>M59-L59</f>
      </c>
      <c r="O59" s="112"/>
      <c r="P59" s="118">
        <f>N59+O59</f>
      </c>
      <c r="Q59" s="94" t="s">
        <v>776</v>
      </c>
      <c r="R59" s="94" t="s">
        <v>63</v>
      </c>
      <c r="S59" s="119">
        <v>46337</v>
      </c>
      <c r="T59" s="119"/>
      <c r="U59" s="120">
        <v>46337</v>
      </c>
      <c r="V59" s="94"/>
      <c r="W59" s="94"/>
      <c r="X59" s="94"/>
      <c r="Y59" s="119">
        <v>46337</v>
      </c>
      <c r="Z59" s="94"/>
      <c r="AA59" s="120"/>
      <c r="AB59" s="120"/>
      <c r="AC59" s="120"/>
      <c r="AD59" s="120"/>
      <c r="AE59" s="120"/>
      <c r="AF59" s="120"/>
      <c r="AG59" s="94"/>
      <c r="AH59" s="120"/>
      <c r="AI59" s="94"/>
      <c r="AJ59" s="94" t="s">
        <v>776</v>
      </c>
      <c r="AK59" s="94" t="s">
        <v>691</v>
      </c>
      <c r="AL59" s="94">
        <v>110</v>
      </c>
      <c r="AM59" s="94" t="str">
        <f>TRIM(AJ59)&amp;TRIM(AL59)&amp;TRIM(AK59)</f>
      </c>
      <c r="AN59" s="116">
        <v>96</v>
      </c>
      <c r="AO59" s="116">
        <v>-2.02</v>
      </c>
      <c r="AP59" s="116">
        <f>SUMIFS(M:M,AM:AM,AM59)+SUMIFS(O:O,AM:AM,AM59)</f>
      </c>
      <c r="AQ59" s="116">
        <f>SUMIFS(L:L,AM:AM,AM59)</f>
      </c>
      <c r="AR59" s="116">
        <f>AQ59-AP59</f>
      </c>
      <c r="AS59" s="94" t="str">
        <f>IF(AN59&gt;=AQ59,"ok","ck")</f>
      </c>
      <c r="AT59" s="116">
        <f>-P59</f>
      </c>
      <c r="AU59" s="115">
        <f>IF(SUMIFS(AT:AT,AM:AM,AM59)&gt;AO59,(SUMIFS(AT:AT,AM:AM,AM59)-AO59))</f>
      </c>
      <c r="AV59" s="116">
        <v>96</v>
      </c>
      <c r="AW59" s="121">
        <v>1.021</v>
      </c>
      <c r="AX59" s="115">
        <f>AN59-AP59</f>
      </c>
    </row>
    <row r="60" spans="1:50" ht="15" hidden="1" customHeight="1" x14ac:dyDescent="0.3">
      <c r="A60" s="94" t="s">
        <v>60</v>
      </c>
      <c r="B60" s="94"/>
      <c r="C60" s="94"/>
      <c r="D60" s="94"/>
      <c r="E60" s="94"/>
      <c r="F60" s="94"/>
      <c r="G60" s="112">
        <f>AU60</f>
      </c>
      <c r="H60" s="113"/>
      <c r="I60" s="94" t="s">
        <v>65</v>
      </c>
      <c r="J60" s="94" t="s">
        <v>104</v>
      </c>
      <c r="K60" s="114">
        <f>P60/3</f>
      </c>
      <c r="L60" s="115">
        <v>1.4419999999999999</v>
      </c>
      <c r="M60" s="116">
        <f>L60</f>
      </c>
      <c r="N60" s="117">
        <f>M60-L60</f>
      </c>
      <c r="O60" s="112"/>
      <c r="P60" s="118">
        <f>N60+O60</f>
      </c>
      <c r="Q60" s="94" t="s">
        <v>62</v>
      </c>
      <c r="R60" s="94" t="s">
        <v>63</v>
      </c>
      <c r="S60" s="119">
        <v>46320</v>
      </c>
      <c r="T60" s="119"/>
      <c r="U60" s="120">
        <v>46320</v>
      </c>
      <c r="V60" s="94"/>
      <c r="W60" s="94"/>
      <c r="X60" s="94"/>
      <c r="Y60" s="119">
        <v>46320</v>
      </c>
      <c r="Z60" s="94"/>
      <c r="AA60" s="120"/>
      <c r="AB60" s="120"/>
      <c r="AC60" s="120"/>
      <c r="AD60" s="120"/>
      <c r="AE60" s="120"/>
      <c r="AF60" s="120"/>
      <c r="AG60" s="94"/>
      <c r="AH60" s="120"/>
      <c r="AI60" s="94"/>
      <c r="AJ60" s="94" t="s">
        <v>64</v>
      </c>
      <c r="AK60" s="94" t="s">
        <v>105</v>
      </c>
      <c r="AL60" s="94">
        <v>110</v>
      </c>
      <c r="AM60" s="94" t="str">
        <f>TRIM(AJ60)&amp;TRIM(AL60)&amp;TRIM(AK60)</f>
      </c>
      <c r="AN60" s="116">
        <v>233</v>
      </c>
      <c r="AO60" s="116">
        <v>-0.5</v>
      </c>
      <c r="AP60" s="116">
        <f>SUMIFS(M:M,AM:AM,AM60)+SUMIFS(O:O,AM:AM,AM60)</f>
      </c>
      <c r="AQ60" s="116">
        <f>SUMIFS(L:L,AM:AM,AM60)</f>
      </c>
      <c r="AR60" s="116">
        <f>AQ60-AP60</f>
      </c>
      <c r="AS60" s="94" t="str">
        <f>IF(AN60&gt;=AQ60,"ok","ck")</f>
      </c>
      <c r="AT60" s="116">
        <f>-P60</f>
      </c>
      <c r="AU60" s="115">
        <f>IF(SUMIFS(AT:AT,AM:AM,AM60)&gt;AO60,(SUMIFS(AT:AT,AM:AM,AM60)-AO60))</f>
      </c>
      <c r="AV60" s="116">
        <v>233</v>
      </c>
      <c r="AW60" s="121">
        <v>1.002</v>
      </c>
      <c r="AX60" s="115">
        <f>AN60-AP60</f>
      </c>
    </row>
    <row r="61" spans="1:50" ht="15" hidden="1" customHeight="1" x14ac:dyDescent="0.3">
      <c r="A61" s="94" t="s">
        <v>268</v>
      </c>
      <c r="B61" s="94"/>
      <c r="C61" s="94"/>
      <c r="D61" s="94"/>
      <c r="E61" s="94"/>
      <c r="F61" s="94"/>
      <c r="G61" s="112">
        <f>AU61</f>
      </c>
      <c r="H61" s="113"/>
      <c r="I61" s="94" t="s">
        <v>278</v>
      </c>
      <c r="J61" s="94" t="s">
        <v>273</v>
      </c>
      <c r="K61" s="114">
        <f>P61/3</f>
      </c>
      <c r="L61" s="115">
        <v>0</v>
      </c>
      <c r="M61" s="116"/>
      <c r="N61" s="117">
        <f>M61-L61</f>
      </c>
      <c r="O61" s="112"/>
      <c r="P61" s="118">
        <f>N61+O61</f>
      </c>
      <c r="Q61" s="94" t="s">
        <v>287</v>
      </c>
      <c r="R61" s="94" t="s">
        <v>63</v>
      </c>
      <c r="S61" s="119">
        <v>46320</v>
      </c>
      <c r="T61" s="119"/>
      <c r="U61" s="120">
        <v>46320</v>
      </c>
      <c r="V61" s="94"/>
      <c r="W61" s="94"/>
      <c r="X61" s="94"/>
      <c r="Y61" s="119">
        <v>46320</v>
      </c>
      <c r="Z61" s="94"/>
      <c r="AA61" s="120"/>
      <c r="AB61" s="120"/>
      <c r="AC61" s="120"/>
      <c r="AD61" s="120"/>
      <c r="AE61" s="120"/>
      <c r="AF61" s="120"/>
      <c r="AG61" s="94"/>
      <c r="AH61" s="120"/>
      <c r="AI61" s="94"/>
      <c r="AJ61" s="94" t="s">
        <v>287</v>
      </c>
      <c r="AK61" s="94" t="s">
        <v>274</v>
      </c>
      <c r="AL61" s="94">
        <v>120</v>
      </c>
      <c r="AM61" s="94" t="str">
        <f>TRIM(AJ61)&amp;TRIM(AL61)&amp;TRIM(AK61)</f>
      </c>
      <c r="AN61" s="116">
        <v>569.91</v>
      </c>
      <c r="AO61" s="116">
        <v>70.32</v>
      </c>
      <c r="AP61" s="116">
        <f>SUMIFS(M:M,AM:AM,AM61)+SUMIFS(O:O,AM:AM,AM61)</f>
      </c>
      <c r="AQ61" s="116">
        <f>SUMIFS(L:L,AM:AM,AM61)</f>
      </c>
      <c r="AR61" s="116">
        <f>AQ61-AP61</f>
      </c>
      <c r="AS61" s="94" t="str">
        <f>IF(AN61&gt;=AQ61,"ok","ck")</f>
      </c>
      <c r="AT61" s="116">
        <f>-P61</f>
      </c>
      <c r="AU61" s="115">
        <f>IF(SUMIFS(AT:AT,AM:AM,AM61)&gt;AO61,(SUMIFS(AT:AT,AM:AM,AM61)-AO61))</f>
      </c>
      <c r="AV61" s="116">
        <v>569.91</v>
      </c>
      <c r="AW61" s="121">
        <v>0.89</v>
      </c>
      <c r="AX61" s="115">
        <f>AN61-AP61</f>
      </c>
    </row>
    <row r="62" spans="1:50" ht="15" hidden="1" customHeight="1" x14ac:dyDescent="0.3">
      <c r="A62" s="94" t="s">
        <v>268</v>
      </c>
      <c r="B62" s="94"/>
      <c r="C62" s="94"/>
      <c r="D62" s="94"/>
      <c r="E62" s="94"/>
      <c r="F62" s="94"/>
      <c r="G62" s="112">
        <f>AU62</f>
      </c>
      <c r="H62" s="113"/>
      <c r="I62" s="94" t="s">
        <v>390</v>
      </c>
      <c r="J62" s="94" t="s">
        <v>387</v>
      </c>
      <c r="K62" s="114">
        <f>P62/3</f>
      </c>
      <c r="L62" s="115">
        <v>0</v>
      </c>
      <c r="M62" s="116">
        <f>L62</f>
      </c>
      <c r="N62" s="117">
        <f>M62-L62</f>
      </c>
      <c r="O62" s="112"/>
      <c r="P62" s="118">
        <f>N62+O62</f>
      </c>
      <c r="Q62" s="94" t="s">
        <v>287</v>
      </c>
      <c r="R62" s="94" t="s">
        <v>63</v>
      </c>
      <c r="S62" s="119">
        <v>46320</v>
      </c>
      <c r="T62" s="119"/>
      <c r="U62" s="120">
        <v>46320</v>
      </c>
      <c r="V62" s="94"/>
      <c r="W62" s="94"/>
      <c r="X62" s="94"/>
      <c r="Y62" s="119">
        <v>46320</v>
      </c>
      <c r="Z62" s="94"/>
      <c r="AA62" s="120"/>
      <c r="AB62" s="120"/>
      <c r="AC62" s="120"/>
      <c r="AD62" s="120"/>
      <c r="AE62" s="120"/>
      <c r="AF62" s="120"/>
      <c r="AG62" s="94"/>
      <c r="AH62" s="120"/>
      <c r="AI62" s="94"/>
      <c r="AJ62" s="94" t="s">
        <v>287</v>
      </c>
      <c r="AK62" s="94" t="s">
        <v>387</v>
      </c>
      <c r="AL62" s="94">
        <v>140</v>
      </c>
      <c r="AM62" s="94" t="str">
        <f>TRIM(AJ62)&amp;TRIM(AL62)&amp;TRIM(AK62)</f>
      </c>
      <c r="AN62" s="116">
        <v>4136</v>
      </c>
      <c r="AO62" s="116">
        <v>-59.04</v>
      </c>
      <c r="AP62" s="116">
        <f>SUMIFS(M:M,AM:AM,AM62)+SUMIFS(O:O,AM:AM,AM62)</f>
      </c>
      <c r="AQ62" s="116">
        <f>SUMIFS(L:L,AM:AM,AM62)</f>
      </c>
      <c r="AR62" s="116">
        <f>AQ62-AP62</f>
      </c>
      <c r="AS62" s="94" t="str">
        <f>IF(AN62&gt;=AQ62,"ok","ck")</f>
      </c>
      <c r="AT62" s="116">
        <f>-P62</f>
      </c>
      <c r="AU62" s="115">
        <f>IF(SUMIFS(AT:AT,AM:AM,AM62)&gt;AO62,(SUMIFS(AT:AT,AM:AM,AM62)-AO62))</f>
      </c>
      <c r="AV62" s="116">
        <v>4136</v>
      </c>
      <c r="AW62" s="121">
        <v>1.014</v>
      </c>
      <c r="AX62" s="115">
        <f>AN62-AP62</f>
      </c>
    </row>
    <row r="63" spans="1:50" ht="15" hidden="1" customHeight="1" x14ac:dyDescent="0.3">
      <c r="A63" s="94" t="s">
        <v>268</v>
      </c>
      <c r="B63" s="94"/>
      <c r="C63" s="94"/>
      <c r="D63" s="94"/>
      <c r="E63" s="94"/>
      <c r="F63" s="94"/>
      <c r="G63" s="112">
        <f>AU63</f>
      </c>
      <c r="H63" s="113"/>
      <c r="I63" s="94" t="s">
        <v>278</v>
      </c>
      <c r="J63" s="94" t="s">
        <v>501</v>
      </c>
      <c r="K63" s="114">
        <f>P63/3</f>
      </c>
      <c r="L63" s="115">
        <v>-1.1859999999999999</v>
      </c>
      <c r="M63" s="116">
        <f>L63</f>
      </c>
      <c r="N63" s="117">
        <f>M63-L63</f>
      </c>
      <c r="O63" s="112"/>
      <c r="P63" s="118">
        <f>N63+O63</f>
      </c>
      <c r="Q63" s="94" t="s">
        <v>287</v>
      </c>
      <c r="R63" s="94" t="s">
        <v>63</v>
      </c>
      <c r="S63" s="119">
        <v>46320</v>
      </c>
      <c r="T63" s="119"/>
      <c r="U63" s="120">
        <v>46320</v>
      </c>
      <c r="V63" s="94"/>
      <c r="W63" s="94"/>
      <c r="X63" s="94"/>
      <c r="Y63" s="119">
        <v>46320</v>
      </c>
      <c r="Z63" s="94"/>
      <c r="AA63" s="120"/>
      <c r="AB63" s="120"/>
      <c r="AC63" s="120"/>
      <c r="AD63" s="120"/>
      <c r="AE63" s="120"/>
      <c r="AF63" s="120"/>
      <c r="AG63" s="94"/>
      <c r="AH63" s="120"/>
      <c r="AI63" s="94"/>
      <c r="AJ63" s="94" t="s">
        <v>287</v>
      </c>
      <c r="AK63" s="94" t="s">
        <v>695</v>
      </c>
      <c r="AL63" s="94">
        <v>120</v>
      </c>
      <c r="AM63" s="94" t="str">
        <f>TRIM(AJ63)&amp;TRIM(AL63)&amp;TRIM(AK63)</f>
      </c>
      <c r="AN63" s="116">
        <v>488</v>
      </c>
      <c r="AO63" s="116">
        <v>-11.43</v>
      </c>
      <c r="AP63" s="116">
        <f>SUMIFS(M:M,AM:AM,AM63)+SUMIFS(O:O,AM:AM,AM63)</f>
      </c>
      <c r="AQ63" s="116">
        <f>SUMIFS(L:L,AM:AM,AM63)</f>
      </c>
      <c r="AR63" s="116">
        <f>AQ63-AP63</f>
      </c>
      <c r="AS63" s="94" t="str">
        <f>IF(AN63&gt;=AQ63,"ok","ck")</f>
      </c>
      <c r="AT63" s="116">
        <f>-P63</f>
      </c>
      <c r="AU63" s="115">
        <f>IF(SUMIFS(AT:AT,AM:AM,AM63)&gt;AO63,(SUMIFS(AT:AT,AM:AM,AM63)-AO63))</f>
      </c>
      <c r="AV63" s="116">
        <v>488</v>
      </c>
      <c r="AW63" s="121">
        <v>1.024</v>
      </c>
      <c r="AX63" s="115">
        <f>AN63-AP63</f>
      </c>
    </row>
    <row r="64" spans="1:50" ht="15" hidden="1" customHeight="1" x14ac:dyDescent="0.3">
      <c r="A64" s="94" t="s">
        <v>480</v>
      </c>
      <c r="B64" s="94"/>
      <c r="C64" s="94"/>
      <c r="D64" s="94"/>
      <c r="E64" s="94"/>
      <c r="F64" s="94"/>
      <c r="G64" s="112">
        <f>AU64</f>
      </c>
      <c r="H64" s="113"/>
      <c r="I64" s="94" t="s">
        <v>483</v>
      </c>
      <c r="J64" s="94" t="s">
        <v>502</v>
      </c>
      <c r="K64" s="114">
        <f>P64/3</f>
      </c>
      <c r="L64" s="115">
        <v>2.7690000000000001</v>
      </c>
      <c r="M64" s="116"/>
      <c r="N64" s="117">
        <f>M64-L64</f>
      </c>
      <c r="O64" s="112"/>
      <c r="P64" s="118">
        <f>N64+O64</f>
      </c>
      <c r="Q64" s="94" t="s">
        <v>782</v>
      </c>
      <c r="R64" s="94" t="s">
        <v>63</v>
      </c>
      <c r="S64" s="119">
        <v>46337</v>
      </c>
      <c r="T64" s="119"/>
      <c r="U64" s="120">
        <v>46337</v>
      </c>
      <c r="V64" s="94"/>
      <c r="W64" s="94"/>
      <c r="X64" s="94"/>
      <c r="Y64" s="119">
        <v>46326</v>
      </c>
      <c r="Z64" s="94"/>
      <c r="AA64" s="120"/>
      <c r="AB64" s="120"/>
      <c r="AC64" s="120"/>
      <c r="AD64" s="120"/>
      <c r="AE64" s="120"/>
      <c r="AF64" s="120"/>
      <c r="AG64" s="94"/>
      <c r="AH64" s="120"/>
      <c r="AI64" s="94"/>
      <c r="AJ64" s="94" t="s">
        <v>782</v>
      </c>
      <c r="AK64" s="94" t="s">
        <v>696</v>
      </c>
      <c r="AL64" s="94">
        <v>165</v>
      </c>
      <c r="AM64" s="94" t="str">
        <f>TRIM(AJ64)&amp;TRIM(AL64)&amp;TRIM(AK64)</f>
      </c>
      <c r="AN64" s="116">
        <v>0</v>
      </c>
      <c r="AO64" s="116" t="inlineStr">
        <is>
          <t>#NA</t>
        </is>
      </c>
      <c r="AP64" s="116">
        <f>SUMIFS(M:M,AM:AM,AM64)+SUMIFS(O:O,AM:AM,AM64)</f>
      </c>
      <c r="AQ64" s="116">
        <f>SUMIFS(L:L,AM:AM,AM64)</f>
      </c>
      <c r="AR64" s="116">
        <f>AQ64-AP64</f>
      </c>
      <c r="AS64" s="94" t="str">
        <f>IF(AN64&gt;=AQ64,"ok","ck")</f>
      </c>
      <c r="AT64" s="116">
        <f>-P64</f>
      </c>
      <c r="AU64" s="115">
        <f>IF(SUMIFS(AT:AT,AM:AM,AM64)&gt;AO64,(SUMIFS(AT:AT,AM:AM,AM64)-AO64))</f>
      </c>
      <c r="AV64" s="116">
        <v>0</v>
      </c>
      <c r="AW64" s="121">
        <v>0</v>
      </c>
      <c r="AX64" s="115">
        <f>AN64-AP64</f>
      </c>
    </row>
    <row r="65" spans="1:50" ht="15" hidden="1" customHeight="1" x14ac:dyDescent="0.3">
      <c r="A65" s="94" t="s">
        <v>480</v>
      </c>
      <c r="B65" s="94"/>
      <c r="C65" s="94"/>
      <c r="D65" s="94"/>
      <c r="E65" s="94"/>
      <c r="F65" s="94"/>
      <c r="G65" s="112">
        <f>AU65</f>
      </c>
      <c r="H65" s="113"/>
      <c r="I65" s="94" t="s">
        <v>483</v>
      </c>
      <c r="J65" s="94" t="s">
        <v>502</v>
      </c>
      <c r="K65" s="114">
        <f>P65/3</f>
      </c>
      <c r="L65" s="115">
        <v>0.69299999999999995</v>
      </c>
      <c r="M65" s="116"/>
      <c r="N65" s="117">
        <f>M65-L65</f>
      </c>
      <c r="O65" s="112"/>
      <c r="P65" s="118">
        <f>N65+O65</f>
      </c>
      <c r="Q65" s="94" t="s">
        <v>782</v>
      </c>
      <c r="R65" s="94" t="s">
        <v>63</v>
      </c>
      <c r="S65" s="119">
        <v>46332</v>
      </c>
      <c r="T65" s="119"/>
      <c r="U65" s="120">
        <v>46332</v>
      </c>
      <c r="V65" s="94"/>
      <c r="W65" s="94"/>
      <c r="X65" s="94"/>
      <c r="Y65" s="119">
        <v>46327</v>
      </c>
      <c r="Z65" s="94"/>
      <c r="AA65" s="120"/>
      <c r="AB65" s="120"/>
      <c r="AC65" s="120"/>
      <c r="AD65" s="120"/>
      <c r="AE65" s="120"/>
      <c r="AF65" s="120"/>
      <c r="AG65" s="94"/>
      <c r="AH65" s="120"/>
      <c r="AI65" s="94"/>
      <c r="AJ65" s="94" t="s">
        <v>782</v>
      </c>
      <c r="AK65" s="94" t="s">
        <v>696</v>
      </c>
      <c r="AL65" s="94">
        <v>165</v>
      </c>
      <c r="AM65" s="94" t="str">
        <f>TRIM(AJ65)&amp;TRIM(AL65)&amp;TRIM(AK65)</f>
      </c>
      <c r="AN65" s="116">
        <v>0</v>
      </c>
      <c r="AO65" s="116" t="inlineStr">
        <is>
          <t>#NA</t>
        </is>
      </c>
      <c r="AP65" s="116">
        <f>SUMIFS(M:M,AM:AM,AM65)+SUMIFS(O:O,AM:AM,AM65)</f>
      </c>
      <c r="AQ65" s="116">
        <f>SUMIFS(L:L,AM:AM,AM65)</f>
      </c>
      <c r="AR65" s="116">
        <f>AQ65-AP65</f>
      </c>
      <c r="AS65" s="94" t="str">
        <f>IF(AN65&gt;=AQ65,"ok","ck")</f>
      </c>
      <c r="AT65" s="116">
        <f>-P65</f>
      </c>
      <c r="AU65" s="115">
        <f>IF(SUMIFS(AT:AT,AM:AM,AM65)&gt;AO65,(SUMIFS(AT:AT,AM:AM,AM65)-AO65))</f>
      </c>
      <c r="AV65" s="116">
        <v>0</v>
      </c>
      <c r="AW65" s="121">
        <v>0</v>
      </c>
      <c r="AX65" s="115">
        <f>AN65-AP65</f>
      </c>
    </row>
    <row r="66" spans="1:50" ht="15" hidden="1" customHeight="1" x14ac:dyDescent="0.3">
      <c r="A66" s="94" t="s">
        <v>480</v>
      </c>
      <c r="B66" s="94"/>
      <c r="C66" s="94"/>
      <c r="D66" s="94"/>
      <c r="E66" s="94"/>
      <c r="F66" s="94"/>
      <c r="G66" s="112">
        <f>AU66</f>
      </c>
      <c r="H66" s="113"/>
      <c r="I66" s="94" t="s">
        <v>483</v>
      </c>
      <c r="J66" s="94" t="s">
        <v>502</v>
      </c>
      <c r="K66" s="114">
        <f>P66/3</f>
      </c>
      <c r="L66" s="115">
        <v>0.69299999999999995</v>
      </c>
      <c r="M66" s="116"/>
      <c r="N66" s="117">
        <f>M66-L66</f>
      </c>
      <c r="O66" s="112"/>
      <c r="P66" s="118">
        <f>N66+O66</f>
      </c>
      <c r="Q66" s="94" t="s">
        <v>782</v>
      </c>
      <c r="R66" s="94" t="s">
        <v>63</v>
      </c>
      <c r="S66" s="119">
        <v>46332</v>
      </c>
      <c r="T66" s="119"/>
      <c r="U66" s="120">
        <v>46332</v>
      </c>
      <c r="V66" s="94"/>
      <c r="W66" s="94"/>
      <c r="X66" s="94"/>
      <c r="Y66" s="119">
        <v>46327</v>
      </c>
      <c r="Z66" s="94"/>
      <c r="AA66" s="120"/>
      <c r="AB66" s="120"/>
      <c r="AC66" s="120"/>
      <c r="AD66" s="120"/>
      <c r="AE66" s="120"/>
      <c r="AF66" s="120"/>
      <c r="AG66" s="94"/>
      <c r="AH66" s="120"/>
      <c r="AI66" s="94"/>
      <c r="AJ66" s="94" t="s">
        <v>782</v>
      </c>
      <c r="AK66" s="94" t="s">
        <v>696</v>
      </c>
      <c r="AL66" s="94">
        <v>165</v>
      </c>
      <c r="AM66" s="94" t="str">
        <f>TRIM(AJ66)&amp;TRIM(AL66)&amp;TRIM(AK66)</f>
      </c>
      <c r="AN66" s="116">
        <v>0</v>
      </c>
      <c r="AO66" s="116" t="inlineStr">
        <is>
          <t>#NA</t>
        </is>
      </c>
      <c r="AP66" s="116">
        <f>SUMIFS(M:M,AM:AM,AM66)+SUMIFS(O:O,AM:AM,AM66)</f>
      </c>
      <c r="AQ66" s="116">
        <f>SUMIFS(L:L,AM:AM,AM66)</f>
      </c>
      <c r="AR66" s="116">
        <f>AQ66-AP66</f>
      </c>
      <c r="AS66" s="94" t="str">
        <f>IF(AN66&gt;=AQ66,"ok","ck")</f>
      </c>
      <c r="AT66" s="116">
        <f>-P66</f>
      </c>
      <c r="AU66" s="115">
        <f>IF(SUMIFS(AT:AT,AM:AM,AM66)&gt;AO66,(SUMIFS(AT:AT,AM:AM,AM66)-AO66))</f>
      </c>
      <c r="AV66" s="116">
        <v>0</v>
      </c>
      <c r="AW66" s="121">
        <v>0</v>
      </c>
      <c r="AX66" s="115">
        <f>AN66-AP66</f>
      </c>
    </row>
    <row r="67" spans="1:50" ht="15" hidden="1" customHeight="1" x14ac:dyDescent="0.3">
      <c r="A67" s="94" t="s">
        <v>480</v>
      </c>
      <c r="B67" s="94"/>
      <c r="C67" s="94"/>
      <c r="D67" s="94"/>
      <c r="E67" s="94"/>
      <c r="F67" s="94"/>
      <c r="G67" s="112">
        <f>AU67</f>
      </c>
      <c r="H67" s="113"/>
      <c r="I67" s="94" t="s">
        <v>483</v>
      </c>
      <c r="J67" s="94" t="s">
        <v>502</v>
      </c>
      <c r="K67" s="114">
        <f>P67/3</f>
      </c>
      <c r="L67" s="115">
        <v>25.449000000000002</v>
      </c>
      <c r="M67" s="116"/>
      <c r="N67" s="117">
        <f>M67-L67</f>
      </c>
      <c r="O67" s="112"/>
      <c r="P67" s="118">
        <f>N67+O67</f>
      </c>
      <c r="Q67" s="94" t="s">
        <v>782</v>
      </c>
      <c r="R67" s="94" t="s">
        <v>63</v>
      </c>
      <c r="S67" s="119">
        <v>46332</v>
      </c>
      <c r="T67" s="119"/>
      <c r="U67" s="120">
        <v>46332</v>
      </c>
      <c r="V67" s="94"/>
      <c r="W67" s="94"/>
      <c r="X67" s="94"/>
      <c r="Y67" s="119">
        <v>46326</v>
      </c>
      <c r="Z67" s="94"/>
      <c r="AA67" s="120"/>
      <c r="AB67" s="120"/>
      <c r="AC67" s="120"/>
      <c r="AD67" s="120"/>
      <c r="AE67" s="120"/>
      <c r="AF67" s="120"/>
      <c r="AG67" s="94"/>
      <c r="AH67" s="120"/>
      <c r="AI67" s="94"/>
      <c r="AJ67" s="94" t="s">
        <v>782</v>
      </c>
      <c r="AK67" s="94" t="s">
        <v>696</v>
      </c>
      <c r="AL67" s="94">
        <v>165</v>
      </c>
      <c r="AM67" s="94" t="str">
        <f>TRIM(AJ67)&amp;TRIM(AL67)&amp;TRIM(AK67)</f>
      </c>
      <c r="AN67" s="116">
        <v>0</v>
      </c>
      <c r="AO67" s="116" t="inlineStr">
        <is>
          <t>#NA</t>
        </is>
      </c>
      <c r="AP67" s="116">
        <f>SUMIFS(M:M,AM:AM,AM67)+SUMIFS(O:O,AM:AM,AM67)</f>
      </c>
      <c r="AQ67" s="116">
        <f>SUMIFS(L:L,AM:AM,AM67)</f>
      </c>
      <c r="AR67" s="116">
        <f>AQ67-AP67</f>
      </c>
      <c r="AS67" s="94" t="str">
        <f>IF(AN67&gt;=AQ67,"ok","ck")</f>
      </c>
      <c r="AT67" s="116">
        <f>-P67</f>
      </c>
      <c r="AU67" s="115">
        <f>IF(SUMIFS(AT:AT,AM:AM,AM67)&gt;AO67,(SUMIFS(AT:AT,AM:AM,AM67)-AO67))</f>
      </c>
      <c r="AV67" s="116">
        <v>0</v>
      </c>
      <c r="AW67" s="121">
        <v>0</v>
      </c>
      <c r="AX67" s="115">
        <f>AN67-AP67</f>
      </c>
    </row>
    <row r="68" spans="1:50" ht="15" hidden="1" customHeight="1" x14ac:dyDescent="0.3">
      <c r="A68" s="94" t="s">
        <v>480</v>
      </c>
      <c r="B68" s="94"/>
      <c r="C68" s="94"/>
      <c r="D68" s="94"/>
      <c r="E68" s="94"/>
      <c r="F68" s="94"/>
      <c r="G68" s="112">
        <f>AU68</f>
      </c>
      <c r="H68" s="113"/>
      <c r="I68" s="94" t="s">
        <v>483</v>
      </c>
      <c r="J68" s="94" t="s">
        <v>502</v>
      </c>
      <c r="K68" s="114">
        <f>P68/3</f>
      </c>
      <c r="L68" s="115">
        <v>5.09</v>
      </c>
      <c r="M68" s="116"/>
      <c r="N68" s="117">
        <f>M68-L68</f>
      </c>
      <c r="O68" s="112"/>
      <c r="P68" s="118">
        <f>N68+O68</f>
      </c>
      <c r="Q68" s="94" t="s">
        <v>782</v>
      </c>
      <c r="R68" s="94" t="s">
        <v>63</v>
      </c>
      <c r="S68" s="119">
        <v>46332</v>
      </c>
      <c r="T68" s="119"/>
      <c r="U68" s="120">
        <v>46332</v>
      </c>
      <c r="V68" s="94"/>
      <c r="W68" s="94"/>
      <c r="X68" s="94"/>
      <c r="Y68" s="119">
        <v>46326</v>
      </c>
      <c r="Z68" s="94"/>
      <c r="AA68" s="120"/>
      <c r="AB68" s="120"/>
      <c r="AC68" s="120"/>
      <c r="AD68" s="120"/>
      <c r="AE68" s="120"/>
      <c r="AF68" s="120"/>
      <c r="AG68" s="94"/>
      <c r="AH68" s="120"/>
      <c r="AI68" s="94"/>
      <c r="AJ68" s="94" t="s">
        <v>782</v>
      </c>
      <c r="AK68" s="94" t="s">
        <v>696</v>
      </c>
      <c r="AL68" s="94">
        <v>165</v>
      </c>
      <c r="AM68" s="94" t="str">
        <f>TRIM(AJ68)&amp;TRIM(AL68)&amp;TRIM(AK68)</f>
      </c>
      <c r="AN68" s="116">
        <v>0</v>
      </c>
      <c r="AO68" s="116" t="inlineStr">
        <is>
          <t>#NA</t>
        </is>
      </c>
      <c r="AP68" s="116">
        <f>SUMIFS(M:M,AM:AM,AM68)+SUMIFS(O:O,AM:AM,AM68)</f>
      </c>
      <c r="AQ68" s="116">
        <f>SUMIFS(L:L,AM:AM,AM68)</f>
      </c>
      <c r="AR68" s="116">
        <f>AQ68-AP68</f>
      </c>
      <c r="AS68" s="94" t="str">
        <f>IF(AN68&gt;=AQ68,"ok","ck")</f>
      </c>
      <c r="AT68" s="116">
        <f>-P68</f>
      </c>
      <c r="AU68" s="115">
        <f>IF(SUMIFS(AT:AT,AM:AM,AM68)&gt;AO68,(SUMIFS(AT:AT,AM:AM,AM68)-AO68))</f>
      </c>
      <c r="AV68" s="116">
        <v>0</v>
      </c>
      <c r="AW68" s="121">
        <v>0</v>
      </c>
      <c r="AX68" s="115">
        <f>AN68-AP68</f>
      </c>
    </row>
    <row r="69" spans="1:50" ht="15" hidden="1" customHeight="1" x14ac:dyDescent="0.3">
      <c r="A69" s="94" t="s">
        <v>480</v>
      </c>
      <c r="B69" s="94"/>
      <c r="C69" s="94"/>
      <c r="D69" s="94"/>
      <c r="E69" s="94"/>
      <c r="F69" s="94"/>
      <c r="G69" s="112">
        <f>AU69</f>
      </c>
      <c r="H69" s="113"/>
      <c r="I69" s="94" t="s">
        <v>483</v>
      </c>
      <c r="J69" s="94" t="s">
        <v>502</v>
      </c>
      <c r="K69" s="114">
        <f>P69/3</f>
      </c>
      <c r="L69" s="115">
        <v>1.2729999999999999</v>
      </c>
      <c r="M69" s="116"/>
      <c r="N69" s="117">
        <f>M69-L69</f>
      </c>
      <c r="O69" s="112"/>
      <c r="P69" s="118">
        <f>N69+O69</f>
      </c>
      <c r="Q69" s="94" t="s">
        <v>782</v>
      </c>
      <c r="R69" s="94" t="s">
        <v>63</v>
      </c>
      <c r="S69" s="119">
        <v>46332</v>
      </c>
      <c r="T69" s="119"/>
      <c r="U69" s="120">
        <v>46332</v>
      </c>
      <c r="V69" s="94"/>
      <c r="W69" s="94"/>
      <c r="X69" s="94"/>
      <c r="Y69" s="119">
        <v>46327</v>
      </c>
      <c r="Z69" s="94"/>
      <c r="AA69" s="120"/>
      <c r="AB69" s="120"/>
      <c r="AC69" s="120"/>
      <c r="AD69" s="120"/>
      <c r="AE69" s="120"/>
      <c r="AF69" s="120"/>
      <c r="AG69" s="94"/>
      <c r="AH69" s="120"/>
      <c r="AI69" s="94"/>
      <c r="AJ69" s="94" t="s">
        <v>782</v>
      </c>
      <c r="AK69" s="94" t="s">
        <v>696</v>
      </c>
      <c r="AL69" s="94">
        <v>165</v>
      </c>
      <c r="AM69" s="94" t="str">
        <f>TRIM(AJ69)&amp;TRIM(AL69)&amp;TRIM(AK69)</f>
      </c>
      <c r="AN69" s="116">
        <v>0</v>
      </c>
      <c r="AO69" s="116" t="inlineStr">
        <is>
          <t>#NA</t>
        </is>
      </c>
      <c r="AP69" s="116">
        <f>SUMIFS(M:M,AM:AM,AM69)+SUMIFS(O:O,AM:AM,AM69)</f>
      </c>
      <c r="AQ69" s="116">
        <f>SUMIFS(L:L,AM:AM,AM69)</f>
      </c>
      <c r="AR69" s="116">
        <f>AQ69-AP69</f>
      </c>
      <c r="AS69" s="94" t="str">
        <f>IF(AN69&gt;=AQ69,"ok","ck")</f>
      </c>
      <c r="AT69" s="116">
        <f>-P69</f>
      </c>
      <c r="AU69" s="115">
        <f>IF(SUMIFS(AT:AT,AM:AM,AM69)&gt;AO69,(SUMIFS(AT:AT,AM:AM,AM69)-AO69))</f>
      </c>
      <c r="AV69" s="116">
        <v>0</v>
      </c>
      <c r="AW69" s="121">
        <v>0</v>
      </c>
      <c r="AX69" s="115">
        <f>AN69-AP69</f>
      </c>
    </row>
    <row r="70" spans="1:50" ht="15" hidden="1" customHeight="1" x14ac:dyDescent="0.3">
      <c r="A70" s="94" t="s">
        <v>480</v>
      </c>
      <c r="B70" s="94"/>
      <c r="C70" s="94"/>
      <c r="D70" s="94"/>
      <c r="E70" s="94"/>
      <c r="F70" s="94"/>
      <c r="G70" s="112">
        <f>AU70</f>
      </c>
      <c r="H70" s="113"/>
      <c r="I70" s="94" t="s">
        <v>483</v>
      </c>
      <c r="J70" s="94" t="s">
        <v>502</v>
      </c>
      <c r="K70" s="114">
        <f>P70/3</f>
      </c>
      <c r="L70" s="115">
        <v>1.2729999999999999</v>
      </c>
      <c r="M70" s="116"/>
      <c r="N70" s="117">
        <f>M70-L70</f>
      </c>
      <c r="O70" s="112"/>
      <c r="P70" s="118">
        <f>N70+O70</f>
      </c>
      <c r="Q70" s="94" t="s">
        <v>782</v>
      </c>
      <c r="R70" s="94" t="s">
        <v>63</v>
      </c>
      <c r="S70" s="119">
        <v>46332</v>
      </c>
      <c r="T70" s="119"/>
      <c r="U70" s="120">
        <v>46332</v>
      </c>
      <c r="V70" s="94"/>
      <c r="W70" s="94"/>
      <c r="X70" s="94"/>
      <c r="Y70" s="119">
        <v>46327</v>
      </c>
      <c r="Z70" s="94"/>
      <c r="AA70" s="120"/>
      <c r="AB70" s="120"/>
      <c r="AC70" s="120"/>
      <c r="AD70" s="120"/>
      <c r="AE70" s="120"/>
      <c r="AF70" s="120"/>
      <c r="AG70" s="94"/>
      <c r="AH70" s="120"/>
      <c r="AI70" s="94"/>
      <c r="AJ70" s="94" t="s">
        <v>782</v>
      </c>
      <c r="AK70" s="94" t="s">
        <v>696</v>
      </c>
      <c r="AL70" s="94">
        <v>165</v>
      </c>
      <c r="AM70" s="94" t="str">
        <f>TRIM(AJ70)&amp;TRIM(AL70)&amp;TRIM(AK70)</f>
      </c>
      <c r="AN70" s="116">
        <v>0</v>
      </c>
      <c r="AO70" s="116" t="inlineStr">
        <is>
          <t>#NA</t>
        </is>
      </c>
      <c r="AP70" s="116">
        <f>SUMIFS(M:M,AM:AM,AM70)+SUMIFS(O:O,AM:AM,AM70)</f>
      </c>
      <c r="AQ70" s="116">
        <f>SUMIFS(L:L,AM:AM,AM70)</f>
      </c>
      <c r="AR70" s="116">
        <f>AQ70-AP70</f>
      </c>
      <c r="AS70" s="94" t="str">
        <f>IF(AN70&gt;=AQ70,"ok","ck")</f>
      </c>
      <c r="AT70" s="116">
        <f>-P70</f>
      </c>
      <c r="AU70" s="115">
        <f>IF(SUMIFS(AT:AT,AM:AM,AM70)&gt;AO70,(SUMIFS(AT:AT,AM:AM,AM70)-AO70))</f>
      </c>
      <c r="AV70" s="116">
        <v>0</v>
      </c>
      <c r="AW70" s="121">
        <v>0</v>
      </c>
      <c r="AX70" s="115">
        <f>AN70-AP70</f>
      </c>
    </row>
    <row r="71" spans="1:50" ht="15" hidden="1" customHeight="1" x14ac:dyDescent="0.3">
      <c r="A71" s="94" t="s">
        <v>480</v>
      </c>
      <c r="B71" s="94"/>
      <c r="C71" s="94"/>
      <c r="D71" s="94"/>
      <c r="E71" s="94"/>
      <c r="F71" s="94"/>
      <c r="G71" s="112">
        <f>AU71</f>
      </c>
      <c r="H71" s="113"/>
      <c r="I71" s="94" t="s">
        <v>483</v>
      </c>
      <c r="J71" s="94" t="s">
        <v>502</v>
      </c>
      <c r="K71" s="114">
        <f>P71/3</f>
      </c>
      <c r="L71" s="115">
        <v>29.073</v>
      </c>
      <c r="M71" s="116"/>
      <c r="N71" s="117">
        <f>M71-L71</f>
      </c>
      <c r="O71" s="112"/>
      <c r="P71" s="118">
        <f>N71+O71</f>
      </c>
      <c r="Q71" s="94" t="s">
        <v>782</v>
      </c>
      <c r="R71" s="94" t="s">
        <v>63</v>
      </c>
      <c r="S71" s="119">
        <v>46332</v>
      </c>
      <c r="T71" s="119"/>
      <c r="U71" s="120">
        <v>46332</v>
      </c>
      <c r="V71" s="94"/>
      <c r="W71" s="94"/>
      <c r="X71" s="94"/>
      <c r="Y71" s="119">
        <v>46327</v>
      </c>
      <c r="Z71" s="94"/>
      <c r="AA71" s="120"/>
      <c r="AB71" s="120"/>
      <c r="AC71" s="120"/>
      <c r="AD71" s="120"/>
      <c r="AE71" s="120"/>
      <c r="AF71" s="120"/>
      <c r="AG71" s="94"/>
      <c r="AH71" s="120"/>
      <c r="AI71" s="94"/>
      <c r="AJ71" s="94" t="s">
        <v>782</v>
      </c>
      <c r="AK71" s="94" t="s">
        <v>696</v>
      </c>
      <c r="AL71" s="94">
        <v>165</v>
      </c>
      <c r="AM71" s="94" t="str">
        <f>TRIM(AJ71)&amp;TRIM(AL71)&amp;TRIM(AK71)</f>
      </c>
      <c r="AN71" s="116">
        <v>0</v>
      </c>
      <c r="AO71" s="116" t="inlineStr">
        <is>
          <t>#NA</t>
        </is>
      </c>
      <c r="AP71" s="116">
        <f>SUMIFS(M:M,AM:AM,AM71)+SUMIFS(O:O,AM:AM,AM71)</f>
      </c>
      <c r="AQ71" s="116">
        <f>SUMIFS(L:L,AM:AM,AM71)</f>
      </c>
      <c r="AR71" s="116">
        <f>AQ71-AP71</f>
      </c>
      <c r="AS71" s="94" t="str">
        <f>IF(AN71&gt;=AQ71,"ok","ck")</f>
      </c>
      <c r="AT71" s="116">
        <f>-P71</f>
      </c>
      <c r="AU71" s="115">
        <f>IF(SUMIFS(AT:AT,AM:AM,AM71)&gt;AO71,(SUMIFS(AT:AT,AM:AM,AM71)-AO71))</f>
      </c>
      <c r="AV71" s="116">
        <v>0</v>
      </c>
      <c r="AW71" s="121">
        <v>0</v>
      </c>
      <c r="AX71" s="115">
        <f>AN71-AP71</f>
      </c>
    </row>
    <row r="72" spans="1:50" ht="15" hidden="1" customHeight="1" x14ac:dyDescent="0.3">
      <c r="A72" s="94" t="s">
        <v>288</v>
      </c>
      <c r="B72" s="94"/>
      <c r="C72" s="94"/>
      <c r="D72" s="94"/>
      <c r="E72" s="94"/>
      <c r="F72" s="94"/>
      <c r="G72" s="112">
        <f>AU72</f>
      </c>
      <c r="H72" s="113"/>
      <c r="I72" s="94" t="s">
        <v>289</v>
      </c>
      <c r="J72" s="94" t="s">
        <v>290</v>
      </c>
      <c r="K72" s="114">
        <f>P72/3</f>
      </c>
      <c r="L72" s="115">
        <v>0</v>
      </c>
      <c r="M72" s="116">
        <f>L72</f>
      </c>
      <c r="N72" s="117">
        <f>M72-L72</f>
      </c>
      <c r="O72" s="112"/>
      <c r="P72" s="118">
        <f>N72+O72</f>
      </c>
      <c r="Q72" s="94" t="s">
        <v>296</v>
      </c>
      <c r="R72" s="94" t="s">
        <v>63</v>
      </c>
      <c r="S72" s="119">
        <v>46338</v>
      </c>
      <c r="T72" s="119"/>
      <c r="U72" s="120">
        <v>46338</v>
      </c>
      <c r="V72" s="94"/>
      <c r="W72" s="94"/>
      <c r="X72" s="94"/>
      <c r="Y72" s="119">
        <v>46338</v>
      </c>
      <c r="Z72" s="94"/>
      <c r="AA72" s="120"/>
      <c r="AB72" s="120"/>
      <c r="AC72" s="120"/>
      <c r="AD72" s="120"/>
      <c r="AE72" s="120"/>
      <c r="AF72" s="120"/>
      <c r="AG72" s="94"/>
      <c r="AH72" s="120"/>
      <c r="AI72" s="94"/>
      <c r="AJ72" s="94" t="s">
        <v>479</v>
      </c>
      <c r="AK72" s="94" t="s">
        <v>267</v>
      </c>
      <c r="AL72" s="94">
        <v>235</v>
      </c>
      <c r="AM72" s="94" t="str">
        <f>TRIM(AJ72)&amp;TRIM(AL72)&amp;TRIM(AK72)</f>
      </c>
      <c r="AN72" s="116">
        <v>1467</v>
      </c>
      <c r="AO72" s="116">
        <v>-34.61</v>
      </c>
      <c r="AP72" s="116">
        <f>SUMIFS(M:M,AM:AM,AM72)+SUMIFS(O:O,AM:AM,AM72)</f>
      </c>
      <c r="AQ72" s="116">
        <f>SUMIFS(L:L,AM:AM,AM72)</f>
      </c>
      <c r="AR72" s="116">
        <f>AQ72-AP72</f>
      </c>
      <c r="AS72" s="94" t="str">
        <f>IF(AN72&gt;=AQ72,"ok","ck")</f>
      </c>
      <c r="AT72" s="116">
        <f>-P72</f>
      </c>
      <c r="AU72" s="115">
        <f>IF(SUMIFS(AT:AT,AM:AM,AM72)&gt;AO72,(SUMIFS(AT:AT,AM:AM,AM72)-AO72))</f>
      </c>
      <c r="AV72" s="116">
        <v>1467</v>
      </c>
      <c r="AW72" s="121">
        <v>1.024</v>
      </c>
      <c r="AX72" s="115">
        <f>AN72-AP72</f>
      </c>
    </row>
    <row r="73" spans="1:50" ht="15" customHeight="1" x14ac:dyDescent="0.3">
      <c r="A73" s="94" t="s">
        <v>862</v>
      </c>
      <c r="B73" s="94"/>
      <c r="C73" s="94"/>
      <c r="D73" s="94"/>
      <c r="E73" s="94"/>
      <c r="F73" s="94"/>
      <c r="G73" s="112">
        <f>AU73</f>
      </c>
      <c r="H73" s="113"/>
      <c r="I73" s="94" t="s">
        <v>390</v>
      </c>
      <c r="J73" s="94" t="s">
        <v>281</v>
      </c>
      <c r="K73" s="114">
        <f>P73/3</f>
      </c>
      <c r="L73" s="115">
        <v>1827.92</v>
      </c>
      <c r="M73" s="116">
        <v>1827.92</v>
      </c>
      <c r="N73" s="117">
        <f>M73-L73</f>
      </c>
      <c r="O73" s="112"/>
      <c r="P73" s="118">
        <f>N73+O73</f>
      </c>
      <c r="Q73" s="94"/>
      <c r="R73" s="94" t="s">
        <v>63</v>
      </c>
      <c r="S73" s="119">
        <v>46327</v>
      </c>
      <c r="T73" s="119"/>
      <c r="U73" s="120" t="s">
        <v>632</v>
      </c>
      <c r="V73" s="94"/>
      <c r="W73" s="94"/>
      <c r="X73" s="94"/>
      <c r="Y73" s="119">
        <v>46324</v>
      </c>
      <c r="Z73" s="94"/>
      <c r="AA73" s="120"/>
      <c r="AB73" s="120"/>
      <c r="AC73" s="120"/>
      <c r="AD73" s="120"/>
      <c r="AE73" s="120"/>
      <c r="AF73" s="120"/>
      <c r="AG73" s="94"/>
      <c r="AH73" s="120"/>
      <c r="AI73" s="94"/>
      <c r="AJ73" s="94"/>
      <c r="AK73" s="94"/>
      <c r="AL73" s="94">
        <v>140</v>
      </c>
      <c r="AM73" s="94" t="str">
        <f>TRIM(AJ73)&amp;TRIM(AL73)&amp;TRIM(AK73)</f>
      </c>
      <c r="AN73" s="116">
        <v>0</v>
      </c>
      <c r="AO73" s="116" t="inlineStr">
        <is>
          <t>#NA</t>
        </is>
      </c>
      <c r="AP73" s="116">
        <f>SUMIFS(M:M,AM:AM,AM73)+SUMIFS(O:O,AM:AM,AM73)</f>
      </c>
      <c r="AQ73" s="116">
        <f>SUMIFS(L:L,AM:AM,AM73)</f>
      </c>
      <c r="AR73" s="116">
        <f>AQ73-AP73</f>
      </c>
      <c r="AS73" s="94" t="str">
        <f>IF(AN73&gt;=AQ73,"ok","ck")</f>
      </c>
      <c r="AT73" s="116">
        <f>-P73</f>
      </c>
      <c r="AU73" s="115">
        <f>IF(SUMIFS(AT:AT,AM:AM,AM73)&gt;AO73,(SUMIFS(AT:AT,AM:AM,AM73)-AO73))</f>
      </c>
      <c r="AV73" s="116" t="e">
        <v>#N/A</v>
      </c>
      <c r="AW73" s="121" t="e">
        <v>#N/A</v>
      </c>
      <c r="AX73" s="115">
        <f>AN73-AP73</f>
      </c>
    </row>
    <row r="74" spans="1:50" ht="15" hidden="1" customHeight="1" x14ac:dyDescent="0.3">
      <c r="A74" s="94" t="s">
        <v>268</v>
      </c>
      <c r="B74" s="94"/>
      <c r="C74" s="94"/>
      <c r="D74" s="94"/>
      <c r="E74" s="94"/>
      <c r="F74" s="94"/>
      <c r="G74" s="112">
        <f>AU74</f>
      </c>
      <c r="H74" s="113"/>
      <c r="I74" s="94" t="s">
        <v>390</v>
      </c>
      <c r="J74" s="94" t="s">
        <v>324</v>
      </c>
      <c r="K74" s="114">
        <f>P74/3</f>
      </c>
      <c r="L74" s="115">
        <v>8.4600000000000009</v>
      </c>
      <c r="M74" s="116"/>
      <c r="N74" s="117">
        <f>M74-L74</f>
      </c>
      <c r="O74" s="112"/>
      <c r="P74" s="118">
        <f>N74+O74</f>
      </c>
      <c r="Q74" s="94" t="s">
        <v>778</v>
      </c>
      <c r="R74" s="94" t="s">
        <v>63</v>
      </c>
      <c r="S74" s="119">
        <v>46334</v>
      </c>
      <c r="T74" s="119"/>
      <c r="U74" s="119">
        <v>46334</v>
      </c>
      <c r="V74" s="94"/>
      <c r="W74" s="94"/>
      <c r="X74" s="94"/>
      <c r="Y74" s="119">
        <v>46345</v>
      </c>
      <c r="Z74" s="94"/>
      <c r="AA74" s="120"/>
      <c r="AB74" s="120"/>
      <c r="AC74" s="120"/>
      <c r="AD74" s="120"/>
      <c r="AE74" s="120"/>
      <c r="AF74" s="120"/>
      <c r="AG74" s="94"/>
      <c r="AH74" s="120"/>
      <c r="AI74" s="94"/>
      <c r="AJ74" s="94" t="s">
        <v>778</v>
      </c>
      <c r="AK74" s="94" t="s">
        <v>324</v>
      </c>
      <c r="AL74" s="94">
        <v>140</v>
      </c>
      <c r="AM74" s="94" t="str">
        <f>TRIM(AJ74)&amp;TRIM(AL74)&amp;TRIM(AK74)</f>
      </c>
      <c r="AN74" s="116">
        <v>0</v>
      </c>
      <c r="AO74" s="116" t="inlineStr">
        <is>
          <t>#NA</t>
        </is>
      </c>
      <c r="AP74" s="116">
        <f>SUMIFS(M:M,AM:AM,AM74)+SUMIFS(O:O,AM:AM,AM74)</f>
      </c>
      <c r="AQ74" s="116">
        <f>SUMIFS(L:L,AM:AM,AM74)</f>
      </c>
      <c r="AR74" s="116">
        <f>AQ74-AP74</f>
      </c>
      <c r="AS74" s="94" t="str">
        <f>IF(AN74&gt;=AQ74,"ok","ck")</f>
      </c>
      <c r="AT74" s="116">
        <f>-P74</f>
      </c>
      <c r="AU74" s="115">
        <f>IF(SUMIFS(AT:AT,AM:AM,AM74)&gt;AO74,(SUMIFS(AT:AT,AM:AM,AM74)-AO74))</f>
      </c>
      <c r="AV74" s="116">
        <v>0</v>
      </c>
      <c r="AW74" s="121">
        <v>0</v>
      </c>
      <c r="AX74" s="115">
        <f>AN74-AP74</f>
      </c>
    </row>
    <row r="75" spans="1:50" ht="15" hidden="1" customHeight="1" x14ac:dyDescent="0.3">
      <c r="A75" s="94" t="s">
        <v>60</v>
      </c>
      <c r="B75" s="94"/>
      <c r="C75" s="94"/>
      <c r="D75" s="94"/>
      <c r="E75" s="94"/>
      <c r="F75" s="94"/>
      <c r="G75" s="112">
        <f>AU75</f>
      </c>
      <c r="H75" s="113"/>
      <c r="I75" s="94" t="s">
        <v>70</v>
      </c>
      <c r="J75" s="94" t="s">
        <v>68</v>
      </c>
      <c r="K75" s="114">
        <f>P75/3</f>
      </c>
      <c r="L75" s="115">
        <v>-8.2059999999999995</v>
      </c>
      <c r="M75" s="116">
        <f>L75</f>
      </c>
      <c r="N75" s="117">
        <f>M75-L75</f>
      </c>
      <c r="O75" s="112"/>
      <c r="P75" s="118">
        <f>N75+O75</f>
      </c>
      <c r="Q75" s="94" t="s">
        <v>67</v>
      </c>
      <c r="R75" s="94" t="s">
        <v>63</v>
      </c>
      <c r="S75" s="119">
        <v>46337</v>
      </c>
      <c r="T75" s="119"/>
      <c r="U75" s="120">
        <v>46337</v>
      </c>
      <c r="V75" s="94"/>
      <c r="W75" s="94"/>
      <c r="X75" s="94"/>
      <c r="Y75" s="119">
        <v>46337</v>
      </c>
      <c r="Z75" s="94"/>
      <c r="AA75" s="120"/>
      <c r="AB75" s="120"/>
      <c r="AC75" s="120"/>
      <c r="AD75" s="120"/>
      <c r="AE75" s="120"/>
      <c r="AF75" s="120"/>
      <c r="AG75" s="94"/>
      <c r="AH75" s="120"/>
      <c r="AI75" s="94"/>
      <c r="AJ75" s="94" t="s">
        <v>67</v>
      </c>
      <c r="AK75" s="94" t="s">
        <v>69</v>
      </c>
      <c r="AL75" s="94">
        <v>140</v>
      </c>
      <c r="AM75" s="94" t="str">
        <f>TRIM(AJ75)&amp;TRIM(AL75)&amp;TRIM(AK75)</f>
      </c>
      <c r="AN75" s="116">
        <v>2601</v>
      </c>
      <c r="AO75" s="116">
        <v>-61</v>
      </c>
      <c r="AP75" s="116">
        <f>SUMIFS(M:M,AM:AM,AM75)+SUMIFS(O:O,AM:AM,AM75)</f>
      </c>
      <c r="AQ75" s="116">
        <f>SUMIFS(L:L,AM:AM,AM75)</f>
      </c>
      <c r="AR75" s="116">
        <f>AQ75-AP75</f>
      </c>
      <c r="AS75" s="94" t="str">
        <f>IF(AN75&gt;=AQ75,"ok","ck")</f>
      </c>
      <c r="AT75" s="116">
        <f>-P75</f>
      </c>
      <c r="AU75" s="115">
        <f>IF(SUMIFS(AT:AT,AM:AM,AM75)&gt;AO75,(SUMIFS(AT:AT,AM:AM,AM75)-AO75))</f>
      </c>
      <c r="AV75" s="116">
        <v>2601</v>
      </c>
      <c r="AW75" s="121">
        <v>1.024</v>
      </c>
      <c r="AX75" s="115">
        <f>AN75-AP75</f>
      </c>
    </row>
    <row r="76" spans="1:50" ht="15" hidden="1" customHeight="1" x14ac:dyDescent="0.3">
      <c r="A76" s="94" t="s">
        <v>60</v>
      </c>
      <c r="B76" s="94"/>
      <c r="C76" s="94"/>
      <c r="D76" s="94"/>
      <c r="E76" s="94"/>
      <c r="F76" s="94"/>
      <c r="G76" s="112">
        <f>AU76</f>
      </c>
      <c r="H76" s="113"/>
      <c r="I76" s="94" t="s">
        <v>70</v>
      </c>
      <c r="J76" s="94" t="s">
        <v>68</v>
      </c>
      <c r="K76" s="114">
        <f>P76/3</f>
      </c>
      <c r="L76" s="115">
        <v>-0.04</v>
      </c>
      <c r="M76" s="116">
        <f>L76</f>
      </c>
      <c r="N76" s="117">
        <f>M76-L76</f>
      </c>
      <c r="O76" s="112"/>
      <c r="P76" s="118">
        <f>N76+O76</f>
      </c>
      <c r="Q76" s="94" t="s">
        <v>67</v>
      </c>
      <c r="R76" s="94" t="s">
        <v>63</v>
      </c>
      <c r="S76" s="119">
        <v>46341</v>
      </c>
      <c r="T76" s="119"/>
      <c r="U76" s="120">
        <v>46341</v>
      </c>
      <c r="V76" s="94"/>
      <c r="W76" s="94"/>
      <c r="X76" s="94"/>
      <c r="Y76" s="119">
        <v>46341</v>
      </c>
      <c r="Z76" s="94"/>
      <c r="AA76" s="120"/>
      <c r="AB76" s="120"/>
      <c r="AC76" s="120"/>
      <c r="AD76" s="120"/>
      <c r="AE76" s="120"/>
      <c r="AF76" s="120"/>
      <c r="AG76" s="94"/>
      <c r="AH76" s="120"/>
      <c r="AI76" s="94"/>
      <c r="AJ76" s="94" t="s">
        <v>67</v>
      </c>
      <c r="AK76" s="94" t="s">
        <v>69</v>
      </c>
      <c r="AL76" s="94">
        <v>140</v>
      </c>
      <c r="AM76" s="94" t="str">
        <f>TRIM(AJ76)&amp;TRIM(AL76)&amp;TRIM(AK76)</f>
      </c>
      <c r="AN76" s="116">
        <v>2601</v>
      </c>
      <c r="AO76" s="116">
        <v>-61</v>
      </c>
      <c r="AP76" s="116">
        <f>SUMIFS(M:M,AM:AM,AM76)+SUMIFS(O:O,AM:AM,AM76)</f>
      </c>
      <c r="AQ76" s="116">
        <f>SUMIFS(L:L,AM:AM,AM76)</f>
      </c>
      <c r="AR76" s="116">
        <f>AQ76-AP76</f>
      </c>
      <c r="AS76" s="94" t="str">
        <f>IF(AN76&gt;=AQ76,"ok","ck")</f>
      </c>
      <c r="AT76" s="116">
        <f>-P76</f>
      </c>
      <c r="AU76" s="115">
        <f>IF(SUMIFS(AT:AT,AM:AM,AM76)&gt;AO76,(SUMIFS(AT:AT,AM:AM,AM76)-AO76))</f>
      </c>
      <c r="AV76" s="116">
        <v>2601</v>
      </c>
      <c r="AW76" s="121">
        <v>1.024</v>
      </c>
      <c r="AX76" s="115">
        <f>AN76-AP76</f>
      </c>
    </row>
    <row r="77" spans="1:50" ht="15" hidden="1" customHeight="1" x14ac:dyDescent="0.3">
      <c r="A77" s="94" t="s">
        <v>60</v>
      </c>
      <c r="B77" s="94"/>
      <c r="C77" s="94"/>
      <c r="D77" s="94"/>
      <c r="E77" s="94"/>
      <c r="F77" s="94"/>
      <c r="G77" s="112">
        <f>AU77</f>
      </c>
      <c r="H77" s="113"/>
      <c r="I77" s="94" t="s">
        <v>70</v>
      </c>
      <c r="J77" s="94" t="s">
        <v>71</v>
      </c>
      <c r="K77" s="114">
        <f>P77/3</f>
      </c>
      <c r="L77" s="115">
        <v>0</v>
      </c>
      <c r="M77" s="116"/>
      <c r="N77" s="117">
        <f>M77-L77</f>
      </c>
      <c r="O77" s="112"/>
      <c r="P77" s="118">
        <f>N77+O77</f>
      </c>
      <c r="Q77" s="94" t="s">
        <v>67</v>
      </c>
      <c r="R77" s="94" t="s">
        <v>63</v>
      </c>
      <c r="S77" s="119">
        <v>46320</v>
      </c>
      <c r="T77" s="119"/>
      <c r="U77" s="120">
        <v>46320</v>
      </c>
      <c r="V77" s="94"/>
      <c r="W77" s="94"/>
      <c r="X77" s="94"/>
      <c r="Y77" s="119">
        <v>46320</v>
      </c>
      <c r="Z77" s="94"/>
      <c r="AA77" s="120"/>
      <c r="AB77" s="120"/>
      <c r="AC77" s="120"/>
      <c r="AD77" s="120"/>
      <c r="AE77" s="120"/>
      <c r="AF77" s="120"/>
      <c r="AG77" s="94"/>
      <c r="AH77" s="120"/>
      <c r="AI77" s="94"/>
      <c r="AJ77" s="94" t="s">
        <v>67</v>
      </c>
      <c r="AK77" s="94" t="s">
        <v>71</v>
      </c>
      <c r="AL77" s="94">
        <v>140</v>
      </c>
      <c r="AM77" s="94" t="str">
        <f>TRIM(AJ77)&amp;TRIM(AL77)&amp;TRIM(AK77)</f>
      </c>
      <c r="AN77" s="116">
        <v>3696.9</v>
      </c>
      <c r="AO77" s="116">
        <v>48.1</v>
      </c>
      <c r="AP77" s="116">
        <f>SUMIFS(M:M,AM:AM,AM77)+SUMIFS(O:O,AM:AM,AM77)</f>
      </c>
      <c r="AQ77" s="116">
        <f>SUMIFS(L:L,AM:AM,AM77)</f>
      </c>
      <c r="AR77" s="116">
        <f>AQ77-AP77</f>
      </c>
      <c r="AS77" s="94" t="str">
        <f>IF(AN77&gt;=AQ77,"ok","ck")</f>
      </c>
      <c r="AT77" s="116">
        <f>-P77</f>
      </c>
      <c r="AU77" s="115">
        <f>IF(SUMIFS(AT:AT,AM:AM,AM77)&gt;AO77,(SUMIFS(AT:AT,AM:AM,AM77)-AO77))</f>
      </c>
      <c r="AV77" s="116">
        <v>3696.9</v>
      </c>
      <c r="AW77" s="121">
        <v>0.987</v>
      </c>
      <c r="AX77" s="115">
        <f>AN77-AP77</f>
      </c>
    </row>
    <row r="78" spans="1:50" ht="15" hidden="1" customHeight="1" x14ac:dyDescent="0.3">
      <c r="A78" s="94" t="s">
        <v>253</v>
      </c>
      <c r="B78" s="94"/>
      <c r="C78" s="94"/>
      <c r="D78" s="94"/>
      <c r="E78" s="94"/>
      <c r="F78" s="94"/>
      <c r="G78" s="112">
        <f>AU78</f>
      </c>
      <c r="H78" s="113"/>
      <c r="I78" s="94" t="s">
        <v>254</v>
      </c>
      <c r="J78" s="94" t="s">
        <v>261</v>
      </c>
      <c r="K78" s="114">
        <f>P78/3</f>
      </c>
      <c r="L78" s="115">
        <v>66.388999999999996</v>
      </c>
      <c r="M78" s="116"/>
      <c r="N78" s="117">
        <f>M78-L78</f>
      </c>
      <c r="O78" s="112"/>
      <c r="P78" s="118">
        <f>N78+O78</f>
      </c>
      <c r="Q78" s="94" t="s">
        <v>330</v>
      </c>
      <c r="R78" s="94" t="s">
        <v>63</v>
      </c>
      <c r="S78" s="119">
        <v>46327</v>
      </c>
      <c r="T78" s="119"/>
      <c r="U78" s="120">
        <v>46327</v>
      </c>
      <c r="V78" s="94"/>
      <c r="W78" s="94"/>
      <c r="X78" s="94"/>
      <c r="Y78" s="119">
        <v>46320</v>
      </c>
      <c r="Z78" s="94"/>
      <c r="AA78" s="120"/>
      <c r="AB78" s="120"/>
      <c r="AC78" s="120"/>
      <c r="AD78" s="120"/>
      <c r="AE78" s="120"/>
      <c r="AF78" s="120"/>
      <c r="AG78" s="94"/>
      <c r="AH78" s="120"/>
      <c r="AI78" s="94"/>
      <c r="AJ78" s="94" t="s">
        <v>331</v>
      </c>
      <c r="AK78" s="94" t="s">
        <v>262</v>
      </c>
      <c r="AL78" s="94">
        <v>150</v>
      </c>
      <c r="AM78" s="94" t="str">
        <f>TRIM(AJ78)&amp;TRIM(AL78)&amp;TRIM(AK78)</f>
      </c>
      <c r="AN78" s="116">
        <v>2236</v>
      </c>
      <c r="AO78" s="116">
        <v>239.59</v>
      </c>
      <c r="AP78" s="116">
        <f>SUMIFS(M:M,AM:AM,AM78)+SUMIFS(O:O,AM:AM,AM78)</f>
      </c>
      <c r="AQ78" s="116">
        <f>SUMIFS(L:L,AM:AM,AM78)</f>
      </c>
      <c r="AR78" s="116">
        <f>AQ78-AP78</f>
      </c>
      <c r="AS78" s="94" t="str">
        <f>IF(AN78&gt;=AQ78,"ok","ck")</f>
      </c>
      <c r="AT78" s="116">
        <f>-P78</f>
      </c>
      <c r="AU78" s="115">
        <f>IF(SUMIFS(AT:AT,AM:AM,AM78)&gt;AO78,(SUMIFS(AT:AT,AM:AM,AM78)-AO78))</f>
      </c>
      <c r="AV78" s="116">
        <v>2236</v>
      </c>
      <c r="AW78" s="121">
        <v>0.903</v>
      </c>
      <c r="AX78" s="115">
        <f>AN78-AP78</f>
      </c>
    </row>
    <row r="79" spans="1:50" ht="15" hidden="1" customHeight="1" x14ac:dyDescent="0.3">
      <c r="A79" s="94" t="s">
        <v>268</v>
      </c>
      <c r="B79" s="94"/>
      <c r="C79" s="94"/>
      <c r="D79" s="94"/>
      <c r="E79" s="94"/>
      <c r="F79" s="94"/>
      <c r="G79" s="112">
        <f>AU79</f>
      </c>
      <c r="H79" s="113"/>
      <c r="I79" s="94" t="s">
        <v>278</v>
      </c>
      <c r="J79" s="94" t="s">
        <v>503</v>
      </c>
      <c r="K79" s="114">
        <f>P79/3</f>
      </c>
      <c r="L79" s="115">
        <v>118.161</v>
      </c>
      <c r="M79" s="116"/>
      <c r="N79" s="117">
        <f>M79-L79</f>
      </c>
      <c r="O79" s="112"/>
      <c r="P79" s="118">
        <f>N79+O79</f>
      </c>
      <c r="Q79" s="94" t="s">
        <v>778</v>
      </c>
      <c r="R79" s="94" t="s">
        <v>63</v>
      </c>
      <c r="S79" s="119">
        <v>46331</v>
      </c>
      <c r="T79" s="119"/>
      <c r="U79" s="120" t="s">
        <v>633</v>
      </c>
      <c r="V79" s="94"/>
      <c r="W79" s="94"/>
      <c r="X79" s="94"/>
      <c r="Y79" s="119">
        <v>46328</v>
      </c>
      <c r="Z79" s="94"/>
      <c r="AA79" s="120"/>
      <c r="AB79" s="120"/>
      <c r="AC79" s="120"/>
      <c r="AD79" s="120"/>
      <c r="AE79" s="120"/>
      <c r="AF79" s="120"/>
      <c r="AG79" s="94"/>
      <c r="AH79" s="120"/>
      <c r="AI79" s="94"/>
      <c r="AJ79" s="94" t="s">
        <v>778</v>
      </c>
      <c r="AK79" s="94" t="s">
        <v>697</v>
      </c>
      <c r="AL79" s="94">
        <v>120</v>
      </c>
      <c r="AM79" s="94" t="str">
        <f>TRIM(AJ79)&amp;TRIM(AL79)&amp;TRIM(AK79)</f>
      </c>
      <c r="AN79" s="116">
        <v>0</v>
      </c>
      <c r="AO79" s="116" t="inlineStr">
        <is>
          <t>#NA</t>
        </is>
      </c>
      <c r="AP79" s="116">
        <f>SUMIFS(M:M,AM:AM,AM79)+SUMIFS(O:O,AM:AM,AM79)</f>
      </c>
      <c r="AQ79" s="116">
        <f>SUMIFS(L:L,AM:AM,AM79)</f>
      </c>
      <c r="AR79" s="116">
        <f>AQ79-AP79</f>
      </c>
      <c r="AS79" s="94" t="str">
        <f>IF(AN79&gt;=AQ79,"ok","ck")</f>
      </c>
      <c r="AT79" s="116">
        <f>-P79</f>
      </c>
      <c r="AU79" s="115">
        <f>IF(SUMIFS(AT:AT,AM:AM,AM79)&gt;AO79,(SUMIFS(AT:AT,AM:AM,AM79)-AO79))</f>
      </c>
      <c r="AV79" s="116">
        <v>0</v>
      </c>
      <c r="AW79" s="121">
        <v>0</v>
      </c>
      <c r="AX79" s="115">
        <f>AN79-AP79</f>
      </c>
    </row>
    <row r="80" spans="1:50" ht="15" hidden="1" customHeight="1" x14ac:dyDescent="0.3">
      <c r="A80" s="94" t="s">
        <v>268</v>
      </c>
      <c r="B80" s="94"/>
      <c r="C80" s="94"/>
      <c r="D80" s="94"/>
      <c r="E80" s="94"/>
      <c r="F80" s="94"/>
      <c r="G80" s="112">
        <f>AU80</f>
      </c>
      <c r="H80" s="113"/>
      <c r="I80" s="94" t="s">
        <v>278</v>
      </c>
      <c r="J80" s="94" t="s">
        <v>503</v>
      </c>
      <c r="K80" s="114">
        <f>P80/3</f>
      </c>
      <c r="L80" s="115">
        <v>0</v>
      </c>
      <c r="M80" s="116"/>
      <c r="N80" s="117">
        <f>M80-L80</f>
      </c>
      <c r="O80" s="112"/>
      <c r="P80" s="118">
        <f>N80+O80</f>
      </c>
      <c r="Q80" s="94" t="s">
        <v>778</v>
      </c>
      <c r="R80" s="94" t="s">
        <v>63</v>
      </c>
      <c r="S80" s="119">
        <v>46343</v>
      </c>
      <c r="T80" s="119"/>
      <c r="U80" s="120">
        <v>46343</v>
      </c>
      <c r="V80" s="94"/>
      <c r="W80" s="94"/>
      <c r="X80" s="94"/>
      <c r="Y80" s="119">
        <v>46343</v>
      </c>
      <c r="Z80" s="94"/>
      <c r="AA80" s="120"/>
      <c r="AB80" s="120"/>
      <c r="AC80" s="120"/>
      <c r="AD80" s="120"/>
      <c r="AE80" s="120"/>
      <c r="AF80" s="120"/>
      <c r="AG80" s="94"/>
      <c r="AH80" s="120"/>
      <c r="AI80" s="94"/>
      <c r="AJ80" s="94" t="s">
        <v>778</v>
      </c>
      <c r="AK80" s="94" t="s">
        <v>697</v>
      </c>
      <c r="AL80" s="94">
        <v>120</v>
      </c>
      <c r="AM80" s="94" t="str">
        <f>TRIM(AJ80)&amp;TRIM(AL80)&amp;TRIM(AK80)</f>
      </c>
      <c r="AN80" s="116">
        <v>0</v>
      </c>
      <c r="AO80" s="116" t="inlineStr">
        <is>
          <t>#NA</t>
        </is>
      </c>
      <c r="AP80" s="116">
        <f>SUMIFS(M:M,AM:AM,AM80)+SUMIFS(O:O,AM:AM,AM80)</f>
      </c>
      <c r="AQ80" s="116">
        <f>SUMIFS(L:L,AM:AM,AM80)</f>
      </c>
      <c r="AR80" s="116">
        <f>AQ80-AP80</f>
      </c>
      <c r="AS80" s="94" t="str">
        <f>IF(AN80&gt;=AQ80,"ok","ck")</f>
      </c>
      <c r="AT80" s="116">
        <f>-P80</f>
      </c>
      <c r="AU80" s="115">
        <f>IF(SUMIFS(AT:AT,AM:AM,AM80)&gt;AO80,(SUMIFS(AT:AT,AM:AM,AM80)-AO80))</f>
      </c>
      <c r="AV80" s="116">
        <v>0</v>
      </c>
      <c r="AW80" s="121">
        <v>0</v>
      </c>
      <c r="AX80" s="115">
        <f>AN80-AP80</f>
      </c>
    </row>
    <row r="81" spans="1:50" ht="15" hidden="1" customHeight="1" x14ac:dyDescent="0.3">
      <c r="A81" s="94" t="s">
        <v>268</v>
      </c>
      <c r="B81" s="94"/>
      <c r="C81" s="94"/>
      <c r="D81" s="94"/>
      <c r="E81" s="94"/>
      <c r="F81" s="94"/>
      <c r="G81" s="112">
        <f>AU81</f>
      </c>
      <c r="H81" s="113"/>
      <c r="I81" s="94" t="s">
        <v>278</v>
      </c>
      <c r="J81" s="94" t="s">
        <v>503</v>
      </c>
      <c r="K81" s="114">
        <f>P81/3</f>
      </c>
      <c r="L81" s="115">
        <v>0.14399999999999999</v>
      </c>
      <c r="M81" s="116"/>
      <c r="N81" s="117">
        <f>M81-L81</f>
      </c>
      <c r="O81" s="112"/>
      <c r="P81" s="118">
        <f>N81+O81</f>
      </c>
      <c r="Q81" s="94" t="s">
        <v>778</v>
      </c>
      <c r="R81" s="94" t="s">
        <v>63</v>
      </c>
      <c r="S81" s="119">
        <v>46334</v>
      </c>
      <c r="T81" s="119"/>
      <c r="U81" s="119">
        <v>46334</v>
      </c>
      <c r="V81" s="94"/>
      <c r="W81" s="94"/>
      <c r="X81" s="94"/>
      <c r="Y81" s="119">
        <v>46334</v>
      </c>
      <c r="Z81" s="94"/>
      <c r="AA81" s="120"/>
      <c r="AB81" s="120"/>
      <c r="AC81" s="120"/>
      <c r="AD81" s="120"/>
      <c r="AE81" s="120"/>
      <c r="AF81" s="120"/>
      <c r="AG81" s="94"/>
      <c r="AH81" s="120"/>
      <c r="AI81" s="94"/>
      <c r="AJ81" s="94" t="s">
        <v>778</v>
      </c>
      <c r="AK81" s="94" t="s">
        <v>697</v>
      </c>
      <c r="AL81" s="94">
        <v>120</v>
      </c>
      <c r="AM81" s="94" t="str">
        <f>TRIM(AJ81)&amp;TRIM(AL81)&amp;TRIM(AK81)</f>
      </c>
      <c r="AN81" s="116">
        <v>0</v>
      </c>
      <c r="AO81" s="116" t="inlineStr">
        <is>
          <t>#NA</t>
        </is>
      </c>
      <c r="AP81" s="116">
        <f>SUMIFS(M:M,AM:AM,AM81)+SUMIFS(O:O,AM:AM,AM81)</f>
      </c>
      <c r="AQ81" s="116">
        <f>SUMIFS(L:L,AM:AM,AM81)</f>
      </c>
      <c r="AR81" s="116">
        <f>AQ81-AP81</f>
      </c>
      <c r="AS81" s="94" t="str">
        <f>IF(AN81&gt;=AQ81,"ok","ck")</f>
      </c>
      <c r="AT81" s="116">
        <f>-P81</f>
      </c>
      <c r="AU81" s="115">
        <f>IF(SUMIFS(AT:AT,AM:AM,AM81)&gt;AO81,(SUMIFS(AT:AT,AM:AM,AM81)-AO81))</f>
      </c>
      <c r="AV81" s="116">
        <v>0</v>
      </c>
      <c r="AW81" s="121">
        <v>0</v>
      </c>
      <c r="AX81" s="115">
        <f>AN81-AP81</f>
      </c>
    </row>
    <row r="82" spans="1:50" ht="15" hidden="1" customHeight="1" x14ac:dyDescent="0.3">
      <c r="A82" s="94" t="s">
        <v>268</v>
      </c>
      <c r="B82" s="94"/>
      <c r="C82" s="94"/>
      <c r="D82" s="94"/>
      <c r="E82" s="94"/>
      <c r="F82" s="94"/>
      <c r="G82" s="112">
        <f>AU82</f>
      </c>
      <c r="H82" s="113"/>
      <c r="I82" s="94" t="s">
        <v>278</v>
      </c>
      <c r="J82" s="94" t="s">
        <v>503</v>
      </c>
      <c r="K82" s="114">
        <f>P82/3</f>
      </c>
      <c r="L82" s="115">
        <v>354.601</v>
      </c>
      <c r="M82" s="116"/>
      <c r="N82" s="117">
        <f>M82-L82</f>
      </c>
      <c r="O82" s="112"/>
      <c r="P82" s="118">
        <f>N82+O82</f>
      </c>
      <c r="Q82" s="94" t="s">
        <v>778</v>
      </c>
      <c r="R82" s="94" t="s">
        <v>63</v>
      </c>
      <c r="S82" s="119">
        <v>46345</v>
      </c>
      <c r="T82" s="119"/>
      <c r="U82" s="120" t="s">
        <v>633</v>
      </c>
      <c r="V82" s="94"/>
      <c r="W82" s="94"/>
      <c r="X82" s="94"/>
      <c r="Y82" s="119">
        <v>46322</v>
      </c>
      <c r="Z82" s="94"/>
      <c r="AA82" s="120"/>
      <c r="AB82" s="120"/>
      <c r="AC82" s="120"/>
      <c r="AD82" s="120"/>
      <c r="AE82" s="120"/>
      <c r="AF82" s="120"/>
      <c r="AG82" s="94"/>
      <c r="AH82" s="120"/>
      <c r="AI82" s="94"/>
      <c r="AJ82" s="94" t="s">
        <v>778</v>
      </c>
      <c r="AK82" s="94" t="s">
        <v>697</v>
      </c>
      <c r="AL82" s="94">
        <v>120</v>
      </c>
      <c r="AM82" s="94" t="str">
        <f>TRIM(AJ82)&amp;TRIM(AL82)&amp;TRIM(AK82)</f>
      </c>
      <c r="AN82" s="116">
        <v>0</v>
      </c>
      <c r="AO82" s="116" t="inlineStr">
        <is>
          <t>#NA</t>
        </is>
      </c>
      <c r="AP82" s="116">
        <f>SUMIFS(M:M,AM:AM,AM82)+SUMIFS(O:O,AM:AM,AM82)</f>
      </c>
      <c r="AQ82" s="116">
        <f>SUMIFS(L:L,AM:AM,AM82)</f>
      </c>
      <c r="AR82" s="116">
        <f>AQ82-AP82</f>
      </c>
      <c r="AS82" s="94" t="str">
        <f>IF(AN82&gt;=AQ82,"ok","ck")</f>
      </c>
      <c r="AT82" s="116">
        <f>-P82</f>
      </c>
      <c r="AU82" s="115">
        <f>IF(SUMIFS(AT:AT,AM:AM,AM82)&gt;AO82,(SUMIFS(AT:AT,AM:AM,AM82)-AO82))</f>
      </c>
      <c r="AV82" s="116">
        <v>0</v>
      </c>
      <c r="AW82" s="121">
        <v>0</v>
      </c>
      <c r="AX82" s="115">
        <f>AN82-AP82</f>
      </c>
    </row>
    <row r="83" spans="1:50" ht="15" hidden="1" customHeight="1" x14ac:dyDescent="0.3">
      <c r="A83" s="94" t="s">
        <v>288</v>
      </c>
      <c r="B83" s="94"/>
      <c r="C83" s="94"/>
      <c r="D83" s="94"/>
      <c r="E83" s="94"/>
      <c r="F83" s="94"/>
      <c r="G83" s="112">
        <f>AU83</f>
      </c>
      <c r="H83" s="113"/>
      <c r="I83" s="94" t="s">
        <v>289</v>
      </c>
      <c r="J83" s="94" t="s">
        <v>301</v>
      </c>
      <c r="K83" s="114">
        <f>P83/3</f>
      </c>
      <c r="L83" s="115">
        <v>-1.02</v>
      </c>
      <c r="M83" s="116">
        <f>L83</f>
      </c>
      <c r="N83" s="117">
        <f>M83-L83</f>
      </c>
      <c r="O83" s="112"/>
      <c r="P83" s="118">
        <f>N83+O83</f>
      </c>
      <c r="Q83" s="94" t="s">
        <v>332</v>
      </c>
      <c r="R83" s="94" t="s">
        <v>63</v>
      </c>
      <c r="S83" s="119">
        <v>46320</v>
      </c>
      <c r="T83" s="119"/>
      <c r="U83" s="120">
        <v>46320</v>
      </c>
      <c r="V83" s="94"/>
      <c r="W83" s="94"/>
      <c r="X83" s="94"/>
      <c r="Y83" s="119">
        <v>46320</v>
      </c>
      <c r="Z83" s="94"/>
      <c r="AA83" s="120"/>
      <c r="AB83" s="120"/>
      <c r="AC83" s="120"/>
      <c r="AD83" s="120"/>
      <c r="AE83" s="120"/>
      <c r="AF83" s="120"/>
      <c r="AG83" s="94"/>
      <c r="AH83" s="120"/>
      <c r="AI83" s="94"/>
      <c r="AJ83" s="94" t="s">
        <v>783</v>
      </c>
      <c r="AK83" s="94" t="s">
        <v>302</v>
      </c>
      <c r="AL83" s="94">
        <v>235</v>
      </c>
      <c r="AM83" s="94" t="str">
        <f>TRIM(AJ83)&amp;TRIM(AL83)&amp;TRIM(AK83)</f>
      </c>
      <c r="AN83" s="116">
        <v>817.6</v>
      </c>
      <c r="AO83" s="116">
        <v>-41.19</v>
      </c>
      <c r="AP83" s="116">
        <f>SUMIFS(M:M,AM:AM,AM83)+SUMIFS(O:O,AM:AM,AM83)</f>
      </c>
      <c r="AQ83" s="116">
        <f>SUMIFS(L:L,AM:AM,AM83)</f>
      </c>
      <c r="AR83" s="116">
        <f>AQ83-AP83</f>
      </c>
      <c r="AS83" s="94" t="str">
        <f>IF(AN83&gt;=AQ83,"ok","ck")</f>
      </c>
      <c r="AT83" s="116">
        <f>-P83</f>
      </c>
      <c r="AU83" s="115">
        <f>IF(SUMIFS(AT:AT,AM:AM,AM83)&gt;AO83,(SUMIFS(AT:AT,AM:AM,AM83)-AO83))</f>
      </c>
      <c r="AV83" s="116">
        <v>817.6</v>
      </c>
      <c r="AW83" s="121">
        <v>1.053</v>
      </c>
      <c r="AX83" s="115">
        <f>AN83-AP83</f>
      </c>
    </row>
    <row r="84" spans="1:50" ht="15" hidden="1" customHeight="1" x14ac:dyDescent="0.3">
      <c r="A84" s="94" t="s">
        <v>82</v>
      </c>
      <c r="B84" s="94"/>
      <c r="C84" s="94"/>
      <c r="D84" s="94"/>
      <c r="E84" s="94"/>
      <c r="F84" s="94"/>
      <c r="G84" s="112">
        <f>AU84</f>
      </c>
      <c r="H84" s="113"/>
      <c r="I84" s="94" t="s">
        <v>83</v>
      </c>
      <c r="J84" s="94" t="s">
        <v>66</v>
      </c>
      <c r="K84" s="114">
        <f>P84/3</f>
      </c>
      <c r="L84" s="115">
        <v>-51.93</v>
      </c>
      <c r="M84" s="116">
        <f>L84</f>
      </c>
      <c r="N84" s="117">
        <f>M84-L84</f>
      </c>
      <c r="O84" s="112"/>
      <c r="P84" s="118">
        <f>N84+O84</f>
      </c>
      <c r="Q84" s="94" t="s">
        <v>850</v>
      </c>
      <c r="R84" s="94" t="s">
        <v>63</v>
      </c>
      <c r="S84" s="119">
        <v>46320</v>
      </c>
      <c r="T84" s="119"/>
      <c r="U84" s="120">
        <v>46320</v>
      </c>
      <c r="V84" s="94"/>
      <c r="W84" s="94"/>
      <c r="X84" s="94"/>
      <c r="Y84" s="119">
        <v>46320</v>
      </c>
      <c r="Z84" s="94"/>
      <c r="AA84" s="120"/>
      <c r="AB84" s="120"/>
      <c r="AC84" s="120"/>
      <c r="AD84" s="120"/>
      <c r="AE84" s="120"/>
      <c r="AF84" s="120"/>
      <c r="AG84" s="94"/>
      <c r="AH84" s="120"/>
      <c r="AI84" s="94"/>
      <c r="AJ84" s="94" t="s">
        <v>784</v>
      </c>
      <c r="AK84" s="94" t="s">
        <v>66</v>
      </c>
      <c r="AL84" s="94">
        <v>160</v>
      </c>
      <c r="AM84" s="94" t="str">
        <f>TRIM(AJ84)&amp;TRIM(AL84)&amp;TRIM(AK84)</f>
      </c>
      <c r="AN84" s="116">
        <v>5935</v>
      </c>
      <c r="AO84" s="116">
        <v>-50.5</v>
      </c>
      <c r="AP84" s="116">
        <f>SUMIFS(M:M,AM:AM,AM84)+SUMIFS(O:O,AM:AM,AM84)</f>
      </c>
      <c r="AQ84" s="116">
        <f>SUMIFS(L:L,AM:AM,AM84)</f>
      </c>
      <c r="AR84" s="116">
        <f>AQ84-AP84</f>
      </c>
      <c r="AS84" s="94" t="str">
        <f>IF(AN84&gt;=AQ84,"ok","ck")</f>
      </c>
      <c r="AT84" s="116">
        <f>-P84</f>
      </c>
      <c r="AU84" s="115">
        <f>IF(SUMIFS(AT:AT,AM:AM,AM84)&gt;AO84,(SUMIFS(AT:AT,AM:AM,AM84)-AO84))</f>
      </c>
      <c r="AV84" s="116">
        <v>5935</v>
      </c>
      <c r="AW84" s="121">
        <v>1.009</v>
      </c>
      <c r="AX84" s="115">
        <f>AN84-AP84</f>
      </c>
    </row>
    <row r="85" spans="1:50" ht="15" hidden="1" customHeight="1" x14ac:dyDescent="0.3">
      <c r="A85" s="94" t="s">
        <v>268</v>
      </c>
      <c r="B85" s="94"/>
      <c r="C85" s="94"/>
      <c r="D85" s="94"/>
      <c r="E85" s="94"/>
      <c r="F85" s="94"/>
      <c r="G85" s="112">
        <f>AU85</f>
      </c>
      <c r="H85" s="113"/>
      <c r="I85" s="94" t="s">
        <v>278</v>
      </c>
      <c r="J85" s="94" t="s">
        <v>270</v>
      </c>
      <c r="K85" s="114">
        <f>P85/3</f>
      </c>
      <c r="L85" s="115">
        <v>0</v>
      </c>
      <c r="M85" s="116">
        <f>L85</f>
      </c>
      <c r="N85" s="117">
        <f>M85-L85</f>
      </c>
      <c r="O85" s="112"/>
      <c r="P85" s="118">
        <f>N85+O85</f>
      </c>
      <c r="Q85" s="94" t="s">
        <v>287</v>
      </c>
      <c r="R85" s="94" t="s">
        <v>63</v>
      </c>
      <c r="S85" s="119">
        <v>46320</v>
      </c>
      <c r="T85" s="119"/>
      <c r="U85" s="120">
        <v>46320</v>
      </c>
      <c r="V85" s="94"/>
      <c r="W85" s="94"/>
      <c r="X85" s="94"/>
      <c r="Y85" s="119">
        <v>46320</v>
      </c>
      <c r="Z85" s="94"/>
      <c r="AA85" s="120"/>
      <c r="AB85" s="120"/>
      <c r="AC85" s="120"/>
      <c r="AD85" s="120"/>
      <c r="AE85" s="120"/>
      <c r="AF85" s="120"/>
      <c r="AG85" s="94"/>
      <c r="AH85" s="120"/>
      <c r="AI85" s="94"/>
      <c r="AJ85" s="94" t="s">
        <v>287</v>
      </c>
      <c r="AK85" s="94" t="s">
        <v>272</v>
      </c>
      <c r="AL85" s="94">
        <v>120</v>
      </c>
      <c r="AM85" s="94" t="str">
        <f>TRIM(AJ85)&amp;TRIM(AL85)&amp;TRIM(AK85)</f>
      </c>
      <c r="AN85" s="116">
        <v>476</v>
      </c>
      <c r="AO85" s="116">
        <v>-13</v>
      </c>
      <c r="AP85" s="116">
        <f>SUMIFS(M:M,AM:AM,AM85)+SUMIFS(O:O,AM:AM,AM85)</f>
      </c>
      <c r="AQ85" s="116">
        <f>SUMIFS(L:L,AM:AM,AM85)</f>
      </c>
      <c r="AR85" s="116">
        <f>AQ85-AP85</f>
      </c>
      <c r="AS85" s="94" t="str">
        <f>IF(AN85&gt;=AQ85,"ok","ck")</f>
      </c>
      <c r="AT85" s="116">
        <f>-P85</f>
      </c>
      <c r="AU85" s="115">
        <f>IF(SUMIFS(AT:AT,AM:AM,AM85)&gt;AO85,(SUMIFS(AT:AT,AM:AM,AM85)-AO85))</f>
      </c>
      <c r="AV85" s="116">
        <v>476</v>
      </c>
      <c r="AW85" s="121">
        <v>1.028</v>
      </c>
      <c r="AX85" s="115">
        <f>AN85-AP85</f>
      </c>
    </row>
    <row r="86" spans="1:50" ht="15" hidden="1" customHeight="1" x14ac:dyDescent="0.3">
      <c r="A86" s="94" t="s">
        <v>263</v>
      </c>
      <c r="B86" s="94"/>
      <c r="C86" s="94"/>
      <c r="D86" s="94"/>
      <c r="E86" s="94"/>
      <c r="F86" s="94"/>
      <c r="G86" s="112">
        <f>AU86</f>
      </c>
      <c r="H86" s="113"/>
      <c r="I86" s="94" t="s">
        <v>264</v>
      </c>
      <c r="J86" s="94" t="s">
        <v>363</v>
      </c>
      <c r="K86" s="114">
        <f>P86/3</f>
      </c>
      <c r="L86" s="115">
        <v>0</v>
      </c>
      <c r="M86" s="116">
        <f>L86</f>
      </c>
      <c r="N86" s="117">
        <f>M86-L86</f>
      </c>
      <c r="O86" s="112"/>
      <c r="P86" s="118">
        <f>N86+O86</f>
      </c>
      <c r="Q86" s="94" t="s">
        <v>266</v>
      </c>
      <c r="R86" s="94" t="s">
        <v>63</v>
      </c>
      <c r="S86" s="119">
        <v>46327</v>
      </c>
      <c r="T86" s="119"/>
      <c r="U86" s="120">
        <v>46327</v>
      </c>
      <c r="V86" s="94"/>
      <c r="W86" s="94"/>
      <c r="X86" s="94"/>
      <c r="Y86" s="119">
        <v>46327</v>
      </c>
      <c r="Z86" s="94"/>
      <c r="AA86" s="120"/>
      <c r="AB86" s="120"/>
      <c r="AC86" s="120"/>
      <c r="AD86" s="120"/>
      <c r="AE86" s="120"/>
      <c r="AF86" s="120"/>
      <c r="AG86" s="94"/>
      <c r="AH86" s="120"/>
      <c r="AI86" s="94"/>
      <c r="AJ86" s="94" t="s">
        <v>266</v>
      </c>
      <c r="AK86" s="94" t="s">
        <v>365</v>
      </c>
      <c r="AL86" s="94">
        <v>120</v>
      </c>
      <c r="AM86" s="94" t="str">
        <f>TRIM(AJ86)&amp;TRIM(AL86)&amp;TRIM(AK86)</f>
      </c>
      <c r="AN86" s="116">
        <v>39.05</v>
      </c>
      <c r="AO86" s="116">
        <v>-9.05</v>
      </c>
      <c r="AP86" s="116">
        <f>SUMIFS(M:M,AM:AM,AM86)+SUMIFS(O:O,AM:AM,AM86)</f>
      </c>
      <c r="AQ86" s="116">
        <f>SUMIFS(L:L,AM:AM,AM86)</f>
      </c>
      <c r="AR86" s="116">
        <f>AQ86-AP86</f>
      </c>
      <c r="AS86" s="94" t="str">
        <f>IF(AN86&gt;=AQ86,"ok","ck")</f>
      </c>
      <c r="AT86" s="116">
        <f>-P86</f>
      </c>
      <c r="AU86" s="115">
        <f>IF(SUMIFS(AT:AT,AM:AM,AM86)&gt;AO86,(SUMIFS(AT:AT,AM:AM,AM86)-AO86))</f>
      </c>
      <c r="AV86" s="116">
        <v>39.05</v>
      </c>
      <c r="AW86" s="121">
        <v>1.302</v>
      </c>
      <c r="AX86" s="115">
        <f>AN86-AP86</f>
      </c>
    </row>
    <row r="87" spans="1:50" ht="15" hidden="1" customHeight="1" x14ac:dyDescent="0.3">
      <c r="A87" s="94" t="s">
        <v>263</v>
      </c>
      <c r="B87" s="94"/>
      <c r="C87" s="94"/>
      <c r="D87" s="94"/>
      <c r="E87" s="94"/>
      <c r="F87" s="94"/>
      <c r="G87" s="112">
        <f>AU87</f>
      </c>
      <c r="H87" s="113"/>
      <c r="I87" s="94" t="s">
        <v>264</v>
      </c>
      <c r="J87" s="94" t="s">
        <v>363</v>
      </c>
      <c r="K87" s="114">
        <f>P87/3</f>
      </c>
      <c r="L87" s="115">
        <v>0</v>
      </c>
      <c r="M87" s="116">
        <f>L87</f>
      </c>
      <c r="N87" s="117">
        <f>M87-L87</f>
      </c>
      <c r="O87" s="112"/>
      <c r="P87" s="118">
        <f>N87+O87</f>
      </c>
      <c r="Q87" s="94" t="s">
        <v>266</v>
      </c>
      <c r="R87" s="94" t="s">
        <v>63</v>
      </c>
      <c r="S87" s="119">
        <v>46327</v>
      </c>
      <c r="T87" s="119"/>
      <c r="U87" s="120">
        <v>46327</v>
      </c>
      <c r="V87" s="94"/>
      <c r="W87" s="94"/>
      <c r="X87" s="94"/>
      <c r="Y87" s="119">
        <v>46327</v>
      </c>
      <c r="Z87" s="94"/>
      <c r="AA87" s="120"/>
      <c r="AB87" s="120"/>
      <c r="AC87" s="120"/>
      <c r="AD87" s="120"/>
      <c r="AE87" s="120"/>
      <c r="AF87" s="120"/>
      <c r="AG87" s="94"/>
      <c r="AH87" s="120"/>
      <c r="AI87" s="94"/>
      <c r="AJ87" s="94" t="s">
        <v>266</v>
      </c>
      <c r="AK87" s="94" t="s">
        <v>365</v>
      </c>
      <c r="AL87" s="94">
        <v>120</v>
      </c>
      <c r="AM87" s="94" t="str">
        <f>TRIM(AJ87)&amp;TRIM(AL87)&amp;TRIM(AK87)</f>
      </c>
      <c r="AN87" s="116">
        <v>39.05</v>
      </c>
      <c r="AO87" s="116">
        <v>-9.05</v>
      </c>
      <c r="AP87" s="116">
        <f>SUMIFS(M:M,AM:AM,AM87)+SUMIFS(O:O,AM:AM,AM87)</f>
      </c>
      <c r="AQ87" s="116">
        <f>SUMIFS(L:L,AM:AM,AM87)</f>
      </c>
      <c r="AR87" s="116">
        <f>AQ87-AP87</f>
      </c>
      <c r="AS87" s="94" t="str">
        <f>IF(AN87&gt;=AQ87,"ok","ck")</f>
      </c>
      <c r="AT87" s="116">
        <f>-P87</f>
      </c>
      <c r="AU87" s="115">
        <f>IF(SUMIFS(AT:AT,AM:AM,AM87)&gt;AO87,(SUMIFS(AT:AT,AM:AM,AM87)-AO87))</f>
      </c>
      <c r="AV87" s="116">
        <v>39.05</v>
      </c>
      <c r="AW87" s="121">
        <v>1.302</v>
      </c>
      <c r="AX87" s="115">
        <f>AN87-AP87</f>
      </c>
    </row>
    <row r="88" spans="1:50" ht="15" hidden="1" customHeight="1" x14ac:dyDescent="0.3">
      <c r="A88" s="94" t="s">
        <v>288</v>
      </c>
      <c r="B88" s="94"/>
      <c r="C88" s="94"/>
      <c r="D88" s="94"/>
      <c r="E88" s="94"/>
      <c r="F88" s="94"/>
      <c r="G88" s="112">
        <f>AU88</f>
      </c>
      <c r="H88" s="113"/>
      <c r="I88" s="94" t="s">
        <v>297</v>
      </c>
      <c r="J88" s="94" t="s">
        <v>298</v>
      </c>
      <c r="K88" s="114">
        <f>P88/3</f>
      </c>
      <c r="L88" s="115">
        <v>0</v>
      </c>
      <c r="M88" s="116"/>
      <c r="N88" s="117">
        <f>M88-L88</f>
      </c>
      <c r="O88" s="112"/>
      <c r="P88" s="118">
        <f>N88+O88</f>
      </c>
      <c r="Q88" s="94" t="s">
        <v>296</v>
      </c>
      <c r="R88" s="94" t="s">
        <v>63</v>
      </c>
      <c r="S88" s="119">
        <v>46320</v>
      </c>
      <c r="T88" s="119"/>
      <c r="U88" s="120">
        <v>46320</v>
      </c>
      <c r="V88" s="94"/>
      <c r="W88" s="94"/>
      <c r="X88" s="94"/>
      <c r="Y88" s="119">
        <v>46320</v>
      </c>
      <c r="Z88" s="94"/>
      <c r="AA88" s="120"/>
      <c r="AB88" s="120"/>
      <c r="AC88" s="120"/>
      <c r="AD88" s="120"/>
      <c r="AE88" s="120"/>
      <c r="AF88" s="120"/>
      <c r="AG88" s="94"/>
      <c r="AH88" s="120"/>
      <c r="AI88" s="94"/>
      <c r="AJ88" s="94" t="s">
        <v>479</v>
      </c>
      <c r="AK88" s="94" t="s">
        <v>300</v>
      </c>
      <c r="AL88" s="94">
        <v>190</v>
      </c>
      <c r="AM88" s="94" t="str">
        <f>TRIM(AJ88)&amp;TRIM(AL88)&amp;TRIM(AK88)</f>
      </c>
      <c r="AN88" s="116">
        <v>1739</v>
      </c>
      <c r="AO88" s="116">
        <v>112.59</v>
      </c>
      <c r="AP88" s="116">
        <f>SUMIFS(M:M,AM:AM,AM88)+SUMIFS(O:O,AM:AM,AM88)</f>
      </c>
      <c r="AQ88" s="116">
        <f>SUMIFS(L:L,AM:AM,AM88)</f>
      </c>
      <c r="AR88" s="116">
        <f>AQ88-AP88</f>
      </c>
      <c r="AS88" s="94" t="str">
        <f>IF(AN88&gt;=AQ88,"ok","ck")</f>
      </c>
      <c r="AT88" s="116">
        <f>-P88</f>
      </c>
      <c r="AU88" s="115">
        <f>IF(SUMIFS(AT:AT,AM:AM,AM88)&gt;AO88,(SUMIFS(AT:AT,AM:AM,AM88)-AO88))</f>
      </c>
      <c r="AV88" s="116">
        <v>1739</v>
      </c>
      <c r="AW88" s="121">
        <v>0.939</v>
      </c>
      <c r="AX88" s="115">
        <f>AN88-AP88</f>
      </c>
    </row>
    <row r="89" spans="1:50" ht="15" hidden="1" customHeight="1" x14ac:dyDescent="0.3">
      <c r="A89" s="94" t="s">
        <v>288</v>
      </c>
      <c r="B89" s="94"/>
      <c r="C89" s="94"/>
      <c r="D89" s="94"/>
      <c r="E89" s="94"/>
      <c r="F89" s="94"/>
      <c r="G89" s="112">
        <f>AU89</f>
      </c>
      <c r="H89" s="113"/>
      <c r="I89" s="94" t="s">
        <v>297</v>
      </c>
      <c r="J89" s="94" t="s">
        <v>298</v>
      </c>
      <c r="K89" s="114">
        <f>P89/3</f>
      </c>
      <c r="L89" s="115">
        <v>0</v>
      </c>
      <c r="M89" s="116"/>
      <c r="N89" s="117">
        <f>M89-L89</f>
      </c>
      <c r="O89" s="112"/>
      <c r="P89" s="118">
        <f>N89+O89</f>
      </c>
      <c r="Q89" s="94" t="s">
        <v>296</v>
      </c>
      <c r="R89" s="94" t="s">
        <v>63</v>
      </c>
      <c r="S89" s="119">
        <v>46322</v>
      </c>
      <c r="T89" s="119"/>
      <c r="U89" s="120">
        <v>46322</v>
      </c>
      <c r="V89" s="94"/>
      <c r="W89" s="94"/>
      <c r="X89" s="94"/>
      <c r="Y89" s="119">
        <v>46322</v>
      </c>
      <c r="Z89" s="94"/>
      <c r="AA89" s="120"/>
      <c r="AB89" s="120"/>
      <c r="AC89" s="120"/>
      <c r="AD89" s="120"/>
      <c r="AE89" s="120"/>
      <c r="AF89" s="120"/>
      <c r="AG89" s="94"/>
      <c r="AH89" s="120"/>
      <c r="AI89" s="94"/>
      <c r="AJ89" s="94" t="s">
        <v>479</v>
      </c>
      <c r="AK89" s="94" t="s">
        <v>300</v>
      </c>
      <c r="AL89" s="94">
        <v>190</v>
      </c>
      <c r="AM89" s="94" t="str">
        <f>TRIM(AJ89)&amp;TRIM(AL89)&amp;TRIM(AK89)</f>
      </c>
      <c r="AN89" s="116">
        <v>1739</v>
      </c>
      <c r="AO89" s="116">
        <v>112.59</v>
      </c>
      <c r="AP89" s="116">
        <f>SUMIFS(M:M,AM:AM,AM89)+SUMIFS(O:O,AM:AM,AM89)</f>
      </c>
      <c r="AQ89" s="116">
        <f>SUMIFS(L:L,AM:AM,AM89)</f>
      </c>
      <c r="AR89" s="116">
        <f>AQ89-AP89</f>
      </c>
      <c r="AS89" s="94" t="str">
        <f>IF(AN89&gt;=AQ89,"ok","ck")</f>
      </c>
      <c r="AT89" s="116">
        <f>-P89</f>
      </c>
      <c r="AU89" s="115">
        <f>IF(SUMIFS(AT:AT,AM:AM,AM89)&gt;AO89,(SUMIFS(AT:AT,AM:AM,AM89)-AO89))</f>
      </c>
      <c r="AV89" s="116">
        <v>1739</v>
      </c>
      <c r="AW89" s="121">
        <v>0.939</v>
      </c>
      <c r="AX89" s="115">
        <f>AN89-AP89</f>
      </c>
    </row>
    <row r="90" spans="1:50" ht="15" hidden="1" customHeight="1" x14ac:dyDescent="0.3">
      <c r="A90" s="94" t="s">
        <v>288</v>
      </c>
      <c r="B90" s="94"/>
      <c r="C90" s="94"/>
      <c r="D90" s="94"/>
      <c r="E90" s="94"/>
      <c r="F90" s="94"/>
      <c r="G90" s="112">
        <f>AU90</f>
      </c>
      <c r="H90" s="113"/>
      <c r="I90" s="94" t="s">
        <v>297</v>
      </c>
      <c r="J90" s="94" t="s">
        <v>298</v>
      </c>
      <c r="K90" s="114">
        <f>P90/3</f>
      </c>
      <c r="L90" s="115">
        <v>0</v>
      </c>
      <c r="M90" s="116"/>
      <c r="N90" s="117">
        <f>M90-L90</f>
      </c>
      <c r="O90" s="112"/>
      <c r="P90" s="118">
        <f>N90+O90</f>
      </c>
      <c r="Q90" s="94" t="s">
        <v>296</v>
      </c>
      <c r="R90" s="94" t="s">
        <v>63</v>
      </c>
      <c r="S90" s="119">
        <v>46331</v>
      </c>
      <c r="T90" s="119"/>
      <c r="U90" s="120">
        <v>46331</v>
      </c>
      <c r="V90" s="94"/>
      <c r="W90" s="94"/>
      <c r="X90" s="94"/>
      <c r="Y90" s="119">
        <v>46331</v>
      </c>
      <c r="Z90" s="94"/>
      <c r="AA90" s="120"/>
      <c r="AB90" s="120"/>
      <c r="AC90" s="120"/>
      <c r="AD90" s="120"/>
      <c r="AE90" s="120"/>
      <c r="AF90" s="120"/>
      <c r="AG90" s="94"/>
      <c r="AH90" s="120"/>
      <c r="AI90" s="94"/>
      <c r="AJ90" s="94" t="s">
        <v>479</v>
      </c>
      <c r="AK90" s="94" t="s">
        <v>300</v>
      </c>
      <c r="AL90" s="94">
        <v>190</v>
      </c>
      <c r="AM90" s="94" t="str">
        <f>TRIM(AJ90)&amp;TRIM(AL90)&amp;TRIM(AK90)</f>
      </c>
      <c r="AN90" s="116">
        <v>1739</v>
      </c>
      <c r="AO90" s="116">
        <v>112.59</v>
      </c>
      <c r="AP90" s="116">
        <f>SUMIFS(M:M,AM:AM,AM90)+SUMIFS(O:O,AM:AM,AM90)</f>
      </c>
      <c r="AQ90" s="116">
        <f>SUMIFS(L:L,AM:AM,AM90)</f>
      </c>
      <c r="AR90" s="116">
        <f>AQ90-AP90</f>
      </c>
      <c r="AS90" s="94" t="str">
        <f>IF(AN90&gt;=AQ90,"ok","ck")</f>
      </c>
      <c r="AT90" s="116">
        <f>-P90</f>
      </c>
      <c r="AU90" s="115">
        <f>IF(SUMIFS(AT:AT,AM:AM,AM90)&gt;AO90,(SUMIFS(AT:AT,AM:AM,AM90)-AO90))</f>
      </c>
      <c r="AV90" s="116">
        <v>1739</v>
      </c>
      <c r="AW90" s="121">
        <v>0.939</v>
      </c>
      <c r="AX90" s="115">
        <f>AN90-AP90</f>
      </c>
    </row>
    <row r="91" spans="1:50" ht="15" hidden="1" customHeight="1" x14ac:dyDescent="0.3">
      <c r="A91" s="94" t="s">
        <v>288</v>
      </c>
      <c r="B91" s="94"/>
      <c r="C91" s="94"/>
      <c r="D91" s="94"/>
      <c r="E91" s="94"/>
      <c r="F91" s="94"/>
      <c r="G91" s="112">
        <f>AU91</f>
      </c>
      <c r="H91" s="113"/>
      <c r="I91" s="94" t="s">
        <v>297</v>
      </c>
      <c r="J91" s="94" t="s">
        <v>298</v>
      </c>
      <c r="K91" s="114">
        <f>P91/3</f>
      </c>
      <c r="L91" s="115">
        <v>0</v>
      </c>
      <c r="M91" s="116"/>
      <c r="N91" s="117">
        <f>M91-L91</f>
      </c>
      <c r="O91" s="112"/>
      <c r="P91" s="118">
        <f>N91+O91</f>
      </c>
      <c r="Q91" s="94" t="s">
        <v>296</v>
      </c>
      <c r="R91" s="94" t="s">
        <v>63</v>
      </c>
      <c r="S91" s="119">
        <v>46343</v>
      </c>
      <c r="T91" s="119"/>
      <c r="U91" s="120">
        <v>46343</v>
      </c>
      <c r="V91" s="94"/>
      <c r="W91" s="94"/>
      <c r="X91" s="94"/>
      <c r="Y91" s="119">
        <v>46343</v>
      </c>
      <c r="Z91" s="94"/>
      <c r="AA91" s="120"/>
      <c r="AB91" s="120"/>
      <c r="AC91" s="120"/>
      <c r="AD91" s="120"/>
      <c r="AE91" s="120"/>
      <c r="AF91" s="120"/>
      <c r="AG91" s="94"/>
      <c r="AH91" s="120"/>
      <c r="AI91" s="94"/>
      <c r="AJ91" s="94" t="s">
        <v>479</v>
      </c>
      <c r="AK91" s="94" t="s">
        <v>300</v>
      </c>
      <c r="AL91" s="94">
        <v>190</v>
      </c>
      <c r="AM91" s="94" t="str">
        <f>TRIM(AJ91)&amp;TRIM(AL91)&amp;TRIM(AK91)</f>
      </c>
      <c r="AN91" s="116">
        <v>1739</v>
      </c>
      <c r="AO91" s="116">
        <v>112.59</v>
      </c>
      <c r="AP91" s="116">
        <f>SUMIFS(M:M,AM:AM,AM91)+SUMIFS(O:O,AM:AM,AM91)</f>
      </c>
      <c r="AQ91" s="116">
        <f>SUMIFS(L:L,AM:AM,AM91)</f>
      </c>
      <c r="AR91" s="116">
        <f>AQ91-AP91</f>
      </c>
      <c r="AS91" s="94" t="str">
        <f>IF(AN91&gt;=AQ91,"ok","ck")</f>
      </c>
      <c r="AT91" s="116">
        <f>-P91</f>
      </c>
      <c r="AU91" s="115">
        <f>IF(SUMIFS(AT:AT,AM:AM,AM91)&gt;AO91,(SUMIFS(AT:AT,AM:AM,AM91)-AO91))</f>
      </c>
      <c r="AV91" s="116">
        <v>1739</v>
      </c>
      <c r="AW91" s="121">
        <v>0.939</v>
      </c>
      <c r="AX91" s="115">
        <f>AN91-AP91</f>
      </c>
    </row>
    <row r="92" spans="1:50" ht="15" hidden="1" customHeight="1" x14ac:dyDescent="0.3">
      <c r="A92" s="94" t="s">
        <v>288</v>
      </c>
      <c r="B92" s="94"/>
      <c r="C92" s="94"/>
      <c r="D92" s="94"/>
      <c r="E92" s="94"/>
      <c r="F92" s="94"/>
      <c r="G92" s="112">
        <f>AU92</f>
      </c>
      <c r="H92" s="113"/>
      <c r="I92" s="94" t="s">
        <v>297</v>
      </c>
      <c r="J92" s="94" t="s">
        <v>298</v>
      </c>
      <c r="K92" s="114">
        <f>P92/3</f>
      </c>
      <c r="L92" s="115">
        <v>0</v>
      </c>
      <c r="M92" s="116"/>
      <c r="N92" s="117">
        <f>M92-L92</f>
      </c>
      <c r="O92" s="112"/>
      <c r="P92" s="118">
        <f>N92+O92</f>
      </c>
      <c r="Q92" s="94" t="s">
        <v>296</v>
      </c>
      <c r="R92" s="94" t="s">
        <v>63</v>
      </c>
      <c r="S92" s="119">
        <v>46340</v>
      </c>
      <c r="T92" s="119"/>
      <c r="U92" s="120">
        <v>46340</v>
      </c>
      <c r="V92" s="94"/>
      <c r="W92" s="94"/>
      <c r="X92" s="94"/>
      <c r="Y92" s="119">
        <v>46340</v>
      </c>
      <c r="Z92" s="94"/>
      <c r="AA92" s="120"/>
      <c r="AB92" s="120"/>
      <c r="AC92" s="120"/>
      <c r="AD92" s="120"/>
      <c r="AE92" s="120"/>
      <c r="AF92" s="120"/>
      <c r="AG92" s="94"/>
      <c r="AH92" s="120"/>
      <c r="AI92" s="94"/>
      <c r="AJ92" s="94" t="s">
        <v>479</v>
      </c>
      <c r="AK92" s="94" t="s">
        <v>300</v>
      </c>
      <c r="AL92" s="94">
        <v>190</v>
      </c>
      <c r="AM92" s="94" t="str">
        <f>TRIM(AJ92)&amp;TRIM(AL92)&amp;TRIM(AK92)</f>
      </c>
      <c r="AN92" s="116">
        <v>1739</v>
      </c>
      <c r="AO92" s="116">
        <v>112.59</v>
      </c>
      <c r="AP92" s="116">
        <f>SUMIFS(M:M,AM:AM,AM92)+SUMIFS(O:O,AM:AM,AM92)</f>
      </c>
      <c r="AQ92" s="116">
        <f>SUMIFS(L:L,AM:AM,AM92)</f>
      </c>
      <c r="AR92" s="116">
        <f>AQ92-AP92</f>
      </c>
      <c r="AS92" s="94" t="str">
        <f>IF(AN92&gt;=AQ92,"ok","ck")</f>
      </c>
      <c r="AT92" s="116">
        <f>-P92</f>
      </c>
      <c r="AU92" s="115">
        <f>IF(SUMIFS(AT:AT,AM:AM,AM92)&gt;AO92,(SUMIFS(AT:AT,AM:AM,AM92)-AO92))</f>
      </c>
      <c r="AV92" s="116">
        <v>1739</v>
      </c>
      <c r="AW92" s="121">
        <v>0.939</v>
      </c>
      <c r="AX92" s="115">
        <f>AN92-AP92</f>
      </c>
    </row>
    <row r="93" spans="1:50" ht="15" hidden="1" customHeight="1" x14ac:dyDescent="0.3">
      <c r="A93" s="94" t="s">
        <v>288</v>
      </c>
      <c r="B93" s="94"/>
      <c r="C93" s="94"/>
      <c r="D93" s="94"/>
      <c r="E93" s="94"/>
      <c r="F93" s="94"/>
      <c r="G93" s="112">
        <f>AU93</f>
      </c>
      <c r="H93" s="113"/>
      <c r="I93" s="94" t="s">
        <v>297</v>
      </c>
      <c r="J93" s="94" t="s">
        <v>301</v>
      </c>
      <c r="K93" s="114">
        <f>P93/3</f>
      </c>
      <c r="L93" s="115">
        <v>0</v>
      </c>
      <c r="M93" s="116"/>
      <c r="N93" s="117">
        <f>M93-L93</f>
      </c>
      <c r="O93" s="112"/>
      <c r="P93" s="118">
        <f>N93+O93</f>
      </c>
      <c r="Q93" s="94" t="s">
        <v>296</v>
      </c>
      <c r="R93" s="94" t="s">
        <v>63</v>
      </c>
      <c r="S93" s="119">
        <v>46320</v>
      </c>
      <c r="T93" s="119"/>
      <c r="U93" s="120">
        <v>46320</v>
      </c>
      <c r="V93" s="94"/>
      <c r="W93" s="94"/>
      <c r="X93" s="94"/>
      <c r="Y93" s="119">
        <v>46320</v>
      </c>
      <c r="Z93" s="94"/>
      <c r="AA93" s="120"/>
      <c r="AB93" s="120"/>
      <c r="AC93" s="120"/>
      <c r="AD93" s="120"/>
      <c r="AE93" s="120"/>
      <c r="AF93" s="120"/>
      <c r="AG93" s="94"/>
      <c r="AH93" s="120"/>
      <c r="AI93" s="94"/>
      <c r="AJ93" s="94" t="s">
        <v>479</v>
      </c>
      <c r="AK93" s="94" t="s">
        <v>302</v>
      </c>
      <c r="AL93" s="94">
        <v>190</v>
      </c>
      <c r="AM93" s="94" t="str">
        <f>TRIM(AJ93)&amp;TRIM(AL93)&amp;TRIM(AK93)</f>
      </c>
      <c r="AN93" s="116">
        <v>1657.82</v>
      </c>
      <c r="AO93" s="116">
        <v>193.77</v>
      </c>
      <c r="AP93" s="116">
        <f>SUMIFS(M:M,AM:AM,AM93)+SUMIFS(O:O,AM:AM,AM93)</f>
      </c>
      <c r="AQ93" s="116">
        <f>SUMIFS(L:L,AM:AM,AM93)</f>
      </c>
      <c r="AR93" s="116">
        <f>AQ93-AP93</f>
      </c>
      <c r="AS93" s="94" t="str">
        <f>IF(AN93&gt;=AQ93,"ok","ck")</f>
      </c>
      <c r="AT93" s="116">
        <f>-P93</f>
      </c>
      <c r="AU93" s="115">
        <f>IF(SUMIFS(AT:AT,AM:AM,AM93)&gt;AO93,(SUMIFS(AT:AT,AM:AM,AM93)-AO93))</f>
      </c>
      <c r="AV93" s="116">
        <v>1657.82</v>
      </c>
      <c r="AW93" s="121">
        <v>0.895</v>
      </c>
      <c r="AX93" s="115">
        <f>AN93-AP93</f>
      </c>
    </row>
    <row r="94" spans="1:50" ht="15" hidden="1" customHeight="1" x14ac:dyDescent="0.3">
      <c r="A94" s="94" t="s">
        <v>288</v>
      </c>
      <c r="B94" s="94"/>
      <c r="C94" s="94"/>
      <c r="D94" s="94"/>
      <c r="E94" s="94"/>
      <c r="F94" s="94"/>
      <c r="G94" s="112">
        <f>AU94</f>
      </c>
      <c r="H94" s="113"/>
      <c r="I94" s="94" t="s">
        <v>297</v>
      </c>
      <c r="J94" s="94" t="s">
        <v>301</v>
      </c>
      <c r="K94" s="114">
        <f>P94/3</f>
      </c>
      <c r="L94" s="115">
        <v>0</v>
      </c>
      <c r="M94" s="116"/>
      <c r="N94" s="117">
        <f>M94-L94</f>
      </c>
      <c r="O94" s="112"/>
      <c r="P94" s="118">
        <f>N94+O94</f>
      </c>
      <c r="Q94" s="94" t="s">
        <v>296</v>
      </c>
      <c r="R94" s="94" t="s">
        <v>63</v>
      </c>
      <c r="S94" s="119">
        <v>46322</v>
      </c>
      <c r="T94" s="119"/>
      <c r="U94" s="120">
        <v>46322</v>
      </c>
      <c r="V94" s="94"/>
      <c r="W94" s="94"/>
      <c r="X94" s="94"/>
      <c r="Y94" s="119">
        <v>46322</v>
      </c>
      <c r="Z94" s="94"/>
      <c r="AA94" s="120"/>
      <c r="AB94" s="120"/>
      <c r="AC94" s="120"/>
      <c r="AD94" s="120"/>
      <c r="AE94" s="120"/>
      <c r="AF94" s="120"/>
      <c r="AG94" s="94"/>
      <c r="AH94" s="120"/>
      <c r="AI94" s="94"/>
      <c r="AJ94" s="94" t="s">
        <v>479</v>
      </c>
      <c r="AK94" s="94" t="s">
        <v>302</v>
      </c>
      <c r="AL94" s="94">
        <v>190</v>
      </c>
      <c r="AM94" s="94" t="str">
        <f>TRIM(AJ94)&amp;TRIM(AL94)&amp;TRIM(AK94)</f>
      </c>
      <c r="AN94" s="116">
        <v>1657.82</v>
      </c>
      <c r="AO94" s="116">
        <v>193.77</v>
      </c>
      <c r="AP94" s="116">
        <f>SUMIFS(M:M,AM:AM,AM94)+SUMIFS(O:O,AM:AM,AM94)</f>
      </c>
      <c r="AQ94" s="116">
        <f>SUMIFS(L:L,AM:AM,AM94)</f>
      </c>
      <c r="AR94" s="116">
        <f>AQ94-AP94</f>
      </c>
      <c r="AS94" s="94" t="str">
        <f>IF(AN94&gt;=AQ94,"ok","ck")</f>
      </c>
      <c r="AT94" s="116">
        <f>-P94</f>
      </c>
      <c r="AU94" s="115">
        <f>IF(SUMIFS(AT:AT,AM:AM,AM94)&gt;AO94,(SUMIFS(AT:AT,AM:AM,AM94)-AO94))</f>
      </c>
      <c r="AV94" s="116">
        <v>1657.82</v>
      </c>
      <c r="AW94" s="121">
        <v>0.895</v>
      </c>
      <c r="AX94" s="115">
        <f>AN94-AP94</f>
      </c>
    </row>
    <row r="95" spans="1:50" ht="15" hidden="1" customHeight="1" x14ac:dyDescent="0.3">
      <c r="A95" s="94" t="s">
        <v>60</v>
      </c>
      <c r="B95" s="94"/>
      <c r="C95" s="94"/>
      <c r="D95" s="94"/>
      <c r="E95" s="94"/>
      <c r="F95" s="94"/>
      <c r="G95" s="112">
        <f>AU95</f>
      </c>
      <c r="H95" s="113"/>
      <c r="I95" s="94" t="s">
        <v>65</v>
      </c>
      <c r="J95" s="94" t="s">
        <v>504</v>
      </c>
      <c r="K95" s="114">
        <f>P95/3</f>
      </c>
      <c r="L95" s="115">
        <v>82.983999999999995</v>
      </c>
      <c r="M95" s="116"/>
      <c r="N95" s="117">
        <f>M95-L95</f>
      </c>
      <c r="O95" s="112"/>
      <c r="P95" s="118">
        <f>N95+O95</f>
      </c>
      <c r="Q95" s="94" t="s">
        <v>785</v>
      </c>
      <c r="R95" s="94" t="s">
        <v>63</v>
      </c>
      <c r="S95" s="119">
        <v>46337</v>
      </c>
      <c r="T95" s="119"/>
      <c r="U95" s="120">
        <v>46337</v>
      </c>
      <c r="V95" s="94"/>
      <c r="W95" s="94"/>
      <c r="X95" s="94"/>
      <c r="Y95" s="119">
        <v>46330</v>
      </c>
      <c r="Z95" s="94"/>
      <c r="AA95" s="120"/>
      <c r="AB95" s="120"/>
      <c r="AC95" s="120"/>
      <c r="AD95" s="120"/>
      <c r="AE95" s="120"/>
      <c r="AF95" s="120"/>
      <c r="AG95" s="94"/>
      <c r="AH95" s="120"/>
      <c r="AI95" s="94"/>
      <c r="AJ95" s="94" t="s">
        <v>785</v>
      </c>
      <c r="AK95" s="94" t="s">
        <v>698</v>
      </c>
      <c r="AL95" s="94">
        <v>110</v>
      </c>
      <c r="AM95" s="94" t="str">
        <f>TRIM(AJ95)&amp;TRIM(AL95)&amp;TRIM(AK95)</f>
      </c>
      <c r="AN95" s="116">
        <v>0</v>
      </c>
      <c r="AO95" s="116" t="inlineStr">
        <is>
          <t>#NA</t>
        </is>
      </c>
      <c r="AP95" s="116">
        <f>SUMIFS(M:M,AM:AM,AM95)+SUMIFS(O:O,AM:AM,AM95)</f>
      </c>
      <c r="AQ95" s="116">
        <f>SUMIFS(L:L,AM:AM,AM95)</f>
      </c>
      <c r="AR95" s="116">
        <f>AQ95-AP95</f>
      </c>
      <c r="AS95" s="94" t="str">
        <f>IF(AN95&gt;=AQ95,"ok","ck")</f>
      </c>
      <c r="AT95" s="116">
        <f>-P95</f>
      </c>
      <c r="AU95" s="115">
        <f>IF(SUMIFS(AT:AT,AM:AM,AM95)&gt;AO95,(SUMIFS(AT:AT,AM:AM,AM95)-AO95))</f>
      </c>
      <c r="AV95" s="116">
        <v>0</v>
      </c>
      <c r="AW95" s="121">
        <v>0</v>
      </c>
      <c r="AX95" s="115">
        <f>AN95-AP95</f>
      </c>
    </row>
    <row r="96" spans="1:50" ht="15" hidden="1" customHeight="1" x14ac:dyDescent="0.3">
      <c r="A96" s="94" t="s">
        <v>60</v>
      </c>
      <c r="B96" s="94"/>
      <c r="C96" s="94"/>
      <c r="D96" s="94"/>
      <c r="E96" s="94"/>
      <c r="F96" s="94"/>
      <c r="G96" s="112">
        <f>AU96</f>
      </c>
      <c r="H96" s="113"/>
      <c r="I96" s="94" t="s">
        <v>482</v>
      </c>
      <c r="J96" s="94" t="s">
        <v>159</v>
      </c>
      <c r="K96" s="114">
        <f>P96/3</f>
      </c>
      <c r="L96" s="115">
        <v>-0.17599999999999999</v>
      </c>
      <c r="M96" s="116">
        <f>L96</f>
      </c>
      <c r="N96" s="117">
        <f>M96-L96</f>
      </c>
      <c r="O96" s="112"/>
      <c r="P96" s="118">
        <f>N96+O96</f>
      </c>
      <c r="Q96" s="94" t="s">
        <v>786</v>
      </c>
      <c r="R96" s="94" t="s">
        <v>63</v>
      </c>
      <c r="S96" s="119">
        <v>46341</v>
      </c>
      <c r="T96" s="119"/>
      <c r="U96" s="120">
        <v>46341</v>
      </c>
      <c r="V96" s="94"/>
      <c r="W96" s="94"/>
      <c r="X96" s="94"/>
      <c r="Y96" s="119">
        <v>46341</v>
      </c>
      <c r="Z96" s="94"/>
      <c r="AA96" s="120"/>
      <c r="AB96" s="120"/>
      <c r="AC96" s="120"/>
      <c r="AD96" s="120"/>
      <c r="AE96" s="120"/>
      <c r="AF96" s="120"/>
      <c r="AG96" s="94"/>
      <c r="AH96" s="120"/>
      <c r="AI96" s="94"/>
      <c r="AJ96" s="94" t="s">
        <v>786</v>
      </c>
      <c r="AK96" s="94" t="s">
        <v>159</v>
      </c>
      <c r="AL96" s="94">
        <v>110</v>
      </c>
      <c r="AM96" s="94" t="str">
        <f>TRIM(AJ96)&amp;TRIM(AL96)&amp;TRIM(AK96)</f>
      </c>
      <c r="AN96" s="116">
        <v>65</v>
      </c>
      <c r="AO96" s="116">
        <v>-1</v>
      </c>
      <c r="AP96" s="116">
        <f>SUMIFS(M:M,AM:AM,AM96)+SUMIFS(O:O,AM:AM,AM96)</f>
      </c>
      <c r="AQ96" s="116">
        <f>SUMIFS(L:L,AM:AM,AM96)</f>
      </c>
      <c r="AR96" s="116">
        <f>AQ96-AP96</f>
      </c>
      <c r="AS96" s="94" t="str">
        <f>IF(AN96&gt;=AQ96,"ok","ck")</f>
      </c>
      <c r="AT96" s="116">
        <f>-P96</f>
      </c>
      <c r="AU96" s="115">
        <f>IF(SUMIFS(AT:AT,AM:AM,AM96)&gt;AO96,(SUMIFS(AT:AT,AM:AM,AM96)-AO96))</f>
      </c>
      <c r="AV96" s="116">
        <v>65</v>
      </c>
      <c r="AW96" s="121">
        <v>1.016</v>
      </c>
      <c r="AX96" s="115">
        <f>AN96-AP96</f>
      </c>
    </row>
    <row r="97" spans="1:50" ht="15" hidden="1" customHeight="1" x14ac:dyDescent="0.3">
      <c r="A97" s="94" t="s">
        <v>60</v>
      </c>
      <c r="B97" s="94"/>
      <c r="C97" s="94"/>
      <c r="D97" s="94"/>
      <c r="E97" s="94"/>
      <c r="F97" s="94"/>
      <c r="G97" s="112">
        <f>AU97</f>
      </c>
      <c r="H97" s="113"/>
      <c r="I97" s="94" t="s">
        <v>482</v>
      </c>
      <c r="J97" s="94" t="s">
        <v>159</v>
      </c>
      <c r="K97" s="114">
        <f>P97/3</f>
      </c>
      <c r="L97" s="115">
        <v>-7.0000000000000001E-3</v>
      </c>
      <c r="M97" s="116">
        <f>L97</f>
      </c>
      <c r="N97" s="117">
        <f>M97-L97</f>
      </c>
      <c r="O97" s="112"/>
      <c r="P97" s="118">
        <f>N97+O97</f>
      </c>
      <c r="Q97" s="94" t="s">
        <v>786</v>
      </c>
      <c r="R97" s="94" t="s">
        <v>63</v>
      </c>
      <c r="S97" s="119">
        <v>46338</v>
      </c>
      <c r="T97" s="119"/>
      <c r="U97" s="120">
        <v>46338</v>
      </c>
      <c r="V97" s="94"/>
      <c r="W97" s="94"/>
      <c r="X97" s="94"/>
      <c r="Y97" s="119">
        <v>46338</v>
      </c>
      <c r="Z97" s="94"/>
      <c r="AA97" s="120"/>
      <c r="AB97" s="120"/>
      <c r="AC97" s="120"/>
      <c r="AD97" s="120"/>
      <c r="AE97" s="120"/>
      <c r="AF97" s="120"/>
      <c r="AG97" s="94"/>
      <c r="AH97" s="120"/>
      <c r="AI97" s="94"/>
      <c r="AJ97" s="94" t="s">
        <v>786</v>
      </c>
      <c r="AK97" s="94" t="s">
        <v>159</v>
      </c>
      <c r="AL97" s="94">
        <v>110</v>
      </c>
      <c r="AM97" s="94" t="str">
        <f>TRIM(AJ97)&amp;TRIM(AL97)&amp;TRIM(AK97)</f>
      </c>
      <c r="AN97" s="116">
        <v>65</v>
      </c>
      <c r="AO97" s="116">
        <v>-1</v>
      </c>
      <c r="AP97" s="116">
        <f>SUMIFS(M:M,AM:AM,AM97)+SUMIFS(O:O,AM:AM,AM97)</f>
      </c>
      <c r="AQ97" s="116">
        <f>SUMIFS(L:L,AM:AM,AM97)</f>
      </c>
      <c r="AR97" s="116">
        <f>AQ97-AP97</f>
      </c>
      <c r="AS97" s="94" t="str">
        <f>IF(AN97&gt;=AQ97,"ok","ck")</f>
      </c>
      <c r="AT97" s="116">
        <f>-P97</f>
      </c>
      <c r="AU97" s="115">
        <f>IF(SUMIFS(AT:AT,AM:AM,AM97)&gt;AO97,(SUMIFS(AT:AT,AM:AM,AM97)-AO97))</f>
      </c>
      <c r="AV97" s="116">
        <v>65</v>
      </c>
      <c r="AW97" s="121">
        <v>1.016</v>
      </c>
      <c r="AX97" s="115">
        <f>AN97-AP97</f>
      </c>
    </row>
    <row r="98" spans="1:50" ht="15" hidden="1" customHeight="1" x14ac:dyDescent="0.3">
      <c r="A98" s="94" t="s">
        <v>60</v>
      </c>
      <c r="B98" s="94"/>
      <c r="C98" s="94"/>
      <c r="D98" s="94"/>
      <c r="E98" s="94"/>
      <c r="F98" s="94"/>
      <c r="G98" s="112">
        <f>AU98</f>
      </c>
      <c r="H98" s="113"/>
      <c r="I98" s="94" t="s">
        <v>482</v>
      </c>
      <c r="J98" s="94" t="s">
        <v>499</v>
      </c>
      <c r="K98" s="114">
        <f>P98/3</f>
      </c>
      <c r="L98" s="115">
        <v>-0.222</v>
      </c>
      <c r="M98" s="116">
        <f>L98</f>
      </c>
      <c r="N98" s="117">
        <f>M98-L98</f>
      </c>
      <c r="O98" s="112"/>
      <c r="P98" s="118">
        <f>N98+O98</f>
      </c>
      <c r="Q98" s="94" t="s">
        <v>786</v>
      </c>
      <c r="R98" s="94" t="s">
        <v>63</v>
      </c>
      <c r="S98" s="119">
        <v>46336</v>
      </c>
      <c r="T98" s="119"/>
      <c r="U98" s="120">
        <v>46336</v>
      </c>
      <c r="V98" s="94"/>
      <c r="W98" s="94"/>
      <c r="X98" s="94"/>
      <c r="Y98" s="119">
        <v>46336</v>
      </c>
      <c r="Z98" s="94"/>
      <c r="AA98" s="120"/>
      <c r="AB98" s="120"/>
      <c r="AC98" s="120"/>
      <c r="AD98" s="120"/>
      <c r="AE98" s="120"/>
      <c r="AF98" s="120"/>
      <c r="AG98" s="94"/>
      <c r="AH98" s="120"/>
      <c r="AI98" s="94"/>
      <c r="AJ98" s="94" t="s">
        <v>786</v>
      </c>
      <c r="AK98" s="94" t="s">
        <v>693</v>
      </c>
      <c r="AL98" s="94">
        <v>110</v>
      </c>
      <c r="AM98" s="94" t="str">
        <f>TRIM(AJ98)&amp;TRIM(AL98)&amp;TRIM(AK98)</f>
      </c>
      <c r="AN98" s="116">
        <v>64</v>
      </c>
      <c r="AO98" s="116">
        <v>0</v>
      </c>
      <c r="AP98" s="116">
        <f>SUMIFS(M:M,AM:AM,AM98)+SUMIFS(O:O,AM:AM,AM98)</f>
      </c>
      <c r="AQ98" s="116">
        <f>SUMIFS(L:L,AM:AM,AM98)</f>
      </c>
      <c r="AR98" s="116">
        <f>AQ98-AP98</f>
      </c>
      <c r="AS98" s="94" t="str">
        <f>IF(AN98&gt;=AQ98,"ok","ck")</f>
      </c>
      <c r="AT98" s="116">
        <f>-P98</f>
      </c>
      <c r="AU98" s="115">
        <f>IF(SUMIFS(AT:AT,AM:AM,AM98)&gt;AO98,(SUMIFS(AT:AT,AM:AM,AM98)-AO98))</f>
      </c>
      <c r="AV98" s="116">
        <v>64</v>
      </c>
      <c r="AW98" s="121">
        <v>1</v>
      </c>
      <c r="AX98" s="115">
        <f>AN98-AP98</f>
      </c>
    </row>
    <row r="99" spans="1:50" ht="15" hidden="1" customHeight="1" x14ac:dyDescent="0.3">
      <c r="A99" s="94" t="s">
        <v>60</v>
      </c>
      <c r="B99" s="94"/>
      <c r="C99" s="94"/>
      <c r="D99" s="94"/>
      <c r="E99" s="94"/>
      <c r="F99" s="94"/>
      <c r="G99" s="112">
        <f>AU99</f>
      </c>
      <c r="H99" s="113"/>
      <c r="I99" s="94" t="s">
        <v>482</v>
      </c>
      <c r="J99" s="94" t="s">
        <v>499</v>
      </c>
      <c r="K99" s="114">
        <f>P99/3</f>
      </c>
      <c r="L99" s="115">
        <v>-0.10199999999999999</v>
      </c>
      <c r="M99" s="116">
        <f>L99</f>
      </c>
      <c r="N99" s="117">
        <f>M99-L99</f>
      </c>
      <c r="O99" s="112"/>
      <c r="P99" s="118">
        <f>N99+O99</f>
      </c>
      <c r="Q99" s="94" t="s">
        <v>786</v>
      </c>
      <c r="R99" s="94" t="s">
        <v>63</v>
      </c>
      <c r="S99" s="119">
        <v>46341</v>
      </c>
      <c r="T99" s="119"/>
      <c r="U99" s="120">
        <v>46341</v>
      </c>
      <c r="V99" s="94"/>
      <c r="W99" s="94"/>
      <c r="X99" s="94"/>
      <c r="Y99" s="119">
        <v>46341</v>
      </c>
      <c r="Z99" s="94"/>
      <c r="AA99" s="120"/>
      <c r="AB99" s="120"/>
      <c r="AC99" s="120"/>
      <c r="AD99" s="120"/>
      <c r="AE99" s="120"/>
      <c r="AF99" s="120"/>
      <c r="AG99" s="94"/>
      <c r="AH99" s="120"/>
      <c r="AI99" s="94"/>
      <c r="AJ99" s="94" t="s">
        <v>786</v>
      </c>
      <c r="AK99" s="94" t="s">
        <v>693</v>
      </c>
      <c r="AL99" s="94">
        <v>110</v>
      </c>
      <c r="AM99" s="94" t="str">
        <f>TRIM(AJ99)&amp;TRIM(AL99)&amp;TRIM(AK99)</f>
      </c>
      <c r="AN99" s="116">
        <v>64</v>
      </c>
      <c r="AO99" s="116">
        <v>0</v>
      </c>
      <c r="AP99" s="116">
        <f>SUMIFS(M:M,AM:AM,AM99)+SUMIFS(O:O,AM:AM,AM99)</f>
      </c>
      <c r="AQ99" s="116">
        <f>SUMIFS(L:L,AM:AM,AM99)</f>
      </c>
      <c r="AR99" s="116">
        <f>AQ99-AP99</f>
      </c>
      <c r="AS99" s="94" t="str">
        <f>IF(AN99&gt;=AQ99,"ok","ck")</f>
      </c>
      <c r="AT99" s="116">
        <f>-P99</f>
      </c>
      <c r="AU99" s="115">
        <f>IF(SUMIFS(AT:AT,AM:AM,AM99)&gt;AO99,(SUMIFS(AT:AT,AM:AM,AM99)-AO99))</f>
      </c>
      <c r="AV99" s="116">
        <v>64</v>
      </c>
      <c r="AW99" s="121">
        <v>1</v>
      </c>
      <c r="AX99" s="115">
        <f>AN99-AP99</f>
      </c>
    </row>
    <row r="100" spans="1:50" ht="15" hidden="1" customHeight="1" x14ac:dyDescent="0.3">
      <c r="A100" s="94" t="s">
        <v>60</v>
      </c>
      <c r="B100" s="94"/>
      <c r="C100" s="94"/>
      <c r="D100" s="94"/>
      <c r="E100" s="94"/>
      <c r="F100" s="94"/>
      <c r="G100" s="112">
        <f>AU100</f>
      </c>
      <c r="H100" s="113"/>
      <c r="I100" s="94" t="s">
        <v>482</v>
      </c>
      <c r="J100" s="94" t="s">
        <v>499</v>
      </c>
      <c r="K100" s="114">
        <f>P100/3</f>
      </c>
      <c r="L100" s="115">
        <v>-4.0000000000000001E-3</v>
      </c>
      <c r="M100" s="116">
        <f>L100</f>
      </c>
      <c r="N100" s="117">
        <f>M100-L100</f>
      </c>
      <c r="O100" s="112"/>
      <c r="P100" s="118">
        <f>N100+O100</f>
      </c>
      <c r="Q100" s="94" t="s">
        <v>786</v>
      </c>
      <c r="R100" s="94" t="s">
        <v>63</v>
      </c>
      <c r="S100" s="119">
        <v>46338</v>
      </c>
      <c r="T100" s="119"/>
      <c r="U100" s="120">
        <v>46338</v>
      </c>
      <c r="V100" s="94"/>
      <c r="W100" s="94"/>
      <c r="X100" s="94"/>
      <c r="Y100" s="119">
        <v>46338</v>
      </c>
      <c r="Z100" s="94"/>
      <c r="AA100" s="120"/>
      <c r="AB100" s="120"/>
      <c r="AC100" s="120"/>
      <c r="AD100" s="120"/>
      <c r="AE100" s="120"/>
      <c r="AF100" s="120"/>
      <c r="AG100" s="94"/>
      <c r="AH100" s="120"/>
      <c r="AI100" s="94"/>
      <c r="AJ100" s="94" t="s">
        <v>786</v>
      </c>
      <c r="AK100" s="94" t="s">
        <v>693</v>
      </c>
      <c r="AL100" s="94">
        <v>110</v>
      </c>
      <c r="AM100" s="94" t="str">
        <f>TRIM(AJ100)&amp;TRIM(AL100)&amp;TRIM(AK100)</f>
      </c>
      <c r="AN100" s="116">
        <v>64</v>
      </c>
      <c r="AO100" s="116">
        <v>0</v>
      </c>
      <c r="AP100" s="116">
        <f>SUMIFS(M:M,AM:AM,AM100)+SUMIFS(O:O,AM:AM,AM100)</f>
      </c>
      <c r="AQ100" s="116">
        <f>SUMIFS(L:L,AM:AM,AM100)</f>
      </c>
      <c r="AR100" s="116">
        <f>AQ100-AP100</f>
      </c>
      <c r="AS100" s="94" t="str">
        <f>IF(AN100&gt;=AQ100,"ok","ck")</f>
      </c>
      <c r="AT100" s="116">
        <f>-P100</f>
      </c>
      <c r="AU100" s="115">
        <f>IF(SUMIFS(AT:AT,AM:AM,AM100)&gt;AO100,(SUMIFS(AT:AT,AM:AM,AM100)-AO100))</f>
      </c>
      <c r="AV100" s="116">
        <v>64</v>
      </c>
      <c r="AW100" s="121">
        <v>1</v>
      </c>
      <c r="AX100" s="115">
        <f>AN100-AP100</f>
      </c>
    </row>
    <row r="101" spans="1:50" ht="15" hidden="1" customHeight="1" x14ac:dyDescent="0.3">
      <c r="A101" s="94" t="s">
        <v>60</v>
      </c>
      <c r="B101" s="94"/>
      <c r="C101" s="94"/>
      <c r="D101" s="94"/>
      <c r="E101" s="94"/>
      <c r="F101" s="94"/>
      <c r="G101" s="112">
        <f>AU101</f>
      </c>
      <c r="H101" s="113"/>
      <c r="I101" s="94" t="s">
        <v>482</v>
      </c>
      <c r="J101" s="94" t="s">
        <v>498</v>
      </c>
      <c r="K101" s="114">
        <f>P101/3</f>
      </c>
      <c r="L101" s="115">
        <v>28.875</v>
      </c>
      <c r="M101" s="116">
        <f>L101</f>
      </c>
      <c r="N101" s="117">
        <f>M101-L101</f>
      </c>
      <c r="O101" s="112"/>
      <c r="P101" s="118">
        <f>N101+O101</f>
      </c>
      <c r="Q101" s="94" t="s">
        <v>786</v>
      </c>
      <c r="R101" s="94" t="s">
        <v>63</v>
      </c>
      <c r="S101" s="119">
        <v>46335</v>
      </c>
      <c r="T101" s="119"/>
      <c r="U101" s="120">
        <v>46335</v>
      </c>
      <c r="V101" s="94"/>
      <c r="W101" s="94"/>
      <c r="X101" s="94"/>
      <c r="Y101" s="119">
        <v>46335</v>
      </c>
      <c r="Z101" s="94"/>
      <c r="AA101" s="120"/>
      <c r="AB101" s="120"/>
      <c r="AC101" s="120"/>
      <c r="AD101" s="120"/>
      <c r="AE101" s="120"/>
      <c r="AF101" s="120"/>
      <c r="AG101" s="94"/>
      <c r="AH101" s="120"/>
      <c r="AI101" s="94"/>
      <c r="AJ101" s="94" t="s">
        <v>786</v>
      </c>
      <c r="AK101" s="94" t="s">
        <v>691</v>
      </c>
      <c r="AL101" s="94">
        <v>110</v>
      </c>
      <c r="AM101" s="94" t="str">
        <f>TRIM(AJ101)&amp;TRIM(AL101)&amp;TRIM(AK101)</f>
      </c>
      <c r="AN101" s="116">
        <v>101</v>
      </c>
      <c r="AO101" s="116">
        <v>-25.02</v>
      </c>
      <c r="AP101" s="116">
        <f>SUMIFS(M:M,AM:AM,AM101)+SUMIFS(O:O,AM:AM,AM101)</f>
      </c>
      <c r="AQ101" s="116">
        <f>SUMIFS(L:L,AM:AM,AM101)</f>
      </c>
      <c r="AR101" s="116">
        <f>AQ101-AP101</f>
      </c>
      <c r="AS101" s="94" t="str">
        <f>IF(AN101&gt;=AQ101,"ok","ck")</f>
      </c>
      <c r="AT101" s="116">
        <f>-P101</f>
      </c>
      <c r="AU101" s="115">
        <f>IF(SUMIFS(AT:AT,AM:AM,AM101)&gt;AO101,(SUMIFS(AT:AT,AM:AM,AM101)-AO101))</f>
      </c>
      <c r="AV101" s="116">
        <v>101</v>
      </c>
      <c r="AW101" s="121">
        <v>1.329</v>
      </c>
      <c r="AX101" s="115">
        <f>AN101-AP101</f>
      </c>
    </row>
    <row r="102" spans="1:50" ht="15" hidden="1" customHeight="1" x14ac:dyDescent="0.3">
      <c r="A102" s="94" t="s">
        <v>60</v>
      </c>
      <c r="B102" s="94"/>
      <c r="C102" s="94"/>
      <c r="D102" s="94"/>
      <c r="E102" s="94"/>
      <c r="F102" s="94"/>
      <c r="G102" s="112">
        <f>AU102</f>
      </c>
      <c r="H102" s="113"/>
      <c r="I102" s="94" t="s">
        <v>482</v>
      </c>
      <c r="J102" s="94" t="s">
        <v>498</v>
      </c>
      <c r="K102" s="114">
        <f>P102/3</f>
      </c>
      <c r="L102" s="115">
        <v>16.058</v>
      </c>
      <c r="M102" s="116">
        <f>L102</f>
      </c>
      <c r="N102" s="117">
        <f>M102-L102</f>
      </c>
      <c r="O102" s="112"/>
      <c r="P102" s="118">
        <f>N102+O102</f>
      </c>
      <c r="Q102" s="94" t="s">
        <v>786</v>
      </c>
      <c r="R102" s="94" t="s">
        <v>63</v>
      </c>
      <c r="S102" s="119">
        <v>46340</v>
      </c>
      <c r="T102" s="119"/>
      <c r="U102" s="120">
        <v>46340</v>
      </c>
      <c r="V102" s="94"/>
      <c r="W102" s="94"/>
      <c r="X102" s="94"/>
      <c r="Y102" s="119">
        <v>46340</v>
      </c>
      <c r="Z102" s="94"/>
      <c r="AA102" s="120"/>
      <c r="AB102" s="120"/>
      <c r="AC102" s="120"/>
      <c r="AD102" s="120"/>
      <c r="AE102" s="120"/>
      <c r="AF102" s="120"/>
      <c r="AG102" s="94"/>
      <c r="AH102" s="120"/>
      <c r="AI102" s="94"/>
      <c r="AJ102" s="94" t="s">
        <v>786</v>
      </c>
      <c r="AK102" s="94" t="s">
        <v>691</v>
      </c>
      <c r="AL102" s="94">
        <v>110</v>
      </c>
      <c r="AM102" s="94" t="str">
        <f>TRIM(AJ102)&amp;TRIM(AL102)&amp;TRIM(AK102)</f>
      </c>
      <c r="AN102" s="116">
        <v>101</v>
      </c>
      <c r="AO102" s="116">
        <v>-25.02</v>
      </c>
      <c r="AP102" s="116">
        <f>SUMIFS(M:M,AM:AM,AM102)+SUMIFS(O:O,AM:AM,AM102)</f>
      </c>
      <c r="AQ102" s="116">
        <f>SUMIFS(L:L,AM:AM,AM102)</f>
      </c>
      <c r="AR102" s="116">
        <f>AQ102-AP102</f>
      </c>
      <c r="AS102" s="94" t="str">
        <f>IF(AN102&gt;=AQ102,"ok","ck")</f>
      </c>
      <c r="AT102" s="116">
        <f>-P102</f>
      </c>
      <c r="AU102" s="115">
        <f>IF(SUMIFS(AT:AT,AM:AM,AM102)&gt;AO102,(SUMIFS(AT:AT,AM:AM,AM102)-AO102))</f>
      </c>
      <c r="AV102" s="116">
        <v>101</v>
      </c>
      <c r="AW102" s="121">
        <v>1.329</v>
      </c>
      <c r="AX102" s="115">
        <f>AN102-AP102</f>
      </c>
    </row>
    <row r="103" spans="1:50" ht="15" hidden="1" customHeight="1" x14ac:dyDescent="0.3">
      <c r="A103" s="94" t="s">
        <v>60</v>
      </c>
      <c r="B103" s="94"/>
      <c r="C103" s="94"/>
      <c r="D103" s="94"/>
      <c r="E103" s="94"/>
      <c r="F103" s="94"/>
      <c r="G103" s="112">
        <f>AU103</f>
      </c>
      <c r="H103" s="113"/>
      <c r="I103" s="94" t="s">
        <v>482</v>
      </c>
      <c r="J103" s="94" t="s">
        <v>498</v>
      </c>
      <c r="K103" s="114">
        <f>P103/3</f>
      </c>
      <c r="L103" s="115">
        <v>0.58899999999999997</v>
      </c>
      <c r="M103" s="116">
        <f>L103</f>
      </c>
      <c r="N103" s="117">
        <f>M103-L103</f>
      </c>
      <c r="O103" s="112"/>
      <c r="P103" s="118">
        <f>N103+O103</f>
      </c>
      <c r="Q103" s="94" t="s">
        <v>786</v>
      </c>
      <c r="R103" s="94" t="s">
        <v>63</v>
      </c>
      <c r="S103" s="119">
        <v>46336</v>
      </c>
      <c r="T103" s="119"/>
      <c r="U103" s="120">
        <v>46336</v>
      </c>
      <c r="V103" s="94"/>
      <c r="W103" s="94"/>
      <c r="X103" s="94"/>
      <c r="Y103" s="119">
        <v>46336</v>
      </c>
      <c r="Z103" s="94"/>
      <c r="AA103" s="120"/>
      <c r="AB103" s="120"/>
      <c r="AC103" s="120"/>
      <c r="AD103" s="120"/>
      <c r="AE103" s="120"/>
      <c r="AF103" s="120"/>
      <c r="AG103" s="94"/>
      <c r="AH103" s="120"/>
      <c r="AI103" s="94"/>
      <c r="AJ103" s="94" t="s">
        <v>786</v>
      </c>
      <c r="AK103" s="94" t="s">
        <v>691</v>
      </c>
      <c r="AL103" s="94">
        <v>110</v>
      </c>
      <c r="AM103" s="94" t="str">
        <f>TRIM(AJ103)&amp;TRIM(AL103)&amp;TRIM(AK103)</f>
      </c>
      <c r="AN103" s="116">
        <v>101</v>
      </c>
      <c r="AO103" s="116">
        <v>-25.02</v>
      </c>
      <c r="AP103" s="116">
        <f>SUMIFS(M:M,AM:AM,AM103)+SUMIFS(O:O,AM:AM,AM103)</f>
      </c>
      <c r="AQ103" s="116">
        <f>SUMIFS(L:L,AM:AM,AM103)</f>
      </c>
      <c r="AR103" s="116">
        <f>AQ103-AP103</f>
      </c>
      <c r="AS103" s="94" t="str">
        <f>IF(AN103&gt;=AQ103,"ok","ck")</f>
      </c>
      <c r="AT103" s="116">
        <f>-P103</f>
      </c>
      <c r="AU103" s="115">
        <f>IF(SUMIFS(AT:AT,AM:AM,AM103)&gt;AO103,(SUMIFS(AT:AT,AM:AM,AM103)-AO103))</f>
      </c>
      <c r="AV103" s="116">
        <v>101</v>
      </c>
      <c r="AW103" s="121">
        <v>1.329</v>
      </c>
      <c r="AX103" s="115">
        <f>AN103-AP103</f>
      </c>
    </row>
    <row r="104" spans="1:50" ht="15" hidden="1" customHeight="1" x14ac:dyDescent="0.3">
      <c r="A104" s="94" t="s">
        <v>60</v>
      </c>
      <c r="B104" s="94"/>
      <c r="C104" s="94"/>
      <c r="D104" s="94"/>
      <c r="E104" s="94"/>
      <c r="F104" s="94"/>
      <c r="G104" s="112">
        <f>AU104</f>
      </c>
      <c r="H104" s="113"/>
      <c r="I104" s="94" t="s">
        <v>70</v>
      </c>
      <c r="J104" s="94" t="s">
        <v>71</v>
      </c>
      <c r="K104" s="114">
        <f>P104/3</f>
      </c>
      <c r="L104" s="115">
        <v>0</v>
      </c>
      <c r="M104" s="116">
        <f>L104</f>
      </c>
      <c r="N104" s="117">
        <f>M104-L104</f>
      </c>
      <c r="O104" s="112"/>
      <c r="P104" s="118">
        <f>N104+O104</f>
      </c>
      <c r="Q104" s="94" t="s">
        <v>117</v>
      </c>
      <c r="R104" s="94" t="s">
        <v>63</v>
      </c>
      <c r="S104" s="119">
        <v>46320</v>
      </c>
      <c r="T104" s="119"/>
      <c r="U104" s="120">
        <v>46320</v>
      </c>
      <c r="V104" s="94"/>
      <c r="W104" s="94"/>
      <c r="X104" s="94"/>
      <c r="Y104" s="119">
        <v>46320</v>
      </c>
      <c r="Z104" s="94"/>
      <c r="AA104" s="120"/>
      <c r="AB104" s="120"/>
      <c r="AC104" s="120"/>
      <c r="AD104" s="120"/>
      <c r="AE104" s="120"/>
      <c r="AF104" s="120"/>
      <c r="AG104" s="94"/>
      <c r="AH104" s="120"/>
      <c r="AI104" s="94"/>
      <c r="AJ104" s="94" t="s">
        <v>117</v>
      </c>
      <c r="AK104" s="94" t="s">
        <v>71</v>
      </c>
      <c r="AL104" s="94">
        <v>140</v>
      </c>
      <c r="AM104" s="94" t="str">
        <f>TRIM(AJ104)&amp;TRIM(AL104)&amp;TRIM(AK104)</f>
      </c>
      <c r="AN104" s="116">
        <v>43254</v>
      </c>
      <c r="AO104" s="116">
        <v>-156</v>
      </c>
      <c r="AP104" s="116">
        <f>SUMIFS(M:M,AM:AM,AM104)+SUMIFS(O:O,AM:AM,AM104)</f>
      </c>
      <c r="AQ104" s="116">
        <f>SUMIFS(L:L,AM:AM,AM104)</f>
      </c>
      <c r="AR104" s="116">
        <f>AQ104-AP104</f>
      </c>
      <c r="AS104" s="94" t="str">
        <f>IF(AN104&gt;=AQ104,"ok","ck")</f>
      </c>
      <c r="AT104" s="116">
        <f>-P104</f>
      </c>
      <c r="AU104" s="115">
        <f>IF(SUMIFS(AT:AT,AM:AM,AM104)&gt;AO104,(SUMIFS(AT:AT,AM:AM,AM104)-AO104))</f>
      </c>
      <c r="AV104" s="116">
        <v>43254</v>
      </c>
      <c r="AW104" s="121">
        <v>1.004</v>
      </c>
      <c r="AX104" s="115">
        <f>AN104-AP104</f>
      </c>
    </row>
    <row r="105" spans="1:50" ht="15" hidden="1" customHeight="1" x14ac:dyDescent="0.3">
      <c r="A105" s="94" t="s">
        <v>60</v>
      </c>
      <c r="B105" s="94"/>
      <c r="C105" s="94"/>
      <c r="D105" s="94"/>
      <c r="E105" s="94"/>
      <c r="F105" s="94"/>
      <c r="G105" s="112">
        <f>AU105</f>
      </c>
      <c r="H105" s="113"/>
      <c r="I105" s="94" t="s">
        <v>61</v>
      </c>
      <c r="J105" s="94" t="s">
        <v>505</v>
      </c>
      <c r="K105" s="114">
        <f>P105/3</f>
      </c>
      <c r="L105" s="115">
        <v>-21.905000000000001</v>
      </c>
      <c r="M105" s="116">
        <f>L105</f>
      </c>
      <c r="N105" s="117">
        <f>M105-L105</f>
      </c>
      <c r="O105" s="112"/>
      <c r="P105" s="118">
        <f>N105+O105</f>
      </c>
      <c r="Q105" s="94" t="s">
        <v>117</v>
      </c>
      <c r="R105" s="94" t="s">
        <v>63</v>
      </c>
      <c r="S105" s="119">
        <v>46326</v>
      </c>
      <c r="T105" s="119"/>
      <c r="U105" s="120">
        <v>46326</v>
      </c>
      <c r="V105" s="94"/>
      <c r="W105" s="94"/>
      <c r="X105" s="94"/>
      <c r="Y105" s="119">
        <v>46326</v>
      </c>
      <c r="Z105" s="94"/>
      <c r="AA105" s="120"/>
      <c r="AB105" s="120"/>
      <c r="AC105" s="120"/>
      <c r="AD105" s="120"/>
      <c r="AE105" s="120"/>
      <c r="AF105" s="120"/>
      <c r="AG105" s="94"/>
      <c r="AH105" s="120"/>
      <c r="AI105" s="94"/>
      <c r="AJ105" s="94" t="s">
        <v>117</v>
      </c>
      <c r="AK105" s="94" t="s">
        <v>699</v>
      </c>
      <c r="AL105" s="94">
        <v>140</v>
      </c>
      <c r="AM105" s="94" t="str">
        <f>TRIM(AJ105)&amp;TRIM(AL105)&amp;TRIM(AK105)</f>
      </c>
      <c r="AN105" s="116">
        <v>8007</v>
      </c>
      <c r="AO105" s="116">
        <v>-105</v>
      </c>
      <c r="AP105" s="116">
        <f>SUMIFS(M:M,AM:AM,AM105)+SUMIFS(O:O,AM:AM,AM105)</f>
      </c>
      <c r="AQ105" s="116">
        <f>SUMIFS(L:L,AM:AM,AM105)</f>
      </c>
      <c r="AR105" s="116">
        <f>AQ105-AP105</f>
      </c>
      <c r="AS105" s="94" t="str">
        <f>IF(AN105&gt;=AQ105,"ok","ck")</f>
      </c>
      <c r="AT105" s="116">
        <f>-P105</f>
      </c>
      <c r="AU105" s="115">
        <f>IF(SUMIFS(AT:AT,AM:AM,AM105)&gt;AO105,(SUMIFS(AT:AT,AM:AM,AM105)-AO105))</f>
      </c>
      <c r="AV105" s="116">
        <v>8007</v>
      </c>
      <c r="AW105" s="121">
        <v>1.013</v>
      </c>
      <c r="AX105" s="115">
        <f>AN105-AP105</f>
      </c>
    </row>
    <row r="106" spans="1:50" ht="15" hidden="1" customHeight="1" x14ac:dyDescent="0.3">
      <c r="A106" s="94" t="s">
        <v>263</v>
      </c>
      <c r="B106" s="94"/>
      <c r="C106" s="94"/>
      <c r="D106" s="94"/>
      <c r="E106" s="94"/>
      <c r="F106" s="94"/>
      <c r="G106" s="112">
        <f>AU106</f>
      </c>
      <c r="H106" s="113"/>
      <c r="I106" s="94" t="s">
        <v>264</v>
      </c>
      <c r="J106" s="94" t="s">
        <v>363</v>
      </c>
      <c r="K106" s="114">
        <f>P106/3</f>
      </c>
      <c r="L106" s="115">
        <v>0</v>
      </c>
      <c r="M106" s="116">
        <f>L106</f>
      </c>
      <c r="N106" s="117">
        <f>M106-L106</f>
      </c>
      <c r="O106" s="112"/>
      <c r="P106" s="118">
        <f>N106+O106</f>
      </c>
      <c r="Q106" s="94" t="s">
        <v>364</v>
      </c>
      <c r="R106" s="94" t="s">
        <v>63</v>
      </c>
      <c r="S106" s="119">
        <v>46327</v>
      </c>
      <c r="T106" s="119"/>
      <c r="U106" s="120">
        <v>46327</v>
      </c>
      <c r="V106" s="94"/>
      <c r="W106" s="94"/>
      <c r="X106" s="94"/>
      <c r="Y106" s="119">
        <v>46327</v>
      </c>
      <c r="Z106" s="94"/>
      <c r="AA106" s="120"/>
      <c r="AB106" s="120"/>
      <c r="AC106" s="120"/>
      <c r="AD106" s="120"/>
      <c r="AE106" s="120"/>
      <c r="AF106" s="120"/>
      <c r="AG106" s="94"/>
      <c r="AH106" s="120"/>
      <c r="AI106" s="94"/>
      <c r="AJ106" s="94" t="s">
        <v>364</v>
      </c>
      <c r="AK106" s="94" t="s">
        <v>365</v>
      </c>
      <c r="AL106" s="94">
        <v>120</v>
      </c>
      <c r="AM106" s="94" t="str">
        <f>TRIM(AJ106)&amp;TRIM(AL106)&amp;TRIM(AK106)</f>
      </c>
      <c r="AN106" s="116">
        <v>289</v>
      </c>
      <c r="AO106" s="116">
        <v>-7</v>
      </c>
      <c r="AP106" s="116">
        <f>SUMIFS(M:M,AM:AM,AM106)+SUMIFS(O:O,AM:AM,AM106)</f>
      </c>
      <c r="AQ106" s="116">
        <f>SUMIFS(L:L,AM:AM,AM106)</f>
      </c>
      <c r="AR106" s="116">
        <f>AQ106-AP106</f>
      </c>
      <c r="AS106" s="94" t="str">
        <f>IF(AN106&gt;=AQ106,"ok","ck")</f>
      </c>
      <c r="AT106" s="116">
        <f>-P106</f>
      </c>
      <c r="AU106" s="115">
        <f>IF(SUMIFS(AT:AT,AM:AM,AM106)&gt;AO106,(SUMIFS(AT:AT,AM:AM,AM106)-AO106))</f>
      </c>
      <c r="AV106" s="116">
        <v>289</v>
      </c>
      <c r="AW106" s="121">
        <v>1.025</v>
      </c>
      <c r="AX106" s="115">
        <f>AN106-AP106</f>
      </c>
    </row>
    <row r="107" spans="1:50" ht="15" hidden="1" customHeight="1" x14ac:dyDescent="0.3">
      <c r="A107" s="94" t="s">
        <v>263</v>
      </c>
      <c r="B107" s="94"/>
      <c r="C107" s="94"/>
      <c r="D107" s="94"/>
      <c r="E107" s="94"/>
      <c r="F107" s="94"/>
      <c r="G107" s="112">
        <f>AU107</f>
      </c>
      <c r="H107" s="113"/>
      <c r="I107" s="94" t="s">
        <v>264</v>
      </c>
      <c r="J107" s="94" t="s">
        <v>363</v>
      </c>
      <c r="K107" s="114">
        <f>P107/3</f>
      </c>
      <c r="L107" s="115">
        <v>0</v>
      </c>
      <c r="M107" s="116">
        <f>L107</f>
      </c>
      <c r="N107" s="117">
        <f>M107-L107</f>
      </c>
      <c r="O107" s="112"/>
      <c r="P107" s="118">
        <f>N107+O107</f>
      </c>
      <c r="Q107" s="94" t="s">
        <v>364</v>
      </c>
      <c r="R107" s="94" t="s">
        <v>63</v>
      </c>
      <c r="S107" s="119">
        <v>46327</v>
      </c>
      <c r="T107" s="119"/>
      <c r="U107" s="120">
        <v>46327</v>
      </c>
      <c r="V107" s="94"/>
      <c r="W107" s="94"/>
      <c r="X107" s="94"/>
      <c r="Y107" s="119">
        <v>46327</v>
      </c>
      <c r="Z107" s="94"/>
      <c r="AA107" s="120"/>
      <c r="AB107" s="120"/>
      <c r="AC107" s="120"/>
      <c r="AD107" s="120"/>
      <c r="AE107" s="120"/>
      <c r="AF107" s="120"/>
      <c r="AG107" s="94"/>
      <c r="AH107" s="120"/>
      <c r="AI107" s="94"/>
      <c r="AJ107" s="94" t="s">
        <v>364</v>
      </c>
      <c r="AK107" s="94" t="s">
        <v>365</v>
      </c>
      <c r="AL107" s="94">
        <v>120</v>
      </c>
      <c r="AM107" s="94" t="str">
        <f>TRIM(AJ107)&amp;TRIM(AL107)&amp;TRIM(AK107)</f>
      </c>
      <c r="AN107" s="116">
        <v>289</v>
      </c>
      <c r="AO107" s="116">
        <v>-7</v>
      </c>
      <c r="AP107" s="116">
        <f>SUMIFS(M:M,AM:AM,AM107)+SUMIFS(O:O,AM:AM,AM107)</f>
      </c>
      <c r="AQ107" s="116">
        <f>SUMIFS(L:L,AM:AM,AM107)</f>
      </c>
      <c r="AR107" s="116">
        <f>AQ107-AP107</f>
      </c>
      <c r="AS107" s="94" t="str">
        <f>IF(AN107&gt;=AQ107,"ok","ck")</f>
      </c>
      <c r="AT107" s="116">
        <f>-P107</f>
      </c>
      <c r="AU107" s="115">
        <f>IF(SUMIFS(AT:AT,AM:AM,AM107)&gt;AO107,(SUMIFS(AT:AT,AM:AM,AM107)-AO107))</f>
      </c>
      <c r="AV107" s="116">
        <v>289</v>
      </c>
      <c r="AW107" s="121">
        <v>1.025</v>
      </c>
      <c r="AX107" s="115">
        <f>AN107-AP107</f>
      </c>
    </row>
    <row r="108" spans="1:50" ht="15" hidden="1" customHeight="1" x14ac:dyDescent="0.3">
      <c r="A108" s="94" t="s">
        <v>263</v>
      </c>
      <c r="B108" s="94"/>
      <c r="C108" s="94"/>
      <c r="D108" s="94"/>
      <c r="E108" s="94"/>
      <c r="F108" s="94"/>
      <c r="G108" s="112">
        <f>AU108</f>
      </c>
      <c r="H108" s="113"/>
      <c r="I108" s="94" t="s">
        <v>264</v>
      </c>
      <c r="J108" s="94" t="s">
        <v>363</v>
      </c>
      <c r="K108" s="114">
        <f>P108/3</f>
      </c>
      <c r="L108" s="115">
        <v>0</v>
      </c>
      <c r="M108" s="116">
        <f>L108</f>
      </c>
      <c r="N108" s="117">
        <f>M108-L108</f>
      </c>
      <c r="O108" s="112"/>
      <c r="P108" s="118">
        <f>N108+O108</f>
      </c>
      <c r="Q108" s="94" t="s">
        <v>364</v>
      </c>
      <c r="R108" s="94" t="s">
        <v>63</v>
      </c>
      <c r="S108" s="119">
        <v>46327</v>
      </c>
      <c r="T108" s="119"/>
      <c r="U108" s="120">
        <v>46327</v>
      </c>
      <c r="V108" s="94"/>
      <c r="W108" s="94"/>
      <c r="X108" s="94"/>
      <c r="Y108" s="119">
        <v>46327</v>
      </c>
      <c r="Z108" s="94"/>
      <c r="AA108" s="120"/>
      <c r="AB108" s="120"/>
      <c r="AC108" s="120"/>
      <c r="AD108" s="120"/>
      <c r="AE108" s="120"/>
      <c r="AF108" s="120"/>
      <c r="AG108" s="94"/>
      <c r="AH108" s="120"/>
      <c r="AI108" s="94"/>
      <c r="AJ108" s="94" t="s">
        <v>364</v>
      </c>
      <c r="AK108" s="94" t="s">
        <v>365</v>
      </c>
      <c r="AL108" s="94">
        <v>120</v>
      </c>
      <c r="AM108" s="94" t="str">
        <f>TRIM(AJ108)&amp;TRIM(AL108)&amp;TRIM(AK108)</f>
      </c>
      <c r="AN108" s="116">
        <v>289</v>
      </c>
      <c r="AO108" s="116">
        <v>-7</v>
      </c>
      <c r="AP108" s="116">
        <f>SUMIFS(M:M,AM:AM,AM108)+SUMIFS(O:O,AM:AM,AM108)</f>
      </c>
      <c r="AQ108" s="116">
        <f>SUMIFS(L:L,AM:AM,AM108)</f>
      </c>
      <c r="AR108" s="116">
        <f>AQ108-AP108</f>
      </c>
      <c r="AS108" s="94" t="str">
        <f>IF(AN108&gt;=AQ108,"ok","ck")</f>
      </c>
      <c r="AT108" s="116">
        <f>-P108</f>
      </c>
      <c r="AU108" s="115">
        <f>IF(SUMIFS(AT:AT,AM:AM,AM108)&gt;AO108,(SUMIFS(AT:AT,AM:AM,AM108)-AO108))</f>
      </c>
      <c r="AV108" s="116">
        <v>289</v>
      </c>
      <c r="AW108" s="121">
        <v>1.025</v>
      </c>
      <c r="AX108" s="115">
        <f>AN108-AP108</f>
      </c>
    </row>
    <row r="109" spans="1:50" ht="15" hidden="1" customHeight="1" x14ac:dyDescent="0.3">
      <c r="A109" s="94" t="s">
        <v>263</v>
      </c>
      <c r="B109" s="94"/>
      <c r="C109" s="94"/>
      <c r="D109" s="94"/>
      <c r="E109" s="94"/>
      <c r="F109" s="94"/>
      <c r="G109" s="112">
        <f>AU109</f>
      </c>
      <c r="H109" s="113"/>
      <c r="I109" s="94" t="s">
        <v>264</v>
      </c>
      <c r="J109" s="94" t="s">
        <v>281</v>
      </c>
      <c r="K109" s="114">
        <f>P109/3</f>
      </c>
      <c r="L109" s="115">
        <v>0</v>
      </c>
      <c r="M109" s="116">
        <f>L109</f>
      </c>
      <c r="N109" s="117">
        <f>M109-L109</f>
      </c>
      <c r="O109" s="112"/>
      <c r="P109" s="118">
        <f>N109+O109</f>
      </c>
      <c r="Q109" s="94" t="s">
        <v>364</v>
      </c>
      <c r="R109" s="94" t="s">
        <v>63</v>
      </c>
      <c r="S109" s="119">
        <v>46328</v>
      </c>
      <c r="T109" s="119"/>
      <c r="U109" s="120">
        <v>46328</v>
      </c>
      <c r="V109" s="94"/>
      <c r="W109" s="94"/>
      <c r="X109" s="94"/>
      <c r="Y109" s="119">
        <v>46328</v>
      </c>
      <c r="Z109" s="94"/>
      <c r="AA109" s="120"/>
      <c r="AB109" s="120"/>
      <c r="AC109" s="120"/>
      <c r="AD109" s="120"/>
      <c r="AE109" s="120"/>
      <c r="AF109" s="120"/>
      <c r="AG109" s="94"/>
      <c r="AH109" s="120"/>
      <c r="AI109" s="94"/>
      <c r="AJ109" s="94" t="s">
        <v>364</v>
      </c>
      <c r="AK109" s="94" t="s">
        <v>281</v>
      </c>
      <c r="AL109" s="94">
        <v>120</v>
      </c>
      <c r="AM109" s="94" t="str">
        <f>TRIM(AJ109)&amp;TRIM(AL109)&amp;TRIM(AK109)</f>
      </c>
      <c r="AN109" s="116">
        <v>1504</v>
      </c>
      <c r="AO109" s="116">
        <v>-29</v>
      </c>
      <c r="AP109" s="116">
        <f>SUMIFS(M:M,AM:AM,AM109)+SUMIFS(O:O,AM:AM,AM109)</f>
      </c>
      <c r="AQ109" s="116">
        <f>SUMIFS(L:L,AM:AM,AM109)</f>
      </c>
      <c r="AR109" s="116">
        <f>AQ109-AP109</f>
      </c>
      <c r="AS109" s="94" t="str">
        <f>IF(AN109&gt;=AQ109,"ok","ck")</f>
      </c>
      <c r="AT109" s="116">
        <f>-P109</f>
      </c>
      <c r="AU109" s="115">
        <f>IF(SUMIFS(AT:AT,AM:AM,AM109)&gt;AO109,(SUMIFS(AT:AT,AM:AM,AM109)-AO109))</f>
      </c>
      <c r="AV109" s="116">
        <v>1504</v>
      </c>
      <c r="AW109" s="121">
        <v>1.02</v>
      </c>
      <c r="AX109" s="115">
        <f>AN109-AP109</f>
      </c>
    </row>
    <row r="110" spans="1:50" ht="15" hidden="1" customHeight="1" x14ac:dyDescent="0.3">
      <c r="A110" s="94" t="s">
        <v>263</v>
      </c>
      <c r="B110" s="94"/>
      <c r="C110" s="94"/>
      <c r="D110" s="94"/>
      <c r="E110" s="94"/>
      <c r="F110" s="94"/>
      <c r="G110" s="112">
        <f>AU110</f>
      </c>
      <c r="H110" s="113"/>
      <c r="I110" s="94" t="s">
        <v>264</v>
      </c>
      <c r="J110" s="94" t="s">
        <v>281</v>
      </c>
      <c r="K110" s="114">
        <f>P110/3</f>
      </c>
      <c r="L110" s="115">
        <v>0</v>
      </c>
      <c r="M110" s="116">
        <f>L110</f>
      </c>
      <c r="N110" s="117">
        <f>M110-L110</f>
      </c>
      <c r="O110" s="112"/>
      <c r="P110" s="118">
        <f>N110+O110</f>
      </c>
      <c r="Q110" s="94" t="s">
        <v>364</v>
      </c>
      <c r="R110" s="94" t="s">
        <v>63</v>
      </c>
      <c r="S110" s="119">
        <v>46326</v>
      </c>
      <c r="T110" s="119"/>
      <c r="U110" s="120">
        <v>46326</v>
      </c>
      <c r="V110" s="94"/>
      <c r="W110" s="94"/>
      <c r="X110" s="94"/>
      <c r="Y110" s="119">
        <v>46326</v>
      </c>
      <c r="Z110" s="94"/>
      <c r="AA110" s="120"/>
      <c r="AB110" s="120"/>
      <c r="AC110" s="120"/>
      <c r="AD110" s="120"/>
      <c r="AE110" s="120"/>
      <c r="AF110" s="120"/>
      <c r="AG110" s="94"/>
      <c r="AH110" s="120"/>
      <c r="AI110" s="94"/>
      <c r="AJ110" s="94" t="s">
        <v>364</v>
      </c>
      <c r="AK110" s="94" t="s">
        <v>281</v>
      </c>
      <c r="AL110" s="94">
        <v>120</v>
      </c>
      <c r="AM110" s="94" t="str">
        <f>TRIM(AJ110)&amp;TRIM(AL110)&amp;TRIM(AK110)</f>
      </c>
      <c r="AN110" s="116">
        <v>1504</v>
      </c>
      <c r="AO110" s="116">
        <v>-29</v>
      </c>
      <c r="AP110" s="116">
        <f>SUMIFS(M:M,AM:AM,AM110)+SUMIFS(O:O,AM:AM,AM110)</f>
      </c>
      <c r="AQ110" s="116">
        <f>SUMIFS(L:L,AM:AM,AM110)</f>
      </c>
      <c r="AR110" s="116">
        <f>AQ110-AP110</f>
      </c>
      <c r="AS110" s="94" t="str">
        <f>IF(AN110&gt;=AQ110,"ok","ck")</f>
      </c>
      <c r="AT110" s="116">
        <f>-P110</f>
      </c>
      <c r="AU110" s="115">
        <f>IF(SUMIFS(AT:AT,AM:AM,AM110)&gt;AO110,(SUMIFS(AT:AT,AM:AM,AM110)-AO110))</f>
      </c>
      <c r="AV110" s="116">
        <v>1504</v>
      </c>
      <c r="AW110" s="121">
        <v>1.02</v>
      </c>
      <c r="AX110" s="115">
        <f>AN110-AP110</f>
      </c>
    </row>
    <row r="111" spans="1:50" ht="15" hidden="1" customHeight="1" x14ac:dyDescent="0.3">
      <c r="A111" s="94" t="s">
        <v>263</v>
      </c>
      <c r="B111" s="94"/>
      <c r="C111" s="94"/>
      <c r="D111" s="94"/>
      <c r="E111" s="94"/>
      <c r="F111" s="94"/>
      <c r="G111" s="112">
        <f>AU111</f>
      </c>
      <c r="H111" s="113"/>
      <c r="I111" s="94" t="s">
        <v>264</v>
      </c>
      <c r="J111" s="94" t="s">
        <v>281</v>
      </c>
      <c r="K111" s="114">
        <f>P111/3</f>
      </c>
      <c r="L111" s="115">
        <v>0</v>
      </c>
      <c r="M111" s="116">
        <f>L111</f>
      </c>
      <c r="N111" s="117">
        <f>M111-L111</f>
      </c>
      <c r="O111" s="112"/>
      <c r="P111" s="118">
        <f>N111+O111</f>
      </c>
      <c r="Q111" s="94" t="s">
        <v>364</v>
      </c>
      <c r="R111" s="94" t="s">
        <v>63</v>
      </c>
      <c r="S111" s="119">
        <v>46328</v>
      </c>
      <c r="T111" s="119"/>
      <c r="U111" s="120">
        <v>46328</v>
      </c>
      <c r="V111" s="94"/>
      <c r="W111" s="94"/>
      <c r="X111" s="94"/>
      <c r="Y111" s="119">
        <v>46328</v>
      </c>
      <c r="Z111" s="94"/>
      <c r="AA111" s="120"/>
      <c r="AB111" s="120"/>
      <c r="AC111" s="120"/>
      <c r="AD111" s="120"/>
      <c r="AE111" s="120"/>
      <c r="AF111" s="120"/>
      <c r="AG111" s="94"/>
      <c r="AH111" s="120"/>
      <c r="AI111" s="94"/>
      <c r="AJ111" s="94" t="s">
        <v>364</v>
      </c>
      <c r="AK111" s="94" t="s">
        <v>281</v>
      </c>
      <c r="AL111" s="94">
        <v>120</v>
      </c>
      <c r="AM111" s="94" t="str">
        <f>TRIM(AJ111)&amp;TRIM(AL111)&amp;TRIM(AK111)</f>
      </c>
      <c r="AN111" s="116">
        <v>1504</v>
      </c>
      <c r="AO111" s="116">
        <v>-29</v>
      </c>
      <c r="AP111" s="116">
        <f>SUMIFS(M:M,AM:AM,AM111)+SUMIFS(O:O,AM:AM,AM111)</f>
      </c>
      <c r="AQ111" s="116">
        <f>SUMIFS(L:L,AM:AM,AM111)</f>
      </c>
      <c r="AR111" s="116">
        <f>AQ111-AP111</f>
      </c>
      <c r="AS111" s="94" t="str">
        <f>IF(AN111&gt;=AQ111,"ok","ck")</f>
      </c>
      <c r="AT111" s="116">
        <f>-P111</f>
      </c>
      <c r="AU111" s="115">
        <f>IF(SUMIFS(AT:AT,AM:AM,AM111)&gt;AO111,(SUMIFS(AT:AT,AM:AM,AM111)-AO111))</f>
      </c>
      <c r="AV111" s="116">
        <v>1504</v>
      </c>
      <c r="AW111" s="121">
        <v>1.02</v>
      </c>
      <c r="AX111" s="115">
        <f>AN111-AP111</f>
      </c>
    </row>
    <row r="112" spans="1:50" ht="15" hidden="1" customHeight="1" x14ac:dyDescent="0.3">
      <c r="A112" s="94" t="s">
        <v>263</v>
      </c>
      <c r="B112" s="94"/>
      <c r="C112" s="94"/>
      <c r="D112" s="94"/>
      <c r="E112" s="94"/>
      <c r="F112" s="94"/>
      <c r="G112" s="112">
        <f>AU112</f>
      </c>
      <c r="H112" s="113"/>
      <c r="I112" s="94" t="s">
        <v>264</v>
      </c>
      <c r="J112" s="94" t="s">
        <v>281</v>
      </c>
      <c r="K112" s="114">
        <f>P112/3</f>
      </c>
      <c r="L112" s="115">
        <v>0</v>
      </c>
      <c r="M112" s="116">
        <f>L112</f>
      </c>
      <c r="N112" s="117">
        <f>M112-L112</f>
      </c>
      <c r="O112" s="112"/>
      <c r="P112" s="118">
        <f>N112+O112</f>
      </c>
      <c r="Q112" s="94" t="s">
        <v>364</v>
      </c>
      <c r="R112" s="94" t="s">
        <v>63</v>
      </c>
      <c r="S112" s="119">
        <v>46328</v>
      </c>
      <c r="T112" s="119"/>
      <c r="U112" s="120">
        <v>46328</v>
      </c>
      <c r="V112" s="94"/>
      <c r="W112" s="94"/>
      <c r="X112" s="94"/>
      <c r="Y112" s="119">
        <v>46328</v>
      </c>
      <c r="Z112" s="94"/>
      <c r="AA112" s="120"/>
      <c r="AB112" s="120"/>
      <c r="AC112" s="120"/>
      <c r="AD112" s="120"/>
      <c r="AE112" s="120"/>
      <c r="AF112" s="120"/>
      <c r="AG112" s="94"/>
      <c r="AH112" s="120"/>
      <c r="AI112" s="94"/>
      <c r="AJ112" s="94" t="s">
        <v>364</v>
      </c>
      <c r="AK112" s="94" t="s">
        <v>281</v>
      </c>
      <c r="AL112" s="94">
        <v>120</v>
      </c>
      <c r="AM112" s="94" t="str">
        <f>TRIM(AJ112)&amp;TRIM(AL112)&amp;TRIM(AK112)</f>
      </c>
      <c r="AN112" s="116">
        <v>1504</v>
      </c>
      <c r="AO112" s="116">
        <v>-29</v>
      </c>
      <c r="AP112" s="116">
        <f>SUMIFS(M:M,AM:AM,AM112)+SUMIFS(O:O,AM:AM,AM112)</f>
      </c>
      <c r="AQ112" s="116">
        <f>SUMIFS(L:L,AM:AM,AM112)</f>
      </c>
      <c r="AR112" s="116">
        <f>AQ112-AP112</f>
      </c>
      <c r="AS112" s="94" t="str">
        <f>IF(AN112&gt;=AQ112,"ok","ck")</f>
      </c>
      <c r="AT112" s="116">
        <f>-P112</f>
      </c>
      <c r="AU112" s="115">
        <f>IF(SUMIFS(AT:AT,AM:AM,AM112)&gt;AO112,(SUMIFS(AT:AT,AM:AM,AM112)-AO112))</f>
      </c>
      <c r="AV112" s="116">
        <v>1504</v>
      </c>
      <c r="AW112" s="121">
        <v>1.02</v>
      </c>
      <c r="AX112" s="115">
        <f>AN112-AP112</f>
      </c>
    </row>
    <row r="113" spans="1:50" ht="15" hidden="1" customHeight="1" x14ac:dyDescent="0.3">
      <c r="A113" s="94" t="s">
        <v>60</v>
      </c>
      <c r="B113" s="94"/>
      <c r="C113" s="94"/>
      <c r="D113" s="94"/>
      <c r="E113" s="94"/>
      <c r="F113" s="94"/>
      <c r="G113" s="112">
        <f>AU113</f>
      </c>
      <c r="H113" s="113"/>
      <c r="I113" s="94" t="s">
        <v>482</v>
      </c>
      <c r="J113" s="94" t="s">
        <v>499</v>
      </c>
      <c r="K113" s="114">
        <f>P113/3</f>
      </c>
      <c r="L113" s="115">
        <v>16.396999999999998</v>
      </c>
      <c r="M113" s="116"/>
      <c r="N113" s="117">
        <f>M113-L113</f>
      </c>
      <c r="O113" s="112"/>
      <c r="P113" s="118">
        <f>N113+O113</f>
      </c>
      <c r="Q113" s="94" t="s">
        <v>781</v>
      </c>
      <c r="R113" s="94" t="s">
        <v>63</v>
      </c>
      <c r="S113" s="119">
        <v>46333</v>
      </c>
      <c r="T113" s="119"/>
      <c r="U113" s="120">
        <v>46333</v>
      </c>
      <c r="V113" s="94"/>
      <c r="W113" s="94"/>
      <c r="X113" s="94"/>
      <c r="Y113" s="119">
        <v>46333</v>
      </c>
      <c r="Z113" s="94"/>
      <c r="AA113" s="120"/>
      <c r="AB113" s="120"/>
      <c r="AC113" s="120"/>
      <c r="AD113" s="120"/>
      <c r="AE113" s="120"/>
      <c r="AF113" s="120"/>
      <c r="AG113" s="94"/>
      <c r="AH113" s="120"/>
      <c r="AI113" s="94"/>
      <c r="AJ113" s="94" t="s">
        <v>781</v>
      </c>
      <c r="AK113" s="94" t="s">
        <v>693</v>
      </c>
      <c r="AL113" s="94">
        <v>110</v>
      </c>
      <c r="AM113" s="94" t="str">
        <f>TRIM(AJ113)&amp;TRIM(AL113)&amp;TRIM(AK113)</f>
      </c>
      <c r="AN113" s="116">
        <v>0</v>
      </c>
      <c r="AO113" s="116" t="inlineStr">
        <is>
          <t>#NA</t>
        </is>
      </c>
      <c r="AP113" s="116">
        <f>SUMIFS(M:M,AM:AM,AM113)+SUMIFS(O:O,AM:AM,AM113)</f>
      </c>
      <c r="AQ113" s="116">
        <f>SUMIFS(L:L,AM:AM,AM113)</f>
      </c>
      <c r="AR113" s="116">
        <f>AQ113-AP113</f>
      </c>
      <c r="AS113" s="94" t="str">
        <f>IF(AN113&gt;=AQ113,"ok","ck")</f>
      </c>
      <c r="AT113" s="116">
        <f>-P113</f>
      </c>
      <c r="AU113" s="115">
        <f>IF(SUMIFS(AT:AT,AM:AM,AM113)&gt;AO113,(SUMIFS(AT:AT,AM:AM,AM113)-AO113))</f>
      </c>
      <c r="AV113" s="116">
        <v>0</v>
      </c>
      <c r="AW113" s="121">
        <v>0</v>
      </c>
      <c r="AX113" s="115">
        <f>AN113-AP113</f>
      </c>
    </row>
    <row r="114" spans="1:50" ht="15" hidden="1" customHeight="1" x14ac:dyDescent="0.3">
      <c r="A114" s="94" t="s">
        <v>268</v>
      </c>
      <c r="B114" s="94"/>
      <c r="C114" s="94"/>
      <c r="D114" s="94"/>
      <c r="E114" s="94"/>
      <c r="F114" s="94"/>
      <c r="G114" s="112">
        <f>AU114</f>
      </c>
      <c r="H114" s="113"/>
      <c r="I114" s="94" t="s">
        <v>390</v>
      </c>
      <c r="J114" s="94" t="s">
        <v>333</v>
      </c>
      <c r="K114" s="114">
        <f>P114/3</f>
      </c>
      <c r="L114" s="115">
        <v>-1.095</v>
      </c>
      <c r="M114" s="116">
        <f>L114</f>
      </c>
      <c r="N114" s="117">
        <f>M114-L114</f>
      </c>
      <c r="O114" s="112"/>
      <c r="P114" s="118">
        <f>N114+O114</f>
      </c>
      <c r="Q114" s="94" t="s">
        <v>287</v>
      </c>
      <c r="R114" s="94" t="s">
        <v>63</v>
      </c>
      <c r="S114" s="119">
        <v>46320</v>
      </c>
      <c r="T114" s="119"/>
      <c r="U114" s="120">
        <v>46320</v>
      </c>
      <c r="V114" s="94"/>
      <c r="W114" s="94"/>
      <c r="X114" s="94"/>
      <c r="Y114" s="119">
        <v>46320</v>
      </c>
      <c r="Z114" s="94"/>
      <c r="AA114" s="120"/>
      <c r="AB114" s="120"/>
      <c r="AC114" s="120"/>
      <c r="AD114" s="120"/>
      <c r="AE114" s="120"/>
      <c r="AF114" s="120"/>
      <c r="AG114" s="94"/>
      <c r="AH114" s="120"/>
      <c r="AI114" s="94"/>
      <c r="AJ114" s="94" t="s">
        <v>287</v>
      </c>
      <c r="AK114" s="94" t="s">
        <v>338</v>
      </c>
      <c r="AL114" s="94">
        <v>140</v>
      </c>
      <c r="AM114" s="94" t="str">
        <f>TRIM(AJ114)&amp;TRIM(AL114)&amp;TRIM(AK114)</f>
      </c>
      <c r="AN114" s="116">
        <v>5560</v>
      </c>
      <c r="AO114" s="116">
        <v>-72.93</v>
      </c>
      <c r="AP114" s="116">
        <f>SUMIFS(M:M,AM:AM,AM114)+SUMIFS(O:O,AM:AM,AM114)</f>
      </c>
      <c r="AQ114" s="116">
        <f>SUMIFS(L:L,AM:AM,AM114)</f>
      </c>
      <c r="AR114" s="116">
        <f>AQ114-AP114</f>
      </c>
      <c r="AS114" s="94" t="str">
        <f>IF(AN114&gt;=AQ114,"ok","ck")</f>
      </c>
      <c r="AT114" s="116">
        <f>-P114</f>
      </c>
      <c r="AU114" s="115">
        <f>IF(SUMIFS(AT:AT,AM:AM,AM114)&gt;AO114,(SUMIFS(AT:AT,AM:AM,AM114)-AO114))</f>
      </c>
      <c r="AV114" s="116">
        <v>5560</v>
      </c>
      <c r="AW114" s="121">
        <v>1.013</v>
      </c>
      <c r="AX114" s="115">
        <f>AN114-AP114</f>
      </c>
    </row>
    <row r="115" spans="1:50" ht="15" hidden="1" customHeight="1" x14ac:dyDescent="0.3">
      <c r="A115" s="94" t="s">
        <v>282</v>
      </c>
      <c r="B115" s="94"/>
      <c r="C115" s="94"/>
      <c r="D115" s="94"/>
      <c r="E115" s="94"/>
      <c r="F115" s="94"/>
      <c r="G115" s="112">
        <f>AU115</f>
      </c>
      <c r="H115" s="113"/>
      <c r="I115" s="94" t="s">
        <v>390</v>
      </c>
      <c r="J115" s="94" t="s">
        <v>283</v>
      </c>
      <c r="K115" s="114">
        <f>P115/3</f>
      </c>
      <c r="L115" s="115">
        <v>0</v>
      </c>
      <c r="M115" s="116">
        <f>L115</f>
      </c>
      <c r="N115" s="117">
        <f>M115-L115</f>
      </c>
      <c r="O115" s="112"/>
      <c r="P115" s="118">
        <f>N115+O115</f>
      </c>
      <c r="Q115" s="94" t="s">
        <v>284</v>
      </c>
      <c r="R115" s="94" t="s">
        <v>63</v>
      </c>
      <c r="S115" s="119">
        <v>46320</v>
      </c>
      <c r="T115" s="119"/>
      <c r="U115" s="120">
        <v>46320</v>
      </c>
      <c r="V115" s="94"/>
      <c r="W115" s="94"/>
      <c r="X115" s="94"/>
      <c r="Y115" s="119">
        <v>46320</v>
      </c>
      <c r="Z115" s="94"/>
      <c r="AA115" s="120"/>
      <c r="AB115" s="120"/>
      <c r="AC115" s="120"/>
      <c r="AD115" s="120"/>
      <c r="AE115" s="120"/>
      <c r="AF115" s="120"/>
      <c r="AG115" s="94"/>
      <c r="AH115" s="120"/>
      <c r="AI115" s="94"/>
      <c r="AJ115" s="94" t="s">
        <v>284</v>
      </c>
      <c r="AK115" s="94" t="s">
        <v>285</v>
      </c>
      <c r="AL115" s="94">
        <v>140</v>
      </c>
      <c r="AM115" s="94" t="str">
        <f>TRIM(AJ115)&amp;TRIM(AL115)&amp;TRIM(AK115)</f>
      </c>
      <c r="AN115" s="116">
        <v>381.01</v>
      </c>
      <c r="AO115" s="116">
        <v>13.97</v>
      </c>
      <c r="AP115" s="116">
        <f>SUMIFS(M:M,AM:AM,AM115)+SUMIFS(O:O,AM:AM,AM115)</f>
      </c>
      <c r="AQ115" s="116">
        <f>SUMIFS(L:L,AM:AM,AM115)</f>
      </c>
      <c r="AR115" s="116">
        <f>AQ115-AP115</f>
      </c>
      <c r="AS115" s="94" t="str">
        <f>IF(AN115&gt;=AQ115,"ok","ck")</f>
      </c>
      <c r="AT115" s="116">
        <f>-P115</f>
      </c>
      <c r="AU115" s="115">
        <f>IF(SUMIFS(AT:AT,AM:AM,AM115)&gt;AO115,(SUMIFS(AT:AT,AM:AM,AM115)-AO115))</f>
      </c>
      <c r="AV115" s="116">
        <v>381.01</v>
      </c>
      <c r="AW115" s="121">
        <v>0.965</v>
      </c>
      <c r="AX115" s="115">
        <f>AN115-AP115</f>
      </c>
    </row>
    <row r="116" spans="1:50" ht="15" hidden="1" customHeight="1" x14ac:dyDescent="0.3">
      <c r="A116" s="94" t="s">
        <v>282</v>
      </c>
      <c r="B116" s="94"/>
      <c r="C116" s="94"/>
      <c r="D116" s="94"/>
      <c r="E116" s="94"/>
      <c r="F116" s="94"/>
      <c r="G116" s="112">
        <f>AU116</f>
      </c>
      <c r="H116" s="113"/>
      <c r="I116" s="94" t="s">
        <v>390</v>
      </c>
      <c r="J116" s="94" t="s">
        <v>283</v>
      </c>
      <c r="K116" s="114">
        <f>P116/3</f>
      </c>
      <c r="L116" s="115">
        <v>0</v>
      </c>
      <c r="M116" s="116">
        <f>L116</f>
      </c>
      <c r="N116" s="117">
        <f>M116-L116</f>
      </c>
      <c r="O116" s="112"/>
      <c r="P116" s="118">
        <f>N116+O116</f>
      </c>
      <c r="Q116" s="94" t="s">
        <v>284</v>
      </c>
      <c r="R116" s="94" t="s">
        <v>63</v>
      </c>
      <c r="S116" s="119">
        <v>46321</v>
      </c>
      <c r="T116" s="119"/>
      <c r="U116" s="120">
        <v>46321</v>
      </c>
      <c r="V116" s="94"/>
      <c r="W116" s="94"/>
      <c r="X116" s="94"/>
      <c r="Y116" s="119">
        <v>46321</v>
      </c>
      <c r="Z116" s="94"/>
      <c r="AA116" s="120"/>
      <c r="AB116" s="120"/>
      <c r="AC116" s="120"/>
      <c r="AD116" s="120"/>
      <c r="AE116" s="120"/>
      <c r="AF116" s="120"/>
      <c r="AG116" s="94"/>
      <c r="AH116" s="120"/>
      <c r="AI116" s="94"/>
      <c r="AJ116" s="94" t="s">
        <v>284</v>
      </c>
      <c r="AK116" s="94" t="s">
        <v>285</v>
      </c>
      <c r="AL116" s="94">
        <v>140</v>
      </c>
      <c r="AM116" s="94" t="str">
        <f>TRIM(AJ116)&amp;TRIM(AL116)&amp;TRIM(AK116)</f>
      </c>
      <c r="AN116" s="116">
        <v>381.01</v>
      </c>
      <c r="AO116" s="116">
        <v>13.97</v>
      </c>
      <c r="AP116" s="116">
        <f>SUMIFS(M:M,AM:AM,AM116)+SUMIFS(O:O,AM:AM,AM116)</f>
      </c>
      <c r="AQ116" s="116">
        <f>SUMIFS(L:L,AM:AM,AM116)</f>
      </c>
      <c r="AR116" s="116">
        <f>AQ116-AP116</f>
      </c>
      <c r="AS116" s="94" t="str">
        <f>IF(AN116&gt;=AQ116,"ok","ck")</f>
      </c>
      <c r="AT116" s="116">
        <f>-P116</f>
      </c>
      <c r="AU116" s="115">
        <f>IF(SUMIFS(AT:AT,AM:AM,AM116)&gt;AO116,(SUMIFS(AT:AT,AM:AM,AM116)-AO116))</f>
      </c>
      <c r="AV116" s="116">
        <v>381.01</v>
      </c>
      <c r="AW116" s="121">
        <v>0.965</v>
      </c>
      <c r="AX116" s="115">
        <f>AN116-AP116</f>
      </c>
    </row>
    <row r="117" spans="1:50" ht="15" hidden="1" customHeight="1" x14ac:dyDescent="0.3">
      <c r="A117" s="94" t="s">
        <v>268</v>
      </c>
      <c r="B117" s="94"/>
      <c r="C117" s="94"/>
      <c r="D117" s="94"/>
      <c r="E117" s="94"/>
      <c r="F117" s="94"/>
      <c r="G117" s="112">
        <f>AU117</f>
      </c>
      <c r="H117" s="113"/>
      <c r="I117" s="94" t="s">
        <v>278</v>
      </c>
      <c r="J117" s="94" t="s">
        <v>293</v>
      </c>
      <c r="K117" s="114">
        <f>P117/3</f>
      </c>
      <c r="L117" s="115">
        <v>0</v>
      </c>
      <c r="M117" s="116">
        <f>L117</f>
      </c>
      <c r="N117" s="117">
        <f>M117-L117</f>
      </c>
      <c r="O117" s="112"/>
      <c r="P117" s="118">
        <f>N117+O117</f>
      </c>
      <c r="Q117" s="94" t="s">
        <v>316</v>
      </c>
      <c r="R117" s="94" t="s">
        <v>63</v>
      </c>
      <c r="S117" s="119">
        <v>46334</v>
      </c>
      <c r="T117" s="119"/>
      <c r="U117" s="120">
        <v>46334</v>
      </c>
      <c r="V117" s="94"/>
      <c r="W117" s="94"/>
      <c r="X117" s="94"/>
      <c r="Y117" s="119">
        <v>46334</v>
      </c>
      <c r="Z117" s="94"/>
      <c r="AA117" s="120"/>
      <c r="AB117" s="120"/>
      <c r="AC117" s="120"/>
      <c r="AD117" s="120"/>
      <c r="AE117" s="120"/>
      <c r="AF117" s="120"/>
      <c r="AG117" s="94"/>
      <c r="AH117" s="120"/>
      <c r="AI117" s="94"/>
      <c r="AJ117" s="94" t="s">
        <v>316</v>
      </c>
      <c r="AK117" s="94" t="s">
        <v>294</v>
      </c>
      <c r="AL117" s="94">
        <v>120</v>
      </c>
      <c r="AM117" s="94" t="str">
        <f>TRIM(AJ117)&amp;TRIM(AL117)&amp;TRIM(AK117)</f>
      </c>
      <c r="AN117" s="116">
        <v>647</v>
      </c>
      <c r="AO117" s="116">
        <v>5.99</v>
      </c>
      <c r="AP117" s="116">
        <f>SUMIFS(M:M,AM:AM,AM117)+SUMIFS(O:O,AM:AM,AM117)</f>
      </c>
      <c r="AQ117" s="116">
        <f>SUMIFS(L:L,AM:AM,AM117)</f>
      </c>
      <c r="AR117" s="116">
        <f>AQ117-AP117</f>
      </c>
      <c r="AS117" s="94" t="str">
        <f>IF(AN117&gt;=AQ117,"ok","ck")</f>
      </c>
      <c r="AT117" s="116">
        <f>-P117</f>
      </c>
      <c r="AU117" s="115">
        <f>IF(SUMIFS(AT:AT,AM:AM,AM117)&gt;AO117,(SUMIFS(AT:AT,AM:AM,AM117)-AO117))</f>
      </c>
      <c r="AV117" s="116">
        <v>559</v>
      </c>
      <c r="AW117" s="121">
        <v>1</v>
      </c>
      <c r="AX117" s="115">
        <f>AN117-AP117</f>
      </c>
    </row>
    <row r="118" spans="1:50" ht="15" hidden="1" customHeight="1" x14ac:dyDescent="0.3">
      <c r="A118" s="94" t="s">
        <v>60</v>
      </c>
      <c r="B118" s="94"/>
      <c r="C118" s="94"/>
      <c r="D118" s="94"/>
      <c r="E118" s="94"/>
      <c r="F118" s="94"/>
      <c r="G118" s="112">
        <f>AU118</f>
      </c>
      <c r="H118" s="113"/>
      <c r="I118" s="94" t="s">
        <v>70</v>
      </c>
      <c r="J118" s="94" t="s">
        <v>71</v>
      </c>
      <c r="K118" s="114">
        <f>P118/3</f>
      </c>
      <c r="L118" s="115">
        <v>-127.93</v>
      </c>
      <c r="M118" s="116">
        <f>L118</f>
      </c>
      <c r="N118" s="117">
        <f>M118-L118</f>
      </c>
      <c r="O118" s="112"/>
      <c r="P118" s="118">
        <f>N118+O118</f>
      </c>
      <c r="Q118" s="94" t="s">
        <v>72</v>
      </c>
      <c r="R118" s="94" t="s">
        <v>63</v>
      </c>
      <c r="S118" s="119">
        <v>46331</v>
      </c>
      <c r="T118" s="119"/>
      <c r="U118" s="120">
        <v>46331</v>
      </c>
      <c r="V118" s="94"/>
      <c r="W118" s="94"/>
      <c r="X118" s="94"/>
      <c r="Y118" s="119">
        <v>46331</v>
      </c>
      <c r="Z118" s="94"/>
      <c r="AA118" s="120"/>
      <c r="AB118" s="120"/>
      <c r="AC118" s="120"/>
      <c r="AD118" s="120"/>
      <c r="AE118" s="120"/>
      <c r="AF118" s="120"/>
      <c r="AG118" s="94"/>
      <c r="AH118" s="120"/>
      <c r="AI118" s="94"/>
      <c r="AJ118" s="94" t="s">
        <v>72</v>
      </c>
      <c r="AK118" s="94" t="s">
        <v>71</v>
      </c>
      <c r="AL118" s="94">
        <v>140</v>
      </c>
      <c r="AM118" s="94" t="str">
        <f>TRIM(AJ118)&amp;TRIM(AL118)&amp;TRIM(AK118)</f>
      </c>
      <c r="AN118" s="116">
        <v>15529.91</v>
      </c>
      <c r="AO118" s="116">
        <v>-429.91</v>
      </c>
      <c r="AP118" s="116">
        <f>SUMIFS(M:M,AM:AM,AM118)+SUMIFS(O:O,AM:AM,AM118)</f>
      </c>
      <c r="AQ118" s="116">
        <f>SUMIFS(L:L,AM:AM,AM118)</f>
      </c>
      <c r="AR118" s="116">
        <f>AQ118-AP118</f>
      </c>
      <c r="AS118" s="94" t="str">
        <f>IF(AN118&gt;=AQ118,"ok","ck")</f>
      </c>
      <c r="AT118" s="116">
        <f>-P118</f>
      </c>
      <c r="AU118" s="115">
        <f>IF(SUMIFS(AT:AT,AM:AM,AM118)&gt;AO118,(SUMIFS(AT:AT,AM:AM,AM118)-AO118))</f>
      </c>
      <c r="AV118" s="116">
        <v>1191.91</v>
      </c>
      <c r="AW118" s="121">
        <v>1.375</v>
      </c>
      <c r="AX118" s="115">
        <f>AN118-AP118</f>
      </c>
    </row>
    <row r="119" spans="1:50" ht="15" hidden="1" customHeight="1" x14ac:dyDescent="0.3">
      <c r="A119" s="94" t="s">
        <v>60</v>
      </c>
      <c r="B119" s="94"/>
      <c r="C119" s="94"/>
      <c r="D119" s="94"/>
      <c r="E119" s="94"/>
      <c r="F119" s="94"/>
      <c r="G119" s="112">
        <f>AU119</f>
      </c>
      <c r="H119" s="113"/>
      <c r="I119" s="94" t="s">
        <v>482</v>
      </c>
      <c r="J119" s="94" t="s">
        <v>500</v>
      </c>
      <c r="K119" s="114">
        <f>P119/3</f>
      </c>
      <c r="L119" s="115">
        <v>0</v>
      </c>
      <c r="M119" s="116">
        <f>L119</f>
      </c>
      <c r="N119" s="117">
        <f>M119-L119</f>
      </c>
      <c r="O119" s="112"/>
      <c r="P119" s="118">
        <f>N119+O119</f>
      </c>
      <c r="Q119" s="94" t="s">
        <v>776</v>
      </c>
      <c r="R119" s="94" t="s">
        <v>63</v>
      </c>
      <c r="S119" s="119">
        <v>46341</v>
      </c>
      <c r="T119" s="119"/>
      <c r="U119" s="120">
        <v>46341</v>
      </c>
      <c r="V119" s="94"/>
      <c r="W119" s="94"/>
      <c r="X119" s="94"/>
      <c r="Y119" s="119">
        <v>46341</v>
      </c>
      <c r="Z119" s="94"/>
      <c r="AA119" s="120"/>
      <c r="AB119" s="120"/>
      <c r="AC119" s="120"/>
      <c r="AD119" s="120"/>
      <c r="AE119" s="120"/>
      <c r="AF119" s="120"/>
      <c r="AG119" s="94"/>
      <c r="AH119" s="120"/>
      <c r="AI119" s="94"/>
      <c r="AJ119" s="94" t="s">
        <v>776</v>
      </c>
      <c r="AK119" s="94" t="s">
        <v>694</v>
      </c>
      <c r="AL119" s="94">
        <v>110</v>
      </c>
      <c r="AM119" s="94" t="str">
        <f>TRIM(AJ119)&amp;TRIM(AL119)&amp;TRIM(AK119)</f>
      </c>
      <c r="AN119" s="116">
        <v>35</v>
      </c>
      <c r="AO119" s="116">
        <v>0</v>
      </c>
      <c r="AP119" s="116">
        <f>SUMIFS(M:M,AM:AM,AM119)+SUMIFS(O:O,AM:AM,AM119)</f>
      </c>
      <c r="AQ119" s="116">
        <f>SUMIFS(L:L,AM:AM,AM119)</f>
      </c>
      <c r="AR119" s="116">
        <f>AQ119-AP119</f>
      </c>
      <c r="AS119" s="94" t="str">
        <f>IF(AN119&gt;=AQ119,"ok","ck")</f>
      </c>
      <c r="AT119" s="116">
        <f>-P119</f>
      </c>
      <c r="AU119" s="115">
        <f>IF(SUMIFS(AT:AT,AM:AM,AM119)&gt;AO119,(SUMIFS(AT:AT,AM:AM,AM119)-AO119))</f>
      </c>
      <c r="AV119" s="116">
        <v>35</v>
      </c>
      <c r="AW119" s="121">
        <v>1</v>
      </c>
      <c r="AX119" s="115">
        <f>AN119-AP119</f>
      </c>
    </row>
    <row r="120" spans="1:50" ht="15" hidden="1" customHeight="1" x14ac:dyDescent="0.3">
      <c r="A120" s="94" t="s">
        <v>60</v>
      </c>
      <c r="B120" s="94"/>
      <c r="C120" s="94"/>
      <c r="D120" s="94"/>
      <c r="E120" s="94"/>
      <c r="F120" s="94"/>
      <c r="G120" s="112">
        <f>AU120</f>
      </c>
      <c r="H120" s="113"/>
      <c r="I120" s="94" t="s">
        <v>482</v>
      </c>
      <c r="J120" s="94" t="s">
        <v>500</v>
      </c>
      <c r="K120" s="114">
        <f>P120/3</f>
      </c>
      <c r="L120" s="115">
        <v>0</v>
      </c>
      <c r="M120" s="116">
        <f>L120</f>
      </c>
      <c r="N120" s="117">
        <f>M120-L120</f>
      </c>
      <c r="O120" s="112"/>
      <c r="P120" s="118">
        <f>N120+O120</f>
      </c>
      <c r="Q120" s="94" t="s">
        <v>776</v>
      </c>
      <c r="R120" s="94" t="s">
        <v>63</v>
      </c>
      <c r="S120" s="119">
        <v>46341</v>
      </c>
      <c r="T120" s="119"/>
      <c r="U120" s="120">
        <v>46341</v>
      </c>
      <c r="V120" s="94"/>
      <c r="W120" s="94"/>
      <c r="X120" s="94"/>
      <c r="Y120" s="119">
        <v>46341</v>
      </c>
      <c r="Z120" s="94"/>
      <c r="AA120" s="120"/>
      <c r="AB120" s="120"/>
      <c r="AC120" s="120"/>
      <c r="AD120" s="120"/>
      <c r="AE120" s="120"/>
      <c r="AF120" s="120"/>
      <c r="AG120" s="94"/>
      <c r="AH120" s="120"/>
      <c r="AI120" s="94"/>
      <c r="AJ120" s="94" t="s">
        <v>776</v>
      </c>
      <c r="AK120" s="94" t="s">
        <v>694</v>
      </c>
      <c r="AL120" s="94">
        <v>110</v>
      </c>
      <c r="AM120" s="94" t="str">
        <f>TRIM(AJ120)&amp;TRIM(AL120)&amp;TRIM(AK120)</f>
      </c>
      <c r="AN120" s="116">
        <v>35</v>
      </c>
      <c r="AO120" s="116">
        <v>0</v>
      </c>
      <c r="AP120" s="116">
        <f>SUMIFS(M:M,AM:AM,AM120)+SUMIFS(O:O,AM:AM,AM120)</f>
      </c>
      <c r="AQ120" s="116">
        <f>SUMIFS(L:L,AM:AM,AM120)</f>
      </c>
      <c r="AR120" s="116">
        <f>AQ120-AP120</f>
      </c>
      <c r="AS120" s="94" t="str">
        <f>IF(AN120&gt;=AQ120,"ok","ck")</f>
      </c>
      <c r="AT120" s="116">
        <f>-P120</f>
      </c>
      <c r="AU120" s="115">
        <f>IF(SUMIFS(AT:AT,AM:AM,AM120)&gt;AO120,(SUMIFS(AT:AT,AM:AM,AM120)-AO120))</f>
      </c>
      <c r="AV120" s="116">
        <v>35</v>
      </c>
      <c r="AW120" s="121">
        <v>1</v>
      </c>
      <c r="AX120" s="115">
        <f>AN120-AP120</f>
      </c>
    </row>
    <row r="121" spans="1:50" ht="15" hidden="1" customHeight="1" x14ac:dyDescent="0.3">
      <c r="A121" s="94" t="s">
        <v>60</v>
      </c>
      <c r="B121" s="94"/>
      <c r="C121" s="94"/>
      <c r="D121" s="94"/>
      <c r="E121" s="94"/>
      <c r="F121" s="94"/>
      <c r="G121" s="112">
        <f>AU121</f>
      </c>
      <c r="H121" s="113"/>
      <c r="I121" s="94" t="s">
        <v>482</v>
      </c>
      <c r="J121" s="94" t="s">
        <v>500</v>
      </c>
      <c r="K121" s="114">
        <f>P121/3</f>
      </c>
      <c r="L121" s="115">
        <v>0</v>
      </c>
      <c r="M121" s="116">
        <f>L121</f>
      </c>
      <c r="N121" s="117">
        <f>M121-L121</f>
      </c>
      <c r="O121" s="112"/>
      <c r="P121" s="118">
        <f>N121+O121</f>
      </c>
      <c r="Q121" s="94" t="s">
        <v>776</v>
      </c>
      <c r="R121" s="94" t="s">
        <v>63</v>
      </c>
      <c r="S121" s="119">
        <v>46342</v>
      </c>
      <c r="T121" s="119"/>
      <c r="U121" s="120">
        <v>46342</v>
      </c>
      <c r="V121" s="94"/>
      <c r="W121" s="94"/>
      <c r="X121" s="94"/>
      <c r="Y121" s="119">
        <v>46342</v>
      </c>
      <c r="Z121" s="94"/>
      <c r="AA121" s="120"/>
      <c r="AB121" s="120"/>
      <c r="AC121" s="120"/>
      <c r="AD121" s="120"/>
      <c r="AE121" s="120"/>
      <c r="AF121" s="120"/>
      <c r="AG121" s="94"/>
      <c r="AH121" s="120"/>
      <c r="AI121" s="94"/>
      <c r="AJ121" s="94" t="s">
        <v>776</v>
      </c>
      <c r="AK121" s="94" t="s">
        <v>694</v>
      </c>
      <c r="AL121" s="94">
        <v>110</v>
      </c>
      <c r="AM121" s="94" t="str">
        <f>TRIM(AJ121)&amp;TRIM(AL121)&amp;TRIM(AK121)</f>
      </c>
      <c r="AN121" s="116">
        <v>35</v>
      </c>
      <c r="AO121" s="116">
        <v>0</v>
      </c>
      <c r="AP121" s="116">
        <f>SUMIFS(M:M,AM:AM,AM121)+SUMIFS(O:O,AM:AM,AM121)</f>
      </c>
      <c r="AQ121" s="116">
        <f>SUMIFS(L:L,AM:AM,AM121)</f>
      </c>
      <c r="AR121" s="116">
        <f>AQ121-AP121</f>
      </c>
      <c r="AS121" s="94" t="str">
        <f>IF(AN121&gt;=AQ121,"ok","ck")</f>
      </c>
      <c r="AT121" s="116">
        <f>-P121</f>
      </c>
      <c r="AU121" s="115">
        <f>IF(SUMIFS(AT:AT,AM:AM,AM121)&gt;AO121,(SUMIFS(AT:AT,AM:AM,AM121)-AO121))</f>
      </c>
      <c r="AV121" s="116">
        <v>35</v>
      </c>
      <c r="AW121" s="121">
        <v>1</v>
      </c>
      <c r="AX121" s="115">
        <f>AN121-AP121</f>
      </c>
    </row>
    <row r="122" spans="1:50" ht="15" hidden="1" customHeight="1" x14ac:dyDescent="0.3">
      <c r="A122" s="94" t="s">
        <v>60</v>
      </c>
      <c r="B122" s="94"/>
      <c r="C122" s="94"/>
      <c r="D122" s="94"/>
      <c r="E122" s="94"/>
      <c r="F122" s="94"/>
      <c r="G122" s="112">
        <f>AU122</f>
      </c>
      <c r="H122" s="113"/>
      <c r="I122" s="94" t="s">
        <v>482</v>
      </c>
      <c r="J122" s="94" t="s">
        <v>500</v>
      </c>
      <c r="K122" s="114">
        <f>P122/3</f>
      </c>
      <c r="L122" s="115">
        <v>0</v>
      </c>
      <c r="M122" s="116">
        <f>L122</f>
      </c>
      <c r="N122" s="117">
        <f>M122-L122</f>
      </c>
      <c r="O122" s="112"/>
      <c r="P122" s="118">
        <f>N122+O122</f>
      </c>
      <c r="Q122" s="94" t="s">
        <v>776</v>
      </c>
      <c r="R122" s="94" t="s">
        <v>63</v>
      </c>
      <c r="S122" s="119">
        <v>46331</v>
      </c>
      <c r="T122" s="119"/>
      <c r="U122" s="120">
        <v>46331</v>
      </c>
      <c r="V122" s="94"/>
      <c r="W122" s="94"/>
      <c r="X122" s="94"/>
      <c r="Y122" s="119">
        <v>46331</v>
      </c>
      <c r="Z122" s="94"/>
      <c r="AA122" s="120"/>
      <c r="AB122" s="120"/>
      <c r="AC122" s="120"/>
      <c r="AD122" s="120"/>
      <c r="AE122" s="120"/>
      <c r="AF122" s="120"/>
      <c r="AG122" s="94"/>
      <c r="AH122" s="120"/>
      <c r="AI122" s="94"/>
      <c r="AJ122" s="94" t="s">
        <v>776</v>
      </c>
      <c r="AK122" s="94" t="s">
        <v>694</v>
      </c>
      <c r="AL122" s="94">
        <v>110</v>
      </c>
      <c r="AM122" s="94" t="str">
        <f>TRIM(AJ122)&amp;TRIM(AL122)&amp;TRIM(AK122)</f>
      </c>
      <c r="AN122" s="116">
        <v>35</v>
      </c>
      <c r="AO122" s="116">
        <v>0</v>
      </c>
      <c r="AP122" s="116">
        <f>SUMIFS(M:M,AM:AM,AM122)+SUMIFS(O:O,AM:AM,AM122)</f>
      </c>
      <c r="AQ122" s="116">
        <f>SUMIFS(L:L,AM:AM,AM122)</f>
      </c>
      <c r="AR122" s="116">
        <f>AQ122-AP122</f>
      </c>
      <c r="AS122" s="94" t="str">
        <f>IF(AN122&gt;=AQ122,"ok","ck")</f>
      </c>
      <c r="AT122" s="116">
        <f>-P122</f>
      </c>
      <c r="AU122" s="115">
        <f>IF(SUMIFS(AT:AT,AM:AM,AM122)&gt;AO122,(SUMIFS(AT:AT,AM:AM,AM122)-AO122))</f>
      </c>
      <c r="AV122" s="116">
        <v>35</v>
      </c>
      <c r="AW122" s="121">
        <v>1</v>
      </c>
      <c r="AX122" s="115">
        <f>AN122-AP122</f>
      </c>
    </row>
    <row r="123" spans="1:50" ht="15" hidden="1" customHeight="1" x14ac:dyDescent="0.3">
      <c r="A123" s="94" t="s">
        <v>60</v>
      </c>
      <c r="B123" s="94"/>
      <c r="C123" s="94"/>
      <c r="D123" s="94"/>
      <c r="E123" s="94"/>
      <c r="F123" s="94"/>
      <c r="G123" s="112">
        <f>AU123</f>
      </c>
      <c r="H123" s="113"/>
      <c r="I123" s="94" t="s">
        <v>482</v>
      </c>
      <c r="J123" s="94" t="s">
        <v>500</v>
      </c>
      <c r="K123" s="114">
        <f>P123/3</f>
      </c>
      <c r="L123" s="115">
        <v>0</v>
      </c>
      <c r="M123" s="116">
        <f>L123</f>
      </c>
      <c r="N123" s="117">
        <f>M123-L123</f>
      </c>
      <c r="O123" s="112"/>
      <c r="P123" s="118">
        <f>N123+O123</f>
      </c>
      <c r="Q123" s="94" t="s">
        <v>776</v>
      </c>
      <c r="R123" s="94" t="s">
        <v>63</v>
      </c>
      <c r="S123" s="119">
        <v>46335</v>
      </c>
      <c r="T123" s="119"/>
      <c r="U123" s="120">
        <v>46335</v>
      </c>
      <c r="V123" s="94"/>
      <c r="W123" s="94"/>
      <c r="X123" s="94"/>
      <c r="Y123" s="119">
        <v>46335</v>
      </c>
      <c r="Z123" s="94"/>
      <c r="AA123" s="120"/>
      <c r="AB123" s="120"/>
      <c r="AC123" s="120"/>
      <c r="AD123" s="120"/>
      <c r="AE123" s="120"/>
      <c r="AF123" s="120"/>
      <c r="AG123" s="94"/>
      <c r="AH123" s="120"/>
      <c r="AI123" s="94"/>
      <c r="AJ123" s="94" t="s">
        <v>776</v>
      </c>
      <c r="AK123" s="94" t="s">
        <v>694</v>
      </c>
      <c r="AL123" s="94">
        <v>110</v>
      </c>
      <c r="AM123" s="94" t="str">
        <f>TRIM(AJ123)&amp;TRIM(AL123)&amp;TRIM(AK123)</f>
      </c>
      <c r="AN123" s="116">
        <v>35</v>
      </c>
      <c r="AO123" s="116">
        <v>0</v>
      </c>
      <c r="AP123" s="116">
        <f>SUMIFS(M:M,AM:AM,AM123)+SUMIFS(O:O,AM:AM,AM123)</f>
      </c>
      <c r="AQ123" s="116">
        <f>SUMIFS(L:L,AM:AM,AM123)</f>
      </c>
      <c r="AR123" s="116">
        <f>AQ123-AP123</f>
      </c>
      <c r="AS123" s="94" t="str">
        <f>IF(AN123&gt;=AQ123,"ok","ck")</f>
      </c>
      <c r="AT123" s="116">
        <f>-P123</f>
      </c>
      <c r="AU123" s="115">
        <f>IF(SUMIFS(AT:AT,AM:AM,AM123)&gt;AO123,(SUMIFS(AT:AT,AM:AM,AM123)-AO123))</f>
      </c>
      <c r="AV123" s="116">
        <v>35</v>
      </c>
      <c r="AW123" s="121">
        <v>1</v>
      </c>
      <c r="AX123" s="115">
        <f>AN123-AP123</f>
      </c>
    </row>
    <row r="124" spans="1:50" ht="15" hidden="1" customHeight="1" x14ac:dyDescent="0.3">
      <c r="A124" s="94" t="s">
        <v>263</v>
      </c>
      <c r="B124" s="94"/>
      <c r="C124" s="94"/>
      <c r="D124" s="94"/>
      <c r="E124" s="94"/>
      <c r="F124" s="94"/>
      <c r="G124" s="112">
        <f>AU124</f>
      </c>
      <c r="H124" s="113"/>
      <c r="I124" s="94" t="s">
        <v>264</v>
      </c>
      <c r="J124" s="94" t="s">
        <v>357</v>
      </c>
      <c r="K124" s="114">
        <f>P124/3</f>
      </c>
      <c r="L124" s="115">
        <v>0</v>
      </c>
      <c r="M124" s="116">
        <f>L124</f>
      </c>
      <c r="N124" s="117">
        <f>M124-L124</f>
      </c>
      <c r="O124" s="112"/>
      <c r="P124" s="118">
        <f>N124+O124</f>
      </c>
      <c r="Q124" s="94" t="s">
        <v>364</v>
      </c>
      <c r="R124" s="94" t="s">
        <v>63</v>
      </c>
      <c r="S124" s="119">
        <v>46320</v>
      </c>
      <c r="T124" s="119"/>
      <c r="U124" s="120">
        <v>46320</v>
      </c>
      <c r="V124" s="94"/>
      <c r="W124" s="94"/>
      <c r="X124" s="94"/>
      <c r="Y124" s="119">
        <v>46320</v>
      </c>
      <c r="Z124" s="94"/>
      <c r="AA124" s="120"/>
      <c r="AB124" s="120"/>
      <c r="AC124" s="120"/>
      <c r="AD124" s="120"/>
      <c r="AE124" s="120"/>
      <c r="AF124" s="120"/>
      <c r="AG124" s="94"/>
      <c r="AH124" s="120"/>
      <c r="AI124" s="94"/>
      <c r="AJ124" s="94" t="s">
        <v>364</v>
      </c>
      <c r="AK124" s="94" t="s">
        <v>357</v>
      </c>
      <c r="AL124" s="94">
        <v>120</v>
      </c>
      <c r="AM124" s="94" t="str">
        <f>TRIM(AJ124)&amp;TRIM(AL124)&amp;TRIM(AK124)</f>
      </c>
      <c r="AN124" s="116">
        <v>983</v>
      </c>
      <c r="AO124" s="116">
        <v>-15</v>
      </c>
      <c r="AP124" s="116">
        <f>SUMIFS(M:M,AM:AM,AM124)+SUMIFS(O:O,AM:AM,AM124)</f>
      </c>
      <c r="AQ124" s="116">
        <f>SUMIFS(L:L,AM:AM,AM124)</f>
      </c>
      <c r="AR124" s="116">
        <f>AQ124-AP124</f>
      </c>
      <c r="AS124" s="94" t="str">
        <f>IF(AN124&gt;=AQ124,"ok","ck")</f>
      </c>
      <c r="AT124" s="116">
        <f>-P124</f>
      </c>
      <c r="AU124" s="115">
        <f>IF(SUMIFS(AT:AT,AM:AM,AM124)&gt;AO124,(SUMIFS(AT:AT,AM:AM,AM124)-AO124))</f>
      </c>
      <c r="AV124" s="116">
        <v>983</v>
      </c>
      <c r="AW124" s="121">
        <v>1.015</v>
      </c>
      <c r="AX124" s="115">
        <f>AN124-AP124</f>
      </c>
    </row>
    <row r="125" spans="1:50" ht="15" hidden="1" customHeight="1" x14ac:dyDescent="0.3">
      <c r="A125" s="94" t="s">
        <v>268</v>
      </c>
      <c r="B125" s="94"/>
      <c r="C125" s="94"/>
      <c r="D125" s="94"/>
      <c r="E125" s="94"/>
      <c r="F125" s="94"/>
      <c r="G125" s="112">
        <f>AU125</f>
      </c>
      <c r="H125" s="113"/>
      <c r="I125" s="94" t="s">
        <v>278</v>
      </c>
      <c r="J125" s="94" t="s">
        <v>326</v>
      </c>
      <c r="K125" s="114">
        <f>P125/3</f>
      </c>
      <c r="L125" s="115">
        <v>0</v>
      </c>
      <c r="M125" s="116">
        <f>L125</f>
      </c>
      <c r="N125" s="117">
        <f>M125-L125</f>
      </c>
      <c r="O125" s="112"/>
      <c r="P125" s="118">
        <f>N125+O125</f>
      </c>
      <c r="Q125" s="94" t="s">
        <v>787</v>
      </c>
      <c r="R125" s="94" t="s">
        <v>63</v>
      </c>
      <c r="S125" s="119">
        <v>46320</v>
      </c>
      <c r="T125" s="119"/>
      <c r="U125" s="120">
        <v>46320</v>
      </c>
      <c r="V125" s="94"/>
      <c r="W125" s="94"/>
      <c r="X125" s="94"/>
      <c r="Y125" s="119">
        <v>46320</v>
      </c>
      <c r="Z125" s="94"/>
      <c r="AA125" s="120"/>
      <c r="AB125" s="120"/>
      <c r="AC125" s="120"/>
      <c r="AD125" s="120"/>
      <c r="AE125" s="120"/>
      <c r="AF125" s="120"/>
      <c r="AG125" s="94"/>
      <c r="AH125" s="120"/>
      <c r="AI125" s="94"/>
      <c r="AJ125" s="94" t="s">
        <v>787</v>
      </c>
      <c r="AK125" s="94" t="s">
        <v>327</v>
      </c>
      <c r="AL125" s="94">
        <v>120</v>
      </c>
      <c r="AM125" s="94" t="str">
        <f>TRIM(AJ125)&amp;TRIM(AL125)&amp;TRIM(AK125)</f>
      </c>
      <c r="AN125" s="116">
        <v>378</v>
      </c>
      <c r="AO125" s="116">
        <v>-3</v>
      </c>
      <c r="AP125" s="116">
        <f>SUMIFS(M:M,AM:AM,AM125)+SUMIFS(O:O,AM:AM,AM125)</f>
      </c>
      <c r="AQ125" s="116">
        <f>SUMIFS(L:L,AM:AM,AM125)</f>
      </c>
      <c r="AR125" s="116">
        <f>AQ125-AP125</f>
      </c>
      <c r="AS125" s="94" t="str">
        <f>IF(AN125&gt;=AQ125,"ok","ck")</f>
      </c>
      <c r="AT125" s="116">
        <f>-P125</f>
      </c>
      <c r="AU125" s="115">
        <f>IF(SUMIFS(AT:AT,AM:AM,AM125)&gt;AO125,(SUMIFS(AT:AT,AM:AM,AM125)-AO125))</f>
      </c>
      <c r="AV125" s="116">
        <v>378</v>
      </c>
      <c r="AW125" s="121">
        <v>1.008</v>
      </c>
      <c r="AX125" s="115">
        <f>AN125-AP125</f>
      </c>
    </row>
    <row r="126" spans="1:50" ht="15" hidden="1" customHeight="1" x14ac:dyDescent="0.3">
      <c r="A126" s="94" t="s">
        <v>268</v>
      </c>
      <c r="B126" s="94"/>
      <c r="C126" s="94"/>
      <c r="D126" s="94"/>
      <c r="E126" s="94"/>
      <c r="F126" s="94"/>
      <c r="G126" s="112">
        <f>AU126</f>
      </c>
      <c r="H126" s="113"/>
      <c r="I126" s="94" t="s">
        <v>278</v>
      </c>
      <c r="J126" s="94" t="s">
        <v>501</v>
      </c>
      <c r="K126" s="114">
        <f>P126/3</f>
      </c>
      <c r="L126" s="115">
        <v>1</v>
      </c>
      <c r="M126" s="116">
        <f>L126</f>
      </c>
      <c r="N126" s="117">
        <f>M126-L126</f>
      </c>
      <c r="O126" s="112"/>
      <c r="P126" s="118">
        <f>N126+O126</f>
      </c>
      <c r="Q126" s="94" t="s">
        <v>771</v>
      </c>
      <c r="R126" s="94" t="s">
        <v>63</v>
      </c>
      <c r="S126" s="119">
        <v>46320</v>
      </c>
      <c r="T126" s="119"/>
      <c r="U126" s="120">
        <v>46320</v>
      </c>
      <c r="V126" s="94"/>
      <c r="W126" s="94"/>
      <c r="X126" s="94"/>
      <c r="Y126" s="119">
        <v>46320</v>
      </c>
      <c r="Z126" s="94"/>
      <c r="AA126" s="120"/>
      <c r="AB126" s="120"/>
      <c r="AC126" s="120"/>
      <c r="AD126" s="120"/>
      <c r="AE126" s="120"/>
      <c r="AF126" s="120"/>
      <c r="AG126" s="94"/>
      <c r="AH126" s="120"/>
      <c r="AI126" s="94"/>
      <c r="AJ126" s="94" t="s">
        <v>771</v>
      </c>
      <c r="AK126" s="94" t="s">
        <v>695</v>
      </c>
      <c r="AL126" s="94">
        <v>120</v>
      </c>
      <c r="AM126" s="94" t="str">
        <f>TRIM(AJ126)&amp;TRIM(AL126)&amp;TRIM(AK126)</f>
      </c>
      <c r="AN126" s="116">
        <v>194</v>
      </c>
      <c r="AO126" s="116">
        <v>-9</v>
      </c>
      <c r="AP126" s="116">
        <f>SUMIFS(M:M,AM:AM,AM126)+SUMIFS(O:O,AM:AM,AM126)</f>
      </c>
      <c r="AQ126" s="116">
        <f>SUMIFS(L:L,AM:AM,AM126)</f>
      </c>
      <c r="AR126" s="116">
        <f>AQ126-AP126</f>
      </c>
      <c r="AS126" s="94" t="str">
        <f>IF(AN126&gt;=AQ126,"ok","ck")</f>
      </c>
      <c r="AT126" s="116">
        <f>-P126</f>
      </c>
      <c r="AU126" s="115">
        <f>IF(SUMIFS(AT:AT,AM:AM,AM126)&gt;AO126,(SUMIFS(AT:AT,AM:AM,AM126)-AO126))</f>
      </c>
      <c r="AV126" s="116">
        <v>194</v>
      </c>
      <c r="AW126" s="121">
        <v>1.049</v>
      </c>
      <c r="AX126" s="115">
        <f>AN126-AP126</f>
      </c>
    </row>
    <row r="127" spans="1:50" ht="15" hidden="1" customHeight="1" x14ac:dyDescent="0.3">
      <c r="A127" s="94" t="s">
        <v>263</v>
      </c>
      <c r="B127" s="94"/>
      <c r="C127" s="94"/>
      <c r="D127" s="94"/>
      <c r="E127" s="94"/>
      <c r="F127" s="94"/>
      <c r="G127" s="112">
        <f>AU127</f>
      </c>
      <c r="H127" s="113"/>
      <c r="I127" s="94" t="s">
        <v>264</v>
      </c>
      <c r="J127" s="94" t="s">
        <v>265</v>
      </c>
      <c r="K127" s="114">
        <f>P127/3</f>
      </c>
      <c r="L127" s="115">
        <v>0</v>
      </c>
      <c r="M127" s="116">
        <f>L127</f>
      </c>
      <c r="N127" s="117">
        <f>M127-L127</f>
      </c>
      <c r="O127" s="112"/>
      <c r="P127" s="118">
        <f>N127+O127</f>
      </c>
      <c r="Q127" s="94" t="s">
        <v>788</v>
      </c>
      <c r="R127" s="94" t="s">
        <v>63</v>
      </c>
      <c r="S127" s="119">
        <v>46342</v>
      </c>
      <c r="T127" s="119"/>
      <c r="U127" s="120">
        <v>46342</v>
      </c>
      <c r="V127" s="94"/>
      <c r="W127" s="94"/>
      <c r="X127" s="94"/>
      <c r="Y127" s="119">
        <v>46342</v>
      </c>
      <c r="Z127" s="94"/>
      <c r="AA127" s="120"/>
      <c r="AB127" s="120"/>
      <c r="AC127" s="120"/>
      <c r="AD127" s="120"/>
      <c r="AE127" s="120"/>
      <c r="AF127" s="120"/>
      <c r="AG127" s="94"/>
      <c r="AH127" s="120"/>
      <c r="AI127" s="94"/>
      <c r="AJ127" s="94" t="s">
        <v>788</v>
      </c>
      <c r="AK127" s="94" t="s">
        <v>267</v>
      </c>
      <c r="AL127" s="94">
        <v>120</v>
      </c>
      <c r="AM127" s="94" t="str">
        <f>TRIM(AJ127)&amp;TRIM(AL127)&amp;TRIM(AK127)</f>
      </c>
      <c r="AN127" s="116">
        <v>1010</v>
      </c>
      <c r="AO127" s="116">
        <v>-19</v>
      </c>
      <c r="AP127" s="116">
        <f>SUMIFS(M:M,AM:AM,AM127)+SUMIFS(O:O,AM:AM,AM127)</f>
      </c>
      <c r="AQ127" s="116">
        <f>SUMIFS(L:L,AM:AM,AM127)</f>
      </c>
      <c r="AR127" s="116">
        <f>AQ127-AP127</f>
      </c>
      <c r="AS127" s="94" t="str">
        <f>IF(AN127&gt;=AQ127,"ok","ck")</f>
      </c>
      <c r="AT127" s="116">
        <f>-P127</f>
      </c>
      <c r="AU127" s="115">
        <f>IF(SUMIFS(AT:AT,AM:AM,AM127)&gt;AO127,(SUMIFS(AT:AT,AM:AM,AM127)-AO127))</f>
      </c>
      <c r="AV127" s="116">
        <v>1010</v>
      </c>
      <c r="AW127" s="121">
        <v>1.019</v>
      </c>
      <c r="AX127" s="115">
        <f>AN127-AP127</f>
      </c>
    </row>
    <row r="128" spans="1:50" ht="15" hidden="1" customHeight="1" x14ac:dyDescent="0.3">
      <c r="A128" s="94" t="s">
        <v>60</v>
      </c>
      <c r="B128" s="94"/>
      <c r="C128" s="94"/>
      <c r="D128" s="94"/>
      <c r="E128" s="94"/>
      <c r="F128" s="94"/>
      <c r="G128" s="112">
        <f>AU128</f>
      </c>
      <c r="H128" s="113"/>
      <c r="I128" s="94" t="s">
        <v>70</v>
      </c>
      <c r="J128" s="94" t="s">
        <v>71</v>
      </c>
      <c r="K128" s="114">
        <f>P128/3</f>
      </c>
      <c r="L128" s="115">
        <v>-163.13</v>
      </c>
      <c r="M128" s="116">
        <f>L128</f>
      </c>
      <c r="N128" s="117">
        <f>M128-L128</f>
      </c>
      <c r="O128" s="112"/>
      <c r="P128" s="118">
        <f>N128+O128</f>
      </c>
      <c r="Q128" s="94" t="s">
        <v>117</v>
      </c>
      <c r="R128" s="94" t="s">
        <v>63</v>
      </c>
      <c r="S128" s="119">
        <v>46331</v>
      </c>
      <c r="T128" s="119"/>
      <c r="U128" s="120">
        <v>46331</v>
      </c>
      <c r="V128" s="94"/>
      <c r="W128" s="94"/>
      <c r="X128" s="94"/>
      <c r="Y128" s="119">
        <v>46331</v>
      </c>
      <c r="Z128" s="94"/>
      <c r="AA128" s="120"/>
      <c r="AB128" s="120"/>
      <c r="AC128" s="120"/>
      <c r="AD128" s="120"/>
      <c r="AE128" s="120"/>
      <c r="AF128" s="120"/>
      <c r="AG128" s="94"/>
      <c r="AH128" s="120"/>
      <c r="AI128" s="94"/>
      <c r="AJ128" s="94" t="s">
        <v>117</v>
      </c>
      <c r="AK128" s="94" t="s">
        <v>71</v>
      </c>
      <c r="AL128" s="94">
        <v>140</v>
      </c>
      <c r="AM128" s="94" t="str">
        <f>TRIM(AJ128)&amp;TRIM(AL128)&amp;TRIM(AK128)</f>
      </c>
      <c r="AN128" s="116">
        <v>43254</v>
      </c>
      <c r="AO128" s="116">
        <v>-156</v>
      </c>
      <c r="AP128" s="116">
        <f>SUMIFS(M:M,AM:AM,AM128)+SUMIFS(O:O,AM:AM,AM128)</f>
      </c>
      <c r="AQ128" s="116">
        <f>SUMIFS(L:L,AM:AM,AM128)</f>
      </c>
      <c r="AR128" s="116">
        <f>AQ128-AP128</f>
      </c>
      <c r="AS128" s="94" t="str">
        <f>IF(AN128&gt;=AQ128,"ok","ck")</f>
      </c>
      <c r="AT128" s="116">
        <f>-P128</f>
      </c>
      <c r="AU128" s="115">
        <f>IF(SUMIFS(AT:AT,AM:AM,AM128)&gt;AO128,(SUMIFS(AT:AT,AM:AM,AM128)-AO128))</f>
      </c>
      <c r="AV128" s="116">
        <v>43254</v>
      </c>
      <c r="AW128" s="121">
        <v>1.004</v>
      </c>
      <c r="AX128" s="115">
        <f>AN128-AP128</f>
      </c>
    </row>
    <row r="129" spans="1:50" ht="15" hidden="1" customHeight="1" x14ac:dyDescent="0.3">
      <c r="A129" s="94" t="s">
        <v>263</v>
      </c>
      <c r="B129" s="94"/>
      <c r="C129" s="94"/>
      <c r="D129" s="94"/>
      <c r="E129" s="94"/>
      <c r="F129" s="94"/>
      <c r="G129" s="112">
        <f>AU129</f>
      </c>
      <c r="H129" s="113"/>
      <c r="I129" s="94" t="s">
        <v>264</v>
      </c>
      <c r="J129" s="94" t="s">
        <v>357</v>
      </c>
      <c r="K129" s="114">
        <f>P129/3</f>
      </c>
      <c r="L129" s="115">
        <v>0</v>
      </c>
      <c r="M129" s="116">
        <f>L129</f>
      </c>
      <c r="N129" s="117">
        <f>M129-L129</f>
      </c>
      <c r="O129" s="112"/>
      <c r="P129" s="118">
        <f>N129+O129</f>
      </c>
      <c r="Q129" s="94" t="s">
        <v>364</v>
      </c>
      <c r="R129" s="94" t="s">
        <v>63</v>
      </c>
      <c r="S129" s="119">
        <v>46320</v>
      </c>
      <c r="T129" s="119"/>
      <c r="U129" s="120">
        <v>46320</v>
      </c>
      <c r="V129" s="94"/>
      <c r="W129" s="94"/>
      <c r="X129" s="94"/>
      <c r="Y129" s="119">
        <v>46320</v>
      </c>
      <c r="Z129" s="94"/>
      <c r="AA129" s="120"/>
      <c r="AB129" s="120"/>
      <c r="AC129" s="120"/>
      <c r="AD129" s="120"/>
      <c r="AE129" s="120"/>
      <c r="AF129" s="120"/>
      <c r="AG129" s="94"/>
      <c r="AH129" s="120"/>
      <c r="AI129" s="94"/>
      <c r="AJ129" s="94" t="s">
        <v>364</v>
      </c>
      <c r="AK129" s="94" t="s">
        <v>357</v>
      </c>
      <c r="AL129" s="94">
        <v>120</v>
      </c>
      <c r="AM129" s="94" t="str">
        <f>TRIM(AJ129)&amp;TRIM(AL129)&amp;TRIM(AK129)</f>
      </c>
      <c r="AN129" s="116">
        <v>983</v>
      </c>
      <c r="AO129" s="116">
        <v>-15</v>
      </c>
      <c r="AP129" s="116">
        <f>SUMIFS(M:M,AM:AM,AM129)+SUMIFS(O:O,AM:AM,AM129)</f>
      </c>
      <c r="AQ129" s="116">
        <f>SUMIFS(L:L,AM:AM,AM129)</f>
      </c>
      <c r="AR129" s="116">
        <f>AQ129-AP129</f>
      </c>
      <c r="AS129" s="94" t="str">
        <f>IF(AN129&gt;=AQ129,"ok","ck")</f>
      </c>
      <c r="AT129" s="116">
        <f>-P129</f>
      </c>
      <c r="AU129" s="115">
        <f>IF(SUMIFS(AT:AT,AM:AM,AM129)&gt;AO129,(SUMIFS(AT:AT,AM:AM,AM129)-AO129))</f>
      </c>
      <c r="AV129" s="116">
        <v>983</v>
      </c>
      <c r="AW129" s="121">
        <v>1.015</v>
      </c>
      <c r="AX129" s="115">
        <f>AN129-AP129</f>
      </c>
    </row>
    <row r="130" spans="1:50" ht="15" customHeight="1" x14ac:dyDescent="0.3">
      <c r="A130" s="94" t="s">
        <v>862</v>
      </c>
      <c r="B130" s="94"/>
      <c r="C130" s="94"/>
      <c r="D130" s="94"/>
      <c r="E130" s="94"/>
      <c r="F130" s="94"/>
      <c r="G130" s="112">
        <f>AU130</f>
      </c>
      <c r="H130" s="113"/>
      <c r="I130" s="94" t="s">
        <v>278</v>
      </c>
      <c r="J130" s="94" t="s">
        <v>281</v>
      </c>
      <c r="K130" s="114">
        <f>P130/3</f>
      </c>
      <c r="L130" s="115">
        <v>155</v>
      </c>
      <c r="M130" s="116">
        <v>155</v>
      </c>
      <c r="N130" s="117">
        <f>M130-L130</f>
      </c>
      <c r="O130" s="112"/>
      <c r="P130" s="118">
        <f>N130+O130</f>
      </c>
      <c r="Q130" s="94"/>
      <c r="R130" s="94" t="s">
        <v>63</v>
      </c>
      <c r="S130" s="119">
        <v>46327</v>
      </c>
      <c r="T130" s="119"/>
      <c r="U130" s="120" t="s">
        <v>632</v>
      </c>
      <c r="V130" s="94"/>
      <c r="W130" s="94"/>
      <c r="X130" s="94"/>
      <c r="Y130" s="119">
        <v>46338</v>
      </c>
      <c r="Z130" s="94"/>
      <c r="AA130" s="120"/>
      <c r="AB130" s="120"/>
      <c r="AC130" s="120"/>
      <c r="AD130" s="120"/>
      <c r="AE130" s="120"/>
      <c r="AF130" s="120"/>
      <c r="AG130" s="94"/>
      <c r="AH130" s="120"/>
      <c r="AI130" s="94"/>
      <c r="AJ130" s="94"/>
      <c r="AK130" s="94"/>
      <c r="AL130" s="94">
        <v>120</v>
      </c>
      <c r="AM130" s="94" t="str">
        <f>TRIM(AJ130)&amp;TRIM(AL130)&amp;TRIM(AK130)</f>
      </c>
      <c r="AN130" s="116">
        <v>0</v>
      </c>
      <c r="AO130" s="116" t="inlineStr">
        <is>
          <t>#NA</t>
        </is>
      </c>
      <c r="AP130" s="116">
        <f>SUMIFS(M:M,AM:AM,AM130)+SUMIFS(O:O,AM:AM,AM130)</f>
      </c>
      <c r="AQ130" s="116">
        <f>SUMIFS(L:L,AM:AM,AM130)</f>
      </c>
      <c r="AR130" s="116">
        <f>AQ130-AP130</f>
      </c>
      <c r="AS130" s="94" t="str">
        <f>IF(AN130&gt;=AQ130,"ok","ck")</f>
      </c>
      <c r="AT130" s="116">
        <f>-P130</f>
      </c>
      <c r="AU130" s="115">
        <f>IF(SUMIFS(AT:AT,AM:AM,AM130)&gt;AO130,(SUMIFS(AT:AT,AM:AM,AM130)-AO130))</f>
      </c>
      <c r="AV130" s="116" t="e">
        <v>#N/A</v>
      </c>
      <c r="AW130" s="121" t="e">
        <v>#N/A</v>
      </c>
      <c r="AX130" s="115">
        <f>AN130-AP130</f>
      </c>
    </row>
    <row r="131" spans="1:50" ht="15" customHeight="1" x14ac:dyDescent="0.3">
      <c r="A131" s="94" t="s">
        <v>862</v>
      </c>
      <c r="B131" s="94"/>
      <c r="C131" s="94"/>
      <c r="D131" s="94"/>
      <c r="E131" s="94"/>
      <c r="F131" s="94"/>
      <c r="G131" s="112">
        <f>AU131</f>
      </c>
      <c r="H131" s="113"/>
      <c r="I131" s="94" t="s">
        <v>278</v>
      </c>
      <c r="J131" s="94" t="s">
        <v>281</v>
      </c>
      <c r="K131" s="114">
        <f>P131/3</f>
      </c>
      <c r="L131" s="115">
        <v>156.471</v>
      </c>
      <c r="M131" s="116">
        <v>156.471</v>
      </c>
      <c r="N131" s="117">
        <f>M131-L131</f>
      </c>
      <c r="O131" s="112"/>
      <c r="P131" s="118">
        <f>N131+O131</f>
      </c>
      <c r="Q131" s="94"/>
      <c r="R131" s="94" t="s">
        <v>63</v>
      </c>
      <c r="S131" s="119">
        <v>46328</v>
      </c>
      <c r="T131" s="119"/>
      <c r="U131" s="120" t="s">
        <v>632</v>
      </c>
      <c r="V131" s="94"/>
      <c r="W131" s="94"/>
      <c r="X131" s="94"/>
      <c r="Y131" s="119">
        <v>46338</v>
      </c>
      <c r="Z131" s="94"/>
      <c r="AA131" s="120"/>
      <c r="AB131" s="120"/>
      <c r="AC131" s="120"/>
      <c r="AD131" s="120"/>
      <c r="AE131" s="120"/>
      <c r="AF131" s="120"/>
      <c r="AG131" s="94"/>
      <c r="AH131" s="120"/>
      <c r="AI131" s="94"/>
      <c r="AJ131" s="94"/>
      <c r="AK131" s="94"/>
      <c r="AL131" s="94">
        <v>120</v>
      </c>
      <c r="AM131" s="94" t="str">
        <f>TRIM(AJ131)&amp;TRIM(AL131)&amp;TRIM(AK131)</f>
      </c>
      <c r="AN131" s="116">
        <v>0</v>
      </c>
      <c r="AO131" s="116" t="inlineStr">
        <is>
          <t>#NA</t>
        </is>
      </c>
      <c r="AP131" s="116">
        <f>SUMIFS(M:M,AM:AM,AM131)+SUMIFS(O:O,AM:AM,AM131)</f>
      </c>
      <c r="AQ131" s="116">
        <f>SUMIFS(L:L,AM:AM,AM131)</f>
      </c>
      <c r="AR131" s="116">
        <f>AQ131-AP131</f>
      </c>
      <c r="AS131" s="94" t="str">
        <f>IF(AN131&gt;=AQ131,"ok","ck")</f>
      </c>
      <c r="AT131" s="116">
        <f>-P131</f>
      </c>
      <c r="AU131" s="115">
        <f>IF(SUMIFS(AT:AT,AM:AM,AM131)&gt;AO131,(SUMIFS(AT:AT,AM:AM,AM131)-AO131))</f>
      </c>
      <c r="AV131" s="116" t="e">
        <v>#N/A</v>
      </c>
      <c r="AW131" s="121" t="e">
        <v>#N/A</v>
      </c>
      <c r="AX131" s="115">
        <f>AN131-AP131</f>
      </c>
    </row>
    <row r="132" spans="1:50" ht="15" customHeight="1" x14ac:dyDescent="0.3">
      <c r="A132" s="94" t="s">
        <v>862</v>
      </c>
      <c r="B132" s="94"/>
      <c r="C132" s="94"/>
      <c r="D132" s="94"/>
      <c r="E132" s="94"/>
      <c r="F132" s="94"/>
      <c r="G132" s="112">
        <f>AU132</f>
      </c>
      <c r="H132" s="113"/>
      <c r="I132" s="94" t="s">
        <v>278</v>
      </c>
      <c r="J132" s="94" t="s">
        <v>281</v>
      </c>
      <c r="K132" s="114">
        <f>P132/3</f>
      </c>
      <c r="L132" s="115">
        <v>156.471</v>
      </c>
      <c r="M132" s="116">
        <v>137.529</v>
      </c>
      <c r="N132" s="117">
        <f>M132-L132</f>
      </c>
      <c r="O132" s="112"/>
      <c r="P132" s="118">
        <f>N132+O132</f>
      </c>
      <c r="Q132" s="94"/>
      <c r="R132" s="94" t="s">
        <v>63</v>
      </c>
      <c r="S132" s="119">
        <v>46329</v>
      </c>
      <c r="T132" s="119"/>
      <c r="U132" s="120" t="s">
        <v>632</v>
      </c>
      <c r="V132" s="94"/>
      <c r="W132" s="94"/>
      <c r="X132" s="94"/>
      <c r="Y132" s="119">
        <v>46320</v>
      </c>
      <c r="Z132" s="94"/>
      <c r="AA132" s="120"/>
      <c r="AB132" s="120"/>
      <c r="AC132" s="120"/>
      <c r="AD132" s="120"/>
      <c r="AE132" s="120"/>
      <c r="AF132" s="120"/>
      <c r="AG132" s="94"/>
      <c r="AH132" s="120"/>
      <c r="AI132" s="94"/>
      <c r="AJ132" s="94"/>
      <c r="AK132" s="94"/>
      <c r="AL132" s="94">
        <v>120</v>
      </c>
      <c r="AM132" s="94" t="str">
        <f>TRIM(AJ132)&amp;TRIM(AL132)&amp;TRIM(AK132)</f>
      </c>
      <c r="AN132" s="116">
        <v>0</v>
      </c>
      <c r="AO132" s="116" t="inlineStr">
        <is>
          <t>#NA</t>
        </is>
      </c>
      <c r="AP132" s="116">
        <f>SUMIFS(M:M,AM:AM,AM132)+SUMIFS(O:O,AM:AM,AM132)</f>
      </c>
      <c r="AQ132" s="116">
        <f>SUMIFS(L:L,AM:AM,AM132)</f>
      </c>
      <c r="AR132" s="116">
        <f>AQ132-AP132</f>
      </c>
      <c r="AS132" s="94" t="str">
        <f>IF(AN132&gt;=AQ132,"ok","ck")</f>
      </c>
      <c r="AT132" s="116">
        <f>-P132</f>
      </c>
      <c r="AU132" s="115">
        <f>IF(SUMIFS(AT:AT,AM:AM,AM132)&gt;AO132,(SUMIFS(AT:AT,AM:AM,AM132)-AO132))</f>
      </c>
      <c r="AV132" s="116" t="e">
        <v>#N/A</v>
      </c>
      <c r="AW132" s="121" t="e">
        <v>#N/A</v>
      </c>
      <c r="AX132" s="115">
        <f>AN132-AP132</f>
      </c>
    </row>
    <row r="133" spans="1:50" ht="15" customHeight="1" x14ac:dyDescent="0.3">
      <c r="A133" s="94" t="s">
        <v>862</v>
      </c>
      <c r="B133" s="94"/>
      <c r="C133" s="94"/>
      <c r="D133" s="94"/>
      <c r="E133" s="94"/>
      <c r="F133" s="94"/>
      <c r="G133" s="112">
        <f>AU133</f>
      </c>
      <c r="H133" s="113"/>
      <c r="I133" s="94" t="s">
        <v>278</v>
      </c>
      <c r="J133" s="94" t="s">
        <v>281</v>
      </c>
      <c r="K133" s="114">
        <f>P133/3</f>
      </c>
      <c r="L133" s="115">
        <v>156.471</v>
      </c>
      <c r="M133" s="116"/>
      <c r="N133" s="117">
        <f>M133-L133</f>
      </c>
      <c r="O133" s="112"/>
      <c r="P133" s="118">
        <f>N133+O133</f>
      </c>
      <c r="Q133" s="94"/>
      <c r="R133" s="94" t="s">
        <v>63</v>
      </c>
      <c r="S133" s="119">
        <v>46330</v>
      </c>
      <c r="T133" s="119"/>
      <c r="U133" s="120" t="s">
        <v>632</v>
      </c>
      <c r="V133" s="94"/>
      <c r="W133" s="94"/>
      <c r="X133" s="94"/>
      <c r="Y133" s="119">
        <v>46320</v>
      </c>
      <c r="Z133" s="94"/>
      <c r="AA133" s="120"/>
      <c r="AB133" s="120"/>
      <c r="AC133" s="120"/>
      <c r="AD133" s="120"/>
      <c r="AE133" s="120"/>
      <c r="AF133" s="120"/>
      <c r="AG133" s="94"/>
      <c r="AH133" s="120"/>
      <c r="AI133" s="94"/>
      <c r="AJ133" s="94"/>
      <c r="AK133" s="94"/>
      <c r="AL133" s="94">
        <v>120</v>
      </c>
      <c r="AM133" s="94" t="str">
        <f>TRIM(AJ133)&amp;TRIM(AL133)&amp;TRIM(AK133)</f>
      </c>
      <c r="AN133" s="116">
        <v>0</v>
      </c>
      <c r="AO133" s="116" t="inlineStr">
        <is>
          <t>#NA</t>
        </is>
      </c>
      <c r="AP133" s="116">
        <f>SUMIFS(M:M,AM:AM,AM133)+SUMIFS(O:O,AM:AM,AM133)</f>
      </c>
      <c r="AQ133" s="116">
        <f>SUMIFS(L:L,AM:AM,AM133)</f>
      </c>
      <c r="AR133" s="116">
        <f>AQ133-AP133</f>
      </c>
      <c r="AS133" s="94" t="str">
        <f>IF(AN133&gt;=AQ133,"ok","ck")</f>
      </c>
      <c r="AT133" s="116">
        <f>-P133</f>
      </c>
      <c r="AU133" s="115">
        <f>IF(SUMIFS(AT:AT,AM:AM,AM133)&gt;AO133,(SUMIFS(AT:AT,AM:AM,AM133)-AO133))</f>
      </c>
      <c r="AV133" s="116" t="e">
        <v>#N/A</v>
      </c>
      <c r="AW133" s="121" t="e">
        <v>#N/A</v>
      </c>
      <c r="AX133" s="115">
        <f>AN133-AP133</f>
      </c>
    </row>
    <row r="134" spans="1:50" ht="15" customHeight="1" x14ac:dyDescent="0.3">
      <c r="A134" s="94" t="s">
        <v>862</v>
      </c>
      <c r="B134" s="94"/>
      <c r="C134" s="94"/>
      <c r="D134" s="94"/>
      <c r="E134" s="94"/>
      <c r="F134" s="94"/>
      <c r="G134" s="112">
        <f>AU134</f>
      </c>
      <c r="H134" s="113"/>
      <c r="I134" s="94" t="s">
        <v>278</v>
      </c>
      <c r="J134" s="94" t="s">
        <v>281</v>
      </c>
      <c r="K134" s="114">
        <f>P134/3</f>
      </c>
      <c r="L134" s="115">
        <v>156.471</v>
      </c>
      <c r="M134" s="116"/>
      <c r="N134" s="117">
        <f>M134-L134</f>
      </c>
      <c r="O134" s="112"/>
      <c r="P134" s="118">
        <f>N134+O134</f>
      </c>
      <c r="Q134" s="94"/>
      <c r="R134" s="94" t="s">
        <v>63</v>
      </c>
      <c r="S134" s="119">
        <v>46331</v>
      </c>
      <c r="T134" s="119"/>
      <c r="U134" s="120" t="s">
        <v>632</v>
      </c>
      <c r="V134" s="94"/>
      <c r="W134" s="94"/>
      <c r="X134" s="94"/>
      <c r="Y134" s="119">
        <v>46328</v>
      </c>
      <c r="Z134" s="94"/>
      <c r="AA134" s="120"/>
      <c r="AB134" s="120"/>
      <c r="AC134" s="120"/>
      <c r="AD134" s="120"/>
      <c r="AE134" s="120"/>
      <c r="AF134" s="120"/>
      <c r="AG134" s="94"/>
      <c r="AH134" s="120"/>
      <c r="AI134" s="94"/>
      <c r="AJ134" s="94"/>
      <c r="AK134" s="94"/>
      <c r="AL134" s="94">
        <v>120</v>
      </c>
      <c r="AM134" s="94" t="str">
        <f>TRIM(AJ134)&amp;TRIM(AL134)&amp;TRIM(AK134)</f>
      </c>
      <c r="AN134" s="116">
        <v>0</v>
      </c>
      <c r="AO134" s="116" t="inlineStr">
        <is>
          <t>#NA</t>
        </is>
      </c>
      <c r="AP134" s="116">
        <f>SUMIFS(M:M,AM:AM,AM134)+SUMIFS(O:O,AM:AM,AM134)</f>
      </c>
      <c r="AQ134" s="116">
        <f>SUMIFS(L:L,AM:AM,AM134)</f>
      </c>
      <c r="AR134" s="116">
        <f>AQ134-AP134</f>
      </c>
      <c r="AS134" s="94" t="str">
        <f>IF(AN134&gt;=AQ134,"ok","ck")</f>
      </c>
      <c r="AT134" s="116">
        <f>-P134</f>
      </c>
      <c r="AU134" s="115">
        <f>IF(SUMIFS(AT:AT,AM:AM,AM134)&gt;AO134,(SUMIFS(AT:AT,AM:AM,AM134)-AO134))</f>
      </c>
      <c r="AV134" s="116" t="e">
        <v>#N/A</v>
      </c>
      <c r="AW134" s="121" t="e">
        <v>#N/A</v>
      </c>
      <c r="AX134" s="115">
        <f>AN134-AP134</f>
      </c>
    </row>
    <row r="135" spans="1:50" ht="15" hidden="1" customHeight="1" x14ac:dyDescent="0.3">
      <c r="A135" s="94" t="s">
        <v>268</v>
      </c>
      <c r="B135" s="94"/>
      <c r="C135" s="94"/>
      <c r="D135" s="94"/>
      <c r="E135" s="94"/>
      <c r="F135" s="94"/>
      <c r="G135" s="112">
        <f>AU135</f>
      </c>
      <c r="H135" s="113"/>
      <c r="I135" s="94" t="s">
        <v>390</v>
      </c>
      <c r="J135" s="94" t="s">
        <v>324</v>
      </c>
      <c r="K135" s="114">
        <f>P135/3</f>
      </c>
      <c r="L135" s="115">
        <v>1655</v>
      </c>
      <c r="M135" s="116"/>
      <c r="N135" s="117">
        <f>M135-L135</f>
      </c>
      <c r="O135" s="112"/>
      <c r="P135" s="118">
        <f>N135+O135</f>
      </c>
      <c r="Q135" s="94" t="s">
        <v>305</v>
      </c>
      <c r="R135" s="94" t="s">
        <v>63</v>
      </c>
      <c r="S135" s="119">
        <v>46330</v>
      </c>
      <c r="T135" s="119"/>
      <c r="U135" s="120" t="s">
        <v>634</v>
      </c>
      <c r="V135" s="94"/>
      <c r="W135" s="94"/>
      <c r="X135" s="94"/>
      <c r="Y135" s="119">
        <v>46322</v>
      </c>
      <c r="Z135" s="94"/>
      <c r="AA135" s="120"/>
      <c r="AB135" s="120"/>
      <c r="AC135" s="120"/>
      <c r="AD135" s="120"/>
      <c r="AE135" s="120"/>
      <c r="AF135" s="120"/>
      <c r="AG135" s="94"/>
      <c r="AH135" s="120"/>
      <c r="AI135" s="94"/>
      <c r="AJ135" s="94" t="s">
        <v>305</v>
      </c>
      <c r="AK135" s="94" t="s">
        <v>324</v>
      </c>
      <c r="AL135" s="94">
        <v>140</v>
      </c>
      <c r="AM135" s="94" t="str">
        <f>TRIM(AJ135)&amp;TRIM(AL135)&amp;TRIM(AK135)</f>
      </c>
      <c r="AN135" s="116">
        <v>0</v>
      </c>
      <c r="AO135" s="116" t="inlineStr">
        <is>
          <t>#NA</t>
        </is>
      </c>
      <c r="AP135" s="116">
        <f>SUMIFS(M:M,AM:AM,AM135)+SUMIFS(O:O,AM:AM,AM135)</f>
      </c>
      <c r="AQ135" s="116">
        <f>SUMIFS(L:L,AM:AM,AM135)</f>
      </c>
      <c r="AR135" s="116">
        <f>AQ135-AP135</f>
      </c>
      <c r="AS135" s="94" t="str">
        <f>IF(AN135&gt;=AQ135,"ok","ck")</f>
      </c>
      <c r="AT135" s="116">
        <f>-P135</f>
      </c>
      <c r="AU135" s="115">
        <f>IF(SUMIFS(AT:AT,AM:AM,AM135)&gt;AO135,(SUMIFS(AT:AT,AM:AM,AM135)-AO135))</f>
      </c>
      <c r="AV135" s="116">
        <v>0</v>
      </c>
      <c r="AW135" s="121">
        <v>0</v>
      </c>
      <c r="AX135" s="115">
        <f>AN135-AP135</f>
      </c>
    </row>
    <row r="136" spans="1:50" ht="15" hidden="1" customHeight="1" x14ac:dyDescent="0.3">
      <c r="A136" s="94" t="s">
        <v>268</v>
      </c>
      <c r="B136" s="94"/>
      <c r="C136" s="94"/>
      <c r="D136" s="94"/>
      <c r="E136" s="94"/>
      <c r="F136" s="94"/>
      <c r="G136" s="112">
        <f>AU136</f>
      </c>
      <c r="H136" s="113"/>
      <c r="I136" s="94" t="s">
        <v>390</v>
      </c>
      <c r="J136" s="94" t="s">
        <v>506</v>
      </c>
      <c r="K136" s="114">
        <f>P136/3</f>
      </c>
      <c r="L136" s="115">
        <v>-26.43</v>
      </c>
      <c r="M136" s="116">
        <f>L136</f>
      </c>
      <c r="N136" s="117">
        <f>M136-L136</f>
      </c>
      <c r="O136" s="112"/>
      <c r="P136" s="118">
        <f>N136+O136</f>
      </c>
      <c r="Q136" s="94" t="s">
        <v>287</v>
      </c>
      <c r="R136" s="94" t="s">
        <v>63</v>
      </c>
      <c r="S136" s="119">
        <v>46334</v>
      </c>
      <c r="T136" s="119"/>
      <c r="U136" s="120">
        <v>46334</v>
      </c>
      <c r="V136" s="94"/>
      <c r="W136" s="94"/>
      <c r="X136" s="94"/>
      <c r="Y136" s="119">
        <v>46334</v>
      </c>
      <c r="Z136" s="94"/>
      <c r="AA136" s="120"/>
      <c r="AB136" s="120"/>
      <c r="AC136" s="120"/>
      <c r="AD136" s="120"/>
      <c r="AE136" s="120"/>
      <c r="AF136" s="120"/>
      <c r="AG136" s="94"/>
      <c r="AH136" s="120"/>
      <c r="AI136" s="94"/>
      <c r="AJ136" s="94" t="s">
        <v>287</v>
      </c>
      <c r="AK136" s="94" t="s">
        <v>700</v>
      </c>
      <c r="AL136" s="94">
        <v>140</v>
      </c>
      <c r="AM136" s="94" t="str">
        <f>TRIM(AJ136)&amp;TRIM(AL136)&amp;TRIM(AK136)</f>
      </c>
      <c r="AN136" s="116">
        <v>1195</v>
      </c>
      <c r="AO136" s="116">
        <v>-27.5</v>
      </c>
      <c r="AP136" s="116">
        <f>SUMIFS(M:M,AM:AM,AM136)+SUMIFS(O:O,AM:AM,AM136)</f>
      </c>
      <c r="AQ136" s="116">
        <f>SUMIFS(L:L,AM:AM,AM136)</f>
      </c>
      <c r="AR136" s="116">
        <f>AQ136-AP136</f>
      </c>
      <c r="AS136" s="94" t="str">
        <f>IF(AN136&gt;=AQ136,"ok","ck")</f>
      </c>
      <c r="AT136" s="116">
        <f>-P136</f>
      </c>
      <c r="AU136" s="115">
        <f>IF(SUMIFS(AT:AT,AM:AM,AM136)&gt;AO136,(SUMIFS(AT:AT,AM:AM,AM136)-AO136))</f>
      </c>
      <c r="AV136" s="116">
        <v>1195</v>
      </c>
      <c r="AW136" s="121">
        <v>1.024</v>
      </c>
      <c r="AX136" s="115">
        <f>AN136-AP136</f>
      </c>
    </row>
    <row r="137" spans="1:50" ht="15" hidden="1" customHeight="1" x14ac:dyDescent="0.3">
      <c r="A137" s="94" t="s">
        <v>268</v>
      </c>
      <c r="B137" s="94"/>
      <c r="C137" s="94"/>
      <c r="D137" s="94"/>
      <c r="E137" s="94"/>
      <c r="F137" s="94"/>
      <c r="G137" s="112">
        <f>AU137</f>
      </c>
      <c r="H137" s="113"/>
      <c r="I137" s="94" t="s">
        <v>390</v>
      </c>
      <c r="J137" s="94" t="s">
        <v>506</v>
      </c>
      <c r="K137" s="114">
        <f>P137/3</f>
      </c>
      <c r="L137" s="115">
        <v>0.40200000000000002</v>
      </c>
      <c r="M137" s="116">
        <f>L137</f>
      </c>
      <c r="N137" s="117">
        <f>M137-L137</f>
      </c>
      <c r="O137" s="112"/>
      <c r="P137" s="118">
        <f>N137+O137</f>
      </c>
      <c r="Q137" s="94" t="s">
        <v>287</v>
      </c>
      <c r="R137" s="94" t="s">
        <v>63</v>
      </c>
      <c r="S137" s="119">
        <v>46334</v>
      </c>
      <c r="T137" s="119"/>
      <c r="U137" s="120">
        <v>46334</v>
      </c>
      <c r="V137" s="94"/>
      <c r="W137" s="94"/>
      <c r="X137" s="94"/>
      <c r="Y137" s="119">
        <v>46334</v>
      </c>
      <c r="Z137" s="94"/>
      <c r="AA137" s="120"/>
      <c r="AB137" s="120"/>
      <c r="AC137" s="120"/>
      <c r="AD137" s="120"/>
      <c r="AE137" s="120"/>
      <c r="AF137" s="120"/>
      <c r="AG137" s="94"/>
      <c r="AH137" s="120"/>
      <c r="AI137" s="94"/>
      <c r="AJ137" s="94" t="s">
        <v>287</v>
      </c>
      <c r="AK137" s="94" t="s">
        <v>700</v>
      </c>
      <c r="AL137" s="94">
        <v>140</v>
      </c>
      <c r="AM137" s="94" t="str">
        <f>TRIM(AJ137)&amp;TRIM(AL137)&amp;TRIM(AK137)</f>
      </c>
      <c r="AN137" s="116">
        <v>1195</v>
      </c>
      <c r="AO137" s="116">
        <v>-27.5</v>
      </c>
      <c r="AP137" s="116">
        <f>SUMIFS(M:M,AM:AM,AM137)+SUMIFS(O:O,AM:AM,AM137)</f>
      </c>
      <c r="AQ137" s="116">
        <f>SUMIFS(L:L,AM:AM,AM137)</f>
      </c>
      <c r="AR137" s="116">
        <f>AQ137-AP137</f>
      </c>
      <c r="AS137" s="94" t="str">
        <f>IF(AN137&gt;=AQ137,"ok","ck")</f>
      </c>
      <c r="AT137" s="116">
        <f>-P137</f>
      </c>
      <c r="AU137" s="115">
        <f>IF(SUMIFS(AT:AT,AM:AM,AM137)&gt;AO137,(SUMIFS(AT:AT,AM:AM,AM137)-AO137))</f>
      </c>
      <c r="AV137" s="116">
        <v>1195</v>
      </c>
      <c r="AW137" s="121">
        <v>1.024</v>
      </c>
      <c r="AX137" s="115">
        <f>AN137-AP137</f>
      </c>
    </row>
    <row r="138" spans="1:50" ht="15" hidden="1" customHeight="1" x14ac:dyDescent="0.3">
      <c r="A138" s="94" t="s">
        <v>268</v>
      </c>
      <c r="B138" s="94"/>
      <c r="C138" s="94"/>
      <c r="D138" s="94"/>
      <c r="E138" s="94"/>
      <c r="F138" s="94"/>
      <c r="G138" s="112">
        <f>AU138</f>
      </c>
      <c r="H138" s="113"/>
      <c r="I138" s="94" t="s">
        <v>278</v>
      </c>
      <c r="J138" s="94" t="s">
        <v>326</v>
      </c>
      <c r="K138" s="114">
        <f>P138/3</f>
      </c>
      <c r="L138" s="115">
        <v>315.78399999999999</v>
      </c>
      <c r="M138" s="116"/>
      <c r="N138" s="117">
        <f>M138-L138</f>
      </c>
      <c r="O138" s="112"/>
      <c r="P138" s="118">
        <f>N138+O138</f>
      </c>
      <c r="Q138" s="94" t="s">
        <v>305</v>
      </c>
      <c r="R138" s="94" t="s">
        <v>63</v>
      </c>
      <c r="S138" s="119">
        <v>46336</v>
      </c>
      <c r="T138" s="119"/>
      <c r="U138" s="120" t="s">
        <v>635</v>
      </c>
      <c r="V138" s="94"/>
      <c r="W138" s="94"/>
      <c r="X138" s="94"/>
      <c r="Y138" s="119">
        <v>46345</v>
      </c>
      <c r="Z138" s="94"/>
      <c r="AA138" s="120"/>
      <c r="AB138" s="120"/>
      <c r="AC138" s="120"/>
      <c r="AD138" s="120"/>
      <c r="AE138" s="120"/>
      <c r="AF138" s="120"/>
      <c r="AG138" s="94"/>
      <c r="AH138" s="120"/>
      <c r="AI138" s="94"/>
      <c r="AJ138" s="94" t="s">
        <v>305</v>
      </c>
      <c r="AK138" s="94" t="s">
        <v>327</v>
      </c>
      <c r="AL138" s="94">
        <v>120</v>
      </c>
      <c r="AM138" s="94" t="str">
        <f>TRIM(AJ138)&amp;TRIM(AL138)&amp;TRIM(AK138)</f>
      </c>
      <c r="AN138" s="116">
        <v>0</v>
      </c>
      <c r="AO138" s="116" t="inlineStr">
        <is>
          <t>#NA</t>
        </is>
      </c>
      <c r="AP138" s="116">
        <f>SUMIFS(M:M,AM:AM,AM138)+SUMIFS(O:O,AM:AM,AM138)</f>
      </c>
      <c r="AQ138" s="116">
        <f>SUMIFS(L:L,AM:AM,AM138)</f>
      </c>
      <c r="AR138" s="116">
        <f>AQ138-AP138</f>
      </c>
      <c r="AS138" s="94" t="str">
        <f>IF(AN138&gt;=AQ138,"ok","ck")</f>
      </c>
      <c r="AT138" s="116">
        <f>-P138</f>
      </c>
      <c r="AU138" s="115">
        <f>IF(SUMIFS(AT:AT,AM:AM,AM138)&gt;AO138,(SUMIFS(AT:AT,AM:AM,AM138)-AO138))</f>
      </c>
      <c r="AV138" s="116">
        <v>0</v>
      </c>
      <c r="AW138" s="121">
        <v>0</v>
      </c>
      <c r="AX138" s="115">
        <f>AN138-AP138</f>
      </c>
    </row>
    <row r="139" spans="1:50" ht="15" hidden="1" customHeight="1" x14ac:dyDescent="0.3">
      <c r="A139" s="94" t="s">
        <v>288</v>
      </c>
      <c r="B139" s="94"/>
      <c r="C139" s="94"/>
      <c r="D139" s="94"/>
      <c r="E139" s="94"/>
      <c r="F139" s="94"/>
      <c r="G139" s="112">
        <f>AU139</f>
      </c>
      <c r="H139" s="113"/>
      <c r="I139" s="94" t="s">
        <v>295</v>
      </c>
      <c r="J139" s="94" t="s">
        <v>367</v>
      </c>
      <c r="K139" s="114">
        <f>P139/3</f>
      </c>
      <c r="L139" s="115">
        <v>4.173</v>
      </c>
      <c r="M139" s="116">
        <f>L139</f>
      </c>
      <c r="N139" s="117">
        <f>M139-L139</f>
      </c>
      <c r="O139" s="112"/>
      <c r="P139" s="118">
        <f>N139+O139</f>
      </c>
      <c r="Q139" s="94" t="s">
        <v>318</v>
      </c>
      <c r="R139" s="94" t="s">
        <v>63</v>
      </c>
      <c r="S139" s="119">
        <v>46298</v>
      </c>
      <c r="T139" s="119"/>
      <c r="U139" s="120">
        <v>46298</v>
      </c>
      <c r="V139" s="94"/>
      <c r="W139" s="94"/>
      <c r="X139" s="94"/>
      <c r="Y139" s="119">
        <v>46324</v>
      </c>
      <c r="Z139" s="94"/>
      <c r="AA139" s="120"/>
      <c r="AB139" s="120"/>
      <c r="AC139" s="120"/>
      <c r="AD139" s="120"/>
      <c r="AE139" s="120"/>
      <c r="AF139" s="120"/>
      <c r="AG139" s="94"/>
      <c r="AH139" s="120"/>
      <c r="AI139" s="94"/>
      <c r="AJ139" s="94" t="s">
        <v>319</v>
      </c>
      <c r="AK139" s="94" t="s">
        <v>281</v>
      </c>
      <c r="AL139" s="94">
        <v>180</v>
      </c>
      <c r="AM139" s="94" t="str">
        <f>TRIM(AJ139)&amp;TRIM(AL139)&amp;TRIM(AK139)</f>
      </c>
      <c r="AN139" s="116">
        <v>438.79</v>
      </c>
      <c r="AO139" s="116">
        <v>14.79</v>
      </c>
      <c r="AP139" s="116">
        <f>SUMIFS(M:M,AM:AM,AM139)+SUMIFS(O:O,AM:AM,AM139)</f>
      </c>
      <c r="AQ139" s="116">
        <f>SUMIFS(L:L,AM:AM,AM139)</f>
      </c>
      <c r="AR139" s="116">
        <f>AQ139-AP139</f>
      </c>
      <c r="AS139" s="94" t="str">
        <f>IF(AN139&gt;=AQ139,"ok","ck")</f>
      </c>
      <c r="AT139" s="116">
        <f>-P139</f>
      </c>
      <c r="AU139" s="115">
        <f>IF(SUMIFS(AT:AT,AM:AM,AM139)&gt;AO139,(SUMIFS(AT:AT,AM:AM,AM139)-AO139))</f>
      </c>
      <c r="AV139" s="116">
        <v>438.79</v>
      </c>
      <c r="AW139" s="121">
        <v>0.967</v>
      </c>
      <c r="AX139" s="115">
        <f>AN139-AP139</f>
      </c>
    </row>
    <row r="140" spans="1:50" ht="15" hidden="1" customHeight="1" x14ac:dyDescent="0.3">
      <c r="A140" s="94" t="s">
        <v>60</v>
      </c>
      <c r="B140" s="94"/>
      <c r="C140" s="94"/>
      <c r="D140" s="94"/>
      <c r="E140" s="94"/>
      <c r="F140" s="94"/>
      <c r="G140" s="112">
        <f>AU140</f>
      </c>
      <c r="H140" s="113"/>
      <c r="I140" s="94" t="s">
        <v>65</v>
      </c>
      <c r="J140" s="94" t="s">
        <v>68</v>
      </c>
      <c r="K140" s="114">
        <f>P140/3</f>
      </c>
      <c r="L140" s="115">
        <v>171.14400000000001</v>
      </c>
      <c r="M140" s="116">
        <v>122.708</v>
      </c>
      <c r="N140" s="117">
        <f>M140-L140</f>
      </c>
      <c r="O140" s="112"/>
      <c r="P140" s="118">
        <f>N140+O140</f>
      </c>
      <c r="Q140" s="94" t="s">
        <v>80</v>
      </c>
      <c r="R140" s="94" t="s">
        <v>63</v>
      </c>
      <c r="S140" s="119">
        <v>46329</v>
      </c>
      <c r="T140" s="119"/>
      <c r="U140" s="119" t="s">
        <v>636</v>
      </c>
      <c r="V140" s="94"/>
      <c r="W140" s="94"/>
      <c r="X140" s="94"/>
      <c r="Y140" s="119">
        <v>46320</v>
      </c>
      <c r="Z140" s="94"/>
      <c r="AA140" s="120"/>
      <c r="AB140" s="120"/>
      <c r="AC140" s="120"/>
      <c r="AD140" s="120"/>
      <c r="AE140" s="120"/>
      <c r="AF140" s="120"/>
      <c r="AG140" s="94"/>
      <c r="AH140" s="120"/>
      <c r="AI140" s="94"/>
      <c r="AJ140" s="94" t="s">
        <v>80</v>
      </c>
      <c r="AK140" s="94" t="s">
        <v>69</v>
      </c>
      <c r="AL140" s="94">
        <v>110</v>
      </c>
      <c r="AM140" s="94" t="str">
        <f>TRIM(AJ140)&amp;TRIM(AL140)&amp;TRIM(AK140)</f>
      </c>
      <c r="AN140" s="116">
        <v>251</v>
      </c>
      <c r="AO140" s="116">
        <v>102</v>
      </c>
      <c r="AP140" s="116">
        <f>SUMIFS(M:M,AM:AM,AM140)+SUMIFS(O:O,AM:AM,AM140)</f>
      </c>
      <c r="AQ140" s="116">
        <f>SUMIFS(L:L,AM:AM,AM140)</f>
      </c>
      <c r="AR140" s="116">
        <f>AQ140-AP140</f>
      </c>
      <c r="AS140" s="94" t="str">
        <f>IF(AN140&gt;=AQ140,"ok","ck")</f>
      </c>
      <c r="AT140" s="116">
        <f>-P140</f>
      </c>
      <c r="AU140" s="115">
        <f>IF(SUMIFS(AT:AT,AM:AM,AM140)&gt;AO140,(SUMIFS(AT:AT,AM:AM,AM140)-AO140))</f>
      </c>
      <c r="AV140" s="116">
        <v>251</v>
      </c>
      <c r="AW140" s="121">
        <v>0.711</v>
      </c>
      <c r="AX140" s="115">
        <f>AN140-AP140</f>
      </c>
    </row>
    <row r="141" spans="1:50" ht="15" hidden="1" customHeight="1" x14ac:dyDescent="0.3">
      <c r="A141" s="94" t="s">
        <v>60</v>
      </c>
      <c r="B141" s="94"/>
      <c r="C141" s="94"/>
      <c r="D141" s="94"/>
      <c r="E141" s="94"/>
      <c r="F141" s="94"/>
      <c r="G141" s="112">
        <f>AU141</f>
      </c>
      <c r="H141" s="113"/>
      <c r="I141" s="94" t="s">
        <v>65</v>
      </c>
      <c r="J141" s="94" t="s">
        <v>68</v>
      </c>
      <c r="K141" s="114">
        <f>P141/3</f>
      </c>
      <c r="L141" s="115">
        <v>53.564</v>
      </c>
      <c r="M141" s="116"/>
      <c r="N141" s="117">
        <f>M141-L141</f>
      </c>
      <c r="O141" s="112"/>
      <c r="P141" s="118">
        <f>N141+O141</f>
      </c>
      <c r="Q141" s="94" t="s">
        <v>80</v>
      </c>
      <c r="R141" s="94" t="s">
        <v>63</v>
      </c>
      <c r="S141" s="119">
        <v>46332</v>
      </c>
      <c r="T141" s="119"/>
      <c r="U141" s="120" t="s">
        <v>636</v>
      </c>
      <c r="V141" s="94"/>
      <c r="W141" s="94"/>
      <c r="X141" s="94"/>
      <c r="Y141" s="119">
        <v>46320</v>
      </c>
      <c r="Z141" s="94"/>
      <c r="AA141" s="120"/>
      <c r="AB141" s="120"/>
      <c r="AC141" s="120"/>
      <c r="AD141" s="120"/>
      <c r="AE141" s="120"/>
      <c r="AF141" s="120"/>
      <c r="AG141" s="94"/>
      <c r="AH141" s="120"/>
      <c r="AI141" s="94"/>
      <c r="AJ141" s="94" t="s">
        <v>80</v>
      </c>
      <c r="AK141" s="94" t="s">
        <v>69</v>
      </c>
      <c r="AL141" s="94">
        <v>110</v>
      </c>
      <c r="AM141" s="94" t="str">
        <f>TRIM(AJ141)&amp;TRIM(AL141)&amp;TRIM(AK141)</f>
      </c>
      <c r="AN141" s="116">
        <v>251</v>
      </c>
      <c r="AO141" s="116">
        <v>102</v>
      </c>
      <c r="AP141" s="116">
        <f>SUMIFS(M:M,AM:AM,AM141)+SUMIFS(O:O,AM:AM,AM141)</f>
      </c>
      <c r="AQ141" s="116">
        <f>SUMIFS(L:L,AM:AM,AM141)</f>
      </c>
      <c r="AR141" s="116">
        <f>AQ141-AP141</f>
      </c>
      <c r="AS141" s="94" t="str">
        <f>IF(AN141&gt;=AQ141,"ok","ck")</f>
      </c>
      <c r="AT141" s="116">
        <f>-P141</f>
      </c>
      <c r="AU141" s="115">
        <f>IF(SUMIFS(AT:AT,AM:AM,AM141)&gt;AO141,(SUMIFS(AT:AT,AM:AM,AM141)-AO141))</f>
      </c>
      <c r="AV141" s="116">
        <v>251</v>
      </c>
      <c r="AW141" s="121">
        <v>0.711</v>
      </c>
      <c r="AX141" s="115">
        <f>AN141-AP141</f>
      </c>
    </row>
    <row r="142" spans="1:50" ht="15" hidden="1" customHeight="1" x14ac:dyDescent="0.3">
      <c r="A142" s="94" t="s">
        <v>268</v>
      </c>
      <c r="B142" s="94"/>
      <c r="C142" s="94"/>
      <c r="D142" s="94"/>
      <c r="E142" s="94"/>
      <c r="F142" s="94"/>
      <c r="G142" s="112">
        <f>AU142</f>
      </c>
      <c r="H142" s="113"/>
      <c r="I142" s="94" t="s">
        <v>278</v>
      </c>
      <c r="J142" s="94" t="s">
        <v>293</v>
      </c>
      <c r="K142" s="114">
        <f>P142/3</f>
      </c>
      <c r="L142" s="115">
        <v>44.4</v>
      </c>
      <c r="M142" s="116"/>
      <c r="N142" s="117">
        <f>M142-L142</f>
      </c>
      <c r="O142" s="112"/>
      <c r="P142" s="118">
        <f>N142+O142</f>
      </c>
      <c r="Q142" s="94" t="s">
        <v>305</v>
      </c>
      <c r="R142" s="94" t="s">
        <v>63</v>
      </c>
      <c r="S142" s="119">
        <v>46328</v>
      </c>
      <c r="T142" s="119"/>
      <c r="U142" s="120">
        <v>46328</v>
      </c>
      <c r="V142" s="94"/>
      <c r="W142" s="94"/>
      <c r="X142" s="94"/>
      <c r="Y142" s="119">
        <v>46336</v>
      </c>
      <c r="Z142" s="94"/>
      <c r="AA142" s="120"/>
      <c r="AB142" s="120"/>
      <c r="AC142" s="120"/>
      <c r="AD142" s="120"/>
      <c r="AE142" s="120"/>
      <c r="AF142" s="120"/>
      <c r="AG142" s="94"/>
      <c r="AH142" s="120"/>
      <c r="AI142" s="94"/>
      <c r="AJ142" s="94" t="s">
        <v>305</v>
      </c>
      <c r="AK142" s="94" t="s">
        <v>294</v>
      </c>
      <c r="AL142" s="94">
        <v>120</v>
      </c>
      <c r="AM142" s="94" t="str">
        <f>TRIM(AJ142)&amp;TRIM(AL142)&amp;TRIM(AK142)</f>
      </c>
      <c r="AN142" s="116">
        <v>0</v>
      </c>
      <c r="AO142" s="116" t="inlineStr">
        <is>
          <t>#NA</t>
        </is>
      </c>
      <c r="AP142" s="116">
        <f>SUMIFS(M:M,AM:AM,AM142)+SUMIFS(O:O,AM:AM,AM142)</f>
      </c>
      <c r="AQ142" s="116">
        <f>SUMIFS(L:L,AM:AM,AM142)</f>
      </c>
      <c r="AR142" s="116">
        <f>AQ142-AP142</f>
      </c>
      <c r="AS142" s="94" t="str">
        <f>IF(AN142&gt;=AQ142,"ok","ck")</f>
      </c>
      <c r="AT142" s="116">
        <f>-P142</f>
      </c>
      <c r="AU142" s="115">
        <f>IF(SUMIFS(AT:AT,AM:AM,AM142)&gt;AO142,(SUMIFS(AT:AT,AM:AM,AM142)-AO142))</f>
      </c>
      <c r="AV142" s="116">
        <v>0</v>
      </c>
      <c r="AW142" s="121">
        <v>0</v>
      </c>
      <c r="AX142" s="115">
        <f>AN142-AP142</f>
      </c>
    </row>
    <row r="143" spans="1:50" ht="15" hidden="1" customHeight="1" x14ac:dyDescent="0.3">
      <c r="A143" s="94" t="s">
        <v>268</v>
      </c>
      <c r="B143" s="94"/>
      <c r="C143" s="94"/>
      <c r="D143" s="94"/>
      <c r="E143" s="94"/>
      <c r="F143" s="94"/>
      <c r="G143" s="112">
        <f>AU143</f>
      </c>
      <c r="H143" s="113"/>
      <c r="I143" s="94" t="s">
        <v>278</v>
      </c>
      <c r="J143" s="94" t="s">
        <v>507</v>
      </c>
      <c r="K143" s="114">
        <f>P143/3</f>
      </c>
      <c r="L143" s="115">
        <v>405</v>
      </c>
      <c r="M143" s="116"/>
      <c r="N143" s="117">
        <f>M143-L143</f>
      </c>
      <c r="O143" s="112"/>
      <c r="P143" s="118">
        <f>N143+O143</f>
      </c>
      <c r="Q143" s="94" t="s">
        <v>778</v>
      </c>
      <c r="R143" s="94" t="s">
        <v>63</v>
      </c>
      <c r="S143" s="119">
        <v>46332</v>
      </c>
      <c r="T143" s="119"/>
      <c r="U143" s="120" t="s">
        <v>637</v>
      </c>
      <c r="V143" s="94"/>
      <c r="W143" s="94"/>
      <c r="X143" s="94"/>
      <c r="Y143" s="119">
        <v>46343</v>
      </c>
      <c r="Z143" s="94"/>
      <c r="AA143" s="120"/>
      <c r="AB143" s="120"/>
      <c r="AC143" s="120"/>
      <c r="AD143" s="120"/>
      <c r="AE143" s="120"/>
      <c r="AF143" s="120"/>
      <c r="AG143" s="94"/>
      <c r="AH143" s="120"/>
      <c r="AI143" s="94"/>
      <c r="AJ143" s="94" t="s">
        <v>778</v>
      </c>
      <c r="AK143" s="94" t="s">
        <v>701</v>
      </c>
      <c r="AL143" s="94">
        <v>120</v>
      </c>
      <c r="AM143" s="94" t="str">
        <f>TRIM(AJ143)&amp;TRIM(AL143)&amp;TRIM(AK143)</f>
      </c>
      <c r="AN143" s="116">
        <v>0</v>
      </c>
      <c r="AO143" s="116" t="inlineStr">
        <is>
          <t>#NA</t>
        </is>
      </c>
      <c r="AP143" s="116">
        <f>SUMIFS(M:M,AM:AM,AM143)+SUMIFS(O:O,AM:AM,AM143)</f>
      </c>
      <c r="AQ143" s="116">
        <f>SUMIFS(L:L,AM:AM,AM143)</f>
      </c>
      <c r="AR143" s="116">
        <f>AQ143-AP143</f>
      </c>
      <c r="AS143" s="94" t="str">
        <f>IF(AN143&gt;=AQ143,"ok","ck")</f>
      </c>
      <c r="AT143" s="116">
        <f>-P143</f>
      </c>
      <c r="AU143" s="115">
        <f>IF(SUMIFS(AT:AT,AM:AM,AM143)&gt;AO143,(SUMIFS(AT:AT,AM:AM,AM143)-AO143))</f>
      </c>
      <c r="AV143" s="116">
        <v>0</v>
      </c>
      <c r="AW143" s="121">
        <v>0</v>
      </c>
      <c r="AX143" s="115">
        <f>AN143-AP143</f>
      </c>
    </row>
    <row r="144" spans="1:50" ht="15" hidden="1" customHeight="1" x14ac:dyDescent="0.3">
      <c r="A144" s="94" t="s">
        <v>480</v>
      </c>
      <c r="B144" s="94"/>
      <c r="C144" s="94"/>
      <c r="D144" s="94"/>
      <c r="E144" s="94"/>
      <c r="F144" s="94"/>
      <c r="G144" s="112">
        <f>AU144</f>
      </c>
      <c r="H144" s="113"/>
      <c r="I144" s="94" t="s">
        <v>484</v>
      </c>
      <c r="J144" s="94" t="s">
        <v>508</v>
      </c>
      <c r="K144" s="114">
        <f>P144/3</f>
      </c>
      <c r="L144" s="115">
        <v>0.625</v>
      </c>
      <c r="M144" s="116">
        <f>L144</f>
      </c>
      <c r="N144" s="117">
        <f>M144-L144</f>
      </c>
      <c r="O144" s="112"/>
      <c r="P144" s="118">
        <f>N144+O144</f>
      </c>
      <c r="Q144" s="94" t="s">
        <v>782</v>
      </c>
      <c r="R144" s="94" t="s">
        <v>63</v>
      </c>
      <c r="S144" s="119">
        <v>46332</v>
      </c>
      <c r="T144" s="119"/>
      <c r="U144" s="120">
        <v>46332</v>
      </c>
      <c r="V144" s="94"/>
      <c r="W144" s="94"/>
      <c r="X144" s="94"/>
      <c r="Y144" s="119">
        <v>46327</v>
      </c>
      <c r="Z144" s="94"/>
      <c r="AA144" s="120"/>
      <c r="AB144" s="120"/>
      <c r="AC144" s="120"/>
      <c r="AD144" s="120"/>
      <c r="AE144" s="120"/>
      <c r="AF144" s="120"/>
      <c r="AG144" s="94"/>
      <c r="AH144" s="120"/>
      <c r="AI144" s="94"/>
      <c r="AJ144" s="94" t="s">
        <v>782</v>
      </c>
      <c r="AK144" s="94" t="s">
        <v>702</v>
      </c>
      <c r="AL144" s="94">
        <v>200</v>
      </c>
      <c r="AM144" s="94" t="str">
        <f>TRIM(AJ144)&amp;TRIM(AL144)&amp;TRIM(AK144)</f>
      </c>
      <c r="AN144" s="116">
        <v>10.6</v>
      </c>
      <c r="AO144" s="116">
        <v>-5.6</v>
      </c>
      <c r="AP144" s="116">
        <f>SUMIFS(M:M,AM:AM,AM144)+SUMIFS(O:O,AM:AM,AM144)</f>
      </c>
      <c r="AQ144" s="116">
        <f>SUMIFS(L:L,AM:AM,AM144)</f>
      </c>
      <c r="AR144" s="116">
        <f>AQ144-AP144</f>
      </c>
      <c r="AS144" s="94" t="str">
        <f>IF(AN144&gt;=AQ144,"ok","ck")</f>
      </c>
      <c r="AT144" s="116">
        <f>-P144</f>
      </c>
      <c r="AU144" s="115">
        <f>IF(SUMIFS(AT:AT,AM:AM,AM144)&gt;AO144,(SUMIFS(AT:AT,AM:AM,AM144)-AO144))</f>
      </c>
      <c r="AV144" s="116">
        <v>10.6</v>
      </c>
      <c r="AW144" s="121">
        <v>2.12</v>
      </c>
      <c r="AX144" s="115">
        <f>AN144-AP144</f>
      </c>
    </row>
    <row r="145" spans="1:50" ht="15" hidden="1" customHeight="1" x14ac:dyDescent="0.3">
      <c r="A145" s="94" t="s">
        <v>480</v>
      </c>
      <c r="B145" s="94"/>
      <c r="C145" s="94"/>
      <c r="D145" s="94"/>
      <c r="E145" s="94"/>
      <c r="F145" s="94"/>
      <c r="G145" s="112">
        <f>AU145</f>
      </c>
      <c r="H145" s="113"/>
      <c r="I145" s="94" t="s">
        <v>484</v>
      </c>
      <c r="J145" s="94" t="s">
        <v>508</v>
      </c>
      <c r="K145" s="114">
        <f>P145/3</f>
      </c>
      <c r="L145" s="115">
        <v>2.0830000000000002</v>
      </c>
      <c r="M145" s="116">
        <f>L145</f>
      </c>
      <c r="N145" s="117">
        <f>M145-L145</f>
      </c>
      <c r="O145" s="112"/>
      <c r="P145" s="118">
        <f>N145+O145</f>
      </c>
      <c r="Q145" s="94" t="s">
        <v>782</v>
      </c>
      <c r="R145" s="94" t="s">
        <v>63</v>
      </c>
      <c r="S145" s="119">
        <v>46332</v>
      </c>
      <c r="T145" s="119"/>
      <c r="U145" s="120">
        <v>46332</v>
      </c>
      <c r="V145" s="94"/>
      <c r="W145" s="94"/>
      <c r="X145" s="94"/>
      <c r="Y145" s="119">
        <v>46327</v>
      </c>
      <c r="Z145" s="94"/>
      <c r="AA145" s="120"/>
      <c r="AB145" s="120"/>
      <c r="AC145" s="120"/>
      <c r="AD145" s="120"/>
      <c r="AE145" s="120"/>
      <c r="AF145" s="120"/>
      <c r="AG145" s="94"/>
      <c r="AH145" s="120"/>
      <c r="AI145" s="94"/>
      <c r="AJ145" s="94" t="s">
        <v>782</v>
      </c>
      <c r="AK145" s="94" t="s">
        <v>702</v>
      </c>
      <c r="AL145" s="94">
        <v>200</v>
      </c>
      <c r="AM145" s="94" t="str">
        <f>TRIM(AJ145)&amp;TRIM(AL145)&amp;TRIM(AK145)</f>
      </c>
      <c r="AN145" s="116">
        <v>10.6</v>
      </c>
      <c r="AO145" s="116">
        <v>-5.6</v>
      </c>
      <c r="AP145" s="116">
        <f>SUMIFS(M:M,AM:AM,AM145)+SUMIFS(O:O,AM:AM,AM145)</f>
      </c>
      <c r="AQ145" s="116">
        <f>SUMIFS(L:L,AM:AM,AM145)</f>
      </c>
      <c r="AR145" s="116">
        <f>AQ145-AP145</f>
      </c>
      <c r="AS145" s="94" t="str">
        <f>IF(AN145&gt;=AQ145,"ok","ck")</f>
      </c>
      <c r="AT145" s="116">
        <f>-P145</f>
      </c>
      <c r="AU145" s="115">
        <f>IF(SUMIFS(AT:AT,AM:AM,AM145)&gt;AO145,(SUMIFS(AT:AT,AM:AM,AM145)-AO145))</f>
      </c>
      <c r="AV145" s="116">
        <v>10.6</v>
      </c>
      <c r="AW145" s="121">
        <v>2.12</v>
      </c>
      <c r="AX145" s="115">
        <f>AN145-AP145</f>
      </c>
    </row>
    <row r="146" spans="1:50" ht="15" hidden="1" customHeight="1" x14ac:dyDescent="0.3">
      <c r="A146" s="94" t="s">
        <v>480</v>
      </c>
      <c r="B146" s="94"/>
      <c r="C146" s="94"/>
      <c r="D146" s="94"/>
      <c r="E146" s="94"/>
      <c r="F146" s="94"/>
      <c r="G146" s="112">
        <f>AU146</f>
      </c>
      <c r="H146" s="113"/>
      <c r="I146" s="94" t="s">
        <v>484</v>
      </c>
      <c r="J146" s="94" t="s">
        <v>508</v>
      </c>
      <c r="K146" s="114">
        <f>P146/3</f>
      </c>
      <c r="L146" s="115">
        <v>1.2490000000000001</v>
      </c>
      <c r="M146" s="116">
        <f>L146</f>
      </c>
      <c r="N146" s="117">
        <f>M146-L146</f>
      </c>
      <c r="O146" s="112"/>
      <c r="P146" s="118">
        <f>N146+O146</f>
      </c>
      <c r="Q146" s="94" t="s">
        <v>782</v>
      </c>
      <c r="R146" s="94" t="s">
        <v>63</v>
      </c>
      <c r="S146" s="119">
        <v>46332</v>
      </c>
      <c r="T146" s="119"/>
      <c r="U146" s="120">
        <v>46332</v>
      </c>
      <c r="V146" s="94"/>
      <c r="W146" s="94"/>
      <c r="X146" s="94"/>
      <c r="Y146" s="119">
        <v>46327</v>
      </c>
      <c r="Z146" s="94"/>
      <c r="AA146" s="120"/>
      <c r="AB146" s="120"/>
      <c r="AC146" s="120"/>
      <c r="AD146" s="120"/>
      <c r="AE146" s="120"/>
      <c r="AF146" s="120"/>
      <c r="AG146" s="94"/>
      <c r="AH146" s="120"/>
      <c r="AI146" s="94"/>
      <c r="AJ146" s="94" t="s">
        <v>782</v>
      </c>
      <c r="AK146" s="94" t="s">
        <v>702</v>
      </c>
      <c r="AL146" s="94">
        <v>200</v>
      </c>
      <c r="AM146" s="94" t="str">
        <f>TRIM(AJ146)&amp;TRIM(AL146)&amp;TRIM(AK146)</f>
      </c>
      <c r="AN146" s="116">
        <v>10.6</v>
      </c>
      <c r="AO146" s="116">
        <v>-5.6</v>
      </c>
      <c r="AP146" s="116">
        <f>SUMIFS(M:M,AM:AM,AM146)+SUMIFS(O:O,AM:AM,AM146)</f>
      </c>
      <c r="AQ146" s="116">
        <f>SUMIFS(L:L,AM:AM,AM146)</f>
      </c>
      <c r="AR146" s="116">
        <f>AQ146-AP146</f>
      </c>
      <c r="AS146" s="94" t="str">
        <f>IF(AN146&gt;=AQ146,"ok","ck")</f>
      </c>
      <c r="AT146" s="116">
        <f>-P146</f>
      </c>
      <c r="AU146" s="115">
        <f>IF(SUMIFS(AT:AT,AM:AM,AM146)&gt;AO146,(SUMIFS(AT:AT,AM:AM,AM146)-AO146))</f>
      </c>
      <c r="AV146" s="116">
        <v>10.6</v>
      </c>
      <c r="AW146" s="121">
        <v>2.12</v>
      </c>
      <c r="AX146" s="115">
        <f>AN146-AP146</f>
      </c>
    </row>
    <row r="147" spans="1:50" ht="15" hidden="1" customHeight="1" x14ac:dyDescent="0.3">
      <c r="A147" s="94" t="s">
        <v>311</v>
      </c>
      <c r="B147" s="94"/>
      <c r="C147" s="94"/>
      <c r="D147" s="94"/>
      <c r="E147" s="94"/>
      <c r="F147" s="94"/>
      <c r="G147" s="112">
        <f>AU147</f>
      </c>
      <c r="H147" s="113"/>
      <c r="I147" s="94" t="s">
        <v>312</v>
      </c>
      <c r="J147" s="94" t="s">
        <v>376</v>
      </c>
      <c r="K147" s="114">
        <f>P147/3</f>
      </c>
      <c r="L147" s="115">
        <v>-2E-3</v>
      </c>
      <c r="M147" s="116"/>
      <c r="N147" s="117">
        <f>M147-L147</f>
      </c>
      <c r="O147" s="112"/>
      <c r="P147" s="118">
        <f>N147+O147</f>
      </c>
      <c r="Q147" s="94" t="s">
        <v>346</v>
      </c>
      <c r="R147" s="94" t="s">
        <v>63</v>
      </c>
      <c r="S147" s="119">
        <v>46320</v>
      </c>
      <c r="T147" s="119"/>
      <c r="U147" s="120">
        <v>46320</v>
      </c>
      <c r="V147" s="94"/>
      <c r="W147" s="94"/>
      <c r="X147" s="94"/>
      <c r="Y147" s="119">
        <v>46320</v>
      </c>
      <c r="Z147" s="94"/>
      <c r="AA147" s="120"/>
      <c r="AB147" s="120"/>
      <c r="AC147" s="120"/>
      <c r="AD147" s="120"/>
      <c r="AE147" s="120"/>
      <c r="AF147" s="120"/>
      <c r="AG147" s="94"/>
      <c r="AH147" s="120"/>
      <c r="AI147" s="94"/>
      <c r="AJ147" s="94" t="s">
        <v>346</v>
      </c>
      <c r="AK147" s="94" t="s">
        <v>377</v>
      </c>
      <c r="AL147" s="94">
        <v>150</v>
      </c>
      <c r="AM147" s="94" t="str">
        <f>TRIM(AJ147)&amp;TRIM(AL147)&amp;TRIM(AK147)</f>
      </c>
      <c r="AN147" s="116">
        <v>0</v>
      </c>
      <c r="AO147" s="116" t="inlineStr">
        <is>
          <t>#NA</t>
        </is>
      </c>
      <c r="AP147" s="116">
        <f>SUMIFS(M:M,AM:AM,AM147)+SUMIFS(O:O,AM:AM,AM147)</f>
      </c>
      <c r="AQ147" s="116">
        <f>SUMIFS(L:L,AM:AM,AM147)</f>
      </c>
      <c r="AR147" s="116">
        <f>AQ147-AP147</f>
      </c>
      <c r="AS147" s="94" t="str">
        <f>IF(AN147&gt;=AQ147,"ok","ck")</f>
      </c>
      <c r="AT147" s="116">
        <f>-P147</f>
      </c>
      <c r="AU147" s="115">
        <f>IF(SUMIFS(AT:AT,AM:AM,AM147)&gt;AO147,(SUMIFS(AT:AT,AM:AM,AM147)-AO147))</f>
      </c>
      <c r="AV147" s="116">
        <v>0</v>
      </c>
      <c r="AW147" s="121">
        <v>0.994</v>
      </c>
      <c r="AX147" s="115">
        <f>AN147-AP147</f>
      </c>
    </row>
    <row r="148" spans="1:50" ht="15" hidden="1" customHeight="1" x14ac:dyDescent="0.3">
      <c r="A148" s="94" t="s">
        <v>311</v>
      </c>
      <c r="B148" s="94"/>
      <c r="C148" s="94"/>
      <c r="D148" s="94"/>
      <c r="E148" s="94"/>
      <c r="F148" s="94"/>
      <c r="G148" s="112">
        <f>AU148</f>
      </c>
      <c r="H148" s="113"/>
      <c r="I148" s="94" t="s">
        <v>312</v>
      </c>
      <c r="J148" s="94" t="s">
        <v>385</v>
      </c>
      <c r="K148" s="114">
        <f>P148/3</f>
      </c>
      <c r="L148" s="115">
        <v>0</v>
      </c>
      <c r="M148" s="116"/>
      <c r="N148" s="117">
        <f>M148-L148</f>
      </c>
      <c r="O148" s="112"/>
      <c r="P148" s="118">
        <f>N148+O148</f>
      </c>
      <c r="Q148" s="94" t="s">
        <v>346</v>
      </c>
      <c r="R148" s="94" t="s">
        <v>63</v>
      </c>
      <c r="S148" s="119">
        <v>46320</v>
      </c>
      <c r="T148" s="119"/>
      <c r="U148" s="120">
        <v>46320</v>
      </c>
      <c r="V148" s="94"/>
      <c r="W148" s="94"/>
      <c r="X148" s="94"/>
      <c r="Y148" s="119">
        <v>46320</v>
      </c>
      <c r="Z148" s="94"/>
      <c r="AA148" s="120"/>
      <c r="AB148" s="120"/>
      <c r="AC148" s="120"/>
      <c r="AD148" s="120"/>
      <c r="AE148" s="120"/>
      <c r="AF148" s="120"/>
      <c r="AG148" s="94"/>
      <c r="AH148" s="120"/>
      <c r="AI148" s="94"/>
      <c r="AJ148" s="94" t="s">
        <v>346</v>
      </c>
      <c r="AK148" s="94" t="s">
        <v>386</v>
      </c>
      <c r="AL148" s="94">
        <v>150</v>
      </c>
      <c r="AM148" s="94" t="str">
        <f>TRIM(AJ148)&amp;TRIM(AL148)&amp;TRIM(AK148)</f>
      </c>
      <c r="AN148" s="116">
        <v>0</v>
      </c>
      <c r="AO148" s="116" t="inlineStr">
        <is>
          <t>#NA</t>
        </is>
      </c>
      <c r="AP148" s="116">
        <f>SUMIFS(M:M,AM:AM,AM148)+SUMIFS(O:O,AM:AM,AM148)</f>
      </c>
      <c r="AQ148" s="116">
        <f>SUMIFS(L:L,AM:AM,AM148)</f>
      </c>
      <c r="AR148" s="116">
        <f>AQ148-AP148</f>
      </c>
      <c r="AS148" s="94" t="str">
        <f>IF(AN148&gt;=AQ148,"ok","ck")</f>
      </c>
      <c r="AT148" s="116">
        <f>-P148</f>
      </c>
      <c r="AU148" s="115">
        <f>IF(SUMIFS(AT:AT,AM:AM,AM148)&gt;AO148,(SUMIFS(AT:AT,AM:AM,AM148)-AO148))</f>
      </c>
      <c r="AV148" s="116">
        <v>0</v>
      </c>
      <c r="AW148" s="121">
        <v>0.913</v>
      </c>
      <c r="AX148" s="115">
        <f>AN148-AP148</f>
      </c>
    </row>
    <row r="149" spans="1:50" ht="15" hidden="1" customHeight="1" x14ac:dyDescent="0.3">
      <c r="A149" s="94" t="s">
        <v>311</v>
      </c>
      <c r="B149" s="94"/>
      <c r="C149" s="94"/>
      <c r="D149" s="94"/>
      <c r="E149" s="94"/>
      <c r="F149" s="94"/>
      <c r="G149" s="112">
        <f>AU149</f>
      </c>
      <c r="H149" s="113"/>
      <c r="I149" s="94" t="s">
        <v>312</v>
      </c>
      <c r="J149" s="94" t="s">
        <v>385</v>
      </c>
      <c r="K149" s="114">
        <f>P149/3</f>
      </c>
      <c r="L149" s="115">
        <v>0</v>
      </c>
      <c r="M149" s="116"/>
      <c r="N149" s="117">
        <f>M149-L149</f>
      </c>
      <c r="O149" s="112"/>
      <c r="P149" s="118">
        <f>N149+O149</f>
      </c>
      <c r="Q149" s="94" t="s">
        <v>346</v>
      </c>
      <c r="R149" s="94" t="s">
        <v>63</v>
      </c>
      <c r="S149" s="119">
        <v>46322</v>
      </c>
      <c r="T149" s="119"/>
      <c r="U149" s="120">
        <v>46322</v>
      </c>
      <c r="V149" s="94"/>
      <c r="W149" s="94"/>
      <c r="X149" s="94"/>
      <c r="Y149" s="119">
        <v>46322</v>
      </c>
      <c r="Z149" s="94"/>
      <c r="AA149" s="120"/>
      <c r="AB149" s="120"/>
      <c r="AC149" s="120"/>
      <c r="AD149" s="120"/>
      <c r="AE149" s="120"/>
      <c r="AF149" s="120"/>
      <c r="AG149" s="94"/>
      <c r="AH149" s="120"/>
      <c r="AI149" s="94"/>
      <c r="AJ149" s="94" t="s">
        <v>346</v>
      </c>
      <c r="AK149" s="94" t="s">
        <v>386</v>
      </c>
      <c r="AL149" s="94">
        <v>150</v>
      </c>
      <c r="AM149" s="94" t="str">
        <f>TRIM(AJ149)&amp;TRIM(AL149)&amp;TRIM(AK149)</f>
      </c>
      <c r="AN149" s="116">
        <v>0</v>
      </c>
      <c r="AO149" s="116" t="inlineStr">
        <is>
          <t>#NA</t>
        </is>
      </c>
      <c r="AP149" s="116">
        <f>SUMIFS(M:M,AM:AM,AM149)+SUMIFS(O:O,AM:AM,AM149)</f>
      </c>
      <c r="AQ149" s="116">
        <f>SUMIFS(L:L,AM:AM,AM149)</f>
      </c>
      <c r="AR149" s="116">
        <f>AQ149-AP149</f>
      </c>
      <c r="AS149" s="94" t="str">
        <f>IF(AN149&gt;=AQ149,"ok","ck")</f>
      </c>
      <c r="AT149" s="116">
        <f>-P149</f>
      </c>
      <c r="AU149" s="115">
        <f>IF(SUMIFS(AT:AT,AM:AM,AM149)&gt;AO149,(SUMIFS(AT:AT,AM:AM,AM149)-AO149))</f>
      </c>
      <c r="AV149" s="116">
        <v>0</v>
      </c>
      <c r="AW149" s="121">
        <v>0.913</v>
      </c>
      <c r="AX149" s="115">
        <f>AN149-AP149</f>
      </c>
    </row>
    <row r="150" spans="1:50" ht="15" hidden="1" customHeight="1" x14ac:dyDescent="0.3">
      <c r="A150" s="94" t="s">
        <v>311</v>
      </c>
      <c r="B150" s="94"/>
      <c r="C150" s="94"/>
      <c r="D150" s="94"/>
      <c r="E150" s="94"/>
      <c r="F150" s="94"/>
      <c r="G150" s="112">
        <f>AU150</f>
      </c>
      <c r="H150" s="113"/>
      <c r="I150" s="94" t="s">
        <v>312</v>
      </c>
      <c r="J150" s="94" t="s">
        <v>385</v>
      </c>
      <c r="K150" s="114">
        <f>P150/3</f>
      </c>
      <c r="L150" s="115">
        <v>0.214</v>
      </c>
      <c r="M150" s="116"/>
      <c r="N150" s="117">
        <f>M150-L150</f>
      </c>
      <c r="O150" s="112"/>
      <c r="P150" s="118">
        <f>N150+O150</f>
      </c>
      <c r="Q150" s="94" t="s">
        <v>346</v>
      </c>
      <c r="R150" s="94" t="s">
        <v>63</v>
      </c>
      <c r="S150" s="119">
        <v>46320</v>
      </c>
      <c r="T150" s="119"/>
      <c r="U150" s="120">
        <v>46320</v>
      </c>
      <c r="V150" s="94"/>
      <c r="W150" s="94"/>
      <c r="X150" s="94"/>
      <c r="Y150" s="119">
        <v>46320</v>
      </c>
      <c r="Z150" s="94"/>
      <c r="AA150" s="120"/>
      <c r="AB150" s="120"/>
      <c r="AC150" s="120"/>
      <c r="AD150" s="120"/>
      <c r="AE150" s="120"/>
      <c r="AF150" s="120"/>
      <c r="AG150" s="94"/>
      <c r="AH150" s="120"/>
      <c r="AI150" s="94"/>
      <c r="AJ150" s="94" t="s">
        <v>346</v>
      </c>
      <c r="AK150" s="94" t="s">
        <v>386</v>
      </c>
      <c r="AL150" s="94">
        <v>150</v>
      </c>
      <c r="AM150" s="94" t="str">
        <f>TRIM(AJ150)&amp;TRIM(AL150)&amp;TRIM(AK150)</f>
      </c>
      <c r="AN150" s="116">
        <v>0</v>
      </c>
      <c r="AO150" s="116" t="inlineStr">
        <is>
          <t>#NA</t>
        </is>
      </c>
      <c r="AP150" s="116">
        <f>SUMIFS(M:M,AM:AM,AM150)+SUMIFS(O:O,AM:AM,AM150)</f>
      </c>
      <c r="AQ150" s="116">
        <f>SUMIFS(L:L,AM:AM,AM150)</f>
      </c>
      <c r="AR150" s="116">
        <f>AQ150-AP150</f>
      </c>
      <c r="AS150" s="94" t="str">
        <f>IF(AN150&gt;=AQ150,"ok","ck")</f>
      </c>
      <c r="AT150" s="116">
        <f>-P150</f>
      </c>
      <c r="AU150" s="115">
        <f>IF(SUMIFS(AT:AT,AM:AM,AM150)&gt;AO150,(SUMIFS(AT:AT,AM:AM,AM150)-AO150))</f>
      </c>
      <c r="AV150" s="116">
        <v>0</v>
      </c>
      <c r="AW150" s="121">
        <v>0.913</v>
      </c>
      <c r="AX150" s="115">
        <f>AN150-AP150</f>
      </c>
    </row>
    <row r="151" spans="1:50" ht="15" hidden="1" customHeight="1" x14ac:dyDescent="0.3">
      <c r="A151" s="94" t="s">
        <v>268</v>
      </c>
      <c r="B151" s="94"/>
      <c r="C151" s="94"/>
      <c r="D151" s="94"/>
      <c r="E151" s="94"/>
      <c r="F151" s="94"/>
      <c r="G151" s="112">
        <f>AU151</f>
      </c>
      <c r="H151" s="113"/>
      <c r="I151" s="94" t="s">
        <v>278</v>
      </c>
      <c r="J151" s="94" t="s">
        <v>388</v>
      </c>
      <c r="K151" s="114">
        <f>P151/3</f>
      </c>
      <c r="L151" s="115">
        <v>0</v>
      </c>
      <c r="M151" s="116">
        <f>L151</f>
      </c>
      <c r="N151" s="117">
        <f>M151-L151</f>
      </c>
      <c r="O151" s="112"/>
      <c r="P151" s="118">
        <f>N151+O151</f>
      </c>
      <c r="Q151" s="94" t="s">
        <v>287</v>
      </c>
      <c r="R151" s="94" t="s">
        <v>63</v>
      </c>
      <c r="S151" s="119">
        <v>46320</v>
      </c>
      <c r="T151" s="119"/>
      <c r="U151" s="120">
        <v>46320</v>
      </c>
      <c r="V151" s="94"/>
      <c r="W151" s="94"/>
      <c r="X151" s="94"/>
      <c r="Y151" s="119">
        <v>46320</v>
      </c>
      <c r="Z151" s="94"/>
      <c r="AA151" s="120"/>
      <c r="AB151" s="120"/>
      <c r="AC151" s="120"/>
      <c r="AD151" s="120"/>
      <c r="AE151" s="120"/>
      <c r="AF151" s="120"/>
      <c r="AG151" s="94"/>
      <c r="AH151" s="120"/>
      <c r="AI151" s="94"/>
      <c r="AJ151" s="94" t="s">
        <v>287</v>
      </c>
      <c r="AK151" s="94" t="s">
        <v>356</v>
      </c>
      <c r="AL151" s="94">
        <v>120</v>
      </c>
      <c r="AM151" s="94" t="str">
        <f>TRIM(AJ151)&amp;TRIM(AL151)&amp;TRIM(AK151)</f>
      </c>
      <c r="AN151" s="116">
        <v>834</v>
      </c>
      <c r="AO151" s="116">
        <v>0.15</v>
      </c>
      <c r="AP151" s="116">
        <f>SUMIFS(M:M,AM:AM,AM151)+SUMIFS(O:O,AM:AM,AM151)</f>
      </c>
      <c r="AQ151" s="116">
        <f>SUMIFS(L:L,AM:AM,AM151)</f>
      </c>
      <c r="AR151" s="116">
        <f>AQ151-AP151</f>
      </c>
      <c r="AS151" s="94" t="str">
        <f>IF(AN151&gt;=AQ151,"ok","ck")</f>
      </c>
      <c r="AT151" s="116">
        <f>-P151</f>
      </c>
      <c r="AU151" s="115">
        <f>IF(SUMIFS(AT:AT,AM:AM,AM151)&gt;AO151,(SUMIFS(AT:AT,AM:AM,AM151)-AO151))</f>
      </c>
      <c r="AV151" s="116">
        <v>821</v>
      </c>
      <c r="AW151" s="121">
        <v>1</v>
      </c>
      <c r="AX151" s="115">
        <f>AN151-AP151</f>
      </c>
    </row>
    <row r="152" spans="1:50" ht="15" hidden="1" customHeight="1" x14ac:dyDescent="0.3">
      <c r="A152" s="94" t="s">
        <v>288</v>
      </c>
      <c r="B152" s="94"/>
      <c r="C152" s="94"/>
      <c r="D152" s="94"/>
      <c r="E152" s="94"/>
      <c r="F152" s="94"/>
      <c r="G152" s="112">
        <f>AU152</f>
      </c>
      <c r="H152" s="113"/>
      <c r="I152" s="94" t="s">
        <v>289</v>
      </c>
      <c r="J152" s="94" t="s">
        <v>286</v>
      </c>
      <c r="K152" s="114">
        <f>P152/3</f>
      </c>
      <c r="L152" s="115">
        <v>0</v>
      </c>
      <c r="M152" s="116">
        <f>L152</f>
      </c>
      <c r="N152" s="117">
        <f>M152-L152</f>
      </c>
      <c r="O152" s="112"/>
      <c r="P152" s="118">
        <f>N152+O152</f>
      </c>
      <c r="Q152" s="94" t="s">
        <v>299</v>
      </c>
      <c r="R152" s="94" t="s">
        <v>63</v>
      </c>
      <c r="S152" s="119">
        <v>46320</v>
      </c>
      <c r="T152" s="119"/>
      <c r="U152" s="120">
        <v>46320</v>
      </c>
      <c r="V152" s="94"/>
      <c r="W152" s="94"/>
      <c r="X152" s="94"/>
      <c r="Y152" s="119">
        <v>46320</v>
      </c>
      <c r="Z152" s="94"/>
      <c r="AA152" s="120"/>
      <c r="AB152" s="120"/>
      <c r="AC152" s="120"/>
      <c r="AD152" s="120"/>
      <c r="AE152" s="120"/>
      <c r="AF152" s="120"/>
      <c r="AG152" s="94"/>
      <c r="AH152" s="120"/>
      <c r="AI152" s="94"/>
      <c r="AJ152" s="94" t="s">
        <v>478</v>
      </c>
      <c r="AK152" s="94" t="s">
        <v>281</v>
      </c>
      <c r="AL152" s="94">
        <v>235</v>
      </c>
      <c r="AM152" s="94" t="str">
        <f>TRIM(AJ152)&amp;TRIM(AL152)&amp;TRIM(AK152)</f>
      </c>
      <c r="AN152" s="116">
        <v>2382.77</v>
      </c>
      <c r="AO152" s="116">
        <v>-45.53</v>
      </c>
      <c r="AP152" s="116">
        <f>SUMIFS(M:M,AM:AM,AM152)+SUMIFS(O:O,AM:AM,AM152)</f>
      </c>
      <c r="AQ152" s="116">
        <f>SUMIFS(L:L,AM:AM,AM152)</f>
      </c>
      <c r="AR152" s="116">
        <f>AQ152-AP152</f>
      </c>
      <c r="AS152" s="94" t="str">
        <f>IF(AN152&gt;=AQ152,"ok","ck")</f>
      </c>
      <c r="AT152" s="116">
        <f>-P152</f>
      </c>
      <c r="AU152" s="115">
        <f>IF(SUMIFS(AT:AT,AM:AM,AM152)&gt;AO152,(SUMIFS(AT:AT,AM:AM,AM152)-AO152))</f>
      </c>
      <c r="AV152" s="116">
        <v>2382.77</v>
      </c>
      <c r="AW152" s="121">
        <v>1.019</v>
      </c>
      <c r="AX152" s="115">
        <f>AN152-AP152</f>
      </c>
    </row>
    <row r="153" spans="1:50" ht="15" hidden="1" customHeight="1" x14ac:dyDescent="0.3">
      <c r="A153" s="94" t="s">
        <v>288</v>
      </c>
      <c r="B153" s="94"/>
      <c r="C153" s="94"/>
      <c r="D153" s="94"/>
      <c r="E153" s="94"/>
      <c r="F153" s="94"/>
      <c r="G153" s="112">
        <f>AU153</f>
      </c>
      <c r="H153" s="113"/>
      <c r="I153" s="94" t="s">
        <v>289</v>
      </c>
      <c r="J153" s="94" t="s">
        <v>286</v>
      </c>
      <c r="K153" s="114">
        <f>P153/3</f>
      </c>
      <c r="L153" s="115">
        <v>0</v>
      </c>
      <c r="M153" s="116">
        <f>L153</f>
      </c>
      <c r="N153" s="117">
        <f>M153-L153</f>
      </c>
      <c r="O153" s="112"/>
      <c r="P153" s="118">
        <f>N153+O153</f>
      </c>
      <c r="Q153" s="94" t="s">
        <v>299</v>
      </c>
      <c r="R153" s="94" t="s">
        <v>63</v>
      </c>
      <c r="S153" s="119">
        <v>46338</v>
      </c>
      <c r="T153" s="119"/>
      <c r="U153" s="120">
        <v>46338</v>
      </c>
      <c r="V153" s="94"/>
      <c r="W153" s="94"/>
      <c r="X153" s="94"/>
      <c r="Y153" s="119">
        <v>46338</v>
      </c>
      <c r="Z153" s="94"/>
      <c r="AA153" s="120"/>
      <c r="AB153" s="120"/>
      <c r="AC153" s="120"/>
      <c r="AD153" s="120"/>
      <c r="AE153" s="120"/>
      <c r="AF153" s="120"/>
      <c r="AG153" s="94"/>
      <c r="AH153" s="120"/>
      <c r="AI153" s="94"/>
      <c r="AJ153" s="94" t="s">
        <v>478</v>
      </c>
      <c r="AK153" s="94" t="s">
        <v>281</v>
      </c>
      <c r="AL153" s="94">
        <v>235</v>
      </c>
      <c r="AM153" s="94" t="str">
        <f>TRIM(AJ153)&amp;TRIM(AL153)&amp;TRIM(AK153)</f>
      </c>
      <c r="AN153" s="116">
        <v>2382.77</v>
      </c>
      <c r="AO153" s="116">
        <v>-45.53</v>
      </c>
      <c r="AP153" s="116">
        <f>SUMIFS(M:M,AM:AM,AM153)+SUMIFS(O:O,AM:AM,AM153)</f>
      </c>
      <c r="AQ153" s="116">
        <f>SUMIFS(L:L,AM:AM,AM153)</f>
      </c>
      <c r="AR153" s="116">
        <f>AQ153-AP153</f>
      </c>
      <c r="AS153" s="94" t="str">
        <f>IF(AN153&gt;=AQ153,"ok","ck")</f>
      </c>
      <c r="AT153" s="116">
        <f>-P153</f>
      </c>
      <c r="AU153" s="115">
        <f>IF(SUMIFS(AT:AT,AM:AM,AM153)&gt;AO153,(SUMIFS(AT:AT,AM:AM,AM153)-AO153))</f>
      </c>
      <c r="AV153" s="116">
        <v>2382.77</v>
      </c>
      <c r="AW153" s="121">
        <v>1.019</v>
      </c>
      <c r="AX153" s="115">
        <f>AN153-AP153</f>
      </c>
    </row>
    <row r="154" spans="1:50" ht="15" hidden="1" customHeight="1" x14ac:dyDescent="0.3">
      <c r="A154" s="94" t="s">
        <v>263</v>
      </c>
      <c r="B154" s="94"/>
      <c r="C154" s="94"/>
      <c r="D154" s="94"/>
      <c r="E154" s="94"/>
      <c r="F154" s="94"/>
      <c r="G154" s="112">
        <f>AU154</f>
      </c>
      <c r="H154" s="113"/>
      <c r="I154" s="94" t="s">
        <v>264</v>
      </c>
      <c r="J154" s="94" t="s">
        <v>281</v>
      </c>
      <c r="K154" s="114">
        <f>P154/3</f>
      </c>
      <c r="L154" s="115">
        <v>0</v>
      </c>
      <c r="M154" s="116">
        <f>L154</f>
      </c>
      <c r="N154" s="117">
        <f>M154-L154</f>
      </c>
      <c r="O154" s="112"/>
      <c r="P154" s="118">
        <f>N154+O154</f>
      </c>
      <c r="Q154" s="94" t="s">
        <v>364</v>
      </c>
      <c r="R154" s="94" t="s">
        <v>63</v>
      </c>
      <c r="S154" s="119">
        <v>46342</v>
      </c>
      <c r="T154" s="119"/>
      <c r="U154" s="120">
        <v>46342</v>
      </c>
      <c r="V154" s="94"/>
      <c r="W154" s="94"/>
      <c r="X154" s="94"/>
      <c r="Y154" s="119">
        <v>46342</v>
      </c>
      <c r="Z154" s="94"/>
      <c r="AA154" s="120"/>
      <c r="AB154" s="120"/>
      <c r="AC154" s="120"/>
      <c r="AD154" s="120"/>
      <c r="AE154" s="120"/>
      <c r="AF154" s="120"/>
      <c r="AG154" s="94"/>
      <c r="AH154" s="120"/>
      <c r="AI154" s="94"/>
      <c r="AJ154" s="94" t="s">
        <v>364</v>
      </c>
      <c r="AK154" s="94" t="s">
        <v>281</v>
      </c>
      <c r="AL154" s="94">
        <v>120</v>
      </c>
      <c r="AM154" s="94" t="str">
        <f>TRIM(AJ154)&amp;TRIM(AL154)&amp;TRIM(AK154)</f>
      </c>
      <c r="AN154" s="116">
        <v>1504</v>
      </c>
      <c r="AO154" s="116">
        <v>-29</v>
      </c>
      <c r="AP154" s="116">
        <f>SUMIFS(M:M,AM:AM,AM154)+SUMIFS(O:O,AM:AM,AM154)</f>
      </c>
      <c r="AQ154" s="116">
        <f>SUMIFS(L:L,AM:AM,AM154)</f>
      </c>
      <c r="AR154" s="116">
        <f>AQ154-AP154</f>
      </c>
      <c r="AS154" s="94" t="str">
        <f>IF(AN154&gt;=AQ154,"ok","ck")</f>
      </c>
      <c r="AT154" s="116">
        <f>-P154</f>
      </c>
      <c r="AU154" s="115">
        <f>IF(SUMIFS(AT:AT,AM:AM,AM154)&gt;AO154,(SUMIFS(AT:AT,AM:AM,AM154)-AO154))</f>
      </c>
      <c r="AV154" s="116">
        <v>1504</v>
      </c>
      <c r="AW154" s="121">
        <v>1.02</v>
      </c>
      <c r="AX154" s="115">
        <f>AN154-AP154</f>
      </c>
    </row>
    <row r="155" spans="1:50" ht="15" hidden="1" customHeight="1" x14ac:dyDescent="0.3">
      <c r="A155" s="94" t="s">
        <v>263</v>
      </c>
      <c r="B155" s="94"/>
      <c r="C155" s="94"/>
      <c r="D155" s="94"/>
      <c r="E155" s="94"/>
      <c r="F155" s="94"/>
      <c r="G155" s="112">
        <f>AU155</f>
      </c>
      <c r="H155" s="113"/>
      <c r="I155" s="94" t="s">
        <v>264</v>
      </c>
      <c r="J155" s="94" t="s">
        <v>281</v>
      </c>
      <c r="K155" s="114">
        <f>P155/3</f>
      </c>
      <c r="L155" s="115">
        <v>0</v>
      </c>
      <c r="M155" s="116">
        <f>L155</f>
      </c>
      <c r="N155" s="117">
        <f>M155-L155</f>
      </c>
      <c r="O155" s="112"/>
      <c r="P155" s="118">
        <f>N155+O155</f>
      </c>
      <c r="Q155" s="94" t="s">
        <v>364</v>
      </c>
      <c r="R155" s="94" t="s">
        <v>63</v>
      </c>
      <c r="S155" s="119">
        <v>46320</v>
      </c>
      <c r="T155" s="119"/>
      <c r="U155" s="120">
        <v>46320</v>
      </c>
      <c r="V155" s="94"/>
      <c r="W155" s="94"/>
      <c r="X155" s="94"/>
      <c r="Y155" s="119">
        <v>46320</v>
      </c>
      <c r="Z155" s="94"/>
      <c r="AA155" s="120"/>
      <c r="AB155" s="120"/>
      <c r="AC155" s="120"/>
      <c r="AD155" s="120"/>
      <c r="AE155" s="120"/>
      <c r="AF155" s="120"/>
      <c r="AG155" s="94"/>
      <c r="AH155" s="120"/>
      <c r="AI155" s="94"/>
      <c r="AJ155" s="94" t="s">
        <v>364</v>
      </c>
      <c r="AK155" s="94" t="s">
        <v>281</v>
      </c>
      <c r="AL155" s="94">
        <v>120</v>
      </c>
      <c r="AM155" s="94" t="str">
        <f>TRIM(AJ155)&amp;TRIM(AL155)&amp;TRIM(AK155)</f>
      </c>
      <c r="AN155" s="116">
        <v>1504</v>
      </c>
      <c r="AO155" s="116">
        <v>-29</v>
      </c>
      <c r="AP155" s="116">
        <f>SUMIFS(M:M,AM:AM,AM155)+SUMIFS(O:O,AM:AM,AM155)</f>
      </c>
      <c r="AQ155" s="116">
        <f>SUMIFS(L:L,AM:AM,AM155)</f>
      </c>
      <c r="AR155" s="116">
        <f>AQ155-AP155</f>
      </c>
      <c r="AS155" s="94" t="str">
        <f>IF(AN155&gt;=AQ155,"ok","ck")</f>
      </c>
      <c r="AT155" s="116">
        <f>-P155</f>
      </c>
      <c r="AU155" s="115">
        <f>IF(SUMIFS(AT:AT,AM:AM,AM155)&gt;AO155,(SUMIFS(AT:AT,AM:AM,AM155)-AO155))</f>
      </c>
      <c r="AV155" s="116">
        <v>1504</v>
      </c>
      <c r="AW155" s="121">
        <v>1.02</v>
      </c>
      <c r="AX155" s="115">
        <f>AN155-AP155</f>
      </c>
    </row>
    <row r="156" spans="1:50" ht="15" hidden="1" customHeight="1" x14ac:dyDescent="0.3">
      <c r="A156" s="94" t="s">
        <v>263</v>
      </c>
      <c r="B156" s="94"/>
      <c r="C156" s="94"/>
      <c r="D156" s="94"/>
      <c r="E156" s="94"/>
      <c r="F156" s="94"/>
      <c r="G156" s="112">
        <f>AU156</f>
      </c>
      <c r="H156" s="113"/>
      <c r="I156" s="94" t="s">
        <v>264</v>
      </c>
      <c r="J156" s="94" t="s">
        <v>281</v>
      </c>
      <c r="K156" s="114">
        <f>P156/3</f>
      </c>
      <c r="L156" s="115">
        <v>0</v>
      </c>
      <c r="M156" s="116">
        <f>L156</f>
      </c>
      <c r="N156" s="117">
        <f>M156-L156</f>
      </c>
      <c r="O156" s="112"/>
      <c r="P156" s="118">
        <f>N156+O156</f>
      </c>
      <c r="Q156" s="94" t="s">
        <v>364</v>
      </c>
      <c r="R156" s="94" t="s">
        <v>63</v>
      </c>
      <c r="S156" s="119">
        <v>46327</v>
      </c>
      <c r="T156" s="119"/>
      <c r="U156" s="120">
        <v>46327</v>
      </c>
      <c r="V156" s="94"/>
      <c r="W156" s="94"/>
      <c r="X156" s="94"/>
      <c r="Y156" s="119">
        <v>46327</v>
      </c>
      <c r="Z156" s="94"/>
      <c r="AA156" s="120"/>
      <c r="AB156" s="120"/>
      <c r="AC156" s="120"/>
      <c r="AD156" s="120"/>
      <c r="AE156" s="120"/>
      <c r="AF156" s="120"/>
      <c r="AG156" s="94"/>
      <c r="AH156" s="120"/>
      <c r="AI156" s="94"/>
      <c r="AJ156" s="94" t="s">
        <v>364</v>
      </c>
      <c r="AK156" s="94" t="s">
        <v>281</v>
      </c>
      <c r="AL156" s="94">
        <v>120</v>
      </c>
      <c r="AM156" s="94" t="str">
        <f>TRIM(AJ156)&amp;TRIM(AL156)&amp;TRIM(AK156)</f>
      </c>
      <c r="AN156" s="116">
        <v>1504</v>
      </c>
      <c r="AO156" s="116">
        <v>-29</v>
      </c>
      <c r="AP156" s="116">
        <f>SUMIFS(M:M,AM:AM,AM156)+SUMIFS(O:O,AM:AM,AM156)</f>
      </c>
      <c r="AQ156" s="116">
        <f>SUMIFS(L:L,AM:AM,AM156)</f>
      </c>
      <c r="AR156" s="116">
        <f>AQ156-AP156</f>
      </c>
      <c r="AS156" s="94" t="str">
        <f>IF(AN156&gt;=AQ156,"ok","ck")</f>
      </c>
      <c r="AT156" s="116">
        <f>-P156</f>
      </c>
      <c r="AU156" s="115">
        <f>IF(SUMIFS(AT:AT,AM:AM,AM156)&gt;AO156,(SUMIFS(AT:AT,AM:AM,AM156)-AO156))</f>
      </c>
      <c r="AV156" s="116">
        <v>1504</v>
      </c>
      <c r="AW156" s="121">
        <v>1.02</v>
      </c>
      <c r="AX156" s="115">
        <f>AN156-AP156</f>
      </c>
    </row>
    <row r="157" spans="1:50" ht="15" hidden="1" customHeight="1" x14ac:dyDescent="0.3">
      <c r="A157" s="94" t="s">
        <v>268</v>
      </c>
      <c r="B157" s="94"/>
      <c r="C157" s="94"/>
      <c r="D157" s="94"/>
      <c r="E157" s="94"/>
      <c r="F157" s="94"/>
      <c r="G157" s="112">
        <f>AU157</f>
      </c>
      <c r="H157" s="113"/>
      <c r="I157" s="94" t="s">
        <v>278</v>
      </c>
      <c r="J157" s="94" t="s">
        <v>317</v>
      </c>
      <c r="K157" s="114">
        <f>P157/3</f>
      </c>
      <c r="L157" s="115">
        <v>96</v>
      </c>
      <c r="M157" s="116">
        <f>L157</f>
      </c>
      <c r="N157" s="117">
        <f>M157-L157</f>
      </c>
      <c r="O157" s="112"/>
      <c r="P157" s="118">
        <f>N157+O157</f>
      </c>
      <c r="Q157" s="94" t="s">
        <v>305</v>
      </c>
      <c r="R157" s="94" t="s">
        <v>63</v>
      </c>
      <c r="S157" s="119">
        <v>46333</v>
      </c>
      <c r="T157" s="119"/>
      <c r="U157" s="120">
        <v>46333</v>
      </c>
      <c r="V157" s="94"/>
      <c r="W157" s="94"/>
      <c r="X157" s="94"/>
      <c r="Y157" s="119">
        <v>46320</v>
      </c>
      <c r="Z157" s="94"/>
      <c r="AA157" s="120"/>
      <c r="AB157" s="120"/>
      <c r="AC157" s="120"/>
      <c r="AD157" s="120"/>
      <c r="AE157" s="120"/>
      <c r="AF157" s="120"/>
      <c r="AG157" s="94"/>
      <c r="AH157" s="120"/>
      <c r="AI157" s="94"/>
      <c r="AJ157" s="94" t="s">
        <v>305</v>
      </c>
      <c r="AK157" s="94" t="s">
        <v>317</v>
      </c>
      <c r="AL157" s="94">
        <v>120</v>
      </c>
      <c r="AM157" s="94" t="str">
        <f>TRIM(AJ157)&amp;TRIM(AL157)&amp;TRIM(AK157)</f>
      </c>
      <c r="AN157" s="116">
        <v>921</v>
      </c>
      <c r="AO157" s="116">
        <v>-44</v>
      </c>
      <c r="AP157" s="116">
        <f>SUMIFS(M:M,AM:AM,AM157)+SUMIFS(O:O,AM:AM,AM157)</f>
      </c>
      <c r="AQ157" s="116">
        <f>SUMIFS(L:L,AM:AM,AM157)</f>
      </c>
      <c r="AR157" s="116">
        <f>AQ157-AP157</f>
      </c>
      <c r="AS157" s="94" t="str">
        <f>IF(AN157&gt;=AQ157,"ok","ck")</f>
      </c>
      <c r="AT157" s="116">
        <f>-P157</f>
      </c>
      <c r="AU157" s="115">
        <f>IF(SUMIFS(AT:AT,AM:AM,AM157)&gt;AO157,(SUMIFS(AT:AT,AM:AM,AM157)-AO157))</f>
      </c>
      <c r="AV157" s="116">
        <v>921</v>
      </c>
      <c r="AW157" s="121">
        <v>1.05</v>
      </c>
      <c r="AX157" s="115">
        <f>AN157-AP157</f>
      </c>
    </row>
    <row r="158" spans="1:50" ht="15" hidden="1" customHeight="1" x14ac:dyDescent="0.3">
      <c r="A158" s="94" t="s">
        <v>268</v>
      </c>
      <c r="B158" s="94"/>
      <c r="C158" s="94"/>
      <c r="D158" s="94"/>
      <c r="E158" s="94"/>
      <c r="F158" s="94"/>
      <c r="G158" s="112">
        <f>AU158</f>
      </c>
      <c r="H158" s="113"/>
      <c r="I158" s="94" t="s">
        <v>278</v>
      </c>
      <c r="J158" s="94" t="s">
        <v>317</v>
      </c>
      <c r="K158" s="114">
        <f>P158/3</f>
      </c>
      <c r="L158" s="115">
        <v>36</v>
      </c>
      <c r="M158" s="116">
        <f>L158</f>
      </c>
      <c r="N158" s="117">
        <f>M158-L158</f>
      </c>
      <c r="O158" s="112"/>
      <c r="P158" s="118">
        <f>N158+O158</f>
      </c>
      <c r="Q158" s="94" t="s">
        <v>305</v>
      </c>
      <c r="R158" s="94" t="s">
        <v>63</v>
      </c>
      <c r="S158" s="119">
        <v>46333</v>
      </c>
      <c r="T158" s="119"/>
      <c r="U158" s="120">
        <v>46333</v>
      </c>
      <c r="V158" s="94"/>
      <c r="W158" s="94"/>
      <c r="X158" s="94"/>
      <c r="Y158" s="119">
        <v>46326</v>
      </c>
      <c r="Z158" s="94"/>
      <c r="AA158" s="120"/>
      <c r="AB158" s="120"/>
      <c r="AC158" s="120"/>
      <c r="AD158" s="120"/>
      <c r="AE158" s="120"/>
      <c r="AF158" s="120"/>
      <c r="AG158" s="94"/>
      <c r="AH158" s="120"/>
      <c r="AI158" s="94"/>
      <c r="AJ158" s="94" t="s">
        <v>305</v>
      </c>
      <c r="AK158" s="94" t="s">
        <v>317</v>
      </c>
      <c r="AL158" s="94">
        <v>120</v>
      </c>
      <c r="AM158" s="94" t="str">
        <f>TRIM(AJ158)&amp;TRIM(AL158)&amp;TRIM(AK158)</f>
      </c>
      <c r="AN158" s="116">
        <v>921</v>
      </c>
      <c r="AO158" s="116">
        <v>-44</v>
      </c>
      <c r="AP158" s="116">
        <f>SUMIFS(M:M,AM:AM,AM158)+SUMIFS(O:O,AM:AM,AM158)</f>
      </c>
      <c r="AQ158" s="116">
        <f>SUMIFS(L:L,AM:AM,AM158)</f>
      </c>
      <c r="AR158" s="116">
        <f>AQ158-AP158</f>
      </c>
      <c r="AS158" s="94" t="str">
        <f>IF(AN158&gt;=AQ158,"ok","ck")</f>
      </c>
      <c r="AT158" s="116">
        <f>-P158</f>
      </c>
      <c r="AU158" s="115">
        <f>IF(SUMIFS(AT:AT,AM:AM,AM158)&gt;AO158,(SUMIFS(AT:AT,AM:AM,AM158)-AO158))</f>
      </c>
      <c r="AV158" s="116">
        <v>921</v>
      </c>
      <c r="AW158" s="121">
        <v>1.05</v>
      </c>
      <c r="AX158" s="115">
        <f>AN158-AP158</f>
      </c>
    </row>
    <row r="159" spans="1:50" ht="15" hidden="1" customHeight="1" x14ac:dyDescent="0.3">
      <c r="A159" s="94" t="s">
        <v>268</v>
      </c>
      <c r="B159" s="94"/>
      <c r="C159" s="94"/>
      <c r="D159" s="94"/>
      <c r="E159" s="94"/>
      <c r="F159" s="94"/>
      <c r="G159" s="112">
        <f>AU159</f>
      </c>
      <c r="H159" s="113"/>
      <c r="I159" s="94" t="s">
        <v>278</v>
      </c>
      <c r="J159" s="94" t="s">
        <v>317</v>
      </c>
      <c r="K159" s="114">
        <f>P159/3</f>
      </c>
      <c r="L159" s="115">
        <v>36</v>
      </c>
      <c r="M159" s="116">
        <f>L159</f>
      </c>
      <c r="N159" s="117">
        <f>M159-L159</f>
      </c>
      <c r="O159" s="112"/>
      <c r="P159" s="118">
        <f>N159+O159</f>
      </c>
      <c r="Q159" s="94" t="s">
        <v>305</v>
      </c>
      <c r="R159" s="94" t="s">
        <v>63</v>
      </c>
      <c r="S159" s="119">
        <v>46333</v>
      </c>
      <c r="T159" s="119"/>
      <c r="U159" s="120">
        <v>46333</v>
      </c>
      <c r="V159" s="94"/>
      <c r="W159" s="94"/>
      <c r="X159" s="94"/>
      <c r="Y159" s="119">
        <v>46329</v>
      </c>
      <c r="Z159" s="94"/>
      <c r="AA159" s="120"/>
      <c r="AB159" s="120"/>
      <c r="AC159" s="120"/>
      <c r="AD159" s="120"/>
      <c r="AE159" s="120"/>
      <c r="AF159" s="120"/>
      <c r="AG159" s="94"/>
      <c r="AH159" s="120"/>
      <c r="AI159" s="94"/>
      <c r="AJ159" s="94" t="s">
        <v>305</v>
      </c>
      <c r="AK159" s="94" t="s">
        <v>317</v>
      </c>
      <c r="AL159" s="94">
        <v>120</v>
      </c>
      <c r="AM159" s="94" t="str">
        <f>TRIM(AJ159)&amp;TRIM(AL159)&amp;TRIM(AK159)</f>
      </c>
      <c r="AN159" s="116">
        <v>921</v>
      </c>
      <c r="AO159" s="116">
        <v>-44</v>
      </c>
      <c r="AP159" s="116">
        <f>SUMIFS(M:M,AM:AM,AM159)+SUMIFS(O:O,AM:AM,AM159)</f>
      </c>
      <c r="AQ159" s="116">
        <f>SUMIFS(L:L,AM:AM,AM159)</f>
      </c>
      <c r="AR159" s="116">
        <f>AQ159-AP159</f>
      </c>
      <c r="AS159" s="94" t="str">
        <f>IF(AN159&gt;=AQ159,"ok","ck")</f>
      </c>
      <c r="AT159" s="116">
        <f>-P159</f>
      </c>
      <c r="AU159" s="115">
        <f>IF(SUMIFS(AT:AT,AM:AM,AM159)&gt;AO159,(SUMIFS(AT:AT,AM:AM,AM159)-AO159))</f>
      </c>
      <c r="AV159" s="116">
        <v>921</v>
      </c>
      <c r="AW159" s="121">
        <v>1.05</v>
      </c>
      <c r="AX159" s="115">
        <f>AN159-AP159</f>
      </c>
    </row>
    <row r="160" spans="1:50" ht="15" hidden="1" customHeight="1" x14ac:dyDescent="0.3">
      <c r="A160" s="94" t="s">
        <v>268</v>
      </c>
      <c r="B160" s="94"/>
      <c r="C160" s="94"/>
      <c r="D160" s="94"/>
      <c r="E160" s="94"/>
      <c r="F160" s="94"/>
      <c r="G160" s="112">
        <f>AU160</f>
      </c>
      <c r="H160" s="113"/>
      <c r="I160" s="94" t="s">
        <v>278</v>
      </c>
      <c r="J160" s="94" t="s">
        <v>509</v>
      </c>
      <c r="K160" s="114">
        <f>P160/3</f>
      </c>
      <c r="L160" s="115">
        <v>0.14399999999999999</v>
      </c>
      <c r="M160" s="116"/>
      <c r="N160" s="117">
        <f>M160-L160</f>
      </c>
      <c r="O160" s="112"/>
      <c r="P160" s="118">
        <f>N160+O160</f>
      </c>
      <c r="Q160" s="94" t="s">
        <v>778</v>
      </c>
      <c r="R160" s="94" t="s">
        <v>63</v>
      </c>
      <c r="S160" s="119">
        <v>46342</v>
      </c>
      <c r="T160" s="119"/>
      <c r="U160" s="120">
        <v>46342</v>
      </c>
      <c r="V160" s="94"/>
      <c r="W160" s="94"/>
      <c r="X160" s="94"/>
      <c r="Y160" s="119">
        <v>46342</v>
      </c>
      <c r="Z160" s="94"/>
      <c r="AA160" s="120"/>
      <c r="AB160" s="120"/>
      <c r="AC160" s="120"/>
      <c r="AD160" s="120"/>
      <c r="AE160" s="120"/>
      <c r="AF160" s="120"/>
      <c r="AG160" s="94"/>
      <c r="AH160" s="120"/>
      <c r="AI160" s="94"/>
      <c r="AJ160" s="94" t="s">
        <v>778</v>
      </c>
      <c r="AK160" s="94" t="s">
        <v>703</v>
      </c>
      <c r="AL160" s="94">
        <v>120</v>
      </c>
      <c r="AM160" s="94" t="str">
        <f>TRIM(AJ160)&amp;TRIM(AL160)&amp;TRIM(AK160)</f>
      </c>
      <c r="AN160" s="116">
        <v>0</v>
      </c>
      <c r="AO160" s="116" t="inlineStr">
        <is>
          <t>#NA</t>
        </is>
      </c>
      <c r="AP160" s="116">
        <f>SUMIFS(M:M,AM:AM,AM160)+SUMIFS(O:O,AM:AM,AM160)</f>
      </c>
      <c r="AQ160" s="116">
        <f>SUMIFS(L:L,AM:AM,AM160)</f>
      </c>
      <c r="AR160" s="116">
        <f>AQ160-AP160</f>
      </c>
      <c r="AS160" s="94" t="str">
        <f>IF(AN160&gt;=AQ160,"ok","ck")</f>
      </c>
      <c r="AT160" s="116">
        <f>-P160</f>
      </c>
      <c r="AU160" s="115">
        <f>IF(SUMIFS(AT:AT,AM:AM,AM160)&gt;AO160,(SUMIFS(AT:AT,AM:AM,AM160)-AO160))</f>
      </c>
      <c r="AV160" s="116">
        <v>0</v>
      </c>
      <c r="AW160" s="121">
        <v>0</v>
      </c>
      <c r="AX160" s="115">
        <f>AN160-AP160</f>
      </c>
    </row>
    <row r="161" spans="1:50" ht="15" hidden="1" customHeight="1" x14ac:dyDescent="0.3">
      <c r="A161" s="94" t="s">
        <v>268</v>
      </c>
      <c r="B161" s="94"/>
      <c r="C161" s="94"/>
      <c r="D161" s="94"/>
      <c r="E161" s="94"/>
      <c r="F161" s="94"/>
      <c r="G161" s="112">
        <f>AU161</f>
      </c>
      <c r="H161" s="113"/>
      <c r="I161" s="94" t="s">
        <v>278</v>
      </c>
      <c r="J161" s="94" t="s">
        <v>509</v>
      </c>
      <c r="K161" s="114">
        <f>P161/3</f>
      </c>
      <c r="L161" s="115">
        <v>605.36599999999999</v>
      </c>
      <c r="M161" s="116"/>
      <c r="N161" s="117">
        <f>M161-L161</f>
      </c>
      <c r="O161" s="112"/>
      <c r="P161" s="118">
        <f>N161+O161</f>
      </c>
      <c r="Q161" s="94" t="s">
        <v>778</v>
      </c>
      <c r="R161" s="94" t="s">
        <v>63</v>
      </c>
      <c r="S161" s="119">
        <v>46331</v>
      </c>
      <c r="T161" s="119"/>
      <c r="U161" s="120" t="s">
        <v>633</v>
      </c>
      <c r="V161" s="94"/>
      <c r="W161" s="94"/>
      <c r="X161" s="94"/>
      <c r="Y161" s="119">
        <v>46327</v>
      </c>
      <c r="Z161" s="94"/>
      <c r="AA161" s="120"/>
      <c r="AB161" s="120"/>
      <c r="AC161" s="120"/>
      <c r="AD161" s="120"/>
      <c r="AE161" s="120"/>
      <c r="AF161" s="120"/>
      <c r="AG161" s="94"/>
      <c r="AH161" s="120"/>
      <c r="AI161" s="94"/>
      <c r="AJ161" s="94" t="s">
        <v>778</v>
      </c>
      <c r="AK161" s="94" t="s">
        <v>703</v>
      </c>
      <c r="AL161" s="94">
        <v>120</v>
      </c>
      <c r="AM161" s="94" t="str">
        <f>TRIM(AJ161)&amp;TRIM(AL161)&amp;TRIM(AK161)</f>
      </c>
      <c r="AN161" s="116">
        <v>0</v>
      </c>
      <c r="AO161" s="116" t="inlineStr">
        <is>
          <t>#NA</t>
        </is>
      </c>
      <c r="AP161" s="116">
        <f>SUMIFS(M:M,AM:AM,AM161)+SUMIFS(O:O,AM:AM,AM161)</f>
      </c>
      <c r="AQ161" s="116">
        <f>SUMIFS(L:L,AM:AM,AM161)</f>
      </c>
      <c r="AR161" s="116">
        <f>AQ161-AP161</f>
      </c>
      <c r="AS161" s="94" t="str">
        <f>IF(AN161&gt;=AQ161,"ok","ck")</f>
      </c>
      <c r="AT161" s="116">
        <f>-P161</f>
      </c>
      <c r="AU161" s="115">
        <f>IF(SUMIFS(AT:AT,AM:AM,AM161)&gt;AO161,(SUMIFS(AT:AT,AM:AM,AM161)-AO161))</f>
      </c>
      <c r="AV161" s="116">
        <v>0</v>
      </c>
      <c r="AW161" s="121">
        <v>0</v>
      </c>
      <c r="AX161" s="115">
        <f>AN161-AP161</f>
      </c>
    </row>
    <row r="162" spans="1:50" ht="15" hidden="1" customHeight="1" x14ac:dyDescent="0.3">
      <c r="A162" s="94" t="s">
        <v>268</v>
      </c>
      <c r="B162" s="94"/>
      <c r="C162" s="94"/>
      <c r="D162" s="94"/>
      <c r="E162" s="94"/>
      <c r="F162" s="94"/>
      <c r="G162" s="112">
        <f>AU162</f>
      </c>
      <c r="H162" s="113"/>
      <c r="I162" s="94" t="s">
        <v>278</v>
      </c>
      <c r="J162" s="94" t="s">
        <v>509</v>
      </c>
      <c r="K162" s="114">
        <f>P162/3</f>
      </c>
      <c r="L162" s="115">
        <v>0.14799999999999999</v>
      </c>
      <c r="M162" s="116"/>
      <c r="N162" s="117">
        <f>M162-L162</f>
      </c>
      <c r="O162" s="112"/>
      <c r="P162" s="118">
        <f>N162+O162</f>
      </c>
      <c r="Q162" s="94" t="s">
        <v>778</v>
      </c>
      <c r="R162" s="94" t="s">
        <v>63</v>
      </c>
      <c r="S162" s="119">
        <v>46334</v>
      </c>
      <c r="T162" s="119"/>
      <c r="U162" s="120">
        <v>46334</v>
      </c>
      <c r="V162" s="94"/>
      <c r="W162" s="94"/>
      <c r="X162" s="94"/>
      <c r="Y162" s="119">
        <v>46334</v>
      </c>
      <c r="Z162" s="94"/>
      <c r="AA162" s="120"/>
      <c r="AB162" s="120"/>
      <c r="AC162" s="120"/>
      <c r="AD162" s="120"/>
      <c r="AE162" s="120"/>
      <c r="AF162" s="120"/>
      <c r="AG162" s="94"/>
      <c r="AH162" s="120"/>
      <c r="AI162" s="94"/>
      <c r="AJ162" s="94" t="s">
        <v>778</v>
      </c>
      <c r="AK162" s="94" t="s">
        <v>703</v>
      </c>
      <c r="AL162" s="94">
        <v>120</v>
      </c>
      <c r="AM162" s="94" t="str">
        <f>TRIM(AJ162)&amp;TRIM(AL162)&amp;TRIM(AK162)</f>
      </c>
      <c r="AN162" s="116">
        <v>0</v>
      </c>
      <c r="AO162" s="116" t="inlineStr">
        <is>
          <t>#NA</t>
        </is>
      </c>
      <c r="AP162" s="116">
        <f>SUMIFS(M:M,AM:AM,AM162)+SUMIFS(O:O,AM:AM,AM162)</f>
      </c>
      <c r="AQ162" s="116">
        <f>SUMIFS(L:L,AM:AM,AM162)</f>
      </c>
      <c r="AR162" s="116">
        <f>AQ162-AP162</f>
      </c>
      <c r="AS162" s="94" t="str">
        <f>IF(AN162&gt;=AQ162,"ok","ck")</f>
      </c>
      <c r="AT162" s="116">
        <f>-P162</f>
      </c>
      <c r="AU162" s="115">
        <f>IF(SUMIFS(AT:AT,AM:AM,AM162)&gt;AO162,(SUMIFS(AT:AT,AM:AM,AM162)-AO162))</f>
      </c>
      <c r="AV162" s="116">
        <v>0</v>
      </c>
      <c r="AW162" s="121">
        <v>0</v>
      </c>
      <c r="AX162" s="115">
        <f>AN162-AP162</f>
      </c>
    </row>
    <row r="163" spans="1:50" ht="15" hidden="1" customHeight="1" x14ac:dyDescent="0.3">
      <c r="A163" s="94" t="s">
        <v>268</v>
      </c>
      <c r="B163" s="94"/>
      <c r="C163" s="94"/>
      <c r="D163" s="94"/>
      <c r="E163" s="94"/>
      <c r="F163" s="94"/>
      <c r="G163" s="112">
        <f>AU163</f>
      </c>
      <c r="H163" s="113"/>
      <c r="I163" s="94" t="s">
        <v>278</v>
      </c>
      <c r="J163" s="94" t="s">
        <v>503</v>
      </c>
      <c r="K163" s="114">
        <f>P163/3</f>
      </c>
      <c r="L163" s="115">
        <v>0</v>
      </c>
      <c r="M163" s="116"/>
      <c r="N163" s="117">
        <f>M163-L163</f>
      </c>
      <c r="O163" s="112"/>
      <c r="P163" s="118">
        <f>N163+O163</f>
      </c>
      <c r="Q163" s="94" t="s">
        <v>778</v>
      </c>
      <c r="R163" s="94" t="s">
        <v>63</v>
      </c>
      <c r="S163" s="119">
        <v>46342</v>
      </c>
      <c r="T163" s="119"/>
      <c r="U163" s="120">
        <v>46342</v>
      </c>
      <c r="V163" s="94"/>
      <c r="W163" s="94"/>
      <c r="X163" s="94"/>
      <c r="Y163" s="119">
        <v>46342</v>
      </c>
      <c r="Z163" s="94"/>
      <c r="AA163" s="120"/>
      <c r="AB163" s="120"/>
      <c r="AC163" s="120"/>
      <c r="AD163" s="120"/>
      <c r="AE163" s="120"/>
      <c r="AF163" s="120"/>
      <c r="AG163" s="94"/>
      <c r="AH163" s="120"/>
      <c r="AI163" s="94"/>
      <c r="AJ163" s="94" t="s">
        <v>778</v>
      </c>
      <c r="AK163" s="94" t="s">
        <v>697</v>
      </c>
      <c r="AL163" s="94">
        <v>120</v>
      </c>
      <c r="AM163" s="94" t="str">
        <f>TRIM(AJ163)&amp;TRIM(AL163)&amp;TRIM(AK163)</f>
      </c>
      <c r="AN163" s="116">
        <v>0</v>
      </c>
      <c r="AO163" s="116" t="inlineStr">
        <is>
          <t>#NA</t>
        </is>
      </c>
      <c r="AP163" s="116">
        <f>SUMIFS(M:M,AM:AM,AM163)+SUMIFS(O:O,AM:AM,AM163)</f>
      </c>
      <c r="AQ163" s="116">
        <f>SUMIFS(L:L,AM:AM,AM163)</f>
      </c>
      <c r="AR163" s="116">
        <f>AQ163-AP163</f>
      </c>
      <c r="AS163" s="94" t="str">
        <f>IF(AN163&gt;=AQ163,"ok","ck")</f>
      </c>
      <c r="AT163" s="116">
        <f>-P163</f>
      </c>
      <c r="AU163" s="115">
        <f>IF(SUMIFS(AT:AT,AM:AM,AM163)&gt;AO163,(SUMIFS(AT:AT,AM:AM,AM163)-AO163))</f>
      </c>
      <c r="AV163" s="116">
        <v>0</v>
      </c>
      <c r="AW163" s="121">
        <v>0</v>
      </c>
      <c r="AX163" s="115">
        <f>AN163-AP163</f>
      </c>
    </row>
    <row r="164" spans="1:50" ht="15" hidden="1" customHeight="1" x14ac:dyDescent="0.3">
      <c r="A164" s="94" t="s">
        <v>268</v>
      </c>
      <c r="B164" s="94"/>
      <c r="C164" s="94"/>
      <c r="D164" s="94"/>
      <c r="E164" s="94"/>
      <c r="F164" s="94"/>
      <c r="G164" s="112">
        <f>AU164</f>
      </c>
      <c r="H164" s="113"/>
      <c r="I164" s="94" t="s">
        <v>278</v>
      </c>
      <c r="J164" s="94" t="s">
        <v>503</v>
      </c>
      <c r="K164" s="114">
        <f>P164/3</f>
      </c>
      <c r="L164" s="115">
        <v>0.126</v>
      </c>
      <c r="M164" s="116"/>
      <c r="N164" s="117">
        <f>M164-L164</f>
      </c>
      <c r="O164" s="112"/>
      <c r="P164" s="118">
        <f>N164+O164</f>
      </c>
      <c r="Q164" s="94" t="s">
        <v>778</v>
      </c>
      <c r="R164" s="94" t="s">
        <v>63</v>
      </c>
      <c r="S164" s="119">
        <v>46328</v>
      </c>
      <c r="T164" s="119"/>
      <c r="U164" s="120">
        <v>46328</v>
      </c>
      <c r="V164" s="94"/>
      <c r="W164" s="94"/>
      <c r="X164" s="94"/>
      <c r="Y164" s="119">
        <v>46328</v>
      </c>
      <c r="Z164" s="94"/>
      <c r="AA164" s="120"/>
      <c r="AB164" s="120"/>
      <c r="AC164" s="120"/>
      <c r="AD164" s="120"/>
      <c r="AE164" s="120"/>
      <c r="AF164" s="120"/>
      <c r="AG164" s="94"/>
      <c r="AH164" s="120"/>
      <c r="AI164" s="94"/>
      <c r="AJ164" s="94" t="s">
        <v>778</v>
      </c>
      <c r="AK164" s="94" t="s">
        <v>697</v>
      </c>
      <c r="AL164" s="94">
        <v>120</v>
      </c>
      <c r="AM164" s="94" t="str">
        <f>TRIM(AJ164)&amp;TRIM(AL164)&amp;TRIM(AK164)</f>
      </c>
      <c r="AN164" s="116">
        <v>0</v>
      </c>
      <c r="AO164" s="116" t="inlineStr">
        <is>
          <t>#NA</t>
        </is>
      </c>
      <c r="AP164" s="116">
        <f>SUMIFS(M:M,AM:AM,AM164)+SUMIFS(O:O,AM:AM,AM164)</f>
      </c>
      <c r="AQ164" s="116">
        <f>SUMIFS(L:L,AM:AM,AM164)</f>
      </c>
      <c r="AR164" s="116">
        <f>AQ164-AP164</f>
      </c>
      <c r="AS164" s="94" t="str">
        <f>IF(AN164&gt;=AQ164,"ok","ck")</f>
      </c>
      <c r="AT164" s="116">
        <f>-P164</f>
      </c>
      <c r="AU164" s="115">
        <f>IF(SUMIFS(AT:AT,AM:AM,AM164)&gt;AO164,(SUMIFS(AT:AT,AM:AM,AM164)-AO164))</f>
      </c>
      <c r="AV164" s="116">
        <v>0</v>
      </c>
      <c r="AW164" s="121">
        <v>0</v>
      </c>
      <c r="AX164" s="115">
        <f>AN164-AP164</f>
      </c>
    </row>
    <row r="165" spans="1:50" ht="15" hidden="1" customHeight="1" x14ac:dyDescent="0.3">
      <c r="A165" s="94" t="s">
        <v>268</v>
      </c>
      <c r="B165" s="94"/>
      <c r="C165" s="94"/>
      <c r="D165" s="94"/>
      <c r="E165" s="94"/>
      <c r="F165" s="94"/>
      <c r="G165" s="112">
        <f>AU165</f>
      </c>
      <c r="H165" s="113"/>
      <c r="I165" s="94" t="s">
        <v>278</v>
      </c>
      <c r="J165" s="94" t="s">
        <v>317</v>
      </c>
      <c r="K165" s="114">
        <f>P165/3</f>
      </c>
      <c r="L165" s="115">
        <v>7.38</v>
      </c>
      <c r="M165" s="116"/>
      <c r="N165" s="117">
        <f>M165-L165</f>
      </c>
      <c r="O165" s="112"/>
      <c r="P165" s="118">
        <f>N165+O165</f>
      </c>
      <c r="Q165" s="94" t="s">
        <v>778</v>
      </c>
      <c r="R165" s="94" t="s">
        <v>63</v>
      </c>
      <c r="S165" s="119">
        <v>46335</v>
      </c>
      <c r="T165" s="119"/>
      <c r="U165" s="120">
        <v>46335</v>
      </c>
      <c r="V165" s="94"/>
      <c r="W165" s="94"/>
      <c r="X165" s="94"/>
      <c r="Y165" s="119">
        <v>46341</v>
      </c>
      <c r="Z165" s="94"/>
      <c r="AA165" s="120"/>
      <c r="AB165" s="120"/>
      <c r="AC165" s="120"/>
      <c r="AD165" s="120"/>
      <c r="AE165" s="120"/>
      <c r="AF165" s="120"/>
      <c r="AG165" s="94"/>
      <c r="AH165" s="120"/>
      <c r="AI165" s="94"/>
      <c r="AJ165" s="94" t="s">
        <v>778</v>
      </c>
      <c r="AK165" s="94" t="s">
        <v>317</v>
      </c>
      <c r="AL165" s="94">
        <v>120</v>
      </c>
      <c r="AM165" s="94" t="str">
        <f>TRIM(AJ165)&amp;TRIM(AL165)&amp;TRIM(AK165)</f>
      </c>
      <c r="AN165" s="116">
        <v>0</v>
      </c>
      <c r="AO165" s="116" t="inlineStr">
        <is>
          <t>#NA</t>
        </is>
      </c>
      <c r="AP165" s="116">
        <f>SUMIFS(M:M,AM:AM,AM165)+SUMIFS(O:O,AM:AM,AM165)</f>
      </c>
      <c r="AQ165" s="116">
        <f>SUMIFS(L:L,AM:AM,AM165)</f>
      </c>
      <c r="AR165" s="116">
        <f>AQ165-AP165</f>
      </c>
      <c r="AS165" s="94" t="str">
        <f>IF(AN165&gt;=AQ165,"ok","ck")</f>
      </c>
      <c r="AT165" s="116">
        <f>-P165</f>
      </c>
      <c r="AU165" s="115">
        <f>IF(SUMIFS(AT:AT,AM:AM,AM165)&gt;AO165,(SUMIFS(AT:AT,AM:AM,AM165)-AO165))</f>
      </c>
      <c r="AV165" s="116">
        <v>0</v>
      </c>
      <c r="AW165" s="121">
        <v>0</v>
      </c>
      <c r="AX165" s="115">
        <f>AN165-AP165</f>
      </c>
    </row>
    <row r="166" spans="1:50" ht="15" hidden="1" customHeight="1" x14ac:dyDescent="0.3">
      <c r="A166" s="94" t="s">
        <v>268</v>
      </c>
      <c r="B166" s="94"/>
      <c r="C166" s="94"/>
      <c r="D166" s="94"/>
      <c r="E166" s="94"/>
      <c r="F166" s="94"/>
      <c r="G166" s="112">
        <f>AU166</f>
      </c>
      <c r="H166" s="113"/>
      <c r="I166" s="94" t="s">
        <v>278</v>
      </c>
      <c r="J166" s="94" t="s">
        <v>317</v>
      </c>
      <c r="K166" s="114">
        <f>P166/3</f>
      </c>
      <c r="L166" s="115">
        <v>27.3</v>
      </c>
      <c r="M166" s="116"/>
      <c r="N166" s="117">
        <f>M166-L166</f>
      </c>
      <c r="O166" s="112"/>
      <c r="P166" s="118">
        <f>N166+O166</f>
      </c>
      <c r="Q166" s="94" t="s">
        <v>778</v>
      </c>
      <c r="R166" s="94" t="s">
        <v>63</v>
      </c>
      <c r="S166" s="119">
        <v>46335</v>
      </c>
      <c r="T166" s="119"/>
      <c r="U166" s="120">
        <v>46335</v>
      </c>
      <c r="V166" s="94"/>
      <c r="W166" s="94"/>
      <c r="X166" s="94"/>
      <c r="Y166" s="119">
        <v>46334</v>
      </c>
      <c r="Z166" s="94"/>
      <c r="AA166" s="120"/>
      <c r="AB166" s="120"/>
      <c r="AC166" s="120"/>
      <c r="AD166" s="120"/>
      <c r="AE166" s="120"/>
      <c r="AF166" s="120"/>
      <c r="AG166" s="94"/>
      <c r="AH166" s="120"/>
      <c r="AI166" s="94"/>
      <c r="AJ166" s="94" t="s">
        <v>778</v>
      </c>
      <c r="AK166" s="94" t="s">
        <v>317</v>
      </c>
      <c r="AL166" s="94">
        <v>120</v>
      </c>
      <c r="AM166" s="94" t="str">
        <f>TRIM(AJ166)&amp;TRIM(AL166)&amp;TRIM(AK166)</f>
      </c>
      <c r="AN166" s="116">
        <v>0</v>
      </c>
      <c r="AO166" s="116" t="inlineStr">
        <is>
          <t>#NA</t>
        </is>
      </c>
      <c r="AP166" s="116">
        <f>SUMIFS(M:M,AM:AM,AM166)+SUMIFS(O:O,AM:AM,AM166)</f>
      </c>
      <c r="AQ166" s="116">
        <f>SUMIFS(L:L,AM:AM,AM166)</f>
      </c>
      <c r="AR166" s="116">
        <f>AQ166-AP166</f>
      </c>
      <c r="AS166" s="94" t="str">
        <f>IF(AN166&gt;=AQ166,"ok","ck")</f>
      </c>
      <c r="AT166" s="116">
        <f>-P166</f>
      </c>
      <c r="AU166" s="115">
        <f>IF(SUMIFS(AT:AT,AM:AM,AM166)&gt;AO166,(SUMIFS(AT:AT,AM:AM,AM166)-AO166))</f>
      </c>
      <c r="AV166" s="116">
        <v>0</v>
      </c>
      <c r="AW166" s="121">
        <v>0</v>
      </c>
      <c r="AX166" s="115">
        <f>AN166-AP166</f>
      </c>
    </row>
    <row r="167" spans="1:50" ht="15" hidden="1" customHeight="1" x14ac:dyDescent="0.3">
      <c r="A167" s="94" t="s">
        <v>268</v>
      </c>
      <c r="B167" s="94"/>
      <c r="C167" s="94"/>
      <c r="D167" s="94"/>
      <c r="E167" s="94"/>
      <c r="F167" s="94"/>
      <c r="G167" s="112">
        <f>AU167</f>
      </c>
      <c r="H167" s="113"/>
      <c r="I167" s="94" t="s">
        <v>278</v>
      </c>
      <c r="J167" s="94" t="s">
        <v>317</v>
      </c>
      <c r="K167" s="114">
        <f>P167/3</f>
      </c>
      <c r="L167" s="115">
        <v>2.1</v>
      </c>
      <c r="M167" s="116"/>
      <c r="N167" s="117">
        <f>M167-L167</f>
      </c>
      <c r="O167" s="112"/>
      <c r="P167" s="118">
        <f>N167+O167</f>
      </c>
      <c r="Q167" s="94" t="s">
        <v>778</v>
      </c>
      <c r="R167" s="94" t="s">
        <v>63</v>
      </c>
      <c r="S167" s="119">
        <v>46335</v>
      </c>
      <c r="T167" s="119"/>
      <c r="U167" s="120">
        <v>46335</v>
      </c>
      <c r="V167" s="94"/>
      <c r="W167" s="94"/>
      <c r="X167" s="94"/>
      <c r="Y167" s="119">
        <v>46337</v>
      </c>
      <c r="Z167" s="94"/>
      <c r="AA167" s="120"/>
      <c r="AB167" s="120"/>
      <c r="AC167" s="120"/>
      <c r="AD167" s="120"/>
      <c r="AE167" s="120"/>
      <c r="AF167" s="120"/>
      <c r="AG167" s="94"/>
      <c r="AH167" s="120"/>
      <c r="AI167" s="94"/>
      <c r="AJ167" s="94" t="s">
        <v>778</v>
      </c>
      <c r="AK167" s="94" t="s">
        <v>317</v>
      </c>
      <c r="AL167" s="94">
        <v>120</v>
      </c>
      <c r="AM167" s="94" t="str">
        <f>TRIM(AJ167)&amp;TRIM(AL167)&amp;TRIM(AK167)</f>
      </c>
      <c r="AN167" s="116">
        <v>0</v>
      </c>
      <c r="AO167" s="116" t="inlineStr">
        <is>
          <t>#NA</t>
        </is>
      </c>
      <c r="AP167" s="116">
        <f>SUMIFS(M:M,AM:AM,AM167)+SUMIFS(O:O,AM:AM,AM167)</f>
      </c>
      <c r="AQ167" s="116">
        <f>SUMIFS(L:L,AM:AM,AM167)</f>
      </c>
      <c r="AR167" s="116">
        <f>AQ167-AP167</f>
      </c>
      <c r="AS167" s="94" t="str">
        <f>IF(AN167&gt;=AQ167,"ok","ck")</f>
      </c>
      <c r="AT167" s="116">
        <f>-P167</f>
      </c>
      <c r="AU167" s="115">
        <f>IF(SUMIFS(AT:AT,AM:AM,AM167)&gt;AO167,(SUMIFS(AT:AT,AM:AM,AM167)-AO167))</f>
      </c>
      <c r="AV167" s="116">
        <v>0</v>
      </c>
      <c r="AW167" s="121">
        <v>0</v>
      </c>
      <c r="AX167" s="115">
        <f>AN167-AP167</f>
      </c>
    </row>
    <row r="168" spans="1:50" ht="15" hidden="1" customHeight="1" x14ac:dyDescent="0.3">
      <c r="A168" s="94" t="s">
        <v>268</v>
      </c>
      <c r="B168" s="94"/>
      <c r="C168" s="94"/>
      <c r="D168" s="94"/>
      <c r="E168" s="94"/>
      <c r="F168" s="94"/>
      <c r="G168" s="112">
        <f>AU168</f>
      </c>
      <c r="H168" s="113"/>
      <c r="I168" s="94" t="s">
        <v>278</v>
      </c>
      <c r="J168" s="94" t="s">
        <v>341</v>
      </c>
      <c r="K168" s="114">
        <f>P168/3</f>
      </c>
      <c r="L168" s="115">
        <v>-1.341</v>
      </c>
      <c r="M168" s="116">
        <f>L168</f>
      </c>
      <c r="N168" s="117">
        <f>M168-L168</f>
      </c>
      <c r="O168" s="112"/>
      <c r="P168" s="118">
        <f>N168+O168</f>
      </c>
      <c r="Q168" s="94" t="s">
        <v>287</v>
      </c>
      <c r="R168" s="94" t="s">
        <v>63</v>
      </c>
      <c r="S168" s="119">
        <v>46334</v>
      </c>
      <c r="T168" s="119"/>
      <c r="U168" s="120">
        <v>46334</v>
      </c>
      <c r="V168" s="94"/>
      <c r="W168" s="94"/>
      <c r="X168" s="94"/>
      <c r="Y168" s="119">
        <v>46334</v>
      </c>
      <c r="Z168" s="94"/>
      <c r="AA168" s="120"/>
      <c r="AB168" s="120"/>
      <c r="AC168" s="120"/>
      <c r="AD168" s="120"/>
      <c r="AE168" s="120"/>
      <c r="AF168" s="120"/>
      <c r="AG168" s="94"/>
      <c r="AH168" s="120"/>
      <c r="AI168" s="94"/>
      <c r="AJ168" s="94" t="s">
        <v>287</v>
      </c>
      <c r="AK168" s="94" t="s">
        <v>704</v>
      </c>
      <c r="AL168" s="94">
        <v>120</v>
      </c>
      <c r="AM168" s="94" t="str">
        <f>TRIM(AJ168)&amp;TRIM(AL168)&amp;TRIM(AK168)</f>
      </c>
      <c r="AN168" s="116">
        <v>121</v>
      </c>
      <c r="AO168" s="116">
        <v>-6.73</v>
      </c>
      <c r="AP168" s="116">
        <f>SUMIFS(M:M,AM:AM,AM168)+SUMIFS(O:O,AM:AM,AM168)</f>
      </c>
      <c r="AQ168" s="116">
        <f>SUMIFS(L:L,AM:AM,AM168)</f>
      </c>
      <c r="AR168" s="116">
        <f>AQ168-AP168</f>
      </c>
      <c r="AS168" s="94" t="str">
        <f>IF(AN168&gt;=AQ168,"ok","ck")</f>
      </c>
      <c r="AT168" s="116">
        <f>-P168</f>
      </c>
      <c r="AU168" s="115">
        <f>IF(SUMIFS(AT:AT,AM:AM,AM168)&gt;AO168,(SUMIFS(AT:AT,AM:AM,AM168)-AO168))</f>
      </c>
      <c r="AV168" s="116">
        <v>121</v>
      </c>
      <c r="AW168" s="121">
        <v>1.059</v>
      </c>
      <c r="AX168" s="115">
        <f>AN168-AP168</f>
      </c>
    </row>
    <row r="169" spans="1:50" ht="15" hidden="1" customHeight="1" x14ac:dyDescent="0.3">
      <c r="A169" s="94" t="s">
        <v>268</v>
      </c>
      <c r="B169" s="94"/>
      <c r="C169" s="94"/>
      <c r="D169" s="94"/>
      <c r="E169" s="94"/>
      <c r="F169" s="94"/>
      <c r="G169" s="112">
        <f>AU169</f>
      </c>
      <c r="H169" s="113"/>
      <c r="I169" s="94" t="s">
        <v>278</v>
      </c>
      <c r="J169" s="94" t="s">
        <v>341</v>
      </c>
      <c r="K169" s="114">
        <f>P169/3</f>
      </c>
      <c r="L169" s="115">
        <v>0.14399999999999999</v>
      </c>
      <c r="M169" s="116">
        <f>L169</f>
      </c>
      <c r="N169" s="117">
        <f>M169-L169</f>
      </c>
      <c r="O169" s="112"/>
      <c r="P169" s="118">
        <f>N169+O169</f>
      </c>
      <c r="Q169" s="94" t="s">
        <v>287</v>
      </c>
      <c r="R169" s="94" t="s">
        <v>63</v>
      </c>
      <c r="S169" s="119">
        <v>46334</v>
      </c>
      <c r="T169" s="119"/>
      <c r="U169" s="120">
        <v>46334</v>
      </c>
      <c r="V169" s="94"/>
      <c r="W169" s="94"/>
      <c r="X169" s="94"/>
      <c r="Y169" s="119">
        <v>46334</v>
      </c>
      <c r="Z169" s="94"/>
      <c r="AA169" s="120"/>
      <c r="AB169" s="120"/>
      <c r="AC169" s="120"/>
      <c r="AD169" s="120"/>
      <c r="AE169" s="120"/>
      <c r="AF169" s="120"/>
      <c r="AG169" s="94"/>
      <c r="AH169" s="120"/>
      <c r="AI169" s="94"/>
      <c r="AJ169" s="94" t="s">
        <v>287</v>
      </c>
      <c r="AK169" s="94" t="s">
        <v>704</v>
      </c>
      <c r="AL169" s="94">
        <v>120</v>
      </c>
      <c r="AM169" s="94" t="str">
        <f>TRIM(AJ169)&amp;TRIM(AL169)&amp;TRIM(AK169)</f>
      </c>
      <c r="AN169" s="116">
        <v>121</v>
      </c>
      <c r="AO169" s="116">
        <v>-6.73</v>
      </c>
      <c r="AP169" s="116">
        <f>SUMIFS(M:M,AM:AM,AM169)+SUMIFS(O:O,AM:AM,AM169)</f>
      </c>
      <c r="AQ169" s="116">
        <f>SUMIFS(L:L,AM:AM,AM169)</f>
      </c>
      <c r="AR169" s="116">
        <f>AQ169-AP169</f>
      </c>
      <c r="AS169" s="94" t="str">
        <f>IF(AN169&gt;=AQ169,"ok","ck")</f>
      </c>
      <c r="AT169" s="116">
        <f>-P169</f>
      </c>
      <c r="AU169" s="115">
        <f>IF(SUMIFS(AT:AT,AM:AM,AM169)&gt;AO169,(SUMIFS(AT:AT,AM:AM,AM169)-AO169))</f>
      </c>
      <c r="AV169" s="116">
        <v>121</v>
      </c>
      <c r="AW169" s="121">
        <v>1.059</v>
      </c>
      <c r="AX169" s="115">
        <f>AN169-AP169</f>
      </c>
    </row>
    <row r="170" spans="1:50" ht="15" hidden="1" customHeight="1" x14ac:dyDescent="0.3">
      <c r="A170" s="94" t="s">
        <v>268</v>
      </c>
      <c r="B170" s="94"/>
      <c r="C170" s="94"/>
      <c r="D170" s="94"/>
      <c r="E170" s="94"/>
      <c r="F170" s="94"/>
      <c r="G170" s="112">
        <f>AU170</f>
      </c>
      <c r="H170" s="113"/>
      <c r="I170" s="94" t="s">
        <v>278</v>
      </c>
      <c r="J170" s="94" t="s">
        <v>510</v>
      </c>
      <c r="K170" s="114">
        <f>P170/3</f>
      </c>
      <c r="L170" s="115">
        <v>-1.341</v>
      </c>
      <c r="M170" s="116">
        <f>L170</f>
      </c>
      <c r="N170" s="117">
        <f>M170-L170</f>
      </c>
      <c r="O170" s="112"/>
      <c r="P170" s="118">
        <f>N170+O170</f>
      </c>
      <c r="Q170" s="94" t="s">
        <v>287</v>
      </c>
      <c r="R170" s="94" t="s">
        <v>63</v>
      </c>
      <c r="S170" s="119">
        <v>46334</v>
      </c>
      <c r="T170" s="119"/>
      <c r="U170" s="120">
        <v>46334</v>
      </c>
      <c r="V170" s="94"/>
      <c r="W170" s="94"/>
      <c r="X170" s="94"/>
      <c r="Y170" s="119">
        <v>46334</v>
      </c>
      <c r="Z170" s="94"/>
      <c r="AA170" s="120"/>
      <c r="AB170" s="120"/>
      <c r="AC170" s="120"/>
      <c r="AD170" s="120"/>
      <c r="AE170" s="120"/>
      <c r="AF170" s="120"/>
      <c r="AG170" s="94"/>
      <c r="AH170" s="120"/>
      <c r="AI170" s="94"/>
      <c r="AJ170" s="94" t="s">
        <v>287</v>
      </c>
      <c r="AK170" s="94" t="s">
        <v>705</v>
      </c>
      <c r="AL170" s="94">
        <v>120</v>
      </c>
      <c r="AM170" s="94" t="str">
        <f>TRIM(AJ170)&amp;TRIM(AL170)&amp;TRIM(AK170)</f>
      </c>
      <c r="AN170" s="116">
        <v>117</v>
      </c>
      <c r="AO170" s="116">
        <v>-2.73</v>
      </c>
      <c r="AP170" s="116">
        <f>SUMIFS(M:M,AM:AM,AM170)+SUMIFS(O:O,AM:AM,AM170)</f>
      </c>
      <c r="AQ170" s="116">
        <f>SUMIFS(L:L,AM:AM,AM170)</f>
      </c>
      <c r="AR170" s="116">
        <f>AQ170-AP170</f>
      </c>
      <c r="AS170" s="94" t="str">
        <f>IF(AN170&gt;=AQ170,"ok","ck")</f>
      </c>
      <c r="AT170" s="116">
        <f>-P170</f>
      </c>
      <c r="AU170" s="115">
        <f>IF(SUMIFS(AT:AT,AM:AM,AM170)&gt;AO170,(SUMIFS(AT:AT,AM:AM,AM170)-AO170))</f>
      </c>
      <c r="AV170" s="116">
        <v>117</v>
      </c>
      <c r="AW170" s="121">
        <v>1.024</v>
      </c>
      <c r="AX170" s="115">
        <f>AN170-AP170</f>
      </c>
    </row>
    <row r="171" spans="1:50" ht="15" hidden="1" customHeight="1" x14ac:dyDescent="0.3">
      <c r="A171" s="94" t="s">
        <v>268</v>
      </c>
      <c r="B171" s="94"/>
      <c r="C171" s="94"/>
      <c r="D171" s="94"/>
      <c r="E171" s="94"/>
      <c r="F171" s="94"/>
      <c r="G171" s="112">
        <f>AU171</f>
      </c>
      <c r="H171" s="113"/>
      <c r="I171" s="94" t="s">
        <v>278</v>
      </c>
      <c r="J171" s="94" t="s">
        <v>510</v>
      </c>
      <c r="K171" s="114">
        <f>P171/3</f>
      </c>
      <c r="L171" s="115">
        <v>0.14399999999999999</v>
      </c>
      <c r="M171" s="116">
        <f>L171</f>
      </c>
      <c r="N171" s="117">
        <f>M171-L171</f>
      </c>
      <c r="O171" s="112"/>
      <c r="P171" s="118">
        <f>N171+O171</f>
      </c>
      <c r="Q171" s="94" t="s">
        <v>287</v>
      </c>
      <c r="R171" s="94" t="s">
        <v>63</v>
      </c>
      <c r="S171" s="119">
        <v>46334</v>
      </c>
      <c r="T171" s="119"/>
      <c r="U171" s="120">
        <v>46334</v>
      </c>
      <c r="V171" s="94"/>
      <c r="W171" s="94"/>
      <c r="X171" s="94"/>
      <c r="Y171" s="119">
        <v>46334</v>
      </c>
      <c r="Z171" s="94"/>
      <c r="AA171" s="120"/>
      <c r="AB171" s="120"/>
      <c r="AC171" s="120"/>
      <c r="AD171" s="120"/>
      <c r="AE171" s="120"/>
      <c r="AF171" s="120"/>
      <c r="AG171" s="94"/>
      <c r="AH171" s="120"/>
      <c r="AI171" s="94"/>
      <c r="AJ171" s="94" t="s">
        <v>287</v>
      </c>
      <c r="AK171" s="94" t="s">
        <v>705</v>
      </c>
      <c r="AL171" s="94">
        <v>120</v>
      </c>
      <c r="AM171" s="94" t="str">
        <f>TRIM(AJ171)&amp;TRIM(AL171)&amp;TRIM(AK171)</f>
      </c>
      <c r="AN171" s="116">
        <v>117</v>
      </c>
      <c r="AO171" s="116">
        <v>-2.73</v>
      </c>
      <c r="AP171" s="116">
        <f>SUMIFS(M:M,AM:AM,AM171)+SUMIFS(O:O,AM:AM,AM171)</f>
      </c>
      <c r="AQ171" s="116">
        <f>SUMIFS(L:L,AM:AM,AM171)</f>
      </c>
      <c r="AR171" s="116">
        <f>AQ171-AP171</f>
      </c>
      <c r="AS171" s="94" t="str">
        <f>IF(AN171&gt;=AQ171,"ok","ck")</f>
      </c>
      <c r="AT171" s="116">
        <f>-P171</f>
      </c>
      <c r="AU171" s="115">
        <f>IF(SUMIFS(AT:AT,AM:AM,AM171)&gt;AO171,(SUMIFS(AT:AT,AM:AM,AM171)-AO171))</f>
      </c>
      <c r="AV171" s="116">
        <v>117</v>
      </c>
      <c r="AW171" s="121">
        <v>1.024</v>
      </c>
      <c r="AX171" s="115">
        <f>AN171-AP171</f>
      </c>
    </row>
    <row r="172" spans="1:50" ht="15" hidden="1" customHeight="1" x14ac:dyDescent="0.3">
      <c r="A172" s="94" t="s">
        <v>60</v>
      </c>
      <c r="B172" s="94"/>
      <c r="C172" s="94"/>
      <c r="D172" s="94"/>
      <c r="E172" s="94"/>
      <c r="F172" s="94"/>
      <c r="G172" s="112">
        <f>AU172</f>
      </c>
      <c r="H172" s="113"/>
      <c r="I172" s="94" t="s">
        <v>485</v>
      </c>
      <c r="J172" s="94" t="s">
        <v>511</v>
      </c>
      <c r="K172" s="114">
        <f>P172/3</f>
      </c>
      <c r="L172" s="115">
        <v>61.8</v>
      </c>
      <c r="M172" s="116"/>
      <c r="N172" s="117">
        <f>M172-L172</f>
      </c>
      <c r="O172" s="112"/>
      <c r="P172" s="118">
        <f>N172+O172</f>
      </c>
      <c r="Q172" s="94" t="s">
        <v>779</v>
      </c>
      <c r="R172" s="94" t="s">
        <v>63</v>
      </c>
      <c r="S172" s="119">
        <v>46334</v>
      </c>
      <c r="T172" s="119"/>
      <c r="U172" s="120">
        <v>46334</v>
      </c>
      <c r="V172" s="94"/>
      <c r="W172" s="94"/>
      <c r="X172" s="94"/>
      <c r="Y172" s="119">
        <v>46327</v>
      </c>
      <c r="Z172" s="94"/>
      <c r="AA172" s="120"/>
      <c r="AB172" s="120"/>
      <c r="AC172" s="120"/>
      <c r="AD172" s="120"/>
      <c r="AE172" s="120"/>
      <c r="AF172" s="120"/>
      <c r="AG172" s="94"/>
      <c r="AH172" s="120"/>
      <c r="AI172" s="94"/>
      <c r="AJ172" s="94" t="s">
        <v>779</v>
      </c>
      <c r="AK172" s="94" t="s">
        <v>511</v>
      </c>
      <c r="AL172" s="94">
        <v>140</v>
      </c>
      <c r="AM172" s="94" t="str">
        <f>TRIM(AJ172)&amp;TRIM(AL172)&amp;TRIM(AK172)</f>
      </c>
      <c r="AN172" s="116">
        <v>0</v>
      </c>
      <c r="AO172" s="116" t="inlineStr">
        <is>
          <t>#NA</t>
        </is>
      </c>
      <c r="AP172" s="116">
        <f>SUMIFS(M:M,AM:AM,AM172)+SUMIFS(O:O,AM:AM,AM172)</f>
      </c>
      <c r="AQ172" s="116">
        <f>SUMIFS(L:L,AM:AM,AM172)</f>
      </c>
      <c r="AR172" s="116">
        <f>AQ172-AP172</f>
      </c>
      <c r="AS172" s="94" t="str">
        <f>IF(AN172&gt;=AQ172,"ok","ck")</f>
      </c>
      <c r="AT172" s="116">
        <f>-P172</f>
      </c>
      <c r="AU172" s="115">
        <f>IF(SUMIFS(AT:AT,AM:AM,AM172)&gt;AO172,(SUMIFS(AT:AT,AM:AM,AM172)-AO172))</f>
      </c>
      <c r="AV172" s="116">
        <v>0</v>
      </c>
      <c r="AW172" s="121">
        <v>0</v>
      </c>
      <c r="AX172" s="115">
        <f>AN172-AP172</f>
      </c>
    </row>
    <row r="173" spans="1:50" ht="15" hidden="1" customHeight="1" x14ac:dyDescent="0.3">
      <c r="A173" s="94" t="s">
        <v>60</v>
      </c>
      <c r="B173" s="94"/>
      <c r="C173" s="94"/>
      <c r="D173" s="94"/>
      <c r="E173" s="94"/>
      <c r="F173" s="94"/>
      <c r="G173" s="112">
        <f>AU173</f>
      </c>
      <c r="H173" s="113"/>
      <c r="I173" s="94" t="s">
        <v>485</v>
      </c>
      <c r="J173" s="94" t="s">
        <v>511</v>
      </c>
      <c r="K173" s="114">
        <f>P173/3</f>
      </c>
      <c r="L173" s="115">
        <v>0.309</v>
      </c>
      <c r="M173" s="116"/>
      <c r="N173" s="117">
        <f>M173-L173</f>
      </c>
      <c r="O173" s="112"/>
      <c r="P173" s="118">
        <f>N173+O173</f>
      </c>
      <c r="Q173" s="94" t="s">
        <v>779</v>
      </c>
      <c r="R173" s="94" t="s">
        <v>63</v>
      </c>
      <c r="S173" s="119">
        <v>46334</v>
      </c>
      <c r="T173" s="119"/>
      <c r="U173" s="120">
        <v>46334</v>
      </c>
      <c r="V173" s="94"/>
      <c r="W173" s="94"/>
      <c r="X173" s="94"/>
      <c r="Y173" s="119">
        <v>46334</v>
      </c>
      <c r="Z173" s="94"/>
      <c r="AA173" s="120"/>
      <c r="AB173" s="120"/>
      <c r="AC173" s="120"/>
      <c r="AD173" s="120"/>
      <c r="AE173" s="120"/>
      <c r="AF173" s="120"/>
      <c r="AG173" s="94"/>
      <c r="AH173" s="120"/>
      <c r="AI173" s="94"/>
      <c r="AJ173" s="94" t="s">
        <v>779</v>
      </c>
      <c r="AK173" s="94" t="s">
        <v>511</v>
      </c>
      <c r="AL173" s="94">
        <v>140</v>
      </c>
      <c r="AM173" s="94" t="str">
        <f>TRIM(AJ173)&amp;TRIM(AL173)&amp;TRIM(AK173)</f>
      </c>
      <c r="AN173" s="116">
        <v>0</v>
      </c>
      <c r="AO173" s="116" t="inlineStr">
        <is>
          <t>#NA</t>
        </is>
      </c>
      <c r="AP173" s="116">
        <f>SUMIFS(M:M,AM:AM,AM173)+SUMIFS(O:O,AM:AM,AM173)</f>
      </c>
      <c r="AQ173" s="116">
        <f>SUMIFS(L:L,AM:AM,AM173)</f>
      </c>
      <c r="AR173" s="116">
        <f>AQ173-AP173</f>
      </c>
      <c r="AS173" s="94" t="str">
        <f>IF(AN173&gt;=AQ173,"ok","ck")</f>
      </c>
      <c r="AT173" s="116">
        <f>-P173</f>
      </c>
      <c r="AU173" s="115">
        <f>IF(SUMIFS(AT:AT,AM:AM,AM173)&gt;AO173,(SUMIFS(AT:AT,AM:AM,AM173)-AO173))</f>
      </c>
      <c r="AV173" s="116">
        <v>0</v>
      </c>
      <c r="AW173" s="121">
        <v>0</v>
      </c>
      <c r="AX173" s="115">
        <f>AN173-AP173</f>
      </c>
    </row>
    <row r="174" spans="1:50" ht="15" hidden="1" customHeight="1" x14ac:dyDescent="0.3">
      <c r="A174" s="94" t="s">
        <v>60</v>
      </c>
      <c r="B174" s="94"/>
      <c r="C174" s="94"/>
      <c r="D174" s="94"/>
      <c r="E174" s="94"/>
      <c r="F174" s="94"/>
      <c r="G174" s="112">
        <f>AU174</f>
      </c>
      <c r="H174" s="113"/>
      <c r="I174" s="94" t="s">
        <v>482</v>
      </c>
      <c r="J174" s="94" t="s">
        <v>499</v>
      </c>
      <c r="K174" s="114">
        <f>P174/3</f>
      </c>
      <c r="L174" s="115">
        <v>2.1669999999999998</v>
      </c>
      <c r="M174" s="116"/>
      <c r="N174" s="117">
        <f>M174-L174</f>
      </c>
      <c r="O174" s="112"/>
      <c r="P174" s="118">
        <f>N174+O174</f>
      </c>
      <c r="Q174" s="94" t="s">
        <v>779</v>
      </c>
      <c r="R174" s="94" t="s">
        <v>63</v>
      </c>
      <c r="S174" s="119">
        <v>46340</v>
      </c>
      <c r="T174" s="119"/>
      <c r="U174" s="120">
        <v>46340</v>
      </c>
      <c r="V174" s="94"/>
      <c r="W174" s="94"/>
      <c r="X174" s="94"/>
      <c r="Y174" s="119">
        <v>46337</v>
      </c>
      <c r="Z174" s="94"/>
      <c r="AA174" s="120"/>
      <c r="AB174" s="120"/>
      <c r="AC174" s="120"/>
      <c r="AD174" s="120"/>
      <c r="AE174" s="120"/>
      <c r="AF174" s="120"/>
      <c r="AG174" s="94"/>
      <c r="AH174" s="120"/>
      <c r="AI174" s="94"/>
      <c r="AJ174" s="94" t="s">
        <v>779</v>
      </c>
      <c r="AK174" s="94" t="s">
        <v>693</v>
      </c>
      <c r="AL174" s="94">
        <v>110</v>
      </c>
      <c r="AM174" s="94" t="str">
        <f>TRIM(AJ174)&amp;TRIM(AL174)&amp;TRIM(AK174)</f>
      </c>
      <c r="AN174" s="116">
        <v>0</v>
      </c>
      <c r="AO174" s="116" t="inlineStr">
        <is>
          <t>#NA</t>
        </is>
      </c>
      <c r="AP174" s="116">
        <f>SUMIFS(M:M,AM:AM,AM174)+SUMIFS(O:O,AM:AM,AM174)</f>
      </c>
      <c r="AQ174" s="116">
        <f>SUMIFS(L:L,AM:AM,AM174)</f>
      </c>
      <c r="AR174" s="116">
        <f>AQ174-AP174</f>
      </c>
      <c r="AS174" s="94" t="str">
        <f>IF(AN174&gt;=AQ174,"ok","ck")</f>
      </c>
      <c r="AT174" s="116">
        <f>-P174</f>
      </c>
      <c r="AU174" s="115">
        <f>IF(SUMIFS(AT:AT,AM:AM,AM174)&gt;AO174,(SUMIFS(AT:AT,AM:AM,AM174)-AO174))</f>
      </c>
      <c r="AV174" s="116">
        <v>0</v>
      </c>
      <c r="AW174" s="121">
        <v>0</v>
      </c>
      <c r="AX174" s="115">
        <f>AN174-AP174</f>
      </c>
    </row>
    <row r="175" spans="1:50" ht="15" hidden="1" customHeight="1" x14ac:dyDescent="0.3">
      <c r="A175" s="94" t="s">
        <v>60</v>
      </c>
      <c r="B175" s="94"/>
      <c r="C175" s="94"/>
      <c r="D175" s="94"/>
      <c r="E175" s="94"/>
      <c r="F175" s="94"/>
      <c r="G175" s="112">
        <f>AU175</f>
      </c>
      <c r="H175" s="113"/>
      <c r="I175" s="94" t="s">
        <v>482</v>
      </c>
      <c r="J175" s="94" t="s">
        <v>499</v>
      </c>
      <c r="K175" s="114">
        <f>P175/3</f>
      </c>
      <c r="L175" s="115">
        <v>3.448</v>
      </c>
      <c r="M175" s="116"/>
      <c r="N175" s="117">
        <f>M175-L175</f>
      </c>
      <c r="O175" s="112"/>
      <c r="P175" s="118">
        <f>N175+O175</f>
      </c>
      <c r="Q175" s="94" t="s">
        <v>779</v>
      </c>
      <c r="R175" s="94" t="s">
        <v>63</v>
      </c>
      <c r="S175" s="119">
        <v>46340</v>
      </c>
      <c r="T175" s="119"/>
      <c r="U175" s="120">
        <v>46340</v>
      </c>
      <c r="V175" s="94"/>
      <c r="W175" s="94"/>
      <c r="X175" s="94"/>
      <c r="Y175" s="119">
        <v>46340</v>
      </c>
      <c r="Z175" s="94"/>
      <c r="AA175" s="120"/>
      <c r="AB175" s="120"/>
      <c r="AC175" s="120"/>
      <c r="AD175" s="120"/>
      <c r="AE175" s="120"/>
      <c r="AF175" s="120"/>
      <c r="AG175" s="94"/>
      <c r="AH175" s="120"/>
      <c r="AI175" s="94"/>
      <c r="AJ175" s="94" t="s">
        <v>779</v>
      </c>
      <c r="AK175" s="94" t="s">
        <v>693</v>
      </c>
      <c r="AL175" s="94">
        <v>110</v>
      </c>
      <c r="AM175" s="94" t="str">
        <f>TRIM(AJ175)&amp;TRIM(AL175)&amp;TRIM(AK175)</f>
      </c>
      <c r="AN175" s="116">
        <v>0</v>
      </c>
      <c r="AO175" s="116" t="inlineStr">
        <is>
          <t>#NA</t>
        </is>
      </c>
      <c r="AP175" s="116">
        <f>SUMIFS(M:M,AM:AM,AM175)+SUMIFS(O:O,AM:AM,AM175)</f>
      </c>
      <c r="AQ175" s="116">
        <f>SUMIFS(L:L,AM:AM,AM175)</f>
      </c>
      <c r="AR175" s="116">
        <f>AQ175-AP175</f>
      </c>
      <c r="AS175" s="94" t="str">
        <f>IF(AN175&gt;=AQ175,"ok","ck")</f>
      </c>
      <c r="AT175" s="116">
        <f>-P175</f>
      </c>
      <c r="AU175" s="115">
        <f>IF(SUMIFS(AT:AT,AM:AM,AM175)&gt;AO175,(SUMIFS(AT:AT,AM:AM,AM175)-AO175))</f>
      </c>
      <c r="AV175" s="116">
        <v>0</v>
      </c>
      <c r="AW175" s="121">
        <v>0</v>
      </c>
      <c r="AX175" s="115">
        <f>AN175-AP175</f>
      </c>
    </row>
    <row r="176" spans="1:50" ht="15" hidden="1" customHeight="1" x14ac:dyDescent="0.3">
      <c r="A176" s="94" t="s">
        <v>60</v>
      </c>
      <c r="B176" s="94"/>
      <c r="C176" s="94"/>
      <c r="D176" s="94"/>
      <c r="E176" s="94"/>
      <c r="F176" s="94"/>
      <c r="G176" s="112">
        <f>AU176</f>
      </c>
      <c r="H176" s="113"/>
      <c r="I176" s="94" t="s">
        <v>482</v>
      </c>
      <c r="J176" s="94" t="s">
        <v>499</v>
      </c>
      <c r="K176" s="114">
        <f>P176/3</f>
      </c>
      <c r="L176" s="115">
        <v>3.5999999999999997E-2</v>
      </c>
      <c r="M176" s="116"/>
      <c r="N176" s="117">
        <f>M176-L176</f>
      </c>
      <c r="O176" s="112"/>
      <c r="P176" s="118">
        <f>N176+O176</f>
      </c>
      <c r="Q176" s="94" t="s">
        <v>779</v>
      </c>
      <c r="R176" s="94" t="s">
        <v>63</v>
      </c>
      <c r="S176" s="119">
        <v>46340</v>
      </c>
      <c r="T176" s="119"/>
      <c r="U176" s="120">
        <v>46340</v>
      </c>
      <c r="V176" s="94"/>
      <c r="W176" s="94"/>
      <c r="X176" s="94"/>
      <c r="Y176" s="119">
        <v>46340</v>
      </c>
      <c r="Z176" s="94"/>
      <c r="AA176" s="120"/>
      <c r="AB176" s="120"/>
      <c r="AC176" s="120"/>
      <c r="AD176" s="120"/>
      <c r="AE176" s="120"/>
      <c r="AF176" s="120"/>
      <c r="AG176" s="94"/>
      <c r="AH176" s="120"/>
      <c r="AI176" s="94"/>
      <c r="AJ176" s="94" t="s">
        <v>779</v>
      </c>
      <c r="AK176" s="94" t="s">
        <v>693</v>
      </c>
      <c r="AL176" s="94">
        <v>110</v>
      </c>
      <c r="AM176" s="94" t="str">
        <f>TRIM(AJ176)&amp;TRIM(AL176)&amp;TRIM(AK176)</f>
      </c>
      <c r="AN176" s="116">
        <v>0</v>
      </c>
      <c r="AO176" s="116" t="inlineStr">
        <is>
          <t>#NA</t>
        </is>
      </c>
      <c r="AP176" s="116">
        <f>SUMIFS(M:M,AM:AM,AM176)+SUMIFS(O:O,AM:AM,AM176)</f>
      </c>
      <c r="AQ176" s="116">
        <f>SUMIFS(L:L,AM:AM,AM176)</f>
      </c>
      <c r="AR176" s="116">
        <f>AQ176-AP176</f>
      </c>
      <c r="AS176" s="94" t="str">
        <f>IF(AN176&gt;=AQ176,"ok","ck")</f>
      </c>
      <c r="AT176" s="116">
        <f>-P176</f>
      </c>
      <c r="AU176" s="115">
        <f>IF(SUMIFS(AT:AT,AM:AM,AM176)&gt;AO176,(SUMIFS(AT:AT,AM:AM,AM176)-AO176))</f>
      </c>
      <c r="AV176" s="116">
        <v>0</v>
      </c>
      <c r="AW176" s="121">
        <v>0</v>
      </c>
      <c r="AX176" s="115">
        <f>AN176-AP176</f>
      </c>
    </row>
    <row r="177" spans="1:50" ht="15" hidden="1" customHeight="1" x14ac:dyDescent="0.3">
      <c r="A177" s="94" t="s">
        <v>253</v>
      </c>
      <c r="B177" s="94"/>
      <c r="C177" s="94"/>
      <c r="D177" s="94"/>
      <c r="E177" s="94"/>
      <c r="F177" s="94"/>
      <c r="G177" s="112">
        <f>AU177</f>
      </c>
      <c r="H177" s="113"/>
      <c r="I177" s="94" t="s">
        <v>254</v>
      </c>
      <c r="J177" s="94" t="s">
        <v>320</v>
      </c>
      <c r="K177" s="114">
        <f>P177/3</f>
      </c>
      <c r="L177" s="115">
        <v>1450</v>
      </c>
      <c r="M177" s="116"/>
      <c r="N177" s="117">
        <f>M177-L177</f>
      </c>
      <c r="O177" s="112"/>
      <c r="P177" s="118">
        <f>N177+O177</f>
      </c>
      <c r="Q177" s="94" t="s">
        <v>851</v>
      </c>
      <c r="R177" s="94" t="s">
        <v>63</v>
      </c>
      <c r="S177" s="119">
        <v>46343</v>
      </c>
      <c r="T177" s="119"/>
      <c r="U177" s="120">
        <v>46343</v>
      </c>
      <c r="V177" s="94"/>
      <c r="W177" s="94"/>
      <c r="X177" s="94"/>
      <c r="Y177" s="119">
        <v>46343</v>
      </c>
      <c r="Z177" s="94"/>
      <c r="AA177" s="120"/>
      <c r="AB177" s="120"/>
      <c r="AC177" s="120"/>
      <c r="AD177" s="120"/>
      <c r="AE177" s="120"/>
      <c r="AF177" s="120"/>
      <c r="AG177" s="94"/>
      <c r="AH177" s="120"/>
      <c r="AI177" s="94"/>
      <c r="AJ177" s="94" t="s">
        <v>789</v>
      </c>
      <c r="AK177" s="94" t="s">
        <v>321</v>
      </c>
      <c r="AL177" s="94">
        <v>150</v>
      </c>
      <c r="AM177" s="94" t="str">
        <f>TRIM(AJ177)&amp;TRIM(AL177)&amp;TRIM(AK177)</f>
      </c>
      <c r="AN177" s="116">
        <v>0</v>
      </c>
      <c r="AO177" s="116" t="inlineStr">
        <is>
          <t>#NA</t>
        </is>
      </c>
      <c r="AP177" s="116">
        <f>SUMIFS(M:M,AM:AM,AM177)+SUMIFS(O:O,AM:AM,AM177)</f>
      </c>
      <c r="AQ177" s="116">
        <f>SUMIFS(L:L,AM:AM,AM177)</f>
      </c>
      <c r="AR177" s="116">
        <f>AQ177-AP177</f>
      </c>
      <c r="AS177" s="94" t="str">
        <f>IF(AN177&gt;=AQ177,"ok","ck")</f>
      </c>
      <c r="AT177" s="116">
        <f>-P177</f>
      </c>
      <c r="AU177" s="115">
        <f>IF(SUMIFS(AT:AT,AM:AM,AM177)&gt;AO177,(SUMIFS(AT:AT,AM:AM,AM177)-AO177))</f>
      </c>
      <c r="AV177" s="116">
        <v>0</v>
      </c>
      <c r="AW177" s="121">
        <v>0</v>
      </c>
      <c r="AX177" s="115">
        <f>AN177-AP177</f>
      </c>
    </row>
    <row r="178" spans="1:50" ht="15" hidden="1" customHeight="1" x14ac:dyDescent="0.3">
      <c r="A178" s="94" t="s">
        <v>253</v>
      </c>
      <c r="B178" s="94"/>
      <c r="C178" s="94"/>
      <c r="D178" s="94"/>
      <c r="E178" s="94"/>
      <c r="F178" s="94"/>
      <c r="G178" s="112">
        <f>AU178</f>
      </c>
      <c r="H178" s="113"/>
      <c r="I178" s="94" t="s">
        <v>254</v>
      </c>
      <c r="J178" s="94" t="s">
        <v>512</v>
      </c>
      <c r="K178" s="114">
        <f>P178/3</f>
      </c>
      <c r="L178" s="115">
        <v>725</v>
      </c>
      <c r="M178" s="116"/>
      <c r="N178" s="117">
        <f>M178-L178</f>
      </c>
      <c r="O178" s="112"/>
      <c r="P178" s="118">
        <f>N178+O178</f>
      </c>
      <c r="Q178" s="94" t="s">
        <v>851</v>
      </c>
      <c r="R178" s="94" t="s">
        <v>63</v>
      </c>
      <c r="S178" s="119">
        <v>46343</v>
      </c>
      <c r="T178" s="119"/>
      <c r="U178" s="120">
        <v>46343</v>
      </c>
      <c r="V178" s="94"/>
      <c r="W178" s="94"/>
      <c r="X178" s="94"/>
      <c r="Y178" s="119">
        <v>46343</v>
      </c>
      <c r="Z178" s="94"/>
      <c r="AA178" s="120"/>
      <c r="AB178" s="120"/>
      <c r="AC178" s="120"/>
      <c r="AD178" s="120"/>
      <c r="AE178" s="120"/>
      <c r="AF178" s="120"/>
      <c r="AG178" s="94"/>
      <c r="AH178" s="120"/>
      <c r="AI178" s="94"/>
      <c r="AJ178" s="94" t="s">
        <v>789</v>
      </c>
      <c r="AK178" s="94" t="s">
        <v>706</v>
      </c>
      <c r="AL178" s="94">
        <v>150</v>
      </c>
      <c r="AM178" s="94" t="str">
        <f>TRIM(AJ178)&amp;TRIM(AL178)&amp;TRIM(AK178)</f>
      </c>
      <c r="AN178" s="116">
        <v>0</v>
      </c>
      <c r="AO178" s="116" t="inlineStr">
        <is>
          <t>#NA</t>
        </is>
      </c>
      <c r="AP178" s="116">
        <f>SUMIFS(M:M,AM:AM,AM178)+SUMIFS(O:O,AM:AM,AM178)</f>
      </c>
      <c r="AQ178" s="116">
        <f>SUMIFS(L:L,AM:AM,AM178)</f>
      </c>
      <c r="AR178" s="116">
        <f>AQ178-AP178</f>
      </c>
      <c r="AS178" s="94" t="str">
        <f>IF(AN178&gt;=AQ178,"ok","ck")</f>
      </c>
      <c r="AT178" s="116">
        <f>-P178</f>
      </c>
      <c r="AU178" s="115">
        <f>IF(SUMIFS(AT:AT,AM:AM,AM178)&gt;AO178,(SUMIFS(AT:AT,AM:AM,AM178)-AO178))</f>
      </c>
      <c r="AV178" s="116">
        <v>0</v>
      </c>
      <c r="AW178" s="121">
        <v>0</v>
      </c>
      <c r="AX178" s="115">
        <f>AN178-AP178</f>
      </c>
    </row>
    <row r="179" spans="1:50" ht="15" hidden="1" customHeight="1" x14ac:dyDescent="0.3">
      <c r="A179" s="94" t="s">
        <v>480</v>
      </c>
      <c r="B179" s="94"/>
      <c r="C179" s="94"/>
      <c r="D179" s="94"/>
      <c r="E179" s="94"/>
      <c r="F179" s="94"/>
      <c r="G179" s="112">
        <f>AU179</f>
      </c>
      <c r="H179" s="113"/>
      <c r="I179" s="94" t="s">
        <v>486</v>
      </c>
      <c r="J179" s="94" t="s">
        <v>513</v>
      </c>
      <c r="K179" s="114">
        <f>P179/3</f>
      </c>
      <c r="L179" s="115">
        <v>11.736000000000001</v>
      </c>
      <c r="M179" s="116"/>
      <c r="N179" s="117">
        <f>M179-L179</f>
      </c>
      <c r="O179" s="112"/>
      <c r="P179" s="118">
        <f>N179+O179</f>
      </c>
      <c r="Q179" s="94" t="s">
        <v>782</v>
      </c>
      <c r="R179" s="94" t="s">
        <v>63</v>
      </c>
      <c r="S179" s="119">
        <v>46332</v>
      </c>
      <c r="T179" s="119"/>
      <c r="U179" s="120">
        <v>46332</v>
      </c>
      <c r="V179" s="94"/>
      <c r="W179" s="94"/>
      <c r="X179" s="94"/>
      <c r="Y179" s="119">
        <v>46330</v>
      </c>
      <c r="Z179" s="94"/>
      <c r="AA179" s="120"/>
      <c r="AB179" s="120"/>
      <c r="AC179" s="120"/>
      <c r="AD179" s="120"/>
      <c r="AE179" s="120"/>
      <c r="AF179" s="120"/>
      <c r="AG179" s="94"/>
      <c r="AH179" s="120"/>
      <c r="AI179" s="94"/>
      <c r="AJ179" s="94" t="s">
        <v>782</v>
      </c>
      <c r="AK179" s="94" t="s">
        <v>707</v>
      </c>
      <c r="AL179" s="94">
        <v>165</v>
      </c>
      <c r="AM179" s="94" t="str">
        <f>TRIM(AJ179)&amp;TRIM(AL179)&amp;TRIM(AK179)</f>
      </c>
      <c r="AN179" s="116">
        <v>0</v>
      </c>
      <c r="AO179" s="116" t="inlineStr">
        <is>
          <t>#NA</t>
        </is>
      </c>
      <c r="AP179" s="116">
        <f>SUMIFS(M:M,AM:AM,AM179)+SUMIFS(O:O,AM:AM,AM179)</f>
      </c>
      <c r="AQ179" s="116">
        <f>SUMIFS(L:L,AM:AM,AM179)</f>
      </c>
      <c r="AR179" s="116">
        <f>AQ179-AP179</f>
      </c>
      <c r="AS179" s="94" t="str">
        <f>IF(AN179&gt;=AQ179,"ok","ck")</f>
      </c>
      <c r="AT179" s="116">
        <f>-P179</f>
      </c>
      <c r="AU179" s="115">
        <f>IF(SUMIFS(AT:AT,AM:AM,AM179)&gt;AO179,(SUMIFS(AT:AT,AM:AM,AM179)-AO179))</f>
      </c>
      <c r="AV179" s="116">
        <v>0</v>
      </c>
      <c r="AW179" s="121">
        <v>0</v>
      </c>
      <c r="AX179" s="115">
        <f>AN179-AP179</f>
      </c>
    </row>
    <row r="180" spans="1:50" ht="15" hidden="1" customHeight="1" x14ac:dyDescent="0.3">
      <c r="A180" s="94" t="s">
        <v>480</v>
      </c>
      <c r="B180" s="94"/>
      <c r="C180" s="94"/>
      <c r="D180" s="94"/>
      <c r="E180" s="94"/>
      <c r="F180" s="94"/>
      <c r="G180" s="112">
        <f>AU180</f>
      </c>
      <c r="H180" s="113"/>
      <c r="I180" s="94" t="s">
        <v>486</v>
      </c>
      <c r="J180" s="94" t="s">
        <v>513</v>
      </c>
      <c r="K180" s="114">
        <f>P180/3</f>
      </c>
      <c r="L180" s="115">
        <v>4.6959999999999997</v>
      </c>
      <c r="M180" s="116"/>
      <c r="N180" s="117">
        <f>M180-L180</f>
      </c>
      <c r="O180" s="112"/>
      <c r="P180" s="118">
        <f>N180+O180</f>
      </c>
      <c r="Q180" s="94" t="s">
        <v>782</v>
      </c>
      <c r="R180" s="94" t="s">
        <v>63</v>
      </c>
      <c r="S180" s="119">
        <v>46332</v>
      </c>
      <c r="T180" s="119"/>
      <c r="U180" s="120">
        <v>46332</v>
      </c>
      <c r="V180" s="94"/>
      <c r="W180" s="94"/>
      <c r="X180" s="94"/>
      <c r="Y180" s="119">
        <v>46330</v>
      </c>
      <c r="Z180" s="94"/>
      <c r="AA180" s="120"/>
      <c r="AB180" s="120"/>
      <c r="AC180" s="120"/>
      <c r="AD180" s="120"/>
      <c r="AE180" s="120"/>
      <c r="AF180" s="120"/>
      <c r="AG180" s="94"/>
      <c r="AH180" s="120"/>
      <c r="AI180" s="94"/>
      <c r="AJ180" s="94" t="s">
        <v>782</v>
      </c>
      <c r="AK180" s="94" t="s">
        <v>707</v>
      </c>
      <c r="AL180" s="94">
        <v>165</v>
      </c>
      <c r="AM180" s="94" t="str">
        <f>TRIM(AJ180)&amp;TRIM(AL180)&amp;TRIM(AK180)</f>
      </c>
      <c r="AN180" s="116">
        <v>0</v>
      </c>
      <c r="AO180" s="116" t="inlineStr">
        <is>
          <t>#NA</t>
        </is>
      </c>
      <c r="AP180" s="116">
        <f>SUMIFS(M:M,AM:AM,AM180)+SUMIFS(O:O,AM:AM,AM180)</f>
      </c>
      <c r="AQ180" s="116">
        <f>SUMIFS(L:L,AM:AM,AM180)</f>
      </c>
      <c r="AR180" s="116">
        <f>AQ180-AP180</f>
      </c>
      <c r="AS180" s="94" t="str">
        <f>IF(AN180&gt;=AQ180,"ok","ck")</f>
      </c>
      <c r="AT180" s="116">
        <f>-P180</f>
      </c>
      <c r="AU180" s="115">
        <f>IF(SUMIFS(AT:AT,AM:AM,AM180)&gt;AO180,(SUMIFS(AT:AT,AM:AM,AM180)-AO180))</f>
      </c>
      <c r="AV180" s="116">
        <v>0</v>
      </c>
      <c r="AW180" s="121">
        <v>0</v>
      </c>
      <c r="AX180" s="115">
        <f>AN180-AP180</f>
      </c>
    </row>
    <row r="181" spans="1:50" ht="15" hidden="1" customHeight="1" x14ac:dyDescent="0.3">
      <c r="A181" s="94" t="s">
        <v>480</v>
      </c>
      <c r="B181" s="94"/>
      <c r="C181" s="94"/>
      <c r="D181" s="94"/>
      <c r="E181" s="94"/>
      <c r="F181" s="94"/>
      <c r="G181" s="112">
        <f>AU181</f>
      </c>
      <c r="H181" s="113"/>
      <c r="I181" s="94" t="s">
        <v>486</v>
      </c>
      <c r="J181" s="94" t="s">
        <v>514</v>
      </c>
      <c r="K181" s="114">
        <f>P181/3</f>
      </c>
      <c r="L181" s="115">
        <v>15.311</v>
      </c>
      <c r="M181" s="116">
        <f>L181</f>
      </c>
      <c r="N181" s="117">
        <f>M181-L181</f>
      </c>
      <c r="O181" s="112"/>
      <c r="P181" s="118">
        <f>N181+O181</f>
      </c>
      <c r="Q181" s="94" t="s">
        <v>782</v>
      </c>
      <c r="R181" s="94" t="s">
        <v>63</v>
      </c>
      <c r="S181" s="119">
        <v>46332</v>
      </c>
      <c r="T181" s="119"/>
      <c r="U181" s="120">
        <v>46332</v>
      </c>
      <c r="V181" s="94"/>
      <c r="W181" s="94"/>
      <c r="X181" s="94"/>
      <c r="Y181" s="119">
        <v>46327</v>
      </c>
      <c r="Z181" s="94"/>
      <c r="AA181" s="120"/>
      <c r="AB181" s="120"/>
      <c r="AC181" s="120"/>
      <c r="AD181" s="120"/>
      <c r="AE181" s="120"/>
      <c r="AF181" s="120"/>
      <c r="AG181" s="94"/>
      <c r="AH181" s="120"/>
      <c r="AI181" s="94"/>
      <c r="AJ181" s="94" t="s">
        <v>782</v>
      </c>
      <c r="AK181" s="94" t="s">
        <v>514</v>
      </c>
      <c r="AL181" s="94">
        <v>165</v>
      </c>
      <c r="AM181" s="94" t="str">
        <f>TRIM(AJ181)&amp;TRIM(AL181)&amp;TRIM(AK181)</f>
      </c>
      <c r="AN181" s="116">
        <v>297</v>
      </c>
      <c r="AO181" s="116">
        <v>-61</v>
      </c>
      <c r="AP181" s="116">
        <f>SUMIFS(M:M,AM:AM,AM181)+SUMIFS(O:O,AM:AM,AM181)</f>
      </c>
      <c r="AQ181" s="116">
        <f>SUMIFS(L:L,AM:AM,AM181)</f>
      </c>
      <c r="AR181" s="116">
        <f>AQ181-AP181</f>
      </c>
      <c r="AS181" s="94" t="str">
        <f>IF(AN181&gt;=AQ181,"ok","ck")</f>
      </c>
      <c r="AT181" s="116">
        <f>-P181</f>
      </c>
      <c r="AU181" s="115">
        <f>IF(SUMIFS(AT:AT,AM:AM,AM181)&gt;AO181,(SUMIFS(AT:AT,AM:AM,AM181)-AO181))</f>
      </c>
      <c r="AV181" s="116">
        <v>297</v>
      </c>
      <c r="AW181" s="121">
        <v>1.258</v>
      </c>
      <c r="AX181" s="115">
        <f>AN181-AP181</f>
      </c>
    </row>
    <row r="182" spans="1:50" ht="15" hidden="1" customHeight="1" x14ac:dyDescent="0.3">
      <c r="A182" s="94" t="s">
        <v>480</v>
      </c>
      <c r="B182" s="94"/>
      <c r="C182" s="94"/>
      <c r="D182" s="94"/>
      <c r="E182" s="94"/>
      <c r="F182" s="94"/>
      <c r="G182" s="112">
        <f>AU182</f>
      </c>
      <c r="H182" s="113"/>
      <c r="I182" s="94" t="s">
        <v>486</v>
      </c>
      <c r="J182" s="94" t="s">
        <v>514</v>
      </c>
      <c r="K182" s="114">
        <f>P182/3</f>
      </c>
      <c r="L182" s="115">
        <v>2.552</v>
      </c>
      <c r="M182" s="116">
        <f>L182</f>
      </c>
      <c r="N182" s="117">
        <f>M182-L182</f>
      </c>
      <c r="O182" s="112"/>
      <c r="P182" s="118">
        <f>N182+O182</f>
      </c>
      <c r="Q182" s="94" t="s">
        <v>782</v>
      </c>
      <c r="R182" s="94" t="s">
        <v>63</v>
      </c>
      <c r="S182" s="119">
        <v>46332</v>
      </c>
      <c r="T182" s="119"/>
      <c r="U182" s="120">
        <v>46332</v>
      </c>
      <c r="V182" s="94"/>
      <c r="W182" s="94"/>
      <c r="X182" s="94"/>
      <c r="Y182" s="119">
        <v>46327</v>
      </c>
      <c r="Z182" s="94"/>
      <c r="AA182" s="120"/>
      <c r="AB182" s="120"/>
      <c r="AC182" s="120"/>
      <c r="AD182" s="120"/>
      <c r="AE182" s="120"/>
      <c r="AF182" s="120"/>
      <c r="AG182" s="94"/>
      <c r="AH182" s="120"/>
      <c r="AI182" s="94"/>
      <c r="AJ182" s="94" t="s">
        <v>782</v>
      </c>
      <c r="AK182" s="94" t="s">
        <v>514</v>
      </c>
      <c r="AL182" s="94">
        <v>165</v>
      </c>
      <c r="AM182" s="94" t="str">
        <f>TRIM(AJ182)&amp;TRIM(AL182)&amp;TRIM(AK182)</f>
      </c>
      <c r="AN182" s="116">
        <v>297</v>
      </c>
      <c r="AO182" s="116">
        <v>-61</v>
      </c>
      <c r="AP182" s="116">
        <f>SUMIFS(M:M,AM:AM,AM182)+SUMIFS(O:O,AM:AM,AM182)</f>
      </c>
      <c r="AQ182" s="116">
        <f>SUMIFS(L:L,AM:AM,AM182)</f>
      </c>
      <c r="AR182" s="116">
        <f>AQ182-AP182</f>
      </c>
      <c r="AS182" s="94" t="str">
        <f>IF(AN182&gt;=AQ182,"ok","ck")</f>
      </c>
      <c r="AT182" s="116">
        <f>-P182</f>
      </c>
      <c r="AU182" s="115">
        <f>IF(SUMIFS(AT:AT,AM:AM,AM182)&gt;AO182,(SUMIFS(AT:AT,AM:AM,AM182)-AO182))</f>
      </c>
      <c r="AV182" s="116">
        <v>297</v>
      </c>
      <c r="AW182" s="121">
        <v>1.258</v>
      </c>
      <c r="AX182" s="115">
        <f>AN182-AP182</f>
      </c>
    </row>
    <row r="183" spans="1:50" ht="15" hidden="1" customHeight="1" x14ac:dyDescent="0.3">
      <c r="A183" s="94" t="s">
        <v>480</v>
      </c>
      <c r="B183" s="94"/>
      <c r="C183" s="94"/>
      <c r="D183" s="94"/>
      <c r="E183" s="94"/>
      <c r="F183" s="94"/>
      <c r="G183" s="112">
        <f>AU183</f>
      </c>
      <c r="H183" s="113"/>
      <c r="I183" s="94" t="s">
        <v>486</v>
      </c>
      <c r="J183" s="94" t="s">
        <v>514</v>
      </c>
      <c r="K183" s="114">
        <f>P183/3</f>
      </c>
      <c r="L183" s="115">
        <v>23.713999999999999</v>
      </c>
      <c r="M183" s="116">
        <f>L183</f>
      </c>
      <c r="N183" s="117">
        <f>M183-L183</f>
      </c>
      <c r="O183" s="112"/>
      <c r="P183" s="118">
        <f>N183+O183</f>
      </c>
      <c r="Q183" s="94" t="s">
        <v>782</v>
      </c>
      <c r="R183" s="94" t="s">
        <v>63</v>
      </c>
      <c r="S183" s="119">
        <v>46332</v>
      </c>
      <c r="T183" s="119"/>
      <c r="U183" s="120">
        <v>46332</v>
      </c>
      <c r="V183" s="94"/>
      <c r="W183" s="94"/>
      <c r="X183" s="94"/>
      <c r="Y183" s="119">
        <v>46327</v>
      </c>
      <c r="Z183" s="94"/>
      <c r="AA183" s="120"/>
      <c r="AB183" s="120"/>
      <c r="AC183" s="120"/>
      <c r="AD183" s="120"/>
      <c r="AE183" s="120"/>
      <c r="AF183" s="120"/>
      <c r="AG183" s="94"/>
      <c r="AH183" s="120"/>
      <c r="AI183" s="94"/>
      <c r="AJ183" s="94" t="s">
        <v>782</v>
      </c>
      <c r="AK183" s="94" t="s">
        <v>514</v>
      </c>
      <c r="AL183" s="94">
        <v>165</v>
      </c>
      <c r="AM183" s="94" t="str">
        <f>TRIM(AJ183)&amp;TRIM(AL183)&amp;TRIM(AK183)</f>
      </c>
      <c r="AN183" s="116">
        <v>297</v>
      </c>
      <c r="AO183" s="116">
        <v>-61</v>
      </c>
      <c r="AP183" s="116">
        <f>SUMIFS(M:M,AM:AM,AM183)+SUMIFS(O:O,AM:AM,AM183)</f>
      </c>
      <c r="AQ183" s="116">
        <f>SUMIFS(L:L,AM:AM,AM183)</f>
      </c>
      <c r="AR183" s="116">
        <f>AQ183-AP183</f>
      </c>
      <c r="AS183" s="94" t="str">
        <f>IF(AN183&gt;=AQ183,"ok","ck")</f>
      </c>
      <c r="AT183" s="116">
        <f>-P183</f>
      </c>
      <c r="AU183" s="115">
        <f>IF(SUMIFS(AT:AT,AM:AM,AM183)&gt;AO183,(SUMIFS(AT:AT,AM:AM,AM183)-AO183))</f>
      </c>
      <c r="AV183" s="116">
        <v>297</v>
      </c>
      <c r="AW183" s="121">
        <v>1.258</v>
      </c>
      <c r="AX183" s="115">
        <f>AN183-AP183</f>
      </c>
    </row>
    <row r="184" spans="1:50" ht="15" hidden="1" customHeight="1" x14ac:dyDescent="0.3">
      <c r="A184" s="94" t="s">
        <v>480</v>
      </c>
      <c r="B184" s="94"/>
      <c r="C184" s="94"/>
      <c r="D184" s="94"/>
      <c r="E184" s="94"/>
      <c r="F184" s="94"/>
      <c r="G184" s="112">
        <f>AU184</f>
      </c>
      <c r="H184" s="113"/>
      <c r="I184" s="94" t="s">
        <v>486</v>
      </c>
      <c r="J184" s="94" t="s">
        <v>514</v>
      </c>
      <c r="K184" s="114">
        <f>P184/3</f>
      </c>
      <c r="L184" s="115">
        <v>2.496</v>
      </c>
      <c r="M184" s="116">
        <f>L184</f>
      </c>
      <c r="N184" s="117">
        <f>M184-L184</f>
      </c>
      <c r="O184" s="112"/>
      <c r="P184" s="118">
        <f>N184+O184</f>
      </c>
      <c r="Q184" s="94" t="s">
        <v>782</v>
      </c>
      <c r="R184" s="94" t="s">
        <v>63</v>
      </c>
      <c r="S184" s="119">
        <v>46332</v>
      </c>
      <c r="T184" s="119"/>
      <c r="U184" s="120">
        <v>46332</v>
      </c>
      <c r="V184" s="94"/>
      <c r="W184" s="94"/>
      <c r="X184" s="94"/>
      <c r="Y184" s="119">
        <v>46327</v>
      </c>
      <c r="Z184" s="94"/>
      <c r="AA184" s="120"/>
      <c r="AB184" s="120"/>
      <c r="AC184" s="120"/>
      <c r="AD184" s="120"/>
      <c r="AE184" s="120"/>
      <c r="AF184" s="120"/>
      <c r="AG184" s="94"/>
      <c r="AH184" s="120"/>
      <c r="AI184" s="94"/>
      <c r="AJ184" s="94" t="s">
        <v>782</v>
      </c>
      <c r="AK184" s="94" t="s">
        <v>514</v>
      </c>
      <c r="AL184" s="94">
        <v>165</v>
      </c>
      <c r="AM184" s="94" t="str">
        <f>TRIM(AJ184)&amp;TRIM(AL184)&amp;TRIM(AK184)</f>
      </c>
      <c r="AN184" s="116">
        <v>297</v>
      </c>
      <c r="AO184" s="116">
        <v>-61</v>
      </c>
      <c r="AP184" s="116">
        <f>SUMIFS(M:M,AM:AM,AM184)+SUMIFS(O:O,AM:AM,AM184)</f>
      </c>
      <c r="AQ184" s="116">
        <f>SUMIFS(L:L,AM:AM,AM184)</f>
      </c>
      <c r="AR184" s="116">
        <f>AQ184-AP184</f>
      </c>
      <c r="AS184" s="94" t="str">
        <f>IF(AN184&gt;=AQ184,"ok","ck")</f>
      </c>
      <c r="AT184" s="116">
        <f>-P184</f>
      </c>
      <c r="AU184" s="115">
        <f>IF(SUMIFS(AT:AT,AM:AM,AM184)&gt;AO184,(SUMIFS(AT:AT,AM:AM,AM184)-AO184))</f>
      </c>
      <c r="AV184" s="116">
        <v>297</v>
      </c>
      <c r="AW184" s="121">
        <v>1.258</v>
      </c>
      <c r="AX184" s="115">
        <f>AN184-AP184</f>
      </c>
    </row>
    <row r="185" spans="1:50" ht="15" hidden="1" customHeight="1" x14ac:dyDescent="0.3">
      <c r="A185" s="94" t="s">
        <v>268</v>
      </c>
      <c r="B185" s="94"/>
      <c r="C185" s="94"/>
      <c r="D185" s="94"/>
      <c r="E185" s="94"/>
      <c r="F185" s="94"/>
      <c r="G185" s="112">
        <f>AU185</f>
      </c>
      <c r="H185" s="113"/>
      <c r="I185" s="94" t="s">
        <v>390</v>
      </c>
      <c r="J185" s="94" t="s">
        <v>326</v>
      </c>
      <c r="K185" s="114">
        <f>P185/3</f>
      </c>
      <c r="L185" s="115">
        <v>-2.153</v>
      </c>
      <c r="M185" s="116">
        <f>L185</f>
      </c>
      <c r="N185" s="117">
        <f>M185-L185</f>
      </c>
      <c r="O185" s="112"/>
      <c r="P185" s="118">
        <f>N185+O185</f>
      </c>
      <c r="Q185" s="94" t="s">
        <v>271</v>
      </c>
      <c r="R185" s="94" t="s">
        <v>63</v>
      </c>
      <c r="S185" s="119">
        <v>46320</v>
      </c>
      <c r="T185" s="119"/>
      <c r="U185" s="120">
        <v>46320</v>
      </c>
      <c r="V185" s="94"/>
      <c r="W185" s="94"/>
      <c r="X185" s="94"/>
      <c r="Y185" s="119">
        <v>46320</v>
      </c>
      <c r="Z185" s="94"/>
      <c r="AA185" s="120"/>
      <c r="AB185" s="120"/>
      <c r="AC185" s="120"/>
      <c r="AD185" s="120"/>
      <c r="AE185" s="120"/>
      <c r="AF185" s="120"/>
      <c r="AG185" s="94"/>
      <c r="AH185" s="120"/>
      <c r="AI185" s="94"/>
      <c r="AJ185" s="94" t="s">
        <v>271</v>
      </c>
      <c r="AK185" s="94" t="s">
        <v>327</v>
      </c>
      <c r="AL185" s="94">
        <v>140</v>
      </c>
      <c r="AM185" s="94" t="str">
        <f>TRIM(AJ185)&amp;TRIM(AL185)&amp;TRIM(AK185)</f>
      </c>
      <c r="AN185" s="116">
        <v>2804</v>
      </c>
      <c r="AO185" s="116">
        <v>-26</v>
      </c>
      <c r="AP185" s="116">
        <f>SUMIFS(M:M,AM:AM,AM185)+SUMIFS(O:O,AM:AM,AM185)</f>
      </c>
      <c r="AQ185" s="116">
        <f>SUMIFS(L:L,AM:AM,AM185)</f>
      </c>
      <c r="AR185" s="116">
        <f>AQ185-AP185</f>
      </c>
      <c r="AS185" s="94" t="str">
        <f>IF(AN185&gt;=AQ185,"ok","ck")</f>
      </c>
      <c r="AT185" s="116">
        <f>-P185</f>
      </c>
      <c r="AU185" s="115">
        <f>IF(SUMIFS(AT:AT,AM:AM,AM185)&gt;AO185,(SUMIFS(AT:AT,AM:AM,AM185)-AO185))</f>
      </c>
      <c r="AV185" s="116">
        <v>2804</v>
      </c>
      <c r="AW185" s="121">
        <v>1.009</v>
      </c>
      <c r="AX185" s="115">
        <f>AN185-AP185</f>
      </c>
    </row>
    <row r="186" spans="1:50" ht="15" hidden="1" customHeight="1" x14ac:dyDescent="0.3">
      <c r="A186" s="94" t="s">
        <v>268</v>
      </c>
      <c r="B186" s="94"/>
      <c r="C186" s="94"/>
      <c r="D186" s="94"/>
      <c r="E186" s="94"/>
      <c r="F186" s="94"/>
      <c r="G186" s="112">
        <f>AU186</f>
      </c>
      <c r="H186" s="113"/>
      <c r="I186" s="94" t="s">
        <v>390</v>
      </c>
      <c r="J186" s="94" t="s">
        <v>326</v>
      </c>
      <c r="K186" s="114">
        <f>P186/3</f>
      </c>
      <c r="L186" s="115">
        <v>-2.153</v>
      </c>
      <c r="M186" s="116">
        <f>L186</f>
      </c>
      <c r="N186" s="117">
        <f>M186-L186</f>
      </c>
      <c r="O186" s="112"/>
      <c r="P186" s="118">
        <f>N186+O186</f>
      </c>
      <c r="Q186" s="94" t="s">
        <v>271</v>
      </c>
      <c r="R186" s="94" t="s">
        <v>63</v>
      </c>
      <c r="S186" s="119">
        <v>46320</v>
      </c>
      <c r="T186" s="119"/>
      <c r="U186" s="120">
        <v>46320</v>
      </c>
      <c r="V186" s="94"/>
      <c r="W186" s="94"/>
      <c r="X186" s="94"/>
      <c r="Y186" s="119">
        <v>46320</v>
      </c>
      <c r="Z186" s="94"/>
      <c r="AA186" s="120"/>
      <c r="AB186" s="120"/>
      <c r="AC186" s="120"/>
      <c r="AD186" s="120"/>
      <c r="AE186" s="120"/>
      <c r="AF186" s="120"/>
      <c r="AG186" s="94"/>
      <c r="AH186" s="120"/>
      <c r="AI186" s="94"/>
      <c r="AJ186" s="94" t="s">
        <v>271</v>
      </c>
      <c r="AK186" s="94" t="s">
        <v>327</v>
      </c>
      <c r="AL186" s="94">
        <v>140</v>
      </c>
      <c r="AM186" s="94" t="str">
        <f>TRIM(AJ186)&amp;TRIM(AL186)&amp;TRIM(AK186)</f>
      </c>
      <c r="AN186" s="116">
        <v>2804</v>
      </c>
      <c r="AO186" s="116">
        <v>-26</v>
      </c>
      <c r="AP186" s="116">
        <f>SUMIFS(M:M,AM:AM,AM186)+SUMIFS(O:O,AM:AM,AM186)</f>
      </c>
      <c r="AQ186" s="116">
        <f>SUMIFS(L:L,AM:AM,AM186)</f>
      </c>
      <c r="AR186" s="116">
        <f>AQ186-AP186</f>
      </c>
      <c r="AS186" s="94" t="str">
        <f>IF(AN186&gt;=AQ186,"ok","ck")</f>
      </c>
      <c r="AT186" s="116">
        <f>-P186</f>
      </c>
      <c r="AU186" s="115">
        <f>IF(SUMIFS(AT:AT,AM:AM,AM186)&gt;AO186,(SUMIFS(AT:AT,AM:AM,AM186)-AO186))</f>
      </c>
      <c r="AV186" s="116">
        <v>2804</v>
      </c>
      <c r="AW186" s="121">
        <v>1.009</v>
      </c>
      <c r="AX186" s="115">
        <f>AN186-AP186</f>
      </c>
    </row>
    <row r="187" spans="1:50" ht="15" hidden="1" customHeight="1" x14ac:dyDescent="0.3">
      <c r="A187" s="94" t="s">
        <v>60</v>
      </c>
      <c r="B187" s="94"/>
      <c r="C187" s="94"/>
      <c r="D187" s="94"/>
      <c r="E187" s="94"/>
      <c r="F187" s="94"/>
      <c r="G187" s="112">
        <f>AU187</f>
      </c>
      <c r="H187" s="113"/>
      <c r="I187" s="94" t="s">
        <v>482</v>
      </c>
      <c r="J187" s="94" t="s">
        <v>498</v>
      </c>
      <c r="K187" s="114">
        <f>P187/3</f>
      </c>
      <c r="L187" s="115">
        <v>49.343000000000004</v>
      </c>
      <c r="M187" s="116"/>
      <c r="N187" s="117">
        <f>M187-L187</f>
      </c>
      <c r="O187" s="112"/>
      <c r="P187" s="118">
        <f>N187+O187</f>
      </c>
      <c r="Q187" s="94" t="s">
        <v>790</v>
      </c>
      <c r="R187" s="94" t="s">
        <v>63</v>
      </c>
      <c r="S187" s="119">
        <v>46335</v>
      </c>
      <c r="T187" s="119"/>
      <c r="U187" s="120">
        <v>46335</v>
      </c>
      <c r="V187" s="94"/>
      <c r="W187" s="94"/>
      <c r="X187" s="94"/>
      <c r="Y187" s="119">
        <v>46335</v>
      </c>
      <c r="Z187" s="94"/>
      <c r="AA187" s="120"/>
      <c r="AB187" s="120"/>
      <c r="AC187" s="120"/>
      <c r="AD187" s="120"/>
      <c r="AE187" s="120"/>
      <c r="AF187" s="120"/>
      <c r="AG187" s="94"/>
      <c r="AH187" s="120"/>
      <c r="AI187" s="94"/>
      <c r="AJ187" s="94" t="s">
        <v>790</v>
      </c>
      <c r="AK187" s="94" t="s">
        <v>691</v>
      </c>
      <c r="AL187" s="94">
        <v>110</v>
      </c>
      <c r="AM187" s="94" t="str">
        <f>TRIM(AJ187)&amp;TRIM(AL187)&amp;TRIM(AK187)</f>
      </c>
      <c r="AN187" s="116">
        <v>0</v>
      </c>
      <c r="AO187" s="116" t="inlineStr">
        <is>
          <t>#NA</t>
        </is>
      </c>
      <c r="AP187" s="116">
        <f>SUMIFS(M:M,AM:AM,AM187)+SUMIFS(O:O,AM:AM,AM187)</f>
      </c>
      <c r="AQ187" s="116">
        <f>SUMIFS(L:L,AM:AM,AM187)</f>
      </c>
      <c r="AR187" s="116">
        <f>AQ187-AP187</f>
      </c>
      <c r="AS187" s="94" t="str">
        <f>IF(AN187&gt;=AQ187,"ok","ck")</f>
      </c>
      <c r="AT187" s="116">
        <f>-P187</f>
      </c>
      <c r="AU187" s="115">
        <f>IF(SUMIFS(AT:AT,AM:AM,AM187)&gt;AO187,(SUMIFS(AT:AT,AM:AM,AM187)-AO187))</f>
      </c>
      <c r="AV187" s="116">
        <v>0</v>
      </c>
      <c r="AW187" s="121">
        <v>0</v>
      </c>
      <c r="AX187" s="115">
        <f>AN187-AP187</f>
      </c>
    </row>
    <row r="188" spans="1:50" ht="15" hidden="1" customHeight="1" x14ac:dyDescent="0.3">
      <c r="A188" s="94" t="s">
        <v>480</v>
      </c>
      <c r="B188" s="94"/>
      <c r="C188" s="94"/>
      <c r="D188" s="94"/>
      <c r="E188" s="94"/>
      <c r="F188" s="94"/>
      <c r="G188" s="112">
        <f>AU188</f>
      </c>
      <c r="H188" s="113"/>
      <c r="I188" s="94" t="s">
        <v>486</v>
      </c>
      <c r="J188" s="94" t="s">
        <v>515</v>
      </c>
      <c r="K188" s="114">
        <f>P188/3</f>
      </c>
      <c r="L188" s="115">
        <v>0.40100000000000002</v>
      </c>
      <c r="M188" s="116">
        <f>L188</f>
      </c>
      <c r="N188" s="117">
        <f>M188-L188</f>
      </c>
      <c r="O188" s="112"/>
      <c r="P188" s="118">
        <f>N188+O188</f>
      </c>
      <c r="Q188" s="94" t="s">
        <v>782</v>
      </c>
      <c r="R188" s="94" t="s">
        <v>63</v>
      </c>
      <c r="S188" s="119">
        <v>46332</v>
      </c>
      <c r="T188" s="119"/>
      <c r="U188" s="120">
        <v>46332</v>
      </c>
      <c r="V188" s="94"/>
      <c r="W188" s="94"/>
      <c r="X188" s="94"/>
      <c r="Y188" s="119">
        <v>46338</v>
      </c>
      <c r="Z188" s="94"/>
      <c r="AA188" s="120"/>
      <c r="AB188" s="120"/>
      <c r="AC188" s="120"/>
      <c r="AD188" s="120"/>
      <c r="AE188" s="120"/>
      <c r="AF188" s="120"/>
      <c r="AG188" s="94"/>
      <c r="AH188" s="120"/>
      <c r="AI188" s="94"/>
      <c r="AJ188" s="94" t="s">
        <v>782</v>
      </c>
      <c r="AK188" s="94" t="s">
        <v>71</v>
      </c>
      <c r="AL188" s="94">
        <v>165</v>
      </c>
      <c r="AM188" s="94" t="str">
        <f>TRIM(AJ188)&amp;TRIM(AL188)&amp;TRIM(AK188)</f>
      </c>
      <c r="AN188" s="116">
        <v>70.59</v>
      </c>
      <c r="AO188" s="116">
        <v>-4.59</v>
      </c>
      <c r="AP188" s="116">
        <f>SUMIFS(M:M,AM:AM,AM188)+SUMIFS(O:O,AM:AM,AM188)</f>
      </c>
      <c r="AQ188" s="116">
        <f>SUMIFS(L:L,AM:AM,AM188)</f>
      </c>
      <c r="AR188" s="116">
        <f>AQ188-AP188</f>
      </c>
      <c r="AS188" s="94" t="str">
        <f>IF(AN188&gt;=AQ188,"ok","ck")</f>
      </c>
      <c r="AT188" s="116">
        <f>-P188</f>
      </c>
      <c r="AU188" s="115">
        <f>IF(SUMIFS(AT:AT,AM:AM,AM188)&gt;AO188,(SUMIFS(AT:AT,AM:AM,AM188)-AO188))</f>
      </c>
      <c r="AV188" s="116">
        <v>70.59</v>
      </c>
      <c r="AW188" s="121">
        <v>1.07</v>
      </c>
      <c r="AX188" s="115">
        <f>AN188-AP188</f>
      </c>
    </row>
    <row r="189" spans="1:50" ht="15" hidden="1" customHeight="1" x14ac:dyDescent="0.3">
      <c r="A189" s="94" t="s">
        <v>60</v>
      </c>
      <c r="B189" s="94"/>
      <c r="C189" s="94"/>
      <c r="D189" s="94"/>
      <c r="E189" s="94"/>
      <c r="F189" s="94"/>
      <c r="G189" s="112">
        <f>AU189</f>
      </c>
      <c r="H189" s="113"/>
      <c r="I189" s="94" t="s">
        <v>482</v>
      </c>
      <c r="J189" s="94" t="s">
        <v>122</v>
      </c>
      <c r="K189" s="114">
        <f>P189/3</f>
      </c>
      <c r="L189" s="115">
        <v>10.382</v>
      </c>
      <c r="M189" s="116"/>
      <c r="N189" s="117">
        <f>M189-L189</f>
      </c>
      <c r="O189" s="112"/>
      <c r="P189" s="118">
        <f>N189+O189</f>
      </c>
      <c r="Q189" s="94" t="s">
        <v>781</v>
      </c>
      <c r="R189" s="94" t="s">
        <v>63</v>
      </c>
      <c r="S189" s="119">
        <v>46330</v>
      </c>
      <c r="T189" s="119"/>
      <c r="U189" s="120">
        <v>46330</v>
      </c>
      <c r="V189" s="94"/>
      <c r="W189" s="94"/>
      <c r="X189" s="94"/>
      <c r="Y189" s="119">
        <v>46330</v>
      </c>
      <c r="Z189" s="94"/>
      <c r="AA189" s="120"/>
      <c r="AB189" s="120"/>
      <c r="AC189" s="120"/>
      <c r="AD189" s="120"/>
      <c r="AE189" s="120"/>
      <c r="AF189" s="120"/>
      <c r="AG189" s="94"/>
      <c r="AH189" s="120"/>
      <c r="AI189" s="94"/>
      <c r="AJ189" s="94" t="s">
        <v>781</v>
      </c>
      <c r="AK189" s="94" t="s">
        <v>692</v>
      </c>
      <c r="AL189" s="94">
        <v>110</v>
      </c>
      <c r="AM189" s="94" t="str">
        <f>TRIM(AJ189)&amp;TRIM(AL189)&amp;TRIM(AK189)</f>
      </c>
      <c r="AN189" s="116">
        <v>0</v>
      </c>
      <c r="AO189" s="116" t="inlineStr">
        <is>
          <t>#NA</t>
        </is>
      </c>
      <c r="AP189" s="116">
        <f>SUMIFS(M:M,AM:AM,AM189)+SUMIFS(O:O,AM:AM,AM189)</f>
      </c>
      <c r="AQ189" s="116">
        <f>SUMIFS(L:L,AM:AM,AM189)</f>
      </c>
      <c r="AR189" s="116">
        <f>AQ189-AP189</f>
      </c>
      <c r="AS189" s="94" t="str">
        <f>IF(AN189&gt;=AQ189,"ok","ck")</f>
      </c>
      <c r="AT189" s="116">
        <f>-P189</f>
      </c>
      <c r="AU189" s="115">
        <f>IF(SUMIFS(AT:AT,AM:AM,AM189)&gt;AO189,(SUMIFS(AT:AT,AM:AM,AM189)-AO189))</f>
      </c>
      <c r="AV189" s="116">
        <v>0</v>
      </c>
      <c r="AW189" s="121">
        <v>0</v>
      </c>
      <c r="AX189" s="115">
        <f>AN189-AP189</f>
      </c>
    </row>
    <row r="190" spans="1:50" ht="15" hidden="1" customHeight="1" x14ac:dyDescent="0.3">
      <c r="A190" s="94" t="s">
        <v>288</v>
      </c>
      <c r="B190" s="94"/>
      <c r="C190" s="94"/>
      <c r="D190" s="94"/>
      <c r="E190" s="94"/>
      <c r="F190" s="94"/>
      <c r="G190" s="112">
        <f>AU190</f>
      </c>
      <c r="H190" s="113"/>
      <c r="I190" s="94" t="s">
        <v>295</v>
      </c>
      <c r="J190" s="94" t="s">
        <v>367</v>
      </c>
      <c r="K190" s="114">
        <f>P190/3</f>
      </c>
      <c r="L190" s="115">
        <v>64.201999999999998</v>
      </c>
      <c r="M190" s="116">
        <f>L190</f>
      </c>
      <c r="N190" s="117">
        <f>M190-L190</f>
      </c>
      <c r="O190" s="112"/>
      <c r="P190" s="118">
        <f>N190+O190</f>
      </c>
      <c r="Q190" s="94" t="s">
        <v>318</v>
      </c>
      <c r="R190" s="94" t="s">
        <v>63</v>
      </c>
      <c r="S190" s="119">
        <v>46310</v>
      </c>
      <c r="T190" s="119"/>
      <c r="U190" s="120">
        <v>46310</v>
      </c>
      <c r="V190" s="94"/>
      <c r="W190" s="94"/>
      <c r="X190" s="94"/>
      <c r="Y190" s="119">
        <v>46344</v>
      </c>
      <c r="Z190" s="94"/>
      <c r="AA190" s="120"/>
      <c r="AB190" s="120"/>
      <c r="AC190" s="120"/>
      <c r="AD190" s="120"/>
      <c r="AE190" s="120"/>
      <c r="AF190" s="120"/>
      <c r="AG190" s="94"/>
      <c r="AH190" s="120"/>
      <c r="AI190" s="94"/>
      <c r="AJ190" s="94" t="s">
        <v>319</v>
      </c>
      <c r="AK190" s="94" t="s">
        <v>281</v>
      </c>
      <c r="AL190" s="94">
        <v>180</v>
      </c>
      <c r="AM190" s="94" t="str">
        <f>TRIM(AJ190)&amp;TRIM(AL190)&amp;TRIM(AK190)</f>
      </c>
      <c r="AN190" s="116">
        <v>438.79</v>
      </c>
      <c r="AO190" s="116">
        <v>14.79</v>
      </c>
      <c r="AP190" s="116">
        <f>SUMIFS(M:M,AM:AM,AM190)+SUMIFS(O:O,AM:AM,AM190)</f>
      </c>
      <c r="AQ190" s="116">
        <f>SUMIFS(L:L,AM:AM,AM190)</f>
      </c>
      <c r="AR190" s="116">
        <f>AQ190-AP190</f>
      </c>
      <c r="AS190" s="94" t="str">
        <f>IF(AN190&gt;=AQ190,"ok","ck")</f>
      </c>
      <c r="AT190" s="116">
        <f>-P190</f>
      </c>
      <c r="AU190" s="115">
        <f>IF(SUMIFS(AT:AT,AM:AM,AM190)&gt;AO190,(SUMIFS(AT:AT,AM:AM,AM190)-AO190))</f>
      </c>
      <c r="AV190" s="116">
        <v>438.79</v>
      </c>
      <c r="AW190" s="121">
        <v>0.967</v>
      </c>
      <c r="AX190" s="115">
        <f>AN190-AP190</f>
      </c>
    </row>
    <row r="191" spans="1:50" ht="15" hidden="1" customHeight="1" x14ac:dyDescent="0.3">
      <c r="A191" s="94" t="s">
        <v>263</v>
      </c>
      <c r="B191" s="94"/>
      <c r="C191" s="94"/>
      <c r="D191" s="94"/>
      <c r="E191" s="94"/>
      <c r="F191" s="94"/>
      <c r="G191" s="112">
        <f>AU191</f>
      </c>
      <c r="H191" s="113"/>
      <c r="I191" s="94" t="s">
        <v>264</v>
      </c>
      <c r="J191" s="94" t="s">
        <v>286</v>
      </c>
      <c r="K191" s="114">
        <f>P191/3</f>
      </c>
      <c r="L191" s="115">
        <v>-1.5620000000000001</v>
      </c>
      <c r="M191" s="116">
        <f>L191</f>
      </c>
      <c r="N191" s="117">
        <f>M191-L191</f>
      </c>
      <c r="O191" s="112"/>
      <c r="P191" s="118">
        <f>N191+O191</f>
      </c>
      <c r="Q191" s="94" t="s">
        <v>361</v>
      </c>
      <c r="R191" s="94" t="s">
        <v>63</v>
      </c>
      <c r="S191" s="119">
        <v>46320</v>
      </c>
      <c r="T191" s="119"/>
      <c r="U191" s="120">
        <v>46320</v>
      </c>
      <c r="V191" s="94"/>
      <c r="W191" s="94"/>
      <c r="X191" s="94"/>
      <c r="Y191" s="119">
        <v>46320</v>
      </c>
      <c r="Z191" s="94"/>
      <c r="AA191" s="120"/>
      <c r="AB191" s="120"/>
      <c r="AC191" s="120"/>
      <c r="AD191" s="120"/>
      <c r="AE191" s="120"/>
      <c r="AF191" s="120"/>
      <c r="AG191" s="94"/>
      <c r="AH191" s="120"/>
      <c r="AI191" s="94"/>
      <c r="AJ191" s="94" t="s">
        <v>361</v>
      </c>
      <c r="AK191" s="94" t="s">
        <v>281</v>
      </c>
      <c r="AL191" s="94">
        <v>120</v>
      </c>
      <c r="AM191" s="94" t="str">
        <f>TRIM(AJ191)&amp;TRIM(AL191)&amp;TRIM(AK191)</f>
      </c>
      <c r="AN191" s="116">
        <v>3441</v>
      </c>
      <c r="AO191" s="116">
        <v>-50</v>
      </c>
      <c r="AP191" s="116">
        <f>SUMIFS(M:M,AM:AM,AM191)+SUMIFS(O:O,AM:AM,AM191)</f>
      </c>
      <c r="AQ191" s="116">
        <f>SUMIFS(L:L,AM:AM,AM191)</f>
      </c>
      <c r="AR191" s="116">
        <f>AQ191-AP191</f>
      </c>
      <c r="AS191" s="94" t="str">
        <f>IF(AN191&gt;=AQ191,"ok","ck")</f>
      </c>
      <c r="AT191" s="116">
        <f>-P191</f>
      </c>
      <c r="AU191" s="115">
        <f>IF(SUMIFS(AT:AT,AM:AM,AM191)&gt;AO191,(SUMIFS(AT:AT,AM:AM,AM191)-AO191))</f>
      </c>
      <c r="AV191" s="116">
        <v>3441</v>
      </c>
      <c r="AW191" s="121">
        <v>1.015</v>
      </c>
      <c r="AX191" s="115">
        <f>AN191-AP191</f>
      </c>
    </row>
    <row r="192" spans="1:50" ht="15" hidden="1" customHeight="1" x14ac:dyDescent="0.3">
      <c r="A192" s="94" t="s">
        <v>268</v>
      </c>
      <c r="B192" s="94"/>
      <c r="C192" s="94"/>
      <c r="D192" s="94"/>
      <c r="E192" s="94"/>
      <c r="F192" s="94"/>
      <c r="G192" s="112">
        <f>AU192</f>
      </c>
      <c r="H192" s="113"/>
      <c r="I192" s="94" t="s">
        <v>278</v>
      </c>
      <c r="J192" s="94" t="s">
        <v>355</v>
      </c>
      <c r="K192" s="114">
        <f>P192/3</f>
      </c>
      <c r="L192" s="115">
        <v>24.42</v>
      </c>
      <c r="M192" s="116"/>
      <c r="N192" s="117">
        <f>M192-L192</f>
      </c>
      <c r="O192" s="112"/>
      <c r="P192" s="118">
        <f>N192+O192</f>
      </c>
      <c r="Q192" s="94" t="s">
        <v>778</v>
      </c>
      <c r="R192" s="94" t="s">
        <v>63</v>
      </c>
      <c r="S192" s="119">
        <v>46335</v>
      </c>
      <c r="T192" s="119"/>
      <c r="U192" s="120">
        <v>46335</v>
      </c>
      <c r="V192" s="94"/>
      <c r="W192" s="94"/>
      <c r="X192" s="94"/>
      <c r="Y192" s="119">
        <v>46326</v>
      </c>
      <c r="Z192" s="94"/>
      <c r="AA192" s="120"/>
      <c r="AB192" s="120"/>
      <c r="AC192" s="120"/>
      <c r="AD192" s="120"/>
      <c r="AE192" s="120"/>
      <c r="AF192" s="120"/>
      <c r="AG192" s="94"/>
      <c r="AH192" s="120"/>
      <c r="AI192" s="94"/>
      <c r="AJ192" s="94" t="s">
        <v>778</v>
      </c>
      <c r="AK192" s="94" t="s">
        <v>356</v>
      </c>
      <c r="AL192" s="94">
        <v>120</v>
      </c>
      <c r="AM192" s="94" t="str">
        <f>TRIM(AJ192)&amp;TRIM(AL192)&amp;TRIM(AK192)</f>
      </c>
      <c r="AN192" s="116">
        <v>0</v>
      </c>
      <c r="AO192" s="116" t="inlineStr">
        <is>
          <t>#NA</t>
        </is>
      </c>
      <c r="AP192" s="116">
        <f>SUMIFS(M:M,AM:AM,AM192)+SUMIFS(O:O,AM:AM,AM192)</f>
      </c>
      <c r="AQ192" s="116">
        <f>SUMIFS(L:L,AM:AM,AM192)</f>
      </c>
      <c r="AR192" s="116">
        <f>AQ192-AP192</f>
      </c>
      <c r="AS192" s="94" t="str">
        <f>IF(AN192&gt;=AQ192,"ok","ck")</f>
      </c>
      <c r="AT192" s="116">
        <f>-P192</f>
      </c>
      <c r="AU192" s="115">
        <f>IF(SUMIFS(AT:AT,AM:AM,AM192)&gt;AO192,(SUMIFS(AT:AT,AM:AM,AM192)-AO192))</f>
      </c>
      <c r="AV192" s="116">
        <v>0</v>
      </c>
      <c r="AW192" s="121">
        <v>0</v>
      </c>
      <c r="AX192" s="115">
        <f>AN192-AP192</f>
      </c>
    </row>
    <row r="193" spans="1:50" ht="15" hidden="1" customHeight="1" x14ac:dyDescent="0.3">
      <c r="A193" s="94" t="s">
        <v>268</v>
      </c>
      <c r="B193" s="94"/>
      <c r="C193" s="94"/>
      <c r="D193" s="94"/>
      <c r="E193" s="94"/>
      <c r="F193" s="94"/>
      <c r="G193" s="112">
        <f>AU193</f>
      </c>
      <c r="H193" s="113"/>
      <c r="I193" s="94" t="s">
        <v>278</v>
      </c>
      <c r="J193" s="94" t="s">
        <v>355</v>
      </c>
      <c r="K193" s="114">
        <f>P193/3</f>
      </c>
      <c r="L193" s="115">
        <v>6.4379999999999997</v>
      </c>
      <c r="M193" s="116"/>
      <c r="N193" s="117">
        <f>M193-L193</f>
      </c>
      <c r="O193" s="112"/>
      <c r="P193" s="118">
        <f>N193+O193</f>
      </c>
      <c r="Q193" s="94" t="s">
        <v>778</v>
      </c>
      <c r="R193" s="94" t="s">
        <v>63</v>
      </c>
      <c r="S193" s="119">
        <v>46335</v>
      </c>
      <c r="T193" s="119"/>
      <c r="U193" s="120">
        <v>46335</v>
      </c>
      <c r="V193" s="94"/>
      <c r="W193" s="94"/>
      <c r="X193" s="94"/>
      <c r="Y193" s="119">
        <v>46329</v>
      </c>
      <c r="Z193" s="94"/>
      <c r="AA193" s="120"/>
      <c r="AB193" s="120"/>
      <c r="AC193" s="120"/>
      <c r="AD193" s="120"/>
      <c r="AE193" s="120"/>
      <c r="AF193" s="120"/>
      <c r="AG193" s="94"/>
      <c r="AH193" s="120"/>
      <c r="AI193" s="94"/>
      <c r="AJ193" s="94" t="s">
        <v>778</v>
      </c>
      <c r="AK193" s="94" t="s">
        <v>356</v>
      </c>
      <c r="AL193" s="94">
        <v>120</v>
      </c>
      <c r="AM193" s="94" t="str">
        <f>TRIM(AJ193)&amp;TRIM(AL193)&amp;TRIM(AK193)</f>
      </c>
      <c r="AN193" s="116">
        <v>0</v>
      </c>
      <c r="AO193" s="116" t="inlineStr">
        <is>
          <t>#NA</t>
        </is>
      </c>
      <c r="AP193" s="116">
        <f>SUMIFS(M:M,AM:AM,AM193)+SUMIFS(O:O,AM:AM,AM193)</f>
      </c>
      <c r="AQ193" s="116">
        <f>SUMIFS(L:L,AM:AM,AM193)</f>
      </c>
      <c r="AR193" s="116">
        <f>AQ193-AP193</f>
      </c>
      <c r="AS193" s="94" t="str">
        <f>IF(AN193&gt;=AQ193,"ok","ck")</f>
      </c>
      <c r="AT193" s="116">
        <f>-P193</f>
      </c>
      <c r="AU193" s="115">
        <f>IF(SUMIFS(AT:AT,AM:AM,AM193)&gt;AO193,(SUMIFS(AT:AT,AM:AM,AM193)-AO193))</f>
      </c>
      <c r="AV193" s="116">
        <v>0</v>
      </c>
      <c r="AW193" s="121">
        <v>0</v>
      </c>
      <c r="AX193" s="115">
        <f>AN193-AP193</f>
      </c>
    </row>
    <row r="194" spans="1:50" ht="15" customHeight="1" x14ac:dyDescent="0.3">
      <c r="A194" s="94" t="s">
        <v>862</v>
      </c>
      <c r="B194" s="94"/>
      <c r="C194" s="94"/>
      <c r="D194" s="94"/>
      <c r="E194" s="94"/>
      <c r="F194" s="94"/>
      <c r="G194" s="112">
        <f>AU194</f>
      </c>
      <c r="H194" s="113"/>
      <c r="I194" s="94" t="s">
        <v>278</v>
      </c>
      <c r="J194" s="94" t="s">
        <v>281</v>
      </c>
      <c r="K194" s="114">
        <f>P194/3</f>
      </c>
      <c r="L194" s="115">
        <v>156.471</v>
      </c>
      <c r="M194" s="116"/>
      <c r="N194" s="117">
        <f>M194-L194</f>
      </c>
      <c r="O194" s="112"/>
      <c r="P194" s="118">
        <f>N194+O194</f>
      </c>
      <c r="Q194" s="94"/>
      <c r="R194" s="94" t="s">
        <v>63</v>
      </c>
      <c r="S194" s="119">
        <v>46332</v>
      </c>
      <c r="T194" s="119"/>
      <c r="U194" s="120" t="s">
        <v>632</v>
      </c>
      <c r="V194" s="94"/>
      <c r="W194" s="94"/>
      <c r="X194" s="94"/>
      <c r="Y194" s="119">
        <v>46336</v>
      </c>
      <c r="Z194" s="94"/>
      <c r="AA194" s="120"/>
      <c r="AB194" s="120"/>
      <c r="AC194" s="120"/>
      <c r="AD194" s="120"/>
      <c r="AE194" s="120"/>
      <c r="AF194" s="120"/>
      <c r="AG194" s="94"/>
      <c r="AH194" s="120"/>
      <c r="AI194" s="94"/>
      <c r="AJ194" s="94"/>
      <c r="AK194" s="94"/>
      <c r="AL194" s="94">
        <v>120</v>
      </c>
      <c r="AM194" s="94" t="str">
        <f>TRIM(AJ194)&amp;TRIM(AL194)&amp;TRIM(AK194)</f>
      </c>
      <c r="AN194" s="116">
        <v>0</v>
      </c>
      <c r="AO194" s="116" t="inlineStr">
        <is>
          <t>#NA</t>
        </is>
      </c>
      <c r="AP194" s="116">
        <f>SUMIFS(M:M,AM:AM,AM194)+SUMIFS(O:O,AM:AM,AM194)</f>
      </c>
      <c r="AQ194" s="116">
        <f>SUMIFS(L:L,AM:AM,AM194)</f>
      </c>
      <c r="AR194" s="116">
        <f>AQ194-AP194</f>
      </c>
      <c r="AS194" s="94" t="str">
        <f>IF(AN194&gt;=AQ194,"ok","ck")</f>
      </c>
      <c r="AT194" s="116">
        <f>-P194</f>
      </c>
      <c r="AU194" s="115">
        <f>IF(SUMIFS(AT:AT,AM:AM,AM194)&gt;AO194,(SUMIFS(AT:AT,AM:AM,AM194)-AO194))</f>
      </c>
      <c r="AV194" s="116" t="e">
        <v>#N/A</v>
      </c>
      <c r="AW194" s="121" t="e">
        <v>#N/A</v>
      </c>
      <c r="AX194" s="115">
        <f>AN194-AP194</f>
      </c>
    </row>
    <row r="195" spans="1:50" ht="15" customHeight="1" x14ac:dyDescent="0.3">
      <c r="A195" s="94" t="s">
        <v>862</v>
      </c>
      <c r="B195" s="94"/>
      <c r="C195" s="94"/>
      <c r="D195" s="94"/>
      <c r="E195" s="94"/>
      <c r="F195" s="94"/>
      <c r="G195" s="112">
        <f>AU195</f>
      </c>
      <c r="H195" s="113"/>
      <c r="I195" s="94" t="s">
        <v>278</v>
      </c>
      <c r="J195" s="94" t="s">
        <v>281</v>
      </c>
      <c r="K195" s="114">
        <f>P195/3</f>
      </c>
      <c r="L195" s="115">
        <v>156.471</v>
      </c>
      <c r="M195" s="116"/>
      <c r="N195" s="117">
        <f>M195-L195</f>
      </c>
      <c r="O195" s="112"/>
      <c r="P195" s="118">
        <f>N195+O195</f>
      </c>
      <c r="Q195" s="94"/>
      <c r="R195" s="94" t="s">
        <v>63</v>
      </c>
      <c r="S195" s="119">
        <v>46333</v>
      </c>
      <c r="T195" s="119"/>
      <c r="U195" s="120" t="s">
        <v>632</v>
      </c>
      <c r="V195" s="94"/>
      <c r="W195" s="94"/>
      <c r="X195" s="94"/>
      <c r="Y195" s="119">
        <v>46336</v>
      </c>
      <c r="Z195" s="94"/>
      <c r="AA195" s="120"/>
      <c r="AB195" s="120"/>
      <c r="AC195" s="120"/>
      <c r="AD195" s="120"/>
      <c r="AE195" s="120"/>
      <c r="AF195" s="120"/>
      <c r="AG195" s="94"/>
      <c r="AH195" s="120"/>
      <c r="AI195" s="94"/>
      <c r="AJ195" s="94"/>
      <c r="AK195" s="94"/>
      <c r="AL195" s="94">
        <v>120</v>
      </c>
      <c r="AM195" s="94" t="str">
        <f>TRIM(AJ195)&amp;TRIM(AL195)&amp;TRIM(AK195)</f>
      </c>
      <c r="AN195" s="116">
        <v>0</v>
      </c>
      <c r="AO195" s="116" t="inlineStr">
        <is>
          <t>#NA</t>
        </is>
      </c>
      <c r="AP195" s="116">
        <f>SUMIFS(M:M,AM:AM,AM195)+SUMIFS(O:O,AM:AM,AM195)</f>
      </c>
      <c r="AQ195" s="116">
        <f>SUMIFS(L:L,AM:AM,AM195)</f>
      </c>
      <c r="AR195" s="116">
        <f>AQ195-AP195</f>
      </c>
      <c r="AS195" s="94" t="str">
        <f>IF(AN195&gt;=AQ195,"ok","ck")</f>
      </c>
      <c r="AT195" s="116">
        <f>-P195</f>
      </c>
      <c r="AU195" s="115">
        <f>IF(SUMIFS(AT:AT,AM:AM,AM195)&gt;AO195,(SUMIFS(AT:AT,AM:AM,AM195)-AO195))</f>
      </c>
      <c r="AV195" s="116" t="e">
        <v>#N/A</v>
      </c>
      <c r="AW195" s="121" t="e">
        <v>#N/A</v>
      </c>
      <c r="AX195" s="115">
        <f>AN195-AP195</f>
      </c>
    </row>
    <row r="196" spans="1:50" ht="15" hidden="1" customHeight="1" x14ac:dyDescent="0.3">
      <c r="A196" s="94" t="s">
        <v>82</v>
      </c>
      <c r="B196" s="94"/>
      <c r="C196" s="94"/>
      <c r="D196" s="94"/>
      <c r="E196" s="94"/>
      <c r="F196" s="94"/>
      <c r="G196" s="112">
        <f>AU196</f>
      </c>
      <c r="H196" s="113"/>
      <c r="I196" s="94" t="s">
        <v>83</v>
      </c>
      <c r="J196" s="94" t="s">
        <v>84</v>
      </c>
      <c r="K196" s="114">
        <f>P196/3</f>
      </c>
      <c r="L196" s="115">
        <v>748.654</v>
      </c>
      <c r="M196" s="116">
        <v>748.654</v>
      </c>
      <c r="N196" s="117">
        <f>M196-L196</f>
      </c>
      <c r="O196" s="112"/>
      <c r="P196" s="118">
        <f>N196+O196</f>
      </c>
      <c r="Q196" s="94" t="s">
        <v>97</v>
      </c>
      <c r="R196" s="94" t="s">
        <v>63</v>
      </c>
      <c r="S196" s="119">
        <v>46327</v>
      </c>
      <c r="T196" s="119"/>
      <c r="U196" s="120">
        <v>46327</v>
      </c>
      <c r="V196" s="94"/>
      <c r="W196" s="94"/>
      <c r="X196" s="94"/>
      <c r="Y196" s="119">
        <v>46320</v>
      </c>
      <c r="Z196" s="94"/>
      <c r="AA196" s="120"/>
      <c r="AB196" s="120"/>
      <c r="AC196" s="120"/>
      <c r="AD196" s="120"/>
      <c r="AE196" s="120"/>
      <c r="AF196" s="120"/>
      <c r="AG196" s="94"/>
      <c r="AH196" s="120"/>
      <c r="AI196" s="94"/>
      <c r="AJ196" s="94" t="s">
        <v>98</v>
      </c>
      <c r="AK196" s="94" t="s">
        <v>87</v>
      </c>
      <c r="AL196" s="94">
        <v>160</v>
      </c>
      <c r="AM196" s="94" t="str">
        <f>TRIM(AJ196)&amp;TRIM(AL196)&amp;TRIM(AK196)</f>
      </c>
      <c r="AN196" s="116">
        <v>3635</v>
      </c>
      <c r="AO196" s="116">
        <v>202</v>
      </c>
      <c r="AP196" s="116">
        <f>SUMIFS(M:M,AM:AM,AM196)+SUMIFS(O:O,AM:AM,AM196)</f>
      </c>
      <c r="AQ196" s="116">
        <f>SUMIFS(L:L,AM:AM,AM196)</f>
      </c>
      <c r="AR196" s="116">
        <f>AQ196-AP196</f>
      </c>
      <c r="AS196" s="94" t="str">
        <f>IF(AN196&gt;=AQ196,"ok","ck")</f>
      </c>
      <c r="AT196" s="116">
        <f>-P196</f>
      </c>
      <c r="AU196" s="115">
        <f>IF(SUMIFS(AT:AT,AM:AM,AM196)&gt;AO196,(SUMIFS(AT:AT,AM:AM,AM196)-AO196))</f>
      </c>
      <c r="AV196" s="116">
        <v>3635</v>
      </c>
      <c r="AW196" s="121">
        <v>0.947</v>
      </c>
      <c r="AX196" s="115">
        <f>AN196-AP196</f>
      </c>
    </row>
    <row r="197" spans="1:50" ht="15" customHeight="1" x14ac:dyDescent="0.3">
      <c r="A197" s="94" t="s">
        <v>862</v>
      </c>
      <c r="B197" s="94"/>
      <c r="C197" s="94"/>
      <c r="D197" s="94"/>
      <c r="E197" s="94"/>
      <c r="F197" s="94"/>
      <c r="G197" s="112">
        <f>AU197</f>
      </c>
      <c r="H197" s="113"/>
      <c r="I197" s="94" t="s">
        <v>278</v>
      </c>
      <c r="J197" s="94" t="s">
        <v>281</v>
      </c>
      <c r="K197" s="114">
        <f>P197/3</f>
      </c>
      <c r="L197" s="115">
        <v>-299.529</v>
      </c>
      <c r="M197" s="116"/>
      <c r="N197" s="117">
        <f>M197-L197</f>
      </c>
      <c r="O197" s="112"/>
      <c r="P197" s="118">
        <f>N197+O197</f>
      </c>
      <c r="Q197" s="94"/>
      <c r="R197" s="94" t="s">
        <v>63</v>
      </c>
      <c r="S197" s="119">
        <v>46339</v>
      </c>
      <c r="T197" s="119"/>
      <c r="U197" s="119" t="s">
        <v>632</v>
      </c>
      <c r="V197" s="94"/>
      <c r="W197" s="94"/>
      <c r="X197" s="94"/>
      <c r="Y197" s="119">
        <v>46326</v>
      </c>
      <c r="Z197" s="94"/>
      <c r="AA197" s="120"/>
      <c r="AB197" s="120"/>
      <c r="AC197" s="120"/>
      <c r="AD197" s="120"/>
      <c r="AE197" s="120"/>
      <c r="AF197" s="120"/>
      <c r="AG197" s="94"/>
      <c r="AH197" s="120"/>
      <c r="AI197" s="94"/>
      <c r="AJ197" s="94"/>
      <c r="AK197" s="94"/>
      <c r="AL197" s="94">
        <v>120</v>
      </c>
      <c r="AM197" s="94" t="str">
        <f>TRIM(AJ197)&amp;TRIM(AL197)&amp;TRIM(AK197)</f>
      </c>
      <c r="AN197" s="116">
        <v>0</v>
      </c>
      <c r="AO197" s="116" t="inlineStr">
        <is>
          <t>#NA</t>
        </is>
      </c>
      <c r="AP197" s="116">
        <f>SUMIFS(M:M,AM:AM,AM197)+SUMIFS(O:O,AM:AM,AM197)</f>
      </c>
      <c r="AQ197" s="116">
        <f>SUMIFS(L:L,AM:AM,AM197)</f>
      </c>
      <c r="AR197" s="116">
        <f>AQ197-AP197</f>
      </c>
      <c r="AS197" s="94" t="str">
        <f>IF(AN197&gt;=AQ197,"ok","ck")</f>
      </c>
      <c r="AT197" s="116">
        <f>-P197</f>
      </c>
      <c r="AU197" s="115">
        <f>IF(SUMIFS(AT:AT,AM:AM,AM197)&gt;AO197,(SUMIFS(AT:AT,AM:AM,AM197)-AO197))</f>
      </c>
      <c r="AV197" s="116" t="e">
        <v>#N/A</v>
      </c>
      <c r="AW197" s="121" t="e">
        <v>#N/A</v>
      </c>
      <c r="AX197" s="115">
        <f>AN197-AP197</f>
      </c>
    </row>
    <row r="198" spans="1:50" ht="15" hidden="1" customHeight="1" x14ac:dyDescent="0.3">
      <c r="A198" s="94" t="s">
        <v>268</v>
      </c>
      <c r="B198" s="94"/>
      <c r="C198" s="94"/>
      <c r="D198" s="94"/>
      <c r="E198" s="94"/>
      <c r="F198" s="94"/>
      <c r="G198" s="112">
        <f>AU198</f>
      </c>
      <c r="H198" s="113"/>
      <c r="I198" s="94" t="s">
        <v>390</v>
      </c>
      <c r="J198" s="94" t="s">
        <v>326</v>
      </c>
      <c r="K198" s="114">
        <f>P198/3</f>
      </c>
      <c r="L198" s="115">
        <v>-2.15</v>
      </c>
      <c r="M198" s="116">
        <f>L198</f>
      </c>
      <c r="N198" s="117">
        <f>M198-L198</f>
      </c>
      <c r="O198" s="112"/>
      <c r="P198" s="118">
        <f>N198+O198</f>
      </c>
      <c r="Q198" s="94" t="s">
        <v>271</v>
      </c>
      <c r="R198" s="94" t="s">
        <v>63</v>
      </c>
      <c r="S198" s="119">
        <v>46320</v>
      </c>
      <c r="T198" s="119"/>
      <c r="U198" s="119">
        <v>46320</v>
      </c>
      <c r="V198" s="94"/>
      <c r="W198" s="94"/>
      <c r="X198" s="94"/>
      <c r="Y198" s="119">
        <v>46320</v>
      </c>
      <c r="Z198" s="94"/>
      <c r="AA198" s="120"/>
      <c r="AB198" s="120"/>
      <c r="AC198" s="120"/>
      <c r="AD198" s="120"/>
      <c r="AE198" s="120"/>
      <c r="AF198" s="120"/>
      <c r="AG198" s="94"/>
      <c r="AH198" s="120"/>
      <c r="AI198" s="94"/>
      <c r="AJ198" s="94" t="s">
        <v>271</v>
      </c>
      <c r="AK198" s="94" t="s">
        <v>327</v>
      </c>
      <c r="AL198" s="94">
        <v>140</v>
      </c>
      <c r="AM198" s="94" t="str">
        <f>TRIM(AJ198)&amp;TRIM(AL198)&amp;TRIM(AK198)</f>
      </c>
      <c r="AN198" s="116">
        <v>2804</v>
      </c>
      <c r="AO198" s="116">
        <v>-26</v>
      </c>
      <c r="AP198" s="116">
        <f>SUMIFS(M:M,AM:AM,AM198)+SUMIFS(O:O,AM:AM,AM198)</f>
      </c>
      <c r="AQ198" s="116">
        <f>SUMIFS(L:L,AM:AM,AM198)</f>
      </c>
      <c r="AR198" s="116">
        <f>AQ198-AP198</f>
      </c>
      <c r="AS198" s="94" t="str">
        <f>IF(AN198&gt;=AQ198,"ok","ck")</f>
      </c>
      <c r="AT198" s="116">
        <f>-P198</f>
      </c>
      <c r="AU198" s="115">
        <f>IF(SUMIFS(AT:AT,AM:AM,AM198)&gt;AO198,(SUMIFS(AT:AT,AM:AM,AM198)-AO198))</f>
      </c>
      <c r="AV198" s="116">
        <v>2804</v>
      </c>
      <c r="AW198" s="121">
        <v>1.009</v>
      </c>
      <c r="AX198" s="115">
        <f>AN198-AP198</f>
      </c>
    </row>
    <row r="199" spans="1:50" ht="15" hidden="1" customHeight="1" x14ac:dyDescent="0.3">
      <c r="A199" s="94" t="s">
        <v>268</v>
      </c>
      <c r="B199" s="94"/>
      <c r="C199" s="94"/>
      <c r="D199" s="94"/>
      <c r="E199" s="94"/>
      <c r="F199" s="94"/>
      <c r="G199" s="112">
        <f>AU199</f>
      </c>
      <c r="H199" s="113"/>
      <c r="I199" s="94" t="s">
        <v>278</v>
      </c>
      <c r="J199" s="94" t="s">
        <v>293</v>
      </c>
      <c r="K199" s="114">
        <f>P199/3</f>
      </c>
      <c r="L199" s="115">
        <v>1.8</v>
      </c>
      <c r="M199" s="116">
        <f>L199</f>
      </c>
      <c r="N199" s="117">
        <f>M199-L199</f>
      </c>
      <c r="O199" s="112"/>
      <c r="P199" s="118">
        <f>N199+O199</f>
      </c>
      <c r="Q199" s="94" t="s">
        <v>316</v>
      </c>
      <c r="R199" s="94" t="s">
        <v>63</v>
      </c>
      <c r="S199" s="119">
        <v>46320</v>
      </c>
      <c r="T199" s="119"/>
      <c r="U199" s="120">
        <v>46320</v>
      </c>
      <c r="V199" s="94"/>
      <c r="W199" s="94"/>
      <c r="X199" s="94"/>
      <c r="Y199" s="119">
        <v>46320</v>
      </c>
      <c r="Z199" s="94"/>
      <c r="AA199" s="120"/>
      <c r="AB199" s="120"/>
      <c r="AC199" s="120"/>
      <c r="AD199" s="120"/>
      <c r="AE199" s="120"/>
      <c r="AF199" s="120"/>
      <c r="AG199" s="94"/>
      <c r="AH199" s="120"/>
      <c r="AI199" s="94"/>
      <c r="AJ199" s="94" t="s">
        <v>316</v>
      </c>
      <c r="AK199" s="94" t="s">
        <v>294</v>
      </c>
      <c r="AL199" s="94">
        <v>120</v>
      </c>
      <c r="AM199" s="94" t="str">
        <f>TRIM(AJ199)&amp;TRIM(AL199)&amp;TRIM(AK199)</f>
      </c>
      <c r="AN199" s="116">
        <v>647</v>
      </c>
      <c r="AO199" s="116">
        <v>5.99</v>
      </c>
      <c r="AP199" s="116">
        <f>SUMIFS(M:M,AM:AM,AM199)+SUMIFS(O:O,AM:AM,AM199)</f>
      </c>
      <c r="AQ199" s="116">
        <f>SUMIFS(L:L,AM:AM,AM199)</f>
      </c>
      <c r="AR199" s="116">
        <f>AQ199-AP199</f>
      </c>
      <c r="AS199" s="94" t="str">
        <f>IF(AN199&gt;=AQ199,"ok","ck")</f>
      </c>
      <c r="AT199" s="116">
        <f>-P199</f>
      </c>
      <c r="AU199" s="115">
        <f>IF(SUMIFS(AT:AT,AM:AM,AM199)&gt;AO199,(SUMIFS(AT:AT,AM:AM,AM199)-AO199))</f>
      </c>
      <c r="AV199" s="116">
        <v>559</v>
      </c>
      <c r="AW199" s="121">
        <v>1</v>
      </c>
      <c r="AX199" s="115">
        <f>AN199-AP199</f>
      </c>
    </row>
    <row r="200" spans="1:50" ht="15" hidden="1" customHeight="1" x14ac:dyDescent="0.3">
      <c r="A200" s="94" t="s">
        <v>268</v>
      </c>
      <c r="B200" s="94"/>
      <c r="C200" s="94"/>
      <c r="D200" s="94"/>
      <c r="E200" s="94"/>
      <c r="F200" s="94"/>
      <c r="G200" s="112">
        <f>AU200</f>
      </c>
      <c r="H200" s="113"/>
      <c r="I200" s="94" t="s">
        <v>278</v>
      </c>
      <c r="J200" s="94" t="s">
        <v>355</v>
      </c>
      <c r="K200" s="114">
        <f>P200/3</f>
      </c>
      <c r="L200" s="115">
        <v>4.9720000000000004</v>
      </c>
      <c r="M200" s="116"/>
      <c r="N200" s="117">
        <f>M200-L200</f>
      </c>
      <c r="O200" s="112"/>
      <c r="P200" s="118">
        <f>N200+O200</f>
      </c>
      <c r="Q200" s="94" t="s">
        <v>778</v>
      </c>
      <c r="R200" s="94" t="s">
        <v>63</v>
      </c>
      <c r="S200" s="119">
        <v>46335</v>
      </c>
      <c r="T200" s="119"/>
      <c r="U200" s="120">
        <v>46335</v>
      </c>
      <c r="V200" s="94"/>
      <c r="W200" s="94"/>
      <c r="X200" s="94"/>
      <c r="Y200" s="119">
        <v>46337</v>
      </c>
      <c r="Z200" s="94"/>
      <c r="AA200" s="120"/>
      <c r="AB200" s="120"/>
      <c r="AC200" s="120"/>
      <c r="AD200" s="120"/>
      <c r="AE200" s="120"/>
      <c r="AF200" s="120"/>
      <c r="AG200" s="94"/>
      <c r="AH200" s="120"/>
      <c r="AI200" s="94"/>
      <c r="AJ200" s="94" t="s">
        <v>778</v>
      </c>
      <c r="AK200" s="94" t="s">
        <v>356</v>
      </c>
      <c r="AL200" s="94">
        <v>120</v>
      </c>
      <c r="AM200" s="94" t="str">
        <f>TRIM(AJ200)&amp;TRIM(AL200)&amp;TRIM(AK200)</f>
      </c>
      <c r="AN200" s="116">
        <v>0</v>
      </c>
      <c r="AO200" s="116" t="inlineStr">
        <is>
          <t>#NA</t>
        </is>
      </c>
      <c r="AP200" s="116">
        <f>SUMIFS(M:M,AM:AM,AM200)+SUMIFS(O:O,AM:AM,AM200)</f>
      </c>
      <c r="AQ200" s="116">
        <f>SUMIFS(L:L,AM:AM,AM200)</f>
      </c>
      <c r="AR200" s="116">
        <f>AQ200-AP200</f>
      </c>
      <c r="AS200" s="94" t="str">
        <f>IF(AN200&gt;=AQ200,"ok","ck")</f>
      </c>
      <c r="AT200" s="116">
        <f>-P200</f>
      </c>
      <c r="AU200" s="115">
        <f>IF(SUMIFS(AT:AT,AM:AM,AM200)&gt;AO200,(SUMIFS(AT:AT,AM:AM,AM200)-AO200))</f>
      </c>
      <c r="AV200" s="116">
        <v>0</v>
      </c>
      <c r="AW200" s="121">
        <v>0</v>
      </c>
      <c r="AX200" s="115">
        <f>AN200-AP200</f>
      </c>
    </row>
    <row r="201" spans="1:50" ht="15" hidden="1" customHeight="1" x14ac:dyDescent="0.3">
      <c r="A201" s="94" t="s">
        <v>268</v>
      </c>
      <c r="B201" s="94"/>
      <c r="C201" s="94"/>
      <c r="D201" s="94"/>
      <c r="E201" s="94"/>
      <c r="F201" s="94"/>
      <c r="G201" s="112">
        <f>AU201</f>
      </c>
      <c r="H201" s="113"/>
      <c r="I201" s="94" t="s">
        <v>278</v>
      </c>
      <c r="J201" s="94" t="s">
        <v>355</v>
      </c>
      <c r="K201" s="114">
        <f>P201/3</f>
      </c>
      <c r="L201" s="115">
        <v>0.1</v>
      </c>
      <c r="M201" s="116"/>
      <c r="N201" s="117">
        <f>M201-L201</f>
      </c>
      <c r="O201" s="112"/>
      <c r="P201" s="118">
        <f>N201+O201</f>
      </c>
      <c r="Q201" s="94" t="s">
        <v>778</v>
      </c>
      <c r="R201" s="94" t="s">
        <v>63</v>
      </c>
      <c r="S201" s="119">
        <v>46337</v>
      </c>
      <c r="T201" s="119"/>
      <c r="U201" s="120">
        <v>46337</v>
      </c>
      <c r="V201" s="94"/>
      <c r="W201" s="94"/>
      <c r="X201" s="94"/>
      <c r="Y201" s="119">
        <v>46337</v>
      </c>
      <c r="Z201" s="94"/>
      <c r="AA201" s="120"/>
      <c r="AB201" s="120"/>
      <c r="AC201" s="120"/>
      <c r="AD201" s="120"/>
      <c r="AE201" s="120"/>
      <c r="AF201" s="120"/>
      <c r="AG201" s="94"/>
      <c r="AH201" s="120"/>
      <c r="AI201" s="94"/>
      <c r="AJ201" s="94" t="s">
        <v>778</v>
      </c>
      <c r="AK201" s="94" t="s">
        <v>356</v>
      </c>
      <c r="AL201" s="94">
        <v>120</v>
      </c>
      <c r="AM201" s="94" t="str">
        <f>TRIM(AJ201)&amp;TRIM(AL201)&amp;TRIM(AK201)</f>
      </c>
      <c r="AN201" s="116">
        <v>0</v>
      </c>
      <c r="AO201" s="116" t="inlineStr">
        <is>
          <t>#NA</t>
        </is>
      </c>
      <c r="AP201" s="116">
        <f>SUMIFS(M:M,AM:AM,AM201)+SUMIFS(O:O,AM:AM,AM201)</f>
      </c>
      <c r="AQ201" s="116">
        <f>SUMIFS(L:L,AM:AM,AM201)</f>
      </c>
      <c r="AR201" s="116">
        <f>AQ201-AP201</f>
      </c>
      <c r="AS201" s="94" t="str">
        <f>IF(AN201&gt;=AQ201,"ok","ck")</f>
      </c>
      <c r="AT201" s="116">
        <f>-P201</f>
      </c>
      <c r="AU201" s="115">
        <f>IF(SUMIFS(AT:AT,AM:AM,AM201)&gt;AO201,(SUMIFS(AT:AT,AM:AM,AM201)-AO201))</f>
      </c>
      <c r="AV201" s="116">
        <v>0</v>
      </c>
      <c r="AW201" s="121">
        <v>0</v>
      </c>
      <c r="AX201" s="115">
        <f>AN201-AP201</f>
      </c>
    </row>
    <row r="202" spans="1:50" ht="15" hidden="1" customHeight="1" x14ac:dyDescent="0.3">
      <c r="A202" s="94" t="s">
        <v>480</v>
      </c>
      <c r="B202" s="94"/>
      <c r="C202" s="94"/>
      <c r="D202" s="94"/>
      <c r="E202" s="94"/>
      <c r="F202" s="94"/>
      <c r="G202" s="112">
        <f>AU202</f>
      </c>
      <c r="H202" s="113"/>
      <c r="I202" s="94" t="s">
        <v>483</v>
      </c>
      <c r="J202" s="94" t="s">
        <v>502</v>
      </c>
      <c r="K202" s="114">
        <f>P202/3</f>
      </c>
      <c r="L202" s="115">
        <v>4.8479999999999999</v>
      </c>
      <c r="M202" s="116"/>
      <c r="N202" s="117">
        <f>M202-L202</f>
      </c>
      <c r="O202" s="112"/>
      <c r="P202" s="118">
        <f>N202+O202</f>
      </c>
      <c r="Q202" s="94" t="s">
        <v>782</v>
      </c>
      <c r="R202" s="94" t="s">
        <v>63</v>
      </c>
      <c r="S202" s="119">
        <v>46332</v>
      </c>
      <c r="T202" s="119"/>
      <c r="U202" s="120">
        <v>46332</v>
      </c>
      <c r="V202" s="94"/>
      <c r="W202" s="94"/>
      <c r="X202" s="94"/>
      <c r="Y202" s="119">
        <v>46327</v>
      </c>
      <c r="Z202" s="94"/>
      <c r="AA202" s="120"/>
      <c r="AB202" s="120"/>
      <c r="AC202" s="120"/>
      <c r="AD202" s="120"/>
      <c r="AE202" s="120"/>
      <c r="AF202" s="120"/>
      <c r="AG202" s="94"/>
      <c r="AH202" s="120"/>
      <c r="AI202" s="94"/>
      <c r="AJ202" s="94" t="s">
        <v>782</v>
      </c>
      <c r="AK202" s="94" t="s">
        <v>696</v>
      </c>
      <c r="AL202" s="94">
        <v>165</v>
      </c>
      <c r="AM202" s="94" t="str">
        <f>TRIM(AJ202)&amp;TRIM(AL202)&amp;TRIM(AK202)</f>
      </c>
      <c r="AN202" s="116">
        <v>0</v>
      </c>
      <c r="AO202" s="116" t="inlineStr">
        <is>
          <t>#NA</t>
        </is>
      </c>
      <c r="AP202" s="116">
        <f>SUMIFS(M:M,AM:AM,AM202)+SUMIFS(O:O,AM:AM,AM202)</f>
      </c>
      <c r="AQ202" s="116">
        <f>SUMIFS(L:L,AM:AM,AM202)</f>
      </c>
      <c r="AR202" s="116">
        <f>AQ202-AP202</f>
      </c>
      <c r="AS202" s="94" t="str">
        <f>IF(AN202&gt;=AQ202,"ok","ck")</f>
      </c>
      <c r="AT202" s="116">
        <f>-P202</f>
      </c>
      <c r="AU202" s="115">
        <f>IF(SUMIFS(AT:AT,AM:AM,AM202)&gt;AO202,(SUMIFS(AT:AT,AM:AM,AM202)-AO202))</f>
      </c>
      <c r="AV202" s="116">
        <v>0</v>
      </c>
      <c r="AW202" s="121">
        <v>0</v>
      </c>
      <c r="AX202" s="115">
        <f>AN202-AP202</f>
      </c>
    </row>
    <row r="203" spans="1:50" ht="15" hidden="1" customHeight="1" x14ac:dyDescent="0.3">
      <c r="A203" s="94" t="s">
        <v>268</v>
      </c>
      <c r="B203" s="94"/>
      <c r="C203" s="94"/>
      <c r="D203" s="94"/>
      <c r="E203" s="94"/>
      <c r="F203" s="94"/>
      <c r="G203" s="112">
        <f>AU203</f>
      </c>
      <c r="H203" s="113"/>
      <c r="I203" s="94" t="s">
        <v>278</v>
      </c>
      <c r="J203" s="94" t="s">
        <v>381</v>
      </c>
      <c r="K203" s="114">
        <f>P203/3</f>
      </c>
      <c r="L203" s="115">
        <v>283.46899999999999</v>
      </c>
      <c r="M203" s="116"/>
      <c r="N203" s="117">
        <f>M203-L203</f>
      </c>
      <c r="O203" s="112"/>
      <c r="P203" s="118">
        <f>N203+O203</f>
      </c>
      <c r="Q203" s="94" t="s">
        <v>778</v>
      </c>
      <c r="R203" s="94" t="s">
        <v>63</v>
      </c>
      <c r="S203" s="119">
        <v>46341</v>
      </c>
      <c r="T203" s="119"/>
      <c r="U203" s="120" t="s">
        <v>638</v>
      </c>
      <c r="V203" s="94"/>
      <c r="W203" s="94"/>
      <c r="X203" s="94"/>
      <c r="Y203" s="119">
        <v>46344</v>
      </c>
      <c r="Z203" s="94"/>
      <c r="AA203" s="120"/>
      <c r="AB203" s="120"/>
      <c r="AC203" s="120"/>
      <c r="AD203" s="120"/>
      <c r="AE203" s="120"/>
      <c r="AF203" s="120"/>
      <c r="AG203" s="94"/>
      <c r="AH203" s="120"/>
      <c r="AI203" s="94"/>
      <c r="AJ203" s="94" t="s">
        <v>778</v>
      </c>
      <c r="AK203" s="94" t="s">
        <v>381</v>
      </c>
      <c r="AL203" s="94">
        <v>120</v>
      </c>
      <c r="AM203" s="94" t="str">
        <f>TRIM(AJ203)&amp;TRIM(AL203)&amp;TRIM(AK203)</f>
      </c>
      <c r="AN203" s="116">
        <v>0</v>
      </c>
      <c r="AO203" s="116" t="inlineStr">
        <is>
          <t>#NA</t>
        </is>
      </c>
      <c r="AP203" s="116">
        <f>SUMIFS(M:M,AM:AM,AM203)+SUMIFS(O:O,AM:AM,AM203)</f>
      </c>
      <c r="AQ203" s="116">
        <f>SUMIFS(L:L,AM:AM,AM203)</f>
      </c>
      <c r="AR203" s="116">
        <f>AQ203-AP203</f>
      </c>
      <c r="AS203" s="94" t="str">
        <f>IF(AN203&gt;=AQ203,"ok","ck")</f>
      </c>
      <c r="AT203" s="116">
        <f>-P203</f>
      </c>
      <c r="AU203" s="115">
        <f>IF(SUMIFS(AT:AT,AM:AM,AM203)&gt;AO203,(SUMIFS(AT:AT,AM:AM,AM203)-AO203))</f>
      </c>
      <c r="AV203" s="116">
        <v>0</v>
      </c>
      <c r="AW203" s="121">
        <v>0</v>
      </c>
      <c r="AX203" s="115">
        <f>AN203-AP203</f>
      </c>
    </row>
    <row r="204" spans="1:50" ht="15" hidden="1" customHeight="1" x14ac:dyDescent="0.3">
      <c r="A204" s="94" t="s">
        <v>268</v>
      </c>
      <c r="B204" s="94"/>
      <c r="C204" s="94"/>
      <c r="D204" s="94"/>
      <c r="E204" s="94"/>
      <c r="F204" s="94"/>
      <c r="G204" s="112">
        <f>AU204</f>
      </c>
      <c r="H204" s="113"/>
      <c r="I204" s="94" t="s">
        <v>278</v>
      </c>
      <c r="J204" s="94" t="s">
        <v>381</v>
      </c>
      <c r="K204" s="114">
        <f>P204/3</f>
      </c>
      <c r="L204" s="115">
        <v>283.46899999999999</v>
      </c>
      <c r="M204" s="116"/>
      <c r="N204" s="117">
        <f>M204-L204</f>
      </c>
      <c r="O204" s="112"/>
      <c r="P204" s="118">
        <f>N204+O204</f>
      </c>
      <c r="Q204" s="94" t="s">
        <v>778</v>
      </c>
      <c r="R204" s="94" t="s">
        <v>63</v>
      </c>
      <c r="S204" s="119">
        <v>46343</v>
      </c>
      <c r="T204" s="119"/>
      <c r="U204" s="120" t="s">
        <v>638</v>
      </c>
      <c r="V204" s="94"/>
      <c r="W204" s="94"/>
      <c r="X204" s="94"/>
      <c r="Y204" s="119">
        <v>46342</v>
      </c>
      <c r="Z204" s="94"/>
      <c r="AA204" s="120"/>
      <c r="AB204" s="120"/>
      <c r="AC204" s="120"/>
      <c r="AD204" s="120"/>
      <c r="AE204" s="120"/>
      <c r="AF204" s="120"/>
      <c r="AG204" s="94"/>
      <c r="AH204" s="120"/>
      <c r="AI204" s="94"/>
      <c r="AJ204" s="94" t="s">
        <v>778</v>
      </c>
      <c r="AK204" s="94" t="s">
        <v>381</v>
      </c>
      <c r="AL204" s="94">
        <v>120</v>
      </c>
      <c r="AM204" s="94" t="str">
        <f>TRIM(AJ204)&amp;TRIM(AL204)&amp;TRIM(AK204)</f>
      </c>
      <c r="AN204" s="116">
        <v>0</v>
      </c>
      <c r="AO204" s="116" t="inlineStr">
        <is>
          <t>#NA</t>
        </is>
      </c>
      <c r="AP204" s="116">
        <f>SUMIFS(M:M,AM:AM,AM204)+SUMIFS(O:O,AM:AM,AM204)</f>
      </c>
      <c r="AQ204" s="116">
        <f>SUMIFS(L:L,AM:AM,AM204)</f>
      </c>
      <c r="AR204" s="116">
        <f>AQ204-AP204</f>
      </c>
      <c r="AS204" s="94" t="str">
        <f>IF(AN204&gt;=AQ204,"ok","ck")</f>
      </c>
      <c r="AT204" s="116">
        <f>-P204</f>
      </c>
      <c r="AU204" s="115">
        <f>IF(SUMIFS(AT:AT,AM:AM,AM204)&gt;AO204,(SUMIFS(AT:AT,AM:AM,AM204)-AO204))</f>
      </c>
      <c r="AV204" s="116">
        <v>0</v>
      </c>
      <c r="AW204" s="121">
        <v>0</v>
      </c>
      <c r="AX204" s="115">
        <f>AN204-AP204</f>
      </c>
    </row>
    <row r="205" spans="1:50" ht="15" hidden="1" customHeight="1" x14ac:dyDescent="0.3">
      <c r="A205" s="94" t="s">
        <v>268</v>
      </c>
      <c r="B205" s="94"/>
      <c r="C205" s="94"/>
      <c r="D205" s="94"/>
      <c r="E205" s="94"/>
      <c r="F205" s="94"/>
      <c r="G205" s="112">
        <f>AU205</f>
      </c>
      <c r="H205" s="113"/>
      <c r="I205" s="94" t="s">
        <v>278</v>
      </c>
      <c r="J205" s="94" t="s">
        <v>381</v>
      </c>
      <c r="K205" s="114">
        <f>P205/3</f>
      </c>
      <c r="L205" s="115">
        <v>191.67599999999999</v>
      </c>
      <c r="M205" s="116"/>
      <c r="N205" s="117">
        <f>M205-L205</f>
      </c>
      <c r="O205" s="112"/>
      <c r="P205" s="118">
        <f>N205+O205</f>
      </c>
      <c r="Q205" s="94" t="s">
        <v>778</v>
      </c>
      <c r="R205" s="94" t="s">
        <v>63</v>
      </c>
      <c r="S205" s="119">
        <v>46349</v>
      </c>
      <c r="T205" s="119"/>
      <c r="U205" s="120" t="s">
        <v>638</v>
      </c>
      <c r="V205" s="94"/>
      <c r="W205" s="94"/>
      <c r="X205" s="94"/>
      <c r="Y205" s="119">
        <v>46343</v>
      </c>
      <c r="Z205" s="94"/>
      <c r="AA205" s="120"/>
      <c r="AB205" s="120"/>
      <c r="AC205" s="120"/>
      <c r="AD205" s="120"/>
      <c r="AE205" s="120"/>
      <c r="AF205" s="120"/>
      <c r="AG205" s="94"/>
      <c r="AH205" s="120"/>
      <c r="AI205" s="94"/>
      <c r="AJ205" s="94" t="s">
        <v>778</v>
      </c>
      <c r="AK205" s="94" t="s">
        <v>381</v>
      </c>
      <c r="AL205" s="94">
        <v>120</v>
      </c>
      <c r="AM205" s="94" t="str">
        <f>TRIM(AJ205)&amp;TRIM(AL205)&amp;TRIM(AK205)</f>
      </c>
      <c r="AN205" s="116">
        <v>0</v>
      </c>
      <c r="AO205" s="116" t="inlineStr">
        <is>
          <t>#NA</t>
        </is>
      </c>
      <c r="AP205" s="116">
        <f>SUMIFS(M:M,AM:AM,AM205)+SUMIFS(O:O,AM:AM,AM205)</f>
      </c>
      <c r="AQ205" s="116">
        <f>SUMIFS(L:L,AM:AM,AM205)</f>
      </c>
      <c r="AR205" s="116">
        <f>AQ205-AP205</f>
      </c>
      <c r="AS205" s="94" t="str">
        <f>IF(AN205&gt;=AQ205,"ok","ck")</f>
      </c>
      <c r="AT205" s="116">
        <f>-P205</f>
      </c>
      <c r="AU205" s="115">
        <f>IF(SUMIFS(AT:AT,AM:AM,AM205)&gt;AO205,(SUMIFS(AT:AT,AM:AM,AM205)-AO205))</f>
      </c>
      <c r="AV205" s="116">
        <v>0</v>
      </c>
      <c r="AW205" s="121">
        <v>0</v>
      </c>
      <c r="AX205" s="115">
        <f>AN205-AP205</f>
      </c>
    </row>
    <row r="206" spans="1:50" ht="15" customHeight="1" x14ac:dyDescent="0.3">
      <c r="A206" s="94" t="s">
        <v>862</v>
      </c>
      <c r="B206" s="94"/>
      <c r="C206" s="94"/>
      <c r="D206" s="94"/>
      <c r="E206" s="94"/>
      <c r="F206" s="94"/>
      <c r="G206" s="112">
        <f>AU206</f>
      </c>
      <c r="H206" s="113"/>
      <c r="I206" s="94" t="s">
        <v>278</v>
      </c>
      <c r="J206" s="94" t="s">
        <v>281</v>
      </c>
      <c r="K206" s="114">
        <f>P206/3</f>
      </c>
      <c r="L206" s="115">
        <v>156.471</v>
      </c>
      <c r="M206" s="116"/>
      <c r="N206" s="117">
        <f>M206-L206</f>
      </c>
      <c r="O206" s="112"/>
      <c r="P206" s="118">
        <f>N206+O206</f>
      </c>
      <c r="Q206" s="94"/>
      <c r="R206" s="94" t="s">
        <v>63</v>
      </c>
      <c r="S206" s="119">
        <v>46340</v>
      </c>
      <c r="T206" s="119"/>
      <c r="U206" s="119" t="s">
        <v>632</v>
      </c>
      <c r="V206" s="94"/>
      <c r="W206" s="94"/>
      <c r="X206" s="94"/>
      <c r="Y206" s="119">
        <v>46326</v>
      </c>
      <c r="Z206" s="94"/>
      <c r="AA206" s="120"/>
      <c r="AB206" s="120"/>
      <c r="AC206" s="120"/>
      <c r="AD206" s="120"/>
      <c r="AE206" s="120"/>
      <c r="AF206" s="120"/>
      <c r="AG206" s="94"/>
      <c r="AH206" s="120"/>
      <c r="AI206" s="94"/>
      <c r="AJ206" s="94"/>
      <c r="AK206" s="94"/>
      <c r="AL206" s="94">
        <v>120</v>
      </c>
      <c r="AM206" s="94" t="str">
        <f>TRIM(AJ206)&amp;TRIM(AL206)&amp;TRIM(AK206)</f>
      </c>
      <c r="AN206" s="116">
        <v>0</v>
      </c>
      <c r="AO206" s="116" t="inlineStr">
        <is>
          <t>#NA</t>
        </is>
      </c>
      <c r="AP206" s="116">
        <f>SUMIFS(M:M,AM:AM,AM206)+SUMIFS(O:O,AM:AM,AM206)</f>
      </c>
      <c r="AQ206" s="116">
        <f>SUMIFS(L:L,AM:AM,AM206)</f>
      </c>
      <c r="AR206" s="116">
        <f>AQ206-AP206</f>
      </c>
      <c r="AS206" s="94" t="str">
        <f>IF(AN206&gt;=AQ206,"ok","ck")</f>
      </c>
      <c r="AT206" s="116">
        <f>-P206</f>
      </c>
      <c r="AU206" s="115">
        <f>IF(SUMIFS(AT:AT,AM:AM,AM206)&gt;AO206,(SUMIFS(AT:AT,AM:AM,AM206)-AO206))</f>
      </c>
      <c r="AV206" s="116" t="e">
        <v>#N/A</v>
      </c>
      <c r="AW206" s="121" t="e">
        <v>#N/A</v>
      </c>
      <c r="AX206" s="115">
        <f>AN206-AP206</f>
      </c>
    </row>
    <row r="207" spans="1:50" ht="15" hidden="1" customHeight="1" x14ac:dyDescent="0.3">
      <c r="A207" s="94" t="s">
        <v>60</v>
      </c>
      <c r="B207" s="94"/>
      <c r="C207" s="94"/>
      <c r="D207" s="94"/>
      <c r="E207" s="94"/>
      <c r="F207" s="94"/>
      <c r="G207" s="112">
        <f>AU207</f>
      </c>
      <c r="H207" s="113"/>
      <c r="I207" s="94" t="s">
        <v>482</v>
      </c>
      <c r="J207" s="94" t="s">
        <v>122</v>
      </c>
      <c r="K207" s="114">
        <f>P207/3</f>
      </c>
      <c r="L207" s="115">
        <v>0.156</v>
      </c>
      <c r="M207" s="116"/>
      <c r="N207" s="117">
        <f>M207-L207</f>
      </c>
      <c r="O207" s="112"/>
      <c r="P207" s="118">
        <f>N207+O207</f>
      </c>
      <c r="Q207" s="94" t="s">
        <v>781</v>
      </c>
      <c r="R207" s="94" t="s">
        <v>63</v>
      </c>
      <c r="S207" s="119">
        <v>46334</v>
      </c>
      <c r="T207" s="119"/>
      <c r="U207" s="119">
        <v>46334</v>
      </c>
      <c r="V207" s="94"/>
      <c r="W207" s="94"/>
      <c r="X207" s="94"/>
      <c r="Y207" s="119">
        <v>46334</v>
      </c>
      <c r="Z207" s="94"/>
      <c r="AA207" s="120"/>
      <c r="AB207" s="120"/>
      <c r="AC207" s="120"/>
      <c r="AD207" s="120"/>
      <c r="AE207" s="120"/>
      <c r="AF207" s="120"/>
      <c r="AG207" s="94"/>
      <c r="AH207" s="120"/>
      <c r="AI207" s="94"/>
      <c r="AJ207" s="94" t="s">
        <v>781</v>
      </c>
      <c r="AK207" s="94" t="s">
        <v>692</v>
      </c>
      <c r="AL207" s="94">
        <v>110</v>
      </c>
      <c r="AM207" s="94" t="str">
        <f>TRIM(AJ207)&amp;TRIM(AL207)&amp;TRIM(AK207)</f>
      </c>
      <c r="AN207" s="116">
        <v>0</v>
      </c>
      <c r="AO207" s="116" t="inlineStr">
        <is>
          <t>#NA</t>
        </is>
      </c>
      <c r="AP207" s="116">
        <f>SUMIFS(M:M,AM:AM,AM207)+SUMIFS(O:O,AM:AM,AM207)</f>
      </c>
      <c r="AQ207" s="116">
        <f>SUMIFS(L:L,AM:AM,AM207)</f>
      </c>
      <c r="AR207" s="116">
        <f>AQ207-AP207</f>
      </c>
      <c r="AS207" s="94" t="str">
        <f>IF(AN207&gt;=AQ207,"ok","ck")</f>
      </c>
      <c r="AT207" s="116">
        <f>-P207</f>
      </c>
      <c r="AU207" s="115">
        <f>IF(SUMIFS(AT:AT,AM:AM,AM207)&gt;AO207,(SUMIFS(AT:AT,AM:AM,AM207)-AO207))</f>
      </c>
      <c r="AV207" s="116">
        <v>0</v>
      </c>
      <c r="AW207" s="121">
        <v>0</v>
      </c>
      <c r="AX207" s="115">
        <f>AN207-AP207</f>
      </c>
    </row>
    <row r="208" spans="1:50" ht="15" customHeight="1" x14ac:dyDescent="0.3">
      <c r="A208" s="94" t="s">
        <v>862</v>
      </c>
      <c r="B208" s="94"/>
      <c r="C208" s="94"/>
      <c r="D208" s="94"/>
      <c r="E208" s="94"/>
      <c r="F208" s="94"/>
      <c r="G208" s="112">
        <f>AU208</f>
      </c>
      <c r="H208" s="113"/>
      <c r="I208" s="94" t="s">
        <v>278</v>
      </c>
      <c r="J208" s="94" t="s">
        <v>267</v>
      </c>
      <c r="K208" s="114">
        <f>P208/3</f>
      </c>
      <c r="L208" s="115">
        <v>120.514</v>
      </c>
      <c r="M208" s="116">
        <v>120.514</v>
      </c>
      <c r="N208" s="117">
        <f>M208-L208</f>
      </c>
      <c r="O208" s="112"/>
      <c r="P208" s="118">
        <f>N208+O208</f>
      </c>
      <c r="Q208" s="94"/>
      <c r="R208" s="94" t="s">
        <v>63</v>
      </c>
      <c r="S208" s="119">
        <v>46328</v>
      </c>
      <c r="T208" s="119"/>
      <c r="U208" s="119" t="s">
        <v>631</v>
      </c>
      <c r="V208" s="94"/>
      <c r="W208" s="94"/>
      <c r="X208" s="94"/>
      <c r="Y208" s="119">
        <v>46342</v>
      </c>
      <c r="Z208" s="94"/>
      <c r="AA208" s="120"/>
      <c r="AB208" s="120"/>
      <c r="AC208" s="120"/>
      <c r="AD208" s="120"/>
      <c r="AE208" s="120"/>
      <c r="AF208" s="120"/>
      <c r="AG208" s="94"/>
      <c r="AH208" s="120"/>
      <c r="AI208" s="94"/>
      <c r="AJ208" s="94"/>
      <c r="AK208" s="94"/>
      <c r="AL208" s="94">
        <v>120</v>
      </c>
      <c r="AM208" s="94" t="str">
        <f>TRIM(AJ208)&amp;TRIM(AL208)&amp;TRIM(AK208)</f>
      </c>
      <c r="AN208" s="116">
        <v>0</v>
      </c>
      <c r="AO208" s="116" t="inlineStr">
        <is>
          <t>#NA</t>
        </is>
      </c>
      <c r="AP208" s="116">
        <f>SUMIFS(M:M,AM:AM,AM208)+SUMIFS(O:O,AM:AM,AM208)</f>
      </c>
      <c r="AQ208" s="116">
        <f>SUMIFS(L:L,AM:AM,AM208)</f>
      </c>
      <c r="AR208" s="116">
        <f>AQ208-AP208</f>
      </c>
      <c r="AS208" s="94" t="str">
        <f>IF(AN208&gt;=AQ208,"ok","ck")</f>
      </c>
      <c r="AT208" s="116">
        <f>-P208</f>
      </c>
      <c r="AU208" s="115">
        <f>IF(SUMIFS(AT:AT,AM:AM,AM208)&gt;AO208,(SUMIFS(AT:AT,AM:AM,AM208)-AO208))</f>
      </c>
      <c r="AV208" s="116" t="e">
        <v>#N/A</v>
      </c>
      <c r="AW208" s="121" t="e">
        <v>#N/A</v>
      </c>
      <c r="AX208" s="115">
        <f>AN208-AP208</f>
      </c>
    </row>
    <row r="209" spans="1:50" ht="15" hidden="1" customHeight="1" x14ac:dyDescent="0.3">
      <c r="A209" s="94" t="s">
        <v>268</v>
      </c>
      <c r="B209" s="94"/>
      <c r="C209" s="94"/>
      <c r="D209" s="94"/>
      <c r="E209" s="94"/>
      <c r="F209" s="94"/>
      <c r="G209" s="112">
        <f>AU209</f>
      </c>
      <c r="H209" s="113"/>
      <c r="I209" s="94" t="s">
        <v>278</v>
      </c>
      <c r="J209" s="94" t="s">
        <v>333</v>
      </c>
      <c r="K209" s="114">
        <f>P209/3</f>
      </c>
      <c r="L209" s="115">
        <v>1.4850000000000001</v>
      </c>
      <c r="M209" s="116">
        <f>L209</f>
      </c>
      <c r="N209" s="117">
        <f>M209-L209</f>
      </c>
      <c r="O209" s="112"/>
      <c r="P209" s="118">
        <f>N209+O209</f>
      </c>
      <c r="Q209" s="94" t="s">
        <v>344</v>
      </c>
      <c r="R209" s="94" t="s">
        <v>63</v>
      </c>
      <c r="S209" s="119">
        <v>46320</v>
      </c>
      <c r="T209" s="119"/>
      <c r="U209" s="119">
        <v>46320</v>
      </c>
      <c r="V209" s="94"/>
      <c r="W209" s="94"/>
      <c r="X209" s="94"/>
      <c r="Y209" s="119">
        <v>46320</v>
      </c>
      <c r="Z209" s="94"/>
      <c r="AA209" s="120"/>
      <c r="AB209" s="120"/>
      <c r="AC209" s="120"/>
      <c r="AD209" s="120"/>
      <c r="AE209" s="120"/>
      <c r="AF209" s="120"/>
      <c r="AG209" s="94"/>
      <c r="AH209" s="120"/>
      <c r="AI209" s="94"/>
      <c r="AJ209" s="94" t="s">
        <v>344</v>
      </c>
      <c r="AK209" s="94" t="s">
        <v>334</v>
      </c>
      <c r="AL209" s="94">
        <v>120</v>
      </c>
      <c r="AM209" s="94" t="str">
        <f>TRIM(AJ209)&amp;TRIM(AL209)&amp;TRIM(AK209)</f>
      </c>
      <c r="AN209" s="116">
        <v>32</v>
      </c>
      <c r="AO209" s="116">
        <v>-2</v>
      </c>
      <c r="AP209" s="116">
        <f>SUMIFS(M:M,AM:AM,AM209)+SUMIFS(O:O,AM:AM,AM209)</f>
      </c>
      <c r="AQ209" s="116">
        <f>SUMIFS(L:L,AM:AM,AM209)</f>
      </c>
      <c r="AR209" s="116">
        <f>AQ209-AP209</f>
      </c>
      <c r="AS209" s="94" t="str">
        <f>IF(AN209&gt;=AQ209,"ok","ck")</f>
      </c>
      <c r="AT209" s="116">
        <f>-P209</f>
      </c>
      <c r="AU209" s="115">
        <f>IF(SUMIFS(AT:AT,AM:AM,AM209)&gt;AO209,(SUMIFS(AT:AT,AM:AM,AM209)-AO209))</f>
      </c>
      <c r="AV209" s="116">
        <v>32</v>
      </c>
      <c r="AW209" s="121">
        <v>1.067</v>
      </c>
      <c r="AX209" s="115">
        <f>AN209-AP209</f>
      </c>
    </row>
    <row r="210" spans="1:50" ht="15" hidden="1" customHeight="1" x14ac:dyDescent="0.3">
      <c r="A210" s="94" t="s">
        <v>268</v>
      </c>
      <c r="B210" s="94"/>
      <c r="C210" s="94"/>
      <c r="D210" s="94"/>
      <c r="E210" s="94"/>
      <c r="F210" s="94"/>
      <c r="G210" s="112">
        <f>AU210</f>
      </c>
      <c r="H210" s="113"/>
      <c r="I210" s="94" t="s">
        <v>278</v>
      </c>
      <c r="J210" s="94" t="s">
        <v>333</v>
      </c>
      <c r="K210" s="114">
        <f>P210/3</f>
      </c>
      <c r="L210" s="115">
        <v>0.184</v>
      </c>
      <c r="M210" s="116">
        <f>L210</f>
      </c>
      <c r="N210" s="117">
        <f>M210-L210</f>
      </c>
      <c r="O210" s="112"/>
      <c r="P210" s="118">
        <f>N210+O210</f>
      </c>
      <c r="Q210" s="94" t="s">
        <v>344</v>
      </c>
      <c r="R210" s="94" t="s">
        <v>63</v>
      </c>
      <c r="S210" s="119">
        <v>46320</v>
      </c>
      <c r="T210" s="119"/>
      <c r="U210" s="120">
        <v>46320</v>
      </c>
      <c r="V210" s="94"/>
      <c r="W210" s="94"/>
      <c r="X210" s="94"/>
      <c r="Y210" s="119">
        <v>46320</v>
      </c>
      <c r="Z210" s="94"/>
      <c r="AA210" s="120"/>
      <c r="AB210" s="120"/>
      <c r="AC210" s="120"/>
      <c r="AD210" s="120"/>
      <c r="AE210" s="120"/>
      <c r="AF210" s="120"/>
      <c r="AG210" s="94"/>
      <c r="AH210" s="120"/>
      <c r="AI210" s="94"/>
      <c r="AJ210" s="94" t="s">
        <v>344</v>
      </c>
      <c r="AK210" s="94" t="s">
        <v>334</v>
      </c>
      <c r="AL210" s="94">
        <v>120</v>
      </c>
      <c r="AM210" s="94" t="str">
        <f>TRIM(AJ210)&amp;TRIM(AL210)&amp;TRIM(AK210)</f>
      </c>
      <c r="AN210" s="116">
        <v>32</v>
      </c>
      <c r="AO210" s="116">
        <v>-2</v>
      </c>
      <c r="AP210" s="116">
        <f>SUMIFS(M:M,AM:AM,AM210)+SUMIFS(O:O,AM:AM,AM210)</f>
      </c>
      <c r="AQ210" s="116">
        <f>SUMIFS(L:L,AM:AM,AM210)</f>
      </c>
      <c r="AR210" s="116">
        <f>AQ210-AP210</f>
      </c>
      <c r="AS210" s="94" t="str">
        <f>IF(AN210&gt;=AQ210,"ok","ck")</f>
      </c>
      <c r="AT210" s="116">
        <f>-P210</f>
      </c>
      <c r="AU210" s="115">
        <f>IF(SUMIFS(AT:AT,AM:AM,AM210)&gt;AO210,(SUMIFS(AT:AT,AM:AM,AM210)-AO210))</f>
      </c>
      <c r="AV210" s="116">
        <v>32</v>
      </c>
      <c r="AW210" s="121">
        <v>1.067</v>
      </c>
      <c r="AX210" s="115">
        <f>AN210-AP210</f>
      </c>
    </row>
    <row r="211" spans="1:50" ht="15" hidden="1" customHeight="1" x14ac:dyDescent="0.3">
      <c r="A211" s="94" t="s">
        <v>268</v>
      </c>
      <c r="B211" s="94"/>
      <c r="C211" s="94"/>
      <c r="D211" s="94"/>
      <c r="E211" s="94"/>
      <c r="F211" s="94"/>
      <c r="G211" s="112">
        <f>AU211</f>
      </c>
      <c r="H211" s="113"/>
      <c r="I211" s="94" t="s">
        <v>278</v>
      </c>
      <c r="J211" s="94" t="s">
        <v>333</v>
      </c>
      <c r="K211" s="114">
        <f>P211/3</f>
      </c>
      <c r="L211" s="115">
        <v>6.4000000000000001E-2</v>
      </c>
      <c r="M211" s="116">
        <f>L211</f>
      </c>
      <c r="N211" s="117">
        <f>M211-L211</f>
      </c>
      <c r="O211" s="112"/>
      <c r="P211" s="118">
        <f>N211+O211</f>
      </c>
      <c r="Q211" s="94" t="s">
        <v>344</v>
      </c>
      <c r="R211" s="94" t="s">
        <v>63</v>
      </c>
      <c r="S211" s="119">
        <v>46320</v>
      </c>
      <c r="T211" s="119"/>
      <c r="U211" s="120">
        <v>46320</v>
      </c>
      <c r="V211" s="94"/>
      <c r="W211" s="94"/>
      <c r="X211" s="94"/>
      <c r="Y211" s="119">
        <v>46320</v>
      </c>
      <c r="Z211" s="94"/>
      <c r="AA211" s="120"/>
      <c r="AB211" s="120"/>
      <c r="AC211" s="120"/>
      <c r="AD211" s="120"/>
      <c r="AE211" s="120"/>
      <c r="AF211" s="120"/>
      <c r="AG211" s="94"/>
      <c r="AH211" s="120"/>
      <c r="AI211" s="94"/>
      <c r="AJ211" s="94" t="s">
        <v>344</v>
      </c>
      <c r="AK211" s="94" t="s">
        <v>334</v>
      </c>
      <c r="AL211" s="94">
        <v>120</v>
      </c>
      <c r="AM211" s="94" t="str">
        <f>TRIM(AJ211)&amp;TRIM(AL211)&amp;TRIM(AK211)</f>
      </c>
      <c r="AN211" s="116">
        <v>32</v>
      </c>
      <c r="AO211" s="116">
        <v>-2</v>
      </c>
      <c r="AP211" s="116">
        <f>SUMIFS(M:M,AM:AM,AM211)+SUMIFS(O:O,AM:AM,AM211)</f>
      </c>
      <c r="AQ211" s="116">
        <f>SUMIFS(L:L,AM:AM,AM211)</f>
      </c>
      <c r="AR211" s="116">
        <f>AQ211-AP211</f>
      </c>
      <c r="AS211" s="94" t="str">
        <f>IF(AN211&gt;=AQ211,"ok","ck")</f>
      </c>
      <c r="AT211" s="116">
        <f>-P211</f>
      </c>
      <c r="AU211" s="115">
        <f>IF(SUMIFS(AT:AT,AM:AM,AM211)&gt;AO211,(SUMIFS(AT:AT,AM:AM,AM211)-AO211))</f>
      </c>
      <c r="AV211" s="116">
        <v>32</v>
      </c>
      <c r="AW211" s="121">
        <v>1.067</v>
      </c>
      <c r="AX211" s="115">
        <f>AN211-AP211</f>
      </c>
    </row>
    <row r="212" spans="1:50" ht="15" hidden="1" customHeight="1" x14ac:dyDescent="0.3">
      <c r="A212" s="94" t="s">
        <v>60</v>
      </c>
      <c r="B212" s="94"/>
      <c r="C212" s="94"/>
      <c r="D212" s="94"/>
      <c r="E212" s="94"/>
      <c r="F212" s="94"/>
      <c r="G212" s="112">
        <f>AU212</f>
      </c>
      <c r="H212" s="113"/>
      <c r="I212" s="94" t="s">
        <v>65</v>
      </c>
      <c r="J212" s="94" t="s">
        <v>516</v>
      </c>
      <c r="K212" s="114">
        <f>P212/3</f>
      </c>
      <c r="L212" s="115">
        <v>0</v>
      </c>
      <c r="M212" s="116">
        <f>L212</f>
      </c>
      <c r="N212" s="117">
        <f>M212-L212</f>
      </c>
      <c r="O212" s="112"/>
      <c r="P212" s="118">
        <f>N212+O212</f>
      </c>
      <c r="Q212" s="94" t="s">
        <v>791</v>
      </c>
      <c r="R212" s="94" t="s">
        <v>63</v>
      </c>
      <c r="S212" s="119">
        <v>46335</v>
      </c>
      <c r="T212" s="119"/>
      <c r="U212" s="120">
        <v>46335</v>
      </c>
      <c r="V212" s="94"/>
      <c r="W212" s="94"/>
      <c r="X212" s="94"/>
      <c r="Y212" s="119">
        <v>46335</v>
      </c>
      <c r="Z212" s="94"/>
      <c r="AA212" s="120"/>
      <c r="AB212" s="120"/>
      <c r="AC212" s="120"/>
      <c r="AD212" s="120"/>
      <c r="AE212" s="120"/>
      <c r="AF212" s="120"/>
      <c r="AG212" s="94"/>
      <c r="AH212" s="120"/>
      <c r="AI212" s="94"/>
      <c r="AJ212" s="94" t="s">
        <v>791</v>
      </c>
      <c r="AK212" s="94" t="s">
        <v>708</v>
      </c>
      <c r="AL212" s="94">
        <v>110</v>
      </c>
      <c r="AM212" s="94" t="str">
        <f>TRIM(AJ212)&amp;TRIM(AL212)&amp;TRIM(AK212)</f>
      </c>
      <c r="AN212" s="116">
        <v>567</v>
      </c>
      <c r="AO212" s="116">
        <v>-2.75</v>
      </c>
      <c r="AP212" s="116">
        <f>SUMIFS(M:M,AM:AM,AM212)+SUMIFS(O:O,AM:AM,AM212)</f>
      </c>
      <c r="AQ212" s="116">
        <f>SUMIFS(L:L,AM:AM,AM212)</f>
      </c>
      <c r="AR212" s="116">
        <f>AQ212-AP212</f>
      </c>
      <c r="AS212" s="94" t="str">
        <f>IF(AN212&gt;=AQ212,"ok","ck")</f>
      </c>
      <c r="AT212" s="116">
        <f>-P212</f>
      </c>
      <c r="AU212" s="115">
        <f>IF(SUMIFS(AT:AT,AM:AM,AM212)&gt;AO212,(SUMIFS(AT:AT,AM:AM,AM212)-AO212))</f>
      </c>
      <c r="AV212" s="116">
        <v>567</v>
      </c>
      <c r="AW212" s="121">
        <v>1.005</v>
      </c>
      <c r="AX212" s="115">
        <f>AN212-AP212</f>
      </c>
    </row>
    <row r="213" spans="1:50" ht="15" hidden="1" customHeight="1" x14ac:dyDescent="0.3">
      <c r="A213" s="94" t="s">
        <v>60</v>
      </c>
      <c r="B213" s="94"/>
      <c r="C213" s="94"/>
      <c r="D213" s="94"/>
      <c r="E213" s="94"/>
      <c r="F213" s="94"/>
      <c r="G213" s="112">
        <f>AU213</f>
      </c>
      <c r="H213" s="113"/>
      <c r="I213" s="94" t="s">
        <v>65</v>
      </c>
      <c r="J213" s="94" t="s">
        <v>516</v>
      </c>
      <c r="K213" s="114">
        <f>P213/3</f>
      </c>
      <c r="L213" s="115">
        <v>-3.7240000000000002</v>
      </c>
      <c r="M213" s="116">
        <f>L213</f>
      </c>
      <c r="N213" s="117">
        <f>M213-L213</f>
      </c>
      <c r="O213" s="112"/>
      <c r="P213" s="118">
        <f>N213+O213</f>
      </c>
      <c r="Q213" s="94" t="s">
        <v>791</v>
      </c>
      <c r="R213" s="94" t="s">
        <v>63</v>
      </c>
      <c r="S213" s="119">
        <v>46327</v>
      </c>
      <c r="T213" s="119"/>
      <c r="U213" s="119">
        <v>46327</v>
      </c>
      <c r="V213" s="94"/>
      <c r="W213" s="94"/>
      <c r="X213" s="94"/>
      <c r="Y213" s="119">
        <v>46327</v>
      </c>
      <c r="Z213" s="94"/>
      <c r="AA213" s="120"/>
      <c r="AB213" s="120"/>
      <c r="AC213" s="120"/>
      <c r="AD213" s="120"/>
      <c r="AE213" s="120"/>
      <c r="AF213" s="120"/>
      <c r="AG213" s="94"/>
      <c r="AH213" s="120"/>
      <c r="AI213" s="94"/>
      <c r="AJ213" s="94" t="s">
        <v>791</v>
      </c>
      <c r="AK213" s="94" t="s">
        <v>708</v>
      </c>
      <c r="AL213" s="94">
        <v>110</v>
      </c>
      <c r="AM213" s="94" t="str">
        <f>TRIM(AJ213)&amp;TRIM(AL213)&amp;TRIM(AK213)</f>
      </c>
      <c r="AN213" s="116">
        <v>567</v>
      </c>
      <c r="AO213" s="116">
        <v>-2.75</v>
      </c>
      <c r="AP213" s="116">
        <f>SUMIFS(M:M,AM:AM,AM213)+SUMIFS(O:O,AM:AM,AM213)</f>
      </c>
      <c r="AQ213" s="116">
        <f>SUMIFS(L:L,AM:AM,AM213)</f>
      </c>
      <c r="AR213" s="116">
        <f>AQ213-AP213</f>
      </c>
      <c r="AS213" s="94" t="str">
        <f>IF(AN213&gt;=AQ213,"ok","ck")</f>
      </c>
      <c r="AT213" s="116">
        <f>-P213</f>
      </c>
      <c r="AU213" s="115">
        <f>IF(SUMIFS(AT:AT,AM:AM,AM213)&gt;AO213,(SUMIFS(AT:AT,AM:AM,AM213)-AO213))</f>
      </c>
      <c r="AV213" s="116">
        <v>567</v>
      </c>
      <c r="AW213" s="121">
        <v>1.005</v>
      </c>
      <c r="AX213" s="115">
        <f>AN213-AP213</f>
      </c>
    </row>
    <row r="214" spans="1:50" ht="15" hidden="1" customHeight="1" x14ac:dyDescent="0.3">
      <c r="A214" s="94" t="s">
        <v>60</v>
      </c>
      <c r="B214" s="94"/>
      <c r="C214" s="94"/>
      <c r="D214" s="94"/>
      <c r="E214" s="94"/>
      <c r="F214" s="94"/>
      <c r="G214" s="112">
        <f>AU214</f>
      </c>
      <c r="H214" s="113"/>
      <c r="I214" s="94" t="s">
        <v>482</v>
      </c>
      <c r="J214" s="94" t="s">
        <v>500</v>
      </c>
      <c r="K214" s="114">
        <f>P214/3</f>
      </c>
      <c r="L214" s="115">
        <v>-0.82199999999999995</v>
      </c>
      <c r="M214" s="116">
        <f>L214</f>
      </c>
      <c r="N214" s="117">
        <f>M214-L214</f>
      </c>
      <c r="O214" s="112"/>
      <c r="P214" s="118">
        <f>N214+O214</f>
      </c>
      <c r="Q214" s="94" t="s">
        <v>790</v>
      </c>
      <c r="R214" s="94" t="s">
        <v>63</v>
      </c>
      <c r="S214" s="119">
        <v>46331</v>
      </c>
      <c r="T214" s="119"/>
      <c r="U214" s="119">
        <v>46331</v>
      </c>
      <c r="V214" s="94"/>
      <c r="W214" s="94"/>
      <c r="X214" s="94"/>
      <c r="Y214" s="119">
        <v>46331</v>
      </c>
      <c r="Z214" s="94"/>
      <c r="AA214" s="120"/>
      <c r="AB214" s="120"/>
      <c r="AC214" s="120"/>
      <c r="AD214" s="120"/>
      <c r="AE214" s="120"/>
      <c r="AF214" s="120"/>
      <c r="AG214" s="94"/>
      <c r="AH214" s="120"/>
      <c r="AI214" s="94"/>
      <c r="AJ214" s="94" t="s">
        <v>790</v>
      </c>
      <c r="AK214" s="94" t="s">
        <v>694</v>
      </c>
      <c r="AL214" s="94">
        <v>110</v>
      </c>
      <c r="AM214" s="94" t="str">
        <f>TRIM(AJ214)&amp;TRIM(AL214)&amp;TRIM(AK214)</f>
      </c>
      <c r="AN214" s="116">
        <v>108</v>
      </c>
      <c r="AO214" s="116">
        <v>-1.77</v>
      </c>
      <c r="AP214" s="116">
        <f>SUMIFS(M:M,AM:AM,AM214)+SUMIFS(O:O,AM:AM,AM214)</f>
      </c>
      <c r="AQ214" s="116">
        <f>SUMIFS(L:L,AM:AM,AM214)</f>
      </c>
      <c r="AR214" s="116">
        <f>AQ214-AP214</f>
      </c>
      <c r="AS214" s="94" t="str">
        <f>IF(AN214&gt;=AQ214,"ok","ck")</f>
      </c>
      <c r="AT214" s="116">
        <f>-P214</f>
      </c>
      <c r="AU214" s="115">
        <f>IF(SUMIFS(AT:AT,AM:AM,AM214)&gt;AO214,(SUMIFS(AT:AT,AM:AM,AM214)-AO214))</f>
      </c>
      <c r="AV214" s="116">
        <v>108</v>
      </c>
      <c r="AW214" s="121">
        <v>1.017</v>
      </c>
      <c r="AX214" s="115">
        <f>AN214-AP214</f>
      </c>
    </row>
    <row r="215" spans="1:50" ht="15" hidden="1" customHeight="1" x14ac:dyDescent="0.3">
      <c r="A215" s="94" t="s">
        <v>60</v>
      </c>
      <c r="B215" s="94"/>
      <c r="C215" s="94"/>
      <c r="D215" s="94"/>
      <c r="E215" s="94"/>
      <c r="F215" s="94"/>
      <c r="G215" s="112">
        <f>AU215</f>
      </c>
      <c r="H215" s="113"/>
      <c r="I215" s="94" t="s">
        <v>65</v>
      </c>
      <c r="J215" s="94" t="s">
        <v>517</v>
      </c>
      <c r="K215" s="114">
        <f>P215/3</f>
      </c>
      <c r="L215" s="115">
        <v>-5.0000000000000001E-3</v>
      </c>
      <c r="M215" s="116">
        <f>L215</f>
      </c>
      <c r="N215" s="117">
        <f>M215-L215</f>
      </c>
      <c r="O215" s="112"/>
      <c r="P215" s="118">
        <f>N215+O215</f>
      </c>
      <c r="Q215" s="94" t="s">
        <v>791</v>
      </c>
      <c r="R215" s="94" t="s">
        <v>63</v>
      </c>
      <c r="S215" s="119">
        <v>46335</v>
      </c>
      <c r="T215" s="119"/>
      <c r="U215" s="119">
        <v>46335</v>
      </c>
      <c r="V215" s="94"/>
      <c r="W215" s="94"/>
      <c r="X215" s="94"/>
      <c r="Y215" s="119">
        <v>46335</v>
      </c>
      <c r="Z215" s="94"/>
      <c r="AA215" s="120"/>
      <c r="AB215" s="120"/>
      <c r="AC215" s="120"/>
      <c r="AD215" s="120"/>
      <c r="AE215" s="120"/>
      <c r="AF215" s="120"/>
      <c r="AG215" s="94"/>
      <c r="AH215" s="120"/>
      <c r="AI215" s="94"/>
      <c r="AJ215" s="94" t="s">
        <v>791</v>
      </c>
      <c r="AK215" s="94" t="s">
        <v>709</v>
      </c>
      <c r="AL215" s="94">
        <v>110</v>
      </c>
      <c r="AM215" s="94" t="str">
        <f>TRIM(AJ215)&amp;TRIM(AL215)&amp;TRIM(AK215)</f>
      </c>
      <c r="AN215" s="116">
        <v>294</v>
      </c>
      <c r="AO215" s="116">
        <v>-11.88</v>
      </c>
      <c r="AP215" s="116">
        <f>SUMIFS(M:M,AM:AM,AM215)+SUMIFS(O:O,AM:AM,AM215)</f>
      </c>
      <c r="AQ215" s="116">
        <f>SUMIFS(L:L,AM:AM,AM215)</f>
      </c>
      <c r="AR215" s="116">
        <f>AQ215-AP215</f>
      </c>
      <c r="AS215" s="94" t="str">
        <f>IF(AN215&gt;=AQ215,"ok","ck")</f>
      </c>
      <c r="AT215" s="116">
        <f>-P215</f>
      </c>
      <c r="AU215" s="115">
        <f>IF(SUMIFS(AT:AT,AM:AM,AM215)&gt;AO215,(SUMIFS(AT:AT,AM:AM,AM215)-AO215))</f>
      </c>
      <c r="AV215" s="116">
        <v>294</v>
      </c>
      <c r="AW215" s="121">
        <v>1.042</v>
      </c>
      <c r="AX215" s="115">
        <f>AN215-AP215</f>
      </c>
    </row>
    <row r="216" spans="1:50" ht="15" hidden="1" customHeight="1" x14ac:dyDescent="0.3">
      <c r="A216" s="94" t="s">
        <v>60</v>
      </c>
      <c r="B216" s="94"/>
      <c r="C216" s="94"/>
      <c r="D216" s="94"/>
      <c r="E216" s="94"/>
      <c r="F216" s="94"/>
      <c r="G216" s="112">
        <f>AU216</f>
      </c>
      <c r="H216" s="113"/>
      <c r="I216" s="94" t="s">
        <v>65</v>
      </c>
      <c r="J216" s="94" t="s">
        <v>518</v>
      </c>
      <c r="K216" s="114">
        <f>P216/3</f>
      </c>
      <c r="L216" s="115">
        <v>0</v>
      </c>
      <c r="M216" s="116"/>
      <c r="N216" s="117">
        <f>M216-L216</f>
      </c>
      <c r="O216" s="112"/>
      <c r="P216" s="118">
        <f>N216+O216</f>
      </c>
      <c r="Q216" s="94" t="s">
        <v>792</v>
      </c>
      <c r="R216" s="94" t="s">
        <v>63</v>
      </c>
      <c r="S216" s="119">
        <v>46336</v>
      </c>
      <c r="T216" s="119"/>
      <c r="U216" s="119">
        <v>46336</v>
      </c>
      <c r="V216" s="94"/>
      <c r="W216" s="94"/>
      <c r="X216" s="94"/>
      <c r="Y216" s="119">
        <v>46336</v>
      </c>
      <c r="Z216" s="94"/>
      <c r="AA216" s="120"/>
      <c r="AB216" s="120"/>
      <c r="AC216" s="120"/>
      <c r="AD216" s="120"/>
      <c r="AE216" s="120"/>
      <c r="AF216" s="120"/>
      <c r="AG216" s="94"/>
      <c r="AH216" s="120"/>
      <c r="AI216" s="94"/>
      <c r="AJ216" s="94" t="s">
        <v>792</v>
      </c>
      <c r="AK216" s="94" t="s">
        <v>518</v>
      </c>
      <c r="AL216" s="94">
        <v>110</v>
      </c>
      <c r="AM216" s="94" t="str">
        <f>TRIM(AJ216)&amp;TRIM(AL216)&amp;TRIM(AK216)</f>
      </c>
      <c r="AN216" s="116">
        <v>399.58</v>
      </c>
      <c r="AO216" s="116">
        <v>36.42</v>
      </c>
      <c r="AP216" s="116">
        <f>SUMIFS(M:M,AM:AM,AM216)+SUMIFS(O:O,AM:AM,AM216)</f>
      </c>
      <c r="AQ216" s="116">
        <f>SUMIFS(L:L,AM:AM,AM216)</f>
      </c>
      <c r="AR216" s="116">
        <f>AQ216-AP216</f>
      </c>
      <c r="AS216" s="94" t="str">
        <f>IF(AN216&gt;=AQ216,"ok","ck")</f>
      </c>
      <c r="AT216" s="116">
        <f>-P216</f>
      </c>
      <c r="AU216" s="115">
        <f>IF(SUMIFS(AT:AT,AM:AM,AM216)&gt;AO216,(SUMIFS(AT:AT,AM:AM,AM216)-AO216))</f>
      </c>
      <c r="AV216" s="116">
        <v>399.58</v>
      </c>
      <c r="AW216" s="121">
        <v>0.916</v>
      </c>
      <c r="AX216" s="115">
        <f>AN216-AP216</f>
      </c>
    </row>
    <row r="217" spans="1:50" ht="15" hidden="1" customHeight="1" x14ac:dyDescent="0.3">
      <c r="A217" s="94" t="s">
        <v>60</v>
      </c>
      <c r="B217" s="94"/>
      <c r="C217" s="94"/>
      <c r="D217" s="94"/>
      <c r="E217" s="94"/>
      <c r="F217" s="94"/>
      <c r="G217" s="112">
        <f>AU217</f>
      </c>
      <c r="H217" s="113"/>
      <c r="I217" s="94" t="s">
        <v>65</v>
      </c>
      <c r="J217" s="94" t="s">
        <v>518</v>
      </c>
      <c r="K217" s="114">
        <f>P217/3</f>
      </c>
      <c r="L217" s="115">
        <v>0</v>
      </c>
      <c r="M217" s="116"/>
      <c r="N217" s="117">
        <f>M217-L217</f>
      </c>
      <c r="O217" s="112"/>
      <c r="P217" s="118">
        <f>N217+O217</f>
      </c>
      <c r="Q217" s="94" t="s">
        <v>792</v>
      </c>
      <c r="R217" s="94" t="s">
        <v>63</v>
      </c>
      <c r="S217" s="119">
        <v>46331</v>
      </c>
      <c r="T217" s="119"/>
      <c r="U217" s="119">
        <v>46331</v>
      </c>
      <c r="V217" s="94"/>
      <c r="W217" s="94"/>
      <c r="X217" s="94"/>
      <c r="Y217" s="119">
        <v>46331</v>
      </c>
      <c r="Z217" s="94"/>
      <c r="AA217" s="120"/>
      <c r="AB217" s="120"/>
      <c r="AC217" s="120"/>
      <c r="AD217" s="120"/>
      <c r="AE217" s="120"/>
      <c r="AF217" s="120"/>
      <c r="AG217" s="94"/>
      <c r="AH217" s="120"/>
      <c r="AI217" s="94"/>
      <c r="AJ217" s="94" t="s">
        <v>792</v>
      </c>
      <c r="AK217" s="94" t="s">
        <v>518</v>
      </c>
      <c r="AL217" s="94">
        <v>110</v>
      </c>
      <c r="AM217" s="94" t="str">
        <f>TRIM(AJ217)&amp;TRIM(AL217)&amp;TRIM(AK217)</f>
      </c>
      <c r="AN217" s="116">
        <v>399.58</v>
      </c>
      <c r="AO217" s="116">
        <v>36.42</v>
      </c>
      <c r="AP217" s="116">
        <f>SUMIFS(M:M,AM:AM,AM217)+SUMIFS(O:O,AM:AM,AM217)</f>
      </c>
      <c r="AQ217" s="116">
        <f>SUMIFS(L:L,AM:AM,AM217)</f>
      </c>
      <c r="AR217" s="116">
        <f>AQ217-AP217</f>
      </c>
      <c r="AS217" s="94" t="str">
        <f>IF(AN217&gt;=AQ217,"ok","ck")</f>
      </c>
      <c r="AT217" s="116">
        <f>-P217</f>
      </c>
      <c r="AU217" s="115">
        <f>IF(SUMIFS(AT:AT,AM:AM,AM217)&gt;AO217,(SUMIFS(AT:AT,AM:AM,AM217)-AO217))</f>
      </c>
      <c r="AV217" s="116">
        <v>399.58</v>
      </c>
      <c r="AW217" s="121">
        <v>0.916</v>
      </c>
      <c r="AX217" s="115">
        <f>AN217-AP217</f>
      </c>
    </row>
    <row r="218" spans="1:50" ht="15" hidden="1" customHeight="1" x14ac:dyDescent="0.3">
      <c r="A218" s="94" t="s">
        <v>60</v>
      </c>
      <c r="B218" s="94"/>
      <c r="C218" s="94"/>
      <c r="D218" s="94"/>
      <c r="E218" s="94"/>
      <c r="F218" s="94"/>
      <c r="G218" s="112">
        <f>AU218</f>
      </c>
      <c r="H218" s="113"/>
      <c r="I218" s="94" t="s">
        <v>65</v>
      </c>
      <c r="J218" s="94" t="s">
        <v>518</v>
      </c>
      <c r="K218" s="114">
        <f>P218/3</f>
      </c>
      <c r="L218" s="115">
        <v>0</v>
      </c>
      <c r="M218" s="116"/>
      <c r="N218" s="117">
        <f>M218-L218</f>
      </c>
      <c r="O218" s="112"/>
      <c r="P218" s="118">
        <f>N218+O218</f>
      </c>
      <c r="Q218" s="94" t="s">
        <v>792</v>
      </c>
      <c r="R218" s="94" t="s">
        <v>63</v>
      </c>
      <c r="S218" s="119">
        <v>46336</v>
      </c>
      <c r="T218" s="119"/>
      <c r="U218" s="119">
        <v>46336</v>
      </c>
      <c r="V218" s="94"/>
      <c r="W218" s="94"/>
      <c r="X218" s="94"/>
      <c r="Y218" s="119">
        <v>46336</v>
      </c>
      <c r="Z218" s="94"/>
      <c r="AA218" s="120"/>
      <c r="AB218" s="120"/>
      <c r="AC218" s="120"/>
      <c r="AD218" s="120"/>
      <c r="AE218" s="120"/>
      <c r="AF218" s="120"/>
      <c r="AG218" s="94"/>
      <c r="AH218" s="120"/>
      <c r="AI218" s="94"/>
      <c r="AJ218" s="94" t="s">
        <v>792</v>
      </c>
      <c r="AK218" s="94" t="s">
        <v>518</v>
      </c>
      <c r="AL218" s="94">
        <v>110</v>
      </c>
      <c r="AM218" s="94" t="str">
        <f>TRIM(AJ218)&amp;TRIM(AL218)&amp;TRIM(AK218)</f>
      </c>
      <c r="AN218" s="116">
        <v>399.58</v>
      </c>
      <c r="AO218" s="116">
        <v>36.42</v>
      </c>
      <c r="AP218" s="116">
        <f>SUMIFS(M:M,AM:AM,AM218)+SUMIFS(O:O,AM:AM,AM218)</f>
      </c>
      <c r="AQ218" s="116">
        <f>SUMIFS(L:L,AM:AM,AM218)</f>
      </c>
      <c r="AR218" s="116">
        <f>AQ218-AP218</f>
      </c>
      <c r="AS218" s="94" t="str">
        <f>IF(AN218&gt;=AQ218,"ok","ck")</f>
      </c>
      <c r="AT218" s="116">
        <f>-P218</f>
      </c>
      <c r="AU218" s="115">
        <f>IF(SUMIFS(AT:AT,AM:AM,AM218)&gt;AO218,(SUMIFS(AT:AT,AM:AM,AM218)-AO218))</f>
      </c>
      <c r="AV218" s="116">
        <v>399.58</v>
      </c>
      <c r="AW218" s="121">
        <v>0.916</v>
      </c>
      <c r="AX218" s="115">
        <f>AN218-AP218</f>
      </c>
    </row>
    <row r="219" spans="1:50" ht="15" hidden="1" customHeight="1" x14ac:dyDescent="0.3">
      <c r="A219" s="94" t="s">
        <v>60</v>
      </c>
      <c r="B219" s="94"/>
      <c r="C219" s="94"/>
      <c r="D219" s="94"/>
      <c r="E219" s="94"/>
      <c r="F219" s="94"/>
      <c r="G219" s="112">
        <f>AU219</f>
      </c>
      <c r="H219" s="113"/>
      <c r="I219" s="94" t="s">
        <v>65</v>
      </c>
      <c r="J219" s="94" t="s">
        <v>519</v>
      </c>
      <c r="K219" s="114">
        <f>P219/3</f>
      </c>
      <c r="L219" s="115">
        <v>0</v>
      </c>
      <c r="M219" s="116">
        <f>L219</f>
      </c>
      <c r="N219" s="117">
        <f>M219-L219</f>
      </c>
      <c r="O219" s="112"/>
      <c r="P219" s="118">
        <f>N219+O219</f>
      </c>
      <c r="Q219" s="94" t="s">
        <v>792</v>
      </c>
      <c r="R219" s="94" t="s">
        <v>63</v>
      </c>
      <c r="S219" s="119">
        <v>46336</v>
      </c>
      <c r="T219" s="119"/>
      <c r="U219" s="119">
        <v>46336</v>
      </c>
      <c r="V219" s="94"/>
      <c r="W219" s="94"/>
      <c r="X219" s="94"/>
      <c r="Y219" s="119">
        <v>46336</v>
      </c>
      <c r="Z219" s="94"/>
      <c r="AA219" s="120"/>
      <c r="AB219" s="120"/>
      <c r="AC219" s="120"/>
      <c r="AD219" s="120"/>
      <c r="AE219" s="120"/>
      <c r="AF219" s="120"/>
      <c r="AG219" s="94"/>
      <c r="AH219" s="120"/>
      <c r="AI219" s="94"/>
      <c r="AJ219" s="94" t="s">
        <v>792</v>
      </c>
      <c r="AK219" s="94" t="s">
        <v>540</v>
      </c>
      <c r="AL219" s="94">
        <v>110</v>
      </c>
      <c r="AM219" s="94" t="str">
        <f>TRIM(AJ219)&amp;TRIM(AL219)&amp;TRIM(AK219)</f>
      </c>
      <c r="AN219" s="116">
        <v>465.86</v>
      </c>
      <c r="AO219" s="116">
        <v>-29.86</v>
      </c>
      <c r="AP219" s="116">
        <f>SUMIFS(M:M,AM:AM,AM219)+SUMIFS(O:O,AM:AM,AM219)</f>
      </c>
      <c r="AQ219" s="116">
        <f>SUMIFS(L:L,AM:AM,AM219)</f>
      </c>
      <c r="AR219" s="116">
        <f>AQ219-AP219</f>
      </c>
      <c r="AS219" s="94" t="str">
        <f>IF(AN219&gt;=AQ219,"ok","ck")</f>
      </c>
      <c r="AT219" s="116">
        <f>-P219</f>
      </c>
      <c r="AU219" s="115">
        <f>IF(SUMIFS(AT:AT,AM:AM,AM219)&gt;AO219,(SUMIFS(AT:AT,AM:AM,AM219)-AO219))</f>
      </c>
      <c r="AV219" s="116">
        <v>465.86</v>
      </c>
      <c r="AW219" s="121">
        <v>1.068</v>
      </c>
      <c r="AX219" s="115">
        <f>AN219-AP219</f>
      </c>
    </row>
    <row r="220" spans="1:50" ht="15" hidden="1" customHeight="1" x14ac:dyDescent="0.3">
      <c r="A220" s="94" t="s">
        <v>60</v>
      </c>
      <c r="B220" s="94"/>
      <c r="C220" s="94"/>
      <c r="D220" s="94"/>
      <c r="E220" s="94"/>
      <c r="F220" s="94"/>
      <c r="G220" s="112">
        <f>AU220</f>
      </c>
      <c r="H220" s="113"/>
      <c r="I220" s="94" t="s">
        <v>65</v>
      </c>
      <c r="J220" s="94" t="s">
        <v>519</v>
      </c>
      <c r="K220" s="114">
        <f>P220/3</f>
      </c>
      <c r="L220" s="115">
        <v>0</v>
      </c>
      <c r="M220" s="116">
        <f>L220</f>
      </c>
      <c r="N220" s="117">
        <f>M220-L220</f>
      </c>
      <c r="O220" s="112"/>
      <c r="P220" s="118">
        <f>N220+O220</f>
      </c>
      <c r="Q220" s="94" t="s">
        <v>792</v>
      </c>
      <c r="R220" s="94" t="s">
        <v>63</v>
      </c>
      <c r="S220" s="119">
        <v>46331</v>
      </c>
      <c r="T220" s="119"/>
      <c r="U220" s="119">
        <v>46331</v>
      </c>
      <c r="V220" s="94"/>
      <c r="W220" s="94"/>
      <c r="X220" s="94"/>
      <c r="Y220" s="119">
        <v>46331</v>
      </c>
      <c r="Z220" s="94"/>
      <c r="AA220" s="120"/>
      <c r="AB220" s="120"/>
      <c r="AC220" s="120"/>
      <c r="AD220" s="120"/>
      <c r="AE220" s="120"/>
      <c r="AF220" s="120"/>
      <c r="AG220" s="94"/>
      <c r="AH220" s="120"/>
      <c r="AI220" s="94"/>
      <c r="AJ220" s="94" t="s">
        <v>792</v>
      </c>
      <c r="AK220" s="94" t="s">
        <v>540</v>
      </c>
      <c r="AL220" s="94">
        <v>110</v>
      </c>
      <c r="AM220" s="94" t="str">
        <f>TRIM(AJ220)&amp;TRIM(AL220)&amp;TRIM(AK220)</f>
      </c>
      <c r="AN220" s="116">
        <v>465.86</v>
      </c>
      <c r="AO220" s="116">
        <v>-29.86</v>
      </c>
      <c r="AP220" s="116">
        <f>SUMIFS(M:M,AM:AM,AM220)+SUMIFS(O:O,AM:AM,AM220)</f>
      </c>
      <c r="AQ220" s="116">
        <f>SUMIFS(L:L,AM:AM,AM220)</f>
      </c>
      <c r="AR220" s="116">
        <f>AQ220-AP220</f>
      </c>
      <c r="AS220" s="94" t="str">
        <f>IF(AN220&gt;=AQ220,"ok","ck")</f>
      </c>
      <c r="AT220" s="116">
        <f>-P220</f>
      </c>
      <c r="AU220" s="115">
        <f>IF(SUMIFS(AT:AT,AM:AM,AM220)&gt;AO220,(SUMIFS(AT:AT,AM:AM,AM220)-AO220))</f>
      </c>
      <c r="AV220" s="116">
        <v>465.86</v>
      </c>
      <c r="AW220" s="121">
        <v>1.068</v>
      </c>
      <c r="AX220" s="115">
        <f>AN220-AP220</f>
      </c>
    </row>
    <row r="221" spans="1:50" ht="15" hidden="1" customHeight="1" x14ac:dyDescent="0.3">
      <c r="A221" s="94" t="s">
        <v>288</v>
      </c>
      <c r="B221" s="94"/>
      <c r="C221" s="94"/>
      <c r="D221" s="94"/>
      <c r="E221" s="94"/>
      <c r="F221" s="94"/>
      <c r="G221" s="112">
        <f>AU221</f>
      </c>
      <c r="H221" s="113"/>
      <c r="I221" s="94" t="s">
        <v>289</v>
      </c>
      <c r="J221" s="94" t="s">
        <v>267</v>
      </c>
      <c r="K221" s="114">
        <f>P221/3</f>
      </c>
      <c r="L221" s="115">
        <v>-0.67100000000000004</v>
      </c>
      <c r="M221" s="116">
        <f>L221</f>
      </c>
      <c r="N221" s="117">
        <f>M221-L221</f>
      </c>
      <c r="O221" s="112"/>
      <c r="P221" s="118">
        <f>N221+O221</f>
      </c>
      <c r="Q221" s="94" t="s">
        <v>291</v>
      </c>
      <c r="R221" s="94" t="s">
        <v>63</v>
      </c>
      <c r="S221" s="119">
        <v>46320</v>
      </c>
      <c r="T221" s="119"/>
      <c r="U221" s="120">
        <v>46320</v>
      </c>
      <c r="V221" s="94"/>
      <c r="W221" s="94"/>
      <c r="X221" s="94"/>
      <c r="Y221" s="119">
        <v>46320</v>
      </c>
      <c r="Z221" s="94"/>
      <c r="AA221" s="120"/>
      <c r="AB221" s="120"/>
      <c r="AC221" s="120"/>
      <c r="AD221" s="120"/>
      <c r="AE221" s="120"/>
      <c r="AF221" s="120"/>
      <c r="AG221" s="94"/>
      <c r="AH221" s="120"/>
      <c r="AI221" s="94"/>
      <c r="AJ221" s="94" t="s">
        <v>292</v>
      </c>
      <c r="AK221" s="94" t="s">
        <v>267</v>
      </c>
      <c r="AL221" s="94">
        <v>235</v>
      </c>
      <c r="AM221" s="94" t="str">
        <f>TRIM(AJ221)&amp;TRIM(AL221)&amp;TRIM(AK221)</f>
      </c>
      <c r="AN221" s="116">
        <v>667</v>
      </c>
      <c r="AO221" s="116">
        <v>-2.71</v>
      </c>
      <c r="AP221" s="116">
        <f>SUMIFS(M:M,AM:AM,AM221)+SUMIFS(O:O,AM:AM,AM221)</f>
      </c>
      <c r="AQ221" s="116">
        <f>SUMIFS(L:L,AM:AM,AM221)</f>
      </c>
      <c r="AR221" s="116">
        <f>AQ221-AP221</f>
      </c>
      <c r="AS221" s="94" t="str">
        <f>IF(AN221&gt;=AQ221,"ok","ck")</f>
      </c>
      <c r="AT221" s="116">
        <f>-P221</f>
      </c>
      <c r="AU221" s="115">
        <f>IF(SUMIFS(AT:AT,AM:AM,AM221)&gt;AO221,(SUMIFS(AT:AT,AM:AM,AM221)-AO221))</f>
      </c>
      <c r="AV221" s="116">
        <v>667</v>
      </c>
      <c r="AW221" s="121">
        <v>1.004</v>
      </c>
      <c r="AX221" s="115">
        <f>AN221-AP221</f>
      </c>
    </row>
    <row r="222" spans="1:50" ht="15" hidden="1" customHeight="1" x14ac:dyDescent="0.3">
      <c r="A222" s="94" t="s">
        <v>288</v>
      </c>
      <c r="B222" s="94"/>
      <c r="C222" s="94"/>
      <c r="D222" s="94"/>
      <c r="E222" s="94"/>
      <c r="F222" s="94"/>
      <c r="G222" s="112">
        <f>AU222</f>
      </c>
      <c r="H222" s="113"/>
      <c r="I222" s="94" t="s">
        <v>289</v>
      </c>
      <c r="J222" s="94" t="s">
        <v>267</v>
      </c>
      <c r="K222" s="114">
        <f>P222/3</f>
      </c>
      <c r="L222" s="115">
        <v>-0.58699999999999997</v>
      </c>
      <c r="M222" s="116">
        <f>L222</f>
      </c>
      <c r="N222" s="117">
        <f>M222-L222</f>
      </c>
      <c r="O222" s="112"/>
      <c r="P222" s="118">
        <f>N222+O222</f>
      </c>
      <c r="Q222" s="94" t="s">
        <v>291</v>
      </c>
      <c r="R222" s="94" t="s">
        <v>63</v>
      </c>
      <c r="S222" s="119">
        <v>46320</v>
      </c>
      <c r="T222" s="119"/>
      <c r="U222" s="120">
        <v>46320</v>
      </c>
      <c r="V222" s="94"/>
      <c r="W222" s="94"/>
      <c r="X222" s="94"/>
      <c r="Y222" s="119">
        <v>46320</v>
      </c>
      <c r="Z222" s="94"/>
      <c r="AA222" s="120"/>
      <c r="AB222" s="120"/>
      <c r="AC222" s="120"/>
      <c r="AD222" s="120"/>
      <c r="AE222" s="120"/>
      <c r="AF222" s="120"/>
      <c r="AG222" s="94"/>
      <c r="AH222" s="120"/>
      <c r="AI222" s="94"/>
      <c r="AJ222" s="94" t="s">
        <v>292</v>
      </c>
      <c r="AK222" s="94" t="s">
        <v>267</v>
      </c>
      <c r="AL222" s="94">
        <v>235</v>
      </c>
      <c r="AM222" s="94" t="str">
        <f>TRIM(AJ222)&amp;TRIM(AL222)&amp;TRIM(AK222)</f>
      </c>
      <c r="AN222" s="116">
        <v>667</v>
      </c>
      <c r="AO222" s="116">
        <v>-2.71</v>
      </c>
      <c r="AP222" s="116">
        <f>SUMIFS(M:M,AM:AM,AM222)+SUMIFS(O:O,AM:AM,AM222)</f>
      </c>
      <c r="AQ222" s="116">
        <f>SUMIFS(L:L,AM:AM,AM222)</f>
      </c>
      <c r="AR222" s="116">
        <f>AQ222-AP222</f>
      </c>
      <c r="AS222" s="94" t="str">
        <f>IF(AN222&gt;=AQ222,"ok","ck")</f>
      </c>
      <c r="AT222" s="116">
        <f>-P222</f>
      </c>
      <c r="AU222" s="115">
        <f>IF(SUMIFS(AT:AT,AM:AM,AM222)&gt;AO222,(SUMIFS(AT:AT,AM:AM,AM222)-AO222))</f>
      </c>
      <c r="AV222" s="116">
        <v>667</v>
      </c>
      <c r="AW222" s="121">
        <v>1.004</v>
      </c>
      <c r="AX222" s="115">
        <f>AN222-AP222</f>
      </c>
    </row>
    <row r="223" spans="1:50" ht="15" hidden="1" customHeight="1" x14ac:dyDescent="0.3">
      <c r="A223" s="94" t="s">
        <v>288</v>
      </c>
      <c r="B223" s="94"/>
      <c r="C223" s="94"/>
      <c r="D223" s="94"/>
      <c r="E223" s="94"/>
      <c r="F223" s="94"/>
      <c r="G223" s="112">
        <f>AU223</f>
      </c>
      <c r="H223" s="113"/>
      <c r="I223" s="94" t="s">
        <v>297</v>
      </c>
      <c r="J223" s="94" t="s">
        <v>286</v>
      </c>
      <c r="K223" s="114">
        <f>P223/3</f>
      </c>
      <c r="L223" s="115">
        <v>13.175000000000001</v>
      </c>
      <c r="M223" s="116">
        <f>L223</f>
      </c>
      <c r="N223" s="117">
        <f>M223-L223</f>
      </c>
      <c r="O223" s="112"/>
      <c r="P223" s="118">
        <f>N223+O223</f>
      </c>
      <c r="Q223" s="94" t="s">
        <v>291</v>
      </c>
      <c r="R223" s="94" t="s">
        <v>63</v>
      </c>
      <c r="S223" s="119">
        <v>46320</v>
      </c>
      <c r="T223" s="119"/>
      <c r="U223" s="120">
        <v>46320</v>
      </c>
      <c r="V223" s="94"/>
      <c r="W223" s="94"/>
      <c r="X223" s="94"/>
      <c r="Y223" s="119">
        <v>46320</v>
      </c>
      <c r="Z223" s="94"/>
      <c r="AA223" s="120"/>
      <c r="AB223" s="120"/>
      <c r="AC223" s="120"/>
      <c r="AD223" s="120"/>
      <c r="AE223" s="120"/>
      <c r="AF223" s="120"/>
      <c r="AG223" s="94"/>
      <c r="AH223" s="120"/>
      <c r="AI223" s="94"/>
      <c r="AJ223" s="94" t="s">
        <v>292</v>
      </c>
      <c r="AK223" s="94" t="s">
        <v>281</v>
      </c>
      <c r="AL223" s="94">
        <v>190</v>
      </c>
      <c r="AM223" s="94" t="str">
        <f>TRIM(AJ223)&amp;TRIM(AL223)&amp;TRIM(AK223)</f>
      </c>
      <c r="AN223" s="116">
        <v>2155.67</v>
      </c>
      <c r="AO223" s="116">
        <v>-42.02</v>
      </c>
      <c r="AP223" s="116">
        <f>SUMIFS(M:M,AM:AM,AM223)+SUMIFS(O:O,AM:AM,AM223)</f>
      </c>
      <c r="AQ223" s="116">
        <f>SUMIFS(L:L,AM:AM,AM223)</f>
      </c>
      <c r="AR223" s="116">
        <f>AQ223-AP223</f>
      </c>
      <c r="AS223" s="94" t="str">
        <f>IF(AN223&gt;=AQ223,"ok","ck")</f>
      </c>
      <c r="AT223" s="116">
        <f>-P223</f>
      </c>
      <c r="AU223" s="115">
        <f>IF(SUMIFS(AT:AT,AM:AM,AM223)&gt;AO223,(SUMIFS(AT:AT,AM:AM,AM223)-AO223))</f>
      </c>
      <c r="AV223" s="116">
        <v>2155.67</v>
      </c>
      <c r="AW223" s="121">
        <v>1.02</v>
      </c>
      <c r="AX223" s="115">
        <f>AN223-AP223</f>
      </c>
    </row>
    <row r="224" spans="1:50" ht="15" hidden="1" customHeight="1" x14ac:dyDescent="0.3">
      <c r="A224" s="94" t="s">
        <v>288</v>
      </c>
      <c r="B224" s="94"/>
      <c r="C224" s="94"/>
      <c r="D224" s="94"/>
      <c r="E224" s="94"/>
      <c r="F224" s="94"/>
      <c r="G224" s="112">
        <f>AU224</f>
      </c>
      <c r="H224" s="113"/>
      <c r="I224" s="94" t="s">
        <v>297</v>
      </c>
      <c r="J224" s="94" t="s">
        <v>286</v>
      </c>
      <c r="K224" s="114">
        <f>P224/3</f>
      </c>
      <c r="L224" s="115">
        <v>0</v>
      </c>
      <c r="M224" s="116">
        <f>L224</f>
      </c>
      <c r="N224" s="117">
        <f>M224-L224</f>
      </c>
      <c r="O224" s="112"/>
      <c r="P224" s="118">
        <f>N224+O224</f>
      </c>
      <c r="Q224" s="94" t="s">
        <v>291</v>
      </c>
      <c r="R224" s="94" t="s">
        <v>63</v>
      </c>
      <c r="S224" s="119">
        <v>46320</v>
      </c>
      <c r="T224" s="119"/>
      <c r="U224" s="120">
        <v>46320</v>
      </c>
      <c r="V224" s="94"/>
      <c r="W224" s="94"/>
      <c r="X224" s="94"/>
      <c r="Y224" s="119">
        <v>46320</v>
      </c>
      <c r="Z224" s="94"/>
      <c r="AA224" s="120"/>
      <c r="AB224" s="120"/>
      <c r="AC224" s="120"/>
      <c r="AD224" s="120"/>
      <c r="AE224" s="120"/>
      <c r="AF224" s="120"/>
      <c r="AG224" s="94"/>
      <c r="AH224" s="120"/>
      <c r="AI224" s="94"/>
      <c r="AJ224" s="94" t="s">
        <v>292</v>
      </c>
      <c r="AK224" s="94" t="s">
        <v>281</v>
      </c>
      <c r="AL224" s="94">
        <v>190</v>
      </c>
      <c r="AM224" s="94" t="str">
        <f>TRIM(AJ224)&amp;TRIM(AL224)&amp;TRIM(AK224)</f>
      </c>
      <c r="AN224" s="116">
        <v>2155.67</v>
      </c>
      <c r="AO224" s="116">
        <v>-42.02</v>
      </c>
      <c r="AP224" s="116">
        <f>SUMIFS(M:M,AM:AM,AM224)+SUMIFS(O:O,AM:AM,AM224)</f>
      </c>
      <c r="AQ224" s="116">
        <f>SUMIFS(L:L,AM:AM,AM224)</f>
      </c>
      <c r="AR224" s="116">
        <f>AQ224-AP224</f>
      </c>
      <c r="AS224" s="94" t="str">
        <f>IF(AN224&gt;=AQ224,"ok","ck")</f>
      </c>
      <c r="AT224" s="116">
        <f>-P224</f>
      </c>
      <c r="AU224" s="115">
        <f>IF(SUMIFS(AT:AT,AM:AM,AM224)&gt;AO224,(SUMIFS(AT:AT,AM:AM,AM224)-AO224))</f>
      </c>
      <c r="AV224" s="116">
        <v>2155.67</v>
      </c>
      <c r="AW224" s="121">
        <v>1.02</v>
      </c>
      <c r="AX224" s="115">
        <f>AN224-AP224</f>
      </c>
    </row>
    <row r="225" spans="1:50" ht="15" hidden="1" customHeight="1" x14ac:dyDescent="0.3">
      <c r="A225" s="94" t="s">
        <v>60</v>
      </c>
      <c r="B225" s="94"/>
      <c r="C225" s="94"/>
      <c r="D225" s="94"/>
      <c r="E225" s="94"/>
      <c r="F225" s="94"/>
      <c r="G225" s="112">
        <f>AU225</f>
      </c>
      <c r="H225" s="113"/>
      <c r="I225" s="94" t="s">
        <v>61</v>
      </c>
      <c r="J225" s="94" t="s">
        <v>104</v>
      </c>
      <c r="K225" s="114">
        <f>P225/3</f>
      </c>
      <c r="L225" s="115">
        <v>-53.3</v>
      </c>
      <c r="M225" s="116">
        <f>L225</f>
      </c>
      <c r="N225" s="117">
        <f>M225-L225</f>
      </c>
      <c r="O225" s="112"/>
      <c r="P225" s="118">
        <f>N225+O225</f>
      </c>
      <c r="Q225" s="94" t="s">
        <v>62</v>
      </c>
      <c r="R225" s="94" t="s">
        <v>63</v>
      </c>
      <c r="S225" s="119">
        <v>46320</v>
      </c>
      <c r="T225" s="119"/>
      <c r="U225" s="120">
        <v>46320</v>
      </c>
      <c r="V225" s="94"/>
      <c r="W225" s="94"/>
      <c r="X225" s="94"/>
      <c r="Y225" s="119">
        <v>46320</v>
      </c>
      <c r="Z225" s="94"/>
      <c r="AA225" s="120"/>
      <c r="AB225" s="120"/>
      <c r="AC225" s="120"/>
      <c r="AD225" s="120"/>
      <c r="AE225" s="120"/>
      <c r="AF225" s="120"/>
      <c r="AG225" s="94"/>
      <c r="AH225" s="120"/>
      <c r="AI225" s="94"/>
      <c r="AJ225" s="94" t="s">
        <v>64</v>
      </c>
      <c r="AK225" s="94" t="s">
        <v>105</v>
      </c>
      <c r="AL225" s="94">
        <v>140</v>
      </c>
      <c r="AM225" s="94" t="str">
        <f>TRIM(AJ225)&amp;TRIM(AL225)&amp;TRIM(AK225)</f>
      </c>
      <c r="AN225" s="116">
        <v>3191</v>
      </c>
      <c r="AO225" s="116">
        <v>-41</v>
      </c>
      <c r="AP225" s="116">
        <f>SUMIFS(M:M,AM:AM,AM225)+SUMIFS(O:O,AM:AM,AM225)</f>
      </c>
      <c r="AQ225" s="116">
        <f>SUMIFS(L:L,AM:AM,AM225)</f>
      </c>
      <c r="AR225" s="116">
        <f>AQ225-AP225</f>
      </c>
      <c r="AS225" s="94" t="str">
        <f>IF(AN225&gt;=AQ225,"ok","ck")</f>
      </c>
      <c r="AT225" s="116">
        <f>-P225</f>
      </c>
      <c r="AU225" s="115">
        <f>IF(SUMIFS(AT:AT,AM:AM,AM225)&gt;AO225,(SUMIFS(AT:AT,AM:AM,AM225)-AO225))</f>
      </c>
      <c r="AV225" s="116">
        <v>3191</v>
      </c>
      <c r="AW225" s="121">
        <v>1.013</v>
      </c>
      <c r="AX225" s="115">
        <f>AN225-AP225</f>
      </c>
    </row>
    <row r="226" spans="1:50" ht="15" customHeight="1" x14ac:dyDescent="0.3">
      <c r="A226" s="94" t="s">
        <v>862</v>
      </c>
      <c r="B226" s="94"/>
      <c r="C226" s="94"/>
      <c r="D226" s="94"/>
      <c r="E226" s="94"/>
      <c r="F226" s="94"/>
      <c r="G226" s="112">
        <f>AU226</f>
      </c>
      <c r="H226" s="113"/>
      <c r="I226" s="94" t="s">
        <v>278</v>
      </c>
      <c r="J226" s="94" t="s">
        <v>281</v>
      </c>
      <c r="K226" s="114">
        <f>P226/3</f>
      </c>
      <c r="L226" s="115">
        <v>156.471</v>
      </c>
      <c r="M226" s="116"/>
      <c r="N226" s="117">
        <f>M226-L226</f>
      </c>
      <c r="O226" s="112"/>
      <c r="P226" s="118">
        <f>N226+O226</f>
      </c>
      <c r="Q226" s="94"/>
      <c r="R226" s="94" t="s">
        <v>63</v>
      </c>
      <c r="S226" s="119">
        <v>46334</v>
      </c>
      <c r="T226" s="119"/>
      <c r="U226" s="120" t="s">
        <v>632</v>
      </c>
      <c r="V226" s="94"/>
      <c r="W226" s="94"/>
      <c r="X226" s="94"/>
      <c r="Y226" s="119">
        <v>46320</v>
      </c>
      <c r="Z226" s="94"/>
      <c r="AA226" s="120"/>
      <c r="AB226" s="120"/>
      <c r="AC226" s="120"/>
      <c r="AD226" s="120"/>
      <c r="AE226" s="120"/>
      <c r="AF226" s="120"/>
      <c r="AG226" s="94"/>
      <c r="AH226" s="120"/>
      <c r="AI226" s="94"/>
      <c r="AJ226" s="94"/>
      <c r="AK226" s="94"/>
      <c r="AL226" s="94">
        <v>120</v>
      </c>
      <c r="AM226" s="94" t="str">
        <f>TRIM(AJ226)&amp;TRIM(AL226)&amp;TRIM(AK226)</f>
      </c>
      <c r="AN226" s="116">
        <v>0</v>
      </c>
      <c r="AO226" s="116" t="inlineStr">
        <is>
          <t>#NA</t>
        </is>
      </c>
      <c r="AP226" s="116">
        <f>SUMIFS(M:M,AM:AM,AM226)+SUMIFS(O:O,AM:AM,AM226)</f>
      </c>
      <c r="AQ226" s="116">
        <f>SUMIFS(L:L,AM:AM,AM226)</f>
      </c>
      <c r="AR226" s="116">
        <f>AQ226-AP226</f>
      </c>
      <c r="AS226" s="94" t="str">
        <f>IF(AN226&gt;=AQ226,"ok","ck")</f>
      </c>
      <c r="AT226" s="116">
        <f>-P226</f>
      </c>
      <c r="AU226" s="115">
        <f>IF(SUMIFS(AT:AT,AM:AM,AM226)&gt;AO226,(SUMIFS(AT:AT,AM:AM,AM226)-AO226))</f>
      </c>
      <c r="AV226" s="116" t="e">
        <v>#N/A</v>
      </c>
      <c r="AW226" s="121" t="e">
        <v>#N/A</v>
      </c>
      <c r="AX226" s="115">
        <f>AN226-AP226</f>
      </c>
    </row>
    <row r="227" spans="1:50" ht="15" customHeight="1" x14ac:dyDescent="0.3">
      <c r="A227" s="94" t="s">
        <v>862</v>
      </c>
      <c r="B227" s="94"/>
      <c r="C227" s="94"/>
      <c r="D227" s="94"/>
      <c r="E227" s="94"/>
      <c r="F227" s="94"/>
      <c r="G227" s="112">
        <f>AU227</f>
      </c>
      <c r="H227" s="113"/>
      <c r="I227" s="94" t="s">
        <v>278</v>
      </c>
      <c r="J227" s="94" t="s">
        <v>281</v>
      </c>
      <c r="K227" s="114">
        <f>P227/3</f>
      </c>
      <c r="L227" s="115">
        <v>156.471</v>
      </c>
      <c r="M227" s="116"/>
      <c r="N227" s="117">
        <f>M227-L227</f>
      </c>
      <c r="O227" s="112"/>
      <c r="P227" s="118">
        <f>N227+O227</f>
      </c>
      <c r="Q227" s="94"/>
      <c r="R227" s="94" t="s">
        <v>63</v>
      </c>
      <c r="S227" s="119">
        <v>46335</v>
      </c>
      <c r="T227" s="119"/>
      <c r="U227" s="120" t="s">
        <v>632</v>
      </c>
      <c r="V227" s="94"/>
      <c r="W227" s="94"/>
      <c r="X227" s="94"/>
      <c r="Y227" s="119">
        <v>46320</v>
      </c>
      <c r="Z227" s="94"/>
      <c r="AA227" s="120"/>
      <c r="AB227" s="120"/>
      <c r="AC227" s="120"/>
      <c r="AD227" s="120"/>
      <c r="AE227" s="120"/>
      <c r="AF227" s="120"/>
      <c r="AG227" s="94"/>
      <c r="AH227" s="120"/>
      <c r="AI227" s="94"/>
      <c r="AJ227" s="94"/>
      <c r="AK227" s="94"/>
      <c r="AL227" s="94">
        <v>120</v>
      </c>
      <c r="AM227" s="94" t="str">
        <f>TRIM(AJ227)&amp;TRIM(AL227)&amp;TRIM(AK227)</f>
      </c>
      <c r="AN227" s="116">
        <v>0</v>
      </c>
      <c r="AO227" s="116" t="inlineStr">
        <is>
          <t>#NA</t>
        </is>
      </c>
      <c r="AP227" s="116">
        <f>SUMIFS(M:M,AM:AM,AM227)+SUMIFS(O:O,AM:AM,AM227)</f>
      </c>
      <c r="AQ227" s="116">
        <f>SUMIFS(L:L,AM:AM,AM227)</f>
      </c>
      <c r="AR227" s="116">
        <f>AQ227-AP227</f>
      </c>
      <c r="AS227" s="94" t="str">
        <f>IF(AN227&gt;=AQ227,"ok","ck")</f>
      </c>
      <c r="AT227" s="116">
        <f>-P227</f>
      </c>
      <c r="AU227" s="115">
        <f>IF(SUMIFS(AT:AT,AM:AM,AM227)&gt;AO227,(SUMIFS(AT:AT,AM:AM,AM227)-AO227))</f>
      </c>
      <c r="AV227" s="116" t="e">
        <v>#N/A</v>
      </c>
      <c r="AW227" s="121" t="e">
        <v>#N/A</v>
      </c>
      <c r="AX227" s="115">
        <f>AN227-AP227</f>
      </c>
    </row>
    <row r="228" spans="1:50" ht="15" customHeight="1" x14ac:dyDescent="0.3">
      <c r="A228" s="94" t="s">
        <v>862</v>
      </c>
      <c r="B228" s="94"/>
      <c r="C228" s="94"/>
      <c r="D228" s="94"/>
      <c r="E228" s="94"/>
      <c r="F228" s="94"/>
      <c r="G228" s="112">
        <f>AU228</f>
      </c>
      <c r="H228" s="113"/>
      <c r="I228" s="94" t="s">
        <v>278</v>
      </c>
      <c r="J228" s="94" t="s">
        <v>281</v>
      </c>
      <c r="K228" s="114">
        <f>P228/3</f>
      </c>
      <c r="L228" s="115">
        <v>156.471</v>
      </c>
      <c r="M228" s="116"/>
      <c r="N228" s="117">
        <f>M228-L228</f>
      </c>
      <c r="O228" s="112"/>
      <c r="P228" s="118">
        <f>N228+O228</f>
      </c>
      <c r="Q228" s="94"/>
      <c r="R228" s="94" t="s">
        <v>63</v>
      </c>
      <c r="S228" s="119">
        <v>46336</v>
      </c>
      <c r="T228" s="119"/>
      <c r="U228" s="120" t="s">
        <v>632</v>
      </c>
      <c r="V228" s="94"/>
      <c r="W228" s="94"/>
      <c r="X228" s="94"/>
      <c r="Y228" s="119">
        <v>46320</v>
      </c>
      <c r="Z228" s="94"/>
      <c r="AA228" s="120"/>
      <c r="AB228" s="120"/>
      <c r="AC228" s="120"/>
      <c r="AD228" s="120"/>
      <c r="AE228" s="120"/>
      <c r="AF228" s="120"/>
      <c r="AG228" s="94"/>
      <c r="AH228" s="120"/>
      <c r="AI228" s="94"/>
      <c r="AJ228" s="94"/>
      <c r="AK228" s="94"/>
      <c r="AL228" s="94">
        <v>120</v>
      </c>
      <c r="AM228" s="94" t="str">
        <f>TRIM(AJ228)&amp;TRIM(AL228)&amp;TRIM(AK228)</f>
      </c>
      <c r="AN228" s="116">
        <v>0</v>
      </c>
      <c r="AO228" s="116" t="inlineStr">
        <is>
          <t>#NA</t>
        </is>
      </c>
      <c r="AP228" s="116">
        <f>SUMIFS(M:M,AM:AM,AM228)+SUMIFS(O:O,AM:AM,AM228)</f>
      </c>
      <c r="AQ228" s="116">
        <f>SUMIFS(L:L,AM:AM,AM228)</f>
      </c>
      <c r="AR228" s="116">
        <f>AQ228-AP228</f>
      </c>
      <c r="AS228" s="94" t="str">
        <f>IF(AN228&gt;=AQ228,"ok","ck")</f>
      </c>
      <c r="AT228" s="116">
        <f>-P228</f>
      </c>
      <c r="AU228" s="115">
        <f>IF(SUMIFS(AT:AT,AM:AM,AM228)&gt;AO228,(SUMIFS(AT:AT,AM:AM,AM228)-AO228))</f>
      </c>
      <c r="AV228" s="116" t="e">
        <v>#N/A</v>
      </c>
      <c r="AW228" s="121" t="e">
        <v>#N/A</v>
      </c>
      <c r="AX228" s="115">
        <f>AN228-AP228</f>
      </c>
    </row>
    <row r="229" spans="1:50" ht="15" hidden="1" customHeight="1" x14ac:dyDescent="0.3">
      <c r="A229" s="94" t="s">
        <v>268</v>
      </c>
      <c r="B229" s="94"/>
      <c r="C229" s="94"/>
      <c r="D229" s="94"/>
      <c r="E229" s="94"/>
      <c r="F229" s="94"/>
      <c r="G229" s="112">
        <f>AU229</f>
      </c>
      <c r="H229" s="113"/>
      <c r="I229" s="94" t="s">
        <v>278</v>
      </c>
      <c r="J229" s="94" t="s">
        <v>503</v>
      </c>
      <c r="K229" s="114">
        <f>P229/3</f>
      </c>
      <c r="L229" s="115">
        <v>0.14399999999999999</v>
      </c>
      <c r="M229" s="116"/>
      <c r="N229" s="117">
        <f>M229-L229</f>
      </c>
      <c r="O229" s="112"/>
      <c r="P229" s="118">
        <f>N229+O229</f>
      </c>
      <c r="Q229" s="94" t="s">
        <v>778</v>
      </c>
      <c r="R229" s="94" t="s">
        <v>63</v>
      </c>
      <c r="S229" s="119">
        <v>46342</v>
      </c>
      <c r="T229" s="119"/>
      <c r="U229" s="119">
        <v>46342</v>
      </c>
      <c r="V229" s="94"/>
      <c r="W229" s="94"/>
      <c r="X229" s="94"/>
      <c r="Y229" s="119">
        <v>46342</v>
      </c>
      <c r="Z229" s="94"/>
      <c r="AA229" s="120"/>
      <c r="AB229" s="120"/>
      <c r="AC229" s="120"/>
      <c r="AD229" s="120"/>
      <c r="AE229" s="120"/>
      <c r="AF229" s="120"/>
      <c r="AG229" s="94"/>
      <c r="AH229" s="120"/>
      <c r="AI229" s="94"/>
      <c r="AJ229" s="94" t="s">
        <v>778</v>
      </c>
      <c r="AK229" s="94" t="s">
        <v>697</v>
      </c>
      <c r="AL229" s="94">
        <v>120</v>
      </c>
      <c r="AM229" s="94" t="str">
        <f>TRIM(AJ229)&amp;TRIM(AL229)&amp;TRIM(AK229)</f>
      </c>
      <c r="AN229" s="116">
        <v>0</v>
      </c>
      <c r="AO229" s="116" t="inlineStr">
        <is>
          <t>#NA</t>
        </is>
      </c>
      <c r="AP229" s="116">
        <f>SUMIFS(M:M,AM:AM,AM229)+SUMIFS(O:O,AM:AM,AM229)</f>
      </c>
      <c r="AQ229" s="116">
        <f>SUMIFS(L:L,AM:AM,AM229)</f>
      </c>
      <c r="AR229" s="116">
        <f>AQ229-AP229</f>
      </c>
      <c r="AS229" s="94" t="str">
        <f>IF(AN229&gt;=AQ229,"ok","ck")</f>
      </c>
      <c r="AT229" s="116">
        <f>-P229</f>
      </c>
      <c r="AU229" s="115">
        <f>IF(SUMIFS(AT:AT,AM:AM,AM229)&gt;AO229,(SUMIFS(AT:AT,AM:AM,AM229)-AO229))</f>
      </c>
      <c r="AV229" s="116">
        <v>0</v>
      </c>
      <c r="AW229" s="121">
        <v>0</v>
      </c>
      <c r="AX229" s="115">
        <f>AN229-AP229</f>
      </c>
    </row>
    <row r="230" spans="1:50" ht="15" hidden="1" customHeight="1" x14ac:dyDescent="0.3">
      <c r="A230" s="94" t="s">
        <v>268</v>
      </c>
      <c r="B230" s="94"/>
      <c r="C230" s="94"/>
      <c r="D230" s="94"/>
      <c r="E230" s="94"/>
      <c r="F230" s="94"/>
      <c r="G230" s="112">
        <f>AU230</f>
      </c>
      <c r="H230" s="113"/>
      <c r="I230" s="94" t="s">
        <v>278</v>
      </c>
      <c r="J230" s="94" t="s">
        <v>503</v>
      </c>
      <c r="K230" s="114">
        <f>P230/3</f>
      </c>
      <c r="L230" s="115">
        <v>0.14799999999999999</v>
      </c>
      <c r="M230" s="116"/>
      <c r="N230" s="117">
        <f>M230-L230</f>
      </c>
      <c r="O230" s="112"/>
      <c r="P230" s="118">
        <f>N230+O230</f>
      </c>
      <c r="Q230" s="94" t="s">
        <v>778</v>
      </c>
      <c r="R230" s="94" t="s">
        <v>63</v>
      </c>
      <c r="S230" s="119">
        <v>46334</v>
      </c>
      <c r="T230" s="119"/>
      <c r="U230" s="119">
        <v>46334</v>
      </c>
      <c r="V230" s="94"/>
      <c r="W230" s="94"/>
      <c r="X230" s="94"/>
      <c r="Y230" s="119">
        <v>46334</v>
      </c>
      <c r="Z230" s="94"/>
      <c r="AA230" s="120"/>
      <c r="AB230" s="120"/>
      <c r="AC230" s="120"/>
      <c r="AD230" s="120"/>
      <c r="AE230" s="120"/>
      <c r="AF230" s="120"/>
      <c r="AG230" s="94"/>
      <c r="AH230" s="120"/>
      <c r="AI230" s="94"/>
      <c r="AJ230" s="94" t="s">
        <v>778</v>
      </c>
      <c r="AK230" s="94" t="s">
        <v>697</v>
      </c>
      <c r="AL230" s="94">
        <v>120</v>
      </c>
      <c r="AM230" s="94" t="str">
        <f>TRIM(AJ230)&amp;TRIM(AL230)&amp;TRIM(AK230)</f>
      </c>
      <c r="AN230" s="116">
        <v>0</v>
      </c>
      <c r="AO230" s="116" t="inlineStr">
        <is>
          <t>#NA</t>
        </is>
      </c>
      <c r="AP230" s="116">
        <f>SUMIFS(M:M,AM:AM,AM230)+SUMIFS(O:O,AM:AM,AM230)</f>
      </c>
      <c r="AQ230" s="116">
        <f>SUMIFS(L:L,AM:AM,AM230)</f>
      </c>
      <c r="AR230" s="116">
        <f>AQ230-AP230</f>
      </c>
      <c r="AS230" s="94" t="str">
        <f>IF(AN230&gt;=AQ230,"ok","ck")</f>
      </c>
      <c r="AT230" s="116">
        <f>-P230</f>
      </c>
      <c r="AU230" s="115">
        <f>IF(SUMIFS(AT:AT,AM:AM,AM230)&gt;AO230,(SUMIFS(AT:AT,AM:AM,AM230)-AO230))</f>
      </c>
      <c r="AV230" s="116">
        <v>0</v>
      </c>
      <c r="AW230" s="121">
        <v>0</v>
      </c>
      <c r="AX230" s="115">
        <f>AN230-AP230</f>
      </c>
    </row>
    <row r="231" spans="1:50" ht="15" hidden="1" customHeight="1" x14ac:dyDescent="0.3">
      <c r="A231" s="94" t="s">
        <v>268</v>
      </c>
      <c r="B231" s="94"/>
      <c r="C231" s="94"/>
      <c r="D231" s="94"/>
      <c r="E231" s="94"/>
      <c r="F231" s="94"/>
      <c r="G231" s="112">
        <f>AU231</f>
      </c>
      <c r="H231" s="113"/>
      <c r="I231" s="94" t="s">
        <v>278</v>
      </c>
      <c r="J231" s="94" t="s">
        <v>328</v>
      </c>
      <c r="K231" s="114">
        <f>P231/3</f>
      </c>
      <c r="L231" s="115">
        <v>0.73799999999999999</v>
      </c>
      <c r="M231" s="116"/>
      <c r="N231" s="117">
        <f>M231-L231</f>
      </c>
      <c r="O231" s="112"/>
      <c r="P231" s="118">
        <f>N231+O231</f>
      </c>
      <c r="Q231" s="94" t="s">
        <v>778</v>
      </c>
      <c r="R231" s="94" t="s">
        <v>63</v>
      </c>
      <c r="S231" s="119">
        <v>46340</v>
      </c>
      <c r="T231" s="119"/>
      <c r="U231" s="120">
        <v>46340</v>
      </c>
      <c r="V231" s="94"/>
      <c r="W231" s="94"/>
      <c r="X231" s="94"/>
      <c r="Y231" s="119">
        <v>46345</v>
      </c>
      <c r="Z231" s="94"/>
      <c r="AA231" s="120"/>
      <c r="AB231" s="120"/>
      <c r="AC231" s="120"/>
      <c r="AD231" s="120"/>
      <c r="AE231" s="120"/>
      <c r="AF231" s="120"/>
      <c r="AG231" s="94"/>
      <c r="AH231" s="120"/>
      <c r="AI231" s="94"/>
      <c r="AJ231" s="94" t="s">
        <v>778</v>
      </c>
      <c r="AK231" s="94" t="s">
        <v>329</v>
      </c>
      <c r="AL231" s="94">
        <v>120</v>
      </c>
      <c r="AM231" s="94" t="str">
        <f>TRIM(AJ231)&amp;TRIM(AL231)&amp;TRIM(AK231)</f>
      </c>
      <c r="AN231" s="116">
        <v>0</v>
      </c>
      <c r="AO231" s="116" t="inlineStr">
        <is>
          <t>#NA</t>
        </is>
      </c>
      <c r="AP231" s="116">
        <f>SUMIFS(M:M,AM:AM,AM231)+SUMIFS(O:O,AM:AM,AM231)</f>
      </c>
      <c r="AQ231" s="116">
        <f>SUMIFS(L:L,AM:AM,AM231)</f>
      </c>
      <c r="AR231" s="116">
        <f>AQ231-AP231</f>
      </c>
      <c r="AS231" s="94" t="str">
        <f>IF(AN231&gt;=AQ231,"ok","ck")</f>
      </c>
      <c r="AT231" s="116">
        <f>-P231</f>
      </c>
      <c r="AU231" s="115">
        <f>IF(SUMIFS(AT:AT,AM:AM,AM231)&gt;AO231,(SUMIFS(AT:AT,AM:AM,AM231)-AO231))</f>
      </c>
      <c r="AV231" s="116">
        <v>0</v>
      </c>
      <c r="AW231" s="121">
        <v>0</v>
      </c>
      <c r="AX231" s="115">
        <f>AN231-AP231</f>
      </c>
    </row>
    <row r="232" spans="1:50" ht="15" hidden="1" customHeight="1" x14ac:dyDescent="0.3">
      <c r="A232" s="94" t="s">
        <v>268</v>
      </c>
      <c r="B232" s="94"/>
      <c r="C232" s="94"/>
      <c r="D232" s="94"/>
      <c r="E232" s="94"/>
      <c r="F232" s="94"/>
      <c r="G232" s="112">
        <f>AU232</f>
      </c>
      <c r="H232" s="113"/>
      <c r="I232" s="94" t="s">
        <v>278</v>
      </c>
      <c r="J232" s="94" t="s">
        <v>328</v>
      </c>
      <c r="K232" s="114">
        <f>P232/3</f>
      </c>
      <c r="L232" s="115">
        <v>34.44</v>
      </c>
      <c r="M232" s="116"/>
      <c r="N232" s="117">
        <f>M232-L232</f>
      </c>
      <c r="O232" s="112"/>
      <c r="P232" s="118">
        <f>N232+O232</f>
      </c>
      <c r="Q232" s="94" t="s">
        <v>778</v>
      </c>
      <c r="R232" s="94" t="s">
        <v>63</v>
      </c>
      <c r="S232" s="119">
        <v>46340</v>
      </c>
      <c r="T232" s="119"/>
      <c r="U232" s="120">
        <v>46340</v>
      </c>
      <c r="V232" s="94"/>
      <c r="W232" s="94"/>
      <c r="X232" s="94"/>
      <c r="Y232" s="119">
        <v>46337</v>
      </c>
      <c r="Z232" s="94"/>
      <c r="AA232" s="120"/>
      <c r="AB232" s="120"/>
      <c r="AC232" s="120"/>
      <c r="AD232" s="120"/>
      <c r="AE232" s="120"/>
      <c r="AF232" s="120"/>
      <c r="AG232" s="94"/>
      <c r="AH232" s="120"/>
      <c r="AI232" s="94"/>
      <c r="AJ232" s="94" t="s">
        <v>778</v>
      </c>
      <c r="AK232" s="94" t="s">
        <v>329</v>
      </c>
      <c r="AL232" s="94">
        <v>120</v>
      </c>
      <c r="AM232" s="94" t="str">
        <f>TRIM(AJ232)&amp;TRIM(AL232)&amp;TRIM(AK232)</f>
      </c>
      <c r="AN232" s="116">
        <v>0</v>
      </c>
      <c r="AO232" s="116" t="inlineStr">
        <is>
          <t>#NA</t>
        </is>
      </c>
      <c r="AP232" s="116">
        <f>SUMIFS(M:M,AM:AM,AM232)+SUMIFS(O:O,AM:AM,AM232)</f>
      </c>
      <c r="AQ232" s="116">
        <f>SUMIFS(L:L,AM:AM,AM232)</f>
      </c>
      <c r="AR232" s="116">
        <f>AQ232-AP232</f>
      </c>
      <c r="AS232" s="94" t="str">
        <f>IF(AN232&gt;=AQ232,"ok","ck")</f>
      </c>
      <c r="AT232" s="116">
        <f>-P232</f>
      </c>
      <c r="AU232" s="115">
        <f>IF(SUMIFS(AT:AT,AM:AM,AM232)&gt;AO232,(SUMIFS(AT:AT,AM:AM,AM232)-AO232))</f>
      </c>
      <c r="AV232" s="116">
        <v>0</v>
      </c>
      <c r="AW232" s="121">
        <v>0</v>
      </c>
      <c r="AX232" s="115">
        <f>AN232-AP232</f>
      </c>
    </row>
    <row r="233" spans="1:50" ht="15" hidden="1" customHeight="1" x14ac:dyDescent="0.3">
      <c r="A233" s="94" t="s">
        <v>268</v>
      </c>
      <c r="B233" s="94"/>
      <c r="C233" s="94"/>
      <c r="D233" s="94"/>
      <c r="E233" s="94"/>
      <c r="F233" s="94"/>
      <c r="G233" s="112">
        <f>AU233</f>
      </c>
      <c r="H233" s="113"/>
      <c r="I233" s="94" t="s">
        <v>278</v>
      </c>
      <c r="J233" s="94" t="s">
        <v>328</v>
      </c>
      <c r="K233" s="114">
        <f>P233/3</f>
      </c>
      <c r="L233" s="115">
        <v>7.38</v>
      </c>
      <c r="M233" s="116"/>
      <c r="N233" s="117">
        <f>M233-L233</f>
      </c>
      <c r="O233" s="112"/>
      <c r="P233" s="118">
        <f>N233+O233</f>
      </c>
      <c r="Q233" s="94" t="s">
        <v>778</v>
      </c>
      <c r="R233" s="94" t="s">
        <v>63</v>
      </c>
      <c r="S233" s="119">
        <v>46340</v>
      </c>
      <c r="T233" s="119"/>
      <c r="U233" s="120">
        <v>46340</v>
      </c>
      <c r="V233" s="94"/>
      <c r="W233" s="94"/>
      <c r="X233" s="94"/>
      <c r="Y233" s="119">
        <v>46341</v>
      </c>
      <c r="Z233" s="94"/>
      <c r="AA233" s="120"/>
      <c r="AB233" s="120"/>
      <c r="AC233" s="120"/>
      <c r="AD233" s="120"/>
      <c r="AE233" s="120"/>
      <c r="AF233" s="120"/>
      <c r="AG233" s="94"/>
      <c r="AH233" s="120"/>
      <c r="AI233" s="94"/>
      <c r="AJ233" s="94" t="s">
        <v>778</v>
      </c>
      <c r="AK233" s="94" t="s">
        <v>329</v>
      </c>
      <c r="AL233" s="94">
        <v>120</v>
      </c>
      <c r="AM233" s="94" t="str">
        <f>TRIM(AJ233)&amp;TRIM(AL233)&amp;TRIM(AK233)</f>
      </c>
      <c r="AN233" s="116">
        <v>0</v>
      </c>
      <c r="AO233" s="116" t="inlineStr">
        <is>
          <t>#NA</t>
        </is>
      </c>
      <c r="AP233" s="116">
        <f>SUMIFS(M:M,AM:AM,AM233)+SUMIFS(O:O,AM:AM,AM233)</f>
      </c>
      <c r="AQ233" s="116">
        <f>SUMIFS(L:L,AM:AM,AM233)</f>
      </c>
      <c r="AR233" s="116">
        <f>AQ233-AP233</f>
      </c>
      <c r="AS233" s="94" t="str">
        <f>IF(AN233&gt;=AQ233,"ok","ck")</f>
      </c>
      <c r="AT233" s="116">
        <f>-P233</f>
      </c>
      <c r="AU233" s="115">
        <f>IF(SUMIFS(AT:AT,AM:AM,AM233)&gt;AO233,(SUMIFS(AT:AT,AM:AM,AM233)-AO233))</f>
      </c>
      <c r="AV233" s="116">
        <v>0</v>
      </c>
      <c r="AW233" s="121">
        <v>0</v>
      </c>
      <c r="AX233" s="115">
        <f>AN233-AP233</f>
      </c>
    </row>
    <row r="234" spans="1:50" ht="15" hidden="1" customHeight="1" x14ac:dyDescent="0.3">
      <c r="A234" s="94" t="s">
        <v>268</v>
      </c>
      <c r="B234" s="94"/>
      <c r="C234" s="94"/>
      <c r="D234" s="94"/>
      <c r="E234" s="94"/>
      <c r="F234" s="94"/>
      <c r="G234" s="112">
        <f>AU234</f>
      </c>
      <c r="H234" s="113"/>
      <c r="I234" s="94" t="s">
        <v>278</v>
      </c>
      <c r="J234" s="94" t="s">
        <v>328</v>
      </c>
      <c r="K234" s="114">
        <f>P234/3</f>
      </c>
      <c r="L234" s="115">
        <v>27.3</v>
      </c>
      <c r="M234" s="116"/>
      <c r="N234" s="117">
        <f>M234-L234</f>
      </c>
      <c r="O234" s="112"/>
      <c r="P234" s="118">
        <f>N234+O234</f>
      </c>
      <c r="Q234" s="94" t="s">
        <v>778</v>
      </c>
      <c r="R234" s="94" t="s">
        <v>63</v>
      </c>
      <c r="S234" s="119">
        <v>46340</v>
      </c>
      <c r="T234" s="119"/>
      <c r="U234" s="120">
        <v>46340</v>
      </c>
      <c r="V234" s="94"/>
      <c r="W234" s="94"/>
      <c r="X234" s="94"/>
      <c r="Y234" s="119">
        <v>46334</v>
      </c>
      <c r="Z234" s="94"/>
      <c r="AA234" s="120"/>
      <c r="AB234" s="120"/>
      <c r="AC234" s="120"/>
      <c r="AD234" s="120"/>
      <c r="AE234" s="120"/>
      <c r="AF234" s="120"/>
      <c r="AG234" s="94"/>
      <c r="AH234" s="120"/>
      <c r="AI234" s="94"/>
      <c r="AJ234" s="94" t="s">
        <v>778</v>
      </c>
      <c r="AK234" s="94" t="s">
        <v>329</v>
      </c>
      <c r="AL234" s="94">
        <v>120</v>
      </c>
      <c r="AM234" s="94" t="str">
        <f>TRIM(AJ234)&amp;TRIM(AL234)&amp;TRIM(AK234)</f>
      </c>
      <c r="AN234" s="116">
        <v>0</v>
      </c>
      <c r="AO234" s="116" t="inlineStr">
        <is>
          <t>#NA</t>
        </is>
      </c>
      <c r="AP234" s="116">
        <f>SUMIFS(M:M,AM:AM,AM234)+SUMIFS(O:O,AM:AM,AM234)</f>
      </c>
      <c r="AQ234" s="116">
        <f>SUMIFS(L:L,AM:AM,AM234)</f>
      </c>
      <c r="AR234" s="116">
        <f>AQ234-AP234</f>
      </c>
      <c r="AS234" s="94" t="str">
        <f>IF(AN234&gt;=AQ234,"ok","ck")</f>
      </c>
      <c r="AT234" s="116">
        <f>-P234</f>
      </c>
      <c r="AU234" s="115">
        <f>IF(SUMIFS(AT:AT,AM:AM,AM234)&gt;AO234,(SUMIFS(AT:AT,AM:AM,AM234)-AO234))</f>
      </c>
      <c r="AV234" s="116">
        <v>0</v>
      </c>
      <c r="AW234" s="121">
        <v>0</v>
      </c>
      <c r="AX234" s="115">
        <f>AN234-AP234</f>
      </c>
    </row>
    <row r="235" spans="1:50" ht="15" hidden="1" customHeight="1" x14ac:dyDescent="0.3">
      <c r="A235" s="94" t="s">
        <v>268</v>
      </c>
      <c r="B235" s="94"/>
      <c r="C235" s="94"/>
      <c r="D235" s="94"/>
      <c r="E235" s="94"/>
      <c r="F235" s="94"/>
      <c r="G235" s="112">
        <f>AU235</f>
      </c>
      <c r="H235" s="113"/>
      <c r="I235" s="94" t="s">
        <v>278</v>
      </c>
      <c r="J235" s="94" t="s">
        <v>328</v>
      </c>
      <c r="K235" s="114">
        <f>P235/3</f>
      </c>
      <c r="L235" s="115">
        <v>2.1</v>
      </c>
      <c r="M235" s="116"/>
      <c r="N235" s="117">
        <f>M235-L235</f>
      </c>
      <c r="O235" s="112"/>
      <c r="P235" s="118">
        <f>N235+O235</f>
      </c>
      <c r="Q235" s="94" t="s">
        <v>778</v>
      </c>
      <c r="R235" s="94" t="s">
        <v>63</v>
      </c>
      <c r="S235" s="119">
        <v>46340</v>
      </c>
      <c r="T235" s="119"/>
      <c r="U235" s="120">
        <v>46340</v>
      </c>
      <c r="V235" s="94"/>
      <c r="W235" s="94"/>
      <c r="X235" s="94"/>
      <c r="Y235" s="119">
        <v>46337</v>
      </c>
      <c r="Z235" s="94"/>
      <c r="AA235" s="120"/>
      <c r="AB235" s="120"/>
      <c r="AC235" s="120"/>
      <c r="AD235" s="120"/>
      <c r="AE235" s="120"/>
      <c r="AF235" s="120"/>
      <c r="AG235" s="94"/>
      <c r="AH235" s="120"/>
      <c r="AI235" s="94"/>
      <c r="AJ235" s="94" t="s">
        <v>778</v>
      </c>
      <c r="AK235" s="94" t="s">
        <v>329</v>
      </c>
      <c r="AL235" s="94">
        <v>120</v>
      </c>
      <c r="AM235" s="94" t="str">
        <f>TRIM(AJ235)&amp;TRIM(AL235)&amp;TRIM(AK235)</f>
      </c>
      <c r="AN235" s="116">
        <v>0</v>
      </c>
      <c r="AO235" s="116" t="inlineStr">
        <is>
          <t>#NA</t>
        </is>
      </c>
      <c r="AP235" s="116">
        <f>SUMIFS(M:M,AM:AM,AM235)+SUMIFS(O:O,AM:AM,AM235)</f>
      </c>
      <c r="AQ235" s="116">
        <f>SUMIFS(L:L,AM:AM,AM235)</f>
      </c>
      <c r="AR235" s="116">
        <f>AQ235-AP235</f>
      </c>
      <c r="AS235" s="94" t="str">
        <f>IF(AN235&gt;=AQ235,"ok","ck")</f>
      </c>
      <c r="AT235" s="116">
        <f>-P235</f>
      </c>
      <c r="AU235" s="115">
        <f>IF(SUMIFS(AT:AT,AM:AM,AM235)&gt;AO235,(SUMIFS(AT:AT,AM:AM,AM235)-AO235))</f>
      </c>
      <c r="AV235" s="116">
        <v>0</v>
      </c>
      <c r="AW235" s="121">
        <v>0</v>
      </c>
      <c r="AX235" s="115">
        <f>AN235-AP235</f>
      </c>
    </row>
    <row r="236" spans="1:50" ht="15" hidden="1" customHeight="1" x14ac:dyDescent="0.3">
      <c r="A236" s="94" t="s">
        <v>268</v>
      </c>
      <c r="B236" s="94"/>
      <c r="C236" s="94"/>
      <c r="D236" s="94"/>
      <c r="E236" s="94"/>
      <c r="F236" s="94"/>
      <c r="G236" s="112">
        <f>AU236</f>
      </c>
      <c r="H236" s="113"/>
      <c r="I236" s="94" t="s">
        <v>278</v>
      </c>
      <c r="J236" s="94" t="s">
        <v>328</v>
      </c>
      <c r="K236" s="114">
        <f>P236/3</f>
      </c>
      <c r="L236" s="115">
        <v>4.9720000000000004</v>
      </c>
      <c r="M236" s="116"/>
      <c r="N236" s="117">
        <f>M236-L236</f>
      </c>
      <c r="O236" s="112"/>
      <c r="P236" s="118">
        <f>N236+O236</f>
      </c>
      <c r="Q236" s="94" t="s">
        <v>778</v>
      </c>
      <c r="R236" s="94" t="s">
        <v>63</v>
      </c>
      <c r="S236" s="119">
        <v>46340</v>
      </c>
      <c r="T236" s="119"/>
      <c r="U236" s="120">
        <v>46340</v>
      </c>
      <c r="V236" s="94"/>
      <c r="W236" s="94"/>
      <c r="X236" s="94"/>
      <c r="Y236" s="119">
        <v>46337</v>
      </c>
      <c r="Z236" s="94"/>
      <c r="AA236" s="120"/>
      <c r="AB236" s="120"/>
      <c r="AC236" s="120"/>
      <c r="AD236" s="120"/>
      <c r="AE236" s="120"/>
      <c r="AF236" s="120"/>
      <c r="AG236" s="94"/>
      <c r="AH236" s="120"/>
      <c r="AI236" s="94"/>
      <c r="AJ236" s="94" t="s">
        <v>778</v>
      </c>
      <c r="AK236" s="94" t="s">
        <v>329</v>
      </c>
      <c r="AL236" s="94">
        <v>120</v>
      </c>
      <c r="AM236" s="94" t="str">
        <f>TRIM(AJ236)&amp;TRIM(AL236)&amp;TRIM(AK236)</f>
      </c>
      <c r="AN236" s="116">
        <v>0</v>
      </c>
      <c r="AO236" s="116" t="inlineStr">
        <is>
          <t>#NA</t>
        </is>
      </c>
      <c r="AP236" s="116">
        <f>SUMIFS(M:M,AM:AM,AM236)+SUMIFS(O:O,AM:AM,AM236)</f>
      </c>
      <c r="AQ236" s="116">
        <f>SUMIFS(L:L,AM:AM,AM236)</f>
      </c>
      <c r="AR236" s="116">
        <f>AQ236-AP236</f>
      </c>
      <c r="AS236" s="94" t="str">
        <f>IF(AN236&gt;=AQ236,"ok","ck")</f>
      </c>
      <c r="AT236" s="116">
        <f>-P236</f>
      </c>
      <c r="AU236" s="115">
        <f>IF(SUMIFS(AT:AT,AM:AM,AM236)&gt;AO236,(SUMIFS(AT:AT,AM:AM,AM236)-AO236))</f>
      </c>
      <c r="AV236" s="116">
        <v>0</v>
      </c>
      <c r="AW236" s="121">
        <v>0</v>
      </c>
      <c r="AX236" s="115">
        <f>AN236-AP236</f>
      </c>
    </row>
    <row r="237" spans="1:50" ht="15" hidden="1" customHeight="1" x14ac:dyDescent="0.3">
      <c r="A237" s="94" t="s">
        <v>480</v>
      </c>
      <c r="B237" s="94"/>
      <c r="C237" s="94"/>
      <c r="D237" s="94"/>
      <c r="E237" s="94"/>
      <c r="F237" s="94"/>
      <c r="G237" s="112">
        <f>AU237</f>
      </c>
      <c r="H237" s="113"/>
      <c r="I237" s="94" t="s">
        <v>486</v>
      </c>
      <c r="J237" s="94" t="s">
        <v>515</v>
      </c>
      <c r="K237" s="114">
        <f>P237/3</f>
      </c>
      <c r="L237" s="115">
        <v>0.93500000000000005</v>
      </c>
      <c r="M237" s="116">
        <f>L237</f>
      </c>
      <c r="N237" s="117">
        <f>M237-L237</f>
      </c>
      <c r="O237" s="112"/>
      <c r="P237" s="118">
        <f>N237+O237</f>
      </c>
      <c r="Q237" s="94" t="s">
        <v>782</v>
      </c>
      <c r="R237" s="94" t="s">
        <v>63</v>
      </c>
      <c r="S237" s="119">
        <v>46332</v>
      </c>
      <c r="T237" s="119"/>
      <c r="U237" s="120">
        <v>46332</v>
      </c>
      <c r="V237" s="94"/>
      <c r="W237" s="94"/>
      <c r="X237" s="94"/>
      <c r="Y237" s="119">
        <v>46338</v>
      </c>
      <c r="Z237" s="94"/>
      <c r="AA237" s="120"/>
      <c r="AB237" s="120"/>
      <c r="AC237" s="120"/>
      <c r="AD237" s="120"/>
      <c r="AE237" s="120"/>
      <c r="AF237" s="120"/>
      <c r="AG237" s="94"/>
      <c r="AH237" s="120"/>
      <c r="AI237" s="94"/>
      <c r="AJ237" s="94" t="s">
        <v>782</v>
      </c>
      <c r="AK237" s="94" t="s">
        <v>71</v>
      </c>
      <c r="AL237" s="94">
        <v>165</v>
      </c>
      <c r="AM237" s="94" t="str">
        <f>TRIM(AJ237)&amp;TRIM(AL237)&amp;TRIM(AK237)</f>
      </c>
      <c r="AN237" s="116">
        <v>70.59</v>
      </c>
      <c r="AO237" s="116">
        <v>-4.59</v>
      </c>
      <c r="AP237" s="116">
        <f>SUMIFS(M:M,AM:AM,AM237)+SUMIFS(O:O,AM:AM,AM237)</f>
      </c>
      <c r="AQ237" s="116">
        <f>SUMIFS(L:L,AM:AM,AM237)</f>
      </c>
      <c r="AR237" s="116">
        <f>AQ237-AP237</f>
      </c>
      <c r="AS237" s="94" t="str">
        <f>IF(AN237&gt;=AQ237,"ok","ck")</f>
      </c>
      <c r="AT237" s="116">
        <f>-P237</f>
      </c>
      <c r="AU237" s="115">
        <f>IF(SUMIFS(AT:AT,AM:AM,AM237)&gt;AO237,(SUMIFS(AT:AT,AM:AM,AM237)-AO237))</f>
      </c>
      <c r="AV237" s="116">
        <v>70.59</v>
      </c>
      <c r="AW237" s="121">
        <v>1.07</v>
      </c>
      <c r="AX237" s="115">
        <f>AN237-AP237</f>
      </c>
    </row>
    <row r="238" spans="1:50" ht="15" hidden="1" customHeight="1" x14ac:dyDescent="0.3">
      <c r="A238" s="94" t="s">
        <v>480</v>
      </c>
      <c r="B238" s="94"/>
      <c r="C238" s="94"/>
      <c r="D238" s="94"/>
      <c r="E238" s="94"/>
      <c r="F238" s="94"/>
      <c r="G238" s="112">
        <f>AU238</f>
      </c>
      <c r="H238" s="113"/>
      <c r="I238" s="94" t="s">
        <v>486</v>
      </c>
      <c r="J238" s="94" t="s">
        <v>515</v>
      </c>
      <c r="K238" s="114">
        <f>P238/3</f>
      </c>
      <c r="L238" s="115">
        <v>0.13300000000000001</v>
      </c>
      <c r="M238" s="116">
        <f>L238</f>
      </c>
      <c r="N238" s="117">
        <f>M238-L238</f>
      </c>
      <c r="O238" s="112"/>
      <c r="P238" s="118">
        <f>N238+O238</f>
      </c>
      <c r="Q238" s="94" t="s">
        <v>782</v>
      </c>
      <c r="R238" s="94" t="s">
        <v>63</v>
      </c>
      <c r="S238" s="119">
        <v>46332</v>
      </c>
      <c r="T238" s="119"/>
      <c r="U238" s="120">
        <v>46332</v>
      </c>
      <c r="V238" s="94"/>
      <c r="W238" s="94"/>
      <c r="X238" s="94"/>
      <c r="Y238" s="119">
        <v>46338</v>
      </c>
      <c r="Z238" s="94"/>
      <c r="AA238" s="120"/>
      <c r="AB238" s="120"/>
      <c r="AC238" s="120"/>
      <c r="AD238" s="120"/>
      <c r="AE238" s="120"/>
      <c r="AF238" s="120"/>
      <c r="AG238" s="94"/>
      <c r="AH238" s="120"/>
      <c r="AI238" s="94"/>
      <c r="AJ238" s="94" t="s">
        <v>782</v>
      </c>
      <c r="AK238" s="94" t="s">
        <v>71</v>
      </c>
      <c r="AL238" s="94">
        <v>165</v>
      </c>
      <c r="AM238" s="94" t="str">
        <f>TRIM(AJ238)&amp;TRIM(AL238)&amp;TRIM(AK238)</f>
      </c>
      <c r="AN238" s="116">
        <v>70.59</v>
      </c>
      <c r="AO238" s="116">
        <v>-4.59</v>
      </c>
      <c r="AP238" s="116">
        <f>SUMIFS(M:M,AM:AM,AM238)+SUMIFS(O:O,AM:AM,AM238)</f>
      </c>
      <c r="AQ238" s="116">
        <f>SUMIFS(L:L,AM:AM,AM238)</f>
      </c>
      <c r="AR238" s="116">
        <f>AQ238-AP238</f>
      </c>
      <c r="AS238" s="94" t="str">
        <f>IF(AN238&gt;=AQ238,"ok","ck")</f>
      </c>
      <c r="AT238" s="116">
        <f>-P238</f>
      </c>
      <c r="AU238" s="115">
        <f>IF(SUMIFS(AT:AT,AM:AM,AM238)&gt;AO238,(SUMIFS(AT:AT,AM:AM,AM238)-AO238))</f>
      </c>
      <c r="AV238" s="116">
        <v>70.59</v>
      </c>
      <c r="AW238" s="121">
        <v>1.07</v>
      </c>
      <c r="AX238" s="115">
        <f>AN238-AP238</f>
      </c>
    </row>
    <row r="239" spans="1:50" ht="15" hidden="1" customHeight="1" x14ac:dyDescent="0.3">
      <c r="A239" s="94" t="s">
        <v>480</v>
      </c>
      <c r="B239" s="94"/>
      <c r="C239" s="94"/>
      <c r="D239" s="94"/>
      <c r="E239" s="94"/>
      <c r="F239" s="94"/>
      <c r="G239" s="112">
        <f>AU239</f>
      </c>
      <c r="H239" s="113"/>
      <c r="I239" s="94" t="s">
        <v>486</v>
      </c>
      <c r="J239" s="94" t="s">
        <v>515</v>
      </c>
      <c r="K239" s="114">
        <f>P239/3</f>
      </c>
      <c r="L239" s="115">
        <v>4.29</v>
      </c>
      <c r="M239" s="116">
        <f>L239</f>
      </c>
      <c r="N239" s="117">
        <f>M239-L239</f>
      </c>
      <c r="O239" s="112"/>
      <c r="P239" s="118">
        <f>N239+O239</f>
      </c>
      <c r="Q239" s="94" t="s">
        <v>782</v>
      </c>
      <c r="R239" s="94" t="s">
        <v>63</v>
      </c>
      <c r="S239" s="119">
        <v>46332</v>
      </c>
      <c r="T239" s="119"/>
      <c r="U239" s="120">
        <v>46332</v>
      </c>
      <c r="V239" s="94"/>
      <c r="W239" s="94"/>
      <c r="X239" s="94"/>
      <c r="Y239" s="119">
        <v>46337</v>
      </c>
      <c r="Z239" s="94"/>
      <c r="AA239" s="120"/>
      <c r="AB239" s="120"/>
      <c r="AC239" s="120"/>
      <c r="AD239" s="120"/>
      <c r="AE239" s="120"/>
      <c r="AF239" s="120"/>
      <c r="AG239" s="94"/>
      <c r="AH239" s="120"/>
      <c r="AI239" s="94"/>
      <c r="AJ239" s="94" t="s">
        <v>782</v>
      </c>
      <c r="AK239" s="94" t="s">
        <v>71</v>
      </c>
      <c r="AL239" s="94">
        <v>165</v>
      </c>
      <c r="AM239" s="94" t="str">
        <f>TRIM(AJ239)&amp;TRIM(AL239)&amp;TRIM(AK239)</f>
      </c>
      <c r="AN239" s="116">
        <v>70.59</v>
      </c>
      <c r="AO239" s="116">
        <v>-4.59</v>
      </c>
      <c r="AP239" s="116">
        <f>SUMIFS(M:M,AM:AM,AM239)+SUMIFS(O:O,AM:AM,AM239)</f>
      </c>
      <c r="AQ239" s="116">
        <f>SUMIFS(L:L,AM:AM,AM239)</f>
      </c>
      <c r="AR239" s="116">
        <f>AQ239-AP239</f>
      </c>
      <c r="AS239" s="94" t="str">
        <f>IF(AN239&gt;=AQ239,"ok","ck")</f>
      </c>
      <c r="AT239" s="116">
        <f>-P239</f>
      </c>
      <c r="AU239" s="115">
        <f>IF(SUMIFS(AT:AT,AM:AM,AM239)&gt;AO239,(SUMIFS(AT:AT,AM:AM,AM239)-AO239))</f>
      </c>
      <c r="AV239" s="116">
        <v>70.59</v>
      </c>
      <c r="AW239" s="121">
        <v>1.07</v>
      </c>
      <c r="AX239" s="115">
        <f>AN239-AP239</f>
      </c>
    </row>
    <row r="240" spans="1:50" ht="15" hidden="1" customHeight="1" x14ac:dyDescent="0.3">
      <c r="A240" s="94" t="s">
        <v>480</v>
      </c>
      <c r="B240" s="94"/>
      <c r="C240" s="94"/>
      <c r="D240" s="94"/>
      <c r="E240" s="94"/>
      <c r="F240" s="94"/>
      <c r="G240" s="112">
        <f>AU240</f>
      </c>
      <c r="H240" s="113"/>
      <c r="I240" s="94" t="s">
        <v>486</v>
      </c>
      <c r="J240" s="94" t="s">
        <v>515</v>
      </c>
      <c r="K240" s="114">
        <f>P240/3</f>
      </c>
      <c r="L240" s="115">
        <v>0.36699999999999999</v>
      </c>
      <c r="M240" s="116">
        <f>L240</f>
      </c>
      <c r="N240" s="117">
        <f>M240-L240</f>
      </c>
      <c r="O240" s="112"/>
      <c r="P240" s="118">
        <f>N240+O240</f>
      </c>
      <c r="Q240" s="94" t="s">
        <v>782</v>
      </c>
      <c r="R240" s="94" t="s">
        <v>63</v>
      </c>
      <c r="S240" s="119">
        <v>46332</v>
      </c>
      <c r="T240" s="119"/>
      <c r="U240" s="120">
        <v>46332</v>
      </c>
      <c r="V240" s="94"/>
      <c r="W240" s="94"/>
      <c r="X240" s="94"/>
      <c r="Y240" s="119">
        <v>46337</v>
      </c>
      <c r="Z240" s="94"/>
      <c r="AA240" s="120"/>
      <c r="AB240" s="120"/>
      <c r="AC240" s="120"/>
      <c r="AD240" s="120"/>
      <c r="AE240" s="120"/>
      <c r="AF240" s="120"/>
      <c r="AG240" s="94"/>
      <c r="AH240" s="120"/>
      <c r="AI240" s="94"/>
      <c r="AJ240" s="94" t="s">
        <v>782</v>
      </c>
      <c r="AK240" s="94" t="s">
        <v>71</v>
      </c>
      <c r="AL240" s="94">
        <v>165</v>
      </c>
      <c r="AM240" s="94" t="str">
        <f>TRIM(AJ240)&amp;TRIM(AL240)&amp;TRIM(AK240)</f>
      </c>
      <c r="AN240" s="116">
        <v>70.59</v>
      </c>
      <c r="AO240" s="116">
        <v>-4.59</v>
      </c>
      <c r="AP240" s="116">
        <f>SUMIFS(M:M,AM:AM,AM240)+SUMIFS(O:O,AM:AM,AM240)</f>
      </c>
      <c r="AQ240" s="116">
        <f>SUMIFS(L:L,AM:AM,AM240)</f>
      </c>
      <c r="AR240" s="116">
        <f>AQ240-AP240</f>
      </c>
      <c r="AS240" s="94" t="str">
        <f>IF(AN240&gt;=AQ240,"ok","ck")</f>
      </c>
      <c r="AT240" s="116">
        <f>-P240</f>
      </c>
      <c r="AU240" s="115">
        <f>IF(SUMIFS(AT:AT,AM:AM,AM240)&gt;AO240,(SUMIFS(AT:AT,AM:AM,AM240)-AO240))</f>
      </c>
      <c r="AV240" s="116">
        <v>70.59</v>
      </c>
      <c r="AW240" s="121">
        <v>1.07</v>
      </c>
      <c r="AX240" s="115">
        <f>AN240-AP240</f>
      </c>
    </row>
    <row r="241" spans="1:50" ht="15" hidden="1" customHeight="1" x14ac:dyDescent="0.3">
      <c r="A241" s="94" t="s">
        <v>480</v>
      </c>
      <c r="B241" s="94"/>
      <c r="C241" s="94"/>
      <c r="D241" s="94"/>
      <c r="E241" s="94"/>
      <c r="F241" s="94"/>
      <c r="G241" s="112">
        <f>AU241</f>
      </c>
      <c r="H241" s="113"/>
      <c r="I241" s="94" t="s">
        <v>486</v>
      </c>
      <c r="J241" s="94" t="s">
        <v>515</v>
      </c>
      <c r="K241" s="114">
        <f>P241/3</f>
      </c>
      <c r="L241" s="115">
        <v>0.57899999999999996</v>
      </c>
      <c r="M241" s="116">
        <f>L241</f>
      </c>
      <c r="N241" s="117">
        <f>M241-L241</f>
      </c>
      <c r="O241" s="112"/>
      <c r="P241" s="118">
        <f>N241+O241</f>
      </c>
      <c r="Q241" s="94" t="s">
        <v>782</v>
      </c>
      <c r="R241" s="94" t="s">
        <v>63</v>
      </c>
      <c r="S241" s="119">
        <v>46332</v>
      </c>
      <c r="T241" s="119"/>
      <c r="U241" s="120">
        <v>46332</v>
      </c>
      <c r="V241" s="94"/>
      <c r="W241" s="94"/>
      <c r="X241" s="94"/>
      <c r="Y241" s="119">
        <v>46338</v>
      </c>
      <c r="Z241" s="94"/>
      <c r="AA241" s="120"/>
      <c r="AB241" s="120"/>
      <c r="AC241" s="120"/>
      <c r="AD241" s="120"/>
      <c r="AE241" s="120"/>
      <c r="AF241" s="120"/>
      <c r="AG241" s="94"/>
      <c r="AH241" s="120"/>
      <c r="AI241" s="94"/>
      <c r="AJ241" s="94" t="s">
        <v>782</v>
      </c>
      <c r="AK241" s="94" t="s">
        <v>71</v>
      </c>
      <c r="AL241" s="94">
        <v>165</v>
      </c>
      <c r="AM241" s="94" t="str">
        <f>TRIM(AJ241)&amp;TRIM(AL241)&amp;TRIM(AK241)</f>
      </c>
      <c r="AN241" s="116">
        <v>70.59</v>
      </c>
      <c r="AO241" s="116">
        <v>-4.59</v>
      </c>
      <c r="AP241" s="116">
        <f>SUMIFS(M:M,AM:AM,AM241)+SUMIFS(O:O,AM:AM,AM241)</f>
      </c>
      <c r="AQ241" s="116">
        <f>SUMIFS(L:L,AM:AM,AM241)</f>
      </c>
      <c r="AR241" s="116">
        <f>AQ241-AP241</f>
      </c>
      <c r="AS241" s="94" t="str">
        <f>IF(AN241&gt;=AQ241,"ok","ck")</f>
      </c>
      <c r="AT241" s="116">
        <f>-P241</f>
      </c>
      <c r="AU241" s="115">
        <f>IF(SUMIFS(AT:AT,AM:AM,AM241)&gt;AO241,(SUMIFS(AT:AT,AM:AM,AM241)-AO241))</f>
      </c>
      <c r="AV241" s="116">
        <v>70.59</v>
      </c>
      <c r="AW241" s="121">
        <v>1.07</v>
      </c>
      <c r="AX241" s="115">
        <f>AN241-AP241</f>
      </c>
    </row>
    <row r="242" spans="1:50" ht="15" hidden="1" customHeight="1" x14ac:dyDescent="0.3">
      <c r="A242" s="94" t="s">
        <v>268</v>
      </c>
      <c r="B242" s="94"/>
      <c r="C242" s="94"/>
      <c r="D242" s="94"/>
      <c r="E242" s="94"/>
      <c r="F242" s="94"/>
      <c r="G242" s="112">
        <f>AU242</f>
      </c>
      <c r="H242" s="113"/>
      <c r="I242" s="94" t="s">
        <v>278</v>
      </c>
      <c r="J242" s="94" t="s">
        <v>328</v>
      </c>
      <c r="K242" s="114">
        <f>P242/3</f>
      </c>
      <c r="L242" s="115">
        <v>0.1</v>
      </c>
      <c r="M242" s="116"/>
      <c r="N242" s="117">
        <f>M242-L242</f>
      </c>
      <c r="O242" s="112"/>
      <c r="P242" s="118">
        <f>N242+O242</f>
      </c>
      <c r="Q242" s="94" t="s">
        <v>778</v>
      </c>
      <c r="R242" s="94" t="s">
        <v>63</v>
      </c>
      <c r="S242" s="119">
        <v>46337</v>
      </c>
      <c r="T242" s="119"/>
      <c r="U242" s="120">
        <v>46337</v>
      </c>
      <c r="V242" s="94"/>
      <c r="W242" s="94"/>
      <c r="X242" s="94"/>
      <c r="Y242" s="119">
        <v>46337</v>
      </c>
      <c r="Z242" s="94"/>
      <c r="AA242" s="120"/>
      <c r="AB242" s="120"/>
      <c r="AC242" s="120"/>
      <c r="AD242" s="120"/>
      <c r="AE242" s="120"/>
      <c r="AF242" s="120"/>
      <c r="AG242" s="94"/>
      <c r="AH242" s="120"/>
      <c r="AI242" s="94"/>
      <c r="AJ242" s="94" t="s">
        <v>778</v>
      </c>
      <c r="AK242" s="94" t="s">
        <v>329</v>
      </c>
      <c r="AL242" s="94">
        <v>120</v>
      </c>
      <c r="AM242" s="94" t="str">
        <f>TRIM(AJ242)&amp;TRIM(AL242)&amp;TRIM(AK242)</f>
      </c>
      <c r="AN242" s="116">
        <v>0</v>
      </c>
      <c r="AO242" s="116" t="inlineStr">
        <is>
          <t>#NA</t>
        </is>
      </c>
      <c r="AP242" s="116">
        <f>SUMIFS(M:M,AM:AM,AM242)+SUMIFS(O:O,AM:AM,AM242)</f>
      </c>
      <c r="AQ242" s="116">
        <f>SUMIFS(L:L,AM:AM,AM242)</f>
      </c>
      <c r="AR242" s="116">
        <f>AQ242-AP242</f>
      </c>
      <c r="AS242" s="94" t="str">
        <f>IF(AN242&gt;=AQ242,"ok","ck")</f>
      </c>
      <c r="AT242" s="116">
        <f>-P242</f>
      </c>
      <c r="AU242" s="115">
        <f>IF(SUMIFS(AT:AT,AM:AM,AM242)&gt;AO242,(SUMIFS(AT:AT,AM:AM,AM242)-AO242))</f>
      </c>
      <c r="AV242" s="116">
        <v>0</v>
      </c>
      <c r="AW242" s="121">
        <v>0</v>
      </c>
      <c r="AX242" s="115">
        <f>AN242-AP242</f>
      </c>
    </row>
    <row r="243" spans="1:50" ht="15" hidden="1" customHeight="1" x14ac:dyDescent="0.3">
      <c r="A243" s="94" t="s">
        <v>268</v>
      </c>
      <c r="B243" s="94"/>
      <c r="C243" s="94"/>
      <c r="D243" s="94"/>
      <c r="E243" s="94"/>
      <c r="F243" s="94"/>
      <c r="G243" s="112">
        <f>AU243</f>
      </c>
      <c r="H243" s="113"/>
      <c r="I243" s="94" t="s">
        <v>278</v>
      </c>
      <c r="J243" s="94" t="s">
        <v>328</v>
      </c>
      <c r="K243" s="114">
        <f>P243/3</f>
      </c>
      <c r="L243" s="115">
        <v>24.42</v>
      </c>
      <c r="M243" s="116"/>
      <c r="N243" s="117">
        <f>M243-L243</f>
      </c>
      <c r="O243" s="112"/>
      <c r="P243" s="118">
        <f>N243+O243</f>
      </c>
      <c r="Q243" s="94" t="s">
        <v>778</v>
      </c>
      <c r="R243" s="94" t="s">
        <v>63</v>
      </c>
      <c r="S243" s="119">
        <v>46340</v>
      </c>
      <c r="T243" s="119"/>
      <c r="U243" s="120">
        <v>46340</v>
      </c>
      <c r="V243" s="94"/>
      <c r="W243" s="94"/>
      <c r="X243" s="94"/>
      <c r="Y243" s="119">
        <v>46326</v>
      </c>
      <c r="Z243" s="94"/>
      <c r="AA243" s="120"/>
      <c r="AB243" s="120"/>
      <c r="AC243" s="120"/>
      <c r="AD243" s="120"/>
      <c r="AE243" s="120"/>
      <c r="AF243" s="120"/>
      <c r="AG243" s="94"/>
      <c r="AH243" s="120"/>
      <c r="AI243" s="94"/>
      <c r="AJ243" s="94" t="s">
        <v>778</v>
      </c>
      <c r="AK243" s="94" t="s">
        <v>329</v>
      </c>
      <c r="AL243" s="94">
        <v>120</v>
      </c>
      <c r="AM243" s="94" t="str">
        <f>TRIM(AJ243)&amp;TRIM(AL243)&amp;TRIM(AK243)</f>
      </c>
      <c r="AN243" s="116">
        <v>0</v>
      </c>
      <c r="AO243" s="116" t="inlineStr">
        <is>
          <t>#NA</t>
        </is>
      </c>
      <c r="AP243" s="116">
        <f>SUMIFS(M:M,AM:AM,AM243)+SUMIFS(O:O,AM:AM,AM243)</f>
      </c>
      <c r="AQ243" s="116">
        <f>SUMIFS(L:L,AM:AM,AM243)</f>
      </c>
      <c r="AR243" s="116">
        <f>AQ243-AP243</f>
      </c>
      <c r="AS243" s="94" t="str">
        <f>IF(AN243&gt;=AQ243,"ok","ck")</f>
      </c>
      <c r="AT243" s="116">
        <f>-P243</f>
      </c>
      <c r="AU243" s="115">
        <f>IF(SUMIFS(AT:AT,AM:AM,AM243)&gt;AO243,(SUMIFS(AT:AT,AM:AM,AM243)-AO243))</f>
      </c>
      <c r="AV243" s="116">
        <v>0</v>
      </c>
      <c r="AW243" s="121">
        <v>0</v>
      </c>
      <c r="AX243" s="115">
        <f>AN243-AP243</f>
      </c>
    </row>
    <row r="244" spans="1:50" ht="15" hidden="1" customHeight="1" x14ac:dyDescent="0.3">
      <c r="A244" s="94" t="s">
        <v>268</v>
      </c>
      <c r="B244" s="94"/>
      <c r="C244" s="94"/>
      <c r="D244" s="94"/>
      <c r="E244" s="94"/>
      <c r="F244" s="94"/>
      <c r="G244" s="112">
        <f>AU244</f>
      </c>
      <c r="H244" s="113"/>
      <c r="I244" s="94" t="s">
        <v>278</v>
      </c>
      <c r="J244" s="94" t="s">
        <v>328</v>
      </c>
      <c r="K244" s="114">
        <f>P244/3</f>
      </c>
      <c r="L244" s="115">
        <v>6.4379999999999997</v>
      </c>
      <c r="M244" s="116"/>
      <c r="N244" s="117">
        <f>M244-L244</f>
      </c>
      <c r="O244" s="112"/>
      <c r="P244" s="118">
        <f>N244+O244</f>
      </c>
      <c r="Q244" s="94" t="s">
        <v>778</v>
      </c>
      <c r="R244" s="94" t="s">
        <v>63</v>
      </c>
      <c r="S244" s="119">
        <v>46340</v>
      </c>
      <c r="T244" s="119"/>
      <c r="U244" s="120">
        <v>46340</v>
      </c>
      <c r="V244" s="94"/>
      <c r="W244" s="94"/>
      <c r="X244" s="94"/>
      <c r="Y244" s="119">
        <v>46329</v>
      </c>
      <c r="Z244" s="94"/>
      <c r="AA244" s="120"/>
      <c r="AB244" s="120"/>
      <c r="AC244" s="120"/>
      <c r="AD244" s="120"/>
      <c r="AE244" s="120"/>
      <c r="AF244" s="120"/>
      <c r="AG244" s="94"/>
      <c r="AH244" s="120"/>
      <c r="AI244" s="94"/>
      <c r="AJ244" s="94" t="s">
        <v>778</v>
      </c>
      <c r="AK244" s="94" t="s">
        <v>329</v>
      </c>
      <c r="AL244" s="94">
        <v>120</v>
      </c>
      <c r="AM244" s="94" t="str">
        <f>TRIM(AJ244)&amp;TRIM(AL244)&amp;TRIM(AK244)</f>
      </c>
      <c r="AN244" s="116">
        <v>0</v>
      </c>
      <c r="AO244" s="116" t="inlineStr">
        <is>
          <t>#NA</t>
        </is>
      </c>
      <c r="AP244" s="116">
        <f>SUMIFS(M:M,AM:AM,AM244)+SUMIFS(O:O,AM:AM,AM244)</f>
      </c>
      <c r="AQ244" s="116">
        <f>SUMIFS(L:L,AM:AM,AM244)</f>
      </c>
      <c r="AR244" s="116">
        <f>AQ244-AP244</f>
      </c>
      <c r="AS244" s="94" t="str">
        <f>IF(AN244&gt;=AQ244,"ok","ck")</f>
      </c>
      <c r="AT244" s="116">
        <f>-P244</f>
      </c>
      <c r="AU244" s="115">
        <f>IF(SUMIFS(AT:AT,AM:AM,AM244)&gt;AO244,(SUMIFS(AT:AT,AM:AM,AM244)-AO244))</f>
      </c>
      <c r="AV244" s="116">
        <v>0</v>
      </c>
      <c r="AW244" s="121">
        <v>0</v>
      </c>
      <c r="AX244" s="115">
        <f>AN244-AP244</f>
      </c>
    </row>
    <row r="245" spans="1:50" ht="15" hidden="1" customHeight="1" x14ac:dyDescent="0.3">
      <c r="A245" s="94" t="s">
        <v>268</v>
      </c>
      <c r="B245" s="94"/>
      <c r="C245" s="94"/>
      <c r="D245" s="94"/>
      <c r="E245" s="94"/>
      <c r="F245" s="94"/>
      <c r="G245" s="112">
        <f>AU245</f>
      </c>
      <c r="H245" s="113"/>
      <c r="I245" s="94" t="s">
        <v>278</v>
      </c>
      <c r="J245" s="94" t="s">
        <v>326</v>
      </c>
      <c r="K245" s="114">
        <f>P245/3</f>
      </c>
      <c r="L245" s="115">
        <v>104.92100000000001</v>
      </c>
      <c r="M245" s="116"/>
      <c r="N245" s="117">
        <f>M245-L245</f>
      </c>
      <c r="O245" s="112"/>
      <c r="P245" s="118">
        <f>N245+O245</f>
      </c>
      <c r="Q245" s="94" t="s">
        <v>778</v>
      </c>
      <c r="R245" s="94" t="s">
        <v>63</v>
      </c>
      <c r="S245" s="119">
        <v>46335</v>
      </c>
      <c r="T245" s="119"/>
      <c r="U245" s="120" t="s">
        <v>639</v>
      </c>
      <c r="V245" s="94"/>
      <c r="W245" s="94"/>
      <c r="X245" s="94"/>
      <c r="Y245" s="119">
        <v>46342</v>
      </c>
      <c r="Z245" s="94"/>
      <c r="AA245" s="120"/>
      <c r="AB245" s="120"/>
      <c r="AC245" s="120"/>
      <c r="AD245" s="120"/>
      <c r="AE245" s="120"/>
      <c r="AF245" s="120"/>
      <c r="AG245" s="94"/>
      <c r="AH245" s="120"/>
      <c r="AI245" s="94"/>
      <c r="AJ245" s="94" t="s">
        <v>778</v>
      </c>
      <c r="AK245" s="94" t="s">
        <v>327</v>
      </c>
      <c r="AL245" s="94">
        <v>120</v>
      </c>
      <c r="AM245" s="94" t="str">
        <f>TRIM(AJ245)&amp;TRIM(AL245)&amp;TRIM(AK245)</f>
      </c>
      <c r="AN245" s="116">
        <v>0</v>
      </c>
      <c r="AO245" s="116" t="inlineStr">
        <is>
          <t>#NA</t>
        </is>
      </c>
      <c r="AP245" s="116">
        <f>SUMIFS(M:M,AM:AM,AM245)+SUMIFS(O:O,AM:AM,AM245)</f>
      </c>
      <c r="AQ245" s="116">
        <f>SUMIFS(L:L,AM:AM,AM245)</f>
      </c>
      <c r="AR245" s="116">
        <f>AQ245-AP245</f>
      </c>
      <c r="AS245" s="94" t="str">
        <f>IF(AN245&gt;=AQ245,"ok","ck")</f>
      </c>
      <c r="AT245" s="116">
        <f>-P245</f>
      </c>
      <c r="AU245" s="115">
        <f>IF(SUMIFS(AT:AT,AM:AM,AM245)&gt;AO245,(SUMIFS(AT:AT,AM:AM,AM245)-AO245))</f>
      </c>
      <c r="AV245" s="116">
        <v>0</v>
      </c>
      <c r="AW245" s="121">
        <v>0</v>
      </c>
      <c r="AX245" s="115">
        <f>AN245-AP245</f>
      </c>
    </row>
    <row r="246" spans="1:50" ht="15" hidden="1" customHeight="1" x14ac:dyDescent="0.3">
      <c r="A246" s="94" t="s">
        <v>288</v>
      </c>
      <c r="B246" s="94"/>
      <c r="C246" s="94"/>
      <c r="D246" s="94"/>
      <c r="E246" s="94"/>
      <c r="F246" s="94"/>
      <c r="G246" s="112">
        <f>AU246</f>
      </c>
      <c r="H246" s="113"/>
      <c r="I246" s="94" t="s">
        <v>289</v>
      </c>
      <c r="J246" s="94" t="s">
        <v>286</v>
      </c>
      <c r="K246" s="114">
        <f>P246/3</f>
      </c>
      <c r="L246" s="115">
        <v>0.84399999999999997</v>
      </c>
      <c r="M246" s="116">
        <f>L246</f>
      </c>
      <c r="N246" s="117">
        <f>M246-L246</f>
      </c>
      <c r="O246" s="112"/>
      <c r="P246" s="118">
        <f>N246+O246</f>
      </c>
      <c r="Q246" s="94" t="s">
        <v>332</v>
      </c>
      <c r="R246" s="94" t="s">
        <v>63</v>
      </c>
      <c r="S246" s="119">
        <v>46330</v>
      </c>
      <c r="T246" s="119"/>
      <c r="U246" s="120">
        <v>46330</v>
      </c>
      <c r="V246" s="94"/>
      <c r="W246" s="94"/>
      <c r="X246" s="94"/>
      <c r="Y246" s="119">
        <v>46330</v>
      </c>
      <c r="Z246" s="94"/>
      <c r="AA246" s="120"/>
      <c r="AB246" s="120"/>
      <c r="AC246" s="120"/>
      <c r="AD246" s="120"/>
      <c r="AE246" s="120"/>
      <c r="AF246" s="120"/>
      <c r="AG246" s="94"/>
      <c r="AH246" s="120"/>
      <c r="AI246" s="94"/>
      <c r="AJ246" s="94" t="s">
        <v>783</v>
      </c>
      <c r="AK246" s="94" t="s">
        <v>281</v>
      </c>
      <c r="AL246" s="94">
        <v>235</v>
      </c>
      <c r="AM246" s="94" t="str">
        <f>TRIM(AJ246)&amp;TRIM(AL246)&amp;TRIM(AK246)</f>
      </c>
      <c r="AN246" s="116">
        <v>1303.48</v>
      </c>
      <c r="AO246" s="116">
        <v>-28.91</v>
      </c>
      <c r="AP246" s="116">
        <f>SUMIFS(M:M,AM:AM,AM246)+SUMIFS(O:O,AM:AM,AM246)</f>
      </c>
      <c r="AQ246" s="116">
        <f>SUMIFS(L:L,AM:AM,AM246)</f>
      </c>
      <c r="AR246" s="116">
        <f>AQ246-AP246</f>
      </c>
      <c r="AS246" s="94" t="str">
        <f>IF(AN246&gt;=AQ246,"ok","ck")</f>
      </c>
      <c r="AT246" s="116">
        <f>-P246</f>
      </c>
      <c r="AU246" s="115">
        <f>IF(SUMIFS(AT:AT,AM:AM,AM246)&gt;AO246,(SUMIFS(AT:AT,AM:AM,AM246)-AO246))</f>
      </c>
      <c r="AV246" s="116">
        <v>1303.48</v>
      </c>
      <c r="AW246" s="121">
        <v>1.023</v>
      </c>
      <c r="AX246" s="115">
        <f>AN246-AP246</f>
      </c>
    </row>
    <row r="247" spans="1:50" ht="15" hidden="1" customHeight="1" x14ac:dyDescent="0.3">
      <c r="A247" s="94" t="s">
        <v>288</v>
      </c>
      <c r="B247" s="94"/>
      <c r="C247" s="94"/>
      <c r="D247" s="94"/>
      <c r="E247" s="94"/>
      <c r="F247" s="94"/>
      <c r="G247" s="112">
        <f>AU247</f>
      </c>
      <c r="H247" s="113"/>
      <c r="I247" s="94" t="s">
        <v>289</v>
      </c>
      <c r="J247" s="94" t="s">
        <v>286</v>
      </c>
      <c r="K247" s="114">
        <f>P247/3</f>
      </c>
      <c r="L247" s="115">
        <v>0</v>
      </c>
      <c r="M247" s="116">
        <f>L247</f>
      </c>
      <c r="N247" s="117">
        <f>M247-L247</f>
      </c>
      <c r="O247" s="112"/>
      <c r="P247" s="118">
        <f>N247+O247</f>
      </c>
      <c r="Q247" s="94" t="s">
        <v>332</v>
      </c>
      <c r="R247" s="94" t="s">
        <v>63</v>
      </c>
      <c r="S247" s="119">
        <v>46320</v>
      </c>
      <c r="T247" s="119"/>
      <c r="U247" s="120">
        <v>46320</v>
      </c>
      <c r="V247" s="94"/>
      <c r="W247" s="94"/>
      <c r="X247" s="94"/>
      <c r="Y247" s="119">
        <v>46320</v>
      </c>
      <c r="Z247" s="94"/>
      <c r="AA247" s="120"/>
      <c r="AB247" s="120"/>
      <c r="AC247" s="120"/>
      <c r="AD247" s="120"/>
      <c r="AE247" s="120"/>
      <c r="AF247" s="120"/>
      <c r="AG247" s="94"/>
      <c r="AH247" s="120"/>
      <c r="AI247" s="94"/>
      <c r="AJ247" s="94" t="s">
        <v>783</v>
      </c>
      <c r="AK247" s="94" t="s">
        <v>281</v>
      </c>
      <c r="AL247" s="94">
        <v>235</v>
      </c>
      <c r="AM247" s="94" t="str">
        <f>TRIM(AJ247)&amp;TRIM(AL247)&amp;TRIM(AK247)</f>
      </c>
      <c r="AN247" s="116">
        <v>1303.48</v>
      </c>
      <c r="AO247" s="116">
        <v>-28.91</v>
      </c>
      <c r="AP247" s="116">
        <f>SUMIFS(M:M,AM:AM,AM247)+SUMIFS(O:O,AM:AM,AM247)</f>
      </c>
      <c r="AQ247" s="116">
        <f>SUMIFS(L:L,AM:AM,AM247)</f>
      </c>
      <c r="AR247" s="116">
        <f>AQ247-AP247</f>
      </c>
      <c r="AS247" s="94" t="str">
        <f>IF(AN247&gt;=AQ247,"ok","ck")</f>
      </c>
      <c r="AT247" s="116">
        <f>-P247</f>
      </c>
      <c r="AU247" s="115">
        <f>IF(SUMIFS(AT:AT,AM:AM,AM247)&gt;AO247,(SUMIFS(AT:AT,AM:AM,AM247)-AO247))</f>
      </c>
      <c r="AV247" s="116">
        <v>1303.48</v>
      </c>
      <c r="AW247" s="121">
        <v>1.023</v>
      </c>
      <c r="AX247" s="115">
        <f>AN247-AP247</f>
      </c>
    </row>
    <row r="248" spans="1:50" ht="15" hidden="1" customHeight="1" x14ac:dyDescent="0.3">
      <c r="A248" s="94" t="s">
        <v>288</v>
      </c>
      <c r="B248" s="94"/>
      <c r="C248" s="94"/>
      <c r="D248" s="94"/>
      <c r="E248" s="94"/>
      <c r="F248" s="94"/>
      <c r="G248" s="112">
        <f>AU248</f>
      </c>
      <c r="H248" s="113"/>
      <c r="I248" s="94" t="s">
        <v>289</v>
      </c>
      <c r="J248" s="94" t="s">
        <v>286</v>
      </c>
      <c r="K248" s="114">
        <f>P248/3</f>
      </c>
      <c r="L248" s="115">
        <v>0</v>
      </c>
      <c r="M248" s="116">
        <f>L248</f>
      </c>
      <c r="N248" s="117">
        <f>M248-L248</f>
      </c>
      <c r="O248" s="112"/>
      <c r="P248" s="118">
        <f>N248+O248</f>
      </c>
      <c r="Q248" s="94" t="s">
        <v>332</v>
      </c>
      <c r="R248" s="94" t="s">
        <v>63</v>
      </c>
      <c r="S248" s="119">
        <v>46320</v>
      </c>
      <c r="T248" s="119"/>
      <c r="U248" s="119">
        <v>46320</v>
      </c>
      <c r="V248" s="94"/>
      <c r="W248" s="94"/>
      <c r="X248" s="94"/>
      <c r="Y248" s="119">
        <v>46320</v>
      </c>
      <c r="Z248" s="94"/>
      <c r="AA248" s="120"/>
      <c r="AB248" s="120"/>
      <c r="AC248" s="120"/>
      <c r="AD248" s="120"/>
      <c r="AE248" s="120"/>
      <c r="AF248" s="120"/>
      <c r="AG248" s="94"/>
      <c r="AH248" s="120"/>
      <c r="AI248" s="94"/>
      <c r="AJ248" s="94" t="s">
        <v>783</v>
      </c>
      <c r="AK248" s="94" t="s">
        <v>281</v>
      </c>
      <c r="AL248" s="94">
        <v>235</v>
      </c>
      <c r="AM248" s="94" t="str">
        <f>TRIM(AJ248)&amp;TRIM(AL248)&amp;TRIM(AK248)</f>
      </c>
      <c r="AN248" s="116">
        <v>1303.48</v>
      </c>
      <c r="AO248" s="116">
        <v>-28.91</v>
      </c>
      <c r="AP248" s="116">
        <f>SUMIFS(M:M,AM:AM,AM248)+SUMIFS(O:O,AM:AM,AM248)</f>
      </c>
      <c r="AQ248" s="116">
        <f>SUMIFS(L:L,AM:AM,AM248)</f>
      </c>
      <c r="AR248" s="116">
        <f>AQ248-AP248</f>
      </c>
      <c r="AS248" s="94" t="str">
        <f>IF(AN248&gt;=AQ248,"ok","ck")</f>
      </c>
      <c r="AT248" s="116">
        <f>-P248</f>
      </c>
      <c r="AU248" s="115">
        <f>IF(SUMIFS(AT:AT,AM:AM,AM248)&gt;AO248,(SUMIFS(AT:AT,AM:AM,AM248)-AO248))</f>
      </c>
      <c r="AV248" s="116">
        <v>1303.48</v>
      </c>
      <c r="AW248" s="121">
        <v>1.023</v>
      </c>
      <c r="AX248" s="115">
        <f>AN248-AP248</f>
      </c>
    </row>
    <row r="249" spans="1:50" ht="15" hidden="1" customHeight="1" x14ac:dyDescent="0.3">
      <c r="A249" s="94" t="s">
        <v>268</v>
      </c>
      <c r="B249" s="94"/>
      <c r="C249" s="94"/>
      <c r="D249" s="94"/>
      <c r="E249" s="94"/>
      <c r="F249" s="94"/>
      <c r="G249" s="112">
        <f>AU249</f>
      </c>
      <c r="H249" s="113"/>
      <c r="I249" s="94" t="s">
        <v>278</v>
      </c>
      <c r="J249" s="94" t="s">
        <v>503</v>
      </c>
      <c r="K249" s="114">
        <f>P249/3</f>
      </c>
      <c r="L249" s="115">
        <v>0.13400000000000001</v>
      </c>
      <c r="M249" s="116"/>
      <c r="N249" s="117">
        <f>M249-L249</f>
      </c>
      <c r="O249" s="112"/>
      <c r="P249" s="118">
        <f>N249+O249</f>
      </c>
      <c r="Q249" s="94" t="s">
        <v>778</v>
      </c>
      <c r="R249" s="94" t="s">
        <v>63</v>
      </c>
      <c r="S249" s="119">
        <v>46341</v>
      </c>
      <c r="T249" s="119"/>
      <c r="U249" s="119">
        <v>46341</v>
      </c>
      <c r="V249" s="94"/>
      <c r="W249" s="94"/>
      <c r="X249" s="94"/>
      <c r="Y249" s="119">
        <v>46341</v>
      </c>
      <c r="Z249" s="94"/>
      <c r="AA249" s="120"/>
      <c r="AB249" s="120"/>
      <c r="AC249" s="120"/>
      <c r="AD249" s="120"/>
      <c r="AE249" s="120"/>
      <c r="AF249" s="120"/>
      <c r="AG249" s="94"/>
      <c r="AH249" s="120"/>
      <c r="AI249" s="94"/>
      <c r="AJ249" s="94" t="s">
        <v>778</v>
      </c>
      <c r="AK249" s="94" t="s">
        <v>697</v>
      </c>
      <c r="AL249" s="94">
        <v>120</v>
      </c>
      <c r="AM249" s="94" t="str">
        <f>TRIM(AJ249)&amp;TRIM(AL249)&amp;TRIM(AK249)</f>
      </c>
      <c r="AN249" s="116">
        <v>0</v>
      </c>
      <c r="AO249" s="116" t="inlineStr">
        <is>
          <t>#NA</t>
        </is>
      </c>
      <c r="AP249" s="116">
        <f>SUMIFS(M:M,AM:AM,AM249)+SUMIFS(O:O,AM:AM,AM249)</f>
      </c>
      <c r="AQ249" s="116">
        <f>SUMIFS(L:L,AM:AM,AM249)</f>
      </c>
      <c r="AR249" s="116">
        <f>AQ249-AP249</f>
      </c>
      <c r="AS249" s="94" t="str">
        <f>IF(AN249&gt;=AQ249,"ok","ck")</f>
      </c>
      <c r="AT249" s="116">
        <f>-P249</f>
      </c>
      <c r="AU249" s="115">
        <f>IF(SUMIFS(AT:AT,AM:AM,AM249)&gt;AO249,(SUMIFS(AT:AT,AM:AM,AM249)-AO249))</f>
      </c>
      <c r="AV249" s="116">
        <v>0</v>
      </c>
      <c r="AW249" s="121">
        <v>0</v>
      </c>
      <c r="AX249" s="115">
        <f>AN249-AP249</f>
      </c>
    </row>
    <row r="250" spans="1:50" ht="15" hidden="1" customHeight="1" x14ac:dyDescent="0.3">
      <c r="A250" s="94" t="s">
        <v>268</v>
      </c>
      <c r="B250" s="94"/>
      <c r="C250" s="94"/>
      <c r="D250" s="94"/>
      <c r="E250" s="94"/>
      <c r="F250" s="94"/>
      <c r="G250" s="112">
        <f>AU250</f>
      </c>
      <c r="H250" s="113"/>
      <c r="I250" s="94" t="s">
        <v>278</v>
      </c>
      <c r="J250" s="94" t="s">
        <v>503</v>
      </c>
      <c r="K250" s="114">
        <f>P250/3</f>
      </c>
      <c r="L250" s="115">
        <v>26.542000000000002</v>
      </c>
      <c r="M250" s="116"/>
      <c r="N250" s="117">
        <f>M250-L250</f>
      </c>
      <c r="O250" s="112"/>
      <c r="P250" s="118">
        <f>N250+O250</f>
      </c>
      <c r="Q250" s="94" t="s">
        <v>778</v>
      </c>
      <c r="R250" s="94" t="s">
        <v>63</v>
      </c>
      <c r="S250" s="119">
        <v>46347</v>
      </c>
      <c r="T250" s="119"/>
      <c r="U250" s="119" t="s">
        <v>633</v>
      </c>
      <c r="V250" s="94"/>
      <c r="W250" s="94"/>
      <c r="X250" s="94"/>
      <c r="Y250" s="119">
        <v>46330</v>
      </c>
      <c r="Z250" s="94"/>
      <c r="AA250" s="120"/>
      <c r="AB250" s="120"/>
      <c r="AC250" s="120"/>
      <c r="AD250" s="120"/>
      <c r="AE250" s="120"/>
      <c r="AF250" s="120"/>
      <c r="AG250" s="94"/>
      <c r="AH250" s="120"/>
      <c r="AI250" s="94"/>
      <c r="AJ250" s="94" t="s">
        <v>778</v>
      </c>
      <c r="AK250" s="94" t="s">
        <v>697</v>
      </c>
      <c r="AL250" s="94">
        <v>120</v>
      </c>
      <c r="AM250" s="94" t="str">
        <f>TRIM(AJ250)&amp;TRIM(AL250)&amp;TRIM(AK250)</f>
      </c>
      <c r="AN250" s="116">
        <v>0</v>
      </c>
      <c r="AO250" s="116" t="inlineStr">
        <is>
          <t>#NA</t>
        </is>
      </c>
      <c r="AP250" s="116">
        <f>SUMIFS(M:M,AM:AM,AM250)+SUMIFS(O:O,AM:AM,AM250)</f>
      </c>
      <c r="AQ250" s="116">
        <f>SUMIFS(L:L,AM:AM,AM250)</f>
      </c>
      <c r="AR250" s="116">
        <f>AQ250-AP250</f>
      </c>
      <c r="AS250" s="94" t="str">
        <f>IF(AN250&gt;=AQ250,"ok","ck")</f>
      </c>
      <c r="AT250" s="116">
        <f>-P250</f>
      </c>
      <c r="AU250" s="115">
        <f>IF(SUMIFS(AT:AT,AM:AM,AM250)&gt;AO250,(SUMIFS(AT:AT,AM:AM,AM250)-AO250))</f>
      </c>
      <c r="AV250" s="116">
        <v>0</v>
      </c>
      <c r="AW250" s="121">
        <v>0</v>
      </c>
      <c r="AX250" s="115">
        <f>AN250-AP250</f>
      </c>
    </row>
    <row r="251" spans="1:50" ht="15" hidden="1" customHeight="1" x14ac:dyDescent="0.3">
      <c r="A251" s="94" t="s">
        <v>480</v>
      </c>
      <c r="B251" s="94"/>
      <c r="C251" s="94"/>
      <c r="D251" s="94"/>
      <c r="E251" s="94"/>
      <c r="F251" s="94"/>
      <c r="G251" s="112">
        <f>AU251</f>
      </c>
      <c r="H251" s="113"/>
      <c r="I251" s="94" t="s">
        <v>486</v>
      </c>
      <c r="J251" s="94" t="s">
        <v>515</v>
      </c>
      <c r="K251" s="114">
        <f>P251/3</f>
      </c>
      <c r="L251" s="115">
        <v>0.77900000000000003</v>
      </c>
      <c r="M251" s="116">
        <f>L251</f>
      </c>
      <c r="N251" s="117">
        <f>M251-L251</f>
      </c>
      <c r="O251" s="112"/>
      <c r="P251" s="118">
        <f>N251+O251</f>
      </c>
      <c r="Q251" s="94" t="s">
        <v>782</v>
      </c>
      <c r="R251" s="94" t="s">
        <v>63</v>
      </c>
      <c r="S251" s="119">
        <v>46332</v>
      </c>
      <c r="T251" s="119"/>
      <c r="U251" s="120">
        <v>46332</v>
      </c>
      <c r="V251" s="94"/>
      <c r="W251" s="94"/>
      <c r="X251" s="94"/>
      <c r="Y251" s="119">
        <v>46330</v>
      </c>
      <c r="Z251" s="94"/>
      <c r="AA251" s="120"/>
      <c r="AB251" s="120"/>
      <c r="AC251" s="120"/>
      <c r="AD251" s="120"/>
      <c r="AE251" s="120"/>
      <c r="AF251" s="120"/>
      <c r="AG251" s="94"/>
      <c r="AH251" s="120"/>
      <c r="AI251" s="94"/>
      <c r="AJ251" s="94" t="s">
        <v>782</v>
      </c>
      <c r="AK251" s="94" t="s">
        <v>71</v>
      </c>
      <c r="AL251" s="94">
        <v>165</v>
      </c>
      <c r="AM251" s="94" t="str">
        <f>TRIM(AJ251)&amp;TRIM(AL251)&amp;TRIM(AK251)</f>
      </c>
      <c r="AN251" s="116">
        <v>70.59</v>
      </c>
      <c r="AO251" s="116">
        <v>-4.59</v>
      </c>
      <c r="AP251" s="116">
        <f>SUMIFS(M:M,AM:AM,AM251)+SUMIFS(O:O,AM:AM,AM251)</f>
      </c>
      <c r="AQ251" s="116">
        <f>SUMIFS(L:L,AM:AM,AM251)</f>
      </c>
      <c r="AR251" s="116">
        <f>AQ251-AP251</f>
      </c>
      <c r="AS251" s="94" t="str">
        <f>IF(AN251&gt;=AQ251,"ok","ck")</f>
      </c>
      <c r="AT251" s="116">
        <f>-P251</f>
      </c>
      <c r="AU251" s="115">
        <f>IF(SUMIFS(AT:AT,AM:AM,AM251)&gt;AO251,(SUMIFS(AT:AT,AM:AM,AM251)-AO251))</f>
      </c>
      <c r="AV251" s="116">
        <v>70.59</v>
      </c>
      <c r="AW251" s="121">
        <v>1.07</v>
      </c>
      <c r="AX251" s="115">
        <f>AN251-AP251</f>
      </c>
    </row>
    <row r="252" spans="1:50" ht="15" hidden="1" customHeight="1" x14ac:dyDescent="0.3">
      <c r="A252" s="94" t="s">
        <v>480</v>
      </c>
      <c r="B252" s="94"/>
      <c r="C252" s="94"/>
      <c r="D252" s="94"/>
      <c r="E252" s="94"/>
      <c r="F252" s="94"/>
      <c r="G252" s="112">
        <f>AU252</f>
      </c>
      <c r="H252" s="113"/>
      <c r="I252" s="94" t="s">
        <v>486</v>
      </c>
      <c r="J252" s="94" t="s">
        <v>515</v>
      </c>
      <c r="K252" s="114">
        <f>P252/3</f>
      </c>
      <c r="L252" s="115">
        <v>0.13300000000000001</v>
      </c>
      <c r="M252" s="116">
        <f>L252</f>
      </c>
      <c r="N252" s="117">
        <f>M252-L252</f>
      </c>
      <c r="O252" s="112"/>
      <c r="P252" s="118">
        <f>N252+O252</f>
      </c>
      <c r="Q252" s="94" t="s">
        <v>782</v>
      </c>
      <c r="R252" s="94" t="s">
        <v>63</v>
      </c>
      <c r="S252" s="119">
        <v>46332</v>
      </c>
      <c r="T252" s="119"/>
      <c r="U252" s="120">
        <v>46332</v>
      </c>
      <c r="V252" s="94"/>
      <c r="W252" s="94"/>
      <c r="X252" s="94"/>
      <c r="Y252" s="119">
        <v>46330</v>
      </c>
      <c r="Z252" s="94"/>
      <c r="AA252" s="120"/>
      <c r="AB252" s="120"/>
      <c r="AC252" s="120"/>
      <c r="AD252" s="120"/>
      <c r="AE252" s="120"/>
      <c r="AF252" s="120"/>
      <c r="AG252" s="94"/>
      <c r="AH252" s="120"/>
      <c r="AI252" s="94"/>
      <c r="AJ252" s="94" t="s">
        <v>782</v>
      </c>
      <c r="AK252" s="94" t="s">
        <v>71</v>
      </c>
      <c r="AL252" s="94">
        <v>165</v>
      </c>
      <c r="AM252" s="94" t="str">
        <f>TRIM(AJ252)&amp;TRIM(AL252)&amp;TRIM(AK252)</f>
      </c>
      <c r="AN252" s="116">
        <v>70.59</v>
      </c>
      <c r="AO252" s="116">
        <v>-4.59</v>
      </c>
      <c r="AP252" s="116">
        <f>SUMIFS(M:M,AM:AM,AM252)+SUMIFS(O:O,AM:AM,AM252)</f>
      </c>
      <c r="AQ252" s="116">
        <f>SUMIFS(L:L,AM:AM,AM252)</f>
      </c>
      <c r="AR252" s="116">
        <f>AQ252-AP252</f>
      </c>
      <c r="AS252" s="94" t="str">
        <f>IF(AN252&gt;=AQ252,"ok","ck")</f>
      </c>
      <c r="AT252" s="116">
        <f>-P252</f>
      </c>
      <c r="AU252" s="115">
        <f>IF(SUMIFS(AT:AT,AM:AM,AM252)&gt;AO252,(SUMIFS(AT:AT,AM:AM,AM252)-AO252))</f>
      </c>
      <c r="AV252" s="116">
        <v>70.59</v>
      </c>
      <c r="AW252" s="121">
        <v>1.07</v>
      </c>
      <c r="AX252" s="115">
        <f>AN252-AP252</f>
      </c>
    </row>
    <row r="253" spans="1:50" ht="15" hidden="1" customHeight="1" x14ac:dyDescent="0.3">
      <c r="A253" s="94" t="s">
        <v>288</v>
      </c>
      <c r="B253" s="94"/>
      <c r="C253" s="94"/>
      <c r="D253" s="94"/>
      <c r="E253" s="94"/>
      <c r="F253" s="94"/>
      <c r="G253" s="112">
        <f>AU253</f>
      </c>
      <c r="H253" s="113"/>
      <c r="I253" s="94" t="s">
        <v>289</v>
      </c>
      <c r="J253" s="94" t="s">
        <v>358</v>
      </c>
      <c r="K253" s="114">
        <f>P253/3</f>
      </c>
      <c r="L253" s="115">
        <v>0</v>
      </c>
      <c r="M253" s="116">
        <f>L253</f>
      </c>
      <c r="N253" s="117">
        <f>M253-L253</f>
      </c>
      <c r="O253" s="112"/>
      <c r="P253" s="118">
        <f>N253+O253</f>
      </c>
      <c r="Q253" s="94" t="s">
        <v>332</v>
      </c>
      <c r="R253" s="94" t="s">
        <v>63</v>
      </c>
      <c r="S253" s="119">
        <v>46320</v>
      </c>
      <c r="T253" s="119"/>
      <c r="U253" s="120">
        <v>46320</v>
      </c>
      <c r="V253" s="94"/>
      <c r="W253" s="94"/>
      <c r="X253" s="94"/>
      <c r="Y253" s="119">
        <v>46320</v>
      </c>
      <c r="Z253" s="94"/>
      <c r="AA253" s="120"/>
      <c r="AB253" s="120"/>
      <c r="AC253" s="120"/>
      <c r="AD253" s="120"/>
      <c r="AE253" s="120"/>
      <c r="AF253" s="120"/>
      <c r="AG253" s="94"/>
      <c r="AH253" s="120"/>
      <c r="AI253" s="94"/>
      <c r="AJ253" s="94" t="s">
        <v>783</v>
      </c>
      <c r="AK253" s="94" t="s">
        <v>359</v>
      </c>
      <c r="AL253" s="94">
        <v>235</v>
      </c>
      <c r="AM253" s="94" t="str">
        <f>TRIM(AJ253)&amp;TRIM(AL253)&amp;TRIM(AK253)</f>
      </c>
      <c r="AN253" s="116">
        <v>1108.94</v>
      </c>
      <c r="AO253" s="116">
        <v>-332.53</v>
      </c>
      <c r="AP253" s="116">
        <f>SUMIFS(M:M,AM:AM,AM253)+SUMIFS(O:O,AM:AM,AM253)</f>
      </c>
      <c r="AQ253" s="116">
        <f>SUMIFS(L:L,AM:AM,AM253)</f>
      </c>
      <c r="AR253" s="116">
        <f>AQ253-AP253</f>
      </c>
      <c r="AS253" s="94" t="str">
        <f>IF(AN253&gt;=AQ253,"ok","ck")</f>
      </c>
      <c r="AT253" s="116">
        <f>-P253</f>
      </c>
      <c r="AU253" s="115">
        <f>IF(SUMIFS(AT:AT,AM:AM,AM253)&gt;AO253,(SUMIFS(AT:AT,AM:AM,AM253)-AO253))</f>
      </c>
      <c r="AV253" s="116">
        <v>1108.94</v>
      </c>
      <c r="AW253" s="121">
        <v>1.428</v>
      </c>
      <c r="AX253" s="115">
        <f>AN253-AP253</f>
      </c>
    </row>
    <row r="254" spans="1:50" ht="15" hidden="1" customHeight="1" x14ac:dyDescent="0.3">
      <c r="A254" s="94" t="s">
        <v>288</v>
      </c>
      <c r="B254" s="94"/>
      <c r="C254" s="94"/>
      <c r="D254" s="94"/>
      <c r="E254" s="94"/>
      <c r="F254" s="94"/>
      <c r="G254" s="112">
        <f>AU254</f>
      </c>
      <c r="H254" s="113"/>
      <c r="I254" s="94" t="s">
        <v>289</v>
      </c>
      <c r="J254" s="94" t="s">
        <v>358</v>
      </c>
      <c r="K254" s="114">
        <f>P254/3</f>
      </c>
      <c r="L254" s="115">
        <v>7.1420000000000003</v>
      </c>
      <c r="M254" s="116">
        <f>L254</f>
      </c>
      <c r="N254" s="117">
        <f>M254-L254</f>
      </c>
      <c r="O254" s="112"/>
      <c r="P254" s="118">
        <f>N254+O254</f>
      </c>
      <c r="Q254" s="94" t="s">
        <v>332</v>
      </c>
      <c r="R254" s="94" t="s">
        <v>63</v>
      </c>
      <c r="S254" s="119">
        <v>46320</v>
      </c>
      <c r="T254" s="119"/>
      <c r="U254" s="119">
        <v>46320</v>
      </c>
      <c r="V254" s="94"/>
      <c r="W254" s="94"/>
      <c r="X254" s="94"/>
      <c r="Y254" s="119">
        <v>46320</v>
      </c>
      <c r="Z254" s="94"/>
      <c r="AA254" s="120"/>
      <c r="AB254" s="120"/>
      <c r="AC254" s="120"/>
      <c r="AD254" s="120"/>
      <c r="AE254" s="120"/>
      <c r="AF254" s="120"/>
      <c r="AG254" s="94"/>
      <c r="AH254" s="120"/>
      <c r="AI254" s="94"/>
      <c r="AJ254" s="94" t="s">
        <v>783</v>
      </c>
      <c r="AK254" s="94" t="s">
        <v>359</v>
      </c>
      <c r="AL254" s="94">
        <v>235</v>
      </c>
      <c r="AM254" s="94" t="str">
        <f>TRIM(AJ254)&amp;TRIM(AL254)&amp;TRIM(AK254)</f>
      </c>
      <c r="AN254" s="116">
        <v>1108.94</v>
      </c>
      <c r="AO254" s="116">
        <v>-332.53</v>
      </c>
      <c r="AP254" s="116">
        <f>SUMIFS(M:M,AM:AM,AM254)+SUMIFS(O:O,AM:AM,AM254)</f>
      </c>
      <c r="AQ254" s="116">
        <f>SUMIFS(L:L,AM:AM,AM254)</f>
      </c>
      <c r="AR254" s="116">
        <f>AQ254-AP254</f>
      </c>
      <c r="AS254" s="94" t="str">
        <f>IF(AN254&gt;=AQ254,"ok","ck")</f>
      </c>
      <c r="AT254" s="116">
        <f>-P254</f>
      </c>
      <c r="AU254" s="115">
        <f>IF(SUMIFS(AT:AT,AM:AM,AM254)&gt;AO254,(SUMIFS(AT:AT,AM:AM,AM254)-AO254))</f>
      </c>
      <c r="AV254" s="116">
        <v>1108.94</v>
      </c>
      <c r="AW254" s="121">
        <v>1.428</v>
      </c>
      <c r="AX254" s="115">
        <f>AN254-AP254</f>
      </c>
    </row>
    <row r="255" spans="1:50" ht="15" hidden="1" customHeight="1" x14ac:dyDescent="0.3">
      <c r="A255" s="94" t="s">
        <v>288</v>
      </c>
      <c r="B255" s="94"/>
      <c r="C255" s="94"/>
      <c r="D255" s="94"/>
      <c r="E255" s="94"/>
      <c r="F255" s="94"/>
      <c r="G255" s="112">
        <f>AU255</f>
      </c>
      <c r="H255" s="113"/>
      <c r="I255" s="94" t="s">
        <v>289</v>
      </c>
      <c r="J255" s="94" t="s">
        <v>298</v>
      </c>
      <c r="K255" s="114">
        <f>P255/3</f>
      </c>
      <c r="L255" s="115">
        <v>-0.98199999999999998</v>
      </c>
      <c r="M255" s="116"/>
      <c r="N255" s="117">
        <f>M255-L255</f>
      </c>
      <c r="O255" s="112"/>
      <c r="P255" s="118">
        <f>N255+O255</f>
      </c>
      <c r="Q255" s="94" t="s">
        <v>332</v>
      </c>
      <c r="R255" s="94" t="s">
        <v>63</v>
      </c>
      <c r="S255" s="119">
        <v>46336</v>
      </c>
      <c r="T255" s="119"/>
      <c r="U255" s="120">
        <v>46336</v>
      </c>
      <c r="V255" s="94"/>
      <c r="W255" s="94"/>
      <c r="X255" s="94"/>
      <c r="Y255" s="119">
        <v>46320</v>
      </c>
      <c r="Z255" s="94"/>
      <c r="AA255" s="120"/>
      <c r="AB255" s="120"/>
      <c r="AC255" s="120"/>
      <c r="AD255" s="120"/>
      <c r="AE255" s="120"/>
      <c r="AF255" s="120"/>
      <c r="AG255" s="94"/>
      <c r="AH255" s="120"/>
      <c r="AI255" s="94"/>
      <c r="AJ255" s="94" t="s">
        <v>783</v>
      </c>
      <c r="AK255" s="94" t="s">
        <v>300</v>
      </c>
      <c r="AL255" s="94">
        <v>235</v>
      </c>
      <c r="AM255" s="94" t="str">
        <f>TRIM(AJ255)&amp;TRIM(AL255)&amp;TRIM(AK255)</f>
      </c>
      <c r="AN255" s="116">
        <v>705</v>
      </c>
      <c r="AO255" s="116">
        <v>71.41</v>
      </c>
      <c r="AP255" s="116">
        <f>SUMIFS(M:M,AM:AM,AM255)+SUMIFS(O:O,AM:AM,AM255)</f>
      </c>
      <c r="AQ255" s="116">
        <f>SUMIFS(L:L,AM:AM,AM255)</f>
      </c>
      <c r="AR255" s="116">
        <f>AQ255-AP255</f>
      </c>
      <c r="AS255" s="94" t="str">
        <f>IF(AN255&gt;=AQ255,"ok","ck")</f>
      </c>
      <c r="AT255" s="116">
        <f>-P255</f>
      </c>
      <c r="AU255" s="115">
        <f>IF(SUMIFS(AT:AT,AM:AM,AM255)&gt;AO255,(SUMIFS(AT:AT,AM:AM,AM255)-AO255))</f>
      </c>
      <c r="AV255" s="116">
        <v>705</v>
      </c>
      <c r="AW255" s="121">
        <v>0.908</v>
      </c>
      <c r="AX255" s="115">
        <f>AN255-AP255</f>
      </c>
    </row>
    <row r="256" spans="1:50" ht="15" hidden="1" customHeight="1" x14ac:dyDescent="0.3">
      <c r="A256" s="94" t="s">
        <v>288</v>
      </c>
      <c r="B256" s="94"/>
      <c r="C256" s="94"/>
      <c r="D256" s="94"/>
      <c r="E256" s="94"/>
      <c r="F256" s="94"/>
      <c r="G256" s="112">
        <f>AU256</f>
      </c>
      <c r="H256" s="113"/>
      <c r="I256" s="94" t="s">
        <v>289</v>
      </c>
      <c r="J256" s="94" t="s">
        <v>298</v>
      </c>
      <c r="K256" s="114">
        <f>P256/3</f>
      </c>
      <c r="L256" s="115">
        <v>-0.98699999999999999</v>
      </c>
      <c r="M256" s="116"/>
      <c r="N256" s="117">
        <f>M256-L256</f>
      </c>
      <c r="O256" s="112"/>
      <c r="P256" s="118">
        <f>N256+O256</f>
      </c>
      <c r="Q256" s="94" t="s">
        <v>332</v>
      </c>
      <c r="R256" s="94" t="s">
        <v>63</v>
      </c>
      <c r="S256" s="119">
        <v>46336</v>
      </c>
      <c r="T256" s="119"/>
      <c r="U256" s="120">
        <v>46336</v>
      </c>
      <c r="V256" s="94"/>
      <c r="W256" s="94"/>
      <c r="X256" s="94"/>
      <c r="Y256" s="119">
        <v>46320</v>
      </c>
      <c r="Z256" s="94"/>
      <c r="AA256" s="120"/>
      <c r="AB256" s="120"/>
      <c r="AC256" s="120"/>
      <c r="AD256" s="120"/>
      <c r="AE256" s="120"/>
      <c r="AF256" s="120"/>
      <c r="AG256" s="94"/>
      <c r="AH256" s="120"/>
      <c r="AI256" s="94"/>
      <c r="AJ256" s="94" t="s">
        <v>783</v>
      </c>
      <c r="AK256" s="94" t="s">
        <v>300</v>
      </c>
      <c r="AL256" s="94">
        <v>235</v>
      </c>
      <c r="AM256" s="94" t="str">
        <f>TRIM(AJ256)&amp;TRIM(AL256)&amp;TRIM(AK256)</f>
      </c>
      <c r="AN256" s="116">
        <v>705</v>
      </c>
      <c r="AO256" s="116">
        <v>71.41</v>
      </c>
      <c r="AP256" s="116">
        <f>SUMIFS(M:M,AM:AM,AM256)+SUMIFS(O:O,AM:AM,AM256)</f>
      </c>
      <c r="AQ256" s="116">
        <f>SUMIFS(L:L,AM:AM,AM256)</f>
      </c>
      <c r="AR256" s="116">
        <f>AQ256-AP256</f>
      </c>
      <c r="AS256" s="94" t="str">
        <f>IF(AN256&gt;=AQ256,"ok","ck")</f>
      </c>
      <c r="AT256" s="116">
        <f>-P256</f>
      </c>
      <c r="AU256" s="115">
        <f>IF(SUMIFS(AT:AT,AM:AM,AM256)&gt;AO256,(SUMIFS(AT:AT,AM:AM,AM256)-AO256))</f>
      </c>
      <c r="AV256" s="116">
        <v>705</v>
      </c>
      <c r="AW256" s="121">
        <v>0.908</v>
      </c>
      <c r="AX256" s="115">
        <f>AN256-AP256</f>
      </c>
    </row>
    <row r="257" spans="1:50" ht="15" hidden="1" customHeight="1" x14ac:dyDescent="0.3">
      <c r="A257" s="94" t="s">
        <v>268</v>
      </c>
      <c r="B257" s="94"/>
      <c r="C257" s="94"/>
      <c r="D257" s="94"/>
      <c r="E257" s="94"/>
      <c r="F257" s="94"/>
      <c r="G257" s="112">
        <f>AU257</f>
      </c>
      <c r="H257" s="113"/>
      <c r="I257" s="94" t="s">
        <v>278</v>
      </c>
      <c r="J257" s="94" t="s">
        <v>328</v>
      </c>
      <c r="K257" s="114">
        <f>P257/3</f>
      </c>
      <c r="L257" s="115">
        <v>13.28</v>
      </c>
      <c r="M257" s="116"/>
      <c r="N257" s="117">
        <f>M257-L257</f>
      </c>
      <c r="O257" s="112"/>
      <c r="P257" s="118">
        <f>N257+O257</f>
      </c>
      <c r="Q257" s="94" t="s">
        <v>778</v>
      </c>
      <c r="R257" s="94" t="s">
        <v>63</v>
      </c>
      <c r="S257" s="119">
        <v>46340</v>
      </c>
      <c r="T257" s="119"/>
      <c r="U257" s="120">
        <v>46340</v>
      </c>
      <c r="V257" s="94"/>
      <c r="W257" s="94"/>
      <c r="X257" s="94"/>
      <c r="Y257" s="119">
        <v>46335</v>
      </c>
      <c r="Z257" s="94"/>
      <c r="AA257" s="120"/>
      <c r="AB257" s="120"/>
      <c r="AC257" s="120"/>
      <c r="AD257" s="120"/>
      <c r="AE257" s="120"/>
      <c r="AF257" s="120"/>
      <c r="AG257" s="94"/>
      <c r="AH257" s="120"/>
      <c r="AI257" s="94"/>
      <c r="AJ257" s="94" t="s">
        <v>778</v>
      </c>
      <c r="AK257" s="94" t="s">
        <v>329</v>
      </c>
      <c r="AL257" s="94">
        <v>120</v>
      </c>
      <c r="AM257" s="94" t="str">
        <f>TRIM(AJ257)&amp;TRIM(AL257)&amp;TRIM(AK257)</f>
      </c>
      <c r="AN257" s="116">
        <v>0</v>
      </c>
      <c r="AO257" s="116" t="inlineStr">
        <is>
          <t>#NA</t>
        </is>
      </c>
      <c r="AP257" s="116">
        <f>SUMIFS(M:M,AM:AM,AM257)+SUMIFS(O:O,AM:AM,AM257)</f>
      </c>
      <c r="AQ257" s="116">
        <f>SUMIFS(L:L,AM:AM,AM257)</f>
      </c>
      <c r="AR257" s="116">
        <f>AQ257-AP257</f>
      </c>
      <c r="AS257" s="94" t="str">
        <f>IF(AN257&gt;=AQ257,"ok","ck")</f>
      </c>
      <c r="AT257" s="116">
        <f>-P257</f>
      </c>
      <c r="AU257" s="115">
        <f>IF(SUMIFS(AT:AT,AM:AM,AM257)&gt;AO257,(SUMIFS(AT:AT,AM:AM,AM257)-AO257))</f>
      </c>
      <c r="AV257" s="116">
        <v>0</v>
      </c>
      <c r="AW257" s="121">
        <v>0</v>
      </c>
      <c r="AX257" s="115">
        <f>AN257-AP257</f>
      </c>
    </row>
    <row r="258" spans="1:50" ht="15" hidden="1" customHeight="1" x14ac:dyDescent="0.3">
      <c r="A258" s="94" t="s">
        <v>288</v>
      </c>
      <c r="B258" s="94"/>
      <c r="C258" s="94"/>
      <c r="D258" s="94"/>
      <c r="E258" s="94"/>
      <c r="F258" s="94"/>
      <c r="G258" s="112">
        <f>AU258</f>
      </c>
      <c r="H258" s="113"/>
      <c r="I258" s="94" t="s">
        <v>289</v>
      </c>
      <c r="J258" s="94" t="s">
        <v>298</v>
      </c>
      <c r="K258" s="114">
        <f>P258/3</f>
      </c>
      <c r="L258" s="115">
        <v>0</v>
      </c>
      <c r="M258" s="116">
        <f>L258</f>
      </c>
      <c r="N258" s="117">
        <f>M258-L258</f>
      </c>
      <c r="O258" s="112"/>
      <c r="P258" s="118">
        <f>N258+O258</f>
      </c>
      <c r="Q258" s="94" t="s">
        <v>299</v>
      </c>
      <c r="R258" s="94" t="s">
        <v>63</v>
      </c>
      <c r="S258" s="119">
        <v>46320</v>
      </c>
      <c r="T258" s="119"/>
      <c r="U258" s="120">
        <v>46320</v>
      </c>
      <c r="V258" s="94"/>
      <c r="W258" s="94"/>
      <c r="X258" s="94"/>
      <c r="Y258" s="119">
        <v>46320</v>
      </c>
      <c r="Z258" s="94"/>
      <c r="AA258" s="120"/>
      <c r="AB258" s="120"/>
      <c r="AC258" s="120"/>
      <c r="AD258" s="120"/>
      <c r="AE258" s="120"/>
      <c r="AF258" s="120"/>
      <c r="AG258" s="94"/>
      <c r="AH258" s="120"/>
      <c r="AI258" s="94"/>
      <c r="AJ258" s="94" t="s">
        <v>478</v>
      </c>
      <c r="AK258" s="94" t="s">
        <v>300</v>
      </c>
      <c r="AL258" s="94">
        <v>235</v>
      </c>
      <c r="AM258" s="94" t="str">
        <f>TRIM(AJ258)&amp;TRIM(AL258)&amp;TRIM(AK258)</f>
      </c>
      <c r="AN258" s="116">
        <v>957.76</v>
      </c>
      <c r="AO258" s="116">
        <v>-386.12</v>
      </c>
      <c r="AP258" s="116">
        <f>SUMIFS(M:M,AM:AM,AM258)+SUMIFS(O:O,AM:AM,AM258)</f>
      </c>
      <c r="AQ258" s="116">
        <f>SUMIFS(L:L,AM:AM,AM258)</f>
      </c>
      <c r="AR258" s="116">
        <f>AQ258-AP258</f>
      </c>
      <c r="AS258" s="94" t="str">
        <f>IF(AN258&gt;=AQ258,"ok","ck")</f>
      </c>
      <c r="AT258" s="116">
        <f>-P258</f>
      </c>
      <c r="AU258" s="115">
        <f>IF(SUMIFS(AT:AT,AM:AM,AM258)&gt;AO258,(SUMIFS(AT:AT,AM:AM,AM258)-AO258))</f>
      </c>
      <c r="AV258" s="116">
        <v>957.76</v>
      </c>
      <c r="AW258" s="121">
        <v>1.675</v>
      </c>
      <c r="AX258" s="115">
        <f>AN258-AP258</f>
      </c>
    </row>
    <row r="259" spans="1:50" ht="15" hidden="1" customHeight="1" x14ac:dyDescent="0.3">
      <c r="A259" s="94" t="s">
        <v>288</v>
      </c>
      <c r="B259" s="94"/>
      <c r="C259" s="94"/>
      <c r="D259" s="94"/>
      <c r="E259" s="94"/>
      <c r="F259" s="94"/>
      <c r="G259" s="112">
        <f>AU259</f>
      </c>
      <c r="H259" s="113"/>
      <c r="I259" s="94" t="s">
        <v>289</v>
      </c>
      <c r="J259" s="94" t="s">
        <v>298</v>
      </c>
      <c r="K259" s="114">
        <f>P259/3</f>
      </c>
      <c r="L259" s="115">
        <v>0</v>
      </c>
      <c r="M259" s="116">
        <f>L259</f>
      </c>
      <c r="N259" s="117">
        <f>M259-L259</f>
      </c>
      <c r="O259" s="112"/>
      <c r="P259" s="118">
        <f>N259+O259</f>
      </c>
      <c r="Q259" s="94" t="s">
        <v>299</v>
      </c>
      <c r="R259" s="94" t="s">
        <v>63</v>
      </c>
      <c r="S259" s="119">
        <v>46322</v>
      </c>
      <c r="T259" s="119"/>
      <c r="U259" s="120">
        <v>46322</v>
      </c>
      <c r="V259" s="94"/>
      <c r="W259" s="94"/>
      <c r="X259" s="94"/>
      <c r="Y259" s="119">
        <v>46322</v>
      </c>
      <c r="Z259" s="94"/>
      <c r="AA259" s="120"/>
      <c r="AB259" s="120"/>
      <c r="AC259" s="120"/>
      <c r="AD259" s="120"/>
      <c r="AE259" s="120"/>
      <c r="AF259" s="120"/>
      <c r="AG259" s="94"/>
      <c r="AH259" s="120"/>
      <c r="AI259" s="94"/>
      <c r="AJ259" s="94" t="s">
        <v>478</v>
      </c>
      <c r="AK259" s="94" t="s">
        <v>300</v>
      </c>
      <c r="AL259" s="94">
        <v>235</v>
      </c>
      <c r="AM259" s="94" t="str">
        <f>TRIM(AJ259)&amp;TRIM(AL259)&amp;TRIM(AK259)</f>
      </c>
      <c r="AN259" s="116">
        <v>957.76</v>
      </c>
      <c r="AO259" s="116">
        <v>-386.12</v>
      </c>
      <c r="AP259" s="116">
        <f>SUMIFS(M:M,AM:AM,AM259)+SUMIFS(O:O,AM:AM,AM259)</f>
      </c>
      <c r="AQ259" s="116">
        <f>SUMIFS(L:L,AM:AM,AM259)</f>
      </c>
      <c r="AR259" s="116">
        <f>AQ259-AP259</f>
      </c>
      <c r="AS259" s="94" t="str">
        <f>IF(AN259&gt;=AQ259,"ok","ck")</f>
      </c>
      <c r="AT259" s="116">
        <f>-P259</f>
      </c>
      <c r="AU259" s="115">
        <f>IF(SUMIFS(AT:AT,AM:AM,AM259)&gt;AO259,(SUMIFS(AT:AT,AM:AM,AM259)-AO259))</f>
      </c>
      <c r="AV259" s="116">
        <v>957.76</v>
      </c>
      <c r="AW259" s="121">
        <v>1.675</v>
      </c>
      <c r="AX259" s="115">
        <f>AN259-AP259</f>
      </c>
    </row>
    <row r="260" spans="1:50" ht="15" hidden="1" customHeight="1" x14ac:dyDescent="0.3">
      <c r="A260" s="94" t="s">
        <v>288</v>
      </c>
      <c r="B260" s="94"/>
      <c r="C260" s="94"/>
      <c r="D260" s="94"/>
      <c r="E260" s="94"/>
      <c r="F260" s="94"/>
      <c r="G260" s="112">
        <f>AU260</f>
      </c>
      <c r="H260" s="113"/>
      <c r="I260" s="94" t="s">
        <v>289</v>
      </c>
      <c r="J260" s="94" t="s">
        <v>298</v>
      </c>
      <c r="K260" s="114">
        <f>P260/3</f>
      </c>
      <c r="L260" s="115">
        <v>0</v>
      </c>
      <c r="M260" s="116">
        <f>L260</f>
      </c>
      <c r="N260" s="117">
        <f>M260-L260</f>
      </c>
      <c r="O260" s="112"/>
      <c r="P260" s="118">
        <f>N260+O260</f>
      </c>
      <c r="Q260" s="94" t="s">
        <v>299</v>
      </c>
      <c r="R260" s="94" t="s">
        <v>63</v>
      </c>
      <c r="S260" s="119">
        <v>46338</v>
      </c>
      <c r="T260" s="119"/>
      <c r="U260" s="120">
        <v>46338</v>
      </c>
      <c r="V260" s="94"/>
      <c r="W260" s="94"/>
      <c r="X260" s="94"/>
      <c r="Y260" s="119">
        <v>46338</v>
      </c>
      <c r="Z260" s="94"/>
      <c r="AA260" s="120"/>
      <c r="AB260" s="120"/>
      <c r="AC260" s="120"/>
      <c r="AD260" s="120"/>
      <c r="AE260" s="120"/>
      <c r="AF260" s="120"/>
      <c r="AG260" s="94"/>
      <c r="AH260" s="120"/>
      <c r="AI260" s="94"/>
      <c r="AJ260" s="94" t="s">
        <v>478</v>
      </c>
      <c r="AK260" s="94" t="s">
        <v>300</v>
      </c>
      <c r="AL260" s="94">
        <v>235</v>
      </c>
      <c r="AM260" s="94" t="str">
        <f>TRIM(AJ260)&amp;TRIM(AL260)&amp;TRIM(AK260)</f>
      </c>
      <c r="AN260" s="116">
        <v>957.76</v>
      </c>
      <c r="AO260" s="116">
        <v>-386.12</v>
      </c>
      <c r="AP260" s="116">
        <f>SUMIFS(M:M,AM:AM,AM260)+SUMIFS(O:O,AM:AM,AM260)</f>
      </c>
      <c r="AQ260" s="116">
        <f>SUMIFS(L:L,AM:AM,AM260)</f>
      </c>
      <c r="AR260" s="116">
        <f>AQ260-AP260</f>
      </c>
      <c r="AS260" s="94" t="str">
        <f>IF(AN260&gt;=AQ260,"ok","ck")</f>
      </c>
      <c r="AT260" s="116">
        <f>-P260</f>
      </c>
      <c r="AU260" s="115">
        <f>IF(SUMIFS(AT:AT,AM:AM,AM260)&gt;AO260,(SUMIFS(AT:AT,AM:AM,AM260)-AO260))</f>
      </c>
      <c r="AV260" s="116">
        <v>957.76</v>
      </c>
      <c r="AW260" s="121">
        <v>1.675</v>
      </c>
      <c r="AX260" s="115">
        <f>AN260-AP260</f>
      </c>
    </row>
    <row r="261" spans="1:50" ht="15" hidden="1" customHeight="1" x14ac:dyDescent="0.3">
      <c r="A261" s="94" t="s">
        <v>268</v>
      </c>
      <c r="B261" s="94"/>
      <c r="C261" s="94"/>
      <c r="D261" s="94"/>
      <c r="E261" s="94"/>
      <c r="F261" s="94"/>
      <c r="G261" s="112">
        <f>AU261</f>
      </c>
      <c r="H261" s="113"/>
      <c r="I261" s="94" t="s">
        <v>390</v>
      </c>
      <c r="J261" s="94" t="s">
        <v>381</v>
      </c>
      <c r="K261" s="114">
        <f>P261/3</f>
      </c>
      <c r="L261" s="115">
        <v>2616.5309999999999</v>
      </c>
      <c r="M261" s="116"/>
      <c r="N261" s="117">
        <f>M261-L261</f>
      </c>
      <c r="O261" s="112"/>
      <c r="P261" s="118">
        <f>N261+O261</f>
      </c>
      <c r="Q261" s="94" t="s">
        <v>778</v>
      </c>
      <c r="R261" s="94" t="s">
        <v>63</v>
      </c>
      <c r="S261" s="119">
        <v>46341</v>
      </c>
      <c r="T261" s="119"/>
      <c r="U261" s="119" t="s">
        <v>638</v>
      </c>
      <c r="V261" s="94"/>
      <c r="W261" s="94"/>
      <c r="X261" s="94"/>
      <c r="Y261" s="119">
        <v>46342</v>
      </c>
      <c r="Z261" s="94"/>
      <c r="AA261" s="120"/>
      <c r="AB261" s="120"/>
      <c r="AC261" s="120"/>
      <c r="AD261" s="120"/>
      <c r="AE261" s="120"/>
      <c r="AF261" s="120"/>
      <c r="AG261" s="94"/>
      <c r="AH261" s="120"/>
      <c r="AI261" s="94"/>
      <c r="AJ261" s="94" t="s">
        <v>778</v>
      </c>
      <c r="AK261" s="94" t="s">
        <v>381</v>
      </c>
      <c r="AL261" s="94">
        <v>140</v>
      </c>
      <c r="AM261" s="94" t="str">
        <f>TRIM(AJ261)&amp;TRIM(AL261)&amp;TRIM(AK261)</f>
      </c>
      <c r="AN261" s="116">
        <v>0</v>
      </c>
      <c r="AO261" s="116" t="inlineStr">
        <is>
          <t>#NA</t>
        </is>
      </c>
      <c r="AP261" s="116">
        <f>SUMIFS(M:M,AM:AM,AM261)+SUMIFS(O:O,AM:AM,AM261)</f>
      </c>
      <c r="AQ261" s="116">
        <f>SUMIFS(L:L,AM:AM,AM261)</f>
      </c>
      <c r="AR261" s="116">
        <f>AQ261-AP261</f>
      </c>
      <c r="AS261" s="94" t="str">
        <f>IF(AN261&gt;=AQ261,"ok","ck")</f>
      </c>
      <c r="AT261" s="116">
        <f>-P261</f>
      </c>
      <c r="AU261" s="115">
        <f>IF(SUMIFS(AT:AT,AM:AM,AM261)&gt;AO261,(SUMIFS(AT:AT,AM:AM,AM261)-AO261))</f>
      </c>
      <c r="AV261" s="116">
        <v>0</v>
      </c>
      <c r="AW261" s="121">
        <v>0</v>
      </c>
      <c r="AX261" s="115">
        <f>AN261-AP261</f>
      </c>
    </row>
    <row r="262" spans="1:50" ht="15" hidden="1" customHeight="1" x14ac:dyDescent="0.3">
      <c r="A262" s="94" t="s">
        <v>268</v>
      </c>
      <c r="B262" s="94"/>
      <c r="C262" s="94"/>
      <c r="D262" s="94"/>
      <c r="E262" s="94"/>
      <c r="F262" s="94"/>
      <c r="G262" s="112">
        <f>AU262</f>
      </c>
      <c r="H262" s="113"/>
      <c r="I262" s="94" t="s">
        <v>390</v>
      </c>
      <c r="J262" s="94" t="s">
        <v>381</v>
      </c>
      <c r="K262" s="114">
        <f>P262/3</f>
      </c>
      <c r="L262" s="115">
        <v>2616.5309999999999</v>
      </c>
      <c r="M262" s="116"/>
      <c r="N262" s="117">
        <f>M262-L262</f>
      </c>
      <c r="O262" s="112"/>
      <c r="P262" s="118">
        <f>N262+O262</f>
      </c>
      <c r="Q262" s="94" t="s">
        <v>778</v>
      </c>
      <c r="R262" s="94" t="s">
        <v>63</v>
      </c>
      <c r="S262" s="119">
        <v>46343</v>
      </c>
      <c r="T262" s="119"/>
      <c r="U262" s="119" t="s">
        <v>638</v>
      </c>
      <c r="V262" s="94"/>
      <c r="W262" s="94"/>
      <c r="X262" s="94"/>
      <c r="Y262" s="119">
        <v>46336</v>
      </c>
      <c r="Z262" s="94"/>
      <c r="AA262" s="120"/>
      <c r="AB262" s="120"/>
      <c r="AC262" s="120"/>
      <c r="AD262" s="120"/>
      <c r="AE262" s="120"/>
      <c r="AF262" s="120"/>
      <c r="AG262" s="94"/>
      <c r="AH262" s="120"/>
      <c r="AI262" s="94"/>
      <c r="AJ262" s="94" t="s">
        <v>778</v>
      </c>
      <c r="AK262" s="94" t="s">
        <v>381</v>
      </c>
      <c r="AL262" s="94">
        <v>140</v>
      </c>
      <c r="AM262" s="94" t="str">
        <f>TRIM(AJ262)&amp;TRIM(AL262)&amp;TRIM(AK262)</f>
      </c>
      <c r="AN262" s="116">
        <v>0</v>
      </c>
      <c r="AO262" s="116" t="inlineStr">
        <is>
          <t>#NA</t>
        </is>
      </c>
      <c r="AP262" s="116">
        <f>SUMIFS(M:M,AM:AM,AM262)+SUMIFS(O:O,AM:AM,AM262)</f>
      </c>
      <c r="AQ262" s="116">
        <f>SUMIFS(L:L,AM:AM,AM262)</f>
      </c>
      <c r="AR262" s="116">
        <f>AQ262-AP262</f>
      </c>
      <c r="AS262" s="94" t="str">
        <f>IF(AN262&gt;=AQ262,"ok","ck")</f>
      </c>
      <c r="AT262" s="116">
        <f>-P262</f>
      </c>
      <c r="AU262" s="115">
        <f>IF(SUMIFS(AT:AT,AM:AM,AM262)&gt;AO262,(SUMIFS(AT:AT,AM:AM,AM262)-AO262))</f>
      </c>
      <c r="AV262" s="116">
        <v>0</v>
      </c>
      <c r="AW262" s="121">
        <v>0</v>
      </c>
      <c r="AX262" s="115">
        <f>AN262-AP262</f>
      </c>
    </row>
    <row r="263" spans="1:50" ht="15" hidden="1" customHeight="1" x14ac:dyDescent="0.3">
      <c r="A263" s="94" t="s">
        <v>60</v>
      </c>
      <c r="B263" s="94"/>
      <c r="C263" s="94"/>
      <c r="D263" s="94"/>
      <c r="E263" s="94"/>
      <c r="F263" s="94"/>
      <c r="G263" s="112">
        <f>AU263</f>
      </c>
      <c r="H263" s="113"/>
      <c r="I263" s="94" t="s">
        <v>482</v>
      </c>
      <c r="J263" s="94" t="s">
        <v>499</v>
      </c>
      <c r="K263" s="114">
        <f>P263/3</f>
      </c>
      <c r="L263" s="115">
        <v>8.6679999999999993</v>
      </c>
      <c r="M263" s="116"/>
      <c r="N263" s="117">
        <f>M263-L263</f>
      </c>
      <c r="O263" s="112"/>
      <c r="P263" s="118">
        <f>N263+O263</f>
      </c>
      <c r="Q263" s="94" t="s">
        <v>781</v>
      </c>
      <c r="R263" s="94" t="s">
        <v>63</v>
      </c>
      <c r="S263" s="119">
        <v>46340</v>
      </c>
      <c r="T263" s="119"/>
      <c r="U263" s="119">
        <v>46340</v>
      </c>
      <c r="V263" s="94"/>
      <c r="W263" s="94"/>
      <c r="X263" s="94"/>
      <c r="Y263" s="119">
        <v>46340</v>
      </c>
      <c r="Z263" s="94"/>
      <c r="AA263" s="120"/>
      <c r="AB263" s="120"/>
      <c r="AC263" s="120"/>
      <c r="AD263" s="120"/>
      <c r="AE263" s="120"/>
      <c r="AF263" s="120"/>
      <c r="AG263" s="94"/>
      <c r="AH263" s="120"/>
      <c r="AI263" s="94"/>
      <c r="AJ263" s="94" t="s">
        <v>781</v>
      </c>
      <c r="AK263" s="94" t="s">
        <v>693</v>
      </c>
      <c r="AL263" s="94">
        <v>110</v>
      </c>
      <c r="AM263" s="94" t="str">
        <f>TRIM(AJ263)&amp;TRIM(AL263)&amp;TRIM(AK263)</f>
      </c>
      <c r="AN263" s="116">
        <v>0</v>
      </c>
      <c r="AO263" s="116" t="inlineStr">
        <is>
          <t>#NA</t>
        </is>
      </c>
      <c r="AP263" s="116">
        <f>SUMIFS(M:M,AM:AM,AM263)+SUMIFS(O:O,AM:AM,AM263)</f>
      </c>
      <c r="AQ263" s="116">
        <f>SUMIFS(L:L,AM:AM,AM263)</f>
      </c>
      <c r="AR263" s="116">
        <f>AQ263-AP263</f>
      </c>
      <c r="AS263" s="94" t="str">
        <f>IF(AN263&gt;=AQ263,"ok","ck")</f>
      </c>
      <c r="AT263" s="116">
        <f>-P263</f>
      </c>
      <c r="AU263" s="115">
        <f>IF(SUMIFS(AT:AT,AM:AM,AM263)&gt;AO263,(SUMIFS(AT:AT,AM:AM,AM263)-AO263))</f>
      </c>
      <c r="AV263" s="116">
        <v>0</v>
      </c>
      <c r="AW263" s="121">
        <v>0</v>
      </c>
      <c r="AX263" s="115">
        <f>AN263-AP263</f>
      </c>
    </row>
    <row r="264" spans="1:50" ht="15" hidden="1" customHeight="1" x14ac:dyDescent="0.3">
      <c r="A264" s="94" t="s">
        <v>82</v>
      </c>
      <c r="B264" s="94"/>
      <c r="C264" s="94"/>
      <c r="D264" s="94"/>
      <c r="E264" s="94"/>
      <c r="F264" s="94"/>
      <c r="G264" s="112">
        <f>AU264</f>
      </c>
      <c r="H264" s="113"/>
      <c r="I264" s="94" t="s">
        <v>83</v>
      </c>
      <c r="J264" s="94" t="s">
        <v>520</v>
      </c>
      <c r="K264" s="114">
        <f>P264/3</f>
      </c>
      <c r="L264" s="115">
        <v>-117.51</v>
      </c>
      <c r="M264" s="116">
        <f>L264</f>
      </c>
      <c r="N264" s="117">
        <f>M264-L264</f>
      </c>
      <c r="O264" s="112"/>
      <c r="P264" s="118">
        <f>N264+O264</f>
      </c>
      <c r="Q264" s="94" t="s">
        <v>850</v>
      </c>
      <c r="R264" s="94" t="s">
        <v>63</v>
      </c>
      <c r="S264" s="119">
        <v>46320</v>
      </c>
      <c r="T264" s="119"/>
      <c r="U264" s="120">
        <v>46320</v>
      </c>
      <c r="V264" s="94"/>
      <c r="W264" s="94"/>
      <c r="X264" s="94"/>
      <c r="Y264" s="119">
        <v>46320</v>
      </c>
      <c r="Z264" s="94"/>
      <c r="AA264" s="120"/>
      <c r="AB264" s="120"/>
      <c r="AC264" s="120"/>
      <c r="AD264" s="120"/>
      <c r="AE264" s="120"/>
      <c r="AF264" s="120"/>
      <c r="AG264" s="94"/>
      <c r="AH264" s="120"/>
      <c r="AI264" s="94"/>
      <c r="AJ264" s="94" t="s">
        <v>784</v>
      </c>
      <c r="AK264" s="94" t="s">
        <v>710</v>
      </c>
      <c r="AL264" s="94">
        <v>160</v>
      </c>
      <c r="AM264" s="94" t="str">
        <f>TRIM(AJ264)&amp;TRIM(AL264)&amp;TRIM(AK264)</f>
      </c>
      <c r="AN264" s="116">
        <v>6119</v>
      </c>
      <c r="AO264" s="116">
        <v>-234.5</v>
      </c>
      <c r="AP264" s="116">
        <f>SUMIFS(M:M,AM:AM,AM264)+SUMIFS(O:O,AM:AM,AM264)</f>
      </c>
      <c r="AQ264" s="116">
        <f>SUMIFS(L:L,AM:AM,AM264)</f>
      </c>
      <c r="AR264" s="116">
        <f>AQ264-AP264</f>
      </c>
      <c r="AS264" s="94" t="str">
        <f>IF(AN264&gt;=AQ264,"ok","ck")</f>
      </c>
      <c r="AT264" s="116">
        <f>-P264</f>
      </c>
      <c r="AU264" s="115">
        <f>IF(SUMIFS(AT:AT,AM:AM,AM264)&gt;AO264,(SUMIFS(AT:AT,AM:AM,AM264)-AO264))</f>
      </c>
      <c r="AV264" s="116">
        <v>6119</v>
      </c>
      <c r="AW264" s="121">
        <v>1.04</v>
      </c>
      <c r="AX264" s="115">
        <f>AN264-AP264</f>
      </c>
    </row>
    <row r="265" spans="1:50" ht="15" hidden="1" customHeight="1" x14ac:dyDescent="0.3">
      <c r="A265" s="94" t="s">
        <v>82</v>
      </c>
      <c r="B265" s="94"/>
      <c r="C265" s="94"/>
      <c r="D265" s="94"/>
      <c r="E265" s="94"/>
      <c r="F265" s="94"/>
      <c r="G265" s="112">
        <f>AU265</f>
      </c>
      <c r="H265" s="113"/>
      <c r="I265" s="94" t="s">
        <v>83</v>
      </c>
      <c r="J265" s="94" t="s">
        <v>521</v>
      </c>
      <c r="K265" s="114">
        <f>P265/3</f>
      </c>
      <c r="L265" s="115">
        <v>-85.56</v>
      </c>
      <c r="M265" s="116">
        <f>L265</f>
      </c>
      <c r="N265" s="117">
        <f>M265-L265</f>
      </c>
      <c r="O265" s="112"/>
      <c r="P265" s="118">
        <f>N265+O265</f>
      </c>
      <c r="Q265" s="94" t="s">
        <v>850</v>
      </c>
      <c r="R265" s="94" t="s">
        <v>63</v>
      </c>
      <c r="S265" s="119">
        <v>46320</v>
      </c>
      <c r="T265" s="119"/>
      <c r="U265" s="120">
        <v>46320</v>
      </c>
      <c r="V265" s="94"/>
      <c r="W265" s="94"/>
      <c r="X265" s="94"/>
      <c r="Y265" s="119">
        <v>46320</v>
      </c>
      <c r="Z265" s="94"/>
      <c r="AA265" s="120"/>
      <c r="AB265" s="120"/>
      <c r="AC265" s="120"/>
      <c r="AD265" s="120"/>
      <c r="AE265" s="120"/>
      <c r="AF265" s="120"/>
      <c r="AG265" s="94"/>
      <c r="AH265" s="120"/>
      <c r="AI265" s="94"/>
      <c r="AJ265" s="94" t="s">
        <v>784</v>
      </c>
      <c r="AK265" s="94" t="s">
        <v>711</v>
      </c>
      <c r="AL265" s="94">
        <v>160</v>
      </c>
      <c r="AM265" s="94" t="str">
        <f>TRIM(AJ265)&amp;TRIM(AL265)&amp;TRIM(AK265)</f>
      </c>
      <c r="AN265" s="116">
        <v>6063</v>
      </c>
      <c r="AO265" s="116">
        <v>-178.5</v>
      </c>
      <c r="AP265" s="116">
        <f>SUMIFS(M:M,AM:AM,AM265)+SUMIFS(O:O,AM:AM,AM265)</f>
      </c>
      <c r="AQ265" s="116">
        <f>SUMIFS(L:L,AM:AM,AM265)</f>
      </c>
      <c r="AR265" s="116">
        <f>AQ265-AP265</f>
      </c>
      <c r="AS265" s="94" t="str">
        <f>IF(AN265&gt;=AQ265,"ok","ck")</f>
      </c>
      <c r="AT265" s="116">
        <f>-P265</f>
      </c>
      <c r="AU265" s="115">
        <f>IF(SUMIFS(AT:AT,AM:AM,AM265)&gt;AO265,(SUMIFS(AT:AT,AM:AM,AM265)-AO265))</f>
      </c>
      <c r="AV265" s="116">
        <v>6063</v>
      </c>
      <c r="AW265" s="121">
        <v>1.03</v>
      </c>
      <c r="AX265" s="115">
        <f>AN265-AP265</f>
      </c>
    </row>
    <row r="266" spans="1:50" ht="15" hidden="1" customHeight="1" x14ac:dyDescent="0.3">
      <c r="A266" s="94" t="s">
        <v>60</v>
      </c>
      <c r="B266" s="94"/>
      <c r="C266" s="94"/>
      <c r="D266" s="94"/>
      <c r="E266" s="94"/>
      <c r="F266" s="94"/>
      <c r="G266" s="112">
        <f>AU266</f>
      </c>
      <c r="H266" s="113"/>
      <c r="I266" s="94" t="s">
        <v>482</v>
      </c>
      <c r="J266" s="94" t="s">
        <v>499</v>
      </c>
      <c r="K266" s="114">
        <f>P266/3</f>
      </c>
      <c r="L266" s="115">
        <v>5.4450000000000003</v>
      </c>
      <c r="M266" s="116"/>
      <c r="N266" s="117">
        <f>M266-L266</f>
      </c>
      <c r="O266" s="112"/>
      <c r="P266" s="118">
        <f>N266+O266</f>
      </c>
      <c r="Q266" s="94" t="s">
        <v>781</v>
      </c>
      <c r="R266" s="94" t="s">
        <v>63</v>
      </c>
      <c r="S266" s="119">
        <v>46337</v>
      </c>
      <c r="T266" s="119"/>
      <c r="U266" s="120">
        <v>46337</v>
      </c>
      <c r="V266" s="94"/>
      <c r="W266" s="94"/>
      <c r="X266" s="94"/>
      <c r="Y266" s="119">
        <v>46337</v>
      </c>
      <c r="Z266" s="94"/>
      <c r="AA266" s="120"/>
      <c r="AB266" s="120"/>
      <c r="AC266" s="120"/>
      <c r="AD266" s="120"/>
      <c r="AE266" s="120"/>
      <c r="AF266" s="120"/>
      <c r="AG266" s="94"/>
      <c r="AH266" s="120"/>
      <c r="AI266" s="94"/>
      <c r="AJ266" s="94" t="s">
        <v>781</v>
      </c>
      <c r="AK266" s="94" t="s">
        <v>693</v>
      </c>
      <c r="AL266" s="94">
        <v>110</v>
      </c>
      <c r="AM266" s="94" t="str">
        <f>TRIM(AJ266)&amp;TRIM(AL266)&amp;TRIM(AK266)</f>
      </c>
      <c r="AN266" s="116">
        <v>0</v>
      </c>
      <c r="AO266" s="116" t="inlineStr">
        <is>
          <t>#NA</t>
        </is>
      </c>
      <c r="AP266" s="116">
        <f>SUMIFS(M:M,AM:AM,AM266)+SUMIFS(O:O,AM:AM,AM266)</f>
      </c>
      <c r="AQ266" s="116">
        <f>SUMIFS(L:L,AM:AM,AM266)</f>
      </c>
      <c r="AR266" s="116">
        <f>AQ266-AP266</f>
      </c>
      <c r="AS266" s="94" t="str">
        <f>IF(AN266&gt;=AQ266,"ok","ck")</f>
      </c>
      <c r="AT266" s="116">
        <f>-P266</f>
      </c>
      <c r="AU266" s="115">
        <f>IF(SUMIFS(AT:AT,AM:AM,AM266)&gt;AO266,(SUMIFS(AT:AT,AM:AM,AM266)-AO266))</f>
      </c>
      <c r="AV266" s="116">
        <v>0</v>
      </c>
      <c r="AW266" s="121">
        <v>0</v>
      </c>
      <c r="AX266" s="115">
        <f>AN266-AP266</f>
      </c>
    </row>
    <row r="267" spans="1:50" ht="15" hidden="1" customHeight="1" x14ac:dyDescent="0.3">
      <c r="A267" s="94" t="s">
        <v>263</v>
      </c>
      <c r="B267" s="94"/>
      <c r="C267" s="94"/>
      <c r="D267" s="94"/>
      <c r="E267" s="94"/>
      <c r="F267" s="94"/>
      <c r="G267" s="112">
        <f>AU267</f>
      </c>
      <c r="H267" s="113"/>
      <c r="I267" s="94" t="s">
        <v>264</v>
      </c>
      <c r="J267" s="94" t="s">
        <v>333</v>
      </c>
      <c r="K267" s="114">
        <f>P267/3</f>
      </c>
      <c r="L267" s="115">
        <v>0</v>
      </c>
      <c r="M267" s="116">
        <f>L267</f>
      </c>
      <c r="N267" s="117">
        <f>M267-L267</f>
      </c>
      <c r="O267" s="112"/>
      <c r="P267" s="118">
        <f>N267+O267</f>
      </c>
      <c r="Q267" s="94" t="s">
        <v>373</v>
      </c>
      <c r="R267" s="94" t="s">
        <v>63</v>
      </c>
      <c r="S267" s="119">
        <v>46338</v>
      </c>
      <c r="T267" s="119"/>
      <c r="U267" s="120">
        <v>46338</v>
      </c>
      <c r="V267" s="94"/>
      <c r="W267" s="94"/>
      <c r="X267" s="94"/>
      <c r="Y267" s="119">
        <v>46338</v>
      </c>
      <c r="Z267" s="94"/>
      <c r="AA267" s="120"/>
      <c r="AB267" s="120"/>
      <c r="AC267" s="120"/>
      <c r="AD267" s="120"/>
      <c r="AE267" s="120"/>
      <c r="AF267" s="120"/>
      <c r="AG267" s="94"/>
      <c r="AH267" s="120"/>
      <c r="AI267" s="94"/>
      <c r="AJ267" s="94" t="s">
        <v>373</v>
      </c>
      <c r="AK267" s="94" t="s">
        <v>338</v>
      </c>
      <c r="AL267" s="94">
        <v>120</v>
      </c>
      <c r="AM267" s="94" t="str">
        <f>TRIM(AJ267)&amp;TRIM(AL267)&amp;TRIM(AK267)</f>
      </c>
      <c r="AN267" s="116">
        <v>706</v>
      </c>
      <c r="AO267" s="116">
        <v>-13</v>
      </c>
      <c r="AP267" s="116">
        <f>SUMIFS(M:M,AM:AM,AM267)+SUMIFS(O:O,AM:AM,AM267)</f>
      </c>
      <c r="AQ267" s="116">
        <f>SUMIFS(L:L,AM:AM,AM267)</f>
      </c>
      <c r="AR267" s="116">
        <f>AQ267-AP267</f>
      </c>
      <c r="AS267" s="94" t="str">
        <f>IF(AN267&gt;=AQ267,"ok","ck")</f>
      </c>
      <c r="AT267" s="116">
        <f>-P267</f>
      </c>
      <c r="AU267" s="115">
        <f>IF(SUMIFS(AT:AT,AM:AM,AM267)&gt;AO267,(SUMIFS(AT:AT,AM:AM,AM267)-AO267))</f>
      </c>
      <c r="AV267" s="116">
        <v>706</v>
      </c>
      <c r="AW267" s="121">
        <v>1.019</v>
      </c>
      <c r="AX267" s="115">
        <f>AN267-AP267</f>
      </c>
    </row>
    <row r="268" spans="1:50" ht="15" hidden="1" customHeight="1" x14ac:dyDescent="0.3">
      <c r="A268" s="94" t="s">
        <v>60</v>
      </c>
      <c r="B268" s="94"/>
      <c r="C268" s="94"/>
      <c r="D268" s="94"/>
      <c r="E268" s="94"/>
      <c r="F268" s="94"/>
      <c r="G268" s="112">
        <f>AU268</f>
      </c>
      <c r="H268" s="113"/>
      <c r="I268" s="94" t="s">
        <v>65</v>
      </c>
      <c r="J268" s="94" t="s">
        <v>522</v>
      </c>
      <c r="K268" s="114">
        <f>P268/3</f>
      </c>
      <c r="L268" s="115">
        <v>-1.24</v>
      </c>
      <c r="M268" s="116">
        <f>L268</f>
      </c>
      <c r="N268" s="117">
        <f>M268-L268</f>
      </c>
      <c r="O268" s="112"/>
      <c r="P268" s="118">
        <f>N268+O268</f>
      </c>
      <c r="Q268" s="94" t="s">
        <v>62</v>
      </c>
      <c r="R268" s="94" t="s">
        <v>63</v>
      </c>
      <c r="S268" s="119">
        <v>46320</v>
      </c>
      <c r="T268" s="119"/>
      <c r="U268" s="120">
        <v>46320</v>
      </c>
      <c r="V268" s="94"/>
      <c r="W268" s="94"/>
      <c r="X268" s="94"/>
      <c r="Y268" s="119">
        <v>46320</v>
      </c>
      <c r="Z268" s="94"/>
      <c r="AA268" s="120"/>
      <c r="AB268" s="120"/>
      <c r="AC268" s="120"/>
      <c r="AD268" s="120"/>
      <c r="AE268" s="120"/>
      <c r="AF268" s="120"/>
      <c r="AG268" s="94"/>
      <c r="AH268" s="120"/>
      <c r="AI268" s="94"/>
      <c r="AJ268" s="94" t="s">
        <v>64</v>
      </c>
      <c r="AK268" s="94" t="s">
        <v>712</v>
      </c>
      <c r="AL268" s="94">
        <v>110</v>
      </c>
      <c r="AM268" s="94" t="str">
        <f>TRIM(AJ268)&amp;TRIM(AL268)&amp;TRIM(AK268)</f>
      </c>
      <c r="AN268" s="116">
        <v>546</v>
      </c>
      <c r="AO268" s="116">
        <v>-10</v>
      </c>
      <c r="AP268" s="116">
        <f>SUMIFS(M:M,AM:AM,AM268)+SUMIFS(O:O,AM:AM,AM268)</f>
      </c>
      <c r="AQ268" s="116">
        <f>SUMIFS(L:L,AM:AM,AM268)</f>
      </c>
      <c r="AR268" s="116">
        <f>AQ268-AP268</f>
      </c>
      <c r="AS268" s="94" t="str">
        <f>IF(AN268&gt;=AQ268,"ok","ck")</f>
      </c>
      <c r="AT268" s="116">
        <f>-P268</f>
      </c>
      <c r="AU268" s="115">
        <f>IF(SUMIFS(AT:AT,AM:AM,AM268)&gt;AO268,(SUMIFS(AT:AT,AM:AM,AM268)-AO268))</f>
      </c>
      <c r="AV268" s="116">
        <v>546</v>
      </c>
      <c r="AW268" s="121">
        <v>1.019</v>
      </c>
      <c r="AX268" s="115">
        <f>AN268-AP268</f>
      </c>
    </row>
    <row r="269" spans="1:50" ht="15" hidden="1" customHeight="1" x14ac:dyDescent="0.3">
      <c r="A269" s="94" t="s">
        <v>288</v>
      </c>
      <c r="B269" s="94"/>
      <c r="C269" s="94"/>
      <c r="D269" s="94"/>
      <c r="E269" s="94"/>
      <c r="F269" s="94"/>
      <c r="G269" s="112">
        <f>AU269</f>
      </c>
      <c r="H269" s="113"/>
      <c r="I269" s="94" t="s">
        <v>297</v>
      </c>
      <c r="J269" s="94" t="s">
        <v>301</v>
      </c>
      <c r="K269" s="114">
        <f>P269/3</f>
      </c>
      <c r="L269" s="115">
        <v>-1.948</v>
      </c>
      <c r="M269" s="116">
        <f>L269</f>
      </c>
      <c r="N269" s="117">
        <f>M269-L269</f>
      </c>
      <c r="O269" s="112"/>
      <c r="P269" s="118">
        <f>N269+O269</f>
      </c>
      <c r="Q269" s="94" t="s">
        <v>299</v>
      </c>
      <c r="R269" s="94" t="s">
        <v>63</v>
      </c>
      <c r="S269" s="119">
        <v>46320</v>
      </c>
      <c r="T269" s="119"/>
      <c r="U269" s="120">
        <v>46320</v>
      </c>
      <c r="V269" s="94"/>
      <c r="W269" s="94"/>
      <c r="X269" s="94"/>
      <c r="Y269" s="119">
        <v>46320</v>
      </c>
      <c r="Z269" s="94"/>
      <c r="AA269" s="120"/>
      <c r="AB269" s="120"/>
      <c r="AC269" s="120"/>
      <c r="AD269" s="120"/>
      <c r="AE269" s="120"/>
      <c r="AF269" s="120"/>
      <c r="AG269" s="94"/>
      <c r="AH269" s="120"/>
      <c r="AI269" s="94"/>
      <c r="AJ269" s="94" t="s">
        <v>478</v>
      </c>
      <c r="AK269" s="94" t="s">
        <v>302</v>
      </c>
      <c r="AL269" s="94">
        <v>190</v>
      </c>
      <c r="AM269" s="94" t="str">
        <f>TRIM(AJ269)&amp;TRIM(AL269)&amp;TRIM(AK269)</f>
      </c>
      <c r="AN269" s="116">
        <v>1572</v>
      </c>
      <c r="AO269" s="116">
        <v>-30.6</v>
      </c>
      <c r="AP269" s="116">
        <f>SUMIFS(M:M,AM:AM,AM269)+SUMIFS(O:O,AM:AM,AM269)</f>
      </c>
      <c r="AQ269" s="116">
        <f>SUMIFS(L:L,AM:AM,AM269)</f>
      </c>
      <c r="AR269" s="116">
        <f>AQ269-AP269</f>
      </c>
      <c r="AS269" s="94" t="str">
        <f>IF(AN269&gt;=AQ269,"ok","ck")</f>
      </c>
      <c r="AT269" s="116">
        <f>-P269</f>
      </c>
      <c r="AU269" s="115">
        <f>IF(SUMIFS(AT:AT,AM:AM,AM269)&gt;AO269,(SUMIFS(AT:AT,AM:AM,AM269)-AO269))</f>
      </c>
      <c r="AV269" s="116">
        <v>1572</v>
      </c>
      <c r="AW269" s="121">
        <v>1.02</v>
      </c>
      <c r="AX269" s="115">
        <f>AN269-AP269</f>
      </c>
    </row>
    <row r="270" spans="1:50" ht="15" hidden="1" customHeight="1" x14ac:dyDescent="0.3">
      <c r="A270" s="94" t="s">
        <v>288</v>
      </c>
      <c r="B270" s="94"/>
      <c r="C270" s="94"/>
      <c r="D270" s="94"/>
      <c r="E270" s="94"/>
      <c r="F270" s="94"/>
      <c r="G270" s="112">
        <f>AU270</f>
      </c>
      <c r="H270" s="113"/>
      <c r="I270" s="94" t="s">
        <v>297</v>
      </c>
      <c r="J270" s="94" t="s">
        <v>301</v>
      </c>
      <c r="K270" s="114">
        <f>P270/3</f>
      </c>
      <c r="L270" s="115">
        <v>-10.801</v>
      </c>
      <c r="M270" s="116">
        <f>L270</f>
      </c>
      <c r="N270" s="117">
        <f>M270-L270</f>
      </c>
      <c r="O270" s="112"/>
      <c r="P270" s="118">
        <f>N270+O270</f>
      </c>
      <c r="Q270" s="94" t="s">
        <v>299</v>
      </c>
      <c r="R270" s="94" t="s">
        <v>63</v>
      </c>
      <c r="S270" s="119">
        <v>46322</v>
      </c>
      <c r="T270" s="119"/>
      <c r="U270" s="120">
        <v>46322</v>
      </c>
      <c r="V270" s="94"/>
      <c r="W270" s="94"/>
      <c r="X270" s="94"/>
      <c r="Y270" s="119">
        <v>46322</v>
      </c>
      <c r="Z270" s="94"/>
      <c r="AA270" s="120"/>
      <c r="AB270" s="120"/>
      <c r="AC270" s="120"/>
      <c r="AD270" s="120"/>
      <c r="AE270" s="120"/>
      <c r="AF270" s="120"/>
      <c r="AG270" s="94"/>
      <c r="AH270" s="120"/>
      <c r="AI270" s="94"/>
      <c r="AJ270" s="94" t="s">
        <v>478</v>
      </c>
      <c r="AK270" s="94" t="s">
        <v>302</v>
      </c>
      <c r="AL270" s="94">
        <v>190</v>
      </c>
      <c r="AM270" s="94" t="str">
        <f>TRIM(AJ270)&amp;TRIM(AL270)&amp;TRIM(AK270)</f>
      </c>
      <c r="AN270" s="116">
        <v>1572</v>
      </c>
      <c r="AO270" s="116">
        <v>-30.6</v>
      </c>
      <c r="AP270" s="116">
        <f>SUMIFS(M:M,AM:AM,AM270)+SUMIFS(O:O,AM:AM,AM270)</f>
      </c>
      <c r="AQ270" s="116">
        <f>SUMIFS(L:L,AM:AM,AM270)</f>
      </c>
      <c r="AR270" s="116">
        <f>AQ270-AP270</f>
      </c>
      <c r="AS270" s="94" t="str">
        <f>IF(AN270&gt;=AQ270,"ok","ck")</f>
      </c>
      <c r="AT270" s="116">
        <f>-P270</f>
      </c>
      <c r="AU270" s="115">
        <f>IF(SUMIFS(AT:AT,AM:AM,AM270)&gt;AO270,(SUMIFS(AT:AT,AM:AM,AM270)-AO270))</f>
      </c>
      <c r="AV270" s="116">
        <v>1572</v>
      </c>
      <c r="AW270" s="121">
        <v>1.02</v>
      </c>
      <c r="AX270" s="115">
        <f>AN270-AP270</f>
      </c>
    </row>
    <row r="271" spans="1:50" ht="15" hidden="1" customHeight="1" x14ac:dyDescent="0.3">
      <c r="A271" s="94" t="s">
        <v>288</v>
      </c>
      <c r="B271" s="94"/>
      <c r="C271" s="94"/>
      <c r="D271" s="94"/>
      <c r="E271" s="94"/>
      <c r="F271" s="94"/>
      <c r="G271" s="112">
        <f>AU271</f>
      </c>
      <c r="H271" s="113"/>
      <c r="I271" s="94" t="s">
        <v>297</v>
      </c>
      <c r="J271" s="94" t="s">
        <v>301</v>
      </c>
      <c r="K271" s="114">
        <f>P271/3</f>
      </c>
      <c r="L271" s="115">
        <v>-1.6479999999999999</v>
      </c>
      <c r="M271" s="116">
        <f>L271</f>
      </c>
      <c r="N271" s="117">
        <f>M271-L271</f>
      </c>
      <c r="O271" s="112"/>
      <c r="P271" s="118">
        <f>N271+O271</f>
      </c>
      <c r="Q271" s="94" t="s">
        <v>299</v>
      </c>
      <c r="R271" s="94" t="s">
        <v>63</v>
      </c>
      <c r="S271" s="119">
        <v>46338</v>
      </c>
      <c r="T271" s="119"/>
      <c r="U271" s="120">
        <v>46338</v>
      </c>
      <c r="V271" s="94"/>
      <c r="W271" s="94"/>
      <c r="X271" s="94"/>
      <c r="Y271" s="119">
        <v>46338</v>
      </c>
      <c r="Z271" s="94"/>
      <c r="AA271" s="120"/>
      <c r="AB271" s="120"/>
      <c r="AC271" s="120"/>
      <c r="AD271" s="120"/>
      <c r="AE271" s="120"/>
      <c r="AF271" s="120"/>
      <c r="AG271" s="94"/>
      <c r="AH271" s="120"/>
      <c r="AI271" s="94"/>
      <c r="AJ271" s="94" t="s">
        <v>478</v>
      </c>
      <c r="AK271" s="94" t="s">
        <v>302</v>
      </c>
      <c r="AL271" s="94">
        <v>190</v>
      </c>
      <c r="AM271" s="94" t="str">
        <f>TRIM(AJ271)&amp;TRIM(AL271)&amp;TRIM(AK271)</f>
      </c>
      <c r="AN271" s="116">
        <v>1572</v>
      </c>
      <c r="AO271" s="116">
        <v>-30.6</v>
      </c>
      <c r="AP271" s="116">
        <f>SUMIFS(M:M,AM:AM,AM271)+SUMIFS(O:O,AM:AM,AM271)</f>
      </c>
      <c r="AQ271" s="116">
        <f>SUMIFS(L:L,AM:AM,AM271)</f>
      </c>
      <c r="AR271" s="116">
        <f>AQ271-AP271</f>
      </c>
      <c r="AS271" s="94" t="str">
        <f>IF(AN271&gt;=AQ271,"ok","ck")</f>
      </c>
      <c r="AT271" s="116">
        <f>-P271</f>
      </c>
      <c r="AU271" s="115">
        <f>IF(SUMIFS(AT:AT,AM:AM,AM271)&gt;AO271,(SUMIFS(AT:AT,AM:AM,AM271)-AO271))</f>
      </c>
      <c r="AV271" s="116">
        <v>1572</v>
      </c>
      <c r="AW271" s="121">
        <v>1.02</v>
      </c>
      <c r="AX271" s="115">
        <f>AN271-AP271</f>
      </c>
    </row>
    <row r="272" spans="1:50" ht="15" hidden="1" customHeight="1" x14ac:dyDescent="0.3">
      <c r="A272" s="94" t="s">
        <v>288</v>
      </c>
      <c r="B272" s="94"/>
      <c r="C272" s="94"/>
      <c r="D272" s="94"/>
      <c r="E272" s="94"/>
      <c r="F272" s="94"/>
      <c r="G272" s="112">
        <f>AU272</f>
      </c>
      <c r="H272" s="113"/>
      <c r="I272" s="94" t="s">
        <v>297</v>
      </c>
      <c r="J272" s="94" t="s">
        <v>383</v>
      </c>
      <c r="K272" s="114">
        <f>P272/3</f>
      </c>
      <c r="L272" s="115">
        <v>-1.0009999999999999</v>
      </c>
      <c r="M272" s="116">
        <f>L272</f>
      </c>
      <c r="N272" s="117">
        <f>M272-L272</f>
      </c>
      <c r="O272" s="112"/>
      <c r="P272" s="118">
        <f>N272+O272</f>
      </c>
      <c r="Q272" s="94" t="s">
        <v>299</v>
      </c>
      <c r="R272" s="94" t="s">
        <v>63</v>
      </c>
      <c r="S272" s="119">
        <v>46334</v>
      </c>
      <c r="T272" s="119"/>
      <c r="U272" s="120">
        <v>46334</v>
      </c>
      <c r="V272" s="94"/>
      <c r="W272" s="94"/>
      <c r="X272" s="94"/>
      <c r="Y272" s="119">
        <v>46334</v>
      </c>
      <c r="Z272" s="94"/>
      <c r="AA272" s="120"/>
      <c r="AB272" s="120"/>
      <c r="AC272" s="120"/>
      <c r="AD272" s="120"/>
      <c r="AE272" s="120"/>
      <c r="AF272" s="120"/>
      <c r="AG272" s="94"/>
      <c r="AH272" s="120"/>
      <c r="AI272" s="94"/>
      <c r="AJ272" s="94" t="s">
        <v>478</v>
      </c>
      <c r="AK272" s="94" t="s">
        <v>384</v>
      </c>
      <c r="AL272" s="94">
        <v>190</v>
      </c>
      <c r="AM272" s="94" t="str">
        <f>TRIM(AJ272)&amp;TRIM(AL272)&amp;TRIM(AK272)</f>
      </c>
      <c r="AN272" s="116">
        <v>474</v>
      </c>
      <c r="AO272" s="116">
        <v>-14.34</v>
      </c>
      <c r="AP272" s="116">
        <f>SUMIFS(M:M,AM:AM,AM272)+SUMIFS(O:O,AM:AM,AM272)</f>
      </c>
      <c r="AQ272" s="116">
        <f>SUMIFS(L:L,AM:AM,AM272)</f>
      </c>
      <c r="AR272" s="116">
        <f>AQ272-AP272</f>
      </c>
      <c r="AS272" s="94" t="str">
        <f>IF(AN272&gt;=AQ272,"ok","ck")</f>
      </c>
      <c r="AT272" s="116">
        <f>-P272</f>
      </c>
      <c r="AU272" s="115">
        <f>IF(SUMIFS(AT:AT,AM:AM,AM272)&gt;AO272,(SUMIFS(AT:AT,AM:AM,AM272)-AO272))</f>
      </c>
      <c r="AV272" s="116">
        <v>474</v>
      </c>
      <c r="AW272" s="121">
        <v>1.031</v>
      </c>
      <c r="AX272" s="115">
        <f>AN272-AP272</f>
      </c>
    </row>
    <row r="273" spans="1:50" ht="15" hidden="1" customHeight="1" x14ac:dyDescent="0.3">
      <c r="A273" s="94" t="s">
        <v>288</v>
      </c>
      <c r="B273" s="94"/>
      <c r="C273" s="94"/>
      <c r="D273" s="94"/>
      <c r="E273" s="94"/>
      <c r="F273" s="94"/>
      <c r="G273" s="112">
        <f>AU273</f>
      </c>
      <c r="H273" s="113"/>
      <c r="I273" s="94" t="s">
        <v>297</v>
      </c>
      <c r="J273" s="94" t="s">
        <v>383</v>
      </c>
      <c r="K273" s="114">
        <f>P273/3</f>
      </c>
      <c r="L273" s="115">
        <v>-7.0419999999999998</v>
      </c>
      <c r="M273" s="116">
        <f>L273</f>
      </c>
      <c r="N273" s="117">
        <f>M273-L273</f>
      </c>
      <c r="O273" s="112"/>
      <c r="P273" s="118">
        <f>N273+O273</f>
      </c>
      <c r="Q273" s="94" t="s">
        <v>299</v>
      </c>
      <c r="R273" s="94" t="s">
        <v>63</v>
      </c>
      <c r="S273" s="119">
        <v>46320</v>
      </c>
      <c r="T273" s="119"/>
      <c r="U273" s="120">
        <v>46320</v>
      </c>
      <c r="V273" s="94"/>
      <c r="W273" s="94"/>
      <c r="X273" s="94"/>
      <c r="Y273" s="119">
        <v>46320</v>
      </c>
      <c r="Z273" s="94"/>
      <c r="AA273" s="120"/>
      <c r="AB273" s="120"/>
      <c r="AC273" s="120"/>
      <c r="AD273" s="120"/>
      <c r="AE273" s="120"/>
      <c r="AF273" s="120"/>
      <c r="AG273" s="94"/>
      <c r="AH273" s="120"/>
      <c r="AI273" s="94"/>
      <c r="AJ273" s="94" t="s">
        <v>478</v>
      </c>
      <c r="AK273" s="94" t="s">
        <v>384</v>
      </c>
      <c r="AL273" s="94">
        <v>190</v>
      </c>
      <c r="AM273" s="94" t="str">
        <f>TRIM(AJ273)&amp;TRIM(AL273)&amp;TRIM(AK273)</f>
      </c>
      <c r="AN273" s="116">
        <v>474</v>
      </c>
      <c r="AO273" s="116">
        <v>-14.34</v>
      </c>
      <c r="AP273" s="116">
        <f>SUMIFS(M:M,AM:AM,AM273)+SUMIFS(O:O,AM:AM,AM273)</f>
      </c>
      <c r="AQ273" s="116">
        <f>SUMIFS(L:L,AM:AM,AM273)</f>
      </c>
      <c r="AR273" s="116">
        <f>AQ273-AP273</f>
      </c>
      <c r="AS273" s="94" t="str">
        <f>IF(AN273&gt;=AQ273,"ok","ck")</f>
      </c>
      <c r="AT273" s="116">
        <f>-P273</f>
      </c>
      <c r="AU273" s="115">
        <f>IF(SUMIFS(AT:AT,AM:AM,AM273)&gt;AO273,(SUMIFS(AT:AT,AM:AM,AM273)-AO273))</f>
      </c>
      <c r="AV273" s="116">
        <v>474</v>
      </c>
      <c r="AW273" s="121">
        <v>1.031</v>
      </c>
      <c r="AX273" s="115">
        <f>AN273-AP273</f>
      </c>
    </row>
    <row r="274" spans="1:50" ht="15" hidden="1" customHeight="1" x14ac:dyDescent="0.3">
      <c r="A274" s="94" t="s">
        <v>263</v>
      </c>
      <c r="B274" s="94"/>
      <c r="C274" s="94"/>
      <c r="D274" s="94"/>
      <c r="E274" s="94"/>
      <c r="F274" s="94"/>
      <c r="G274" s="112">
        <f>AU274</f>
      </c>
      <c r="H274" s="113"/>
      <c r="I274" s="94" t="s">
        <v>264</v>
      </c>
      <c r="J274" s="94" t="s">
        <v>281</v>
      </c>
      <c r="K274" s="114">
        <f>P274/3</f>
      </c>
      <c r="L274" s="115">
        <v>0</v>
      </c>
      <c r="M274" s="116">
        <f>L274</f>
      </c>
      <c r="N274" s="117">
        <f>M274-L274</f>
      </c>
      <c r="O274" s="112"/>
      <c r="P274" s="118">
        <f>N274+O274</f>
      </c>
      <c r="Q274" s="94" t="s">
        <v>373</v>
      </c>
      <c r="R274" s="94" t="s">
        <v>63</v>
      </c>
      <c r="S274" s="119">
        <v>46320</v>
      </c>
      <c r="T274" s="119"/>
      <c r="U274" s="120">
        <v>46320</v>
      </c>
      <c r="V274" s="94"/>
      <c r="W274" s="94"/>
      <c r="X274" s="94"/>
      <c r="Y274" s="119">
        <v>46320</v>
      </c>
      <c r="Z274" s="94"/>
      <c r="AA274" s="120"/>
      <c r="AB274" s="120"/>
      <c r="AC274" s="120"/>
      <c r="AD274" s="120"/>
      <c r="AE274" s="120"/>
      <c r="AF274" s="120"/>
      <c r="AG274" s="94"/>
      <c r="AH274" s="120"/>
      <c r="AI274" s="94"/>
      <c r="AJ274" s="94" t="s">
        <v>373</v>
      </c>
      <c r="AK274" s="94" t="s">
        <v>281</v>
      </c>
      <c r="AL274" s="94">
        <v>120</v>
      </c>
      <c r="AM274" s="94" t="str">
        <f>TRIM(AJ274)&amp;TRIM(AL274)&amp;TRIM(AK274)</f>
      </c>
      <c r="AN274" s="116">
        <v>1079</v>
      </c>
      <c r="AO274" s="116">
        <v>-21</v>
      </c>
      <c r="AP274" s="116">
        <f>SUMIFS(M:M,AM:AM,AM274)+SUMIFS(O:O,AM:AM,AM274)</f>
      </c>
      <c r="AQ274" s="116">
        <f>SUMIFS(L:L,AM:AM,AM274)</f>
      </c>
      <c r="AR274" s="116">
        <f>AQ274-AP274</f>
      </c>
      <c r="AS274" s="94" t="str">
        <f>IF(AN274&gt;=AQ274,"ok","ck")</f>
      </c>
      <c r="AT274" s="116">
        <f>-P274</f>
      </c>
      <c r="AU274" s="115">
        <f>IF(SUMIFS(AT:AT,AM:AM,AM274)&gt;AO274,(SUMIFS(AT:AT,AM:AM,AM274)-AO274))</f>
      </c>
      <c r="AV274" s="116">
        <v>1079</v>
      </c>
      <c r="AW274" s="121">
        <v>1.02</v>
      </c>
      <c r="AX274" s="115">
        <f>AN274-AP274</f>
      </c>
    </row>
    <row r="275" spans="1:50" ht="15" hidden="1" customHeight="1" x14ac:dyDescent="0.3">
      <c r="A275" s="94" t="s">
        <v>263</v>
      </c>
      <c r="B275" s="94"/>
      <c r="C275" s="94"/>
      <c r="D275" s="94"/>
      <c r="E275" s="94"/>
      <c r="F275" s="94"/>
      <c r="G275" s="112">
        <f>AU275</f>
      </c>
      <c r="H275" s="113"/>
      <c r="I275" s="94" t="s">
        <v>264</v>
      </c>
      <c r="J275" s="94" t="s">
        <v>281</v>
      </c>
      <c r="K275" s="114">
        <f>P275/3</f>
      </c>
      <c r="L275" s="115">
        <v>0</v>
      </c>
      <c r="M275" s="116">
        <f>L275</f>
      </c>
      <c r="N275" s="117">
        <f>M275-L275</f>
      </c>
      <c r="O275" s="112"/>
      <c r="P275" s="118">
        <f>N275+O275</f>
      </c>
      <c r="Q275" s="94" t="s">
        <v>373</v>
      </c>
      <c r="R275" s="94" t="s">
        <v>63</v>
      </c>
      <c r="S275" s="119">
        <v>46320</v>
      </c>
      <c r="T275" s="119"/>
      <c r="U275" s="120">
        <v>46320</v>
      </c>
      <c r="V275" s="94"/>
      <c r="W275" s="94"/>
      <c r="X275" s="94"/>
      <c r="Y275" s="119">
        <v>46320</v>
      </c>
      <c r="Z275" s="94"/>
      <c r="AA275" s="120"/>
      <c r="AB275" s="120"/>
      <c r="AC275" s="120"/>
      <c r="AD275" s="120"/>
      <c r="AE275" s="120"/>
      <c r="AF275" s="120"/>
      <c r="AG275" s="94"/>
      <c r="AH275" s="120"/>
      <c r="AI275" s="94"/>
      <c r="AJ275" s="94" t="s">
        <v>373</v>
      </c>
      <c r="AK275" s="94" t="s">
        <v>281</v>
      </c>
      <c r="AL275" s="94">
        <v>120</v>
      </c>
      <c r="AM275" s="94" t="str">
        <f>TRIM(AJ275)&amp;TRIM(AL275)&amp;TRIM(AK275)</f>
      </c>
      <c r="AN275" s="116">
        <v>1079</v>
      </c>
      <c r="AO275" s="116">
        <v>-21</v>
      </c>
      <c r="AP275" s="116">
        <f>SUMIFS(M:M,AM:AM,AM275)+SUMIFS(O:O,AM:AM,AM275)</f>
      </c>
      <c r="AQ275" s="116">
        <f>SUMIFS(L:L,AM:AM,AM275)</f>
      </c>
      <c r="AR275" s="116">
        <f>AQ275-AP275</f>
      </c>
      <c r="AS275" s="94" t="str">
        <f>IF(AN275&gt;=AQ275,"ok","ck")</f>
      </c>
      <c r="AT275" s="116">
        <f>-P275</f>
      </c>
      <c r="AU275" s="115">
        <f>IF(SUMIFS(AT:AT,AM:AM,AM275)&gt;AO275,(SUMIFS(AT:AT,AM:AM,AM275)-AO275))</f>
      </c>
      <c r="AV275" s="116">
        <v>1079</v>
      </c>
      <c r="AW275" s="121">
        <v>1.02</v>
      </c>
      <c r="AX275" s="115">
        <f>AN275-AP275</f>
      </c>
    </row>
    <row r="276" spans="1:50" ht="15" hidden="1" customHeight="1" x14ac:dyDescent="0.3">
      <c r="A276" s="94" t="s">
        <v>60</v>
      </c>
      <c r="B276" s="94"/>
      <c r="C276" s="94"/>
      <c r="D276" s="94"/>
      <c r="E276" s="94"/>
      <c r="F276" s="94"/>
      <c r="G276" s="112">
        <f>AU276</f>
      </c>
      <c r="H276" s="113"/>
      <c r="I276" s="94" t="s">
        <v>482</v>
      </c>
      <c r="J276" s="94" t="s">
        <v>498</v>
      </c>
      <c r="K276" s="114">
        <f>P276/3</f>
      </c>
      <c r="L276" s="115">
        <v>-3.0000000000000001E-3</v>
      </c>
      <c r="M276" s="116">
        <f>L276</f>
      </c>
      <c r="N276" s="117">
        <f>M276-L276</f>
      </c>
      <c r="O276" s="112"/>
      <c r="P276" s="118">
        <f>N276+O276</f>
      </c>
      <c r="Q276" s="94" t="s">
        <v>776</v>
      </c>
      <c r="R276" s="94" t="s">
        <v>63</v>
      </c>
      <c r="S276" s="119">
        <v>46337</v>
      </c>
      <c r="T276" s="119"/>
      <c r="U276" s="120">
        <v>46337</v>
      </c>
      <c r="V276" s="94"/>
      <c r="W276" s="94"/>
      <c r="X276" s="94"/>
      <c r="Y276" s="119">
        <v>46337</v>
      </c>
      <c r="Z276" s="94"/>
      <c r="AA276" s="120"/>
      <c r="AB276" s="120"/>
      <c r="AC276" s="120"/>
      <c r="AD276" s="120"/>
      <c r="AE276" s="120"/>
      <c r="AF276" s="120"/>
      <c r="AG276" s="94"/>
      <c r="AH276" s="120"/>
      <c r="AI276" s="94"/>
      <c r="AJ276" s="94" t="s">
        <v>776</v>
      </c>
      <c r="AK276" s="94" t="s">
        <v>691</v>
      </c>
      <c r="AL276" s="94">
        <v>110</v>
      </c>
      <c r="AM276" s="94" t="str">
        <f>TRIM(AJ276)&amp;TRIM(AL276)&amp;TRIM(AK276)</f>
      </c>
      <c r="AN276" s="116">
        <v>96</v>
      </c>
      <c r="AO276" s="116">
        <v>-2.02</v>
      </c>
      <c r="AP276" s="116">
        <f>SUMIFS(M:M,AM:AM,AM276)+SUMIFS(O:O,AM:AM,AM276)</f>
      </c>
      <c r="AQ276" s="116">
        <f>SUMIFS(L:L,AM:AM,AM276)</f>
      </c>
      <c r="AR276" s="116">
        <f>AQ276-AP276</f>
      </c>
      <c r="AS276" s="94" t="str">
        <f>IF(AN276&gt;=AQ276,"ok","ck")</f>
      </c>
      <c r="AT276" s="116">
        <f>-P276</f>
      </c>
      <c r="AU276" s="115">
        <f>IF(SUMIFS(AT:AT,AM:AM,AM276)&gt;AO276,(SUMIFS(AT:AT,AM:AM,AM276)-AO276))</f>
      </c>
      <c r="AV276" s="116">
        <v>96</v>
      </c>
      <c r="AW276" s="121">
        <v>1.021</v>
      </c>
      <c r="AX276" s="115">
        <f>AN276-AP276</f>
      </c>
    </row>
    <row r="277" spans="1:50" ht="15" hidden="1" customHeight="1" x14ac:dyDescent="0.3">
      <c r="A277" s="94" t="s">
        <v>60</v>
      </c>
      <c r="B277" s="94"/>
      <c r="C277" s="94"/>
      <c r="D277" s="94"/>
      <c r="E277" s="94"/>
      <c r="F277" s="94"/>
      <c r="G277" s="112">
        <f>AU277</f>
      </c>
      <c r="H277" s="113"/>
      <c r="I277" s="94" t="s">
        <v>61</v>
      </c>
      <c r="J277" s="94" t="s">
        <v>522</v>
      </c>
      <c r="K277" s="114">
        <f>P277/3</f>
      </c>
      <c r="L277" s="115">
        <v>-17.445</v>
      </c>
      <c r="M277" s="116">
        <f>L277</f>
      </c>
      <c r="N277" s="117">
        <f>M277-L277</f>
      </c>
      <c r="O277" s="112"/>
      <c r="P277" s="118">
        <f>N277+O277</f>
      </c>
      <c r="Q277" s="94" t="s">
        <v>62</v>
      </c>
      <c r="R277" s="94" t="s">
        <v>63</v>
      </c>
      <c r="S277" s="119">
        <v>46320</v>
      </c>
      <c r="T277" s="119"/>
      <c r="U277" s="120">
        <v>46320</v>
      </c>
      <c r="V277" s="94"/>
      <c r="W277" s="94"/>
      <c r="X277" s="94"/>
      <c r="Y277" s="119">
        <v>46320</v>
      </c>
      <c r="Z277" s="94"/>
      <c r="AA277" s="120"/>
      <c r="AB277" s="120"/>
      <c r="AC277" s="120"/>
      <c r="AD277" s="120"/>
      <c r="AE277" s="120"/>
      <c r="AF277" s="120"/>
      <c r="AG277" s="94"/>
      <c r="AH277" s="120"/>
      <c r="AI277" s="94"/>
      <c r="AJ277" s="94" t="s">
        <v>64</v>
      </c>
      <c r="AK277" s="94" t="s">
        <v>712</v>
      </c>
      <c r="AL277" s="94">
        <v>140</v>
      </c>
      <c r="AM277" s="94" t="str">
        <f>TRIM(AJ277)&amp;TRIM(AL277)&amp;TRIM(AK277)</f>
      </c>
      <c r="AN277" s="116">
        <v>7678</v>
      </c>
      <c r="AO277" s="116">
        <v>-697</v>
      </c>
      <c r="AP277" s="116">
        <f>SUMIFS(M:M,AM:AM,AM277)+SUMIFS(O:O,AM:AM,AM277)</f>
      </c>
      <c r="AQ277" s="116">
        <f>SUMIFS(L:L,AM:AM,AM277)</f>
      </c>
      <c r="AR277" s="116">
        <f>AQ277-AP277</f>
      </c>
      <c r="AS277" s="94" t="str">
        <f>IF(AN277&gt;=AQ277,"ok","ck")</f>
      </c>
      <c r="AT277" s="116">
        <f>-P277</f>
      </c>
      <c r="AU277" s="115">
        <f>IF(SUMIFS(AT:AT,AM:AM,AM277)&gt;AO277,(SUMIFS(AT:AT,AM:AM,AM277)-AO277))</f>
      </c>
      <c r="AV277" s="116">
        <v>7678</v>
      </c>
      <c r="AW277" s="121">
        <v>1.1</v>
      </c>
      <c r="AX277" s="115">
        <f>AN277-AP277</f>
      </c>
    </row>
    <row r="278" spans="1:50" ht="15" hidden="1" customHeight="1" x14ac:dyDescent="0.3">
      <c r="A278" s="94" t="s">
        <v>268</v>
      </c>
      <c r="B278" s="94"/>
      <c r="C278" s="94"/>
      <c r="D278" s="94"/>
      <c r="E278" s="94"/>
      <c r="F278" s="94"/>
      <c r="G278" s="112">
        <f>AU278</f>
      </c>
      <c r="H278" s="113"/>
      <c r="I278" s="94" t="s">
        <v>390</v>
      </c>
      <c r="J278" s="94" t="s">
        <v>381</v>
      </c>
      <c r="K278" s="114">
        <f>P278/3</f>
      </c>
      <c r="L278" s="115">
        <v>-1.9590000000000001</v>
      </c>
      <c r="M278" s="116">
        <f>L278</f>
      </c>
      <c r="N278" s="117">
        <f>M278-L278</f>
      </c>
      <c r="O278" s="112"/>
      <c r="P278" s="118">
        <f>N278+O278</f>
      </c>
      <c r="Q278" s="94" t="s">
        <v>309</v>
      </c>
      <c r="R278" s="94" t="s">
        <v>63</v>
      </c>
      <c r="S278" s="119">
        <v>46320</v>
      </c>
      <c r="T278" s="119"/>
      <c r="U278" s="120">
        <v>46320</v>
      </c>
      <c r="V278" s="94"/>
      <c r="W278" s="94"/>
      <c r="X278" s="94"/>
      <c r="Y278" s="119">
        <v>46320</v>
      </c>
      <c r="Z278" s="94"/>
      <c r="AA278" s="120"/>
      <c r="AB278" s="120"/>
      <c r="AC278" s="120"/>
      <c r="AD278" s="120"/>
      <c r="AE278" s="120"/>
      <c r="AF278" s="120"/>
      <c r="AG278" s="94"/>
      <c r="AH278" s="120"/>
      <c r="AI278" s="94"/>
      <c r="AJ278" s="94" t="s">
        <v>309</v>
      </c>
      <c r="AK278" s="94" t="s">
        <v>381</v>
      </c>
      <c r="AL278" s="94">
        <v>140</v>
      </c>
      <c r="AM278" s="94" t="str">
        <f>TRIM(AJ278)&amp;TRIM(AL278)&amp;TRIM(AK278)</f>
      </c>
      <c r="AN278" s="116">
        <v>3845.67</v>
      </c>
      <c r="AO278" s="116">
        <v>-63.67</v>
      </c>
      <c r="AP278" s="116">
        <f>SUMIFS(M:M,AM:AM,AM278)+SUMIFS(O:O,AM:AM,AM278)</f>
      </c>
      <c r="AQ278" s="116">
        <f>SUMIFS(L:L,AM:AM,AM278)</f>
      </c>
      <c r="AR278" s="116">
        <f>AQ278-AP278</f>
      </c>
      <c r="AS278" s="94" t="str">
        <f>IF(AN278&gt;=AQ278,"ok","ck")</f>
      </c>
      <c r="AT278" s="116">
        <f>-P278</f>
      </c>
      <c r="AU278" s="115">
        <f>IF(SUMIFS(AT:AT,AM:AM,AM278)&gt;AO278,(SUMIFS(AT:AT,AM:AM,AM278)-AO278))</f>
      </c>
      <c r="AV278" s="116">
        <v>3845.67</v>
      </c>
      <c r="AW278" s="121">
        <v>1.017</v>
      </c>
      <c r="AX278" s="115">
        <f>AN278-AP278</f>
      </c>
    </row>
    <row r="279" spans="1:50" ht="15" hidden="1" customHeight="1" x14ac:dyDescent="0.3">
      <c r="A279" s="94" t="s">
        <v>268</v>
      </c>
      <c r="B279" s="94"/>
      <c r="C279" s="94"/>
      <c r="D279" s="94"/>
      <c r="E279" s="94"/>
      <c r="F279" s="94"/>
      <c r="G279" s="112">
        <f>AU279</f>
      </c>
      <c r="H279" s="113"/>
      <c r="I279" s="94" t="s">
        <v>278</v>
      </c>
      <c r="J279" s="94" t="s">
        <v>523</v>
      </c>
      <c r="K279" s="114">
        <f>P279/3</f>
      </c>
      <c r="L279" s="115">
        <v>-0.439</v>
      </c>
      <c r="M279" s="116">
        <f>L279</f>
      </c>
      <c r="N279" s="117">
        <f>M279-L279</f>
      </c>
      <c r="O279" s="112"/>
      <c r="P279" s="118">
        <f>N279+O279</f>
      </c>
      <c r="Q279" s="94" t="s">
        <v>309</v>
      </c>
      <c r="R279" s="94" t="s">
        <v>63</v>
      </c>
      <c r="S279" s="119">
        <v>46320</v>
      </c>
      <c r="T279" s="119"/>
      <c r="U279" s="120">
        <v>46320</v>
      </c>
      <c r="V279" s="94"/>
      <c r="W279" s="94"/>
      <c r="X279" s="94"/>
      <c r="Y279" s="119">
        <v>46320</v>
      </c>
      <c r="Z279" s="94"/>
      <c r="AA279" s="120"/>
      <c r="AB279" s="120"/>
      <c r="AC279" s="120"/>
      <c r="AD279" s="120"/>
      <c r="AE279" s="120"/>
      <c r="AF279" s="120"/>
      <c r="AG279" s="94"/>
      <c r="AH279" s="120"/>
      <c r="AI279" s="94"/>
      <c r="AJ279" s="94" t="s">
        <v>309</v>
      </c>
      <c r="AK279" s="94" t="s">
        <v>713</v>
      </c>
      <c r="AL279" s="94">
        <v>120</v>
      </c>
      <c r="AM279" s="94" t="str">
        <f>TRIM(AJ279)&amp;TRIM(AL279)&amp;TRIM(AK279)</f>
      </c>
      <c r="AN279" s="116">
        <v>434</v>
      </c>
      <c r="AO279" s="116">
        <v>-12</v>
      </c>
      <c r="AP279" s="116">
        <f>SUMIFS(M:M,AM:AM,AM279)+SUMIFS(O:O,AM:AM,AM279)</f>
      </c>
      <c r="AQ279" s="116">
        <f>SUMIFS(L:L,AM:AM,AM279)</f>
      </c>
      <c r="AR279" s="116">
        <f>AQ279-AP279</f>
      </c>
      <c r="AS279" s="94" t="str">
        <f>IF(AN279&gt;=AQ279,"ok","ck")</f>
      </c>
      <c r="AT279" s="116">
        <f>-P279</f>
      </c>
      <c r="AU279" s="115">
        <f>IF(SUMIFS(AT:AT,AM:AM,AM279)&gt;AO279,(SUMIFS(AT:AT,AM:AM,AM279)-AO279))</f>
      </c>
      <c r="AV279" s="116">
        <v>434</v>
      </c>
      <c r="AW279" s="121">
        <v>1.028</v>
      </c>
      <c r="AX279" s="115">
        <f>AN279-AP279</f>
      </c>
    </row>
    <row r="280" spans="1:50" ht="15" hidden="1" customHeight="1" x14ac:dyDescent="0.3">
      <c r="A280" s="94" t="s">
        <v>60</v>
      </c>
      <c r="B280" s="94"/>
      <c r="C280" s="94"/>
      <c r="D280" s="94"/>
      <c r="E280" s="94"/>
      <c r="F280" s="94"/>
      <c r="G280" s="112">
        <f>AU280</f>
      </c>
      <c r="H280" s="113"/>
      <c r="I280" s="94" t="s">
        <v>65</v>
      </c>
      <c r="J280" s="94" t="s">
        <v>71</v>
      </c>
      <c r="K280" s="114">
        <f>P280/3</f>
      </c>
      <c r="L280" s="115">
        <v>20.193000000000001</v>
      </c>
      <c r="M280" s="116"/>
      <c r="N280" s="117">
        <f>M280-L280</f>
      </c>
      <c r="O280" s="112"/>
      <c r="P280" s="118">
        <f>N280+O280</f>
      </c>
      <c r="Q280" s="94" t="s">
        <v>67</v>
      </c>
      <c r="R280" s="94" t="s">
        <v>63</v>
      </c>
      <c r="S280" s="119">
        <v>46337</v>
      </c>
      <c r="T280" s="119"/>
      <c r="U280" s="120">
        <v>46337</v>
      </c>
      <c r="V280" s="94"/>
      <c r="W280" s="94"/>
      <c r="X280" s="94"/>
      <c r="Y280" s="119">
        <v>46337</v>
      </c>
      <c r="Z280" s="94"/>
      <c r="AA280" s="120"/>
      <c r="AB280" s="120"/>
      <c r="AC280" s="120"/>
      <c r="AD280" s="120"/>
      <c r="AE280" s="120"/>
      <c r="AF280" s="120"/>
      <c r="AG280" s="94"/>
      <c r="AH280" s="120"/>
      <c r="AI280" s="94"/>
      <c r="AJ280" s="94" t="s">
        <v>67</v>
      </c>
      <c r="AK280" s="94" t="s">
        <v>71</v>
      </c>
      <c r="AL280" s="94">
        <v>110</v>
      </c>
      <c r="AM280" s="94" t="str">
        <f>TRIM(AJ280)&amp;TRIM(AL280)&amp;TRIM(AK280)</f>
      </c>
      <c r="AN280" s="116">
        <v>163.79</v>
      </c>
      <c r="AO280" s="116">
        <v>21.21</v>
      </c>
      <c r="AP280" s="116">
        <f>SUMIFS(M:M,AM:AM,AM280)+SUMIFS(O:O,AM:AM,AM280)</f>
      </c>
      <c r="AQ280" s="116">
        <f>SUMIFS(L:L,AM:AM,AM280)</f>
      </c>
      <c r="AR280" s="116">
        <f>AQ280-AP280</f>
      </c>
      <c r="AS280" s="94" t="str">
        <f>IF(AN280&gt;=AQ280,"ok","ck")</f>
      </c>
      <c r="AT280" s="116">
        <f>-P280</f>
      </c>
      <c r="AU280" s="115">
        <f>IF(SUMIFS(AT:AT,AM:AM,AM280)&gt;AO280,(SUMIFS(AT:AT,AM:AM,AM280)-AO280))</f>
      </c>
      <c r="AV280" s="116">
        <v>163.79</v>
      </c>
      <c r="AW280" s="121">
        <v>0.885</v>
      </c>
      <c r="AX280" s="115">
        <f>AN280-AP280</f>
      </c>
    </row>
    <row r="281" spans="1:50" ht="15" hidden="1" customHeight="1" x14ac:dyDescent="0.3">
      <c r="A281" s="94" t="s">
        <v>60</v>
      </c>
      <c r="B281" s="94"/>
      <c r="C281" s="94"/>
      <c r="D281" s="94"/>
      <c r="E281" s="94"/>
      <c r="F281" s="94"/>
      <c r="G281" s="112">
        <f>AU281</f>
      </c>
      <c r="H281" s="113"/>
      <c r="I281" s="94" t="s">
        <v>65</v>
      </c>
      <c r="J281" s="94" t="s">
        <v>71</v>
      </c>
      <c r="K281" s="114">
        <f>P281/3</f>
      </c>
      <c r="L281" s="115">
        <v>0.29699999999999999</v>
      </c>
      <c r="M281" s="116"/>
      <c r="N281" s="117">
        <f>M281-L281</f>
      </c>
      <c r="O281" s="112"/>
      <c r="P281" s="118">
        <f>N281+O281</f>
      </c>
      <c r="Q281" s="94" t="s">
        <v>67</v>
      </c>
      <c r="R281" s="94" t="s">
        <v>63</v>
      </c>
      <c r="S281" s="119">
        <v>46341</v>
      </c>
      <c r="T281" s="119"/>
      <c r="U281" s="120">
        <v>46341</v>
      </c>
      <c r="V281" s="94"/>
      <c r="W281" s="94"/>
      <c r="X281" s="94"/>
      <c r="Y281" s="119">
        <v>46341</v>
      </c>
      <c r="Z281" s="94"/>
      <c r="AA281" s="120"/>
      <c r="AB281" s="120"/>
      <c r="AC281" s="120"/>
      <c r="AD281" s="120"/>
      <c r="AE281" s="120"/>
      <c r="AF281" s="120"/>
      <c r="AG281" s="94"/>
      <c r="AH281" s="120"/>
      <c r="AI281" s="94"/>
      <c r="AJ281" s="94" t="s">
        <v>67</v>
      </c>
      <c r="AK281" s="94" t="s">
        <v>71</v>
      </c>
      <c r="AL281" s="94">
        <v>110</v>
      </c>
      <c r="AM281" s="94" t="str">
        <f>TRIM(AJ281)&amp;TRIM(AL281)&amp;TRIM(AK281)</f>
      </c>
      <c r="AN281" s="116">
        <v>163.79</v>
      </c>
      <c r="AO281" s="116">
        <v>21.21</v>
      </c>
      <c r="AP281" s="116">
        <f>SUMIFS(M:M,AM:AM,AM281)+SUMIFS(O:O,AM:AM,AM281)</f>
      </c>
      <c r="AQ281" s="116">
        <f>SUMIFS(L:L,AM:AM,AM281)</f>
      </c>
      <c r="AR281" s="116">
        <f>AQ281-AP281</f>
      </c>
      <c r="AS281" s="94" t="str">
        <f>IF(AN281&gt;=AQ281,"ok","ck")</f>
      </c>
      <c r="AT281" s="116">
        <f>-P281</f>
      </c>
      <c r="AU281" s="115">
        <f>IF(SUMIFS(AT:AT,AM:AM,AM281)&gt;AO281,(SUMIFS(AT:AT,AM:AM,AM281)-AO281))</f>
      </c>
      <c r="AV281" s="116">
        <v>163.79</v>
      </c>
      <c r="AW281" s="121">
        <v>0.885</v>
      </c>
      <c r="AX281" s="115">
        <f>AN281-AP281</f>
      </c>
    </row>
    <row r="282" spans="1:50" ht="15" hidden="1" customHeight="1" x14ac:dyDescent="0.3">
      <c r="A282" s="94" t="s">
        <v>268</v>
      </c>
      <c r="B282" s="94"/>
      <c r="C282" s="94"/>
      <c r="D282" s="94"/>
      <c r="E282" s="94"/>
      <c r="F282" s="94"/>
      <c r="G282" s="112">
        <f>AU282</f>
      </c>
      <c r="H282" s="113"/>
      <c r="I282" s="94" t="s">
        <v>278</v>
      </c>
      <c r="J282" s="94" t="s">
        <v>501</v>
      </c>
      <c r="K282" s="114">
        <f>P282/3</f>
      </c>
      <c r="L282" s="115">
        <v>30</v>
      </c>
      <c r="M282" s="116"/>
      <c r="N282" s="117">
        <f>M282-L282</f>
      </c>
      <c r="O282" s="112"/>
      <c r="P282" s="118">
        <f>N282+O282</f>
      </c>
      <c r="Q282" s="94" t="s">
        <v>793</v>
      </c>
      <c r="R282" s="94" t="s">
        <v>63</v>
      </c>
      <c r="S282" s="119">
        <v>46321</v>
      </c>
      <c r="T282" s="119"/>
      <c r="U282" s="120">
        <v>46321</v>
      </c>
      <c r="V282" s="94"/>
      <c r="W282" s="94"/>
      <c r="X282" s="94"/>
      <c r="Y282" s="119">
        <v>46320</v>
      </c>
      <c r="Z282" s="94"/>
      <c r="AA282" s="120"/>
      <c r="AB282" s="120"/>
      <c r="AC282" s="120"/>
      <c r="AD282" s="120"/>
      <c r="AE282" s="120"/>
      <c r="AF282" s="120"/>
      <c r="AG282" s="94"/>
      <c r="AH282" s="120"/>
      <c r="AI282" s="94"/>
      <c r="AJ282" s="94" t="s">
        <v>793</v>
      </c>
      <c r="AK282" s="94" t="s">
        <v>695</v>
      </c>
      <c r="AL282" s="94">
        <v>120</v>
      </c>
      <c r="AM282" s="94" t="str">
        <f>TRIM(AJ282)&amp;TRIM(AL282)&amp;TRIM(AK282)</f>
      </c>
      <c r="AN282" s="116">
        <v>0</v>
      </c>
      <c r="AO282" s="116" t="inlineStr">
        <is>
          <t>#NA</t>
        </is>
      </c>
      <c r="AP282" s="116">
        <f>SUMIFS(M:M,AM:AM,AM282)+SUMIFS(O:O,AM:AM,AM282)</f>
      </c>
      <c r="AQ282" s="116">
        <f>SUMIFS(L:L,AM:AM,AM282)</f>
      </c>
      <c r="AR282" s="116">
        <f>AQ282-AP282</f>
      </c>
      <c r="AS282" s="94" t="str">
        <f>IF(AN282&gt;=AQ282,"ok","ck")</f>
      </c>
      <c r="AT282" s="116">
        <f>-P282</f>
      </c>
      <c r="AU282" s="115">
        <f>IF(SUMIFS(AT:AT,AM:AM,AM282)&gt;AO282,(SUMIFS(AT:AT,AM:AM,AM282)-AO282))</f>
      </c>
      <c r="AV282" s="116">
        <v>0</v>
      </c>
      <c r="AW282" s="121">
        <v>0</v>
      </c>
      <c r="AX282" s="115">
        <f>AN282-AP282</f>
      </c>
    </row>
    <row r="283" spans="1:50" ht="15" hidden="1" customHeight="1" x14ac:dyDescent="0.3">
      <c r="A283" s="94" t="s">
        <v>60</v>
      </c>
      <c r="B283" s="94"/>
      <c r="C283" s="94"/>
      <c r="D283" s="94"/>
      <c r="E283" s="94"/>
      <c r="F283" s="94"/>
      <c r="G283" s="112">
        <f>AU283</f>
      </c>
      <c r="H283" s="113"/>
      <c r="I283" s="94" t="s">
        <v>482</v>
      </c>
      <c r="J283" s="94" t="s">
        <v>122</v>
      </c>
      <c r="K283" s="114">
        <f>P283/3</f>
      </c>
      <c r="L283" s="115">
        <v>3.4000000000000002E-2</v>
      </c>
      <c r="M283" s="116"/>
      <c r="N283" s="117">
        <f>M283-L283</f>
      </c>
      <c r="O283" s="112"/>
      <c r="P283" s="118">
        <f>N283+O283</f>
      </c>
      <c r="Q283" s="94" t="s">
        <v>779</v>
      </c>
      <c r="R283" s="94" t="s">
        <v>63</v>
      </c>
      <c r="S283" s="119">
        <v>46340</v>
      </c>
      <c r="T283" s="119"/>
      <c r="U283" s="120">
        <v>46340</v>
      </c>
      <c r="V283" s="94"/>
      <c r="W283" s="94"/>
      <c r="X283" s="94"/>
      <c r="Y283" s="119">
        <v>46340</v>
      </c>
      <c r="Z283" s="94"/>
      <c r="AA283" s="120"/>
      <c r="AB283" s="120"/>
      <c r="AC283" s="120"/>
      <c r="AD283" s="120"/>
      <c r="AE283" s="120"/>
      <c r="AF283" s="120"/>
      <c r="AG283" s="94"/>
      <c r="AH283" s="120"/>
      <c r="AI283" s="94"/>
      <c r="AJ283" s="94" t="s">
        <v>779</v>
      </c>
      <c r="AK283" s="94" t="s">
        <v>692</v>
      </c>
      <c r="AL283" s="94">
        <v>110</v>
      </c>
      <c r="AM283" s="94" t="str">
        <f>TRIM(AJ283)&amp;TRIM(AL283)&amp;TRIM(AK283)</f>
      </c>
      <c r="AN283" s="116">
        <v>0</v>
      </c>
      <c r="AO283" s="116" t="inlineStr">
        <is>
          <t>#NA</t>
        </is>
      </c>
      <c r="AP283" s="116">
        <f>SUMIFS(M:M,AM:AM,AM283)+SUMIFS(O:O,AM:AM,AM283)</f>
      </c>
      <c r="AQ283" s="116">
        <f>SUMIFS(L:L,AM:AM,AM283)</f>
      </c>
      <c r="AR283" s="116">
        <f>AQ283-AP283</f>
      </c>
      <c r="AS283" s="94" t="str">
        <f>IF(AN283&gt;=AQ283,"ok","ck")</f>
      </c>
      <c r="AT283" s="116">
        <f>-P283</f>
      </c>
      <c r="AU283" s="115">
        <f>IF(SUMIFS(AT:AT,AM:AM,AM283)&gt;AO283,(SUMIFS(AT:AT,AM:AM,AM283)-AO283))</f>
      </c>
      <c r="AV283" s="116">
        <v>0</v>
      </c>
      <c r="AW283" s="121">
        <v>0</v>
      </c>
      <c r="AX283" s="115">
        <f>AN283-AP283</f>
      </c>
    </row>
    <row r="284" spans="1:50" ht="15" hidden="1" customHeight="1" x14ac:dyDescent="0.3">
      <c r="A284" s="94" t="s">
        <v>263</v>
      </c>
      <c r="B284" s="94"/>
      <c r="C284" s="94"/>
      <c r="D284" s="94"/>
      <c r="E284" s="94"/>
      <c r="F284" s="94"/>
      <c r="G284" s="112">
        <f>AU284</f>
      </c>
      <c r="H284" s="113"/>
      <c r="I284" s="94" t="s">
        <v>264</v>
      </c>
      <c r="J284" s="94" t="s">
        <v>357</v>
      </c>
      <c r="K284" s="114">
        <f>P284/3</f>
      </c>
      <c r="L284" s="115">
        <v>0</v>
      </c>
      <c r="M284" s="116">
        <f>L284</f>
      </c>
      <c r="N284" s="117">
        <f>M284-L284</f>
      </c>
      <c r="O284" s="112"/>
      <c r="P284" s="118">
        <f>N284+O284</f>
      </c>
      <c r="Q284" s="94" t="s">
        <v>788</v>
      </c>
      <c r="R284" s="94" t="s">
        <v>63</v>
      </c>
      <c r="S284" s="119">
        <v>46342</v>
      </c>
      <c r="T284" s="119"/>
      <c r="U284" s="119">
        <v>46342</v>
      </c>
      <c r="V284" s="94"/>
      <c r="W284" s="94"/>
      <c r="X284" s="94"/>
      <c r="Y284" s="119">
        <v>46342</v>
      </c>
      <c r="Z284" s="94"/>
      <c r="AA284" s="120"/>
      <c r="AB284" s="120"/>
      <c r="AC284" s="120"/>
      <c r="AD284" s="120"/>
      <c r="AE284" s="120"/>
      <c r="AF284" s="120"/>
      <c r="AG284" s="94"/>
      <c r="AH284" s="120"/>
      <c r="AI284" s="94"/>
      <c r="AJ284" s="94" t="s">
        <v>788</v>
      </c>
      <c r="AK284" s="94" t="s">
        <v>357</v>
      </c>
      <c r="AL284" s="94">
        <v>120</v>
      </c>
      <c r="AM284" s="94" t="str">
        <f>TRIM(AJ284)&amp;TRIM(AL284)&amp;TRIM(AK284)</f>
      </c>
      <c r="AN284" s="116">
        <v>835</v>
      </c>
      <c r="AO284" s="116">
        <v>-12</v>
      </c>
      <c r="AP284" s="116">
        <f>SUMIFS(M:M,AM:AM,AM284)+SUMIFS(O:O,AM:AM,AM284)</f>
      </c>
      <c r="AQ284" s="116">
        <f>SUMIFS(L:L,AM:AM,AM284)</f>
      </c>
      <c r="AR284" s="116">
        <f>AQ284-AP284</f>
      </c>
      <c r="AS284" s="94" t="str">
        <f>IF(AN284&gt;=AQ284,"ok","ck")</f>
      </c>
      <c r="AT284" s="116">
        <f>-P284</f>
      </c>
      <c r="AU284" s="115">
        <f>IF(SUMIFS(AT:AT,AM:AM,AM284)&gt;AO284,(SUMIFS(AT:AT,AM:AM,AM284)-AO284))</f>
      </c>
      <c r="AV284" s="116">
        <v>835</v>
      </c>
      <c r="AW284" s="121">
        <v>1.015</v>
      </c>
      <c r="AX284" s="115">
        <f>AN284-AP284</f>
      </c>
    </row>
    <row r="285" spans="1:50" ht="15" hidden="1" customHeight="1" x14ac:dyDescent="0.3">
      <c r="A285" s="94" t="s">
        <v>268</v>
      </c>
      <c r="B285" s="94"/>
      <c r="C285" s="94"/>
      <c r="D285" s="94"/>
      <c r="E285" s="94"/>
      <c r="F285" s="94"/>
      <c r="G285" s="112">
        <f>AU285</f>
      </c>
      <c r="H285" s="113"/>
      <c r="I285" s="94" t="s">
        <v>278</v>
      </c>
      <c r="J285" s="94" t="s">
        <v>293</v>
      </c>
      <c r="K285" s="114">
        <f>P285/3</f>
      </c>
      <c r="L285" s="115">
        <v>-3.0000000000000001E-3</v>
      </c>
      <c r="M285" s="116">
        <f>L285</f>
      </c>
      <c r="N285" s="117">
        <f>M285-L285</f>
      </c>
      <c r="O285" s="112"/>
      <c r="P285" s="118">
        <f>N285+O285</f>
      </c>
      <c r="Q285" s="94" t="s">
        <v>787</v>
      </c>
      <c r="R285" s="94" t="s">
        <v>63</v>
      </c>
      <c r="S285" s="119">
        <v>46320</v>
      </c>
      <c r="T285" s="119"/>
      <c r="U285" s="119">
        <v>46320</v>
      </c>
      <c r="V285" s="94"/>
      <c r="W285" s="94"/>
      <c r="X285" s="94"/>
      <c r="Y285" s="119">
        <v>46320</v>
      </c>
      <c r="Z285" s="94"/>
      <c r="AA285" s="120"/>
      <c r="AB285" s="120"/>
      <c r="AC285" s="120"/>
      <c r="AD285" s="120"/>
      <c r="AE285" s="120"/>
      <c r="AF285" s="120"/>
      <c r="AG285" s="94"/>
      <c r="AH285" s="120"/>
      <c r="AI285" s="94"/>
      <c r="AJ285" s="94" t="s">
        <v>787</v>
      </c>
      <c r="AK285" s="94" t="s">
        <v>294</v>
      </c>
      <c r="AL285" s="94">
        <v>120</v>
      </c>
      <c r="AM285" s="94" t="str">
        <f>TRIM(AJ285)&amp;TRIM(AL285)&amp;TRIM(AK285)</f>
      </c>
      <c r="AN285" s="116">
        <v>776</v>
      </c>
      <c r="AO285" s="116">
        <v>-26</v>
      </c>
      <c r="AP285" s="116">
        <f>SUMIFS(M:M,AM:AM,AM285)+SUMIFS(O:O,AM:AM,AM285)</f>
      </c>
      <c r="AQ285" s="116">
        <f>SUMIFS(L:L,AM:AM,AM285)</f>
      </c>
      <c r="AR285" s="116">
        <f>AQ285-AP285</f>
      </c>
      <c r="AS285" s="94" t="str">
        <f>IF(AN285&gt;=AQ285,"ok","ck")</f>
      </c>
      <c r="AT285" s="116">
        <f>-P285</f>
      </c>
      <c r="AU285" s="115">
        <f>IF(SUMIFS(AT:AT,AM:AM,AM285)&gt;AO285,(SUMIFS(AT:AT,AM:AM,AM285)-AO285))</f>
      </c>
      <c r="AV285" s="116">
        <v>776</v>
      </c>
      <c r="AW285" s="121">
        <v>1.035</v>
      </c>
      <c r="AX285" s="115">
        <f>AN285-AP285</f>
      </c>
    </row>
    <row r="286" spans="1:50" ht="15" hidden="1" customHeight="1" x14ac:dyDescent="0.3">
      <c r="A286" s="94" t="s">
        <v>263</v>
      </c>
      <c r="B286" s="94"/>
      <c r="C286" s="94"/>
      <c r="D286" s="94"/>
      <c r="E286" s="94"/>
      <c r="F286" s="94"/>
      <c r="G286" s="112">
        <f>AU286</f>
      </c>
      <c r="H286" s="113"/>
      <c r="I286" s="94" t="s">
        <v>264</v>
      </c>
      <c r="J286" s="94" t="s">
        <v>333</v>
      </c>
      <c r="K286" s="114">
        <f>P286/3</f>
      </c>
      <c r="L286" s="115">
        <v>0</v>
      </c>
      <c r="M286" s="116">
        <f>L286</f>
      </c>
      <c r="N286" s="117">
        <f>M286-L286</f>
      </c>
      <c r="O286" s="112"/>
      <c r="P286" s="118">
        <f>N286+O286</f>
      </c>
      <c r="Q286" s="94" t="s">
        <v>373</v>
      </c>
      <c r="R286" s="94" t="s">
        <v>63</v>
      </c>
      <c r="S286" s="119">
        <v>46328</v>
      </c>
      <c r="T286" s="119"/>
      <c r="U286" s="119">
        <v>46328</v>
      </c>
      <c r="V286" s="94"/>
      <c r="W286" s="94"/>
      <c r="X286" s="94"/>
      <c r="Y286" s="119">
        <v>46328</v>
      </c>
      <c r="Z286" s="94"/>
      <c r="AA286" s="120"/>
      <c r="AB286" s="120"/>
      <c r="AC286" s="120"/>
      <c r="AD286" s="120"/>
      <c r="AE286" s="120"/>
      <c r="AF286" s="120"/>
      <c r="AG286" s="94"/>
      <c r="AH286" s="120"/>
      <c r="AI286" s="94"/>
      <c r="AJ286" s="94" t="s">
        <v>373</v>
      </c>
      <c r="AK286" s="94" t="s">
        <v>338</v>
      </c>
      <c r="AL286" s="94">
        <v>120</v>
      </c>
      <c r="AM286" s="94" t="str">
        <f>TRIM(AJ286)&amp;TRIM(AL286)&amp;TRIM(AK286)</f>
      </c>
      <c r="AN286" s="116">
        <v>706</v>
      </c>
      <c r="AO286" s="116">
        <v>-13</v>
      </c>
      <c r="AP286" s="116">
        <f>SUMIFS(M:M,AM:AM,AM286)+SUMIFS(O:O,AM:AM,AM286)</f>
      </c>
      <c r="AQ286" s="116">
        <f>SUMIFS(L:L,AM:AM,AM286)</f>
      </c>
      <c r="AR286" s="116">
        <f>AQ286-AP286</f>
      </c>
      <c r="AS286" s="94" t="str">
        <f>IF(AN286&gt;=AQ286,"ok","ck")</f>
      </c>
      <c r="AT286" s="116">
        <f>-P286</f>
      </c>
      <c r="AU286" s="115">
        <f>IF(SUMIFS(AT:AT,AM:AM,AM286)&gt;AO286,(SUMIFS(AT:AT,AM:AM,AM286)-AO286))</f>
      </c>
      <c r="AV286" s="116">
        <v>706</v>
      </c>
      <c r="AW286" s="121">
        <v>1.019</v>
      </c>
      <c r="AX286" s="115">
        <f>AN286-AP286</f>
      </c>
    </row>
    <row r="287" spans="1:50" ht="15" hidden="1" customHeight="1" x14ac:dyDescent="0.3">
      <c r="A287" s="94" t="s">
        <v>263</v>
      </c>
      <c r="B287" s="94"/>
      <c r="C287" s="94"/>
      <c r="D287" s="94"/>
      <c r="E287" s="94"/>
      <c r="F287" s="94"/>
      <c r="G287" s="112">
        <f>AU287</f>
      </c>
      <c r="H287" s="113"/>
      <c r="I287" s="94" t="s">
        <v>264</v>
      </c>
      <c r="J287" s="94" t="s">
        <v>333</v>
      </c>
      <c r="K287" s="114">
        <f>P287/3</f>
      </c>
      <c r="L287" s="115">
        <v>0</v>
      </c>
      <c r="M287" s="116">
        <f>L287</f>
      </c>
      <c r="N287" s="117">
        <f>M287-L287</f>
      </c>
      <c r="O287" s="112"/>
      <c r="P287" s="118">
        <f>N287+O287</f>
      </c>
      <c r="Q287" s="94" t="s">
        <v>373</v>
      </c>
      <c r="R287" s="94" t="s">
        <v>63</v>
      </c>
      <c r="S287" s="119">
        <v>46321</v>
      </c>
      <c r="T287" s="119"/>
      <c r="U287" s="119">
        <v>46321</v>
      </c>
      <c r="V287" s="94"/>
      <c r="W287" s="94"/>
      <c r="X287" s="94"/>
      <c r="Y287" s="119">
        <v>46321</v>
      </c>
      <c r="Z287" s="94"/>
      <c r="AA287" s="120"/>
      <c r="AB287" s="120"/>
      <c r="AC287" s="120"/>
      <c r="AD287" s="120"/>
      <c r="AE287" s="120"/>
      <c r="AF287" s="120"/>
      <c r="AG287" s="94"/>
      <c r="AH287" s="120"/>
      <c r="AI287" s="94"/>
      <c r="AJ287" s="94" t="s">
        <v>373</v>
      </c>
      <c r="AK287" s="94" t="s">
        <v>338</v>
      </c>
      <c r="AL287" s="94">
        <v>120</v>
      </c>
      <c r="AM287" s="94" t="str">
        <f>TRIM(AJ287)&amp;TRIM(AL287)&amp;TRIM(AK287)</f>
      </c>
      <c r="AN287" s="116">
        <v>706</v>
      </c>
      <c r="AO287" s="116">
        <v>-13</v>
      </c>
      <c r="AP287" s="116">
        <f>SUMIFS(M:M,AM:AM,AM287)+SUMIFS(O:O,AM:AM,AM287)</f>
      </c>
      <c r="AQ287" s="116">
        <f>SUMIFS(L:L,AM:AM,AM287)</f>
      </c>
      <c r="AR287" s="116">
        <f>AQ287-AP287</f>
      </c>
      <c r="AS287" s="94" t="str">
        <f>IF(AN287&gt;=AQ287,"ok","ck")</f>
      </c>
      <c r="AT287" s="116">
        <f>-P287</f>
      </c>
      <c r="AU287" s="115">
        <f>IF(SUMIFS(AT:AT,AM:AM,AM287)&gt;AO287,(SUMIFS(AT:AT,AM:AM,AM287)-AO287))</f>
      </c>
      <c r="AV287" s="116">
        <v>706</v>
      </c>
      <c r="AW287" s="121">
        <v>1.019</v>
      </c>
      <c r="AX287" s="115">
        <f>AN287-AP287</f>
      </c>
    </row>
    <row r="288" spans="1:50" ht="15" hidden="1" customHeight="1" x14ac:dyDescent="0.3">
      <c r="A288" s="94" t="s">
        <v>268</v>
      </c>
      <c r="B288" s="94"/>
      <c r="C288" s="94"/>
      <c r="D288" s="94"/>
      <c r="E288" s="94"/>
      <c r="F288" s="94"/>
      <c r="G288" s="112">
        <f>AU288</f>
      </c>
      <c r="H288" s="113"/>
      <c r="I288" s="94" t="s">
        <v>278</v>
      </c>
      <c r="J288" s="94" t="s">
        <v>293</v>
      </c>
      <c r="K288" s="114">
        <f>P288/3</f>
      </c>
      <c r="L288" s="115">
        <v>-6.0000000000000001E-3</v>
      </c>
      <c r="M288" s="116">
        <f>L288</f>
      </c>
      <c r="N288" s="117">
        <f>M288-L288</f>
      </c>
      <c r="O288" s="112"/>
      <c r="P288" s="118">
        <f>N288+O288</f>
      </c>
      <c r="Q288" s="94" t="s">
        <v>309</v>
      </c>
      <c r="R288" s="94" t="s">
        <v>63</v>
      </c>
      <c r="S288" s="119">
        <v>46323</v>
      </c>
      <c r="T288" s="119"/>
      <c r="U288" s="119">
        <v>46323</v>
      </c>
      <c r="V288" s="94"/>
      <c r="W288" s="94"/>
      <c r="X288" s="94"/>
      <c r="Y288" s="119">
        <v>46323</v>
      </c>
      <c r="Z288" s="94"/>
      <c r="AA288" s="120"/>
      <c r="AB288" s="120"/>
      <c r="AC288" s="120"/>
      <c r="AD288" s="120"/>
      <c r="AE288" s="120"/>
      <c r="AF288" s="120"/>
      <c r="AG288" s="94"/>
      <c r="AH288" s="120"/>
      <c r="AI288" s="94"/>
      <c r="AJ288" s="94" t="s">
        <v>309</v>
      </c>
      <c r="AK288" s="94" t="s">
        <v>294</v>
      </c>
      <c r="AL288" s="94">
        <v>120</v>
      </c>
      <c r="AM288" s="94" t="str">
        <f>TRIM(AJ288)&amp;TRIM(AL288)&amp;TRIM(AK288)</f>
      </c>
      <c r="AN288" s="116">
        <v>1140</v>
      </c>
      <c r="AO288" s="116">
        <v>-31.03</v>
      </c>
      <c r="AP288" s="116">
        <f>SUMIFS(M:M,AM:AM,AM288)+SUMIFS(O:O,AM:AM,AM288)</f>
      </c>
      <c r="AQ288" s="116">
        <f>SUMIFS(L:L,AM:AM,AM288)</f>
      </c>
      <c r="AR288" s="116">
        <f>AQ288-AP288</f>
      </c>
      <c r="AS288" s="94" t="str">
        <f>IF(AN288&gt;=AQ288,"ok","ck")</f>
      </c>
      <c r="AT288" s="116">
        <f>-P288</f>
      </c>
      <c r="AU288" s="115">
        <f>IF(SUMIFS(AT:AT,AM:AM,AM288)&gt;AO288,(SUMIFS(AT:AT,AM:AM,AM288)-AO288))</f>
      </c>
      <c r="AV288" s="116">
        <v>1115</v>
      </c>
      <c r="AW288" s="121">
        <v>1.02</v>
      </c>
      <c r="AX288" s="115">
        <f>AN288-AP288</f>
      </c>
    </row>
    <row r="289" spans="1:50" ht="15" hidden="1" customHeight="1" x14ac:dyDescent="0.3">
      <c r="A289" s="94" t="s">
        <v>288</v>
      </c>
      <c r="B289" s="94"/>
      <c r="C289" s="94"/>
      <c r="D289" s="94"/>
      <c r="E289" s="94"/>
      <c r="F289" s="94"/>
      <c r="G289" s="112">
        <f>AU289</f>
      </c>
      <c r="H289" s="113"/>
      <c r="I289" s="94" t="s">
        <v>289</v>
      </c>
      <c r="J289" s="94" t="s">
        <v>286</v>
      </c>
      <c r="K289" s="114">
        <f>P289/3</f>
      </c>
      <c r="L289" s="115">
        <v>210.80799999999999</v>
      </c>
      <c r="M289" s="116"/>
      <c r="N289" s="117">
        <f>M289-L289</f>
      </c>
      <c r="O289" s="112"/>
      <c r="P289" s="118">
        <f>N289+O289</f>
      </c>
      <c r="Q289" s="94" t="s">
        <v>852</v>
      </c>
      <c r="R289" s="94" t="s">
        <v>63</v>
      </c>
      <c r="S289" s="119">
        <v>46343</v>
      </c>
      <c r="T289" s="119"/>
      <c r="U289" s="119">
        <v>46343</v>
      </c>
      <c r="V289" s="94"/>
      <c r="W289" s="94"/>
      <c r="X289" s="94"/>
      <c r="Y289" s="119">
        <v>46343</v>
      </c>
      <c r="Z289" s="94"/>
      <c r="AA289" s="120"/>
      <c r="AB289" s="120"/>
      <c r="AC289" s="120"/>
      <c r="AD289" s="120"/>
      <c r="AE289" s="120"/>
      <c r="AF289" s="120"/>
      <c r="AG289" s="94"/>
      <c r="AH289" s="120"/>
      <c r="AI289" s="94"/>
      <c r="AJ289" s="94" t="s">
        <v>794</v>
      </c>
      <c r="AK289" s="94" t="s">
        <v>281</v>
      </c>
      <c r="AL289" s="94">
        <v>235</v>
      </c>
      <c r="AM289" s="94" t="str">
        <f>TRIM(AJ289)&amp;TRIM(AL289)&amp;TRIM(AK289)</f>
      </c>
      <c r="AN289" s="116">
        <v>0</v>
      </c>
      <c r="AO289" s="116" t="inlineStr">
        <is>
          <t>#NA</t>
        </is>
      </c>
      <c r="AP289" s="116">
        <f>SUMIFS(M:M,AM:AM,AM289)+SUMIFS(O:O,AM:AM,AM289)</f>
      </c>
      <c r="AQ289" s="116">
        <f>SUMIFS(L:L,AM:AM,AM289)</f>
      </c>
      <c r="AR289" s="116">
        <f>AQ289-AP289</f>
      </c>
      <c r="AS289" s="94" t="str">
        <f>IF(AN289&gt;=AQ289,"ok","ck")</f>
      </c>
      <c r="AT289" s="116">
        <f>-P289</f>
      </c>
      <c r="AU289" s="115">
        <f>IF(SUMIFS(AT:AT,AM:AM,AM289)&gt;AO289,(SUMIFS(AT:AT,AM:AM,AM289)-AO289))</f>
      </c>
      <c r="AV289" s="116">
        <v>0</v>
      </c>
      <c r="AW289" s="121">
        <v>0</v>
      </c>
      <c r="AX289" s="115">
        <f>AN289-AP289</f>
      </c>
    </row>
    <row r="290" spans="1:50" ht="15" hidden="1" customHeight="1" x14ac:dyDescent="0.3">
      <c r="A290" s="94" t="s">
        <v>288</v>
      </c>
      <c r="B290" s="94"/>
      <c r="C290" s="94"/>
      <c r="D290" s="94"/>
      <c r="E290" s="94"/>
      <c r="F290" s="94"/>
      <c r="G290" s="112">
        <f>AU290</f>
      </c>
      <c r="H290" s="113"/>
      <c r="I290" s="94" t="s">
        <v>289</v>
      </c>
      <c r="J290" s="94" t="s">
        <v>357</v>
      </c>
      <c r="K290" s="114">
        <f>P290/3</f>
      </c>
      <c r="L290" s="115">
        <v>210.80799999999999</v>
      </c>
      <c r="M290" s="116"/>
      <c r="N290" s="117">
        <f>M290-L290</f>
      </c>
      <c r="O290" s="112"/>
      <c r="P290" s="118">
        <f>N290+O290</f>
      </c>
      <c r="Q290" s="94" t="s">
        <v>852</v>
      </c>
      <c r="R290" s="94" t="s">
        <v>63</v>
      </c>
      <c r="S290" s="119">
        <v>46343</v>
      </c>
      <c r="T290" s="119"/>
      <c r="U290" s="119">
        <v>46343</v>
      </c>
      <c r="V290" s="94"/>
      <c r="W290" s="94"/>
      <c r="X290" s="94"/>
      <c r="Y290" s="119">
        <v>46343</v>
      </c>
      <c r="Z290" s="94"/>
      <c r="AA290" s="120"/>
      <c r="AB290" s="120"/>
      <c r="AC290" s="120"/>
      <c r="AD290" s="120"/>
      <c r="AE290" s="120"/>
      <c r="AF290" s="120"/>
      <c r="AG290" s="94"/>
      <c r="AH290" s="120"/>
      <c r="AI290" s="94"/>
      <c r="AJ290" s="94" t="s">
        <v>794</v>
      </c>
      <c r="AK290" s="94" t="s">
        <v>357</v>
      </c>
      <c r="AL290" s="94">
        <v>235</v>
      </c>
      <c r="AM290" s="94" t="str">
        <f>TRIM(AJ290)&amp;TRIM(AL290)&amp;TRIM(AK290)</f>
      </c>
      <c r="AN290" s="116">
        <v>0</v>
      </c>
      <c r="AO290" s="116" t="inlineStr">
        <is>
          <t>#NA</t>
        </is>
      </c>
      <c r="AP290" s="116">
        <f>SUMIFS(M:M,AM:AM,AM290)+SUMIFS(O:O,AM:AM,AM290)</f>
      </c>
      <c r="AQ290" s="116">
        <f>SUMIFS(L:L,AM:AM,AM290)</f>
      </c>
      <c r="AR290" s="116">
        <f>AQ290-AP290</f>
      </c>
      <c r="AS290" s="94" t="str">
        <f>IF(AN290&gt;=AQ290,"ok","ck")</f>
      </c>
      <c r="AT290" s="116">
        <f>-P290</f>
      </c>
      <c r="AU290" s="115">
        <f>IF(SUMIFS(AT:AT,AM:AM,AM290)&gt;AO290,(SUMIFS(AT:AT,AM:AM,AM290)-AO290))</f>
      </c>
      <c r="AV290" s="116">
        <v>0</v>
      </c>
      <c r="AW290" s="121">
        <v>0</v>
      </c>
      <c r="AX290" s="115">
        <f>AN290-AP290</f>
      </c>
    </row>
    <row r="291" spans="1:50" ht="15" hidden="1" customHeight="1" x14ac:dyDescent="0.3">
      <c r="A291" s="94" t="s">
        <v>268</v>
      </c>
      <c r="B291" s="94"/>
      <c r="C291" s="94"/>
      <c r="D291" s="94"/>
      <c r="E291" s="94"/>
      <c r="F291" s="94"/>
      <c r="G291" s="112">
        <f>AU291</f>
      </c>
      <c r="H291" s="113"/>
      <c r="I291" s="94" t="s">
        <v>278</v>
      </c>
      <c r="J291" s="94" t="s">
        <v>322</v>
      </c>
      <c r="K291" s="114">
        <f>P291/3</f>
      </c>
      <c r="L291" s="115">
        <v>84</v>
      </c>
      <c r="M291" s="116">
        <f>L291</f>
      </c>
      <c r="N291" s="117">
        <f>M291-L291</f>
      </c>
      <c r="O291" s="112"/>
      <c r="P291" s="118">
        <f>N291+O291</f>
      </c>
      <c r="Q291" s="94" t="s">
        <v>305</v>
      </c>
      <c r="R291" s="94" t="s">
        <v>63</v>
      </c>
      <c r="S291" s="119">
        <v>46320</v>
      </c>
      <c r="T291" s="119"/>
      <c r="U291" s="119">
        <v>46320</v>
      </c>
      <c r="V291" s="94"/>
      <c r="W291" s="94"/>
      <c r="X291" s="94"/>
      <c r="Y291" s="119">
        <v>46320</v>
      </c>
      <c r="Z291" s="94"/>
      <c r="AA291" s="120"/>
      <c r="AB291" s="120"/>
      <c r="AC291" s="120"/>
      <c r="AD291" s="120"/>
      <c r="AE291" s="120"/>
      <c r="AF291" s="120"/>
      <c r="AG291" s="94"/>
      <c r="AH291" s="120"/>
      <c r="AI291" s="94"/>
      <c r="AJ291" s="94" t="s">
        <v>305</v>
      </c>
      <c r="AK291" s="94" t="s">
        <v>323</v>
      </c>
      <c r="AL291" s="94">
        <v>120</v>
      </c>
      <c r="AM291" s="94" t="str">
        <f>TRIM(AJ291)&amp;TRIM(AL291)&amp;TRIM(AK291)</f>
      </c>
      <c r="AN291" s="116">
        <v>647.67</v>
      </c>
      <c r="AO291" s="116">
        <v>7.33</v>
      </c>
      <c r="AP291" s="116">
        <f>SUMIFS(M:M,AM:AM,AM291)+SUMIFS(O:O,AM:AM,AM291)</f>
      </c>
      <c r="AQ291" s="116">
        <f>SUMIFS(L:L,AM:AM,AM291)</f>
      </c>
      <c r="AR291" s="116">
        <f>AQ291-AP291</f>
      </c>
      <c r="AS291" s="94" t="str">
        <f>IF(AN291&gt;=AQ291,"ok","ck")</f>
      </c>
      <c r="AT291" s="116">
        <f>-P291</f>
      </c>
      <c r="AU291" s="115">
        <f>IF(SUMIFS(AT:AT,AM:AM,AM291)&gt;AO291,(SUMIFS(AT:AT,AM:AM,AM291)-AO291))</f>
      </c>
      <c r="AV291" s="116">
        <v>647.67</v>
      </c>
      <c r="AW291" s="121">
        <v>0.989</v>
      </c>
      <c r="AX291" s="115">
        <f>AN291-AP291</f>
      </c>
    </row>
    <row r="292" spans="1:50" ht="15" hidden="1" customHeight="1" x14ac:dyDescent="0.3">
      <c r="A292" s="94" t="s">
        <v>268</v>
      </c>
      <c r="B292" s="94"/>
      <c r="C292" s="94"/>
      <c r="D292" s="94"/>
      <c r="E292" s="94"/>
      <c r="F292" s="94"/>
      <c r="G292" s="112">
        <f>AU292</f>
      </c>
      <c r="H292" s="113"/>
      <c r="I292" s="94" t="s">
        <v>278</v>
      </c>
      <c r="J292" s="94" t="s">
        <v>322</v>
      </c>
      <c r="K292" s="114">
        <f>P292/3</f>
      </c>
      <c r="L292" s="115">
        <v>36.75</v>
      </c>
      <c r="M292" s="116">
        <f>L292</f>
      </c>
      <c r="N292" s="117">
        <f>M292-L292</f>
      </c>
      <c r="O292" s="112"/>
      <c r="P292" s="118">
        <f>N292+O292</f>
      </c>
      <c r="Q292" s="94" t="s">
        <v>305</v>
      </c>
      <c r="R292" s="94" t="s">
        <v>63</v>
      </c>
      <c r="S292" s="119">
        <v>46321</v>
      </c>
      <c r="T292" s="119"/>
      <c r="U292" s="119">
        <v>46321</v>
      </c>
      <c r="V292" s="94"/>
      <c r="W292" s="94"/>
      <c r="X292" s="94"/>
      <c r="Y292" s="119">
        <v>46321</v>
      </c>
      <c r="Z292" s="94"/>
      <c r="AA292" s="120"/>
      <c r="AB292" s="120"/>
      <c r="AC292" s="120"/>
      <c r="AD292" s="120"/>
      <c r="AE292" s="120"/>
      <c r="AF292" s="120"/>
      <c r="AG292" s="94"/>
      <c r="AH292" s="120"/>
      <c r="AI292" s="94"/>
      <c r="AJ292" s="94" t="s">
        <v>305</v>
      </c>
      <c r="AK292" s="94" t="s">
        <v>323</v>
      </c>
      <c r="AL292" s="94">
        <v>120</v>
      </c>
      <c r="AM292" s="94" t="str">
        <f>TRIM(AJ292)&amp;TRIM(AL292)&amp;TRIM(AK292)</f>
      </c>
      <c r="AN292" s="116">
        <v>647.67</v>
      </c>
      <c r="AO292" s="116">
        <v>7.33</v>
      </c>
      <c r="AP292" s="116">
        <f>SUMIFS(M:M,AM:AM,AM292)+SUMIFS(O:O,AM:AM,AM292)</f>
      </c>
      <c r="AQ292" s="116">
        <f>SUMIFS(L:L,AM:AM,AM292)</f>
      </c>
      <c r="AR292" s="116">
        <f>AQ292-AP292</f>
      </c>
      <c r="AS292" s="94" t="str">
        <f>IF(AN292&gt;=AQ292,"ok","ck")</f>
      </c>
      <c r="AT292" s="116">
        <f>-P292</f>
      </c>
      <c r="AU292" s="115">
        <f>IF(SUMIFS(AT:AT,AM:AM,AM292)&gt;AO292,(SUMIFS(AT:AT,AM:AM,AM292)-AO292))</f>
      </c>
      <c r="AV292" s="116">
        <v>647.67</v>
      </c>
      <c r="AW292" s="121">
        <v>0.989</v>
      </c>
      <c r="AX292" s="115">
        <f>AN292-AP292</f>
      </c>
    </row>
    <row r="293" spans="1:50" ht="15" hidden="1" customHeight="1" x14ac:dyDescent="0.3">
      <c r="A293" s="94" t="s">
        <v>268</v>
      </c>
      <c r="B293" s="94"/>
      <c r="C293" s="94"/>
      <c r="D293" s="94"/>
      <c r="E293" s="94"/>
      <c r="F293" s="94"/>
      <c r="G293" s="112">
        <f>AU293</f>
      </c>
      <c r="H293" s="113"/>
      <c r="I293" s="94" t="s">
        <v>278</v>
      </c>
      <c r="J293" s="94" t="s">
        <v>322</v>
      </c>
      <c r="K293" s="114">
        <f>P293/3</f>
      </c>
      <c r="L293" s="115">
        <v>0.09</v>
      </c>
      <c r="M293" s="116">
        <f>L293</f>
      </c>
      <c r="N293" s="117">
        <f>M293-L293</f>
      </c>
      <c r="O293" s="112"/>
      <c r="P293" s="118">
        <f>N293+O293</f>
      </c>
      <c r="Q293" s="94" t="s">
        <v>305</v>
      </c>
      <c r="R293" s="94" t="s">
        <v>63</v>
      </c>
      <c r="S293" s="119">
        <v>46322</v>
      </c>
      <c r="T293" s="119"/>
      <c r="U293" s="119">
        <v>46322</v>
      </c>
      <c r="V293" s="94"/>
      <c r="W293" s="94"/>
      <c r="X293" s="94"/>
      <c r="Y293" s="119">
        <v>46322</v>
      </c>
      <c r="Z293" s="94"/>
      <c r="AA293" s="120"/>
      <c r="AB293" s="120"/>
      <c r="AC293" s="120"/>
      <c r="AD293" s="120"/>
      <c r="AE293" s="120"/>
      <c r="AF293" s="120"/>
      <c r="AG293" s="94"/>
      <c r="AH293" s="120"/>
      <c r="AI293" s="94"/>
      <c r="AJ293" s="94" t="s">
        <v>305</v>
      </c>
      <c r="AK293" s="94" t="s">
        <v>323</v>
      </c>
      <c r="AL293" s="94">
        <v>120</v>
      </c>
      <c r="AM293" s="94" t="str">
        <f>TRIM(AJ293)&amp;TRIM(AL293)&amp;TRIM(AK293)</f>
      </c>
      <c r="AN293" s="116">
        <v>647.67</v>
      </c>
      <c r="AO293" s="116">
        <v>7.33</v>
      </c>
      <c r="AP293" s="116">
        <f>SUMIFS(M:M,AM:AM,AM293)+SUMIFS(O:O,AM:AM,AM293)</f>
      </c>
      <c r="AQ293" s="116">
        <f>SUMIFS(L:L,AM:AM,AM293)</f>
      </c>
      <c r="AR293" s="116">
        <f>AQ293-AP293</f>
      </c>
      <c r="AS293" s="94" t="str">
        <f>IF(AN293&gt;=AQ293,"ok","ck")</f>
      </c>
      <c r="AT293" s="116">
        <f>-P293</f>
      </c>
      <c r="AU293" s="115">
        <f>IF(SUMIFS(AT:AT,AM:AM,AM293)&gt;AO293,(SUMIFS(AT:AT,AM:AM,AM293)-AO293))</f>
      </c>
      <c r="AV293" s="116">
        <v>647.67</v>
      </c>
      <c r="AW293" s="121">
        <v>0.989</v>
      </c>
      <c r="AX293" s="115">
        <f>AN293-AP293</f>
      </c>
    </row>
    <row r="294" spans="1:50" ht="15" hidden="1" customHeight="1" x14ac:dyDescent="0.3">
      <c r="A294" s="94" t="s">
        <v>268</v>
      </c>
      <c r="B294" s="94"/>
      <c r="C294" s="94"/>
      <c r="D294" s="94"/>
      <c r="E294" s="94"/>
      <c r="F294" s="94"/>
      <c r="G294" s="112">
        <f>AU294</f>
      </c>
      <c r="H294" s="113"/>
      <c r="I294" s="94" t="s">
        <v>278</v>
      </c>
      <c r="J294" s="94" t="s">
        <v>328</v>
      </c>
      <c r="K294" s="114">
        <f>P294/3</f>
      </c>
      <c r="L294" s="115">
        <v>293.91199999999998</v>
      </c>
      <c r="M294" s="116"/>
      <c r="N294" s="117">
        <f>M294-L294</f>
      </c>
      <c r="O294" s="112"/>
      <c r="P294" s="118">
        <f>N294+O294</f>
      </c>
      <c r="Q294" s="94" t="s">
        <v>305</v>
      </c>
      <c r="R294" s="94" t="s">
        <v>63</v>
      </c>
      <c r="S294" s="119">
        <v>46340</v>
      </c>
      <c r="T294" s="119"/>
      <c r="U294" s="119" t="s">
        <v>640</v>
      </c>
      <c r="V294" s="94"/>
      <c r="W294" s="94"/>
      <c r="X294" s="94"/>
      <c r="Y294" s="119">
        <v>46320</v>
      </c>
      <c r="Z294" s="94"/>
      <c r="AA294" s="120"/>
      <c r="AB294" s="120"/>
      <c r="AC294" s="120"/>
      <c r="AD294" s="120"/>
      <c r="AE294" s="120"/>
      <c r="AF294" s="120"/>
      <c r="AG294" s="94"/>
      <c r="AH294" s="120"/>
      <c r="AI294" s="94"/>
      <c r="AJ294" s="94" t="s">
        <v>305</v>
      </c>
      <c r="AK294" s="94" t="s">
        <v>329</v>
      </c>
      <c r="AL294" s="94">
        <v>120</v>
      </c>
      <c r="AM294" s="94" t="str">
        <f>TRIM(AJ294)&amp;TRIM(AL294)&amp;TRIM(AK294)</f>
      </c>
      <c r="AN294" s="116">
        <v>0</v>
      </c>
      <c r="AO294" s="116" t="inlineStr">
        <is>
          <t>#NA</t>
        </is>
      </c>
      <c r="AP294" s="116">
        <f>SUMIFS(M:M,AM:AM,AM294)+SUMIFS(O:O,AM:AM,AM294)</f>
      </c>
      <c r="AQ294" s="116">
        <f>SUMIFS(L:L,AM:AM,AM294)</f>
      </c>
      <c r="AR294" s="116">
        <f>AQ294-AP294</f>
      </c>
      <c r="AS294" s="94" t="str">
        <f>IF(AN294&gt;=AQ294,"ok","ck")</f>
      </c>
      <c r="AT294" s="116">
        <f>-P294</f>
      </c>
      <c r="AU294" s="115">
        <f>IF(SUMIFS(AT:AT,AM:AM,AM294)&gt;AO294,(SUMIFS(AT:AT,AM:AM,AM294)-AO294))</f>
      </c>
      <c r="AV294" s="116">
        <v>0</v>
      </c>
      <c r="AW294" s="121">
        <v>0</v>
      </c>
      <c r="AX294" s="115">
        <f>AN294-AP294</f>
      </c>
    </row>
    <row r="295" spans="1:50" ht="15" customHeight="1" x14ac:dyDescent="0.3">
      <c r="A295" s="94" t="s">
        <v>862</v>
      </c>
      <c r="B295" s="94"/>
      <c r="C295" s="94"/>
      <c r="D295" s="94"/>
      <c r="E295" s="94"/>
      <c r="F295" s="94"/>
      <c r="G295" s="112">
        <f>AU295</f>
      </c>
      <c r="H295" s="113"/>
      <c r="I295" s="94" t="s">
        <v>390</v>
      </c>
      <c r="J295" s="94" t="s">
        <v>281</v>
      </c>
      <c r="K295" s="114">
        <f>P295/3</f>
      </c>
      <c r="L295" s="115">
        <v>1843.529</v>
      </c>
      <c r="M295" s="116">
        <v>1843.529</v>
      </c>
      <c r="N295" s="117">
        <f>M295-L295</f>
      </c>
      <c r="O295" s="112"/>
      <c r="P295" s="118">
        <f>N295+O295</f>
      </c>
      <c r="Q295" s="94"/>
      <c r="R295" s="94" t="s">
        <v>63</v>
      </c>
      <c r="S295" s="119">
        <v>46328</v>
      </c>
      <c r="T295" s="119"/>
      <c r="U295" s="119" t="s">
        <v>632</v>
      </c>
      <c r="V295" s="94"/>
      <c r="W295" s="94"/>
      <c r="X295" s="94"/>
      <c r="Y295" s="119">
        <v>46320</v>
      </c>
      <c r="Z295" s="94"/>
      <c r="AA295" s="120"/>
      <c r="AB295" s="120"/>
      <c r="AC295" s="120"/>
      <c r="AD295" s="120"/>
      <c r="AE295" s="120"/>
      <c r="AF295" s="120"/>
      <c r="AG295" s="94"/>
      <c r="AH295" s="120"/>
      <c r="AI295" s="94"/>
      <c r="AJ295" s="94"/>
      <c r="AK295" s="94"/>
      <c r="AL295" s="94">
        <v>140</v>
      </c>
      <c r="AM295" s="94" t="str">
        <f>TRIM(AJ295)&amp;TRIM(AL295)&amp;TRIM(AK295)</f>
      </c>
      <c r="AN295" s="116">
        <v>0</v>
      </c>
      <c r="AO295" s="116" t="inlineStr">
        <is>
          <t>#NA</t>
        </is>
      </c>
      <c r="AP295" s="116">
        <f>SUMIFS(M:M,AM:AM,AM295)+SUMIFS(O:O,AM:AM,AM295)</f>
      </c>
      <c r="AQ295" s="116">
        <f>SUMIFS(L:L,AM:AM,AM295)</f>
      </c>
      <c r="AR295" s="116">
        <f>AQ295-AP295</f>
      </c>
      <c r="AS295" s="94" t="str">
        <f>IF(AN295&gt;=AQ295,"ok","ck")</f>
      </c>
      <c r="AT295" s="116">
        <f>-P295</f>
      </c>
      <c r="AU295" s="115">
        <f>IF(SUMIFS(AT:AT,AM:AM,AM295)&gt;AO295,(SUMIFS(AT:AT,AM:AM,AM295)-AO295))</f>
      </c>
      <c r="AV295" s="116" t="e">
        <v>#N/A</v>
      </c>
      <c r="AW295" s="121" t="e">
        <v>#N/A</v>
      </c>
      <c r="AX295" s="115">
        <f>AN295-AP295</f>
      </c>
    </row>
    <row r="296" spans="1:50" ht="15" customHeight="1" x14ac:dyDescent="0.3">
      <c r="A296" s="94" t="s">
        <v>862</v>
      </c>
      <c r="B296" s="94"/>
      <c r="C296" s="94"/>
      <c r="D296" s="94"/>
      <c r="E296" s="94"/>
      <c r="F296" s="94"/>
      <c r="G296" s="112">
        <f>AU296</f>
      </c>
      <c r="H296" s="113"/>
      <c r="I296" s="94" t="s">
        <v>390</v>
      </c>
      <c r="J296" s="94" t="s">
        <v>281</v>
      </c>
      <c r="K296" s="114">
        <f>P296/3</f>
      </c>
      <c r="L296" s="115">
        <v>1843.529</v>
      </c>
      <c r="M296" s="116">
        <v>1364.861</v>
      </c>
      <c r="N296" s="117">
        <f>M296-L296</f>
      </c>
      <c r="O296" s="112"/>
      <c r="P296" s="118">
        <f>N296+O296</f>
      </c>
      <c r="Q296" s="94"/>
      <c r="R296" s="94" t="s">
        <v>63</v>
      </c>
      <c r="S296" s="119">
        <v>46329</v>
      </c>
      <c r="T296" s="119"/>
      <c r="U296" s="119" t="s">
        <v>632</v>
      </c>
      <c r="V296" s="94"/>
      <c r="W296" s="94"/>
      <c r="X296" s="94"/>
      <c r="Y296" s="119">
        <v>46320</v>
      </c>
      <c r="Z296" s="94"/>
      <c r="AA296" s="120"/>
      <c r="AB296" s="120"/>
      <c r="AC296" s="120"/>
      <c r="AD296" s="120"/>
      <c r="AE296" s="120"/>
      <c r="AF296" s="120"/>
      <c r="AG296" s="94"/>
      <c r="AH296" s="120"/>
      <c r="AI296" s="94"/>
      <c r="AJ296" s="94"/>
      <c r="AK296" s="94"/>
      <c r="AL296" s="94">
        <v>140</v>
      </c>
      <c r="AM296" s="94" t="str">
        <f>TRIM(AJ296)&amp;TRIM(AL296)&amp;TRIM(AK296)</f>
      </c>
      <c r="AN296" s="116">
        <v>0</v>
      </c>
      <c r="AO296" s="116" t="inlineStr">
        <is>
          <t>#NA</t>
        </is>
      </c>
      <c r="AP296" s="116">
        <f>SUMIFS(M:M,AM:AM,AM296)+SUMIFS(O:O,AM:AM,AM296)</f>
      </c>
      <c r="AQ296" s="116">
        <f>SUMIFS(L:L,AM:AM,AM296)</f>
      </c>
      <c r="AR296" s="116">
        <f>AQ296-AP296</f>
      </c>
      <c r="AS296" s="94" t="str">
        <f>IF(AN296&gt;=AQ296,"ok","ck")</f>
      </c>
      <c r="AT296" s="116">
        <f>-P296</f>
      </c>
      <c r="AU296" s="115">
        <f>IF(SUMIFS(AT:AT,AM:AM,AM296)&gt;AO296,(SUMIFS(AT:AT,AM:AM,AM296)-AO296))</f>
      </c>
      <c r="AV296" s="116" t="e">
        <v>#N/A</v>
      </c>
      <c r="AW296" s="121" t="e">
        <v>#N/A</v>
      </c>
      <c r="AX296" s="115">
        <f>AN296-AP296</f>
      </c>
    </row>
    <row r="297" spans="1:50" ht="15" customHeight="1" x14ac:dyDescent="0.3">
      <c r="A297" s="94" t="s">
        <v>862</v>
      </c>
      <c r="B297" s="94"/>
      <c r="C297" s="94"/>
      <c r="D297" s="94"/>
      <c r="E297" s="94"/>
      <c r="F297" s="94"/>
      <c r="G297" s="112">
        <f>AU297</f>
      </c>
      <c r="H297" s="113"/>
      <c r="I297" s="94" t="s">
        <v>390</v>
      </c>
      <c r="J297" s="94" t="s">
        <v>281</v>
      </c>
      <c r="K297" s="114">
        <f>P297/3</f>
      </c>
      <c r="L297" s="115">
        <v>1843.529</v>
      </c>
      <c r="M297" s="116"/>
      <c r="N297" s="117">
        <f>M297-L297</f>
      </c>
      <c r="O297" s="112"/>
      <c r="P297" s="118">
        <f>N297+O297</f>
      </c>
      <c r="Q297" s="94"/>
      <c r="R297" s="94" t="s">
        <v>63</v>
      </c>
      <c r="S297" s="119">
        <v>46330</v>
      </c>
      <c r="T297" s="119"/>
      <c r="U297" s="119" t="s">
        <v>632</v>
      </c>
      <c r="V297" s="94"/>
      <c r="W297" s="94"/>
      <c r="X297" s="94"/>
      <c r="Y297" s="119">
        <v>46320</v>
      </c>
      <c r="Z297" s="94"/>
      <c r="AA297" s="120"/>
      <c r="AB297" s="120"/>
      <c r="AC297" s="120"/>
      <c r="AD297" s="120"/>
      <c r="AE297" s="120"/>
      <c r="AF297" s="120"/>
      <c r="AG297" s="94"/>
      <c r="AH297" s="120"/>
      <c r="AI297" s="94"/>
      <c r="AJ297" s="94"/>
      <c r="AK297" s="94"/>
      <c r="AL297" s="94">
        <v>140</v>
      </c>
      <c r="AM297" s="94" t="str">
        <f>TRIM(AJ297)&amp;TRIM(AL297)&amp;TRIM(AK297)</f>
      </c>
      <c r="AN297" s="116">
        <v>0</v>
      </c>
      <c r="AO297" s="116" t="inlineStr">
        <is>
          <t>#NA</t>
        </is>
      </c>
      <c r="AP297" s="116">
        <f>SUMIFS(M:M,AM:AM,AM297)+SUMIFS(O:O,AM:AM,AM297)</f>
      </c>
      <c r="AQ297" s="116">
        <f>SUMIFS(L:L,AM:AM,AM297)</f>
      </c>
      <c r="AR297" s="116">
        <f>AQ297-AP297</f>
      </c>
      <c r="AS297" s="94" t="str">
        <f>IF(AN297&gt;=AQ297,"ok","ck")</f>
      </c>
      <c r="AT297" s="116">
        <f>-P297</f>
      </c>
      <c r="AU297" s="115">
        <f>IF(SUMIFS(AT:AT,AM:AM,AM297)&gt;AO297,(SUMIFS(AT:AT,AM:AM,AM297)-AO297))</f>
      </c>
      <c r="AV297" s="116" t="e">
        <v>#N/A</v>
      </c>
      <c r="AW297" s="121" t="e">
        <v>#N/A</v>
      </c>
      <c r="AX297" s="115">
        <f>AN297-AP297</f>
      </c>
    </row>
    <row r="298" spans="1:50" ht="15" customHeight="1" x14ac:dyDescent="0.3">
      <c r="A298" s="94" t="s">
        <v>862</v>
      </c>
      <c r="B298" s="94"/>
      <c r="C298" s="94"/>
      <c r="D298" s="94"/>
      <c r="E298" s="94"/>
      <c r="F298" s="94"/>
      <c r="G298" s="112">
        <f>AU298</f>
      </c>
      <c r="H298" s="113"/>
      <c r="I298" s="94" t="s">
        <v>390</v>
      </c>
      <c r="J298" s="94" t="s">
        <v>281</v>
      </c>
      <c r="K298" s="114">
        <f>P298/3</f>
      </c>
      <c r="L298" s="115">
        <v>1843.529</v>
      </c>
      <c r="M298" s="116"/>
      <c r="N298" s="117">
        <f>M298-L298</f>
      </c>
      <c r="O298" s="112"/>
      <c r="P298" s="118">
        <f>N298+O298</f>
      </c>
      <c r="Q298" s="94"/>
      <c r="R298" s="94" t="s">
        <v>63</v>
      </c>
      <c r="S298" s="119">
        <v>46331</v>
      </c>
      <c r="T298" s="119"/>
      <c r="U298" s="119" t="s">
        <v>632</v>
      </c>
      <c r="V298" s="94"/>
      <c r="W298" s="94"/>
      <c r="X298" s="94"/>
      <c r="Y298" s="119">
        <v>46320</v>
      </c>
      <c r="Z298" s="94"/>
      <c r="AA298" s="120"/>
      <c r="AB298" s="120"/>
      <c r="AC298" s="120"/>
      <c r="AD298" s="120"/>
      <c r="AE298" s="120"/>
      <c r="AF298" s="120"/>
      <c r="AG298" s="94"/>
      <c r="AH298" s="120"/>
      <c r="AI298" s="94"/>
      <c r="AJ298" s="94"/>
      <c r="AK298" s="94"/>
      <c r="AL298" s="94">
        <v>140</v>
      </c>
      <c r="AM298" s="94" t="str">
        <f>TRIM(AJ298)&amp;TRIM(AL298)&amp;TRIM(AK298)</f>
      </c>
      <c r="AN298" s="116">
        <v>0</v>
      </c>
      <c r="AO298" s="116" t="inlineStr">
        <is>
          <t>#NA</t>
        </is>
      </c>
      <c r="AP298" s="116">
        <f>SUMIFS(M:M,AM:AM,AM298)+SUMIFS(O:O,AM:AM,AM298)</f>
      </c>
      <c r="AQ298" s="116">
        <f>SUMIFS(L:L,AM:AM,AM298)</f>
      </c>
      <c r="AR298" s="116">
        <f>AQ298-AP298</f>
      </c>
      <c r="AS298" s="94" t="str">
        <f>IF(AN298&gt;=AQ298,"ok","ck")</f>
      </c>
      <c r="AT298" s="116">
        <f>-P298</f>
      </c>
      <c r="AU298" s="115">
        <f>IF(SUMIFS(AT:AT,AM:AM,AM298)&gt;AO298,(SUMIFS(AT:AT,AM:AM,AM298)-AO298))</f>
      </c>
      <c r="AV298" s="116" t="e">
        <v>#N/A</v>
      </c>
      <c r="AW298" s="121" t="e">
        <v>#N/A</v>
      </c>
      <c r="AX298" s="115">
        <f>AN298-AP298</f>
      </c>
    </row>
    <row r="299" spans="1:50" ht="15" hidden="1" customHeight="1" x14ac:dyDescent="0.3">
      <c r="A299" s="94" t="s">
        <v>60</v>
      </c>
      <c r="B299" s="94"/>
      <c r="C299" s="94"/>
      <c r="D299" s="94"/>
      <c r="E299" s="94"/>
      <c r="F299" s="94"/>
      <c r="G299" s="112">
        <f>AU299</f>
      </c>
      <c r="H299" s="113"/>
      <c r="I299" s="94" t="s">
        <v>485</v>
      </c>
      <c r="J299" s="94" t="s">
        <v>524</v>
      </c>
      <c r="K299" s="114">
        <f>P299/3</f>
      </c>
      <c r="L299" s="115">
        <v>0.309</v>
      </c>
      <c r="M299" s="116"/>
      <c r="N299" s="117">
        <f>M299-L299</f>
      </c>
      <c r="O299" s="112"/>
      <c r="P299" s="118">
        <f>N299+O299</f>
      </c>
      <c r="Q299" s="94" t="s">
        <v>795</v>
      </c>
      <c r="R299" s="94" t="s">
        <v>63</v>
      </c>
      <c r="S299" s="119">
        <v>46341</v>
      </c>
      <c r="T299" s="119"/>
      <c r="U299" s="119">
        <v>46341</v>
      </c>
      <c r="V299" s="94"/>
      <c r="W299" s="94"/>
      <c r="X299" s="94"/>
      <c r="Y299" s="119">
        <v>46334</v>
      </c>
      <c r="Z299" s="94"/>
      <c r="AA299" s="120"/>
      <c r="AB299" s="120"/>
      <c r="AC299" s="120"/>
      <c r="AD299" s="120"/>
      <c r="AE299" s="120"/>
      <c r="AF299" s="120"/>
      <c r="AG299" s="94"/>
      <c r="AH299" s="120"/>
      <c r="AI299" s="94"/>
      <c r="AJ299" s="94" t="s">
        <v>795</v>
      </c>
      <c r="AK299" s="94" t="s">
        <v>524</v>
      </c>
      <c r="AL299" s="94">
        <v>140</v>
      </c>
      <c r="AM299" s="94" t="str">
        <f>TRIM(AJ299)&amp;TRIM(AL299)&amp;TRIM(AK299)</f>
      </c>
      <c r="AN299" s="116">
        <v>0</v>
      </c>
      <c r="AO299" s="116" t="inlineStr">
        <is>
          <t>#NA</t>
        </is>
      </c>
      <c r="AP299" s="116">
        <f>SUMIFS(M:M,AM:AM,AM299)+SUMIFS(O:O,AM:AM,AM299)</f>
      </c>
      <c r="AQ299" s="116">
        <f>SUMIFS(L:L,AM:AM,AM299)</f>
      </c>
      <c r="AR299" s="116">
        <f>AQ299-AP299</f>
      </c>
      <c r="AS299" s="94" t="str">
        <f>IF(AN299&gt;=AQ299,"ok","ck")</f>
      </c>
      <c r="AT299" s="116">
        <f>-P299</f>
      </c>
      <c r="AU299" s="115">
        <f>IF(SUMIFS(AT:AT,AM:AM,AM299)&gt;AO299,(SUMIFS(AT:AT,AM:AM,AM299)-AO299))</f>
      </c>
      <c r="AV299" s="116">
        <v>0</v>
      </c>
      <c r="AW299" s="121">
        <v>0</v>
      </c>
      <c r="AX299" s="115">
        <f>AN299-AP299</f>
      </c>
    </row>
    <row r="300" spans="1:50" ht="15" hidden="1" customHeight="1" x14ac:dyDescent="0.3">
      <c r="A300" s="94" t="s">
        <v>268</v>
      </c>
      <c r="B300" s="94"/>
      <c r="C300" s="94"/>
      <c r="D300" s="94"/>
      <c r="E300" s="94"/>
      <c r="F300" s="94"/>
      <c r="G300" s="112">
        <f>AU300</f>
      </c>
      <c r="H300" s="113"/>
      <c r="I300" s="94" t="s">
        <v>390</v>
      </c>
      <c r="J300" s="94" t="s">
        <v>279</v>
      </c>
      <c r="K300" s="114">
        <f>P300/3</f>
      </c>
      <c r="L300" s="115">
        <v>43.38</v>
      </c>
      <c r="M300" s="116"/>
      <c r="N300" s="117">
        <f>M300-L300</f>
      </c>
      <c r="O300" s="112"/>
      <c r="P300" s="118">
        <f>N300+O300</f>
      </c>
      <c r="Q300" s="94" t="s">
        <v>780</v>
      </c>
      <c r="R300" s="94" t="s">
        <v>63</v>
      </c>
      <c r="S300" s="119">
        <v>46320</v>
      </c>
      <c r="T300" s="119"/>
      <c r="U300" s="119">
        <v>46320</v>
      </c>
      <c r="V300" s="94"/>
      <c r="W300" s="94"/>
      <c r="X300" s="94"/>
      <c r="Y300" s="119">
        <v>46320</v>
      </c>
      <c r="Z300" s="94"/>
      <c r="AA300" s="120"/>
      <c r="AB300" s="120"/>
      <c r="AC300" s="120"/>
      <c r="AD300" s="120"/>
      <c r="AE300" s="120"/>
      <c r="AF300" s="120"/>
      <c r="AG300" s="94"/>
      <c r="AH300" s="120"/>
      <c r="AI300" s="94"/>
      <c r="AJ300" s="94" t="s">
        <v>780</v>
      </c>
      <c r="AK300" s="94" t="s">
        <v>280</v>
      </c>
      <c r="AL300" s="94">
        <v>140</v>
      </c>
      <c r="AM300" s="94" t="str">
        <f>TRIM(AJ300)&amp;TRIM(AL300)&amp;TRIM(AK300)</f>
      </c>
      <c r="AN300" s="116">
        <v>752</v>
      </c>
      <c r="AO300" s="116">
        <v>44</v>
      </c>
      <c r="AP300" s="116">
        <f>SUMIFS(M:M,AM:AM,AM300)+SUMIFS(O:O,AM:AM,AM300)</f>
      </c>
      <c r="AQ300" s="116">
        <f>SUMIFS(L:L,AM:AM,AM300)</f>
      </c>
      <c r="AR300" s="116">
        <f>AQ300-AP300</f>
      </c>
      <c r="AS300" s="94" t="str">
        <f>IF(AN300&gt;=AQ300,"ok","ck")</f>
      </c>
      <c r="AT300" s="116">
        <f>-P300</f>
      </c>
      <c r="AU300" s="115">
        <f>IF(SUMIFS(AT:AT,AM:AM,AM300)&gt;AO300,(SUMIFS(AT:AT,AM:AM,AM300)-AO300))</f>
      </c>
      <c r="AV300" s="116">
        <v>752</v>
      </c>
      <c r="AW300" s="121">
        <v>0.945</v>
      </c>
      <c r="AX300" s="115">
        <f>AN300-AP300</f>
      </c>
    </row>
    <row r="301" spans="1:50" ht="15" hidden="1" customHeight="1" x14ac:dyDescent="0.3">
      <c r="A301" s="94" t="s">
        <v>268</v>
      </c>
      <c r="B301" s="94"/>
      <c r="C301" s="94"/>
      <c r="D301" s="94"/>
      <c r="E301" s="94"/>
      <c r="F301" s="94"/>
      <c r="G301" s="112">
        <f>AU301</f>
      </c>
      <c r="H301" s="113"/>
      <c r="I301" s="94" t="s">
        <v>390</v>
      </c>
      <c r="J301" s="94" t="s">
        <v>387</v>
      </c>
      <c r="K301" s="114">
        <f>P301/3</f>
      </c>
      <c r="L301" s="115">
        <v>9.2200000000000006</v>
      </c>
      <c r="M301" s="116">
        <f>L301</f>
      </c>
      <c r="N301" s="117">
        <f>M301-L301</f>
      </c>
      <c r="O301" s="112"/>
      <c r="P301" s="118">
        <f>N301+O301</f>
      </c>
      <c r="Q301" s="94" t="s">
        <v>780</v>
      </c>
      <c r="R301" s="94" t="s">
        <v>63</v>
      </c>
      <c r="S301" s="119">
        <v>46320</v>
      </c>
      <c r="T301" s="119"/>
      <c r="U301" s="120">
        <v>46320</v>
      </c>
      <c r="V301" s="94"/>
      <c r="W301" s="94"/>
      <c r="X301" s="94"/>
      <c r="Y301" s="119">
        <v>46320</v>
      </c>
      <c r="Z301" s="94"/>
      <c r="AA301" s="120"/>
      <c r="AB301" s="120"/>
      <c r="AC301" s="120"/>
      <c r="AD301" s="120"/>
      <c r="AE301" s="120"/>
      <c r="AF301" s="120"/>
      <c r="AG301" s="94"/>
      <c r="AH301" s="120"/>
      <c r="AI301" s="94"/>
      <c r="AJ301" s="94" t="s">
        <v>780</v>
      </c>
      <c r="AK301" s="94" t="s">
        <v>387</v>
      </c>
      <c r="AL301" s="94">
        <v>140</v>
      </c>
      <c r="AM301" s="94" t="str">
        <f>TRIM(AJ301)&amp;TRIM(AL301)&amp;TRIM(AK301)</f>
      </c>
      <c r="AN301" s="116">
        <v>704.78</v>
      </c>
      <c r="AO301" s="116">
        <v>9.22</v>
      </c>
      <c r="AP301" s="116">
        <f>SUMIFS(M:M,AM:AM,AM301)+SUMIFS(O:O,AM:AM,AM301)</f>
      </c>
      <c r="AQ301" s="116">
        <f>SUMIFS(L:L,AM:AM,AM301)</f>
      </c>
      <c r="AR301" s="116">
        <f>AQ301-AP301</f>
      </c>
      <c r="AS301" s="94" t="str">
        <f>IF(AN301&gt;=AQ301,"ok","ck")</f>
      </c>
      <c r="AT301" s="116">
        <f>-P301</f>
      </c>
      <c r="AU301" s="115">
        <f>IF(SUMIFS(AT:AT,AM:AM,AM301)&gt;AO301,(SUMIFS(AT:AT,AM:AM,AM301)-AO301))</f>
      </c>
      <c r="AV301" s="116">
        <v>704.78</v>
      </c>
      <c r="AW301" s="121">
        <v>0.987</v>
      </c>
      <c r="AX301" s="115">
        <f>AN301-AP301</f>
      </c>
    </row>
    <row r="302" spans="1:50" ht="15" hidden="1" customHeight="1" x14ac:dyDescent="0.3">
      <c r="A302" s="94" t="s">
        <v>480</v>
      </c>
      <c r="B302" s="94"/>
      <c r="C302" s="94"/>
      <c r="D302" s="94"/>
      <c r="E302" s="94"/>
      <c r="F302" s="94"/>
      <c r="G302" s="112">
        <f>AU302</f>
      </c>
      <c r="H302" s="113"/>
      <c r="I302" s="94" t="s">
        <v>486</v>
      </c>
      <c r="J302" s="94" t="s">
        <v>515</v>
      </c>
      <c r="K302" s="114">
        <f>P302/3</f>
      </c>
      <c r="L302" s="115">
        <v>0.749</v>
      </c>
      <c r="M302" s="116">
        <f>L302</f>
      </c>
      <c r="N302" s="117">
        <f>M302-L302</f>
      </c>
      <c r="O302" s="112"/>
      <c r="P302" s="118">
        <f>N302+O302</f>
      </c>
      <c r="Q302" s="94" t="s">
        <v>796</v>
      </c>
      <c r="R302" s="94" t="s">
        <v>63</v>
      </c>
      <c r="S302" s="119">
        <v>46338</v>
      </c>
      <c r="T302" s="119"/>
      <c r="U302" s="120">
        <v>46338</v>
      </c>
      <c r="V302" s="94"/>
      <c r="W302" s="94"/>
      <c r="X302" s="94"/>
      <c r="Y302" s="119">
        <v>46338</v>
      </c>
      <c r="Z302" s="94"/>
      <c r="AA302" s="120"/>
      <c r="AB302" s="120"/>
      <c r="AC302" s="120"/>
      <c r="AD302" s="120"/>
      <c r="AE302" s="120"/>
      <c r="AF302" s="120"/>
      <c r="AG302" s="94"/>
      <c r="AH302" s="120"/>
      <c r="AI302" s="94"/>
      <c r="AJ302" s="94" t="s">
        <v>796</v>
      </c>
      <c r="AK302" s="94" t="s">
        <v>71</v>
      </c>
      <c r="AL302" s="94">
        <v>165</v>
      </c>
      <c r="AM302" s="94" t="str">
        <f>TRIM(AJ302)&amp;TRIM(AL302)&amp;TRIM(AK302)</f>
      </c>
      <c r="AN302" s="116">
        <v>15</v>
      </c>
      <c r="AO302" s="116">
        <v>-5.01</v>
      </c>
      <c r="AP302" s="116">
        <f>SUMIFS(M:M,AM:AM,AM302)+SUMIFS(O:O,AM:AM,AM302)</f>
      </c>
      <c r="AQ302" s="116">
        <f>SUMIFS(L:L,AM:AM,AM302)</f>
      </c>
      <c r="AR302" s="116">
        <f>AQ302-AP302</f>
      </c>
      <c r="AS302" s="94" t="str">
        <f>IF(AN302&gt;=AQ302,"ok","ck")</f>
      </c>
      <c r="AT302" s="116">
        <f>-P302</f>
      </c>
      <c r="AU302" s="115">
        <f>IF(SUMIFS(AT:AT,AM:AM,AM302)&gt;AO302,(SUMIFS(AT:AT,AM:AM,AM302)-AO302))</f>
      </c>
      <c r="AV302" s="116">
        <v>15</v>
      </c>
      <c r="AW302" s="121">
        <v>1.502</v>
      </c>
      <c r="AX302" s="115">
        <f>AN302-AP302</f>
      </c>
    </row>
    <row r="303" spans="1:50" ht="15" hidden="1" customHeight="1" x14ac:dyDescent="0.3">
      <c r="A303" s="94" t="s">
        <v>60</v>
      </c>
      <c r="B303" s="94"/>
      <c r="C303" s="94"/>
      <c r="D303" s="94"/>
      <c r="E303" s="94"/>
      <c r="F303" s="94"/>
      <c r="G303" s="112">
        <f>AU303</f>
      </c>
      <c r="H303" s="113"/>
      <c r="I303" s="94" t="s">
        <v>65</v>
      </c>
      <c r="J303" s="94" t="s">
        <v>525</v>
      </c>
      <c r="K303" s="114">
        <f>P303/3</f>
      </c>
      <c r="L303" s="115">
        <v>0</v>
      </c>
      <c r="M303" s="116"/>
      <c r="N303" s="117">
        <f>M303-L303</f>
      </c>
      <c r="O303" s="112"/>
      <c r="P303" s="118">
        <f>N303+O303</f>
      </c>
      <c r="Q303" s="94" t="s">
        <v>785</v>
      </c>
      <c r="R303" s="94" t="s">
        <v>63</v>
      </c>
      <c r="S303" s="119">
        <v>46342</v>
      </c>
      <c r="T303" s="119"/>
      <c r="U303" s="120">
        <v>46342</v>
      </c>
      <c r="V303" s="94"/>
      <c r="W303" s="94"/>
      <c r="X303" s="94"/>
      <c r="Y303" s="119">
        <v>46342</v>
      </c>
      <c r="Z303" s="94"/>
      <c r="AA303" s="120"/>
      <c r="AB303" s="120"/>
      <c r="AC303" s="120"/>
      <c r="AD303" s="120"/>
      <c r="AE303" s="120"/>
      <c r="AF303" s="120"/>
      <c r="AG303" s="94"/>
      <c r="AH303" s="120"/>
      <c r="AI303" s="94"/>
      <c r="AJ303" s="94" t="s">
        <v>785</v>
      </c>
      <c r="AK303" s="94" t="s">
        <v>525</v>
      </c>
      <c r="AL303" s="94">
        <v>110</v>
      </c>
      <c r="AM303" s="94" t="str">
        <f>TRIM(AJ303)&amp;TRIM(AL303)&amp;TRIM(AK303)</f>
      </c>
      <c r="AN303" s="116">
        <v>34</v>
      </c>
      <c r="AO303" s="116">
        <v>619</v>
      </c>
      <c r="AP303" s="116">
        <f>SUMIFS(M:M,AM:AM,AM303)+SUMIFS(O:O,AM:AM,AM303)</f>
      </c>
      <c r="AQ303" s="116">
        <f>SUMIFS(L:L,AM:AM,AM303)</f>
      </c>
      <c r="AR303" s="116">
        <f>AQ303-AP303</f>
      </c>
      <c r="AS303" s="94" t="str">
        <f>IF(AN303&gt;=AQ303,"ok","ck")</f>
      </c>
      <c r="AT303" s="116">
        <f>-P303</f>
      </c>
      <c r="AU303" s="115">
        <f>IF(SUMIFS(AT:AT,AM:AM,AM303)&gt;AO303,(SUMIFS(AT:AT,AM:AM,AM303)-AO303))</f>
      </c>
      <c r="AV303" s="116">
        <v>34</v>
      </c>
      <c r="AW303" s="121">
        <v>0.052</v>
      </c>
      <c r="AX303" s="115">
        <f>AN303-AP303</f>
      </c>
    </row>
    <row r="304" spans="1:50" ht="15" hidden="1" customHeight="1" x14ac:dyDescent="0.3">
      <c r="A304" s="94" t="s">
        <v>268</v>
      </c>
      <c r="B304" s="94"/>
      <c r="C304" s="94"/>
      <c r="D304" s="94"/>
      <c r="E304" s="94"/>
      <c r="F304" s="94"/>
      <c r="G304" s="112">
        <f>AU304</f>
      </c>
      <c r="H304" s="113"/>
      <c r="I304" s="94" t="s">
        <v>278</v>
      </c>
      <c r="J304" s="94" t="s">
        <v>326</v>
      </c>
      <c r="K304" s="114">
        <f>P304/3</f>
      </c>
      <c r="L304" s="115">
        <v>-0.222</v>
      </c>
      <c r="M304" s="116">
        <f>L304</f>
      </c>
      <c r="N304" s="117">
        <f>M304-L304</f>
      </c>
      <c r="O304" s="112"/>
      <c r="P304" s="118">
        <f>N304+O304</f>
      </c>
      <c r="Q304" s="94" t="s">
        <v>787</v>
      </c>
      <c r="R304" s="94" t="s">
        <v>63</v>
      </c>
      <c r="S304" s="119">
        <v>46320</v>
      </c>
      <c r="T304" s="119"/>
      <c r="U304" s="120">
        <v>46320</v>
      </c>
      <c r="V304" s="94"/>
      <c r="W304" s="94"/>
      <c r="X304" s="94"/>
      <c r="Y304" s="119">
        <v>46320</v>
      </c>
      <c r="Z304" s="94"/>
      <c r="AA304" s="120"/>
      <c r="AB304" s="120"/>
      <c r="AC304" s="120"/>
      <c r="AD304" s="120"/>
      <c r="AE304" s="120"/>
      <c r="AF304" s="120"/>
      <c r="AG304" s="94"/>
      <c r="AH304" s="120"/>
      <c r="AI304" s="94"/>
      <c r="AJ304" s="94" t="s">
        <v>787</v>
      </c>
      <c r="AK304" s="94" t="s">
        <v>327</v>
      </c>
      <c r="AL304" s="94">
        <v>120</v>
      </c>
      <c r="AM304" s="94" t="str">
        <f>TRIM(AJ304)&amp;TRIM(AL304)&amp;TRIM(AK304)</f>
      </c>
      <c r="AN304" s="116">
        <v>378</v>
      </c>
      <c r="AO304" s="116">
        <v>-3</v>
      </c>
      <c r="AP304" s="116">
        <f>SUMIFS(M:M,AM:AM,AM304)+SUMIFS(O:O,AM:AM,AM304)</f>
      </c>
      <c r="AQ304" s="116">
        <f>SUMIFS(L:L,AM:AM,AM304)</f>
      </c>
      <c r="AR304" s="116">
        <f>AQ304-AP304</f>
      </c>
      <c r="AS304" s="94" t="str">
        <f>IF(AN304&gt;=AQ304,"ok","ck")</f>
      </c>
      <c r="AT304" s="116">
        <f>-P304</f>
      </c>
      <c r="AU304" s="115">
        <f>IF(SUMIFS(AT:AT,AM:AM,AM304)&gt;AO304,(SUMIFS(AT:AT,AM:AM,AM304)-AO304))</f>
      </c>
      <c r="AV304" s="116">
        <v>378</v>
      </c>
      <c r="AW304" s="121">
        <v>1.008</v>
      </c>
      <c r="AX304" s="115">
        <f>AN304-AP304</f>
      </c>
    </row>
    <row r="305" spans="1:50" ht="15" hidden="1" customHeight="1" x14ac:dyDescent="0.3">
      <c r="A305" s="94" t="s">
        <v>253</v>
      </c>
      <c r="B305" s="94"/>
      <c r="C305" s="94"/>
      <c r="D305" s="94"/>
      <c r="E305" s="94"/>
      <c r="F305" s="94"/>
      <c r="G305" s="112">
        <f>AU305</f>
      </c>
      <c r="H305" s="113"/>
      <c r="I305" s="94" t="s">
        <v>254</v>
      </c>
      <c r="J305" s="94" t="s">
        <v>255</v>
      </c>
      <c r="K305" s="114">
        <f>P305/3</f>
      </c>
      <c r="L305" s="115">
        <v>440.709</v>
      </c>
      <c r="M305" s="116">
        <v>67.209000000000003</v>
      </c>
      <c r="N305" s="117">
        <f>M305-L305</f>
      </c>
      <c r="O305" s="112"/>
      <c r="P305" s="118">
        <f>N305+O305</f>
      </c>
      <c r="Q305" s="94" t="s">
        <v>256</v>
      </c>
      <c r="R305" s="94" t="s">
        <v>63</v>
      </c>
      <c r="S305" s="119">
        <v>46331</v>
      </c>
      <c r="T305" s="119"/>
      <c r="U305" s="120">
        <v>46331</v>
      </c>
      <c r="V305" s="94"/>
      <c r="W305" s="94"/>
      <c r="X305" s="94"/>
      <c r="Y305" s="119">
        <v>46320</v>
      </c>
      <c r="Z305" s="94"/>
      <c r="AA305" s="120"/>
      <c r="AB305" s="120"/>
      <c r="AC305" s="120"/>
      <c r="AD305" s="120"/>
      <c r="AE305" s="120"/>
      <c r="AF305" s="120"/>
      <c r="AG305" s="94"/>
      <c r="AH305" s="120"/>
      <c r="AI305" s="94"/>
      <c r="AJ305" s="94" t="s">
        <v>257</v>
      </c>
      <c r="AK305" s="94" t="s">
        <v>258</v>
      </c>
      <c r="AL305" s="94">
        <v>150</v>
      </c>
      <c r="AM305" s="94" t="str">
        <f>TRIM(AJ305)&amp;TRIM(AL305)&amp;TRIM(AK305)</f>
      </c>
      <c r="AN305" s="116">
        <v>530</v>
      </c>
      <c r="AO305" s="116">
        <v>373.5</v>
      </c>
      <c r="AP305" s="116">
        <f>SUMIFS(M:M,AM:AM,AM305)+SUMIFS(O:O,AM:AM,AM305)</f>
      </c>
      <c r="AQ305" s="116">
        <f>SUMIFS(L:L,AM:AM,AM305)</f>
      </c>
      <c r="AR305" s="116">
        <f>AQ305-AP305</f>
      </c>
      <c r="AS305" s="94" t="str">
        <f>IF(AN305&gt;=AQ305,"ok","ck")</f>
      </c>
      <c r="AT305" s="116">
        <f>-P305</f>
      </c>
      <c r="AU305" s="115">
        <f>IF(SUMIFS(AT:AT,AM:AM,AM305)&gt;AO305,(SUMIFS(AT:AT,AM:AM,AM305)-AO305))</f>
      </c>
      <c r="AV305" s="116">
        <v>530</v>
      </c>
      <c r="AW305" s="121">
        <v>0.587</v>
      </c>
      <c r="AX305" s="115">
        <f>AN305-AP305</f>
      </c>
    </row>
    <row r="306" spans="1:50" ht="15" hidden="1" customHeight="1" x14ac:dyDescent="0.3">
      <c r="A306" s="94" t="s">
        <v>263</v>
      </c>
      <c r="B306" s="94"/>
      <c r="C306" s="94"/>
      <c r="D306" s="94"/>
      <c r="E306" s="94"/>
      <c r="F306" s="94"/>
      <c r="G306" s="112">
        <f>AU306</f>
      </c>
      <c r="H306" s="113"/>
      <c r="I306" s="94" t="s">
        <v>264</v>
      </c>
      <c r="J306" s="94" t="s">
        <v>265</v>
      </c>
      <c r="K306" s="114">
        <f>P306/3</f>
      </c>
      <c r="L306" s="115">
        <v>0</v>
      </c>
      <c r="M306" s="116">
        <f>L306</f>
      </c>
      <c r="N306" s="117">
        <f>M306-L306</f>
      </c>
      <c r="O306" s="112"/>
      <c r="P306" s="118">
        <f>N306+O306</f>
      </c>
      <c r="Q306" s="94" t="s">
        <v>797</v>
      </c>
      <c r="R306" s="94" t="s">
        <v>63</v>
      </c>
      <c r="S306" s="119">
        <v>46320</v>
      </c>
      <c r="T306" s="119"/>
      <c r="U306" s="120">
        <v>46320</v>
      </c>
      <c r="V306" s="94"/>
      <c r="W306" s="94"/>
      <c r="X306" s="94"/>
      <c r="Y306" s="119">
        <v>46320</v>
      </c>
      <c r="Z306" s="94"/>
      <c r="AA306" s="120"/>
      <c r="AB306" s="120"/>
      <c r="AC306" s="120"/>
      <c r="AD306" s="120"/>
      <c r="AE306" s="120"/>
      <c r="AF306" s="120"/>
      <c r="AG306" s="94"/>
      <c r="AH306" s="120"/>
      <c r="AI306" s="94"/>
      <c r="AJ306" s="94" t="s">
        <v>797</v>
      </c>
      <c r="AK306" s="94" t="s">
        <v>267</v>
      </c>
      <c r="AL306" s="94">
        <v>120</v>
      </c>
      <c r="AM306" s="94" t="str">
        <f>TRIM(AJ306)&amp;TRIM(AL306)&amp;TRIM(AK306)</f>
      </c>
      <c r="AN306" s="116">
        <v>1318</v>
      </c>
      <c r="AO306" s="116">
        <v>-29</v>
      </c>
      <c r="AP306" s="116">
        <f>SUMIFS(M:M,AM:AM,AM306)+SUMIFS(O:O,AM:AM,AM306)</f>
      </c>
      <c r="AQ306" s="116">
        <f>SUMIFS(L:L,AM:AM,AM306)</f>
      </c>
      <c r="AR306" s="116">
        <f>AQ306-AP306</f>
      </c>
      <c r="AS306" s="94" t="str">
        <f>IF(AN306&gt;=AQ306,"ok","ck")</f>
      </c>
      <c r="AT306" s="116">
        <f>-P306</f>
      </c>
      <c r="AU306" s="115">
        <f>IF(SUMIFS(AT:AT,AM:AM,AM306)&gt;AO306,(SUMIFS(AT:AT,AM:AM,AM306)-AO306))</f>
      </c>
      <c r="AV306" s="116">
        <v>1318</v>
      </c>
      <c r="AW306" s="121">
        <v>1.022</v>
      </c>
      <c r="AX306" s="115">
        <f>AN306-AP306</f>
      </c>
    </row>
    <row r="307" spans="1:50" ht="15" hidden="1" customHeight="1" x14ac:dyDescent="0.3">
      <c r="A307" s="94" t="s">
        <v>311</v>
      </c>
      <c r="B307" s="94"/>
      <c r="C307" s="94"/>
      <c r="D307" s="94"/>
      <c r="E307" s="94"/>
      <c r="F307" s="94"/>
      <c r="G307" s="112">
        <f>AU307</f>
      </c>
      <c r="H307" s="113"/>
      <c r="I307" s="94" t="s">
        <v>312</v>
      </c>
      <c r="J307" s="94" t="s">
        <v>339</v>
      </c>
      <c r="K307" s="114">
        <f>P307/3</f>
      </c>
      <c r="L307" s="115">
        <v>-1.4019999999999999</v>
      </c>
      <c r="M307" s="116"/>
      <c r="N307" s="117">
        <f>M307-L307</f>
      </c>
      <c r="O307" s="112"/>
      <c r="P307" s="118">
        <f>N307+O307</f>
      </c>
      <c r="Q307" s="94" t="s">
        <v>314</v>
      </c>
      <c r="R307" s="94" t="s">
        <v>63</v>
      </c>
      <c r="S307" s="119">
        <v>46320</v>
      </c>
      <c r="T307" s="119"/>
      <c r="U307" s="120">
        <v>46320</v>
      </c>
      <c r="V307" s="94"/>
      <c r="W307" s="94"/>
      <c r="X307" s="94"/>
      <c r="Y307" s="119">
        <v>46320</v>
      </c>
      <c r="Z307" s="94"/>
      <c r="AA307" s="120"/>
      <c r="AB307" s="120"/>
      <c r="AC307" s="120"/>
      <c r="AD307" s="120"/>
      <c r="AE307" s="120"/>
      <c r="AF307" s="120"/>
      <c r="AG307" s="94"/>
      <c r="AH307" s="120"/>
      <c r="AI307" s="94"/>
      <c r="AJ307" s="94" t="s">
        <v>314</v>
      </c>
      <c r="AK307" s="94" t="s">
        <v>340</v>
      </c>
      <c r="AL307" s="94">
        <v>150</v>
      </c>
      <c r="AM307" s="94" t="str">
        <f>TRIM(AJ307)&amp;TRIM(AL307)&amp;TRIM(AK307)</f>
      </c>
      <c r="AN307" s="116">
        <v>0</v>
      </c>
      <c r="AO307" s="116" t="inlineStr">
        <is>
          <t>#NA</t>
        </is>
      </c>
      <c r="AP307" s="116">
        <f>SUMIFS(M:M,AM:AM,AM307)+SUMIFS(O:O,AM:AM,AM307)</f>
      </c>
      <c r="AQ307" s="116">
        <f>SUMIFS(L:L,AM:AM,AM307)</f>
      </c>
      <c r="AR307" s="116">
        <f>AQ307-AP307</f>
      </c>
      <c r="AS307" s="94" t="str">
        <f>IF(AN307&gt;=AQ307,"ok","ck")</f>
      </c>
      <c r="AT307" s="116">
        <f>-P307</f>
      </c>
      <c r="AU307" s="115">
        <f>IF(SUMIFS(AT:AT,AM:AM,AM307)&gt;AO307,(SUMIFS(AT:AT,AM:AM,AM307)-AO307))</f>
      </c>
      <c r="AV307" s="116">
        <v>0</v>
      </c>
      <c r="AW307" s="121">
        <v>1.019</v>
      </c>
      <c r="AX307" s="115">
        <f>AN307-AP307</f>
      </c>
    </row>
    <row r="308" spans="1:50" ht="15" hidden="1" customHeight="1" x14ac:dyDescent="0.3">
      <c r="A308" s="94" t="s">
        <v>311</v>
      </c>
      <c r="B308" s="94"/>
      <c r="C308" s="94"/>
      <c r="D308" s="94"/>
      <c r="E308" s="94"/>
      <c r="F308" s="94"/>
      <c r="G308" s="112">
        <f>AU308</f>
      </c>
      <c r="H308" s="113"/>
      <c r="I308" s="94" t="s">
        <v>312</v>
      </c>
      <c r="J308" s="94" t="s">
        <v>339</v>
      </c>
      <c r="K308" s="114">
        <f>P308/3</f>
      </c>
      <c r="L308" s="115">
        <v>-1.4019999999999999</v>
      </c>
      <c r="M308" s="116"/>
      <c r="N308" s="117">
        <f>M308-L308</f>
      </c>
      <c r="O308" s="112"/>
      <c r="P308" s="118">
        <f>N308+O308</f>
      </c>
      <c r="Q308" s="94" t="s">
        <v>314</v>
      </c>
      <c r="R308" s="94" t="s">
        <v>63</v>
      </c>
      <c r="S308" s="119">
        <v>46320</v>
      </c>
      <c r="T308" s="119"/>
      <c r="U308" s="120">
        <v>46320</v>
      </c>
      <c r="V308" s="94"/>
      <c r="W308" s="94"/>
      <c r="X308" s="94"/>
      <c r="Y308" s="119">
        <v>46320</v>
      </c>
      <c r="Z308" s="94"/>
      <c r="AA308" s="120"/>
      <c r="AB308" s="120"/>
      <c r="AC308" s="120"/>
      <c r="AD308" s="120"/>
      <c r="AE308" s="120"/>
      <c r="AF308" s="120"/>
      <c r="AG308" s="94"/>
      <c r="AH308" s="120"/>
      <c r="AI308" s="94"/>
      <c r="AJ308" s="94" t="s">
        <v>314</v>
      </c>
      <c r="AK308" s="94" t="s">
        <v>340</v>
      </c>
      <c r="AL308" s="94">
        <v>150</v>
      </c>
      <c r="AM308" s="94" t="str">
        <f>TRIM(AJ308)&amp;TRIM(AL308)&amp;TRIM(AK308)</f>
      </c>
      <c r="AN308" s="116">
        <v>0</v>
      </c>
      <c r="AO308" s="116" t="inlineStr">
        <is>
          <t>#NA</t>
        </is>
      </c>
      <c r="AP308" s="116">
        <f>SUMIFS(M:M,AM:AM,AM308)+SUMIFS(O:O,AM:AM,AM308)</f>
      </c>
      <c r="AQ308" s="116">
        <f>SUMIFS(L:L,AM:AM,AM308)</f>
      </c>
      <c r="AR308" s="116">
        <f>AQ308-AP308</f>
      </c>
      <c r="AS308" s="94" t="str">
        <f>IF(AN308&gt;=AQ308,"ok","ck")</f>
      </c>
      <c r="AT308" s="116">
        <f>-P308</f>
      </c>
      <c r="AU308" s="115">
        <f>IF(SUMIFS(AT:AT,AM:AM,AM308)&gt;AO308,(SUMIFS(AT:AT,AM:AM,AM308)-AO308))</f>
      </c>
      <c r="AV308" s="116">
        <v>0</v>
      </c>
      <c r="AW308" s="121">
        <v>1.019</v>
      </c>
      <c r="AX308" s="115">
        <f>AN308-AP308</f>
      </c>
    </row>
    <row r="309" spans="1:50" ht="15" hidden="1" customHeight="1" x14ac:dyDescent="0.3">
      <c r="A309" s="94" t="s">
        <v>268</v>
      </c>
      <c r="B309" s="94"/>
      <c r="C309" s="94"/>
      <c r="D309" s="94"/>
      <c r="E309" s="94"/>
      <c r="F309" s="94"/>
      <c r="G309" s="112">
        <f>AU309</f>
      </c>
      <c r="H309" s="113"/>
      <c r="I309" s="94" t="s">
        <v>278</v>
      </c>
      <c r="J309" s="94" t="s">
        <v>308</v>
      </c>
      <c r="K309" s="114">
        <f>P309/3</f>
      </c>
      <c r="L309" s="115">
        <v>0</v>
      </c>
      <c r="M309" s="116">
        <f>L309</f>
      </c>
      <c r="N309" s="117">
        <f>M309-L309</f>
      </c>
      <c r="O309" s="112"/>
      <c r="P309" s="118">
        <f>N309+O309</f>
      </c>
      <c r="Q309" s="94" t="s">
        <v>309</v>
      </c>
      <c r="R309" s="94" t="s">
        <v>63</v>
      </c>
      <c r="S309" s="119">
        <v>46320</v>
      </c>
      <c r="T309" s="119"/>
      <c r="U309" s="120">
        <v>46320</v>
      </c>
      <c r="V309" s="94"/>
      <c r="W309" s="94"/>
      <c r="X309" s="94"/>
      <c r="Y309" s="119">
        <v>46320</v>
      </c>
      <c r="Z309" s="94"/>
      <c r="AA309" s="120"/>
      <c r="AB309" s="120"/>
      <c r="AC309" s="120"/>
      <c r="AD309" s="120"/>
      <c r="AE309" s="120"/>
      <c r="AF309" s="120"/>
      <c r="AG309" s="94"/>
      <c r="AH309" s="120"/>
      <c r="AI309" s="94"/>
      <c r="AJ309" s="94" t="s">
        <v>309</v>
      </c>
      <c r="AK309" s="94" t="s">
        <v>310</v>
      </c>
      <c r="AL309" s="94">
        <v>120</v>
      </c>
      <c r="AM309" s="94" t="str">
        <f>TRIM(AJ309)&amp;TRIM(AL309)&amp;TRIM(AK309)</f>
      </c>
      <c r="AN309" s="116">
        <v>464</v>
      </c>
      <c r="AO309" s="116">
        <v>-42</v>
      </c>
      <c r="AP309" s="116">
        <f>SUMIFS(M:M,AM:AM,AM309)+SUMIFS(O:O,AM:AM,AM309)</f>
      </c>
      <c r="AQ309" s="116">
        <f>SUMIFS(L:L,AM:AM,AM309)</f>
      </c>
      <c r="AR309" s="116">
        <f>AQ309-AP309</f>
      </c>
      <c r="AS309" s="94" t="str">
        <f>IF(AN309&gt;=AQ309,"ok","ck")</f>
      </c>
      <c r="AT309" s="116">
        <f>-P309</f>
      </c>
      <c r="AU309" s="115">
        <f>IF(SUMIFS(AT:AT,AM:AM,AM309)&gt;AO309,(SUMIFS(AT:AT,AM:AM,AM309)-AO309))</f>
      </c>
      <c r="AV309" s="116">
        <v>464</v>
      </c>
      <c r="AW309" s="121">
        <v>1.1</v>
      </c>
      <c r="AX309" s="115">
        <f>AN309-AP309</f>
      </c>
    </row>
    <row r="310" spans="1:50" ht="15" hidden="1" customHeight="1" x14ac:dyDescent="0.3">
      <c r="A310" s="94" t="s">
        <v>268</v>
      </c>
      <c r="B310" s="94"/>
      <c r="C310" s="94"/>
      <c r="D310" s="94"/>
      <c r="E310" s="94"/>
      <c r="F310" s="94"/>
      <c r="G310" s="112">
        <f>AU310</f>
      </c>
      <c r="H310" s="113"/>
      <c r="I310" s="94" t="s">
        <v>278</v>
      </c>
      <c r="J310" s="94" t="s">
        <v>308</v>
      </c>
      <c r="K310" s="114">
        <f>P310/3</f>
      </c>
      <c r="L310" s="115">
        <v>0.2</v>
      </c>
      <c r="M310" s="116">
        <f>L310</f>
      </c>
      <c r="N310" s="117">
        <f>M310-L310</f>
      </c>
      <c r="O310" s="112"/>
      <c r="P310" s="118">
        <f>N310+O310</f>
      </c>
      <c r="Q310" s="94" t="s">
        <v>309</v>
      </c>
      <c r="R310" s="94" t="s">
        <v>63</v>
      </c>
      <c r="S310" s="119">
        <v>46321</v>
      </c>
      <c r="T310" s="119"/>
      <c r="U310" s="120">
        <v>46321</v>
      </c>
      <c r="V310" s="94"/>
      <c r="W310" s="94"/>
      <c r="X310" s="94"/>
      <c r="Y310" s="119">
        <v>46321</v>
      </c>
      <c r="Z310" s="94"/>
      <c r="AA310" s="120"/>
      <c r="AB310" s="120"/>
      <c r="AC310" s="120"/>
      <c r="AD310" s="120"/>
      <c r="AE310" s="120"/>
      <c r="AF310" s="120"/>
      <c r="AG310" s="94"/>
      <c r="AH310" s="120"/>
      <c r="AI310" s="94"/>
      <c r="AJ310" s="94" t="s">
        <v>309</v>
      </c>
      <c r="AK310" s="94" t="s">
        <v>310</v>
      </c>
      <c r="AL310" s="94">
        <v>120</v>
      </c>
      <c r="AM310" s="94" t="str">
        <f>TRIM(AJ310)&amp;TRIM(AL310)&amp;TRIM(AK310)</f>
      </c>
      <c r="AN310" s="116">
        <v>464</v>
      </c>
      <c r="AO310" s="116">
        <v>-42</v>
      </c>
      <c r="AP310" s="116">
        <f>SUMIFS(M:M,AM:AM,AM310)+SUMIFS(O:O,AM:AM,AM310)</f>
      </c>
      <c r="AQ310" s="116">
        <f>SUMIFS(L:L,AM:AM,AM310)</f>
      </c>
      <c r="AR310" s="116">
        <f>AQ310-AP310</f>
      </c>
      <c r="AS310" s="94" t="str">
        <f>IF(AN310&gt;=AQ310,"ok","ck")</f>
      </c>
      <c r="AT310" s="116">
        <f>-P310</f>
      </c>
      <c r="AU310" s="115">
        <f>IF(SUMIFS(AT:AT,AM:AM,AM310)&gt;AO310,(SUMIFS(AT:AT,AM:AM,AM310)-AO310))</f>
      </c>
      <c r="AV310" s="116">
        <v>464</v>
      </c>
      <c r="AW310" s="121">
        <v>1.1</v>
      </c>
      <c r="AX310" s="115">
        <f>AN310-AP310</f>
      </c>
    </row>
    <row r="311" spans="1:50" ht="15" hidden="1" customHeight="1" x14ac:dyDescent="0.3">
      <c r="A311" s="94" t="s">
        <v>253</v>
      </c>
      <c r="B311" s="94"/>
      <c r="C311" s="94"/>
      <c r="D311" s="94"/>
      <c r="E311" s="94"/>
      <c r="F311" s="94"/>
      <c r="G311" s="112">
        <f>AU311</f>
      </c>
      <c r="H311" s="113"/>
      <c r="I311" s="94" t="s">
        <v>254</v>
      </c>
      <c r="J311" s="94" t="s">
        <v>276</v>
      </c>
      <c r="K311" s="114">
        <f>P311/3</f>
      </c>
      <c r="L311" s="115">
        <v>-17.989999999999998</v>
      </c>
      <c r="M311" s="116">
        <f>L311</f>
      </c>
      <c r="N311" s="117">
        <f>M311-L311</f>
      </c>
      <c r="O311" s="112"/>
      <c r="P311" s="118">
        <f>N311+O311</f>
      </c>
      <c r="Q311" s="94" t="s">
        <v>256</v>
      </c>
      <c r="R311" s="94" t="s">
        <v>63</v>
      </c>
      <c r="S311" s="119">
        <v>46320</v>
      </c>
      <c r="T311" s="119"/>
      <c r="U311" s="120">
        <v>46320</v>
      </c>
      <c r="V311" s="94"/>
      <c r="W311" s="94"/>
      <c r="X311" s="94"/>
      <c r="Y311" s="119">
        <v>46320</v>
      </c>
      <c r="Z311" s="94"/>
      <c r="AA311" s="120"/>
      <c r="AB311" s="120"/>
      <c r="AC311" s="120"/>
      <c r="AD311" s="120"/>
      <c r="AE311" s="120"/>
      <c r="AF311" s="120"/>
      <c r="AG311" s="94"/>
      <c r="AH311" s="120"/>
      <c r="AI311" s="94"/>
      <c r="AJ311" s="94" t="s">
        <v>257</v>
      </c>
      <c r="AK311" s="94" t="s">
        <v>277</v>
      </c>
      <c r="AL311" s="94">
        <v>150</v>
      </c>
      <c r="AM311" s="94" t="str">
        <f>TRIM(AJ311)&amp;TRIM(AL311)&amp;TRIM(AK311)</f>
      </c>
      <c r="AN311" s="116">
        <v>921</v>
      </c>
      <c r="AO311" s="116">
        <v>-17.5</v>
      </c>
      <c r="AP311" s="116">
        <f>SUMIFS(M:M,AM:AM,AM311)+SUMIFS(O:O,AM:AM,AM311)</f>
      </c>
      <c r="AQ311" s="116">
        <f>SUMIFS(L:L,AM:AM,AM311)</f>
      </c>
      <c r="AR311" s="116">
        <f>AQ311-AP311</f>
      </c>
      <c r="AS311" s="94" t="str">
        <f>IF(AN311&gt;=AQ311,"ok","ck")</f>
      </c>
      <c r="AT311" s="116">
        <f>-P311</f>
      </c>
      <c r="AU311" s="115">
        <f>IF(SUMIFS(AT:AT,AM:AM,AM311)&gt;AO311,(SUMIFS(AT:AT,AM:AM,AM311)-AO311))</f>
      </c>
      <c r="AV311" s="116">
        <v>921</v>
      </c>
      <c r="AW311" s="121">
        <v>1.019</v>
      </c>
      <c r="AX311" s="115">
        <f>AN311-AP311</f>
      </c>
    </row>
    <row r="312" spans="1:50" ht="15" hidden="1" customHeight="1" x14ac:dyDescent="0.3">
      <c r="A312" s="94" t="s">
        <v>268</v>
      </c>
      <c r="B312" s="94"/>
      <c r="C312" s="94"/>
      <c r="D312" s="94"/>
      <c r="E312" s="94"/>
      <c r="F312" s="94"/>
      <c r="G312" s="112">
        <f>AU312</f>
      </c>
      <c r="H312" s="113"/>
      <c r="I312" s="94" t="s">
        <v>390</v>
      </c>
      <c r="J312" s="94" t="s">
        <v>326</v>
      </c>
      <c r="K312" s="114">
        <f>P312/3</f>
      </c>
      <c r="L312" s="115">
        <v>871.07899999999995</v>
      </c>
      <c r="M312" s="116"/>
      <c r="N312" s="117">
        <f>M312-L312</f>
      </c>
      <c r="O312" s="112"/>
      <c r="P312" s="118">
        <f>N312+O312</f>
      </c>
      <c r="Q312" s="94" t="s">
        <v>778</v>
      </c>
      <c r="R312" s="94" t="s">
        <v>63</v>
      </c>
      <c r="S312" s="119">
        <v>46335</v>
      </c>
      <c r="T312" s="119"/>
      <c r="U312" s="120" t="s">
        <v>639</v>
      </c>
      <c r="V312" s="94"/>
      <c r="W312" s="94"/>
      <c r="X312" s="94"/>
      <c r="Y312" s="119">
        <v>46337</v>
      </c>
      <c r="Z312" s="94"/>
      <c r="AA312" s="120"/>
      <c r="AB312" s="120"/>
      <c r="AC312" s="120"/>
      <c r="AD312" s="120"/>
      <c r="AE312" s="120"/>
      <c r="AF312" s="120"/>
      <c r="AG312" s="94"/>
      <c r="AH312" s="120"/>
      <c r="AI312" s="94"/>
      <c r="AJ312" s="94" t="s">
        <v>778</v>
      </c>
      <c r="AK312" s="94" t="s">
        <v>327</v>
      </c>
      <c r="AL312" s="94">
        <v>140</v>
      </c>
      <c r="AM312" s="94" t="str">
        <f>TRIM(AJ312)&amp;TRIM(AL312)&amp;TRIM(AK312)</f>
      </c>
      <c r="AN312" s="116">
        <v>0</v>
      </c>
      <c r="AO312" s="116" t="inlineStr">
        <is>
          <t>#NA</t>
        </is>
      </c>
      <c r="AP312" s="116">
        <f>SUMIFS(M:M,AM:AM,AM312)+SUMIFS(O:O,AM:AM,AM312)</f>
      </c>
      <c r="AQ312" s="116">
        <f>SUMIFS(L:L,AM:AM,AM312)</f>
      </c>
      <c r="AR312" s="116">
        <f>AQ312-AP312</f>
      </c>
      <c r="AS312" s="94" t="str">
        <f>IF(AN312&gt;=AQ312,"ok","ck")</f>
      </c>
      <c r="AT312" s="116">
        <f>-P312</f>
      </c>
      <c r="AU312" s="115">
        <f>IF(SUMIFS(AT:AT,AM:AM,AM312)&gt;AO312,(SUMIFS(AT:AT,AM:AM,AM312)-AO312))</f>
      </c>
      <c r="AV312" s="116">
        <v>0</v>
      </c>
      <c r="AW312" s="121">
        <v>0</v>
      </c>
      <c r="AX312" s="115">
        <f>AN312-AP312</f>
      </c>
    </row>
    <row r="313" spans="1:50" ht="15" hidden="1" customHeight="1" x14ac:dyDescent="0.3">
      <c r="A313" s="94" t="s">
        <v>268</v>
      </c>
      <c r="B313" s="94"/>
      <c r="C313" s="94"/>
      <c r="D313" s="94"/>
      <c r="E313" s="94"/>
      <c r="F313" s="94"/>
      <c r="G313" s="112">
        <f>AU313</f>
      </c>
      <c r="H313" s="113"/>
      <c r="I313" s="94" t="s">
        <v>390</v>
      </c>
      <c r="J313" s="94" t="s">
        <v>333</v>
      </c>
      <c r="K313" s="114">
        <f>P313/3</f>
      </c>
      <c r="L313" s="115">
        <v>871.07899999999995</v>
      </c>
      <c r="M313" s="116"/>
      <c r="N313" s="117">
        <f>M313-L313</f>
      </c>
      <c r="O313" s="112"/>
      <c r="P313" s="118">
        <f>N313+O313</f>
      </c>
      <c r="Q313" s="94" t="s">
        <v>778</v>
      </c>
      <c r="R313" s="94" t="s">
        <v>63</v>
      </c>
      <c r="S313" s="119">
        <v>46330</v>
      </c>
      <c r="T313" s="119"/>
      <c r="U313" s="120" t="s">
        <v>641</v>
      </c>
      <c r="V313" s="94"/>
      <c r="W313" s="94"/>
      <c r="X313" s="94"/>
      <c r="Y313" s="119">
        <v>46342</v>
      </c>
      <c r="Z313" s="94"/>
      <c r="AA313" s="120"/>
      <c r="AB313" s="120"/>
      <c r="AC313" s="120"/>
      <c r="AD313" s="120"/>
      <c r="AE313" s="120"/>
      <c r="AF313" s="120"/>
      <c r="AG313" s="94"/>
      <c r="AH313" s="120"/>
      <c r="AI313" s="94"/>
      <c r="AJ313" s="94" t="s">
        <v>778</v>
      </c>
      <c r="AK313" s="94" t="s">
        <v>338</v>
      </c>
      <c r="AL313" s="94">
        <v>140</v>
      </c>
      <c r="AM313" s="94" t="str">
        <f>TRIM(AJ313)&amp;TRIM(AL313)&amp;TRIM(AK313)</f>
      </c>
      <c r="AN313" s="116">
        <v>0</v>
      </c>
      <c r="AO313" s="116" t="inlineStr">
        <is>
          <t>#NA</t>
        </is>
      </c>
      <c r="AP313" s="116">
        <f>SUMIFS(M:M,AM:AM,AM313)+SUMIFS(O:O,AM:AM,AM313)</f>
      </c>
      <c r="AQ313" s="116">
        <f>SUMIFS(L:L,AM:AM,AM313)</f>
      </c>
      <c r="AR313" s="116">
        <f>AQ313-AP313</f>
      </c>
      <c r="AS313" s="94" t="str">
        <f>IF(AN313&gt;=AQ313,"ok","ck")</f>
      </c>
      <c r="AT313" s="116">
        <f>-P313</f>
      </c>
      <c r="AU313" s="115">
        <f>IF(SUMIFS(AT:AT,AM:AM,AM313)&gt;AO313,(SUMIFS(AT:AT,AM:AM,AM313)-AO313))</f>
      </c>
      <c r="AV313" s="116">
        <v>0</v>
      </c>
      <c r="AW313" s="121">
        <v>0</v>
      </c>
      <c r="AX313" s="115">
        <f>AN313-AP313</f>
      </c>
    </row>
    <row r="314" spans="1:50" ht="15" hidden="1" customHeight="1" x14ac:dyDescent="0.3">
      <c r="A314" s="94" t="s">
        <v>60</v>
      </c>
      <c r="B314" s="94"/>
      <c r="C314" s="94"/>
      <c r="D314" s="94"/>
      <c r="E314" s="94"/>
      <c r="F314" s="94"/>
      <c r="G314" s="112">
        <f>AU314</f>
      </c>
      <c r="H314" s="113"/>
      <c r="I314" s="94" t="s">
        <v>482</v>
      </c>
      <c r="J314" s="94" t="s">
        <v>498</v>
      </c>
      <c r="K314" s="114">
        <f>P314/3</f>
      </c>
      <c r="L314" s="115">
        <v>-0.48399999999999999</v>
      </c>
      <c r="M314" s="116">
        <f>L314</f>
      </c>
      <c r="N314" s="117">
        <f>M314-L314</f>
      </c>
      <c r="O314" s="112"/>
      <c r="P314" s="118">
        <f>N314+O314</f>
      </c>
      <c r="Q314" s="94" t="s">
        <v>776</v>
      </c>
      <c r="R314" s="94" t="s">
        <v>63</v>
      </c>
      <c r="S314" s="119">
        <v>46331</v>
      </c>
      <c r="T314" s="119"/>
      <c r="U314" s="120">
        <v>46331</v>
      </c>
      <c r="V314" s="94"/>
      <c r="W314" s="94"/>
      <c r="X314" s="94"/>
      <c r="Y314" s="119">
        <v>46331</v>
      </c>
      <c r="Z314" s="94"/>
      <c r="AA314" s="120"/>
      <c r="AB314" s="120"/>
      <c r="AC314" s="120"/>
      <c r="AD314" s="120"/>
      <c r="AE314" s="120"/>
      <c r="AF314" s="120"/>
      <c r="AG314" s="94"/>
      <c r="AH314" s="120"/>
      <c r="AI314" s="94"/>
      <c r="AJ314" s="94" t="s">
        <v>776</v>
      </c>
      <c r="AK314" s="94" t="s">
        <v>691</v>
      </c>
      <c r="AL314" s="94">
        <v>110</v>
      </c>
      <c r="AM314" s="94" t="str">
        <f>TRIM(AJ314)&amp;TRIM(AL314)&amp;TRIM(AK314)</f>
      </c>
      <c r="AN314" s="116">
        <v>96</v>
      </c>
      <c r="AO314" s="116">
        <v>-2.02</v>
      </c>
      <c r="AP314" s="116">
        <f>SUMIFS(M:M,AM:AM,AM314)+SUMIFS(O:O,AM:AM,AM314)</f>
      </c>
      <c r="AQ314" s="116">
        <f>SUMIFS(L:L,AM:AM,AM314)</f>
      </c>
      <c r="AR314" s="116">
        <f>AQ314-AP314</f>
      </c>
      <c r="AS314" s="94" t="str">
        <f>IF(AN314&gt;=AQ314,"ok","ck")</f>
      </c>
      <c r="AT314" s="116">
        <f>-P314</f>
      </c>
      <c r="AU314" s="115">
        <f>IF(SUMIFS(AT:AT,AM:AM,AM314)&gt;AO314,(SUMIFS(AT:AT,AM:AM,AM314)-AO314))</f>
      </c>
      <c r="AV314" s="116">
        <v>96</v>
      </c>
      <c r="AW314" s="121">
        <v>1.021</v>
      </c>
      <c r="AX314" s="115">
        <f>AN314-AP314</f>
      </c>
    </row>
    <row r="315" spans="1:50" ht="15" hidden="1" customHeight="1" x14ac:dyDescent="0.3">
      <c r="A315" s="94" t="s">
        <v>311</v>
      </c>
      <c r="B315" s="94"/>
      <c r="C315" s="94"/>
      <c r="D315" s="94"/>
      <c r="E315" s="94"/>
      <c r="F315" s="94"/>
      <c r="G315" s="112">
        <f>AU315</f>
      </c>
      <c r="H315" s="113"/>
      <c r="I315" s="94" t="s">
        <v>312</v>
      </c>
      <c r="J315" s="94" t="s">
        <v>376</v>
      </c>
      <c r="K315" s="114">
        <f>P315/3</f>
      </c>
      <c r="L315" s="115">
        <v>-0.33300000000000002</v>
      </c>
      <c r="M315" s="116"/>
      <c r="N315" s="117">
        <f>M315-L315</f>
      </c>
      <c r="O315" s="112"/>
      <c r="P315" s="118">
        <f>N315+O315</f>
      </c>
      <c r="Q315" s="94" t="s">
        <v>346</v>
      </c>
      <c r="R315" s="94" t="s">
        <v>63</v>
      </c>
      <c r="S315" s="119">
        <v>46320</v>
      </c>
      <c r="T315" s="119"/>
      <c r="U315" s="120">
        <v>46320</v>
      </c>
      <c r="V315" s="94"/>
      <c r="W315" s="94"/>
      <c r="X315" s="94"/>
      <c r="Y315" s="119">
        <v>46320</v>
      </c>
      <c r="Z315" s="94"/>
      <c r="AA315" s="120"/>
      <c r="AB315" s="120"/>
      <c r="AC315" s="120"/>
      <c r="AD315" s="120"/>
      <c r="AE315" s="120"/>
      <c r="AF315" s="120"/>
      <c r="AG315" s="94"/>
      <c r="AH315" s="120"/>
      <c r="AI315" s="94"/>
      <c r="AJ315" s="94" t="s">
        <v>346</v>
      </c>
      <c r="AK315" s="94" t="s">
        <v>377</v>
      </c>
      <c r="AL315" s="94">
        <v>150</v>
      </c>
      <c r="AM315" s="94" t="str">
        <f>TRIM(AJ315)&amp;TRIM(AL315)&amp;TRIM(AK315)</f>
      </c>
      <c r="AN315" s="116">
        <v>0</v>
      </c>
      <c r="AO315" s="116" t="inlineStr">
        <is>
          <t>#NA</t>
        </is>
      </c>
      <c r="AP315" s="116">
        <f>SUMIFS(M:M,AM:AM,AM315)+SUMIFS(O:O,AM:AM,AM315)</f>
      </c>
      <c r="AQ315" s="116">
        <f>SUMIFS(L:L,AM:AM,AM315)</f>
      </c>
      <c r="AR315" s="116">
        <f>AQ315-AP315</f>
      </c>
      <c r="AS315" s="94" t="str">
        <f>IF(AN315&gt;=AQ315,"ok","ck")</f>
      </c>
      <c r="AT315" s="116">
        <f>-P315</f>
      </c>
      <c r="AU315" s="115">
        <f>IF(SUMIFS(AT:AT,AM:AM,AM315)&gt;AO315,(SUMIFS(AT:AT,AM:AM,AM315)-AO315))</f>
      </c>
      <c r="AV315" s="116">
        <v>0</v>
      </c>
      <c r="AW315" s="121">
        <v>0.994</v>
      </c>
      <c r="AX315" s="115">
        <f>AN315-AP315</f>
      </c>
    </row>
    <row r="316" spans="1:50" ht="15" hidden="1" customHeight="1" x14ac:dyDescent="0.3">
      <c r="A316" s="94" t="s">
        <v>311</v>
      </c>
      <c r="B316" s="94"/>
      <c r="C316" s="94"/>
      <c r="D316" s="94"/>
      <c r="E316" s="94"/>
      <c r="F316" s="94"/>
      <c r="G316" s="112">
        <f>AU316</f>
      </c>
      <c r="H316" s="113"/>
      <c r="I316" s="94" t="s">
        <v>312</v>
      </c>
      <c r="J316" s="94" t="s">
        <v>376</v>
      </c>
      <c r="K316" s="114">
        <f>P316/3</f>
      </c>
      <c r="L316" s="115">
        <v>-0.32900000000000001</v>
      </c>
      <c r="M316" s="116"/>
      <c r="N316" s="117">
        <f>M316-L316</f>
      </c>
      <c r="O316" s="112"/>
      <c r="P316" s="118">
        <f>N316+O316</f>
      </c>
      <c r="Q316" s="94" t="s">
        <v>346</v>
      </c>
      <c r="R316" s="94" t="s">
        <v>63</v>
      </c>
      <c r="S316" s="119">
        <v>46322</v>
      </c>
      <c r="T316" s="119"/>
      <c r="U316" s="120">
        <v>46322</v>
      </c>
      <c r="V316" s="94"/>
      <c r="W316" s="94"/>
      <c r="X316" s="94"/>
      <c r="Y316" s="119">
        <v>46322</v>
      </c>
      <c r="Z316" s="94"/>
      <c r="AA316" s="120"/>
      <c r="AB316" s="120"/>
      <c r="AC316" s="120"/>
      <c r="AD316" s="120"/>
      <c r="AE316" s="120"/>
      <c r="AF316" s="120"/>
      <c r="AG316" s="94"/>
      <c r="AH316" s="120"/>
      <c r="AI316" s="94"/>
      <c r="AJ316" s="94" t="s">
        <v>346</v>
      </c>
      <c r="AK316" s="94" t="s">
        <v>377</v>
      </c>
      <c r="AL316" s="94">
        <v>150</v>
      </c>
      <c r="AM316" s="94" t="str">
        <f>TRIM(AJ316)&amp;TRIM(AL316)&amp;TRIM(AK316)</f>
      </c>
      <c r="AN316" s="116">
        <v>0</v>
      </c>
      <c r="AO316" s="116" t="inlineStr">
        <is>
          <t>#NA</t>
        </is>
      </c>
      <c r="AP316" s="116">
        <f>SUMIFS(M:M,AM:AM,AM316)+SUMIFS(O:O,AM:AM,AM316)</f>
      </c>
      <c r="AQ316" s="116">
        <f>SUMIFS(L:L,AM:AM,AM316)</f>
      </c>
      <c r="AR316" s="116">
        <f>AQ316-AP316</f>
      </c>
      <c r="AS316" s="94" t="str">
        <f>IF(AN316&gt;=AQ316,"ok","ck")</f>
      </c>
      <c r="AT316" s="116">
        <f>-P316</f>
      </c>
      <c r="AU316" s="115">
        <f>IF(SUMIFS(AT:AT,AM:AM,AM316)&gt;AO316,(SUMIFS(AT:AT,AM:AM,AM316)-AO316))</f>
      </c>
      <c r="AV316" s="116">
        <v>0</v>
      </c>
      <c r="AW316" s="121">
        <v>0.994</v>
      </c>
      <c r="AX316" s="115">
        <f>AN316-AP316</f>
      </c>
    </row>
    <row r="317" spans="1:50" ht="15" hidden="1" customHeight="1" x14ac:dyDescent="0.3">
      <c r="A317" s="94" t="s">
        <v>82</v>
      </c>
      <c r="B317" s="94"/>
      <c r="C317" s="94"/>
      <c r="D317" s="94"/>
      <c r="E317" s="94"/>
      <c r="F317" s="94"/>
      <c r="G317" s="112">
        <f>AU317</f>
      </c>
      <c r="H317" s="113"/>
      <c r="I317" s="94" t="s">
        <v>83</v>
      </c>
      <c r="J317" s="94" t="s">
        <v>102</v>
      </c>
      <c r="K317" s="114">
        <f>P317/3</f>
      </c>
      <c r="L317" s="115">
        <v>0</v>
      </c>
      <c r="M317" s="116"/>
      <c r="N317" s="117">
        <f>M317-L317</f>
      </c>
      <c r="O317" s="112"/>
      <c r="P317" s="118">
        <f>N317+O317</f>
      </c>
      <c r="Q317" s="94" t="s">
        <v>85</v>
      </c>
      <c r="R317" s="94" t="s">
        <v>63</v>
      </c>
      <c r="S317" s="119">
        <v>46320</v>
      </c>
      <c r="T317" s="119"/>
      <c r="U317" s="120">
        <v>46320</v>
      </c>
      <c r="V317" s="94"/>
      <c r="W317" s="94"/>
      <c r="X317" s="94"/>
      <c r="Y317" s="119">
        <v>46320</v>
      </c>
      <c r="Z317" s="94"/>
      <c r="AA317" s="120"/>
      <c r="AB317" s="120"/>
      <c r="AC317" s="120"/>
      <c r="AD317" s="120"/>
      <c r="AE317" s="120"/>
      <c r="AF317" s="120"/>
      <c r="AG317" s="94"/>
      <c r="AH317" s="120"/>
      <c r="AI317" s="94"/>
      <c r="AJ317" s="94" t="s">
        <v>86</v>
      </c>
      <c r="AK317" s="94" t="s">
        <v>103</v>
      </c>
      <c r="AL317" s="94">
        <v>160</v>
      </c>
      <c r="AM317" s="94" t="str">
        <f>TRIM(AJ317)&amp;TRIM(AL317)&amp;TRIM(AK317)</f>
      </c>
      <c r="AN317" s="116">
        <v>29538.42</v>
      </c>
      <c r="AO317" s="116">
        <v>2887.58</v>
      </c>
      <c r="AP317" s="116">
        <f>SUMIFS(M:M,AM:AM,AM317)+SUMIFS(O:O,AM:AM,AM317)</f>
      </c>
      <c r="AQ317" s="116">
        <f>SUMIFS(L:L,AM:AM,AM317)</f>
      </c>
      <c r="AR317" s="116">
        <f>AQ317-AP317</f>
      </c>
      <c r="AS317" s="94" t="str">
        <f>IF(AN317&gt;=AQ317,"ok","ck")</f>
      </c>
      <c r="AT317" s="116">
        <f>-P317</f>
      </c>
      <c r="AU317" s="115">
        <f>IF(SUMIFS(AT:AT,AM:AM,AM317)&gt;AO317,(SUMIFS(AT:AT,AM:AM,AM317)-AO317))</f>
      </c>
      <c r="AV317" s="116">
        <v>29538.42</v>
      </c>
      <c r="AW317" s="121">
        <v>0.911</v>
      </c>
      <c r="AX317" s="115">
        <f>AN317-AP317</f>
      </c>
    </row>
    <row r="318" spans="1:50" ht="15" hidden="1" customHeight="1" x14ac:dyDescent="0.3">
      <c r="A318" s="94" t="s">
        <v>82</v>
      </c>
      <c r="B318" s="94"/>
      <c r="C318" s="94"/>
      <c r="D318" s="94"/>
      <c r="E318" s="94"/>
      <c r="F318" s="94"/>
      <c r="G318" s="112">
        <f>AU318</f>
      </c>
      <c r="H318" s="113"/>
      <c r="I318" s="94" t="s">
        <v>83</v>
      </c>
      <c r="J318" s="94" t="s">
        <v>102</v>
      </c>
      <c r="K318" s="114">
        <f>P318/3</f>
      </c>
      <c r="L318" s="115">
        <v>0</v>
      </c>
      <c r="M318" s="116"/>
      <c r="N318" s="117">
        <f>M318-L318</f>
      </c>
      <c r="O318" s="112"/>
      <c r="P318" s="118">
        <f>N318+O318</f>
      </c>
      <c r="Q318" s="94" t="s">
        <v>85</v>
      </c>
      <c r="R318" s="94" t="s">
        <v>63</v>
      </c>
      <c r="S318" s="119">
        <v>46320</v>
      </c>
      <c r="T318" s="119"/>
      <c r="U318" s="120">
        <v>46320</v>
      </c>
      <c r="V318" s="94"/>
      <c r="W318" s="94"/>
      <c r="X318" s="94"/>
      <c r="Y318" s="119">
        <v>46320</v>
      </c>
      <c r="Z318" s="94"/>
      <c r="AA318" s="120"/>
      <c r="AB318" s="120"/>
      <c r="AC318" s="120"/>
      <c r="AD318" s="120"/>
      <c r="AE318" s="120"/>
      <c r="AF318" s="120"/>
      <c r="AG318" s="94"/>
      <c r="AH318" s="120"/>
      <c r="AI318" s="94"/>
      <c r="AJ318" s="94" t="s">
        <v>86</v>
      </c>
      <c r="AK318" s="94" t="s">
        <v>103</v>
      </c>
      <c r="AL318" s="94">
        <v>160</v>
      </c>
      <c r="AM318" s="94" t="str">
        <f>TRIM(AJ318)&amp;TRIM(AL318)&amp;TRIM(AK318)</f>
      </c>
      <c r="AN318" s="116">
        <v>29538.42</v>
      </c>
      <c r="AO318" s="116">
        <v>2887.58</v>
      </c>
      <c r="AP318" s="116">
        <f>SUMIFS(M:M,AM:AM,AM318)+SUMIFS(O:O,AM:AM,AM318)</f>
      </c>
      <c r="AQ318" s="116">
        <f>SUMIFS(L:L,AM:AM,AM318)</f>
      </c>
      <c r="AR318" s="116">
        <f>AQ318-AP318</f>
      </c>
      <c r="AS318" s="94" t="str">
        <f>IF(AN318&gt;=AQ318,"ok","ck")</f>
      </c>
      <c r="AT318" s="116">
        <f>-P318</f>
      </c>
      <c r="AU318" s="115">
        <f>IF(SUMIFS(AT:AT,AM:AM,AM318)&gt;AO318,(SUMIFS(AT:AT,AM:AM,AM318)-AO318))</f>
      </c>
      <c r="AV318" s="116">
        <v>29538.42</v>
      </c>
      <c r="AW318" s="121">
        <v>0.911</v>
      </c>
      <c r="AX318" s="115">
        <f>AN318-AP318</f>
      </c>
    </row>
    <row r="319" spans="1:50" ht="15" hidden="1" customHeight="1" x14ac:dyDescent="0.3">
      <c r="A319" s="94" t="s">
        <v>82</v>
      </c>
      <c r="B319" s="94"/>
      <c r="C319" s="94"/>
      <c r="D319" s="94"/>
      <c r="E319" s="94"/>
      <c r="F319" s="94"/>
      <c r="G319" s="112">
        <f>AU319</f>
      </c>
      <c r="H319" s="113"/>
      <c r="I319" s="94" t="s">
        <v>83</v>
      </c>
      <c r="J319" s="94" t="s">
        <v>102</v>
      </c>
      <c r="K319" s="114">
        <f>P319/3</f>
      </c>
      <c r="L319" s="115">
        <v>0</v>
      </c>
      <c r="M319" s="116"/>
      <c r="N319" s="117">
        <f>M319-L319</f>
      </c>
      <c r="O319" s="112"/>
      <c r="P319" s="118">
        <f>N319+O319</f>
      </c>
      <c r="Q319" s="94" t="s">
        <v>85</v>
      </c>
      <c r="R319" s="94" t="s">
        <v>63</v>
      </c>
      <c r="S319" s="119">
        <v>46326</v>
      </c>
      <c r="T319" s="119"/>
      <c r="U319" s="120">
        <v>46326</v>
      </c>
      <c r="V319" s="94"/>
      <c r="W319" s="94"/>
      <c r="X319" s="94"/>
      <c r="Y319" s="119">
        <v>46326</v>
      </c>
      <c r="Z319" s="94"/>
      <c r="AA319" s="120"/>
      <c r="AB319" s="120"/>
      <c r="AC319" s="120"/>
      <c r="AD319" s="120"/>
      <c r="AE319" s="120"/>
      <c r="AF319" s="120"/>
      <c r="AG319" s="94"/>
      <c r="AH319" s="120"/>
      <c r="AI319" s="94"/>
      <c r="AJ319" s="94" t="s">
        <v>86</v>
      </c>
      <c r="AK319" s="94" t="s">
        <v>103</v>
      </c>
      <c r="AL319" s="94">
        <v>160</v>
      </c>
      <c r="AM319" s="94" t="str">
        <f>TRIM(AJ319)&amp;TRIM(AL319)&amp;TRIM(AK319)</f>
      </c>
      <c r="AN319" s="116">
        <v>29538.42</v>
      </c>
      <c r="AO319" s="116">
        <v>2887.58</v>
      </c>
      <c r="AP319" s="116">
        <f>SUMIFS(M:M,AM:AM,AM319)+SUMIFS(O:O,AM:AM,AM319)</f>
      </c>
      <c r="AQ319" s="116">
        <f>SUMIFS(L:L,AM:AM,AM319)</f>
      </c>
      <c r="AR319" s="116">
        <f>AQ319-AP319</f>
      </c>
      <c r="AS319" s="94" t="str">
        <f>IF(AN319&gt;=AQ319,"ok","ck")</f>
      </c>
      <c r="AT319" s="116">
        <f>-P319</f>
      </c>
      <c r="AU319" s="115">
        <f>IF(SUMIFS(AT:AT,AM:AM,AM319)&gt;AO319,(SUMIFS(AT:AT,AM:AM,AM319)-AO319))</f>
      </c>
      <c r="AV319" s="116">
        <v>29538.42</v>
      </c>
      <c r="AW319" s="121">
        <v>0.911</v>
      </c>
      <c r="AX319" s="115">
        <f>AN319-AP319</f>
      </c>
    </row>
    <row r="320" spans="1:50" ht="15" hidden="1" customHeight="1" x14ac:dyDescent="0.3">
      <c r="A320" s="94" t="s">
        <v>82</v>
      </c>
      <c r="B320" s="94"/>
      <c r="C320" s="94"/>
      <c r="D320" s="94"/>
      <c r="E320" s="94"/>
      <c r="F320" s="94"/>
      <c r="G320" s="112">
        <f>AU320</f>
      </c>
      <c r="H320" s="113"/>
      <c r="I320" s="94" t="s">
        <v>83</v>
      </c>
      <c r="J320" s="94" t="s">
        <v>521</v>
      </c>
      <c r="K320" s="114">
        <f>P320/3</f>
      </c>
      <c r="L320" s="115">
        <v>2200</v>
      </c>
      <c r="M320" s="116"/>
      <c r="N320" s="117">
        <f>M320-L320</f>
      </c>
      <c r="O320" s="112"/>
      <c r="P320" s="118">
        <f>N320+O320</f>
      </c>
      <c r="Q320" s="94" t="s">
        <v>853</v>
      </c>
      <c r="R320" s="94" t="s">
        <v>63</v>
      </c>
      <c r="S320" s="119">
        <v>46336</v>
      </c>
      <c r="T320" s="119"/>
      <c r="U320" s="120" t="s">
        <v>642</v>
      </c>
      <c r="V320" s="94"/>
      <c r="W320" s="94"/>
      <c r="X320" s="94"/>
      <c r="Y320" s="119">
        <v>46330</v>
      </c>
      <c r="Z320" s="94"/>
      <c r="AA320" s="120"/>
      <c r="AB320" s="120"/>
      <c r="AC320" s="120"/>
      <c r="AD320" s="120"/>
      <c r="AE320" s="120"/>
      <c r="AF320" s="120"/>
      <c r="AG320" s="94"/>
      <c r="AH320" s="120"/>
      <c r="AI320" s="94"/>
      <c r="AJ320" s="94" t="s">
        <v>798</v>
      </c>
      <c r="AK320" s="94" t="s">
        <v>711</v>
      </c>
      <c r="AL320" s="94">
        <v>160</v>
      </c>
      <c r="AM320" s="94" t="str">
        <f>TRIM(AJ320)&amp;TRIM(AL320)&amp;TRIM(AK320)</f>
      </c>
      <c r="AN320" s="116">
        <v>0</v>
      </c>
      <c r="AO320" s="116" t="inlineStr">
        <is>
          <t>#NA</t>
        </is>
      </c>
      <c r="AP320" s="116">
        <f>SUMIFS(M:M,AM:AM,AM320)+SUMIFS(O:O,AM:AM,AM320)</f>
      </c>
      <c r="AQ320" s="116">
        <f>SUMIFS(L:L,AM:AM,AM320)</f>
      </c>
      <c r="AR320" s="116">
        <f>AQ320-AP320</f>
      </c>
      <c r="AS320" s="94" t="str">
        <f>IF(AN320&gt;=AQ320,"ok","ck")</f>
      </c>
      <c r="AT320" s="116">
        <f>-P320</f>
      </c>
      <c r="AU320" s="115">
        <f>IF(SUMIFS(AT:AT,AM:AM,AM320)&gt;AO320,(SUMIFS(AT:AT,AM:AM,AM320)-AO320))</f>
      </c>
      <c r="AV320" s="116">
        <v>0</v>
      </c>
      <c r="AW320" s="121">
        <v>0</v>
      </c>
      <c r="AX320" s="115">
        <f>AN320-AP320</f>
      </c>
    </row>
    <row r="321" spans="1:50" ht="15" hidden="1" customHeight="1" x14ac:dyDescent="0.3">
      <c r="A321" s="94" t="s">
        <v>82</v>
      </c>
      <c r="B321" s="94"/>
      <c r="C321" s="94"/>
      <c r="D321" s="94"/>
      <c r="E321" s="94"/>
      <c r="F321" s="94"/>
      <c r="G321" s="112">
        <f>AU321</f>
      </c>
      <c r="H321" s="113"/>
      <c r="I321" s="94" t="s">
        <v>83</v>
      </c>
      <c r="J321" s="94" t="s">
        <v>521</v>
      </c>
      <c r="K321" s="114">
        <f>P321/3</f>
      </c>
      <c r="L321" s="115">
        <v>800</v>
      </c>
      <c r="M321" s="116"/>
      <c r="N321" s="117">
        <f>M321-L321</f>
      </c>
      <c r="O321" s="112"/>
      <c r="P321" s="118">
        <f>N321+O321</f>
      </c>
      <c r="Q321" s="94" t="s">
        <v>853</v>
      </c>
      <c r="R321" s="94" t="s">
        <v>63</v>
      </c>
      <c r="S321" s="119">
        <v>46340</v>
      </c>
      <c r="T321" s="119"/>
      <c r="U321" s="120" t="s">
        <v>642</v>
      </c>
      <c r="V321" s="94"/>
      <c r="W321" s="94"/>
      <c r="X321" s="94"/>
      <c r="Y321" s="119">
        <v>46330</v>
      </c>
      <c r="Z321" s="94"/>
      <c r="AA321" s="120"/>
      <c r="AB321" s="120"/>
      <c r="AC321" s="120"/>
      <c r="AD321" s="120"/>
      <c r="AE321" s="120"/>
      <c r="AF321" s="120"/>
      <c r="AG321" s="94"/>
      <c r="AH321" s="120"/>
      <c r="AI321" s="94"/>
      <c r="AJ321" s="94" t="s">
        <v>798</v>
      </c>
      <c r="AK321" s="94" t="s">
        <v>711</v>
      </c>
      <c r="AL321" s="94">
        <v>160</v>
      </c>
      <c r="AM321" s="94" t="str">
        <f>TRIM(AJ321)&amp;TRIM(AL321)&amp;TRIM(AK321)</f>
      </c>
      <c r="AN321" s="116">
        <v>0</v>
      </c>
      <c r="AO321" s="116" t="inlineStr">
        <is>
          <t>#NA</t>
        </is>
      </c>
      <c r="AP321" s="116">
        <f>SUMIFS(M:M,AM:AM,AM321)+SUMIFS(O:O,AM:AM,AM321)</f>
      </c>
      <c r="AQ321" s="116">
        <f>SUMIFS(L:L,AM:AM,AM321)</f>
      </c>
      <c r="AR321" s="116">
        <f>AQ321-AP321</f>
      </c>
      <c r="AS321" s="94" t="str">
        <f>IF(AN321&gt;=AQ321,"ok","ck")</f>
      </c>
      <c r="AT321" s="116">
        <f>-P321</f>
      </c>
      <c r="AU321" s="115">
        <f>IF(SUMIFS(AT:AT,AM:AM,AM321)&gt;AO321,(SUMIFS(AT:AT,AM:AM,AM321)-AO321))</f>
      </c>
      <c r="AV321" s="116">
        <v>0</v>
      </c>
      <c r="AW321" s="121">
        <v>0</v>
      </c>
      <c r="AX321" s="115">
        <f>AN321-AP321</f>
      </c>
    </row>
    <row r="322" spans="1:50" ht="15" hidden="1" customHeight="1" x14ac:dyDescent="0.3">
      <c r="A322" s="94" t="s">
        <v>268</v>
      </c>
      <c r="B322" s="94"/>
      <c r="C322" s="94"/>
      <c r="D322" s="94"/>
      <c r="E322" s="94"/>
      <c r="F322" s="94"/>
      <c r="G322" s="112">
        <f>AU322</f>
      </c>
      <c r="H322" s="113"/>
      <c r="I322" s="94" t="s">
        <v>278</v>
      </c>
      <c r="J322" s="94" t="s">
        <v>317</v>
      </c>
      <c r="K322" s="114">
        <f>P322/3</f>
      </c>
      <c r="L322" s="115">
        <v>13.28</v>
      </c>
      <c r="M322" s="116"/>
      <c r="N322" s="117">
        <f>M322-L322</f>
      </c>
      <c r="O322" s="112"/>
      <c r="P322" s="118">
        <f>N322+O322</f>
      </c>
      <c r="Q322" s="94" t="s">
        <v>778</v>
      </c>
      <c r="R322" s="94" t="s">
        <v>63</v>
      </c>
      <c r="S322" s="119">
        <v>46335</v>
      </c>
      <c r="T322" s="119"/>
      <c r="U322" s="120">
        <v>46335</v>
      </c>
      <c r="V322" s="94"/>
      <c r="W322" s="94"/>
      <c r="X322" s="94"/>
      <c r="Y322" s="119">
        <v>46335</v>
      </c>
      <c r="Z322" s="94"/>
      <c r="AA322" s="120"/>
      <c r="AB322" s="120"/>
      <c r="AC322" s="120"/>
      <c r="AD322" s="120"/>
      <c r="AE322" s="120"/>
      <c r="AF322" s="120"/>
      <c r="AG322" s="94"/>
      <c r="AH322" s="120"/>
      <c r="AI322" s="94"/>
      <c r="AJ322" s="94" t="s">
        <v>778</v>
      </c>
      <c r="AK322" s="94" t="s">
        <v>317</v>
      </c>
      <c r="AL322" s="94">
        <v>120</v>
      </c>
      <c r="AM322" s="94" t="str">
        <f>TRIM(AJ322)&amp;TRIM(AL322)&amp;TRIM(AK322)</f>
      </c>
      <c r="AN322" s="116">
        <v>0</v>
      </c>
      <c r="AO322" s="116" t="inlineStr">
        <is>
          <t>#NA</t>
        </is>
      </c>
      <c r="AP322" s="116">
        <f>SUMIFS(M:M,AM:AM,AM322)+SUMIFS(O:O,AM:AM,AM322)</f>
      </c>
      <c r="AQ322" s="116">
        <f>SUMIFS(L:L,AM:AM,AM322)</f>
      </c>
      <c r="AR322" s="116">
        <f>AQ322-AP322</f>
      </c>
      <c r="AS322" s="94" t="str">
        <f>IF(AN322&gt;=AQ322,"ok","ck")</f>
      </c>
      <c r="AT322" s="116">
        <f>-P322</f>
      </c>
      <c r="AU322" s="115">
        <f>IF(SUMIFS(AT:AT,AM:AM,AM322)&gt;AO322,(SUMIFS(AT:AT,AM:AM,AM322)-AO322))</f>
      </c>
      <c r="AV322" s="116">
        <v>0</v>
      </c>
      <c r="AW322" s="121">
        <v>0</v>
      </c>
      <c r="AX322" s="115">
        <f>AN322-AP322</f>
      </c>
    </row>
    <row r="323" spans="1:50" ht="15" hidden="1" customHeight="1" x14ac:dyDescent="0.3">
      <c r="A323" s="94" t="s">
        <v>268</v>
      </c>
      <c r="B323" s="94"/>
      <c r="C323" s="94"/>
      <c r="D323" s="94"/>
      <c r="E323" s="94"/>
      <c r="F323" s="94"/>
      <c r="G323" s="112">
        <f>AU323</f>
      </c>
      <c r="H323" s="113"/>
      <c r="I323" s="94" t="s">
        <v>278</v>
      </c>
      <c r="J323" s="94" t="s">
        <v>317</v>
      </c>
      <c r="K323" s="114">
        <f>P323/3</f>
      </c>
      <c r="L323" s="115">
        <v>4.9720000000000004</v>
      </c>
      <c r="M323" s="116"/>
      <c r="N323" s="117">
        <f>M323-L323</f>
      </c>
      <c r="O323" s="112"/>
      <c r="P323" s="118">
        <f>N323+O323</f>
      </c>
      <c r="Q323" s="94" t="s">
        <v>778</v>
      </c>
      <c r="R323" s="94" t="s">
        <v>63</v>
      </c>
      <c r="S323" s="119">
        <v>46335</v>
      </c>
      <c r="T323" s="119"/>
      <c r="U323" s="120">
        <v>46335</v>
      </c>
      <c r="V323" s="94"/>
      <c r="W323" s="94"/>
      <c r="X323" s="94"/>
      <c r="Y323" s="119">
        <v>46337</v>
      </c>
      <c r="Z323" s="94"/>
      <c r="AA323" s="120"/>
      <c r="AB323" s="120"/>
      <c r="AC323" s="120"/>
      <c r="AD323" s="120"/>
      <c r="AE323" s="120"/>
      <c r="AF323" s="120"/>
      <c r="AG323" s="94"/>
      <c r="AH323" s="120"/>
      <c r="AI323" s="94"/>
      <c r="AJ323" s="94" t="s">
        <v>778</v>
      </c>
      <c r="AK323" s="94" t="s">
        <v>317</v>
      </c>
      <c r="AL323" s="94">
        <v>120</v>
      </c>
      <c r="AM323" s="94" t="str">
        <f>TRIM(AJ323)&amp;TRIM(AL323)&amp;TRIM(AK323)</f>
      </c>
      <c r="AN323" s="116">
        <v>0</v>
      </c>
      <c r="AO323" s="116" t="inlineStr">
        <is>
          <t>#NA</t>
        </is>
      </c>
      <c r="AP323" s="116">
        <f>SUMIFS(M:M,AM:AM,AM323)+SUMIFS(O:O,AM:AM,AM323)</f>
      </c>
      <c r="AQ323" s="116">
        <f>SUMIFS(L:L,AM:AM,AM323)</f>
      </c>
      <c r="AR323" s="116">
        <f>AQ323-AP323</f>
      </c>
      <c r="AS323" s="94" t="str">
        <f>IF(AN323&gt;=AQ323,"ok","ck")</f>
      </c>
      <c r="AT323" s="116">
        <f>-P323</f>
      </c>
      <c r="AU323" s="115">
        <f>IF(SUMIFS(AT:AT,AM:AM,AM323)&gt;AO323,(SUMIFS(AT:AT,AM:AM,AM323)-AO323))</f>
      </c>
      <c r="AV323" s="116">
        <v>0</v>
      </c>
      <c r="AW323" s="121">
        <v>0</v>
      </c>
      <c r="AX323" s="115">
        <f>AN323-AP323</f>
      </c>
    </row>
    <row r="324" spans="1:50" ht="15" hidden="1" customHeight="1" x14ac:dyDescent="0.3">
      <c r="A324" s="94" t="s">
        <v>268</v>
      </c>
      <c r="B324" s="94"/>
      <c r="C324" s="94"/>
      <c r="D324" s="94"/>
      <c r="E324" s="94"/>
      <c r="F324" s="94"/>
      <c r="G324" s="112">
        <f>AU324</f>
      </c>
      <c r="H324" s="113"/>
      <c r="I324" s="94" t="s">
        <v>278</v>
      </c>
      <c r="J324" s="94" t="s">
        <v>317</v>
      </c>
      <c r="K324" s="114">
        <f>P324/3</f>
      </c>
      <c r="L324" s="115">
        <v>0.1</v>
      </c>
      <c r="M324" s="116"/>
      <c r="N324" s="117">
        <f>M324-L324</f>
      </c>
      <c r="O324" s="112"/>
      <c r="P324" s="118">
        <f>N324+O324</f>
      </c>
      <c r="Q324" s="94" t="s">
        <v>778</v>
      </c>
      <c r="R324" s="94" t="s">
        <v>63</v>
      </c>
      <c r="S324" s="119">
        <v>46337</v>
      </c>
      <c r="T324" s="119"/>
      <c r="U324" s="120">
        <v>46337</v>
      </c>
      <c r="V324" s="94"/>
      <c r="W324" s="94"/>
      <c r="X324" s="94"/>
      <c r="Y324" s="119">
        <v>46337</v>
      </c>
      <c r="Z324" s="94"/>
      <c r="AA324" s="120"/>
      <c r="AB324" s="120"/>
      <c r="AC324" s="120"/>
      <c r="AD324" s="120"/>
      <c r="AE324" s="120"/>
      <c r="AF324" s="120"/>
      <c r="AG324" s="94"/>
      <c r="AH324" s="120"/>
      <c r="AI324" s="94"/>
      <c r="AJ324" s="94" t="s">
        <v>778</v>
      </c>
      <c r="AK324" s="94" t="s">
        <v>317</v>
      </c>
      <c r="AL324" s="94">
        <v>120</v>
      </c>
      <c r="AM324" s="94" t="str">
        <f>TRIM(AJ324)&amp;TRIM(AL324)&amp;TRIM(AK324)</f>
      </c>
      <c r="AN324" s="116">
        <v>0</v>
      </c>
      <c r="AO324" s="116" t="inlineStr">
        <is>
          <t>#NA</t>
        </is>
      </c>
      <c r="AP324" s="116">
        <f>SUMIFS(M:M,AM:AM,AM324)+SUMIFS(O:O,AM:AM,AM324)</f>
      </c>
      <c r="AQ324" s="116">
        <f>SUMIFS(L:L,AM:AM,AM324)</f>
      </c>
      <c r="AR324" s="116">
        <f>AQ324-AP324</f>
      </c>
      <c r="AS324" s="94" t="str">
        <f>IF(AN324&gt;=AQ324,"ok","ck")</f>
      </c>
      <c r="AT324" s="116">
        <f>-P324</f>
      </c>
      <c r="AU324" s="115">
        <f>IF(SUMIFS(AT:AT,AM:AM,AM324)&gt;AO324,(SUMIFS(AT:AT,AM:AM,AM324)-AO324))</f>
      </c>
      <c r="AV324" s="116">
        <v>0</v>
      </c>
      <c r="AW324" s="121">
        <v>0</v>
      </c>
      <c r="AX324" s="115">
        <f>AN324-AP324</f>
      </c>
    </row>
    <row r="325" spans="1:50" ht="15" hidden="1" customHeight="1" x14ac:dyDescent="0.3">
      <c r="A325" s="94" t="s">
        <v>268</v>
      </c>
      <c r="B325" s="94"/>
      <c r="C325" s="94"/>
      <c r="D325" s="94"/>
      <c r="E325" s="94"/>
      <c r="F325" s="94"/>
      <c r="G325" s="112">
        <f>AU325</f>
      </c>
      <c r="H325" s="113"/>
      <c r="I325" s="94" t="s">
        <v>278</v>
      </c>
      <c r="J325" s="94" t="s">
        <v>317</v>
      </c>
      <c r="K325" s="114">
        <f>P325/3</f>
      </c>
      <c r="L325" s="115">
        <v>24.42</v>
      </c>
      <c r="M325" s="116"/>
      <c r="N325" s="117">
        <f>M325-L325</f>
      </c>
      <c r="O325" s="112"/>
      <c r="P325" s="118">
        <f>N325+O325</f>
      </c>
      <c r="Q325" s="94" t="s">
        <v>778</v>
      </c>
      <c r="R325" s="94" t="s">
        <v>63</v>
      </c>
      <c r="S325" s="119">
        <v>46335</v>
      </c>
      <c r="T325" s="119"/>
      <c r="U325" s="120">
        <v>46335</v>
      </c>
      <c r="V325" s="94"/>
      <c r="W325" s="94"/>
      <c r="X325" s="94"/>
      <c r="Y325" s="119">
        <v>46326</v>
      </c>
      <c r="Z325" s="94"/>
      <c r="AA325" s="120"/>
      <c r="AB325" s="120"/>
      <c r="AC325" s="120"/>
      <c r="AD325" s="120"/>
      <c r="AE325" s="120"/>
      <c r="AF325" s="120"/>
      <c r="AG325" s="94"/>
      <c r="AH325" s="120"/>
      <c r="AI325" s="94"/>
      <c r="AJ325" s="94" t="s">
        <v>778</v>
      </c>
      <c r="AK325" s="94" t="s">
        <v>317</v>
      </c>
      <c r="AL325" s="94">
        <v>120</v>
      </c>
      <c r="AM325" s="94" t="str">
        <f>TRIM(AJ325)&amp;TRIM(AL325)&amp;TRIM(AK325)</f>
      </c>
      <c r="AN325" s="116">
        <v>0</v>
      </c>
      <c r="AO325" s="116" t="inlineStr">
        <is>
          <t>#NA</t>
        </is>
      </c>
      <c r="AP325" s="116">
        <f>SUMIFS(M:M,AM:AM,AM325)+SUMIFS(O:O,AM:AM,AM325)</f>
      </c>
      <c r="AQ325" s="116">
        <f>SUMIFS(L:L,AM:AM,AM325)</f>
      </c>
      <c r="AR325" s="116">
        <f>AQ325-AP325</f>
      </c>
      <c r="AS325" s="94" t="str">
        <f>IF(AN325&gt;=AQ325,"ok","ck")</f>
      </c>
      <c r="AT325" s="116">
        <f>-P325</f>
      </c>
      <c r="AU325" s="115">
        <f>IF(SUMIFS(AT:AT,AM:AM,AM325)&gt;AO325,(SUMIFS(AT:AT,AM:AM,AM325)-AO325))</f>
      </c>
      <c r="AV325" s="116">
        <v>0</v>
      </c>
      <c r="AW325" s="121">
        <v>0</v>
      </c>
      <c r="AX325" s="115">
        <f>AN325-AP325</f>
      </c>
    </row>
    <row r="326" spans="1:50" ht="15" hidden="1" customHeight="1" x14ac:dyDescent="0.3">
      <c r="A326" s="94" t="s">
        <v>268</v>
      </c>
      <c r="B326" s="94"/>
      <c r="C326" s="94"/>
      <c r="D326" s="94"/>
      <c r="E326" s="94"/>
      <c r="F326" s="94"/>
      <c r="G326" s="112">
        <f>AU326</f>
      </c>
      <c r="H326" s="113"/>
      <c r="I326" s="94" t="s">
        <v>278</v>
      </c>
      <c r="J326" s="94" t="s">
        <v>317</v>
      </c>
      <c r="K326" s="114">
        <f>P326/3</f>
      </c>
      <c r="L326" s="115">
        <v>6.4379999999999997</v>
      </c>
      <c r="M326" s="116"/>
      <c r="N326" s="117">
        <f>M326-L326</f>
      </c>
      <c r="O326" s="112"/>
      <c r="P326" s="118">
        <f>N326+O326</f>
      </c>
      <c r="Q326" s="94" t="s">
        <v>778</v>
      </c>
      <c r="R326" s="94" t="s">
        <v>63</v>
      </c>
      <c r="S326" s="119">
        <v>46335</v>
      </c>
      <c r="T326" s="119"/>
      <c r="U326" s="120">
        <v>46335</v>
      </c>
      <c r="V326" s="94"/>
      <c r="W326" s="94"/>
      <c r="X326" s="94"/>
      <c r="Y326" s="119">
        <v>46329</v>
      </c>
      <c r="Z326" s="94"/>
      <c r="AA326" s="120"/>
      <c r="AB326" s="120"/>
      <c r="AC326" s="120"/>
      <c r="AD326" s="120"/>
      <c r="AE326" s="120"/>
      <c r="AF326" s="120"/>
      <c r="AG326" s="94"/>
      <c r="AH326" s="120"/>
      <c r="AI326" s="94"/>
      <c r="AJ326" s="94" t="s">
        <v>778</v>
      </c>
      <c r="AK326" s="94" t="s">
        <v>317</v>
      </c>
      <c r="AL326" s="94">
        <v>120</v>
      </c>
      <c r="AM326" s="94" t="str">
        <f>TRIM(AJ326)&amp;TRIM(AL326)&amp;TRIM(AK326)</f>
      </c>
      <c r="AN326" s="116">
        <v>0</v>
      </c>
      <c r="AO326" s="116" t="inlineStr">
        <is>
          <t>#NA</t>
        </is>
      </c>
      <c r="AP326" s="116">
        <f>SUMIFS(M:M,AM:AM,AM326)+SUMIFS(O:O,AM:AM,AM326)</f>
      </c>
      <c r="AQ326" s="116">
        <f>SUMIFS(L:L,AM:AM,AM326)</f>
      </c>
      <c r="AR326" s="116">
        <f>AQ326-AP326</f>
      </c>
      <c r="AS326" s="94" t="str">
        <f>IF(AN326&gt;=AQ326,"ok","ck")</f>
      </c>
      <c r="AT326" s="116">
        <f>-P326</f>
      </c>
      <c r="AU326" s="115">
        <f>IF(SUMIFS(AT:AT,AM:AM,AM326)&gt;AO326,(SUMIFS(AT:AT,AM:AM,AM326)-AO326))</f>
      </c>
      <c r="AV326" s="116">
        <v>0</v>
      </c>
      <c r="AW326" s="121">
        <v>0</v>
      </c>
      <c r="AX326" s="115">
        <f>AN326-AP326</f>
      </c>
    </row>
    <row r="327" spans="1:50" ht="15" hidden="1" customHeight="1" x14ac:dyDescent="0.3">
      <c r="A327" s="94" t="s">
        <v>60</v>
      </c>
      <c r="B327" s="94"/>
      <c r="C327" s="94"/>
      <c r="D327" s="94"/>
      <c r="E327" s="94"/>
      <c r="F327" s="94"/>
      <c r="G327" s="112">
        <f>AU327</f>
      </c>
      <c r="H327" s="113"/>
      <c r="I327" s="94" t="s">
        <v>65</v>
      </c>
      <c r="J327" s="94" t="s">
        <v>66</v>
      </c>
      <c r="K327" s="114">
        <f>P327/3</f>
      </c>
      <c r="L327" s="115">
        <v>222.53800000000001</v>
      </c>
      <c r="M327" s="116"/>
      <c r="N327" s="117">
        <f>M327-L327</f>
      </c>
      <c r="O327" s="112"/>
      <c r="P327" s="118">
        <f>N327+O327</f>
      </c>
      <c r="Q327" s="94" t="s">
        <v>80</v>
      </c>
      <c r="R327" s="94" t="s">
        <v>63</v>
      </c>
      <c r="S327" s="119">
        <v>46333</v>
      </c>
      <c r="T327" s="119"/>
      <c r="U327" s="120" t="s">
        <v>643</v>
      </c>
      <c r="V327" s="94"/>
      <c r="W327" s="94"/>
      <c r="X327" s="94"/>
      <c r="Y327" s="119">
        <v>46320</v>
      </c>
      <c r="Z327" s="94"/>
      <c r="AA327" s="120"/>
      <c r="AB327" s="120"/>
      <c r="AC327" s="120"/>
      <c r="AD327" s="120"/>
      <c r="AE327" s="120"/>
      <c r="AF327" s="120"/>
      <c r="AG327" s="94"/>
      <c r="AH327" s="120"/>
      <c r="AI327" s="94"/>
      <c r="AJ327" s="94" t="s">
        <v>80</v>
      </c>
      <c r="AK327" s="94" t="s">
        <v>66</v>
      </c>
      <c r="AL327" s="94">
        <v>110</v>
      </c>
      <c r="AM327" s="94" t="str">
        <f>TRIM(AJ327)&amp;TRIM(AL327)&amp;TRIM(AK327)</f>
      </c>
      <c r="AN327" s="116">
        <v>603.03</v>
      </c>
      <c r="AO327" s="116">
        <v>1172.97</v>
      </c>
      <c r="AP327" s="116">
        <f>SUMIFS(M:M,AM:AM,AM327)+SUMIFS(O:O,AM:AM,AM327)</f>
      </c>
      <c r="AQ327" s="116">
        <f>SUMIFS(L:L,AM:AM,AM327)</f>
      </c>
      <c r="AR327" s="116">
        <f>AQ327-AP327</f>
      </c>
      <c r="AS327" s="94" t="str">
        <f>IF(AN327&gt;=AQ327,"ok","ck")</f>
      </c>
      <c r="AT327" s="116">
        <f>-P327</f>
      </c>
      <c r="AU327" s="115">
        <f>IF(SUMIFS(AT:AT,AM:AM,AM327)&gt;AO327,(SUMIFS(AT:AT,AM:AM,AM327)-AO327))</f>
      </c>
      <c r="AV327" s="116">
        <v>603.03</v>
      </c>
      <c r="AW327" s="121">
        <v>0.34</v>
      </c>
      <c r="AX327" s="115">
        <f>AN327-AP327</f>
      </c>
    </row>
    <row r="328" spans="1:50" ht="15" hidden="1" customHeight="1" x14ac:dyDescent="0.3">
      <c r="A328" s="94" t="s">
        <v>60</v>
      </c>
      <c r="B328" s="94"/>
      <c r="C328" s="94"/>
      <c r="D328" s="94"/>
      <c r="E328" s="94"/>
      <c r="F328" s="94"/>
      <c r="G328" s="112">
        <f>AU328</f>
      </c>
      <c r="H328" s="113"/>
      <c r="I328" s="94" t="s">
        <v>65</v>
      </c>
      <c r="J328" s="94" t="s">
        <v>66</v>
      </c>
      <c r="K328" s="114">
        <f>P328/3</f>
      </c>
      <c r="L328" s="115">
        <v>222.53800000000001</v>
      </c>
      <c r="M328" s="116"/>
      <c r="N328" s="117">
        <f>M328-L328</f>
      </c>
      <c r="O328" s="112"/>
      <c r="P328" s="118">
        <f>N328+O328</f>
      </c>
      <c r="Q328" s="94" t="s">
        <v>80</v>
      </c>
      <c r="R328" s="94" t="s">
        <v>63</v>
      </c>
      <c r="S328" s="119">
        <v>46334</v>
      </c>
      <c r="T328" s="119"/>
      <c r="U328" s="120" t="s">
        <v>643</v>
      </c>
      <c r="V328" s="94"/>
      <c r="W328" s="94"/>
      <c r="X328" s="94"/>
      <c r="Y328" s="119">
        <v>46320</v>
      </c>
      <c r="Z328" s="94"/>
      <c r="AA328" s="120"/>
      <c r="AB328" s="120"/>
      <c r="AC328" s="120"/>
      <c r="AD328" s="120"/>
      <c r="AE328" s="120"/>
      <c r="AF328" s="120"/>
      <c r="AG328" s="94"/>
      <c r="AH328" s="120"/>
      <c r="AI328" s="94"/>
      <c r="AJ328" s="94" t="s">
        <v>80</v>
      </c>
      <c r="AK328" s="94" t="s">
        <v>66</v>
      </c>
      <c r="AL328" s="94">
        <v>110</v>
      </c>
      <c r="AM328" s="94" t="str">
        <f>TRIM(AJ328)&amp;TRIM(AL328)&amp;TRIM(AK328)</f>
      </c>
      <c r="AN328" s="116">
        <v>603.03</v>
      </c>
      <c r="AO328" s="116">
        <v>1172.97</v>
      </c>
      <c r="AP328" s="116">
        <f>SUMIFS(M:M,AM:AM,AM328)+SUMIFS(O:O,AM:AM,AM328)</f>
      </c>
      <c r="AQ328" s="116">
        <f>SUMIFS(L:L,AM:AM,AM328)</f>
      </c>
      <c r="AR328" s="116">
        <f>AQ328-AP328</f>
      </c>
      <c r="AS328" s="94" t="str">
        <f>IF(AN328&gt;=AQ328,"ok","ck")</f>
      </c>
      <c r="AT328" s="116">
        <f>-P328</f>
      </c>
      <c r="AU328" s="115">
        <f>IF(SUMIFS(AT:AT,AM:AM,AM328)&gt;AO328,(SUMIFS(AT:AT,AM:AM,AM328)-AO328))</f>
      </c>
      <c r="AV328" s="116">
        <v>603.03</v>
      </c>
      <c r="AW328" s="121">
        <v>0.34</v>
      </c>
      <c r="AX328" s="115">
        <f>AN328-AP328</f>
      </c>
    </row>
    <row r="329" spans="1:50" ht="15" hidden="1" customHeight="1" x14ac:dyDescent="0.3">
      <c r="A329" s="94" t="s">
        <v>60</v>
      </c>
      <c r="B329" s="94"/>
      <c r="C329" s="94"/>
      <c r="D329" s="94"/>
      <c r="E329" s="94"/>
      <c r="F329" s="94"/>
      <c r="G329" s="112">
        <f>AU329</f>
      </c>
      <c r="H329" s="113"/>
      <c r="I329" s="94" t="s">
        <v>65</v>
      </c>
      <c r="J329" s="94" t="s">
        <v>66</v>
      </c>
      <c r="K329" s="114">
        <f>P329/3</f>
      </c>
      <c r="L329" s="115">
        <v>222.53800000000001</v>
      </c>
      <c r="M329" s="116"/>
      <c r="N329" s="117">
        <f>M329-L329</f>
      </c>
      <c r="O329" s="112"/>
      <c r="P329" s="118">
        <f>N329+O329</f>
      </c>
      <c r="Q329" s="94" t="s">
        <v>80</v>
      </c>
      <c r="R329" s="94" t="s">
        <v>63</v>
      </c>
      <c r="S329" s="119">
        <v>46335</v>
      </c>
      <c r="T329" s="119"/>
      <c r="U329" s="120" t="s">
        <v>643</v>
      </c>
      <c r="V329" s="94"/>
      <c r="W329" s="94"/>
      <c r="X329" s="94"/>
      <c r="Y329" s="119">
        <v>46320</v>
      </c>
      <c r="Z329" s="94"/>
      <c r="AA329" s="120"/>
      <c r="AB329" s="120"/>
      <c r="AC329" s="120"/>
      <c r="AD329" s="120"/>
      <c r="AE329" s="120"/>
      <c r="AF329" s="120"/>
      <c r="AG329" s="94"/>
      <c r="AH329" s="120"/>
      <c r="AI329" s="94"/>
      <c r="AJ329" s="94" t="s">
        <v>80</v>
      </c>
      <c r="AK329" s="94" t="s">
        <v>66</v>
      </c>
      <c r="AL329" s="94">
        <v>110</v>
      </c>
      <c r="AM329" s="94" t="str">
        <f>TRIM(AJ329)&amp;TRIM(AL329)&amp;TRIM(AK329)</f>
      </c>
      <c r="AN329" s="116">
        <v>603.03</v>
      </c>
      <c r="AO329" s="116">
        <v>1172.97</v>
      </c>
      <c r="AP329" s="116">
        <f>SUMIFS(M:M,AM:AM,AM329)+SUMIFS(O:O,AM:AM,AM329)</f>
      </c>
      <c r="AQ329" s="116">
        <f>SUMIFS(L:L,AM:AM,AM329)</f>
      </c>
      <c r="AR329" s="116">
        <f>AQ329-AP329</f>
      </c>
      <c r="AS329" s="94" t="str">
        <f>IF(AN329&gt;=AQ329,"ok","ck")</f>
      </c>
      <c r="AT329" s="116">
        <f>-P329</f>
      </c>
      <c r="AU329" s="115">
        <f>IF(SUMIFS(AT:AT,AM:AM,AM329)&gt;AO329,(SUMIFS(AT:AT,AM:AM,AM329)-AO329))</f>
      </c>
      <c r="AV329" s="116">
        <v>603.03</v>
      </c>
      <c r="AW329" s="121">
        <v>0.34</v>
      </c>
      <c r="AX329" s="115">
        <f>AN329-AP329</f>
      </c>
    </row>
    <row r="330" spans="1:50" ht="15" hidden="1" customHeight="1" x14ac:dyDescent="0.3">
      <c r="A330" s="94" t="s">
        <v>268</v>
      </c>
      <c r="B330" s="94"/>
      <c r="C330" s="94"/>
      <c r="D330" s="94"/>
      <c r="E330" s="94"/>
      <c r="F330" s="94"/>
      <c r="G330" s="112">
        <f>AU330</f>
      </c>
      <c r="H330" s="113"/>
      <c r="I330" s="94" t="s">
        <v>278</v>
      </c>
      <c r="J330" s="94" t="s">
        <v>509</v>
      </c>
      <c r="K330" s="114">
        <f>P330/3</f>
      </c>
      <c r="L330" s="115">
        <v>0.13400000000000001</v>
      </c>
      <c r="M330" s="116"/>
      <c r="N330" s="117">
        <f>M330-L330</f>
      </c>
      <c r="O330" s="112"/>
      <c r="P330" s="118">
        <f>N330+O330</f>
      </c>
      <c r="Q330" s="94" t="s">
        <v>778</v>
      </c>
      <c r="R330" s="94" t="s">
        <v>63</v>
      </c>
      <c r="S330" s="119">
        <v>46341</v>
      </c>
      <c r="T330" s="119"/>
      <c r="U330" s="120">
        <v>46341</v>
      </c>
      <c r="V330" s="94"/>
      <c r="W330" s="94"/>
      <c r="X330" s="94"/>
      <c r="Y330" s="119">
        <v>46341</v>
      </c>
      <c r="Z330" s="94"/>
      <c r="AA330" s="120"/>
      <c r="AB330" s="120"/>
      <c r="AC330" s="120"/>
      <c r="AD330" s="120"/>
      <c r="AE330" s="120"/>
      <c r="AF330" s="120"/>
      <c r="AG330" s="94"/>
      <c r="AH330" s="120"/>
      <c r="AI330" s="94"/>
      <c r="AJ330" s="94" t="s">
        <v>778</v>
      </c>
      <c r="AK330" s="94" t="s">
        <v>703</v>
      </c>
      <c r="AL330" s="94">
        <v>120</v>
      </c>
      <c r="AM330" s="94" t="str">
        <f>TRIM(AJ330)&amp;TRIM(AL330)&amp;TRIM(AK330)</f>
      </c>
      <c r="AN330" s="116">
        <v>0</v>
      </c>
      <c r="AO330" s="116" t="inlineStr">
        <is>
          <t>#NA</t>
        </is>
      </c>
      <c r="AP330" s="116">
        <f>SUMIFS(M:M,AM:AM,AM330)+SUMIFS(O:O,AM:AM,AM330)</f>
      </c>
      <c r="AQ330" s="116">
        <f>SUMIFS(L:L,AM:AM,AM330)</f>
      </c>
      <c r="AR330" s="116">
        <f>AQ330-AP330</f>
      </c>
      <c r="AS330" s="94" t="str">
        <f>IF(AN330&gt;=AQ330,"ok","ck")</f>
      </c>
      <c r="AT330" s="116">
        <f>-P330</f>
      </c>
      <c r="AU330" s="115">
        <f>IF(SUMIFS(AT:AT,AM:AM,AM330)&gt;AO330,(SUMIFS(AT:AT,AM:AM,AM330)-AO330))</f>
      </c>
      <c r="AV330" s="116">
        <v>0</v>
      </c>
      <c r="AW330" s="121">
        <v>0</v>
      </c>
      <c r="AX330" s="115">
        <f>AN330-AP330</f>
      </c>
    </row>
    <row r="331" spans="1:50" ht="15" hidden="1" customHeight="1" x14ac:dyDescent="0.3">
      <c r="A331" s="94" t="s">
        <v>268</v>
      </c>
      <c r="B331" s="94"/>
      <c r="C331" s="94"/>
      <c r="D331" s="94"/>
      <c r="E331" s="94"/>
      <c r="F331" s="94"/>
      <c r="G331" s="112">
        <f>AU331</f>
      </c>
      <c r="H331" s="113"/>
      <c r="I331" s="94" t="s">
        <v>278</v>
      </c>
      <c r="J331" s="94" t="s">
        <v>333</v>
      </c>
      <c r="K331" s="114">
        <f>P331/3</f>
      </c>
      <c r="L331" s="115">
        <v>0.1</v>
      </c>
      <c r="M331" s="116"/>
      <c r="N331" s="117">
        <f>M331-L331</f>
      </c>
      <c r="O331" s="112"/>
      <c r="P331" s="118">
        <f>N331+O331</f>
      </c>
      <c r="Q331" s="94" t="s">
        <v>778</v>
      </c>
      <c r="R331" s="94" t="s">
        <v>63</v>
      </c>
      <c r="S331" s="119">
        <v>46335</v>
      </c>
      <c r="T331" s="119"/>
      <c r="U331" s="120">
        <v>46335</v>
      </c>
      <c r="V331" s="94"/>
      <c r="W331" s="94"/>
      <c r="X331" s="94"/>
      <c r="Y331" s="119">
        <v>46335</v>
      </c>
      <c r="Z331" s="94"/>
      <c r="AA331" s="120"/>
      <c r="AB331" s="120"/>
      <c r="AC331" s="120"/>
      <c r="AD331" s="120"/>
      <c r="AE331" s="120"/>
      <c r="AF331" s="120"/>
      <c r="AG331" s="94"/>
      <c r="AH331" s="120"/>
      <c r="AI331" s="94"/>
      <c r="AJ331" s="94" t="s">
        <v>778</v>
      </c>
      <c r="AK331" s="94" t="s">
        <v>338</v>
      </c>
      <c r="AL331" s="94">
        <v>120</v>
      </c>
      <c r="AM331" s="94" t="str">
        <f>TRIM(AJ331)&amp;TRIM(AL331)&amp;TRIM(AK331)</f>
      </c>
      <c r="AN331" s="116">
        <v>0</v>
      </c>
      <c r="AO331" s="116" t="inlineStr">
        <is>
          <t>#NA</t>
        </is>
      </c>
      <c r="AP331" s="116">
        <f>SUMIFS(M:M,AM:AM,AM331)+SUMIFS(O:O,AM:AM,AM331)</f>
      </c>
      <c r="AQ331" s="116">
        <f>SUMIFS(L:L,AM:AM,AM331)</f>
      </c>
      <c r="AR331" s="116">
        <f>AQ331-AP331</f>
      </c>
      <c r="AS331" s="94" t="str">
        <f>IF(AN331&gt;=AQ331,"ok","ck")</f>
      </c>
      <c r="AT331" s="116">
        <f>-P331</f>
      </c>
      <c r="AU331" s="115">
        <f>IF(SUMIFS(AT:AT,AM:AM,AM331)&gt;AO331,(SUMIFS(AT:AT,AM:AM,AM331)-AO331))</f>
      </c>
      <c r="AV331" s="116">
        <v>0</v>
      </c>
      <c r="AW331" s="121">
        <v>0</v>
      </c>
      <c r="AX331" s="115">
        <f>AN331-AP331</f>
      </c>
    </row>
    <row r="332" spans="1:50" ht="15" hidden="1" customHeight="1" x14ac:dyDescent="0.3">
      <c r="A332" s="94" t="s">
        <v>268</v>
      </c>
      <c r="B332" s="94"/>
      <c r="C332" s="94"/>
      <c r="D332" s="94"/>
      <c r="E332" s="94"/>
      <c r="F332" s="94"/>
      <c r="G332" s="112">
        <f>AU332</f>
      </c>
      <c r="H332" s="113"/>
      <c r="I332" s="94" t="s">
        <v>278</v>
      </c>
      <c r="J332" s="94" t="s">
        <v>333</v>
      </c>
      <c r="K332" s="114">
        <f>P332/3</f>
      </c>
      <c r="L332" s="115">
        <v>104.92100000000001</v>
      </c>
      <c r="M332" s="116"/>
      <c r="N332" s="117">
        <f>M332-L332</f>
      </c>
      <c r="O332" s="112"/>
      <c r="P332" s="118">
        <f>N332+O332</f>
      </c>
      <c r="Q332" s="94" t="s">
        <v>778</v>
      </c>
      <c r="R332" s="94" t="s">
        <v>63</v>
      </c>
      <c r="S332" s="119">
        <v>46330</v>
      </c>
      <c r="T332" s="119"/>
      <c r="U332" s="120" t="s">
        <v>641</v>
      </c>
      <c r="V332" s="94"/>
      <c r="W332" s="94"/>
      <c r="X332" s="94"/>
      <c r="Y332" s="119">
        <v>46334</v>
      </c>
      <c r="Z332" s="94"/>
      <c r="AA332" s="120"/>
      <c r="AB332" s="120"/>
      <c r="AC332" s="120"/>
      <c r="AD332" s="120"/>
      <c r="AE332" s="120"/>
      <c r="AF332" s="120"/>
      <c r="AG332" s="94"/>
      <c r="AH332" s="120"/>
      <c r="AI332" s="94"/>
      <c r="AJ332" s="94" t="s">
        <v>778</v>
      </c>
      <c r="AK332" s="94" t="s">
        <v>338</v>
      </c>
      <c r="AL332" s="94">
        <v>120</v>
      </c>
      <c r="AM332" s="94" t="str">
        <f>TRIM(AJ332)&amp;TRIM(AL332)&amp;TRIM(AK332)</f>
      </c>
      <c r="AN332" s="116">
        <v>0</v>
      </c>
      <c r="AO332" s="116" t="inlineStr">
        <is>
          <t>#NA</t>
        </is>
      </c>
      <c r="AP332" s="116">
        <f>SUMIFS(M:M,AM:AM,AM332)+SUMIFS(O:O,AM:AM,AM332)</f>
      </c>
      <c r="AQ332" s="116">
        <f>SUMIFS(L:L,AM:AM,AM332)</f>
      </c>
      <c r="AR332" s="116">
        <f>AQ332-AP332</f>
      </c>
      <c r="AS332" s="94" t="str">
        <f>IF(AN332&gt;=AQ332,"ok","ck")</f>
      </c>
      <c r="AT332" s="116">
        <f>-P332</f>
      </c>
      <c r="AU332" s="115">
        <f>IF(SUMIFS(AT:AT,AM:AM,AM332)&gt;AO332,(SUMIFS(AT:AT,AM:AM,AM332)-AO332))</f>
      </c>
      <c r="AV332" s="116">
        <v>0</v>
      </c>
      <c r="AW332" s="121">
        <v>0</v>
      </c>
      <c r="AX332" s="115">
        <f>AN332-AP332</f>
      </c>
    </row>
    <row r="333" spans="1:50" ht="15" hidden="1" customHeight="1" x14ac:dyDescent="0.3">
      <c r="A333" s="94" t="s">
        <v>268</v>
      </c>
      <c r="B333" s="94"/>
      <c r="C333" s="94"/>
      <c r="D333" s="94"/>
      <c r="E333" s="94"/>
      <c r="F333" s="94"/>
      <c r="G333" s="112">
        <f>AU333</f>
      </c>
      <c r="H333" s="113"/>
      <c r="I333" s="94" t="s">
        <v>278</v>
      </c>
      <c r="J333" s="94" t="s">
        <v>293</v>
      </c>
      <c r="K333" s="114">
        <f>P333/3</f>
      </c>
      <c r="L333" s="115">
        <v>46.8</v>
      </c>
      <c r="M333" s="116"/>
      <c r="N333" s="117">
        <f>M333-L333</f>
      </c>
      <c r="O333" s="112"/>
      <c r="P333" s="118">
        <f>N333+O333</f>
      </c>
      <c r="Q333" s="94" t="s">
        <v>305</v>
      </c>
      <c r="R333" s="94" t="s">
        <v>63</v>
      </c>
      <c r="S333" s="119">
        <v>46328</v>
      </c>
      <c r="T333" s="119"/>
      <c r="U333" s="120">
        <v>46328</v>
      </c>
      <c r="V333" s="94"/>
      <c r="W333" s="94"/>
      <c r="X333" s="94"/>
      <c r="Y333" s="119">
        <v>46337</v>
      </c>
      <c r="Z333" s="94"/>
      <c r="AA333" s="120"/>
      <c r="AB333" s="120"/>
      <c r="AC333" s="120"/>
      <c r="AD333" s="120"/>
      <c r="AE333" s="120"/>
      <c r="AF333" s="120"/>
      <c r="AG333" s="94"/>
      <c r="AH333" s="120"/>
      <c r="AI333" s="94"/>
      <c r="AJ333" s="94" t="s">
        <v>305</v>
      </c>
      <c r="AK333" s="94" t="s">
        <v>294</v>
      </c>
      <c r="AL333" s="94">
        <v>120</v>
      </c>
      <c r="AM333" s="94" t="str">
        <f>TRIM(AJ333)&amp;TRIM(AL333)&amp;TRIM(AK333)</f>
      </c>
      <c r="AN333" s="116">
        <v>0</v>
      </c>
      <c r="AO333" s="116" t="inlineStr">
        <is>
          <t>#NA</t>
        </is>
      </c>
      <c r="AP333" s="116">
        <f>SUMIFS(M:M,AM:AM,AM333)+SUMIFS(O:O,AM:AM,AM333)</f>
      </c>
      <c r="AQ333" s="116">
        <f>SUMIFS(L:L,AM:AM,AM333)</f>
      </c>
      <c r="AR333" s="116">
        <f>AQ333-AP333</f>
      </c>
      <c r="AS333" s="94" t="str">
        <f>IF(AN333&gt;=AQ333,"ok","ck")</f>
      </c>
      <c r="AT333" s="116">
        <f>-P333</f>
      </c>
      <c r="AU333" s="115">
        <f>IF(SUMIFS(AT:AT,AM:AM,AM333)&gt;AO333,(SUMIFS(AT:AT,AM:AM,AM333)-AO333))</f>
      </c>
      <c r="AV333" s="116">
        <v>0</v>
      </c>
      <c r="AW333" s="121">
        <v>0</v>
      </c>
      <c r="AX333" s="115">
        <f>AN333-AP333</f>
      </c>
    </row>
    <row r="334" spans="1:50" ht="15" hidden="1" customHeight="1" x14ac:dyDescent="0.3">
      <c r="A334" s="94" t="s">
        <v>268</v>
      </c>
      <c r="B334" s="94"/>
      <c r="C334" s="94"/>
      <c r="D334" s="94"/>
      <c r="E334" s="94"/>
      <c r="F334" s="94"/>
      <c r="G334" s="112">
        <f>AU334</f>
      </c>
      <c r="H334" s="113"/>
      <c r="I334" s="94" t="s">
        <v>278</v>
      </c>
      <c r="J334" s="94" t="s">
        <v>293</v>
      </c>
      <c r="K334" s="114">
        <f>P334/3</f>
      </c>
      <c r="L334" s="115">
        <v>0.28100000000000003</v>
      </c>
      <c r="M334" s="116"/>
      <c r="N334" s="117">
        <f>M334-L334</f>
      </c>
      <c r="O334" s="112"/>
      <c r="P334" s="118">
        <f>N334+O334</f>
      </c>
      <c r="Q334" s="94" t="s">
        <v>305</v>
      </c>
      <c r="R334" s="94" t="s">
        <v>63</v>
      </c>
      <c r="S334" s="119">
        <v>46329</v>
      </c>
      <c r="T334" s="119"/>
      <c r="U334" s="120">
        <v>46329</v>
      </c>
      <c r="V334" s="94"/>
      <c r="W334" s="94"/>
      <c r="X334" s="94"/>
      <c r="Y334" s="119">
        <v>46329</v>
      </c>
      <c r="Z334" s="94"/>
      <c r="AA334" s="120"/>
      <c r="AB334" s="120"/>
      <c r="AC334" s="120"/>
      <c r="AD334" s="120"/>
      <c r="AE334" s="120"/>
      <c r="AF334" s="120"/>
      <c r="AG334" s="94"/>
      <c r="AH334" s="120"/>
      <c r="AI334" s="94"/>
      <c r="AJ334" s="94" t="s">
        <v>305</v>
      </c>
      <c r="AK334" s="94" t="s">
        <v>294</v>
      </c>
      <c r="AL334" s="94">
        <v>120</v>
      </c>
      <c r="AM334" s="94" t="str">
        <f>TRIM(AJ334)&amp;TRIM(AL334)&amp;TRIM(AK334)</f>
      </c>
      <c r="AN334" s="116">
        <v>0</v>
      </c>
      <c r="AO334" s="116" t="inlineStr">
        <is>
          <t>#NA</t>
        </is>
      </c>
      <c r="AP334" s="116">
        <f>SUMIFS(M:M,AM:AM,AM334)+SUMIFS(O:O,AM:AM,AM334)</f>
      </c>
      <c r="AQ334" s="116">
        <f>SUMIFS(L:L,AM:AM,AM334)</f>
      </c>
      <c r="AR334" s="116">
        <f>AQ334-AP334</f>
      </c>
      <c r="AS334" s="94" t="str">
        <f>IF(AN334&gt;=AQ334,"ok","ck")</f>
      </c>
      <c r="AT334" s="116">
        <f>-P334</f>
      </c>
      <c r="AU334" s="115">
        <f>IF(SUMIFS(AT:AT,AM:AM,AM334)&gt;AO334,(SUMIFS(AT:AT,AM:AM,AM334)-AO334))</f>
      </c>
      <c r="AV334" s="116">
        <v>0</v>
      </c>
      <c r="AW334" s="121">
        <v>0</v>
      </c>
      <c r="AX334" s="115">
        <f>AN334-AP334</f>
      </c>
    </row>
    <row r="335" spans="1:50" ht="15" hidden="1" customHeight="1" x14ac:dyDescent="0.3">
      <c r="A335" s="94" t="s">
        <v>268</v>
      </c>
      <c r="B335" s="94"/>
      <c r="C335" s="94"/>
      <c r="D335" s="94"/>
      <c r="E335" s="94"/>
      <c r="F335" s="94"/>
      <c r="G335" s="112">
        <f>AU335</f>
      </c>
      <c r="H335" s="113"/>
      <c r="I335" s="94" t="s">
        <v>278</v>
      </c>
      <c r="J335" s="94" t="s">
        <v>293</v>
      </c>
      <c r="K335" s="114">
        <f>P335/3</f>
      </c>
      <c r="L335" s="115">
        <v>41.253999999999998</v>
      </c>
      <c r="M335" s="116"/>
      <c r="N335" s="117">
        <f>M335-L335</f>
      </c>
      <c r="O335" s="112"/>
      <c r="P335" s="118">
        <f>N335+O335</f>
      </c>
      <c r="Q335" s="94" t="s">
        <v>305</v>
      </c>
      <c r="R335" s="94" t="s">
        <v>63</v>
      </c>
      <c r="S335" s="119">
        <v>46328</v>
      </c>
      <c r="T335" s="119"/>
      <c r="U335" s="120">
        <v>46328</v>
      </c>
      <c r="V335" s="94"/>
      <c r="W335" s="94"/>
      <c r="X335" s="94"/>
      <c r="Y335" s="119">
        <v>46320</v>
      </c>
      <c r="Z335" s="94"/>
      <c r="AA335" s="120"/>
      <c r="AB335" s="120"/>
      <c r="AC335" s="120"/>
      <c r="AD335" s="120"/>
      <c r="AE335" s="120"/>
      <c r="AF335" s="120"/>
      <c r="AG335" s="94"/>
      <c r="AH335" s="120"/>
      <c r="AI335" s="94"/>
      <c r="AJ335" s="94" t="s">
        <v>305</v>
      </c>
      <c r="AK335" s="94" t="s">
        <v>294</v>
      </c>
      <c r="AL335" s="94">
        <v>120</v>
      </c>
      <c r="AM335" s="94" t="str">
        <f>TRIM(AJ335)&amp;TRIM(AL335)&amp;TRIM(AK335)</f>
      </c>
      <c r="AN335" s="116">
        <v>0</v>
      </c>
      <c r="AO335" s="116" t="inlineStr">
        <is>
          <t>#NA</t>
        </is>
      </c>
      <c r="AP335" s="116">
        <f>SUMIFS(M:M,AM:AM,AM335)+SUMIFS(O:O,AM:AM,AM335)</f>
      </c>
      <c r="AQ335" s="116">
        <f>SUMIFS(L:L,AM:AM,AM335)</f>
      </c>
      <c r="AR335" s="116">
        <f>AQ335-AP335</f>
      </c>
      <c r="AS335" s="94" t="str">
        <f>IF(AN335&gt;=AQ335,"ok","ck")</f>
      </c>
      <c r="AT335" s="116">
        <f>-P335</f>
      </c>
      <c r="AU335" s="115">
        <f>IF(SUMIFS(AT:AT,AM:AM,AM335)&gt;AO335,(SUMIFS(AT:AT,AM:AM,AM335)-AO335))</f>
      </c>
      <c r="AV335" s="116">
        <v>0</v>
      </c>
      <c r="AW335" s="121">
        <v>0</v>
      </c>
      <c r="AX335" s="115">
        <f>AN335-AP335</f>
      </c>
    </row>
    <row r="336" spans="1:50" ht="15" hidden="1" customHeight="1" x14ac:dyDescent="0.3">
      <c r="A336" s="94" t="s">
        <v>268</v>
      </c>
      <c r="B336" s="94"/>
      <c r="C336" s="94"/>
      <c r="D336" s="94"/>
      <c r="E336" s="94"/>
      <c r="F336" s="94"/>
      <c r="G336" s="112">
        <f>AU336</f>
      </c>
      <c r="H336" s="113"/>
      <c r="I336" s="94" t="s">
        <v>278</v>
      </c>
      <c r="J336" s="94" t="s">
        <v>293</v>
      </c>
      <c r="K336" s="114">
        <f>P336/3</f>
      </c>
      <c r="L336" s="115">
        <v>41.5</v>
      </c>
      <c r="M336" s="116"/>
      <c r="N336" s="117">
        <f>M336-L336</f>
      </c>
      <c r="O336" s="112"/>
      <c r="P336" s="118">
        <f>N336+O336</f>
      </c>
      <c r="Q336" s="94" t="s">
        <v>305</v>
      </c>
      <c r="R336" s="94" t="s">
        <v>63</v>
      </c>
      <c r="S336" s="119">
        <v>46328</v>
      </c>
      <c r="T336" s="119"/>
      <c r="U336" s="120">
        <v>46328</v>
      </c>
      <c r="V336" s="94"/>
      <c r="W336" s="94"/>
      <c r="X336" s="94"/>
      <c r="Y336" s="119">
        <v>46337</v>
      </c>
      <c r="Z336" s="94"/>
      <c r="AA336" s="120"/>
      <c r="AB336" s="120"/>
      <c r="AC336" s="120"/>
      <c r="AD336" s="120"/>
      <c r="AE336" s="120"/>
      <c r="AF336" s="120"/>
      <c r="AG336" s="94"/>
      <c r="AH336" s="120"/>
      <c r="AI336" s="94"/>
      <c r="AJ336" s="94" t="s">
        <v>305</v>
      </c>
      <c r="AK336" s="94" t="s">
        <v>294</v>
      </c>
      <c r="AL336" s="94">
        <v>120</v>
      </c>
      <c r="AM336" s="94" t="str">
        <f>TRIM(AJ336)&amp;TRIM(AL336)&amp;TRIM(AK336)</f>
      </c>
      <c r="AN336" s="116">
        <v>0</v>
      </c>
      <c r="AO336" s="116" t="inlineStr">
        <is>
          <t>#NA</t>
        </is>
      </c>
      <c r="AP336" s="116">
        <f>SUMIFS(M:M,AM:AM,AM336)+SUMIFS(O:O,AM:AM,AM336)</f>
      </c>
      <c r="AQ336" s="116">
        <f>SUMIFS(L:L,AM:AM,AM336)</f>
      </c>
      <c r="AR336" s="116">
        <f>AQ336-AP336</f>
      </c>
      <c r="AS336" s="94" t="str">
        <f>IF(AN336&gt;=AQ336,"ok","ck")</f>
      </c>
      <c r="AT336" s="116">
        <f>-P336</f>
      </c>
      <c r="AU336" s="115">
        <f>IF(SUMIFS(AT:AT,AM:AM,AM336)&gt;AO336,(SUMIFS(AT:AT,AM:AM,AM336)-AO336))</f>
      </c>
      <c r="AV336" s="116">
        <v>0</v>
      </c>
      <c r="AW336" s="121">
        <v>0</v>
      </c>
      <c r="AX336" s="115">
        <f>AN336-AP336</f>
      </c>
    </row>
    <row r="337" spans="1:50" ht="15" hidden="1" customHeight="1" x14ac:dyDescent="0.3">
      <c r="A337" s="94" t="s">
        <v>311</v>
      </c>
      <c r="B337" s="94"/>
      <c r="C337" s="94"/>
      <c r="D337" s="94"/>
      <c r="E337" s="94"/>
      <c r="F337" s="94"/>
      <c r="G337" s="112">
        <f>AU337</f>
      </c>
      <c r="H337" s="113"/>
      <c r="I337" s="94" t="s">
        <v>312</v>
      </c>
      <c r="J337" s="94" t="s">
        <v>526</v>
      </c>
      <c r="K337" s="114">
        <f>P337/3</f>
      </c>
      <c r="L337" s="115">
        <v>-16.63</v>
      </c>
      <c r="M337" s="116">
        <f>L337</f>
      </c>
      <c r="N337" s="117">
        <f>M337-L337</f>
      </c>
      <c r="O337" s="112"/>
      <c r="P337" s="118">
        <f>N337+O337</f>
      </c>
      <c r="Q337" s="94" t="s">
        <v>799</v>
      </c>
      <c r="R337" s="94" t="s">
        <v>63</v>
      </c>
      <c r="S337" s="119">
        <v>46326</v>
      </c>
      <c r="T337" s="119"/>
      <c r="U337" s="119">
        <v>46326</v>
      </c>
      <c r="V337" s="94"/>
      <c r="W337" s="94"/>
      <c r="X337" s="94"/>
      <c r="Y337" s="119">
        <v>46326</v>
      </c>
      <c r="Z337" s="94"/>
      <c r="AA337" s="120"/>
      <c r="AB337" s="120"/>
      <c r="AC337" s="120"/>
      <c r="AD337" s="120"/>
      <c r="AE337" s="120"/>
      <c r="AF337" s="120"/>
      <c r="AG337" s="94"/>
      <c r="AH337" s="120"/>
      <c r="AI337" s="94"/>
      <c r="AJ337" s="94" t="s">
        <v>799</v>
      </c>
      <c r="AK337" s="94" t="s">
        <v>714</v>
      </c>
      <c r="AL337" s="94">
        <v>150</v>
      </c>
      <c r="AM337" s="94" t="str">
        <f>TRIM(AJ337)&amp;TRIM(AL337)&amp;TRIM(AK337)</f>
      </c>
      <c r="AN337" s="116">
        <v>856</v>
      </c>
      <c r="AO337" s="116">
        <v>-22</v>
      </c>
      <c r="AP337" s="116">
        <f>SUMIFS(M:M,AM:AM,AM337)+SUMIFS(O:O,AM:AM,AM337)</f>
      </c>
      <c r="AQ337" s="116">
        <f>SUMIFS(L:L,AM:AM,AM337)</f>
      </c>
      <c r="AR337" s="116">
        <f>AQ337-AP337</f>
      </c>
      <c r="AS337" s="94" t="str">
        <f>IF(AN337&gt;=AQ337,"ok","ck")</f>
      </c>
      <c r="AT337" s="116">
        <f>-P337</f>
      </c>
      <c r="AU337" s="115">
        <f>IF(SUMIFS(AT:AT,AM:AM,AM337)&gt;AO337,(SUMIFS(AT:AT,AM:AM,AM337)-AO337))</f>
      </c>
      <c r="AV337" s="116">
        <v>856</v>
      </c>
      <c r="AW337" s="121">
        <v>1.026</v>
      </c>
      <c r="AX337" s="115">
        <f>AN337-AP337</f>
      </c>
    </row>
    <row r="338" spans="1:50" ht="15" hidden="1" customHeight="1" x14ac:dyDescent="0.3">
      <c r="A338" s="94" t="s">
        <v>60</v>
      </c>
      <c r="B338" s="94"/>
      <c r="C338" s="94"/>
      <c r="D338" s="94"/>
      <c r="E338" s="94"/>
      <c r="F338" s="94"/>
      <c r="G338" s="112">
        <f>AU338</f>
      </c>
      <c r="H338" s="113"/>
      <c r="I338" s="94" t="s">
        <v>482</v>
      </c>
      <c r="J338" s="94" t="s">
        <v>525</v>
      </c>
      <c r="K338" s="114">
        <f>P338/3</f>
      </c>
      <c r="L338" s="115">
        <v>0.499</v>
      </c>
      <c r="M338" s="116">
        <f>L338</f>
      </c>
      <c r="N338" s="117">
        <f>M338-L338</f>
      </c>
      <c r="O338" s="112"/>
      <c r="P338" s="118">
        <f>N338+O338</f>
      </c>
      <c r="Q338" s="94" t="s">
        <v>786</v>
      </c>
      <c r="R338" s="94" t="s">
        <v>63</v>
      </c>
      <c r="S338" s="119">
        <v>46338</v>
      </c>
      <c r="T338" s="119"/>
      <c r="U338" s="119">
        <v>46338</v>
      </c>
      <c r="V338" s="94"/>
      <c r="W338" s="94"/>
      <c r="X338" s="94"/>
      <c r="Y338" s="119">
        <v>46338</v>
      </c>
      <c r="Z338" s="94"/>
      <c r="AA338" s="120"/>
      <c r="AB338" s="120"/>
      <c r="AC338" s="120"/>
      <c r="AD338" s="120"/>
      <c r="AE338" s="120"/>
      <c r="AF338" s="120"/>
      <c r="AG338" s="94"/>
      <c r="AH338" s="120"/>
      <c r="AI338" s="94"/>
      <c r="AJ338" s="94" t="s">
        <v>786</v>
      </c>
      <c r="AK338" s="94" t="s">
        <v>525</v>
      </c>
      <c r="AL338" s="94">
        <v>110</v>
      </c>
      <c r="AM338" s="94" t="str">
        <f>TRIM(AJ338)&amp;TRIM(AL338)&amp;TRIM(AK338)</f>
      </c>
      <c r="AN338" s="116">
        <v>67</v>
      </c>
      <c r="AO338" s="116">
        <v>-3</v>
      </c>
      <c r="AP338" s="116">
        <f>SUMIFS(M:M,AM:AM,AM338)+SUMIFS(O:O,AM:AM,AM338)</f>
      </c>
      <c r="AQ338" s="116">
        <f>SUMIFS(L:L,AM:AM,AM338)</f>
      </c>
      <c r="AR338" s="116">
        <f>AQ338-AP338</f>
      </c>
      <c r="AS338" s="94" t="str">
        <f>IF(AN338&gt;=AQ338,"ok","ck")</f>
      </c>
      <c r="AT338" s="116">
        <f>-P338</f>
      </c>
      <c r="AU338" s="115">
        <f>IF(SUMIFS(AT:AT,AM:AM,AM338)&gt;AO338,(SUMIFS(AT:AT,AM:AM,AM338)-AO338))</f>
      </c>
      <c r="AV338" s="116">
        <v>67</v>
      </c>
      <c r="AW338" s="121">
        <v>1.047</v>
      </c>
      <c r="AX338" s="115">
        <f>AN338-AP338</f>
      </c>
    </row>
    <row r="339" spans="1:50" ht="15" hidden="1" customHeight="1" x14ac:dyDescent="0.3">
      <c r="A339" s="94" t="s">
        <v>60</v>
      </c>
      <c r="B339" s="94"/>
      <c r="C339" s="94"/>
      <c r="D339" s="94"/>
      <c r="E339" s="94"/>
      <c r="F339" s="94"/>
      <c r="G339" s="112">
        <f>AU339</f>
      </c>
      <c r="H339" s="113"/>
      <c r="I339" s="94" t="s">
        <v>482</v>
      </c>
      <c r="J339" s="94" t="s">
        <v>159</v>
      </c>
      <c r="K339" s="114">
        <f>P339/3</f>
      </c>
      <c r="L339" s="115">
        <v>-0.38200000000000001</v>
      </c>
      <c r="M339" s="116">
        <f>L339</f>
      </c>
      <c r="N339" s="117">
        <f>M339-L339</f>
      </c>
      <c r="O339" s="112"/>
      <c r="P339" s="118">
        <f>N339+O339</f>
      </c>
      <c r="Q339" s="94" t="s">
        <v>786</v>
      </c>
      <c r="R339" s="94" t="s">
        <v>63</v>
      </c>
      <c r="S339" s="119">
        <v>46336</v>
      </c>
      <c r="T339" s="119"/>
      <c r="U339" s="119">
        <v>46336</v>
      </c>
      <c r="V339" s="94"/>
      <c r="W339" s="94"/>
      <c r="X339" s="94"/>
      <c r="Y339" s="119">
        <v>46336</v>
      </c>
      <c r="Z339" s="94"/>
      <c r="AA339" s="120"/>
      <c r="AB339" s="120"/>
      <c r="AC339" s="120"/>
      <c r="AD339" s="120"/>
      <c r="AE339" s="120"/>
      <c r="AF339" s="120"/>
      <c r="AG339" s="94"/>
      <c r="AH339" s="120"/>
      <c r="AI339" s="94"/>
      <c r="AJ339" s="94" t="s">
        <v>786</v>
      </c>
      <c r="AK339" s="94" t="s">
        <v>159</v>
      </c>
      <c r="AL339" s="94">
        <v>110</v>
      </c>
      <c r="AM339" s="94" t="str">
        <f>TRIM(AJ339)&amp;TRIM(AL339)&amp;TRIM(AK339)</f>
      </c>
      <c r="AN339" s="116">
        <v>65</v>
      </c>
      <c r="AO339" s="116">
        <v>-1</v>
      </c>
      <c r="AP339" s="116">
        <f>SUMIFS(M:M,AM:AM,AM339)+SUMIFS(O:O,AM:AM,AM339)</f>
      </c>
      <c r="AQ339" s="116">
        <f>SUMIFS(L:L,AM:AM,AM339)</f>
      </c>
      <c r="AR339" s="116">
        <f>AQ339-AP339</f>
      </c>
      <c r="AS339" s="94" t="str">
        <f>IF(AN339&gt;=AQ339,"ok","ck")</f>
      </c>
      <c r="AT339" s="116">
        <f>-P339</f>
      </c>
      <c r="AU339" s="115">
        <f>IF(SUMIFS(AT:AT,AM:AM,AM339)&gt;AO339,(SUMIFS(AT:AT,AM:AM,AM339)-AO339))</f>
      </c>
      <c r="AV339" s="116">
        <v>65</v>
      </c>
      <c r="AW339" s="121">
        <v>1.016</v>
      </c>
      <c r="AX339" s="115">
        <f>AN339-AP339</f>
      </c>
    </row>
    <row r="340" spans="1:50" ht="15" hidden="1" customHeight="1" x14ac:dyDescent="0.3">
      <c r="A340" s="94" t="s">
        <v>268</v>
      </c>
      <c r="B340" s="94"/>
      <c r="C340" s="94"/>
      <c r="D340" s="94"/>
      <c r="E340" s="94"/>
      <c r="F340" s="94"/>
      <c r="G340" s="112">
        <f>AU340</f>
      </c>
      <c r="H340" s="113"/>
      <c r="I340" s="94" t="s">
        <v>278</v>
      </c>
      <c r="J340" s="94" t="s">
        <v>527</v>
      </c>
      <c r="K340" s="114">
        <f>P340/3</f>
      </c>
      <c r="L340" s="115">
        <v>-0.38500000000000001</v>
      </c>
      <c r="M340" s="116">
        <f>L340</f>
      </c>
      <c r="N340" s="117">
        <f>M340-L340</f>
      </c>
      <c r="O340" s="112"/>
      <c r="P340" s="118">
        <f>N340+O340</f>
      </c>
      <c r="Q340" s="94" t="s">
        <v>287</v>
      </c>
      <c r="R340" s="94" t="s">
        <v>63</v>
      </c>
      <c r="S340" s="119">
        <v>46334</v>
      </c>
      <c r="T340" s="119"/>
      <c r="U340" s="119">
        <v>46334</v>
      </c>
      <c r="V340" s="94"/>
      <c r="W340" s="94"/>
      <c r="X340" s="94"/>
      <c r="Y340" s="119">
        <v>46334</v>
      </c>
      <c r="Z340" s="94"/>
      <c r="AA340" s="120"/>
      <c r="AB340" s="120"/>
      <c r="AC340" s="120"/>
      <c r="AD340" s="120"/>
      <c r="AE340" s="120"/>
      <c r="AF340" s="120"/>
      <c r="AG340" s="94"/>
      <c r="AH340" s="120"/>
      <c r="AI340" s="94"/>
      <c r="AJ340" s="94" t="s">
        <v>287</v>
      </c>
      <c r="AK340" s="94" t="s">
        <v>715</v>
      </c>
      <c r="AL340" s="94">
        <v>120</v>
      </c>
      <c r="AM340" s="94" t="str">
        <f>TRIM(AJ340)&amp;TRIM(AL340)&amp;TRIM(AK340)</f>
      </c>
      <c r="AN340" s="116">
        <v>115</v>
      </c>
      <c r="AO340" s="116">
        <v>-0.73</v>
      </c>
      <c r="AP340" s="116">
        <f>SUMIFS(M:M,AM:AM,AM340)+SUMIFS(O:O,AM:AM,AM340)</f>
      </c>
      <c r="AQ340" s="116">
        <f>SUMIFS(L:L,AM:AM,AM340)</f>
      </c>
      <c r="AR340" s="116">
        <f>AQ340-AP340</f>
      </c>
      <c r="AS340" s="94" t="str">
        <f>IF(AN340&gt;=AQ340,"ok","ck")</f>
      </c>
      <c r="AT340" s="116">
        <f>-P340</f>
      </c>
      <c r="AU340" s="115">
        <f>IF(SUMIFS(AT:AT,AM:AM,AM340)&gt;AO340,(SUMIFS(AT:AT,AM:AM,AM340)-AO340))</f>
      </c>
      <c r="AV340" s="116">
        <v>115</v>
      </c>
      <c r="AW340" s="121">
        <v>1.006</v>
      </c>
      <c r="AX340" s="115">
        <f>AN340-AP340</f>
      </c>
    </row>
    <row r="341" spans="1:50" ht="15" hidden="1" customHeight="1" x14ac:dyDescent="0.3">
      <c r="A341" s="94" t="s">
        <v>60</v>
      </c>
      <c r="B341" s="94"/>
      <c r="C341" s="94"/>
      <c r="D341" s="94"/>
      <c r="E341" s="94"/>
      <c r="F341" s="94"/>
      <c r="G341" s="112">
        <f>AU341</f>
      </c>
      <c r="H341" s="113"/>
      <c r="I341" s="94" t="s">
        <v>482</v>
      </c>
      <c r="J341" s="94" t="s">
        <v>528</v>
      </c>
      <c r="K341" s="114">
        <f>P341/3</f>
      </c>
      <c r="L341" s="115">
        <v>-1.1910000000000001</v>
      </c>
      <c r="M341" s="116">
        <f>L341</f>
      </c>
      <c r="N341" s="117">
        <f>M341-L341</f>
      </c>
      <c r="O341" s="112"/>
      <c r="P341" s="118">
        <f>N341+O341</f>
      </c>
      <c r="Q341" s="94" t="s">
        <v>786</v>
      </c>
      <c r="R341" s="94" t="s">
        <v>63</v>
      </c>
      <c r="S341" s="119">
        <v>46337</v>
      </c>
      <c r="T341" s="119"/>
      <c r="U341" s="119">
        <v>46337</v>
      </c>
      <c r="V341" s="94"/>
      <c r="W341" s="94"/>
      <c r="X341" s="94"/>
      <c r="Y341" s="119">
        <v>46337</v>
      </c>
      <c r="Z341" s="94"/>
      <c r="AA341" s="120"/>
      <c r="AB341" s="120"/>
      <c r="AC341" s="120"/>
      <c r="AD341" s="120"/>
      <c r="AE341" s="120"/>
      <c r="AF341" s="120"/>
      <c r="AG341" s="94"/>
      <c r="AH341" s="120"/>
      <c r="AI341" s="94"/>
      <c r="AJ341" s="94" t="s">
        <v>786</v>
      </c>
      <c r="AK341" s="94" t="s">
        <v>528</v>
      </c>
      <c r="AL341" s="94">
        <v>110</v>
      </c>
      <c r="AM341" s="94" t="str">
        <f>TRIM(AJ341)&amp;TRIM(AL341)&amp;TRIM(AK341)</f>
      </c>
      <c r="AN341" s="116">
        <v>502</v>
      </c>
      <c r="AO341" s="116">
        <v>-32</v>
      </c>
      <c r="AP341" s="116">
        <f>SUMIFS(M:M,AM:AM,AM341)+SUMIFS(O:O,AM:AM,AM341)</f>
      </c>
      <c r="AQ341" s="116">
        <f>SUMIFS(L:L,AM:AM,AM341)</f>
      </c>
      <c r="AR341" s="116">
        <f>AQ341-AP341</f>
      </c>
      <c r="AS341" s="94" t="str">
        <f>IF(AN341&gt;=AQ341,"ok","ck")</f>
      </c>
      <c r="AT341" s="116">
        <f>-P341</f>
      </c>
      <c r="AU341" s="115">
        <f>IF(SUMIFS(AT:AT,AM:AM,AM341)&gt;AO341,(SUMIFS(AT:AT,AM:AM,AM341)-AO341))</f>
      </c>
      <c r="AV341" s="116">
        <v>502</v>
      </c>
      <c r="AW341" s="121">
        <v>1.068</v>
      </c>
      <c r="AX341" s="115">
        <f>AN341-AP341</f>
      </c>
    </row>
    <row r="342" spans="1:50" ht="15" hidden="1" customHeight="1" x14ac:dyDescent="0.3">
      <c r="A342" s="94" t="s">
        <v>60</v>
      </c>
      <c r="B342" s="94"/>
      <c r="C342" s="94"/>
      <c r="D342" s="94"/>
      <c r="E342" s="94"/>
      <c r="F342" s="94"/>
      <c r="G342" s="112">
        <f>AU342</f>
      </c>
      <c r="H342" s="113"/>
      <c r="I342" s="94" t="s">
        <v>482</v>
      </c>
      <c r="J342" s="94" t="s">
        <v>528</v>
      </c>
      <c r="K342" s="114">
        <f>P342/3</f>
      </c>
      <c r="L342" s="115">
        <v>-3.6999999999999998E-2</v>
      </c>
      <c r="M342" s="116">
        <f>L342</f>
      </c>
      <c r="N342" s="117">
        <f>M342-L342</f>
      </c>
      <c r="O342" s="112"/>
      <c r="P342" s="118">
        <f>N342+O342</f>
      </c>
      <c r="Q342" s="94" t="s">
        <v>786</v>
      </c>
      <c r="R342" s="94" t="s">
        <v>63</v>
      </c>
      <c r="S342" s="119">
        <v>46337</v>
      </c>
      <c r="T342" s="119"/>
      <c r="U342" s="119">
        <v>46337</v>
      </c>
      <c r="V342" s="94"/>
      <c r="W342" s="94"/>
      <c r="X342" s="94"/>
      <c r="Y342" s="119">
        <v>46337</v>
      </c>
      <c r="Z342" s="94"/>
      <c r="AA342" s="120"/>
      <c r="AB342" s="120"/>
      <c r="AC342" s="120"/>
      <c r="AD342" s="120"/>
      <c r="AE342" s="120"/>
      <c r="AF342" s="120"/>
      <c r="AG342" s="94"/>
      <c r="AH342" s="120"/>
      <c r="AI342" s="94"/>
      <c r="AJ342" s="94" t="s">
        <v>786</v>
      </c>
      <c r="AK342" s="94" t="s">
        <v>528</v>
      </c>
      <c r="AL342" s="94">
        <v>110</v>
      </c>
      <c r="AM342" s="94" t="str">
        <f>TRIM(AJ342)&amp;TRIM(AL342)&amp;TRIM(AK342)</f>
      </c>
      <c r="AN342" s="116">
        <v>502</v>
      </c>
      <c r="AO342" s="116">
        <v>-32</v>
      </c>
      <c r="AP342" s="116">
        <f>SUMIFS(M:M,AM:AM,AM342)+SUMIFS(O:O,AM:AM,AM342)</f>
      </c>
      <c r="AQ342" s="116">
        <f>SUMIFS(L:L,AM:AM,AM342)</f>
      </c>
      <c r="AR342" s="116">
        <f>AQ342-AP342</f>
      </c>
      <c r="AS342" s="94" t="str">
        <f>IF(AN342&gt;=AQ342,"ok","ck")</f>
      </c>
      <c r="AT342" s="116">
        <f>-P342</f>
      </c>
      <c r="AU342" s="115">
        <f>IF(SUMIFS(AT:AT,AM:AM,AM342)&gt;AO342,(SUMIFS(AT:AT,AM:AM,AM342)-AO342))</f>
      </c>
      <c r="AV342" s="116">
        <v>502</v>
      </c>
      <c r="AW342" s="121">
        <v>1.068</v>
      </c>
      <c r="AX342" s="115">
        <f>AN342-AP342</f>
      </c>
    </row>
    <row r="343" spans="1:50" ht="15" hidden="1" customHeight="1" x14ac:dyDescent="0.3">
      <c r="A343" s="94" t="s">
        <v>60</v>
      </c>
      <c r="B343" s="94"/>
      <c r="C343" s="94"/>
      <c r="D343" s="94"/>
      <c r="E343" s="94"/>
      <c r="F343" s="94"/>
      <c r="G343" s="112">
        <f>AU343</f>
      </c>
      <c r="H343" s="113"/>
      <c r="I343" s="94" t="s">
        <v>482</v>
      </c>
      <c r="J343" s="94" t="s">
        <v>528</v>
      </c>
      <c r="K343" s="114">
        <f>P343/3</f>
      </c>
      <c r="L343" s="115">
        <v>-1.272</v>
      </c>
      <c r="M343" s="116">
        <f>L343</f>
      </c>
      <c r="N343" s="117">
        <f>M343-L343</f>
      </c>
      <c r="O343" s="112"/>
      <c r="P343" s="118">
        <f>N343+O343</f>
      </c>
      <c r="Q343" s="94" t="s">
        <v>786</v>
      </c>
      <c r="R343" s="94" t="s">
        <v>63</v>
      </c>
      <c r="S343" s="119">
        <v>46330</v>
      </c>
      <c r="T343" s="119"/>
      <c r="U343" s="119">
        <v>46330</v>
      </c>
      <c r="V343" s="94"/>
      <c r="W343" s="94"/>
      <c r="X343" s="94"/>
      <c r="Y343" s="119">
        <v>46330</v>
      </c>
      <c r="Z343" s="94"/>
      <c r="AA343" s="120"/>
      <c r="AB343" s="120"/>
      <c r="AC343" s="120"/>
      <c r="AD343" s="120"/>
      <c r="AE343" s="120"/>
      <c r="AF343" s="120"/>
      <c r="AG343" s="94"/>
      <c r="AH343" s="120"/>
      <c r="AI343" s="94"/>
      <c r="AJ343" s="94" t="s">
        <v>786</v>
      </c>
      <c r="AK343" s="94" t="s">
        <v>528</v>
      </c>
      <c r="AL343" s="94">
        <v>110</v>
      </c>
      <c r="AM343" s="94" t="str">
        <f>TRIM(AJ343)&amp;TRIM(AL343)&amp;TRIM(AK343)</f>
      </c>
      <c r="AN343" s="116">
        <v>502</v>
      </c>
      <c r="AO343" s="116">
        <v>-32</v>
      </c>
      <c r="AP343" s="116">
        <f>SUMIFS(M:M,AM:AM,AM343)+SUMIFS(O:O,AM:AM,AM343)</f>
      </c>
      <c r="AQ343" s="116">
        <f>SUMIFS(L:L,AM:AM,AM343)</f>
      </c>
      <c r="AR343" s="116">
        <f>AQ343-AP343</f>
      </c>
      <c r="AS343" s="94" t="str">
        <f>IF(AN343&gt;=AQ343,"ok","ck")</f>
      </c>
      <c r="AT343" s="116">
        <f>-P343</f>
      </c>
      <c r="AU343" s="115">
        <f>IF(SUMIFS(AT:AT,AM:AM,AM343)&gt;AO343,(SUMIFS(AT:AT,AM:AM,AM343)-AO343))</f>
      </c>
      <c r="AV343" s="116">
        <v>502</v>
      </c>
      <c r="AW343" s="121">
        <v>1.068</v>
      </c>
      <c r="AX343" s="115">
        <f>AN343-AP343</f>
      </c>
    </row>
    <row r="344" spans="1:50" ht="15" hidden="1" customHeight="1" x14ac:dyDescent="0.3">
      <c r="A344" s="94" t="s">
        <v>60</v>
      </c>
      <c r="B344" s="94"/>
      <c r="C344" s="94"/>
      <c r="D344" s="94"/>
      <c r="E344" s="94"/>
      <c r="F344" s="94"/>
      <c r="G344" s="112">
        <f>AU344</f>
      </c>
      <c r="H344" s="113"/>
      <c r="I344" s="94" t="s">
        <v>482</v>
      </c>
      <c r="J344" s="94" t="s">
        <v>528</v>
      </c>
      <c r="K344" s="114">
        <f>P344/3</f>
      </c>
      <c r="L344" s="115">
        <v>-0.874</v>
      </c>
      <c r="M344" s="116">
        <f>L344</f>
      </c>
      <c r="N344" s="117">
        <f>M344-L344</f>
      </c>
      <c r="O344" s="112"/>
      <c r="P344" s="118">
        <f>N344+O344</f>
      </c>
      <c r="Q344" s="94" t="s">
        <v>786</v>
      </c>
      <c r="R344" s="94" t="s">
        <v>63</v>
      </c>
      <c r="S344" s="119">
        <v>46335</v>
      </c>
      <c r="T344" s="119"/>
      <c r="U344" s="119">
        <v>46335</v>
      </c>
      <c r="V344" s="94"/>
      <c r="W344" s="94"/>
      <c r="X344" s="94"/>
      <c r="Y344" s="119">
        <v>46335</v>
      </c>
      <c r="Z344" s="94"/>
      <c r="AA344" s="120"/>
      <c r="AB344" s="120"/>
      <c r="AC344" s="120"/>
      <c r="AD344" s="120"/>
      <c r="AE344" s="120"/>
      <c r="AF344" s="120"/>
      <c r="AG344" s="94"/>
      <c r="AH344" s="120"/>
      <c r="AI344" s="94"/>
      <c r="AJ344" s="94" t="s">
        <v>786</v>
      </c>
      <c r="AK344" s="94" t="s">
        <v>528</v>
      </c>
      <c r="AL344" s="94">
        <v>110</v>
      </c>
      <c r="AM344" s="94" t="str">
        <f>TRIM(AJ344)&amp;TRIM(AL344)&amp;TRIM(AK344)</f>
      </c>
      <c r="AN344" s="116">
        <v>502</v>
      </c>
      <c r="AO344" s="116">
        <v>-32</v>
      </c>
      <c r="AP344" s="116">
        <f>SUMIFS(M:M,AM:AM,AM344)+SUMIFS(O:O,AM:AM,AM344)</f>
      </c>
      <c r="AQ344" s="116">
        <f>SUMIFS(L:L,AM:AM,AM344)</f>
      </c>
      <c r="AR344" s="116">
        <f>AQ344-AP344</f>
      </c>
      <c r="AS344" s="94" t="str">
        <f>IF(AN344&gt;=AQ344,"ok","ck")</f>
      </c>
      <c r="AT344" s="116">
        <f>-P344</f>
      </c>
      <c r="AU344" s="115">
        <f>IF(SUMIFS(AT:AT,AM:AM,AM344)&gt;AO344,(SUMIFS(AT:AT,AM:AM,AM344)-AO344))</f>
      </c>
      <c r="AV344" s="116">
        <v>502</v>
      </c>
      <c r="AW344" s="121">
        <v>1.068</v>
      </c>
      <c r="AX344" s="115">
        <f>AN344-AP344</f>
      </c>
    </row>
    <row r="345" spans="1:50" ht="15" hidden="1" customHeight="1" x14ac:dyDescent="0.3">
      <c r="A345" s="94" t="s">
        <v>60</v>
      </c>
      <c r="B345" s="94"/>
      <c r="C345" s="94"/>
      <c r="D345" s="94"/>
      <c r="E345" s="94"/>
      <c r="F345" s="94"/>
      <c r="G345" s="112">
        <f>AU345</f>
      </c>
      <c r="H345" s="113"/>
      <c r="I345" s="94" t="s">
        <v>482</v>
      </c>
      <c r="J345" s="94" t="s">
        <v>528</v>
      </c>
      <c r="K345" s="114">
        <f>P345/3</f>
      </c>
      <c r="L345" s="115">
        <v>-3.2000000000000001E-2</v>
      </c>
      <c r="M345" s="116">
        <f>L345</f>
      </c>
      <c r="N345" s="117">
        <f>M345-L345</f>
      </c>
      <c r="O345" s="112"/>
      <c r="P345" s="118">
        <f>N345+O345</f>
      </c>
      <c r="Q345" s="94" t="s">
        <v>786</v>
      </c>
      <c r="R345" s="94" t="s">
        <v>63</v>
      </c>
      <c r="S345" s="119">
        <v>46335</v>
      </c>
      <c r="T345" s="119"/>
      <c r="U345" s="120">
        <v>46335</v>
      </c>
      <c r="V345" s="94"/>
      <c r="W345" s="94"/>
      <c r="X345" s="94"/>
      <c r="Y345" s="119">
        <v>46335</v>
      </c>
      <c r="Z345" s="94"/>
      <c r="AA345" s="120"/>
      <c r="AB345" s="120"/>
      <c r="AC345" s="120"/>
      <c r="AD345" s="120"/>
      <c r="AE345" s="120"/>
      <c r="AF345" s="120"/>
      <c r="AG345" s="94"/>
      <c r="AH345" s="120"/>
      <c r="AI345" s="94"/>
      <c r="AJ345" s="94" t="s">
        <v>786</v>
      </c>
      <c r="AK345" s="94" t="s">
        <v>528</v>
      </c>
      <c r="AL345" s="94">
        <v>110</v>
      </c>
      <c r="AM345" s="94" t="str">
        <f>TRIM(AJ345)&amp;TRIM(AL345)&amp;TRIM(AK345)</f>
      </c>
      <c r="AN345" s="116">
        <v>502</v>
      </c>
      <c r="AO345" s="116">
        <v>-32</v>
      </c>
      <c r="AP345" s="116">
        <f>SUMIFS(M:M,AM:AM,AM345)+SUMIFS(O:O,AM:AM,AM345)</f>
      </c>
      <c r="AQ345" s="116">
        <f>SUMIFS(L:L,AM:AM,AM345)</f>
      </c>
      <c r="AR345" s="116">
        <f>AQ345-AP345</f>
      </c>
      <c r="AS345" s="94" t="str">
        <f>IF(AN345&gt;=AQ345,"ok","ck")</f>
      </c>
      <c r="AT345" s="116">
        <f>-P345</f>
      </c>
      <c r="AU345" s="115">
        <f>IF(SUMIFS(AT:AT,AM:AM,AM345)&gt;AO345,(SUMIFS(AT:AT,AM:AM,AM345)-AO345))</f>
      </c>
      <c r="AV345" s="116">
        <v>502</v>
      </c>
      <c r="AW345" s="121">
        <v>1.068</v>
      </c>
      <c r="AX345" s="115">
        <f>AN345-AP345</f>
      </c>
    </row>
    <row r="346" spans="1:50" ht="15" hidden="1" customHeight="1" x14ac:dyDescent="0.3">
      <c r="A346" s="94" t="s">
        <v>60</v>
      </c>
      <c r="B346" s="94"/>
      <c r="C346" s="94"/>
      <c r="D346" s="94"/>
      <c r="E346" s="94"/>
      <c r="F346" s="94"/>
      <c r="G346" s="112">
        <f>AU346</f>
      </c>
      <c r="H346" s="113"/>
      <c r="I346" s="94" t="s">
        <v>482</v>
      </c>
      <c r="J346" s="94" t="s">
        <v>529</v>
      </c>
      <c r="K346" s="114">
        <f>P346/3</f>
      </c>
      <c r="L346" s="115">
        <v>-1.1419999999999999</v>
      </c>
      <c r="M346" s="116">
        <f>L346</f>
      </c>
      <c r="N346" s="117">
        <f>M346-L346</f>
      </c>
      <c r="O346" s="112"/>
      <c r="P346" s="118">
        <f>N346+O346</f>
      </c>
      <c r="Q346" s="94" t="s">
        <v>786</v>
      </c>
      <c r="R346" s="94" t="s">
        <v>63</v>
      </c>
      <c r="S346" s="119">
        <v>46335</v>
      </c>
      <c r="T346" s="119"/>
      <c r="U346" s="120">
        <v>46335</v>
      </c>
      <c r="V346" s="94"/>
      <c r="W346" s="94"/>
      <c r="X346" s="94"/>
      <c r="Y346" s="119">
        <v>46335</v>
      </c>
      <c r="Z346" s="94"/>
      <c r="AA346" s="120"/>
      <c r="AB346" s="120"/>
      <c r="AC346" s="120"/>
      <c r="AD346" s="120"/>
      <c r="AE346" s="120"/>
      <c r="AF346" s="120"/>
      <c r="AG346" s="94"/>
      <c r="AH346" s="120"/>
      <c r="AI346" s="94"/>
      <c r="AJ346" s="94" t="s">
        <v>786</v>
      </c>
      <c r="AK346" s="94" t="s">
        <v>529</v>
      </c>
      <c r="AL346" s="94">
        <v>110</v>
      </c>
      <c r="AM346" s="94" t="str">
        <f>TRIM(AJ346)&amp;TRIM(AL346)&amp;TRIM(AK346)</f>
      </c>
      <c r="AN346" s="116">
        <v>154</v>
      </c>
      <c r="AO346" s="116">
        <v>-3</v>
      </c>
      <c r="AP346" s="116">
        <f>SUMIFS(M:M,AM:AM,AM346)+SUMIFS(O:O,AM:AM,AM346)</f>
      </c>
      <c r="AQ346" s="116">
        <f>SUMIFS(L:L,AM:AM,AM346)</f>
      </c>
      <c r="AR346" s="116">
        <f>AQ346-AP346</f>
      </c>
      <c r="AS346" s="94" t="str">
        <f>IF(AN346&gt;=AQ346,"ok","ck")</f>
      </c>
      <c r="AT346" s="116">
        <f>-P346</f>
      </c>
      <c r="AU346" s="115">
        <f>IF(SUMIFS(AT:AT,AM:AM,AM346)&gt;AO346,(SUMIFS(AT:AT,AM:AM,AM346)-AO346))</f>
      </c>
      <c r="AV346" s="116">
        <v>154</v>
      </c>
      <c r="AW346" s="121">
        <v>1.02</v>
      </c>
      <c r="AX346" s="115">
        <f>AN346-AP346</f>
      </c>
    </row>
    <row r="347" spans="1:50" ht="15" hidden="1" customHeight="1" x14ac:dyDescent="0.3">
      <c r="A347" s="94" t="s">
        <v>60</v>
      </c>
      <c r="B347" s="94"/>
      <c r="C347" s="94"/>
      <c r="D347" s="94"/>
      <c r="E347" s="94"/>
      <c r="F347" s="94"/>
      <c r="G347" s="112">
        <f>AU347</f>
      </c>
      <c r="H347" s="113"/>
      <c r="I347" s="94" t="s">
        <v>482</v>
      </c>
      <c r="J347" s="94" t="s">
        <v>529</v>
      </c>
      <c r="K347" s="114">
        <f>P347/3</f>
      </c>
      <c r="L347" s="115">
        <v>-0.63300000000000001</v>
      </c>
      <c r="M347" s="116">
        <f>L347</f>
      </c>
      <c r="N347" s="117">
        <f>M347-L347</f>
      </c>
      <c r="O347" s="112"/>
      <c r="P347" s="118">
        <f>N347+O347</f>
      </c>
      <c r="Q347" s="94" t="s">
        <v>786</v>
      </c>
      <c r="R347" s="94" t="s">
        <v>63</v>
      </c>
      <c r="S347" s="119">
        <v>46340</v>
      </c>
      <c r="T347" s="119"/>
      <c r="U347" s="120">
        <v>46340</v>
      </c>
      <c r="V347" s="94"/>
      <c r="W347" s="94"/>
      <c r="X347" s="94"/>
      <c r="Y347" s="119">
        <v>46340</v>
      </c>
      <c r="Z347" s="94"/>
      <c r="AA347" s="120"/>
      <c r="AB347" s="120"/>
      <c r="AC347" s="120"/>
      <c r="AD347" s="120"/>
      <c r="AE347" s="120"/>
      <c r="AF347" s="120"/>
      <c r="AG347" s="94"/>
      <c r="AH347" s="120"/>
      <c r="AI347" s="94"/>
      <c r="AJ347" s="94" t="s">
        <v>786</v>
      </c>
      <c r="AK347" s="94" t="s">
        <v>529</v>
      </c>
      <c r="AL347" s="94">
        <v>110</v>
      </c>
      <c r="AM347" s="94" t="str">
        <f>TRIM(AJ347)&amp;TRIM(AL347)&amp;TRIM(AK347)</f>
      </c>
      <c r="AN347" s="116">
        <v>154</v>
      </c>
      <c r="AO347" s="116">
        <v>-3</v>
      </c>
      <c r="AP347" s="116">
        <f>SUMIFS(M:M,AM:AM,AM347)+SUMIFS(O:O,AM:AM,AM347)</f>
      </c>
      <c r="AQ347" s="116">
        <f>SUMIFS(L:L,AM:AM,AM347)</f>
      </c>
      <c r="AR347" s="116">
        <f>AQ347-AP347</f>
      </c>
      <c r="AS347" s="94" t="str">
        <f>IF(AN347&gt;=AQ347,"ok","ck")</f>
      </c>
      <c r="AT347" s="116">
        <f>-P347</f>
      </c>
      <c r="AU347" s="115">
        <f>IF(SUMIFS(AT:AT,AM:AM,AM347)&gt;AO347,(SUMIFS(AT:AT,AM:AM,AM347)-AO347))</f>
      </c>
      <c r="AV347" s="116">
        <v>154</v>
      </c>
      <c r="AW347" s="121">
        <v>1.02</v>
      </c>
      <c r="AX347" s="115">
        <f>AN347-AP347</f>
      </c>
    </row>
    <row r="348" spans="1:50" ht="15" hidden="1" customHeight="1" x14ac:dyDescent="0.3">
      <c r="A348" s="94" t="s">
        <v>60</v>
      </c>
      <c r="B348" s="94"/>
      <c r="C348" s="94"/>
      <c r="D348" s="94"/>
      <c r="E348" s="94"/>
      <c r="F348" s="94"/>
      <c r="G348" s="112">
        <f>AU348</f>
      </c>
      <c r="H348" s="113"/>
      <c r="I348" s="94" t="s">
        <v>482</v>
      </c>
      <c r="J348" s="94" t="s">
        <v>529</v>
      </c>
      <c r="K348" s="114">
        <f>P348/3</f>
      </c>
      <c r="L348" s="115">
        <v>-2.3E-2</v>
      </c>
      <c r="M348" s="116">
        <f>L348</f>
      </c>
      <c r="N348" s="117">
        <f>M348-L348</f>
      </c>
      <c r="O348" s="112"/>
      <c r="P348" s="118">
        <f>N348+O348</f>
      </c>
      <c r="Q348" s="94" t="s">
        <v>786</v>
      </c>
      <c r="R348" s="94" t="s">
        <v>63</v>
      </c>
      <c r="S348" s="119">
        <v>46336</v>
      </c>
      <c r="T348" s="119"/>
      <c r="U348" s="120">
        <v>46336</v>
      </c>
      <c r="V348" s="94"/>
      <c r="W348" s="94"/>
      <c r="X348" s="94"/>
      <c r="Y348" s="119">
        <v>46336</v>
      </c>
      <c r="Z348" s="94"/>
      <c r="AA348" s="120"/>
      <c r="AB348" s="120"/>
      <c r="AC348" s="120"/>
      <c r="AD348" s="120"/>
      <c r="AE348" s="120"/>
      <c r="AF348" s="120"/>
      <c r="AG348" s="94"/>
      <c r="AH348" s="120"/>
      <c r="AI348" s="94"/>
      <c r="AJ348" s="94" t="s">
        <v>786</v>
      </c>
      <c r="AK348" s="94" t="s">
        <v>529</v>
      </c>
      <c r="AL348" s="94">
        <v>110</v>
      </c>
      <c r="AM348" s="94" t="str">
        <f>TRIM(AJ348)&amp;TRIM(AL348)&amp;TRIM(AK348)</f>
      </c>
      <c r="AN348" s="116">
        <v>154</v>
      </c>
      <c r="AO348" s="116">
        <v>-3</v>
      </c>
      <c r="AP348" s="116">
        <f>SUMIFS(M:M,AM:AM,AM348)+SUMIFS(O:O,AM:AM,AM348)</f>
      </c>
      <c r="AQ348" s="116">
        <f>SUMIFS(L:L,AM:AM,AM348)</f>
      </c>
      <c r="AR348" s="116">
        <f>AQ348-AP348</f>
      </c>
      <c r="AS348" s="94" t="str">
        <f>IF(AN348&gt;=AQ348,"ok","ck")</f>
      </c>
      <c r="AT348" s="116">
        <f>-P348</f>
      </c>
      <c r="AU348" s="115">
        <f>IF(SUMIFS(AT:AT,AM:AM,AM348)&gt;AO348,(SUMIFS(AT:AT,AM:AM,AM348)-AO348))</f>
      </c>
      <c r="AV348" s="116">
        <v>154</v>
      </c>
      <c r="AW348" s="121">
        <v>1.02</v>
      </c>
      <c r="AX348" s="115">
        <f>AN348-AP348</f>
      </c>
    </row>
    <row r="349" spans="1:50" ht="15" hidden="1" customHeight="1" x14ac:dyDescent="0.3">
      <c r="A349" s="94" t="s">
        <v>268</v>
      </c>
      <c r="B349" s="94"/>
      <c r="C349" s="94"/>
      <c r="D349" s="94"/>
      <c r="E349" s="94"/>
      <c r="F349" s="94"/>
      <c r="G349" s="112">
        <f>AU349</f>
      </c>
      <c r="H349" s="113"/>
      <c r="I349" s="94" t="s">
        <v>390</v>
      </c>
      <c r="J349" s="94" t="s">
        <v>324</v>
      </c>
      <c r="K349" s="114">
        <f>P349/3</f>
      </c>
      <c r="L349" s="115">
        <v>0.1</v>
      </c>
      <c r="M349" s="116"/>
      <c r="N349" s="117">
        <f>M349-L349</f>
      </c>
      <c r="O349" s="112"/>
      <c r="P349" s="118">
        <f>N349+O349</f>
      </c>
      <c r="Q349" s="94" t="s">
        <v>305</v>
      </c>
      <c r="R349" s="94" t="s">
        <v>63</v>
      </c>
      <c r="S349" s="119">
        <v>46323</v>
      </c>
      <c r="T349" s="119"/>
      <c r="U349" s="120">
        <v>46323</v>
      </c>
      <c r="V349" s="94"/>
      <c r="W349" s="94"/>
      <c r="X349" s="94"/>
      <c r="Y349" s="119">
        <v>46323</v>
      </c>
      <c r="Z349" s="94"/>
      <c r="AA349" s="120"/>
      <c r="AB349" s="120"/>
      <c r="AC349" s="120"/>
      <c r="AD349" s="120"/>
      <c r="AE349" s="120"/>
      <c r="AF349" s="120"/>
      <c r="AG349" s="94"/>
      <c r="AH349" s="120"/>
      <c r="AI349" s="94"/>
      <c r="AJ349" s="94" t="s">
        <v>305</v>
      </c>
      <c r="AK349" s="94" t="s">
        <v>324</v>
      </c>
      <c r="AL349" s="94">
        <v>140</v>
      </c>
      <c r="AM349" s="94" t="str">
        <f>TRIM(AJ349)&amp;TRIM(AL349)&amp;TRIM(AK349)</f>
      </c>
      <c r="AN349" s="116">
        <v>0</v>
      </c>
      <c r="AO349" s="116" t="inlineStr">
        <is>
          <t>#NA</t>
        </is>
      </c>
      <c r="AP349" s="116">
        <f>SUMIFS(M:M,AM:AM,AM349)+SUMIFS(O:O,AM:AM,AM349)</f>
      </c>
      <c r="AQ349" s="116">
        <f>SUMIFS(L:L,AM:AM,AM349)</f>
      </c>
      <c r="AR349" s="116">
        <f>AQ349-AP349</f>
      </c>
      <c r="AS349" s="94" t="str">
        <f>IF(AN349&gt;=AQ349,"ok","ck")</f>
      </c>
      <c r="AT349" s="116">
        <f>-P349</f>
      </c>
      <c r="AU349" s="115">
        <f>IF(SUMIFS(AT:AT,AM:AM,AM349)&gt;AO349,(SUMIFS(AT:AT,AM:AM,AM349)-AO349))</f>
      </c>
      <c r="AV349" s="116">
        <v>0</v>
      </c>
      <c r="AW349" s="121">
        <v>0</v>
      </c>
      <c r="AX349" s="115">
        <f>AN349-AP349</f>
      </c>
    </row>
    <row r="350" spans="1:50" ht="15" hidden="1" customHeight="1" x14ac:dyDescent="0.3">
      <c r="A350" s="94" t="s">
        <v>268</v>
      </c>
      <c r="B350" s="94"/>
      <c r="C350" s="94"/>
      <c r="D350" s="94"/>
      <c r="E350" s="94"/>
      <c r="F350" s="94"/>
      <c r="G350" s="112">
        <f>AU350</f>
      </c>
      <c r="H350" s="113"/>
      <c r="I350" s="94" t="s">
        <v>390</v>
      </c>
      <c r="J350" s="94" t="s">
        <v>324</v>
      </c>
      <c r="K350" s="114">
        <f>P350/3</f>
      </c>
      <c r="L350" s="115">
        <v>3021</v>
      </c>
      <c r="M350" s="116"/>
      <c r="N350" s="117">
        <f>M350-L350</f>
      </c>
      <c r="O350" s="112"/>
      <c r="P350" s="118">
        <f>N350+O350</f>
      </c>
      <c r="Q350" s="94" t="s">
        <v>305</v>
      </c>
      <c r="R350" s="94" t="s">
        <v>63</v>
      </c>
      <c r="S350" s="119">
        <v>46333</v>
      </c>
      <c r="T350" s="119"/>
      <c r="U350" s="120" t="s">
        <v>634</v>
      </c>
      <c r="V350" s="94"/>
      <c r="W350" s="94"/>
      <c r="X350" s="94"/>
      <c r="Y350" s="119">
        <v>46320</v>
      </c>
      <c r="Z350" s="94"/>
      <c r="AA350" s="120"/>
      <c r="AB350" s="120"/>
      <c r="AC350" s="120"/>
      <c r="AD350" s="120"/>
      <c r="AE350" s="120"/>
      <c r="AF350" s="120"/>
      <c r="AG350" s="94"/>
      <c r="AH350" s="120"/>
      <c r="AI350" s="94"/>
      <c r="AJ350" s="94" t="s">
        <v>305</v>
      </c>
      <c r="AK350" s="94" t="s">
        <v>324</v>
      </c>
      <c r="AL350" s="94">
        <v>140</v>
      </c>
      <c r="AM350" s="94" t="str">
        <f>TRIM(AJ350)&amp;TRIM(AL350)&amp;TRIM(AK350)</f>
      </c>
      <c r="AN350" s="116">
        <v>0</v>
      </c>
      <c r="AO350" s="116" t="inlineStr">
        <is>
          <t>#NA</t>
        </is>
      </c>
      <c r="AP350" s="116">
        <f>SUMIFS(M:M,AM:AM,AM350)+SUMIFS(O:O,AM:AM,AM350)</f>
      </c>
      <c r="AQ350" s="116">
        <f>SUMIFS(L:L,AM:AM,AM350)</f>
      </c>
      <c r="AR350" s="116">
        <f>AQ350-AP350</f>
      </c>
      <c r="AS350" s="94" t="str">
        <f>IF(AN350&gt;=AQ350,"ok","ck")</f>
      </c>
      <c r="AT350" s="116">
        <f>-P350</f>
      </c>
      <c r="AU350" s="115">
        <f>IF(SUMIFS(AT:AT,AM:AM,AM350)&gt;AO350,(SUMIFS(AT:AT,AM:AM,AM350)-AO350))</f>
      </c>
      <c r="AV350" s="116">
        <v>0</v>
      </c>
      <c r="AW350" s="121">
        <v>0</v>
      </c>
      <c r="AX350" s="115">
        <f>AN350-AP350</f>
      </c>
    </row>
    <row r="351" spans="1:50" ht="15" hidden="1" customHeight="1" x14ac:dyDescent="0.3">
      <c r="A351" s="94" t="s">
        <v>60</v>
      </c>
      <c r="B351" s="94"/>
      <c r="C351" s="94"/>
      <c r="D351" s="94"/>
      <c r="E351" s="94"/>
      <c r="F351" s="94"/>
      <c r="G351" s="112">
        <f>AU351</f>
      </c>
      <c r="H351" s="113"/>
      <c r="I351" s="94" t="s">
        <v>65</v>
      </c>
      <c r="J351" s="94" t="s">
        <v>124</v>
      </c>
      <c r="K351" s="114">
        <f>P351/3</f>
      </c>
      <c r="L351" s="115">
        <v>38.548000000000002</v>
      </c>
      <c r="M351" s="116">
        <f>L351</f>
      </c>
      <c r="N351" s="117">
        <f>M351-L351</f>
      </c>
      <c r="O351" s="112"/>
      <c r="P351" s="118">
        <f>N351+O351</f>
      </c>
      <c r="Q351" s="94" t="s">
        <v>62</v>
      </c>
      <c r="R351" s="94" t="s">
        <v>63</v>
      </c>
      <c r="S351" s="119">
        <v>46320</v>
      </c>
      <c r="T351" s="119"/>
      <c r="U351" s="119">
        <v>46320</v>
      </c>
      <c r="V351" s="94"/>
      <c r="W351" s="94"/>
      <c r="X351" s="94"/>
      <c r="Y351" s="119">
        <v>46320</v>
      </c>
      <c r="Z351" s="94"/>
      <c r="AA351" s="120"/>
      <c r="AB351" s="120"/>
      <c r="AC351" s="120"/>
      <c r="AD351" s="120"/>
      <c r="AE351" s="120"/>
      <c r="AF351" s="120"/>
      <c r="AG351" s="94"/>
      <c r="AH351" s="120"/>
      <c r="AI351" s="94"/>
      <c r="AJ351" s="94" t="s">
        <v>64</v>
      </c>
      <c r="AK351" s="94" t="s">
        <v>124</v>
      </c>
      <c r="AL351" s="94">
        <v>110</v>
      </c>
      <c r="AM351" s="94" t="str">
        <f>TRIM(AJ351)&amp;TRIM(AL351)&amp;TRIM(AK351)</f>
      </c>
      <c r="AN351" s="116">
        <v>644</v>
      </c>
      <c r="AO351" s="116">
        <v>-97</v>
      </c>
      <c r="AP351" s="116">
        <f>SUMIFS(M:M,AM:AM,AM351)+SUMIFS(O:O,AM:AM,AM351)</f>
      </c>
      <c r="AQ351" s="116">
        <f>SUMIFS(L:L,AM:AM,AM351)</f>
      </c>
      <c r="AR351" s="116">
        <f>AQ351-AP351</f>
      </c>
      <c r="AS351" s="94" t="str">
        <f>IF(AN351&gt;=AQ351,"ok","ck")</f>
      </c>
      <c r="AT351" s="116">
        <f>-P351</f>
      </c>
      <c r="AU351" s="115">
        <f>IF(SUMIFS(AT:AT,AM:AM,AM351)&gt;AO351,(SUMIFS(AT:AT,AM:AM,AM351)-AO351))</f>
      </c>
      <c r="AV351" s="116">
        <v>644</v>
      </c>
      <c r="AW351" s="121">
        <v>1.177</v>
      </c>
      <c r="AX351" s="115">
        <f>AN351-AP351</f>
      </c>
    </row>
    <row r="352" spans="1:50" ht="15" hidden="1" customHeight="1" x14ac:dyDescent="0.3">
      <c r="A352" s="94" t="s">
        <v>60</v>
      </c>
      <c r="B352" s="94"/>
      <c r="C352" s="94"/>
      <c r="D352" s="94"/>
      <c r="E352" s="94"/>
      <c r="F352" s="94"/>
      <c r="G352" s="112">
        <f>AU352</f>
      </c>
      <c r="H352" s="113"/>
      <c r="I352" s="94" t="s">
        <v>482</v>
      </c>
      <c r="J352" s="94" t="s">
        <v>122</v>
      </c>
      <c r="K352" s="114">
        <f>P352/3</f>
      </c>
      <c r="L352" s="115">
        <v>5.0419999999999998</v>
      </c>
      <c r="M352" s="116"/>
      <c r="N352" s="117">
        <f>M352-L352</f>
      </c>
      <c r="O352" s="112"/>
      <c r="P352" s="118">
        <f>N352+O352</f>
      </c>
      <c r="Q352" s="94" t="s">
        <v>781</v>
      </c>
      <c r="R352" s="94" t="s">
        <v>63</v>
      </c>
      <c r="S352" s="119">
        <v>46337</v>
      </c>
      <c r="T352" s="119"/>
      <c r="U352" s="119">
        <v>46337</v>
      </c>
      <c r="V352" s="94"/>
      <c r="W352" s="94"/>
      <c r="X352" s="94"/>
      <c r="Y352" s="119">
        <v>46337</v>
      </c>
      <c r="Z352" s="94"/>
      <c r="AA352" s="120"/>
      <c r="AB352" s="120"/>
      <c r="AC352" s="120"/>
      <c r="AD352" s="120"/>
      <c r="AE352" s="120"/>
      <c r="AF352" s="120"/>
      <c r="AG352" s="94"/>
      <c r="AH352" s="120"/>
      <c r="AI352" s="94"/>
      <c r="AJ352" s="94" t="s">
        <v>781</v>
      </c>
      <c r="AK352" s="94" t="s">
        <v>692</v>
      </c>
      <c r="AL352" s="94">
        <v>110</v>
      </c>
      <c r="AM352" s="94" t="str">
        <f>TRIM(AJ352)&amp;TRIM(AL352)&amp;TRIM(AK352)</f>
      </c>
      <c r="AN352" s="116">
        <v>0</v>
      </c>
      <c r="AO352" s="116" t="inlineStr">
        <is>
          <t>#NA</t>
        </is>
      </c>
      <c r="AP352" s="116">
        <f>SUMIFS(M:M,AM:AM,AM352)+SUMIFS(O:O,AM:AM,AM352)</f>
      </c>
      <c r="AQ352" s="116">
        <f>SUMIFS(L:L,AM:AM,AM352)</f>
      </c>
      <c r="AR352" s="116">
        <f>AQ352-AP352</f>
      </c>
      <c r="AS352" s="94" t="str">
        <f>IF(AN352&gt;=AQ352,"ok","ck")</f>
      </c>
      <c r="AT352" s="116">
        <f>-P352</f>
      </c>
      <c r="AU352" s="115">
        <f>IF(SUMIFS(AT:AT,AM:AM,AM352)&gt;AO352,(SUMIFS(AT:AT,AM:AM,AM352)-AO352))</f>
      </c>
      <c r="AV352" s="116">
        <v>0</v>
      </c>
      <c r="AW352" s="121">
        <v>0</v>
      </c>
      <c r="AX352" s="115">
        <f>AN352-AP352</f>
      </c>
    </row>
    <row r="353" spans="1:50" ht="15" hidden="1" customHeight="1" x14ac:dyDescent="0.3">
      <c r="A353" s="94" t="s">
        <v>60</v>
      </c>
      <c r="B353" s="94"/>
      <c r="C353" s="94"/>
      <c r="D353" s="94"/>
      <c r="E353" s="94"/>
      <c r="F353" s="94"/>
      <c r="G353" s="112">
        <f>AU353</f>
      </c>
      <c r="H353" s="113"/>
      <c r="I353" s="94" t="s">
        <v>482</v>
      </c>
      <c r="J353" s="94" t="s">
        <v>122</v>
      </c>
      <c r="K353" s="114">
        <f>P353/3</f>
      </c>
      <c r="L353" s="115">
        <v>8.6679999999999993</v>
      </c>
      <c r="M353" s="116"/>
      <c r="N353" s="117">
        <f>M353-L353</f>
      </c>
      <c r="O353" s="112"/>
      <c r="P353" s="118">
        <f>N353+O353</f>
      </c>
      <c r="Q353" s="94" t="s">
        <v>781</v>
      </c>
      <c r="R353" s="94" t="s">
        <v>63</v>
      </c>
      <c r="S353" s="119">
        <v>46340</v>
      </c>
      <c r="T353" s="119"/>
      <c r="U353" s="119">
        <v>46340</v>
      </c>
      <c r="V353" s="94"/>
      <c r="W353" s="94"/>
      <c r="X353" s="94"/>
      <c r="Y353" s="119">
        <v>46340</v>
      </c>
      <c r="Z353" s="94"/>
      <c r="AA353" s="120"/>
      <c r="AB353" s="120"/>
      <c r="AC353" s="120"/>
      <c r="AD353" s="120"/>
      <c r="AE353" s="120"/>
      <c r="AF353" s="120"/>
      <c r="AG353" s="94"/>
      <c r="AH353" s="120"/>
      <c r="AI353" s="94"/>
      <c r="AJ353" s="94" t="s">
        <v>781</v>
      </c>
      <c r="AK353" s="94" t="s">
        <v>692</v>
      </c>
      <c r="AL353" s="94">
        <v>110</v>
      </c>
      <c r="AM353" s="94" t="str">
        <f>TRIM(AJ353)&amp;TRIM(AL353)&amp;TRIM(AK353)</f>
      </c>
      <c r="AN353" s="116">
        <v>0</v>
      </c>
      <c r="AO353" s="116" t="inlineStr">
        <is>
          <t>#NA</t>
        </is>
      </c>
      <c r="AP353" s="116">
        <f>SUMIFS(M:M,AM:AM,AM353)+SUMIFS(O:O,AM:AM,AM353)</f>
      </c>
      <c r="AQ353" s="116">
        <f>SUMIFS(L:L,AM:AM,AM353)</f>
      </c>
      <c r="AR353" s="116">
        <f>AQ353-AP353</f>
      </c>
      <c r="AS353" s="94" t="str">
        <f>IF(AN353&gt;=AQ353,"ok","ck")</f>
      </c>
      <c r="AT353" s="116">
        <f>-P353</f>
      </c>
      <c r="AU353" s="115">
        <f>IF(SUMIFS(AT:AT,AM:AM,AM353)&gt;AO353,(SUMIFS(AT:AT,AM:AM,AM353)-AO353))</f>
      </c>
      <c r="AV353" s="116">
        <v>0</v>
      </c>
      <c r="AW353" s="121">
        <v>0</v>
      </c>
      <c r="AX353" s="115">
        <f>AN353-AP353</f>
      </c>
    </row>
    <row r="354" spans="1:50" ht="15" hidden="1" customHeight="1" x14ac:dyDescent="0.3">
      <c r="A354" s="94" t="s">
        <v>60</v>
      </c>
      <c r="B354" s="94"/>
      <c r="C354" s="94"/>
      <c r="D354" s="94"/>
      <c r="E354" s="94"/>
      <c r="F354" s="94"/>
      <c r="G354" s="112">
        <f>AU354</f>
      </c>
      <c r="H354" s="113"/>
      <c r="I354" s="94" t="s">
        <v>482</v>
      </c>
      <c r="J354" s="94" t="s">
        <v>528</v>
      </c>
      <c r="K354" s="114">
        <f>P354/3</f>
      </c>
      <c r="L354" s="115">
        <v>-1.6140000000000001</v>
      </c>
      <c r="M354" s="116">
        <f>L354</f>
      </c>
      <c r="N354" s="117">
        <f>M354-L354</f>
      </c>
      <c r="O354" s="112"/>
      <c r="P354" s="118">
        <f>N354+O354</f>
      </c>
      <c r="Q354" s="94" t="s">
        <v>786</v>
      </c>
      <c r="R354" s="94" t="s">
        <v>63</v>
      </c>
      <c r="S354" s="119">
        <v>46334</v>
      </c>
      <c r="T354" s="119"/>
      <c r="U354" s="119">
        <v>46334</v>
      </c>
      <c r="V354" s="94"/>
      <c r="W354" s="94"/>
      <c r="X354" s="94"/>
      <c r="Y354" s="119">
        <v>46334</v>
      </c>
      <c r="Z354" s="94"/>
      <c r="AA354" s="120"/>
      <c r="AB354" s="120"/>
      <c r="AC354" s="120"/>
      <c r="AD354" s="120"/>
      <c r="AE354" s="120"/>
      <c r="AF354" s="120"/>
      <c r="AG354" s="94"/>
      <c r="AH354" s="120"/>
      <c r="AI354" s="94"/>
      <c r="AJ354" s="94" t="s">
        <v>786</v>
      </c>
      <c r="AK354" s="94" t="s">
        <v>528</v>
      </c>
      <c r="AL354" s="94">
        <v>110</v>
      </c>
      <c r="AM354" s="94" t="str">
        <f>TRIM(AJ354)&amp;TRIM(AL354)&amp;TRIM(AK354)</f>
      </c>
      <c r="AN354" s="116">
        <v>502</v>
      </c>
      <c r="AO354" s="116">
        <v>-32</v>
      </c>
      <c r="AP354" s="116">
        <f>SUMIFS(M:M,AM:AM,AM354)+SUMIFS(O:O,AM:AM,AM354)</f>
      </c>
      <c r="AQ354" s="116">
        <f>SUMIFS(L:L,AM:AM,AM354)</f>
      </c>
      <c r="AR354" s="116">
        <f>AQ354-AP354</f>
      </c>
      <c r="AS354" s="94" t="str">
        <f>IF(AN354&gt;=AQ354,"ok","ck")</f>
      </c>
      <c r="AT354" s="116">
        <f>-P354</f>
      </c>
      <c r="AU354" s="115">
        <f>IF(SUMIFS(AT:AT,AM:AM,AM354)&gt;AO354,(SUMIFS(AT:AT,AM:AM,AM354)-AO354))</f>
      </c>
      <c r="AV354" s="116">
        <v>502</v>
      </c>
      <c r="AW354" s="121">
        <v>1.068</v>
      </c>
      <c r="AX354" s="115">
        <f>AN354-AP354</f>
      </c>
    </row>
    <row r="355" spans="1:50" ht="15" hidden="1" customHeight="1" x14ac:dyDescent="0.3">
      <c r="A355" s="94" t="s">
        <v>60</v>
      </c>
      <c r="B355" s="94"/>
      <c r="C355" s="94"/>
      <c r="D355" s="94"/>
      <c r="E355" s="94"/>
      <c r="F355" s="94"/>
      <c r="G355" s="112">
        <f>AU355</f>
      </c>
      <c r="H355" s="113"/>
      <c r="I355" s="94" t="s">
        <v>65</v>
      </c>
      <c r="J355" s="94" t="s">
        <v>66</v>
      </c>
      <c r="K355" s="114">
        <f>P355/3</f>
      </c>
      <c r="L355" s="115">
        <v>44</v>
      </c>
      <c r="M355" s="116">
        <v>11.638999999999999</v>
      </c>
      <c r="N355" s="117">
        <f>M355-L355</f>
      </c>
      <c r="O355" s="112"/>
      <c r="P355" s="118">
        <f>N355+O355</f>
      </c>
      <c r="Q355" s="94" t="s">
        <v>67</v>
      </c>
      <c r="R355" s="94" t="s">
        <v>63</v>
      </c>
      <c r="S355" s="119">
        <v>46325</v>
      </c>
      <c r="T355" s="119"/>
      <c r="U355" s="119">
        <v>46325</v>
      </c>
      <c r="V355" s="94"/>
      <c r="W355" s="94"/>
      <c r="X355" s="94"/>
      <c r="Y355" s="119">
        <v>46320</v>
      </c>
      <c r="Z355" s="94"/>
      <c r="AA355" s="120"/>
      <c r="AB355" s="120"/>
      <c r="AC355" s="120"/>
      <c r="AD355" s="120"/>
      <c r="AE355" s="120"/>
      <c r="AF355" s="120"/>
      <c r="AG355" s="94"/>
      <c r="AH355" s="120"/>
      <c r="AI355" s="94"/>
      <c r="AJ355" s="94" t="s">
        <v>67</v>
      </c>
      <c r="AK355" s="94" t="s">
        <v>66</v>
      </c>
      <c r="AL355" s="94">
        <v>110</v>
      </c>
      <c r="AM355" s="94" t="str">
        <f>TRIM(AJ355)&amp;TRIM(AL355)&amp;TRIM(AK355)</f>
      </c>
      <c r="AN355" s="116">
        <v>1536.41</v>
      </c>
      <c r="AO355" s="116">
        <v>113.59</v>
      </c>
      <c r="AP355" s="116">
        <f>SUMIFS(M:M,AM:AM,AM355)+SUMIFS(O:O,AM:AM,AM355)</f>
      </c>
      <c r="AQ355" s="116">
        <f>SUMIFS(L:L,AM:AM,AM355)</f>
      </c>
      <c r="AR355" s="116">
        <f>AQ355-AP355</f>
      </c>
      <c r="AS355" s="94" t="str">
        <f>IF(AN355&gt;=AQ355,"ok","ck")</f>
      </c>
      <c r="AT355" s="116">
        <f>-P355</f>
      </c>
      <c r="AU355" s="115">
        <f>IF(SUMIFS(AT:AT,AM:AM,AM355)&gt;AO355,(SUMIFS(AT:AT,AM:AM,AM355)-AO355))</f>
      </c>
      <c r="AV355" s="116">
        <v>1536.41</v>
      </c>
      <c r="AW355" s="121">
        <v>0.931</v>
      </c>
      <c r="AX355" s="115">
        <f>AN355-AP355</f>
      </c>
    </row>
    <row r="356" spans="1:50" ht="15" hidden="1" customHeight="1" x14ac:dyDescent="0.3">
      <c r="A356" s="94" t="s">
        <v>60</v>
      </c>
      <c r="B356" s="94"/>
      <c r="C356" s="94"/>
      <c r="D356" s="94"/>
      <c r="E356" s="94"/>
      <c r="F356" s="94"/>
      <c r="G356" s="112">
        <f>AU356</f>
      </c>
      <c r="H356" s="113"/>
      <c r="I356" s="94" t="s">
        <v>65</v>
      </c>
      <c r="J356" s="94" t="s">
        <v>66</v>
      </c>
      <c r="K356" s="114">
        <f>P356/3</f>
      </c>
      <c r="L356" s="115">
        <v>10</v>
      </c>
      <c r="M356" s="116"/>
      <c r="N356" s="117">
        <f>M356-L356</f>
      </c>
      <c r="O356" s="112"/>
      <c r="P356" s="118">
        <f>N356+O356</f>
      </c>
      <c r="Q356" s="94" t="s">
        <v>67</v>
      </c>
      <c r="R356" s="94" t="s">
        <v>63</v>
      </c>
      <c r="S356" s="119">
        <v>46325</v>
      </c>
      <c r="T356" s="119"/>
      <c r="U356" s="119">
        <v>46325</v>
      </c>
      <c r="V356" s="94"/>
      <c r="W356" s="94"/>
      <c r="X356" s="94"/>
      <c r="Y356" s="119">
        <v>46321</v>
      </c>
      <c r="Z356" s="94"/>
      <c r="AA356" s="120"/>
      <c r="AB356" s="120"/>
      <c r="AC356" s="120"/>
      <c r="AD356" s="120"/>
      <c r="AE356" s="120"/>
      <c r="AF356" s="120"/>
      <c r="AG356" s="94"/>
      <c r="AH356" s="120"/>
      <c r="AI356" s="94"/>
      <c r="AJ356" s="94" t="s">
        <v>67</v>
      </c>
      <c r="AK356" s="94" t="s">
        <v>66</v>
      </c>
      <c r="AL356" s="94">
        <v>110</v>
      </c>
      <c r="AM356" s="94" t="str">
        <f>TRIM(AJ356)&amp;TRIM(AL356)&amp;TRIM(AK356)</f>
      </c>
      <c r="AN356" s="116">
        <v>1536.41</v>
      </c>
      <c r="AO356" s="116">
        <v>113.59</v>
      </c>
      <c r="AP356" s="116">
        <f>SUMIFS(M:M,AM:AM,AM356)+SUMIFS(O:O,AM:AM,AM356)</f>
      </c>
      <c r="AQ356" s="116">
        <f>SUMIFS(L:L,AM:AM,AM356)</f>
      </c>
      <c r="AR356" s="116">
        <f>AQ356-AP356</f>
      </c>
      <c r="AS356" s="94" t="str">
        <f>IF(AN356&gt;=AQ356,"ok","ck")</f>
      </c>
      <c r="AT356" s="116">
        <f>-P356</f>
      </c>
      <c r="AU356" s="115">
        <f>IF(SUMIFS(AT:AT,AM:AM,AM356)&gt;AO356,(SUMIFS(AT:AT,AM:AM,AM356)-AO356))</f>
      </c>
      <c r="AV356" s="116">
        <v>1536.41</v>
      </c>
      <c r="AW356" s="121">
        <v>0.931</v>
      </c>
      <c r="AX356" s="115">
        <f>AN356-AP356</f>
      </c>
    </row>
    <row r="357" spans="1:50" ht="15" hidden="1" customHeight="1" x14ac:dyDescent="0.3">
      <c r="A357" s="94" t="s">
        <v>60</v>
      </c>
      <c r="B357" s="94"/>
      <c r="C357" s="94"/>
      <c r="D357" s="94"/>
      <c r="E357" s="94"/>
      <c r="F357" s="94"/>
      <c r="G357" s="112">
        <f>AU357</f>
      </c>
      <c r="H357" s="113"/>
      <c r="I357" s="94" t="s">
        <v>65</v>
      </c>
      <c r="J357" s="94" t="s">
        <v>66</v>
      </c>
      <c r="K357" s="114">
        <f>P357/3</f>
      </c>
      <c r="L357" s="115">
        <v>12</v>
      </c>
      <c r="M357" s="116"/>
      <c r="N357" s="117">
        <f>M357-L357</f>
      </c>
      <c r="O357" s="112"/>
      <c r="P357" s="118">
        <f>N357+O357</f>
      </c>
      <c r="Q357" s="94" t="s">
        <v>67</v>
      </c>
      <c r="R357" s="94" t="s">
        <v>63</v>
      </c>
      <c r="S357" s="119">
        <v>46325</v>
      </c>
      <c r="T357" s="119"/>
      <c r="U357" s="119">
        <v>46325</v>
      </c>
      <c r="V357" s="94"/>
      <c r="W357" s="94"/>
      <c r="X357" s="94"/>
      <c r="Y357" s="119">
        <v>46320</v>
      </c>
      <c r="Z357" s="94"/>
      <c r="AA357" s="120"/>
      <c r="AB357" s="120"/>
      <c r="AC357" s="120"/>
      <c r="AD357" s="120"/>
      <c r="AE357" s="120"/>
      <c r="AF357" s="120"/>
      <c r="AG357" s="94"/>
      <c r="AH357" s="120"/>
      <c r="AI357" s="94"/>
      <c r="AJ357" s="94" t="s">
        <v>67</v>
      </c>
      <c r="AK357" s="94" t="s">
        <v>66</v>
      </c>
      <c r="AL357" s="94">
        <v>110</v>
      </c>
      <c r="AM357" s="94" t="str">
        <f>TRIM(AJ357)&amp;TRIM(AL357)&amp;TRIM(AK357)</f>
      </c>
      <c r="AN357" s="116">
        <v>1536.41</v>
      </c>
      <c r="AO357" s="116">
        <v>113.59</v>
      </c>
      <c r="AP357" s="116">
        <f>SUMIFS(M:M,AM:AM,AM357)+SUMIFS(O:O,AM:AM,AM357)</f>
      </c>
      <c r="AQ357" s="116">
        <f>SUMIFS(L:L,AM:AM,AM357)</f>
      </c>
      <c r="AR357" s="116">
        <f>AQ357-AP357</f>
      </c>
      <c r="AS357" s="94" t="str">
        <f>IF(AN357&gt;=AQ357,"ok","ck")</f>
      </c>
      <c r="AT357" s="116">
        <f>-P357</f>
      </c>
      <c r="AU357" s="115">
        <f>IF(SUMIFS(AT:AT,AM:AM,AM357)&gt;AO357,(SUMIFS(AT:AT,AM:AM,AM357)-AO357))</f>
      </c>
      <c r="AV357" s="116">
        <v>1536.41</v>
      </c>
      <c r="AW357" s="121">
        <v>0.931</v>
      </c>
      <c r="AX357" s="115">
        <f>AN357-AP357</f>
      </c>
    </row>
    <row r="358" spans="1:50" ht="15" hidden="1" customHeight="1" x14ac:dyDescent="0.3">
      <c r="A358" s="94" t="s">
        <v>268</v>
      </c>
      <c r="B358" s="94"/>
      <c r="C358" s="94"/>
      <c r="D358" s="94"/>
      <c r="E358" s="94"/>
      <c r="F358" s="94"/>
      <c r="G358" s="112">
        <f>AU358</f>
      </c>
      <c r="H358" s="113"/>
      <c r="I358" s="94" t="s">
        <v>278</v>
      </c>
      <c r="J358" s="94" t="s">
        <v>293</v>
      </c>
      <c r="K358" s="114">
        <f>P358/3</f>
      </c>
      <c r="L358" s="115">
        <v>-0.877</v>
      </c>
      <c r="M358" s="116">
        <f>L358</f>
      </c>
      <c r="N358" s="117">
        <f>M358-L358</f>
      </c>
      <c r="O358" s="112"/>
      <c r="P358" s="118">
        <f>N358+O358</f>
      </c>
      <c r="Q358" s="94" t="s">
        <v>309</v>
      </c>
      <c r="R358" s="94" t="s">
        <v>63</v>
      </c>
      <c r="S358" s="119">
        <v>46320</v>
      </c>
      <c r="T358" s="119"/>
      <c r="U358" s="119">
        <v>46320</v>
      </c>
      <c r="V358" s="94"/>
      <c r="W358" s="94"/>
      <c r="X358" s="94"/>
      <c r="Y358" s="119">
        <v>46320</v>
      </c>
      <c r="Z358" s="94"/>
      <c r="AA358" s="120"/>
      <c r="AB358" s="120"/>
      <c r="AC358" s="120"/>
      <c r="AD358" s="120"/>
      <c r="AE358" s="120"/>
      <c r="AF358" s="120"/>
      <c r="AG358" s="94"/>
      <c r="AH358" s="120"/>
      <c r="AI358" s="94"/>
      <c r="AJ358" s="94" t="s">
        <v>309</v>
      </c>
      <c r="AK358" s="94" t="s">
        <v>294</v>
      </c>
      <c r="AL358" s="94">
        <v>120</v>
      </c>
      <c r="AM358" s="94" t="str">
        <f>TRIM(AJ358)&amp;TRIM(AL358)&amp;TRIM(AK358)</f>
      </c>
      <c r="AN358" s="116">
        <v>1140</v>
      </c>
      <c r="AO358" s="116">
        <v>-31.03</v>
      </c>
      <c r="AP358" s="116">
        <f>SUMIFS(M:M,AM:AM,AM358)+SUMIFS(O:O,AM:AM,AM358)</f>
      </c>
      <c r="AQ358" s="116">
        <f>SUMIFS(L:L,AM:AM,AM358)</f>
      </c>
      <c r="AR358" s="116">
        <f>AQ358-AP358</f>
      </c>
      <c r="AS358" s="94" t="str">
        <f>IF(AN358&gt;=AQ358,"ok","ck")</f>
      </c>
      <c r="AT358" s="116">
        <f>-P358</f>
      </c>
      <c r="AU358" s="115">
        <f>IF(SUMIFS(AT:AT,AM:AM,AM358)&gt;AO358,(SUMIFS(AT:AT,AM:AM,AM358)-AO358))</f>
      </c>
      <c r="AV358" s="116">
        <v>1115</v>
      </c>
      <c r="AW358" s="121">
        <v>1.02</v>
      </c>
      <c r="AX358" s="115">
        <f>AN358-AP358</f>
      </c>
    </row>
    <row r="359" spans="1:50" ht="15" hidden="1" customHeight="1" x14ac:dyDescent="0.3">
      <c r="A359" s="94" t="s">
        <v>268</v>
      </c>
      <c r="B359" s="94"/>
      <c r="C359" s="94"/>
      <c r="D359" s="94"/>
      <c r="E359" s="94"/>
      <c r="F359" s="94"/>
      <c r="G359" s="112">
        <f>AU359</f>
      </c>
      <c r="H359" s="113"/>
      <c r="I359" s="94" t="s">
        <v>390</v>
      </c>
      <c r="J359" s="94" t="s">
        <v>328</v>
      </c>
      <c r="K359" s="114">
        <f>P359/3</f>
      </c>
      <c r="L359" s="115">
        <v>2759.0880000000002</v>
      </c>
      <c r="M359" s="116"/>
      <c r="N359" s="117">
        <f>M359-L359</f>
      </c>
      <c r="O359" s="112"/>
      <c r="P359" s="118">
        <f>N359+O359</f>
      </c>
      <c r="Q359" s="94" t="s">
        <v>305</v>
      </c>
      <c r="R359" s="94" t="s">
        <v>63</v>
      </c>
      <c r="S359" s="119">
        <v>46340</v>
      </c>
      <c r="T359" s="119"/>
      <c r="U359" s="119" t="s">
        <v>640</v>
      </c>
      <c r="V359" s="94"/>
      <c r="W359" s="94"/>
      <c r="X359" s="94"/>
      <c r="Y359" s="119">
        <v>46326</v>
      </c>
      <c r="Z359" s="94"/>
      <c r="AA359" s="120"/>
      <c r="AB359" s="120"/>
      <c r="AC359" s="120"/>
      <c r="AD359" s="120"/>
      <c r="AE359" s="120"/>
      <c r="AF359" s="120"/>
      <c r="AG359" s="94"/>
      <c r="AH359" s="120"/>
      <c r="AI359" s="94"/>
      <c r="AJ359" s="94" t="s">
        <v>305</v>
      </c>
      <c r="AK359" s="94" t="s">
        <v>329</v>
      </c>
      <c r="AL359" s="94">
        <v>140</v>
      </c>
      <c r="AM359" s="94" t="str">
        <f>TRIM(AJ359)&amp;TRIM(AL359)&amp;TRIM(AK359)</f>
      </c>
      <c r="AN359" s="116">
        <v>0</v>
      </c>
      <c r="AO359" s="116" t="inlineStr">
        <is>
          <t>#NA</t>
        </is>
      </c>
      <c r="AP359" s="116">
        <f>SUMIFS(M:M,AM:AM,AM359)+SUMIFS(O:O,AM:AM,AM359)</f>
      </c>
      <c r="AQ359" s="116">
        <f>SUMIFS(L:L,AM:AM,AM359)</f>
      </c>
      <c r="AR359" s="116">
        <f>AQ359-AP359</f>
      </c>
      <c r="AS359" s="94" t="str">
        <f>IF(AN359&gt;=AQ359,"ok","ck")</f>
      </c>
      <c r="AT359" s="116">
        <f>-P359</f>
      </c>
      <c r="AU359" s="115">
        <f>IF(SUMIFS(AT:AT,AM:AM,AM359)&gt;AO359,(SUMIFS(AT:AT,AM:AM,AM359)-AO359))</f>
      </c>
      <c r="AV359" s="116">
        <v>0</v>
      </c>
      <c r="AW359" s="121">
        <v>0</v>
      </c>
      <c r="AX359" s="115">
        <f>AN359-AP359</f>
      </c>
    </row>
    <row r="360" spans="1:50" ht="15" hidden="1" customHeight="1" x14ac:dyDescent="0.3">
      <c r="A360" s="94" t="s">
        <v>268</v>
      </c>
      <c r="B360" s="94"/>
      <c r="C360" s="94"/>
      <c r="D360" s="94"/>
      <c r="E360" s="94"/>
      <c r="F360" s="94"/>
      <c r="G360" s="112">
        <f>AU360</f>
      </c>
      <c r="H360" s="113"/>
      <c r="I360" s="94" t="s">
        <v>390</v>
      </c>
      <c r="J360" s="94" t="s">
        <v>381</v>
      </c>
      <c r="K360" s="114">
        <f>P360/3</f>
      </c>
      <c r="L360" s="115">
        <v>705</v>
      </c>
      <c r="M360" s="116"/>
      <c r="N360" s="117">
        <f>M360-L360</f>
      </c>
      <c r="O360" s="112"/>
      <c r="P360" s="118">
        <f>N360+O360</f>
      </c>
      <c r="Q360" s="94" t="s">
        <v>305</v>
      </c>
      <c r="R360" s="94" t="s">
        <v>63</v>
      </c>
      <c r="S360" s="119">
        <v>46335</v>
      </c>
      <c r="T360" s="119"/>
      <c r="U360" s="119">
        <v>46335</v>
      </c>
      <c r="V360" s="94"/>
      <c r="W360" s="94"/>
      <c r="X360" s="94"/>
      <c r="Y360" s="119">
        <v>46333</v>
      </c>
      <c r="Z360" s="94"/>
      <c r="AA360" s="120"/>
      <c r="AB360" s="120"/>
      <c r="AC360" s="120"/>
      <c r="AD360" s="120"/>
      <c r="AE360" s="120"/>
      <c r="AF360" s="120"/>
      <c r="AG360" s="94"/>
      <c r="AH360" s="120"/>
      <c r="AI360" s="94"/>
      <c r="AJ360" s="94" t="s">
        <v>305</v>
      </c>
      <c r="AK360" s="94" t="s">
        <v>381</v>
      </c>
      <c r="AL360" s="94">
        <v>140</v>
      </c>
      <c r="AM360" s="94" t="str">
        <f>TRIM(AJ360)&amp;TRIM(AL360)&amp;TRIM(AK360)</f>
      </c>
      <c r="AN360" s="116">
        <v>0</v>
      </c>
      <c r="AO360" s="116" t="inlineStr">
        <is>
          <t>#NA</t>
        </is>
      </c>
      <c r="AP360" s="116">
        <f>SUMIFS(M:M,AM:AM,AM360)+SUMIFS(O:O,AM:AM,AM360)</f>
      </c>
      <c r="AQ360" s="116">
        <f>SUMIFS(L:L,AM:AM,AM360)</f>
      </c>
      <c r="AR360" s="116">
        <f>AQ360-AP360</f>
      </c>
      <c r="AS360" s="94" t="str">
        <f>IF(AN360&gt;=AQ360,"ok","ck")</f>
      </c>
      <c r="AT360" s="116">
        <f>-P360</f>
      </c>
      <c r="AU360" s="115">
        <f>IF(SUMIFS(AT:AT,AM:AM,AM360)&gt;AO360,(SUMIFS(AT:AT,AM:AM,AM360)-AO360))</f>
      </c>
      <c r="AV360" s="116">
        <v>0</v>
      </c>
      <c r="AW360" s="121">
        <v>0</v>
      </c>
      <c r="AX360" s="115">
        <f>AN360-AP360</f>
      </c>
    </row>
    <row r="361" spans="1:50" ht="15" hidden="1" customHeight="1" x14ac:dyDescent="0.3">
      <c r="A361" s="94" t="s">
        <v>268</v>
      </c>
      <c r="B361" s="94"/>
      <c r="C361" s="94"/>
      <c r="D361" s="94"/>
      <c r="E361" s="94"/>
      <c r="F361" s="94"/>
      <c r="G361" s="112">
        <f>AU361</f>
      </c>
      <c r="H361" s="113"/>
      <c r="I361" s="94" t="s">
        <v>390</v>
      </c>
      <c r="J361" s="94" t="s">
        <v>381</v>
      </c>
      <c r="K361" s="114">
        <f>P361/3</f>
      </c>
      <c r="L361" s="115">
        <v>427</v>
      </c>
      <c r="M361" s="116"/>
      <c r="N361" s="117">
        <f>M361-L361</f>
      </c>
      <c r="O361" s="112"/>
      <c r="P361" s="118">
        <f>N361+O361</f>
      </c>
      <c r="Q361" s="94" t="s">
        <v>305</v>
      </c>
      <c r="R361" s="94" t="s">
        <v>63</v>
      </c>
      <c r="S361" s="119">
        <v>46335</v>
      </c>
      <c r="T361" s="119"/>
      <c r="U361" s="120">
        <v>46335</v>
      </c>
      <c r="V361" s="94"/>
      <c r="W361" s="94"/>
      <c r="X361" s="94"/>
      <c r="Y361" s="119">
        <v>46333</v>
      </c>
      <c r="Z361" s="94"/>
      <c r="AA361" s="120"/>
      <c r="AB361" s="120"/>
      <c r="AC361" s="120"/>
      <c r="AD361" s="120"/>
      <c r="AE361" s="120"/>
      <c r="AF361" s="120"/>
      <c r="AG361" s="94"/>
      <c r="AH361" s="120"/>
      <c r="AI361" s="94"/>
      <c r="AJ361" s="94" t="s">
        <v>305</v>
      </c>
      <c r="AK361" s="94" t="s">
        <v>381</v>
      </c>
      <c r="AL361" s="94">
        <v>140</v>
      </c>
      <c r="AM361" s="94" t="str">
        <f>TRIM(AJ361)&amp;TRIM(AL361)&amp;TRIM(AK361)</f>
      </c>
      <c r="AN361" s="116">
        <v>0</v>
      </c>
      <c r="AO361" s="116" t="inlineStr">
        <is>
          <t>#NA</t>
        </is>
      </c>
      <c r="AP361" s="116">
        <f>SUMIFS(M:M,AM:AM,AM361)+SUMIFS(O:O,AM:AM,AM361)</f>
      </c>
      <c r="AQ361" s="116">
        <f>SUMIFS(L:L,AM:AM,AM361)</f>
      </c>
      <c r="AR361" s="116">
        <f>AQ361-AP361</f>
      </c>
      <c r="AS361" s="94" t="str">
        <f>IF(AN361&gt;=AQ361,"ok","ck")</f>
      </c>
      <c r="AT361" s="116">
        <f>-P361</f>
      </c>
      <c r="AU361" s="115">
        <f>IF(SUMIFS(AT:AT,AM:AM,AM361)&gt;AO361,(SUMIFS(AT:AT,AM:AM,AM361)-AO361))</f>
      </c>
      <c r="AV361" s="116">
        <v>0</v>
      </c>
      <c r="AW361" s="121">
        <v>0</v>
      </c>
      <c r="AX361" s="115">
        <f>AN361-AP361</f>
      </c>
    </row>
    <row r="362" spans="1:50" ht="15" hidden="1" customHeight="1" x14ac:dyDescent="0.3">
      <c r="A362" s="94" t="s">
        <v>60</v>
      </c>
      <c r="B362" s="94"/>
      <c r="C362" s="94"/>
      <c r="D362" s="94"/>
      <c r="E362" s="94"/>
      <c r="F362" s="94"/>
      <c r="G362" s="112">
        <f>AU362</f>
      </c>
      <c r="H362" s="113"/>
      <c r="I362" s="94" t="s">
        <v>123</v>
      </c>
      <c r="J362" s="94" t="s">
        <v>124</v>
      </c>
      <c r="K362" s="114">
        <f>P362/3</f>
      </c>
      <c r="L362" s="115">
        <v>-109.76</v>
      </c>
      <c r="M362" s="116">
        <f>L362</f>
      </c>
      <c r="N362" s="117">
        <f>M362-L362</f>
      </c>
      <c r="O362" s="112"/>
      <c r="P362" s="118">
        <f>N362+O362</f>
      </c>
      <c r="Q362" s="94" t="s">
        <v>62</v>
      </c>
      <c r="R362" s="94" t="s">
        <v>63</v>
      </c>
      <c r="S362" s="119">
        <v>46320</v>
      </c>
      <c r="T362" s="119"/>
      <c r="U362" s="120">
        <v>46320</v>
      </c>
      <c r="V362" s="94"/>
      <c r="W362" s="94"/>
      <c r="X362" s="94"/>
      <c r="Y362" s="119">
        <v>46320</v>
      </c>
      <c r="Z362" s="94"/>
      <c r="AA362" s="120"/>
      <c r="AB362" s="120"/>
      <c r="AC362" s="120"/>
      <c r="AD362" s="120"/>
      <c r="AE362" s="120"/>
      <c r="AF362" s="120"/>
      <c r="AG362" s="94"/>
      <c r="AH362" s="120"/>
      <c r="AI362" s="94"/>
      <c r="AJ362" s="94" t="s">
        <v>64</v>
      </c>
      <c r="AK362" s="94" t="s">
        <v>124</v>
      </c>
      <c r="AL362" s="94">
        <v>140</v>
      </c>
      <c r="AM362" s="94" t="str">
        <f>TRIM(AJ362)&amp;TRIM(AL362)&amp;TRIM(AK362)</f>
      </c>
      <c r="AN362" s="116">
        <v>5957</v>
      </c>
      <c r="AO362" s="116">
        <v>-68</v>
      </c>
      <c r="AP362" s="116">
        <f>SUMIFS(M:M,AM:AM,AM362)+SUMIFS(O:O,AM:AM,AM362)</f>
      </c>
      <c r="AQ362" s="116">
        <f>SUMIFS(L:L,AM:AM,AM362)</f>
      </c>
      <c r="AR362" s="116">
        <f>AQ362-AP362</f>
      </c>
      <c r="AS362" s="94" t="str">
        <f>IF(AN362&gt;=AQ362,"ok","ck")</f>
      </c>
      <c r="AT362" s="116">
        <f>-P362</f>
      </c>
      <c r="AU362" s="115">
        <f>IF(SUMIFS(AT:AT,AM:AM,AM362)&gt;AO362,(SUMIFS(AT:AT,AM:AM,AM362)-AO362))</f>
      </c>
      <c r="AV362" s="116">
        <v>5957</v>
      </c>
      <c r="AW362" s="121">
        <v>1.012</v>
      </c>
      <c r="AX362" s="115">
        <f>AN362-AP362</f>
      </c>
    </row>
    <row r="363" spans="1:50" ht="15" hidden="1" customHeight="1" x14ac:dyDescent="0.3">
      <c r="A363" s="94" t="s">
        <v>60</v>
      </c>
      <c r="B363" s="94"/>
      <c r="C363" s="94"/>
      <c r="D363" s="94"/>
      <c r="E363" s="94"/>
      <c r="F363" s="94"/>
      <c r="G363" s="112">
        <f>AU363</f>
      </c>
      <c r="H363" s="113"/>
      <c r="I363" s="94" t="s">
        <v>70</v>
      </c>
      <c r="J363" s="94" t="s">
        <v>73</v>
      </c>
      <c r="K363" s="114">
        <f>P363/3</f>
      </c>
      <c r="L363" s="115">
        <v>-49.09</v>
      </c>
      <c r="M363" s="116">
        <f>L363</f>
      </c>
      <c r="N363" s="117">
        <f>M363-L363</f>
      </c>
      <c r="O363" s="112"/>
      <c r="P363" s="118">
        <f>N363+O363</f>
      </c>
      <c r="Q363" s="94" t="s">
        <v>117</v>
      </c>
      <c r="R363" s="94" t="s">
        <v>63</v>
      </c>
      <c r="S363" s="119">
        <v>46326</v>
      </c>
      <c r="T363" s="119"/>
      <c r="U363" s="120">
        <v>46326</v>
      </c>
      <c r="V363" s="94"/>
      <c r="W363" s="94"/>
      <c r="X363" s="94"/>
      <c r="Y363" s="119">
        <v>46326</v>
      </c>
      <c r="Z363" s="94"/>
      <c r="AA363" s="120"/>
      <c r="AB363" s="120"/>
      <c r="AC363" s="120"/>
      <c r="AD363" s="120"/>
      <c r="AE363" s="120"/>
      <c r="AF363" s="120"/>
      <c r="AG363" s="94"/>
      <c r="AH363" s="120"/>
      <c r="AI363" s="94"/>
      <c r="AJ363" s="94" t="s">
        <v>117</v>
      </c>
      <c r="AK363" s="94" t="s">
        <v>716</v>
      </c>
      <c r="AL363" s="94">
        <v>140</v>
      </c>
      <c r="AM363" s="94" t="str">
        <f>TRIM(AJ363)&amp;TRIM(AL363)&amp;TRIM(AK363)</f>
      </c>
      <c r="AN363" s="116">
        <v>3869</v>
      </c>
      <c r="AO363" s="116">
        <v>-48</v>
      </c>
      <c r="AP363" s="116">
        <f>SUMIFS(M:M,AM:AM,AM363)+SUMIFS(O:O,AM:AM,AM363)</f>
      </c>
      <c r="AQ363" s="116">
        <f>SUMIFS(L:L,AM:AM,AM363)</f>
      </c>
      <c r="AR363" s="116">
        <f>AQ363-AP363</f>
      </c>
      <c r="AS363" s="94" t="str">
        <f>IF(AN363&gt;=AQ363,"ok","ck")</f>
      </c>
      <c r="AT363" s="116">
        <f>-P363</f>
      </c>
      <c r="AU363" s="115">
        <f>IF(SUMIFS(AT:AT,AM:AM,AM363)&gt;AO363,(SUMIFS(AT:AT,AM:AM,AM363)-AO363))</f>
      </c>
      <c r="AV363" s="116">
        <v>3869</v>
      </c>
      <c r="AW363" s="121">
        <v>1.013</v>
      </c>
      <c r="AX363" s="115">
        <f>AN363-AP363</f>
      </c>
    </row>
    <row r="364" spans="1:50" ht="15" hidden="1" customHeight="1" x14ac:dyDescent="0.3">
      <c r="A364" s="94" t="s">
        <v>263</v>
      </c>
      <c r="B364" s="94"/>
      <c r="C364" s="94"/>
      <c r="D364" s="94"/>
      <c r="E364" s="94"/>
      <c r="F364" s="94"/>
      <c r="G364" s="112">
        <f>AU364</f>
      </c>
      <c r="H364" s="113"/>
      <c r="I364" s="94" t="s">
        <v>264</v>
      </c>
      <c r="J364" s="94" t="s">
        <v>381</v>
      </c>
      <c r="K364" s="114">
        <f>P364/3</f>
      </c>
      <c r="L364" s="115">
        <v>-2.2679999999999998</v>
      </c>
      <c r="M364" s="116">
        <f>L364</f>
      </c>
      <c r="N364" s="117">
        <f>M364-L364</f>
      </c>
      <c r="O364" s="112"/>
      <c r="P364" s="118">
        <f>N364+O364</f>
      </c>
      <c r="Q364" s="94" t="s">
        <v>361</v>
      </c>
      <c r="R364" s="94" t="s">
        <v>63</v>
      </c>
      <c r="S364" s="119">
        <v>46320</v>
      </c>
      <c r="T364" s="119"/>
      <c r="U364" s="120">
        <v>46320</v>
      </c>
      <c r="V364" s="94"/>
      <c r="W364" s="94"/>
      <c r="X364" s="94"/>
      <c r="Y364" s="119">
        <v>46320</v>
      </c>
      <c r="Z364" s="94"/>
      <c r="AA364" s="120"/>
      <c r="AB364" s="120"/>
      <c r="AC364" s="120"/>
      <c r="AD364" s="120"/>
      <c r="AE364" s="120"/>
      <c r="AF364" s="120"/>
      <c r="AG364" s="94"/>
      <c r="AH364" s="120"/>
      <c r="AI364" s="94"/>
      <c r="AJ364" s="94" t="s">
        <v>361</v>
      </c>
      <c r="AK364" s="94" t="s">
        <v>381</v>
      </c>
      <c r="AL364" s="94">
        <v>120</v>
      </c>
      <c r="AM364" s="94" t="str">
        <f>TRIM(AJ364)&amp;TRIM(AL364)&amp;TRIM(AK364)</f>
      </c>
      <c r="AN364" s="116">
        <v>1959</v>
      </c>
      <c r="AO364" s="116">
        <v>-38</v>
      </c>
      <c r="AP364" s="116">
        <f>SUMIFS(M:M,AM:AM,AM364)+SUMIFS(O:O,AM:AM,AM364)</f>
      </c>
      <c r="AQ364" s="116">
        <f>SUMIFS(L:L,AM:AM,AM364)</f>
      </c>
      <c r="AR364" s="116">
        <f>AQ364-AP364</f>
      </c>
      <c r="AS364" s="94" t="str">
        <f>IF(AN364&gt;=AQ364,"ok","ck")</f>
      </c>
      <c r="AT364" s="116">
        <f>-P364</f>
      </c>
      <c r="AU364" s="115">
        <f>IF(SUMIFS(AT:AT,AM:AM,AM364)&gt;AO364,(SUMIFS(AT:AT,AM:AM,AM364)-AO364))</f>
      </c>
      <c r="AV364" s="116">
        <v>1959</v>
      </c>
      <c r="AW364" s="121">
        <v>1.02</v>
      </c>
      <c r="AX364" s="115">
        <f>AN364-AP364</f>
      </c>
    </row>
    <row r="365" spans="1:50" ht="15" hidden="1" customHeight="1" x14ac:dyDescent="0.3">
      <c r="A365" s="94" t="s">
        <v>268</v>
      </c>
      <c r="B365" s="94"/>
      <c r="C365" s="94"/>
      <c r="D365" s="94"/>
      <c r="E365" s="94"/>
      <c r="F365" s="94"/>
      <c r="G365" s="112">
        <f>AU365</f>
      </c>
      <c r="H365" s="113"/>
      <c r="I365" s="94" t="s">
        <v>269</v>
      </c>
      <c r="J365" s="94" t="s">
        <v>353</v>
      </c>
      <c r="K365" s="114">
        <f>P365/3</f>
      </c>
      <c r="L365" s="115">
        <v>3.01</v>
      </c>
      <c r="M365" s="116"/>
      <c r="N365" s="117">
        <f>M365-L365</f>
      </c>
      <c r="O365" s="112"/>
      <c r="P365" s="118">
        <f>N365+O365</f>
      </c>
      <c r="Q365" s="94" t="s">
        <v>774</v>
      </c>
      <c r="R365" s="94" t="s">
        <v>63</v>
      </c>
      <c r="S365" s="119">
        <v>46347</v>
      </c>
      <c r="T365" s="119"/>
      <c r="U365" s="120">
        <v>46347</v>
      </c>
      <c r="V365" s="94"/>
      <c r="W365" s="94"/>
      <c r="X365" s="94"/>
      <c r="Y365" s="119">
        <v>46338</v>
      </c>
      <c r="Z365" s="94"/>
      <c r="AA365" s="120"/>
      <c r="AB365" s="120"/>
      <c r="AC365" s="120"/>
      <c r="AD365" s="120"/>
      <c r="AE365" s="120"/>
      <c r="AF365" s="120"/>
      <c r="AG365" s="94"/>
      <c r="AH365" s="120"/>
      <c r="AI365" s="94"/>
      <c r="AJ365" s="94" t="s">
        <v>774</v>
      </c>
      <c r="AK365" s="94" t="s">
        <v>381</v>
      </c>
      <c r="AL365" s="94">
        <v>140</v>
      </c>
      <c r="AM365" s="94" t="str">
        <f>TRIM(AJ365)&amp;TRIM(AL365)&amp;TRIM(AK365)</f>
      </c>
      <c r="AN365" s="116">
        <v>0</v>
      </c>
      <c r="AO365" s="116" t="inlineStr">
        <is>
          <t>#NA</t>
        </is>
      </c>
      <c r="AP365" s="116">
        <f>SUMIFS(M:M,AM:AM,AM365)+SUMIFS(O:O,AM:AM,AM365)</f>
      </c>
      <c r="AQ365" s="116">
        <f>SUMIFS(L:L,AM:AM,AM365)</f>
      </c>
      <c r="AR365" s="116">
        <f>AQ365-AP365</f>
      </c>
      <c r="AS365" s="94" t="str">
        <f>IF(AN365&gt;=AQ365,"ok","ck")</f>
      </c>
      <c r="AT365" s="116">
        <f>-P365</f>
      </c>
      <c r="AU365" s="115">
        <f>IF(SUMIFS(AT:AT,AM:AM,AM365)&gt;AO365,(SUMIFS(AT:AT,AM:AM,AM365)-AO365))</f>
      </c>
      <c r="AV365" s="116">
        <v>0</v>
      </c>
      <c r="AW365" s="121">
        <v>0</v>
      </c>
      <c r="AX365" s="115">
        <f>AN365-AP365</f>
      </c>
    </row>
    <row r="366" spans="1:50" ht="15" hidden="1" customHeight="1" x14ac:dyDescent="0.3">
      <c r="A366" s="94" t="s">
        <v>268</v>
      </c>
      <c r="B366" s="94"/>
      <c r="C366" s="94"/>
      <c r="D366" s="94"/>
      <c r="E366" s="94"/>
      <c r="F366" s="94"/>
      <c r="G366" s="112">
        <f>AU366</f>
      </c>
      <c r="H366" s="113"/>
      <c r="I366" s="94" t="s">
        <v>278</v>
      </c>
      <c r="J366" s="94" t="s">
        <v>381</v>
      </c>
      <c r="K366" s="114">
        <f>P366/3</f>
      </c>
      <c r="L366" s="115">
        <v>132.59899999999999</v>
      </c>
      <c r="M366" s="116"/>
      <c r="N366" s="117">
        <f>M366-L366</f>
      </c>
      <c r="O366" s="112"/>
      <c r="P366" s="118">
        <f>N366+O366</f>
      </c>
      <c r="Q366" s="94" t="s">
        <v>800</v>
      </c>
      <c r="R366" s="94" t="s">
        <v>63</v>
      </c>
      <c r="S366" s="119">
        <v>46349</v>
      </c>
      <c r="T366" s="119"/>
      <c r="U366" s="120">
        <v>46349</v>
      </c>
      <c r="V366" s="94"/>
      <c r="W366" s="94"/>
      <c r="X366" s="94"/>
      <c r="Y366" s="119">
        <v>46345</v>
      </c>
      <c r="Z366" s="94"/>
      <c r="AA366" s="120"/>
      <c r="AB366" s="120"/>
      <c r="AC366" s="120"/>
      <c r="AD366" s="120"/>
      <c r="AE366" s="120"/>
      <c r="AF366" s="120"/>
      <c r="AG366" s="94"/>
      <c r="AH366" s="120"/>
      <c r="AI366" s="94"/>
      <c r="AJ366" s="94" t="s">
        <v>800</v>
      </c>
      <c r="AK366" s="94" t="s">
        <v>381</v>
      </c>
      <c r="AL366" s="94">
        <v>120</v>
      </c>
      <c r="AM366" s="94" t="str">
        <f>TRIM(AJ366)&amp;TRIM(AL366)&amp;TRIM(AK366)</f>
      </c>
      <c r="AN366" s="116">
        <v>0</v>
      </c>
      <c r="AO366" s="116" t="inlineStr">
        <is>
          <t>#NA</t>
        </is>
      </c>
      <c r="AP366" s="116">
        <f>SUMIFS(M:M,AM:AM,AM366)+SUMIFS(O:O,AM:AM,AM366)</f>
      </c>
      <c r="AQ366" s="116">
        <f>SUMIFS(L:L,AM:AM,AM366)</f>
      </c>
      <c r="AR366" s="116">
        <f>AQ366-AP366</f>
      </c>
      <c r="AS366" s="94" t="str">
        <f>IF(AN366&gt;=AQ366,"ok","ck")</f>
      </c>
      <c r="AT366" s="116">
        <f>-P366</f>
      </c>
      <c r="AU366" s="115">
        <f>IF(SUMIFS(AT:AT,AM:AM,AM366)&gt;AO366,(SUMIFS(AT:AT,AM:AM,AM366)-AO366))</f>
      </c>
      <c r="AV366" s="116">
        <v>0</v>
      </c>
      <c r="AW366" s="121">
        <v>0</v>
      </c>
      <c r="AX366" s="115">
        <f>AN366-AP366</f>
      </c>
    </row>
    <row r="367" spans="1:50" ht="15" hidden="1" customHeight="1" x14ac:dyDescent="0.3">
      <c r="A367" s="94" t="s">
        <v>268</v>
      </c>
      <c r="B367" s="94"/>
      <c r="C367" s="94"/>
      <c r="D367" s="94"/>
      <c r="E367" s="94"/>
      <c r="F367" s="94"/>
      <c r="G367" s="112">
        <f>AU367</f>
      </c>
      <c r="H367" s="113"/>
      <c r="I367" s="94" t="s">
        <v>269</v>
      </c>
      <c r="J367" s="94" t="s">
        <v>353</v>
      </c>
      <c r="K367" s="114">
        <f>P367/3</f>
      </c>
      <c r="L367" s="115">
        <v>1610.808</v>
      </c>
      <c r="M367" s="116"/>
      <c r="N367" s="117">
        <f>M367-L367</f>
      </c>
      <c r="O367" s="112"/>
      <c r="P367" s="118">
        <f>N367+O367</f>
      </c>
      <c r="Q367" s="94" t="s">
        <v>800</v>
      </c>
      <c r="R367" s="94" t="s">
        <v>63</v>
      </c>
      <c r="S367" s="119">
        <v>46349</v>
      </c>
      <c r="T367" s="119"/>
      <c r="U367" s="120">
        <v>46349</v>
      </c>
      <c r="V367" s="94"/>
      <c r="W367" s="94"/>
      <c r="X367" s="94"/>
      <c r="Y367" s="119">
        <v>46345</v>
      </c>
      <c r="Z367" s="94"/>
      <c r="AA367" s="120"/>
      <c r="AB367" s="120"/>
      <c r="AC367" s="120"/>
      <c r="AD367" s="120"/>
      <c r="AE367" s="120"/>
      <c r="AF367" s="120"/>
      <c r="AG367" s="94"/>
      <c r="AH367" s="120"/>
      <c r="AI367" s="94"/>
      <c r="AJ367" s="94" t="s">
        <v>800</v>
      </c>
      <c r="AK367" s="94" t="s">
        <v>381</v>
      </c>
      <c r="AL367" s="94">
        <v>140</v>
      </c>
      <c r="AM367" s="94" t="str">
        <f>TRIM(AJ367)&amp;TRIM(AL367)&amp;TRIM(AK367)</f>
      </c>
      <c r="AN367" s="116">
        <v>0</v>
      </c>
      <c r="AO367" s="116" t="inlineStr">
        <is>
          <t>#NA</t>
        </is>
      </c>
      <c r="AP367" s="116">
        <f>SUMIFS(M:M,AM:AM,AM367)+SUMIFS(O:O,AM:AM,AM367)</f>
      </c>
      <c r="AQ367" s="116">
        <f>SUMIFS(L:L,AM:AM,AM367)</f>
      </c>
      <c r="AR367" s="116">
        <f>AQ367-AP367</f>
      </c>
      <c r="AS367" s="94" t="str">
        <f>IF(AN367&gt;=AQ367,"ok","ck")</f>
      </c>
      <c r="AT367" s="116">
        <f>-P367</f>
      </c>
      <c r="AU367" s="115">
        <f>IF(SUMIFS(AT:AT,AM:AM,AM367)&gt;AO367,(SUMIFS(AT:AT,AM:AM,AM367)-AO367))</f>
      </c>
      <c r="AV367" s="116">
        <v>0</v>
      </c>
      <c r="AW367" s="121">
        <v>0</v>
      </c>
      <c r="AX367" s="115">
        <f>AN367-AP367</f>
      </c>
    </row>
    <row r="368" spans="1:50" ht="15" hidden="1" customHeight="1" x14ac:dyDescent="0.3">
      <c r="A368" s="94" t="s">
        <v>311</v>
      </c>
      <c r="B368" s="94"/>
      <c r="C368" s="94"/>
      <c r="D368" s="94"/>
      <c r="E368" s="94"/>
      <c r="F368" s="94"/>
      <c r="G368" s="112">
        <f>AU368</f>
      </c>
      <c r="H368" s="113"/>
      <c r="I368" s="94" t="s">
        <v>312</v>
      </c>
      <c r="J368" s="94" t="s">
        <v>339</v>
      </c>
      <c r="K368" s="114">
        <f>P368/3</f>
      </c>
      <c r="L368" s="115">
        <v>-0.72199999999999998</v>
      </c>
      <c r="M368" s="116"/>
      <c r="N368" s="117">
        <f>M368-L368</f>
      </c>
      <c r="O368" s="112"/>
      <c r="P368" s="118">
        <f>N368+O368</f>
      </c>
      <c r="Q368" s="94" t="s">
        <v>314</v>
      </c>
      <c r="R368" s="94" t="s">
        <v>63</v>
      </c>
      <c r="S368" s="119">
        <v>46320</v>
      </c>
      <c r="T368" s="119"/>
      <c r="U368" s="120">
        <v>46320</v>
      </c>
      <c r="V368" s="94"/>
      <c r="W368" s="94"/>
      <c r="X368" s="94"/>
      <c r="Y368" s="119">
        <v>46320</v>
      </c>
      <c r="Z368" s="94"/>
      <c r="AA368" s="120"/>
      <c r="AB368" s="120"/>
      <c r="AC368" s="120"/>
      <c r="AD368" s="120"/>
      <c r="AE368" s="120"/>
      <c r="AF368" s="120"/>
      <c r="AG368" s="94"/>
      <c r="AH368" s="120"/>
      <c r="AI368" s="94"/>
      <c r="AJ368" s="94" t="s">
        <v>314</v>
      </c>
      <c r="AK368" s="94" t="s">
        <v>340</v>
      </c>
      <c r="AL368" s="94">
        <v>150</v>
      </c>
      <c r="AM368" s="94" t="str">
        <f>TRIM(AJ368)&amp;TRIM(AL368)&amp;TRIM(AK368)</f>
      </c>
      <c r="AN368" s="116">
        <v>0</v>
      </c>
      <c r="AO368" s="116" t="inlineStr">
        <is>
          <t>#NA</t>
        </is>
      </c>
      <c r="AP368" s="116">
        <f>SUMIFS(M:M,AM:AM,AM368)+SUMIFS(O:O,AM:AM,AM368)</f>
      </c>
      <c r="AQ368" s="116">
        <f>SUMIFS(L:L,AM:AM,AM368)</f>
      </c>
      <c r="AR368" s="116">
        <f>AQ368-AP368</f>
      </c>
      <c r="AS368" s="94" t="str">
        <f>IF(AN368&gt;=AQ368,"ok","ck")</f>
      </c>
      <c r="AT368" s="116">
        <f>-P368</f>
      </c>
      <c r="AU368" s="115">
        <f>IF(SUMIFS(AT:AT,AM:AM,AM368)&gt;AO368,(SUMIFS(AT:AT,AM:AM,AM368)-AO368))</f>
      </c>
      <c r="AV368" s="116">
        <v>0</v>
      </c>
      <c r="AW368" s="121">
        <v>1.019</v>
      </c>
      <c r="AX368" s="115">
        <f>AN368-AP368</f>
      </c>
    </row>
    <row r="369" spans="1:50" ht="15" hidden="1" customHeight="1" x14ac:dyDescent="0.3">
      <c r="A369" s="94" t="s">
        <v>311</v>
      </c>
      <c r="B369" s="94"/>
      <c r="C369" s="94"/>
      <c r="D369" s="94"/>
      <c r="E369" s="94"/>
      <c r="F369" s="94"/>
      <c r="G369" s="112">
        <f>AU369</f>
      </c>
      <c r="H369" s="113"/>
      <c r="I369" s="94" t="s">
        <v>312</v>
      </c>
      <c r="J369" s="94" t="s">
        <v>339</v>
      </c>
      <c r="K369" s="114">
        <f>P369/3</f>
      </c>
      <c r="L369" s="115">
        <v>-0.73399999999999999</v>
      </c>
      <c r="M369" s="116"/>
      <c r="N369" s="117">
        <f>M369-L369</f>
      </c>
      <c r="O369" s="112"/>
      <c r="P369" s="118">
        <f>N369+O369</f>
      </c>
      <c r="Q369" s="94" t="s">
        <v>314</v>
      </c>
      <c r="R369" s="94" t="s">
        <v>63</v>
      </c>
      <c r="S369" s="119">
        <v>46320</v>
      </c>
      <c r="T369" s="119"/>
      <c r="U369" s="120">
        <v>46320</v>
      </c>
      <c r="V369" s="94"/>
      <c r="W369" s="94"/>
      <c r="X369" s="94"/>
      <c r="Y369" s="119">
        <v>46320</v>
      </c>
      <c r="Z369" s="94"/>
      <c r="AA369" s="120"/>
      <c r="AB369" s="120"/>
      <c r="AC369" s="120"/>
      <c r="AD369" s="120"/>
      <c r="AE369" s="120"/>
      <c r="AF369" s="120"/>
      <c r="AG369" s="94"/>
      <c r="AH369" s="120"/>
      <c r="AI369" s="94"/>
      <c r="AJ369" s="94" t="s">
        <v>314</v>
      </c>
      <c r="AK369" s="94" t="s">
        <v>340</v>
      </c>
      <c r="AL369" s="94">
        <v>150</v>
      </c>
      <c r="AM369" s="94" t="str">
        <f>TRIM(AJ369)&amp;TRIM(AL369)&amp;TRIM(AK369)</f>
      </c>
      <c r="AN369" s="116">
        <v>0</v>
      </c>
      <c r="AO369" s="116" t="inlineStr">
        <is>
          <t>#NA</t>
        </is>
      </c>
      <c r="AP369" s="116">
        <f>SUMIFS(M:M,AM:AM,AM369)+SUMIFS(O:O,AM:AM,AM369)</f>
      </c>
      <c r="AQ369" s="116">
        <f>SUMIFS(L:L,AM:AM,AM369)</f>
      </c>
      <c r="AR369" s="116">
        <f>AQ369-AP369</f>
      </c>
      <c r="AS369" s="94" t="str">
        <f>IF(AN369&gt;=AQ369,"ok","ck")</f>
      </c>
      <c r="AT369" s="116">
        <f>-P369</f>
      </c>
      <c r="AU369" s="115">
        <f>IF(SUMIFS(AT:AT,AM:AM,AM369)&gt;AO369,(SUMIFS(AT:AT,AM:AM,AM369)-AO369))</f>
      </c>
      <c r="AV369" s="116">
        <v>0</v>
      </c>
      <c r="AW369" s="121">
        <v>1.019</v>
      </c>
      <c r="AX369" s="115">
        <f>AN369-AP369</f>
      </c>
    </row>
    <row r="370" spans="1:50" ht="15" hidden="1" customHeight="1" x14ac:dyDescent="0.3">
      <c r="A370" s="94" t="s">
        <v>311</v>
      </c>
      <c r="B370" s="94"/>
      <c r="C370" s="94"/>
      <c r="D370" s="94"/>
      <c r="E370" s="94"/>
      <c r="F370" s="94"/>
      <c r="G370" s="112">
        <f>AU370</f>
      </c>
      <c r="H370" s="113"/>
      <c r="I370" s="94" t="s">
        <v>312</v>
      </c>
      <c r="J370" s="94" t="s">
        <v>339</v>
      </c>
      <c r="K370" s="114">
        <f>P370/3</f>
      </c>
      <c r="L370" s="115">
        <v>-2.5000000000000001E-2</v>
      </c>
      <c r="M370" s="116"/>
      <c r="N370" s="117">
        <f>M370-L370</f>
      </c>
      <c r="O370" s="112"/>
      <c r="P370" s="118">
        <f>N370+O370</f>
      </c>
      <c r="Q370" s="94" t="s">
        <v>314</v>
      </c>
      <c r="R370" s="94" t="s">
        <v>63</v>
      </c>
      <c r="S370" s="119">
        <v>46321</v>
      </c>
      <c r="T370" s="119"/>
      <c r="U370" s="120">
        <v>46321</v>
      </c>
      <c r="V370" s="94"/>
      <c r="W370" s="94"/>
      <c r="X370" s="94"/>
      <c r="Y370" s="119">
        <v>46321</v>
      </c>
      <c r="Z370" s="94"/>
      <c r="AA370" s="120"/>
      <c r="AB370" s="120"/>
      <c r="AC370" s="120"/>
      <c r="AD370" s="120"/>
      <c r="AE370" s="120"/>
      <c r="AF370" s="120"/>
      <c r="AG370" s="94"/>
      <c r="AH370" s="120"/>
      <c r="AI370" s="94"/>
      <c r="AJ370" s="94" t="s">
        <v>314</v>
      </c>
      <c r="AK370" s="94" t="s">
        <v>340</v>
      </c>
      <c r="AL370" s="94">
        <v>150</v>
      </c>
      <c r="AM370" s="94" t="str">
        <f>TRIM(AJ370)&amp;TRIM(AL370)&amp;TRIM(AK370)</f>
      </c>
      <c r="AN370" s="116">
        <v>0</v>
      </c>
      <c r="AO370" s="116" t="inlineStr">
        <is>
          <t>#NA</t>
        </is>
      </c>
      <c r="AP370" s="116">
        <f>SUMIFS(M:M,AM:AM,AM370)+SUMIFS(O:O,AM:AM,AM370)</f>
      </c>
      <c r="AQ370" s="116">
        <f>SUMIFS(L:L,AM:AM,AM370)</f>
      </c>
      <c r="AR370" s="116">
        <f>AQ370-AP370</f>
      </c>
      <c r="AS370" s="94" t="str">
        <f>IF(AN370&gt;=AQ370,"ok","ck")</f>
      </c>
      <c r="AT370" s="116">
        <f>-P370</f>
      </c>
      <c r="AU370" s="115">
        <f>IF(SUMIFS(AT:AT,AM:AM,AM370)&gt;AO370,(SUMIFS(AT:AT,AM:AM,AM370)-AO370))</f>
      </c>
      <c r="AV370" s="116">
        <v>0</v>
      </c>
      <c r="AW370" s="121">
        <v>1.019</v>
      </c>
      <c r="AX370" s="115">
        <f>AN370-AP370</f>
      </c>
    </row>
    <row r="371" spans="1:50" ht="15" hidden="1" customHeight="1" x14ac:dyDescent="0.3">
      <c r="A371" s="94" t="s">
        <v>311</v>
      </c>
      <c r="B371" s="94"/>
      <c r="C371" s="94"/>
      <c r="D371" s="94"/>
      <c r="E371" s="94"/>
      <c r="F371" s="94"/>
      <c r="G371" s="112">
        <f>AU371</f>
      </c>
      <c r="H371" s="113"/>
      <c r="I371" s="94" t="s">
        <v>312</v>
      </c>
      <c r="J371" s="94" t="s">
        <v>341</v>
      </c>
      <c r="K371" s="114">
        <f>P371/3</f>
      </c>
      <c r="L371" s="115">
        <v>-0.497</v>
      </c>
      <c r="M371" s="116"/>
      <c r="N371" s="117">
        <f>M371-L371</f>
      </c>
      <c r="O371" s="112"/>
      <c r="P371" s="118">
        <f>N371+O371</f>
      </c>
      <c r="Q371" s="94" t="s">
        <v>314</v>
      </c>
      <c r="R371" s="94" t="s">
        <v>63</v>
      </c>
      <c r="S371" s="119">
        <v>46320</v>
      </c>
      <c r="T371" s="119"/>
      <c r="U371" s="120">
        <v>46320</v>
      </c>
      <c r="V371" s="94"/>
      <c r="W371" s="94"/>
      <c r="X371" s="94"/>
      <c r="Y371" s="119">
        <v>46320</v>
      </c>
      <c r="Z371" s="94"/>
      <c r="AA371" s="120"/>
      <c r="AB371" s="120"/>
      <c r="AC371" s="120"/>
      <c r="AD371" s="120"/>
      <c r="AE371" s="120"/>
      <c r="AF371" s="120"/>
      <c r="AG371" s="94"/>
      <c r="AH371" s="120"/>
      <c r="AI371" s="94"/>
      <c r="AJ371" s="94" t="s">
        <v>314</v>
      </c>
      <c r="AK371" s="94" t="s">
        <v>342</v>
      </c>
      <c r="AL371" s="94">
        <v>150</v>
      </c>
      <c r="AM371" s="94" t="str">
        <f>TRIM(AJ371)&amp;TRIM(AL371)&amp;TRIM(AK371)</f>
      </c>
      <c r="AN371" s="116">
        <v>0</v>
      </c>
      <c r="AO371" s="116" t="inlineStr">
        <is>
          <t>#NA</t>
        </is>
      </c>
      <c r="AP371" s="116">
        <f>SUMIFS(M:M,AM:AM,AM371)+SUMIFS(O:O,AM:AM,AM371)</f>
      </c>
      <c r="AQ371" s="116">
        <f>SUMIFS(L:L,AM:AM,AM371)</f>
      </c>
      <c r="AR371" s="116">
        <f>AQ371-AP371</f>
      </c>
      <c r="AS371" s="94" t="str">
        <f>IF(AN371&gt;=AQ371,"ok","ck")</f>
      </c>
      <c r="AT371" s="116">
        <f>-P371</f>
      </c>
      <c r="AU371" s="115">
        <f>IF(SUMIFS(AT:AT,AM:AM,AM371)&gt;AO371,(SUMIFS(AT:AT,AM:AM,AM371)-AO371))</f>
      </c>
      <c r="AV371" s="116">
        <v>0</v>
      </c>
      <c r="AW371" s="121">
        <v>0.986</v>
      </c>
      <c r="AX371" s="115">
        <f>AN371-AP371</f>
      </c>
    </row>
    <row r="372" spans="1:50" ht="15" hidden="1" customHeight="1" x14ac:dyDescent="0.3">
      <c r="A372" s="94" t="s">
        <v>311</v>
      </c>
      <c r="B372" s="94"/>
      <c r="C372" s="94"/>
      <c r="D372" s="94"/>
      <c r="E372" s="94"/>
      <c r="F372" s="94"/>
      <c r="G372" s="112">
        <f>AU372</f>
      </c>
      <c r="H372" s="113"/>
      <c r="I372" s="94" t="s">
        <v>312</v>
      </c>
      <c r="J372" s="94" t="s">
        <v>341</v>
      </c>
      <c r="K372" s="114">
        <f>P372/3</f>
      </c>
      <c r="L372" s="115">
        <v>-0.23799999999999999</v>
      </c>
      <c r="M372" s="116"/>
      <c r="N372" s="117">
        <f>M372-L372</f>
      </c>
      <c r="O372" s="112"/>
      <c r="P372" s="118">
        <f>N372+O372</f>
      </c>
      <c r="Q372" s="94" t="s">
        <v>314</v>
      </c>
      <c r="R372" s="94" t="s">
        <v>63</v>
      </c>
      <c r="S372" s="119">
        <v>46320</v>
      </c>
      <c r="T372" s="119"/>
      <c r="U372" s="120">
        <v>46320</v>
      </c>
      <c r="V372" s="94"/>
      <c r="W372" s="94"/>
      <c r="X372" s="94"/>
      <c r="Y372" s="119">
        <v>46320</v>
      </c>
      <c r="Z372" s="94"/>
      <c r="AA372" s="120"/>
      <c r="AB372" s="120"/>
      <c r="AC372" s="120"/>
      <c r="AD372" s="120"/>
      <c r="AE372" s="120"/>
      <c r="AF372" s="120"/>
      <c r="AG372" s="94"/>
      <c r="AH372" s="120"/>
      <c r="AI372" s="94"/>
      <c r="AJ372" s="94" t="s">
        <v>314</v>
      </c>
      <c r="AK372" s="94" t="s">
        <v>342</v>
      </c>
      <c r="AL372" s="94">
        <v>150</v>
      </c>
      <c r="AM372" s="94" t="str">
        <f>TRIM(AJ372)&amp;TRIM(AL372)&amp;TRIM(AK372)</f>
      </c>
      <c r="AN372" s="116">
        <v>0</v>
      </c>
      <c r="AO372" s="116" t="inlineStr">
        <is>
          <t>#NA</t>
        </is>
      </c>
      <c r="AP372" s="116">
        <f>SUMIFS(M:M,AM:AM,AM372)+SUMIFS(O:O,AM:AM,AM372)</f>
      </c>
      <c r="AQ372" s="116">
        <f>SUMIFS(L:L,AM:AM,AM372)</f>
      </c>
      <c r="AR372" s="116">
        <f>AQ372-AP372</f>
      </c>
      <c r="AS372" s="94" t="str">
        <f>IF(AN372&gt;=AQ372,"ok","ck")</f>
      </c>
      <c r="AT372" s="116">
        <f>-P372</f>
      </c>
      <c r="AU372" s="115">
        <f>IF(SUMIFS(AT:AT,AM:AM,AM372)&gt;AO372,(SUMIFS(AT:AT,AM:AM,AM372)-AO372))</f>
      </c>
      <c r="AV372" s="116">
        <v>0</v>
      </c>
      <c r="AW372" s="121">
        <v>0.986</v>
      </c>
      <c r="AX372" s="115">
        <f>AN372-AP372</f>
      </c>
    </row>
    <row r="373" spans="1:50" ht="15" hidden="1" customHeight="1" x14ac:dyDescent="0.3">
      <c r="A373" s="94" t="s">
        <v>311</v>
      </c>
      <c r="B373" s="94"/>
      <c r="C373" s="94"/>
      <c r="D373" s="94"/>
      <c r="E373" s="94"/>
      <c r="F373" s="94"/>
      <c r="G373" s="112">
        <f>AU373</f>
      </c>
      <c r="H373" s="113"/>
      <c r="I373" s="94" t="s">
        <v>312</v>
      </c>
      <c r="J373" s="94" t="s">
        <v>341</v>
      </c>
      <c r="K373" s="114">
        <f>P373/3</f>
      </c>
      <c r="L373" s="115">
        <v>-0.247</v>
      </c>
      <c r="M373" s="116"/>
      <c r="N373" s="117">
        <f>M373-L373</f>
      </c>
      <c r="O373" s="112"/>
      <c r="P373" s="118">
        <f>N373+O373</f>
      </c>
      <c r="Q373" s="94" t="s">
        <v>314</v>
      </c>
      <c r="R373" s="94" t="s">
        <v>63</v>
      </c>
      <c r="S373" s="119">
        <v>46320</v>
      </c>
      <c r="T373" s="119"/>
      <c r="U373" s="120">
        <v>46320</v>
      </c>
      <c r="V373" s="94"/>
      <c r="W373" s="94"/>
      <c r="X373" s="94"/>
      <c r="Y373" s="119">
        <v>46320</v>
      </c>
      <c r="Z373" s="94"/>
      <c r="AA373" s="120"/>
      <c r="AB373" s="120"/>
      <c r="AC373" s="120"/>
      <c r="AD373" s="120"/>
      <c r="AE373" s="120"/>
      <c r="AF373" s="120"/>
      <c r="AG373" s="94"/>
      <c r="AH373" s="120"/>
      <c r="AI373" s="94"/>
      <c r="AJ373" s="94" t="s">
        <v>314</v>
      </c>
      <c r="AK373" s="94" t="s">
        <v>342</v>
      </c>
      <c r="AL373" s="94">
        <v>150</v>
      </c>
      <c r="AM373" s="94" t="str">
        <f>TRIM(AJ373)&amp;TRIM(AL373)&amp;TRIM(AK373)</f>
      </c>
      <c r="AN373" s="116">
        <v>0</v>
      </c>
      <c r="AO373" s="116" t="inlineStr">
        <is>
          <t>#NA</t>
        </is>
      </c>
      <c r="AP373" s="116">
        <f>SUMIFS(M:M,AM:AM,AM373)+SUMIFS(O:O,AM:AM,AM373)</f>
      </c>
      <c r="AQ373" s="116">
        <f>SUMIFS(L:L,AM:AM,AM373)</f>
      </c>
      <c r="AR373" s="116">
        <f>AQ373-AP373</f>
      </c>
      <c r="AS373" s="94" t="str">
        <f>IF(AN373&gt;=AQ373,"ok","ck")</f>
      </c>
      <c r="AT373" s="116">
        <f>-P373</f>
      </c>
      <c r="AU373" s="115">
        <f>IF(SUMIFS(AT:AT,AM:AM,AM373)&gt;AO373,(SUMIFS(AT:AT,AM:AM,AM373)-AO373))</f>
      </c>
      <c r="AV373" s="116">
        <v>0</v>
      </c>
      <c r="AW373" s="121">
        <v>0.986</v>
      </c>
      <c r="AX373" s="115">
        <f>AN373-AP373</f>
      </c>
    </row>
    <row r="374" spans="1:50" ht="15" hidden="1" customHeight="1" x14ac:dyDescent="0.3">
      <c r="A374" s="94" t="s">
        <v>311</v>
      </c>
      <c r="B374" s="94"/>
      <c r="C374" s="94"/>
      <c r="D374" s="94"/>
      <c r="E374" s="94"/>
      <c r="F374" s="94"/>
      <c r="G374" s="112">
        <f>AU374</f>
      </c>
      <c r="H374" s="113"/>
      <c r="I374" s="94" t="s">
        <v>312</v>
      </c>
      <c r="J374" s="94" t="s">
        <v>341</v>
      </c>
      <c r="K374" s="114">
        <f>P374/3</f>
      </c>
      <c r="L374" s="115">
        <v>-8.0000000000000002E-3</v>
      </c>
      <c r="M374" s="116"/>
      <c r="N374" s="117">
        <f>M374-L374</f>
      </c>
      <c r="O374" s="112"/>
      <c r="P374" s="118">
        <f>N374+O374</f>
      </c>
      <c r="Q374" s="94" t="s">
        <v>314</v>
      </c>
      <c r="R374" s="94" t="s">
        <v>63</v>
      </c>
      <c r="S374" s="119">
        <v>46321</v>
      </c>
      <c r="T374" s="119"/>
      <c r="U374" s="120">
        <v>46321</v>
      </c>
      <c r="V374" s="94"/>
      <c r="W374" s="94"/>
      <c r="X374" s="94"/>
      <c r="Y374" s="119">
        <v>46321</v>
      </c>
      <c r="Z374" s="94"/>
      <c r="AA374" s="120"/>
      <c r="AB374" s="120"/>
      <c r="AC374" s="120"/>
      <c r="AD374" s="120"/>
      <c r="AE374" s="120"/>
      <c r="AF374" s="120"/>
      <c r="AG374" s="94"/>
      <c r="AH374" s="120"/>
      <c r="AI374" s="94"/>
      <c r="AJ374" s="94" t="s">
        <v>314</v>
      </c>
      <c r="AK374" s="94" t="s">
        <v>342</v>
      </c>
      <c r="AL374" s="94">
        <v>150</v>
      </c>
      <c r="AM374" s="94" t="str">
        <f>TRIM(AJ374)&amp;TRIM(AL374)&amp;TRIM(AK374)</f>
      </c>
      <c r="AN374" s="116">
        <v>0</v>
      </c>
      <c r="AO374" s="116" t="inlineStr">
        <is>
          <t>#NA</t>
        </is>
      </c>
      <c r="AP374" s="116">
        <f>SUMIFS(M:M,AM:AM,AM374)+SUMIFS(O:O,AM:AM,AM374)</f>
      </c>
      <c r="AQ374" s="116">
        <f>SUMIFS(L:L,AM:AM,AM374)</f>
      </c>
      <c r="AR374" s="116">
        <f>AQ374-AP374</f>
      </c>
      <c r="AS374" s="94" t="str">
        <f>IF(AN374&gt;=AQ374,"ok","ck")</f>
      </c>
      <c r="AT374" s="116">
        <f>-P374</f>
      </c>
      <c r="AU374" s="115">
        <f>IF(SUMIFS(AT:AT,AM:AM,AM374)&gt;AO374,(SUMIFS(AT:AT,AM:AM,AM374)-AO374))</f>
      </c>
      <c r="AV374" s="116">
        <v>0</v>
      </c>
      <c r="AW374" s="121">
        <v>0.986</v>
      </c>
      <c r="AX374" s="115">
        <f>AN374-AP374</f>
      </c>
    </row>
    <row r="375" spans="1:50" ht="15" hidden="1" customHeight="1" x14ac:dyDescent="0.3">
      <c r="A375" s="94" t="s">
        <v>268</v>
      </c>
      <c r="B375" s="94"/>
      <c r="C375" s="94"/>
      <c r="D375" s="94"/>
      <c r="E375" s="94"/>
      <c r="F375" s="94"/>
      <c r="G375" s="112">
        <f>AU375</f>
      </c>
      <c r="H375" s="113"/>
      <c r="I375" s="94" t="s">
        <v>278</v>
      </c>
      <c r="J375" s="94" t="s">
        <v>322</v>
      </c>
      <c r="K375" s="114">
        <f>P375/3</f>
      </c>
      <c r="L375" s="115">
        <v>36.9</v>
      </c>
      <c r="M375" s="116">
        <f>L375</f>
      </c>
      <c r="N375" s="117">
        <f>M375-L375</f>
      </c>
      <c r="O375" s="112"/>
      <c r="P375" s="118">
        <f>N375+O375</f>
      </c>
      <c r="Q375" s="94" t="s">
        <v>305</v>
      </c>
      <c r="R375" s="94" t="s">
        <v>63</v>
      </c>
      <c r="S375" s="119">
        <v>46320</v>
      </c>
      <c r="T375" s="119"/>
      <c r="U375" s="119">
        <v>46320</v>
      </c>
      <c r="V375" s="94"/>
      <c r="W375" s="94"/>
      <c r="X375" s="94"/>
      <c r="Y375" s="119">
        <v>46320</v>
      </c>
      <c r="Z375" s="94"/>
      <c r="AA375" s="120"/>
      <c r="AB375" s="120"/>
      <c r="AC375" s="120"/>
      <c r="AD375" s="120"/>
      <c r="AE375" s="120"/>
      <c r="AF375" s="120"/>
      <c r="AG375" s="94"/>
      <c r="AH375" s="120"/>
      <c r="AI375" s="94"/>
      <c r="AJ375" s="94" t="s">
        <v>305</v>
      </c>
      <c r="AK375" s="94" t="s">
        <v>323</v>
      </c>
      <c r="AL375" s="94">
        <v>120</v>
      </c>
      <c r="AM375" s="94" t="str">
        <f>TRIM(AJ375)&amp;TRIM(AL375)&amp;TRIM(AK375)</f>
      </c>
      <c r="AN375" s="116">
        <v>647.67</v>
      </c>
      <c r="AO375" s="116">
        <v>7.33</v>
      </c>
      <c r="AP375" s="116">
        <f>SUMIFS(M:M,AM:AM,AM375)+SUMIFS(O:O,AM:AM,AM375)</f>
      </c>
      <c r="AQ375" s="116">
        <f>SUMIFS(L:L,AM:AM,AM375)</f>
      </c>
      <c r="AR375" s="116">
        <f>AQ375-AP375</f>
      </c>
      <c r="AS375" s="94" t="str">
        <f>IF(AN375&gt;=AQ375,"ok","ck")</f>
      </c>
      <c r="AT375" s="116">
        <f>-P375</f>
      </c>
      <c r="AU375" s="115">
        <f>IF(SUMIFS(AT:AT,AM:AM,AM375)&gt;AO375,(SUMIFS(AT:AT,AM:AM,AM375)-AO375))</f>
      </c>
      <c r="AV375" s="116">
        <v>647.67</v>
      </c>
      <c r="AW375" s="121">
        <v>0.989</v>
      </c>
      <c r="AX375" s="115">
        <f>AN375-AP375</f>
      </c>
    </row>
    <row r="376" spans="1:50" ht="15" hidden="1" customHeight="1" x14ac:dyDescent="0.3">
      <c r="A376" s="94" t="s">
        <v>268</v>
      </c>
      <c r="B376" s="94"/>
      <c r="C376" s="94"/>
      <c r="D376" s="94"/>
      <c r="E376" s="94"/>
      <c r="F376" s="94"/>
      <c r="G376" s="112">
        <f>AU376</f>
      </c>
      <c r="H376" s="113"/>
      <c r="I376" s="94" t="s">
        <v>278</v>
      </c>
      <c r="J376" s="94" t="s">
        <v>322</v>
      </c>
      <c r="K376" s="114">
        <f>P376/3</f>
      </c>
      <c r="L376" s="115">
        <v>43.05</v>
      </c>
      <c r="M376" s="116">
        <f>L376</f>
      </c>
      <c r="N376" s="117">
        <f>M376-L376</f>
      </c>
      <c r="O376" s="112"/>
      <c r="P376" s="118">
        <f>N376+O376</f>
      </c>
      <c r="Q376" s="94" t="s">
        <v>305</v>
      </c>
      <c r="R376" s="94" t="s">
        <v>63</v>
      </c>
      <c r="S376" s="119">
        <v>46323</v>
      </c>
      <c r="T376" s="119"/>
      <c r="U376" s="119">
        <v>46323</v>
      </c>
      <c r="V376" s="94"/>
      <c r="W376" s="94"/>
      <c r="X376" s="94"/>
      <c r="Y376" s="119">
        <v>46323</v>
      </c>
      <c r="Z376" s="94"/>
      <c r="AA376" s="120"/>
      <c r="AB376" s="120"/>
      <c r="AC376" s="120"/>
      <c r="AD376" s="120"/>
      <c r="AE376" s="120"/>
      <c r="AF376" s="120"/>
      <c r="AG376" s="94"/>
      <c r="AH376" s="120"/>
      <c r="AI376" s="94"/>
      <c r="AJ376" s="94" t="s">
        <v>305</v>
      </c>
      <c r="AK376" s="94" t="s">
        <v>323</v>
      </c>
      <c r="AL376" s="94">
        <v>120</v>
      </c>
      <c r="AM376" s="94" t="str">
        <f>TRIM(AJ376)&amp;TRIM(AL376)&amp;TRIM(AK376)</f>
      </c>
      <c r="AN376" s="116">
        <v>647.67</v>
      </c>
      <c r="AO376" s="116">
        <v>7.33</v>
      </c>
      <c r="AP376" s="116">
        <f>SUMIFS(M:M,AM:AM,AM376)+SUMIFS(O:O,AM:AM,AM376)</f>
      </c>
      <c r="AQ376" s="116">
        <f>SUMIFS(L:L,AM:AM,AM376)</f>
      </c>
      <c r="AR376" s="116">
        <f>AQ376-AP376</f>
      </c>
      <c r="AS376" s="94" t="str">
        <f>IF(AN376&gt;=AQ376,"ok","ck")</f>
      </c>
      <c r="AT376" s="116">
        <f>-P376</f>
      </c>
      <c r="AU376" s="115">
        <f>IF(SUMIFS(AT:AT,AM:AM,AM376)&gt;AO376,(SUMIFS(AT:AT,AM:AM,AM376)-AO376))</f>
      </c>
      <c r="AV376" s="116">
        <v>647.67</v>
      </c>
      <c r="AW376" s="121">
        <v>0.989</v>
      </c>
      <c r="AX376" s="115">
        <f>AN376-AP376</f>
      </c>
    </row>
    <row r="377" spans="1:50" ht="15" hidden="1" customHeight="1" x14ac:dyDescent="0.3">
      <c r="A377" s="94" t="s">
        <v>268</v>
      </c>
      <c r="B377" s="94"/>
      <c r="C377" s="94"/>
      <c r="D377" s="94"/>
      <c r="E377" s="94"/>
      <c r="F377" s="94"/>
      <c r="G377" s="112">
        <f>AU377</f>
      </c>
      <c r="H377" s="113"/>
      <c r="I377" s="94" t="s">
        <v>278</v>
      </c>
      <c r="J377" s="94" t="s">
        <v>322</v>
      </c>
      <c r="K377" s="114">
        <f>P377/3</f>
      </c>
      <c r="L377" s="115">
        <v>43.05</v>
      </c>
      <c r="M377" s="116">
        <f>L377</f>
      </c>
      <c r="N377" s="117">
        <f>M377-L377</f>
      </c>
      <c r="O377" s="112"/>
      <c r="P377" s="118">
        <f>N377+O377</f>
      </c>
      <c r="Q377" s="94" t="s">
        <v>305</v>
      </c>
      <c r="R377" s="94" t="s">
        <v>63</v>
      </c>
      <c r="S377" s="120">
        <v>46342</v>
      </c>
      <c r="T377" s="120"/>
      <c r="U377" s="120">
        <v>46342</v>
      </c>
      <c r="V377" s="94"/>
      <c r="W377" s="94"/>
      <c r="X377" s="94"/>
      <c r="Y377" s="119">
        <v>46342</v>
      </c>
      <c r="Z377" s="94"/>
      <c r="AA377" s="120"/>
      <c r="AB377" s="120"/>
      <c r="AC377" s="120"/>
      <c r="AD377" s="120"/>
      <c r="AE377" s="120"/>
      <c r="AF377" s="120"/>
      <c r="AG377" s="94"/>
      <c r="AH377" s="120"/>
      <c r="AI377" s="94"/>
      <c r="AJ377" s="94" t="s">
        <v>305</v>
      </c>
      <c r="AK377" s="94" t="s">
        <v>323</v>
      </c>
      <c r="AL377" s="94">
        <v>120</v>
      </c>
      <c r="AM377" s="94" t="str">
        <f>TRIM(AJ377)&amp;TRIM(AL377)&amp;TRIM(AK377)</f>
      </c>
      <c r="AN377" s="116">
        <v>647.67</v>
      </c>
      <c r="AO377" s="116">
        <v>7.33</v>
      </c>
      <c r="AP377" s="116">
        <f>SUMIFS(M:M,AM:AM,AM377)+SUMIFS(O:O,AM:AM,AM377)</f>
      </c>
      <c r="AQ377" s="116">
        <f>SUMIFS(L:L,AM:AM,AM377)</f>
      </c>
      <c r="AR377" s="116">
        <f>AQ377-AP377</f>
      </c>
      <c r="AS377" s="94" t="str">
        <f>IF(AN377&gt;=AQ377,"ok","ck")</f>
      </c>
      <c r="AT377" s="116">
        <f>-P377</f>
      </c>
      <c r="AU377" s="115">
        <f>IF(SUMIFS(AT:AT,AM:AM,AM377)&gt;AO377,(SUMIFS(AT:AT,AM:AM,AM377)-AO377))</f>
      </c>
      <c r="AV377" s="116">
        <v>647.67</v>
      </c>
      <c r="AW377" s="121">
        <v>0.989</v>
      </c>
      <c r="AX377" s="115">
        <f>AN377-AP377</f>
      </c>
    </row>
    <row r="378" spans="1:50" ht="15" hidden="1" customHeight="1" x14ac:dyDescent="0.3">
      <c r="A378" s="94" t="s">
        <v>268</v>
      </c>
      <c r="B378" s="94"/>
      <c r="C378" s="94"/>
      <c r="D378" s="94"/>
      <c r="E378" s="94"/>
      <c r="F378" s="94"/>
      <c r="G378" s="112">
        <f>AU378</f>
      </c>
      <c r="H378" s="113"/>
      <c r="I378" s="94" t="s">
        <v>278</v>
      </c>
      <c r="J378" s="94" t="s">
        <v>322</v>
      </c>
      <c r="K378" s="114">
        <f>P378/3</f>
      </c>
      <c r="L378" s="115">
        <v>123</v>
      </c>
      <c r="M378" s="116">
        <f>L378</f>
      </c>
      <c r="N378" s="117">
        <f>M378-L378</f>
      </c>
      <c r="O378" s="112"/>
      <c r="P378" s="118">
        <f>N378+O378</f>
      </c>
      <c r="Q378" s="94" t="s">
        <v>305</v>
      </c>
      <c r="R378" s="94" t="s">
        <v>63</v>
      </c>
      <c r="S378" s="119">
        <v>46344</v>
      </c>
      <c r="T378" s="119"/>
      <c r="U378" s="120">
        <v>46344</v>
      </c>
      <c r="V378" s="94"/>
      <c r="W378" s="94"/>
      <c r="X378" s="94"/>
      <c r="Y378" s="119">
        <v>46344</v>
      </c>
      <c r="Z378" s="94"/>
      <c r="AA378" s="120"/>
      <c r="AB378" s="120"/>
      <c r="AC378" s="120"/>
      <c r="AD378" s="120"/>
      <c r="AE378" s="120"/>
      <c r="AF378" s="120"/>
      <c r="AG378" s="94"/>
      <c r="AH378" s="120"/>
      <c r="AI378" s="94"/>
      <c r="AJ378" s="94" t="s">
        <v>305</v>
      </c>
      <c r="AK378" s="94" t="s">
        <v>323</v>
      </c>
      <c r="AL378" s="94">
        <v>120</v>
      </c>
      <c r="AM378" s="94" t="str">
        <f>TRIM(AJ378)&amp;TRIM(AL378)&amp;TRIM(AK378)</f>
      </c>
      <c r="AN378" s="116">
        <v>647.67</v>
      </c>
      <c r="AO378" s="116">
        <v>7.33</v>
      </c>
      <c r="AP378" s="116">
        <f>SUMIFS(M:M,AM:AM,AM378)+SUMIFS(O:O,AM:AM,AM378)</f>
      </c>
      <c r="AQ378" s="116">
        <f>SUMIFS(L:L,AM:AM,AM378)</f>
      </c>
      <c r="AR378" s="116">
        <f>AQ378-AP378</f>
      </c>
      <c r="AS378" s="94" t="str">
        <f>IF(AN378&gt;=AQ378,"ok","ck")</f>
      </c>
      <c r="AT378" s="116">
        <f>-P378</f>
      </c>
      <c r="AU378" s="115">
        <f>IF(SUMIFS(AT:AT,AM:AM,AM378)&gt;AO378,(SUMIFS(AT:AT,AM:AM,AM378)-AO378))</f>
      </c>
      <c r="AV378" s="116">
        <v>647.67</v>
      </c>
      <c r="AW378" s="121">
        <v>0.989</v>
      </c>
      <c r="AX378" s="115">
        <f>AN378-AP378</f>
      </c>
    </row>
    <row r="379" spans="1:50" ht="15" hidden="1" customHeight="1" x14ac:dyDescent="0.3">
      <c r="A379" s="94" t="s">
        <v>82</v>
      </c>
      <c r="B379" s="94"/>
      <c r="C379" s="94"/>
      <c r="D379" s="94"/>
      <c r="E379" s="94"/>
      <c r="F379" s="94"/>
      <c r="G379" s="112">
        <f>AU379</f>
      </c>
      <c r="H379" s="113"/>
      <c r="I379" s="94" t="s">
        <v>83</v>
      </c>
      <c r="J379" s="94" t="s">
        <v>71</v>
      </c>
      <c r="K379" s="114">
        <f>P379/3</f>
      </c>
      <c r="L379" s="115">
        <v>1482.0820000000001</v>
      </c>
      <c r="M379" s="116">
        <v>1482.0820000000001</v>
      </c>
      <c r="N379" s="117">
        <f>M379-L379</f>
      </c>
      <c r="O379" s="112"/>
      <c r="P379" s="118">
        <f>N379+O379</f>
      </c>
      <c r="Q379" s="94" t="s">
        <v>97</v>
      </c>
      <c r="R379" s="94" t="s">
        <v>63</v>
      </c>
      <c r="S379" s="119">
        <v>46327</v>
      </c>
      <c r="T379" s="119"/>
      <c r="U379" s="120">
        <v>46327</v>
      </c>
      <c r="V379" s="94"/>
      <c r="W379" s="94"/>
      <c r="X379" s="94"/>
      <c r="Y379" s="119">
        <v>46320</v>
      </c>
      <c r="Z379" s="94"/>
      <c r="AA379" s="120"/>
      <c r="AB379" s="120"/>
      <c r="AC379" s="120"/>
      <c r="AD379" s="120"/>
      <c r="AE379" s="120"/>
      <c r="AF379" s="120"/>
      <c r="AG379" s="94"/>
      <c r="AH379" s="120"/>
      <c r="AI379" s="94"/>
      <c r="AJ379" s="94" t="s">
        <v>98</v>
      </c>
      <c r="AK379" s="94" t="s">
        <v>71</v>
      </c>
      <c r="AL379" s="94">
        <v>160</v>
      </c>
      <c r="AM379" s="94" t="str">
        <f>TRIM(AJ379)&amp;TRIM(AL379)&amp;TRIM(AK379)</f>
      </c>
      <c r="AN379" s="116">
        <v>3781</v>
      </c>
      <c r="AO379" s="116">
        <v>56.01</v>
      </c>
      <c r="AP379" s="116">
        <f>SUMIFS(M:M,AM:AM,AM379)+SUMIFS(O:O,AM:AM,AM379)</f>
      </c>
      <c r="AQ379" s="116">
        <f>SUMIFS(L:L,AM:AM,AM379)</f>
      </c>
      <c r="AR379" s="116">
        <f>AQ379-AP379</f>
      </c>
      <c r="AS379" s="94" t="str">
        <f>IF(AN379&gt;=AQ379,"ok","ck")</f>
      </c>
      <c r="AT379" s="116">
        <f>-P379</f>
      </c>
      <c r="AU379" s="115">
        <f>IF(SUMIFS(AT:AT,AM:AM,AM379)&gt;AO379,(SUMIFS(AT:AT,AM:AM,AM379)-AO379))</f>
      </c>
      <c r="AV379" s="116">
        <v>3781</v>
      </c>
      <c r="AW379" s="121">
        <v>0.985</v>
      </c>
      <c r="AX379" s="115">
        <f>AN379-AP379</f>
      </c>
    </row>
    <row r="380" spans="1:50" ht="15" hidden="1" customHeight="1" x14ac:dyDescent="0.3">
      <c r="A380" s="94" t="s">
        <v>82</v>
      </c>
      <c r="B380" s="94"/>
      <c r="C380" s="94"/>
      <c r="D380" s="94"/>
      <c r="E380" s="94"/>
      <c r="F380" s="94"/>
      <c r="G380" s="112">
        <f>AU380</f>
      </c>
      <c r="H380" s="113"/>
      <c r="I380" s="94" t="s">
        <v>83</v>
      </c>
      <c r="J380" s="94" t="s">
        <v>71</v>
      </c>
      <c r="K380" s="114">
        <f>P380/3</f>
      </c>
      <c r="L380" s="115">
        <v>504.41500000000002</v>
      </c>
      <c r="M380" s="116">
        <v>504.41500000000002</v>
      </c>
      <c r="N380" s="117">
        <f>M380-L380</f>
      </c>
      <c r="O380" s="112"/>
      <c r="P380" s="118">
        <f>N380+O380</f>
      </c>
      <c r="Q380" s="94" t="s">
        <v>97</v>
      </c>
      <c r="R380" s="94" t="s">
        <v>63</v>
      </c>
      <c r="S380" s="119">
        <v>46327</v>
      </c>
      <c r="T380" s="119"/>
      <c r="U380" s="120">
        <v>46327</v>
      </c>
      <c r="V380" s="94"/>
      <c r="W380" s="94"/>
      <c r="X380" s="94"/>
      <c r="Y380" s="119">
        <v>46322</v>
      </c>
      <c r="Z380" s="94"/>
      <c r="AA380" s="120"/>
      <c r="AB380" s="120"/>
      <c r="AC380" s="120"/>
      <c r="AD380" s="120"/>
      <c r="AE380" s="120"/>
      <c r="AF380" s="120"/>
      <c r="AG380" s="94"/>
      <c r="AH380" s="120"/>
      <c r="AI380" s="94"/>
      <c r="AJ380" s="94" t="s">
        <v>98</v>
      </c>
      <c r="AK380" s="94" t="s">
        <v>71</v>
      </c>
      <c r="AL380" s="94">
        <v>160</v>
      </c>
      <c r="AM380" s="94" t="str">
        <f>TRIM(AJ380)&amp;TRIM(AL380)&amp;TRIM(AK380)</f>
      </c>
      <c r="AN380" s="116">
        <v>3781</v>
      </c>
      <c r="AO380" s="116">
        <v>56.01</v>
      </c>
      <c r="AP380" s="116">
        <f>SUMIFS(M:M,AM:AM,AM380)+SUMIFS(O:O,AM:AM,AM380)</f>
      </c>
      <c r="AQ380" s="116">
        <f>SUMIFS(L:L,AM:AM,AM380)</f>
      </c>
      <c r="AR380" s="116">
        <f>AQ380-AP380</f>
      </c>
      <c r="AS380" s="94" t="str">
        <f>IF(AN380&gt;=AQ380,"ok","ck")</f>
      </c>
      <c r="AT380" s="116">
        <f>-P380</f>
      </c>
      <c r="AU380" s="115">
        <f>IF(SUMIFS(AT:AT,AM:AM,AM380)&gt;AO380,(SUMIFS(AT:AT,AM:AM,AM380)-AO380))</f>
      </c>
      <c r="AV380" s="116">
        <v>3781</v>
      </c>
      <c r="AW380" s="121">
        <v>0.985</v>
      </c>
      <c r="AX380" s="115">
        <f>AN380-AP380</f>
      </c>
    </row>
    <row r="381" spans="1:50" ht="15" hidden="1" customHeight="1" x14ac:dyDescent="0.3">
      <c r="A381" s="94" t="s">
        <v>60</v>
      </c>
      <c r="B381" s="94"/>
      <c r="C381" s="94"/>
      <c r="D381" s="94"/>
      <c r="E381" s="94"/>
      <c r="F381" s="94"/>
      <c r="G381" s="112">
        <f>AU381</f>
      </c>
      <c r="H381" s="113"/>
      <c r="I381" s="94" t="s">
        <v>482</v>
      </c>
      <c r="J381" s="94" t="s">
        <v>498</v>
      </c>
      <c r="K381" s="114">
        <f>P381/3</f>
      </c>
      <c r="L381" s="115">
        <v>-7.8E-2</v>
      </c>
      <c r="M381" s="116">
        <f>L381</f>
      </c>
      <c r="N381" s="117">
        <f>M381-L381</f>
      </c>
      <c r="O381" s="112"/>
      <c r="P381" s="118">
        <f>N381+O381</f>
      </c>
      <c r="Q381" s="94" t="s">
        <v>776</v>
      </c>
      <c r="R381" s="94" t="s">
        <v>63</v>
      </c>
      <c r="S381" s="119">
        <v>46336</v>
      </c>
      <c r="T381" s="119"/>
      <c r="U381" s="120">
        <v>46336</v>
      </c>
      <c r="V381" s="94"/>
      <c r="W381" s="94"/>
      <c r="X381" s="94"/>
      <c r="Y381" s="119">
        <v>46336</v>
      </c>
      <c r="Z381" s="94"/>
      <c r="AA381" s="120"/>
      <c r="AB381" s="120"/>
      <c r="AC381" s="120"/>
      <c r="AD381" s="120"/>
      <c r="AE381" s="120"/>
      <c r="AF381" s="120"/>
      <c r="AG381" s="94"/>
      <c r="AH381" s="120"/>
      <c r="AI381" s="94"/>
      <c r="AJ381" s="94" t="s">
        <v>776</v>
      </c>
      <c r="AK381" s="94" t="s">
        <v>691</v>
      </c>
      <c r="AL381" s="94">
        <v>110</v>
      </c>
      <c r="AM381" s="94" t="str">
        <f>TRIM(AJ381)&amp;TRIM(AL381)&amp;TRIM(AK381)</f>
      </c>
      <c r="AN381" s="116">
        <v>96</v>
      </c>
      <c r="AO381" s="116">
        <v>-2.02</v>
      </c>
      <c r="AP381" s="116">
        <f>SUMIFS(M:M,AM:AM,AM381)+SUMIFS(O:O,AM:AM,AM381)</f>
      </c>
      <c r="AQ381" s="116">
        <f>SUMIFS(L:L,AM:AM,AM381)</f>
      </c>
      <c r="AR381" s="116">
        <f>AQ381-AP381</f>
      </c>
      <c r="AS381" s="94" t="str">
        <f>IF(AN381&gt;=AQ381,"ok","ck")</f>
      </c>
      <c r="AT381" s="116">
        <f>-P381</f>
      </c>
      <c r="AU381" s="115">
        <f>IF(SUMIFS(AT:AT,AM:AM,AM381)&gt;AO381,(SUMIFS(AT:AT,AM:AM,AM381)-AO381))</f>
      </c>
      <c r="AV381" s="116">
        <v>96</v>
      </c>
      <c r="AW381" s="121">
        <v>1.021</v>
      </c>
      <c r="AX381" s="115">
        <f>AN381-AP381</f>
      </c>
    </row>
    <row r="382" spans="1:50" ht="15" hidden="1" customHeight="1" x14ac:dyDescent="0.3">
      <c r="A382" s="94" t="s">
        <v>288</v>
      </c>
      <c r="B382" s="94"/>
      <c r="C382" s="94"/>
      <c r="D382" s="94"/>
      <c r="E382" s="94"/>
      <c r="F382" s="94"/>
      <c r="G382" s="112">
        <f>AU382</f>
      </c>
      <c r="H382" s="113"/>
      <c r="I382" s="94" t="s">
        <v>297</v>
      </c>
      <c r="J382" s="94" t="s">
        <v>267</v>
      </c>
      <c r="K382" s="114">
        <f>P382/3</f>
      </c>
      <c r="L382" s="115">
        <v>0</v>
      </c>
      <c r="M382" s="116">
        <f>L382</f>
      </c>
      <c r="N382" s="117">
        <f>M382-L382</f>
      </c>
      <c r="O382" s="112"/>
      <c r="P382" s="118">
        <f>N382+O382</f>
      </c>
      <c r="Q382" s="94" t="s">
        <v>299</v>
      </c>
      <c r="R382" s="94" t="s">
        <v>63</v>
      </c>
      <c r="S382" s="119">
        <v>46338</v>
      </c>
      <c r="T382" s="119"/>
      <c r="U382" s="120">
        <v>46338</v>
      </c>
      <c r="V382" s="94"/>
      <c r="W382" s="94"/>
      <c r="X382" s="94"/>
      <c r="Y382" s="119">
        <v>46338</v>
      </c>
      <c r="Z382" s="94"/>
      <c r="AA382" s="120"/>
      <c r="AB382" s="120"/>
      <c r="AC382" s="120"/>
      <c r="AD382" s="120"/>
      <c r="AE382" s="120"/>
      <c r="AF382" s="120"/>
      <c r="AG382" s="94"/>
      <c r="AH382" s="120"/>
      <c r="AI382" s="94"/>
      <c r="AJ382" s="94" t="s">
        <v>478</v>
      </c>
      <c r="AK382" s="94" t="s">
        <v>267</v>
      </c>
      <c r="AL382" s="94">
        <v>190</v>
      </c>
      <c r="AM382" s="94" t="str">
        <f>TRIM(AJ382)&amp;TRIM(AL382)&amp;TRIM(AK382)</f>
      </c>
      <c r="AN382" s="116">
        <v>6890.27</v>
      </c>
      <c r="AO382" s="116">
        <v>-124.45</v>
      </c>
      <c r="AP382" s="116">
        <f>SUMIFS(M:M,AM:AM,AM382)+SUMIFS(O:O,AM:AM,AM382)</f>
      </c>
      <c r="AQ382" s="116">
        <f>SUMIFS(L:L,AM:AM,AM382)</f>
      </c>
      <c r="AR382" s="116">
        <f>AQ382-AP382</f>
      </c>
      <c r="AS382" s="94" t="str">
        <f>IF(AN382&gt;=AQ382,"ok","ck")</f>
      </c>
      <c r="AT382" s="116">
        <f>-P382</f>
      </c>
      <c r="AU382" s="115">
        <f>IF(SUMIFS(AT:AT,AM:AM,AM382)&gt;AO382,(SUMIFS(AT:AT,AM:AM,AM382)-AO382))</f>
      </c>
      <c r="AV382" s="116">
        <v>6890.27</v>
      </c>
      <c r="AW382" s="121">
        <v>1.018</v>
      </c>
      <c r="AX382" s="115">
        <f>AN382-AP382</f>
      </c>
    </row>
    <row r="383" spans="1:50" ht="15" hidden="1" customHeight="1" x14ac:dyDescent="0.3">
      <c r="A383" s="94" t="s">
        <v>288</v>
      </c>
      <c r="B383" s="94"/>
      <c r="C383" s="94"/>
      <c r="D383" s="94"/>
      <c r="E383" s="94"/>
      <c r="F383" s="94"/>
      <c r="G383" s="112">
        <f>AU383</f>
      </c>
      <c r="H383" s="113"/>
      <c r="I383" s="94" t="s">
        <v>297</v>
      </c>
      <c r="J383" s="94" t="s">
        <v>267</v>
      </c>
      <c r="K383" s="114">
        <f>P383/3</f>
      </c>
      <c r="L383" s="115">
        <v>0</v>
      </c>
      <c r="M383" s="116">
        <f>L383</f>
      </c>
      <c r="N383" s="117">
        <f>M383-L383</f>
      </c>
      <c r="O383" s="112"/>
      <c r="P383" s="118">
        <f>N383+O383</f>
      </c>
      <c r="Q383" s="94" t="s">
        <v>299</v>
      </c>
      <c r="R383" s="94" t="s">
        <v>63</v>
      </c>
      <c r="S383" s="119">
        <v>46320</v>
      </c>
      <c r="T383" s="119"/>
      <c r="U383" s="120">
        <v>46320</v>
      </c>
      <c r="V383" s="94"/>
      <c r="W383" s="94"/>
      <c r="X383" s="94"/>
      <c r="Y383" s="119">
        <v>46320</v>
      </c>
      <c r="Z383" s="94"/>
      <c r="AA383" s="120"/>
      <c r="AB383" s="120"/>
      <c r="AC383" s="120"/>
      <c r="AD383" s="120"/>
      <c r="AE383" s="120"/>
      <c r="AF383" s="120"/>
      <c r="AG383" s="94"/>
      <c r="AH383" s="120"/>
      <c r="AI383" s="94"/>
      <c r="AJ383" s="94" t="s">
        <v>478</v>
      </c>
      <c r="AK383" s="94" t="s">
        <v>267</v>
      </c>
      <c r="AL383" s="94">
        <v>190</v>
      </c>
      <c r="AM383" s="94" t="str">
        <f>TRIM(AJ383)&amp;TRIM(AL383)&amp;TRIM(AK383)</f>
      </c>
      <c r="AN383" s="116">
        <v>6890.27</v>
      </c>
      <c r="AO383" s="116">
        <v>-124.45</v>
      </c>
      <c r="AP383" s="116">
        <f>SUMIFS(M:M,AM:AM,AM383)+SUMIFS(O:O,AM:AM,AM383)</f>
      </c>
      <c r="AQ383" s="116">
        <f>SUMIFS(L:L,AM:AM,AM383)</f>
      </c>
      <c r="AR383" s="116">
        <f>AQ383-AP383</f>
      </c>
      <c r="AS383" s="94" t="str">
        <f>IF(AN383&gt;=AQ383,"ok","ck")</f>
      </c>
      <c r="AT383" s="116">
        <f>-P383</f>
      </c>
      <c r="AU383" s="115">
        <f>IF(SUMIFS(AT:AT,AM:AM,AM383)&gt;AO383,(SUMIFS(AT:AT,AM:AM,AM383)-AO383))</f>
      </c>
      <c r="AV383" s="116">
        <v>6890.27</v>
      </c>
      <c r="AW383" s="121">
        <v>1.018</v>
      </c>
      <c r="AX383" s="115">
        <f>AN383-AP383</f>
      </c>
    </row>
    <row r="384" spans="1:50" ht="15" hidden="1" customHeight="1" x14ac:dyDescent="0.3">
      <c r="A384" s="94" t="s">
        <v>288</v>
      </c>
      <c r="B384" s="94"/>
      <c r="C384" s="94"/>
      <c r="D384" s="94"/>
      <c r="E384" s="94"/>
      <c r="F384" s="94"/>
      <c r="G384" s="112">
        <f>AU384</f>
      </c>
      <c r="H384" s="113"/>
      <c r="I384" s="94" t="s">
        <v>297</v>
      </c>
      <c r="J384" s="94" t="s">
        <v>267</v>
      </c>
      <c r="K384" s="114">
        <f>P384/3</f>
      </c>
      <c r="L384" s="115">
        <v>0</v>
      </c>
      <c r="M384" s="116">
        <f>L384</f>
      </c>
      <c r="N384" s="117">
        <f>M384-L384</f>
      </c>
      <c r="O384" s="112"/>
      <c r="P384" s="118">
        <f>N384+O384</f>
      </c>
      <c r="Q384" s="94" t="s">
        <v>299</v>
      </c>
      <c r="R384" s="94" t="s">
        <v>63</v>
      </c>
      <c r="S384" s="119">
        <v>46320</v>
      </c>
      <c r="T384" s="119"/>
      <c r="U384" s="120">
        <v>46320</v>
      </c>
      <c r="V384" s="94"/>
      <c r="W384" s="94"/>
      <c r="X384" s="94"/>
      <c r="Y384" s="119">
        <v>46320</v>
      </c>
      <c r="Z384" s="94"/>
      <c r="AA384" s="120"/>
      <c r="AB384" s="120"/>
      <c r="AC384" s="120"/>
      <c r="AD384" s="120"/>
      <c r="AE384" s="120"/>
      <c r="AF384" s="120"/>
      <c r="AG384" s="94"/>
      <c r="AH384" s="120"/>
      <c r="AI384" s="94"/>
      <c r="AJ384" s="94" t="s">
        <v>478</v>
      </c>
      <c r="AK384" s="94" t="s">
        <v>267</v>
      </c>
      <c r="AL384" s="94">
        <v>190</v>
      </c>
      <c r="AM384" s="94" t="str">
        <f>TRIM(AJ384)&amp;TRIM(AL384)&amp;TRIM(AK384)</f>
      </c>
      <c r="AN384" s="116">
        <v>6890.27</v>
      </c>
      <c r="AO384" s="116">
        <v>-124.45</v>
      </c>
      <c r="AP384" s="116">
        <f>SUMIFS(M:M,AM:AM,AM384)+SUMIFS(O:O,AM:AM,AM384)</f>
      </c>
      <c r="AQ384" s="116">
        <f>SUMIFS(L:L,AM:AM,AM384)</f>
      </c>
      <c r="AR384" s="116">
        <f>AQ384-AP384</f>
      </c>
      <c r="AS384" s="94" t="str">
        <f>IF(AN384&gt;=AQ384,"ok","ck")</f>
      </c>
      <c r="AT384" s="116">
        <f>-P384</f>
      </c>
      <c r="AU384" s="115">
        <f>IF(SUMIFS(AT:AT,AM:AM,AM384)&gt;AO384,(SUMIFS(AT:AT,AM:AM,AM384)-AO384))</f>
      </c>
      <c r="AV384" s="116">
        <v>6890.27</v>
      </c>
      <c r="AW384" s="121">
        <v>1.018</v>
      </c>
      <c r="AX384" s="115">
        <f>AN384-AP384</f>
      </c>
    </row>
    <row r="385" spans="1:50" ht="15" hidden="1" customHeight="1" x14ac:dyDescent="0.3">
      <c r="A385" s="94" t="s">
        <v>288</v>
      </c>
      <c r="B385" s="94"/>
      <c r="C385" s="94"/>
      <c r="D385" s="94"/>
      <c r="E385" s="94"/>
      <c r="F385" s="94"/>
      <c r="G385" s="112">
        <f>AU385</f>
      </c>
      <c r="H385" s="113"/>
      <c r="I385" s="94" t="s">
        <v>297</v>
      </c>
      <c r="J385" s="94" t="s">
        <v>267</v>
      </c>
      <c r="K385" s="114">
        <f>P385/3</f>
      </c>
      <c r="L385" s="115">
        <v>0</v>
      </c>
      <c r="M385" s="116">
        <f>L385</f>
      </c>
      <c r="N385" s="117">
        <f>M385-L385</f>
      </c>
      <c r="O385" s="112"/>
      <c r="P385" s="118">
        <f>N385+O385</f>
      </c>
      <c r="Q385" s="94" t="s">
        <v>299</v>
      </c>
      <c r="R385" s="94" t="s">
        <v>63</v>
      </c>
      <c r="S385" s="119">
        <v>46324</v>
      </c>
      <c r="T385" s="119"/>
      <c r="U385" s="119">
        <v>46324</v>
      </c>
      <c r="V385" s="94"/>
      <c r="W385" s="94"/>
      <c r="X385" s="94"/>
      <c r="Y385" s="119">
        <v>46324</v>
      </c>
      <c r="Z385" s="94"/>
      <c r="AA385" s="120"/>
      <c r="AB385" s="120"/>
      <c r="AC385" s="120"/>
      <c r="AD385" s="120"/>
      <c r="AE385" s="120"/>
      <c r="AF385" s="120"/>
      <c r="AG385" s="94"/>
      <c r="AH385" s="120"/>
      <c r="AI385" s="94"/>
      <c r="AJ385" s="94" t="s">
        <v>478</v>
      </c>
      <c r="AK385" s="94" t="s">
        <v>267</v>
      </c>
      <c r="AL385" s="94">
        <v>190</v>
      </c>
      <c r="AM385" s="94" t="str">
        <f>TRIM(AJ385)&amp;TRIM(AL385)&amp;TRIM(AK385)</f>
      </c>
      <c r="AN385" s="116">
        <v>6890.27</v>
      </c>
      <c r="AO385" s="116">
        <v>-124.45</v>
      </c>
      <c r="AP385" s="116">
        <f>SUMIFS(M:M,AM:AM,AM385)+SUMIFS(O:O,AM:AM,AM385)</f>
      </c>
      <c r="AQ385" s="116">
        <f>SUMIFS(L:L,AM:AM,AM385)</f>
      </c>
      <c r="AR385" s="116">
        <f>AQ385-AP385</f>
      </c>
      <c r="AS385" s="94" t="str">
        <f>IF(AN385&gt;=AQ385,"ok","ck")</f>
      </c>
      <c r="AT385" s="116">
        <f>-P385</f>
      </c>
      <c r="AU385" s="115">
        <f>IF(SUMIFS(AT:AT,AM:AM,AM385)&gt;AO385,(SUMIFS(AT:AT,AM:AM,AM385)-AO385))</f>
      </c>
      <c r="AV385" s="116">
        <v>6890.27</v>
      </c>
      <c r="AW385" s="121">
        <v>1.018</v>
      </c>
      <c r="AX385" s="115">
        <f>AN385-AP385</f>
      </c>
    </row>
    <row r="386" spans="1:50" ht="15" customHeight="1" x14ac:dyDescent="0.3">
      <c r="A386" s="94" t="s">
        <v>862</v>
      </c>
      <c r="B386" s="94"/>
      <c r="C386" s="94"/>
      <c r="D386" s="94"/>
      <c r="E386" s="94"/>
      <c r="F386" s="94"/>
      <c r="G386" s="112">
        <f>AU386</f>
      </c>
      <c r="H386" s="113"/>
      <c r="I386" s="94" t="s">
        <v>390</v>
      </c>
      <c r="J386" s="94" t="s">
        <v>267</v>
      </c>
      <c r="K386" s="114">
        <f>P386/3</f>
      </c>
      <c r="L386" s="115">
        <v>1379.4860000000001</v>
      </c>
      <c r="M386" s="116">
        <v>1379.486</v>
      </c>
      <c r="N386" s="117">
        <f>M386-L386</f>
      </c>
      <c r="O386" s="112"/>
      <c r="P386" s="118">
        <f>N386+O386</f>
      </c>
      <c r="Q386" s="94"/>
      <c r="R386" s="94" t="s">
        <v>63</v>
      </c>
      <c r="S386" s="119">
        <v>46328</v>
      </c>
      <c r="T386" s="119"/>
      <c r="U386" s="119" t="s">
        <v>631</v>
      </c>
      <c r="V386" s="94"/>
      <c r="W386" s="94"/>
      <c r="X386" s="94"/>
      <c r="Y386" s="119">
        <v>46320</v>
      </c>
      <c r="Z386" s="94"/>
      <c r="AA386" s="120"/>
      <c r="AB386" s="120"/>
      <c r="AC386" s="120"/>
      <c r="AD386" s="120"/>
      <c r="AE386" s="120"/>
      <c r="AF386" s="120"/>
      <c r="AG386" s="94"/>
      <c r="AH386" s="120"/>
      <c r="AI386" s="94"/>
      <c r="AJ386" s="94"/>
      <c r="AK386" s="94"/>
      <c r="AL386" s="94">
        <v>140</v>
      </c>
      <c r="AM386" s="94" t="str">
        <f>TRIM(AJ386)&amp;TRIM(AL386)&amp;TRIM(AK386)</f>
      </c>
      <c r="AN386" s="116">
        <v>0</v>
      </c>
      <c r="AO386" s="116" t="inlineStr">
        <is>
          <t>#NA</t>
        </is>
      </c>
      <c r="AP386" s="116">
        <f>SUMIFS(M:M,AM:AM,AM386)+SUMIFS(O:O,AM:AM,AM386)</f>
      </c>
      <c r="AQ386" s="116">
        <f>SUMIFS(L:L,AM:AM,AM386)</f>
      </c>
      <c r="AR386" s="116">
        <f>AQ386-AP386</f>
      </c>
      <c r="AS386" s="94" t="str">
        <f>IF(AN386&gt;=AQ386,"ok","ck")</f>
      </c>
      <c r="AT386" s="116">
        <f>-P386</f>
      </c>
      <c r="AU386" s="115">
        <f>IF(SUMIFS(AT:AT,AM:AM,AM386)&gt;AO386,(SUMIFS(AT:AT,AM:AM,AM386)-AO386))</f>
      </c>
      <c r="AV386" s="116" t="e">
        <v>#N/A</v>
      </c>
      <c r="AW386" s="121" t="e">
        <v>#N/A</v>
      </c>
      <c r="AX386" s="115">
        <f>AN386-AP386</f>
      </c>
    </row>
    <row r="387" spans="1:50" ht="15" hidden="1" customHeight="1" x14ac:dyDescent="0.3">
      <c r="A387" s="94" t="s">
        <v>268</v>
      </c>
      <c r="B387" s="94"/>
      <c r="C387" s="94"/>
      <c r="D387" s="94"/>
      <c r="E387" s="94"/>
      <c r="F387" s="94"/>
      <c r="G387" s="112">
        <f>AU387</f>
      </c>
      <c r="H387" s="113"/>
      <c r="I387" s="94" t="s">
        <v>278</v>
      </c>
      <c r="J387" s="94" t="s">
        <v>326</v>
      </c>
      <c r="K387" s="114">
        <f>P387/3</f>
      </c>
      <c r="L387" s="115">
        <v>-0.34799999999999998</v>
      </c>
      <c r="M387" s="116">
        <f>L387</f>
      </c>
      <c r="N387" s="117">
        <f>M387-L387</f>
      </c>
      <c r="O387" s="112"/>
      <c r="P387" s="118">
        <f>N387+O387</f>
      </c>
      <c r="Q387" s="94" t="s">
        <v>271</v>
      </c>
      <c r="R387" s="94" t="s">
        <v>63</v>
      </c>
      <c r="S387" s="119">
        <v>46320</v>
      </c>
      <c r="T387" s="119"/>
      <c r="U387" s="119">
        <v>46320</v>
      </c>
      <c r="V387" s="94"/>
      <c r="W387" s="94"/>
      <c r="X387" s="94"/>
      <c r="Y387" s="119">
        <v>46320</v>
      </c>
      <c r="Z387" s="94"/>
      <c r="AA387" s="120"/>
      <c r="AB387" s="120"/>
      <c r="AC387" s="120"/>
      <c r="AD387" s="120"/>
      <c r="AE387" s="120"/>
      <c r="AF387" s="120"/>
      <c r="AG387" s="94"/>
      <c r="AH387" s="120"/>
      <c r="AI387" s="94"/>
      <c r="AJ387" s="94" t="s">
        <v>271</v>
      </c>
      <c r="AK387" s="94" t="s">
        <v>327</v>
      </c>
      <c r="AL387" s="94">
        <v>120</v>
      </c>
      <c r="AM387" s="94" t="str">
        <f>TRIM(AJ387)&amp;TRIM(AL387)&amp;TRIM(AK387)</f>
      </c>
      <c r="AN387" s="116">
        <v>335</v>
      </c>
      <c r="AO387" s="116">
        <v>-8</v>
      </c>
      <c r="AP387" s="116">
        <f>SUMIFS(M:M,AM:AM,AM387)+SUMIFS(O:O,AM:AM,AM387)</f>
      </c>
      <c r="AQ387" s="116">
        <f>SUMIFS(L:L,AM:AM,AM387)</f>
      </c>
      <c r="AR387" s="116">
        <f>AQ387-AP387</f>
      </c>
      <c r="AS387" s="94" t="str">
        <f>IF(AN387&gt;=AQ387,"ok","ck")</f>
      </c>
      <c r="AT387" s="116">
        <f>-P387</f>
      </c>
      <c r="AU387" s="115">
        <f>IF(SUMIFS(AT:AT,AM:AM,AM387)&gt;AO387,(SUMIFS(AT:AT,AM:AM,AM387)-AO387))</f>
      </c>
      <c r="AV387" s="116">
        <v>335</v>
      </c>
      <c r="AW387" s="121">
        <v>1.024</v>
      </c>
      <c r="AX387" s="115">
        <f>AN387-AP387</f>
      </c>
    </row>
    <row r="388" spans="1:50" ht="15" hidden="1" customHeight="1" x14ac:dyDescent="0.3">
      <c r="A388" s="94" t="s">
        <v>268</v>
      </c>
      <c r="B388" s="94"/>
      <c r="C388" s="94"/>
      <c r="D388" s="94"/>
      <c r="E388" s="94"/>
      <c r="F388" s="94"/>
      <c r="G388" s="112">
        <f>AU388</f>
      </c>
      <c r="H388" s="113"/>
      <c r="I388" s="94" t="s">
        <v>278</v>
      </c>
      <c r="J388" s="94" t="s">
        <v>326</v>
      </c>
      <c r="K388" s="114">
        <f>P388/3</f>
      </c>
      <c r="L388" s="115">
        <v>-0.34799999999999998</v>
      </c>
      <c r="M388" s="116">
        <f>L388</f>
      </c>
      <c r="N388" s="117">
        <f>M388-L388</f>
      </c>
      <c r="O388" s="112"/>
      <c r="P388" s="118">
        <f>N388+O388</f>
      </c>
      <c r="Q388" s="94" t="s">
        <v>271</v>
      </c>
      <c r="R388" s="94" t="s">
        <v>63</v>
      </c>
      <c r="S388" s="119">
        <v>46320</v>
      </c>
      <c r="T388" s="119"/>
      <c r="U388" s="119">
        <v>46320</v>
      </c>
      <c r="V388" s="94"/>
      <c r="W388" s="94"/>
      <c r="X388" s="94"/>
      <c r="Y388" s="119">
        <v>46320</v>
      </c>
      <c r="Z388" s="94"/>
      <c r="AA388" s="120"/>
      <c r="AB388" s="120"/>
      <c r="AC388" s="120"/>
      <c r="AD388" s="120"/>
      <c r="AE388" s="120"/>
      <c r="AF388" s="120"/>
      <c r="AG388" s="94"/>
      <c r="AH388" s="120"/>
      <c r="AI388" s="94"/>
      <c r="AJ388" s="94" t="s">
        <v>271</v>
      </c>
      <c r="AK388" s="94" t="s">
        <v>327</v>
      </c>
      <c r="AL388" s="94">
        <v>120</v>
      </c>
      <c r="AM388" s="94" t="str">
        <f>TRIM(AJ388)&amp;TRIM(AL388)&amp;TRIM(AK388)</f>
      </c>
      <c r="AN388" s="116">
        <v>335</v>
      </c>
      <c r="AO388" s="116">
        <v>-8</v>
      </c>
      <c r="AP388" s="116">
        <f>SUMIFS(M:M,AM:AM,AM388)+SUMIFS(O:O,AM:AM,AM388)</f>
      </c>
      <c r="AQ388" s="116">
        <f>SUMIFS(L:L,AM:AM,AM388)</f>
      </c>
      <c r="AR388" s="116">
        <f>AQ388-AP388</f>
      </c>
      <c r="AS388" s="94" t="str">
        <f>IF(AN388&gt;=AQ388,"ok","ck")</f>
      </c>
      <c r="AT388" s="116">
        <f>-P388</f>
      </c>
      <c r="AU388" s="115">
        <f>IF(SUMIFS(AT:AT,AM:AM,AM388)&gt;AO388,(SUMIFS(AT:AT,AM:AM,AM388)-AO388))</f>
      </c>
      <c r="AV388" s="116">
        <v>335</v>
      </c>
      <c r="AW388" s="121">
        <v>1.024</v>
      </c>
      <c r="AX388" s="115">
        <f>AN388-AP388</f>
      </c>
    </row>
    <row r="389" spans="1:50" ht="15" hidden="1" customHeight="1" x14ac:dyDescent="0.3">
      <c r="A389" s="94" t="s">
        <v>268</v>
      </c>
      <c r="B389" s="94"/>
      <c r="C389" s="94"/>
      <c r="D389" s="94"/>
      <c r="E389" s="94"/>
      <c r="F389" s="94"/>
      <c r="G389" s="112">
        <f>AU389</f>
      </c>
      <c r="H389" s="113"/>
      <c r="I389" s="94" t="s">
        <v>278</v>
      </c>
      <c r="J389" s="94" t="s">
        <v>326</v>
      </c>
      <c r="K389" s="114">
        <f>P389/3</f>
      </c>
      <c r="L389" s="115">
        <v>-0.34499999999999997</v>
      </c>
      <c r="M389" s="116">
        <f>L389</f>
      </c>
      <c r="N389" s="117">
        <f>M389-L389</f>
      </c>
      <c r="O389" s="112"/>
      <c r="P389" s="118">
        <f>N389+O389</f>
      </c>
      <c r="Q389" s="94" t="s">
        <v>271</v>
      </c>
      <c r="R389" s="94" t="s">
        <v>63</v>
      </c>
      <c r="S389" s="119">
        <v>46320</v>
      </c>
      <c r="T389" s="119"/>
      <c r="U389" s="120">
        <v>46320</v>
      </c>
      <c r="V389" s="94"/>
      <c r="W389" s="94"/>
      <c r="X389" s="94"/>
      <c r="Y389" s="119">
        <v>46320</v>
      </c>
      <c r="Z389" s="94"/>
      <c r="AA389" s="120"/>
      <c r="AB389" s="120"/>
      <c r="AC389" s="120"/>
      <c r="AD389" s="120"/>
      <c r="AE389" s="120"/>
      <c r="AF389" s="120"/>
      <c r="AG389" s="94"/>
      <c r="AH389" s="120"/>
      <c r="AI389" s="94"/>
      <c r="AJ389" s="94" t="s">
        <v>271</v>
      </c>
      <c r="AK389" s="94" t="s">
        <v>327</v>
      </c>
      <c r="AL389" s="94">
        <v>120</v>
      </c>
      <c r="AM389" s="94" t="str">
        <f>TRIM(AJ389)&amp;TRIM(AL389)&amp;TRIM(AK389)</f>
      </c>
      <c r="AN389" s="116">
        <v>335</v>
      </c>
      <c r="AO389" s="116">
        <v>-8</v>
      </c>
      <c r="AP389" s="116">
        <f>SUMIFS(M:M,AM:AM,AM389)+SUMIFS(O:O,AM:AM,AM389)</f>
      </c>
      <c r="AQ389" s="116">
        <f>SUMIFS(L:L,AM:AM,AM389)</f>
      </c>
      <c r="AR389" s="116">
        <f>AQ389-AP389</f>
      </c>
      <c r="AS389" s="94" t="str">
        <f>IF(AN389&gt;=AQ389,"ok","ck")</f>
      </c>
      <c r="AT389" s="116">
        <f>-P389</f>
      </c>
      <c r="AU389" s="115">
        <f>IF(SUMIFS(AT:AT,AM:AM,AM389)&gt;AO389,(SUMIFS(AT:AT,AM:AM,AM389)-AO389))</f>
      </c>
      <c r="AV389" s="116">
        <v>335</v>
      </c>
      <c r="AW389" s="121">
        <v>1.024</v>
      </c>
      <c r="AX389" s="115">
        <f>AN389-AP389</f>
      </c>
    </row>
    <row r="390" spans="1:50" ht="15" hidden="1" customHeight="1" x14ac:dyDescent="0.3">
      <c r="A390" s="94" t="s">
        <v>311</v>
      </c>
      <c r="B390" s="94"/>
      <c r="C390" s="94"/>
      <c r="D390" s="94"/>
      <c r="E390" s="94"/>
      <c r="F390" s="94"/>
      <c r="G390" s="112">
        <f>AU390</f>
      </c>
      <c r="H390" s="113"/>
      <c r="I390" s="94" t="s">
        <v>372</v>
      </c>
      <c r="J390" s="94" t="s">
        <v>265</v>
      </c>
      <c r="K390" s="114">
        <f>P390/3</f>
      </c>
      <c r="L390" s="115">
        <v>1687</v>
      </c>
      <c r="M390" s="116"/>
      <c r="N390" s="117">
        <f>M390-L390</f>
      </c>
      <c r="O390" s="112"/>
      <c r="P390" s="118">
        <f>N390+O390</f>
      </c>
      <c r="Q390" s="94" t="s">
        <v>346</v>
      </c>
      <c r="R390" s="94" t="s">
        <v>63</v>
      </c>
      <c r="S390" s="119">
        <v>46329</v>
      </c>
      <c r="T390" s="119"/>
      <c r="U390" s="120" t="s">
        <v>644</v>
      </c>
      <c r="V390" s="94"/>
      <c r="W390" s="94"/>
      <c r="X390" s="94"/>
      <c r="Y390" s="119">
        <v>46320</v>
      </c>
      <c r="Z390" s="94"/>
      <c r="AA390" s="120"/>
      <c r="AB390" s="120"/>
      <c r="AC390" s="120"/>
      <c r="AD390" s="120"/>
      <c r="AE390" s="120"/>
      <c r="AF390" s="120"/>
      <c r="AG390" s="94"/>
      <c r="AH390" s="120"/>
      <c r="AI390" s="94"/>
      <c r="AJ390" s="94" t="s">
        <v>346</v>
      </c>
      <c r="AK390" s="94" t="s">
        <v>267</v>
      </c>
      <c r="AL390" s="94">
        <v>160</v>
      </c>
      <c r="AM390" s="94" t="str">
        <f>TRIM(AJ390)&amp;TRIM(AL390)&amp;TRIM(AK390)</f>
      </c>
      <c r="AN390" s="116">
        <v>0</v>
      </c>
      <c r="AO390" s="116" t="inlineStr">
        <is>
          <t>#NA</t>
        </is>
      </c>
      <c r="AP390" s="116">
        <f>SUMIFS(M:M,AM:AM,AM390)+SUMIFS(O:O,AM:AM,AM390)</f>
      </c>
      <c r="AQ390" s="116">
        <f>SUMIFS(L:L,AM:AM,AM390)</f>
      </c>
      <c r="AR390" s="116">
        <f>AQ390-AP390</f>
      </c>
      <c r="AS390" s="94" t="str">
        <f>IF(AN390&gt;=AQ390,"ok","ck")</f>
      </c>
      <c r="AT390" s="116">
        <f>-P390</f>
      </c>
      <c r="AU390" s="115">
        <f>IF(SUMIFS(AT:AT,AM:AM,AM390)&gt;AO390,(SUMIFS(AT:AT,AM:AM,AM390)-AO390))</f>
      </c>
      <c r="AV390" s="116">
        <v>0</v>
      </c>
      <c r="AW390" s="121">
        <v>0</v>
      </c>
      <c r="AX390" s="115">
        <f>AN390-AP390</f>
      </c>
    </row>
    <row r="391" spans="1:50" ht="15" hidden="1" customHeight="1" x14ac:dyDescent="0.3">
      <c r="A391" s="94" t="s">
        <v>311</v>
      </c>
      <c r="B391" s="94"/>
      <c r="C391" s="94"/>
      <c r="D391" s="94"/>
      <c r="E391" s="94"/>
      <c r="F391" s="94"/>
      <c r="G391" s="112">
        <f>AU391</f>
      </c>
      <c r="H391" s="113"/>
      <c r="I391" s="94" t="s">
        <v>372</v>
      </c>
      <c r="J391" s="94" t="s">
        <v>265</v>
      </c>
      <c r="K391" s="114">
        <f>P391/3</f>
      </c>
      <c r="L391" s="115">
        <v>220.29</v>
      </c>
      <c r="M391" s="116"/>
      <c r="N391" s="117">
        <f>M391-L391</f>
      </c>
      <c r="O391" s="112"/>
      <c r="P391" s="118">
        <f>N391+O391</f>
      </c>
      <c r="Q391" s="94" t="s">
        <v>346</v>
      </c>
      <c r="R391" s="94" t="s">
        <v>63</v>
      </c>
      <c r="S391" s="119">
        <v>46336</v>
      </c>
      <c r="T391" s="119"/>
      <c r="U391" s="120" t="s">
        <v>644</v>
      </c>
      <c r="V391" s="94"/>
      <c r="W391" s="94"/>
      <c r="X391" s="94"/>
      <c r="Y391" s="119">
        <v>46320</v>
      </c>
      <c r="Z391" s="94"/>
      <c r="AA391" s="120"/>
      <c r="AB391" s="120"/>
      <c r="AC391" s="120"/>
      <c r="AD391" s="120"/>
      <c r="AE391" s="120"/>
      <c r="AF391" s="120"/>
      <c r="AG391" s="94"/>
      <c r="AH391" s="120"/>
      <c r="AI391" s="94"/>
      <c r="AJ391" s="94" t="s">
        <v>346</v>
      </c>
      <c r="AK391" s="94" t="s">
        <v>267</v>
      </c>
      <c r="AL391" s="94">
        <v>160</v>
      </c>
      <c r="AM391" s="94" t="str">
        <f>TRIM(AJ391)&amp;TRIM(AL391)&amp;TRIM(AK391)</f>
      </c>
      <c r="AN391" s="116">
        <v>0</v>
      </c>
      <c r="AO391" s="116" t="inlineStr">
        <is>
          <t>#NA</t>
        </is>
      </c>
      <c r="AP391" s="116">
        <f>SUMIFS(M:M,AM:AM,AM391)+SUMIFS(O:O,AM:AM,AM391)</f>
      </c>
      <c r="AQ391" s="116">
        <f>SUMIFS(L:L,AM:AM,AM391)</f>
      </c>
      <c r="AR391" s="116">
        <f>AQ391-AP391</f>
      </c>
      <c r="AS391" s="94" t="str">
        <f>IF(AN391&gt;=AQ391,"ok","ck")</f>
      </c>
      <c r="AT391" s="116">
        <f>-P391</f>
      </c>
      <c r="AU391" s="115">
        <f>IF(SUMIFS(AT:AT,AM:AM,AM391)&gt;AO391,(SUMIFS(AT:AT,AM:AM,AM391)-AO391))</f>
      </c>
      <c r="AV391" s="116">
        <v>0</v>
      </c>
      <c r="AW391" s="121">
        <v>0</v>
      </c>
      <c r="AX391" s="115">
        <f>AN391-AP391</f>
      </c>
    </row>
    <row r="392" spans="1:50" ht="15" hidden="1" customHeight="1" x14ac:dyDescent="0.3">
      <c r="A392" s="94" t="s">
        <v>60</v>
      </c>
      <c r="B392" s="94"/>
      <c r="C392" s="94"/>
      <c r="D392" s="94"/>
      <c r="E392" s="94"/>
      <c r="F392" s="94"/>
      <c r="G392" s="112">
        <f>AU392</f>
      </c>
      <c r="H392" s="113"/>
      <c r="I392" s="94" t="s">
        <v>482</v>
      </c>
      <c r="J392" s="94" t="s">
        <v>500</v>
      </c>
      <c r="K392" s="114">
        <f>P392/3</f>
      </c>
      <c r="L392" s="115">
        <v>-0.224</v>
      </c>
      <c r="M392" s="116">
        <f>L392</f>
      </c>
      <c r="N392" s="117">
        <f>M392-L392</f>
      </c>
      <c r="O392" s="112"/>
      <c r="P392" s="118">
        <f>N392+O392</f>
      </c>
      <c r="Q392" s="94" t="s">
        <v>790</v>
      </c>
      <c r="R392" s="94" t="s">
        <v>63</v>
      </c>
      <c r="S392" s="119">
        <v>46335</v>
      </c>
      <c r="T392" s="119"/>
      <c r="U392" s="120">
        <v>46335</v>
      </c>
      <c r="V392" s="94"/>
      <c r="W392" s="94"/>
      <c r="X392" s="94"/>
      <c r="Y392" s="119">
        <v>46335</v>
      </c>
      <c r="Z392" s="94"/>
      <c r="AA392" s="120"/>
      <c r="AB392" s="120"/>
      <c r="AC392" s="120"/>
      <c r="AD392" s="120"/>
      <c r="AE392" s="120"/>
      <c r="AF392" s="120"/>
      <c r="AG392" s="94"/>
      <c r="AH392" s="120"/>
      <c r="AI392" s="94"/>
      <c r="AJ392" s="94" t="s">
        <v>790</v>
      </c>
      <c r="AK392" s="94" t="s">
        <v>694</v>
      </c>
      <c r="AL392" s="94">
        <v>110</v>
      </c>
      <c r="AM392" s="94" t="str">
        <f>TRIM(AJ392)&amp;TRIM(AL392)&amp;TRIM(AK392)</f>
      </c>
      <c r="AN392" s="116">
        <v>108</v>
      </c>
      <c r="AO392" s="116">
        <v>-1.77</v>
      </c>
      <c r="AP392" s="116">
        <f>SUMIFS(M:M,AM:AM,AM392)+SUMIFS(O:O,AM:AM,AM392)</f>
      </c>
      <c r="AQ392" s="116">
        <f>SUMIFS(L:L,AM:AM,AM392)</f>
      </c>
      <c r="AR392" s="116">
        <f>AQ392-AP392</f>
      </c>
      <c r="AS392" s="94" t="str">
        <f>IF(AN392&gt;=AQ392,"ok","ck")</f>
      </c>
      <c r="AT392" s="116">
        <f>-P392</f>
      </c>
      <c r="AU392" s="115">
        <f>IF(SUMIFS(AT:AT,AM:AM,AM392)&gt;AO392,(SUMIFS(AT:AT,AM:AM,AM392)-AO392))</f>
      </c>
      <c r="AV392" s="116">
        <v>108</v>
      </c>
      <c r="AW392" s="121">
        <v>1.017</v>
      </c>
      <c r="AX392" s="115">
        <f>AN392-AP392</f>
      </c>
    </row>
    <row r="393" spans="1:50" ht="15" hidden="1" customHeight="1" x14ac:dyDescent="0.3">
      <c r="A393" s="94" t="s">
        <v>263</v>
      </c>
      <c r="B393" s="94"/>
      <c r="C393" s="94"/>
      <c r="D393" s="94"/>
      <c r="E393" s="94"/>
      <c r="F393" s="94"/>
      <c r="G393" s="112">
        <f>AU393</f>
      </c>
      <c r="H393" s="113"/>
      <c r="I393" s="94" t="s">
        <v>264</v>
      </c>
      <c r="J393" s="94" t="s">
        <v>281</v>
      </c>
      <c r="K393" s="114">
        <f>P393/3</f>
      </c>
      <c r="L393" s="115">
        <v>0</v>
      </c>
      <c r="M393" s="116">
        <f>L393</f>
      </c>
      <c r="N393" s="117">
        <f>M393-L393</f>
      </c>
      <c r="O393" s="112"/>
      <c r="P393" s="118">
        <f>N393+O393</f>
      </c>
      <c r="Q393" s="94" t="s">
        <v>797</v>
      </c>
      <c r="R393" s="94" t="s">
        <v>63</v>
      </c>
      <c r="S393" s="119">
        <v>46320</v>
      </c>
      <c r="T393" s="119"/>
      <c r="U393" s="120">
        <v>46320</v>
      </c>
      <c r="V393" s="94"/>
      <c r="W393" s="94"/>
      <c r="X393" s="94"/>
      <c r="Y393" s="119">
        <v>46320</v>
      </c>
      <c r="Z393" s="94"/>
      <c r="AA393" s="120"/>
      <c r="AB393" s="120"/>
      <c r="AC393" s="120"/>
      <c r="AD393" s="120"/>
      <c r="AE393" s="120"/>
      <c r="AF393" s="120"/>
      <c r="AG393" s="94"/>
      <c r="AH393" s="120"/>
      <c r="AI393" s="94"/>
      <c r="AJ393" s="94" t="s">
        <v>797</v>
      </c>
      <c r="AK393" s="94" t="s">
        <v>281</v>
      </c>
      <c r="AL393" s="94">
        <v>120</v>
      </c>
      <c r="AM393" s="94" t="str">
        <f>TRIM(AJ393)&amp;TRIM(AL393)&amp;TRIM(AK393)</f>
      </c>
      <c r="AN393" s="116">
        <v>1834</v>
      </c>
      <c r="AO393" s="116">
        <v>-33</v>
      </c>
      <c r="AP393" s="116">
        <f>SUMIFS(M:M,AM:AM,AM393)+SUMIFS(O:O,AM:AM,AM393)</f>
      </c>
      <c r="AQ393" s="116">
        <f>SUMIFS(L:L,AM:AM,AM393)</f>
      </c>
      <c r="AR393" s="116">
        <f>AQ393-AP393</f>
      </c>
      <c r="AS393" s="94" t="str">
        <f>IF(AN393&gt;=AQ393,"ok","ck")</f>
      </c>
      <c r="AT393" s="116">
        <f>-P393</f>
      </c>
      <c r="AU393" s="115">
        <f>IF(SUMIFS(AT:AT,AM:AM,AM393)&gt;AO393,(SUMIFS(AT:AT,AM:AM,AM393)-AO393))</f>
      </c>
      <c r="AV393" s="116">
        <v>1834</v>
      </c>
      <c r="AW393" s="121">
        <v>1.018</v>
      </c>
      <c r="AX393" s="115">
        <f>AN393-AP393</f>
      </c>
    </row>
    <row r="394" spans="1:50" ht="15" hidden="1" customHeight="1" x14ac:dyDescent="0.3">
      <c r="A394" s="94" t="s">
        <v>268</v>
      </c>
      <c r="B394" s="94"/>
      <c r="C394" s="94"/>
      <c r="D394" s="94"/>
      <c r="E394" s="94"/>
      <c r="F394" s="94"/>
      <c r="G394" s="112">
        <f>AU394</f>
      </c>
      <c r="H394" s="113"/>
      <c r="I394" s="94" t="s">
        <v>278</v>
      </c>
      <c r="J394" s="94" t="s">
        <v>507</v>
      </c>
      <c r="K394" s="114">
        <f>P394/3</f>
      </c>
      <c r="L394" s="115">
        <v>0.14399999999999999</v>
      </c>
      <c r="M394" s="116"/>
      <c r="N394" s="117">
        <f>M394-L394</f>
      </c>
      <c r="O394" s="112"/>
      <c r="P394" s="118">
        <f>N394+O394</f>
      </c>
      <c r="Q394" s="94" t="s">
        <v>778</v>
      </c>
      <c r="R394" s="94" t="s">
        <v>63</v>
      </c>
      <c r="S394" s="119">
        <v>46334</v>
      </c>
      <c r="T394" s="119"/>
      <c r="U394" s="119">
        <v>46334</v>
      </c>
      <c r="V394" s="94"/>
      <c r="W394" s="94"/>
      <c r="X394" s="94"/>
      <c r="Y394" s="119">
        <v>46334</v>
      </c>
      <c r="Z394" s="94"/>
      <c r="AA394" s="120"/>
      <c r="AB394" s="120"/>
      <c r="AC394" s="120"/>
      <c r="AD394" s="120"/>
      <c r="AE394" s="120"/>
      <c r="AF394" s="120"/>
      <c r="AG394" s="94"/>
      <c r="AH394" s="120"/>
      <c r="AI394" s="94"/>
      <c r="AJ394" s="94" t="s">
        <v>778</v>
      </c>
      <c r="AK394" s="94" t="s">
        <v>701</v>
      </c>
      <c r="AL394" s="94">
        <v>120</v>
      </c>
      <c r="AM394" s="94" t="str">
        <f>TRIM(AJ394)&amp;TRIM(AL394)&amp;TRIM(AK394)</f>
      </c>
      <c r="AN394" s="116">
        <v>0</v>
      </c>
      <c r="AO394" s="116" t="inlineStr">
        <is>
          <t>#NA</t>
        </is>
      </c>
      <c r="AP394" s="116">
        <f>SUMIFS(M:M,AM:AM,AM394)+SUMIFS(O:O,AM:AM,AM394)</f>
      </c>
      <c r="AQ394" s="116">
        <f>SUMIFS(L:L,AM:AM,AM394)</f>
      </c>
      <c r="AR394" s="116">
        <f>AQ394-AP394</f>
      </c>
      <c r="AS394" s="94" t="str">
        <f>IF(AN394&gt;=AQ394,"ok","ck")</f>
      </c>
      <c r="AT394" s="116">
        <f>-P394</f>
      </c>
      <c r="AU394" s="115">
        <f>IF(SUMIFS(AT:AT,AM:AM,AM394)&gt;AO394,(SUMIFS(AT:AT,AM:AM,AM394)-AO394))</f>
      </c>
      <c r="AV394" s="116">
        <v>0</v>
      </c>
      <c r="AW394" s="121">
        <v>0</v>
      </c>
      <c r="AX394" s="115">
        <f>AN394-AP394</f>
      </c>
    </row>
    <row r="395" spans="1:50" ht="15" hidden="1" customHeight="1" x14ac:dyDescent="0.3">
      <c r="A395" s="94" t="s">
        <v>268</v>
      </c>
      <c r="B395" s="94"/>
      <c r="C395" s="94"/>
      <c r="D395" s="94"/>
      <c r="E395" s="94"/>
      <c r="F395" s="94"/>
      <c r="G395" s="112">
        <f>AU395</f>
      </c>
      <c r="H395" s="113"/>
      <c r="I395" s="94" t="s">
        <v>278</v>
      </c>
      <c r="J395" s="94" t="s">
        <v>507</v>
      </c>
      <c r="K395" s="114">
        <f>P395/3</f>
      </c>
      <c r="L395" s="115">
        <v>0.13400000000000001</v>
      </c>
      <c r="M395" s="116"/>
      <c r="N395" s="117">
        <f>M395-L395</f>
      </c>
      <c r="O395" s="112"/>
      <c r="P395" s="118">
        <f>N395+O395</f>
      </c>
      <c r="Q395" s="94" t="s">
        <v>778</v>
      </c>
      <c r="R395" s="94" t="s">
        <v>63</v>
      </c>
      <c r="S395" s="119">
        <v>46341</v>
      </c>
      <c r="T395" s="119"/>
      <c r="U395" s="120">
        <v>46341</v>
      </c>
      <c r="V395" s="94"/>
      <c r="W395" s="94"/>
      <c r="X395" s="94"/>
      <c r="Y395" s="119">
        <v>46341</v>
      </c>
      <c r="Z395" s="94"/>
      <c r="AA395" s="120"/>
      <c r="AB395" s="120"/>
      <c r="AC395" s="120"/>
      <c r="AD395" s="120"/>
      <c r="AE395" s="120"/>
      <c r="AF395" s="120"/>
      <c r="AG395" s="94"/>
      <c r="AH395" s="120"/>
      <c r="AI395" s="94"/>
      <c r="AJ395" s="94" t="s">
        <v>778</v>
      </c>
      <c r="AK395" s="94" t="s">
        <v>701</v>
      </c>
      <c r="AL395" s="94">
        <v>120</v>
      </c>
      <c r="AM395" s="94" t="str">
        <f>TRIM(AJ395)&amp;TRIM(AL395)&amp;TRIM(AK395)</f>
      </c>
      <c r="AN395" s="116">
        <v>0</v>
      </c>
      <c r="AO395" s="116" t="inlineStr">
        <is>
          <t>#NA</t>
        </is>
      </c>
      <c r="AP395" s="116">
        <f>SUMIFS(M:M,AM:AM,AM395)+SUMIFS(O:O,AM:AM,AM395)</f>
      </c>
      <c r="AQ395" s="116">
        <f>SUMIFS(L:L,AM:AM,AM395)</f>
      </c>
      <c r="AR395" s="116">
        <f>AQ395-AP395</f>
      </c>
      <c r="AS395" s="94" t="str">
        <f>IF(AN395&gt;=AQ395,"ok","ck")</f>
      </c>
      <c r="AT395" s="116">
        <f>-P395</f>
      </c>
      <c r="AU395" s="115">
        <f>IF(SUMIFS(AT:AT,AM:AM,AM395)&gt;AO395,(SUMIFS(AT:AT,AM:AM,AM395)-AO395))</f>
      </c>
      <c r="AV395" s="116">
        <v>0</v>
      </c>
      <c r="AW395" s="121">
        <v>0</v>
      </c>
      <c r="AX395" s="115">
        <f>AN395-AP395</f>
      </c>
    </row>
    <row r="396" spans="1:50" ht="15" hidden="1" customHeight="1" x14ac:dyDescent="0.3">
      <c r="A396" s="94" t="s">
        <v>268</v>
      </c>
      <c r="B396" s="94"/>
      <c r="C396" s="94"/>
      <c r="D396" s="94"/>
      <c r="E396" s="94"/>
      <c r="F396" s="94"/>
      <c r="G396" s="112">
        <f>AU396</f>
      </c>
      <c r="H396" s="113"/>
      <c r="I396" s="94" t="s">
        <v>278</v>
      </c>
      <c r="J396" s="94" t="s">
        <v>507</v>
      </c>
      <c r="K396" s="114">
        <f>P396/3</f>
      </c>
      <c r="L396" s="115">
        <v>0.14399999999999999</v>
      </c>
      <c r="M396" s="116"/>
      <c r="N396" s="117">
        <f>M396-L396</f>
      </c>
      <c r="O396" s="112"/>
      <c r="P396" s="118">
        <f>N396+O396</f>
      </c>
      <c r="Q396" s="94" t="s">
        <v>778</v>
      </c>
      <c r="R396" s="94" t="s">
        <v>63</v>
      </c>
      <c r="S396" s="119">
        <v>46342</v>
      </c>
      <c r="T396" s="119"/>
      <c r="U396" s="119">
        <v>46342</v>
      </c>
      <c r="V396" s="94"/>
      <c r="W396" s="94"/>
      <c r="X396" s="94"/>
      <c r="Y396" s="119">
        <v>46342</v>
      </c>
      <c r="Z396" s="94"/>
      <c r="AA396" s="120"/>
      <c r="AB396" s="120"/>
      <c r="AC396" s="120"/>
      <c r="AD396" s="120"/>
      <c r="AE396" s="120"/>
      <c r="AF396" s="120"/>
      <c r="AG396" s="94"/>
      <c r="AH396" s="120"/>
      <c r="AI396" s="94"/>
      <c r="AJ396" s="94" t="s">
        <v>778</v>
      </c>
      <c r="AK396" s="94" t="s">
        <v>701</v>
      </c>
      <c r="AL396" s="94">
        <v>120</v>
      </c>
      <c r="AM396" s="94" t="str">
        <f>TRIM(AJ396)&amp;TRIM(AL396)&amp;TRIM(AK396)</f>
      </c>
      <c r="AN396" s="116">
        <v>0</v>
      </c>
      <c r="AO396" s="116" t="inlineStr">
        <is>
          <t>#NA</t>
        </is>
      </c>
      <c r="AP396" s="116">
        <f>SUMIFS(M:M,AM:AM,AM396)+SUMIFS(O:O,AM:AM,AM396)</f>
      </c>
      <c r="AQ396" s="116">
        <f>SUMIFS(L:L,AM:AM,AM396)</f>
      </c>
      <c r="AR396" s="116">
        <f>AQ396-AP396</f>
      </c>
      <c r="AS396" s="94" t="str">
        <f>IF(AN396&gt;=AQ396,"ok","ck")</f>
      </c>
      <c r="AT396" s="116">
        <f>-P396</f>
      </c>
      <c r="AU396" s="115">
        <f>IF(SUMIFS(AT:AT,AM:AM,AM396)&gt;AO396,(SUMIFS(AT:AT,AM:AM,AM396)-AO396))</f>
      </c>
      <c r="AV396" s="116">
        <v>0</v>
      </c>
      <c r="AW396" s="121">
        <v>0</v>
      </c>
      <c r="AX396" s="115">
        <f>AN396-AP396</f>
      </c>
    </row>
    <row r="397" spans="1:50" ht="15" hidden="1" customHeight="1" x14ac:dyDescent="0.3">
      <c r="A397" s="94" t="s">
        <v>268</v>
      </c>
      <c r="B397" s="94"/>
      <c r="C397" s="94"/>
      <c r="D397" s="94"/>
      <c r="E397" s="94"/>
      <c r="F397" s="94"/>
      <c r="G397" s="112">
        <f>AU397</f>
      </c>
      <c r="H397" s="113"/>
      <c r="I397" s="94" t="s">
        <v>278</v>
      </c>
      <c r="J397" s="94" t="s">
        <v>507</v>
      </c>
      <c r="K397" s="114">
        <f>P397/3</f>
      </c>
      <c r="L397" s="115">
        <v>200.36600000000001</v>
      </c>
      <c r="M397" s="116"/>
      <c r="N397" s="117">
        <f>M397-L397</f>
      </c>
      <c r="O397" s="112"/>
      <c r="P397" s="118">
        <f>N397+O397</f>
      </c>
      <c r="Q397" s="94" t="s">
        <v>778</v>
      </c>
      <c r="R397" s="94" t="s">
        <v>63</v>
      </c>
      <c r="S397" s="119">
        <v>46336</v>
      </c>
      <c r="T397" s="119"/>
      <c r="U397" s="119" t="s">
        <v>637</v>
      </c>
      <c r="V397" s="94"/>
      <c r="W397" s="94"/>
      <c r="X397" s="94"/>
      <c r="Y397" s="119">
        <v>46327</v>
      </c>
      <c r="Z397" s="94"/>
      <c r="AA397" s="120"/>
      <c r="AB397" s="120"/>
      <c r="AC397" s="120"/>
      <c r="AD397" s="120"/>
      <c r="AE397" s="120"/>
      <c r="AF397" s="120"/>
      <c r="AG397" s="94"/>
      <c r="AH397" s="120"/>
      <c r="AI397" s="94"/>
      <c r="AJ397" s="94" t="s">
        <v>778</v>
      </c>
      <c r="AK397" s="94" t="s">
        <v>701</v>
      </c>
      <c r="AL397" s="94">
        <v>120</v>
      </c>
      <c r="AM397" s="94" t="str">
        <f>TRIM(AJ397)&amp;TRIM(AL397)&amp;TRIM(AK397)</f>
      </c>
      <c r="AN397" s="116">
        <v>0</v>
      </c>
      <c r="AO397" s="116" t="inlineStr">
        <is>
          <t>#NA</t>
        </is>
      </c>
      <c r="AP397" s="116">
        <f>SUMIFS(M:M,AM:AM,AM397)+SUMIFS(O:O,AM:AM,AM397)</f>
      </c>
      <c r="AQ397" s="116">
        <f>SUMIFS(L:L,AM:AM,AM397)</f>
      </c>
      <c r="AR397" s="116">
        <f>AQ397-AP397</f>
      </c>
      <c r="AS397" s="94" t="str">
        <f>IF(AN397&gt;=AQ397,"ok","ck")</f>
      </c>
      <c r="AT397" s="116">
        <f>-P397</f>
      </c>
      <c r="AU397" s="115">
        <f>IF(SUMIFS(AT:AT,AM:AM,AM397)&gt;AO397,(SUMIFS(AT:AT,AM:AM,AM397)-AO397))</f>
      </c>
      <c r="AV397" s="116">
        <v>0</v>
      </c>
      <c r="AW397" s="121">
        <v>0</v>
      </c>
      <c r="AX397" s="115">
        <f>AN397-AP397</f>
      </c>
    </row>
    <row r="398" spans="1:50" ht="15" hidden="1" customHeight="1" x14ac:dyDescent="0.3">
      <c r="A398" s="94" t="s">
        <v>268</v>
      </c>
      <c r="B398" s="94"/>
      <c r="C398" s="94"/>
      <c r="D398" s="94"/>
      <c r="E398" s="94"/>
      <c r="F398" s="94"/>
      <c r="G398" s="112">
        <f>AU398</f>
      </c>
      <c r="H398" s="113"/>
      <c r="I398" s="94" t="s">
        <v>278</v>
      </c>
      <c r="J398" s="94" t="s">
        <v>273</v>
      </c>
      <c r="K398" s="114">
        <f>P398/3</f>
      </c>
      <c r="L398" s="115">
        <v>16.233000000000001</v>
      </c>
      <c r="M398" s="116"/>
      <c r="N398" s="117">
        <f>M398-L398</f>
      </c>
      <c r="O398" s="112"/>
      <c r="P398" s="118">
        <f>N398+O398</f>
      </c>
      <c r="Q398" s="94" t="s">
        <v>778</v>
      </c>
      <c r="R398" s="94" t="s">
        <v>63</v>
      </c>
      <c r="S398" s="119">
        <v>46337</v>
      </c>
      <c r="T398" s="119"/>
      <c r="U398" s="120" t="s">
        <v>645</v>
      </c>
      <c r="V398" s="94"/>
      <c r="W398" s="94"/>
      <c r="X398" s="94"/>
      <c r="Y398" s="119">
        <v>46337</v>
      </c>
      <c r="Z398" s="94"/>
      <c r="AA398" s="120"/>
      <c r="AB398" s="120"/>
      <c r="AC398" s="120"/>
      <c r="AD398" s="120"/>
      <c r="AE398" s="120"/>
      <c r="AF398" s="120"/>
      <c r="AG398" s="94"/>
      <c r="AH398" s="120"/>
      <c r="AI398" s="94"/>
      <c r="AJ398" s="94" t="s">
        <v>778</v>
      </c>
      <c r="AK398" s="94" t="s">
        <v>274</v>
      </c>
      <c r="AL398" s="94">
        <v>120</v>
      </c>
      <c r="AM398" s="94" t="str">
        <f>TRIM(AJ398)&amp;TRIM(AL398)&amp;TRIM(AK398)</f>
      </c>
      <c r="AN398" s="116">
        <v>0</v>
      </c>
      <c r="AO398" s="116" t="inlineStr">
        <is>
          <t>#NA</t>
        </is>
      </c>
      <c r="AP398" s="116">
        <f>SUMIFS(M:M,AM:AM,AM398)+SUMIFS(O:O,AM:AM,AM398)</f>
      </c>
      <c r="AQ398" s="116">
        <f>SUMIFS(L:L,AM:AM,AM398)</f>
      </c>
      <c r="AR398" s="116">
        <f>AQ398-AP398</f>
      </c>
      <c r="AS398" s="94" t="str">
        <f>IF(AN398&gt;=AQ398,"ok","ck")</f>
      </c>
      <c r="AT398" s="116">
        <f>-P398</f>
      </c>
      <c r="AU398" s="115">
        <f>IF(SUMIFS(AT:AT,AM:AM,AM398)&gt;AO398,(SUMIFS(AT:AT,AM:AM,AM398)-AO398))</f>
      </c>
      <c r="AV398" s="116">
        <v>0</v>
      </c>
      <c r="AW398" s="121">
        <v>0</v>
      </c>
      <c r="AX398" s="115">
        <f>AN398-AP398</f>
      </c>
    </row>
    <row r="399" spans="1:50" ht="15" hidden="1" customHeight="1" x14ac:dyDescent="0.3">
      <c r="A399" s="94" t="s">
        <v>268</v>
      </c>
      <c r="B399" s="94"/>
      <c r="C399" s="94"/>
      <c r="D399" s="94"/>
      <c r="E399" s="94"/>
      <c r="F399" s="94"/>
      <c r="G399" s="112">
        <f>AU399</f>
      </c>
      <c r="H399" s="113"/>
      <c r="I399" s="94" t="s">
        <v>278</v>
      </c>
      <c r="J399" s="94" t="s">
        <v>273</v>
      </c>
      <c r="K399" s="114">
        <f>P399/3</f>
      </c>
      <c r="L399" s="115">
        <v>107.712</v>
      </c>
      <c r="M399" s="116"/>
      <c r="N399" s="117">
        <f>M399-L399</f>
      </c>
      <c r="O399" s="112"/>
      <c r="P399" s="118">
        <f>N399+O399</f>
      </c>
      <c r="Q399" s="94" t="s">
        <v>778</v>
      </c>
      <c r="R399" s="94" t="s">
        <v>63</v>
      </c>
      <c r="S399" s="119">
        <v>46340</v>
      </c>
      <c r="T399" s="119"/>
      <c r="U399" s="120" t="s">
        <v>645</v>
      </c>
      <c r="V399" s="94"/>
      <c r="W399" s="94"/>
      <c r="X399" s="94"/>
      <c r="Y399" s="119">
        <v>46337</v>
      </c>
      <c r="Z399" s="94"/>
      <c r="AA399" s="120"/>
      <c r="AB399" s="120"/>
      <c r="AC399" s="120"/>
      <c r="AD399" s="120"/>
      <c r="AE399" s="120"/>
      <c r="AF399" s="120"/>
      <c r="AG399" s="94"/>
      <c r="AH399" s="120"/>
      <c r="AI399" s="94"/>
      <c r="AJ399" s="94" t="s">
        <v>778</v>
      </c>
      <c r="AK399" s="94" t="s">
        <v>274</v>
      </c>
      <c r="AL399" s="94">
        <v>120</v>
      </c>
      <c r="AM399" s="94" t="str">
        <f>TRIM(AJ399)&amp;TRIM(AL399)&amp;TRIM(AK399)</f>
      </c>
      <c r="AN399" s="116">
        <v>0</v>
      </c>
      <c r="AO399" s="116" t="inlineStr">
        <is>
          <t>#NA</t>
        </is>
      </c>
      <c r="AP399" s="116">
        <f>SUMIFS(M:M,AM:AM,AM399)+SUMIFS(O:O,AM:AM,AM399)</f>
      </c>
      <c r="AQ399" s="116">
        <f>SUMIFS(L:L,AM:AM,AM399)</f>
      </c>
      <c r="AR399" s="116">
        <f>AQ399-AP399</f>
      </c>
      <c r="AS399" s="94" t="str">
        <f>IF(AN399&gt;=AQ399,"ok","ck")</f>
      </c>
      <c r="AT399" s="116">
        <f>-P399</f>
      </c>
      <c r="AU399" s="115">
        <f>IF(SUMIFS(AT:AT,AM:AM,AM399)&gt;AO399,(SUMIFS(AT:AT,AM:AM,AM399)-AO399))</f>
      </c>
      <c r="AV399" s="116">
        <v>0</v>
      </c>
      <c r="AW399" s="121">
        <v>0</v>
      </c>
      <c r="AX399" s="115">
        <f>AN399-AP399</f>
      </c>
    </row>
    <row r="400" spans="1:50" ht="15" hidden="1" customHeight="1" x14ac:dyDescent="0.3">
      <c r="A400" s="94" t="s">
        <v>268</v>
      </c>
      <c r="B400" s="94"/>
      <c r="C400" s="94"/>
      <c r="D400" s="94"/>
      <c r="E400" s="94"/>
      <c r="F400" s="94"/>
      <c r="G400" s="112">
        <f>AU400</f>
      </c>
      <c r="H400" s="113"/>
      <c r="I400" s="94" t="s">
        <v>278</v>
      </c>
      <c r="J400" s="94" t="s">
        <v>507</v>
      </c>
      <c r="K400" s="114">
        <f>P400/3</f>
      </c>
      <c r="L400" s="115">
        <v>0.14799999999999999</v>
      </c>
      <c r="M400" s="116"/>
      <c r="N400" s="117">
        <f>M400-L400</f>
      </c>
      <c r="O400" s="112"/>
      <c r="P400" s="118">
        <f>N400+O400</f>
      </c>
      <c r="Q400" s="94" t="s">
        <v>778</v>
      </c>
      <c r="R400" s="94" t="s">
        <v>63</v>
      </c>
      <c r="S400" s="119">
        <v>46334</v>
      </c>
      <c r="T400" s="119"/>
      <c r="U400" s="120">
        <v>46334</v>
      </c>
      <c r="V400" s="94"/>
      <c r="W400" s="94"/>
      <c r="X400" s="94"/>
      <c r="Y400" s="119">
        <v>46334</v>
      </c>
      <c r="Z400" s="94"/>
      <c r="AA400" s="120"/>
      <c r="AB400" s="120"/>
      <c r="AC400" s="120"/>
      <c r="AD400" s="120"/>
      <c r="AE400" s="120"/>
      <c r="AF400" s="120"/>
      <c r="AG400" s="94"/>
      <c r="AH400" s="120"/>
      <c r="AI400" s="94"/>
      <c r="AJ400" s="94" t="s">
        <v>778</v>
      </c>
      <c r="AK400" s="94" t="s">
        <v>701</v>
      </c>
      <c r="AL400" s="94">
        <v>120</v>
      </c>
      <c r="AM400" s="94" t="str">
        <f>TRIM(AJ400)&amp;TRIM(AL400)&amp;TRIM(AK400)</f>
      </c>
      <c r="AN400" s="116">
        <v>0</v>
      </c>
      <c r="AO400" s="116" t="inlineStr">
        <is>
          <t>#NA</t>
        </is>
      </c>
      <c r="AP400" s="116">
        <f>SUMIFS(M:M,AM:AM,AM400)+SUMIFS(O:O,AM:AM,AM400)</f>
      </c>
      <c r="AQ400" s="116">
        <f>SUMIFS(L:L,AM:AM,AM400)</f>
      </c>
      <c r="AR400" s="116">
        <f>AQ400-AP400</f>
      </c>
      <c r="AS400" s="94" t="str">
        <f>IF(AN400&gt;=AQ400,"ok","ck")</f>
      </c>
      <c r="AT400" s="116">
        <f>-P400</f>
      </c>
      <c r="AU400" s="115">
        <f>IF(SUMIFS(AT:AT,AM:AM,AM400)&gt;AO400,(SUMIFS(AT:AT,AM:AM,AM400)-AO400))</f>
      </c>
      <c r="AV400" s="116">
        <v>0</v>
      </c>
      <c r="AW400" s="121">
        <v>0</v>
      </c>
      <c r="AX400" s="115">
        <f>AN400-AP400</f>
      </c>
    </row>
    <row r="401" spans="1:50" ht="15" hidden="1" customHeight="1" x14ac:dyDescent="0.3">
      <c r="A401" s="94" t="s">
        <v>288</v>
      </c>
      <c r="B401" s="94"/>
      <c r="C401" s="94"/>
      <c r="D401" s="94"/>
      <c r="E401" s="94"/>
      <c r="F401" s="94"/>
      <c r="G401" s="112">
        <f>AU401</f>
      </c>
      <c r="H401" s="113"/>
      <c r="I401" s="94" t="s">
        <v>295</v>
      </c>
      <c r="J401" s="94" t="s">
        <v>367</v>
      </c>
      <c r="K401" s="114">
        <f>P401/3</f>
      </c>
      <c r="L401" s="115">
        <v>64.201999999999998</v>
      </c>
      <c r="M401" s="116">
        <f>L401</f>
      </c>
      <c r="N401" s="117">
        <f>M401-L401</f>
      </c>
      <c r="O401" s="112"/>
      <c r="P401" s="118">
        <f>N401+O401</f>
      </c>
      <c r="Q401" s="94" t="s">
        <v>318</v>
      </c>
      <c r="R401" s="94" t="s">
        <v>63</v>
      </c>
      <c r="S401" s="119">
        <v>46310</v>
      </c>
      <c r="T401" s="119"/>
      <c r="U401" s="120">
        <v>46310</v>
      </c>
      <c r="V401" s="94"/>
      <c r="W401" s="94"/>
      <c r="X401" s="94"/>
      <c r="Y401" s="119">
        <v>46343</v>
      </c>
      <c r="Z401" s="94"/>
      <c r="AA401" s="120"/>
      <c r="AB401" s="120"/>
      <c r="AC401" s="120"/>
      <c r="AD401" s="120"/>
      <c r="AE401" s="120"/>
      <c r="AF401" s="120"/>
      <c r="AG401" s="94"/>
      <c r="AH401" s="120"/>
      <c r="AI401" s="94"/>
      <c r="AJ401" s="94" t="s">
        <v>319</v>
      </c>
      <c r="AK401" s="94" t="s">
        <v>281</v>
      </c>
      <c r="AL401" s="94">
        <v>180</v>
      </c>
      <c r="AM401" s="94" t="str">
        <f>TRIM(AJ401)&amp;TRIM(AL401)&amp;TRIM(AK401)</f>
      </c>
      <c r="AN401" s="116">
        <v>438.79</v>
      </c>
      <c r="AO401" s="116">
        <v>14.79</v>
      </c>
      <c r="AP401" s="116">
        <f>SUMIFS(M:M,AM:AM,AM401)+SUMIFS(O:O,AM:AM,AM401)</f>
      </c>
      <c r="AQ401" s="116">
        <f>SUMIFS(L:L,AM:AM,AM401)</f>
      </c>
      <c r="AR401" s="116">
        <f>AQ401-AP401</f>
      </c>
      <c r="AS401" s="94" t="str">
        <f>IF(AN401&gt;=AQ401,"ok","ck")</f>
      </c>
      <c r="AT401" s="116">
        <f>-P401</f>
      </c>
      <c r="AU401" s="115">
        <f>IF(SUMIFS(AT:AT,AM:AM,AM401)&gt;AO401,(SUMIFS(AT:AT,AM:AM,AM401)-AO401))</f>
      </c>
      <c r="AV401" s="116">
        <v>438.79</v>
      </c>
      <c r="AW401" s="121">
        <v>0.967</v>
      </c>
      <c r="AX401" s="115">
        <f>AN401-AP401</f>
      </c>
    </row>
    <row r="402" spans="1:50" ht="15" hidden="1" customHeight="1" x14ac:dyDescent="0.3">
      <c r="A402" s="94" t="s">
        <v>288</v>
      </c>
      <c r="B402" s="94"/>
      <c r="C402" s="94"/>
      <c r="D402" s="94"/>
      <c r="E402" s="94"/>
      <c r="F402" s="94"/>
      <c r="G402" s="112">
        <f>AU402</f>
      </c>
      <c r="H402" s="113"/>
      <c r="I402" s="94" t="s">
        <v>295</v>
      </c>
      <c r="J402" s="94" t="s">
        <v>367</v>
      </c>
      <c r="K402" s="114">
        <f>P402/3</f>
      </c>
      <c r="L402" s="115">
        <v>64.201999999999998</v>
      </c>
      <c r="M402" s="116">
        <f>L402</f>
      </c>
      <c r="N402" s="117">
        <f>M402-L402</f>
      </c>
      <c r="O402" s="112"/>
      <c r="P402" s="118">
        <f>N402+O402</f>
      </c>
      <c r="Q402" s="94" t="s">
        <v>318</v>
      </c>
      <c r="R402" s="94" t="s">
        <v>63</v>
      </c>
      <c r="S402" s="120">
        <v>46310</v>
      </c>
      <c r="T402" s="120"/>
      <c r="U402" s="120">
        <v>46310</v>
      </c>
      <c r="V402" s="94"/>
      <c r="W402" s="94"/>
      <c r="X402" s="94"/>
      <c r="Y402" s="119">
        <v>46341</v>
      </c>
      <c r="Z402" s="94"/>
      <c r="AA402" s="120"/>
      <c r="AB402" s="120"/>
      <c r="AC402" s="120"/>
      <c r="AD402" s="120"/>
      <c r="AE402" s="120"/>
      <c r="AF402" s="120"/>
      <c r="AG402" s="94"/>
      <c r="AH402" s="120"/>
      <c r="AI402" s="94"/>
      <c r="AJ402" s="94" t="s">
        <v>319</v>
      </c>
      <c r="AK402" s="94" t="s">
        <v>281</v>
      </c>
      <c r="AL402" s="94">
        <v>180</v>
      </c>
      <c r="AM402" s="94" t="str">
        <f>TRIM(AJ402)&amp;TRIM(AL402)&amp;TRIM(AK402)</f>
      </c>
      <c r="AN402" s="116">
        <v>438.79</v>
      </c>
      <c r="AO402" s="116">
        <v>14.79</v>
      </c>
      <c r="AP402" s="116">
        <f>SUMIFS(M:M,AM:AM,AM402)+SUMIFS(O:O,AM:AM,AM402)</f>
      </c>
      <c r="AQ402" s="116">
        <f>SUMIFS(L:L,AM:AM,AM402)</f>
      </c>
      <c r="AR402" s="116">
        <f>AQ402-AP402</f>
      </c>
      <c r="AS402" s="94" t="str">
        <f>IF(AN402&gt;=AQ402,"ok","ck")</f>
      </c>
      <c r="AT402" s="116">
        <f>-P402</f>
      </c>
      <c r="AU402" s="115">
        <f>IF(SUMIFS(AT:AT,AM:AM,AM402)&gt;AO402,(SUMIFS(AT:AT,AM:AM,AM402)-AO402))</f>
      </c>
      <c r="AV402" s="116">
        <v>438.79</v>
      </c>
      <c r="AW402" s="121">
        <v>0.967</v>
      </c>
      <c r="AX402" s="115">
        <f>AN402-AP402</f>
      </c>
    </row>
    <row r="403" spans="1:50" ht="15" hidden="1" customHeight="1" x14ac:dyDescent="0.3">
      <c r="A403" s="94" t="s">
        <v>480</v>
      </c>
      <c r="B403" s="94"/>
      <c r="C403" s="94"/>
      <c r="D403" s="94"/>
      <c r="E403" s="94"/>
      <c r="F403" s="94"/>
      <c r="G403" s="112">
        <f>AU403</f>
      </c>
      <c r="H403" s="113"/>
      <c r="I403" s="94" t="s">
        <v>486</v>
      </c>
      <c r="J403" s="94" t="s">
        <v>515</v>
      </c>
      <c r="K403" s="114">
        <f>P403/3</f>
      </c>
      <c r="L403" s="115">
        <v>0.26700000000000002</v>
      </c>
      <c r="M403" s="116">
        <f>L403</f>
      </c>
      <c r="N403" s="117">
        <f>M403-L403</f>
      </c>
      <c r="O403" s="112"/>
      <c r="P403" s="118">
        <f>N403+O403</f>
      </c>
      <c r="Q403" s="94" t="s">
        <v>782</v>
      </c>
      <c r="R403" s="94" t="s">
        <v>63</v>
      </c>
      <c r="S403" s="119">
        <v>46332</v>
      </c>
      <c r="T403" s="119"/>
      <c r="U403" s="119">
        <v>46332</v>
      </c>
      <c r="V403" s="94"/>
      <c r="W403" s="94"/>
      <c r="X403" s="94"/>
      <c r="Y403" s="119">
        <v>46330</v>
      </c>
      <c r="Z403" s="94"/>
      <c r="AA403" s="120"/>
      <c r="AB403" s="120"/>
      <c r="AC403" s="120"/>
      <c r="AD403" s="120"/>
      <c r="AE403" s="120"/>
      <c r="AF403" s="120"/>
      <c r="AG403" s="94"/>
      <c r="AH403" s="120"/>
      <c r="AI403" s="94"/>
      <c r="AJ403" s="94" t="s">
        <v>782</v>
      </c>
      <c r="AK403" s="94" t="s">
        <v>71</v>
      </c>
      <c r="AL403" s="94">
        <v>165</v>
      </c>
      <c r="AM403" s="94" t="str">
        <f>TRIM(AJ403)&amp;TRIM(AL403)&amp;TRIM(AK403)</f>
      </c>
      <c r="AN403" s="116">
        <v>70.59</v>
      </c>
      <c r="AO403" s="116">
        <v>-4.59</v>
      </c>
      <c r="AP403" s="116">
        <f>SUMIFS(M:M,AM:AM,AM403)+SUMIFS(O:O,AM:AM,AM403)</f>
      </c>
      <c r="AQ403" s="116">
        <f>SUMIFS(L:L,AM:AM,AM403)</f>
      </c>
      <c r="AR403" s="116">
        <f>AQ403-AP403</f>
      </c>
      <c r="AS403" s="94" t="str">
        <f>IF(AN403&gt;=AQ403,"ok","ck")</f>
      </c>
      <c r="AT403" s="116">
        <f>-P403</f>
      </c>
      <c r="AU403" s="115">
        <f>IF(SUMIFS(AT:AT,AM:AM,AM403)&gt;AO403,(SUMIFS(AT:AT,AM:AM,AM403)-AO403))</f>
      </c>
      <c r="AV403" s="116">
        <v>70.59</v>
      </c>
      <c r="AW403" s="121">
        <v>1.07</v>
      </c>
      <c r="AX403" s="115">
        <f>AN403-AP403</f>
      </c>
    </row>
    <row r="404" spans="1:50" ht="15" hidden="1" customHeight="1" x14ac:dyDescent="0.3">
      <c r="A404" s="94" t="s">
        <v>480</v>
      </c>
      <c r="B404" s="94"/>
      <c r="C404" s="94"/>
      <c r="D404" s="94"/>
      <c r="E404" s="94"/>
      <c r="F404" s="94"/>
      <c r="G404" s="112">
        <f>AU404</f>
      </c>
      <c r="H404" s="113"/>
      <c r="I404" s="94" t="s">
        <v>486</v>
      </c>
      <c r="J404" s="94" t="s">
        <v>515</v>
      </c>
      <c r="K404" s="114">
        <f>P404/3</f>
      </c>
      <c r="L404" s="115">
        <v>0.13300000000000001</v>
      </c>
      <c r="M404" s="116">
        <f>L404</f>
      </c>
      <c r="N404" s="117">
        <f>M404-L404</f>
      </c>
      <c r="O404" s="112"/>
      <c r="P404" s="118">
        <f>N404+O404</f>
      </c>
      <c r="Q404" s="94" t="s">
        <v>782</v>
      </c>
      <c r="R404" s="94" t="s">
        <v>63</v>
      </c>
      <c r="S404" s="119">
        <v>46332</v>
      </c>
      <c r="T404" s="119"/>
      <c r="U404" s="119">
        <v>46332</v>
      </c>
      <c r="V404" s="94"/>
      <c r="W404" s="94"/>
      <c r="X404" s="94"/>
      <c r="Y404" s="119">
        <v>46330</v>
      </c>
      <c r="Z404" s="94"/>
      <c r="AA404" s="120"/>
      <c r="AB404" s="120"/>
      <c r="AC404" s="120"/>
      <c r="AD404" s="120"/>
      <c r="AE404" s="120"/>
      <c r="AF404" s="120"/>
      <c r="AG404" s="94"/>
      <c r="AH404" s="120"/>
      <c r="AI404" s="94"/>
      <c r="AJ404" s="94" t="s">
        <v>782</v>
      </c>
      <c r="AK404" s="94" t="s">
        <v>71</v>
      </c>
      <c r="AL404" s="94">
        <v>165</v>
      </c>
      <c r="AM404" s="94" t="str">
        <f>TRIM(AJ404)&amp;TRIM(AL404)&amp;TRIM(AK404)</f>
      </c>
      <c r="AN404" s="116">
        <v>70.59</v>
      </c>
      <c r="AO404" s="116">
        <v>-4.59</v>
      </c>
      <c r="AP404" s="116">
        <f>SUMIFS(M:M,AM:AM,AM404)+SUMIFS(O:O,AM:AM,AM404)</f>
      </c>
      <c r="AQ404" s="116">
        <f>SUMIFS(L:L,AM:AM,AM404)</f>
      </c>
      <c r="AR404" s="116">
        <f>AQ404-AP404</f>
      </c>
      <c r="AS404" s="94" t="str">
        <f>IF(AN404&gt;=AQ404,"ok","ck")</f>
      </c>
      <c r="AT404" s="116">
        <f>-P404</f>
      </c>
      <c r="AU404" s="115">
        <f>IF(SUMIFS(AT:AT,AM:AM,AM404)&gt;AO404,(SUMIFS(AT:AT,AM:AM,AM404)-AO404))</f>
      </c>
      <c r="AV404" s="116">
        <v>70.59</v>
      </c>
      <c r="AW404" s="121">
        <v>1.07</v>
      </c>
      <c r="AX404" s="115">
        <f>AN404-AP404</f>
      </c>
    </row>
    <row r="405" spans="1:50" ht="15" hidden="1" customHeight="1" x14ac:dyDescent="0.3">
      <c r="A405" s="94" t="s">
        <v>480</v>
      </c>
      <c r="B405" s="94"/>
      <c r="C405" s="94"/>
      <c r="D405" s="94"/>
      <c r="E405" s="94"/>
      <c r="F405" s="94"/>
      <c r="G405" s="112">
        <f>AU405</f>
      </c>
      <c r="H405" s="113"/>
      <c r="I405" s="94" t="s">
        <v>486</v>
      </c>
      <c r="J405" s="94" t="s">
        <v>515</v>
      </c>
      <c r="K405" s="114">
        <f>P405/3</f>
      </c>
      <c r="L405" s="115">
        <v>1.165</v>
      </c>
      <c r="M405" s="116">
        <f>L405</f>
      </c>
      <c r="N405" s="117">
        <f>M405-L405</f>
      </c>
      <c r="O405" s="112"/>
      <c r="P405" s="118">
        <f>N405+O405</f>
      </c>
      <c r="Q405" s="94" t="s">
        <v>782</v>
      </c>
      <c r="R405" s="94" t="s">
        <v>63</v>
      </c>
      <c r="S405" s="119">
        <v>46332</v>
      </c>
      <c r="T405" s="119"/>
      <c r="U405" s="119">
        <v>46332</v>
      </c>
      <c r="V405" s="94"/>
      <c r="W405" s="94"/>
      <c r="X405" s="94"/>
      <c r="Y405" s="119">
        <v>46327</v>
      </c>
      <c r="Z405" s="94"/>
      <c r="AA405" s="120"/>
      <c r="AB405" s="120"/>
      <c r="AC405" s="120"/>
      <c r="AD405" s="120"/>
      <c r="AE405" s="120"/>
      <c r="AF405" s="120"/>
      <c r="AG405" s="94"/>
      <c r="AH405" s="120"/>
      <c r="AI405" s="94"/>
      <c r="AJ405" s="94" t="s">
        <v>782</v>
      </c>
      <c r="AK405" s="94" t="s">
        <v>71</v>
      </c>
      <c r="AL405" s="94">
        <v>165</v>
      </c>
      <c r="AM405" s="94" t="str">
        <f>TRIM(AJ405)&amp;TRIM(AL405)&amp;TRIM(AK405)</f>
      </c>
      <c r="AN405" s="116">
        <v>70.59</v>
      </c>
      <c r="AO405" s="116">
        <v>-4.59</v>
      </c>
      <c r="AP405" s="116">
        <f>SUMIFS(M:M,AM:AM,AM405)+SUMIFS(O:O,AM:AM,AM405)</f>
      </c>
      <c r="AQ405" s="116">
        <f>SUMIFS(L:L,AM:AM,AM405)</f>
      </c>
      <c r="AR405" s="116">
        <f>AQ405-AP405</f>
      </c>
      <c r="AS405" s="94" t="str">
        <f>IF(AN405&gt;=AQ405,"ok","ck")</f>
      </c>
      <c r="AT405" s="116">
        <f>-P405</f>
      </c>
      <c r="AU405" s="115">
        <f>IF(SUMIFS(AT:AT,AM:AM,AM405)&gt;AO405,(SUMIFS(AT:AT,AM:AM,AM405)-AO405))</f>
      </c>
      <c r="AV405" s="116">
        <v>70.59</v>
      </c>
      <c r="AW405" s="121">
        <v>1.07</v>
      </c>
      <c r="AX405" s="115">
        <f>AN405-AP405</f>
      </c>
    </row>
    <row r="406" spans="1:50" ht="15" hidden="1" customHeight="1" x14ac:dyDescent="0.3">
      <c r="A406" s="94" t="s">
        <v>480</v>
      </c>
      <c r="B406" s="94"/>
      <c r="C406" s="94"/>
      <c r="D406" s="94"/>
      <c r="E406" s="94"/>
      <c r="F406" s="94"/>
      <c r="G406" s="112">
        <f>AU406</f>
      </c>
      <c r="H406" s="113"/>
      <c r="I406" s="94" t="s">
        <v>486</v>
      </c>
      <c r="J406" s="94" t="s">
        <v>515</v>
      </c>
      <c r="K406" s="114">
        <f>P406/3</f>
      </c>
      <c r="L406" s="115">
        <v>0.123</v>
      </c>
      <c r="M406" s="116">
        <f>L406</f>
      </c>
      <c r="N406" s="117">
        <f>M406-L406</f>
      </c>
      <c r="O406" s="112"/>
      <c r="P406" s="118">
        <f>N406+O406</f>
      </c>
      <c r="Q406" s="94" t="s">
        <v>782</v>
      </c>
      <c r="R406" s="94" t="s">
        <v>63</v>
      </c>
      <c r="S406" s="119">
        <v>46332</v>
      </c>
      <c r="T406" s="119"/>
      <c r="U406" s="119">
        <v>46332</v>
      </c>
      <c r="V406" s="94"/>
      <c r="W406" s="94"/>
      <c r="X406" s="94"/>
      <c r="Y406" s="119">
        <v>46327</v>
      </c>
      <c r="Z406" s="94"/>
      <c r="AA406" s="120"/>
      <c r="AB406" s="120"/>
      <c r="AC406" s="120"/>
      <c r="AD406" s="120"/>
      <c r="AE406" s="120"/>
      <c r="AF406" s="120"/>
      <c r="AG406" s="94"/>
      <c r="AH406" s="120"/>
      <c r="AI406" s="94"/>
      <c r="AJ406" s="94" t="s">
        <v>782</v>
      </c>
      <c r="AK406" s="94" t="s">
        <v>71</v>
      </c>
      <c r="AL406" s="94">
        <v>165</v>
      </c>
      <c r="AM406" s="94" t="str">
        <f>TRIM(AJ406)&amp;TRIM(AL406)&amp;TRIM(AK406)</f>
      </c>
      <c r="AN406" s="116">
        <v>70.59</v>
      </c>
      <c r="AO406" s="116">
        <v>-4.59</v>
      </c>
      <c r="AP406" s="116">
        <f>SUMIFS(M:M,AM:AM,AM406)+SUMIFS(O:O,AM:AM,AM406)</f>
      </c>
      <c r="AQ406" s="116">
        <f>SUMIFS(L:L,AM:AM,AM406)</f>
      </c>
      <c r="AR406" s="116">
        <f>AQ406-AP406</f>
      </c>
      <c r="AS406" s="94" t="str">
        <f>IF(AN406&gt;=AQ406,"ok","ck")</f>
      </c>
      <c r="AT406" s="116">
        <f>-P406</f>
      </c>
      <c r="AU406" s="115">
        <f>IF(SUMIFS(AT:AT,AM:AM,AM406)&gt;AO406,(SUMIFS(AT:AT,AM:AM,AM406)-AO406))</f>
      </c>
      <c r="AV406" s="116">
        <v>70.59</v>
      </c>
      <c r="AW406" s="121">
        <v>1.07</v>
      </c>
      <c r="AX406" s="115">
        <f>AN406-AP406</f>
      </c>
    </row>
    <row r="407" spans="1:50" ht="15" hidden="1" customHeight="1" x14ac:dyDescent="0.3">
      <c r="A407" s="94" t="s">
        <v>480</v>
      </c>
      <c r="B407" s="94"/>
      <c r="C407" s="94"/>
      <c r="D407" s="94"/>
      <c r="E407" s="94"/>
      <c r="F407" s="94"/>
      <c r="G407" s="112">
        <f>AU407</f>
      </c>
      <c r="H407" s="113"/>
      <c r="I407" s="94" t="s">
        <v>486</v>
      </c>
      <c r="J407" s="94" t="s">
        <v>515</v>
      </c>
      <c r="K407" s="114">
        <f>P407/3</f>
      </c>
      <c r="L407" s="115">
        <v>0.92100000000000004</v>
      </c>
      <c r="M407" s="116">
        <f>L407</f>
      </c>
      <c r="N407" s="117">
        <f>M407-L407</f>
      </c>
      <c r="O407" s="112"/>
      <c r="P407" s="118">
        <f>N407+O407</f>
      </c>
      <c r="Q407" s="94" t="s">
        <v>782</v>
      </c>
      <c r="R407" s="94" t="s">
        <v>63</v>
      </c>
      <c r="S407" s="119">
        <v>46332</v>
      </c>
      <c r="T407" s="119"/>
      <c r="U407" s="119">
        <v>46332</v>
      </c>
      <c r="V407" s="94"/>
      <c r="W407" s="94"/>
      <c r="X407" s="94"/>
      <c r="Y407" s="119">
        <v>46330</v>
      </c>
      <c r="Z407" s="94"/>
      <c r="AA407" s="120"/>
      <c r="AB407" s="120"/>
      <c r="AC407" s="120"/>
      <c r="AD407" s="120"/>
      <c r="AE407" s="120"/>
      <c r="AF407" s="120"/>
      <c r="AG407" s="94"/>
      <c r="AH407" s="120"/>
      <c r="AI407" s="94"/>
      <c r="AJ407" s="94" t="s">
        <v>782</v>
      </c>
      <c r="AK407" s="94" t="s">
        <v>71</v>
      </c>
      <c r="AL407" s="94">
        <v>165</v>
      </c>
      <c r="AM407" s="94" t="str">
        <f>TRIM(AJ407)&amp;TRIM(AL407)&amp;TRIM(AK407)</f>
      </c>
      <c r="AN407" s="116">
        <v>70.59</v>
      </c>
      <c r="AO407" s="116">
        <v>-4.59</v>
      </c>
      <c r="AP407" s="116">
        <f>SUMIFS(M:M,AM:AM,AM407)+SUMIFS(O:O,AM:AM,AM407)</f>
      </c>
      <c r="AQ407" s="116">
        <f>SUMIFS(L:L,AM:AM,AM407)</f>
      </c>
      <c r="AR407" s="116">
        <f>AQ407-AP407</f>
      </c>
      <c r="AS407" s="94" t="str">
        <f>IF(AN407&gt;=AQ407,"ok","ck")</f>
      </c>
      <c r="AT407" s="116">
        <f>-P407</f>
      </c>
      <c r="AU407" s="115">
        <f>IF(SUMIFS(AT:AT,AM:AM,AM407)&gt;AO407,(SUMIFS(AT:AT,AM:AM,AM407)-AO407))</f>
      </c>
      <c r="AV407" s="116">
        <v>70.59</v>
      </c>
      <c r="AW407" s="121">
        <v>1.07</v>
      </c>
      <c r="AX407" s="115">
        <f>AN407-AP407</f>
      </c>
    </row>
    <row r="408" spans="1:50" ht="15" hidden="1" customHeight="1" x14ac:dyDescent="0.3">
      <c r="A408" s="94" t="s">
        <v>480</v>
      </c>
      <c r="B408" s="94"/>
      <c r="C408" s="94"/>
      <c r="D408" s="94"/>
      <c r="E408" s="94"/>
      <c r="F408" s="94"/>
      <c r="G408" s="112">
        <f>AU408</f>
      </c>
      <c r="H408" s="113"/>
      <c r="I408" s="94" t="s">
        <v>486</v>
      </c>
      <c r="J408" s="94" t="s">
        <v>515</v>
      </c>
      <c r="K408" s="114">
        <f>P408/3</f>
      </c>
      <c r="L408" s="115">
        <v>0.185</v>
      </c>
      <c r="M408" s="116">
        <f>L408</f>
      </c>
      <c r="N408" s="117">
        <f>M408-L408</f>
      </c>
      <c r="O408" s="112"/>
      <c r="P408" s="118">
        <f>N408+O408</f>
      </c>
      <c r="Q408" s="94" t="s">
        <v>782</v>
      </c>
      <c r="R408" s="94" t="s">
        <v>63</v>
      </c>
      <c r="S408" s="119">
        <v>46332</v>
      </c>
      <c r="T408" s="119"/>
      <c r="U408" s="119">
        <v>46332</v>
      </c>
      <c r="V408" s="94"/>
      <c r="W408" s="94"/>
      <c r="X408" s="94"/>
      <c r="Y408" s="119">
        <v>46330</v>
      </c>
      <c r="Z408" s="94"/>
      <c r="AA408" s="120"/>
      <c r="AB408" s="120"/>
      <c r="AC408" s="120"/>
      <c r="AD408" s="120"/>
      <c r="AE408" s="120"/>
      <c r="AF408" s="120"/>
      <c r="AG408" s="94"/>
      <c r="AH408" s="120"/>
      <c r="AI408" s="94"/>
      <c r="AJ408" s="94" t="s">
        <v>782</v>
      </c>
      <c r="AK408" s="94" t="s">
        <v>71</v>
      </c>
      <c r="AL408" s="94">
        <v>165</v>
      </c>
      <c r="AM408" s="94" t="str">
        <f>TRIM(AJ408)&amp;TRIM(AL408)&amp;TRIM(AK408)</f>
      </c>
      <c r="AN408" s="116">
        <v>70.59</v>
      </c>
      <c r="AO408" s="116">
        <v>-4.59</v>
      </c>
      <c r="AP408" s="116">
        <f>SUMIFS(M:M,AM:AM,AM408)+SUMIFS(O:O,AM:AM,AM408)</f>
      </c>
      <c r="AQ408" s="116">
        <f>SUMIFS(L:L,AM:AM,AM408)</f>
      </c>
      <c r="AR408" s="116">
        <f>AQ408-AP408</f>
      </c>
      <c r="AS408" s="94" t="str">
        <f>IF(AN408&gt;=AQ408,"ok","ck")</f>
      </c>
      <c r="AT408" s="116">
        <f>-P408</f>
      </c>
      <c r="AU408" s="115">
        <f>IF(SUMIFS(AT:AT,AM:AM,AM408)&gt;AO408,(SUMIFS(AT:AT,AM:AM,AM408)-AO408))</f>
      </c>
      <c r="AV408" s="116">
        <v>70.59</v>
      </c>
      <c r="AW408" s="121">
        <v>1.07</v>
      </c>
      <c r="AX408" s="115">
        <f>AN408-AP408</f>
      </c>
    </row>
    <row r="409" spans="1:50" ht="15" hidden="1" customHeight="1" x14ac:dyDescent="0.3">
      <c r="A409" s="94" t="s">
        <v>480</v>
      </c>
      <c r="B409" s="94"/>
      <c r="C409" s="94"/>
      <c r="D409" s="94"/>
      <c r="E409" s="94"/>
      <c r="F409" s="94"/>
      <c r="G409" s="112">
        <f>AU409</f>
      </c>
      <c r="H409" s="113"/>
      <c r="I409" s="94" t="s">
        <v>486</v>
      </c>
      <c r="J409" s="94" t="s">
        <v>515</v>
      </c>
      <c r="K409" s="114">
        <f>P409/3</f>
      </c>
      <c r="L409" s="115">
        <v>1.5309999999999999</v>
      </c>
      <c r="M409" s="116">
        <f>L409</f>
      </c>
      <c r="N409" s="117">
        <f>M409-L409</f>
      </c>
      <c r="O409" s="112"/>
      <c r="P409" s="118">
        <f>N409+O409</f>
      </c>
      <c r="Q409" s="94" t="s">
        <v>782</v>
      </c>
      <c r="R409" s="94" t="s">
        <v>63</v>
      </c>
      <c r="S409" s="119">
        <v>46332</v>
      </c>
      <c r="T409" s="119"/>
      <c r="U409" s="119">
        <v>46332</v>
      </c>
      <c r="V409" s="94"/>
      <c r="W409" s="94"/>
      <c r="X409" s="94"/>
      <c r="Y409" s="119">
        <v>46338</v>
      </c>
      <c r="Z409" s="94"/>
      <c r="AA409" s="120"/>
      <c r="AB409" s="120"/>
      <c r="AC409" s="120"/>
      <c r="AD409" s="120"/>
      <c r="AE409" s="120"/>
      <c r="AF409" s="120"/>
      <c r="AG409" s="94"/>
      <c r="AH409" s="120"/>
      <c r="AI409" s="94"/>
      <c r="AJ409" s="94" t="s">
        <v>782</v>
      </c>
      <c r="AK409" s="94" t="s">
        <v>71</v>
      </c>
      <c r="AL409" s="94">
        <v>165</v>
      </c>
      <c r="AM409" s="94" t="str">
        <f>TRIM(AJ409)&amp;TRIM(AL409)&amp;TRIM(AK409)</f>
      </c>
      <c r="AN409" s="116">
        <v>70.59</v>
      </c>
      <c r="AO409" s="116">
        <v>-4.59</v>
      </c>
      <c r="AP409" s="116">
        <f>SUMIFS(M:M,AM:AM,AM409)+SUMIFS(O:O,AM:AM,AM409)</f>
      </c>
      <c r="AQ409" s="116">
        <f>SUMIFS(L:L,AM:AM,AM409)</f>
      </c>
      <c r="AR409" s="116">
        <f>AQ409-AP409</f>
      </c>
      <c r="AS409" s="94" t="str">
        <f>IF(AN409&gt;=AQ409,"ok","ck")</f>
      </c>
      <c r="AT409" s="116">
        <f>-P409</f>
      </c>
      <c r="AU409" s="115">
        <f>IF(SUMIFS(AT:AT,AM:AM,AM409)&gt;AO409,(SUMIFS(AT:AT,AM:AM,AM409)-AO409))</f>
      </c>
      <c r="AV409" s="116">
        <v>70.59</v>
      </c>
      <c r="AW409" s="121">
        <v>1.07</v>
      </c>
      <c r="AX409" s="115">
        <f>AN409-AP409</f>
      </c>
    </row>
    <row r="410" spans="1:50" ht="15" hidden="1" customHeight="1" x14ac:dyDescent="0.3">
      <c r="A410" s="94" t="s">
        <v>480</v>
      </c>
      <c r="B410" s="94"/>
      <c r="C410" s="94"/>
      <c r="D410" s="94"/>
      <c r="E410" s="94"/>
      <c r="F410" s="94"/>
      <c r="G410" s="112">
        <f>AU410</f>
      </c>
      <c r="H410" s="113"/>
      <c r="I410" s="94" t="s">
        <v>486</v>
      </c>
      <c r="J410" s="94" t="s">
        <v>515</v>
      </c>
      <c r="K410" s="114">
        <f>P410/3</f>
      </c>
      <c r="L410" s="115">
        <v>0.36699999999999999</v>
      </c>
      <c r="M410" s="116">
        <f>L410</f>
      </c>
      <c r="N410" s="117">
        <f>M410-L410</f>
      </c>
      <c r="O410" s="112"/>
      <c r="P410" s="118">
        <f>N410+O410</f>
      </c>
      <c r="Q410" s="94" t="s">
        <v>782</v>
      </c>
      <c r="R410" s="94" t="s">
        <v>63</v>
      </c>
      <c r="S410" s="119">
        <v>46332</v>
      </c>
      <c r="T410" s="119"/>
      <c r="U410" s="119">
        <v>46332</v>
      </c>
      <c r="V410" s="94"/>
      <c r="W410" s="94"/>
      <c r="X410" s="94"/>
      <c r="Y410" s="119">
        <v>46338</v>
      </c>
      <c r="Z410" s="94"/>
      <c r="AA410" s="120"/>
      <c r="AB410" s="120"/>
      <c r="AC410" s="120"/>
      <c r="AD410" s="120"/>
      <c r="AE410" s="120"/>
      <c r="AF410" s="120"/>
      <c r="AG410" s="94"/>
      <c r="AH410" s="120"/>
      <c r="AI410" s="94"/>
      <c r="AJ410" s="94" t="s">
        <v>782</v>
      </c>
      <c r="AK410" s="94" t="s">
        <v>71</v>
      </c>
      <c r="AL410" s="94">
        <v>165</v>
      </c>
      <c r="AM410" s="94" t="str">
        <f>TRIM(AJ410)&amp;TRIM(AL410)&amp;TRIM(AK410)</f>
      </c>
      <c r="AN410" s="116">
        <v>70.59</v>
      </c>
      <c r="AO410" s="116">
        <v>-4.59</v>
      </c>
      <c r="AP410" s="116">
        <f>SUMIFS(M:M,AM:AM,AM410)+SUMIFS(O:O,AM:AM,AM410)</f>
      </c>
      <c r="AQ410" s="116">
        <f>SUMIFS(L:L,AM:AM,AM410)</f>
      </c>
      <c r="AR410" s="116">
        <f>AQ410-AP410</f>
      </c>
      <c r="AS410" s="94" t="str">
        <f>IF(AN410&gt;=AQ410,"ok","ck")</f>
      </c>
      <c r="AT410" s="116">
        <f>-P410</f>
      </c>
      <c r="AU410" s="115">
        <f>IF(SUMIFS(AT:AT,AM:AM,AM410)&gt;AO410,(SUMIFS(AT:AT,AM:AM,AM410)-AO410))</f>
      </c>
      <c r="AV410" s="116">
        <v>70.59</v>
      </c>
      <c r="AW410" s="121">
        <v>1.07</v>
      </c>
      <c r="AX410" s="115">
        <f>AN410-AP410</f>
      </c>
    </row>
    <row r="411" spans="1:50" ht="15" hidden="1" customHeight="1" x14ac:dyDescent="0.3">
      <c r="A411" s="94" t="s">
        <v>480</v>
      </c>
      <c r="B411" s="94"/>
      <c r="C411" s="94"/>
      <c r="D411" s="94"/>
      <c r="E411" s="94"/>
      <c r="F411" s="94"/>
      <c r="G411" s="112">
        <f>AU411</f>
      </c>
      <c r="H411" s="113"/>
      <c r="I411" s="94" t="s">
        <v>486</v>
      </c>
      <c r="J411" s="94" t="s">
        <v>515</v>
      </c>
      <c r="K411" s="114">
        <f>P411/3</f>
      </c>
      <c r="L411" s="115">
        <v>5.0540000000000003</v>
      </c>
      <c r="M411" s="116">
        <f>L411</f>
      </c>
      <c r="N411" s="117">
        <f>M411-L411</f>
      </c>
      <c r="O411" s="112"/>
      <c r="P411" s="118">
        <f>N411+O411</f>
      </c>
      <c r="Q411" s="94" t="s">
        <v>782</v>
      </c>
      <c r="R411" s="94" t="s">
        <v>63</v>
      </c>
      <c r="S411" s="119">
        <v>46332</v>
      </c>
      <c r="T411" s="119"/>
      <c r="U411" s="120">
        <v>46332</v>
      </c>
      <c r="V411" s="94"/>
      <c r="W411" s="94"/>
      <c r="X411" s="94"/>
      <c r="Y411" s="119">
        <v>46330</v>
      </c>
      <c r="Z411" s="94"/>
      <c r="AA411" s="120"/>
      <c r="AB411" s="120"/>
      <c r="AC411" s="120"/>
      <c r="AD411" s="120"/>
      <c r="AE411" s="120"/>
      <c r="AF411" s="120"/>
      <c r="AG411" s="94"/>
      <c r="AH411" s="120"/>
      <c r="AI411" s="94"/>
      <c r="AJ411" s="94" t="s">
        <v>782</v>
      </c>
      <c r="AK411" s="94" t="s">
        <v>71</v>
      </c>
      <c r="AL411" s="94">
        <v>165</v>
      </c>
      <c r="AM411" s="94" t="str">
        <f>TRIM(AJ411)&amp;TRIM(AL411)&amp;TRIM(AK411)</f>
      </c>
      <c r="AN411" s="116">
        <v>70.59</v>
      </c>
      <c r="AO411" s="116">
        <v>-4.59</v>
      </c>
      <c r="AP411" s="116">
        <f>SUMIFS(M:M,AM:AM,AM411)+SUMIFS(O:O,AM:AM,AM411)</f>
      </c>
      <c r="AQ411" s="116">
        <f>SUMIFS(L:L,AM:AM,AM411)</f>
      </c>
      <c r="AR411" s="116">
        <f>AQ411-AP411</f>
      </c>
      <c r="AS411" s="94" t="str">
        <f>IF(AN411&gt;=AQ411,"ok","ck")</f>
      </c>
      <c r="AT411" s="116">
        <f>-P411</f>
      </c>
      <c r="AU411" s="115">
        <f>IF(SUMIFS(AT:AT,AM:AM,AM411)&gt;AO411,(SUMIFS(AT:AT,AM:AM,AM411)-AO411))</f>
      </c>
      <c r="AV411" s="116">
        <v>70.59</v>
      </c>
      <c r="AW411" s="121">
        <v>1.07</v>
      </c>
      <c r="AX411" s="115">
        <f>AN411-AP411</f>
      </c>
    </row>
    <row r="412" spans="1:50" ht="15" hidden="1" customHeight="1" x14ac:dyDescent="0.3">
      <c r="A412" s="94" t="s">
        <v>480</v>
      </c>
      <c r="B412" s="94"/>
      <c r="C412" s="94"/>
      <c r="D412" s="94"/>
      <c r="E412" s="94"/>
      <c r="F412" s="94"/>
      <c r="G412" s="112">
        <f>AU412</f>
      </c>
      <c r="H412" s="113"/>
      <c r="I412" s="94" t="s">
        <v>486</v>
      </c>
      <c r="J412" s="94" t="s">
        <v>515</v>
      </c>
      <c r="K412" s="114">
        <f>P412/3</f>
      </c>
      <c r="L412" s="115">
        <v>0.36099999999999999</v>
      </c>
      <c r="M412" s="116">
        <f>L412</f>
      </c>
      <c r="N412" s="117">
        <f>M412-L412</f>
      </c>
      <c r="O412" s="112"/>
      <c r="P412" s="118">
        <f>N412+O412</f>
      </c>
      <c r="Q412" s="94" t="s">
        <v>782</v>
      </c>
      <c r="R412" s="94" t="s">
        <v>63</v>
      </c>
      <c r="S412" s="119">
        <v>46332</v>
      </c>
      <c r="T412" s="119"/>
      <c r="U412" s="120">
        <v>46332</v>
      </c>
      <c r="V412" s="94"/>
      <c r="W412" s="94"/>
      <c r="X412" s="94"/>
      <c r="Y412" s="119">
        <v>46330</v>
      </c>
      <c r="Z412" s="94"/>
      <c r="AA412" s="120"/>
      <c r="AB412" s="120"/>
      <c r="AC412" s="120"/>
      <c r="AD412" s="120"/>
      <c r="AE412" s="120"/>
      <c r="AF412" s="120"/>
      <c r="AG412" s="94"/>
      <c r="AH412" s="120"/>
      <c r="AI412" s="94"/>
      <c r="AJ412" s="94" t="s">
        <v>782</v>
      </c>
      <c r="AK412" s="94" t="s">
        <v>71</v>
      </c>
      <c r="AL412" s="94">
        <v>165</v>
      </c>
      <c r="AM412" s="94" t="str">
        <f>TRIM(AJ412)&amp;TRIM(AL412)&amp;TRIM(AK412)</f>
      </c>
      <c r="AN412" s="116">
        <v>70.59</v>
      </c>
      <c r="AO412" s="116">
        <v>-4.59</v>
      </c>
      <c r="AP412" s="116">
        <f>SUMIFS(M:M,AM:AM,AM412)+SUMIFS(O:O,AM:AM,AM412)</f>
      </c>
      <c r="AQ412" s="116">
        <f>SUMIFS(L:L,AM:AM,AM412)</f>
      </c>
      <c r="AR412" s="116">
        <f>AQ412-AP412</f>
      </c>
      <c r="AS412" s="94" t="str">
        <f>IF(AN412&gt;=AQ412,"ok","ck")</f>
      </c>
      <c r="AT412" s="116">
        <f>-P412</f>
      </c>
      <c r="AU412" s="115">
        <f>IF(SUMIFS(AT:AT,AM:AM,AM412)&gt;AO412,(SUMIFS(AT:AT,AM:AM,AM412)-AO412))</f>
      </c>
      <c r="AV412" s="116">
        <v>70.59</v>
      </c>
      <c r="AW412" s="121">
        <v>1.07</v>
      </c>
      <c r="AX412" s="115">
        <f>AN412-AP412</f>
      </c>
    </row>
    <row r="413" spans="1:50" ht="15" hidden="1" customHeight="1" x14ac:dyDescent="0.3">
      <c r="A413" s="94" t="s">
        <v>480</v>
      </c>
      <c r="B413" s="94"/>
      <c r="C413" s="94"/>
      <c r="D413" s="94"/>
      <c r="E413" s="94"/>
      <c r="F413" s="94"/>
      <c r="G413" s="112">
        <f>AU413</f>
      </c>
      <c r="H413" s="113"/>
      <c r="I413" s="94" t="s">
        <v>486</v>
      </c>
      <c r="J413" s="94" t="s">
        <v>515</v>
      </c>
      <c r="K413" s="114">
        <f>P413/3</f>
      </c>
      <c r="L413" s="115">
        <v>4.9340000000000002</v>
      </c>
      <c r="M413" s="116">
        <f>L413</f>
      </c>
      <c r="N413" s="117">
        <f>M413-L413</f>
      </c>
      <c r="O413" s="112"/>
      <c r="P413" s="118">
        <f>N413+O413</f>
      </c>
      <c r="Q413" s="94" t="s">
        <v>782</v>
      </c>
      <c r="R413" s="94" t="s">
        <v>63</v>
      </c>
      <c r="S413" s="119">
        <v>46332</v>
      </c>
      <c r="T413" s="119"/>
      <c r="U413" s="120">
        <v>46332</v>
      </c>
      <c r="V413" s="94"/>
      <c r="W413" s="94"/>
      <c r="X413" s="94"/>
      <c r="Y413" s="119">
        <v>46337</v>
      </c>
      <c r="Z413" s="94"/>
      <c r="AA413" s="120"/>
      <c r="AB413" s="120"/>
      <c r="AC413" s="120"/>
      <c r="AD413" s="120"/>
      <c r="AE413" s="120"/>
      <c r="AF413" s="120"/>
      <c r="AG413" s="94"/>
      <c r="AH413" s="120"/>
      <c r="AI413" s="94"/>
      <c r="AJ413" s="94" t="s">
        <v>782</v>
      </c>
      <c r="AK413" s="94" t="s">
        <v>71</v>
      </c>
      <c r="AL413" s="94">
        <v>165</v>
      </c>
      <c r="AM413" s="94" t="str">
        <f>TRIM(AJ413)&amp;TRIM(AL413)&amp;TRIM(AK413)</f>
      </c>
      <c r="AN413" s="116">
        <v>70.59</v>
      </c>
      <c r="AO413" s="116">
        <v>-4.59</v>
      </c>
      <c r="AP413" s="116">
        <f>SUMIFS(M:M,AM:AM,AM413)+SUMIFS(O:O,AM:AM,AM413)</f>
      </c>
      <c r="AQ413" s="116">
        <f>SUMIFS(L:L,AM:AM,AM413)</f>
      </c>
      <c r="AR413" s="116">
        <f>AQ413-AP413</f>
      </c>
      <c r="AS413" s="94" t="str">
        <f>IF(AN413&gt;=AQ413,"ok","ck")</f>
      </c>
      <c r="AT413" s="116">
        <f>-P413</f>
      </c>
      <c r="AU413" s="115">
        <f>IF(SUMIFS(AT:AT,AM:AM,AM413)&gt;AO413,(SUMIFS(AT:AT,AM:AM,AM413)-AO413))</f>
      </c>
      <c r="AV413" s="116">
        <v>70.59</v>
      </c>
      <c r="AW413" s="121">
        <v>1.07</v>
      </c>
      <c r="AX413" s="115">
        <f>AN413-AP413</f>
      </c>
    </row>
    <row r="414" spans="1:50" ht="15" hidden="1" customHeight="1" x14ac:dyDescent="0.3">
      <c r="A414" s="94" t="s">
        <v>480</v>
      </c>
      <c r="B414" s="94"/>
      <c r="C414" s="94"/>
      <c r="D414" s="94"/>
      <c r="E414" s="94"/>
      <c r="F414" s="94"/>
      <c r="G414" s="112">
        <f>AU414</f>
      </c>
      <c r="H414" s="113"/>
      <c r="I414" s="94" t="s">
        <v>486</v>
      </c>
      <c r="J414" s="94" t="s">
        <v>515</v>
      </c>
      <c r="K414" s="114">
        <f>P414/3</f>
      </c>
      <c r="L414" s="115">
        <v>0.36099999999999999</v>
      </c>
      <c r="M414" s="116">
        <f>L414</f>
      </c>
      <c r="N414" s="117">
        <f>M414-L414</f>
      </c>
      <c r="O414" s="112"/>
      <c r="P414" s="118">
        <f>N414+O414</f>
      </c>
      <c r="Q414" s="94" t="s">
        <v>782</v>
      </c>
      <c r="R414" s="94" t="s">
        <v>63</v>
      </c>
      <c r="S414" s="119">
        <v>46332</v>
      </c>
      <c r="T414" s="119"/>
      <c r="U414" s="120">
        <v>46332</v>
      </c>
      <c r="V414" s="94"/>
      <c r="W414" s="94"/>
      <c r="X414" s="94"/>
      <c r="Y414" s="119">
        <v>46337</v>
      </c>
      <c r="Z414" s="94"/>
      <c r="AA414" s="120"/>
      <c r="AB414" s="120"/>
      <c r="AC414" s="120"/>
      <c r="AD414" s="120"/>
      <c r="AE414" s="120"/>
      <c r="AF414" s="120"/>
      <c r="AG414" s="94"/>
      <c r="AH414" s="120"/>
      <c r="AI414" s="94"/>
      <c r="AJ414" s="94" t="s">
        <v>782</v>
      </c>
      <c r="AK414" s="94" t="s">
        <v>71</v>
      </c>
      <c r="AL414" s="94">
        <v>165</v>
      </c>
      <c r="AM414" s="94" t="str">
        <f>TRIM(AJ414)&amp;TRIM(AL414)&amp;TRIM(AK414)</f>
      </c>
      <c r="AN414" s="116">
        <v>70.59</v>
      </c>
      <c r="AO414" s="116">
        <v>-4.59</v>
      </c>
      <c r="AP414" s="116">
        <f>SUMIFS(M:M,AM:AM,AM414)+SUMIFS(O:O,AM:AM,AM414)</f>
      </c>
      <c r="AQ414" s="116">
        <f>SUMIFS(L:L,AM:AM,AM414)</f>
      </c>
      <c r="AR414" s="116">
        <f>AQ414-AP414</f>
      </c>
      <c r="AS414" s="94" t="str">
        <f>IF(AN414&gt;=AQ414,"ok","ck")</f>
      </c>
      <c r="AT414" s="116">
        <f>-P414</f>
      </c>
      <c r="AU414" s="115">
        <f>IF(SUMIFS(AT:AT,AM:AM,AM414)&gt;AO414,(SUMIFS(AT:AT,AM:AM,AM414)-AO414))</f>
      </c>
      <c r="AV414" s="116">
        <v>70.59</v>
      </c>
      <c r="AW414" s="121">
        <v>1.07</v>
      </c>
      <c r="AX414" s="115">
        <f>AN414-AP414</f>
      </c>
    </row>
    <row r="415" spans="1:50" ht="15" hidden="1" customHeight="1" x14ac:dyDescent="0.3">
      <c r="A415" s="94" t="s">
        <v>480</v>
      </c>
      <c r="B415" s="94"/>
      <c r="C415" s="94"/>
      <c r="D415" s="94"/>
      <c r="E415" s="94"/>
      <c r="F415" s="94"/>
      <c r="G415" s="112">
        <f>AU415</f>
      </c>
      <c r="H415" s="113"/>
      <c r="I415" s="94" t="s">
        <v>486</v>
      </c>
      <c r="J415" s="94" t="s">
        <v>515</v>
      </c>
      <c r="K415" s="114">
        <f>P415/3</f>
      </c>
      <c r="L415" s="115">
        <v>1.804</v>
      </c>
      <c r="M415" s="116">
        <f>L415</f>
      </c>
      <c r="N415" s="117">
        <f>M415-L415</f>
      </c>
      <c r="O415" s="112"/>
      <c r="P415" s="118">
        <f>N415+O415</f>
      </c>
      <c r="Q415" s="94" t="s">
        <v>782</v>
      </c>
      <c r="R415" s="94" t="s">
        <v>63</v>
      </c>
      <c r="S415" s="119">
        <v>46332</v>
      </c>
      <c r="T415" s="119"/>
      <c r="U415" s="120">
        <v>46332</v>
      </c>
      <c r="V415" s="94"/>
      <c r="W415" s="94"/>
      <c r="X415" s="94"/>
      <c r="Y415" s="119">
        <v>46327</v>
      </c>
      <c r="Z415" s="94"/>
      <c r="AA415" s="120"/>
      <c r="AB415" s="120"/>
      <c r="AC415" s="120"/>
      <c r="AD415" s="120"/>
      <c r="AE415" s="120"/>
      <c r="AF415" s="120"/>
      <c r="AG415" s="94"/>
      <c r="AH415" s="120"/>
      <c r="AI415" s="94"/>
      <c r="AJ415" s="94" t="s">
        <v>782</v>
      </c>
      <c r="AK415" s="94" t="s">
        <v>71</v>
      </c>
      <c r="AL415" s="94">
        <v>165</v>
      </c>
      <c r="AM415" s="94" t="str">
        <f>TRIM(AJ415)&amp;TRIM(AL415)&amp;TRIM(AK415)</f>
      </c>
      <c r="AN415" s="116">
        <v>70.59</v>
      </c>
      <c r="AO415" s="116">
        <v>-4.59</v>
      </c>
      <c r="AP415" s="116">
        <f>SUMIFS(M:M,AM:AM,AM415)+SUMIFS(O:O,AM:AM,AM415)</f>
      </c>
      <c r="AQ415" s="116">
        <f>SUMIFS(L:L,AM:AM,AM415)</f>
      </c>
      <c r="AR415" s="116">
        <f>AQ415-AP415</f>
      </c>
      <c r="AS415" s="94" t="str">
        <f>IF(AN415&gt;=AQ415,"ok","ck")</f>
      </c>
      <c r="AT415" s="116">
        <f>-P415</f>
      </c>
      <c r="AU415" s="115">
        <f>IF(SUMIFS(AT:AT,AM:AM,AM415)&gt;AO415,(SUMIFS(AT:AT,AM:AM,AM415)-AO415))</f>
      </c>
      <c r="AV415" s="116">
        <v>70.59</v>
      </c>
      <c r="AW415" s="121">
        <v>1.07</v>
      </c>
      <c r="AX415" s="115">
        <f>AN415-AP415</f>
      </c>
    </row>
    <row r="416" spans="1:50" ht="15" hidden="1" customHeight="1" x14ac:dyDescent="0.3">
      <c r="A416" s="94" t="s">
        <v>480</v>
      </c>
      <c r="B416" s="94"/>
      <c r="C416" s="94"/>
      <c r="D416" s="94"/>
      <c r="E416" s="94"/>
      <c r="F416" s="94"/>
      <c r="G416" s="112">
        <f>AU416</f>
      </c>
      <c r="H416" s="113"/>
      <c r="I416" s="94" t="s">
        <v>486</v>
      </c>
      <c r="J416" s="94" t="s">
        <v>515</v>
      </c>
      <c r="K416" s="114">
        <f>P416/3</f>
      </c>
      <c r="L416" s="115">
        <v>0.13300000000000001</v>
      </c>
      <c r="M416" s="116">
        <f>L416</f>
      </c>
      <c r="N416" s="117">
        <f>M416-L416</f>
      </c>
      <c r="O416" s="112"/>
      <c r="P416" s="118">
        <f>N416+O416</f>
      </c>
      <c r="Q416" s="94" t="s">
        <v>782</v>
      </c>
      <c r="R416" s="94" t="s">
        <v>63</v>
      </c>
      <c r="S416" s="119">
        <v>46332</v>
      </c>
      <c r="T416" s="119"/>
      <c r="U416" s="120">
        <v>46332</v>
      </c>
      <c r="V416" s="94"/>
      <c r="W416" s="94"/>
      <c r="X416" s="94"/>
      <c r="Y416" s="119">
        <v>46327</v>
      </c>
      <c r="Z416" s="94"/>
      <c r="AA416" s="120"/>
      <c r="AB416" s="120"/>
      <c r="AC416" s="120"/>
      <c r="AD416" s="120"/>
      <c r="AE416" s="120"/>
      <c r="AF416" s="120"/>
      <c r="AG416" s="94"/>
      <c r="AH416" s="120"/>
      <c r="AI416" s="94"/>
      <c r="AJ416" s="94" t="s">
        <v>782</v>
      </c>
      <c r="AK416" s="94" t="s">
        <v>71</v>
      </c>
      <c r="AL416" s="94">
        <v>165</v>
      </c>
      <c r="AM416" s="94" t="str">
        <f>TRIM(AJ416)&amp;TRIM(AL416)&amp;TRIM(AK416)</f>
      </c>
      <c r="AN416" s="116">
        <v>70.59</v>
      </c>
      <c r="AO416" s="116">
        <v>-4.59</v>
      </c>
      <c r="AP416" s="116">
        <f>SUMIFS(M:M,AM:AM,AM416)+SUMIFS(O:O,AM:AM,AM416)</f>
      </c>
      <c r="AQ416" s="116">
        <f>SUMIFS(L:L,AM:AM,AM416)</f>
      </c>
      <c r="AR416" s="116">
        <f>AQ416-AP416</f>
      </c>
      <c r="AS416" s="94" t="str">
        <f>IF(AN416&gt;=AQ416,"ok","ck")</f>
      </c>
      <c r="AT416" s="116">
        <f>-P416</f>
      </c>
      <c r="AU416" s="115">
        <f>IF(SUMIFS(AT:AT,AM:AM,AM416)&gt;AO416,(SUMIFS(AT:AT,AM:AM,AM416)-AO416))</f>
      </c>
      <c r="AV416" s="116">
        <v>70.59</v>
      </c>
      <c r="AW416" s="121">
        <v>1.07</v>
      </c>
      <c r="AX416" s="115">
        <f>AN416-AP416</f>
      </c>
    </row>
    <row r="417" spans="1:50" ht="15" hidden="1" customHeight="1" x14ac:dyDescent="0.3">
      <c r="A417" s="94" t="s">
        <v>60</v>
      </c>
      <c r="B417" s="94"/>
      <c r="C417" s="94"/>
      <c r="D417" s="94"/>
      <c r="E417" s="94"/>
      <c r="F417" s="94"/>
      <c r="G417" s="112">
        <f>AU417</f>
      </c>
      <c r="H417" s="113"/>
      <c r="I417" s="94" t="s">
        <v>65</v>
      </c>
      <c r="J417" s="94" t="s">
        <v>66</v>
      </c>
      <c r="K417" s="114">
        <f>P417/3</f>
      </c>
      <c r="L417" s="115">
        <v>222.53800000000001</v>
      </c>
      <c r="M417" s="116"/>
      <c r="N417" s="117">
        <f>M417-L417</f>
      </c>
      <c r="O417" s="112"/>
      <c r="P417" s="118">
        <f>N417+O417</f>
      </c>
      <c r="Q417" s="94" t="s">
        <v>80</v>
      </c>
      <c r="R417" s="94" t="s">
        <v>63</v>
      </c>
      <c r="S417" s="119">
        <v>46336</v>
      </c>
      <c r="T417" s="119"/>
      <c r="U417" s="119" t="s">
        <v>643</v>
      </c>
      <c r="V417" s="94"/>
      <c r="W417" s="94"/>
      <c r="X417" s="94"/>
      <c r="Y417" s="119">
        <v>46329</v>
      </c>
      <c r="Z417" s="94"/>
      <c r="AA417" s="120"/>
      <c r="AB417" s="120"/>
      <c r="AC417" s="120"/>
      <c r="AD417" s="120"/>
      <c r="AE417" s="120"/>
      <c r="AF417" s="120"/>
      <c r="AG417" s="94"/>
      <c r="AH417" s="120"/>
      <c r="AI417" s="94"/>
      <c r="AJ417" s="94" t="s">
        <v>80</v>
      </c>
      <c r="AK417" s="94" t="s">
        <v>66</v>
      </c>
      <c r="AL417" s="94">
        <v>110</v>
      </c>
      <c r="AM417" s="94" t="str">
        <f>TRIM(AJ417)&amp;TRIM(AL417)&amp;TRIM(AK417)</f>
      </c>
      <c r="AN417" s="116">
        <v>603.03</v>
      </c>
      <c r="AO417" s="116">
        <v>1172.97</v>
      </c>
      <c r="AP417" s="116">
        <f>SUMIFS(M:M,AM:AM,AM417)+SUMIFS(O:O,AM:AM,AM417)</f>
      </c>
      <c r="AQ417" s="116">
        <f>SUMIFS(L:L,AM:AM,AM417)</f>
      </c>
      <c r="AR417" s="116">
        <f>AQ417-AP417</f>
      </c>
      <c r="AS417" s="94" t="str">
        <f>IF(AN417&gt;=AQ417,"ok","ck")</f>
      </c>
      <c r="AT417" s="116">
        <f>-P417</f>
      </c>
      <c r="AU417" s="115">
        <f>IF(SUMIFS(AT:AT,AM:AM,AM417)&gt;AO417,(SUMIFS(AT:AT,AM:AM,AM417)-AO417))</f>
      </c>
      <c r="AV417" s="116">
        <v>603.03</v>
      </c>
      <c r="AW417" s="121">
        <v>0.34</v>
      </c>
      <c r="AX417" s="115">
        <f>AN417-AP417</f>
      </c>
    </row>
    <row r="418" spans="1:50" ht="15" hidden="1" customHeight="1" x14ac:dyDescent="0.3">
      <c r="A418" s="94" t="s">
        <v>60</v>
      </c>
      <c r="B418" s="94"/>
      <c r="C418" s="94"/>
      <c r="D418" s="94"/>
      <c r="E418" s="94"/>
      <c r="F418" s="94"/>
      <c r="G418" s="112">
        <f>AU418</f>
      </c>
      <c r="H418" s="113"/>
      <c r="I418" s="94" t="s">
        <v>65</v>
      </c>
      <c r="J418" s="94" t="s">
        <v>66</v>
      </c>
      <c r="K418" s="114">
        <f>P418/3</f>
      </c>
      <c r="L418" s="115">
        <v>194.09100000000001</v>
      </c>
      <c r="M418" s="116"/>
      <c r="N418" s="117">
        <f>M418-L418</f>
      </c>
      <c r="O418" s="112"/>
      <c r="P418" s="118">
        <f>N418+O418</f>
      </c>
      <c r="Q418" s="94" t="s">
        <v>80</v>
      </c>
      <c r="R418" s="94" t="s">
        <v>63</v>
      </c>
      <c r="S418" s="119">
        <v>46338</v>
      </c>
      <c r="T418" s="119"/>
      <c r="U418" s="119" t="s">
        <v>643</v>
      </c>
      <c r="V418" s="94"/>
      <c r="W418" s="94"/>
      <c r="X418" s="94"/>
      <c r="Y418" s="119">
        <v>46329</v>
      </c>
      <c r="Z418" s="94"/>
      <c r="AA418" s="120"/>
      <c r="AB418" s="120"/>
      <c r="AC418" s="120"/>
      <c r="AD418" s="120"/>
      <c r="AE418" s="120"/>
      <c r="AF418" s="120"/>
      <c r="AG418" s="94"/>
      <c r="AH418" s="120"/>
      <c r="AI418" s="94"/>
      <c r="AJ418" s="94" t="s">
        <v>80</v>
      </c>
      <c r="AK418" s="94" t="s">
        <v>66</v>
      </c>
      <c r="AL418" s="94">
        <v>110</v>
      </c>
      <c r="AM418" s="94" t="str">
        <f>TRIM(AJ418)&amp;TRIM(AL418)&amp;TRIM(AK418)</f>
      </c>
      <c r="AN418" s="116">
        <v>603.03</v>
      </c>
      <c r="AO418" s="116">
        <v>1172.97</v>
      </c>
      <c r="AP418" s="116">
        <f>SUMIFS(M:M,AM:AM,AM418)+SUMIFS(O:O,AM:AM,AM418)</f>
      </c>
      <c r="AQ418" s="116">
        <f>SUMIFS(L:L,AM:AM,AM418)</f>
      </c>
      <c r="AR418" s="116">
        <f>AQ418-AP418</f>
      </c>
      <c r="AS418" s="94" t="str">
        <f>IF(AN418&gt;=AQ418,"ok","ck")</f>
      </c>
      <c r="AT418" s="116">
        <f>-P418</f>
      </c>
      <c r="AU418" s="115">
        <f>IF(SUMIFS(AT:AT,AM:AM,AM418)&gt;AO418,(SUMIFS(AT:AT,AM:AM,AM418)-AO418))</f>
      </c>
      <c r="AV418" s="116">
        <v>603.03</v>
      </c>
      <c r="AW418" s="121">
        <v>0.34</v>
      </c>
      <c r="AX418" s="115">
        <f>AN418-AP418</f>
      </c>
    </row>
    <row r="419" spans="1:50" ht="15" hidden="1" customHeight="1" x14ac:dyDescent="0.3">
      <c r="A419" s="94" t="s">
        <v>480</v>
      </c>
      <c r="B419" s="94"/>
      <c r="C419" s="94"/>
      <c r="D419" s="94"/>
      <c r="E419" s="94"/>
      <c r="F419" s="94"/>
      <c r="G419" s="112">
        <f>AU419</f>
      </c>
      <c r="H419" s="113"/>
      <c r="I419" s="94" t="s">
        <v>486</v>
      </c>
      <c r="J419" s="94" t="s">
        <v>515</v>
      </c>
      <c r="K419" s="114">
        <f>P419/3</f>
      </c>
      <c r="L419" s="115">
        <v>5.3460000000000001</v>
      </c>
      <c r="M419" s="116">
        <f>L419</f>
      </c>
      <c r="N419" s="117">
        <f>M419-L419</f>
      </c>
      <c r="O419" s="112"/>
      <c r="P419" s="118">
        <f>N419+O419</f>
      </c>
      <c r="Q419" s="94" t="s">
        <v>782</v>
      </c>
      <c r="R419" s="94" t="s">
        <v>63</v>
      </c>
      <c r="S419" s="120">
        <v>46332</v>
      </c>
      <c r="T419" s="120"/>
      <c r="U419" s="120">
        <v>46332</v>
      </c>
      <c r="V419" s="94"/>
      <c r="W419" s="94"/>
      <c r="X419" s="94"/>
      <c r="Y419" s="119">
        <v>46330</v>
      </c>
      <c r="Z419" s="94"/>
      <c r="AA419" s="120"/>
      <c r="AB419" s="120"/>
      <c r="AC419" s="120"/>
      <c r="AD419" s="120"/>
      <c r="AE419" s="120"/>
      <c r="AF419" s="120"/>
      <c r="AG419" s="94"/>
      <c r="AH419" s="120"/>
      <c r="AI419" s="94"/>
      <c r="AJ419" s="94" t="s">
        <v>782</v>
      </c>
      <c r="AK419" s="94" t="s">
        <v>71</v>
      </c>
      <c r="AL419" s="94">
        <v>165</v>
      </c>
      <c r="AM419" s="94" t="str">
        <f>TRIM(AJ419)&amp;TRIM(AL419)&amp;TRIM(AK419)</f>
      </c>
      <c r="AN419" s="116">
        <v>70.59</v>
      </c>
      <c r="AO419" s="116">
        <v>-4.59</v>
      </c>
      <c r="AP419" s="116">
        <f>SUMIFS(M:M,AM:AM,AM419)+SUMIFS(O:O,AM:AM,AM419)</f>
      </c>
      <c r="AQ419" s="116">
        <f>SUMIFS(L:L,AM:AM,AM419)</f>
      </c>
      <c r="AR419" s="116">
        <f>AQ419-AP419</f>
      </c>
      <c r="AS419" s="94" t="str">
        <f>IF(AN419&gt;=AQ419,"ok","ck")</f>
      </c>
      <c r="AT419" s="116">
        <f>-P419</f>
      </c>
      <c r="AU419" s="115">
        <f>IF(SUMIFS(AT:AT,AM:AM,AM419)&gt;AO419,(SUMIFS(AT:AT,AM:AM,AM419)-AO419))</f>
      </c>
      <c r="AV419" s="116">
        <v>70.59</v>
      </c>
      <c r="AW419" s="121">
        <v>1.07</v>
      </c>
      <c r="AX419" s="115">
        <f>AN419-AP419</f>
      </c>
    </row>
    <row r="420" spans="1:50" ht="15" hidden="1" customHeight="1" x14ac:dyDescent="0.3">
      <c r="A420" s="94" t="s">
        <v>480</v>
      </c>
      <c r="B420" s="94"/>
      <c r="C420" s="94"/>
      <c r="D420" s="94"/>
      <c r="E420" s="94"/>
      <c r="F420" s="94"/>
      <c r="G420" s="112">
        <f>AU420</f>
      </c>
      <c r="H420" s="113"/>
      <c r="I420" s="94" t="s">
        <v>486</v>
      </c>
      <c r="J420" s="94" t="s">
        <v>515</v>
      </c>
      <c r="K420" s="114">
        <f>P420/3</f>
      </c>
      <c r="L420" s="115">
        <v>0.40100000000000002</v>
      </c>
      <c r="M420" s="116">
        <f>L420</f>
      </c>
      <c r="N420" s="117">
        <f>M420-L420</f>
      </c>
      <c r="O420" s="112"/>
      <c r="P420" s="118">
        <f>N420+O420</f>
      </c>
      <c r="Q420" s="94" t="s">
        <v>782</v>
      </c>
      <c r="R420" s="94" t="s">
        <v>63</v>
      </c>
      <c r="S420" s="119">
        <v>46332</v>
      </c>
      <c r="T420" s="119"/>
      <c r="U420" s="120">
        <v>46332</v>
      </c>
      <c r="V420" s="94"/>
      <c r="W420" s="94"/>
      <c r="X420" s="94"/>
      <c r="Y420" s="119">
        <v>46330</v>
      </c>
      <c r="Z420" s="94"/>
      <c r="AA420" s="120"/>
      <c r="AB420" s="120"/>
      <c r="AC420" s="120"/>
      <c r="AD420" s="120"/>
      <c r="AE420" s="120"/>
      <c r="AF420" s="120"/>
      <c r="AG420" s="94"/>
      <c r="AH420" s="120"/>
      <c r="AI420" s="94"/>
      <c r="AJ420" s="94" t="s">
        <v>782</v>
      </c>
      <c r="AK420" s="94" t="s">
        <v>71</v>
      </c>
      <c r="AL420" s="94">
        <v>165</v>
      </c>
      <c r="AM420" s="94" t="str">
        <f>TRIM(AJ420)&amp;TRIM(AL420)&amp;TRIM(AK420)</f>
      </c>
      <c r="AN420" s="116">
        <v>70.59</v>
      </c>
      <c r="AO420" s="116">
        <v>-4.59</v>
      </c>
      <c r="AP420" s="116">
        <f>SUMIFS(M:M,AM:AM,AM420)+SUMIFS(O:O,AM:AM,AM420)</f>
      </c>
      <c r="AQ420" s="116">
        <f>SUMIFS(L:L,AM:AM,AM420)</f>
      </c>
      <c r="AR420" s="116">
        <f>AQ420-AP420</f>
      </c>
      <c r="AS420" s="94" t="str">
        <f>IF(AN420&gt;=AQ420,"ok","ck")</f>
      </c>
      <c r="AT420" s="116">
        <f>-P420</f>
      </c>
      <c r="AU420" s="115">
        <f>IF(SUMIFS(AT:AT,AM:AM,AM420)&gt;AO420,(SUMIFS(AT:AT,AM:AM,AM420)-AO420))</f>
      </c>
      <c r="AV420" s="116">
        <v>70.59</v>
      </c>
      <c r="AW420" s="121">
        <v>1.07</v>
      </c>
      <c r="AX420" s="115">
        <f>AN420-AP420</f>
      </c>
    </row>
    <row r="421" spans="1:50" ht="15" hidden="1" customHeight="1" x14ac:dyDescent="0.3">
      <c r="A421" s="94" t="s">
        <v>82</v>
      </c>
      <c r="B421" s="94"/>
      <c r="C421" s="94"/>
      <c r="D421" s="94"/>
      <c r="E421" s="94"/>
      <c r="F421" s="94"/>
      <c r="G421" s="112">
        <f>AU421</f>
      </c>
      <c r="H421" s="113"/>
      <c r="I421" s="94" t="s">
        <v>240</v>
      </c>
      <c r="J421" s="94" t="s">
        <v>241</v>
      </c>
      <c r="K421" s="114">
        <f>P421/3</f>
      </c>
      <c r="L421" s="115">
        <v>3000</v>
      </c>
      <c r="M421" s="116"/>
      <c r="N421" s="117">
        <f>M421-L421</f>
      </c>
      <c r="O421" s="112"/>
      <c r="P421" s="118">
        <f>N421+O421</f>
      </c>
      <c r="Q421" s="94" t="s">
        <v>854</v>
      </c>
      <c r="R421" s="94" t="s">
        <v>63</v>
      </c>
      <c r="S421" s="119">
        <v>46334</v>
      </c>
      <c r="T421" s="119"/>
      <c r="U421" s="120" t="s">
        <v>646</v>
      </c>
      <c r="V421" s="94"/>
      <c r="W421" s="94"/>
      <c r="X421" s="94"/>
      <c r="Y421" s="119">
        <v>46326</v>
      </c>
      <c r="Z421" s="94"/>
      <c r="AA421" s="120"/>
      <c r="AB421" s="120"/>
      <c r="AC421" s="120"/>
      <c r="AD421" s="120"/>
      <c r="AE421" s="120"/>
      <c r="AF421" s="120"/>
      <c r="AG421" s="94"/>
      <c r="AH421" s="120"/>
      <c r="AI421" s="94"/>
      <c r="AJ421" s="94" t="s">
        <v>801</v>
      </c>
      <c r="AK421" s="94" t="s">
        <v>244</v>
      </c>
      <c r="AL421" s="94">
        <v>190</v>
      </c>
      <c r="AM421" s="94" t="str">
        <f>TRIM(AJ421)&amp;TRIM(AL421)&amp;TRIM(AK421)</f>
      </c>
      <c r="AN421" s="116">
        <v>0</v>
      </c>
      <c r="AO421" s="116" t="inlineStr">
        <is>
          <t>#NA</t>
        </is>
      </c>
      <c r="AP421" s="116">
        <f>SUMIFS(M:M,AM:AM,AM421)+SUMIFS(O:O,AM:AM,AM421)</f>
      </c>
      <c r="AQ421" s="116">
        <f>SUMIFS(L:L,AM:AM,AM421)</f>
      </c>
      <c r="AR421" s="116">
        <f>AQ421-AP421</f>
      </c>
      <c r="AS421" s="94" t="str">
        <f>IF(AN421&gt;=AQ421,"ok","ck")</f>
      </c>
      <c r="AT421" s="116">
        <f>-P421</f>
      </c>
      <c r="AU421" s="115">
        <f>IF(SUMIFS(AT:AT,AM:AM,AM421)&gt;AO421,(SUMIFS(AT:AT,AM:AM,AM421)-AO421))</f>
      </c>
      <c r="AV421" s="116">
        <v>0</v>
      </c>
      <c r="AW421" s="121">
        <v>0</v>
      </c>
      <c r="AX421" s="115">
        <f>AN421-AP421</f>
      </c>
    </row>
    <row r="422" spans="1:50" ht="15" hidden="1" customHeight="1" x14ac:dyDescent="0.3">
      <c r="A422" s="94" t="s">
        <v>82</v>
      </c>
      <c r="B422" s="94"/>
      <c r="C422" s="94"/>
      <c r="D422" s="94"/>
      <c r="E422" s="94"/>
      <c r="F422" s="94"/>
      <c r="G422" s="112">
        <f>AU422</f>
      </c>
      <c r="H422" s="113"/>
      <c r="I422" s="94" t="s">
        <v>240</v>
      </c>
      <c r="J422" s="94" t="s">
        <v>241</v>
      </c>
      <c r="K422" s="114">
        <f>P422/3</f>
      </c>
      <c r="L422" s="115">
        <v>3000</v>
      </c>
      <c r="M422" s="116"/>
      <c r="N422" s="117">
        <f>M422-L422</f>
      </c>
      <c r="O422" s="112"/>
      <c r="P422" s="118">
        <f>N422+O422</f>
      </c>
      <c r="Q422" s="94" t="s">
        <v>854</v>
      </c>
      <c r="R422" s="94" t="s">
        <v>63</v>
      </c>
      <c r="S422" s="119">
        <v>46335</v>
      </c>
      <c r="T422" s="119"/>
      <c r="U422" s="120" t="s">
        <v>646</v>
      </c>
      <c r="V422" s="94"/>
      <c r="W422" s="94"/>
      <c r="X422" s="94"/>
      <c r="Y422" s="119">
        <v>46326</v>
      </c>
      <c r="Z422" s="94"/>
      <c r="AA422" s="120"/>
      <c r="AB422" s="120"/>
      <c r="AC422" s="120"/>
      <c r="AD422" s="120"/>
      <c r="AE422" s="120"/>
      <c r="AF422" s="120"/>
      <c r="AG422" s="94"/>
      <c r="AH422" s="120"/>
      <c r="AI422" s="94"/>
      <c r="AJ422" s="94" t="s">
        <v>801</v>
      </c>
      <c r="AK422" s="94" t="s">
        <v>244</v>
      </c>
      <c r="AL422" s="94">
        <v>190</v>
      </c>
      <c r="AM422" s="94" t="str">
        <f>TRIM(AJ422)&amp;TRIM(AL422)&amp;TRIM(AK422)</f>
      </c>
      <c r="AN422" s="116">
        <v>0</v>
      </c>
      <c r="AO422" s="116" t="inlineStr">
        <is>
          <t>#NA</t>
        </is>
      </c>
      <c r="AP422" s="116">
        <f>SUMIFS(M:M,AM:AM,AM422)+SUMIFS(O:O,AM:AM,AM422)</f>
      </c>
      <c r="AQ422" s="116">
        <f>SUMIFS(L:L,AM:AM,AM422)</f>
      </c>
      <c r="AR422" s="116">
        <f>AQ422-AP422</f>
      </c>
      <c r="AS422" s="94" t="str">
        <f>IF(AN422&gt;=AQ422,"ok","ck")</f>
      </c>
      <c r="AT422" s="116">
        <f>-P422</f>
      </c>
      <c r="AU422" s="115">
        <f>IF(SUMIFS(AT:AT,AM:AM,AM422)&gt;AO422,(SUMIFS(AT:AT,AM:AM,AM422)-AO422))</f>
      </c>
      <c r="AV422" s="116">
        <v>0</v>
      </c>
      <c r="AW422" s="121">
        <v>0</v>
      </c>
      <c r="AX422" s="115">
        <f>AN422-AP422</f>
      </c>
    </row>
    <row r="423" spans="1:50" ht="15" hidden="1" customHeight="1" x14ac:dyDescent="0.3">
      <c r="A423" s="94" t="s">
        <v>82</v>
      </c>
      <c r="B423" s="94"/>
      <c r="C423" s="94"/>
      <c r="D423" s="94"/>
      <c r="E423" s="94"/>
      <c r="F423" s="94"/>
      <c r="G423" s="112">
        <f>AU423</f>
      </c>
      <c r="H423" s="113"/>
      <c r="I423" s="94" t="s">
        <v>240</v>
      </c>
      <c r="J423" s="94" t="s">
        <v>241</v>
      </c>
      <c r="K423" s="114">
        <f>P423/3</f>
      </c>
      <c r="L423" s="115">
        <v>3000</v>
      </c>
      <c r="M423" s="116"/>
      <c r="N423" s="117">
        <f>M423-L423</f>
      </c>
      <c r="O423" s="112"/>
      <c r="P423" s="118">
        <f>N423+O423</f>
      </c>
      <c r="Q423" s="94" t="s">
        <v>854</v>
      </c>
      <c r="R423" s="94" t="s">
        <v>63</v>
      </c>
      <c r="S423" s="119">
        <v>46336</v>
      </c>
      <c r="T423" s="119"/>
      <c r="U423" s="120" t="s">
        <v>646</v>
      </c>
      <c r="V423" s="94"/>
      <c r="W423" s="94"/>
      <c r="X423" s="94"/>
      <c r="Y423" s="119">
        <v>46326</v>
      </c>
      <c r="Z423" s="94"/>
      <c r="AA423" s="120"/>
      <c r="AB423" s="120"/>
      <c r="AC423" s="120"/>
      <c r="AD423" s="120"/>
      <c r="AE423" s="120"/>
      <c r="AF423" s="120"/>
      <c r="AG423" s="94"/>
      <c r="AH423" s="120"/>
      <c r="AI423" s="94"/>
      <c r="AJ423" s="94" t="s">
        <v>801</v>
      </c>
      <c r="AK423" s="94" t="s">
        <v>244</v>
      </c>
      <c r="AL423" s="94">
        <v>190</v>
      </c>
      <c r="AM423" s="94" t="str">
        <f>TRIM(AJ423)&amp;TRIM(AL423)&amp;TRIM(AK423)</f>
      </c>
      <c r="AN423" s="116">
        <v>0</v>
      </c>
      <c r="AO423" s="116" t="inlineStr">
        <is>
          <t>#NA</t>
        </is>
      </c>
      <c r="AP423" s="116">
        <f>SUMIFS(M:M,AM:AM,AM423)+SUMIFS(O:O,AM:AM,AM423)</f>
      </c>
      <c r="AQ423" s="116">
        <f>SUMIFS(L:L,AM:AM,AM423)</f>
      </c>
      <c r="AR423" s="116">
        <f>AQ423-AP423</f>
      </c>
      <c r="AS423" s="94" t="str">
        <f>IF(AN423&gt;=AQ423,"ok","ck")</f>
      </c>
      <c r="AT423" s="116">
        <f>-P423</f>
      </c>
      <c r="AU423" s="115">
        <f>IF(SUMIFS(AT:AT,AM:AM,AM423)&gt;AO423,(SUMIFS(AT:AT,AM:AM,AM423)-AO423))</f>
      </c>
      <c r="AV423" s="116">
        <v>0</v>
      </c>
      <c r="AW423" s="121">
        <v>0</v>
      </c>
      <c r="AX423" s="115">
        <f>AN423-AP423</f>
      </c>
    </row>
    <row r="424" spans="1:50" ht="15" hidden="1" customHeight="1" x14ac:dyDescent="0.3">
      <c r="A424" s="94" t="s">
        <v>82</v>
      </c>
      <c r="B424" s="94"/>
      <c r="C424" s="94"/>
      <c r="D424" s="94"/>
      <c r="E424" s="94"/>
      <c r="F424" s="94"/>
      <c r="G424" s="112">
        <f>AU424</f>
      </c>
      <c r="H424" s="113"/>
      <c r="I424" s="94" t="s">
        <v>240</v>
      </c>
      <c r="J424" s="94" t="s">
        <v>241</v>
      </c>
      <c r="K424" s="114">
        <f>P424/3</f>
      </c>
      <c r="L424" s="115">
        <v>3000</v>
      </c>
      <c r="M424" s="116"/>
      <c r="N424" s="117">
        <f>M424-L424</f>
      </c>
      <c r="O424" s="112"/>
      <c r="P424" s="118">
        <f>N424+O424</f>
      </c>
      <c r="Q424" s="94" t="s">
        <v>854</v>
      </c>
      <c r="R424" s="94" t="s">
        <v>63</v>
      </c>
      <c r="S424" s="119">
        <v>46337</v>
      </c>
      <c r="T424" s="119"/>
      <c r="U424" s="120" t="s">
        <v>646</v>
      </c>
      <c r="V424" s="94"/>
      <c r="W424" s="94"/>
      <c r="X424" s="94"/>
      <c r="Y424" s="119">
        <v>46343</v>
      </c>
      <c r="Z424" s="94"/>
      <c r="AA424" s="120"/>
      <c r="AB424" s="120"/>
      <c r="AC424" s="120"/>
      <c r="AD424" s="120"/>
      <c r="AE424" s="120"/>
      <c r="AF424" s="120"/>
      <c r="AG424" s="94"/>
      <c r="AH424" s="120"/>
      <c r="AI424" s="94"/>
      <c r="AJ424" s="94" t="s">
        <v>801</v>
      </c>
      <c r="AK424" s="94" t="s">
        <v>244</v>
      </c>
      <c r="AL424" s="94">
        <v>190</v>
      </c>
      <c r="AM424" s="94" t="str">
        <f>TRIM(AJ424)&amp;TRIM(AL424)&amp;TRIM(AK424)</f>
      </c>
      <c r="AN424" s="116">
        <v>0</v>
      </c>
      <c r="AO424" s="116" t="inlineStr">
        <is>
          <t>#NA</t>
        </is>
      </c>
      <c r="AP424" s="116">
        <f>SUMIFS(M:M,AM:AM,AM424)+SUMIFS(O:O,AM:AM,AM424)</f>
      </c>
      <c r="AQ424" s="116">
        <f>SUMIFS(L:L,AM:AM,AM424)</f>
      </c>
      <c r="AR424" s="116">
        <f>AQ424-AP424</f>
      </c>
      <c r="AS424" s="94" t="str">
        <f>IF(AN424&gt;=AQ424,"ok","ck")</f>
      </c>
      <c r="AT424" s="116">
        <f>-P424</f>
      </c>
      <c r="AU424" s="115">
        <f>IF(SUMIFS(AT:AT,AM:AM,AM424)&gt;AO424,(SUMIFS(AT:AT,AM:AM,AM424)-AO424))</f>
      </c>
      <c r="AV424" s="116">
        <v>0</v>
      </c>
      <c r="AW424" s="121">
        <v>0</v>
      </c>
      <c r="AX424" s="115">
        <f>AN424-AP424</f>
      </c>
    </row>
    <row r="425" spans="1:50" ht="15" hidden="1" customHeight="1" x14ac:dyDescent="0.3">
      <c r="A425" s="94" t="s">
        <v>82</v>
      </c>
      <c r="B425" s="94"/>
      <c r="C425" s="94"/>
      <c r="D425" s="94"/>
      <c r="E425" s="94"/>
      <c r="F425" s="94"/>
      <c r="G425" s="112">
        <f>AU425</f>
      </c>
      <c r="H425" s="113"/>
      <c r="I425" s="94" t="s">
        <v>240</v>
      </c>
      <c r="J425" s="94" t="s">
        <v>241</v>
      </c>
      <c r="K425" s="114">
        <f>P425/3</f>
      </c>
      <c r="L425" s="115">
        <v>3000</v>
      </c>
      <c r="M425" s="116"/>
      <c r="N425" s="117">
        <f>M425-L425</f>
      </c>
      <c r="O425" s="112"/>
      <c r="P425" s="118">
        <f>N425+O425</f>
      </c>
      <c r="Q425" s="94" t="s">
        <v>854</v>
      </c>
      <c r="R425" s="94" t="s">
        <v>63</v>
      </c>
      <c r="S425" s="119">
        <v>46338</v>
      </c>
      <c r="T425" s="119"/>
      <c r="U425" s="120" t="s">
        <v>646</v>
      </c>
      <c r="V425" s="94"/>
      <c r="W425" s="94"/>
      <c r="X425" s="94"/>
      <c r="Y425" s="119">
        <v>46343</v>
      </c>
      <c r="Z425" s="94"/>
      <c r="AA425" s="120"/>
      <c r="AB425" s="120"/>
      <c r="AC425" s="120"/>
      <c r="AD425" s="120"/>
      <c r="AE425" s="120"/>
      <c r="AF425" s="120"/>
      <c r="AG425" s="94"/>
      <c r="AH425" s="120"/>
      <c r="AI425" s="94"/>
      <c r="AJ425" s="94" t="s">
        <v>801</v>
      </c>
      <c r="AK425" s="94" t="s">
        <v>244</v>
      </c>
      <c r="AL425" s="94">
        <v>190</v>
      </c>
      <c r="AM425" s="94" t="str">
        <f>TRIM(AJ425)&amp;TRIM(AL425)&amp;TRIM(AK425)</f>
      </c>
      <c r="AN425" s="116">
        <v>0</v>
      </c>
      <c r="AO425" s="116" t="inlineStr">
        <is>
          <t>#NA</t>
        </is>
      </c>
      <c r="AP425" s="116">
        <f>SUMIFS(M:M,AM:AM,AM425)+SUMIFS(O:O,AM:AM,AM425)</f>
      </c>
      <c r="AQ425" s="116">
        <f>SUMIFS(L:L,AM:AM,AM425)</f>
      </c>
      <c r="AR425" s="116">
        <f>AQ425-AP425</f>
      </c>
      <c r="AS425" s="94" t="str">
        <f>IF(AN425&gt;=AQ425,"ok","ck")</f>
      </c>
      <c r="AT425" s="116">
        <f>-P425</f>
      </c>
      <c r="AU425" s="115">
        <f>IF(SUMIFS(AT:AT,AM:AM,AM425)&gt;AO425,(SUMIFS(AT:AT,AM:AM,AM425)-AO425))</f>
      </c>
      <c r="AV425" s="116">
        <v>0</v>
      </c>
      <c r="AW425" s="121">
        <v>0</v>
      </c>
      <c r="AX425" s="115">
        <f>AN425-AP425</f>
      </c>
    </row>
    <row r="426" spans="1:50" ht="15" hidden="1" customHeight="1" x14ac:dyDescent="0.3">
      <c r="A426" s="94" t="s">
        <v>82</v>
      </c>
      <c r="B426" s="94"/>
      <c r="C426" s="94"/>
      <c r="D426" s="94"/>
      <c r="E426" s="94"/>
      <c r="F426" s="94"/>
      <c r="G426" s="112">
        <f>AU426</f>
      </c>
      <c r="H426" s="113"/>
      <c r="I426" s="94" t="s">
        <v>240</v>
      </c>
      <c r="J426" s="94" t="s">
        <v>241</v>
      </c>
      <c r="K426" s="114">
        <f>P426/3</f>
      </c>
      <c r="L426" s="115">
        <v>3000</v>
      </c>
      <c r="M426" s="116"/>
      <c r="N426" s="117">
        <f>M426-L426</f>
      </c>
      <c r="O426" s="112"/>
      <c r="P426" s="118">
        <f>N426+O426</f>
      </c>
      <c r="Q426" s="94" t="s">
        <v>854</v>
      </c>
      <c r="R426" s="94" t="s">
        <v>63</v>
      </c>
      <c r="S426" s="119">
        <v>46339</v>
      </c>
      <c r="T426" s="119"/>
      <c r="U426" s="120" t="s">
        <v>646</v>
      </c>
      <c r="V426" s="94"/>
      <c r="W426" s="94"/>
      <c r="X426" s="94"/>
      <c r="Y426" s="119">
        <v>46343</v>
      </c>
      <c r="Z426" s="94"/>
      <c r="AA426" s="120"/>
      <c r="AB426" s="120"/>
      <c r="AC426" s="120"/>
      <c r="AD426" s="120"/>
      <c r="AE426" s="120"/>
      <c r="AF426" s="120"/>
      <c r="AG426" s="94"/>
      <c r="AH426" s="120"/>
      <c r="AI426" s="94"/>
      <c r="AJ426" s="94" t="s">
        <v>801</v>
      </c>
      <c r="AK426" s="94" t="s">
        <v>244</v>
      </c>
      <c r="AL426" s="94">
        <v>190</v>
      </c>
      <c r="AM426" s="94" t="str">
        <f>TRIM(AJ426)&amp;TRIM(AL426)&amp;TRIM(AK426)</f>
      </c>
      <c r="AN426" s="116">
        <v>0</v>
      </c>
      <c r="AO426" s="116" t="inlineStr">
        <is>
          <t>#NA</t>
        </is>
      </c>
      <c r="AP426" s="116">
        <f>SUMIFS(M:M,AM:AM,AM426)+SUMIFS(O:O,AM:AM,AM426)</f>
      </c>
      <c r="AQ426" s="116">
        <f>SUMIFS(L:L,AM:AM,AM426)</f>
      </c>
      <c r="AR426" s="116">
        <f>AQ426-AP426</f>
      </c>
      <c r="AS426" s="94" t="str">
        <f>IF(AN426&gt;=AQ426,"ok","ck")</f>
      </c>
      <c r="AT426" s="116">
        <f>-P426</f>
      </c>
      <c r="AU426" s="115">
        <f>IF(SUMIFS(AT:AT,AM:AM,AM426)&gt;AO426,(SUMIFS(AT:AT,AM:AM,AM426)-AO426))</f>
      </c>
      <c r="AV426" s="116">
        <v>0</v>
      </c>
      <c r="AW426" s="121">
        <v>0</v>
      </c>
      <c r="AX426" s="115">
        <f>AN426-AP426</f>
      </c>
    </row>
    <row r="427" spans="1:50" ht="15" hidden="1" customHeight="1" x14ac:dyDescent="0.3">
      <c r="A427" s="94" t="s">
        <v>82</v>
      </c>
      <c r="B427" s="94"/>
      <c r="C427" s="94"/>
      <c r="D427" s="94"/>
      <c r="E427" s="94"/>
      <c r="F427" s="94"/>
      <c r="G427" s="112">
        <f>AU427</f>
      </c>
      <c r="H427" s="113"/>
      <c r="I427" s="94" t="s">
        <v>240</v>
      </c>
      <c r="J427" s="94" t="s">
        <v>247</v>
      </c>
      <c r="K427" s="114">
        <f>P427/3</f>
      </c>
      <c r="L427" s="115">
        <v>3000</v>
      </c>
      <c r="M427" s="116"/>
      <c r="N427" s="117">
        <f>M427-L427</f>
      </c>
      <c r="O427" s="112"/>
      <c r="P427" s="118">
        <f>N427+O427</f>
      </c>
      <c r="Q427" s="94" t="s">
        <v>854</v>
      </c>
      <c r="R427" s="94" t="s">
        <v>63</v>
      </c>
      <c r="S427" s="119">
        <v>46334</v>
      </c>
      <c r="T427" s="119"/>
      <c r="U427" s="120" t="s">
        <v>646</v>
      </c>
      <c r="V427" s="94"/>
      <c r="W427" s="94"/>
      <c r="X427" s="94"/>
      <c r="Y427" s="119">
        <v>46324</v>
      </c>
      <c r="Z427" s="94"/>
      <c r="AA427" s="120"/>
      <c r="AB427" s="120"/>
      <c r="AC427" s="120"/>
      <c r="AD427" s="120"/>
      <c r="AE427" s="120"/>
      <c r="AF427" s="120"/>
      <c r="AG427" s="94"/>
      <c r="AH427" s="120"/>
      <c r="AI427" s="94"/>
      <c r="AJ427" s="94" t="s">
        <v>801</v>
      </c>
      <c r="AK427" s="94" t="s">
        <v>248</v>
      </c>
      <c r="AL427" s="94">
        <v>190</v>
      </c>
      <c r="AM427" s="94" t="str">
        <f>TRIM(AJ427)&amp;TRIM(AL427)&amp;TRIM(AK427)</f>
      </c>
      <c r="AN427" s="116">
        <v>0</v>
      </c>
      <c r="AO427" s="116" t="inlineStr">
        <is>
          <t>#NA</t>
        </is>
      </c>
      <c r="AP427" s="116">
        <f>SUMIFS(M:M,AM:AM,AM427)+SUMIFS(O:O,AM:AM,AM427)</f>
      </c>
      <c r="AQ427" s="116">
        <f>SUMIFS(L:L,AM:AM,AM427)</f>
      </c>
      <c r="AR427" s="116">
        <f>AQ427-AP427</f>
      </c>
      <c r="AS427" s="94" t="str">
        <f>IF(AN427&gt;=AQ427,"ok","ck")</f>
      </c>
      <c r="AT427" s="116">
        <f>-P427</f>
      </c>
      <c r="AU427" s="115">
        <f>IF(SUMIFS(AT:AT,AM:AM,AM427)&gt;AO427,(SUMIFS(AT:AT,AM:AM,AM427)-AO427))</f>
      </c>
      <c r="AV427" s="116">
        <v>0</v>
      </c>
      <c r="AW427" s="121">
        <v>0</v>
      </c>
      <c r="AX427" s="115">
        <f>AN427-AP427</f>
      </c>
    </row>
    <row r="428" spans="1:50" ht="15" hidden="1" customHeight="1" x14ac:dyDescent="0.3">
      <c r="A428" s="94" t="s">
        <v>82</v>
      </c>
      <c r="B428" s="94"/>
      <c r="C428" s="94"/>
      <c r="D428" s="94"/>
      <c r="E428" s="94"/>
      <c r="F428" s="94"/>
      <c r="G428" s="112">
        <f>AU428</f>
      </c>
      <c r="H428" s="113"/>
      <c r="I428" s="94" t="s">
        <v>240</v>
      </c>
      <c r="J428" s="94" t="s">
        <v>247</v>
      </c>
      <c r="K428" s="114">
        <f>P428/3</f>
      </c>
      <c r="L428" s="115">
        <v>3000</v>
      </c>
      <c r="M428" s="116"/>
      <c r="N428" s="117">
        <f>M428-L428</f>
      </c>
      <c r="O428" s="112"/>
      <c r="P428" s="118">
        <f>N428+O428</f>
      </c>
      <c r="Q428" s="94" t="s">
        <v>854</v>
      </c>
      <c r="R428" s="94" t="s">
        <v>63</v>
      </c>
      <c r="S428" s="119">
        <v>46335</v>
      </c>
      <c r="T428" s="119"/>
      <c r="U428" s="120" t="s">
        <v>646</v>
      </c>
      <c r="V428" s="94"/>
      <c r="W428" s="94"/>
      <c r="X428" s="94"/>
      <c r="Y428" s="119">
        <v>46324</v>
      </c>
      <c r="Z428" s="94"/>
      <c r="AA428" s="120"/>
      <c r="AB428" s="120"/>
      <c r="AC428" s="120"/>
      <c r="AD428" s="120"/>
      <c r="AE428" s="120"/>
      <c r="AF428" s="120"/>
      <c r="AG428" s="94"/>
      <c r="AH428" s="120"/>
      <c r="AI428" s="94"/>
      <c r="AJ428" s="94" t="s">
        <v>801</v>
      </c>
      <c r="AK428" s="94" t="s">
        <v>248</v>
      </c>
      <c r="AL428" s="94">
        <v>190</v>
      </c>
      <c r="AM428" s="94" t="str">
        <f>TRIM(AJ428)&amp;TRIM(AL428)&amp;TRIM(AK428)</f>
      </c>
      <c r="AN428" s="116">
        <v>0</v>
      </c>
      <c r="AO428" s="116" t="inlineStr">
        <is>
          <t>#NA</t>
        </is>
      </c>
      <c r="AP428" s="116">
        <f>SUMIFS(M:M,AM:AM,AM428)+SUMIFS(O:O,AM:AM,AM428)</f>
      </c>
      <c r="AQ428" s="116">
        <f>SUMIFS(L:L,AM:AM,AM428)</f>
      </c>
      <c r="AR428" s="116">
        <f>AQ428-AP428</f>
      </c>
      <c r="AS428" s="94" t="str">
        <f>IF(AN428&gt;=AQ428,"ok","ck")</f>
      </c>
      <c r="AT428" s="116">
        <f>-P428</f>
      </c>
      <c r="AU428" s="115">
        <f>IF(SUMIFS(AT:AT,AM:AM,AM428)&gt;AO428,(SUMIFS(AT:AT,AM:AM,AM428)-AO428))</f>
      </c>
      <c r="AV428" s="116">
        <v>0</v>
      </c>
      <c r="AW428" s="121">
        <v>0</v>
      </c>
      <c r="AX428" s="115">
        <f>AN428-AP428</f>
      </c>
    </row>
    <row r="429" spans="1:50" ht="15" hidden="1" customHeight="1" x14ac:dyDescent="0.3">
      <c r="A429" s="94" t="s">
        <v>82</v>
      </c>
      <c r="B429" s="94"/>
      <c r="C429" s="94"/>
      <c r="D429" s="94"/>
      <c r="E429" s="94"/>
      <c r="F429" s="94"/>
      <c r="G429" s="112">
        <f>AU429</f>
      </c>
      <c r="H429" s="113"/>
      <c r="I429" s="94" t="s">
        <v>240</v>
      </c>
      <c r="J429" s="94" t="s">
        <v>247</v>
      </c>
      <c r="K429" s="114">
        <f>P429/3</f>
      </c>
      <c r="L429" s="115">
        <v>3000</v>
      </c>
      <c r="M429" s="116"/>
      <c r="N429" s="117">
        <f>M429-L429</f>
      </c>
      <c r="O429" s="112"/>
      <c r="P429" s="118">
        <f>N429+O429</f>
      </c>
      <c r="Q429" s="94" t="s">
        <v>854</v>
      </c>
      <c r="R429" s="94" t="s">
        <v>63</v>
      </c>
      <c r="S429" s="119">
        <v>46336</v>
      </c>
      <c r="T429" s="119"/>
      <c r="U429" s="120" t="s">
        <v>646</v>
      </c>
      <c r="V429" s="94"/>
      <c r="W429" s="94"/>
      <c r="X429" s="94"/>
      <c r="Y429" s="119">
        <v>46324</v>
      </c>
      <c r="Z429" s="94"/>
      <c r="AA429" s="120"/>
      <c r="AB429" s="120"/>
      <c r="AC429" s="120"/>
      <c r="AD429" s="120"/>
      <c r="AE429" s="120"/>
      <c r="AF429" s="120"/>
      <c r="AG429" s="94"/>
      <c r="AH429" s="120"/>
      <c r="AI429" s="94"/>
      <c r="AJ429" s="94" t="s">
        <v>801</v>
      </c>
      <c r="AK429" s="94" t="s">
        <v>248</v>
      </c>
      <c r="AL429" s="94">
        <v>190</v>
      </c>
      <c r="AM429" s="94" t="str">
        <f>TRIM(AJ429)&amp;TRIM(AL429)&amp;TRIM(AK429)</f>
      </c>
      <c r="AN429" s="116">
        <v>0</v>
      </c>
      <c r="AO429" s="116" t="inlineStr">
        <is>
          <t>#NA</t>
        </is>
      </c>
      <c r="AP429" s="116">
        <f>SUMIFS(M:M,AM:AM,AM429)+SUMIFS(O:O,AM:AM,AM429)</f>
      </c>
      <c r="AQ429" s="116">
        <f>SUMIFS(L:L,AM:AM,AM429)</f>
      </c>
      <c r="AR429" s="116">
        <f>AQ429-AP429</f>
      </c>
      <c r="AS429" s="94" t="str">
        <f>IF(AN429&gt;=AQ429,"ok","ck")</f>
      </c>
      <c r="AT429" s="116">
        <f>-P429</f>
      </c>
      <c r="AU429" s="115">
        <f>IF(SUMIFS(AT:AT,AM:AM,AM429)&gt;AO429,(SUMIFS(AT:AT,AM:AM,AM429)-AO429))</f>
      </c>
      <c r="AV429" s="116">
        <v>0</v>
      </c>
      <c r="AW429" s="121">
        <v>0</v>
      </c>
      <c r="AX429" s="115">
        <f>AN429-AP429</f>
      </c>
    </row>
    <row r="430" spans="1:50" ht="15" hidden="1" customHeight="1" x14ac:dyDescent="0.3">
      <c r="A430" s="94" t="s">
        <v>82</v>
      </c>
      <c r="B430" s="94"/>
      <c r="C430" s="94"/>
      <c r="D430" s="94"/>
      <c r="E430" s="94"/>
      <c r="F430" s="94"/>
      <c r="G430" s="112">
        <f>AU430</f>
      </c>
      <c r="H430" s="113"/>
      <c r="I430" s="94" t="s">
        <v>240</v>
      </c>
      <c r="J430" s="94" t="s">
        <v>247</v>
      </c>
      <c r="K430" s="114">
        <f>P430/3</f>
      </c>
      <c r="L430" s="115">
        <v>3000</v>
      </c>
      <c r="M430" s="116"/>
      <c r="N430" s="117">
        <f>M430-L430</f>
      </c>
      <c r="O430" s="112"/>
      <c r="P430" s="118">
        <f>N430+O430</f>
      </c>
      <c r="Q430" s="94" t="s">
        <v>854</v>
      </c>
      <c r="R430" s="94" t="s">
        <v>63</v>
      </c>
      <c r="S430" s="119">
        <v>46337</v>
      </c>
      <c r="T430" s="119"/>
      <c r="U430" s="120" t="s">
        <v>646</v>
      </c>
      <c r="V430" s="94"/>
      <c r="W430" s="94"/>
      <c r="X430" s="94"/>
      <c r="Y430" s="119">
        <v>46324</v>
      </c>
      <c r="Z430" s="94"/>
      <c r="AA430" s="120"/>
      <c r="AB430" s="120"/>
      <c r="AC430" s="120"/>
      <c r="AD430" s="120"/>
      <c r="AE430" s="120"/>
      <c r="AF430" s="120"/>
      <c r="AG430" s="94"/>
      <c r="AH430" s="120"/>
      <c r="AI430" s="94"/>
      <c r="AJ430" s="94" t="s">
        <v>801</v>
      </c>
      <c r="AK430" s="94" t="s">
        <v>248</v>
      </c>
      <c r="AL430" s="94">
        <v>190</v>
      </c>
      <c r="AM430" s="94" t="str">
        <f>TRIM(AJ430)&amp;TRIM(AL430)&amp;TRIM(AK430)</f>
      </c>
      <c r="AN430" s="116">
        <v>0</v>
      </c>
      <c r="AO430" s="116" t="inlineStr">
        <is>
          <t>#NA</t>
        </is>
      </c>
      <c r="AP430" s="116">
        <f>SUMIFS(M:M,AM:AM,AM430)+SUMIFS(O:O,AM:AM,AM430)</f>
      </c>
      <c r="AQ430" s="116">
        <f>SUMIFS(L:L,AM:AM,AM430)</f>
      </c>
      <c r="AR430" s="116">
        <f>AQ430-AP430</f>
      </c>
      <c r="AS430" s="94" t="str">
        <f>IF(AN430&gt;=AQ430,"ok","ck")</f>
      </c>
      <c r="AT430" s="116">
        <f>-P430</f>
      </c>
      <c r="AU430" s="115">
        <f>IF(SUMIFS(AT:AT,AM:AM,AM430)&gt;AO430,(SUMIFS(AT:AT,AM:AM,AM430)-AO430))</f>
      </c>
      <c r="AV430" s="116">
        <v>0</v>
      </c>
      <c r="AW430" s="121">
        <v>0</v>
      </c>
      <c r="AX430" s="115">
        <f>AN430-AP430</f>
      </c>
    </row>
    <row r="431" spans="1:50" ht="15" hidden="1" customHeight="1" x14ac:dyDescent="0.3">
      <c r="A431" s="94" t="s">
        <v>82</v>
      </c>
      <c r="B431" s="94"/>
      <c r="C431" s="94"/>
      <c r="D431" s="94"/>
      <c r="E431" s="94"/>
      <c r="F431" s="94"/>
      <c r="G431" s="112">
        <f>AU431</f>
      </c>
      <c r="H431" s="113"/>
      <c r="I431" s="94" t="s">
        <v>240</v>
      </c>
      <c r="J431" s="94" t="s">
        <v>247</v>
      </c>
      <c r="K431" s="114">
        <f>P431/3</f>
      </c>
      <c r="L431" s="115">
        <v>3000</v>
      </c>
      <c r="M431" s="116"/>
      <c r="N431" s="117">
        <f>M431-L431</f>
      </c>
      <c r="O431" s="112"/>
      <c r="P431" s="118">
        <f>N431+O431</f>
      </c>
      <c r="Q431" s="94" t="s">
        <v>854</v>
      </c>
      <c r="R431" s="94" t="s">
        <v>63</v>
      </c>
      <c r="S431" s="119">
        <v>46338</v>
      </c>
      <c r="T431" s="119"/>
      <c r="U431" s="120" t="s">
        <v>646</v>
      </c>
      <c r="V431" s="94"/>
      <c r="W431" s="94"/>
      <c r="X431" s="94"/>
      <c r="Y431" s="119">
        <v>46324</v>
      </c>
      <c r="Z431" s="94"/>
      <c r="AA431" s="120"/>
      <c r="AB431" s="120"/>
      <c r="AC431" s="120"/>
      <c r="AD431" s="120"/>
      <c r="AE431" s="120"/>
      <c r="AF431" s="120"/>
      <c r="AG431" s="94"/>
      <c r="AH431" s="120"/>
      <c r="AI431" s="94"/>
      <c r="AJ431" s="94" t="s">
        <v>801</v>
      </c>
      <c r="AK431" s="94" t="s">
        <v>248</v>
      </c>
      <c r="AL431" s="94">
        <v>190</v>
      </c>
      <c r="AM431" s="94" t="str">
        <f>TRIM(AJ431)&amp;TRIM(AL431)&amp;TRIM(AK431)</f>
      </c>
      <c r="AN431" s="116">
        <v>0</v>
      </c>
      <c r="AO431" s="116" t="inlineStr">
        <is>
          <t>#NA</t>
        </is>
      </c>
      <c r="AP431" s="116">
        <f>SUMIFS(M:M,AM:AM,AM431)+SUMIFS(O:O,AM:AM,AM431)</f>
      </c>
      <c r="AQ431" s="116">
        <f>SUMIFS(L:L,AM:AM,AM431)</f>
      </c>
      <c r="AR431" s="116">
        <f>AQ431-AP431</f>
      </c>
      <c r="AS431" s="94" t="str">
        <f>IF(AN431&gt;=AQ431,"ok","ck")</f>
      </c>
      <c r="AT431" s="116">
        <f>-P431</f>
      </c>
      <c r="AU431" s="115">
        <f>IF(SUMIFS(AT:AT,AM:AM,AM431)&gt;AO431,(SUMIFS(AT:AT,AM:AM,AM431)-AO431))</f>
      </c>
      <c r="AV431" s="116">
        <v>0</v>
      </c>
      <c r="AW431" s="121">
        <v>0</v>
      </c>
      <c r="AX431" s="115">
        <f>AN431-AP431</f>
      </c>
    </row>
    <row r="432" spans="1:50" ht="15" hidden="1" customHeight="1" x14ac:dyDescent="0.3">
      <c r="A432" s="94" t="s">
        <v>82</v>
      </c>
      <c r="B432" s="94"/>
      <c r="C432" s="94"/>
      <c r="D432" s="94"/>
      <c r="E432" s="94"/>
      <c r="F432" s="94"/>
      <c r="G432" s="112">
        <f>AU432</f>
      </c>
      <c r="H432" s="113"/>
      <c r="I432" s="94" t="s">
        <v>240</v>
      </c>
      <c r="J432" s="94" t="s">
        <v>247</v>
      </c>
      <c r="K432" s="114">
        <f>P432/3</f>
      </c>
      <c r="L432" s="115">
        <v>3000</v>
      </c>
      <c r="M432" s="116"/>
      <c r="N432" s="117">
        <f>M432-L432</f>
      </c>
      <c r="O432" s="112"/>
      <c r="P432" s="118">
        <f>N432+O432</f>
      </c>
      <c r="Q432" s="94" t="s">
        <v>854</v>
      </c>
      <c r="R432" s="94" t="s">
        <v>63</v>
      </c>
      <c r="S432" s="119">
        <v>46339</v>
      </c>
      <c r="T432" s="119"/>
      <c r="U432" s="120" t="s">
        <v>646</v>
      </c>
      <c r="V432" s="94"/>
      <c r="W432" s="94"/>
      <c r="X432" s="94"/>
      <c r="Y432" s="119">
        <v>46335</v>
      </c>
      <c r="Z432" s="94"/>
      <c r="AA432" s="120"/>
      <c r="AB432" s="120"/>
      <c r="AC432" s="120"/>
      <c r="AD432" s="120"/>
      <c r="AE432" s="120"/>
      <c r="AF432" s="120"/>
      <c r="AG432" s="94"/>
      <c r="AH432" s="120"/>
      <c r="AI432" s="94"/>
      <c r="AJ432" s="94" t="s">
        <v>801</v>
      </c>
      <c r="AK432" s="94" t="s">
        <v>248</v>
      </c>
      <c r="AL432" s="94">
        <v>190</v>
      </c>
      <c r="AM432" s="94" t="str">
        <f>TRIM(AJ432)&amp;TRIM(AL432)&amp;TRIM(AK432)</f>
      </c>
      <c r="AN432" s="116">
        <v>0</v>
      </c>
      <c r="AO432" s="116" t="inlineStr">
        <is>
          <t>#NA</t>
        </is>
      </c>
      <c r="AP432" s="116">
        <f>SUMIFS(M:M,AM:AM,AM432)+SUMIFS(O:O,AM:AM,AM432)</f>
      </c>
      <c r="AQ432" s="116">
        <f>SUMIFS(L:L,AM:AM,AM432)</f>
      </c>
      <c r="AR432" s="116">
        <f>AQ432-AP432</f>
      </c>
      <c r="AS432" s="94" t="str">
        <f>IF(AN432&gt;=AQ432,"ok","ck")</f>
      </c>
      <c r="AT432" s="116">
        <f>-P432</f>
      </c>
      <c r="AU432" s="115">
        <f>IF(SUMIFS(AT:AT,AM:AM,AM432)&gt;AO432,(SUMIFS(AT:AT,AM:AM,AM432)-AO432))</f>
      </c>
      <c r="AV432" s="116">
        <v>0</v>
      </c>
      <c r="AW432" s="121">
        <v>0</v>
      </c>
      <c r="AX432" s="115">
        <f>AN432-AP432</f>
      </c>
    </row>
    <row r="433" spans="1:50" ht="15" hidden="1" customHeight="1" x14ac:dyDescent="0.3">
      <c r="A433" s="94" t="s">
        <v>82</v>
      </c>
      <c r="B433" s="94"/>
      <c r="C433" s="94"/>
      <c r="D433" s="94"/>
      <c r="E433" s="94"/>
      <c r="F433" s="94"/>
      <c r="G433" s="112">
        <f>AU433</f>
      </c>
      <c r="H433" s="113"/>
      <c r="I433" s="94" t="s">
        <v>240</v>
      </c>
      <c r="J433" s="94" t="s">
        <v>247</v>
      </c>
      <c r="K433" s="114">
        <f>P433/3</f>
      </c>
      <c r="L433" s="115">
        <v>3000</v>
      </c>
      <c r="M433" s="116"/>
      <c r="N433" s="117">
        <f>M433-L433</f>
      </c>
      <c r="O433" s="112"/>
      <c r="P433" s="118">
        <f>N433+O433</f>
      </c>
      <c r="Q433" s="94" t="s">
        <v>854</v>
      </c>
      <c r="R433" s="94" t="s">
        <v>63</v>
      </c>
      <c r="S433" s="120">
        <v>46340</v>
      </c>
      <c r="T433" s="120"/>
      <c r="U433" s="120" t="s">
        <v>646</v>
      </c>
      <c r="V433" s="94"/>
      <c r="W433" s="94"/>
      <c r="X433" s="94"/>
      <c r="Y433" s="119">
        <v>46335</v>
      </c>
      <c r="Z433" s="94"/>
      <c r="AA433" s="120"/>
      <c r="AB433" s="120"/>
      <c r="AC433" s="120"/>
      <c r="AD433" s="120"/>
      <c r="AE433" s="120"/>
      <c r="AF433" s="120"/>
      <c r="AG433" s="94"/>
      <c r="AH433" s="120"/>
      <c r="AI433" s="94"/>
      <c r="AJ433" s="94" t="s">
        <v>801</v>
      </c>
      <c r="AK433" s="94" t="s">
        <v>248</v>
      </c>
      <c r="AL433" s="94">
        <v>190</v>
      </c>
      <c r="AM433" s="94" t="str">
        <f>TRIM(AJ433)&amp;TRIM(AL433)&amp;TRIM(AK433)</f>
      </c>
      <c r="AN433" s="116">
        <v>0</v>
      </c>
      <c r="AO433" s="116" t="inlineStr">
        <is>
          <t>#NA</t>
        </is>
      </c>
      <c r="AP433" s="116">
        <f>SUMIFS(M:M,AM:AM,AM433)+SUMIFS(O:O,AM:AM,AM433)</f>
      </c>
      <c r="AQ433" s="116">
        <f>SUMIFS(L:L,AM:AM,AM433)</f>
      </c>
      <c r="AR433" s="116">
        <f>AQ433-AP433</f>
      </c>
      <c r="AS433" s="94" t="str">
        <f>IF(AN433&gt;=AQ433,"ok","ck")</f>
      </c>
      <c r="AT433" s="116">
        <f>-P433</f>
      </c>
      <c r="AU433" s="115">
        <f>IF(SUMIFS(AT:AT,AM:AM,AM433)&gt;AO433,(SUMIFS(AT:AT,AM:AM,AM433)-AO433))</f>
      </c>
      <c r="AV433" s="116">
        <v>0</v>
      </c>
      <c r="AW433" s="121">
        <v>0</v>
      </c>
      <c r="AX433" s="115">
        <f>AN433-AP433</f>
      </c>
    </row>
    <row r="434" spans="1:50" ht="15" hidden="1" customHeight="1" x14ac:dyDescent="0.3">
      <c r="A434" s="94" t="s">
        <v>82</v>
      </c>
      <c r="B434" s="94"/>
      <c r="C434" s="94"/>
      <c r="D434" s="94"/>
      <c r="E434" s="94"/>
      <c r="F434" s="94"/>
      <c r="G434" s="112">
        <f>AU434</f>
      </c>
      <c r="H434" s="113"/>
      <c r="I434" s="94" t="s">
        <v>240</v>
      </c>
      <c r="J434" s="94" t="s">
        <v>247</v>
      </c>
      <c r="K434" s="114">
        <f>P434/3</f>
      </c>
      <c r="L434" s="115">
        <v>3000</v>
      </c>
      <c r="M434" s="116"/>
      <c r="N434" s="117">
        <f>M434-L434</f>
      </c>
      <c r="O434" s="112"/>
      <c r="P434" s="118">
        <f>N434+O434</f>
      </c>
      <c r="Q434" s="94" t="s">
        <v>854</v>
      </c>
      <c r="R434" s="94" t="s">
        <v>63</v>
      </c>
      <c r="S434" s="119">
        <v>46341</v>
      </c>
      <c r="T434" s="119"/>
      <c r="U434" s="119" t="s">
        <v>646</v>
      </c>
      <c r="V434" s="94"/>
      <c r="W434" s="94"/>
      <c r="X434" s="94"/>
      <c r="Y434" s="119">
        <v>46335</v>
      </c>
      <c r="Z434" s="94"/>
      <c r="AA434" s="120"/>
      <c r="AB434" s="120"/>
      <c r="AC434" s="120"/>
      <c r="AD434" s="120"/>
      <c r="AE434" s="120"/>
      <c r="AF434" s="120"/>
      <c r="AG434" s="94"/>
      <c r="AH434" s="120"/>
      <c r="AI434" s="94"/>
      <c r="AJ434" s="94" t="s">
        <v>801</v>
      </c>
      <c r="AK434" s="94" t="s">
        <v>248</v>
      </c>
      <c r="AL434" s="94">
        <v>190</v>
      </c>
      <c r="AM434" s="94" t="str">
        <f>TRIM(AJ434)&amp;TRIM(AL434)&amp;TRIM(AK434)</f>
      </c>
      <c r="AN434" s="116">
        <v>0</v>
      </c>
      <c r="AO434" s="116" t="inlineStr">
        <is>
          <t>#NA</t>
        </is>
      </c>
      <c r="AP434" s="116">
        <f>SUMIFS(M:M,AM:AM,AM434)+SUMIFS(O:O,AM:AM,AM434)</f>
      </c>
      <c r="AQ434" s="116">
        <f>SUMIFS(L:L,AM:AM,AM434)</f>
      </c>
      <c r="AR434" s="116">
        <f>AQ434-AP434</f>
      </c>
      <c r="AS434" s="94" t="str">
        <f>IF(AN434&gt;=AQ434,"ok","ck")</f>
      </c>
      <c r="AT434" s="116">
        <f>-P434</f>
      </c>
      <c r="AU434" s="115">
        <f>IF(SUMIFS(AT:AT,AM:AM,AM434)&gt;AO434,(SUMIFS(AT:AT,AM:AM,AM434)-AO434))</f>
      </c>
      <c r="AV434" s="116">
        <v>0</v>
      </c>
      <c r="AW434" s="121">
        <v>0</v>
      </c>
      <c r="AX434" s="115">
        <f>AN434-AP434</f>
      </c>
    </row>
    <row r="435" spans="1:50" ht="15" hidden="1" customHeight="1" x14ac:dyDescent="0.3">
      <c r="A435" s="94" t="s">
        <v>82</v>
      </c>
      <c r="B435" s="94"/>
      <c r="C435" s="94"/>
      <c r="D435" s="94"/>
      <c r="E435" s="94"/>
      <c r="F435" s="94"/>
      <c r="G435" s="112">
        <f>AU435</f>
      </c>
      <c r="H435" s="113"/>
      <c r="I435" s="94" t="s">
        <v>240</v>
      </c>
      <c r="J435" s="94" t="s">
        <v>251</v>
      </c>
      <c r="K435" s="114">
        <f>P435/3</f>
      </c>
      <c r="L435" s="115">
        <v>3000</v>
      </c>
      <c r="M435" s="116">
        <v>3000</v>
      </c>
      <c r="N435" s="117">
        <f>M435-L435</f>
      </c>
      <c r="O435" s="112"/>
      <c r="P435" s="118">
        <f>N435+O435</f>
      </c>
      <c r="Q435" s="94" t="s">
        <v>854</v>
      </c>
      <c r="R435" s="94" t="s">
        <v>63</v>
      </c>
      <c r="S435" s="119">
        <v>46334</v>
      </c>
      <c r="T435" s="119"/>
      <c r="U435" s="119" t="s">
        <v>646</v>
      </c>
      <c r="V435" s="94"/>
      <c r="W435" s="94"/>
      <c r="X435" s="94"/>
      <c r="Y435" s="119">
        <v>46324</v>
      </c>
      <c r="Z435" s="94"/>
      <c r="AA435" s="120"/>
      <c r="AB435" s="120"/>
      <c r="AC435" s="120"/>
      <c r="AD435" s="120"/>
      <c r="AE435" s="120"/>
      <c r="AF435" s="120"/>
      <c r="AG435" s="94"/>
      <c r="AH435" s="120"/>
      <c r="AI435" s="94"/>
      <c r="AJ435" s="94" t="s">
        <v>801</v>
      </c>
      <c r="AK435" s="94" t="s">
        <v>252</v>
      </c>
      <c r="AL435" s="94">
        <v>190</v>
      </c>
      <c r="AM435" s="94" t="str">
        <f>TRIM(AJ435)&amp;TRIM(AL435)&amp;TRIM(AK435)</f>
      </c>
      <c r="AN435" s="116">
        <v>8989.56</v>
      </c>
      <c r="AO435" s="116">
        <v>14610.44</v>
      </c>
      <c r="AP435" s="116">
        <f>SUMIFS(M:M,AM:AM,AM435)+SUMIFS(O:O,AM:AM,AM435)</f>
      </c>
      <c r="AQ435" s="116">
        <f>SUMIFS(L:L,AM:AM,AM435)</f>
      </c>
      <c r="AR435" s="116">
        <f>AQ435-AP435</f>
      </c>
      <c r="AS435" s="94" t="str">
        <f>IF(AN435&gt;=AQ435,"ok","ck")</f>
      </c>
      <c r="AT435" s="116">
        <f>-P435</f>
      </c>
      <c r="AU435" s="115">
        <f>IF(SUMIFS(AT:AT,AM:AM,AM435)&gt;AO435,(SUMIFS(AT:AT,AM:AM,AM435)-AO435))</f>
      </c>
      <c r="AV435" s="116">
        <v>8989.56</v>
      </c>
      <c r="AW435" s="121">
        <v>0.381</v>
      </c>
      <c r="AX435" s="115">
        <f>AN435-AP435</f>
      </c>
    </row>
    <row r="436" spans="1:50" ht="15" hidden="1" customHeight="1" x14ac:dyDescent="0.3">
      <c r="A436" s="94" t="s">
        <v>82</v>
      </c>
      <c r="B436" s="94"/>
      <c r="C436" s="94"/>
      <c r="D436" s="94"/>
      <c r="E436" s="94"/>
      <c r="F436" s="94"/>
      <c r="G436" s="112">
        <f>AU436</f>
      </c>
      <c r="H436" s="113"/>
      <c r="I436" s="94" t="s">
        <v>240</v>
      </c>
      <c r="J436" s="94" t="s">
        <v>251</v>
      </c>
      <c r="K436" s="114">
        <f>P436/3</f>
      </c>
      <c r="L436" s="115">
        <v>3000</v>
      </c>
      <c r="M436" s="116">
        <v>3000</v>
      </c>
      <c r="N436" s="117">
        <f>M436-L436</f>
      </c>
      <c r="O436" s="112"/>
      <c r="P436" s="118">
        <f>N436+O436</f>
      </c>
      <c r="Q436" s="94" t="s">
        <v>854</v>
      </c>
      <c r="R436" s="94" t="s">
        <v>63</v>
      </c>
      <c r="S436" s="119">
        <v>46335</v>
      </c>
      <c r="T436" s="119"/>
      <c r="U436" s="119" t="s">
        <v>646</v>
      </c>
      <c r="V436" s="94"/>
      <c r="W436" s="94"/>
      <c r="X436" s="94"/>
      <c r="Y436" s="119">
        <v>46324</v>
      </c>
      <c r="Z436" s="94"/>
      <c r="AA436" s="120"/>
      <c r="AB436" s="120"/>
      <c r="AC436" s="120"/>
      <c r="AD436" s="120"/>
      <c r="AE436" s="120"/>
      <c r="AF436" s="120"/>
      <c r="AG436" s="94"/>
      <c r="AH436" s="120"/>
      <c r="AI436" s="94"/>
      <c r="AJ436" s="94" t="s">
        <v>801</v>
      </c>
      <c r="AK436" s="94" t="s">
        <v>252</v>
      </c>
      <c r="AL436" s="94">
        <v>190</v>
      </c>
      <c r="AM436" s="94" t="str">
        <f>TRIM(AJ436)&amp;TRIM(AL436)&amp;TRIM(AK436)</f>
      </c>
      <c r="AN436" s="116">
        <v>8989.56</v>
      </c>
      <c r="AO436" s="116">
        <v>14610.44</v>
      </c>
      <c r="AP436" s="116">
        <f>SUMIFS(M:M,AM:AM,AM436)+SUMIFS(O:O,AM:AM,AM436)</f>
      </c>
      <c r="AQ436" s="116">
        <f>SUMIFS(L:L,AM:AM,AM436)</f>
      </c>
      <c r="AR436" s="116">
        <f>AQ436-AP436</f>
      </c>
      <c r="AS436" s="94" t="str">
        <f>IF(AN436&gt;=AQ436,"ok","ck")</f>
      </c>
      <c r="AT436" s="116">
        <f>-P436</f>
      </c>
      <c r="AU436" s="115">
        <f>IF(SUMIFS(AT:AT,AM:AM,AM436)&gt;AO436,(SUMIFS(AT:AT,AM:AM,AM436)-AO436))</f>
      </c>
      <c r="AV436" s="116">
        <v>8989.56</v>
      </c>
      <c r="AW436" s="121">
        <v>0.381</v>
      </c>
      <c r="AX436" s="115">
        <f>AN436-AP436</f>
      </c>
    </row>
    <row r="437" spans="1:50" ht="15" hidden="1" customHeight="1" x14ac:dyDescent="0.3">
      <c r="A437" s="94" t="s">
        <v>82</v>
      </c>
      <c r="B437" s="94"/>
      <c r="C437" s="94"/>
      <c r="D437" s="94"/>
      <c r="E437" s="94"/>
      <c r="F437" s="94"/>
      <c r="G437" s="112">
        <f>AU437</f>
      </c>
      <c r="H437" s="113"/>
      <c r="I437" s="94" t="s">
        <v>240</v>
      </c>
      <c r="J437" s="94" t="s">
        <v>251</v>
      </c>
      <c r="K437" s="114">
        <f>P437/3</f>
      </c>
      <c r="L437" s="115">
        <v>3000</v>
      </c>
      <c r="M437" s="116">
        <v>3000</v>
      </c>
      <c r="N437" s="117">
        <f>M437-L437</f>
      </c>
      <c r="O437" s="112"/>
      <c r="P437" s="118">
        <f>N437+O437</f>
      </c>
      <c r="Q437" s="94" t="s">
        <v>854</v>
      </c>
      <c r="R437" s="94" t="s">
        <v>63</v>
      </c>
      <c r="S437" s="119">
        <v>46336</v>
      </c>
      <c r="T437" s="119"/>
      <c r="U437" s="119" t="s">
        <v>646</v>
      </c>
      <c r="V437" s="94"/>
      <c r="W437" s="94"/>
      <c r="X437" s="94"/>
      <c r="Y437" s="119">
        <v>46324</v>
      </c>
      <c r="Z437" s="94"/>
      <c r="AA437" s="120"/>
      <c r="AB437" s="120"/>
      <c r="AC437" s="120"/>
      <c r="AD437" s="120"/>
      <c r="AE437" s="120"/>
      <c r="AF437" s="120"/>
      <c r="AG437" s="94"/>
      <c r="AH437" s="120"/>
      <c r="AI437" s="94"/>
      <c r="AJ437" s="94" t="s">
        <v>801</v>
      </c>
      <c r="AK437" s="94" t="s">
        <v>252</v>
      </c>
      <c r="AL437" s="94">
        <v>190</v>
      </c>
      <c r="AM437" s="94" t="str">
        <f>TRIM(AJ437)&amp;TRIM(AL437)&amp;TRIM(AK437)</f>
      </c>
      <c r="AN437" s="116">
        <v>8989.56</v>
      </c>
      <c r="AO437" s="116">
        <v>14610.44</v>
      </c>
      <c r="AP437" s="116">
        <f>SUMIFS(M:M,AM:AM,AM437)+SUMIFS(O:O,AM:AM,AM437)</f>
      </c>
      <c r="AQ437" s="116">
        <f>SUMIFS(L:L,AM:AM,AM437)</f>
      </c>
      <c r="AR437" s="116">
        <f>AQ437-AP437</f>
      </c>
      <c r="AS437" s="94" t="str">
        <f>IF(AN437&gt;=AQ437,"ok","ck")</f>
      </c>
      <c r="AT437" s="116">
        <f>-P437</f>
      </c>
      <c r="AU437" s="115">
        <f>IF(SUMIFS(AT:AT,AM:AM,AM437)&gt;AO437,(SUMIFS(AT:AT,AM:AM,AM437)-AO437))</f>
      </c>
      <c r="AV437" s="116">
        <v>8989.56</v>
      </c>
      <c r="AW437" s="121">
        <v>0.381</v>
      </c>
      <c r="AX437" s="115">
        <f>AN437-AP437</f>
      </c>
    </row>
    <row r="438" spans="1:50" ht="15" hidden="1" customHeight="1" x14ac:dyDescent="0.3">
      <c r="A438" s="94" t="s">
        <v>82</v>
      </c>
      <c r="B438" s="94"/>
      <c r="C438" s="94"/>
      <c r="D438" s="94"/>
      <c r="E438" s="94"/>
      <c r="F438" s="94"/>
      <c r="G438" s="112">
        <f>AU438</f>
      </c>
      <c r="H438" s="113"/>
      <c r="I438" s="94" t="s">
        <v>240</v>
      </c>
      <c r="J438" s="94" t="s">
        <v>251</v>
      </c>
      <c r="K438" s="114">
        <f>P438/3</f>
      </c>
      <c r="L438" s="115">
        <v>3000</v>
      </c>
      <c r="M438" s="116">
        <v>3000</v>
      </c>
      <c r="N438" s="117">
        <f>M438-L438</f>
      </c>
      <c r="O438" s="112"/>
      <c r="P438" s="118">
        <f>N438+O438</f>
      </c>
      <c r="Q438" s="94" t="s">
        <v>854</v>
      </c>
      <c r="R438" s="94" t="s">
        <v>63</v>
      </c>
      <c r="S438" s="119">
        <v>46337</v>
      </c>
      <c r="T438" s="119"/>
      <c r="U438" s="119" t="s">
        <v>646</v>
      </c>
      <c r="V438" s="94"/>
      <c r="W438" s="94"/>
      <c r="X438" s="94"/>
      <c r="Y438" s="119">
        <v>46324</v>
      </c>
      <c r="Z438" s="94"/>
      <c r="AA438" s="120"/>
      <c r="AB438" s="120"/>
      <c r="AC438" s="120"/>
      <c r="AD438" s="120"/>
      <c r="AE438" s="120"/>
      <c r="AF438" s="120"/>
      <c r="AG438" s="94"/>
      <c r="AH438" s="120"/>
      <c r="AI438" s="94"/>
      <c r="AJ438" s="94" t="s">
        <v>801</v>
      </c>
      <c r="AK438" s="94" t="s">
        <v>252</v>
      </c>
      <c r="AL438" s="94">
        <v>190</v>
      </c>
      <c r="AM438" s="94" t="str">
        <f>TRIM(AJ438)&amp;TRIM(AL438)&amp;TRIM(AK438)</f>
      </c>
      <c r="AN438" s="116">
        <v>8989.56</v>
      </c>
      <c r="AO438" s="116">
        <v>14610.44</v>
      </c>
      <c r="AP438" s="116">
        <f>SUMIFS(M:M,AM:AM,AM438)+SUMIFS(O:O,AM:AM,AM438)</f>
      </c>
      <c r="AQ438" s="116">
        <f>SUMIFS(L:L,AM:AM,AM438)</f>
      </c>
      <c r="AR438" s="116">
        <f>AQ438-AP438</f>
      </c>
      <c r="AS438" s="94" t="str">
        <f>IF(AN438&gt;=AQ438,"ok","ck")</f>
      </c>
      <c r="AT438" s="116">
        <f>-P438</f>
      </c>
      <c r="AU438" s="115">
        <f>IF(SUMIFS(AT:AT,AM:AM,AM438)&gt;AO438,(SUMIFS(AT:AT,AM:AM,AM438)-AO438))</f>
      </c>
      <c r="AV438" s="116">
        <v>8989.56</v>
      </c>
      <c r="AW438" s="121">
        <v>0.381</v>
      </c>
      <c r="AX438" s="115">
        <f>AN438-AP438</f>
      </c>
    </row>
    <row r="439" spans="1:50" ht="15" hidden="1" customHeight="1" x14ac:dyDescent="0.3">
      <c r="A439" s="94" t="s">
        <v>82</v>
      </c>
      <c r="B439" s="94"/>
      <c r="C439" s="94"/>
      <c r="D439" s="94"/>
      <c r="E439" s="94"/>
      <c r="F439" s="94"/>
      <c r="G439" s="112">
        <f>AU439</f>
      </c>
      <c r="H439" s="113"/>
      <c r="I439" s="94" t="s">
        <v>240</v>
      </c>
      <c r="J439" s="94" t="s">
        <v>251</v>
      </c>
      <c r="K439" s="114">
        <f>P439/3</f>
      </c>
      <c r="L439" s="115">
        <v>3000</v>
      </c>
      <c r="M439" s="116">
        <v>1941.0360000000001</v>
      </c>
      <c r="N439" s="117">
        <f>M439-L439</f>
      </c>
      <c r="O439" s="112"/>
      <c r="P439" s="118">
        <f>N439+O439</f>
      </c>
      <c r="Q439" s="94" t="s">
        <v>854</v>
      </c>
      <c r="R439" s="94" t="s">
        <v>63</v>
      </c>
      <c r="S439" s="119">
        <v>46338</v>
      </c>
      <c r="T439" s="119"/>
      <c r="U439" s="119" t="s">
        <v>646</v>
      </c>
      <c r="V439" s="94"/>
      <c r="W439" s="94"/>
      <c r="X439" s="94"/>
      <c r="Y439" s="119">
        <v>46324</v>
      </c>
      <c r="Z439" s="94"/>
      <c r="AA439" s="120"/>
      <c r="AB439" s="120"/>
      <c r="AC439" s="120"/>
      <c r="AD439" s="120"/>
      <c r="AE439" s="120"/>
      <c r="AF439" s="120"/>
      <c r="AG439" s="94"/>
      <c r="AH439" s="120"/>
      <c r="AI439" s="94"/>
      <c r="AJ439" s="94" t="s">
        <v>801</v>
      </c>
      <c r="AK439" s="94" t="s">
        <v>252</v>
      </c>
      <c r="AL439" s="94">
        <v>190</v>
      </c>
      <c r="AM439" s="94" t="str">
        <f>TRIM(AJ439)&amp;TRIM(AL439)&amp;TRIM(AK439)</f>
      </c>
      <c r="AN439" s="116">
        <v>8989.56</v>
      </c>
      <c r="AO439" s="116">
        <v>14610.44</v>
      </c>
      <c r="AP439" s="116">
        <f>SUMIFS(M:M,AM:AM,AM439)+SUMIFS(O:O,AM:AM,AM439)</f>
      </c>
      <c r="AQ439" s="116">
        <f>SUMIFS(L:L,AM:AM,AM439)</f>
      </c>
      <c r="AR439" s="116">
        <f>AQ439-AP439</f>
      </c>
      <c r="AS439" s="94" t="str">
        <f>IF(AN439&gt;=AQ439,"ok","ck")</f>
      </c>
      <c r="AT439" s="116">
        <f>-P439</f>
      </c>
      <c r="AU439" s="115">
        <f>IF(SUMIFS(AT:AT,AM:AM,AM439)&gt;AO439,(SUMIFS(AT:AT,AM:AM,AM439)-AO439))</f>
      </c>
      <c r="AV439" s="116">
        <v>8989.56</v>
      </c>
      <c r="AW439" s="121">
        <v>0.381</v>
      </c>
      <c r="AX439" s="115">
        <f>AN439-AP439</f>
      </c>
    </row>
    <row r="440" spans="1:50" ht="15" hidden="1" customHeight="1" x14ac:dyDescent="0.3">
      <c r="A440" s="94" t="s">
        <v>82</v>
      </c>
      <c r="B440" s="94"/>
      <c r="C440" s="94"/>
      <c r="D440" s="94"/>
      <c r="E440" s="94"/>
      <c r="F440" s="94"/>
      <c r="G440" s="112">
        <f>AU440</f>
      </c>
      <c r="H440" s="113"/>
      <c r="I440" s="94" t="s">
        <v>240</v>
      </c>
      <c r="J440" s="94" t="s">
        <v>251</v>
      </c>
      <c r="K440" s="114">
        <f>P440/3</f>
      </c>
      <c r="L440" s="115">
        <v>3000</v>
      </c>
      <c r="M440" s="116"/>
      <c r="N440" s="117">
        <f>M440-L440</f>
      </c>
      <c r="O440" s="112"/>
      <c r="P440" s="118">
        <f>N440+O440</f>
      </c>
      <c r="Q440" s="94" t="s">
        <v>854</v>
      </c>
      <c r="R440" s="94" t="s">
        <v>63</v>
      </c>
      <c r="S440" s="119">
        <v>46339</v>
      </c>
      <c r="T440" s="119"/>
      <c r="U440" s="119" t="s">
        <v>646</v>
      </c>
      <c r="V440" s="94"/>
      <c r="W440" s="94"/>
      <c r="X440" s="94"/>
      <c r="Y440" s="119">
        <v>46335</v>
      </c>
      <c r="Z440" s="94"/>
      <c r="AA440" s="120"/>
      <c r="AB440" s="120"/>
      <c r="AC440" s="120"/>
      <c r="AD440" s="120"/>
      <c r="AE440" s="120"/>
      <c r="AF440" s="120"/>
      <c r="AG440" s="94"/>
      <c r="AH440" s="120"/>
      <c r="AI440" s="94"/>
      <c r="AJ440" s="94" t="s">
        <v>801</v>
      </c>
      <c r="AK440" s="94" t="s">
        <v>252</v>
      </c>
      <c r="AL440" s="94">
        <v>190</v>
      </c>
      <c r="AM440" s="94" t="str">
        <f>TRIM(AJ440)&amp;TRIM(AL440)&amp;TRIM(AK440)</f>
      </c>
      <c r="AN440" s="116">
        <v>8989.56</v>
      </c>
      <c r="AO440" s="116">
        <v>14610.44</v>
      </c>
      <c r="AP440" s="116">
        <f>SUMIFS(M:M,AM:AM,AM440)+SUMIFS(O:O,AM:AM,AM440)</f>
      </c>
      <c r="AQ440" s="116">
        <f>SUMIFS(L:L,AM:AM,AM440)</f>
      </c>
      <c r="AR440" s="116">
        <f>AQ440-AP440</f>
      </c>
      <c r="AS440" s="94" t="str">
        <f>IF(AN440&gt;=AQ440,"ok","ck")</f>
      </c>
      <c r="AT440" s="116">
        <f>-P440</f>
      </c>
      <c r="AU440" s="115">
        <f>IF(SUMIFS(AT:AT,AM:AM,AM440)&gt;AO440,(SUMIFS(AT:AT,AM:AM,AM440)-AO440))</f>
      </c>
      <c r="AV440" s="116">
        <v>8989.56</v>
      </c>
      <c r="AW440" s="121">
        <v>0.381</v>
      </c>
      <c r="AX440" s="115">
        <f>AN440-AP440</f>
      </c>
    </row>
    <row r="441" spans="1:50" ht="15" hidden="1" customHeight="1" x14ac:dyDescent="0.3">
      <c r="A441" s="94" t="s">
        <v>82</v>
      </c>
      <c r="B441" s="94"/>
      <c r="C441" s="94"/>
      <c r="D441" s="94"/>
      <c r="E441" s="94"/>
      <c r="F441" s="94"/>
      <c r="G441" s="112">
        <f>AU441</f>
      </c>
      <c r="H441" s="113"/>
      <c r="I441" s="94" t="s">
        <v>240</v>
      </c>
      <c r="J441" s="94" t="s">
        <v>251</v>
      </c>
      <c r="K441" s="114">
        <f>P441/3</f>
      </c>
      <c r="L441" s="115">
        <v>3000</v>
      </c>
      <c r="M441" s="116"/>
      <c r="N441" s="117">
        <f>M441-L441</f>
      </c>
      <c r="O441" s="112"/>
      <c r="P441" s="118">
        <f>N441+O441</f>
      </c>
      <c r="Q441" s="94" t="s">
        <v>854</v>
      </c>
      <c r="R441" s="94" t="s">
        <v>63</v>
      </c>
      <c r="S441" s="119">
        <v>46340</v>
      </c>
      <c r="T441" s="119"/>
      <c r="U441" s="119" t="s">
        <v>646</v>
      </c>
      <c r="V441" s="94"/>
      <c r="W441" s="94"/>
      <c r="X441" s="94"/>
      <c r="Y441" s="119">
        <v>46335</v>
      </c>
      <c r="Z441" s="94"/>
      <c r="AA441" s="120"/>
      <c r="AB441" s="120"/>
      <c r="AC441" s="120"/>
      <c r="AD441" s="120"/>
      <c r="AE441" s="120"/>
      <c r="AF441" s="120"/>
      <c r="AG441" s="94"/>
      <c r="AH441" s="120"/>
      <c r="AI441" s="94"/>
      <c r="AJ441" s="94" t="s">
        <v>801</v>
      </c>
      <c r="AK441" s="94" t="s">
        <v>252</v>
      </c>
      <c r="AL441" s="94">
        <v>190</v>
      </c>
      <c r="AM441" s="94" t="str">
        <f>TRIM(AJ441)&amp;TRIM(AL441)&amp;TRIM(AK441)</f>
      </c>
      <c r="AN441" s="116">
        <v>8989.56</v>
      </c>
      <c r="AO441" s="116">
        <v>14610.44</v>
      </c>
      <c r="AP441" s="116">
        <f>SUMIFS(M:M,AM:AM,AM441)+SUMIFS(O:O,AM:AM,AM441)</f>
      </c>
      <c r="AQ441" s="116">
        <f>SUMIFS(L:L,AM:AM,AM441)</f>
      </c>
      <c r="AR441" s="116">
        <f>AQ441-AP441</f>
      </c>
      <c r="AS441" s="94" t="str">
        <f>IF(AN441&gt;=AQ441,"ok","ck")</f>
      </c>
      <c r="AT441" s="116">
        <f>-P441</f>
      </c>
      <c r="AU441" s="115">
        <f>IF(SUMIFS(AT:AT,AM:AM,AM441)&gt;AO441,(SUMIFS(AT:AT,AM:AM,AM441)-AO441))</f>
      </c>
      <c r="AV441" s="116">
        <v>8989.56</v>
      </c>
      <c r="AW441" s="121">
        <v>0.381</v>
      </c>
      <c r="AX441" s="115">
        <f>AN441-AP441</f>
      </c>
    </row>
    <row r="442" spans="1:50" ht="15" hidden="1" customHeight="1" x14ac:dyDescent="0.3">
      <c r="A442" s="94" t="s">
        <v>82</v>
      </c>
      <c r="B442" s="94"/>
      <c r="C442" s="94"/>
      <c r="D442" s="94"/>
      <c r="E442" s="94"/>
      <c r="F442" s="94"/>
      <c r="G442" s="112">
        <f>AU442</f>
      </c>
      <c r="H442" s="113"/>
      <c r="I442" s="94" t="s">
        <v>240</v>
      </c>
      <c r="J442" s="94" t="s">
        <v>251</v>
      </c>
      <c r="K442" s="114">
        <f>P442/3</f>
      </c>
      <c r="L442" s="115">
        <v>3000</v>
      </c>
      <c r="M442" s="116"/>
      <c r="N442" s="117">
        <f>M442-L442</f>
      </c>
      <c r="O442" s="112"/>
      <c r="P442" s="118">
        <f>N442+O442</f>
      </c>
      <c r="Q442" s="94" t="s">
        <v>854</v>
      </c>
      <c r="R442" s="94" t="s">
        <v>63</v>
      </c>
      <c r="S442" s="119">
        <v>46341</v>
      </c>
      <c r="T442" s="119"/>
      <c r="U442" s="119" t="s">
        <v>646</v>
      </c>
      <c r="V442" s="94"/>
      <c r="W442" s="94"/>
      <c r="X442" s="94"/>
      <c r="Y442" s="119">
        <v>46335</v>
      </c>
      <c r="Z442" s="94"/>
      <c r="AA442" s="120"/>
      <c r="AB442" s="120"/>
      <c r="AC442" s="120"/>
      <c r="AD442" s="120"/>
      <c r="AE442" s="120"/>
      <c r="AF442" s="120"/>
      <c r="AG442" s="94"/>
      <c r="AH442" s="120"/>
      <c r="AI442" s="94"/>
      <c r="AJ442" s="94" t="s">
        <v>801</v>
      </c>
      <c r="AK442" s="94" t="s">
        <v>252</v>
      </c>
      <c r="AL442" s="94">
        <v>190</v>
      </c>
      <c r="AM442" s="94" t="str">
        <f>TRIM(AJ442)&amp;TRIM(AL442)&amp;TRIM(AK442)</f>
      </c>
      <c r="AN442" s="116">
        <v>8989.56</v>
      </c>
      <c r="AO442" s="116">
        <v>14610.44</v>
      </c>
      <c r="AP442" s="116">
        <f>SUMIFS(M:M,AM:AM,AM442)+SUMIFS(O:O,AM:AM,AM442)</f>
      </c>
      <c r="AQ442" s="116">
        <f>SUMIFS(L:L,AM:AM,AM442)</f>
      </c>
      <c r="AR442" s="116">
        <f>AQ442-AP442</f>
      </c>
      <c r="AS442" s="94" t="str">
        <f>IF(AN442&gt;=AQ442,"ok","ck")</f>
      </c>
      <c r="AT442" s="116">
        <f>-P442</f>
      </c>
      <c r="AU442" s="115">
        <f>IF(SUMIFS(AT:AT,AM:AM,AM442)&gt;AO442,(SUMIFS(AT:AT,AM:AM,AM442)-AO442))</f>
      </c>
      <c r="AV442" s="116">
        <v>8989.56</v>
      </c>
      <c r="AW442" s="121">
        <v>0.381</v>
      </c>
      <c r="AX442" s="115">
        <f>AN442-AP442</f>
      </c>
    </row>
    <row r="443" spans="1:50" ht="15" hidden="1" customHeight="1" x14ac:dyDescent="0.3">
      <c r="A443" s="94" t="s">
        <v>82</v>
      </c>
      <c r="B443" s="94"/>
      <c r="C443" s="94"/>
      <c r="D443" s="94"/>
      <c r="E443" s="94"/>
      <c r="F443" s="94"/>
      <c r="G443" s="112">
        <f>AU443</f>
      </c>
      <c r="H443" s="113"/>
      <c r="I443" s="94" t="s">
        <v>240</v>
      </c>
      <c r="J443" s="94" t="s">
        <v>245</v>
      </c>
      <c r="K443" s="114">
        <f>P443/3</f>
      </c>
      <c r="L443" s="115">
        <v>3000</v>
      </c>
      <c r="M443" s="116"/>
      <c r="N443" s="117">
        <f>M443-L443</f>
      </c>
      <c r="O443" s="112"/>
      <c r="P443" s="118">
        <f>N443+O443</f>
      </c>
      <c r="Q443" s="94" t="s">
        <v>854</v>
      </c>
      <c r="R443" s="94" t="s">
        <v>63</v>
      </c>
      <c r="S443" s="119">
        <v>46334</v>
      </c>
      <c r="T443" s="119"/>
      <c r="U443" s="119" t="s">
        <v>646</v>
      </c>
      <c r="V443" s="94"/>
      <c r="W443" s="94"/>
      <c r="X443" s="94"/>
      <c r="Y443" s="119">
        <v>46326</v>
      </c>
      <c r="Z443" s="94"/>
      <c r="AA443" s="120"/>
      <c r="AB443" s="120"/>
      <c r="AC443" s="120"/>
      <c r="AD443" s="120"/>
      <c r="AE443" s="120"/>
      <c r="AF443" s="120"/>
      <c r="AG443" s="94"/>
      <c r="AH443" s="120"/>
      <c r="AI443" s="94"/>
      <c r="AJ443" s="94" t="s">
        <v>801</v>
      </c>
      <c r="AK443" s="94" t="s">
        <v>246</v>
      </c>
      <c r="AL443" s="94">
        <v>190</v>
      </c>
      <c r="AM443" s="94" t="str">
        <f>TRIM(AJ443)&amp;TRIM(AL443)&amp;TRIM(AK443)</f>
      </c>
      <c r="AN443" s="116">
        <v>0</v>
      </c>
      <c r="AO443" s="116" t="inlineStr">
        <is>
          <t>#NA</t>
        </is>
      </c>
      <c r="AP443" s="116">
        <f>SUMIFS(M:M,AM:AM,AM443)+SUMIFS(O:O,AM:AM,AM443)</f>
      </c>
      <c r="AQ443" s="116">
        <f>SUMIFS(L:L,AM:AM,AM443)</f>
      </c>
      <c r="AR443" s="116">
        <f>AQ443-AP443</f>
      </c>
      <c r="AS443" s="94" t="str">
        <f>IF(AN443&gt;=AQ443,"ok","ck")</f>
      </c>
      <c r="AT443" s="116">
        <f>-P443</f>
      </c>
      <c r="AU443" s="115">
        <f>IF(SUMIFS(AT:AT,AM:AM,AM443)&gt;AO443,(SUMIFS(AT:AT,AM:AM,AM443)-AO443))</f>
      </c>
      <c r="AV443" s="116">
        <v>0</v>
      </c>
      <c r="AW443" s="121">
        <v>0</v>
      </c>
      <c r="AX443" s="115">
        <f>AN443-AP443</f>
      </c>
    </row>
    <row r="444" spans="1:50" ht="15" hidden="1" customHeight="1" x14ac:dyDescent="0.3">
      <c r="A444" s="94" t="s">
        <v>82</v>
      </c>
      <c r="B444" s="94"/>
      <c r="C444" s="94"/>
      <c r="D444" s="94"/>
      <c r="E444" s="94"/>
      <c r="F444" s="94"/>
      <c r="G444" s="112">
        <f>AU444</f>
      </c>
      <c r="H444" s="113"/>
      <c r="I444" s="94" t="s">
        <v>240</v>
      </c>
      <c r="J444" s="94" t="s">
        <v>245</v>
      </c>
      <c r="K444" s="114">
        <f>P444/3</f>
      </c>
      <c r="L444" s="115">
        <v>3000</v>
      </c>
      <c r="M444" s="116"/>
      <c r="N444" s="117">
        <f>M444-L444</f>
      </c>
      <c r="O444" s="112"/>
      <c r="P444" s="118">
        <f>N444+O444</f>
      </c>
      <c r="Q444" s="94" t="s">
        <v>854</v>
      </c>
      <c r="R444" s="94" t="s">
        <v>63</v>
      </c>
      <c r="S444" s="119">
        <v>46335</v>
      </c>
      <c r="T444" s="119"/>
      <c r="U444" s="119" t="s">
        <v>646</v>
      </c>
      <c r="V444" s="94"/>
      <c r="W444" s="94"/>
      <c r="X444" s="94"/>
      <c r="Y444" s="119">
        <v>46326</v>
      </c>
      <c r="Z444" s="94"/>
      <c r="AA444" s="120"/>
      <c r="AB444" s="120"/>
      <c r="AC444" s="120"/>
      <c r="AD444" s="120"/>
      <c r="AE444" s="120"/>
      <c r="AF444" s="120"/>
      <c r="AG444" s="94"/>
      <c r="AH444" s="120"/>
      <c r="AI444" s="94"/>
      <c r="AJ444" s="94" t="s">
        <v>801</v>
      </c>
      <c r="AK444" s="94" t="s">
        <v>246</v>
      </c>
      <c r="AL444" s="94">
        <v>190</v>
      </c>
      <c r="AM444" s="94" t="str">
        <f>TRIM(AJ444)&amp;TRIM(AL444)&amp;TRIM(AK444)</f>
      </c>
      <c r="AN444" s="116">
        <v>0</v>
      </c>
      <c r="AO444" s="116" t="inlineStr">
        <is>
          <t>#NA</t>
        </is>
      </c>
      <c r="AP444" s="116">
        <f>SUMIFS(M:M,AM:AM,AM444)+SUMIFS(O:O,AM:AM,AM444)</f>
      </c>
      <c r="AQ444" s="116">
        <f>SUMIFS(L:L,AM:AM,AM444)</f>
      </c>
      <c r="AR444" s="116">
        <f>AQ444-AP444</f>
      </c>
      <c r="AS444" s="94" t="str">
        <f>IF(AN444&gt;=AQ444,"ok","ck")</f>
      </c>
      <c r="AT444" s="116">
        <f>-P444</f>
      </c>
      <c r="AU444" s="115">
        <f>IF(SUMIFS(AT:AT,AM:AM,AM444)&gt;AO444,(SUMIFS(AT:AT,AM:AM,AM444)-AO444))</f>
      </c>
      <c r="AV444" s="116">
        <v>0</v>
      </c>
      <c r="AW444" s="121">
        <v>0</v>
      </c>
      <c r="AX444" s="115">
        <f>AN444-AP444</f>
      </c>
    </row>
    <row r="445" spans="1:50" ht="15" hidden="1" customHeight="1" x14ac:dyDescent="0.3">
      <c r="A445" s="94" t="s">
        <v>82</v>
      </c>
      <c r="B445" s="94"/>
      <c r="C445" s="94"/>
      <c r="D445" s="94"/>
      <c r="E445" s="94"/>
      <c r="F445" s="94"/>
      <c r="G445" s="112">
        <f>AU445</f>
      </c>
      <c r="H445" s="113"/>
      <c r="I445" s="94" t="s">
        <v>240</v>
      </c>
      <c r="J445" s="94" t="s">
        <v>245</v>
      </c>
      <c r="K445" s="114">
        <f>P445/3</f>
      </c>
      <c r="L445" s="115">
        <v>3000</v>
      </c>
      <c r="M445" s="116"/>
      <c r="N445" s="117">
        <f>M445-L445</f>
      </c>
      <c r="O445" s="112"/>
      <c r="P445" s="118">
        <f>N445+O445</f>
      </c>
      <c r="Q445" s="94" t="s">
        <v>854</v>
      </c>
      <c r="R445" s="94" t="s">
        <v>63</v>
      </c>
      <c r="S445" s="119">
        <v>46336</v>
      </c>
      <c r="T445" s="119"/>
      <c r="U445" s="119" t="s">
        <v>646</v>
      </c>
      <c r="V445" s="94"/>
      <c r="W445" s="94"/>
      <c r="X445" s="94"/>
      <c r="Y445" s="119">
        <v>46326</v>
      </c>
      <c r="Z445" s="94"/>
      <c r="AA445" s="120"/>
      <c r="AB445" s="120"/>
      <c r="AC445" s="120"/>
      <c r="AD445" s="120"/>
      <c r="AE445" s="120"/>
      <c r="AF445" s="120"/>
      <c r="AG445" s="94"/>
      <c r="AH445" s="120"/>
      <c r="AI445" s="94"/>
      <c r="AJ445" s="94" t="s">
        <v>801</v>
      </c>
      <c r="AK445" s="94" t="s">
        <v>246</v>
      </c>
      <c r="AL445" s="94">
        <v>190</v>
      </c>
      <c r="AM445" s="94" t="str">
        <f>TRIM(AJ445)&amp;TRIM(AL445)&amp;TRIM(AK445)</f>
      </c>
      <c r="AN445" s="116">
        <v>0</v>
      </c>
      <c r="AO445" s="116" t="inlineStr">
        <is>
          <t>#NA</t>
        </is>
      </c>
      <c r="AP445" s="116">
        <f>SUMIFS(M:M,AM:AM,AM445)+SUMIFS(O:O,AM:AM,AM445)</f>
      </c>
      <c r="AQ445" s="116">
        <f>SUMIFS(L:L,AM:AM,AM445)</f>
      </c>
      <c r="AR445" s="116">
        <f>AQ445-AP445</f>
      </c>
      <c r="AS445" s="94" t="str">
        <f>IF(AN445&gt;=AQ445,"ok","ck")</f>
      </c>
      <c r="AT445" s="116">
        <f>-P445</f>
      </c>
      <c r="AU445" s="115">
        <f>IF(SUMIFS(AT:AT,AM:AM,AM445)&gt;AO445,(SUMIFS(AT:AT,AM:AM,AM445)-AO445))</f>
      </c>
      <c r="AV445" s="116">
        <v>0</v>
      </c>
      <c r="AW445" s="121">
        <v>0</v>
      </c>
      <c r="AX445" s="115">
        <f>AN445-AP445</f>
      </c>
    </row>
    <row r="446" spans="1:50" ht="15" hidden="1" customHeight="1" x14ac:dyDescent="0.3">
      <c r="A446" s="94" t="s">
        <v>82</v>
      </c>
      <c r="B446" s="94"/>
      <c r="C446" s="94"/>
      <c r="D446" s="94"/>
      <c r="E446" s="94"/>
      <c r="F446" s="94"/>
      <c r="G446" s="112">
        <f>AU446</f>
      </c>
      <c r="H446" s="113"/>
      <c r="I446" s="94" t="s">
        <v>240</v>
      </c>
      <c r="J446" s="94" t="s">
        <v>245</v>
      </c>
      <c r="K446" s="114">
        <f>P446/3</f>
      </c>
      <c r="L446" s="115">
        <v>3000</v>
      </c>
      <c r="M446" s="116"/>
      <c r="N446" s="117">
        <f>M446-L446</f>
      </c>
      <c r="O446" s="112"/>
      <c r="P446" s="118">
        <f>N446+O446</f>
      </c>
      <c r="Q446" s="94" t="s">
        <v>854</v>
      </c>
      <c r="R446" s="94" t="s">
        <v>63</v>
      </c>
      <c r="S446" s="119">
        <v>46337</v>
      </c>
      <c r="T446" s="119"/>
      <c r="U446" s="119" t="s">
        <v>646</v>
      </c>
      <c r="V446" s="94"/>
      <c r="W446" s="94"/>
      <c r="X446" s="94"/>
      <c r="Y446" s="119">
        <v>46343</v>
      </c>
      <c r="Z446" s="94"/>
      <c r="AA446" s="120"/>
      <c r="AB446" s="120"/>
      <c r="AC446" s="120"/>
      <c r="AD446" s="120"/>
      <c r="AE446" s="120"/>
      <c r="AF446" s="120"/>
      <c r="AG446" s="94"/>
      <c r="AH446" s="120"/>
      <c r="AI446" s="94"/>
      <c r="AJ446" s="94" t="s">
        <v>801</v>
      </c>
      <c r="AK446" s="94" t="s">
        <v>246</v>
      </c>
      <c r="AL446" s="94">
        <v>190</v>
      </c>
      <c r="AM446" s="94" t="str">
        <f>TRIM(AJ446)&amp;TRIM(AL446)&amp;TRIM(AK446)</f>
      </c>
      <c r="AN446" s="116">
        <v>0</v>
      </c>
      <c r="AO446" s="116" t="inlineStr">
        <is>
          <t>#NA</t>
        </is>
      </c>
      <c r="AP446" s="116">
        <f>SUMIFS(M:M,AM:AM,AM446)+SUMIFS(O:O,AM:AM,AM446)</f>
      </c>
      <c r="AQ446" s="116">
        <f>SUMIFS(L:L,AM:AM,AM446)</f>
      </c>
      <c r="AR446" s="116">
        <f>AQ446-AP446</f>
      </c>
      <c r="AS446" s="94" t="str">
        <f>IF(AN446&gt;=AQ446,"ok","ck")</f>
      </c>
      <c r="AT446" s="116">
        <f>-P446</f>
      </c>
      <c r="AU446" s="115">
        <f>IF(SUMIFS(AT:AT,AM:AM,AM446)&gt;AO446,(SUMIFS(AT:AT,AM:AM,AM446)-AO446))</f>
      </c>
      <c r="AV446" s="116">
        <v>0</v>
      </c>
      <c r="AW446" s="121">
        <v>0</v>
      </c>
      <c r="AX446" s="115">
        <f>AN446-AP446</f>
      </c>
    </row>
    <row r="447" spans="1:50" ht="15" hidden="1" customHeight="1" x14ac:dyDescent="0.3">
      <c r="A447" s="94" t="s">
        <v>82</v>
      </c>
      <c r="B447" s="94"/>
      <c r="C447" s="94"/>
      <c r="D447" s="94"/>
      <c r="E447" s="94"/>
      <c r="F447" s="94"/>
      <c r="G447" s="112">
        <f>AU447</f>
      </c>
      <c r="H447" s="113"/>
      <c r="I447" s="94" t="s">
        <v>240</v>
      </c>
      <c r="J447" s="94" t="s">
        <v>245</v>
      </c>
      <c r="K447" s="114">
        <f>P447/3</f>
      </c>
      <c r="L447" s="115">
        <v>3000</v>
      </c>
      <c r="M447" s="116"/>
      <c r="N447" s="117">
        <f>M447-L447</f>
      </c>
      <c r="O447" s="112"/>
      <c r="P447" s="118">
        <f>N447+O447</f>
      </c>
      <c r="Q447" s="94" t="s">
        <v>854</v>
      </c>
      <c r="R447" s="94" t="s">
        <v>63</v>
      </c>
      <c r="S447" s="119">
        <v>46338</v>
      </c>
      <c r="T447" s="119"/>
      <c r="U447" s="119" t="s">
        <v>646</v>
      </c>
      <c r="V447" s="94"/>
      <c r="W447" s="94"/>
      <c r="X447" s="94"/>
      <c r="Y447" s="119">
        <v>46343</v>
      </c>
      <c r="Z447" s="94"/>
      <c r="AA447" s="120"/>
      <c r="AB447" s="120"/>
      <c r="AC447" s="120"/>
      <c r="AD447" s="120"/>
      <c r="AE447" s="120"/>
      <c r="AF447" s="120"/>
      <c r="AG447" s="94"/>
      <c r="AH447" s="120"/>
      <c r="AI447" s="94"/>
      <c r="AJ447" s="94" t="s">
        <v>801</v>
      </c>
      <c r="AK447" s="94" t="s">
        <v>246</v>
      </c>
      <c r="AL447" s="94">
        <v>190</v>
      </c>
      <c r="AM447" s="94" t="str">
        <f>TRIM(AJ447)&amp;TRIM(AL447)&amp;TRIM(AK447)</f>
      </c>
      <c r="AN447" s="116">
        <v>0</v>
      </c>
      <c r="AO447" s="116" t="inlineStr">
        <is>
          <t>#NA</t>
        </is>
      </c>
      <c r="AP447" s="116">
        <f>SUMIFS(M:M,AM:AM,AM447)+SUMIFS(O:O,AM:AM,AM447)</f>
      </c>
      <c r="AQ447" s="116">
        <f>SUMIFS(L:L,AM:AM,AM447)</f>
      </c>
      <c r="AR447" s="116">
        <f>AQ447-AP447</f>
      </c>
      <c r="AS447" s="94" t="str">
        <f>IF(AN447&gt;=AQ447,"ok","ck")</f>
      </c>
      <c r="AT447" s="116">
        <f>-P447</f>
      </c>
      <c r="AU447" s="115">
        <f>IF(SUMIFS(AT:AT,AM:AM,AM447)&gt;AO447,(SUMIFS(AT:AT,AM:AM,AM447)-AO447))</f>
      </c>
      <c r="AV447" s="116">
        <v>0</v>
      </c>
      <c r="AW447" s="121">
        <v>0</v>
      </c>
      <c r="AX447" s="115">
        <f>AN447-AP447</f>
      </c>
    </row>
    <row r="448" spans="1:50" ht="15" hidden="1" customHeight="1" x14ac:dyDescent="0.3">
      <c r="A448" s="94" t="s">
        <v>82</v>
      </c>
      <c r="B448" s="94"/>
      <c r="C448" s="94"/>
      <c r="D448" s="94"/>
      <c r="E448" s="94"/>
      <c r="F448" s="94"/>
      <c r="G448" s="112">
        <f>AU448</f>
      </c>
      <c r="H448" s="113"/>
      <c r="I448" s="94" t="s">
        <v>240</v>
      </c>
      <c r="J448" s="94" t="s">
        <v>245</v>
      </c>
      <c r="K448" s="114">
        <f>P448/3</f>
      </c>
      <c r="L448" s="115">
        <v>3000</v>
      </c>
      <c r="M448" s="116"/>
      <c r="N448" s="117">
        <f>M448-L448</f>
      </c>
      <c r="O448" s="112"/>
      <c r="P448" s="118">
        <f>N448+O448</f>
      </c>
      <c r="Q448" s="94" t="s">
        <v>854</v>
      </c>
      <c r="R448" s="94" t="s">
        <v>63</v>
      </c>
      <c r="S448" s="119">
        <v>46339</v>
      </c>
      <c r="T448" s="119"/>
      <c r="U448" s="120" t="s">
        <v>646</v>
      </c>
      <c r="V448" s="94"/>
      <c r="W448" s="94"/>
      <c r="X448" s="94"/>
      <c r="Y448" s="119">
        <v>46343</v>
      </c>
      <c r="Z448" s="94"/>
      <c r="AA448" s="120"/>
      <c r="AB448" s="120"/>
      <c r="AC448" s="120"/>
      <c r="AD448" s="120"/>
      <c r="AE448" s="120"/>
      <c r="AF448" s="120"/>
      <c r="AG448" s="94"/>
      <c r="AH448" s="120"/>
      <c r="AI448" s="94"/>
      <c r="AJ448" s="94" t="s">
        <v>801</v>
      </c>
      <c r="AK448" s="94" t="s">
        <v>246</v>
      </c>
      <c r="AL448" s="94">
        <v>190</v>
      </c>
      <c r="AM448" s="94" t="str">
        <f>TRIM(AJ448)&amp;TRIM(AL448)&amp;TRIM(AK448)</f>
      </c>
      <c r="AN448" s="116">
        <v>0</v>
      </c>
      <c r="AO448" s="116" t="inlineStr">
        <is>
          <t>#NA</t>
        </is>
      </c>
      <c r="AP448" s="116">
        <f>SUMIFS(M:M,AM:AM,AM448)+SUMIFS(O:O,AM:AM,AM448)</f>
      </c>
      <c r="AQ448" s="116">
        <f>SUMIFS(L:L,AM:AM,AM448)</f>
      </c>
      <c r="AR448" s="116">
        <f>AQ448-AP448</f>
      </c>
      <c r="AS448" s="94" t="str">
        <f>IF(AN448&gt;=AQ448,"ok","ck")</f>
      </c>
      <c r="AT448" s="116">
        <f>-P448</f>
      </c>
      <c r="AU448" s="115">
        <f>IF(SUMIFS(AT:AT,AM:AM,AM448)&gt;AO448,(SUMIFS(AT:AT,AM:AM,AM448)-AO448))</f>
      </c>
      <c r="AV448" s="116">
        <v>0</v>
      </c>
      <c r="AW448" s="121">
        <v>0</v>
      </c>
      <c r="AX448" s="115">
        <f>AN448-AP448</f>
      </c>
    </row>
    <row r="449" spans="1:50" ht="15" hidden="1" customHeight="1" x14ac:dyDescent="0.3">
      <c r="A449" s="94" t="s">
        <v>82</v>
      </c>
      <c r="B449" s="94"/>
      <c r="C449" s="94"/>
      <c r="D449" s="94"/>
      <c r="E449" s="94"/>
      <c r="F449" s="94"/>
      <c r="G449" s="112">
        <f>AU449</f>
      </c>
      <c r="H449" s="113"/>
      <c r="I449" s="94" t="s">
        <v>240</v>
      </c>
      <c r="J449" s="94" t="s">
        <v>249</v>
      </c>
      <c r="K449" s="114">
        <f>P449/3</f>
      </c>
      <c r="L449" s="115">
        <v>3000</v>
      </c>
      <c r="M449" s="116">
        <v>3000</v>
      </c>
      <c r="N449" s="117">
        <f>M449-L449</f>
      </c>
      <c r="O449" s="112"/>
      <c r="P449" s="118">
        <f>N449+O449</f>
      </c>
      <c r="Q449" s="94" t="s">
        <v>854</v>
      </c>
      <c r="R449" s="94" t="s">
        <v>63</v>
      </c>
      <c r="S449" s="119">
        <v>46334</v>
      </c>
      <c r="T449" s="119"/>
      <c r="U449" s="120" t="s">
        <v>646</v>
      </c>
      <c r="V449" s="94"/>
      <c r="W449" s="94"/>
      <c r="X449" s="94"/>
      <c r="Y449" s="119">
        <v>46326</v>
      </c>
      <c r="Z449" s="94"/>
      <c r="AA449" s="120"/>
      <c r="AB449" s="120"/>
      <c r="AC449" s="120"/>
      <c r="AD449" s="120"/>
      <c r="AE449" s="120"/>
      <c r="AF449" s="120"/>
      <c r="AG449" s="94"/>
      <c r="AH449" s="120"/>
      <c r="AI449" s="94"/>
      <c r="AJ449" s="94" t="s">
        <v>801</v>
      </c>
      <c r="AK449" s="94" t="s">
        <v>250</v>
      </c>
      <c r="AL449" s="94">
        <v>190</v>
      </c>
      <c r="AM449" s="94" t="str">
        <f>TRIM(AJ449)&amp;TRIM(AL449)&amp;TRIM(AK449)</f>
      </c>
      <c r="AN449" s="116">
        <v>1995</v>
      </c>
      <c r="AO449" s="116">
        <v>13260</v>
      </c>
      <c r="AP449" s="116">
        <f>SUMIFS(M:M,AM:AM,AM449)+SUMIFS(O:O,AM:AM,AM449)</f>
      </c>
      <c r="AQ449" s="116">
        <f>SUMIFS(L:L,AM:AM,AM449)</f>
      </c>
      <c r="AR449" s="116">
        <f>AQ449-AP449</f>
      </c>
      <c r="AS449" s="94" t="str">
        <f>IF(AN449&gt;=AQ449,"ok","ck")</f>
      </c>
      <c r="AT449" s="116">
        <f>-P449</f>
      </c>
      <c r="AU449" s="115">
        <f>IF(SUMIFS(AT:AT,AM:AM,AM449)&gt;AO449,(SUMIFS(AT:AT,AM:AM,AM449)-AO449))</f>
      </c>
      <c r="AV449" s="116">
        <v>1995</v>
      </c>
      <c r="AW449" s="121">
        <v>0.131</v>
      </c>
      <c r="AX449" s="115">
        <f>AN449-AP449</f>
      </c>
    </row>
    <row r="450" spans="1:50" ht="15" hidden="1" customHeight="1" x14ac:dyDescent="0.3">
      <c r="A450" s="94" t="s">
        <v>82</v>
      </c>
      <c r="B450" s="94"/>
      <c r="C450" s="94"/>
      <c r="D450" s="94"/>
      <c r="E450" s="94"/>
      <c r="F450" s="94"/>
      <c r="G450" s="112">
        <f>AU450</f>
      </c>
      <c r="H450" s="113"/>
      <c r="I450" s="94" t="s">
        <v>240</v>
      </c>
      <c r="J450" s="94" t="s">
        <v>249</v>
      </c>
      <c r="K450" s="114">
        <f>P450/3</f>
      </c>
      <c r="L450" s="115">
        <v>3000</v>
      </c>
      <c r="M450" s="116">
        <v>2558.982</v>
      </c>
      <c r="N450" s="117">
        <f>M450-L450</f>
      </c>
      <c r="O450" s="112"/>
      <c r="P450" s="118">
        <f>N450+O450</f>
      </c>
      <c r="Q450" s="94" t="s">
        <v>854</v>
      </c>
      <c r="R450" s="94" t="s">
        <v>63</v>
      </c>
      <c r="S450" s="119">
        <v>46335</v>
      </c>
      <c r="T450" s="119"/>
      <c r="U450" s="120" t="s">
        <v>646</v>
      </c>
      <c r="V450" s="94"/>
      <c r="W450" s="94"/>
      <c r="X450" s="94"/>
      <c r="Y450" s="119">
        <v>46326</v>
      </c>
      <c r="Z450" s="94"/>
      <c r="AA450" s="120"/>
      <c r="AB450" s="120"/>
      <c r="AC450" s="120"/>
      <c r="AD450" s="120"/>
      <c r="AE450" s="120"/>
      <c r="AF450" s="120"/>
      <c r="AG450" s="94"/>
      <c r="AH450" s="120"/>
      <c r="AI450" s="94"/>
      <c r="AJ450" s="94" t="s">
        <v>801</v>
      </c>
      <c r="AK450" s="94" t="s">
        <v>250</v>
      </c>
      <c r="AL450" s="94">
        <v>190</v>
      </c>
      <c r="AM450" s="94" t="str">
        <f>TRIM(AJ450)&amp;TRIM(AL450)&amp;TRIM(AK450)</f>
      </c>
      <c r="AN450" s="116">
        <v>1995</v>
      </c>
      <c r="AO450" s="116">
        <v>13260</v>
      </c>
      <c r="AP450" s="116">
        <f>SUMIFS(M:M,AM:AM,AM450)+SUMIFS(O:O,AM:AM,AM450)</f>
      </c>
      <c r="AQ450" s="116">
        <f>SUMIFS(L:L,AM:AM,AM450)</f>
      </c>
      <c r="AR450" s="116">
        <f>AQ450-AP450</f>
      </c>
      <c r="AS450" s="94" t="str">
        <f>IF(AN450&gt;=AQ450,"ok","ck")</f>
      </c>
      <c r="AT450" s="116">
        <f>-P450</f>
      </c>
      <c r="AU450" s="115">
        <f>IF(SUMIFS(AT:AT,AM:AM,AM450)&gt;AO450,(SUMIFS(AT:AT,AM:AM,AM450)-AO450))</f>
      </c>
      <c r="AV450" s="116">
        <v>1995</v>
      </c>
      <c r="AW450" s="121">
        <v>0.131</v>
      </c>
      <c r="AX450" s="115">
        <f>AN450-AP450</f>
      </c>
    </row>
    <row r="451" spans="1:50" ht="15" hidden="1" customHeight="1" x14ac:dyDescent="0.3">
      <c r="A451" s="94" t="s">
        <v>82</v>
      </c>
      <c r="B451" s="94"/>
      <c r="C451" s="94"/>
      <c r="D451" s="94"/>
      <c r="E451" s="94"/>
      <c r="F451" s="94"/>
      <c r="G451" s="112">
        <f>AU451</f>
      </c>
      <c r="H451" s="113"/>
      <c r="I451" s="94" t="s">
        <v>240</v>
      </c>
      <c r="J451" s="94" t="s">
        <v>249</v>
      </c>
      <c r="K451" s="114">
        <f>P451/3</f>
      </c>
      <c r="L451" s="115">
        <v>3000</v>
      </c>
      <c r="M451" s="116"/>
      <c r="N451" s="117">
        <f>M451-L451</f>
      </c>
      <c r="O451" s="112"/>
      <c r="P451" s="118">
        <f>N451+O451</f>
      </c>
      <c r="Q451" s="94" t="s">
        <v>854</v>
      </c>
      <c r="R451" s="94" t="s">
        <v>63</v>
      </c>
      <c r="S451" s="119">
        <v>46336</v>
      </c>
      <c r="T451" s="119"/>
      <c r="U451" s="120" t="s">
        <v>646</v>
      </c>
      <c r="V451" s="94"/>
      <c r="W451" s="94"/>
      <c r="X451" s="94"/>
      <c r="Y451" s="119">
        <v>46326</v>
      </c>
      <c r="Z451" s="94"/>
      <c r="AA451" s="120"/>
      <c r="AB451" s="120"/>
      <c r="AC451" s="120"/>
      <c r="AD451" s="120"/>
      <c r="AE451" s="120"/>
      <c r="AF451" s="120"/>
      <c r="AG451" s="94"/>
      <c r="AH451" s="120"/>
      <c r="AI451" s="94"/>
      <c r="AJ451" s="94" t="s">
        <v>801</v>
      </c>
      <c r="AK451" s="94" t="s">
        <v>250</v>
      </c>
      <c r="AL451" s="94">
        <v>190</v>
      </c>
      <c r="AM451" s="94" t="str">
        <f>TRIM(AJ451)&amp;TRIM(AL451)&amp;TRIM(AK451)</f>
      </c>
      <c r="AN451" s="116">
        <v>1995</v>
      </c>
      <c r="AO451" s="116">
        <v>13260</v>
      </c>
      <c r="AP451" s="116">
        <f>SUMIFS(M:M,AM:AM,AM451)+SUMIFS(O:O,AM:AM,AM451)</f>
      </c>
      <c r="AQ451" s="116">
        <f>SUMIFS(L:L,AM:AM,AM451)</f>
      </c>
      <c r="AR451" s="116">
        <f>AQ451-AP451</f>
      </c>
      <c r="AS451" s="94" t="str">
        <f>IF(AN451&gt;=AQ451,"ok","ck")</f>
      </c>
      <c r="AT451" s="116">
        <f>-P451</f>
      </c>
      <c r="AU451" s="115">
        <f>IF(SUMIFS(AT:AT,AM:AM,AM451)&gt;AO451,(SUMIFS(AT:AT,AM:AM,AM451)-AO451))</f>
      </c>
      <c r="AV451" s="116">
        <v>1995</v>
      </c>
      <c r="AW451" s="121">
        <v>0.131</v>
      </c>
      <c r="AX451" s="115">
        <f>AN451-AP451</f>
      </c>
    </row>
    <row r="452" spans="1:50" ht="15" hidden="1" customHeight="1" x14ac:dyDescent="0.3">
      <c r="A452" s="94" t="s">
        <v>82</v>
      </c>
      <c r="B452" s="94"/>
      <c r="C452" s="94"/>
      <c r="D452" s="94"/>
      <c r="E452" s="94"/>
      <c r="F452" s="94"/>
      <c r="G452" s="112">
        <f>AU452</f>
      </c>
      <c r="H452" s="113"/>
      <c r="I452" s="94" t="s">
        <v>240</v>
      </c>
      <c r="J452" s="94" t="s">
        <v>249</v>
      </c>
      <c r="K452" s="114">
        <f>P452/3</f>
      </c>
      <c r="L452" s="115">
        <v>3000</v>
      </c>
      <c r="M452" s="116"/>
      <c r="N452" s="117">
        <f>M452-L452</f>
      </c>
      <c r="O452" s="112"/>
      <c r="P452" s="118">
        <f>N452+O452</f>
      </c>
      <c r="Q452" s="94" t="s">
        <v>854</v>
      </c>
      <c r="R452" s="94" t="s">
        <v>63</v>
      </c>
      <c r="S452" s="119">
        <v>46337</v>
      </c>
      <c r="T452" s="119"/>
      <c r="U452" s="120" t="s">
        <v>646</v>
      </c>
      <c r="V452" s="94"/>
      <c r="W452" s="94"/>
      <c r="X452" s="94"/>
      <c r="Y452" s="119">
        <v>46343</v>
      </c>
      <c r="Z452" s="94"/>
      <c r="AA452" s="120"/>
      <c r="AB452" s="120"/>
      <c r="AC452" s="120"/>
      <c r="AD452" s="120"/>
      <c r="AE452" s="120"/>
      <c r="AF452" s="120"/>
      <c r="AG452" s="94"/>
      <c r="AH452" s="120"/>
      <c r="AI452" s="94"/>
      <c r="AJ452" s="94" t="s">
        <v>801</v>
      </c>
      <c r="AK452" s="94" t="s">
        <v>250</v>
      </c>
      <c r="AL452" s="94">
        <v>190</v>
      </c>
      <c r="AM452" s="94" t="str">
        <f>TRIM(AJ452)&amp;TRIM(AL452)&amp;TRIM(AK452)</f>
      </c>
      <c r="AN452" s="116">
        <v>1995</v>
      </c>
      <c r="AO452" s="116">
        <v>13260</v>
      </c>
      <c r="AP452" s="116">
        <f>SUMIFS(M:M,AM:AM,AM452)+SUMIFS(O:O,AM:AM,AM452)</f>
      </c>
      <c r="AQ452" s="116">
        <f>SUMIFS(L:L,AM:AM,AM452)</f>
      </c>
      <c r="AR452" s="116">
        <f>AQ452-AP452</f>
      </c>
      <c r="AS452" s="94" t="str">
        <f>IF(AN452&gt;=AQ452,"ok","ck")</f>
      </c>
      <c r="AT452" s="116">
        <f>-P452</f>
      </c>
      <c r="AU452" s="115">
        <f>IF(SUMIFS(AT:AT,AM:AM,AM452)&gt;AO452,(SUMIFS(AT:AT,AM:AM,AM452)-AO452))</f>
      </c>
      <c r="AV452" s="116">
        <v>1995</v>
      </c>
      <c r="AW452" s="121">
        <v>0.131</v>
      </c>
      <c r="AX452" s="115">
        <f>AN452-AP452</f>
      </c>
    </row>
    <row r="453" spans="1:50" ht="15" hidden="1" customHeight="1" x14ac:dyDescent="0.3">
      <c r="A453" s="94" t="s">
        <v>82</v>
      </c>
      <c r="B453" s="94"/>
      <c r="C453" s="94"/>
      <c r="D453" s="94"/>
      <c r="E453" s="94"/>
      <c r="F453" s="94"/>
      <c r="G453" s="112">
        <f>AU453</f>
      </c>
      <c r="H453" s="113"/>
      <c r="I453" s="94" t="s">
        <v>240</v>
      </c>
      <c r="J453" s="94" t="s">
        <v>249</v>
      </c>
      <c r="K453" s="114">
        <f>P453/3</f>
      </c>
      <c r="L453" s="115">
        <v>3000</v>
      </c>
      <c r="M453" s="116"/>
      <c r="N453" s="117">
        <f>M453-L453</f>
      </c>
      <c r="O453" s="112"/>
      <c r="P453" s="118">
        <f>N453+O453</f>
      </c>
      <c r="Q453" s="94" t="s">
        <v>854</v>
      </c>
      <c r="R453" s="94" t="s">
        <v>63</v>
      </c>
      <c r="S453" s="119">
        <v>46338</v>
      </c>
      <c r="T453" s="119"/>
      <c r="U453" s="120" t="s">
        <v>646</v>
      </c>
      <c r="V453" s="94"/>
      <c r="W453" s="94"/>
      <c r="X453" s="94"/>
      <c r="Y453" s="119">
        <v>46343</v>
      </c>
      <c r="Z453" s="94"/>
      <c r="AA453" s="120"/>
      <c r="AB453" s="120"/>
      <c r="AC453" s="120"/>
      <c r="AD453" s="120"/>
      <c r="AE453" s="120"/>
      <c r="AF453" s="120"/>
      <c r="AG453" s="94"/>
      <c r="AH453" s="120"/>
      <c r="AI453" s="94"/>
      <c r="AJ453" s="94" t="s">
        <v>801</v>
      </c>
      <c r="AK453" s="94" t="s">
        <v>250</v>
      </c>
      <c r="AL453" s="94">
        <v>190</v>
      </c>
      <c r="AM453" s="94" t="str">
        <f>TRIM(AJ453)&amp;TRIM(AL453)&amp;TRIM(AK453)</f>
      </c>
      <c r="AN453" s="116">
        <v>1995</v>
      </c>
      <c r="AO453" s="116">
        <v>13260</v>
      </c>
      <c r="AP453" s="116">
        <f>SUMIFS(M:M,AM:AM,AM453)+SUMIFS(O:O,AM:AM,AM453)</f>
      </c>
      <c r="AQ453" s="116">
        <f>SUMIFS(L:L,AM:AM,AM453)</f>
      </c>
      <c r="AR453" s="116">
        <f>AQ453-AP453</f>
      </c>
      <c r="AS453" s="94" t="str">
        <f>IF(AN453&gt;=AQ453,"ok","ck")</f>
      </c>
      <c r="AT453" s="116">
        <f>-P453</f>
      </c>
      <c r="AU453" s="115">
        <f>IF(SUMIFS(AT:AT,AM:AM,AM453)&gt;AO453,(SUMIFS(AT:AT,AM:AM,AM453)-AO453))</f>
      </c>
      <c r="AV453" s="116">
        <v>1995</v>
      </c>
      <c r="AW453" s="121">
        <v>0.131</v>
      </c>
      <c r="AX453" s="115">
        <f>AN453-AP453</f>
      </c>
    </row>
    <row r="454" spans="1:50" ht="15" hidden="1" customHeight="1" x14ac:dyDescent="0.3">
      <c r="A454" s="94" t="s">
        <v>82</v>
      </c>
      <c r="B454" s="94"/>
      <c r="C454" s="94"/>
      <c r="D454" s="94"/>
      <c r="E454" s="94"/>
      <c r="F454" s="94"/>
      <c r="G454" s="112">
        <f>AU454</f>
      </c>
      <c r="H454" s="113"/>
      <c r="I454" s="94" t="s">
        <v>240</v>
      </c>
      <c r="J454" s="94" t="s">
        <v>249</v>
      </c>
      <c r="K454" s="114">
        <f>P454/3</f>
      </c>
      <c r="L454" s="115">
        <v>3000</v>
      </c>
      <c r="M454" s="116"/>
      <c r="N454" s="117">
        <f>M454-L454</f>
      </c>
      <c r="O454" s="112"/>
      <c r="P454" s="118">
        <f>N454+O454</f>
      </c>
      <c r="Q454" s="94" t="s">
        <v>854</v>
      </c>
      <c r="R454" s="94" t="s">
        <v>63</v>
      </c>
      <c r="S454" s="119">
        <v>46339</v>
      </c>
      <c r="T454" s="119"/>
      <c r="U454" s="120" t="s">
        <v>646</v>
      </c>
      <c r="V454" s="94"/>
      <c r="W454" s="94"/>
      <c r="X454" s="94"/>
      <c r="Y454" s="119">
        <v>46343</v>
      </c>
      <c r="Z454" s="94"/>
      <c r="AA454" s="120"/>
      <c r="AB454" s="120"/>
      <c r="AC454" s="120"/>
      <c r="AD454" s="120"/>
      <c r="AE454" s="120"/>
      <c r="AF454" s="120"/>
      <c r="AG454" s="94"/>
      <c r="AH454" s="120"/>
      <c r="AI454" s="94"/>
      <c r="AJ454" s="94" t="s">
        <v>801</v>
      </c>
      <c r="AK454" s="94" t="s">
        <v>250</v>
      </c>
      <c r="AL454" s="94">
        <v>190</v>
      </c>
      <c r="AM454" s="94" t="str">
        <f>TRIM(AJ454)&amp;TRIM(AL454)&amp;TRIM(AK454)</f>
      </c>
      <c r="AN454" s="116">
        <v>1995</v>
      </c>
      <c r="AO454" s="116">
        <v>13260</v>
      </c>
      <c r="AP454" s="116">
        <f>SUMIFS(M:M,AM:AM,AM454)+SUMIFS(O:O,AM:AM,AM454)</f>
      </c>
      <c r="AQ454" s="116">
        <f>SUMIFS(L:L,AM:AM,AM454)</f>
      </c>
      <c r="AR454" s="116">
        <f>AQ454-AP454</f>
      </c>
      <c r="AS454" s="94" t="str">
        <f>IF(AN454&gt;=AQ454,"ok","ck")</f>
      </c>
      <c r="AT454" s="116">
        <f>-P454</f>
      </c>
      <c r="AU454" s="115">
        <f>IF(SUMIFS(AT:AT,AM:AM,AM454)&gt;AO454,(SUMIFS(AT:AT,AM:AM,AM454)-AO454))</f>
      </c>
      <c r="AV454" s="116">
        <v>1995</v>
      </c>
      <c r="AW454" s="121">
        <v>0.131</v>
      </c>
      <c r="AX454" s="115">
        <f>AN454-AP454</f>
      </c>
    </row>
    <row r="455" spans="1:50" ht="15" hidden="1" customHeight="1" x14ac:dyDescent="0.3">
      <c r="A455" s="94" t="s">
        <v>268</v>
      </c>
      <c r="B455" s="94"/>
      <c r="C455" s="94"/>
      <c r="D455" s="94"/>
      <c r="E455" s="94"/>
      <c r="F455" s="94"/>
      <c r="G455" s="112">
        <f>AU455</f>
      </c>
      <c r="H455" s="113"/>
      <c r="I455" s="94" t="s">
        <v>390</v>
      </c>
      <c r="J455" s="94" t="s">
        <v>326</v>
      </c>
      <c r="K455" s="114">
        <f>P455/3</f>
      </c>
      <c r="L455" s="115">
        <v>0</v>
      </c>
      <c r="M455" s="116">
        <f>L455</f>
      </c>
      <c r="N455" s="117">
        <f>M455-L455</f>
      </c>
      <c r="O455" s="112"/>
      <c r="P455" s="118">
        <f>N455+O455</f>
      </c>
      <c r="Q455" s="94" t="s">
        <v>344</v>
      </c>
      <c r="R455" s="94" t="s">
        <v>63</v>
      </c>
      <c r="S455" s="119">
        <v>46320</v>
      </c>
      <c r="T455" s="119"/>
      <c r="U455" s="120">
        <v>46320</v>
      </c>
      <c r="V455" s="94"/>
      <c r="W455" s="94"/>
      <c r="X455" s="94"/>
      <c r="Y455" s="119">
        <v>46320</v>
      </c>
      <c r="Z455" s="94"/>
      <c r="AA455" s="120"/>
      <c r="AB455" s="120"/>
      <c r="AC455" s="120"/>
      <c r="AD455" s="120"/>
      <c r="AE455" s="120"/>
      <c r="AF455" s="120"/>
      <c r="AG455" s="94"/>
      <c r="AH455" s="120"/>
      <c r="AI455" s="94"/>
      <c r="AJ455" s="94" t="s">
        <v>344</v>
      </c>
      <c r="AK455" s="94" t="s">
        <v>327</v>
      </c>
      <c r="AL455" s="94">
        <v>140</v>
      </c>
      <c r="AM455" s="94" t="str">
        <f>TRIM(AJ455)&amp;TRIM(AL455)&amp;TRIM(AK455)</f>
      </c>
      <c r="AN455" s="116">
        <v>195</v>
      </c>
      <c r="AO455" s="116">
        <v>5</v>
      </c>
      <c r="AP455" s="116">
        <f>SUMIFS(M:M,AM:AM,AM455)+SUMIFS(O:O,AM:AM,AM455)</f>
      </c>
      <c r="AQ455" s="116">
        <f>SUMIFS(L:L,AM:AM,AM455)</f>
      </c>
      <c r="AR455" s="116">
        <f>AQ455-AP455</f>
      </c>
      <c r="AS455" s="94" t="str">
        <f>IF(AN455&gt;=AQ455,"ok","ck")</f>
      </c>
      <c r="AT455" s="116">
        <f>-P455</f>
      </c>
      <c r="AU455" s="115">
        <f>IF(SUMIFS(AT:AT,AM:AM,AM455)&gt;AO455,(SUMIFS(AT:AT,AM:AM,AM455)-AO455))</f>
      </c>
      <c r="AV455" s="116">
        <v>195</v>
      </c>
      <c r="AW455" s="121">
        <v>0.975</v>
      </c>
      <c r="AX455" s="115">
        <f>AN455-AP455</f>
      </c>
    </row>
    <row r="456" spans="1:50" ht="15" hidden="1" customHeight="1" x14ac:dyDescent="0.3">
      <c r="A456" s="94" t="s">
        <v>268</v>
      </c>
      <c r="B456" s="94"/>
      <c r="C456" s="94"/>
      <c r="D456" s="94"/>
      <c r="E456" s="94"/>
      <c r="F456" s="94"/>
      <c r="G456" s="112">
        <f>AU456</f>
      </c>
      <c r="H456" s="113"/>
      <c r="I456" s="94" t="s">
        <v>390</v>
      </c>
      <c r="J456" s="94" t="s">
        <v>326</v>
      </c>
      <c r="K456" s="114">
        <f>P456/3</f>
      </c>
      <c r="L456" s="115">
        <v>0</v>
      </c>
      <c r="M456" s="116">
        <f>L456</f>
      </c>
      <c r="N456" s="117">
        <f>M456-L456</f>
      </c>
      <c r="O456" s="112"/>
      <c r="P456" s="118">
        <f>N456+O456</f>
      </c>
      <c r="Q456" s="94" t="s">
        <v>344</v>
      </c>
      <c r="R456" s="94" t="s">
        <v>63</v>
      </c>
      <c r="S456" s="119">
        <v>46320</v>
      </c>
      <c r="T456" s="119"/>
      <c r="U456" s="120">
        <v>46320</v>
      </c>
      <c r="V456" s="94"/>
      <c r="W456" s="94"/>
      <c r="X456" s="94"/>
      <c r="Y456" s="119">
        <v>46320</v>
      </c>
      <c r="Z456" s="94"/>
      <c r="AA456" s="120"/>
      <c r="AB456" s="120"/>
      <c r="AC456" s="120"/>
      <c r="AD456" s="120"/>
      <c r="AE456" s="120"/>
      <c r="AF456" s="120"/>
      <c r="AG456" s="94"/>
      <c r="AH456" s="120"/>
      <c r="AI456" s="94"/>
      <c r="AJ456" s="94" t="s">
        <v>344</v>
      </c>
      <c r="AK456" s="94" t="s">
        <v>327</v>
      </c>
      <c r="AL456" s="94">
        <v>140</v>
      </c>
      <c r="AM456" s="94" t="str">
        <f>TRIM(AJ456)&amp;TRIM(AL456)&amp;TRIM(AK456)</f>
      </c>
      <c r="AN456" s="116">
        <v>195</v>
      </c>
      <c r="AO456" s="116">
        <v>5</v>
      </c>
      <c r="AP456" s="116">
        <f>SUMIFS(M:M,AM:AM,AM456)+SUMIFS(O:O,AM:AM,AM456)</f>
      </c>
      <c r="AQ456" s="116">
        <f>SUMIFS(L:L,AM:AM,AM456)</f>
      </c>
      <c r="AR456" s="116">
        <f>AQ456-AP456</f>
      </c>
      <c r="AS456" s="94" t="str">
        <f>IF(AN456&gt;=AQ456,"ok","ck")</f>
      </c>
      <c r="AT456" s="116">
        <f>-P456</f>
      </c>
      <c r="AU456" s="115">
        <f>IF(SUMIFS(AT:AT,AM:AM,AM456)&gt;AO456,(SUMIFS(AT:AT,AM:AM,AM456)-AO456))</f>
      </c>
      <c r="AV456" s="116">
        <v>195</v>
      </c>
      <c r="AW456" s="121">
        <v>0.975</v>
      </c>
      <c r="AX456" s="115">
        <f>AN456-AP456</f>
      </c>
    </row>
    <row r="457" spans="1:50" ht="15" hidden="1" customHeight="1" x14ac:dyDescent="0.3">
      <c r="A457" s="94" t="s">
        <v>60</v>
      </c>
      <c r="B457" s="94"/>
      <c r="C457" s="94"/>
      <c r="D457" s="94"/>
      <c r="E457" s="94"/>
      <c r="F457" s="94"/>
      <c r="G457" s="112">
        <f>AU457</f>
      </c>
      <c r="H457" s="113"/>
      <c r="I457" s="94" t="s">
        <v>65</v>
      </c>
      <c r="J457" s="94" t="s">
        <v>71</v>
      </c>
      <c r="K457" s="114">
        <f>P457/3</f>
      </c>
      <c r="L457" s="115">
        <v>363.44499999999999</v>
      </c>
      <c r="M457" s="116"/>
      <c r="N457" s="117">
        <f>M457-L457</f>
      </c>
      <c r="O457" s="112"/>
      <c r="P457" s="118">
        <f>N457+O457</f>
      </c>
      <c r="Q457" s="94" t="s">
        <v>80</v>
      </c>
      <c r="R457" s="94" t="s">
        <v>63</v>
      </c>
      <c r="S457" s="119">
        <v>46332</v>
      </c>
      <c r="T457" s="119"/>
      <c r="U457" s="120" t="s">
        <v>647</v>
      </c>
      <c r="V457" s="94"/>
      <c r="W457" s="94"/>
      <c r="X457" s="94"/>
      <c r="Y457" s="119">
        <v>46320</v>
      </c>
      <c r="Z457" s="94"/>
      <c r="AA457" s="120"/>
      <c r="AB457" s="120"/>
      <c r="AC457" s="120"/>
      <c r="AD457" s="120"/>
      <c r="AE457" s="120"/>
      <c r="AF457" s="120"/>
      <c r="AG457" s="94"/>
      <c r="AH457" s="120"/>
      <c r="AI457" s="94"/>
      <c r="AJ457" s="94" t="s">
        <v>80</v>
      </c>
      <c r="AK457" s="94" t="s">
        <v>71</v>
      </c>
      <c r="AL457" s="94">
        <v>110</v>
      </c>
      <c r="AM457" s="94" t="str">
        <f>TRIM(AJ457)&amp;TRIM(AL457)&amp;TRIM(AK457)</f>
      </c>
      <c r="AN457" s="116">
        <v>439.39</v>
      </c>
      <c r="AO457" s="116">
        <v>385.61</v>
      </c>
      <c r="AP457" s="116">
        <f>SUMIFS(M:M,AM:AM,AM457)+SUMIFS(O:O,AM:AM,AM457)</f>
      </c>
      <c r="AQ457" s="116">
        <f>SUMIFS(L:L,AM:AM,AM457)</f>
      </c>
      <c r="AR457" s="116">
        <f>AQ457-AP457</f>
      </c>
      <c r="AS457" s="94" t="str">
        <f>IF(AN457&gt;=AQ457,"ok","ck")</f>
      </c>
      <c r="AT457" s="116">
        <f>-P457</f>
      </c>
      <c r="AU457" s="115">
        <f>IF(SUMIFS(AT:AT,AM:AM,AM457)&gt;AO457,(SUMIFS(AT:AT,AM:AM,AM457)-AO457))</f>
      </c>
      <c r="AV457" s="116">
        <v>439.39</v>
      </c>
      <c r="AW457" s="121">
        <v>0.533</v>
      </c>
      <c r="AX457" s="115">
        <f>AN457-AP457</f>
      </c>
    </row>
    <row r="458" spans="1:50" ht="15" hidden="1" customHeight="1" x14ac:dyDescent="0.3">
      <c r="A458" s="94" t="s">
        <v>268</v>
      </c>
      <c r="B458" s="94"/>
      <c r="C458" s="94"/>
      <c r="D458" s="94"/>
      <c r="E458" s="94"/>
      <c r="F458" s="94"/>
      <c r="G458" s="112">
        <f>AU458</f>
      </c>
      <c r="H458" s="113"/>
      <c r="I458" s="94" t="s">
        <v>278</v>
      </c>
      <c r="J458" s="94" t="s">
        <v>293</v>
      </c>
      <c r="K458" s="114">
        <f>P458/3</f>
      </c>
      <c r="L458" s="115">
        <v>0</v>
      </c>
      <c r="M458" s="116">
        <f>L458</f>
      </c>
      <c r="N458" s="117">
        <f>M458-L458</f>
      </c>
      <c r="O458" s="112"/>
      <c r="P458" s="118">
        <f>N458+O458</f>
      </c>
      <c r="Q458" s="94" t="s">
        <v>271</v>
      </c>
      <c r="R458" s="94" t="s">
        <v>63</v>
      </c>
      <c r="S458" s="119">
        <v>46320</v>
      </c>
      <c r="T458" s="119"/>
      <c r="U458" s="120">
        <v>46320</v>
      </c>
      <c r="V458" s="94"/>
      <c r="W458" s="94"/>
      <c r="X458" s="94"/>
      <c r="Y458" s="119">
        <v>46320</v>
      </c>
      <c r="Z458" s="94"/>
      <c r="AA458" s="120"/>
      <c r="AB458" s="120"/>
      <c r="AC458" s="120"/>
      <c r="AD458" s="120"/>
      <c r="AE458" s="120"/>
      <c r="AF458" s="120"/>
      <c r="AG458" s="94"/>
      <c r="AH458" s="120"/>
      <c r="AI458" s="94"/>
      <c r="AJ458" s="94" t="s">
        <v>271</v>
      </c>
      <c r="AK458" s="94" t="s">
        <v>294</v>
      </c>
      <c r="AL458" s="94">
        <v>120</v>
      </c>
      <c r="AM458" s="94" t="str">
        <f>TRIM(AJ458)&amp;TRIM(AL458)&amp;TRIM(AK458)</f>
      </c>
      <c r="AN458" s="116">
        <v>666</v>
      </c>
      <c r="AO458" s="116">
        <v>-13</v>
      </c>
      <c r="AP458" s="116">
        <f>SUMIFS(M:M,AM:AM,AM458)+SUMIFS(O:O,AM:AM,AM458)</f>
      </c>
      <c r="AQ458" s="116">
        <f>SUMIFS(L:L,AM:AM,AM458)</f>
      </c>
      <c r="AR458" s="116">
        <f>AQ458-AP458</f>
      </c>
      <c r="AS458" s="94" t="str">
        <f>IF(AN458&gt;=AQ458,"ok","ck")</f>
      </c>
      <c r="AT458" s="116">
        <f>-P458</f>
      </c>
      <c r="AU458" s="115">
        <f>IF(SUMIFS(AT:AT,AM:AM,AM458)&gt;AO458,(SUMIFS(AT:AT,AM:AM,AM458)-AO458))</f>
      </c>
      <c r="AV458" s="116">
        <v>666</v>
      </c>
      <c r="AW458" s="121">
        <v>1.02</v>
      </c>
      <c r="AX458" s="115">
        <f>AN458-AP458</f>
      </c>
    </row>
    <row r="459" spans="1:50" ht="15" hidden="1" customHeight="1" x14ac:dyDescent="0.3">
      <c r="A459" s="94" t="s">
        <v>268</v>
      </c>
      <c r="B459" s="94"/>
      <c r="C459" s="94"/>
      <c r="D459" s="94"/>
      <c r="E459" s="94"/>
      <c r="F459" s="94"/>
      <c r="G459" s="112">
        <f>AU459</f>
      </c>
      <c r="H459" s="113"/>
      <c r="I459" s="94" t="s">
        <v>278</v>
      </c>
      <c r="J459" s="94" t="s">
        <v>293</v>
      </c>
      <c r="K459" s="114">
        <f>P459/3</f>
      </c>
      <c r="L459" s="115">
        <v>0</v>
      </c>
      <c r="M459" s="116">
        <f>L459</f>
      </c>
      <c r="N459" s="117">
        <f>M459-L459</f>
      </c>
      <c r="O459" s="112"/>
      <c r="P459" s="118">
        <f>N459+O459</f>
      </c>
      <c r="Q459" s="94" t="s">
        <v>271</v>
      </c>
      <c r="R459" s="94" t="s">
        <v>63</v>
      </c>
      <c r="S459" s="119">
        <v>46320</v>
      </c>
      <c r="T459" s="119"/>
      <c r="U459" s="120">
        <v>46320</v>
      </c>
      <c r="V459" s="94"/>
      <c r="W459" s="94"/>
      <c r="X459" s="94"/>
      <c r="Y459" s="119">
        <v>46320</v>
      </c>
      <c r="Z459" s="94"/>
      <c r="AA459" s="120"/>
      <c r="AB459" s="120"/>
      <c r="AC459" s="120"/>
      <c r="AD459" s="120"/>
      <c r="AE459" s="120"/>
      <c r="AF459" s="120"/>
      <c r="AG459" s="94"/>
      <c r="AH459" s="120"/>
      <c r="AI459" s="94"/>
      <c r="AJ459" s="94" t="s">
        <v>271</v>
      </c>
      <c r="AK459" s="94" t="s">
        <v>294</v>
      </c>
      <c r="AL459" s="94">
        <v>120</v>
      </c>
      <c r="AM459" s="94" t="str">
        <f>TRIM(AJ459)&amp;TRIM(AL459)&amp;TRIM(AK459)</f>
      </c>
      <c r="AN459" s="116">
        <v>666</v>
      </c>
      <c r="AO459" s="116">
        <v>-13</v>
      </c>
      <c r="AP459" s="116">
        <f>SUMIFS(M:M,AM:AM,AM459)+SUMIFS(O:O,AM:AM,AM459)</f>
      </c>
      <c r="AQ459" s="116">
        <f>SUMIFS(L:L,AM:AM,AM459)</f>
      </c>
      <c r="AR459" s="116">
        <f>AQ459-AP459</f>
      </c>
      <c r="AS459" s="94" t="str">
        <f>IF(AN459&gt;=AQ459,"ok","ck")</f>
      </c>
      <c r="AT459" s="116">
        <f>-P459</f>
      </c>
      <c r="AU459" s="115">
        <f>IF(SUMIFS(AT:AT,AM:AM,AM459)&gt;AO459,(SUMIFS(AT:AT,AM:AM,AM459)-AO459))</f>
      </c>
      <c r="AV459" s="116">
        <v>666</v>
      </c>
      <c r="AW459" s="121">
        <v>1.02</v>
      </c>
      <c r="AX459" s="115">
        <f>AN459-AP459</f>
      </c>
    </row>
    <row r="460" spans="1:50" ht="15" hidden="1" customHeight="1" x14ac:dyDescent="0.3">
      <c r="A460" s="94" t="s">
        <v>60</v>
      </c>
      <c r="B460" s="94"/>
      <c r="C460" s="94"/>
      <c r="D460" s="94"/>
      <c r="E460" s="94"/>
      <c r="F460" s="94"/>
      <c r="G460" s="112">
        <f>AU460</f>
      </c>
      <c r="H460" s="113"/>
      <c r="I460" s="94" t="s">
        <v>482</v>
      </c>
      <c r="J460" s="94" t="s">
        <v>525</v>
      </c>
      <c r="K460" s="114">
        <f>P460/3</f>
      </c>
      <c r="L460" s="115">
        <v>-0.38200000000000001</v>
      </c>
      <c r="M460" s="116">
        <f>L460</f>
      </c>
      <c r="N460" s="117">
        <f>M460-L460</f>
      </c>
      <c r="O460" s="112"/>
      <c r="P460" s="118">
        <f>N460+O460</f>
      </c>
      <c r="Q460" s="94" t="s">
        <v>786</v>
      </c>
      <c r="R460" s="94" t="s">
        <v>63</v>
      </c>
      <c r="S460" s="119">
        <v>46336</v>
      </c>
      <c r="T460" s="119"/>
      <c r="U460" s="120">
        <v>46336</v>
      </c>
      <c r="V460" s="94"/>
      <c r="W460" s="94"/>
      <c r="X460" s="94"/>
      <c r="Y460" s="119">
        <v>46336</v>
      </c>
      <c r="Z460" s="94"/>
      <c r="AA460" s="120"/>
      <c r="AB460" s="120"/>
      <c r="AC460" s="120"/>
      <c r="AD460" s="120"/>
      <c r="AE460" s="120"/>
      <c r="AF460" s="120"/>
      <c r="AG460" s="94"/>
      <c r="AH460" s="120"/>
      <c r="AI460" s="94"/>
      <c r="AJ460" s="94" t="s">
        <v>786</v>
      </c>
      <c r="AK460" s="94" t="s">
        <v>525</v>
      </c>
      <c r="AL460" s="94">
        <v>110</v>
      </c>
      <c r="AM460" s="94" t="str">
        <f>TRIM(AJ460)&amp;TRIM(AL460)&amp;TRIM(AK460)</f>
      </c>
      <c r="AN460" s="116">
        <v>67</v>
      </c>
      <c r="AO460" s="116">
        <v>-3</v>
      </c>
      <c r="AP460" s="116">
        <f>SUMIFS(M:M,AM:AM,AM460)+SUMIFS(O:O,AM:AM,AM460)</f>
      </c>
      <c r="AQ460" s="116">
        <f>SUMIFS(L:L,AM:AM,AM460)</f>
      </c>
      <c r="AR460" s="116">
        <f>AQ460-AP460</f>
      </c>
      <c r="AS460" s="94" t="str">
        <f>IF(AN460&gt;=AQ460,"ok","ck")</f>
      </c>
      <c r="AT460" s="116">
        <f>-P460</f>
      </c>
      <c r="AU460" s="115">
        <f>IF(SUMIFS(AT:AT,AM:AM,AM460)&gt;AO460,(SUMIFS(AT:AT,AM:AM,AM460)-AO460))</f>
      </c>
      <c r="AV460" s="116">
        <v>67</v>
      </c>
      <c r="AW460" s="121">
        <v>1.047</v>
      </c>
      <c r="AX460" s="115">
        <f>AN460-AP460</f>
      </c>
    </row>
    <row r="461" spans="1:50" ht="15" hidden="1" customHeight="1" x14ac:dyDescent="0.3">
      <c r="A461" s="94" t="s">
        <v>60</v>
      </c>
      <c r="B461" s="94"/>
      <c r="C461" s="94"/>
      <c r="D461" s="94"/>
      <c r="E461" s="94"/>
      <c r="F461" s="94"/>
      <c r="G461" s="112">
        <f>AU461</f>
      </c>
      <c r="H461" s="113"/>
      <c r="I461" s="94" t="s">
        <v>482</v>
      </c>
      <c r="J461" s="94" t="s">
        <v>525</v>
      </c>
      <c r="K461" s="114">
        <f>P461/3</f>
      </c>
      <c r="L461" s="115">
        <v>-0.17599999999999999</v>
      </c>
      <c r="M461" s="116">
        <f>L461</f>
      </c>
      <c r="N461" s="117">
        <f>M461-L461</f>
      </c>
      <c r="O461" s="112"/>
      <c r="P461" s="118">
        <f>N461+O461</f>
      </c>
      <c r="Q461" s="94" t="s">
        <v>786</v>
      </c>
      <c r="R461" s="94" t="s">
        <v>63</v>
      </c>
      <c r="S461" s="119">
        <v>46341</v>
      </c>
      <c r="T461" s="119"/>
      <c r="U461" s="120">
        <v>46341</v>
      </c>
      <c r="V461" s="94"/>
      <c r="W461" s="94"/>
      <c r="X461" s="94"/>
      <c r="Y461" s="119">
        <v>46341</v>
      </c>
      <c r="Z461" s="94"/>
      <c r="AA461" s="120"/>
      <c r="AB461" s="120"/>
      <c r="AC461" s="120"/>
      <c r="AD461" s="120"/>
      <c r="AE461" s="120"/>
      <c r="AF461" s="120"/>
      <c r="AG461" s="94"/>
      <c r="AH461" s="120"/>
      <c r="AI461" s="94"/>
      <c r="AJ461" s="94" t="s">
        <v>786</v>
      </c>
      <c r="AK461" s="94" t="s">
        <v>525</v>
      </c>
      <c r="AL461" s="94">
        <v>110</v>
      </c>
      <c r="AM461" s="94" t="str">
        <f>TRIM(AJ461)&amp;TRIM(AL461)&amp;TRIM(AK461)</f>
      </c>
      <c r="AN461" s="116">
        <v>67</v>
      </c>
      <c r="AO461" s="116">
        <v>-3</v>
      </c>
      <c r="AP461" s="116">
        <f>SUMIFS(M:M,AM:AM,AM461)+SUMIFS(O:O,AM:AM,AM461)</f>
      </c>
      <c r="AQ461" s="116">
        <f>SUMIFS(L:L,AM:AM,AM461)</f>
      </c>
      <c r="AR461" s="116">
        <f>AQ461-AP461</f>
      </c>
      <c r="AS461" s="94" t="str">
        <f>IF(AN461&gt;=AQ461,"ok","ck")</f>
      </c>
      <c r="AT461" s="116">
        <f>-P461</f>
      </c>
      <c r="AU461" s="115">
        <f>IF(SUMIFS(AT:AT,AM:AM,AM461)&gt;AO461,(SUMIFS(AT:AT,AM:AM,AM461)-AO461))</f>
      </c>
      <c r="AV461" s="116">
        <v>67</v>
      </c>
      <c r="AW461" s="121">
        <v>1.047</v>
      </c>
      <c r="AX461" s="115">
        <f>AN461-AP461</f>
      </c>
    </row>
    <row r="462" spans="1:50" ht="15" hidden="1" customHeight="1" x14ac:dyDescent="0.3">
      <c r="A462" s="94" t="s">
        <v>60</v>
      </c>
      <c r="B462" s="94"/>
      <c r="C462" s="94"/>
      <c r="D462" s="94"/>
      <c r="E462" s="94"/>
      <c r="F462" s="94"/>
      <c r="G462" s="112">
        <f>AU462</f>
      </c>
      <c r="H462" s="113"/>
      <c r="I462" s="94" t="s">
        <v>70</v>
      </c>
      <c r="J462" s="94" t="s">
        <v>71</v>
      </c>
      <c r="K462" s="114">
        <f>P462/3</f>
      </c>
      <c r="L462" s="115">
        <v>0.123</v>
      </c>
      <c r="M462" s="116"/>
      <c r="N462" s="117">
        <f>M462-L462</f>
      </c>
      <c r="O462" s="112"/>
      <c r="P462" s="118">
        <f>N462+O462</f>
      </c>
      <c r="Q462" s="94" t="s">
        <v>67</v>
      </c>
      <c r="R462" s="94" t="s">
        <v>63</v>
      </c>
      <c r="S462" s="119">
        <v>46341</v>
      </c>
      <c r="T462" s="119"/>
      <c r="U462" s="120">
        <v>46341</v>
      </c>
      <c r="V462" s="94"/>
      <c r="W462" s="94"/>
      <c r="X462" s="94"/>
      <c r="Y462" s="119">
        <v>46341</v>
      </c>
      <c r="Z462" s="94"/>
      <c r="AA462" s="120"/>
      <c r="AB462" s="120"/>
      <c r="AC462" s="120"/>
      <c r="AD462" s="120"/>
      <c r="AE462" s="120"/>
      <c r="AF462" s="120"/>
      <c r="AG462" s="94"/>
      <c r="AH462" s="120"/>
      <c r="AI462" s="94"/>
      <c r="AJ462" s="94" t="s">
        <v>67</v>
      </c>
      <c r="AK462" s="94" t="s">
        <v>71</v>
      </c>
      <c r="AL462" s="94">
        <v>140</v>
      </c>
      <c r="AM462" s="94" t="str">
        <f>TRIM(AJ462)&amp;TRIM(AL462)&amp;TRIM(AK462)</f>
      </c>
      <c r="AN462" s="116">
        <v>3696.9</v>
      </c>
      <c r="AO462" s="116">
        <v>48.1</v>
      </c>
      <c r="AP462" s="116">
        <f>SUMIFS(M:M,AM:AM,AM462)+SUMIFS(O:O,AM:AM,AM462)</f>
      </c>
      <c r="AQ462" s="116">
        <f>SUMIFS(L:L,AM:AM,AM462)</f>
      </c>
      <c r="AR462" s="116">
        <f>AQ462-AP462</f>
      </c>
      <c r="AS462" s="94" t="str">
        <f>IF(AN462&gt;=AQ462,"ok","ck")</f>
      </c>
      <c r="AT462" s="116">
        <f>-P462</f>
      </c>
      <c r="AU462" s="115">
        <f>IF(SUMIFS(AT:AT,AM:AM,AM462)&gt;AO462,(SUMIFS(AT:AT,AM:AM,AM462)-AO462))</f>
      </c>
      <c r="AV462" s="116">
        <v>3696.9</v>
      </c>
      <c r="AW462" s="121">
        <v>0.987</v>
      </c>
      <c r="AX462" s="115">
        <f>AN462-AP462</f>
      </c>
    </row>
    <row r="463" spans="1:50" ht="15" hidden="1" customHeight="1" x14ac:dyDescent="0.3">
      <c r="A463" s="94" t="s">
        <v>268</v>
      </c>
      <c r="B463" s="94"/>
      <c r="C463" s="94"/>
      <c r="D463" s="94"/>
      <c r="E463" s="94"/>
      <c r="F463" s="94"/>
      <c r="G463" s="112">
        <f>AU463</f>
      </c>
      <c r="H463" s="113"/>
      <c r="I463" s="94" t="s">
        <v>390</v>
      </c>
      <c r="J463" s="94" t="s">
        <v>279</v>
      </c>
      <c r="K463" s="114">
        <f>P463/3</f>
      </c>
      <c r="L463" s="115">
        <v>-11.638</v>
      </c>
      <c r="M463" s="116">
        <f>L463</f>
      </c>
      <c r="N463" s="117">
        <f>M463-L463</f>
      </c>
      <c r="O463" s="112"/>
      <c r="P463" s="118">
        <f>N463+O463</f>
      </c>
      <c r="Q463" s="94" t="s">
        <v>287</v>
      </c>
      <c r="R463" s="94" t="s">
        <v>63</v>
      </c>
      <c r="S463" s="119">
        <v>46320</v>
      </c>
      <c r="T463" s="119"/>
      <c r="U463" s="120">
        <v>46320</v>
      </c>
      <c r="V463" s="94"/>
      <c r="W463" s="94"/>
      <c r="X463" s="94"/>
      <c r="Y463" s="119">
        <v>46320</v>
      </c>
      <c r="Z463" s="94"/>
      <c r="AA463" s="120"/>
      <c r="AB463" s="120"/>
      <c r="AC463" s="120"/>
      <c r="AD463" s="120"/>
      <c r="AE463" s="120"/>
      <c r="AF463" s="120"/>
      <c r="AG463" s="94"/>
      <c r="AH463" s="120"/>
      <c r="AI463" s="94"/>
      <c r="AJ463" s="94" t="s">
        <v>287</v>
      </c>
      <c r="AK463" s="94" t="s">
        <v>280</v>
      </c>
      <c r="AL463" s="94">
        <v>140</v>
      </c>
      <c r="AM463" s="94" t="str">
        <f>TRIM(AJ463)&amp;TRIM(AL463)&amp;TRIM(AK463)</f>
      </c>
      <c r="AN463" s="116">
        <v>3971</v>
      </c>
      <c r="AO463" s="116">
        <v>-75.47</v>
      </c>
      <c r="AP463" s="116">
        <f>SUMIFS(M:M,AM:AM,AM463)+SUMIFS(O:O,AM:AM,AM463)</f>
      </c>
      <c r="AQ463" s="116">
        <f>SUMIFS(L:L,AM:AM,AM463)</f>
      </c>
      <c r="AR463" s="116">
        <f>AQ463-AP463</f>
      </c>
      <c r="AS463" s="94" t="str">
        <f>IF(AN463&gt;=AQ463,"ok","ck")</f>
      </c>
      <c r="AT463" s="116">
        <f>-P463</f>
      </c>
      <c r="AU463" s="115">
        <f>IF(SUMIFS(AT:AT,AM:AM,AM463)&gt;AO463,(SUMIFS(AT:AT,AM:AM,AM463)-AO463))</f>
      </c>
      <c r="AV463" s="116">
        <v>3971</v>
      </c>
      <c r="AW463" s="121">
        <v>1.019</v>
      </c>
      <c r="AX463" s="115">
        <f>AN463-AP463</f>
      </c>
    </row>
    <row r="464" spans="1:50" ht="15" hidden="1" customHeight="1" x14ac:dyDescent="0.3">
      <c r="A464" s="94" t="s">
        <v>268</v>
      </c>
      <c r="B464" s="94"/>
      <c r="C464" s="94"/>
      <c r="D464" s="94"/>
      <c r="E464" s="94"/>
      <c r="F464" s="94"/>
      <c r="G464" s="112">
        <f>AU464</f>
      </c>
      <c r="H464" s="113"/>
      <c r="I464" s="94" t="s">
        <v>278</v>
      </c>
      <c r="J464" s="94" t="s">
        <v>273</v>
      </c>
      <c r="K464" s="114">
        <f>P464/3</f>
      </c>
      <c r="L464" s="115">
        <v>18.646000000000001</v>
      </c>
      <c r="M464" s="116"/>
      <c r="N464" s="117">
        <f>M464-L464</f>
      </c>
      <c r="O464" s="112"/>
      <c r="P464" s="118">
        <f>N464+O464</f>
      </c>
      <c r="Q464" s="94" t="s">
        <v>287</v>
      </c>
      <c r="R464" s="94" t="s">
        <v>63</v>
      </c>
      <c r="S464" s="119">
        <v>46330</v>
      </c>
      <c r="T464" s="119"/>
      <c r="U464" s="120">
        <v>46330</v>
      </c>
      <c r="V464" s="94"/>
      <c r="W464" s="94"/>
      <c r="X464" s="94"/>
      <c r="Y464" s="119">
        <v>46320</v>
      </c>
      <c r="Z464" s="94"/>
      <c r="AA464" s="120"/>
      <c r="AB464" s="120"/>
      <c r="AC464" s="120"/>
      <c r="AD464" s="120"/>
      <c r="AE464" s="120"/>
      <c r="AF464" s="120"/>
      <c r="AG464" s="94"/>
      <c r="AH464" s="120"/>
      <c r="AI464" s="94"/>
      <c r="AJ464" s="94" t="s">
        <v>287</v>
      </c>
      <c r="AK464" s="94" t="s">
        <v>274</v>
      </c>
      <c r="AL464" s="94">
        <v>120</v>
      </c>
      <c r="AM464" s="94" t="str">
        <f>TRIM(AJ464)&amp;TRIM(AL464)&amp;TRIM(AK464)</f>
      </c>
      <c r="AN464" s="116">
        <v>569.91</v>
      </c>
      <c r="AO464" s="116">
        <v>70.32</v>
      </c>
      <c r="AP464" s="116">
        <f>SUMIFS(M:M,AM:AM,AM464)+SUMIFS(O:O,AM:AM,AM464)</f>
      </c>
      <c r="AQ464" s="116">
        <f>SUMIFS(L:L,AM:AM,AM464)</f>
      </c>
      <c r="AR464" s="116">
        <f>AQ464-AP464</f>
      </c>
      <c r="AS464" s="94" t="str">
        <f>IF(AN464&gt;=AQ464,"ok","ck")</f>
      </c>
      <c r="AT464" s="116">
        <f>-P464</f>
      </c>
      <c r="AU464" s="115">
        <f>IF(SUMIFS(AT:AT,AM:AM,AM464)&gt;AO464,(SUMIFS(AT:AT,AM:AM,AM464)-AO464))</f>
      </c>
      <c r="AV464" s="116">
        <v>569.91</v>
      </c>
      <c r="AW464" s="121">
        <v>0.89</v>
      </c>
      <c r="AX464" s="115">
        <f>AN464-AP464</f>
      </c>
    </row>
    <row r="465" spans="1:50" ht="15" hidden="1" customHeight="1" x14ac:dyDescent="0.3">
      <c r="A465" s="94" t="s">
        <v>268</v>
      </c>
      <c r="B465" s="94"/>
      <c r="C465" s="94"/>
      <c r="D465" s="94"/>
      <c r="E465" s="94"/>
      <c r="F465" s="94"/>
      <c r="G465" s="112">
        <f>AU465</f>
      </c>
      <c r="H465" s="113"/>
      <c r="I465" s="94" t="s">
        <v>278</v>
      </c>
      <c r="J465" s="94" t="s">
        <v>273</v>
      </c>
      <c r="K465" s="114">
        <f>P465/3</f>
      </c>
      <c r="L465" s="115">
        <v>18.225000000000001</v>
      </c>
      <c r="M465" s="116"/>
      <c r="N465" s="117">
        <f>M465-L465</f>
      </c>
      <c r="O465" s="112"/>
      <c r="P465" s="118">
        <f>N465+O465</f>
      </c>
      <c r="Q465" s="94" t="s">
        <v>287</v>
      </c>
      <c r="R465" s="94" t="s">
        <v>63</v>
      </c>
      <c r="S465" s="119">
        <v>46330</v>
      </c>
      <c r="T465" s="119"/>
      <c r="U465" s="120">
        <v>46330</v>
      </c>
      <c r="V465" s="94"/>
      <c r="W465" s="94"/>
      <c r="X465" s="94"/>
      <c r="Y465" s="119">
        <v>46320</v>
      </c>
      <c r="Z465" s="94"/>
      <c r="AA465" s="120"/>
      <c r="AB465" s="120"/>
      <c r="AC465" s="120"/>
      <c r="AD465" s="120"/>
      <c r="AE465" s="120"/>
      <c r="AF465" s="120"/>
      <c r="AG465" s="94"/>
      <c r="AH465" s="120"/>
      <c r="AI465" s="94"/>
      <c r="AJ465" s="94" t="s">
        <v>287</v>
      </c>
      <c r="AK465" s="94" t="s">
        <v>274</v>
      </c>
      <c r="AL465" s="94">
        <v>120</v>
      </c>
      <c r="AM465" s="94" t="str">
        <f>TRIM(AJ465)&amp;TRIM(AL465)&amp;TRIM(AK465)</f>
      </c>
      <c r="AN465" s="116">
        <v>569.91</v>
      </c>
      <c r="AO465" s="116">
        <v>70.32</v>
      </c>
      <c r="AP465" s="116">
        <f>SUMIFS(M:M,AM:AM,AM465)+SUMIFS(O:O,AM:AM,AM465)</f>
      </c>
      <c r="AQ465" s="116">
        <f>SUMIFS(L:L,AM:AM,AM465)</f>
      </c>
      <c r="AR465" s="116">
        <f>AQ465-AP465</f>
      </c>
      <c r="AS465" s="94" t="str">
        <f>IF(AN465&gt;=AQ465,"ok","ck")</f>
      </c>
      <c r="AT465" s="116">
        <f>-P465</f>
      </c>
      <c r="AU465" s="115">
        <f>IF(SUMIFS(AT:AT,AM:AM,AM465)&gt;AO465,(SUMIFS(AT:AT,AM:AM,AM465)-AO465))</f>
      </c>
      <c r="AV465" s="116">
        <v>569.91</v>
      </c>
      <c r="AW465" s="121">
        <v>0.89</v>
      </c>
      <c r="AX465" s="115">
        <f>AN465-AP465</f>
      </c>
    </row>
    <row r="466" spans="1:50" ht="15" hidden="1" customHeight="1" x14ac:dyDescent="0.3">
      <c r="A466" s="94" t="s">
        <v>253</v>
      </c>
      <c r="B466" s="94"/>
      <c r="C466" s="94"/>
      <c r="D466" s="94"/>
      <c r="E466" s="94"/>
      <c r="F466" s="94"/>
      <c r="G466" s="112">
        <f>AU466</f>
      </c>
      <c r="H466" s="113"/>
      <c r="I466" s="94" t="s">
        <v>254</v>
      </c>
      <c r="J466" s="94" t="s">
        <v>530</v>
      </c>
      <c r="K466" s="114">
        <f>P466/3</f>
      </c>
      <c r="L466" s="115">
        <v>725</v>
      </c>
      <c r="M466" s="116"/>
      <c r="N466" s="117">
        <f>M466-L466</f>
      </c>
      <c r="O466" s="112"/>
      <c r="P466" s="118">
        <f>N466+O466</f>
      </c>
      <c r="Q466" s="94" t="s">
        <v>851</v>
      </c>
      <c r="R466" s="94" t="s">
        <v>63</v>
      </c>
      <c r="S466" s="119">
        <v>46344</v>
      </c>
      <c r="T466" s="119"/>
      <c r="U466" s="120">
        <v>46344</v>
      </c>
      <c r="V466" s="94"/>
      <c r="W466" s="94"/>
      <c r="X466" s="94"/>
      <c r="Y466" s="119">
        <v>46343</v>
      </c>
      <c r="Z466" s="94"/>
      <c r="AA466" s="120"/>
      <c r="AB466" s="120"/>
      <c r="AC466" s="120"/>
      <c r="AD466" s="120"/>
      <c r="AE466" s="120"/>
      <c r="AF466" s="120"/>
      <c r="AG466" s="94"/>
      <c r="AH466" s="120"/>
      <c r="AI466" s="94"/>
      <c r="AJ466" s="94" t="s">
        <v>789</v>
      </c>
      <c r="AK466" s="94" t="s">
        <v>717</v>
      </c>
      <c r="AL466" s="94">
        <v>150</v>
      </c>
      <c r="AM466" s="94" t="str">
        <f>TRIM(AJ466)&amp;TRIM(AL466)&amp;TRIM(AK466)</f>
      </c>
      <c r="AN466" s="116">
        <v>0</v>
      </c>
      <c r="AO466" s="116" t="inlineStr">
        <is>
          <t>#NA</t>
        </is>
      </c>
      <c r="AP466" s="116">
        <f>SUMIFS(M:M,AM:AM,AM466)+SUMIFS(O:O,AM:AM,AM466)</f>
      </c>
      <c r="AQ466" s="116">
        <f>SUMIFS(L:L,AM:AM,AM466)</f>
      </c>
      <c r="AR466" s="116">
        <f>AQ466-AP466</f>
      </c>
      <c r="AS466" s="94" t="str">
        <f>IF(AN466&gt;=AQ466,"ok","ck")</f>
      </c>
      <c r="AT466" s="116">
        <f>-P466</f>
      </c>
      <c r="AU466" s="115">
        <f>IF(SUMIFS(AT:AT,AM:AM,AM466)&gt;AO466,(SUMIFS(AT:AT,AM:AM,AM466)-AO466))</f>
      </c>
      <c r="AV466" s="116">
        <v>0</v>
      </c>
      <c r="AW466" s="121">
        <v>0</v>
      </c>
      <c r="AX466" s="115">
        <f>AN466-AP466</f>
      </c>
    </row>
    <row r="467" spans="1:50" ht="15" hidden="1" customHeight="1" x14ac:dyDescent="0.3">
      <c r="A467" s="94" t="s">
        <v>288</v>
      </c>
      <c r="B467" s="94"/>
      <c r="C467" s="94"/>
      <c r="D467" s="94"/>
      <c r="E467" s="94"/>
      <c r="F467" s="94"/>
      <c r="G467" s="112">
        <f>AU467</f>
      </c>
      <c r="H467" s="113"/>
      <c r="I467" s="94" t="s">
        <v>297</v>
      </c>
      <c r="J467" s="94" t="s">
        <v>290</v>
      </c>
      <c r="K467" s="114">
        <f>P467/3</f>
      </c>
      <c r="L467" s="115">
        <v>0</v>
      </c>
      <c r="M467" s="116"/>
      <c r="N467" s="117">
        <f>M467-L467</f>
      </c>
      <c r="O467" s="112"/>
      <c r="P467" s="118">
        <f>N467+O467</f>
      </c>
      <c r="Q467" s="94" t="s">
        <v>296</v>
      </c>
      <c r="R467" s="94" t="s">
        <v>63</v>
      </c>
      <c r="S467" s="119">
        <v>46338</v>
      </c>
      <c r="T467" s="119"/>
      <c r="U467" s="120">
        <v>46338</v>
      </c>
      <c r="V467" s="94"/>
      <c r="W467" s="94"/>
      <c r="X467" s="94"/>
      <c r="Y467" s="119">
        <v>46338</v>
      </c>
      <c r="Z467" s="94"/>
      <c r="AA467" s="120"/>
      <c r="AB467" s="120"/>
      <c r="AC467" s="120"/>
      <c r="AD467" s="120"/>
      <c r="AE467" s="120"/>
      <c r="AF467" s="120"/>
      <c r="AG467" s="94"/>
      <c r="AH467" s="120"/>
      <c r="AI467" s="94"/>
      <c r="AJ467" s="94" t="s">
        <v>479</v>
      </c>
      <c r="AK467" s="94" t="s">
        <v>267</v>
      </c>
      <c r="AL467" s="94">
        <v>190</v>
      </c>
      <c r="AM467" s="94" t="str">
        <f>TRIM(AJ467)&amp;TRIM(AL467)&amp;TRIM(AK467)</f>
      </c>
      <c r="AN467" s="116">
        <v>3156.72</v>
      </c>
      <c r="AO467" s="116">
        <v>38.61</v>
      </c>
      <c r="AP467" s="116">
        <f>SUMIFS(M:M,AM:AM,AM467)+SUMIFS(O:O,AM:AM,AM467)</f>
      </c>
      <c r="AQ467" s="116">
        <f>SUMIFS(L:L,AM:AM,AM467)</f>
      </c>
      <c r="AR467" s="116">
        <f>AQ467-AP467</f>
      </c>
      <c r="AS467" s="94" t="str">
        <f>IF(AN467&gt;=AQ467,"ok","ck")</f>
      </c>
      <c r="AT467" s="116">
        <f>-P467</f>
      </c>
      <c r="AU467" s="115">
        <f>IF(SUMIFS(AT:AT,AM:AM,AM467)&gt;AO467,(SUMIFS(AT:AT,AM:AM,AM467)-AO467))</f>
      </c>
      <c r="AV467" s="116">
        <v>3156.72</v>
      </c>
      <c r="AW467" s="121">
        <v>0.988</v>
      </c>
      <c r="AX467" s="115">
        <f>AN467-AP467</f>
      </c>
    </row>
    <row r="468" spans="1:50" ht="15" hidden="1" customHeight="1" x14ac:dyDescent="0.3">
      <c r="A468" s="94" t="s">
        <v>268</v>
      </c>
      <c r="B468" s="94"/>
      <c r="C468" s="94"/>
      <c r="D468" s="94"/>
      <c r="E468" s="94"/>
      <c r="F468" s="94"/>
      <c r="G468" s="112">
        <f>AU468</f>
      </c>
      <c r="H468" s="113"/>
      <c r="I468" s="94" t="s">
        <v>278</v>
      </c>
      <c r="J468" s="94" t="s">
        <v>527</v>
      </c>
      <c r="K468" s="114">
        <f>P468/3</f>
      </c>
      <c r="L468" s="115">
        <v>-0.06</v>
      </c>
      <c r="M468" s="116">
        <f>L468</f>
      </c>
      <c r="N468" s="117">
        <f>M468-L468</f>
      </c>
      <c r="O468" s="112"/>
      <c r="P468" s="118">
        <f>N468+O468</f>
      </c>
      <c r="Q468" s="94" t="s">
        <v>316</v>
      </c>
      <c r="R468" s="94" t="s">
        <v>63</v>
      </c>
      <c r="S468" s="119">
        <v>46334</v>
      </c>
      <c r="T468" s="119"/>
      <c r="U468" s="120">
        <v>46334</v>
      </c>
      <c r="V468" s="94"/>
      <c r="W468" s="94"/>
      <c r="X468" s="94"/>
      <c r="Y468" s="119">
        <v>46334</v>
      </c>
      <c r="Z468" s="94"/>
      <c r="AA468" s="120"/>
      <c r="AB468" s="120"/>
      <c r="AC468" s="120"/>
      <c r="AD468" s="120"/>
      <c r="AE468" s="120"/>
      <c r="AF468" s="120"/>
      <c r="AG468" s="94"/>
      <c r="AH468" s="120"/>
      <c r="AI468" s="94"/>
      <c r="AJ468" s="94" t="s">
        <v>316</v>
      </c>
      <c r="AK468" s="94" t="s">
        <v>715</v>
      </c>
      <c r="AL468" s="94">
        <v>120</v>
      </c>
      <c r="AM468" s="94" t="str">
        <f>TRIM(AJ468)&amp;TRIM(AL468)&amp;TRIM(AK468)</f>
      </c>
      <c r="AN468" s="116">
        <v>89</v>
      </c>
      <c r="AO468" s="116">
        <v>-1</v>
      </c>
      <c r="AP468" s="116">
        <f>SUMIFS(M:M,AM:AM,AM468)+SUMIFS(O:O,AM:AM,AM468)</f>
      </c>
      <c r="AQ468" s="116">
        <f>SUMIFS(L:L,AM:AM,AM468)</f>
      </c>
      <c r="AR468" s="116">
        <f>AQ468-AP468</f>
      </c>
      <c r="AS468" s="94" t="str">
        <f>IF(AN468&gt;=AQ468,"ok","ck")</f>
      </c>
      <c r="AT468" s="116">
        <f>-P468</f>
      </c>
      <c r="AU468" s="115">
        <f>IF(SUMIFS(AT:AT,AM:AM,AM468)&gt;AO468,(SUMIFS(AT:AT,AM:AM,AM468)-AO468))</f>
      </c>
      <c r="AV468" s="116">
        <v>89</v>
      </c>
      <c r="AW468" s="121">
        <v>1.011</v>
      </c>
      <c r="AX468" s="115">
        <f>AN468-AP468</f>
      </c>
    </row>
    <row r="469" spans="1:50" ht="15" hidden="1" customHeight="1" x14ac:dyDescent="0.3">
      <c r="A469" s="94" t="s">
        <v>288</v>
      </c>
      <c r="B469" s="94"/>
      <c r="C469" s="94"/>
      <c r="D469" s="94"/>
      <c r="E469" s="94"/>
      <c r="F469" s="94"/>
      <c r="G469" s="112">
        <f>AU469</f>
      </c>
      <c r="H469" s="113"/>
      <c r="I469" s="94" t="s">
        <v>289</v>
      </c>
      <c r="J469" s="94" t="s">
        <v>325</v>
      </c>
      <c r="K469" s="114">
        <f>P469/3</f>
      </c>
      <c r="L469" s="115">
        <v>-1.1499999999999999</v>
      </c>
      <c r="M469" s="116">
        <f>L469</f>
      </c>
      <c r="N469" s="117">
        <f>M469-L469</f>
      </c>
      <c r="O469" s="112"/>
      <c r="P469" s="118">
        <f>N469+O469</f>
      </c>
      <c r="Q469" s="94" t="s">
        <v>299</v>
      </c>
      <c r="R469" s="94" t="s">
        <v>63</v>
      </c>
      <c r="S469" s="120">
        <v>46334</v>
      </c>
      <c r="T469" s="120"/>
      <c r="U469" s="120">
        <v>46334</v>
      </c>
      <c r="V469" s="94"/>
      <c r="W469" s="94"/>
      <c r="X469" s="94"/>
      <c r="Y469" s="119">
        <v>46334</v>
      </c>
      <c r="Z469" s="94"/>
      <c r="AA469" s="120"/>
      <c r="AB469" s="120"/>
      <c r="AC469" s="120"/>
      <c r="AD469" s="120"/>
      <c r="AE469" s="120"/>
      <c r="AF469" s="120"/>
      <c r="AG469" s="94"/>
      <c r="AH469" s="120"/>
      <c r="AI469" s="94"/>
      <c r="AJ469" s="94" t="s">
        <v>478</v>
      </c>
      <c r="AK469" s="94" t="s">
        <v>267</v>
      </c>
      <c r="AL469" s="94">
        <v>235</v>
      </c>
      <c r="AM469" s="94" t="str">
        <f>TRIM(AJ469)&amp;TRIM(AL469)&amp;TRIM(AK469)</f>
      </c>
      <c r="AN469" s="116">
        <v>2522</v>
      </c>
      <c r="AO469" s="116">
        <v>-15.24</v>
      </c>
      <c r="AP469" s="116">
        <f>SUMIFS(M:M,AM:AM,AM469)+SUMIFS(O:O,AM:AM,AM469)</f>
      </c>
      <c r="AQ469" s="116">
        <f>SUMIFS(L:L,AM:AM,AM469)</f>
      </c>
      <c r="AR469" s="116">
        <f>AQ469-AP469</f>
      </c>
      <c r="AS469" s="94" t="str">
        <f>IF(AN469&gt;=AQ469,"ok","ck")</f>
      </c>
      <c r="AT469" s="116">
        <f>-P469</f>
      </c>
      <c r="AU469" s="115">
        <f>IF(SUMIFS(AT:AT,AM:AM,AM469)&gt;AO469,(SUMIFS(AT:AT,AM:AM,AM469)-AO469))</f>
      </c>
      <c r="AV469" s="116">
        <v>2522</v>
      </c>
      <c r="AW469" s="121">
        <v>1.006</v>
      </c>
      <c r="AX469" s="115">
        <f>AN469-AP469</f>
      </c>
    </row>
    <row r="470" spans="1:50" ht="15" hidden="1" customHeight="1" x14ac:dyDescent="0.3">
      <c r="A470" s="94" t="s">
        <v>288</v>
      </c>
      <c r="B470" s="94"/>
      <c r="C470" s="94"/>
      <c r="D470" s="94"/>
      <c r="E470" s="94"/>
      <c r="F470" s="94"/>
      <c r="G470" s="112">
        <f>AU470</f>
      </c>
      <c r="H470" s="113"/>
      <c r="I470" s="94" t="s">
        <v>289</v>
      </c>
      <c r="J470" s="94" t="s">
        <v>325</v>
      </c>
      <c r="K470" s="114">
        <f>P470/3</f>
      </c>
      <c r="L470" s="115">
        <v>-0.10199999999999999</v>
      </c>
      <c r="M470" s="116">
        <f>L470</f>
      </c>
      <c r="N470" s="117">
        <f>M470-L470</f>
      </c>
      <c r="O470" s="112"/>
      <c r="P470" s="118">
        <f>N470+O470</f>
      </c>
      <c r="Q470" s="94" t="s">
        <v>299</v>
      </c>
      <c r="R470" s="94" t="s">
        <v>63</v>
      </c>
      <c r="S470" s="119">
        <v>46320</v>
      </c>
      <c r="T470" s="119"/>
      <c r="U470" s="119">
        <v>46320</v>
      </c>
      <c r="V470" s="94"/>
      <c r="W470" s="94"/>
      <c r="X470" s="94"/>
      <c r="Y470" s="119">
        <v>46320</v>
      </c>
      <c r="Z470" s="94"/>
      <c r="AA470" s="120"/>
      <c r="AB470" s="120"/>
      <c r="AC470" s="120"/>
      <c r="AD470" s="120"/>
      <c r="AE470" s="120"/>
      <c r="AF470" s="120"/>
      <c r="AG470" s="94"/>
      <c r="AH470" s="120"/>
      <c r="AI470" s="94"/>
      <c r="AJ470" s="94" t="s">
        <v>478</v>
      </c>
      <c r="AK470" s="94" t="s">
        <v>267</v>
      </c>
      <c r="AL470" s="94">
        <v>235</v>
      </c>
      <c r="AM470" s="94" t="str">
        <f>TRIM(AJ470)&amp;TRIM(AL470)&amp;TRIM(AK470)</f>
      </c>
      <c r="AN470" s="116">
        <v>2522</v>
      </c>
      <c r="AO470" s="116">
        <v>-15.24</v>
      </c>
      <c r="AP470" s="116">
        <f>SUMIFS(M:M,AM:AM,AM470)+SUMIFS(O:O,AM:AM,AM470)</f>
      </c>
      <c r="AQ470" s="116">
        <f>SUMIFS(L:L,AM:AM,AM470)</f>
      </c>
      <c r="AR470" s="116">
        <f>AQ470-AP470</f>
      </c>
      <c r="AS470" s="94" t="str">
        <f>IF(AN470&gt;=AQ470,"ok","ck")</f>
      </c>
      <c r="AT470" s="116">
        <f>-P470</f>
      </c>
      <c r="AU470" s="115">
        <f>IF(SUMIFS(AT:AT,AM:AM,AM470)&gt;AO470,(SUMIFS(AT:AT,AM:AM,AM470)-AO470))</f>
      </c>
      <c r="AV470" s="116">
        <v>2522</v>
      </c>
      <c r="AW470" s="121">
        <v>1.006</v>
      </c>
      <c r="AX470" s="115">
        <f>AN470-AP470</f>
      </c>
    </row>
    <row r="471" spans="1:50" ht="15" hidden="1" customHeight="1" x14ac:dyDescent="0.3">
      <c r="A471" s="94" t="s">
        <v>288</v>
      </c>
      <c r="B471" s="94"/>
      <c r="C471" s="94"/>
      <c r="D471" s="94"/>
      <c r="E471" s="94"/>
      <c r="F471" s="94"/>
      <c r="G471" s="112">
        <f>AU471</f>
      </c>
      <c r="H471" s="113"/>
      <c r="I471" s="94" t="s">
        <v>289</v>
      </c>
      <c r="J471" s="94" t="s">
        <v>286</v>
      </c>
      <c r="K471" s="114">
        <f>P471/3</f>
      </c>
      <c r="L471" s="115">
        <v>0</v>
      </c>
      <c r="M471" s="116">
        <f>L471</f>
      </c>
      <c r="N471" s="117">
        <f>M471-L471</f>
      </c>
      <c r="O471" s="112"/>
      <c r="P471" s="118">
        <f>N471+O471</f>
      </c>
      <c r="Q471" s="94" t="s">
        <v>299</v>
      </c>
      <c r="R471" s="94" t="s">
        <v>63</v>
      </c>
      <c r="S471" s="119">
        <v>46320</v>
      </c>
      <c r="T471" s="119"/>
      <c r="U471" s="119">
        <v>46320</v>
      </c>
      <c r="V471" s="94"/>
      <c r="W471" s="94"/>
      <c r="X471" s="94"/>
      <c r="Y471" s="119">
        <v>46320</v>
      </c>
      <c r="Z471" s="94"/>
      <c r="AA471" s="120"/>
      <c r="AB471" s="120"/>
      <c r="AC471" s="120"/>
      <c r="AD471" s="120"/>
      <c r="AE471" s="120"/>
      <c r="AF471" s="120"/>
      <c r="AG471" s="94"/>
      <c r="AH471" s="120"/>
      <c r="AI471" s="94"/>
      <c r="AJ471" s="94" t="s">
        <v>478</v>
      </c>
      <c r="AK471" s="94" t="s">
        <v>281</v>
      </c>
      <c r="AL471" s="94">
        <v>235</v>
      </c>
      <c r="AM471" s="94" t="str">
        <f>TRIM(AJ471)&amp;TRIM(AL471)&amp;TRIM(AK471)</f>
      </c>
      <c r="AN471" s="116">
        <v>2382.77</v>
      </c>
      <c r="AO471" s="116">
        <v>-45.53</v>
      </c>
      <c r="AP471" s="116">
        <f>SUMIFS(M:M,AM:AM,AM471)+SUMIFS(O:O,AM:AM,AM471)</f>
      </c>
      <c r="AQ471" s="116">
        <f>SUMIFS(L:L,AM:AM,AM471)</f>
      </c>
      <c r="AR471" s="116">
        <f>AQ471-AP471</f>
      </c>
      <c r="AS471" s="94" t="str">
        <f>IF(AN471&gt;=AQ471,"ok","ck")</f>
      </c>
      <c r="AT471" s="116">
        <f>-P471</f>
      </c>
      <c r="AU471" s="115">
        <f>IF(SUMIFS(AT:AT,AM:AM,AM471)&gt;AO471,(SUMIFS(AT:AT,AM:AM,AM471)-AO471))</f>
      </c>
      <c r="AV471" s="116">
        <v>2382.77</v>
      </c>
      <c r="AW471" s="121">
        <v>1.019</v>
      </c>
      <c r="AX471" s="115">
        <f>AN471-AP471</f>
      </c>
    </row>
    <row r="472" spans="1:50" ht="15" hidden="1" customHeight="1" x14ac:dyDescent="0.3">
      <c r="A472" s="94" t="s">
        <v>288</v>
      </c>
      <c r="B472" s="94"/>
      <c r="C472" s="94"/>
      <c r="D472" s="94"/>
      <c r="E472" s="94"/>
      <c r="F472" s="94"/>
      <c r="G472" s="112">
        <f>AU472</f>
      </c>
      <c r="H472" s="113"/>
      <c r="I472" s="94" t="s">
        <v>289</v>
      </c>
      <c r="J472" s="94" t="s">
        <v>286</v>
      </c>
      <c r="K472" s="114">
        <f>P472/3</f>
      </c>
      <c r="L472" s="115">
        <v>0</v>
      </c>
      <c r="M472" s="116">
        <f>L472</f>
      </c>
      <c r="N472" s="117">
        <f>M472-L472</f>
      </c>
      <c r="O472" s="112"/>
      <c r="P472" s="118">
        <f>N472+O472</f>
      </c>
      <c r="Q472" s="94" t="s">
        <v>299</v>
      </c>
      <c r="R472" s="94" t="s">
        <v>63</v>
      </c>
      <c r="S472" s="119">
        <v>46330</v>
      </c>
      <c r="T472" s="119"/>
      <c r="U472" s="119">
        <v>46330</v>
      </c>
      <c r="V472" s="94"/>
      <c r="W472" s="94"/>
      <c r="X472" s="94"/>
      <c r="Y472" s="119">
        <v>46330</v>
      </c>
      <c r="Z472" s="94"/>
      <c r="AA472" s="120"/>
      <c r="AB472" s="120"/>
      <c r="AC472" s="120"/>
      <c r="AD472" s="120"/>
      <c r="AE472" s="120"/>
      <c r="AF472" s="120"/>
      <c r="AG472" s="94"/>
      <c r="AH472" s="120"/>
      <c r="AI472" s="94"/>
      <c r="AJ472" s="94" t="s">
        <v>478</v>
      </c>
      <c r="AK472" s="94" t="s">
        <v>281</v>
      </c>
      <c r="AL472" s="94">
        <v>235</v>
      </c>
      <c r="AM472" s="94" t="str">
        <f>TRIM(AJ472)&amp;TRIM(AL472)&amp;TRIM(AK472)</f>
      </c>
      <c r="AN472" s="116">
        <v>2382.77</v>
      </c>
      <c r="AO472" s="116">
        <v>-45.53</v>
      </c>
      <c r="AP472" s="116">
        <f>SUMIFS(M:M,AM:AM,AM472)+SUMIFS(O:O,AM:AM,AM472)</f>
      </c>
      <c r="AQ472" s="116">
        <f>SUMIFS(L:L,AM:AM,AM472)</f>
      </c>
      <c r="AR472" s="116">
        <f>AQ472-AP472</f>
      </c>
      <c r="AS472" s="94" t="str">
        <f>IF(AN472&gt;=AQ472,"ok","ck")</f>
      </c>
      <c r="AT472" s="116">
        <f>-P472</f>
      </c>
      <c r="AU472" s="115">
        <f>IF(SUMIFS(AT:AT,AM:AM,AM472)&gt;AO472,(SUMIFS(AT:AT,AM:AM,AM472)-AO472))</f>
      </c>
      <c r="AV472" s="116">
        <v>2382.77</v>
      </c>
      <c r="AW472" s="121">
        <v>1.019</v>
      </c>
      <c r="AX472" s="115">
        <f>AN472-AP472</f>
      </c>
    </row>
    <row r="473" spans="1:50" ht="15" hidden="1" customHeight="1" x14ac:dyDescent="0.3">
      <c r="A473" s="94" t="s">
        <v>268</v>
      </c>
      <c r="B473" s="94"/>
      <c r="C473" s="94"/>
      <c r="D473" s="94"/>
      <c r="E473" s="94"/>
      <c r="F473" s="94"/>
      <c r="G473" s="112">
        <f>AU473</f>
      </c>
      <c r="H473" s="113"/>
      <c r="I473" s="94" t="s">
        <v>278</v>
      </c>
      <c r="J473" s="94" t="s">
        <v>279</v>
      </c>
      <c r="K473" s="114">
        <f>P473/3</f>
      </c>
      <c r="L473" s="115">
        <v>0</v>
      </c>
      <c r="M473" s="116">
        <f>L473</f>
      </c>
      <c r="N473" s="117">
        <f>M473-L473</f>
      </c>
      <c r="O473" s="112"/>
      <c r="P473" s="118">
        <f>N473+O473</f>
      </c>
      <c r="Q473" s="94" t="s">
        <v>287</v>
      </c>
      <c r="R473" s="94" t="s">
        <v>63</v>
      </c>
      <c r="S473" s="119">
        <v>46320</v>
      </c>
      <c r="T473" s="119"/>
      <c r="U473" s="119">
        <v>46320</v>
      </c>
      <c r="V473" s="94"/>
      <c r="W473" s="94"/>
      <c r="X473" s="94"/>
      <c r="Y473" s="119">
        <v>46320</v>
      </c>
      <c r="Z473" s="94"/>
      <c r="AA473" s="120"/>
      <c r="AB473" s="120"/>
      <c r="AC473" s="120"/>
      <c r="AD473" s="120"/>
      <c r="AE473" s="120"/>
      <c r="AF473" s="120"/>
      <c r="AG473" s="94"/>
      <c r="AH473" s="120"/>
      <c r="AI473" s="94"/>
      <c r="AJ473" s="94" t="s">
        <v>287</v>
      </c>
      <c r="AK473" s="94" t="s">
        <v>280</v>
      </c>
      <c r="AL473" s="94">
        <v>120</v>
      </c>
      <c r="AM473" s="94" t="str">
        <f>TRIM(AJ473)&amp;TRIM(AL473)&amp;TRIM(AK473)</f>
      </c>
      <c r="AN473" s="116">
        <v>476</v>
      </c>
      <c r="AO473" s="116">
        <v>-13</v>
      </c>
      <c r="AP473" s="116">
        <f>SUMIFS(M:M,AM:AM,AM473)+SUMIFS(O:O,AM:AM,AM473)</f>
      </c>
      <c r="AQ473" s="116">
        <f>SUMIFS(L:L,AM:AM,AM473)</f>
      </c>
      <c r="AR473" s="116">
        <f>AQ473-AP473</f>
      </c>
      <c r="AS473" s="94" t="str">
        <f>IF(AN473&gt;=AQ473,"ok","ck")</f>
      </c>
      <c r="AT473" s="116">
        <f>-P473</f>
      </c>
      <c r="AU473" s="115">
        <f>IF(SUMIFS(AT:AT,AM:AM,AM473)&gt;AO473,(SUMIFS(AT:AT,AM:AM,AM473)-AO473))</f>
      </c>
      <c r="AV473" s="116">
        <v>476</v>
      </c>
      <c r="AW473" s="121">
        <v>1.028</v>
      </c>
      <c r="AX473" s="115">
        <f>AN473-AP473</f>
      </c>
    </row>
    <row r="474" spans="1:50" ht="15" hidden="1" customHeight="1" x14ac:dyDescent="0.3">
      <c r="A474" s="94" t="s">
        <v>288</v>
      </c>
      <c r="B474" s="94"/>
      <c r="C474" s="94"/>
      <c r="D474" s="94"/>
      <c r="E474" s="94"/>
      <c r="F474" s="94"/>
      <c r="G474" s="112">
        <f>AU474</f>
      </c>
      <c r="H474" s="113"/>
      <c r="I474" s="94" t="s">
        <v>297</v>
      </c>
      <c r="J474" s="94" t="s">
        <v>267</v>
      </c>
      <c r="K474" s="114">
        <f>P474/3</f>
      </c>
      <c r="L474" s="115">
        <v>-7.9470000000000001</v>
      </c>
      <c r="M474" s="116">
        <f>L474</f>
      </c>
      <c r="N474" s="117">
        <f>M474-L474</f>
      </c>
      <c r="O474" s="112"/>
      <c r="P474" s="118">
        <f>N474+O474</f>
      </c>
      <c r="Q474" s="94" t="s">
        <v>291</v>
      </c>
      <c r="R474" s="94" t="s">
        <v>63</v>
      </c>
      <c r="S474" s="119">
        <v>46320</v>
      </c>
      <c r="T474" s="119"/>
      <c r="U474" s="119">
        <v>46320</v>
      </c>
      <c r="V474" s="94"/>
      <c r="W474" s="94"/>
      <c r="X474" s="94"/>
      <c r="Y474" s="119">
        <v>46320</v>
      </c>
      <c r="Z474" s="94"/>
      <c r="AA474" s="120"/>
      <c r="AB474" s="120"/>
      <c r="AC474" s="120"/>
      <c r="AD474" s="120"/>
      <c r="AE474" s="120"/>
      <c r="AF474" s="120"/>
      <c r="AG474" s="94"/>
      <c r="AH474" s="120"/>
      <c r="AI474" s="94"/>
      <c r="AJ474" s="94" t="s">
        <v>292</v>
      </c>
      <c r="AK474" s="94" t="s">
        <v>267</v>
      </c>
      <c r="AL474" s="94">
        <v>190</v>
      </c>
      <c r="AM474" s="94" t="str">
        <f>TRIM(AJ474)&amp;TRIM(AL474)&amp;TRIM(AK474)</f>
      </c>
      <c r="AN474" s="116">
        <v>2159</v>
      </c>
      <c r="AO474" s="116">
        <v>-45.35</v>
      </c>
      <c r="AP474" s="116">
        <f>SUMIFS(M:M,AM:AM,AM474)+SUMIFS(O:O,AM:AM,AM474)</f>
      </c>
      <c r="AQ474" s="116">
        <f>SUMIFS(L:L,AM:AM,AM474)</f>
      </c>
      <c r="AR474" s="116">
        <f>AQ474-AP474</f>
      </c>
      <c r="AS474" s="94" t="str">
        <f>IF(AN474&gt;=AQ474,"ok","ck")</f>
      </c>
      <c r="AT474" s="116">
        <f>-P474</f>
      </c>
      <c r="AU474" s="115">
        <f>IF(SUMIFS(AT:AT,AM:AM,AM474)&gt;AO474,(SUMIFS(AT:AT,AM:AM,AM474)-AO474))</f>
      </c>
      <c r="AV474" s="116">
        <v>2159</v>
      </c>
      <c r="AW474" s="121">
        <v>1.021</v>
      </c>
      <c r="AX474" s="115">
        <f>AN474-AP474</f>
      </c>
    </row>
    <row r="475" spans="1:50" ht="15" hidden="1" customHeight="1" x14ac:dyDescent="0.3">
      <c r="A475" s="94" t="s">
        <v>288</v>
      </c>
      <c r="B475" s="94"/>
      <c r="C475" s="94"/>
      <c r="D475" s="94"/>
      <c r="E475" s="94"/>
      <c r="F475" s="94"/>
      <c r="G475" s="112">
        <f>AU475</f>
      </c>
      <c r="H475" s="113"/>
      <c r="I475" s="94" t="s">
        <v>297</v>
      </c>
      <c r="J475" s="94" t="s">
        <v>267</v>
      </c>
      <c r="K475" s="114">
        <f>P475/3</f>
      </c>
      <c r="L475" s="115">
        <v>-7.2830000000000004</v>
      </c>
      <c r="M475" s="116">
        <f>L475</f>
      </c>
      <c r="N475" s="117">
        <f>M475-L475</f>
      </c>
      <c r="O475" s="112"/>
      <c r="P475" s="118">
        <f>N475+O475</f>
      </c>
      <c r="Q475" s="94" t="s">
        <v>291</v>
      </c>
      <c r="R475" s="94" t="s">
        <v>63</v>
      </c>
      <c r="S475" s="119">
        <v>46320</v>
      </c>
      <c r="T475" s="119"/>
      <c r="U475" s="119">
        <v>46320</v>
      </c>
      <c r="V475" s="94"/>
      <c r="W475" s="94"/>
      <c r="X475" s="94"/>
      <c r="Y475" s="119">
        <v>46320</v>
      </c>
      <c r="Z475" s="94"/>
      <c r="AA475" s="120"/>
      <c r="AB475" s="120"/>
      <c r="AC475" s="120"/>
      <c r="AD475" s="120"/>
      <c r="AE475" s="120"/>
      <c r="AF475" s="120"/>
      <c r="AG475" s="94"/>
      <c r="AH475" s="120"/>
      <c r="AI475" s="94"/>
      <c r="AJ475" s="94" t="s">
        <v>292</v>
      </c>
      <c r="AK475" s="94" t="s">
        <v>267</v>
      </c>
      <c r="AL475" s="94">
        <v>190</v>
      </c>
      <c r="AM475" s="94" t="str">
        <f>TRIM(AJ475)&amp;TRIM(AL475)&amp;TRIM(AK475)</f>
      </c>
      <c r="AN475" s="116">
        <v>2159</v>
      </c>
      <c r="AO475" s="116">
        <v>-45.35</v>
      </c>
      <c r="AP475" s="116">
        <f>SUMIFS(M:M,AM:AM,AM475)+SUMIFS(O:O,AM:AM,AM475)</f>
      </c>
      <c r="AQ475" s="116">
        <f>SUMIFS(L:L,AM:AM,AM475)</f>
      </c>
      <c r="AR475" s="116">
        <f>AQ475-AP475</f>
      </c>
      <c r="AS475" s="94" t="str">
        <f>IF(AN475&gt;=AQ475,"ok","ck")</f>
      </c>
      <c r="AT475" s="116">
        <f>-P475</f>
      </c>
      <c r="AU475" s="115">
        <f>IF(SUMIFS(AT:AT,AM:AM,AM475)&gt;AO475,(SUMIFS(AT:AT,AM:AM,AM475)-AO475))</f>
      </c>
      <c r="AV475" s="116">
        <v>2159</v>
      </c>
      <c r="AW475" s="121">
        <v>1.021</v>
      </c>
      <c r="AX475" s="115">
        <f>AN475-AP475</f>
      </c>
    </row>
    <row r="476" spans="1:50" ht="15" hidden="1" customHeight="1" x14ac:dyDescent="0.3">
      <c r="A476" s="94" t="s">
        <v>268</v>
      </c>
      <c r="B476" s="94"/>
      <c r="C476" s="94"/>
      <c r="D476" s="94"/>
      <c r="E476" s="94"/>
      <c r="F476" s="94"/>
      <c r="G476" s="112">
        <f>AU476</f>
      </c>
      <c r="H476" s="113"/>
      <c r="I476" s="94" t="s">
        <v>278</v>
      </c>
      <c r="J476" s="94" t="s">
        <v>293</v>
      </c>
      <c r="K476" s="114">
        <f>P476/3</f>
      </c>
      <c r="L476" s="115">
        <v>55.5</v>
      </c>
      <c r="M476" s="116"/>
      <c r="N476" s="117">
        <f>M476-L476</f>
      </c>
      <c r="O476" s="112"/>
      <c r="P476" s="118">
        <f>N476+O476</f>
      </c>
      <c r="Q476" s="94" t="s">
        <v>305</v>
      </c>
      <c r="R476" s="94" t="s">
        <v>63</v>
      </c>
      <c r="S476" s="119">
        <v>46328</v>
      </c>
      <c r="T476" s="119"/>
      <c r="U476" s="119">
        <v>46328</v>
      </c>
      <c r="V476" s="94"/>
      <c r="W476" s="94"/>
      <c r="X476" s="94"/>
      <c r="Y476" s="119">
        <v>46338</v>
      </c>
      <c r="Z476" s="94"/>
      <c r="AA476" s="120"/>
      <c r="AB476" s="120"/>
      <c r="AC476" s="120"/>
      <c r="AD476" s="120"/>
      <c r="AE476" s="120"/>
      <c r="AF476" s="120"/>
      <c r="AG476" s="94"/>
      <c r="AH476" s="120"/>
      <c r="AI476" s="94"/>
      <c r="AJ476" s="94" t="s">
        <v>305</v>
      </c>
      <c r="AK476" s="94" t="s">
        <v>294</v>
      </c>
      <c r="AL476" s="94">
        <v>120</v>
      </c>
      <c r="AM476" s="94" t="str">
        <f>TRIM(AJ476)&amp;TRIM(AL476)&amp;TRIM(AK476)</f>
      </c>
      <c r="AN476" s="116">
        <v>0</v>
      </c>
      <c r="AO476" s="116" t="inlineStr">
        <is>
          <t>#NA</t>
        </is>
      </c>
      <c r="AP476" s="116">
        <f>SUMIFS(M:M,AM:AM,AM476)+SUMIFS(O:O,AM:AM,AM476)</f>
      </c>
      <c r="AQ476" s="116">
        <f>SUMIFS(L:L,AM:AM,AM476)</f>
      </c>
      <c r="AR476" s="116">
        <f>AQ476-AP476</f>
      </c>
      <c r="AS476" s="94" t="str">
        <f>IF(AN476&gt;=AQ476,"ok","ck")</f>
      </c>
      <c r="AT476" s="116">
        <f>-P476</f>
      </c>
      <c r="AU476" s="115">
        <f>IF(SUMIFS(AT:AT,AM:AM,AM476)&gt;AO476,(SUMIFS(AT:AT,AM:AM,AM476)-AO476))</f>
      </c>
      <c r="AV476" s="116">
        <v>0</v>
      </c>
      <c r="AW476" s="121">
        <v>0</v>
      </c>
      <c r="AX476" s="115">
        <f>AN476-AP476</f>
      </c>
    </row>
    <row r="477" spans="1:50" ht="15" hidden="1" customHeight="1" x14ac:dyDescent="0.3">
      <c r="A477" s="94" t="s">
        <v>268</v>
      </c>
      <c r="B477" s="94"/>
      <c r="C477" s="94"/>
      <c r="D477" s="94"/>
      <c r="E477" s="94"/>
      <c r="F477" s="94"/>
      <c r="G477" s="112">
        <f>AU477</f>
      </c>
      <c r="H477" s="113"/>
      <c r="I477" s="94" t="s">
        <v>278</v>
      </c>
      <c r="J477" s="94" t="s">
        <v>293</v>
      </c>
      <c r="K477" s="114">
        <f>P477/3</f>
      </c>
      <c r="L477" s="115">
        <v>73.5</v>
      </c>
      <c r="M477" s="116"/>
      <c r="N477" s="117">
        <f>M477-L477</f>
      </c>
      <c r="O477" s="112"/>
      <c r="P477" s="118">
        <f>N477+O477</f>
      </c>
      <c r="Q477" s="94" t="s">
        <v>305</v>
      </c>
      <c r="R477" s="94" t="s">
        <v>63</v>
      </c>
      <c r="S477" s="119">
        <v>46328</v>
      </c>
      <c r="T477" s="119"/>
      <c r="U477" s="119">
        <v>46328</v>
      </c>
      <c r="V477" s="94"/>
      <c r="W477" s="94"/>
      <c r="X477" s="94"/>
      <c r="Y477" s="119">
        <v>46324</v>
      </c>
      <c r="Z477" s="94"/>
      <c r="AA477" s="120"/>
      <c r="AB477" s="120"/>
      <c r="AC477" s="120"/>
      <c r="AD477" s="120"/>
      <c r="AE477" s="120"/>
      <c r="AF477" s="120"/>
      <c r="AG477" s="94"/>
      <c r="AH477" s="120"/>
      <c r="AI477" s="94"/>
      <c r="AJ477" s="94" t="s">
        <v>305</v>
      </c>
      <c r="AK477" s="94" t="s">
        <v>294</v>
      </c>
      <c r="AL477" s="94">
        <v>120</v>
      </c>
      <c r="AM477" s="94" t="str">
        <f>TRIM(AJ477)&amp;TRIM(AL477)&amp;TRIM(AK477)</f>
      </c>
      <c r="AN477" s="116">
        <v>0</v>
      </c>
      <c r="AO477" s="116" t="inlineStr">
        <is>
          <t>#NA</t>
        </is>
      </c>
      <c r="AP477" s="116">
        <f>SUMIFS(M:M,AM:AM,AM477)+SUMIFS(O:O,AM:AM,AM477)</f>
      </c>
      <c r="AQ477" s="116">
        <f>SUMIFS(L:L,AM:AM,AM477)</f>
      </c>
      <c r="AR477" s="116">
        <f>AQ477-AP477</f>
      </c>
      <c r="AS477" s="94" t="str">
        <f>IF(AN477&gt;=AQ477,"ok","ck")</f>
      </c>
      <c r="AT477" s="116">
        <f>-P477</f>
      </c>
      <c r="AU477" s="115">
        <f>IF(SUMIFS(AT:AT,AM:AM,AM477)&gt;AO477,(SUMIFS(AT:AT,AM:AM,AM477)-AO477))</f>
      </c>
      <c r="AV477" s="116">
        <v>0</v>
      </c>
      <c r="AW477" s="121">
        <v>0</v>
      </c>
      <c r="AX477" s="115">
        <f>AN477-AP477</f>
      </c>
    </row>
    <row r="478" spans="1:50" ht="15" hidden="1" customHeight="1" x14ac:dyDescent="0.3">
      <c r="A478" s="94" t="s">
        <v>268</v>
      </c>
      <c r="B478" s="94"/>
      <c r="C478" s="94"/>
      <c r="D478" s="94"/>
      <c r="E478" s="94"/>
      <c r="F478" s="94"/>
      <c r="G478" s="112">
        <f>AU478</f>
      </c>
      <c r="H478" s="113"/>
      <c r="I478" s="94" t="s">
        <v>278</v>
      </c>
      <c r="J478" s="94" t="s">
        <v>293</v>
      </c>
      <c r="K478" s="114">
        <f>P478/3</f>
      </c>
      <c r="L478" s="115">
        <v>64.349999999999994</v>
      </c>
      <c r="M478" s="116"/>
      <c r="N478" s="117">
        <f>M478-L478</f>
      </c>
      <c r="O478" s="112"/>
      <c r="P478" s="118">
        <f>N478+O478</f>
      </c>
      <c r="Q478" s="94" t="s">
        <v>305</v>
      </c>
      <c r="R478" s="94" t="s">
        <v>63</v>
      </c>
      <c r="S478" s="119">
        <v>46328</v>
      </c>
      <c r="T478" s="119"/>
      <c r="U478" s="119">
        <v>46328</v>
      </c>
      <c r="V478" s="94"/>
      <c r="W478" s="94"/>
      <c r="X478" s="94"/>
      <c r="Y478" s="119">
        <v>46323</v>
      </c>
      <c r="Z478" s="94"/>
      <c r="AA478" s="120"/>
      <c r="AB478" s="120"/>
      <c r="AC478" s="120"/>
      <c r="AD478" s="120"/>
      <c r="AE478" s="120"/>
      <c r="AF478" s="120"/>
      <c r="AG478" s="94"/>
      <c r="AH478" s="120"/>
      <c r="AI478" s="94"/>
      <c r="AJ478" s="94" t="s">
        <v>305</v>
      </c>
      <c r="AK478" s="94" t="s">
        <v>294</v>
      </c>
      <c r="AL478" s="94">
        <v>120</v>
      </c>
      <c r="AM478" s="94" t="str">
        <f>TRIM(AJ478)&amp;TRIM(AL478)&amp;TRIM(AK478)</f>
      </c>
      <c r="AN478" s="116">
        <v>0</v>
      </c>
      <c r="AO478" s="116" t="inlineStr">
        <is>
          <t>#NA</t>
        </is>
      </c>
      <c r="AP478" s="116">
        <f>SUMIFS(M:M,AM:AM,AM478)+SUMIFS(O:O,AM:AM,AM478)</f>
      </c>
      <c r="AQ478" s="116">
        <f>SUMIFS(L:L,AM:AM,AM478)</f>
      </c>
      <c r="AR478" s="116">
        <f>AQ478-AP478</f>
      </c>
      <c r="AS478" s="94" t="str">
        <f>IF(AN478&gt;=AQ478,"ok","ck")</f>
      </c>
      <c r="AT478" s="116">
        <f>-P478</f>
      </c>
      <c r="AU478" s="115">
        <f>IF(SUMIFS(AT:AT,AM:AM,AM478)&gt;AO478,(SUMIFS(AT:AT,AM:AM,AM478)-AO478))</f>
      </c>
      <c r="AV478" s="116">
        <v>0</v>
      </c>
      <c r="AW478" s="121">
        <v>0</v>
      </c>
      <c r="AX478" s="115">
        <f>AN478-AP478</f>
      </c>
    </row>
    <row r="479" spans="1:50" ht="15" hidden="1" customHeight="1" x14ac:dyDescent="0.3">
      <c r="A479" s="94" t="s">
        <v>268</v>
      </c>
      <c r="B479" s="94"/>
      <c r="C479" s="94"/>
      <c r="D479" s="94"/>
      <c r="E479" s="94"/>
      <c r="F479" s="94"/>
      <c r="G479" s="112">
        <f>AU479</f>
      </c>
      <c r="H479" s="113"/>
      <c r="I479" s="94" t="s">
        <v>278</v>
      </c>
      <c r="J479" s="94" t="s">
        <v>293</v>
      </c>
      <c r="K479" s="114">
        <f>P479/3</f>
      </c>
      <c r="L479" s="115">
        <v>58.5</v>
      </c>
      <c r="M479" s="116"/>
      <c r="N479" s="117">
        <f>M479-L479</f>
      </c>
      <c r="O479" s="112"/>
      <c r="P479" s="118">
        <f>N479+O479</f>
      </c>
      <c r="Q479" s="94" t="s">
        <v>305</v>
      </c>
      <c r="R479" s="94" t="s">
        <v>63</v>
      </c>
      <c r="S479" s="119">
        <v>46328</v>
      </c>
      <c r="T479" s="119"/>
      <c r="U479" s="119">
        <v>46328</v>
      </c>
      <c r="V479" s="94"/>
      <c r="W479" s="94"/>
      <c r="X479" s="94"/>
      <c r="Y479" s="119">
        <v>46329</v>
      </c>
      <c r="Z479" s="94"/>
      <c r="AA479" s="120"/>
      <c r="AB479" s="120"/>
      <c r="AC479" s="120"/>
      <c r="AD479" s="120"/>
      <c r="AE479" s="120"/>
      <c r="AF479" s="120"/>
      <c r="AG479" s="94"/>
      <c r="AH479" s="120"/>
      <c r="AI479" s="94"/>
      <c r="AJ479" s="94" t="s">
        <v>305</v>
      </c>
      <c r="AK479" s="94" t="s">
        <v>294</v>
      </c>
      <c r="AL479" s="94">
        <v>120</v>
      </c>
      <c r="AM479" s="94" t="str">
        <f>TRIM(AJ479)&amp;TRIM(AL479)&amp;TRIM(AK479)</f>
      </c>
      <c r="AN479" s="116">
        <v>0</v>
      </c>
      <c r="AO479" s="116" t="inlineStr">
        <is>
          <t>#NA</t>
        </is>
      </c>
      <c r="AP479" s="116">
        <f>SUMIFS(M:M,AM:AM,AM479)+SUMIFS(O:O,AM:AM,AM479)</f>
      </c>
      <c r="AQ479" s="116">
        <f>SUMIFS(L:L,AM:AM,AM479)</f>
      </c>
      <c r="AR479" s="116">
        <f>AQ479-AP479</f>
      </c>
      <c r="AS479" s="94" t="str">
        <f>IF(AN479&gt;=AQ479,"ok","ck")</f>
      </c>
      <c r="AT479" s="116">
        <f>-P479</f>
      </c>
      <c r="AU479" s="115">
        <f>IF(SUMIFS(AT:AT,AM:AM,AM479)&gt;AO479,(SUMIFS(AT:AT,AM:AM,AM479)-AO479))</f>
      </c>
      <c r="AV479" s="116">
        <v>0</v>
      </c>
      <c r="AW479" s="121">
        <v>0</v>
      </c>
      <c r="AX479" s="115">
        <f>AN479-AP479</f>
      </c>
    </row>
    <row r="480" spans="1:50" ht="15" hidden="1" customHeight="1" x14ac:dyDescent="0.3">
      <c r="A480" s="94" t="s">
        <v>253</v>
      </c>
      <c r="B480" s="94"/>
      <c r="C480" s="94"/>
      <c r="D480" s="94"/>
      <c r="E480" s="94"/>
      <c r="F480" s="94"/>
      <c r="G480" s="112">
        <f>AU480</f>
      </c>
      <c r="H480" s="113"/>
      <c r="I480" s="94" t="s">
        <v>254</v>
      </c>
      <c r="J480" s="94" t="s">
        <v>255</v>
      </c>
      <c r="K480" s="114">
        <f>P480/3</f>
      </c>
      <c r="L480" s="115">
        <v>129.12100000000001</v>
      </c>
      <c r="M480" s="116">
        <v>1E-3</v>
      </c>
      <c r="N480" s="117">
        <f>M480-L480</f>
      </c>
      <c r="O480" s="112"/>
      <c r="P480" s="118">
        <f>N480+O480</f>
      </c>
      <c r="Q480" s="94" t="s">
        <v>330</v>
      </c>
      <c r="R480" s="94" t="s">
        <v>63</v>
      </c>
      <c r="S480" s="119">
        <v>46329</v>
      </c>
      <c r="T480" s="119"/>
      <c r="U480" s="119">
        <v>46329</v>
      </c>
      <c r="V480" s="94"/>
      <c r="W480" s="94"/>
      <c r="X480" s="94"/>
      <c r="Y480" s="119">
        <v>46320</v>
      </c>
      <c r="Z480" s="94"/>
      <c r="AA480" s="120"/>
      <c r="AB480" s="120"/>
      <c r="AC480" s="120"/>
      <c r="AD480" s="120"/>
      <c r="AE480" s="120"/>
      <c r="AF480" s="120"/>
      <c r="AG480" s="94"/>
      <c r="AH480" s="120"/>
      <c r="AI480" s="94"/>
      <c r="AJ480" s="94" t="s">
        <v>331</v>
      </c>
      <c r="AK480" s="94" t="s">
        <v>258</v>
      </c>
      <c r="AL480" s="94">
        <v>150</v>
      </c>
      <c r="AM480" s="94" t="str">
        <f>TRIM(AJ480)&amp;TRIM(AL480)&amp;TRIM(AK480)</f>
      </c>
      <c r="AN480" s="116">
        <v>2346.47</v>
      </c>
      <c r="AO480" s="116">
        <v>129.12</v>
      </c>
      <c r="AP480" s="116">
        <f>SUMIFS(M:M,AM:AM,AM480)+SUMIFS(O:O,AM:AM,AM480)</f>
      </c>
      <c r="AQ480" s="116">
        <f>SUMIFS(L:L,AM:AM,AM480)</f>
      </c>
      <c r="AR480" s="116">
        <f>AQ480-AP480</f>
      </c>
      <c r="AS480" s="94" t="str">
        <f>IF(AN480&gt;=AQ480,"ok","ck")</f>
      </c>
      <c r="AT480" s="116">
        <f>-P480</f>
      </c>
      <c r="AU480" s="115">
        <f>IF(SUMIFS(AT:AT,AM:AM,AM480)&gt;AO480,(SUMIFS(AT:AT,AM:AM,AM480)-AO480))</f>
      </c>
      <c r="AV480" s="116">
        <v>2346.47</v>
      </c>
      <c r="AW480" s="121">
        <v>0.948</v>
      </c>
      <c r="AX480" s="115">
        <f>AN480-AP480</f>
      </c>
    </row>
    <row r="481" spans="1:50" ht="15" hidden="1" customHeight="1" x14ac:dyDescent="0.3">
      <c r="A481" s="94" t="s">
        <v>60</v>
      </c>
      <c r="B481" s="94"/>
      <c r="C481" s="94"/>
      <c r="D481" s="94"/>
      <c r="E481" s="94"/>
      <c r="F481" s="94"/>
      <c r="G481" s="112">
        <f>AU481</f>
      </c>
      <c r="H481" s="113"/>
      <c r="I481" s="94" t="s">
        <v>61</v>
      </c>
      <c r="J481" s="94" t="s">
        <v>531</v>
      </c>
      <c r="K481" s="114">
        <f>P481/3</f>
      </c>
      <c r="L481" s="115">
        <v>205.21899999999999</v>
      </c>
      <c r="M481" s="116"/>
      <c r="N481" s="117">
        <f>M481-L481</f>
      </c>
      <c r="O481" s="112"/>
      <c r="P481" s="118">
        <f>N481+O481</f>
      </c>
      <c r="Q481" s="94" t="s">
        <v>785</v>
      </c>
      <c r="R481" s="94" t="s">
        <v>63</v>
      </c>
      <c r="S481" s="119">
        <v>46337</v>
      </c>
      <c r="T481" s="119"/>
      <c r="U481" s="119">
        <v>46337</v>
      </c>
      <c r="V481" s="94"/>
      <c r="W481" s="94"/>
      <c r="X481" s="94"/>
      <c r="Y481" s="119">
        <v>46342</v>
      </c>
      <c r="Z481" s="94"/>
      <c r="AA481" s="120"/>
      <c r="AB481" s="120"/>
      <c r="AC481" s="120"/>
      <c r="AD481" s="120"/>
      <c r="AE481" s="120"/>
      <c r="AF481" s="120"/>
      <c r="AG481" s="94"/>
      <c r="AH481" s="120"/>
      <c r="AI481" s="94"/>
      <c r="AJ481" s="94" t="s">
        <v>785</v>
      </c>
      <c r="AK481" s="94" t="s">
        <v>698</v>
      </c>
      <c r="AL481" s="94">
        <v>140</v>
      </c>
      <c r="AM481" s="94" t="str">
        <f>TRIM(AJ481)&amp;TRIM(AL481)&amp;TRIM(AK481)</f>
      </c>
      <c r="AN481" s="116">
        <v>0</v>
      </c>
      <c r="AO481" s="116" t="inlineStr">
        <is>
          <t>#NA</t>
        </is>
      </c>
      <c r="AP481" s="116">
        <f>SUMIFS(M:M,AM:AM,AM481)+SUMIFS(O:O,AM:AM,AM481)</f>
      </c>
      <c r="AQ481" s="116">
        <f>SUMIFS(L:L,AM:AM,AM481)</f>
      </c>
      <c r="AR481" s="116">
        <f>AQ481-AP481</f>
      </c>
      <c r="AS481" s="94" t="str">
        <f>IF(AN481&gt;=AQ481,"ok","ck")</f>
      </c>
      <c r="AT481" s="116">
        <f>-P481</f>
      </c>
      <c r="AU481" s="115">
        <f>IF(SUMIFS(AT:AT,AM:AM,AM481)&gt;AO481,(SUMIFS(AT:AT,AM:AM,AM481)-AO481))</f>
      </c>
      <c r="AV481" s="116">
        <v>0</v>
      </c>
      <c r="AW481" s="121">
        <v>0</v>
      </c>
      <c r="AX481" s="115">
        <f>AN481-AP481</f>
      </c>
    </row>
    <row r="482" spans="1:50" ht="15" hidden="1" customHeight="1" x14ac:dyDescent="0.3">
      <c r="A482" s="94" t="s">
        <v>60</v>
      </c>
      <c r="B482" s="94"/>
      <c r="C482" s="94"/>
      <c r="D482" s="94"/>
      <c r="E482" s="94"/>
      <c r="F482" s="94"/>
      <c r="G482" s="112">
        <f>AU482</f>
      </c>
      <c r="H482" s="113"/>
      <c r="I482" s="94" t="s">
        <v>61</v>
      </c>
      <c r="J482" s="94" t="s">
        <v>531</v>
      </c>
      <c r="K482" s="114">
        <f>P482/3</f>
      </c>
      <c r="L482" s="115">
        <v>2.5649999999999999</v>
      </c>
      <c r="M482" s="116"/>
      <c r="N482" s="117">
        <f>M482-L482</f>
      </c>
      <c r="O482" s="112"/>
      <c r="P482" s="118">
        <f>N482+O482</f>
      </c>
      <c r="Q482" s="94" t="s">
        <v>785</v>
      </c>
      <c r="R482" s="94" t="s">
        <v>63</v>
      </c>
      <c r="S482" s="119">
        <v>46337</v>
      </c>
      <c r="T482" s="119"/>
      <c r="U482" s="119">
        <v>46337</v>
      </c>
      <c r="V482" s="94"/>
      <c r="W482" s="94"/>
      <c r="X482" s="94"/>
      <c r="Y482" s="119">
        <v>46331</v>
      </c>
      <c r="Z482" s="94"/>
      <c r="AA482" s="120"/>
      <c r="AB482" s="120"/>
      <c r="AC482" s="120"/>
      <c r="AD482" s="120"/>
      <c r="AE482" s="120"/>
      <c r="AF482" s="120"/>
      <c r="AG482" s="94"/>
      <c r="AH482" s="120"/>
      <c r="AI482" s="94"/>
      <c r="AJ482" s="94" t="s">
        <v>785</v>
      </c>
      <c r="AK482" s="94" t="s">
        <v>698</v>
      </c>
      <c r="AL482" s="94">
        <v>140</v>
      </c>
      <c r="AM482" s="94" t="str">
        <f>TRIM(AJ482)&amp;TRIM(AL482)&amp;TRIM(AK482)</f>
      </c>
      <c r="AN482" s="116">
        <v>0</v>
      </c>
      <c r="AO482" s="116" t="inlineStr">
        <is>
          <t>#NA</t>
        </is>
      </c>
      <c r="AP482" s="116">
        <f>SUMIFS(M:M,AM:AM,AM482)+SUMIFS(O:O,AM:AM,AM482)</f>
      </c>
      <c r="AQ482" s="116">
        <f>SUMIFS(L:L,AM:AM,AM482)</f>
      </c>
      <c r="AR482" s="116">
        <f>AQ482-AP482</f>
      </c>
      <c r="AS482" s="94" t="str">
        <f>IF(AN482&gt;=AQ482,"ok","ck")</f>
      </c>
      <c r="AT482" s="116">
        <f>-P482</f>
      </c>
      <c r="AU482" s="115">
        <f>IF(SUMIFS(AT:AT,AM:AM,AM482)&gt;AO482,(SUMIFS(AT:AT,AM:AM,AM482)-AO482))</f>
      </c>
      <c r="AV482" s="116">
        <v>0</v>
      </c>
      <c r="AW482" s="121">
        <v>0</v>
      </c>
      <c r="AX482" s="115">
        <f>AN482-AP482</f>
      </c>
    </row>
    <row r="483" spans="1:50" ht="15" hidden="1" customHeight="1" x14ac:dyDescent="0.3">
      <c r="A483" s="94" t="s">
        <v>60</v>
      </c>
      <c r="B483" s="94"/>
      <c r="C483" s="94"/>
      <c r="D483" s="94"/>
      <c r="E483" s="94"/>
      <c r="F483" s="94"/>
      <c r="G483" s="112">
        <f>AU483</f>
      </c>
      <c r="H483" s="113"/>
      <c r="I483" s="94" t="s">
        <v>61</v>
      </c>
      <c r="J483" s="94" t="s">
        <v>531</v>
      </c>
      <c r="K483" s="114">
        <f>P483/3</f>
      </c>
      <c r="L483" s="115">
        <v>1090.2239999999999</v>
      </c>
      <c r="M483" s="116"/>
      <c r="N483" s="117">
        <f>M483-L483</f>
      </c>
      <c r="O483" s="112"/>
      <c r="P483" s="118">
        <f>N483+O483</f>
      </c>
      <c r="Q483" s="94" t="s">
        <v>785</v>
      </c>
      <c r="R483" s="94" t="s">
        <v>63</v>
      </c>
      <c r="S483" s="119">
        <v>46337</v>
      </c>
      <c r="T483" s="119"/>
      <c r="U483" s="120">
        <v>46337</v>
      </c>
      <c r="V483" s="94"/>
      <c r="W483" s="94"/>
      <c r="X483" s="94"/>
      <c r="Y483" s="119">
        <v>46330</v>
      </c>
      <c r="Z483" s="94"/>
      <c r="AA483" s="120"/>
      <c r="AB483" s="120"/>
      <c r="AC483" s="120"/>
      <c r="AD483" s="120"/>
      <c r="AE483" s="120"/>
      <c r="AF483" s="120"/>
      <c r="AG483" s="94"/>
      <c r="AH483" s="120"/>
      <c r="AI483" s="94"/>
      <c r="AJ483" s="94" t="s">
        <v>785</v>
      </c>
      <c r="AK483" s="94" t="s">
        <v>698</v>
      </c>
      <c r="AL483" s="94">
        <v>140</v>
      </c>
      <c r="AM483" s="94" t="str">
        <f>TRIM(AJ483)&amp;TRIM(AL483)&amp;TRIM(AK483)</f>
      </c>
      <c r="AN483" s="116">
        <v>0</v>
      </c>
      <c r="AO483" s="116" t="inlineStr">
        <is>
          <t>#NA</t>
        </is>
      </c>
      <c r="AP483" s="116">
        <f>SUMIFS(M:M,AM:AM,AM483)+SUMIFS(O:O,AM:AM,AM483)</f>
      </c>
      <c r="AQ483" s="116">
        <f>SUMIFS(L:L,AM:AM,AM483)</f>
      </c>
      <c r="AR483" s="116">
        <f>AQ483-AP483</f>
      </c>
      <c r="AS483" s="94" t="str">
        <f>IF(AN483&gt;=AQ483,"ok","ck")</f>
      </c>
      <c r="AT483" s="116">
        <f>-P483</f>
      </c>
      <c r="AU483" s="115">
        <f>IF(SUMIFS(AT:AT,AM:AM,AM483)&gt;AO483,(SUMIFS(AT:AT,AM:AM,AM483)-AO483))</f>
      </c>
      <c r="AV483" s="116">
        <v>0</v>
      </c>
      <c r="AW483" s="121">
        <v>0</v>
      </c>
      <c r="AX483" s="115">
        <f>AN483-AP483</f>
      </c>
    </row>
    <row r="484" spans="1:50" ht="15" hidden="1" customHeight="1" x14ac:dyDescent="0.3">
      <c r="A484" s="94" t="s">
        <v>60</v>
      </c>
      <c r="B484" s="94"/>
      <c r="C484" s="94"/>
      <c r="D484" s="94"/>
      <c r="E484" s="94"/>
      <c r="F484" s="94"/>
      <c r="G484" s="112">
        <f>AU484</f>
      </c>
      <c r="H484" s="113"/>
      <c r="I484" s="94" t="s">
        <v>61</v>
      </c>
      <c r="J484" s="94" t="s">
        <v>532</v>
      </c>
      <c r="K484" s="114">
        <f>P484/3</f>
      </c>
      <c r="L484" s="115">
        <v>0</v>
      </c>
      <c r="M484" s="116"/>
      <c r="N484" s="117">
        <f>M484-L484</f>
      </c>
      <c r="O484" s="112"/>
      <c r="P484" s="118">
        <f>N484+O484</f>
      </c>
      <c r="Q484" s="94" t="s">
        <v>785</v>
      </c>
      <c r="R484" s="94" t="s">
        <v>63</v>
      </c>
      <c r="S484" s="119">
        <v>46342</v>
      </c>
      <c r="T484" s="119"/>
      <c r="U484" s="120">
        <v>46342</v>
      </c>
      <c r="V484" s="94"/>
      <c r="W484" s="94"/>
      <c r="X484" s="94"/>
      <c r="Y484" s="119">
        <v>46342</v>
      </c>
      <c r="Z484" s="94"/>
      <c r="AA484" s="120"/>
      <c r="AB484" s="120"/>
      <c r="AC484" s="120"/>
      <c r="AD484" s="120"/>
      <c r="AE484" s="120"/>
      <c r="AF484" s="120"/>
      <c r="AG484" s="94"/>
      <c r="AH484" s="120"/>
      <c r="AI484" s="94"/>
      <c r="AJ484" s="94" t="s">
        <v>785</v>
      </c>
      <c r="AK484" s="94" t="s">
        <v>532</v>
      </c>
      <c r="AL484" s="94">
        <v>140</v>
      </c>
      <c r="AM484" s="94" t="str">
        <f>TRIM(AJ484)&amp;TRIM(AL484)&amp;TRIM(AK484)</f>
      </c>
      <c r="AN484" s="116">
        <v>407</v>
      </c>
      <c r="AO484" s="116">
        <v>8172</v>
      </c>
      <c r="AP484" s="116">
        <f>SUMIFS(M:M,AM:AM,AM484)+SUMIFS(O:O,AM:AM,AM484)</f>
      </c>
      <c r="AQ484" s="116">
        <f>SUMIFS(L:L,AM:AM,AM484)</f>
      </c>
      <c r="AR484" s="116">
        <f>AQ484-AP484</f>
      </c>
      <c r="AS484" s="94" t="str">
        <f>IF(AN484&gt;=AQ484,"ok","ck")</f>
      </c>
      <c r="AT484" s="116">
        <f>-P484</f>
      </c>
      <c r="AU484" s="115">
        <f>IF(SUMIFS(AT:AT,AM:AM,AM484)&gt;AO484,(SUMIFS(AT:AT,AM:AM,AM484)-AO484))</f>
      </c>
      <c r="AV484" s="116">
        <v>407</v>
      </c>
      <c r="AW484" s="121">
        <v>0.047</v>
      </c>
      <c r="AX484" s="115">
        <f>AN484-AP484</f>
      </c>
    </row>
    <row r="485" spans="1:50" ht="15" hidden="1" customHeight="1" x14ac:dyDescent="0.3">
      <c r="A485" s="94" t="s">
        <v>268</v>
      </c>
      <c r="B485" s="94"/>
      <c r="C485" s="94"/>
      <c r="D485" s="94"/>
      <c r="E485" s="94"/>
      <c r="F485" s="94"/>
      <c r="G485" s="112">
        <f>AU485</f>
      </c>
      <c r="H485" s="113"/>
      <c r="I485" s="94" t="s">
        <v>390</v>
      </c>
      <c r="J485" s="94" t="s">
        <v>387</v>
      </c>
      <c r="K485" s="114">
        <f>P485/3</f>
      </c>
      <c r="L485" s="115">
        <v>345.41500000000002</v>
      </c>
      <c r="M485" s="116"/>
      <c r="N485" s="117">
        <f>M485-L485</f>
      </c>
      <c r="O485" s="112"/>
      <c r="P485" s="118">
        <f>N485+O485</f>
      </c>
      <c r="Q485" s="94" t="s">
        <v>793</v>
      </c>
      <c r="R485" s="94" t="s">
        <v>63</v>
      </c>
      <c r="S485" s="119">
        <v>46338</v>
      </c>
      <c r="T485" s="119"/>
      <c r="U485" s="120">
        <v>46338</v>
      </c>
      <c r="V485" s="94"/>
      <c r="W485" s="94"/>
      <c r="X485" s="94"/>
      <c r="Y485" s="119">
        <v>46320</v>
      </c>
      <c r="Z485" s="94"/>
      <c r="AA485" s="120"/>
      <c r="AB485" s="120"/>
      <c r="AC485" s="120"/>
      <c r="AD485" s="120"/>
      <c r="AE485" s="120"/>
      <c r="AF485" s="120"/>
      <c r="AG485" s="94"/>
      <c r="AH485" s="120"/>
      <c r="AI485" s="94"/>
      <c r="AJ485" s="94" t="s">
        <v>793</v>
      </c>
      <c r="AK485" s="94" t="s">
        <v>387</v>
      </c>
      <c r="AL485" s="94">
        <v>140</v>
      </c>
      <c r="AM485" s="94" t="str">
        <f>TRIM(AJ485)&amp;TRIM(AL485)&amp;TRIM(AK485)</f>
      </c>
      <c r="AN485" s="116">
        <v>0</v>
      </c>
      <c r="AO485" s="116" t="inlineStr">
        <is>
          <t>#NA</t>
        </is>
      </c>
      <c r="AP485" s="116">
        <f>SUMIFS(M:M,AM:AM,AM485)+SUMIFS(O:O,AM:AM,AM485)</f>
      </c>
      <c r="AQ485" s="116">
        <f>SUMIFS(L:L,AM:AM,AM485)</f>
      </c>
      <c r="AR485" s="116">
        <f>AQ485-AP485</f>
      </c>
      <c r="AS485" s="94" t="str">
        <f>IF(AN485&gt;=AQ485,"ok","ck")</f>
      </c>
      <c r="AT485" s="116">
        <f>-P485</f>
      </c>
      <c r="AU485" s="115">
        <f>IF(SUMIFS(AT:AT,AM:AM,AM485)&gt;AO485,(SUMIFS(AT:AT,AM:AM,AM485)-AO485))</f>
      </c>
      <c r="AV485" s="116">
        <v>0</v>
      </c>
      <c r="AW485" s="121">
        <v>0</v>
      </c>
      <c r="AX485" s="115">
        <f>AN485-AP485</f>
      </c>
    </row>
    <row r="486" spans="1:50" ht="15" hidden="1" customHeight="1" x14ac:dyDescent="0.3">
      <c r="A486" s="94" t="s">
        <v>268</v>
      </c>
      <c r="B486" s="94"/>
      <c r="C486" s="94"/>
      <c r="D486" s="94"/>
      <c r="E486" s="94"/>
      <c r="F486" s="94"/>
      <c r="G486" s="112">
        <f>AU486</f>
      </c>
      <c r="H486" s="113"/>
      <c r="I486" s="94" t="s">
        <v>278</v>
      </c>
      <c r="J486" s="94" t="s">
        <v>270</v>
      </c>
      <c r="K486" s="114">
        <f>P486/3</f>
      </c>
      <c r="L486" s="115">
        <v>5</v>
      </c>
      <c r="M486" s="116"/>
      <c r="N486" s="117">
        <f>M486-L486</f>
      </c>
      <c r="O486" s="112"/>
      <c r="P486" s="118">
        <f>N486+O486</f>
      </c>
      <c r="Q486" s="94" t="s">
        <v>793</v>
      </c>
      <c r="R486" s="94" t="s">
        <v>63</v>
      </c>
      <c r="S486" s="119">
        <v>46336</v>
      </c>
      <c r="T486" s="119"/>
      <c r="U486" s="120">
        <v>46336</v>
      </c>
      <c r="V486" s="94"/>
      <c r="W486" s="94"/>
      <c r="X486" s="94"/>
      <c r="Y486" s="119">
        <v>46320</v>
      </c>
      <c r="Z486" s="94"/>
      <c r="AA486" s="120"/>
      <c r="AB486" s="120"/>
      <c r="AC486" s="120"/>
      <c r="AD486" s="120"/>
      <c r="AE486" s="120"/>
      <c r="AF486" s="120"/>
      <c r="AG486" s="94"/>
      <c r="AH486" s="120"/>
      <c r="AI486" s="94"/>
      <c r="AJ486" s="94" t="s">
        <v>793</v>
      </c>
      <c r="AK486" s="94" t="s">
        <v>272</v>
      </c>
      <c r="AL486" s="94">
        <v>120</v>
      </c>
      <c r="AM486" s="94" t="str">
        <f>TRIM(AJ486)&amp;TRIM(AL486)&amp;TRIM(AK486)</f>
      </c>
      <c r="AN486" s="116">
        <v>0</v>
      </c>
      <c r="AO486" s="116" t="inlineStr">
        <is>
          <t>#NA</t>
        </is>
      </c>
      <c r="AP486" s="116">
        <f>SUMIFS(M:M,AM:AM,AM486)+SUMIFS(O:O,AM:AM,AM486)</f>
      </c>
      <c r="AQ486" s="116">
        <f>SUMIFS(L:L,AM:AM,AM486)</f>
      </c>
      <c r="AR486" s="116">
        <f>AQ486-AP486</f>
      </c>
      <c r="AS486" s="94" t="str">
        <f>IF(AN486&gt;=AQ486,"ok","ck")</f>
      </c>
      <c r="AT486" s="116">
        <f>-P486</f>
      </c>
      <c r="AU486" s="115">
        <f>IF(SUMIFS(AT:AT,AM:AM,AM486)&gt;AO486,(SUMIFS(AT:AT,AM:AM,AM486)-AO486))</f>
      </c>
      <c r="AV486" s="116">
        <v>0</v>
      </c>
      <c r="AW486" s="121">
        <v>0</v>
      </c>
      <c r="AX486" s="115">
        <f>AN486-AP486</f>
      </c>
    </row>
    <row r="487" spans="1:50" ht="15" hidden="1" customHeight="1" x14ac:dyDescent="0.3">
      <c r="A487" s="94" t="s">
        <v>480</v>
      </c>
      <c r="B487" s="94"/>
      <c r="C487" s="94"/>
      <c r="D487" s="94"/>
      <c r="E487" s="94"/>
      <c r="F487" s="94"/>
      <c r="G487" s="112">
        <f>AU487</f>
      </c>
      <c r="H487" s="113"/>
      <c r="I487" s="94" t="s">
        <v>486</v>
      </c>
      <c r="J487" s="94" t="s">
        <v>515</v>
      </c>
      <c r="K487" s="114">
        <f>P487/3</f>
      </c>
      <c r="L487" s="115">
        <v>1.504</v>
      </c>
      <c r="M487" s="116">
        <f>L487</f>
      </c>
      <c r="N487" s="117">
        <f>M487-L487</f>
      </c>
      <c r="O487" s="112"/>
      <c r="P487" s="118">
        <f>N487+O487</f>
      </c>
      <c r="Q487" s="94" t="s">
        <v>782</v>
      </c>
      <c r="R487" s="94" t="s">
        <v>63</v>
      </c>
      <c r="S487" s="119">
        <v>46332</v>
      </c>
      <c r="T487" s="119"/>
      <c r="U487" s="120">
        <v>46332</v>
      </c>
      <c r="V487" s="94"/>
      <c r="W487" s="94"/>
      <c r="X487" s="94"/>
      <c r="Y487" s="119">
        <v>46338</v>
      </c>
      <c r="Z487" s="94"/>
      <c r="AA487" s="120"/>
      <c r="AB487" s="120"/>
      <c r="AC487" s="120"/>
      <c r="AD487" s="120"/>
      <c r="AE487" s="120"/>
      <c r="AF487" s="120"/>
      <c r="AG487" s="94"/>
      <c r="AH487" s="120"/>
      <c r="AI487" s="94"/>
      <c r="AJ487" s="94" t="s">
        <v>782</v>
      </c>
      <c r="AK487" s="94" t="s">
        <v>71</v>
      </c>
      <c r="AL487" s="94">
        <v>165</v>
      </c>
      <c r="AM487" s="94" t="str">
        <f>TRIM(AJ487)&amp;TRIM(AL487)&amp;TRIM(AK487)</f>
      </c>
      <c r="AN487" s="116">
        <v>70.59</v>
      </c>
      <c r="AO487" s="116">
        <v>-4.59</v>
      </c>
      <c r="AP487" s="116">
        <f>SUMIFS(M:M,AM:AM,AM487)+SUMIFS(O:O,AM:AM,AM487)</f>
      </c>
      <c r="AQ487" s="116">
        <f>SUMIFS(L:L,AM:AM,AM487)</f>
      </c>
      <c r="AR487" s="116">
        <f>AQ487-AP487</f>
      </c>
      <c r="AS487" s="94" t="str">
        <f>IF(AN487&gt;=AQ487,"ok","ck")</f>
      </c>
      <c r="AT487" s="116">
        <f>-P487</f>
      </c>
      <c r="AU487" s="115">
        <f>IF(SUMIFS(AT:AT,AM:AM,AM487)&gt;AO487,(SUMIFS(AT:AT,AM:AM,AM487)-AO487))</f>
      </c>
      <c r="AV487" s="116">
        <v>70.59</v>
      </c>
      <c r="AW487" s="121">
        <v>1.07</v>
      </c>
      <c r="AX487" s="115">
        <f>AN487-AP487</f>
      </c>
    </row>
    <row r="488" spans="1:50" ht="15" hidden="1" customHeight="1" x14ac:dyDescent="0.3">
      <c r="A488" s="94" t="s">
        <v>480</v>
      </c>
      <c r="B488" s="94"/>
      <c r="C488" s="94"/>
      <c r="D488" s="94"/>
      <c r="E488" s="94"/>
      <c r="F488" s="94"/>
      <c r="G488" s="112">
        <f>AU488</f>
      </c>
      <c r="H488" s="113"/>
      <c r="I488" s="94" t="s">
        <v>486</v>
      </c>
      <c r="J488" s="94" t="s">
        <v>515</v>
      </c>
      <c r="K488" s="114">
        <f>P488/3</f>
      </c>
      <c r="L488" s="115">
        <v>0.16800000000000001</v>
      </c>
      <c r="M488" s="116">
        <f>L488</f>
      </c>
      <c r="N488" s="117">
        <f>M488-L488</f>
      </c>
      <c r="O488" s="112"/>
      <c r="P488" s="118">
        <f>N488+O488</f>
      </c>
      <c r="Q488" s="94" t="s">
        <v>782</v>
      </c>
      <c r="R488" s="94" t="s">
        <v>63</v>
      </c>
      <c r="S488" s="119">
        <v>46332</v>
      </c>
      <c r="T488" s="119"/>
      <c r="U488" s="120">
        <v>46332</v>
      </c>
      <c r="V488" s="94"/>
      <c r="W488" s="94"/>
      <c r="X488" s="94"/>
      <c r="Y488" s="119">
        <v>46338</v>
      </c>
      <c r="Z488" s="94"/>
      <c r="AA488" s="120"/>
      <c r="AB488" s="120"/>
      <c r="AC488" s="120"/>
      <c r="AD488" s="120"/>
      <c r="AE488" s="120"/>
      <c r="AF488" s="120"/>
      <c r="AG488" s="94"/>
      <c r="AH488" s="120"/>
      <c r="AI488" s="94"/>
      <c r="AJ488" s="94" t="s">
        <v>782</v>
      </c>
      <c r="AK488" s="94" t="s">
        <v>71</v>
      </c>
      <c r="AL488" s="94">
        <v>165</v>
      </c>
      <c r="AM488" s="94" t="str">
        <f>TRIM(AJ488)&amp;TRIM(AL488)&amp;TRIM(AK488)</f>
      </c>
      <c r="AN488" s="116">
        <v>70.59</v>
      </c>
      <c r="AO488" s="116">
        <v>-4.59</v>
      </c>
      <c r="AP488" s="116">
        <f>SUMIFS(M:M,AM:AM,AM488)+SUMIFS(O:O,AM:AM,AM488)</f>
      </c>
      <c r="AQ488" s="116">
        <f>SUMIFS(L:L,AM:AM,AM488)</f>
      </c>
      <c r="AR488" s="116">
        <f>AQ488-AP488</f>
      </c>
      <c r="AS488" s="94" t="str">
        <f>IF(AN488&gt;=AQ488,"ok","ck")</f>
      </c>
      <c r="AT488" s="116">
        <f>-P488</f>
      </c>
      <c r="AU488" s="115">
        <f>IF(SUMIFS(AT:AT,AM:AM,AM488)&gt;AO488,(SUMIFS(AT:AT,AM:AM,AM488)-AO488))</f>
      </c>
      <c r="AV488" s="116">
        <v>70.59</v>
      </c>
      <c r="AW488" s="121">
        <v>1.07</v>
      </c>
      <c r="AX488" s="115">
        <f>AN488-AP488</f>
      </c>
    </row>
    <row r="489" spans="1:50" ht="15" hidden="1" customHeight="1" x14ac:dyDescent="0.3">
      <c r="A489" s="94" t="s">
        <v>480</v>
      </c>
      <c r="B489" s="94"/>
      <c r="C489" s="94"/>
      <c r="D489" s="94"/>
      <c r="E489" s="94"/>
      <c r="F489" s="94"/>
      <c r="G489" s="112">
        <f>AU489</f>
      </c>
      <c r="H489" s="113"/>
      <c r="I489" s="94" t="s">
        <v>486</v>
      </c>
      <c r="J489" s="94" t="s">
        <v>515</v>
      </c>
      <c r="K489" s="114">
        <f>P489/3</f>
      </c>
      <c r="L489" s="115">
        <v>4.633</v>
      </c>
      <c r="M489" s="116">
        <f>L489</f>
      </c>
      <c r="N489" s="117">
        <f>M489-L489</f>
      </c>
      <c r="O489" s="112"/>
      <c r="P489" s="118">
        <f>N489+O489</f>
      </c>
      <c r="Q489" s="94" t="s">
        <v>782</v>
      </c>
      <c r="R489" s="94" t="s">
        <v>63</v>
      </c>
      <c r="S489" s="119">
        <v>46332</v>
      </c>
      <c r="T489" s="119"/>
      <c r="U489" s="120">
        <v>46332</v>
      </c>
      <c r="V489" s="94"/>
      <c r="W489" s="94"/>
      <c r="X489" s="94"/>
      <c r="Y489" s="119">
        <v>46338</v>
      </c>
      <c r="Z489" s="94"/>
      <c r="AA489" s="120"/>
      <c r="AB489" s="120"/>
      <c r="AC489" s="120"/>
      <c r="AD489" s="120"/>
      <c r="AE489" s="120"/>
      <c r="AF489" s="120"/>
      <c r="AG489" s="94"/>
      <c r="AH489" s="120"/>
      <c r="AI489" s="94"/>
      <c r="AJ489" s="94" t="s">
        <v>782</v>
      </c>
      <c r="AK489" s="94" t="s">
        <v>71</v>
      </c>
      <c r="AL489" s="94">
        <v>165</v>
      </c>
      <c r="AM489" s="94" t="str">
        <f>TRIM(AJ489)&amp;TRIM(AL489)&amp;TRIM(AK489)</f>
      </c>
      <c r="AN489" s="116">
        <v>70.59</v>
      </c>
      <c r="AO489" s="116">
        <v>-4.59</v>
      </c>
      <c r="AP489" s="116">
        <f>SUMIFS(M:M,AM:AM,AM489)+SUMIFS(O:O,AM:AM,AM489)</f>
      </c>
      <c r="AQ489" s="116">
        <f>SUMIFS(L:L,AM:AM,AM489)</f>
      </c>
      <c r="AR489" s="116">
        <f>AQ489-AP489</f>
      </c>
      <c r="AS489" s="94" t="str">
        <f>IF(AN489&gt;=AQ489,"ok","ck")</f>
      </c>
      <c r="AT489" s="116">
        <f>-P489</f>
      </c>
      <c r="AU489" s="115">
        <f>IF(SUMIFS(AT:AT,AM:AM,AM489)&gt;AO489,(SUMIFS(AT:AT,AM:AM,AM489)-AO489))</f>
      </c>
      <c r="AV489" s="116">
        <v>70.59</v>
      </c>
      <c r="AW489" s="121">
        <v>1.07</v>
      </c>
      <c r="AX489" s="115">
        <f>AN489-AP489</f>
      </c>
    </row>
    <row r="490" spans="1:50" ht="15" hidden="1" customHeight="1" x14ac:dyDescent="0.3">
      <c r="A490" s="94" t="s">
        <v>350</v>
      </c>
      <c r="B490" s="94"/>
      <c r="C490" s="94"/>
      <c r="D490" s="94"/>
      <c r="E490" s="94"/>
      <c r="F490" s="94"/>
      <c r="G490" s="112">
        <f>AU490</f>
      </c>
      <c r="H490" s="113"/>
      <c r="I490" s="94" t="s">
        <v>264</v>
      </c>
      <c r="J490" s="94" t="s">
        <v>281</v>
      </c>
      <c r="K490" s="114">
        <f>P490/3</f>
      </c>
      <c r="L490" s="115">
        <v>0</v>
      </c>
      <c r="M490" s="116">
        <f>L490</f>
      </c>
      <c r="N490" s="117">
        <f>M490-L490</f>
      </c>
      <c r="O490" s="112"/>
      <c r="P490" s="118">
        <f>N490+O490</f>
      </c>
      <c r="Q490" s="94" t="s">
        <v>802</v>
      </c>
      <c r="R490" s="94" t="s">
        <v>63</v>
      </c>
      <c r="S490" s="119">
        <v>46320</v>
      </c>
      <c r="T490" s="119"/>
      <c r="U490" s="120">
        <v>46320</v>
      </c>
      <c r="V490" s="94"/>
      <c r="W490" s="94"/>
      <c r="X490" s="94"/>
      <c r="Y490" s="119">
        <v>46320</v>
      </c>
      <c r="Z490" s="94"/>
      <c r="AA490" s="120"/>
      <c r="AB490" s="120"/>
      <c r="AC490" s="120"/>
      <c r="AD490" s="120"/>
      <c r="AE490" s="120"/>
      <c r="AF490" s="120"/>
      <c r="AG490" s="94"/>
      <c r="AH490" s="120"/>
      <c r="AI490" s="94"/>
      <c r="AJ490" s="94" t="s">
        <v>802</v>
      </c>
      <c r="AK490" s="94" t="s">
        <v>281</v>
      </c>
      <c r="AL490" s="94">
        <v>120</v>
      </c>
      <c r="AM490" s="94" t="str">
        <f>TRIM(AJ490)&amp;TRIM(AL490)&amp;TRIM(AK490)</f>
      </c>
      <c r="AN490" s="116">
        <v>152</v>
      </c>
      <c r="AO490" s="116">
        <v>-3</v>
      </c>
      <c r="AP490" s="116">
        <f>SUMIFS(M:M,AM:AM,AM490)+SUMIFS(O:O,AM:AM,AM490)</f>
      </c>
      <c r="AQ490" s="116">
        <f>SUMIFS(L:L,AM:AM,AM490)</f>
      </c>
      <c r="AR490" s="116">
        <f>AQ490-AP490</f>
      </c>
      <c r="AS490" s="94" t="str">
        <f>IF(AN490&gt;=AQ490,"ok","ck")</f>
      </c>
      <c r="AT490" s="116">
        <f>-P490</f>
      </c>
      <c r="AU490" s="115">
        <f>IF(SUMIFS(AT:AT,AM:AM,AM490)&gt;AO490,(SUMIFS(AT:AT,AM:AM,AM490)-AO490))</f>
      </c>
      <c r="AV490" s="116">
        <v>152</v>
      </c>
      <c r="AW490" s="121">
        <v>1.02</v>
      </c>
      <c r="AX490" s="115">
        <f>AN490-AP490</f>
      </c>
    </row>
    <row r="491" spans="1:50" ht="15" hidden="1" customHeight="1" x14ac:dyDescent="0.3">
      <c r="A491" s="94" t="s">
        <v>268</v>
      </c>
      <c r="B491" s="94"/>
      <c r="C491" s="94"/>
      <c r="D491" s="94"/>
      <c r="E491" s="94"/>
      <c r="F491" s="94"/>
      <c r="G491" s="112">
        <f>AU491</f>
      </c>
      <c r="H491" s="113"/>
      <c r="I491" s="94" t="s">
        <v>390</v>
      </c>
      <c r="J491" s="94" t="s">
        <v>324</v>
      </c>
      <c r="K491" s="114">
        <f>P491/3</f>
      </c>
      <c r="L491" s="115">
        <v>222.04</v>
      </c>
      <c r="M491" s="116"/>
      <c r="N491" s="117">
        <f>M491-L491</f>
      </c>
      <c r="O491" s="112"/>
      <c r="P491" s="118">
        <f>N491+O491</f>
      </c>
      <c r="Q491" s="94" t="s">
        <v>778</v>
      </c>
      <c r="R491" s="94" t="s">
        <v>63</v>
      </c>
      <c r="S491" s="119">
        <v>46334</v>
      </c>
      <c r="T491" s="119"/>
      <c r="U491" s="120">
        <v>46334</v>
      </c>
      <c r="V491" s="94"/>
      <c r="W491" s="94"/>
      <c r="X491" s="94"/>
      <c r="Y491" s="119">
        <v>46334</v>
      </c>
      <c r="Z491" s="94"/>
      <c r="AA491" s="120"/>
      <c r="AB491" s="120"/>
      <c r="AC491" s="120"/>
      <c r="AD491" s="120"/>
      <c r="AE491" s="120"/>
      <c r="AF491" s="120"/>
      <c r="AG491" s="94"/>
      <c r="AH491" s="120"/>
      <c r="AI491" s="94"/>
      <c r="AJ491" s="94" t="s">
        <v>778</v>
      </c>
      <c r="AK491" s="94" t="s">
        <v>324</v>
      </c>
      <c r="AL491" s="94">
        <v>140</v>
      </c>
      <c r="AM491" s="94" t="str">
        <f>TRIM(AJ491)&amp;TRIM(AL491)&amp;TRIM(AK491)</f>
      </c>
      <c r="AN491" s="116">
        <v>0</v>
      </c>
      <c r="AO491" s="116" t="inlineStr">
        <is>
          <t>#NA</t>
        </is>
      </c>
      <c r="AP491" s="116">
        <f>SUMIFS(M:M,AM:AM,AM491)+SUMIFS(O:O,AM:AM,AM491)</f>
      </c>
      <c r="AQ491" s="116">
        <f>SUMIFS(L:L,AM:AM,AM491)</f>
      </c>
      <c r="AR491" s="116">
        <f>AQ491-AP491</f>
      </c>
      <c r="AS491" s="94" t="str">
        <f>IF(AN491&gt;=AQ491,"ok","ck")</f>
      </c>
      <c r="AT491" s="116">
        <f>-P491</f>
      </c>
      <c r="AU491" s="115">
        <f>IF(SUMIFS(AT:AT,AM:AM,AM491)&gt;AO491,(SUMIFS(AT:AT,AM:AM,AM491)-AO491))</f>
      </c>
      <c r="AV491" s="116">
        <v>0</v>
      </c>
      <c r="AW491" s="121">
        <v>0</v>
      </c>
      <c r="AX491" s="115">
        <f>AN491-AP491</f>
      </c>
    </row>
    <row r="492" spans="1:50" ht="15" hidden="1" customHeight="1" x14ac:dyDescent="0.3">
      <c r="A492" s="94" t="s">
        <v>268</v>
      </c>
      <c r="B492" s="94"/>
      <c r="C492" s="94"/>
      <c r="D492" s="94"/>
      <c r="E492" s="94"/>
      <c r="F492" s="94"/>
      <c r="G492" s="112">
        <f>AU492</f>
      </c>
      <c r="H492" s="113"/>
      <c r="I492" s="94" t="s">
        <v>390</v>
      </c>
      <c r="J492" s="94" t="s">
        <v>324</v>
      </c>
      <c r="K492" s="114">
        <f>P492/3</f>
      </c>
      <c r="L492" s="115">
        <v>17.079999999999998</v>
      </c>
      <c r="M492" s="116"/>
      <c r="N492" s="117">
        <f>M492-L492</f>
      </c>
      <c r="O492" s="112"/>
      <c r="P492" s="118">
        <f>N492+O492</f>
      </c>
      <c r="Q492" s="94" t="s">
        <v>778</v>
      </c>
      <c r="R492" s="94" t="s">
        <v>63</v>
      </c>
      <c r="S492" s="119">
        <v>46334</v>
      </c>
      <c r="T492" s="119"/>
      <c r="U492" s="120">
        <v>46334</v>
      </c>
      <c r="V492" s="94"/>
      <c r="W492" s="94"/>
      <c r="X492" s="94"/>
      <c r="Y492" s="119">
        <v>46337</v>
      </c>
      <c r="Z492" s="94"/>
      <c r="AA492" s="120"/>
      <c r="AB492" s="120"/>
      <c r="AC492" s="120"/>
      <c r="AD492" s="120"/>
      <c r="AE492" s="120"/>
      <c r="AF492" s="120"/>
      <c r="AG492" s="94"/>
      <c r="AH492" s="120"/>
      <c r="AI492" s="94"/>
      <c r="AJ492" s="94" t="s">
        <v>778</v>
      </c>
      <c r="AK492" s="94" t="s">
        <v>324</v>
      </c>
      <c r="AL492" s="94">
        <v>140</v>
      </c>
      <c r="AM492" s="94" t="str">
        <f>TRIM(AJ492)&amp;TRIM(AL492)&amp;TRIM(AK492)</f>
      </c>
      <c r="AN492" s="116">
        <v>0</v>
      </c>
      <c r="AO492" s="116" t="inlineStr">
        <is>
          <t>#NA</t>
        </is>
      </c>
      <c r="AP492" s="116">
        <f>SUMIFS(M:M,AM:AM,AM492)+SUMIFS(O:O,AM:AM,AM492)</f>
      </c>
      <c r="AQ492" s="116">
        <f>SUMIFS(L:L,AM:AM,AM492)</f>
      </c>
      <c r="AR492" s="116">
        <f>AQ492-AP492</f>
      </c>
      <c r="AS492" s="94" t="str">
        <f>IF(AN492&gt;=AQ492,"ok","ck")</f>
      </c>
      <c r="AT492" s="116">
        <f>-P492</f>
      </c>
      <c r="AU492" s="115">
        <f>IF(SUMIFS(AT:AT,AM:AM,AM492)&gt;AO492,(SUMIFS(AT:AT,AM:AM,AM492)-AO492))</f>
      </c>
      <c r="AV492" s="116">
        <v>0</v>
      </c>
      <c r="AW492" s="121">
        <v>0</v>
      </c>
      <c r="AX492" s="115">
        <f>AN492-AP492</f>
      </c>
    </row>
    <row r="493" spans="1:50" ht="15" hidden="1" customHeight="1" x14ac:dyDescent="0.3">
      <c r="A493" s="94" t="s">
        <v>268</v>
      </c>
      <c r="B493" s="94"/>
      <c r="C493" s="94"/>
      <c r="D493" s="94"/>
      <c r="E493" s="94"/>
      <c r="F493" s="94"/>
      <c r="G493" s="112">
        <f>AU493</f>
      </c>
      <c r="H493" s="113"/>
      <c r="I493" s="94" t="s">
        <v>390</v>
      </c>
      <c r="J493" s="94" t="s">
        <v>324</v>
      </c>
      <c r="K493" s="114">
        <f>P493/3</f>
      </c>
      <c r="L493" s="115">
        <v>97.92</v>
      </c>
      <c r="M493" s="116"/>
      <c r="N493" s="117">
        <f>M493-L493</f>
      </c>
      <c r="O493" s="112"/>
      <c r="P493" s="118">
        <f>N493+O493</f>
      </c>
      <c r="Q493" s="94" t="s">
        <v>778</v>
      </c>
      <c r="R493" s="94" t="s">
        <v>63</v>
      </c>
      <c r="S493" s="119">
        <v>46334</v>
      </c>
      <c r="T493" s="119"/>
      <c r="U493" s="120">
        <v>46334</v>
      </c>
      <c r="V493" s="94"/>
      <c r="W493" s="94"/>
      <c r="X493" s="94"/>
      <c r="Y493" s="119">
        <v>46335</v>
      </c>
      <c r="Z493" s="94"/>
      <c r="AA493" s="120"/>
      <c r="AB493" s="120"/>
      <c r="AC493" s="120"/>
      <c r="AD493" s="120"/>
      <c r="AE493" s="120"/>
      <c r="AF493" s="120"/>
      <c r="AG493" s="94"/>
      <c r="AH493" s="120"/>
      <c r="AI493" s="94"/>
      <c r="AJ493" s="94" t="s">
        <v>778</v>
      </c>
      <c r="AK493" s="94" t="s">
        <v>324</v>
      </c>
      <c r="AL493" s="94">
        <v>140</v>
      </c>
      <c r="AM493" s="94" t="str">
        <f>TRIM(AJ493)&amp;TRIM(AL493)&amp;TRIM(AK493)</f>
      </c>
      <c r="AN493" s="116">
        <v>0</v>
      </c>
      <c r="AO493" s="116" t="inlineStr">
        <is>
          <t>#NA</t>
        </is>
      </c>
      <c r="AP493" s="116">
        <f>SUMIFS(M:M,AM:AM,AM493)+SUMIFS(O:O,AM:AM,AM493)</f>
      </c>
      <c r="AQ493" s="116">
        <f>SUMIFS(L:L,AM:AM,AM493)</f>
      </c>
      <c r="AR493" s="116">
        <f>AQ493-AP493</f>
      </c>
      <c r="AS493" s="94" t="str">
        <f>IF(AN493&gt;=AQ493,"ok","ck")</f>
      </c>
      <c r="AT493" s="116">
        <f>-P493</f>
      </c>
      <c r="AU493" s="115">
        <f>IF(SUMIFS(AT:AT,AM:AM,AM493)&gt;AO493,(SUMIFS(AT:AT,AM:AM,AM493)-AO493))</f>
      </c>
      <c r="AV493" s="116">
        <v>0</v>
      </c>
      <c r="AW493" s="121">
        <v>0</v>
      </c>
      <c r="AX493" s="115">
        <f>AN493-AP493</f>
      </c>
    </row>
    <row r="494" spans="1:50" ht="15" hidden="1" customHeight="1" x14ac:dyDescent="0.3">
      <c r="A494" s="94" t="s">
        <v>268</v>
      </c>
      <c r="B494" s="94"/>
      <c r="C494" s="94"/>
      <c r="D494" s="94"/>
      <c r="E494" s="94"/>
      <c r="F494" s="94"/>
      <c r="G494" s="112">
        <f>AU494</f>
      </c>
      <c r="H494" s="113"/>
      <c r="I494" s="94" t="s">
        <v>390</v>
      </c>
      <c r="J494" s="94" t="s">
        <v>324</v>
      </c>
      <c r="K494" s="114">
        <f>P494/3</f>
      </c>
      <c r="L494" s="115">
        <v>36.658999999999999</v>
      </c>
      <c r="M494" s="116"/>
      <c r="N494" s="117">
        <f>M494-L494</f>
      </c>
      <c r="O494" s="112"/>
      <c r="P494" s="118">
        <f>N494+O494</f>
      </c>
      <c r="Q494" s="94" t="s">
        <v>778</v>
      </c>
      <c r="R494" s="94" t="s">
        <v>63</v>
      </c>
      <c r="S494" s="119">
        <v>46334</v>
      </c>
      <c r="T494" s="119"/>
      <c r="U494" s="120">
        <v>46334</v>
      </c>
      <c r="V494" s="94"/>
      <c r="W494" s="94"/>
      <c r="X494" s="94"/>
      <c r="Y494" s="119">
        <v>46337</v>
      </c>
      <c r="Z494" s="94"/>
      <c r="AA494" s="120"/>
      <c r="AB494" s="120"/>
      <c r="AC494" s="120"/>
      <c r="AD494" s="120"/>
      <c r="AE494" s="120"/>
      <c r="AF494" s="120"/>
      <c r="AG494" s="94"/>
      <c r="AH494" s="120"/>
      <c r="AI494" s="94"/>
      <c r="AJ494" s="94" t="s">
        <v>778</v>
      </c>
      <c r="AK494" s="94" t="s">
        <v>324</v>
      </c>
      <c r="AL494" s="94">
        <v>140</v>
      </c>
      <c r="AM494" s="94" t="str">
        <f>TRIM(AJ494)&amp;TRIM(AL494)&amp;TRIM(AK494)</f>
      </c>
      <c r="AN494" s="116">
        <v>0</v>
      </c>
      <c r="AO494" s="116" t="inlineStr">
        <is>
          <t>#NA</t>
        </is>
      </c>
      <c r="AP494" s="116">
        <f>SUMIFS(M:M,AM:AM,AM494)+SUMIFS(O:O,AM:AM,AM494)</f>
      </c>
      <c r="AQ494" s="116">
        <f>SUMIFS(L:L,AM:AM,AM494)</f>
      </c>
      <c r="AR494" s="116">
        <f>AQ494-AP494</f>
      </c>
      <c r="AS494" s="94" t="str">
        <f>IF(AN494&gt;=AQ494,"ok","ck")</f>
      </c>
      <c r="AT494" s="116">
        <f>-P494</f>
      </c>
      <c r="AU494" s="115">
        <f>IF(SUMIFS(AT:AT,AM:AM,AM494)&gt;AO494,(SUMIFS(AT:AT,AM:AM,AM494)-AO494))</f>
      </c>
      <c r="AV494" s="116">
        <v>0</v>
      </c>
      <c r="AW494" s="121">
        <v>0</v>
      </c>
      <c r="AX494" s="115">
        <f>AN494-AP494</f>
      </c>
    </row>
    <row r="495" spans="1:50" ht="15" hidden="1" customHeight="1" x14ac:dyDescent="0.3">
      <c r="A495" s="94" t="s">
        <v>268</v>
      </c>
      <c r="B495" s="94"/>
      <c r="C495" s="94"/>
      <c r="D495" s="94"/>
      <c r="E495" s="94"/>
      <c r="F495" s="94"/>
      <c r="G495" s="112">
        <f>AU495</f>
      </c>
      <c r="H495" s="113"/>
      <c r="I495" s="94" t="s">
        <v>390</v>
      </c>
      <c r="J495" s="94" t="s">
        <v>324</v>
      </c>
      <c r="K495" s="114">
        <f>P495/3</f>
      </c>
      <c r="L495" s="115">
        <v>0.73499999999999999</v>
      </c>
      <c r="M495" s="116"/>
      <c r="N495" s="117">
        <f>M495-L495</f>
      </c>
      <c r="O495" s="112"/>
      <c r="P495" s="118">
        <f>N495+O495</f>
      </c>
      <c r="Q495" s="94" t="s">
        <v>778</v>
      </c>
      <c r="R495" s="94" t="s">
        <v>63</v>
      </c>
      <c r="S495" s="119">
        <v>46334</v>
      </c>
      <c r="T495" s="119"/>
      <c r="U495" s="120">
        <v>46334</v>
      </c>
      <c r="V495" s="94"/>
      <c r="W495" s="94"/>
      <c r="X495" s="94"/>
      <c r="Y495" s="119">
        <v>46337</v>
      </c>
      <c r="Z495" s="94"/>
      <c r="AA495" s="120"/>
      <c r="AB495" s="120"/>
      <c r="AC495" s="120"/>
      <c r="AD495" s="120"/>
      <c r="AE495" s="120"/>
      <c r="AF495" s="120"/>
      <c r="AG495" s="94"/>
      <c r="AH495" s="120"/>
      <c r="AI495" s="94"/>
      <c r="AJ495" s="94" t="s">
        <v>778</v>
      </c>
      <c r="AK495" s="94" t="s">
        <v>324</v>
      </c>
      <c r="AL495" s="94">
        <v>140</v>
      </c>
      <c r="AM495" s="94" t="str">
        <f>TRIM(AJ495)&amp;TRIM(AL495)&amp;TRIM(AK495)</f>
      </c>
      <c r="AN495" s="116">
        <v>0</v>
      </c>
      <c r="AO495" s="116" t="inlineStr">
        <is>
          <t>#NA</t>
        </is>
      </c>
      <c r="AP495" s="116">
        <f>SUMIFS(M:M,AM:AM,AM495)+SUMIFS(O:O,AM:AM,AM495)</f>
      </c>
      <c r="AQ495" s="116">
        <f>SUMIFS(L:L,AM:AM,AM495)</f>
      </c>
      <c r="AR495" s="116">
        <f>AQ495-AP495</f>
      </c>
      <c r="AS495" s="94" t="str">
        <f>IF(AN495&gt;=AQ495,"ok","ck")</f>
      </c>
      <c r="AT495" s="116">
        <f>-P495</f>
      </c>
      <c r="AU495" s="115">
        <f>IF(SUMIFS(AT:AT,AM:AM,AM495)&gt;AO495,(SUMIFS(AT:AT,AM:AM,AM495)-AO495))</f>
      </c>
      <c r="AV495" s="116">
        <v>0</v>
      </c>
      <c r="AW495" s="121">
        <v>0</v>
      </c>
      <c r="AX495" s="115">
        <f>AN495-AP495</f>
      </c>
    </row>
    <row r="496" spans="1:50" ht="15" hidden="1" customHeight="1" x14ac:dyDescent="0.3">
      <c r="A496" s="94" t="s">
        <v>268</v>
      </c>
      <c r="B496" s="94"/>
      <c r="C496" s="94"/>
      <c r="D496" s="94"/>
      <c r="E496" s="94"/>
      <c r="F496" s="94"/>
      <c r="G496" s="112">
        <f>AU496</f>
      </c>
      <c r="H496" s="113"/>
      <c r="I496" s="94" t="s">
        <v>390</v>
      </c>
      <c r="J496" s="94" t="s">
        <v>324</v>
      </c>
      <c r="K496" s="114">
        <f>P496/3</f>
      </c>
      <c r="L496" s="115">
        <v>128.26</v>
      </c>
      <c r="M496" s="116"/>
      <c r="N496" s="117">
        <f>M496-L496</f>
      </c>
      <c r="O496" s="112"/>
      <c r="P496" s="118">
        <f>N496+O496</f>
      </c>
      <c r="Q496" s="94" t="s">
        <v>778</v>
      </c>
      <c r="R496" s="94" t="s">
        <v>63</v>
      </c>
      <c r="S496" s="119">
        <v>46335</v>
      </c>
      <c r="T496" s="119"/>
      <c r="U496" s="120">
        <v>46335</v>
      </c>
      <c r="V496" s="94"/>
      <c r="W496" s="94"/>
      <c r="X496" s="94"/>
      <c r="Y496" s="119">
        <v>46326</v>
      </c>
      <c r="Z496" s="94"/>
      <c r="AA496" s="120"/>
      <c r="AB496" s="120"/>
      <c r="AC496" s="120"/>
      <c r="AD496" s="120"/>
      <c r="AE496" s="120"/>
      <c r="AF496" s="120"/>
      <c r="AG496" s="94"/>
      <c r="AH496" s="120"/>
      <c r="AI496" s="94"/>
      <c r="AJ496" s="94" t="s">
        <v>778</v>
      </c>
      <c r="AK496" s="94" t="s">
        <v>324</v>
      </c>
      <c r="AL496" s="94">
        <v>140</v>
      </c>
      <c r="AM496" s="94" t="str">
        <f>TRIM(AJ496)&amp;TRIM(AL496)&amp;TRIM(AK496)</f>
      </c>
      <c r="AN496" s="116">
        <v>0</v>
      </c>
      <c r="AO496" s="116" t="inlineStr">
        <is>
          <t>#NA</t>
        </is>
      </c>
      <c r="AP496" s="116">
        <f>SUMIFS(M:M,AM:AM,AM496)+SUMIFS(O:O,AM:AM,AM496)</f>
      </c>
      <c r="AQ496" s="116">
        <f>SUMIFS(L:L,AM:AM,AM496)</f>
      </c>
      <c r="AR496" s="116">
        <f>AQ496-AP496</f>
      </c>
      <c r="AS496" s="94" t="str">
        <f>IF(AN496&gt;=AQ496,"ok","ck")</f>
      </c>
      <c r="AT496" s="116">
        <f>-P496</f>
      </c>
      <c r="AU496" s="115">
        <f>IF(SUMIFS(AT:AT,AM:AM,AM496)&gt;AO496,(SUMIFS(AT:AT,AM:AM,AM496)-AO496))</f>
      </c>
      <c r="AV496" s="116">
        <v>0</v>
      </c>
      <c r="AW496" s="121">
        <v>0</v>
      </c>
      <c r="AX496" s="115">
        <f>AN496-AP496</f>
      </c>
    </row>
    <row r="497" spans="1:50" ht="15" hidden="1" customHeight="1" x14ac:dyDescent="0.3">
      <c r="A497" s="94" t="s">
        <v>268</v>
      </c>
      <c r="B497" s="94"/>
      <c r="C497" s="94"/>
      <c r="D497" s="94"/>
      <c r="E497" s="94"/>
      <c r="F497" s="94"/>
      <c r="G497" s="112">
        <f>AU497</f>
      </c>
      <c r="H497" s="113"/>
      <c r="I497" s="94" t="s">
        <v>390</v>
      </c>
      <c r="J497" s="94" t="s">
        <v>324</v>
      </c>
      <c r="K497" s="114">
        <f>P497/3</f>
      </c>
      <c r="L497" s="115">
        <v>33.814</v>
      </c>
      <c r="M497" s="116"/>
      <c r="N497" s="117">
        <f>M497-L497</f>
      </c>
      <c r="O497" s="112"/>
      <c r="P497" s="118">
        <f>N497+O497</f>
      </c>
      <c r="Q497" s="94" t="s">
        <v>778</v>
      </c>
      <c r="R497" s="94" t="s">
        <v>63</v>
      </c>
      <c r="S497" s="119">
        <v>46335</v>
      </c>
      <c r="T497" s="119"/>
      <c r="U497" s="120">
        <v>46335</v>
      </c>
      <c r="V497" s="94"/>
      <c r="W497" s="94"/>
      <c r="X497" s="94"/>
      <c r="Y497" s="119">
        <v>46329</v>
      </c>
      <c r="Z497" s="94"/>
      <c r="AA497" s="120"/>
      <c r="AB497" s="120"/>
      <c r="AC497" s="120"/>
      <c r="AD497" s="120"/>
      <c r="AE497" s="120"/>
      <c r="AF497" s="120"/>
      <c r="AG497" s="94"/>
      <c r="AH497" s="120"/>
      <c r="AI497" s="94"/>
      <c r="AJ497" s="94" t="s">
        <v>778</v>
      </c>
      <c r="AK497" s="94" t="s">
        <v>324</v>
      </c>
      <c r="AL497" s="94">
        <v>140</v>
      </c>
      <c r="AM497" s="94" t="str">
        <f>TRIM(AJ497)&amp;TRIM(AL497)&amp;TRIM(AK497)</f>
      </c>
      <c r="AN497" s="116">
        <v>0</v>
      </c>
      <c r="AO497" s="116" t="inlineStr">
        <is>
          <t>#NA</t>
        </is>
      </c>
      <c r="AP497" s="116">
        <f>SUMIFS(M:M,AM:AM,AM497)+SUMIFS(O:O,AM:AM,AM497)</f>
      </c>
      <c r="AQ497" s="116">
        <f>SUMIFS(L:L,AM:AM,AM497)</f>
      </c>
      <c r="AR497" s="116">
        <f>AQ497-AP497</f>
      </c>
      <c r="AS497" s="94" t="str">
        <f>IF(AN497&gt;=AQ497,"ok","ck")</f>
      </c>
      <c r="AT497" s="116">
        <f>-P497</f>
      </c>
      <c r="AU497" s="115">
        <f>IF(SUMIFS(AT:AT,AM:AM,AM497)&gt;AO497,(SUMIFS(AT:AT,AM:AM,AM497)-AO497))</f>
      </c>
      <c r="AV497" s="116">
        <v>0</v>
      </c>
      <c r="AW497" s="121">
        <v>0</v>
      </c>
      <c r="AX497" s="115">
        <f>AN497-AP497</f>
      </c>
    </row>
    <row r="498" spans="1:50" ht="15" hidden="1" customHeight="1" x14ac:dyDescent="0.3">
      <c r="A498" s="94" t="s">
        <v>268</v>
      </c>
      <c r="B498" s="94"/>
      <c r="C498" s="94"/>
      <c r="D498" s="94"/>
      <c r="E498" s="94"/>
      <c r="F498" s="94"/>
      <c r="G498" s="112">
        <f>AU498</f>
      </c>
      <c r="H498" s="113"/>
      <c r="I498" s="94" t="s">
        <v>278</v>
      </c>
      <c r="J498" s="94" t="s">
        <v>328</v>
      </c>
      <c r="K498" s="114">
        <f>P498/3</f>
      </c>
      <c r="L498" s="115">
        <v>0</v>
      </c>
      <c r="M498" s="116"/>
      <c r="N498" s="117">
        <f>M498-L498</f>
      </c>
      <c r="O498" s="112"/>
      <c r="P498" s="118">
        <f>N498+O498</f>
      </c>
      <c r="Q498" s="94" t="s">
        <v>343</v>
      </c>
      <c r="R498" s="94" t="s">
        <v>63</v>
      </c>
      <c r="S498" s="119">
        <v>46323</v>
      </c>
      <c r="T498" s="119"/>
      <c r="U498" s="120">
        <v>46323</v>
      </c>
      <c r="V498" s="94"/>
      <c r="W498" s="94"/>
      <c r="X498" s="94"/>
      <c r="Y498" s="119">
        <v>46323</v>
      </c>
      <c r="Z498" s="94"/>
      <c r="AA498" s="120"/>
      <c r="AB498" s="120"/>
      <c r="AC498" s="120"/>
      <c r="AD498" s="120"/>
      <c r="AE498" s="120"/>
      <c r="AF498" s="120"/>
      <c r="AG498" s="94"/>
      <c r="AH498" s="120"/>
      <c r="AI498" s="94"/>
      <c r="AJ498" s="94" t="s">
        <v>343</v>
      </c>
      <c r="AK498" s="94" t="s">
        <v>329</v>
      </c>
      <c r="AL498" s="94">
        <v>120</v>
      </c>
      <c r="AM498" s="94" t="str">
        <f>TRIM(AJ498)&amp;TRIM(AL498)&amp;TRIM(AK498)</f>
      </c>
      <c r="AN498" s="116">
        <v>0</v>
      </c>
      <c r="AO498" s="116" t="inlineStr">
        <is>
          <t>#NA</t>
        </is>
      </c>
      <c r="AP498" s="116">
        <f>SUMIFS(M:M,AM:AM,AM498)+SUMIFS(O:O,AM:AM,AM498)</f>
      </c>
      <c r="AQ498" s="116">
        <f>SUMIFS(L:L,AM:AM,AM498)</f>
      </c>
      <c r="AR498" s="116">
        <f>AQ498-AP498</f>
      </c>
      <c r="AS498" s="94" t="str">
        <f>IF(AN498&gt;=AQ498,"ok","ck")</f>
      </c>
      <c r="AT498" s="116">
        <f>-P498</f>
      </c>
      <c r="AU498" s="115">
        <f>IF(SUMIFS(AT:AT,AM:AM,AM498)&gt;AO498,(SUMIFS(AT:AT,AM:AM,AM498)-AO498))</f>
      </c>
      <c r="AV498" s="116">
        <v>0</v>
      </c>
      <c r="AW498" s="121">
        <v>0</v>
      </c>
      <c r="AX498" s="115">
        <f>AN498-AP498</f>
      </c>
    </row>
    <row r="499" spans="1:50" ht="15" hidden="1" customHeight="1" x14ac:dyDescent="0.3">
      <c r="A499" s="94" t="s">
        <v>268</v>
      </c>
      <c r="B499" s="94"/>
      <c r="C499" s="94"/>
      <c r="D499" s="94"/>
      <c r="E499" s="94"/>
      <c r="F499" s="94"/>
      <c r="G499" s="112">
        <f>AU499</f>
      </c>
      <c r="H499" s="113"/>
      <c r="I499" s="94" t="s">
        <v>278</v>
      </c>
      <c r="J499" s="94" t="s">
        <v>355</v>
      </c>
      <c r="K499" s="114">
        <f>P499/3</f>
      </c>
      <c r="L499" s="115">
        <v>88</v>
      </c>
      <c r="M499" s="116">
        <f>L499</f>
      </c>
      <c r="N499" s="117">
        <f>M499-L499</f>
      </c>
      <c r="O499" s="112"/>
      <c r="P499" s="118">
        <f>N499+O499</f>
      </c>
      <c r="Q499" s="94" t="s">
        <v>343</v>
      </c>
      <c r="R499" s="94" t="s">
        <v>63</v>
      </c>
      <c r="S499" s="119">
        <v>46320</v>
      </c>
      <c r="T499" s="119"/>
      <c r="U499" s="120">
        <v>46320</v>
      </c>
      <c r="V499" s="94"/>
      <c r="W499" s="94"/>
      <c r="X499" s="94"/>
      <c r="Y499" s="119">
        <v>46320</v>
      </c>
      <c r="Z499" s="94"/>
      <c r="AA499" s="120"/>
      <c r="AB499" s="120"/>
      <c r="AC499" s="120"/>
      <c r="AD499" s="120"/>
      <c r="AE499" s="120"/>
      <c r="AF499" s="120"/>
      <c r="AG499" s="94"/>
      <c r="AH499" s="120"/>
      <c r="AI499" s="94"/>
      <c r="AJ499" s="94" t="s">
        <v>343</v>
      </c>
      <c r="AK499" s="94" t="s">
        <v>356</v>
      </c>
      <c r="AL499" s="94">
        <v>120</v>
      </c>
      <c r="AM499" s="94" t="str">
        <f>TRIM(AJ499)&amp;TRIM(AL499)&amp;TRIM(AK499)</f>
      </c>
      <c r="AN499" s="116">
        <v>96.29</v>
      </c>
      <c r="AO499" s="116">
        <v>-8.29</v>
      </c>
      <c r="AP499" s="116">
        <f>SUMIFS(M:M,AM:AM,AM499)+SUMIFS(O:O,AM:AM,AM499)</f>
      </c>
      <c r="AQ499" s="116">
        <f>SUMIFS(L:L,AM:AM,AM499)</f>
      </c>
      <c r="AR499" s="116">
        <f>AQ499-AP499</f>
      </c>
      <c r="AS499" s="94" t="str">
        <f>IF(AN499&gt;=AQ499,"ok","ck")</f>
      </c>
      <c r="AT499" s="116">
        <f>-P499</f>
      </c>
      <c r="AU499" s="115">
        <f>IF(SUMIFS(AT:AT,AM:AM,AM499)&gt;AO499,(SUMIFS(AT:AT,AM:AM,AM499)-AO499))</f>
      </c>
      <c r="AV499" s="116">
        <v>96.29</v>
      </c>
      <c r="AW499" s="121">
        <v>1.094</v>
      </c>
      <c r="AX499" s="115">
        <f>AN499-AP499</f>
      </c>
    </row>
    <row r="500" spans="1:50" ht="15" hidden="1" customHeight="1" x14ac:dyDescent="0.3">
      <c r="A500" s="94" t="s">
        <v>268</v>
      </c>
      <c r="B500" s="94"/>
      <c r="C500" s="94"/>
      <c r="D500" s="94"/>
      <c r="E500" s="94"/>
      <c r="F500" s="94"/>
      <c r="G500" s="112">
        <f>AU500</f>
      </c>
      <c r="H500" s="113"/>
      <c r="I500" s="94" t="s">
        <v>278</v>
      </c>
      <c r="J500" s="94" t="s">
        <v>333</v>
      </c>
      <c r="K500" s="114">
        <f>P500/3</f>
      </c>
      <c r="L500" s="115">
        <v>-0.36399999999999999</v>
      </c>
      <c r="M500" s="116">
        <f>L500</f>
      </c>
      <c r="N500" s="117">
        <f>M500-L500</f>
      </c>
      <c r="O500" s="112"/>
      <c r="P500" s="118">
        <f>N500+O500</f>
      </c>
      <c r="Q500" s="94" t="s">
        <v>787</v>
      </c>
      <c r="R500" s="94" t="s">
        <v>63</v>
      </c>
      <c r="S500" s="119">
        <v>46320</v>
      </c>
      <c r="T500" s="119"/>
      <c r="U500" s="120">
        <v>46320</v>
      </c>
      <c r="V500" s="94"/>
      <c r="W500" s="94"/>
      <c r="X500" s="94"/>
      <c r="Y500" s="119">
        <v>46320</v>
      </c>
      <c r="Z500" s="94"/>
      <c r="AA500" s="120"/>
      <c r="AB500" s="120"/>
      <c r="AC500" s="120"/>
      <c r="AD500" s="120"/>
      <c r="AE500" s="120"/>
      <c r="AF500" s="120"/>
      <c r="AG500" s="94"/>
      <c r="AH500" s="120"/>
      <c r="AI500" s="94"/>
      <c r="AJ500" s="94" t="s">
        <v>787</v>
      </c>
      <c r="AK500" s="94" t="s">
        <v>334</v>
      </c>
      <c r="AL500" s="94">
        <v>120</v>
      </c>
      <c r="AM500" s="94" t="str">
        <f>TRIM(AJ500)&amp;TRIM(AL500)&amp;TRIM(AK500)</f>
      </c>
      <c r="AN500" s="116">
        <v>387</v>
      </c>
      <c r="AO500" s="116">
        <v>-12</v>
      </c>
      <c r="AP500" s="116">
        <f>SUMIFS(M:M,AM:AM,AM500)+SUMIFS(O:O,AM:AM,AM500)</f>
      </c>
      <c r="AQ500" s="116">
        <f>SUMIFS(L:L,AM:AM,AM500)</f>
      </c>
      <c r="AR500" s="116">
        <f>AQ500-AP500</f>
      </c>
      <c r="AS500" s="94" t="str">
        <f>IF(AN500&gt;=AQ500,"ok","ck")</f>
      </c>
      <c r="AT500" s="116">
        <f>-P500</f>
      </c>
      <c r="AU500" s="115">
        <f>IF(SUMIFS(AT:AT,AM:AM,AM500)&gt;AO500,(SUMIFS(AT:AT,AM:AM,AM500)-AO500))</f>
      </c>
      <c r="AV500" s="116">
        <v>387</v>
      </c>
      <c r="AW500" s="121">
        <v>1.032</v>
      </c>
      <c r="AX500" s="115">
        <f>AN500-AP500</f>
      </c>
    </row>
    <row r="501" spans="1:50" ht="15" hidden="1" customHeight="1" x14ac:dyDescent="0.3">
      <c r="A501" s="94" t="s">
        <v>350</v>
      </c>
      <c r="B501" s="94"/>
      <c r="C501" s="94"/>
      <c r="D501" s="94"/>
      <c r="E501" s="94"/>
      <c r="F501" s="94"/>
      <c r="G501" s="112">
        <f>AU501</f>
      </c>
      <c r="H501" s="113"/>
      <c r="I501" s="94" t="s">
        <v>264</v>
      </c>
      <c r="J501" s="94" t="s">
        <v>281</v>
      </c>
      <c r="K501" s="114">
        <f>P501/3</f>
      </c>
      <c r="L501" s="115">
        <v>0</v>
      </c>
      <c r="M501" s="116">
        <f>L501</f>
      </c>
      <c r="N501" s="117">
        <f>M501-L501</f>
      </c>
      <c r="O501" s="112"/>
      <c r="P501" s="118">
        <f>N501+O501</f>
      </c>
      <c r="Q501" s="94" t="s">
        <v>802</v>
      </c>
      <c r="R501" s="94" t="s">
        <v>63</v>
      </c>
      <c r="S501" s="119">
        <v>46320</v>
      </c>
      <c r="T501" s="119"/>
      <c r="U501" s="120">
        <v>46320</v>
      </c>
      <c r="V501" s="94"/>
      <c r="W501" s="94"/>
      <c r="X501" s="94"/>
      <c r="Y501" s="119">
        <v>46320</v>
      </c>
      <c r="Z501" s="94"/>
      <c r="AA501" s="120"/>
      <c r="AB501" s="120"/>
      <c r="AC501" s="120"/>
      <c r="AD501" s="120"/>
      <c r="AE501" s="120"/>
      <c r="AF501" s="120"/>
      <c r="AG501" s="94"/>
      <c r="AH501" s="120"/>
      <c r="AI501" s="94"/>
      <c r="AJ501" s="94" t="s">
        <v>802</v>
      </c>
      <c r="AK501" s="94" t="s">
        <v>281</v>
      </c>
      <c r="AL501" s="94">
        <v>120</v>
      </c>
      <c r="AM501" s="94" t="str">
        <f>TRIM(AJ501)&amp;TRIM(AL501)&amp;TRIM(AK501)</f>
      </c>
      <c r="AN501" s="116">
        <v>152</v>
      </c>
      <c r="AO501" s="116">
        <v>-3</v>
      </c>
      <c r="AP501" s="116">
        <f>SUMIFS(M:M,AM:AM,AM501)+SUMIFS(O:O,AM:AM,AM501)</f>
      </c>
      <c r="AQ501" s="116">
        <f>SUMIFS(L:L,AM:AM,AM501)</f>
      </c>
      <c r="AR501" s="116">
        <f>AQ501-AP501</f>
      </c>
      <c r="AS501" s="94" t="str">
        <f>IF(AN501&gt;=AQ501,"ok","ck")</f>
      </c>
      <c r="AT501" s="116">
        <f>-P501</f>
      </c>
      <c r="AU501" s="115">
        <f>IF(SUMIFS(AT:AT,AM:AM,AM501)&gt;AO501,(SUMIFS(AT:AT,AM:AM,AM501)-AO501))</f>
      </c>
      <c r="AV501" s="116">
        <v>152</v>
      </c>
      <c r="AW501" s="121">
        <v>1.02</v>
      </c>
      <c r="AX501" s="115">
        <f>AN501-AP501</f>
      </c>
    </row>
    <row r="502" spans="1:50" ht="15" hidden="1" customHeight="1" x14ac:dyDescent="0.3">
      <c r="A502" s="94" t="s">
        <v>268</v>
      </c>
      <c r="B502" s="94"/>
      <c r="C502" s="94"/>
      <c r="D502" s="94"/>
      <c r="E502" s="94"/>
      <c r="F502" s="94"/>
      <c r="G502" s="112">
        <f>AU502</f>
      </c>
      <c r="H502" s="113"/>
      <c r="I502" s="94" t="s">
        <v>390</v>
      </c>
      <c r="J502" s="94" t="s">
        <v>324</v>
      </c>
      <c r="K502" s="114">
        <f>P502/3</f>
      </c>
      <c r="L502" s="115">
        <v>394.8</v>
      </c>
      <c r="M502" s="116"/>
      <c r="N502" s="117">
        <f>M502-L502</f>
      </c>
      <c r="O502" s="112"/>
      <c r="P502" s="118">
        <f>N502+O502</f>
      </c>
      <c r="Q502" s="94" t="s">
        <v>778</v>
      </c>
      <c r="R502" s="94" t="s">
        <v>63</v>
      </c>
      <c r="S502" s="119">
        <v>46334</v>
      </c>
      <c r="T502" s="119"/>
      <c r="U502" s="119">
        <v>46334</v>
      </c>
      <c r="V502" s="94"/>
      <c r="W502" s="94"/>
      <c r="X502" s="94"/>
      <c r="Y502" s="119">
        <v>46337</v>
      </c>
      <c r="Z502" s="94"/>
      <c r="AA502" s="120"/>
      <c r="AB502" s="120"/>
      <c r="AC502" s="120"/>
      <c r="AD502" s="120"/>
      <c r="AE502" s="120"/>
      <c r="AF502" s="120"/>
      <c r="AG502" s="94"/>
      <c r="AH502" s="120"/>
      <c r="AI502" s="94"/>
      <c r="AJ502" s="94" t="s">
        <v>778</v>
      </c>
      <c r="AK502" s="94" t="s">
        <v>324</v>
      </c>
      <c r="AL502" s="94">
        <v>140</v>
      </c>
      <c r="AM502" s="94" t="str">
        <f>TRIM(AJ502)&amp;TRIM(AL502)&amp;TRIM(AK502)</f>
      </c>
      <c r="AN502" s="116">
        <v>0</v>
      </c>
      <c r="AO502" s="116" t="inlineStr">
        <is>
          <t>#NA</t>
        </is>
      </c>
      <c r="AP502" s="116">
        <f>SUMIFS(M:M,AM:AM,AM502)+SUMIFS(O:O,AM:AM,AM502)</f>
      </c>
      <c r="AQ502" s="116">
        <f>SUMIFS(L:L,AM:AM,AM502)</f>
      </c>
      <c r="AR502" s="116">
        <f>AQ502-AP502</f>
      </c>
      <c r="AS502" s="94" t="str">
        <f>IF(AN502&gt;=AQ502,"ok","ck")</f>
      </c>
      <c r="AT502" s="116">
        <f>-P502</f>
      </c>
      <c r="AU502" s="115">
        <f>IF(SUMIFS(AT:AT,AM:AM,AM502)&gt;AO502,(SUMIFS(AT:AT,AM:AM,AM502)-AO502))</f>
      </c>
      <c r="AV502" s="116">
        <v>0</v>
      </c>
      <c r="AW502" s="121">
        <v>0</v>
      </c>
      <c r="AX502" s="115">
        <f>AN502-AP502</f>
      </c>
    </row>
    <row r="503" spans="1:50" ht="15" hidden="1" customHeight="1" x14ac:dyDescent="0.3">
      <c r="A503" s="94" t="s">
        <v>268</v>
      </c>
      <c r="B503" s="94"/>
      <c r="C503" s="94"/>
      <c r="D503" s="94"/>
      <c r="E503" s="94"/>
      <c r="F503" s="94"/>
      <c r="G503" s="112">
        <f>AU503</f>
      </c>
      <c r="H503" s="113"/>
      <c r="I503" s="94" t="s">
        <v>390</v>
      </c>
      <c r="J503" s="94" t="s">
        <v>324</v>
      </c>
      <c r="K503" s="114">
        <f>P503/3</f>
      </c>
      <c r="L503" s="115">
        <v>84.6</v>
      </c>
      <c r="M503" s="116"/>
      <c r="N503" s="117">
        <f>M503-L503</f>
      </c>
      <c r="O503" s="112"/>
      <c r="P503" s="118">
        <f>N503+O503</f>
      </c>
      <c r="Q503" s="94" t="s">
        <v>778</v>
      </c>
      <c r="R503" s="94" t="s">
        <v>63</v>
      </c>
      <c r="S503" s="119">
        <v>46334</v>
      </c>
      <c r="T503" s="119"/>
      <c r="U503" s="119">
        <v>46334</v>
      </c>
      <c r="V503" s="94"/>
      <c r="W503" s="94"/>
      <c r="X503" s="94"/>
      <c r="Y503" s="119">
        <v>46341</v>
      </c>
      <c r="Z503" s="94"/>
      <c r="AA503" s="120"/>
      <c r="AB503" s="120"/>
      <c r="AC503" s="120"/>
      <c r="AD503" s="120"/>
      <c r="AE503" s="120"/>
      <c r="AF503" s="120"/>
      <c r="AG503" s="94"/>
      <c r="AH503" s="120"/>
      <c r="AI503" s="94"/>
      <c r="AJ503" s="94" t="s">
        <v>778</v>
      </c>
      <c r="AK503" s="94" t="s">
        <v>324</v>
      </c>
      <c r="AL503" s="94">
        <v>140</v>
      </c>
      <c r="AM503" s="94" t="str">
        <f>TRIM(AJ503)&amp;TRIM(AL503)&amp;TRIM(AK503)</f>
      </c>
      <c r="AN503" s="116">
        <v>0</v>
      </c>
      <c r="AO503" s="116" t="inlineStr">
        <is>
          <t>#NA</t>
        </is>
      </c>
      <c r="AP503" s="116">
        <f>SUMIFS(M:M,AM:AM,AM503)+SUMIFS(O:O,AM:AM,AM503)</f>
      </c>
      <c r="AQ503" s="116">
        <f>SUMIFS(L:L,AM:AM,AM503)</f>
      </c>
      <c r="AR503" s="116">
        <f>AQ503-AP503</f>
      </c>
      <c r="AS503" s="94" t="str">
        <f>IF(AN503&gt;=AQ503,"ok","ck")</f>
      </c>
      <c r="AT503" s="116">
        <f>-P503</f>
      </c>
      <c r="AU503" s="115">
        <f>IF(SUMIFS(AT:AT,AM:AM,AM503)&gt;AO503,(SUMIFS(AT:AT,AM:AM,AM503)-AO503))</f>
      </c>
      <c r="AV503" s="116">
        <v>0</v>
      </c>
      <c r="AW503" s="121">
        <v>0</v>
      </c>
      <c r="AX503" s="115">
        <f>AN503-AP503</f>
      </c>
    </row>
    <row r="504" spans="1:50" ht="15" hidden="1" customHeight="1" x14ac:dyDescent="0.3">
      <c r="A504" s="94" t="s">
        <v>60</v>
      </c>
      <c r="B504" s="94"/>
      <c r="C504" s="94"/>
      <c r="D504" s="94"/>
      <c r="E504" s="94"/>
      <c r="F504" s="94"/>
      <c r="G504" s="112">
        <f>AU504</f>
      </c>
      <c r="H504" s="113"/>
      <c r="I504" s="94" t="s">
        <v>123</v>
      </c>
      <c r="J504" s="94" t="s">
        <v>124</v>
      </c>
      <c r="K504" s="114">
        <f>P504/3</f>
      </c>
      <c r="L504" s="115">
        <v>36.204999999999998</v>
      </c>
      <c r="M504" s="116">
        <f>L504</f>
      </c>
      <c r="N504" s="117">
        <f>M504-L504</f>
      </c>
      <c r="O504" s="112"/>
      <c r="P504" s="118">
        <f>N504+O504</f>
      </c>
      <c r="Q504" s="94" t="s">
        <v>116</v>
      </c>
      <c r="R504" s="94" t="s">
        <v>63</v>
      </c>
      <c r="S504" s="119">
        <v>46320</v>
      </c>
      <c r="T504" s="119"/>
      <c r="U504" s="119">
        <v>46320</v>
      </c>
      <c r="V504" s="94"/>
      <c r="W504" s="94"/>
      <c r="X504" s="94"/>
      <c r="Y504" s="119">
        <v>46320</v>
      </c>
      <c r="Z504" s="94"/>
      <c r="AA504" s="120"/>
      <c r="AB504" s="120"/>
      <c r="AC504" s="120"/>
      <c r="AD504" s="120"/>
      <c r="AE504" s="120"/>
      <c r="AF504" s="120"/>
      <c r="AG504" s="94"/>
      <c r="AH504" s="120"/>
      <c r="AI504" s="94"/>
      <c r="AJ504" s="94" t="s">
        <v>64</v>
      </c>
      <c r="AK504" s="94" t="s">
        <v>124</v>
      </c>
      <c r="AL504" s="94">
        <v>140</v>
      </c>
      <c r="AM504" s="94" t="str">
        <f>TRIM(AJ504)&amp;TRIM(AL504)&amp;TRIM(AK504)</f>
      </c>
      <c r="AN504" s="116">
        <v>5957</v>
      </c>
      <c r="AO504" s="116">
        <v>-68</v>
      </c>
      <c r="AP504" s="116">
        <f>SUMIFS(M:M,AM:AM,AM504)+SUMIFS(O:O,AM:AM,AM504)</f>
      </c>
      <c r="AQ504" s="116">
        <f>SUMIFS(L:L,AM:AM,AM504)</f>
      </c>
      <c r="AR504" s="116">
        <f>AQ504-AP504</f>
      </c>
      <c r="AS504" s="94" t="str">
        <f>IF(AN504&gt;=AQ504,"ok","ck")</f>
      </c>
      <c r="AT504" s="116">
        <f>-P504</f>
      </c>
      <c r="AU504" s="115">
        <f>IF(SUMIFS(AT:AT,AM:AM,AM504)&gt;AO504,(SUMIFS(AT:AT,AM:AM,AM504)-AO504))</f>
      </c>
      <c r="AV504" s="116">
        <v>5957</v>
      </c>
      <c r="AW504" s="121">
        <v>1.012</v>
      </c>
      <c r="AX504" s="115">
        <f>AN504-AP504</f>
      </c>
    </row>
    <row r="505" spans="1:50" ht="15" hidden="1" customHeight="1" x14ac:dyDescent="0.3">
      <c r="A505" s="94" t="s">
        <v>268</v>
      </c>
      <c r="B505" s="94"/>
      <c r="C505" s="94"/>
      <c r="D505" s="94"/>
      <c r="E505" s="94"/>
      <c r="F505" s="94"/>
      <c r="G505" s="112">
        <f>AU505</f>
      </c>
      <c r="H505" s="113"/>
      <c r="I505" s="94" t="s">
        <v>390</v>
      </c>
      <c r="J505" s="94" t="s">
        <v>328</v>
      </c>
      <c r="K505" s="114">
        <f>P505/3</f>
      </c>
      <c r="L505" s="115">
        <v>394.8</v>
      </c>
      <c r="M505" s="116"/>
      <c r="N505" s="117">
        <f>M505-L505</f>
      </c>
      <c r="O505" s="112"/>
      <c r="P505" s="118">
        <f>N505+O505</f>
      </c>
      <c r="Q505" s="94" t="s">
        <v>778</v>
      </c>
      <c r="R505" s="94" t="s">
        <v>63</v>
      </c>
      <c r="S505" s="119">
        <v>46340</v>
      </c>
      <c r="T505" s="119"/>
      <c r="U505" s="119">
        <v>46340</v>
      </c>
      <c r="V505" s="94"/>
      <c r="W505" s="94"/>
      <c r="X505" s="94"/>
      <c r="Y505" s="119">
        <v>46337</v>
      </c>
      <c r="Z505" s="94"/>
      <c r="AA505" s="120"/>
      <c r="AB505" s="120"/>
      <c r="AC505" s="120"/>
      <c r="AD505" s="120"/>
      <c r="AE505" s="120"/>
      <c r="AF505" s="120"/>
      <c r="AG505" s="94"/>
      <c r="AH505" s="120"/>
      <c r="AI505" s="94"/>
      <c r="AJ505" s="94" t="s">
        <v>778</v>
      </c>
      <c r="AK505" s="94" t="s">
        <v>329</v>
      </c>
      <c r="AL505" s="94">
        <v>140</v>
      </c>
      <c r="AM505" s="94" t="str">
        <f>TRIM(AJ505)&amp;TRIM(AL505)&amp;TRIM(AK505)</f>
      </c>
      <c r="AN505" s="116">
        <v>0</v>
      </c>
      <c r="AO505" s="116" t="inlineStr">
        <is>
          <t>#NA</t>
        </is>
      </c>
      <c r="AP505" s="116">
        <f>SUMIFS(M:M,AM:AM,AM505)+SUMIFS(O:O,AM:AM,AM505)</f>
      </c>
      <c r="AQ505" s="116">
        <f>SUMIFS(L:L,AM:AM,AM505)</f>
      </c>
      <c r="AR505" s="116">
        <f>AQ505-AP505</f>
      </c>
      <c r="AS505" s="94" t="str">
        <f>IF(AN505&gt;=AQ505,"ok","ck")</f>
      </c>
      <c r="AT505" s="116">
        <f>-P505</f>
      </c>
      <c r="AU505" s="115">
        <f>IF(SUMIFS(AT:AT,AM:AM,AM505)&gt;AO505,(SUMIFS(AT:AT,AM:AM,AM505)-AO505))</f>
      </c>
      <c r="AV505" s="116">
        <v>0</v>
      </c>
      <c r="AW505" s="121">
        <v>0</v>
      </c>
      <c r="AX505" s="115">
        <f>AN505-AP505</f>
      </c>
    </row>
    <row r="506" spans="1:50" ht="15" hidden="1" customHeight="1" x14ac:dyDescent="0.3">
      <c r="A506" s="94" t="s">
        <v>268</v>
      </c>
      <c r="B506" s="94"/>
      <c r="C506" s="94"/>
      <c r="D506" s="94"/>
      <c r="E506" s="94"/>
      <c r="F506" s="94"/>
      <c r="G506" s="112">
        <f>AU506</f>
      </c>
      <c r="H506" s="113"/>
      <c r="I506" s="94" t="s">
        <v>390</v>
      </c>
      <c r="J506" s="94" t="s">
        <v>328</v>
      </c>
      <c r="K506" s="114">
        <f>P506/3</f>
      </c>
      <c r="L506" s="115">
        <v>84.6</v>
      </c>
      <c r="M506" s="116"/>
      <c r="N506" s="117">
        <f>M506-L506</f>
      </c>
      <c r="O506" s="112"/>
      <c r="P506" s="118">
        <f>N506+O506</f>
      </c>
      <c r="Q506" s="94" t="s">
        <v>778</v>
      </c>
      <c r="R506" s="94" t="s">
        <v>63</v>
      </c>
      <c r="S506" s="119">
        <v>46340</v>
      </c>
      <c r="T506" s="119"/>
      <c r="U506" s="119">
        <v>46340</v>
      </c>
      <c r="V506" s="94"/>
      <c r="W506" s="94"/>
      <c r="X506" s="94"/>
      <c r="Y506" s="119">
        <v>46341</v>
      </c>
      <c r="Z506" s="94"/>
      <c r="AA506" s="120"/>
      <c r="AB506" s="120"/>
      <c r="AC506" s="120"/>
      <c r="AD506" s="120"/>
      <c r="AE506" s="120"/>
      <c r="AF506" s="120"/>
      <c r="AG506" s="94"/>
      <c r="AH506" s="120"/>
      <c r="AI506" s="94"/>
      <c r="AJ506" s="94" t="s">
        <v>778</v>
      </c>
      <c r="AK506" s="94" t="s">
        <v>329</v>
      </c>
      <c r="AL506" s="94">
        <v>140</v>
      </c>
      <c r="AM506" s="94" t="str">
        <f>TRIM(AJ506)&amp;TRIM(AL506)&amp;TRIM(AK506)</f>
      </c>
      <c r="AN506" s="116">
        <v>0</v>
      </c>
      <c r="AO506" s="116" t="inlineStr">
        <is>
          <t>#NA</t>
        </is>
      </c>
      <c r="AP506" s="116">
        <f>SUMIFS(M:M,AM:AM,AM506)+SUMIFS(O:O,AM:AM,AM506)</f>
      </c>
      <c r="AQ506" s="116">
        <f>SUMIFS(L:L,AM:AM,AM506)</f>
      </c>
      <c r="AR506" s="116">
        <f>AQ506-AP506</f>
      </c>
      <c r="AS506" s="94" t="str">
        <f>IF(AN506&gt;=AQ506,"ok","ck")</f>
      </c>
      <c r="AT506" s="116">
        <f>-P506</f>
      </c>
      <c r="AU506" s="115">
        <f>IF(SUMIFS(AT:AT,AM:AM,AM506)&gt;AO506,(SUMIFS(AT:AT,AM:AM,AM506)-AO506))</f>
      </c>
      <c r="AV506" s="116">
        <v>0</v>
      </c>
      <c r="AW506" s="121">
        <v>0</v>
      </c>
      <c r="AX506" s="115">
        <f>AN506-AP506</f>
      </c>
    </row>
    <row r="507" spans="1:50" ht="15" hidden="1" customHeight="1" x14ac:dyDescent="0.3">
      <c r="A507" s="94" t="s">
        <v>263</v>
      </c>
      <c r="B507" s="94"/>
      <c r="C507" s="94"/>
      <c r="D507" s="94"/>
      <c r="E507" s="94"/>
      <c r="F507" s="94"/>
      <c r="G507" s="112">
        <f>AU507</f>
      </c>
      <c r="H507" s="113"/>
      <c r="I507" s="94" t="s">
        <v>264</v>
      </c>
      <c r="J507" s="94" t="s">
        <v>265</v>
      </c>
      <c r="K507" s="114">
        <f>P507/3</f>
      </c>
      <c r="L507" s="115">
        <v>0</v>
      </c>
      <c r="M507" s="116">
        <f>L507</f>
      </c>
      <c r="N507" s="117">
        <f>M507-L507</f>
      </c>
      <c r="O507" s="112"/>
      <c r="P507" s="118">
        <f>N507+O507</f>
      </c>
      <c r="Q507" s="94" t="s">
        <v>364</v>
      </c>
      <c r="R507" s="94" t="s">
        <v>63</v>
      </c>
      <c r="S507" s="119">
        <v>46338</v>
      </c>
      <c r="T507" s="119"/>
      <c r="U507" s="119">
        <v>46338</v>
      </c>
      <c r="V507" s="94"/>
      <c r="W507" s="94"/>
      <c r="X507" s="94"/>
      <c r="Y507" s="119">
        <v>46338</v>
      </c>
      <c r="Z507" s="94"/>
      <c r="AA507" s="120"/>
      <c r="AB507" s="120"/>
      <c r="AC507" s="120"/>
      <c r="AD507" s="120"/>
      <c r="AE507" s="120"/>
      <c r="AF507" s="120"/>
      <c r="AG507" s="94"/>
      <c r="AH507" s="120"/>
      <c r="AI507" s="94"/>
      <c r="AJ507" s="94" t="s">
        <v>364</v>
      </c>
      <c r="AK507" s="94" t="s">
        <v>267</v>
      </c>
      <c r="AL507" s="94">
        <v>120</v>
      </c>
      <c r="AM507" s="94" t="str">
        <f>TRIM(AJ507)&amp;TRIM(AL507)&amp;TRIM(AK507)</f>
      </c>
      <c r="AN507" s="116">
        <v>1326</v>
      </c>
      <c r="AO507" s="116">
        <v>-28</v>
      </c>
      <c r="AP507" s="116">
        <f>SUMIFS(M:M,AM:AM,AM507)+SUMIFS(O:O,AM:AM,AM507)</f>
      </c>
      <c r="AQ507" s="116">
        <f>SUMIFS(L:L,AM:AM,AM507)</f>
      </c>
      <c r="AR507" s="116">
        <f>AQ507-AP507</f>
      </c>
      <c r="AS507" s="94" t="str">
        <f>IF(AN507&gt;=AQ507,"ok","ck")</f>
      </c>
      <c r="AT507" s="116">
        <f>-P507</f>
      </c>
      <c r="AU507" s="115">
        <f>IF(SUMIFS(AT:AT,AM:AM,AM507)&gt;AO507,(SUMIFS(AT:AT,AM:AM,AM507)-AO507))</f>
      </c>
      <c r="AV507" s="116">
        <v>1326</v>
      </c>
      <c r="AW507" s="121">
        <v>1.022</v>
      </c>
      <c r="AX507" s="115">
        <f>AN507-AP507</f>
      </c>
    </row>
    <row r="508" spans="1:50" ht="15" hidden="1" customHeight="1" x14ac:dyDescent="0.3">
      <c r="A508" s="94" t="s">
        <v>263</v>
      </c>
      <c r="B508" s="94"/>
      <c r="C508" s="94"/>
      <c r="D508" s="94"/>
      <c r="E508" s="94"/>
      <c r="F508" s="94"/>
      <c r="G508" s="112">
        <f>AU508</f>
      </c>
      <c r="H508" s="113"/>
      <c r="I508" s="94" t="s">
        <v>264</v>
      </c>
      <c r="J508" s="94" t="s">
        <v>265</v>
      </c>
      <c r="K508" s="114">
        <f>P508/3</f>
      </c>
      <c r="L508" s="115">
        <v>0</v>
      </c>
      <c r="M508" s="116">
        <f>L508</f>
      </c>
      <c r="N508" s="117">
        <f>M508-L508</f>
      </c>
      <c r="O508" s="112"/>
      <c r="P508" s="118">
        <f>N508+O508</f>
      </c>
      <c r="Q508" s="94" t="s">
        <v>364</v>
      </c>
      <c r="R508" s="94" t="s">
        <v>63</v>
      </c>
      <c r="S508" s="119">
        <v>46320</v>
      </c>
      <c r="T508" s="119"/>
      <c r="U508" s="119">
        <v>46320</v>
      </c>
      <c r="V508" s="94"/>
      <c r="W508" s="94"/>
      <c r="X508" s="94"/>
      <c r="Y508" s="119">
        <v>46320</v>
      </c>
      <c r="Z508" s="94"/>
      <c r="AA508" s="120"/>
      <c r="AB508" s="120"/>
      <c r="AC508" s="120"/>
      <c r="AD508" s="120"/>
      <c r="AE508" s="120"/>
      <c r="AF508" s="120"/>
      <c r="AG508" s="94"/>
      <c r="AH508" s="120"/>
      <c r="AI508" s="94"/>
      <c r="AJ508" s="94" t="s">
        <v>364</v>
      </c>
      <c r="AK508" s="94" t="s">
        <v>267</v>
      </c>
      <c r="AL508" s="94">
        <v>120</v>
      </c>
      <c r="AM508" s="94" t="str">
        <f>TRIM(AJ508)&amp;TRIM(AL508)&amp;TRIM(AK508)</f>
      </c>
      <c r="AN508" s="116">
        <v>1326</v>
      </c>
      <c r="AO508" s="116">
        <v>-28</v>
      </c>
      <c r="AP508" s="116">
        <f>SUMIFS(M:M,AM:AM,AM508)+SUMIFS(O:O,AM:AM,AM508)</f>
      </c>
      <c r="AQ508" s="116">
        <f>SUMIFS(L:L,AM:AM,AM508)</f>
      </c>
      <c r="AR508" s="116">
        <f>AQ508-AP508</f>
      </c>
      <c r="AS508" s="94" t="str">
        <f>IF(AN508&gt;=AQ508,"ok","ck")</f>
      </c>
      <c r="AT508" s="116">
        <f>-P508</f>
      </c>
      <c r="AU508" s="115">
        <f>IF(SUMIFS(AT:AT,AM:AM,AM508)&gt;AO508,(SUMIFS(AT:AT,AM:AM,AM508)-AO508))</f>
      </c>
      <c r="AV508" s="116">
        <v>1326</v>
      </c>
      <c r="AW508" s="121">
        <v>1.022</v>
      </c>
      <c r="AX508" s="115">
        <f>AN508-AP508</f>
      </c>
    </row>
    <row r="509" spans="1:50" ht="15" customHeight="1" x14ac:dyDescent="0.3">
      <c r="A509" s="94" t="s">
        <v>862</v>
      </c>
      <c r="B509" s="94"/>
      <c r="C509" s="94"/>
      <c r="D509" s="94"/>
      <c r="E509" s="94"/>
      <c r="F509" s="94"/>
      <c r="G509" s="112">
        <f>AU509</f>
      </c>
      <c r="H509" s="113"/>
      <c r="I509" s="94" t="s">
        <v>390</v>
      </c>
      <c r="J509" s="94" t="s">
        <v>281</v>
      </c>
      <c r="K509" s="114">
        <f>P509/3</f>
      </c>
      <c r="L509" s="115">
        <v>1843.529</v>
      </c>
      <c r="M509" s="116"/>
      <c r="N509" s="117">
        <f>M509-L509</f>
      </c>
      <c r="O509" s="112"/>
      <c r="P509" s="118">
        <f>N509+O509</f>
      </c>
      <c r="Q509" s="94"/>
      <c r="R509" s="94" t="s">
        <v>63</v>
      </c>
      <c r="S509" s="119">
        <v>46332</v>
      </c>
      <c r="T509" s="119"/>
      <c r="U509" s="119" t="s">
        <v>632</v>
      </c>
      <c r="V509" s="94"/>
      <c r="W509" s="94"/>
      <c r="X509" s="94"/>
      <c r="Y509" s="119">
        <v>46336</v>
      </c>
      <c r="Z509" s="94"/>
      <c r="AA509" s="120"/>
      <c r="AB509" s="120"/>
      <c r="AC509" s="120"/>
      <c r="AD509" s="120"/>
      <c r="AE509" s="120"/>
      <c r="AF509" s="120"/>
      <c r="AG509" s="94"/>
      <c r="AH509" s="120"/>
      <c r="AI509" s="94"/>
      <c r="AJ509" s="94"/>
      <c r="AK509" s="94"/>
      <c r="AL509" s="94">
        <v>140</v>
      </c>
      <c r="AM509" s="94" t="str">
        <f>TRIM(AJ509)&amp;TRIM(AL509)&amp;TRIM(AK509)</f>
      </c>
      <c r="AN509" s="116">
        <v>0</v>
      </c>
      <c r="AO509" s="116" t="inlineStr">
        <is>
          <t>#NA</t>
        </is>
      </c>
      <c r="AP509" s="116">
        <f>SUMIFS(M:M,AM:AM,AM509)+SUMIFS(O:O,AM:AM,AM509)</f>
      </c>
      <c r="AQ509" s="116">
        <f>SUMIFS(L:L,AM:AM,AM509)</f>
      </c>
      <c r="AR509" s="116">
        <f>AQ509-AP509</f>
      </c>
      <c r="AS509" s="94" t="str">
        <f>IF(AN509&gt;=AQ509,"ok","ck")</f>
      </c>
      <c r="AT509" s="116">
        <f>-P509</f>
      </c>
      <c r="AU509" s="115">
        <f>IF(SUMIFS(AT:AT,AM:AM,AM509)&gt;AO509,(SUMIFS(AT:AT,AM:AM,AM509)-AO509))</f>
      </c>
      <c r="AV509" s="116" t="e">
        <v>#N/A</v>
      </c>
      <c r="AW509" s="121" t="e">
        <v>#N/A</v>
      </c>
      <c r="AX509" s="115">
        <f>AN509-AP509</f>
      </c>
    </row>
    <row r="510" spans="1:50" ht="15" customHeight="1" x14ac:dyDescent="0.3">
      <c r="A510" s="94" t="s">
        <v>862</v>
      </c>
      <c r="B510" s="94"/>
      <c r="C510" s="94"/>
      <c r="D510" s="94"/>
      <c r="E510" s="94"/>
      <c r="F510" s="94"/>
      <c r="G510" s="112">
        <f>AU510</f>
      </c>
      <c r="H510" s="113"/>
      <c r="I510" s="94" t="s">
        <v>390</v>
      </c>
      <c r="J510" s="94" t="s">
        <v>281</v>
      </c>
      <c r="K510" s="114">
        <f>P510/3</f>
      </c>
      <c r="L510" s="115">
        <v>1843.529</v>
      </c>
      <c r="M510" s="116"/>
      <c r="N510" s="117">
        <f>M510-L510</f>
      </c>
      <c r="O510" s="112"/>
      <c r="P510" s="118">
        <f>N510+O510</f>
      </c>
      <c r="Q510" s="94"/>
      <c r="R510" s="94" t="s">
        <v>63</v>
      </c>
      <c r="S510" s="119">
        <v>46333</v>
      </c>
      <c r="T510" s="119"/>
      <c r="U510" s="119" t="s">
        <v>632</v>
      </c>
      <c r="V510" s="94"/>
      <c r="W510" s="94"/>
      <c r="X510" s="94"/>
      <c r="Y510" s="119">
        <v>46336</v>
      </c>
      <c r="Z510" s="94"/>
      <c r="AA510" s="120"/>
      <c r="AB510" s="120"/>
      <c r="AC510" s="120"/>
      <c r="AD510" s="120"/>
      <c r="AE510" s="120"/>
      <c r="AF510" s="120"/>
      <c r="AG510" s="94"/>
      <c r="AH510" s="120"/>
      <c r="AI510" s="94"/>
      <c r="AJ510" s="94"/>
      <c r="AK510" s="94"/>
      <c r="AL510" s="94">
        <v>140</v>
      </c>
      <c r="AM510" s="94" t="str">
        <f>TRIM(AJ510)&amp;TRIM(AL510)&amp;TRIM(AK510)</f>
      </c>
      <c r="AN510" s="116">
        <v>0</v>
      </c>
      <c r="AO510" s="116" t="inlineStr">
        <is>
          <t>#NA</t>
        </is>
      </c>
      <c r="AP510" s="116">
        <f>SUMIFS(M:M,AM:AM,AM510)+SUMIFS(O:O,AM:AM,AM510)</f>
      </c>
      <c r="AQ510" s="116">
        <f>SUMIFS(L:L,AM:AM,AM510)</f>
      </c>
      <c r="AR510" s="116">
        <f>AQ510-AP510</f>
      </c>
      <c r="AS510" s="94" t="str">
        <f>IF(AN510&gt;=AQ510,"ok","ck")</f>
      </c>
      <c r="AT510" s="116">
        <f>-P510</f>
      </c>
      <c r="AU510" s="115">
        <f>IF(SUMIFS(AT:AT,AM:AM,AM510)&gt;AO510,(SUMIFS(AT:AT,AM:AM,AM510)-AO510))</f>
      </c>
      <c r="AV510" s="116" t="e">
        <v>#N/A</v>
      </c>
      <c r="AW510" s="121" t="e">
        <v>#N/A</v>
      </c>
      <c r="AX510" s="115">
        <f>AN510-AP510</f>
      </c>
    </row>
    <row r="511" spans="1:50" ht="15" hidden="1" customHeight="1" x14ac:dyDescent="0.3">
      <c r="A511" s="94" t="s">
        <v>268</v>
      </c>
      <c r="B511" s="94"/>
      <c r="C511" s="94"/>
      <c r="D511" s="94"/>
      <c r="E511" s="94"/>
      <c r="F511" s="94"/>
      <c r="G511" s="112">
        <f>AU511</f>
      </c>
      <c r="H511" s="113"/>
      <c r="I511" s="94" t="s">
        <v>390</v>
      </c>
      <c r="J511" s="94" t="s">
        <v>506</v>
      </c>
      <c r="K511" s="114">
        <f>P511/3</f>
      </c>
      <c r="L511" s="115">
        <v>61.982999999999997</v>
      </c>
      <c r="M511" s="116">
        <f>L511</f>
      </c>
      <c r="N511" s="117">
        <f>M511-L511</f>
      </c>
      <c r="O511" s="112"/>
      <c r="P511" s="118">
        <f>N511+O511</f>
      </c>
      <c r="Q511" s="94" t="s">
        <v>803</v>
      </c>
      <c r="R511" s="94" t="s">
        <v>63</v>
      </c>
      <c r="S511" s="119">
        <v>46334</v>
      </c>
      <c r="T511" s="119"/>
      <c r="U511" s="119">
        <v>46334</v>
      </c>
      <c r="V511" s="94"/>
      <c r="W511" s="94"/>
      <c r="X511" s="94"/>
      <c r="Y511" s="119">
        <v>46334</v>
      </c>
      <c r="Z511" s="94"/>
      <c r="AA511" s="120"/>
      <c r="AB511" s="120"/>
      <c r="AC511" s="120"/>
      <c r="AD511" s="120"/>
      <c r="AE511" s="120"/>
      <c r="AF511" s="120"/>
      <c r="AG511" s="94"/>
      <c r="AH511" s="120"/>
      <c r="AI511" s="94"/>
      <c r="AJ511" s="94" t="s">
        <v>803</v>
      </c>
      <c r="AK511" s="94" t="s">
        <v>700</v>
      </c>
      <c r="AL511" s="94">
        <v>140</v>
      </c>
      <c r="AM511" s="94" t="str">
        <f>TRIM(AJ511)&amp;TRIM(AL511)&amp;TRIM(AK511)</f>
      </c>
      <c r="AN511" s="116">
        <v>62</v>
      </c>
      <c r="AO511" s="116">
        <v>0</v>
      </c>
      <c r="AP511" s="116">
        <f>SUMIFS(M:M,AM:AM,AM511)+SUMIFS(O:O,AM:AM,AM511)</f>
      </c>
      <c r="AQ511" s="116">
        <f>SUMIFS(L:L,AM:AM,AM511)</f>
      </c>
      <c r="AR511" s="116">
        <f>AQ511-AP511</f>
      </c>
      <c r="AS511" s="94" t="str">
        <f>IF(AN511&gt;=AQ511,"ok","ck")</f>
      </c>
      <c r="AT511" s="116">
        <f>-P511</f>
      </c>
      <c r="AU511" s="115">
        <f>IF(SUMIFS(AT:AT,AM:AM,AM511)&gt;AO511,(SUMIFS(AT:AT,AM:AM,AM511)-AO511))</f>
      </c>
      <c r="AV511" s="116">
        <v>62</v>
      </c>
      <c r="AW511" s="121">
        <v>1</v>
      </c>
      <c r="AX511" s="115">
        <f>AN511-AP511</f>
      </c>
    </row>
    <row r="512" spans="1:50" ht="15" hidden="1" customHeight="1" x14ac:dyDescent="0.3">
      <c r="A512" s="94" t="s">
        <v>268</v>
      </c>
      <c r="B512" s="94"/>
      <c r="C512" s="94"/>
      <c r="D512" s="94"/>
      <c r="E512" s="94"/>
      <c r="F512" s="94"/>
      <c r="G512" s="112">
        <f>AU512</f>
      </c>
      <c r="H512" s="113"/>
      <c r="I512" s="94" t="s">
        <v>390</v>
      </c>
      <c r="J512" s="94" t="s">
        <v>506</v>
      </c>
      <c r="K512" s="114">
        <f>P512/3</f>
      </c>
      <c r="L512" s="115">
        <v>3.0000000000000001E-3</v>
      </c>
      <c r="M512" s="116">
        <f>L512</f>
      </c>
      <c r="N512" s="117">
        <f>M512-L512</f>
      </c>
      <c r="O512" s="112"/>
      <c r="P512" s="118">
        <f>N512+O512</f>
      </c>
      <c r="Q512" s="94" t="s">
        <v>803</v>
      </c>
      <c r="R512" s="94" t="s">
        <v>63</v>
      </c>
      <c r="S512" s="119">
        <v>46334</v>
      </c>
      <c r="T512" s="119"/>
      <c r="U512" s="119">
        <v>46334</v>
      </c>
      <c r="V512" s="94"/>
      <c r="W512" s="94"/>
      <c r="X512" s="94"/>
      <c r="Y512" s="119">
        <v>46334</v>
      </c>
      <c r="Z512" s="94"/>
      <c r="AA512" s="120"/>
      <c r="AB512" s="120"/>
      <c r="AC512" s="120"/>
      <c r="AD512" s="120"/>
      <c r="AE512" s="120"/>
      <c r="AF512" s="120"/>
      <c r="AG512" s="94"/>
      <c r="AH512" s="120"/>
      <c r="AI512" s="94"/>
      <c r="AJ512" s="94" t="s">
        <v>803</v>
      </c>
      <c r="AK512" s="94" t="s">
        <v>700</v>
      </c>
      <c r="AL512" s="94">
        <v>140</v>
      </c>
      <c r="AM512" s="94" t="str">
        <f>TRIM(AJ512)&amp;TRIM(AL512)&amp;TRIM(AK512)</f>
      </c>
      <c r="AN512" s="116">
        <v>62</v>
      </c>
      <c r="AO512" s="116">
        <v>0</v>
      </c>
      <c r="AP512" s="116">
        <f>SUMIFS(M:M,AM:AM,AM512)+SUMIFS(O:O,AM:AM,AM512)</f>
      </c>
      <c r="AQ512" s="116">
        <f>SUMIFS(L:L,AM:AM,AM512)</f>
      </c>
      <c r="AR512" s="116">
        <f>AQ512-AP512</f>
      </c>
      <c r="AS512" s="94" t="str">
        <f>IF(AN512&gt;=AQ512,"ok","ck")</f>
      </c>
      <c r="AT512" s="116">
        <f>-P512</f>
      </c>
      <c r="AU512" s="115">
        <f>IF(SUMIFS(AT:AT,AM:AM,AM512)&gt;AO512,(SUMIFS(AT:AT,AM:AM,AM512)-AO512))</f>
      </c>
      <c r="AV512" s="116">
        <v>62</v>
      </c>
      <c r="AW512" s="121">
        <v>1</v>
      </c>
      <c r="AX512" s="115">
        <f>AN512-AP512</f>
      </c>
    </row>
    <row r="513" spans="1:50" ht="15" hidden="1" customHeight="1" x14ac:dyDescent="0.3">
      <c r="A513" s="94" t="s">
        <v>268</v>
      </c>
      <c r="B513" s="94"/>
      <c r="C513" s="94"/>
      <c r="D513" s="94"/>
      <c r="E513" s="94"/>
      <c r="F513" s="94"/>
      <c r="G513" s="112">
        <f>AU513</f>
      </c>
      <c r="H513" s="113"/>
      <c r="I513" s="94" t="s">
        <v>278</v>
      </c>
      <c r="J513" s="94" t="s">
        <v>355</v>
      </c>
      <c r="K513" s="114">
        <f>P513/3</f>
      </c>
      <c r="L513" s="115">
        <v>0</v>
      </c>
      <c r="M513" s="116">
        <f>L513</f>
      </c>
      <c r="N513" s="117">
        <f>M513-L513</f>
      </c>
      <c r="O513" s="112"/>
      <c r="P513" s="118">
        <f>N513+O513</f>
      </c>
      <c r="Q513" s="94" t="s">
        <v>343</v>
      </c>
      <c r="R513" s="94" t="s">
        <v>63</v>
      </c>
      <c r="S513" s="119">
        <v>46323</v>
      </c>
      <c r="T513" s="119"/>
      <c r="U513" s="119">
        <v>46323</v>
      </c>
      <c r="V513" s="94"/>
      <c r="W513" s="94"/>
      <c r="X513" s="94"/>
      <c r="Y513" s="119">
        <v>46323</v>
      </c>
      <c r="Z513" s="94"/>
      <c r="AA513" s="120"/>
      <c r="AB513" s="120"/>
      <c r="AC513" s="120"/>
      <c r="AD513" s="120"/>
      <c r="AE513" s="120"/>
      <c r="AF513" s="120"/>
      <c r="AG513" s="94"/>
      <c r="AH513" s="120"/>
      <c r="AI513" s="94"/>
      <c r="AJ513" s="94" t="s">
        <v>343</v>
      </c>
      <c r="AK513" s="94" t="s">
        <v>356</v>
      </c>
      <c r="AL513" s="94">
        <v>120</v>
      </c>
      <c r="AM513" s="94" t="str">
        <f>TRIM(AJ513)&amp;TRIM(AL513)&amp;TRIM(AK513)</f>
      </c>
      <c r="AN513" s="116">
        <v>96.29</v>
      </c>
      <c r="AO513" s="116">
        <v>-8.29</v>
      </c>
      <c r="AP513" s="116">
        <f>SUMIFS(M:M,AM:AM,AM513)+SUMIFS(O:O,AM:AM,AM513)</f>
      </c>
      <c r="AQ513" s="116">
        <f>SUMIFS(L:L,AM:AM,AM513)</f>
      </c>
      <c r="AR513" s="116">
        <f>AQ513-AP513</f>
      </c>
      <c r="AS513" s="94" t="str">
        <f>IF(AN513&gt;=AQ513,"ok","ck")</f>
      </c>
      <c r="AT513" s="116">
        <f>-P513</f>
      </c>
      <c r="AU513" s="115">
        <f>IF(SUMIFS(AT:AT,AM:AM,AM513)&gt;AO513,(SUMIFS(AT:AT,AM:AM,AM513)-AO513))</f>
      </c>
      <c r="AV513" s="116">
        <v>96.29</v>
      </c>
      <c r="AW513" s="121">
        <v>1.094</v>
      </c>
      <c r="AX513" s="115">
        <f>AN513-AP513</f>
      </c>
    </row>
    <row r="514" spans="1:50" ht="15" customHeight="1" x14ac:dyDescent="0.3">
      <c r="A514" s="94" t="s">
        <v>862</v>
      </c>
      <c r="B514" s="94"/>
      <c r="C514" s="94"/>
      <c r="D514" s="94"/>
      <c r="E514" s="94"/>
      <c r="F514" s="94"/>
      <c r="G514" s="112">
        <f>AU514</f>
      </c>
      <c r="H514" s="113"/>
      <c r="I514" s="94" t="s">
        <v>278</v>
      </c>
      <c r="J514" s="94" t="s">
        <v>281</v>
      </c>
      <c r="K514" s="114">
        <f>P514/3</f>
      </c>
      <c r="L514" s="115">
        <v>156.471</v>
      </c>
      <c r="M514" s="116"/>
      <c r="N514" s="117">
        <f>M514-L514</f>
      </c>
      <c r="O514" s="112"/>
      <c r="P514" s="118">
        <f>N514+O514</f>
      </c>
      <c r="Q514" s="94"/>
      <c r="R514" s="94" t="s">
        <v>63</v>
      </c>
      <c r="S514" s="119">
        <v>46337</v>
      </c>
      <c r="T514" s="119"/>
      <c r="U514" s="119" t="s">
        <v>632</v>
      </c>
      <c r="V514" s="94"/>
      <c r="W514" s="94"/>
      <c r="X514" s="94"/>
      <c r="Y514" s="119">
        <v>46320</v>
      </c>
      <c r="Z514" s="94"/>
      <c r="AA514" s="120"/>
      <c r="AB514" s="120"/>
      <c r="AC514" s="120"/>
      <c r="AD514" s="120"/>
      <c r="AE514" s="120"/>
      <c r="AF514" s="120"/>
      <c r="AG514" s="94"/>
      <c r="AH514" s="120"/>
      <c r="AI514" s="94"/>
      <c r="AJ514" s="94"/>
      <c r="AK514" s="94"/>
      <c r="AL514" s="94">
        <v>120</v>
      </c>
      <c r="AM514" s="94" t="str">
        <f>TRIM(AJ514)&amp;TRIM(AL514)&amp;TRIM(AK514)</f>
      </c>
      <c r="AN514" s="116">
        <v>0</v>
      </c>
      <c r="AO514" s="116" t="inlineStr">
        <is>
          <t>#NA</t>
        </is>
      </c>
      <c r="AP514" s="116">
        <f>SUMIFS(M:M,AM:AM,AM514)+SUMIFS(O:O,AM:AM,AM514)</f>
      </c>
      <c r="AQ514" s="116">
        <f>SUMIFS(L:L,AM:AM,AM514)</f>
      </c>
      <c r="AR514" s="116">
        <f>AQ514-AP514</f>
      </c>
      <c r="AS514" s="94" t="str">
        <f>IF(AN514&gt;=AQ514,"ok","ck")</f>
      </c>
      <c r="AT514" s="116">
        <f>-P514</f>
      </c>
      <c r="AU514" s="115">
        <f>IF(SUMIFS(AT:AT,AM:AM,AM514)&gt;AO514,(SUMIFS(AT:AT,AM:AM,AM514)-AO514))</f>
      </c>
      <c r="AV514" s="116" t="e">
        <v>#N/A</v>
      </c>
      <c r="AW514" s="121" t="e">
        <v>#N/A</v>
      </c>
      <c r="AX514" s="115">
        <f>AN514-AP514</f>
      </c>
    </row>
    <row r="515" spans="1:50" ht="15" hidden="1" customHeight="1" x14ac:dyDescent="0.3">
      <c r="A515" s="94" t="s">
        <v>268</v>
      </c>
      <c r="B515" s="94"/>
      <c r="C515" s="94"/>
      <c r="D515" s="94"/>
      <c r="E515" s="94"/>
      <c r="F515" s="94"/>
      <c r="G515" s="112">
        <f>AU515</f>
      </c>
      <c r="H515" s="113"/>
      <c r="I515" s="94" t="s">
        <v>278</v>
      </c>
      <c r="J515" s="94" t="s">
        <v>317</v>
      </c>
      <c r="K515" s="114">
        <f>P515/3</f>
      </c>
      <c r="L515" s="115">
        <v>-1.7</v>
      </c>
      <c r="M515" s="116">
        <f>L515</f>
      </c>
      <c r="N515" s="117">
        <f>M515-L515</f>
      </c>
      <c r="O515" s="112"/>
      <c r="P515" s="118">
        <f>N515+O515</f>
      </c>
      <c r="Q515" s="94" t="s">
        <v>343</v>
      </c>
      <c r="R515" s="94" t="s">
        <v>63</v>
      </c>
      <c r="S515" s="119">
        <v>46320</v>
      </c>
      <c r="T515" s="119"/>
      <c r="U515" s="119">
        <v>46320</v>
      </c>
      <c r="V515" s="94"/>
      <c r="W515" s="94"/>
      <c r="X515" s="94"/>
      <c r="Y515" s="119">
        <v>46320</v>
      </c>
      <c r="Z515" s="94"/>
      <c r="AA515" s="120"/>
      <c r="AB515" s="120"/>
      <c r="AC515" s="120"/>
      <c r="AD515" s="120"/>
      <c r="AE515" s="120"/>
      <c r="AF515" s="120"/>
      <c r="AG515" s="94"/>
      <c r="AH515" s="120"/>
      <c r="AI515" s="94"/>
      <c r="AJ515" s="94" t="s">
        <v>343</v>
      </c>
      <c r="AK515" s="94" t="s">
        <v>317</v>
      </c>
      <c r="AL515" s="94">
        <v>120</v>
      </c>
      <c r="AM515" s="94" t="str">
        <f>TRIM(AJ515)&amp;TRIM(AL515)&amp;TRIM(AK515)</f>
      </c>
      <c r="AN515" s="116">
        <v>92</v>
      </c>
      <c r="AO515" s="116">
        <v>-4</v>
      </c>
      <c r="AP515" s="116">
        <f>SUMIFS(M:M,AM:AM,AM515)+SUMIFS(O:O,AM:AM,AM515)</f>
      </c>
      <c r="AQ515" s="116">
        <f>SUMIFS(L:L,AM:AM,AM515)</f>
      </c>
      <c r="AR515" s="116">
        <f>AQ515-AP515</f>
      </c>
      <c r="AS515" s="94" t="str">
        <f>IF(AN515&gt;=AQ515,"ok","ck")</f>
      </c>
      <c r="AT515" s="116">
        <f>-P515</f>
      </c>
      <c r="AU515" s="115">
        <f>IF(SUMIFS(AT:AT,AM:AM,AM515)&gt;AO515,(SUMIFS(AT:AT,AM:AM,AM515)-AO515))</f>
      </c>
      <c r="AV515" s="116">
        <v>92</v>
      </c>
      <c r="AW515" s="121">
        <v>1.045</v>
      </c>
      <c r="AX515" s="115">
        <f>AN515-AP515</f>
      </c>
    </row>
    <row r="516" spans="1:50" ht="15" hidden="1" customHeight="1" x14ac:dyDescent="0.3">
      <c r="A516" s="94" t="s">
        <v>268</v>
      </c>
      <c r="B516" s="94"/>
      <c r="C516" s="94"/>
      <c r="D516" s="94"/>
      <c r="E516" s="94"/>
      <c r="F516" s="94"/>
      <c r="G516" s="112">
        <f>AU516</f>
      </c>
      <c r="H516" s="113"/>
      <c r="I516" s="94" t="s">
        <v>278</v>
      </c>
      <c r="J516" s="94" t="s">
        <v>317</v>
      </c>
      <c r="K516" s="114">
        <f>P516/3</f>
      </c>
      <c r="L516" s="115">
        <v>0</v>
      </c>
      <c r="M516" s="116">
        <f>L516</f>
      </c>
      <c r="N516" s="117">
        <f>M516-L516</f>
      </c>
      <c r="O516" s="112"/>
      <c r="P516" s="118">
        <f>N516+O516</f>
      </c>
      <c r="Q516" s="94" t="s">
        <v>343</v>
      </c>
      <c r="R516" s="94" t="s">
        <v>63</v>
      </c>
      <c r="S516" s="119">
        <v>46323</v>
      </c>
      <c r="T516" s="119"/>
      <c r="U516" s="119">
        <v>46323</v>
      </c>
      <c r="V516" s="94"/>
      <c r="W516" s="94"/>
      <c r="X516" s="94"/>
      <c r="Y516" s="119">
        <v>46323</v>
      </c>
      <c r="Z516" s="94"/>
      <c r="AA516" s="120"/>
      <c r="AB516" s="120"/>
      <c r="AC516" s="120"/>
      <c r="AD516" s="120"/>
      <c r="AE516" s="120"/>
      <c r="AF516" s="120"/>
      <c r="AG516" s="94"/>
      <c r="AH516" s="120"/>
      <c r="AI516" s="94"/>
      <c r="AJ516" s="94" t="s">
        <v>343</v>
      </c>
      <c r="AK516" s="94" t="s">
        <v>317</v>
      </c>
      <c r="AL516" s="94">
        <v>120</v>
      </c>
      <c r="AM516" s="94" t="str">
        <f>TRIM(AJ516)&amp;TRIM(AL516)&amp;TRIM(AK516)</f>
      </c>
      <c r="AN516" s="116">
        <v>92</v>
      </c>
      <c r="AO516" s="116">
        <v>-4</v>
      </c>
      <c r="AP516" s="116">
        <f>SUMIFS(M:M,AM:AM,AM516)+SUMIFS(O:O,AM:AM,AM516)</f>
      </c>
      <c r="AQ516" s="116">
        <f>SUMIFS(L:L,AM:AM,AM516)</f>
      </c>
      <c r="AR516" s="116">
        <f>AQ516-AP516</f>
      </c>
      <c r="AS516" s="94" t="str">
        <f>IF(AN516&gt;=AQ516,"ok","ck")</f>
      </c>
      <c r="AT516" s="116">
        <f>-P516</f>
      </c>
      <c r="AU516" s="115">
        <f>IF(SUMIFS(AT:AT,AM:AM,AM516)&gt;AO516,(SUMIFS(AT:AT,AM:AM,AM516)-AO516))</f>
      </c>
      <c r="AV516" s="116">
        <v>92</v>
      </c>
      <c r="AW516" s="121">
        <v>1.045</v>
      </c>
      <c r="AX516" s="115">
        <f>AN516-AP516</f>
      </c>
    </row>
    <row r="517" spans="1:50" ht="15" customHeight="1" x14ac:dyDescent="0.3">
      <c r="A517" s="94" t="s">
        <v>862</v>
      </c>
      <c r="B517" s="94"/>
      <c r="C517" s="94"/>
      <c r="D517" s="94"/>
      <c r="E517" s="94"/>
      <c r="F517" s="94"/>
      <c r="G517" s="112">
        <f>AU517</f>
      </c>
      <c r="H517" s="113"/>
      <c r="I517" s="94" t="s">
        <v>278</v>
      </c>
      <c r="J517" s="94" t="s">
        <v>267</v>
      </c>
      <c r="K517" s="114">
        <f>P517/3</f>
      </c>
      <c r="L517" s="115">
        <v>120.514</v>
      </c>
      <c r="M517" s="116">
        <v>120.514</v>
      </c>
      <c r="N517" s="117">
        <f>M517-L517</f>
      </c>
      <c r="O517" s="112"/>
      <c r="P517" s="118">
        <f>N517+O517</f>
      </c>
      <c r="Q517" s="94"/>
      <c r="R517" s="94" t="s">
        <v>63</v>
      </c>
      <c r="S517" s="119">
        <v>46329</v>
      </c>
      <c r="T517" s="119"/>
      <c r="U517" s="119" t="s">
        <v>631</v>
      </c>
      <c r="V517" s="94"/>
      <c r="W517" s="94"/>
      <c r="X517" s="94"/>
      <c r="Y517" s="119">
        <v>46320</v>
      </c>
      <c r="Z517" s="94"/>
      <c r="AA517" s="120"/>
      <c r="AB517" s="120"/>
      <c r="AC517" s="120"/>
      <c r="AD517" s="120"/>
      <c r="AE517" s="120"/>
      <c r="AF517" s="120"/>
      <c r="AG517" s="94"/>
      <c r="AH517" s="120"/>
      <c r="AI517" s="94"/>
      <c r="AJ517" s="94"/>
      <c r="AK517" s="94"/>
      <c r="AL517" s="94">
        <v>120</v>
      </c>
      <c r="AM517" s="94" t="str">
        <f>TRIM(AJ517)&amp;TRIM(AL517)&amp;TRIM(AK517)</f>
      </c>
      <c r="AN517" s="116">
        <v>0</v>
      </c>
      <c r="AO517" s="116" t="inlineStr">
        <is>
          <t>#NA</t>
        </is>
      </c>
      <c r="AP517" s="116">
        <f>SUMIFS(M:M,AM:AM,AM517)+SUMIFS(O:O,AM:AM,AM517)</f>
      </c>
      <c r="AQ517" s="116">
        <f>SUMIFS(L:L,AM:AM,AM517)</f>
      </c>
      <c r="AR517" s="116">
        <f>AQ517-AP517</f>
      </c>
      <c r="AS517" s="94" t="str">
        <f>IF(AN517&gt;=AQ517,"ok","ck")</f>
      </c>
      <c r="AT517" s="116">
        <f>-P517</f>
      </c>
      <c r="AU517" s="115">
        <f>IF(SUMIFS(AT:AT,AM:AM,AM517)&gt;AO517,(SUMIFS(AT:AT,AM:AM,AM517)-AO517))</f>
      </c>
      <c r="AV517" s="116" t="e">
        <v>#N/A</v>
      </c>
      <c r="AW517" s="121" t="e">
        <v>#N/A</v>
      </c>
      <c r="AX517" s="115">
        <f>AN517-AP517</f>
      </c>
    </row>
    <row r="518" spans="1:50" ht="15" hidden="1" customHeight="1" x14ac:dyDescent="0.3">
      <c r="A518" s="94" t="s">
        <v>82</v>
      </c>
      <c r="B518" s="94"/>
      <c r="C518" s="94"/>
      <c r="D518" s="94"/>
      <c r="E518" s="94"/>
      <c r="F518" s="94"/>
      <c r="G518" s="112">
        <f>AU518</f>
      </c>
      <c r="H518" s="113"/>
      <c r="I518" s="94" t="s">
        <v>83</v>
      </c>
      <c r="J518" s="94" t="s">
        <v>102</v>
      </c>
      <c r="K518" s="114">
        <f>P518/3</f>
      </c>
      <c r="L518" s="115">
        <v>954.72</v>
      </c>
      <c r="M518" s="116"/>
      <c r="N518" s="117">
        <f>M518-L518</f>
      </c>
      <c r="O518" s="112"/>
      <c r="P518" s="118">
        <f>N518+O518</f>
      </c>
      <c r="Q518" s="94" t="s">
        <v>855</v>
      </c>
      <c r="R518" s="94" t="s">
        <v>63</v>
      </c>
      <c r="S518" s="119">
        <v>46330</v>
      </c>
      <c r="T518" s="119"/>
      <c r="U518" s="119">
        <v>46330</v>
      </c>
      <c r="V518" s="94"/>
      <c r="W518" s="94"/>
      <c r="X518" s="94"/>
      <c r="Y518" s="119">
        <v>46320</v>
      </c>
      <c r="Z518" s="94"/>
      <c r="AA518" s="120"/>
      <c r="AB518" s="120"/>
      <c r="AC518" s="120"/>
      <c r="AD518" s="120"/>
      <c r="AE518" s="120"/>
      <c r="AF518" s="120"/>
      <c r="AG518" s="94"/>
      <c r="AH518" s="120"/>
      <c r="AI518" s="94"/>
      <c r="AJ518" s="94" t="s">
        <v>804</v>
      </c>
      <c r="AK518" s="94" t="s">
        <v>103</v>
      </c>
      <c r="AL518" s="94">
        <v>160</v>
      </c>
      <c r="AM518" s="94" t="str">
        <f>TRIM(AJ518)&amp;TRIM(AL518)&amp;TRIM(AK518)</f>
      </c>
      <c r="AN518" s="116">
        <v>67893.46</v>
      </c>
      <c r="AO518" s="116">
        <v>972.53</v>
      </c>
      <c r="AP518" s="116">
        <f>SUMIFS(M:M,AM:AM,AM518)+SUMIFS(O:O,AM:AM,AM518)</f>
      </c>
      <c r="AQ518" s="116">
        <f>SUMIFS(L:L,AM:AM,AM518)</f>
      </c>
      <c r="AR518" s="116">
        <f>AQ518-AP518</f>
      </c>
      <c r="AS518" s="94" t="str">
        <f>IF(AN518&gt;=AQ518,"ok","ck")</f>
      </c>
      <c r="AT518" s="116">
        <f>-P518</f>
      </c>
      <c r="AU518" s="115">
        <f>IF(SUMIFS(AT:AT,AM:AM,AM518)&gt;AO518,(SUMIFS(AT:AT,AM:AM,AM518)-AO518))</f>
      </c>
      <c r="AV518" s="116">
        <v>32097</v>
      </c>
      <c r="AW518" s="121">
        <v>0.912</v>
      </c>
      <c r="AX518" s="115">
        <f>AN518-AP518</f>
      </c>
    </row>
    <row r="519" spans="1:50" ht="15" hidden="1" customHeight="1" x14ac:dyDescent="0.3">
      <c r="A519" s="94" t="s">
        <v>263</v>
      </c>
      <c r="B519" s="94"/>
      <c r="C519" s="94"/>
      <c r="D519" s="94"/>
      <c r="E519" s="94"/>
      <c r="F519" s="94"/>
      <c r="G519" s="112">
        <f>AU519</f>
      </c>
      <c r="H519" s="113"/>
      <c r="I519" s="94" t="s">
        <v>264</v>
      </c>
      <c r="J519" s="94" t="s">
        <v>265</v>
      </c>
      <c r="K519" s="114">
        <f>P519/3</f>
      </c>
      <c r="L519" s="115">
        <v>0</v>
      </c>
      <c r="M519" s="116">
        <f>L519</f>
      </c>
      <c r="N519" s="117">
        <f>M519-L519</f>
      </c>
      <c r="O519" s="112"/>
      <c r="P519" s="118">
        <f>N519+O519</f>
      </c>
      <c r="Q519" s="94" t="s">
        <v>788</v>
      </c>
      <c r="R519" s="94" t="s">
        <v>63</v>
      </c>
      <c r="S519" s="119">
        <v>46336</v>
      </c>
      <c r="T519" s="119"/>
      <c r="U519" s="119">
        <v>46336</v>
      </c>
      <c r="V519" s="94"/>
      <c r="W519" s="94"/>
      <c r="X519" s="94"/>
      <c r="Y519" s="119">
        <v>46336</v>
      </c>
      <c r="Z519" s="94"/>
      <c r="AA519" s="120"/>
      <c r="AB519" s="120"/>
      <c r="AC519" s="120"/>
      <c r="AD519" s="120"/>
      <c r="AE519" s="120"/>
      <c r="AF519" s="120"/>
      <c r="AG519" s="94"/>
      <c r="AH519" s="120"/>
      <c r="AI519" s="94"/>
      <c r="AJ519" s="94" t="s">
        <v>788</v>
      </c>
      <c r="AK519" s="94" t="s">
        <v>267</v>
      </c>
      <c r="AL519" s="94">
        <v>120</v>
      </c>
      <c r="AM519" s="94" t="str">
        <f>TRIM(AJ519)&amp;TRIM(AL519)&amp;TRIM(AK519)</f>
      </c>
      <c r="AN519" s="116">
        <v>1010</v>
      </c>
      <c r="AO519" s="116">
        <v>-19</v>
      </c>
      <c r="AP519" s="116">
        <f>SUMIFS(M:M,AM:AM,AM519)+SUMIFS(O:O,AM:AM,AM519)</f>
      </c>
      <c r="AQ519" s="116">
        <f>SUMIFS(L:L,AM:AM,AM519)</f>
      </c>
      <c r="AR519" s="116">
        <f>AQ519-AP519</f>
      </c>
      <c r="AS519" s="94" t="str">
        <f>IF(AN519&gt;=AQ519,"ok","ck")</f>
      </c>
      <c r="AT519" s="116">
        <f>-P519</f>
      </c>
      <c r="AU519" s="115">
        <f>IF(SUMIFS(AT:AT,AM:AM,AM519)&gt;AO519,(SUMIFS(AT:AT,AM:AM,AM519)-AO519))</f>
      </c>
      <c r="AV519" s="116">
        <v>1010</v>
      </c>
      <c r="AW519" s="121">
        <v>1.019</v>
      </c>
      <c r="AX519" s="115">
        <f>AN519-AP519</f>
      </c>
    </row>
    <row r="520" spans="1:50" ht="15" hidden="1" customHeight="1" x14ac:dyDescent="0.3">
      <c r="A520" s="94" t="s">
        <v>263</v>
      </c>
      <c r="B520" s="94"/>
      <c r="C520" s="94"/>
      <c r="D520" s="94"/>
      <c r="E520" s="94"/>
      <c r="F520" s="94"/>
      <c r="G520" s="112">
        <f>AU520</f>
      </c>
      <c r="H520" s="113"/>
      <c r="I520" s="94" t="s">
        <v>264</v>
      </c>
      <c r="J520" s="94" t="s">
        <v>265</v>
      </c>
      <c r="K520" s="114">
        <f>P520/3</f>
      </c>
      <c r="L520" s="115">
        <v>0</v>
      </c>
      <c r="M520" s="116">
        <f>L520</f>
      </c>
      <c r="N520" s="117">
        <f>M520-L520</f>
      </c>
      <c r="O520" s="112"/>
      <c r="P520" s="118">
        <f>N520+O520</f>
      </c>
      <c r="Q520" s="94" t="s">
        <v>788</v>
      </c>
      <c r="R520" s="94" t="s">
        <v>63</v>
      </c>
      <c r="S520" s="119">
        <v>46343</v>
      </c>
      <c r="T520" s="119"/>
      <c r="U520" s="119">
        <v>46343</v>
      </c>
      <c r="V520" s="94"/>
      <c r="W520" s="94"/>
      <c r="X520" s="94"/>
      <c r="Y520" s="119">
        <v>46343</v>
      </c>
      <c r="Z520" s="94"/>
      <c r="AA520" s="120"/>
      <c r="AB520" s="120"/>
      <c r="AC520" s="120"/>
      <c r="AD520" s="120"/>
      <c r="AE520" s="120"/>
      <c r="AF520" s="120"/>
      <c r="AG520" s="94"/>
      <c r="AH520" s="120"/>
      <c r="AI520" s="94"/>
      <c r="AJ520" s="94" t="s">
        <v>788</v>
      </c>
      <c r="AK520" s="94" t="s">
        <v>267</v>
      </c>
      <c r="AL520" s="94">
        <v>120</v>
      </c>
      <c r="AM520" s="94" t="str">
        <f>TRIM(AJ520)&amp;TRIM(AL520)&amp;TRIM(AK520)</f>
      </c>
      <c r="AN520" s="116">
        <v>1010</v>
      </c>
      <c r="AO520" s="116">
        <v>-19</v>
      </c>
      <c r="AP520" s="116">
        <f>SUMIFS(M:M,AM:AM,AM520)+SUMIFS(O:O,AM:AM,AM520)</f>
      </c>
      <c r="AQ520" s="116">
        <f>SUMIFS(L:L,AM:AM,AM520)</f>
      </c>
      <c r="AR520" s="116">
        <f>AQ520-AP520</f>
      </c>
      <c r="AS520" s="94" t="str">
        <f>IF(AN520&gt;=AQ520,"ok","ck")</f>
      </c>
      <c r="AT520" s="116">
        <f>-P520</f>
      </c>
      <c r="AU520" s="115">
        <f>IF(SUMIFS(AT:AT,AM:AM,AM520)&gt;AO520,(SUMIFS(AT:AT,AM:AM,AM520)-AO520))</f>
      </c>
      <c r="AV520" s="116">
        <v>1010</v>
      </c>
      <c r="AW520" s="121">
        <v>1.019</v>
      </c>
      <c r="AX520" s="115">
        <f>AN520-AP520</f>
      </c>
    </row>
    <row r="521" spans="1:50" ht="15" hidden="1" customHeight="1" x14ac:dyDescent="0.3">
      <c r="A521" s="94" t="s">
        <v>268</v>
      </c>
      <c r="B521" s="94"/>
      <c r="C521" s="94"/>
      <c r="D521" s="94"/>
      <c r="E521" s="94"/>
      <c r="F521" s="94"/>
      <c r="G521" s="112">
        <f>AU521</f>
      </c>
      <c r="H521" s="113"/>
      <c r="I521" s="94" t="s">
        <v>390</v>
      </c>
      <c r="J521" s="94" t="s">
        <v>333</v>
      </c>
      <c r="K521" s="114">
        <f>P521/3</f>
      </c>
      <c r="L521" s="115">
        <v>2736.2159999999999</v>
      </c>
      <c r="M521" s="116"/>
      <c r="N521" s="117">
        <f>M521-L521</f>
      </c>
      <c r="O521" s="112"/>
      <c r="P521" s="118">
        <f>N521+O521</f>
      </c>
      <c r="Q521" s="94" t="s">
        <v>305</v>
      </c>
      <c r="R521" s="94" t="s">
        <v>63</v>
      </c>
      <c r="S521" s="119">
        <v>46339</v>
      </c>
      <c r="T521" s="119"/>
      <c r="U521" s="119" t="s">
        <v>648</v>
      </c>
      <c r="V521" s="94"/>
      <c r="W521" s="94"/>
      <c r="X521" s="94"/>
      <c r="Y521" s="119">
        <v>46327</v>
      </c>
      <c r="Z521" s="94"/>
      <c r="AA521" s="120"/>
      <c r="AB521" s="120"/>
      <c r="AC521" s="120"/>
      <c r="AD521" s="120"/>
      <c r="AE521" s="120"/>
      <c r="AF521" s="120"/>
      <c r="AG521" s="94"/>
      <c r="AH521" s="120"/>
      <c r="AI521" s="94"/>
      <c r="AJ521" s="94" t="s">
        <v>305</v>
      </c>
      <c r="AK521" s="94" t="s">
        <v>334</v>
      </c>
      <c r="AL521" s="94">
        <v>140</v>
      </c>
      <c r="AM521" s="94" t="str">
        <f>TRIM(AJ521)&amp;TRIM(AL521)&amp;TRIM(AK521)</f>
      </c>
      <c r="AN521" s="116">
        <v>0</v>
      </c>
      <c r="AO521" s="116" t="inlineStr">
        <is>
          <t>#NA</t>
        </is>
      </c>
      <c r="AP521" s="116">
        <f>SUMIFS(M:M,AM:AM,AM521)+SUMIFS(O:O,AM:AM,AM521)</f>
      </c>
      <c r="AQ521" s="116">
        <f>SUMIFS(L:L,AM:AM,AM521)</f>
      </c>
      <c r="AR521" s="116">
        <f>AQ521-AP521</f>
      </c>
      <c r="AS521" s="94" t="str">
        <f>IF(AN521&gt;=AQ521,"ok","ck")</f>
      </c>
      <c r="AT521" s="116">
        <f>-P521</f>
      </c>
      <c r="AU521" s="115">
        <f>IF(SUMIFS(AT:AT,AM:AM,AM521)&gt;AO521,(SUMIFS(AT:AT,AM:AM,AM521)-AO521))</f>
      </c>
      <c r="AV521" s="116">
        <v>0</v>
      </c>
      <c r="AW521" s="121">
        <v>0</v>
      </c>
      <c r="AX521" s="115">
        <f>AN521-AP521</f>
      </c>
    </row>
    <row r="522" spans="1:50" ht="15" hidden="1" customHeight="1" x14ac:dyDescent="0.3">
      <c r="A522" s="94" t="s">
        <v>268</v>
      </c>
      <c r="B522" s="94"/>
      <c r="C522" s="94"/>
      <c r="D522" s="94"/>
      <c r="E522" s="94"/>
      <c r="F522" s="94"/>
      <c r="G522" s="112">
        <f>AU522</f>
      </c>
      <c r="H522" s="113"/>
      <c r="I522" s="94" t="s">
        <v>278</v>
      </c>
      <c r="J522" s="94" t="s">
        <v>322</v>
      </c>
      <c r="K522" s="114">
        <f>P522/3</f>
      </c>
      <c r="L522" s="115">
        <v>33.299999999999997</v>
      </c>
      <c r="M522" s="116">
        <f>L522</f>
      </c>
      <c r="N522" s="117">
        <f>M522-L522</f>
      </c>
      <c r="O522" s="112"/>
      <c r="P522" s="118">
        <f>N522+O522</f>
      </c>
      <c r="Q522" s="94" t="s">
        <v>305</v>
      </c>
      <c r="R522" s="94" t="s">
        <v>63</v>
      </c>
      <c r="S522" s="119">
        <v>46334</v>
      </c>
      <c r="T522" s="119"/>
      <c r="U522" s="119">
        <v>46334</v>
      </c>
      <c r="V522" s="94"/>
      <c r="W522" s="94"/>
      <c r="X522" s="94"/>
      <c r="Y522" s="119">
        <v>46334</v>
      </c>
      <c r="Z522" s="94"/>
      <c r="AA522" s="120"/>
      <c r="AB522" s="120"/>
      <c r="AC522" s="120"/>
      <c r="AD522" s="120"/>
      <c r="AE522" s="120"/>
      <c r="AF522" s="120"/>
      <c r="AG522" s="94"/>
      <c r="AH522" s="120"/>
      <c r="AI522" s="94"/>
      <c r="AJ522" s="94" t="s">
        <v>305</v>
      </c>
      <c r="AK522" s="94" t="s">
        <v>323</v>
      </c>
      <c r="AL522" s="94">
        <v>120</v>
      </c>
      <c r="AM522" s="94" t="str">
        <f>TRIM(AJ522)&amp;TRIM(AL522)&amp;TRIM(AK522)</f>
      </c>
      <c r="AN522" s="116">
        <v>647.67</v>
      </c>
      <c r="AO522" s="116">
        <v>7.33</v>
      </c>
      <c r="AP522" s="116">
        <f>SUMIFS(M:M,AM:AM,AM522)+SUMIFS(O:O,AM:AM,AM522)</f>
      </c>
      <c r="AQ522" s="116">
        <f>SUMIFS(L:L,AM:AM,AM522)</f>
      </c>
      <c r="AR522" s="116">
        <f>AQ522-AP522</f>
      </c>
      <c r="AS522" s="94" t="str">
        <f>IF(AN522&gt;=AQ522,"ok","ck")</f>
      </c>
      <c r="AT522" s="116">
        <f>-P522</f>
      </c>
      <c r="AU522" s="115">
        <f>IF(SUMIFS(AT:AT,AM:AM,AM522)&gt;AO522,(SUMIFS(AT:AT,AM:AM,AM522)-AO522))</f>
      </c>
      <c r="AV522" s="116">
        <v>647.67</v>
      </c>
      <c r="AW522" s="121">
        <v>0.989</v>
      </c>
      <c r="AX522" s="115">
        <f>AN522-AP522</f>
      </c>
    </row>
    <row r="523" spans="1:50" ht="15" hidden="1" customHeight="1" x14ac:dyDescent="0.3">
      <c r="A523" s="94" t="s">
        <v>311</v>
      </c>
      <c r="B523" s="94"/>
      <c r="C523" s="94"/>
      <c r="D523" s="94"/>
      <c r="E523" s="94"/>
      <c r="F523" s="94"/>
      <c r="G523" s="112">
        <f>AU523</f>
      </c>
      <c r="H523" s="113"/>
      <c r="I523" s="94" t="s">
        <v>312</v>
      </c>
      <c r="J523" s="94" t="s">
        <v>533</v>
      </c>
      <c r="K523" s="114">
        <f>P523/3</f>
      </c>
      <c r="L523" s="115">
        <v>-2.73</v>
      </c>
      <c r="M523" s="116">
        <f>L523</f>
      </c>
      <c r="N523" s="117">
        <f>M523-L523</f>
      </c>
      <c r="O523" s="112"/>
      <c r="P523" s="118">
        <f>N523+O523</f>
      </c>
      <c r="Q523" s="94" t="s">
        <v>799</v>
      </c>
      <c r="R523" s="94" t="s">
        <v>63</v>
      </c>
      <c r="S523" s="119">
        <v>46326</v>
      </c>
      <c r="T523" s="119"/>
      <c r="U523" s="119">
        <v>46326</v>
      </c>
      <c r="V523" s="94"/>
      <c r="W523" s="94"/>
      <c r="X523" s="94"/>
      <c r="Y523" s="119">
        <v>46326</v>
      </c>
      <c r="Z523" s="94"/>
      <c r="AA523" s="120"/>
      <c r="AB523" s="120"/>
      <c r="AC523" s="120"/>
      <c r="AD523" s="120"/>
      <c r="AE523" s="120"/>
      <c r="AF523" s="120"/>
      <c r="AG523" s="94"/>
      <c r="AH523" s="120"/>
      <c r="AI523" s="94"/>
      <c r="AJ523" s="94" t="s">
        <v>799</v>
      </c>
      <c r="AK523" s="94" t="s">
        <v>718</v>
      </c>
      <c r="AL523" s="94">
        <v>150</v>
      </c>
      <c r="AM523" s="94" t="str">
        <f>TRIM(AJ523)&amp;TRIM(AL523)&amp;TRIM(AK523)</f>
      </c>
      <c r="AN523" s="116">
        <v>836</v>
      </c>
      <c r="AO523" s="116">
        <v>-2</v>
      </c>
      <c r="AP523" s="116">
        <f>SUMIFS(M:M,AM:AM,AM523)+SUMIFS(O:O,AM:AM,AM523)</f>
      </c>
      <c r="AQ523" s="116">
        <f>SUMIFS(L:L,AM:AM,AM523)</f>
      </c>
      <c r="AR523" s="116">
        <f>AQ523-AP523</f>
      </c>
      <c r="AS523" s="94" t="str">
        <f>IF(AN523&gt;=AQ523,"ok","ck")</f>
      </c>
      <c r="AT523" s="116">
        <f>-P523</f>
      </c>
      <c r="AU523" s="115">
        <f>IF(SUMIFS(AT:AT,AM:AM,AM523)&gt;AO523,(SUMIFS(AT:AT,AM:AM,AM523)-AO523))</f>
      </c>
      <c r="AV523" s="116">
        <v>836</v>
      </c>
      <c r="AW523" s="121">
        <v>1.002</v>
      </c>
      <c r="AX523" s="115">
        <f>AN523-AP523</f>
      </c>
    </row>
    <row r="524" spans="1:50" ht="15" hidden="1" customHeight="1" x14ac:dyDescent="0.3">
      <c r="A524" s="94" t="s">
        <v>480</v>
      </c>
      <c r="B524" s="94"/>
      <c r="C524" s="94"/>
      <c r="D524" s="94"/>
      <c r="E524" s="94"/>
      <c r="F524" s="94"/>
      <c r="G524" s="112">
        <f>AU524</f>
      </c>
      <c r="H524" s="113"/>
      <c r="I524" s="94" t="s">
        <v>486</v>
      </c>
      <c r="J524" s="94" t="s">
        <v>513</v>
      </c>
      <c r="K524" s="114">
        <f>P524/3</f>
      </c>
      <c r="L524" s="115">
        <v>39.332999999999998</v>
      </c>
      <c r="M524" s="116"/>
      <c r="N524" s="117">
        <f>M524-L524</f>
      </c>
      <c r="O524" s="112"/>
      <c r="P524" s="118">
        <f>N524+O524</f>
      </c>
      <c r="Q524" s="94" t="s">
        <v>782</v>
      </c>
      <c r="R524" s="94" t="s">
        <v>63</v>
      </c>
      <c r="S524" s="119">
        <v>46332</v>
      </c>
      <c r="T524" s="119"/>
      <c r="U524" s="120">
        <v>46332</v>
      </c>
      <c r="V524" s="94"/>
      <c r="W524" s="94"/>
      <c r="X524" s="94"/>
      <c r="Y524" s="119">
        <v>46330</v>
      </c>
      <c r="Z524" s="94"/>
      <c r="AA524" s="120"/>
      <c r="AB524" s="120"/>
      <c r="AC524" s="120"/>
      <c r="AD524" s="120"/>
      <c r="AE524" s="120"/>
      <c r="AF524" s="120"/>
      <c r="AG524" s="94"/>
      <c r="AH524" s="120"/>
      <c r="AI524" s="94"/>
      <c r="AJ524" s="94" t="s">
        <v>782</v>
      </c>
      <c r="AK524" s="94" t="s">
        <v>707</v>
      </c>
      <c r="AL524" s="94">
        <v>165</v>
      </c>
      <c r="AM524" s="94" t="str">
        <f>TRIM(AJ524)&amp;TRIM(AL524)&amp;TRIM(AK524)</f>
      </c>
      <c r="AN524" s="116">
        <v>0</v>
      </c>
      <c r="AO524" s="116" t="inlineStr">
        <is>
          <t>#NA</t>
        </is>
      </c>
      <c r="AP524" s="116">
        <f>SUMIFS(M:M,AM:AM,AM524)+SUMIFS(O:O,AM:AM,AM524)</f>
      </c>
      <c r="AQ524" s="116">
        <f>SUMIFS(L:L,AM:AM,AM524)</f>
      </c>
      <c r="AR524" s="116">
        <f>AQ524-AP524</f>
      </c>
      <c r="AS524" s="94" t="str">
        <f>IF(AN524&gt;=AQ524,"ok","ck")</f>
      </c>
      <c r="AT524" s="116">
        <f>-P524</f>
      </c>
      <c r="AU524" s="115">
        <f>IF(SUMIFS(AT:AT,AM:AM,AM524)&gt;AO524,(SUMIFS(AT:AT,AM:AM,AM524)-AO524))</f>
      </c>
      <c r="AV524" s="116">
        <v>0</v>
      </c>
      <c r="AW524" s="121">
        <v>0</v>
      </c>
      <c r="AX524" s="115">
        <f>AN524-AP524</f>
      </c>
    </row>
    <row r="525" spans="1:50" ht="15" hidden="1" customHeight="1" x14ac:dyDescent="0.3">
      <c r="A525" s="94" t="s">
        <v>480</v>
      </c>
      <c r="B525" s="94"/>
      <c r="C525" s="94"/>
      <c r="D525" s="94"/>
      <c r="E525" s="94"/>
      <c r="F525" s="94"/>
      <c r="G525" s="112">
        <f>AU525</f>
      </c>
      <c r="H525" s="113"/>
      <c r="I525" s="94" t="s">
        <v>486</v>
      </c>
      <c r="J525" s="94" t="s">
        <v>513</v>
      </c>
      <c r="K525" s="114">
        <f>P525/3</f>
      </c>
      <c r="L525" s="115">
        <v>6.742</v>
      </c>
      <c r="M525" s="116"/>
      <c r="N525" s="117">
        <f>M525-L525</f>
      </c>
      <c r="O525" s="112"/>
      <c r="P525" s="118">
        <f>N525+O525</f>
      </c>
      <c r="Q525" s="94" t="s">
        <v>782</v>
      </c>
      <c r="R525" s="94" t="s">
        <v>63</v>
      </c>
      <c r="S525" s="119">
        <v>46332</v>
      </c>
      <c r="T525" s="119"/>
      <c r="U525" s="120">
        <v>46332</v>
      </c>
      <c r="V525" s="94"/>
      <c r="W525" s="94"/>
      <c r="X525" s="94"/>
      <c r="Y525" s="119">
        <v>46330</v>
      </c>
      <c r="Z525" s="94"/>
      <c r="AA525" s="120"/>
      <c r="AB525" s="120"/>
      <c r="AC525" s="120"/>
      <c r="AD525" s="120"/>
      <c r="AE525" s="120"/>
      <c r="AF525" s="120"/>
      <c r="AG525" s="94"/>
      <c r="AH525" s="120"/>
      <c r="AI525" s="94"/>
      <c r="AJ525" s="94" t="s">
        <v>782</v>
      </c>
      <c r="AK525" s="94" t="s">
        <v>707</v>
      </c>
      <c r="AL525" s="94">
        <v>165</v>
      </c>
      <c r="AM525" s="94" t="str">
        <f>TRIM(AJ525)&amp;TRIM(AL525)&amp;TRIM(AK525)</f>
      </c>
      <c r="AN525" s="116">
        <v>0</v>
      </c>
      <c r="AO525" s="116" t="inlineStr">
        <is>
          <t>#NA</t>
        </is>
      </c>
      <c r="AP525" s="116">
        <f>SUMIFS(M:M,AM:AM,AM525)+SUMIFS(O:O,AM:AM,AM525)</f>
      </c>
      <c r="AQ525" s="116">
        <f>SUMIFS(L:L,AM:AM,AM525)</f>
      </c>
      <c r="AR525" s="116">
        <f>AQ525-AP525</f>
      </c>
      <c r="AS525" s="94" t="str">
        <f>IF(AN525&gt;=AQ525,"ok","ck")</f>
      </c>
      <c r="AT525" s="116">
        <f>-P525</f>
      </c>
      <c r="AU525" s="115">
        <f>IF(SUMIFS(AT:AT,AM:AM,AM525)&gt;AO525,(SUMIFS(AT:AT,AM:AM,AM525)-AO525))</f>
      </c>
      <c r="AV525" s="116">
        <v>0</v>
      </c>
      <c r="AW525" s="121">
        <v>0</v>
      </c>
      <c r="AX525" s="115">
        <f>AN525-AP525</f>
      </c>
    </row>
    <row r="526" spans="1:50" ht="15" hidden="1" customHeight="1" x14ac:dyDescent="0.3">
      <c r="A526" s="94" t="s">
        <v>268</v>
      </c>
      <c r="B526" s="94"/>
      <c r="C526" s="94"/>
      <c r="D526" s="94"/>
      <c r="E526" s="94"/>
      <c r="F526" s="94"/>
      <c r="G526" s="112">
        <f>AU526</f>
      </c>
      <c r="H526" s="113"/>
      <c r="I526" s="94" t="s">
        <v>278</v>
      </c>
      <c r="J526" s="94" t="s">
        <v>507</v>
      </c>
      <c r="K526" s="114">
        <f>P526/3</f>
      </c>
      <c r="L526" s="115">
        <v>11.592000000000001</v>
      </c>
      <c r="M526" s="116"/>
      <c r="N526" s="117">
        <f>M526-L526</f>
      </c>
      <c r="O526" s="112"/>
      <c r="P526" s="118">
        <f>N526+O526</f>
      </c>
      <c r="Q526" s="94" t="s">
        <v>805</v>
      </c>
      <c r="R526" s="94" t="s">
        <v>63</v>
      </c>
      <c r="S526" s="119">
        <v>46345</v>
      </c>
      <c r="T526" s="119"/>
      <c r="U526" s="120">
        <v>46345</v>
      </c>
      <c r="V526" s="94"/>
      <c r="W526" s="94"/>
      <c r="X526" s="94"/>
      <c r="Y526" s="119">
        <v>46345</v>
      </c>
      <c r="Z526" s="94"/>
      <c r="AA526" s="120"/>
      <c r="AB526" s="120"/>
      <c r="AC526" s="120"/>
      <c r="AD526" s="120"/>
      <c r="AE526" s="120"/>
      <c r="AF526" s="120"/>
      <c r="AG526" s="94"/>
      <c r="AH526" s="120"/>
      <c r="AI526" s="94"/>
      <c r="AJ526" s="94" t="s">
        <v>805</v>
      </c>
      <c r="AK526" s="94" t="s">
        <v>701</v>
      </c>
      <c r="AL526" s="94">
        <v>120</v>
      </c>
      <c r="AM526" s="94" t="str">
        <f>TRIM(AJ526)&amp;TRIM(AL526)&amp;TRIM(AK526)</f>
      </c>
      <c r="AN526" s="116">
        <v>0</v>
      </c>
      <c r="AO526" s="116" t="inlineStr">
        <is>
          <t>#NA</t>
        </is>
      </c>
      <c r="AP526" s="116">
        <f>SUMIFS(M:M,AM:AM,AM526)+SUMIFS(O:O,AM:AM,AM526)</f>
      </c>
      <c r="AQ526" s="116">
        <f>SUMIFS(L:L,AM:AM,AM526)</f>
      </c>
      <c r="AR526" s="116">
        <f>AQ526-AP526</f>
      </c>
      <c r="AS526" s="94" t="str">
        <f>IF(AN526&gt;=AQ526,"ok","ck")</f>
      </c>
      <c r="AT526" s="116">
        <f>-P526</f>
      </c>
      <c r="AU526" s="115">
        <f>IF(SUMIFS(AT:AT,AM:AM,AM526)&gt;AO526,(SUMIFS(AT:AT,AM:AM,AM526)-AO526))</f>
      </c>
      <c r="AV526" s="116">
        <v>0</v>
      </c>
      <c r="AW526" s="121">
        <v>0</v>
      </c>
      <c r="AX526" s="115">
        <f>AN526-AP526</f>
      </c>
    </row>
    <row r="527" spans="1:50" ht="15" hidden="1" customHeight="1" x14ac:dyDescent="0.3">
      <c r="A527" s="94" t="s">
        <v>60</v>
      </c>
      <c r="B527" s="94"/>
      <c r="C527" s="94"/>
      <c r="D527" s="94"/>
      <c r="E527" s="94"/>
      <c r="F527" s="94"/>
      <c r="G527" s="112">
        <f>AU527</f>
      </c>
      <c r="H527" s="113"/>
      <c r="I527" s="94" t="s">
        <v>65</v>
      </c>
      <c r="J527" s="94" t="s">
        <v>504</v>
      </c>
      <c r="K527" s="114">
        <f>P527/3</f>
      </c>
      <c r="L527" s="115">
        <v>0.19600000000000001</v>
      </c>
      <c r="M527" s="116"/>
      <c r="N527" s="117">
        <f>M527-L527</f>
      </c>
      <c r="O527" s="112"/>
      <c r="P527" s="118">
        <f>N527+O527</f>
      </c>
      <c r="Q527" s="94" t="s">
        <v>785</v>
      </c>
      <c r="R527" s="94" t="s">
        <v>63</v>
      </c>
      <c r="S527" s="119">
        <v>46331</v>
      </c>
      <c r="T527" s="119"/>
      <c r="U527" s="120">
        <v>46331</v>
      </c>
      <c r="V527" s="94"/>
      <c r="W527" s="94"/>
      <c r="X527" s="94"/>
      <c r="Y527" s="119">
        <v>46331</v>
      </c>
      <c r="Z527" s="94"/>
      <c r="AA527" s="120"/>
      <c r="AB527" s="120"/>
      <c r="AC527" s="120"/>
      <c r="AD527" s="120"/>
      <c r="AE527" s="120"/>
      <c r="AF527" s="120"/>
      <c r="AG527" s="94"/>
      <c r="AH527" s="120"/>
      <c r="AI527" s="94"/>
      <c r="AJ527" s="94" t="s">
        <v>785</v>
      </c>
      <c r="AK527" s="94" t="s">
        <v>698</v>
      </c>
      <c r="AL527" s="94">
        <v>110</v>
      </c>
      <c r="AM527" s="94" t="str">
        <f>TRIM(AJ527)&amp;TRIM(AL527)&amp;TRIM(AK527)</f>
      </c>
      <c r="AN527" s="116">
        <v>0</v>
      </c>
      <c r="AO527" s="116" t="inlineStr">
        <is>
          <t>#NA</t>
        </is>
      </c>
      <c r="AP527" s="116">
        <f>SUMIFS(M:M,AM:AM,AM527)+SUMIFS(O:O,AM:AM,AM527)</f>
      </c>
      <c r="AQ527" s="116">
        <f>SUMIFS(L:L,AM:AM,AM527)</f>
      </c>
      <c r="AR527" s="116">
        <f>AQ527-AP527</f>
      </c>
      <c r="AS527" s="94" t="str">
        <f>IF(AN527&gt;=AQ527,"ok","ck")</f>
      </c>
      <c r="AT527" s="116">
        <f>-P527</f>
      </c>
      <c r="AU527" s="115">
        <f>IF(SUMIFS(AT:AT,AM:AM,AM527)&gt;AO527,(SUMIFS(AT:AT,AM:AM,AM527)-AO527))</f>
      </c>
      <c r="AV527" s="116">
        <v>0</v>
      </c>
      <c r="AW527" s="121">
        <v>0</v>
      </c>
      <c r="AX527" s="115">
        <f>AN527-AP527</f>
      </c>
    </row>
    <row r="528" spans="1:50" ht="15" hidden="1" customHeight="1" x14ac:dyDescent="0.3">
      <c r="A528" s="94" t="s">
        <v>288</v>
      </c>
      <c r="B528" s="94"/>
      <c r="C528" s="94"/>
      <c r="D528" s="94"/>
      <c r="E528" s="94"/>
      <c r="F528" s="94"/>
      <c r="G528" s="112">
        <f>AU528</f>
      </c>
      <c r="H528" s="113"/>
      <c r="I528" s="94" t="s">
        <v>289</v>
      </c>
      <c r="J528" s="94" t="s">
        <v>290</v>
      </c>
      <c r="K528" s="114">
        <f>P528/3</f>
      </c>
      <c r="L528" s="115">
        <v>210.80799999999999</v>
      </c>
      <c r="M528" s="116"/>
      <c r="N528" s="117">
        <f>M528-L528</f>
      </c>
      <c r="O528" s="112"/>
      <c r="P528" s="118">
        <f>N528+O528</f>
      </c>
      <c r="Q528" s="94" t="s">
        <v>852</v>
      </c>
      <c r="R528" s="94" t="s">
        <v>63</v>
      </c>
      <c r="S528" s="119">
        <v>46343</v>
      </c>
      <c r="T528" s="119"/>
      <c r="U528" s="120">
        <v>46343</v>
      </c>
      <c r="V528" s="94"/>
      <c r="W528" s="94"/>
      <c r="X528" s="94"/>
      <c r="Y528" s="119">
        <v>46343</v>
      </c>
      <c r="Z528" s="94"/>
      <c r="AA528" s="120"/>
      <c r="AB528" s="120"/>
      <c r="AC528" s="120"/>
      <c r="AD528" s="120"/>
      <c r="AE528" s="120"/>
      <c r="AF528" s="120"/>
      <c r="AG528" s="94"/>
      <c r="AH528" s="120"/>
      <c r="AI528" s="94"/>
      <c r="AJ528" s="94" t="s">
        <v>794</v>
      </c>
      <c r="AK528" s="94" t="s">
        <v>267</v>
      </c>
      <c r="AL528" s="94">
        <v>235</v>
      </c>
      <c r="AM528" s="94" t="str">
        <f>TRIM(AJ528)&amp;TRIM(AL528)&amp;TRIM(AK528)</f>
      </c>
      <c r="AN528" s="116">
        <v>0</v>
      </c>
      <c r="AO528" s="116" t="inlineStr">
        <is>
          <t>#NA</t>
        </is>
      </c>
      <c r="AP528" s="116">
        <f>SUMIFS(M:M,AM:AM,AM528)+SUMIFS(O:O,AM:AM,AM528)</f>
      </c>
      <c r="AQ528" s="116">
        <f>SUMIFS(L:L,AM:AM,AM528)</f>
      </c>
      <c r="AR528" s="116">
        <f>AQ528-AP528</f>
      </c>
      <c r="AS528" s="94" t="str">
        <f>IF(AN528&gt;=AQ528,"ok","ck")</f>
      </c>
      <c r="AT528" s="116">
        <f>-P528</f>
      </c>
      <c r="AU528" s="115">
        <f>IF(SUMIFS(AT:AT,AM:AM,AM528)&gt;AO528,(SUMIFS(AT:AT,AM:AM,AM528)-AO528))</f>
      </c>
      <c r="AV528" s="116">
        <v>0</v>
      </c>
      <c r="AW528" s="121">
        <v>0</v>
      </c>
      <c r="AX528" s="115">
        <f>AN528-AP528</f>
      </c>
    </row>
    <row r="529" spans="1:50" ht="15" hidden="1" customHeight="1" x14ac:dyDescent="0.3">
      <c r="A529" s="94" t="s">
        <v>268</v>
      </c>
      <c r="B529" s="94"/>
      <c r="C529" s="94"/>
      <c r="D529" s="94"/>
      <c r="E529" s="94"/>
      <c r="F529" s="94"/>
      <c r="G529" s="112">
        <f>AU529</f>
      </c>
      <c r="H529" s="113"/>
      <c r="I529" s="94" t="s">
        <v>390</v>
      </c>
      <c r="J529" s="94" t="s">
        <v>534</v>
      </c>
      <c r="K529" s="114">
        <f>P529/3</f>
      </c>
      <c r="L529" s="115">
        <v>-2.3319999999999999</v>
      </c>
      <c r="M529" s="116">
        <f>L529</f>
      </c>
      <c r="N529" s="117">
        <f>M529-L529</f>
      </c>
      <c r="O529" s="112"/>
      <c r="P529" s="118">
        <f>N529+O529</f>
      </c>
      <c r="Q529" s="94" t="s">
        <v>309</v>
      </c>
      <c r="R529" s="94" t="s">
        <v>63</v>
      </c>
      <c r="S529" s="119">
        <v>46320</v>
      </c>
      <c r="T529" s="119"/>
      <c r="U529" s="120">
        <v>46320</v>
      </c>
      <c r="V529" s="94"/>
      <c r="W529" s="94"/>
      <c r="X529" s="94"/>
      <c r="Y529" s="119">
        <v>46320</v>
      </c>
      <c r="Z529" s="94"/>
      <c r="AA529" s="120"/>
      <c r="AB529" s="120"/>
      <c r="AC529" s="120"/>
      <c r="AD529" s="120"/>
      <c r="AE529" s="120"/>
      <c r="AF529" s="120"/>
      <c r="AG529" s="94"/>
      <c r="AH529" s="120"/>
      <c r="AI529" s="94"/>
      <c r="AJ529" s="94" t="s">
        <v>309</v>
      </c>
      <c r="AK529" s="94" t="s">
        <v>534</v>
      </c>
      <c r="AL529" s="94">
        <v>140</v>
      </c>
      <c r="AM529" s="94" t="str">
        <f>TRIM(AJ529)&amp;TRIM(AL529)&amp;TRIM(AK529)</f>
      </c>
      <c r="AN529" s="116">
        <v>3553.23</v>
      </c>
      <c r="AO529" s="116">
        <v>-79.23</v>
      </c>
      <c r="AP529" s="116">
        <f>SUMIFS(M:M,AM:AM,AM529)+SUMIFS(O:O,AM:AM,AM529)</f>
      </c>
      <c r="AQ529" s="116">
        <f>SUMIFS(L:L,AM:AM,AM529)</f>
      </c>
      <c r="AR529" s="116">
        <f>AQ529-AP529</f>
      </c>
      <c r="AS529" s="94" t="str">
        <f>IF(AN529&gt;=AQ529,"ok","ck")</f>
      </c>
      <c r="AT529" s="116">
        <f>-P529</f>
      </c>
      <c r="AU529" s="115">
        <f>IF(SUMIFS(AT:AT,AM:AM,AM529)&gt;AO529,(SUMIFS(AT:AT,AM:AM,AM529)-AO529))</f>
      </c>
      <c r="AV529" s="116">
        <v>3553.23</v>
      </c>
      <c r="AW529" s="121">
        <v>1.023</v>
      </c>
      <c r="AX529" s="115">
        <f>AN529-AP529</f>
      </c>
    </row>
    <row r="530" spans="1:50" ht="15" hidden="1" customHeight="1" x14ac:dyDescent="0.3">
      <c r="A530" s="94" t="s">
        <v>268</v>
      </c>
      <c r="B530" s="94"/>
      <c r="C530" s="94"/>
      <c r="D530" s="94"/>
      <c r="E530" s="94"/>
      <c r="F530" s="94"/>
      <c r="G530" s="112">
        <f>AU530</f>
      </c>
      <c r="H530" s="113"/>
      <c r="I530" s="94" t="s">
        <v>390</v>
      </c>
      <c r="J530" s="94" t="s">
        <v>534</v>
      </c>
      <c r="K530" s="114">
        <f>P530/3</f>
      </c>
      <c r="L530" s="115">
        <v>-2.3319999999999999</v>
      </c>
      <c r="M530" s="116">
        <f>L530</f>
      </c>
      <c r="N530" s="117">
        <f>M530-L530</f>
      </c>
      <c r="O530" s="112"/>
      <c r="P530" s="118">
        <f>N530+O530</f>
      </c>
      <c r="Q530" s="94" t="s">
        <v>309</v>
      </c>
      <c r="R530" s="94" t="s">
        <v>63</v>
      </c>
      <c r="S530" s="119">
        <v>46321</v>
      </c>
      <c r="T530" s="119"/>
      <c r="U530" s="120">
        <v>46321</v>
      </c>
      <c r="V530" s="94"/>
      <c r="W530" s="94"/>
      <c r="X530" s="94"/>
      <c r="Y530" s="119">
        <v>46321</v>
      </c>
      <c r="Z530" s="94"/>
      <c r="AA530" s="120"/>
      <c r="AB530" s="120"/>
      <c r="AC530" s="120"/>
      <c r="AD530" s="120"/>
      <c r="AE530" s="120"/>
      <c r="AF530" s="120"/>
      <c r="AG530" s="94"/>
      <c r="AH530" s="120"/>
      <c r="AI530" s="94"/>
      <c r="AJ530" s="94" t="s">
        <v>309</v>
      </c>
      <c r="AK530" s="94" t="s">
        <v>534</v>
      </c>
      <c r="AL530" s="94">
        <v>140</v>
      </c>
      <c r="AM530" s="94" t="str">
        <f>TRIM(AJ530)&amp;TRIM(AL530)&amp;TRIM(AK530)</f>
      </c>
      <c r="AN530" s="116">
        <v>3553.23</v>
      </c>
      <c r="AO530" s="116">
        <v>-79.23</v>
      </c>
      <c r="AP530" s="116">
        <f>SUMIFS(M:M,AM:AM,AM530)+SUMIFS(O:O,AM:AM,AM530)</f>
      </c>
      <c r="AQ530" s="116">
        <f>SUMIFS(L:L,AM:AM,AM530)</f>
      </c>
      <c r="AR530" s="116">
        <f>AQ530-AP530</f>
      </c>
      <c r="AS530" s="94" t="str">
        <f>IF(AN530&gt;=AQ530,"ok","ck")</f>
      </c>
      <c r="AT530" s="116">
        <f>-P530</f>
      </c>
      <c r="AU530" s="115">
        <f>IF(SUMIFS(AT:AT,AM:AM,AM530)&gt;AO530,(SUMIFS(AT:AT,AM:AM,AM530)-AO530))</f>
      </c>
      <c r="AV530" s="116">
        <v>3553.23</v>
      </c>
      <c r="AW530" s="121">
        <v>1.023</v>
      </c>
      <c r="AX530" s="115">
        <f>AN530-AP530</f>
      </c>
    </row>
    <row r="531" spans="1:50" ht="15" hidden="1" customHeight="1" x14ac:dyDescent="0.3">
      <c r="A531" s="94" t="s">
        <v>60</v>
      </c>
      <c r="B531" s="94"/>
      <c r="C531" s="94"/>
      <c r="D531" s="94"/>
      <c r="E531" s="94"/>
      <c r="F531" s="94"/>
      <c r="G531" s="112">
        <f>AU531</f>
      </c>
      <c r="H531" s="113"/>
      <c r="I531" s="94" t="s">
        <v>70</v>
      </c>
      <c r="J531" s="94" t="s">
        <v>71</v>
      </c>
      <c r="K531" s="114">
        <f>P531/3</f>
      </c>
      <c r="L531" s="115">
        <v>36</v>
      </c>
      <c r="M531" s="116"/>
      <c r="N531" s="117">
        <f>M531-L531</f>
      </c>
      <c r="O531" s="112"/>
      <c r="P531" s="118">
        <f>N531+O531</f>
      </c>
      <c r="Q531" s="94" t="s">
        <v>81</v>
      </c>
      <c r="R531" s="94" t="s">
        <v>63</v>
      </c>
      <c r="S531" s="119">
        <v>46331</v>
      </c>
      <c r="T531" s="119"/>
      <c r="U531" s="120">
        <v>46331</v>
      </c>
      <c r="V531" s="94"/>
      <c r="W531" s="94"/>
      <c r="X531" s="94"/>
      <c r="Y531" s="119">
        <v>46331</v>
      </c>
      <c r="Z531" s="94"/>
      <c r="AA531" s="120"/>
      <c r="AB531" s="120"/>
      <c r="AC531" s="120"/>
      <c r="AD531" s="120"/>
      <c r="AE531" s="120"/>
      <c r="AF531" s="120"/>
      <c r="AG531" s="94"/>
      <c r="AH531" s="120"/>
      <c r="AI531" s="94"/>
      <c r="AJ531" s="94" t="s">
        <v>81</v>
      </c>
      <c r="AK531" s="94" t="s">
        <v>71</v>
      </c>
      <c r="AL531" s="94">
        <v>140</v>
      </c>
      <c r="AM531" s="94" t="str">
        <f>TRIM(AJ531)&amp;TRIM(AL531)&amp;TRIM(AK531)</f>
      </c>
      <c r="AN531" s="116">
        <v>420</v>
      </c>
      <c r="AO531" s="116">
        <v>37</v>
      </c>
      <c r="AP531" s="116">
        <f>SUMIFS(M:M,AM:AM,AM531)+SUMIFS(O:O,AM:AM,AM531)</f>
      </c>
      <c r="AQ531" s="116">
        <f>SUMIFS(L:L,AM:AM,AM531)</f>
      </c>
      <c r="AR531" s="116">
        <f>AQ531-AP531</f>
      </c>
      <c r="AS531" s="94" t="str">
        <f>IF(AN531&gt;=AQ531,"ok","ck")</f>
      </c>
      <c r="AT531" s="116">
        <f>-P531</f>
      </c>
      <c r="AU531" s="115">
        <f>IF(SUMIFS(AT:AT,AM:AM,AM531)&gt;AO531,(SUMIFS(AT:AT,AM:AM,AM531)-AO531))</f>
      </c>
      <c r="AV531" s="116">
        <v>420</v>
      </c>
      <c r="AW531" s="121">
        <v>0.919</v>
      </c>
      <c r="AX531" s="115">
        <f>AN531-AP531</f>
      </c>
    </row>
    <row r="532" spans="1:50" ht="15" hidden="1" customHeight="1" x14ac:dyDescent="0.3">
      <c r="A532" s="94" t="s">
        <v>268</v>
      </c>
      <c r="B532" s="94"/>
      <c r="C532" s="94"/>
      <c r="D532" s="94"/>
      <c r="E532" s="94"/>
      <c r="F532" s="94"/>
      <c r="G532" s="112">
        <f>AU532</f>
      </c>
      <c r="H532" s="113"/>
      <c r="I532" s="94" t="s">
        <v>278</v>
      </c>
      <c r="J532" s="94" t="s">
        <v>273</v>
      </c>
      <c r="K532" s="114">
        <f>P532/3</f>
      </c>
      <c r="L532" s="115">
        <v>-0.191</v>
      </c>
      <c r="M532" s="116">
        <f>L532</f>
      </c>
      <c r="N532" s="117">
        <f>M532-L532</f>
      </c>
      <c r="O532" s="112"/>
      <c r="P532" s="118">
        <f>N532+O532</f>
      </c>
      <c r="Q532" s="94" t="s">
        <v>271</v>
      </c>
      <c r="R532" s="94" t="s">
        <v>63</v>
      </c>
      <c r="S532" s="119">
        <v>46320</v>
      </c>
      <c r="T532" s="119"/>
      <c r="U532" s="120">
        <v>46320</v>
      </c>
      <c r="V532" s="94"/>
      <c r="W532" s="94"/>
      <c r="X532" s="94"/>
      <c r="Y532" s="119">
        <v>46320</v>
      </c>
      <c r="Z532" s="94"/>
      <c r="AA532" s="120"/>
      <c r="AB532" s="120"/>
      <c r="AC532" s="120"/>
      <c r="AD532" s="120"/>
      <c r="AE532" s="120"/>
      <c r="AF532" s="120"/>
      <c r="AG532" s="94"/>
      <c r="AH532" s="120"/>
      <c r="AI532" s="94"/>
      <c r="AJ532" s="94" t="s">
        <v>271</v>
      </c>
      <c r="AK532" s="94" t="s">
        <v>274</v>
      </c>
      <c r="AL532" s="94">
        <v>120</v>
      </c>
      <c r="AM532" s="94" t="str">
        <f>TRIM(AJ532)&amp;TRIM(AL532)&amp;TRIM(AK532)</f>
      </c>
      <c r="AN532" s="116">
        <v>340</v>
      </c>
      <c r="AO532" s="116">
        <v>-13</v>
      </c>
      <c r="AP532" s="116">
        <f>SUMIFS(M:M,AM:AM,AM532)+SUMIFS(O:O,AM:AM,AM532)</f>
      </c>
      <c r="AQ532" s="116">
        <f>SUMIFS(L:L,AM:AM,AM532)</f>
      </c>
      <c r="AR532" s="116">
        <f>AQ532-AP532</f>
      </c>
      <c r="AS532" s="94" t="str">
        <f>IF(AN532&gt;=AQ532,"ok","ck")</f>
      </c>
      <c r="AT532" s="116">
        <f>-P532</f>
      </c>
      <c r="AU532" s="115">
        <f>IF(SUMIFS(AT:AT,AM:AM,AM532)&gt;AO532,(SUMIFS(AT:AT,AM:AM,AM532)-AO532))</f>
      </c>
      <c r="AV532" s="116">
        <v>340</v>
      </c>
      <c r="AW532" s="121">
        <v>1.04</v>
      </c>
      <c r="AX532" s="115">
        <f>AN532-AP532</f>
      </c>
    </row>
    <row r="533" spans="1:50" ht="15" hidden="1" customHeight="1" x14ac:dyDescent="0.3">
      <c r="A533" s="94" t="s">
        <v>268</v>
      </c>
      <c r="B533" s="94"/>
      <c r="C533" s="94"/>
      <c r="D533" s="94"/>
      <c r="E533" s="94"/>
      <c r="F533" s="94"/>
      <c r="G533" s="112">
        <f>AU533</f>
      </c>
      <c r="H533" s="113"/>
      <c r="I533" s="94" t="s">
        <v>278</v>
      </c>
      <c r="J533" s="94" t="s">
        <v>293</v>
      </c>
      <c r="K533" s="114">
        <f>P533/3</f>
      </c>
      <c r="L533" s="115">
        <v>0</v>
      </c>
      <c r="M533" s="116">
        <f>L533</f>
      </c>
      <c r="N533" s="117">
        <f>M533-L533</f>
      </c>
      <c r="O533" s="112"/>
      <c r="P533" s="118">
        <f>N533+O533</f>
      </c>
      <c r="Q533" s="94" t="s">
        <v>287</v>
      </c>
      <c r="R533" s="94" t="s">
        <v>63</v>
      </c>
      <c r="S533" s="119">
        <v>46334</v>
      </c>
      <c r="T533" s="119"/>
      <c r="U533" s="120">
        <v>46334</v>
      </c>
      <c r="V533" s="94"/>
      <c r="W533" s="94"/>
      <c r="X533" s="94"/>
      <c r="Y533" s="119">
        <v>46334</v>
      </c>
      <c r="Z533" s="94"/>
      <c r="AA533" s="120"/>
      <c r="AB533" s="120"/>
      <c r="AC533" s="120"/>
      <c r="AD533" s="120"/>
      <c r="AE533" s="120"/>
      <c r="AF533" s="120"/>
      <c r="AG533" s="94"/>
      <c r="AH533" s="120"/>
      <c r="AI533" s="94"/>
      <c r="AJ533" s="94" t="s">
        <v>287</v>
      </c>
      <c r="AK533" s="94" t="s">
        <v>294</v>
      </c>
      <c r="AL533" s="94">
        <v>120</v>
      </c>
      <c r="AM533" s="94" t="str">
        <f>TRIM(AJ533)&amp;TRIM(AL533)&amp;TRIM(AK533)</f>
      </c>
      <c r="AN533" s="116">
        <v>1378</v>
      </c>
      <c r="AO533" s="116">
        <v>16.72</v>
      </c>
      <c r="AP533" s="116">
        <f>SUMIFS(M:M,AM:AM,AM533)+SUMIFS(O:O,AM:AM,AM533)</f>
      </c>
      <c r="AQ533" s="116">
        <f>SUMIFS(L:L,AM:AM,AM533)</f>
      </c>
      <c r="AR533" s="116">
        <f>AQ533-AP533</f>
      </c>
      <c r="AS533" s="94" t="str">
        <f>IF(AN533&gt;=AQ533,"ok","ck")</f>
      </c>
      <c r="AT533" s="116">
        <f>-P533</f>
      </c>
      <c r="AU533" s="115">
        <f>IF(SUMIFS(AT:AT,AM:AM,AM533)&gt;AO533,(SUMIFS(AT:AT,AM:AM,AM533)-AO533))</f>
      </c>
      <c r="AV533" s="116">
        <v>1245</v>
      </c>
      <c r="AW533" s="121">
        <v>0.987</v>
      </c>
      <c r="AX533" s="115">
        <f>AN533-AP533</f>
      </c>
    </row>
    <row r="534" spans="1:50" ht="15" hidden="1" customHeight="1" x14ac:dyDescent="0.3">
      <c r="A534" s="94" t="s">
        <v>268</v>
      </c>
      <c r="B534" s="94"/>
      <c r="C534" s="94"/>
      <c r="D534" s="94"/>
      <c r="E534" s="94"/>
      <c r="F534" s="94"/>
      <c r="G534" s="112">
        <f>AU534</f>
      </c>
      <c r="H534" s="113"/>
      <c r="I534" s="94" t="s">
        <v>278</v>
      </c>
      <c r="J534" s="94" t="s">
        <v>293</v>
      </c>
      <c r="K534" s="114">
        <f>P534/3</f>
      </c>
      <c r="L534" s="115">
        <v>0.14399999999999999</v>
      </c>
      <c r="M534" s="116">
        <f>L534</f>
      </c>
      <c r="N534" s="117">
        <f>M534-L534</f>
      </c>
      <c r="O534" s="112"/>
      <c r="P534" s="118">
        <f>N534+O534</f>
      </c>
      <c r="Q534" s="94" t="s">
        <v>287</v>
      </c>
      <c r="R534" s="94" t="s">
        <v>63</v>
      </c>
      <c r="S534" s="119">
        <v>46334</v>
      </c>
      <c r="T534" s="119"/>
      <c r="U534" s="120">
        <v>46334</v>
      </c>
      <c r="V534" s="94"/>
      <c r="W534" s="94"/>
      <c r="X534" s="94"/>
      <c r="Y534" s="119">
        <v>46334</v>
      </c>
      <c r="Z534" s="94"/>
      <c r="AA534" s="120"/>
      <c r="AB534" s="120"/>
      <c r="AC534" s="120"/>
      <c r="AD534" s="120"/>
      <c r="AE534" s="120"/>
      <c r="AF534" s="120"/>
      <c r="AG534" s="94"/>
      <c r="AH534" s="120"/>
      <c r="AI534" s="94"/>
      <c r="AJ534" s="94" t="s">
        <v>287</v>
      </c>
      <c r="AK534" s="94" t="s">
        <v>294</v>
      </c>
      <c r="AL534" s="94">
        <v>120</v>
      </c>
      <c r="AM534" s="94" t="str">
        <f>TRIM(AJ534)&amp;TRIM(AL534)&amp;TRIM(AK534)</f>
      </c>
      <c r="AN534" s="116">
        <v>1378</v>
      </c>
      <c r="AO534" s="116">
        <v>16.72</v>
      </c>
      <c r="AP534" s="116">
        <f>SUMIFS(M:M,AM:AM,AM534)+SUMIFS(O:O,AM:AM,AM534)</f>
      </c>
      <c r="AQ534" s="116">
        <f>SUMIFS(L:L,AM:AM,AM534)</f>
      </c>
      <c r="AR534" s="116">
        <f>AQ534-AP534</f>
      </c>
      <c r="AS534" s="94" t="str">
        <f>IF(AN534&gt;=AQ534,"ok","ck")</f>
      </c>
      <c r="AT534" s="116">
        <f>-P534</f>
      </c>
      <c r="AU534" s="115">
        <f>IF(SUMIFS(AT:AT,AM:AM,AM534)&gt;AO534,(SUMIFS(AT:AT,AM:AM,AM534)-AO534))</f>
      </c>
      <c r="AV534" s="116">
        <v>1245</v>
      </c>
      <c r="AW534" s="121">
        <v>0.987</v>
      </c>
      <c r="AX534" s="115">
        <f>AN534-AP534</f>
      </c>
    </row>
    <row r="535" spans="1:50" ht="15" hidden="1" customHeight="1" x14ac:dyDescent="0.3">
      <c r="A535" s="94" t="s">
        <v>288</v>
      </c>
      <c r="B535" s="94"/>
      <c r="C535" s="94"/>
      <c r="D535" s="94"/>
      <c r="E535" s="94"/>
      <c r="F535" s="94"/>
      <c r="G535" s="112">
        <f>AU535</f>
      </c>
      <c r="H535" s="113"/>
      <c r="I535" s="94" t="s">
        <v>289</v>
      </c>
      <c r="J535" s="94" t="s">
        <v>301</v>
      </c>
      <c r="K535" s="114">
        <f>P535/3</f>
      </c>
      <c r="L535" s="115">
        <v>-0.61099999999999999</v>
      </c>
      <c r="M535" s="116">
        <f>L535</f>
      </c>
      <c r="N535" s="117">
        <f>M535-L535</f>
      </c>
      <c r="O535" s="112"/>
      <c r="P535" s="118">
        <f>N535+O535</f>
      </c>
      <c r="Q535" s="94" t="s">
        <v>299</v>
      </c>
      <c r="R535" s="94" t="s">
        <v>63</v>
      </c>
      <c r="S535" s="119">
        <v>46338</v>
      </c>
      <c r="T535" s="119"/>
      <c r="U535" s="120">
        <v>46338</v>
      </c>
      <c r="V535" s="94"/>
      <c r="W535" s="94"/>
      <c r="X535" s="94"/>
      <c r="Y535" s="119">
        <v>46338</v>
      </c>
      <c r="Z535" s="94"/>
      <c r="AA535" s="120"/>
      <c r="AB535" s="120"/>
      <c r="AC535" s="120"/>
      <c r="AD535" s="120"/>
      <c r="AE535" s="120"/>
      <c r="AF535" s="120"/>
      <c r="AG535" s="94"/>
      <c r="AH535" s="120"/>
      <c r="AI535" s="94"/>
      <c r="AJ535" s="94" t="s">
        <v>478</v>
      </c>
      <c r="AK535" s="94" t="s">
        <v>302</v>
      </c>
      <c r="AL535" s="94">
        <v>235</v>
      </c>
      <c r="AM535" s="94" t="str">
        <f>TRIM(AJ535)&amp;TRIM(AL535)&amp;TRIM(AK535)</f>
      </c>
      <c r="AN535" s="116">
        <v>587</v>
      </c>
      <c r="AO535" s="116">
        <v>-15.36</v>
      </c>
      <c r="AP535" s="116">
        <f>SUMIFS(M:M,AM:AM,AM535)+SUMIFS(O:O,AM:AM,AM535)</f>
      </c>
      <c r="AQ535" s="116">
        <f>SUMIFS(L:L,AM:AM,AM535)</f>
      </c>
      <c r="AR535" s="116">
        <f>AQ535-AP535</f>
      </c>
      <c r="AS535" s="94" t="str">
        <f>IF(AN535&gt;=AQ535,"ok","ck")</f>
      </c>
      <c r="AT535" s="116">
        <f>-P535</f>
      </c>
      <c r="AU535" s="115">
        <f>IF(SUMIFS(AT:AT,AM:AM,AM535)&gt;AO535,(SUMIFS(AT:AT,AM:AM,AM535)-AO535))</f>
      </c>
      <c r="AV535" s="116">
        <v>587</v>
      </c>
      <c r="AW535" s="121">
        <v>1.027</v>
      </c>
      <c r="AX535" s="115">
        <f>AN535-AP535</f>
      </c>
    </row>
    <row r="536" spans="1:50" ht="15" hidden="1" customHeight="1" x14ac:dyDescent="0.3">
      <c r="A536" s="94" t="s">
        <v>268</v>
      </c>
      <c r="B536" s="94"/>
      <c r="C536" s="94"/>
      <c r="D536" s="94"/>
      <c r="E536" s="94"/>
      <c r="F536" s="94"/>
      <c r="G536" s="112">
        <f>AU536</f>
      </c>
      <c r="H536" s="113"/>
      <c r="I536" s="94" t="s">
        <v>390</v>
      </c>
      <c r="J536" s="94" t="s">
        <v>535</v>
      </c>
      <c r="K536" s="114">
        <f>P536/3</f>
      </c>
      <c r="L536" s="115">
        <v>112.82899999999999</v>
      </c>
      <c r="M536" s="116"/>
      <c r="N536" s="117">
        <f>M536-L536</f>
      </c>
      <c r="O536" s="112"/>
      <c r="P536" s="118">
        <f>N536+O536</f>
      </c>
      <c r="Q536" s="94" t="s">
        <v>805</v>
      </c>
      <c r="R536" s="94" t="s">
        <v>63</v>
      </c>
      <c r="S536" s="119">
        <v>46345</v>
      </c>
      <c r="T536" s="119"/>
      <c r="U536" s="119">
        <v>46345</v>
      </c>
      <c r="V536" s="94"/>
      <c r="W536" s="94"/>
      <c r="X536" s="94"/>
      <c r="Y536" s="119">
        <v>46345</v>
      </c>
      <c r="Z536" s="94"/>
      <c r="AA536" s="120"/>
      <c r="AB536" s="120"/>
      <c r="AC536" s="120"/>
      <c r="AD536" s="120"/>
      <c r="AE536" s="120"/>
      <c r="AF536" s="120"/>
      <c r="AG536" s="94"/>
      <c r="AH536" s="120"/>
      <c r="AI536" s="94"/>
      <c r="AJ536" s="94" t="s">
        <v>805</v>
      </c>
      <c r="AK536" s="94" t="s">
        <v>719</v>
      </c>
      <c r="AL536" s="94">
        <v>140</v>
      </c>
      <c r="AM536" s="94" t="str">
        <f>TRIM(AJ536)&amp;TRIM(AL536)&amp;TRIM(AK536)</f>
      </c>
      <c r="AN536" s="116">
        <v>0</v>
      </c>
      <c r="AO536" s="116" t="inlineStr">
        <is>
          <t>#NA</t>
        </is>
      </c>
      <c r="AP536" s="116">
        <f>SUMIFS(M:M,AM:AM,AM536)+SUMIFS(O:O,AM:AM,AM536)</f>
      </c>
      <c r="AQ536" s="116">
        <f>SUMIFS(L:L,AM:AM,AM536)</f>
      </c>
      <c r="AR536" s="116">
        <f>AQ536-AP536</f>
      </c>
      <c r="AS536" s="94" t="str">
        <f>IF(AN536&gt;=AQ536,"ok","ck")</f>
      </c>
      <c r="AT536" s="116">
        <f>-P536</f>
      </c>
      <c r="AU536" s="115">
        <f>IF(SUMIFS(AT:AT,AM:AM,AM536)&gt;AO536,(SUMIFS(AT:AT,AM:AM,AM536)-AO536))</f>
      </c>
      <c r="AV536" s="116">
        <v>0</v>
      </c>
      <c r="AW536" s="121">
        <v>0</v>
      </c>
      <c r="AX536" s="115">
        <f>AN536-AP536</f>
      </c>
    </row>
    <row r="537" spans="1:50" ht="15" hidden="1" customHeight="1" x14ac:dyDescent="0.3">
      <c r="A537" s="94" t="s">
        <v>268</v>
      </c>
      <c r="B537" s="94"/>
      <c r="C537" s="94"/>
      <c r="D537" s="94"/>
      <c r="E537" s="94"/>
      <c r="F537" s="94"/>
      <c r="G537" s="112">
        <f>AU537</f>
      </c>
      <c r="H537" s="113"/>
      <c r="I537" s="94" t="s">
        <v>390</v>
      </c>
      <c r="J537" s="94" t="s">
        <v>324</v>
      </c>
      <c r="K537" s="114">
        <f>P537/3</f>
      </c>
      <c r="L537" s="115">
        <v>466.4</v>
      </c>
      <c r="M537" s="116"/>
      <c r="N537" s="117">
        <f>M537-L537</f>
      </c>
      <c r="O537" s="112"/>
      <c r="P537" s="118">
        <f>N537+O537</f>
      </c>
      <c r="Q537" s="94" t="s">
        <v>343</v>
      </c>
      <c r="R537" s="94" t="s">
        <v>63</v>
      </c>
      <c r="S537" s="120">
        <v>46332</v>
      </c>
      <c r="T537" s="120"/>
      <c r="U537" s="120">
        <v>46332</v>
      </c>
      <c r="V537" s="94"/>
      <c r="W537" s="94"/>
      <c r="X537" s="94"/>
      <c r="Y537" s="119">
        <v>46320</v>
      </c>
      <c r="Z537" s="94"/>
      <c r="AA537" s="120"/>
      <c r="AB537" s="120"/>
      <c r="AC537" s="120"/>
      <c r="AD537" s="120"/>
      <c r="AE537" s="120"/>
      <c r="AF537" s="120"/>
      <c r="AG537" s="94"/>
      <c r="AH537" s="120"/>
      <c r="AI537" s="94"/>
      <c r="AJ537" s="94" t="s">
        <v>343</v>
      </c>
      <c r="AK537" s="94" t="s">
        <v>324</v>
      </c>
      <c r="AL537" s="94">
        <v>140</v>
      </c>
      <c r="AM537" s="94" t="str">
        <f>TRIM(AJ537)&amp;TRIM(AL537)&amp;TRIM(AK537)</f>
      </c>
      <c r="AN537" s="116">
        <v>0</v>
      </c>
      <c r="AO537" s="116" t="inlineStr">
        <is>
          <t>#NA</t>
        </is>
      </c>
      <c r="AP537" s="116">
        <f>SUMIFS(M:M,AM:AM,AM537)+SUMIFS(O:O,AM:AM,AM537)</f>
      </c>
      <c r="AQ537" s="116">
        <f>SUMIFS(L:L,AM:AM,AM537)</f>
      </c>
      <c r="AR537" s="116">
        <f>AQ537-AP537</f>
      </c>
      <c r="AS537" s="94" t="str">
        <f>IF(AN537&gt;=AQ537,"ok","ck")</f>
      </c>
      <c r="AT537" s="116">
        <f>-P537</f>
      </c>
      <c r="AU537" s="115">
        <f>IF(SUMIFS(AT:AT,AM:AM,AM537)&gt;AO537,(SUMIFS(AT:AT,AM:AM,AM537)-AO537))</f>
      </c>
      <c r="AV537" s="116">
        <v>0</v>
      </c>
      <c r="AW537" s="121">
        <v>0</v>
      </c>
      <c r="AX537" s="115">
        <f>AN537-AP537</f>
      </c>
    </row>
    <row r="538" spans="1:50" ht="15" hidden="1" customHeight="1" x14ac:dyDescent="0.3">
      <c r="A538" s="94" t="s">
        <v>268</v>
      </c>
      <c r="B538" s="94"/>
      <c r="C538" s="94"/>
      <c r="D538" s="94"/>
      <c r="E538" s="94"/>
      <c r="F538" s="94"/>
      <c r="G538" s="112">
        <f>AU538</f>
      </c>
      <c r="H538" s="113"/>
      <c r="I538" s="94" t="s">
        <v>390</v>
      </c>
      <c r="J538" s="94" t="s">
        <v>324</v>
      </c>
      <c r="K538" s="114">
        <f>P538/3</f>
      </c>
      <c r="L538" s="115">
        <v>0.6</v>
      </c>
      <c r="M538" s="116"/>
      <c r="N538" s="117">
        <f>M538-L538</f>
      </c>
      <c r="O538" s="112"/>
      <c r="P538" s="118">
        <f>N538+O538</f>
      </c>
      <c r="Q538" s="94" t="s">
        <v>343</v>
      </c>
      <c r="R538" s="94" t="s">
        <v>63</v>
      </c>
      <c r="S538" s="120">
        <v>46332</v>
      </c>
      <c r="T538" s="120"/>
      <c r="U538" s="120">
        <v>46332</v>
      </c>
      <c r="V538" s="94"/>
      <c r="W538" s="94"/>
      <c r="X538" s="94"/>
      <c r="Y538" s="119">
        <v>46323</v>
      </c>
      <c r="Z538" s="94"/>
      <c r="AA538" s="120"/>
      <c r="AB538" s="120"/>
      <c r="AC538" s="120"/>
      <c r="AD538" s="120"/>
      <c r="AE538" s="120"/>
      <c r="AF538" s="120"/>
      <c r="AG538" s="94"/>
      <c r="AH538" s="120"/>
      <c r="AI538" s="94"/>
      <c r="AJ538" s="94" t="s">
        <v>343</v>
      </c>
      <c r="AK538" s="94" t="s">
        <v>324</v>
      </c>
      <c r="AL538" s="94">
        <v>140</v>
      </c>
      <c r="AM538" s="94" t="str">
        <f>TRIM(AJ538)&amp;TRIM(AL538)&amp;TRIM(AK538)</f>
      </c>
      <c r="AN538" s="116">
        <v>0</v>
      </c>
      <c r="AO538" s="116" t="inlineStr">
        <is>
          <t>#NA</t>
        </is>
      </c>
      <c r="AP538" s="116">
        <f>SUMIFS(M:M,AM:AM,AM538)+SUMIFS(O:O,AM:AM,AM538)</f>
      </c>
      <c r="AQ538" s="116">
        <f>SUMIFS(L:L,AM:AM,AM538)</f>
      </c>
      <c r="AR538" s="116">
        <f>AQ538-AP538</f>
      </c>
      <c r="AS538" s="94" t="str">
        <f>IF(AN538&gt;=AQ538,"ok","ck")</f>
      </c>
      <c r="AT538" s="116">
        <f>-P538</f>
      </c>
      <c r="AU538" s="115">
        <f>IF(SUMIFS(AT:AT,AM:AM,AM538)&gt;AO538,(SUMIFS(AT:AT,AM:AM,AM538)-AO538))</f>
      </c>
      <c r="AV538" s="116">
        <v>0</v>
      </c>
      <c r="AW538" s="121">
        <v>0</v>
      </c>
      <c r="AX538" s="115">
        <f>AN538-AP538</f>
      </c>
    </row>
    <row r="539" spans="1:50" ht="15" hidden="1" customHeight="1" x14ac:dyDescent="0.3">
      <c r="A539" s="94" t="s">
        <v>268</v>
      </c>
      <c r="B539" s="94"/>
      <c r="C539" s="94"/>
      <c r="D539" s="94"/>
      <c r="E539" s="94"/>
      <c r="F539" s="94"/>
      <c r="G539" s="112">
        <f>AU539</f>
      </c>
      <c r="H539" s="113"/>
      <c r="I539" s="94" t="s">
        <v>390</v>
      </c>
      <c r="J539" s="94" t="s">
        <v>328</v>
      </c>
      <c r="K539" s="114">
        <f>P539/3</f>
      </c>
      <c r="L539" s="115">
        <v>466.4</v>
      </c>
      <c r="M539" s="116"/>
      <c r="N539" s="117">
        <f>M539-L539</f>
      </c>
      <c r="O539" s="112"/>
      <c r="P539" s="118">
        <f>N539+O539</f>
      </c>
      <c r="Q539" s="94" t="s">
        <v>343</v>
      </c>
      <c r="R539" s="94" t="s">
        <v>63</v>
      </c>
      <c r="S539" s="120">
        <v>46330</v>
      </c>
      <c r="T539" s="120"/>
      <c r="U539" s="120">
        <v>46330</v>
      </c>
      <c r="V539" s="94"/>
      <c r="W539" s="94"/>
      <c r="X539" s="94"/>
      <c r="Y539" s="119">
        <v>46320</v>
      </c>
      <c r="Z539" s="94"/>
      <c r="AA539" s="120"/>
      <c r="AB539" s="120"/>
      <c r="AC539" s="120"/>
      <c r="AD539" s="120"/>
      <c r="AE539" s="120"/>
      <c r="AF539" s="120"/>
      <c r="AG539" s="94"/>
      <c r="AH539" s="120"/>
      <c r="AI539" s="94"/>
      <c r="AJ539" s="94" t="s">
        <v>343</v>
      </c>
      <c r="AK539" s="94" t="s">
        <v>329</v>
      </c>
      <c r="AL539" s="94">
        <v>140</v>
      </c>
      <c r="AM539" s="94" t="str">
        <f>TRIM(AJ539)&amp;TRIM(AL539)&amp;TRIM(AK539)</f>
      </c>
      <c r="AN539" s="116">
        <v>0</v>
      </c>
      <c r="AO539" s="116" t="inlineStr">
        <is>
          <t>#NA</t>
        </is>
      </c>
      <c r="AP539" s="116">
        <f>SUMIFS(M:M,AM:AM,AM539)+SUMIFS(O:O,AM:AM,AM539)</f>
      </c>
      <c r="AQ539" s="116">
        <f>SUMIFS(L:L,AM:AM,AM539)</f>
      </c>
      <c r="AR539" s="116">
        <f>AQ539-AP539</f>
      </c>
      <c r="AS539" s="94" t="str">
        <f>IF(AN539&gt;=AQ539,"ok","ck")</f>
      </c>
      <c r="AT539" s="116">
        <f>-P539</f>
      </c>
      <c r="AU539" s="115">
        <f>IF(SUMIFS(AT:AT,AM:AM,AM539)&gt;AO539,(SUMIFS(AT:AT,AM:AM,AM539)-AO539))</f>
      </c>
      <c r="AV539" s="116">
        <v>0</v>
      </c>
      <c r="AW539" s="121">
        <v>0</v>
      </c>
      <c r="AX539" s="115">
        <f>AN539-AP539</f>
      </c>
    </row>
    <row r="540" spans="1:50" ht="15" hidden="1" customHeight="1" x14ac:dyDescent="0.3">
      <c r="A540" s="94" t="s">
        <v>268</v>
      </c>
      <c r="B540" s="94"/>
      <c r="C540" s="94"/>
      <c r="D540" s="94"/>
      <c r="E540" s="94"/>
      <c r="F540" s="94"/>
      <c r="G540" s="112">
        <f>AU540</f>
      </c>
      <c r="H540" s="113"/>
      <c r="I540" s="94" t="s">
        <v>390</v>
      </c>
      <c r="J540" s="94" t="s">
        <v>328</v>
      </c>
      <c r="K540" s="114">
        <f>P540/3</f>
      </c>
      <c r="L540" s="115">
        <v>0.6</v>
      </c>
      <c r="M540" s="116"/>
      <c r="N540" s="117">
        <f>M540-L540</f>
      </c>
      <c r="O540" s="112"/>
      <c r="P540" s="118">
        <f>N540+O540</f>
      </c>
      <c r="Q540" s="94" t="s">
        <v>343</v>
      </c>
      <c r="R540" s="94" t="s">
        <v>63</v>
      </c>
      <c r="S540" s="120">
        <v>46330</v>
      </c>
      <c r="T540" s="120"/>
      <c r="U540" s="120">
        <v>46330</v>
      </c>
      <c r="V540" s="94"/>
      <c r="W540" s="94"/>
      <c r="X540" s="94"/>
      <c r="Y540" s="119">
        <v>46323</v>
      </c>
      <c r="Z540" s="94"/>
      <c r="AA540" s="120"/>
      <c r="AB540" s="120"/>
      <c r="AC540" s="120"/>
      <c r="AD540" s="120"/>
      <c r="AE540" s="120"/>
      <c r="AF540" s="120"/>
      <c r="AG540" s="94"/>
      <c r="AH540" s="120"/>
      <c r="AI540" s="94"/>
      <c r="AJ540" s="94" t="s">
        <v>343</v>
      </c>
      <c r="AK540" s="94" t="s">
        <v>329</v>
      </c>
      <c r="AL540" s="94">
        <v>140</v>
      </c>
      <c r="AM540" s="94" t="str">
        <f>TRIM(AJ540)&amp;TRIM(AL540)&amp;TRIM(AK540)</f>
      </c>
      <c r="AN540" s="116">
        <v>0</v>
      </c>
      <c r="AO540" s="116" t="inlineStr">
        <is>
          <t>#NA</t>
        </is>
      </c>
      <c r="AP540" s="116">
        <f>SUMIFS(M:M,AM:AM,AM540)+SUMIFS(O:O,AM:AM,AM540)</f>
      </c>
      <c r="AQ540" s="116">
        <f>SUMIFS(L:L,AM:AM,AM540)</f>
      </c>
      <c r="AR540" s="116">
        <f>AQ540-AP540</f>
      </c>
      <c r="AS540" s="94" t="str">
        <f>IF(AN540&gt;=AQ540,"ok","ck")</f>
      </c>
      <c r="AT540" s="116">
        <f>-P540</f>
      </c>
      <c r="AU540" s="115">
        <f>IF(SUMIFS(AT:AT,AM:AM,AM540)&gt;AO540,(SUMIFS(AT:AT,AM:AM,AM540)-AO540))</f>
      </c>
      <c r="AV540" s="116">
        <v>0</v>
      </c>
      <c r="AW540" s="121">
        <v>0</v>
      </c>
      <c r="AX540" s="115">
        <f>AN540-AP540</f>
      </c>
    </row>
    <row r="541" spans="1:50" ht="15" hidden="1" customHeight="1" x14ac:dyDescent="0.3">
      <c r="A541" s="94" t="s">
        <v>268</v>
      </c>
      <c r="B541" s="94"/>
      <c r="C541" s="94"/>
      <c r="D541" s="94"/>
      <c r="E541" s="94"/>
      <c r="F541" s="94"/>
      <c r="G541" s="112">
        <f>AU541</f>
      </c>
      <c r="H541" s="113"/>
      <c r="I541" s="94" t="s">
        <v>278</v>
      </c>
      <c r="J541" s="94" t="s">
        <v>322</v>
      </c>
      <c r="K541" s="114">
        <f>P541/3</f>
      </c>
      <c r="L541" s="115">
        <v>88</v>
      </c>
      <c r="M541" s="116">
        <f>L541</f>
      </c>
      <c r="N541" s="117">
        <f>M541-L541</f>
      </c>
      <c r="O541" s="112"/>
      <c r="P541" s="118">
        <f>N541+O541</f>
      </c>
      <c r="Q541" s="94" t="s">
        <v>343</v>
      </c>
      <c r="R541" s="94" t="s">
        <v>63</v>
      </c>
      <c r="S541" s="120">
        <v>46320</v>
      </c>
      <c r="T541" s="120"/>
      <c r="U541" s="120">
        <v>46320</v>
      </c>
      <c r="V541" s="94"/>
      <c r="W541" s="94"/>
      <c r="X541" s="94"/>
      <c r="Y541" s="119">
        <v>46320</v>
      </c>
      <c r="Z541" s="94"/>
      <c r="AA541" s="120"/>
      <c r="AB541" s="120"/>
      <c r="AC541" s="120"/>
      <c r="AD541" s="120"/>
      <c r="AE541" s="120"/>
      <c r="AF541" s="120"/>
      <c r="AG541" s="94"/>
      <c r="AH541" s="120"/>
      <c r="AI541" s="94"/>
      <c r="AJ541" s="94" t="s">
        <v>343</v>
      </c>
      <c r="AK541" s="94" t="s">
        <v>323</v>
      </c>
      <c r="AL541" s="94">
        <v>120</v>
      </c>
      <c r="AM541" s="94" t="str">
        <f>TRIM(AJ541)&amp;TRIM(AL541)&amp;TRIM(AK541)</f>
      </c>
      <c r="AN541" s="116">
        <v>91.51</v>
      </c>
      <c r="AO541" s="116">
        <v>-3.51</v>
      </c>
      <c r="AP541" s="116">
        <f>SUMIFS(M:M,AM:AM,AM541)+SUMIFS(O:O,AM:AM,AM541)</f>
      </c>
      <c r="AQ541" s="116">
        <f>SUMIFS(L:L,AM:AM,AM541)</f>
      </c>
      <c r="AR541" s="116">
        <f>AQ541-AP541</f>
      </c>
      <c r="AS541" s="94" t="str">
        <f>IF(AN541&gt;=AQ541,"ok","ck")</f>
      </c>
      <c r="AT541" s="116">
        <f>-P541</f>
      </c>
      <c r="AU541" s="115">
        <f>IF(SUMIFS(AT:AT,AM:AM,AM541)&gt;AO541,(SUMIFS(AT:AT,AM:AM,AM541)-AO541))</f>
      </c>
      <c r="AV541" s="116">
        <v>91.51</v>
      </c>
      <c r="AW541" s="121">
        <v>1.04</v>
      </c>
      <c r="AX541" s="115">
        <f>AN541-AP541</f>
      </c>
    </row>
    <row r="542" spans="1:50" ht="15" hidden="1" customHeight="1" x14ac:dyDescent="0.3">
      <c r="A542" s="94" t="s">
        <v>268</v>
      </c>
      <c r="B542" s="94"/>
      <c r="C542" s="94"/>
      <c r="D542" s="94"/>
      <c r="E542" s="94"/>
      <c r="F542" s="94"/>
      <c r="G542" s="112">
        <f>AU542</f>
      </c>
      <c r="H542" s="113"/>
      <c r="I542" s="94" t="s">
        <v>278</v>
      </c>
      <c r="J542" s="94" t="s">
        <v>328</v>
      </c>
      <c r="K542" s="114">
        <f>P542/3</f>
      </c>
      <c r="L542" s="115">
        <v>88</v>
      </c>
      <c r="M542" s="116"/>
      <c r="N542" s="117">
        <f>M542-L542</f>
      </c>
      <c r="O542" s="112"/>
      <c r="P542" s="118">
        <f>N542+O542</f>
      </c>
      <c r="Q542" s="94" t="s">
        <v>343</v>
      </c>
      <c r="R542" s="94" t="s">
        <v>63</v>
      </c>
      <c r="S542" s="120">
        <v>46330</v>
      </c>
      <c r="T542" s="120"/>
      <c r="U542" s="120">
        <v>46330</v>
      </c>
      <c r="V542" s="94"/>
      <c r="W542" s="94"/>
      <c r="X542" s="94"/>
      <c r="Y542" s="119">
        <v>46320</v>
      </c>
      <c r="Z542" s="94"/>
      <c r="AA542" s="120"/>
      <c r="AB542" s="120"/>
      <c r="AC542" s="120"/>
      <c r="AD542" s="120"/>
      <c r="AE542" s="120"/>
      <c r="AF542" s="120"/>
      <c r="AG542" s="94"/>
      <c r="AH542" s="120"/>
      <c r="AI542" s="94"/>
      <c r="AJ542" s="94" t="s">
        <v>343</v>
      </c>
      <c r="AK542" s="94" t="s">
        <v>329</v>
      </c>
      <c r="AL542" s="94">
        <v>120</v>
      </c>
      <c r="AM542" s="94" t="str">
        <f>TRIM(AJ542)&amp;TRIM(AL542)&amp;TRIM(AK542)</f>
      </c>
      <c r="AN542" s="116">
        <v>0</v>
      </c>
      <c r="AO542" s="116" t="inlineStr">
        <is>
          <t>#NA</t>
        </is>
      </c>
      <c r="AP542" s="116">
        <f>SUMIFS(M:M,AM:AM,AM542)+SUMIFS(O:O,AM:AM,AM542)</f>
      </c>
      <c r="AQ542" s="116">
        <f>SUMIFS(L:L,AM:AM,AM542)</f>
      </c>
      <c r="AR542" s="116">
        <f>AQ542-AP542</f>
      </c>
      <c r="AS542" s="94" t="str">
        <f>IF(AN542&gt;=AQ542,"ok","ck")</f>
      </c>
      <c r="AT542" s="116">
        <f>-P542</f>
      </c>
      <c r="AU542" s="115">
        <f>IF(SUMIFS(AT:AT,AM:AM,AM542)&gt;AO542,(SUMIFS(AT:AT,AM:AM,AM542)-AO542))</f>
      </c>
      <c r="AV542" s="116">
        <v>0</v>
      </c>
      <c r="AW542" s="121">
        <v>0</v>
      </c>
      <c r="AX542" s="115">
        <f>AN542-AP542</f>
      </c>
    </row>
    <row r="543" spans="1:50" ht="15" hidden="1" customHeight="1" x14ac:dyDescent="0.3">
      <c r="A543" s="94" t="s">
        <v>350</v>
      </c>
      <c r="B543" s="94"/>
      <c r="C543" s="94"/>
      <c r="D543" s="94"/>
      <c r="E543" s="94"/>
      <c r="F543" s="94"/>
      <c r="G543" s="112">
        <f>AU543</f>
      </c>
      <c r="H543" s="113"/>
      <c r="I543" s="94" t="s">
        <v>264</v>
      </c>
      <c r="J543" s="94" t="s">
        <v>353</v>
      </c>
      <c r="K543" s="114">
        <f>P543/3</f>
      </c>
      <c r="L543" s="115">
        <v>0</v>
      </c>
      <c r="M543" s="116">
        <f>L543</f>
      </c>
      <c r="N543" s="117">
        <f>M543-L543</f>
      </c>
      <c r="O543" s="112"/>
      <c r="P543" s="118">
        <f>N543+O543</f>
      </c>
      <c r="Q543" s="94" t="s">
        <v>351</v>
      </c>
      <c r="R543" s="94" t="s">
        <v>63</v>
      </c>
      <c r="S543" s="120">
        <v>46320</v>
      </c>
      <c r="T543" s="120"/>
      <c r="U543" s="120">
        <v>46320</v>
      </c>
      <c r="V543" s="94"/>
      <c r="W543" s="94"/>
      <c r="X543" s="94"/>
      <c r="Y543" s="119">
        <v>46320</v>
      </c>
      <c r="Z543" s="94"/>
      <c r="AA543" s="120"/>
      <c r="AB543" s="120"/>
      <c r="AC543" s="120"/>
      <c r="AD543" s="120"/>
      <c r="AE543" s="120"/>
      <c r="AF543" s="120"/>
      <c r="AG543" s="94"/>
      <c r="AH543" s="120"/>
      <c r="AI543" s="94"/>
      <c r="AJ543" s="94" t="s">
        <v>351</v>
      </c>
      <c r="AK543" s="94" t="s">
        <v>354</v>
      </c>
      <c r="AL543" s="94">
        <v>120</v>
      </c>
      <c r="AM543" s="94" t="str">
        <f>TRIM(AJ543)&amp;TRIM(AL543)&amp;TRIM(AK543)</f>
      </c>
      <c r="AN543" s="116">
        <v>103.54</v>
      </c>
      <c r="AO543" s="116">
        <v>-6.1</v>
      </c>
      <c r="AP543" s="116">
        <f>SUMIFS(M:M,AM:AM,AM543)+SUMIFS(O:O,AM:AM,AM543)</f>
      </c>
      <c r="AQ543" s="116">
        <f>SUMIFS(L:L,AM:AM,AM543)</f>
      </c>
      <c r="AR543" s="116">
        <f>AQ543-AP543</f>
      </c>
      <c r="AS543" s="94" t="str">
        <f>IF(AN543&gt;=AQ543,"ok","ck")</f>
      </c>
      <c r="AT543" s="116">
        <f>-P543</f>
      </c>
      <c r="AU543" s="115">
        <f>IF(SUMIFS(AT:AT,AM:AM,AM543)&gt;AO543,(SUMIFS(AT:AT,AM:AM,AM543)-AO543))</f>
      </c>
      <c r="AV543" s="116">
        <v>103.54</v>
      </c>
      <c r="AW543" s="121">
        <v>1.063</v>
      </c>
      <c r="AX543" s="115">
        <f>AN543-AP543</f>
      </c>
    </row>
    <row r="544" spans="1:50" ht="15" hidden="1" customHeight="1" x14ac:dyDescent="0.3">
      <c r="A544" s="94" t="s">
        <v>350</v>
      </c>
      <c r="B544" s="94"/>
      <c r="C544" s="94"/>
      <c r="D544" s="94"/>
      <c r="E544" s="94"/>
      <c r="F544" s="94"/>
      <c r="G544" s="112">
        <f>AU544</f>
      </c>
      <c r="H544" s="113"/>
      <c r="I544" s="94" t="s">
        <v>264</v>
      </c>
      <c r="J544" s="94" t="s">
        <v>353</v>
      </c>
      <c r="K544" s="114">
        <f>P544/3</f>
      </c>
      <c r="L544" s="115">
        <v>0</v>
      </c>
      <c r="M544" s="116">
        <f>L544</f>
      </c>
      <c r="N544" s="117">
        <f>M544-L544</f>
      </c>
      <c r="O544" s="112"/>
      <c r="P544" s="118">
        <f>N544+O544</f>
      </c>
      <c r="Q544" s="94" t="s">
        <v>351</v>
      </c>
      <c r="R544" s="94" t="s">
        <v>63</v>
      </c>
      <c r="S544" s="120">
        <v>46330</v>
      </c>
      <c r="T544" s="120"/>
      <c r="U544" s="120">
        <v>46330</v>
      </c>
      <c r="V544" s="94"/>
      <c r="W544" s="94"/>
      <c r="X544" s="94"/>
      <c r="Y544" s="119">
        <v>46330</v>
      </c>
      <c r="Z544" s="94"/>
      <c r="AA544" s="120"/>
      <c r="AB544" s="120"/>
      <c r="AC544" s="120"/>
      <c r="AD544" s="120"/>
      <c r="AE544" s="120"/>
      <c r="AF544" s="120"/>
      <c r="AG544" s="94"/>
      <c r="AH544" s="120"/>
      <c r="AI544" s="94"/>
      <c r="AJ544" s="94" t="s">
        <v>351</v>
      </c>
      <c r="AK544" s="94" t="s">
        <v>354</v>
      </c>
      <c r="AL544" s="94">
        <v>120</v>
      </c>
      <c r="AM544" s="94" t="str">
        <f>TRIM(AJ544)&amp;TRIM(AL544)&amp;TRIM(AK544)</f>
      </c>
      <c r="AN544" s="116">
        <v>103.54</v>
      </c>
      <c r="AO544" s="116">
        <v>-6.1</v>
      </c>
      <c r="AP544" s="116">
        <f>SUMIFS(M:M,AM:AM,AM544)+SUMIFS(O:O,AM:AM,AM544)</f>
      </c>
      <c r="AQ544" s="116">
        <f>SUMIFS(L:L,AM:AM,AM544)</f>
      </c>
      <c r="AR544" s="116">
        <f>AQ544-AP544</f>
      </c>
      <c r="AS544" s="94" t="str">
        <f>IF(AN544&gt;=AQ544,"ok","ck")</f>
      </c>
      <c r="AT544" s="116">
        <f>-P544</f>
      </c>
      <c r="AU544" s="115">
        <f>IF(SUMIFS(AT:AT,AM:AM,AM544)&gt;AO544,(SUMIFS(AT:AT,AM:AM,AM544)-AO544))</f>
      </c>
      <c r="AV544" s="116">
        <v>103.54</v>
      </c>
      <c r="AW544" s="121">
        <v>1.063</v>
      </c>
      <c r="AX544" s="115">
        <f>AN544-AP544</f>
      </c>
    </row>
    <row r="545" spans="1:50" ht="15" hidden="1" customHeight="1" x14ac:dyDescent="0.3">
      <c r="A545" s="94" t="s">
        <v>350</v>
      </c>
      <c r="B545" s="94"/>
      <c r="C545" s="94"/>
      <c r="D545" s="94"/>
      <c r="E545" s="94"/>
      <c r="F545" s="94"/>
      <c r="G545" s="112">
        <f>AU545</f>
      </c>
      <c r="H545" s="113"/>
      <c r="I545" s="94" t="s">
        <v>264</v>
      </c>
      <c r="J545" s="94" t="s">
        <v>353</v>
      </c>
      <c r="K545" s="114">
        <f>P545/3</f>
      </c>
      <c r="L545" s="115">
        <v>0</v>
      </c>
      <c r="M545" s="116">
        <f>L545</f>
      </c>
      <c r="N545" s="117">
        <f>M545-L545</f>
      </c>
      <c r="O545" s="112"/>
      <c r="P545" s="118">
        <f>N545+O545</f>
      </c>
      <c r="Q545" s="94" t="s">
        <v>351</v>
      </c>
      <c r="R545" s="94" t="s">
        <v>63</v>
      </c>
      <c r="S545" s="120">
        <v>46326</v>
      </c>
      <c r="T545" s="120"/>
      <c r="U545" s="120">
        <v>46326</v>
      </c>
      <c r="V545" s="94"/>
      <c r="W545" s="94"/>
      <c r="X545" s="94"/>
      <c r="Y545" s="119">
        <v>46326</v>
      </c>
      <c r="Z545" s="94"/>
      <c r="AA545" s="120"/>
      <c r="AB545" s="120"/>
      <c r="AC545" s="120"/>
      <c r="AD545" s="120"/>
      <c r="AE545" s="120"/>
      <c r="AF545" s="120"/>
      <c r="AG545" s="94"/>
      <c r="AH545" s="120"/>
      <c r="AI545" s="94"/>
      <c r="AJ545" s="94" t="s">
        <v>351</v>
      </c>
      <c r="AK545" s="94" t="s">
        <v>354</v>
      </c>
      <c r="AL545" s="94">
        <v>120</v>
      </c>
      <c r="AM545" s="94" t="str">
        <f>TRIM(AJ545)&amp;TRIM(AL545)&amp;TRIM(AK545)</f>
      </c>
      <c r="AN545" s="116">
        <v>103.54</v>
      </c>
      <c r="AO545" s="116">
        <v>-6.1</v>
      </c>
      <c r="AP545" s="116">
        <f>SUMIFS(M:M,AM:AM,AM545)+SUMIFS(O:O,AM:AM,AM545)</f>
      </c>
      <c r="AQ545" s="116">
        <f>SUMIFS(L:L,AM:AM,AM545)</f>
      </c>
      <c r="AR545" s="116">
        <f>AQ545-AP545</f>
      </c>
      <c r="AS545" s="94" t="str">
        <f>IF(AN545&gt;=AQ545,"ok","ck")</f>
      </c>
      <c r="AT545" s="116">
        <f>-P545</f>
      </c>
      <c r="AU545" s="115">
        <f>IF(SUMIFS(AT:AT,AM:AM,AM545)&gt;AO545,(SUMIFS(AT:AT,AM:AM,AM545)-AO545))</f>
      </c>
      <c r="AV545" s="116">
        <v>103.54</v>
      </c>
      <c r="AW545" s="121">
        <v>1.063</v>
      </c>
      <c r="AX545" s="115">
        <f>AN545-AP545</f>
      </c>
    </row>
    <row r="546" spans="1:50" ht="15" hidden="1" customHeight="1" x14ac:dyDescent="0.3">
      <c r="A546" s="94" t="s">
        <v>82</v>
      </c>
      <c r="B546" s="94"/>
      <c r="C546" s="94"/>
      <c r="D546" s="94"/>
      <c r="E546" s="94"/>
      <c r="F546" s="94"/>
      <c r="G546" s="112">
        <f>AU546</f>
      </c>
      <c r="H546" s="113"/>
      <c r="I546" s="94" t="s">
        <v>83</v>
      </c>
      <c r="J546" s="94" t="s">
        <v>102</v>
      </c>
      <c r="K546" s="114">
        <f>P546/3</f>
      </c>
      <c r="L546" s="115">
        <v>0</v>
      </c>
      <c r="M546" s="116"/>
      <c r="N546" s="117">
        <f>M546-L546</f>
      </c>
      <c r="O546" s="112"/>
      <c r="P546" s="118">
        <f>N546+O546</f>
      </c>
      <c r="Q546" s="94" t="s">
        <v>85</v>
      </c>
      <c r="R546" s="94" t="s">
        <v>63</v>
      </c>
      <c r="S546" s="120">
        <v>46320</v>
      </c>
      <c r="T546" s="120"/>
      <c r="U546" s="120">
        <v>46320</v>
      </c>
      <c r="V546" s="94"/>
      <c r="W546" s="94"/>
      <c r="X546" s="94"/>
      <c r="Y546" s="119">
        <v>46320</v>
      </c>
      <c r="Z546" s="94"/>
      <c r="AA546" s="120"/>
      <c r="AB546" s="120"/>
      <c r="AC546" s="120"/>
      <c r="AD546" s="120"/>
      <c r="AE546" s="120"/>
      <c r="AF546" s="120"/>
      <c r="AG546" s="94"/>
      <c r="AH546" s="120"/>
      <c r="AI546" s="94"/>
      <c r="AJ546" s="94" t="s">
        <v>86</v>
      </c>
      <c r="AK546" s="94" t="s">
        <v>103</v>
      </c>
      <c r="AL546" s="94">
        <v>160</v>
      </c>
      <c r="AM546" s="94" t="str">
        <f>TRIM(AJ546)&amp;TRIM(AL546)&amp;TRIM(AK546)</f>
      </c>
      <c r="AN546" s="116">
        <v>29538.42</v>
      </c>
      <c r="AO546" s="116">
        <v>2887.58</v>
      </c>
      <c r="AP546" s="116">
        <f>SUMIFS(M:M,AM:AM,AM546)+SUMIFS(O:O,AM:AM,AM546)</f>
      </c>
      <c r="AQ546" s="116">
        <f>SUMIFS(L:L,AM:AM,AM546)</f>
      </c>
      <c r="AR546" s="116">
        <f>AQ546-AP546</f>
      </c>
      <c r="AS546" s="94" t="str">
        <f>IF(AN546&gt;=AQ546,"ok","ck")</f>
      </c>
      <c r="AT546" s="116">
        <f>-P546</f>
      </c>
      <c r="AU546" s="115">
        <f>IF(SUMIFS(AT:AT,AM:AM,AM546)&gt;AO546,(SUMIFS(AT:AT,AM:AM,AM546)-AO546))</f>
      </c>
      <c r="AV546" s="116">
        <v>29538.42</v>
      </c>
      <c r="AW546" s="121">
        <v>0.911</v>
      </c>
      <c r="AX546" s="115">
        <f>AN546-AP546</f>
      </c>
    </row>
    <row r="547" spans="1:50" ht="15" hidden="1" customHeight="1" x14ac:dyDescent="0.3">
      <c r="A547" s="94" t="s">
        <v>82</v>
      </c>
      <c r="B547" s="94"/>
      <c r="C547" s="94"/>
      <c r="D547" s="94"/>
      <c r="E547" s="94"/>
      <c r="F547" s="94"/>
      <c r="G547" s="112">
        <f>AU547</f>
      </c>
      <c r="H547" s="113"/>
      <c r="I547" s="94" t="s">
        <v>83</v>
      </c>
      <c r="J547" s="94" t="s">
        <v>102</v>
      </c>
      <c r="K547" s="114">
        <f>P547/3</f>
      </c>
      <c r="L547" s="115">
        <v>0</v>
      </c>
      <c r="M547" s="116"/>
      <c r="N547" s="117">
        <f>M547-L547</f>
      </c>
      <c r="O547" s="112"/>
      <c r="P547" s="118">
        <f>N547+O547</f>
      </c>
      <c r="Q547" s="94" t="s">
        <v>85</v>
      </c>
      <c r="R547" s="94" t="s">
        <v>63</v>
      </c>
      <c r="S547" s="120">
        <v>46328</v>
      </c>
      <c r="T547" s="120"/>
      <c r="U547" s="120">
        <v>46328</v>
      </c>
      <c r="V547" s="94"/>
      <c r="W547" s="94"/>
      <c r="X547" s="94"/>
      <c r="Y547" s="119">
        <v>46328</v>
      </c>
      <c r="Z547" s="94"/>
      <c r="AA547" s="120"/>
      <c r="AB547" s="120"/>
      <c r="AC547" s="120"/>
      <c r="AD547" s="120"/>
      <c r="AE547" s="120"/>
      <c r="AF547" s="120"/>
      <c r="AG547" s="94"/>
      <c r="AH547" s="120"/>
      <c r="AI547" s="94"/>
      <c r="AJ547" s="94" t="s">
        <v>86</v>
      </c>
      <c r="AK547" s="94" t="s">
        <v>103</v>
      </c>
      <c r="AL547" s="94">
        <v>160</v>
      </c>
      <c r="AM547" s="94" t="str">
        <f>TRIM(AJ547)&amp;TRIM(AL547)&amp;TRIM(AK547)</f>
      </c>
      <c r="AN547" s="116">
        <v>29538.42</v>
      </c>
      <c r="AO547" s="116">
        <v>2887.58</v>
      </c>
      <c r="AP547" s="116">
        <f>SUMIFS(M:M,AM:AM,AM547)+SUMIFS(O:O,AM:AM,AM547)</f>
      </c>
      <c r="AQ547" s="116">
        <f>SUMIFS(L:L,AM:AM,AM547)</f>
      </c>
      <c r="AR547" s="116">
        <f>AQ547-AP547</f>
      </c>
      <c r="AS547" s="94" t="str">
        <f>IF(AN547&gt;=AQ547,"ok","ck")</f>
      </c>
      <c r="AT547" s="116">
        <f>-P547</f>
      </c>
      <c r="AU547" s="115">
        <f>IF(SUMIFS(AT:AT,AM:AM,AM547)&gt;AO547,(SUMIFS(AT:AT,AM:AM,AM547)-AO547))</f>
      </c>
      <c r="AV547" s="116">
        <v>29538.42</v>
      </c>
      <c r="AW547" s="121">
        <v>0.911</v>
      </c>
      <c r="AX547" s="115">
        <f>AN547-AP547</f>
      </c>
    </row>
    <row r="548" spans="1:50" ht="15" hidden="1" customHeight="1" x14ac:dyDescent="0.3">
      <c r="A548" s="94" t="s">
        <v>82</v>
      </c>
      <c r="B548" s="94"/>
      <c r="C548" s="94"/>
      <c r="D548" s="94"/>
      <c r="E548" s="94"/>
      <c r="F548" s="94"/>
      <c r="G548" s="112">
        <f>AU548</f>
      </c>
      <c r="H548" s="113"/>
      <c r="I548" s="94" t="s">
        <v>83</v>
      </c>
      <c r="J548" s="94" t="s">
        <v>102</v>
      </c>
      <c r="K548" s="114">
        <f>P548/3</f>
      </c>
      <c r="L548" s="115">
        <v>5805.04</v>
      </c>
      <c r="M548" s="116">
        <v>2917.46</v>
      </c>
      <c r="N548" s="117">
        <f>M548-L548</f>
      </c>
      <c r="O548" s="112"/>
      <c r="P548" s="118">
        <f>N548+O548</f>
      </c>
      <c r="Q548" s="94" t="s">
        <v>85</v>
      </c>
      <c r="R548" s="94" t="s">
        <v>63</v>
      </c>
      <c r="S548" s="119">
        <v>46331</v>
      </c>
      <c r="T548" s="119"/>
      <c r="U548" s="120">
        <v>46331</v>
      </c>
      <c r="V548" s="94"/>
      <c r="W548" s="94"/>
      <c r="X548" s="94"/>
      <c r="Y548" s="119">
        <v>46331</v>
      </c>
      <c r="Z548" s="94"/>
      <c r="AA548" s="120"/>
      <c r="AB548" s="120"/>
      <c r="AC548" s="120"/>
      <c r="AD548" s="120"/>
      <c r="AE548" s="120"/>
      <c r="AF548" s="120"/>
      <c r="AG548" s="94"/>
      <c r="AH548" s="120"/>
      <c r="AI548" s="94"/>
      <c r="AJ548" s="94" t="s">
        <v>86</v>
      </c>
      <c r="AK548" s="94" t="s">
        <v>103</v>
      </c>
      <c r="AL548" s="94">
        <v>160</v>
      </c>
      <c r="AM548" s="94" t="str">
        <f>TRIM(AJ548)&amp;TRIM(AL548)&amp;TRIM(AK548)</f>
      </c>
      <c r="AN548" s="116">
        <v>29538.42</v>
      </c>
      <c r="AO548" s="116">
        <v>2887.58</v>
      </c>
      <c r="AP548" s="116">
        <f>SUMIFS(M:M,AM:AM,AM548)+SUMIFS(O:O,AM:AM,AM548)</f>
      </c>
      <c r="AQ548" s="116">
        <f>SUMIFS(L:L,AM:AM,AM548)</f>
      </c>
      <c r="AR548" s="116">
        <f>AQ548-AP548</f>
      </c>
      <c r="AS548" s="94" t="str">
        <f>IF(AN548&gt;=AQ548,"ok","ck")</f>
      </c>
      <c r="AT548" s="116">
        <f>-P548</f>
      </c>
      <c r="AU548" s="115">
        <f>IF(SUMIFS(AT:AT,AM:AM,AM548)&gt;AO548,(SUMIFS(AT:AT,AM:AM,AM548)-AO548))</f>
      </c>
      <c r="AV548" s="116">
        <v>29538.42</v>
      </c>
      <c r="AW548" s="121">
        <v>0.911</v>
      </c>
      <c r="AX548" s="115">
        <f>AN548-AP548</f>
      </c>
    </row>
    <row r="549" spans="1:50" ht="15" hidden="1" customHeight="1" x14ac:dyDescent="0.3">
      <c r="A549" s="94" t="s">
        <v>82</v>
      </c>
      <c r="B549" s="94"/>
      <c r="C549" s="94"/>
      <c r="D549" s="94"/>
      <c r="E549" s="94"/>
      <c r="F549" s="94"/>
      <c r="G549" s="112">
        <f>AU549</f>
      </c>
      <c r="H549" s="113"/>
      <c r="I549" s="94" t="s">
        <v>83</v>
      </c>
      <c r="J549" s="94" t="s">
        <v>102</v>
      </c>
      <c r="K549" s="114">
        <f>P549/3</f>
      </c>
      <c r="L549" s="115">
        <v>0</v>
      </c>
      <c r="M549" s="116"/>
      <c r="N549" s="117">
        <f>M549-L549</f>
      </c>
      <c r="O549" s="112"/>
      <c r="P549" s="118">
        <f>N549+O549</f>
      </c>
      <c r="Q549" s="94" t="s">
        <v>85</v>
      </c>
      <c r="R549" s="94" t="s">
        <v>63</v>
      </c>
      <c r="S549" s="119">
        <v>46320</v>
      </c>
      <c r="T549" s="119"/>
      <c r="U549" s="120">
        <v>46320</v>
      </c>
      <c r="V549" s="94"/>
      <c r="W549" s="94"/>
      <c r="X549" s="94"/>
      <c r="Y549" s="119">
        <v>46320</v>
      </c>
      <c r="Z549" s="94"/>
      <c r="AA549" s="120"/>
      <c r="AB549" s="120"/>
      <c r="AC549" s="120"/>
      <c r="AD549" s="120"/>
      <c r="AE549" s="120"/>
      <c r="AF549" s="120"/>
      <c r="AG549" s="94"/>
      <c r="AH549" s="120"/>
      <c r="AI549" s="94"/>
      <c r="AJ549" s="94" t="s">
        <v>86</v>
      </c>
      <c r="AK549" s="94" t="s">
        <v>103</v>
      </c>
      <c r="AL549" s="94">
        <v>160</v>
      </c>
      <c r="AM549" s="94" t="str">
        <f>TRIM(AJ549)&amp;TRIM(AL549)&amp;TRIM(AK549)</f>
      </c>
      <c r="AN549" s="116">
        <v>29538.42</v>
      </c>
      <c r="AO549" s="116">
        <v>2887.58</v>
      </c>
      <c r="AP549" s="116">
        <f>SUMIFS(M:M,AM:AM,AM549)+SUMIFS(O:O,AM:AM,AM549)</f>
      </c>
      <c r="AQ549" s="116">
        <f>SUMIFS(L:L,AM:AM,AM549)</f>
      </c>
      <c r="AR549" s="116">
        <f>AQ549-AP549</f>
      </c>
      <c r="AS549" s="94" t="str">
        <f>IF(AN549&gt;=AQ549,"ok","ck")</f>
      </c>
      <c r="AT549" s="116">
        <f>-P549</f>
      </c>
      <c r="AU549" s="115">
        <f>IF(SUMIFS(AT:AT,AM:AM,AM549)&gt;AO549,(SUMIFS(AT:AT,AM:AM,AM549)-AO549))</f>
      </c>
      <c r="AV549" s="116">
        <v>29538.42</v>
      </c>
      <c r="AW549" s="121">
        <v>0.911</v>
      </c>
      <c r="AX549" s="115">
        <f>AN549-AP549</f>
      </c>
    </row>
    <row r="550" spans="1:50" ht="15" hidden="1" customHeight="1" x14ac:dyDescent="0.3">
      <c r="A550" s="94" t="s">
        <v>82</v>
      </c>
      <c r="B550" s="94"/>
      <c r="C550" s="94"/>
      <c r="D550" s="94"/>
      <c r="E550" s="94"/>
      <c r="F550" s="94"/>
      <c r="G550" s="112">
        <f>AU550</f>
      </c>
      <c r="H550" s="113"/>
      <c r="I550" s="94" t="s">
        <v>83</v>
      </c>
      <c r="J550" s="94" t="s">
        <v>102</v>
      </c>
      <c r="K550" s="114">
        <f>P550/3</f>
      </c>
      <c r="L550" s="115">
        <v>0</v>
      </c>
      <c r="M550" s="116"/>
      <c r="N550" s="117">
        <f>M550-L550</f>
      </c>
      <c r="O550" s="112"/>
      <c r="P550" s="118">
        <f>N550+O550</f>
      </c>
      <c r="Q550" s="94" t="s">
        <v>85</v>
      </c>
      <c r="R550" s="94" t="s">
        <v>63</v>
      </c>
      <c r="S550" s="119">
        <v>46320</v>
      </c>
      <c r="T550" s="119"/>
      <c r="U550" s="120">
        <v>46320</v>
      </c>
      <c r="V550" s="94"/>
      <c r="W550" s="94"/>
      <c r="X550" s="94"/>
      <c r="Y550" s="119">
        <v>46320</v>
      </c>
      <c r="Z550" s="94"/>
      <c r="AA550" s="120"/>
      <c r="AB550" s="120"/>
      <c r="AC550" s="120"/>
      <c r="AD550" s="120"/>
      <c r="AE550" s="120"/>
      <c r="AF550" s="120"/>
      <c r="AG550" s="94"/>
      <c r="AH550" s="120"/>
      <c r="AI550" s="94"/>
      <c r="AJ550" s="94" t="s">
        <v>86</v>
      </c>
      <c r="AK550" s="94" t="s">
        <v>103</v>
      </c>
      <c r="AL550" s="94">
        <v>160</v>
      </c>
      <c r="AM550" s="94" t="str">
        <f>TRIM(AJ550)&amp;TRIM(AL550)&amp;TRIM(AK550)</f>
      </c>
      <c r="AN550" s="116">
        <v>29538.42</v>
      </c>
      <c r="AO550" s="116">
        <v>2887.58</v>
      </c>
      <c r="AP550" s="116">
        <f>SUMIFS(M:M,AM:AM,AM550)+SUMIFS(O:O,AM:AM,AM550)</f>
      </c>
      <c r="AQ550" s="116">
        <f>SUMIFS(L:L,AM:AM,AM550)</f>
      </c>
      <c r="AR550" s="116">
        <f>AQ550-AP550</f>
      </c>
      <c r="AS550" s="94" t="str">
        <f>IF(AN550&gt;=AQ550,"ok","ck")</f>
      </c>
      <c r="AT550" s="116">
        <f>-P550</f>
      </c>
      <c r="AU550" s="115">
        <f>IF(SUMIFS(AT:AT,AM:AM,AM550)&gt;AO550,(SUMIFS(AT:AT,AM:AM,AM550)-AO550))</f>
      </c>
      <c r="AV550" s="116">
        <v>29538.42</v>
      </c>
      <c r="AW550" s="121">
        <v>0.911</v>
      </c>
      <c r="AX550" s="115">
        <f>AN550-AP550</f>
      </c>
    </row>
    <row r="551" spans="1:50" ht="15" hidden="1" customHeight="1" x14ac:dyDescent="0.3">
      <c r="A551" s="94" t="s">
        <v>82</v>
      </c>
      <c r="B551" s="94"/>
      <c r="C551" s="94"/>
      <c r="D551" s="94"/>
      <c r="E551" s="94"/>
      <c r="F551" s="94"/>
      <c r="G551" s="112">
        <f>AU551</f>
      </c>
      <c r="H551" s="113"/>
      <c r="I551" s="94" t="s">
        <v>83</v>
      </c>
      <c r="J551" s="94" t="s">
        <v>102</v>
      </c>
      <c r="K551" s="114">
        <f>P551/3</f>
      </c>
      <c r="L551" s="115">
        <v>0</v>
      </c>
      <c r="M551" s="116"/>
      <c r="N551" s="117">
        <f>M551-L551</f>
      </c>
      <c r="O551" s="112"/>
      <c r="P551" s="118">
        <f>N551+O551</f>
      </c>
      <c r="Q551" s="94" t="s">
        <v>85</v>
      </c>
      <c r="R551" s="94" t="s">
        <v>63</v>
      </c>
      <c r="S551" s="119">
        <v>46320</v>
      </c>
      <c r="T551" s="119"/>
      <c r="U551" s="120">
        <v>46320</v>
      </c>
      <c r="V551" s="94"/>
      <c r="W551" s="94"/>
      <c r="X551" s="94"/>
      <c r="Y551" s="119">
        <v>46320</v>
      </c>
      <c r="Z551" s="94"/>
      <c r="AA551" s="120"/>
      <c r="AB551" s="120"/>
      <c r="AC551" s="120"/>
      <c r="AD551" s="120"/>
      <c r="AE551" s="120"/>
      <c r="AF551" s="120"/>
      <c r="AG551" s="94"/>
      <c r="AH551" s="120"/>
      <c r="AI551" s="94"/>
      <c r="AJ551" s="94" t="s">
        <v>86</v>
      </c>
      <c r="AK551" s="94" t="s">
        <v>103</v>
      </c>
      <c r="AL551" s="94">
        <v>160</v>
      </c>
      <c r="AM551" s="94" t="str">
        <f>TRIM(AJ551)&amp;TRIM(AL551)&amp;TRIM(AK551)</f>
      </c>
      <c r="AN551" s="116">
        <v>29538.42</v>
      </c>
      <c r="AO551" s="116">
        <v>2887.58</v>
      </c>
      <c r="AP551" s="116">
        <f>SUMIFS(M:M,AM:AM,AM551)+SUMIFS(O:O,AM:AM,AM551)</f>
      </c>
      <c r="AQ551" s="116">
        <f>SUMIFS(L:L,AM:AM,AM551)</f>
      </c>
      <c r="AR551" s="116">
        <f>AQ551-AP551</f>
      </c>
      <c r="AS551" s="94" t="str">
        <f>IF(AN551&gt;=AQ551,"ok","ck")</f>
      </c>
      <c r="AT551" s="116">
        <f>-P551</f>
      </c>
      <c r="AU551" s="115">
        <f>IF(SUMIFS(AT:AT,AM:AM,AM551)&gt;AO551,(SUMIFS(AT:AT,AM:AM,AM551)-AO551))</f>
      </c>
      <c r="AV551" s="116">
        <v>29538.42</v>
      </c>
      <c r="AW551" s="121">
        <v>0.911</v>
      </c>
      <c r="AX551" s="115">
        <f>AN551-AP551</f>
      </c>
    </row>
    <row r="552" spans="1:50" ht="15" hidden="1" customHeight="1" x14ac:dyDescent="0.3">
      <c r="A552" s="94" t="s">
        <v>82</v>
      </c>
      <c r="B552" s="94"/>
      <c r="C552" s="94"/>
      <c r="D552" s="94"/>
      <c r="E552" s="94"/>
      <c r="F552" s="94"/>
      <c r="G552" s="112">
        <f>AU552</f>
      </c>
      <c r="H552" s="113"/>
      <c r="I552" s="94" t="s">
        <v>83</v>
      </c>
      <c r="J552" s="94" t="s">
        <v>102</v>
      </c>
      <c r="K552" s="114">
        <f>P552/3</f>
      </c>
      <c r="L552" s="115">
        <v>0</v>
      </c>
      <c r="M552" s="116"/>
      <c r="N552" s="117">
        <f>M552-L552</f>
      </c>
      <c r="O552" s="112"/>
      <c r="P552" s="118">
        <f>N552+O552</f>
      </c>
      <c r="Q552" s="94" t="s">
        <v>85</v>
      </c>
      <c r="R552" s="94" t="s">
        <v>63</v>
      </c>
      <c r="S552" s="119">
        <v>46322</v>
      </c>
      <c r="T552" s="119"/>
      <c r="U552" s="120">
        <v>46322</v>
      </c>
      <c r="V552" s="94"/>
      <c r="W552" s="94"/>
      <c r="X552" s="94"/>
      <c r="Y552" s="119">
        <v>46322</v>
      </c>
      <c r="Z552" s="94"/>
      <c r="AA552" s="120"/>
      <c r="AB552" s="120"/>
      <c r="AC552" s="120"/>
      <c r="AD552" s="120"/>
      <c r="AE552" s="120"/>
      <c r="AF552" s="120"/>
      <c r="AG552" s="94"/>
      <c r="AH552" s="120"/>
      <c r="AI552" s="94"/>
      <c r="AJ552" s="94" t="s">
        <v>86</v>
      </c>
      <c r="AK552" s="94" t="s">
        <v>103</v>
      </c>
      <c r="AL552" s="94">
        <v>160</v>
      </c>
      <c r="AM552" s="94" t="str">
        <f>TRIM(AJ552)&amp;TRIM(AL552)&amp;TRIM(AK552)</f>
      </c>
      <c r="AN552" s="116">
        <v>29538.42</v>
      </c>
      <c r="AO552" s="116">
        <v>2887.58</v>
      </c>
      <c r="AP552" s="116">
        <f>SUMIFS(M:M,AM:AM,AM552)+SUMIFS(O:O,AM:AM,AM552)</f>
      </c>
      <c r="AQ552" s="116">
        <f>SUMIFS(L:L,AM:AM,AM552)</f>
      </c>
      <c r="AR552" s="116">
        <f>AQ552-AP552</f>
      </c>
      <c r="AS552" s="94" t="str">
        <f>IF(AN552&gt;=AQ552,"ok","ck")</f>
      </c>
      <c r="AT552" s="116">
        <f>-P552</f>
      </c>
      <c r="AU552" s="115">
        <f>IF(SUMIFS(AT:AT,AM:AM,AM552)&gt;AO552,(SUMIFS(AT:AT,AM:AM,AM552)-AO552))</f>
      </c>
      <c r="AV552" s="116">
        <v>29538.42</v>
      </c>
      <c r="AW552" s="121">
        <v>0.911</v>
      </c>
      <c r="AX552" s="115">
        <f>AN552-AP552</f>
      </c>
    </row>
    <row r="553" spans="1:50" ht="15" hidden="1" customHeight="1" x14ac:dyDescent="0.3">
      <c r="A553" s="94" t="s">
        <v>60</v>
      </c>
      <c r="B553" s="94"/>
      <c r="C553" s="94"/>
      <c r="D553" s="94"/>
      <c r="E553" s="94"/>
      <c r="F553" s="94"/>
      <c r="G553" s="112">
        <f>AU553</f>
      </c>
      <c r="H553" s="113"/>
      <c r="I553" s="94" t="s">
        <v>65</v>
      </c>
      <c r="J553" s="94" t="s">
        <v>536</v>
      </c>
      <c r="K553" s="114">
        <f>P553/3</f>
      </c>
      <c r="L553" s="115">
        <v>0</v>
      </c>
      <c r="M553" s="116">
        <f>L553</f>
      </c>
      <c r="N553" s="117">
        <f>M553-L553</f>
      </c>
      <c r="O553" s="112"/>
      <c r="P553" s="118">
        <f>N553+O553</f>
      </c>
      <c r="Q553" s="94" t="s">
        <v>785</v>
      </c>
      <c r="R553" s="94" t="s">
        <v>63</v>
      </c>
      <c r="S553" s="119">
        <v>46328</v>
      </c>
      <c r="T553" s="119"/>
      <c r="U553" s="120">
        <v>46328</v>
      </c>
      <c r="V553" s="94"/>
      <c r="W553" s="94"/>
      <c r="X553" s="94"/>
      <c r="Y553" s="119">
        <v>46328</v>
      </c>
      <c r="Z553" s="94"/>
      <c r="AA553" s="120"/>
      <c r="AB553" s="120"/>
      <c r="AC553" s="120"/>
      <c r="AD553" s="120"/>
      <c r="AE553" s="120"/>
      <c r="AF553" s="120"/>
      <c r="AG553" s="94"/>
      <c r="AH553" s="120"/>
      <c r="AI553" s="94"/>
      <c r="AJ553" s="94" t="s">
        <v>785</v>
      </c>
      <c r="AK553" s="94" t="s">
        <v>536</v>
      </c>
      <c r="AL553" s="94">
        <v>110</v>
      </c>
      <c r="AM553" s="94" t="str">
        <f>TRIM(AJ553)&amp;TRIM(AL553)&amp;TRIM(AK553)</f>
      </c>
      <c r="AN553" s="116">
        <v>118.25</v>
      </c>
      <c r="AO553" s="116">
        <v>-6.25</v>
      </c>
      <c r="AP553" s="116">
        <f>SUMIFS(M:M,AM:AM,AM553)+SUMIFS(O:O,AM:AM,AM553)</f>
      </c>
      <c r="AQ553" s="116">
        <f>SUMIFS(L:L,AM:AM,AM553)</f>
      </c>
      <c r="AR553" s="116">
        <f>AQ553-AP553</f>
      </c>
      <c r="AS553" s="94" t="str">
        <f>IF(AN553&gt;=AQ553,"ok","ck")</f>
      </c>
      <c r="AT553" s="116">
        <f>-P553</f>
      </c>
      <c r="AU553" s="115">
        <f>IF(SUMIFS(AT:AT,AM:AM,AM553)&gt;AO553,(SUMIFS(AT:AT,AM:AM,AM553)-AO553))</f>
      </c>
      <c r="AV553" s="116">
        <v>118.25</v>
      </c>
      <c r="AW553" s="121">
        <v>1.056</v>
      </c>
      <c r="AX553" s="115">
        <f>AN553-AP553</f>
      </c>
    </row>
    <row r="554" spans="1:50" ht="15" hidden="1" customHeight="1" x14ac:dyDescent="0.3">
      <c r="A554" s="94" t="s">
        <v>60</v>
      </c>
      <c r="B554" s="94"/>
      <c r="C554" s="94"/>
      <c r="D554" s="94"/>
      <c r="E554" s="94"/>
      <c r="F554" s="94"/>
      <c r="G554" s="112">
        <f>AU554</f>
      </c>
      <c r="H554" s="113"/>
      <c r="I554" s="94" t="s">
        <v>65</v>
      </c>
      <c r="J554" s="94" t="s">
        <v>536</v>
      </c>
      <c r="K554" s="114">
        <f>P554/3</f>
      </c>
      <c r="L554" s="115">
        <v>0</v>
      </c>
      <c r="M554" s="116">
        <f>L554</f>
      </c>
      <c r="N554" s="117">
        <f>M554-L554</f>
      </c>
      <c r="O554" s="112"/>
      <c r="P554" s="118">
        <f>N554+O554</f>
      </c>
      <c r="Q554" s="94" t="s">
        <v>785</v>
      </c>
      <c r="R554" s="94" t="s">
        <v>63</v>
      </c>
      <c r="S554" s="119">
        <v>46326</v>
      </c>
      <c r="T554" s="119"/>
      <c r="U554" s="120">
        <v>46326</v>
      </c>
      <c r="V554" s="94"/>
      <c r="W554" s="94"/>
      <c r="X554" s="94"/>
      <c r="Y554" s="119">
        <v>46326</v>
      </c>
      <c r="Z554" s="94"/>
      <c r="AA554" s="120"/>
      <c r="AB554" s="120"/>
      <c r="AC554" s="120"/>
      <c r="AD554" s="120"/>
      <c r="AE554" s="120"/>
      <c r="AF554" s="120"/>
      <c r="AG554" s="94"/>
      <c r="AH554" s="120"/>
      <c r="AI554" s="94"/>
      <c r="AJ554" s="94" t="s">
        <v>785</v>
      </c>
      <c r="AK554" s="94" t="s">
        <v>536</v>
      </c>
      <c r="AL554" s="94">
        <v>110</v>
      </c>
      <c r="AM554" s="94" t="str">
        <f>TRIM(AJ554)&amp;TRIM(AL554)&amp;TRIM(AK554)</f>
      </c>
      <c r="AN554" s="116">
        <v>118.25</v>
      </c>
      <c r="AO554" s="116">
        <v>-6.25</v>
      </c>
      <c r="AP554" s="116">
        <f>SUMIFS(M:M,AM:AM,AM554)+SUMIFS(O:O,AM:AM,AM554)</f>
      </c>
      <c r="AQ554" s="116">
        <f>SUMIFS(L:L,AM:AM,AM554)</f>
      </c>
      <c r="AR554" s="116">
        <f>AQ554-AP554</f>
      </c>
      <c r="AS554" s="94" t="str">
        <f>IF(AN554&gt;=AQ554,"ok","ck")</f>
      </c>
      <c r="AT554" s="116">
        <f>-P554</f>
      </c>
      <c r="AU554" s="115">
        <f>IF(SUMIFS(AT:AT,AM:AM,AM554)&gt;AO554,(SUMIFS(AT:AT,AM:AM,AM554)-AO554))</f>
      </c>
      <c r="AV554" s="116">
        <v>118.25</v>
      </c>
      <c r="AW554" s="121">
        <v>1.056</v>
      </c>
      <c r="AX554" s="115">
        <f>AN554-AP554</f>
      </c>
    </row>
    <row r="555" spans="1:50" ht="15" hidden="1" customHeight="1" x14ac:dyDescent="0.3">
      <c r="A555" s="94" t="s">
        <v>60</v>
      </c>
      <c r="B555" s="94"/>
      <c r="C555" s="94"/>
      <c r="D555" s="94"/>
      <c r="E555" s="94"/>
      <c r="F555" s="94"/>
      <c r="G555" s="112">
        <f>AU555</f>
      </c>
      <c r="H555" s="113"/>
      <c r="I555" s="94" t="s">
        <v>65</v>
      </c>
      <c r="J555" s="94" t="s">
        <v>536</v>
      </c>
      <c r="K555" s="114">
        <f>P555/3</f>
      </c>
      <c r="L555" s="115">
        <v>0</v>
      </c>
      <c r="M555" s="116">
        <f>L555</f>
      </c>
      <c r="N555" s="117">
        <f>M555-L555</f>
      </c>
      <c r="O555" s="112"/>
      <c r="P555" s="118">
        <f>N555+O555</f>
      </c>
      <c r="Q555" s="94" t="s">
        <v>785</v>
      </c>
      <c r="R555" s="94" t="s">
        <v>63</v>
      </c>
      <c r="S555" s="119">
        <v>46328</v>
      </c>
      <c r="T555" s="119"/>
      <c r="U555" s="120">
        <v>46328</v>
      </c>
      <c r="V555" s="94"/>
      <c r="W555" s="94"/>
      <c r="X555" s="94"/>
      <c r="Y555" s="119">
        <v>46328</v>
      </c>
      <c r="Z555" s="94"/>
      <c r="AA555" s="120"/>
      <c r="AB555" s="120"/>
      <c r="AC555" s="120"/>
      <c r="AD555" s="120"/>
      <c r="AE555" s="120"/>
      <c r="AF555" s="120"/>
      <c r="AG555" s="94"/>
      <c r="AH555" s="120"/>
      <c r="AI555" s="94"/>
      <c r="AJ555" s="94" t="s">
        <v>785</v>
      </c>
      <c r="AK555" s="94" t="s">
        <v>536</v>
      </c>
      <c r="AL555" s="94">
        <v>110</v>
      </c>
      <c r="AM555" s="94" t="str">
        <f>TRIM(AJ555)&amp;TRIM(AL555)&amp;TRIM(AK555)</f>
      </c>
      <c r="AN555" s="116">
        <v>118.25</v>
      </c>
      <c r="AO555" s="116">
        <v>-6.25</v>
      </c>
      <c r="AP555" s="116">
        <f>SUMIFS(M:M,AM:AM,AM555)+SUMIFS(O:O,AM:AM,AM555)</f>
      </c>
      <c r="AQ555" s="116">
        <f>SUMIFS(L:L,AM:AM,AM555)</f>
      </c>
      <c r="AR555" s="116">
        <f>AQ555-AP555</f>
      </c>
      <c r="AS555" s="94" t="str">
        <f>IF(AN555&gt;=AQ555,"ok","ck")</f>
      </c>
      <c r="AT555" s="116">
        <f>-P555</f>
      </c>
      <c r="AU555" s="115">
        <f>IF(SUMIFS(AT:AT,AM:AM,AM555)&gt;AO555,(SUMIFS(AT:AT,AM:AM,AM555)-AO555))</f>
      </c>
      <c r="AV555" s="116">
        <v>118.25</v>
      </c>
      <c r="AW555" s="121">
        <v>1.056</v>
      </c>
      <c r="AX555" s="115">
        <f>AN555-AP555</f>
      </c>
    </row>
    <row r="556" spans="1:50" ht="15" hidden="1" customHeight="1" x14ac:dyDescent="0.3">
      <c r="A556" s="94" t="s">
        <v>60</v>
      </c>
      <c r="B556" s="94"/>
      <c r="C556" s="94"/>
      <c r="D556" s="94"/>
      <c r="E556" s="94"/>
      <c r="F556" s="94"/>
      <c r="G556" s="112">
        <f>AU556</f>
      </c>
      <c r="H556" s="113"/>
      <c r="I556" s="94" t="s">
        <v>65</v>
      </c>
      <c r="J556" s="94" t="s">
        <v>537</v>
      </c>
      <c r="K556" s="114">
        <f>P556/3</f>
      </c>
      <c r="L556" s="115">
        <v>0</v>
      </c>
      <c r="M556" s="116">
        <f>L556</f>
      </c>
      <c r="N556" s="117">
        <f>M556-L556</f>
      </c>
      <c r="O556" s="112"/>
      <c r="P556" s="118">
        <f>N556+O556</f>
      </c>
      <c r="Q556" s="94" t="s">
        <v>785</v>
      </c>
      <c r="R556" s="94" t="s">
        <v>63</v>
      </c>
      <c r="S556" s="119">
        <v>46328</v>
      </c>
      <c r="T556" s="119"/>
      <c r="U556" s="120">
        <v>46328</v>
      </c>
      <c r="V556" s="94"/>
      <c r="W556" s="94"/>
      <c r="X556" s="94"/>
      <c r="Y556" s="119">
        <v>46328</v>
      </c>
      <c r="Z556" s="94"/>
      <c r="AA556" s="120"/>
      <c r="AB556" s="120"/>
      <c r="AC556" s="120"/>
      <c r="AD556" s="120"/>
      <c r="AE556" s="120"/>
      <c r="AF556" s="120"/>
      <c r="AG556" s="94"/>
      <c r="AH556" s="120"/>
      <c r="AI556" s="94"/>
      <c r="AJ556" s="94" t="s">
        <v>785</v>
      </c>
      <c r="AK556" s="94" t="s">
        <v>537</v>
      </c>
      <c r="AL556" s="94">
        <v>110</v>
      </c>
      <c r="AM556" s="94" t="str">
        <f>TRIM(AJ556)&amp;TRIM(AL556)&amp;TRIM(AK556)</f>
      </c>
      <c r="AN556" s="116">
        <v>109</v>
      </c>
      <c r="AO556" s="116">
        <v>-3.24</v>
      </c>
      <c r="AP556" s="116">
        <f>SUMIFS(M:M,AM:AM,AM556)+SUMIFS(O:O,AM:AM,AM556)</f>
      </c>
      <c r="AQ556" s="116">
        <f>SUMIFS(L:L,AM:AM,AM556)</f>
      </c>
      <c r="AR556" s="116">
        <f>AQ556-AP556</f>
      </c>
      <c r="AS556" s="94" t="str">
        <f>IF(AN556&gt;=AQ556,"ok","ck")</f>
      </c>
      <c r="AT556" s="116">
        <f>-P556</f>
      </c>
      <c r="AU556" s="115">
        <f>IF(SUMIFS(AT:AT,AM:AM,AM556)&gt;AO556,(SUMIFS(AT:AT,AM:AM,AM556)-AO556))</f>
      </c>
      <c r="AV556" s="116">
        <v>109</v>
      </c>
      <c r="AW556" s="121">
        <v>1.031</v>
      </c>
      <c r="AX556" s="115">
        <f>AN556-AP556</f>
      </c>
    </row>
    <row r="557" spans="1:50" ht="15" hidden="1" customHeight="1" x14ac:dyDescent="0.3">
      <c r="A557" s="94" t="s">
        <v>60</v>
      </c>
      <c r="B557" s="94"/>
      <c r="C557" s="94"/>
      <c r="D557" s="94"/>
      <c r="E557" s="94"/>
      <c r="F557" s="94"/>
      <c r="G557" s="112">
        <f>AU557</f>
      </c>
      <c r="H557" s="113"/>
      <c r="I557" s="94" t="s">
        <v>65</v>
      </c>
      <c r="J557" s="94" t="s">
        <v>537</v>
      </c>
      <c r="K557" s="114">
        <f>P557/3</f>
      </c>
      <c r="L557" s="115">
        <v>0</v>
      </c>
      <c r="M557" s="116">
        <f>L557</f>
      </c>
      <c r="N557" s="117">
        <f>M557-L557</f>
      </c>
      <c r="O557" s="112"/>
      <c r="P557" s="118">
        <f>N557+O557</f>
      </c>
      <c r="Q557" s="94" t="s">
        <v>785</v>
      </c>
      <c r="R557" s="94" t="s">
        <v>63</v>
      </c>
      <c r="S557" s="119">
        <v>46326</v>
      </c>
      <c r="T557" s="119"/>
      <c r="U557" s="120">
        <v>46326</v>
      </c>
      <c r="V557" s="94"/>
      <c r="W557" s="94"/>
      <c r="X557" s="94"/>
      <c r="Y557" s="119">
        <v>46326</v>
      </c>
      <c r="Z557" s="94"/>
      <c r="AA557" s="120"/>
      <c r="AB557" s="120"/>
      <c r="AC557" s="120"/>
      <c r="AD557" s="120"/>
      <c r="AE557" s="120"/>
      <c r="AF557" s="120"/>
      <c r="AG557" s="94"/>
      <c r="AH557" s="120"/>
      <c r="AI557" s="94"/>
      <c r="AJ557" s="94" t="s">
        <v>785</v>
      </c>
      <c r="AK557" s="94" t="s">
        <v>537</v>
      </c>
      <c r="AL557" s="94">
        <v>110</v>
      </c>
      <c r="AM557" s="94" t="str">
        <f>TRIM(AJ557)&amp;TRIM(AL557)&amp;TRIM(AK557)</f>
      </c>
      <c r="AN557" s="116">
        <v>109</v>
      </c>
      <c r="AO557" s="116">
        <v>-3.24</v>
      </c>
      <c r="AP557" s="116">
        <f>SUMIFS(M:M,AM:AM,AM557)+SUMIFS(O:O,AM:AM,AM557)</f>
      </c>
      <c r="AQ557" s="116">
        <f>SUMIFS(L:L,AM:AM,AM557)</f>
      </c>
      <c r="AR557" s="116">
        <f>AQ557-AP557</f>
      </c>
      <c r="AS557" s="94" t="str">
        <f>IF(AN557&gt;=AQ557,"ok","ck")</f>
      </c>
      <c r="AT557" s="116">
        <f>-P557</f>
      </c>
      <c r="AU557" s="115">
        <f>IF(SUMIFS(AT:AT,AM:AM,AM557)&gt;AO557,(SUMIFS(AT:AT,AM:AM,AM557)-AO557))</f>
      </c>
      <c r="AV557" s="116">
        <v>109</v>
      </c>
      <c r="AW557" s="121">
        <v>1.031</v>
      </c>
      <c r="AX557" s="115">
        <f>AN557-AP557</f>
      </c>
    </row>
    <row r="558" spans="1:50" ht="15" hidden="1" customHeight="1" x14ac:dyDescent="0.3">
      <c r="A558" s="94" t="s">
        <v>60</v>
      </c>
      <c r="B558" s="94"/>
      <c r="C558" s="94"/>
      <c r="D558" s="94"/>
      <c r="E558" s="94"/>
      <c r="F558" s="94"/>
      <c r="G558" s="112">
        <f>AU558</f>
      </c>
      <c r="H558" s="113"/>
      <c r="I558" s="94" t="s">
        <v>65</v>
      </c>
      <c r="J558" s="94" t="s">
        <v>537</v>
      </c>
      <c r="K558" s="114">
        <f>P558/3</f>
      </c>
      <c r="L558" s="115">
        <v>0</v>
      </c>
      <c r="M558" s="116">
        <f>L558</f>
      </c>
      <c r="N558" s="117">
        <f>M558-L558</f>
      </c>
      <c r="O558" s="112"/>
      <c r="P558" s="118">
        <f>N558+O558</f>
      </c>
      <c r="Q558" s="94" t="s">
        <v>785</v>
      </c>
      <c r="R558" s="94" t="s">
        <v>63</v>
      </c>
      <c r="S558" s="119">
        <v>46328</v>
      </c>
      <c r="T558" s="119"/>
      <c r="U558" s="120">
        <v>46328</v>
      </c>
      <c r="V558" s="94"/>
      <c r="W558" s="94"/>
      <c r="X558" s="94"/>
      <c r="Y558" s="119">
        <v>46328</v>
      </c>
      <c r="Z558" s="94"/>
      <c r="AA558" s="120"/>
      <c r="AB558" s="120"/>
      <c r="AC558" s="120"/>
      <c r="AD558" s="120"/>
      <c r="AE558" s="120"/>
      <c r="AF558" s="120"/>
      <c r="AG558" s="94"/>
      <c r="AH558" s="120"/>
      <c r="AI558" s="94"/>
      <c r="AJ558" s="94" t="s">
        <v>785</v>
      </c>
      <c r="AK558" s="94" t="s">
        <v>537</v>
      </c>
      <c r="AL558" s="94">
        <v>110</v>
      </c>
      <c r="AM558" s="94" t="str">
        <f>TRIM(AJ558)&amp;TRIM(AL558)&amp;TRIM(AK558)</f>
      </c>
      <c r="AN558" s="116">
        <v>109</v>
      </c>
      <c r="AO558" s="116">
        <v>-3.24</v>
      </c>
      <c r="AP558" s="116">
        <f>SUMIFS(M:M,AM:AM,AM558)+SUMIFS(O:O,AM:AM,AM558)</f>
      </c>
      <c r="AQ558" s="116">
        <f>SUMIFS(L:L,AM:AM,AM558)</f>
      </c>
      <c r="AR558" s="116">
        <f>AQ558-AP558</f>
      </c>
      <c r="AS558" s="94" t="str">
        <f>IF(AN558&gt;=AQ558,"ok","ck")</f>
      </c>
      <c r="AT558" s="116">
        <f>-P558</f>
      </c>
      <c r="AU558" s="115">
        <f>IF(SUMIFS(AT:AT,AM:AM,AM558)&gt;AO558,(SUMIFS(AT:AT,AM:AM,AM558)-AO558))</f>
      </c>
      <c r="AV558" s="116">
        <v>109</v>
      </c>
      <c r="AW558" s="121">
        <v>1.031</v>
      </c>
      <c r="AX558" s="115">
        <f>AN558-AP558</f>
      </c>
    </row>
    <row r="559" spans="1:50" ht="15" hidden="1" customHeight="1" x14ac:dyDescent="0.3">
      <c r="A559" s="94" t="s">
        <v>268</v>
      </c>
      <c r="B559" s="94"/>
      <c r="C559" s="94"/>
      <c r="D559" s="94"/>
      <c r="E559" s="94"/>
      <c r="F559" s="94"/>
      <c r="G559" s="112">
        <f>AU559</f>
      </c>
      <c r="H559" s="113"/>
      <c r="I559" s="94" t="s">
        <v>390</v>
      </c>
      <c r="J559" s="94" t="s">
        <v>273</v>
      </c>
      <c r="K559" s="114">
        <f>P559/3</f>
      </c>
      <c r="L559" s="115">
        <v>2732.63</v>
      </c>
      <c r="M559" s="116"/>
      <c r="N559" s="117">
        <f>M559-L559</f>
      </c>
      <c r="O559" s="112"/>
      <c r="P559" s="118">
        <f>N559+O559</f>
      </c>
      <c r="Q559" s="94" t="s">
        <v>305</v>
      </c>
      <c r="R559" s="94" t="s">
        <v>63</v>
      </c>
      <c r="S559" s="119">
        <v>46334</v>
      </c>
      <c r="T559" s="119"/>
      <c r="U559" s="120" t="s">
        <v>649</v>
      </c>
      <c r="V559" s="94"/>
      <c r="W559" s="94"/>
      <c r="X559" s="94"/>
      <c r="Y559" s="119">
        <v>46336</v>
      </c>
      <c r="Z559" s="94"/>
      <c r="AA559" s="120"/>
      <c r="AB559" s="120"/>
      <c r="AC559" s="120"/>
      <c r="AD559" s="120"/>
      <c r="AE559" s="120"/>
      <c r="AF559" s="120"/>
      <c r="AG559" s="94"/>
      <c r="AH559" s="120"/>
      <c r="AI559" s="94"/>
      <c r="AJ559" s="94" t="s">
        <v>305</v>
      </c>
      <c r="AK559" s="94" t="s">
        <v>274</v>
      </c>
      <c r="AL559" s="94">
        <v>140</v>
      </c>
      <c r="AM559" s="94" t="str">
        <f>TRIM(AJ559)&amp;TRIM(AL559)&amp;TRIM(AK559)</f>
      </c>
      <c r="AN559" s="116">
        <v>0</v>
      </c>
      <c r="AO559" s="116" t="inlineStr">
        <is>
          <t>#NA</t>
        </is>
      </c>
      <c r="AP559" s="116">
        <f>SUMIFS(M:M,AM:AM,AM559)+SUMIFS(O:O,AM:AM,AM559)</f>
      </c>
      <c r="AQ559" s="116">
        <f>SUMIFS(L:L,AM:AM,AM559)</f>
      </c>
      <c r="AR559" s="116">
        <f>AQ559-AP559</f>
      </c>
      <c r="AS559" s="94" t="str">
        <f>IF(AN559&gt;=AQ559,"ok","ck")</f>
      </c>
      <c r="AT559" s="116">
        <f>-P559</f>
      </c>
      <c r="AU559" s="115">
        <f>IF(SUMIFS(AT:AT,AM:AM,AM559)&gt;AO559,(SUMIFS(AT:AT,AM:AM,AM559)-AO559))</f>
      </c>
      <c r="AV559" s="116">
        <v>0</v>
      </c>
      <c r="AW559" s="121">
        <v>0</v>
      </c>
      <c r="AX559" s="115">
        <f>AN559-AP559</f>
      </c>
    </row>
    <row r="560" spans="1:50" ht="15" hidden="1" customHeight="1" x14ac:dyDescent="0.3">
      <c r="A560" s="94" t="s">
        <v>60</v>
      </c>
      <c r="B560" s="94"/>
      <c r="C560" s="94"/>
      <c r="D560" s="94"/>
      <c r="E560" s="94"/>
      <c r="F560" s="94"/>
      <c r="G560" s="112">
        <f>AU560</f>
      </c>
      <c r="H560" s="113"/>
      <c r="I560" s="94" t="s">
        <v>65</v>
      </c>
      <c r="J560" s="94" t="s">
        <v>516</v>
      </c>
      <c r="K560" s="114">
        <f>P560/3</f>
      </c>
      <c r="L560" s="115">
        <v>0</v>
      </c>
      <c r="M560" s="116">
        <f>L560</f>
      </c>
      <c r="N560" s="117">
        <f>M560-L560</f>
      </c>
      <c r="O560" s="112"/>
      <c r="P560" s="118">
        <f>N560+O560</f>
      </c>
      <c r="Q560" s="94" t="s">
        <v>791</v>
      </c>
      <c r="R560" s="94" t="s">
        <v>63</v>
      </c>
      <c r="S560" s="119">
        <v>46331</v>
      </c>
      <c r="T560" s="119"/>
      <c r="U560" s="120">
        <v>46331</v>
      </c>
      <c r="V560" s="94"/>
      <c r="W560" s="94"/>
      <c r="X560" s="94"/>
      <c r="Y560" s="119">
        <v>46331</v>
      </c>
      <c r="Z560" s="94"/>
      <c r="AA560" s="120"/>
      <c r="AB560" s="120"/>
      <c r="AC560" s="120"/>
      <c r="AD560" s="120"/>
      <c r="AE560" s="120"/>
      <c r="AF560" s="120"/>
      <c r="AG560" s="94"/>
      <c r="AH560" s="120"/>
      <c r="AI560" s="94"/>
      <c r="AJ560" s="94" t="s">
        <v>791</v>
      </c>
      <c r="AK560" s="94" t="s">
        <v>708</v>
      </c>
      <c r="AL560" s="94">
        <v>110</v>
      </c>
      <c r="AM560" s="94" t="str">
        <f>TRIM(AJ560)&amp;TRIM(AL560)&amp;TRIM(AK560)</f>
      </c>
      <c r="AN560" s="116">
        <v>567</v>
      </c>
      <c r="AO560" s="116">
        <v>-2.75</v>
      </c>
      <c r="AP560" s="116">
        <f>SUMIFS(M:M,AM:AM,AM560)+SUMIFS(O:O,AM:AM,AM560)</f>
      </c>
      <c r="AQ560" s="116">
        <f>SUMIFS(L:L,AM:AM,AM560)</f>
      </c>
      <c r="AR560" s="116">
        <f>AQ560-AP560</f>
      </c>
      <c r="AS560" s="94" t="str">
        <f>IF(AN560&gt;=AQ560,"ok","ck")</f>
      </c>
      <c r="AT560" s="116">
        <f>-P560</f>
      </c>
      <c r="AU560" s="115">
        <f>IF(SUMIFS(AT:AT,AM:AM,AM560)&gt;AO560,(SUMIFS(AT:AT,AM:AM,AM560)-AO560))</f>
      </c>
      <c r="AV560" s="116">
        <v>567</v>
      </c>
      <c r="AW560" s="121">
        <v>1.005</v>
      </c>
      <c r="AX560" s="115">
        <f>AN560-AP560</f>
      </c>
    </row>
    <row r="561" spans="1:50" ht="15" hidden="1" customHeight="1" x14ac:dyDescent="0.3">
      <c r="A561" s="94" t="s">
        <v>60</v>
      </c>
      <c r="B561" s="94"/>
      <c r="C561" s="94"/>
      <c r="D561" s="94"/>
      <c r="E561" s="94"/>
      <c r="F561" s="94"/>
      <c r="G561" s="112">
        <f>AU561</f>
      </c>
      <c r="H561" s="113"/>
      <c r="I561" s="94" t="s">
        <v>70</v>
      </c>
      <c r="J561" s="94" t="s">
        <v>538</v>
      </c>
      <c r="K561" s="114">
        <f>P561/3</f>
      </c>
      <c r="L561" s="115">
        <v>0</v>
      </c>
      <c r="M561" s="116">
        <f>L561</f>
      </c>
      <c r="N561" s="117">
        <f>M561-L561</f>
      </c>
      <c r="O561" s="112"/>
      <c r="P561" s="118">
        <f>N561+O561</f>
      </c>
      <c r="Q561" s="94" t="s">
        <v>791</v>
      </c>
      <c r="R561" s="94" t="s">
        <v>63</v>
      </c>
      <c r="S561" s="119">
        <v>46335</v>
      </c>
      <c r="T561" s="119"/>
      <c r="U561" s="120">
        <v>46335</v>
      </c>
      <c r="V561" s="94"/>
      <c r="W561" s="94"/>
      <c r="X561" s="94"/>
      <c r="Y561" s="119">
        <v>46335</v>
      </c>
      <c r="Z561" s="94"/>
      <c r="AA561" s="120"/>
      <c r="AB561" s="120"/>
      <c r="AC561" s="120"/>
      <c r="AD561" s="120"/>
      <c r="AE561" s="120"/>
      <c r="AF561" s="120"/>
      <c r="AG561" s="94"/>
      <c r="AH561" s="120"/>
      <c r="AI561" s="94"/>
      <c r="AJ561" s="94" t="s">
        <v>791</v>
      </c>
      <c r="AK561" s="94" t="s">
        <v>538</v>
      </c>
      <c r="AL561" s="94">
        <v>140</v>
      </c>
      <c r="AM561" s="94" t="str">
        <f>TRIM(AJ561)&amp;TRIM(AL561)&amp;TRIM(AK561)</f>
      </c>
      <c r="AN561" s="116">
        <v>2272</v>
      </c>
      <c r="AO561" s="116">
        <v>-50.25</v>
      </c>
      <c r="AP561" s="116">
        <f>SUMIFS(M:M,AM:AM,AM561)+SUMIFS(O:O,AM:AM,AM561)</f>
      </c>
      <c r="AQ561" s="116">
        <f>SUMIFS(L:L,AM:AM,AM561)</f>
      </c>
      <c r="AR561" s="116">
        <f>AQ561-AP561</f>
      </c>
      <c r="AS561" s="94" t="str">
        <f>IF(AN561&gt;=AQ561,"ok","ck")</f>
      </c>
      <c r="AT561" s="116">
        <f>-P561</f>
      </c>
      <c r="AU561" s="115">
        <f>IF(SUMIFS(AT:AT,AM:AM,AM561)&gt;AO561,(SUMIFS(AT:AT,AM:AM,AM561)-AO561))</f>
      </c>
      <c r="AV561" s="116">
        <v>2272</v>
      </c>
      <c r="AW561" s="121">
        <v>1.023</v>
      </c>
      <c r="AX561" s="115">
        <f>AN561-AP561</f>
      </c>
    </row>
    <row r="562" spans="1:50" ht="15" hidden="1" customHeight="1" x14ac:dyDescent="0.3">
      <c r="A562" s="94" t="s">
        <v>60</v>
      </c>
      <c r="B562" s="94"/>
      <c r="C562" s="94"/>
      <c r="D562" s="94"/>
      <c r="E562" s="94"/>
      <c r="F562" s="94"/>
      <c r="G562" s="112">
        <f>AU562</f>
      </c>
      <c r="H562" s="113"/>
      <c r="I562" s="94" t="s">
        <v>70</v>
      </c>
      <c r="J562" s="94" t="s">
        <v>538</v>
      </c>
      <c r="K562" s="114">
        <f>P562/3</f>
      </c>
      <c r="L562" s="115">
        <v>0</v>
      </c>
      <c r="M562" s="116">
        <f>L562</f>
      </c>
      <c r="N562" s="117">
        <f>M562-L562</f>
      </c>
      <c r="O562" s="112"/>
      <c r="P562" s="118">
        <f>N562+O562</f>
      </c>
      <c r="Q562" s="94" t="s">
        <v>791</v>
      </c>
      <c r="R562" s="94" t="s">
        <v>63</v>
      </c>
      <c r="S562" s="119">
        <v>46327</v>
      </c>
      <c r="T562" s="119"/>
      <c r="U562" s="120">
        <v>46327</v>
      </c>
      <c r="V562" s="94"/>
      <c r="W562" s="94"/>
      <c r="X562" s="94"/>
      <c r="Y562" s="119">
        <v>46327</v>
      </c>
      <c r="Z562" s="94"/>
      <c r="AA562" s="120"/>
      <c r="AB562" s="120"/>
      <c r="AC562" s="120"/>
      <c r="AD562" s="120"/>
      <c r="AE562" s="120"/>
      <c r="AF562" s="120"/>
      <c r="AG562" s="94"/>
      <c r="AH562" s="120"/>
      <c r="AI562" s="94"/>
      <c r="AJ562" s="94" t="s">
        <v>791</v>
      </c>
      <c r="AK562" s="94" t="s">
        <v>538</v>
      </c>
      <c r="AL562" s="94">
        <v>140</v>
      </c>
      <c r="AM562" s="94" t="str">
        <f>TRIM(AJ562)&amp;TRIM(AL562)&amp;TRIM(AK562)</f>
      </c>
      <c r="AN562" s="116">
        <v>2272</v>
      </c>
      <c r="AO562" s="116">
        <v>-50.25</v>
      </c>
      <c r="AP562" s="116">
        <f>SUMIFS(M:M,AM:AM,AM562)+SUMIFS(O:O,AM:AM,AM562)</f>
      </c>
      <c r="AQ562" s="116">
        <f>SUMIFS(L:L,AM:AM,AM562)</f>
      </c>
      <c r="AR562" s="116">
        <f>AQ562-AP562</f>
      </c>
      <c r="AS562" s="94" t="str">
        <f>IF(AN562&gt;=AQ562,"ok","ck")</f>
      </c>
      <c r="AT562" s="116">
        <f>-P562</f>
      </c>
      <c r="AU562" s="115">
        <f>IF(SUMIFS(AT:AT,AM:AM,AM562)&gt;AO562,(SUMIFS(AT:AT,AM:AM,AM562)-AO562))</f>
      </c>
      <c r="AV562" s="116">
        <v>2272</v>
      </c>
      <c r="AW562" s="121">
        <v>1.023</v>
      </c>
      <c r="AX562" s="115">
        <f>AN562-AP562</f>
      </c>
    </row>
    <row r="563" spans="1:50" ht="15" hidden="1" customHeight="1" x14ac:dyDescent="0.3">
      <c r="A563" s="94" t="s">
        <v>60</v>
      </c>
      <c r="B563" s="94"/>
      <c r="C563" s="94"/>
      <c r="D563" s="94"/>
      <c r="E563" s="94"/>
      <c r="F563" s="94"/>
      <c r="G563" s="112">
        <f>AU563</f>
      </c>
      <c r="H563" s="113"/>
      <c r="I563" s="94" t="s">
        <v>70</v>
      </c>
      <c r="J563" s="94" t="s">
        <v>538</v>
      </c>
      <c r="K563" s="114">
        <f>P563/3</f>
      </c>
      <c r="L563" s="115">
        <v>0</v>
      </c>
      <c r="M563" s="116">
        <f>L563</f>
      </c>
      <c r="N563" s="117">
        <f>M563-L563</f>
      </c>
      <c r="O563" s="112"/>
      <c r="P563" s="118">
        <f>N563+O563</f>
      </c>
      <c r="Q563" s="94" t="s">
        <v>791</v>
      </c>
      <c r="R563" s="94" t="s">
        <v>63</v>
      </c>
      <c r="S563" s="119">
        <v>46331</v>
      </c>
      <c r="T563" s="119"/>
      <c r="U563" s="120">
        <v>46331</v>
      </c>
      <c r="V563" s="94"/>
      <c r="W563" s="94"/>
      <c r="X563" s="94"/>
      <c r="Y563" s="119">
        <v>46331</v>
      </c>
      <c r="Z563" s="94"/>
      <c r="AA563" s="120"/>
      <c r="AB563" s="120"/>
      <c r="AC563" s="120"/>
      <c r="AD563" s="120"/>
      <c r="AE563" s="120"/>
      <c r="AF563" s="120"/>
      <c r="AG563" s="94"/>
      <c r="AH563" s="120"/>
      <c r="AI563" s="94"/>
      <c r="AJ563" s="94" t="s">
        <v>791</v>
      </c>
      <c r="AK563" s="94" t="s">
        <v>538</v>
      </c>
      <c r="AL563" s="94">
        <v>140</v>
      </c>
      <c r="AM563" s="94" t="str">
        <f>TRIM(AJ563)&amp;TRIM(AL563)&amp;TRIM(AK563)</f>
      </c>
      <c r="AN563" s="116">
        <v>2272</v>
      </c>
      <c r="AO563" s="116">
        <v>-50.25</v>
      </c>
      <c r="AP563" s="116">
        <f>SUMIFS(M:M,AM:AM,AM563)+SUMIFS(O:O,AM:AM,AM563)</f>
      </c>
      <c r="AQ563" s="116">
        <f>SUMIFS(L:L,AM:AM,AM563)</f>
      </c>
      <c r="AR563" s="116">
        <f>AQ563-AP563</f>
      </c>
      <c r="AS563" s="94" t="str">
        <f>IF(AN563&gt;=AQ563,"ok","ck")</f>
      </c>
      <c r="AT563" s="116">
        <f>-P563</f>
      </c>
      <c r="AU563" s="115">
        <f>IF(SUMIFS(AT:AT,AM:AM,AM563)&gt;AO563,(SUMIFS(AT:AT,AM:AM,AM563)-AO563))</f>
      </c>
      <c r="AV563" s="116">
        <v>2272</v>
      </c>
      <c r="AW563" s="121">
        <v>1.023</v>
      </c>
      <c r="AX563" s="115">
        <f>AN563-AP563</f>
      </c>
    </row>
    <row r="564" spans="1:50" ht="15" hidden="1" customHeight="1" x14ac:dyDescent="0.3">
      <c r="A564" s="94" t="s">
        <v>60</v>
      </c>
      <c r="B564" s="94"/>
      <c r="C564" s="94"/>
      <c r="D564" s="94"/>
      <c r="E564" s="94"/>
      <c r="F564" s="94"/>
      <c r="G564" s="112">
        <f>AU564</f>
      </c>
      <c r="H564" s="113"/>
      <c r="I564" s="94" t="s">
        <v>70</v>
      </c>
      <c r="J564" s="94" t="s">
        <v>539</v>
      </c>
      <c r="K564" s="114">
        <f>P564/3</f>
      </c>
      <c r="L564" s="115">
        <v>1.89</v>
      </c>
      <c r="M564" s="116"/>
      <c r="N564" s="117">
        <f>M564-L564</f>
      </c>
      <c r="O564" s="112"/>
      <c r="P564" s="118">
        <f>N564+O564</f>
      </c>
      <c r="Q564" s="94" t="s">
        <v>791</v>
      </c>
      <c r="R564" s="94" t="s">
        <v>63</v>
      </c>
      <c r="S564" s="119">
        <v>46335</v>
      </c>
      <c r="T564" s="119"/>
      <c r="U564" s="120">
        <v>46335</v>
      </c>
      <c r="V564" s="94"/>
      <c r="W564" s="94"/>
      <c r="X564" s="94"/>
      <c r="Y564" s="119">
        <v>46335</v>
      </c>
      <c r="Z564" s="94"/>
      <c r="AA564" s="120"/>
      <c r="AB564" s="120"/>
      <c r="AC564" s="120"/>
      <c r="AD564" s="120"/>
      <c r="AE564" s="120"/>
      <c r="AF564" s="120"/>
      <c r="AG564" s="94"/>
      <c r="AH564" s="120"/>
      <c r="AI564" s="94"/>
      <c r="AJ564" s="94" t="s">
        <v>791</v>
      </c>
      <c r="AK564" s="94" t="s">
        <v>539</v>
      </c>
      <c r="AL564" s="94">
        <v>140</v>
      </c>
      <c r="AM564" s="94" t="str">
        <f>TRIM(AJ564)&amp;TRIM(AL564)&amp;TRIM(AK564)</f>
      </c>
      <c r="AN564" s="116">
        <v>2120</v>
      </c>
      <c r="AO564" s="116">
        <v>101.75</v>
      </c>
      <c r="AP564" s="116">
        <f>SUMIFS(M:M,AM:AM,AM564)+SUMIFS(O:O,AM:AM,AM564)</f>
      </c>
      <c r="AQ564" s="116">
        <f>SUMIFS(L:L,AM:AM,AM564)</f>
      </c>
      <c r="AR564" s="116">
        <f>AQ564-AP564</f>
      </c>
      <c r="AS564" s="94" t="str">
        <f>IF(AN564&gt;=AQ564,"ok","ck")</f>
      </c>
      <c r="AT564" s="116">
        <f>-P564</f>
      </c>
      <c r="AU564" s="115">
        <f>IF(SUMIFS(AT:AT,AM:AM,AM564)&gt;AO564,(SUMIFS(AT:AT,AM:AM,AM564)-AO564))</f>
      </c>
      <c r="AV564" s="116">
        <v>2120</v>
      </c>
      <c r="AW564" s="121">
        <v>0.954</v>
      </c>
      <c r="AX564" s="115">
        <f>AN564-AP564</f>
      </c>
    </row>
    <row r="565" spans="1:50" ht="15" hidden="1" customHeight="1" x14ac:dyDescent="0.3">
      <c r="A565" s="94" t="s">
        <v>60</v>
      </c>
      <c r="B565" s="94"/>
      <c r="C565" s="94"/>
      <c r="D565" s="94"/>
      <c r="E565" s="94"/>
      <c r="F565" s="94"/>
      <c r="G565" s="112">
        <f>AU565</f>
      </c>
      <c r="H565" s="113"/>
      <c r="I565" s="94" t="s">
        <v>70</v>
      </c>
      <c r="J565" s="94" t="s">
        <v>539</v>
      </c>
      <c r="K565" s="114">
        <f>P565/3</f>
      </c>
      <c r="L565" s="115">
        <v>542.178</v>
      </c>
      <c r="M565" s="116">
        <v>542.178</v>
      </c>
      <c r="N565" s="117">
        <f>M565-L565</f>
      </c>
      <c r="O565" s="112"/>
      <c r="P565" s="118">
        <f>N565+O565</f>
      </c>
      <c r="Q565" s="94" t="s">
        <v>791</v>
      </c>
      <c r="R565" s="94" t="s">
        <v>63</v>
      </c>
      <c r="S565" s="119">
        <v>46327</v>
      </c>
      <c r="T565" s="119"/>
      <c r="U565" s="120">
        <v>46327</v>
      </c>
      <c r="V565" s="94"/>
      <c r="W565" s="94"/>
      <c r="X565" s="94"/>
      <c r="Y565" s="119">
        <v>46327</v>
      </c>
      <c r="Z565" s="94"/>
      <c r="AA565" s="120"/>
      <c r="AB565" s="120"/>
      <c r="AC565" s="120"/>
      <c r="AD565" s="120"/>
      <c r="AE565" s="120"/>
      <c r="AF565" s="120"/>
      <c r="AG565" s="94"/>
      <c r="AH565" s="120"/>
      <c r="AI565" s="94"/>
      <c r="AJ565" s="94" t="s">
        <v>791</v>
      </c>
      <c r="AK565" s="94" t="s">
        <v>539</v>
      </c>
      <c r="AL565" s="94">
        <v>140</v>
      </c>
      <c r="AM565" s="94" t="str">
        <f>TRIM(AJ565)&amp;TRIM(AL565)&amp;TRIM(AK565)</f>
      </c>
      <c r="AN565" s="116">
        <v>2120</v>
      </c>
      <c r="AO565" s="116">
        <v>101.75</v>
      </c>
      <c r="AP565" s="116">
        <f>SUMIFS(M:M,AM:AM,AM565)+SUMIFS(O:O,AM:AM,AM565)</f>
      </c>
      <c r="AQ565" s="116">
        <f>SUMIFS(L:L,AM:AM,AM565)</f>
      </c>
      <c r="AR565" s="116">
        <f>AQ565-AP565</f>
      </c>
      <c r="AS565" s="94" t="str">
        <f>IF(AN565&gt;=AQ565,"ok","ck")</f>
      </c>
      <c r="AT565" s="116">
        <f>-P565</f>
      </c>
      <c r="AU565" s="115">
        <f>IF(SUMIFS(AT:AT,AM:AM,AM565)&gt;AO565,(SUMIFS(AT:AT,AM:AM,AM565)-AO565))</f>
      </c>
      <c r="AV565" s="116">
        <v>2120</v>
      </c>
      <c r="AW565" s="121">
        <v>0.954</v>
      </c>
      <c r="AX565" s="115">
        <f>AN565-AP565</f>
      </c>
    </row>
    <row r="566" spans="1:50" ht="15" hidden="1" customHeight="1" x14ac:dyDescent="0.3">
      <c r="A566" s="94" t="s">
        <v>60</v>
      </c>
      <c r="B566" s="94"/>
      <c r="C566" s="94"/>
      <c r="D566" s="94"/>
      <c r="E566" s="94"/>
      <c r="F566" s="94"/>
      <c r="G566" s="112">
        <f>AU566</f>
      </c>
      <c r="H566" s="113"/>
      <c r="I566" s="94" t="s">
        <v>70</v>
      </c>
      <c r="J566" s="94" t="s">
        <v>539</v>
      </c>
      <c r="K566" s="114">
        <f>P566/3</f>
      </c>
      <c r="L566" s="115">
        <v>837.27</v>
      </c>
      <c r="M566" s="116">
        <v>737.41</v>
      </c>
      <c r="N566" s="117">
        <f>M566-L566</f>
      </c>
      <c r="O566" s="112"/>
      <c r="P566" s="118">
        <f>N566+O566</f>
      </c>
      <c r="Q566" s="94" t="s">
        <v>791</v>
      </c>
      <c r="R566" s="94" t="s">
        <v>63</v>
      </c>
      <c r="S566" s="119">
        <v>46331</v>
      </c>
      <c r="T566" s="119"/>
      <c r="U566" s="120">
        <v>46331</v>
      </c>
      <c r="V566" s="94"/>
      <c r="W566" s="94"/>
      <c r="X566" s="94"/>
      <c r="Y566" s="119">
        <v>46331</v>
      </c>
      <c r="Z566" s="94"/>
      <c r="AA566" s="120"/>
      <c r="AB566" s="120"/>
      <c r="AC566" s="120"/>
      <c r="AD566" s="120"/>
      <c r="AE566" s="120"/>
      <c r="AF566" s="120"/>
      <c r="AG566" s="94"/>
      <c r="AH566" s="120"/>
      <c r="AI566" s="94"/>
      <c r="AJ566" s="94" t="s">
        <v>791</v>
      </c>
      <c r="AK566" s="94" t="s">
        <v>539</v>
      </c>
      <c r="AL566" s="94">
        <v>140</v>
      </c>
      <c r="AM566" s="94" t="str">
        <f>TRIM(AJ566)&amp;TRIM(AL566)&amp;TRIM(AK566)</f>
      </c>
      <c r="AN566" s="116">
        <v>2120</v>
      </c>
      <c r="AO566" s="116">
        <v>101.75</v>
      </c>
      <c r="AP566" s="116">
        <f>SUMIFS(M:M,AM:AM,AM566)+SUMIFS(O:O,AM:AM,AM566)</f>
      </c>
      <c r="AQ566" s="116">
        <f>SUMIFS(L:L,AM:AM,AM566)</f>
      </c>
      <c r="AR566" s="116">
        <f>AQ566-AP566</f>
      </c>
      <c r="AS566" s="94" t="str">
        <f>IF(AN566&gt;=AQ566,"ok","ck")</f>
      </c>
      <c r="AT566" s="116">
        <f>-P566</f>
      </c>
      <c r="AU566" s="115">
        <f>IF(SUMIFS(AT:AT,AM:AM,AM566)&gt;AO566,(SUMIFS(AT:AT,AM:AM,AM566)-AO566))</f>
      </c>
      <c r="AV566" s="116">
        <v>2120</v>
      </c>
      <c r="AW566" s="121">
        <v>0.954</v>
      </c>
      <c r="AX566" s="115">
        <f>AN566-AP566</f>
      </c>
    </row>
    <row r="567" spans="1:50" ht="15" hidden="1" customHeight="1" x14ac:dyDescent="0.3">
      <c r="A567" s="94" t="s">
        <v>82</v>
      </c>
      <c r="B567" s="94"/>
      <c r="C567" s="94"/>
      <c r="D567" s="94"/>
      <c r="E567" s="94"/>
      <c r="F567" s="94"/>
      <c r="G567" s="112">
        <f>AU567</f>
      </c>
      <c r="H567" s="113"/>
      <c r="I567" s="94" t="s">
        <v>83</v>
      </c>
      <c r="J567" s="94" t="s">
        <v>100</v>
      </c>
      <c r="K567" s="114">
        <f>P567/3</f>
      </c>
      <c r="L567" s="115">
        <v>0</v>
      </c>
      <c r="M567" s="116"/>
      <c r="N567" s="117">
        <f>M567-L567</f>
      </c>
      <c r="O567" s="112"/>
      <c r="P567" s="118">
        <f>N567+O567</f>
      </c>
      <c r="Q567" s="94" t="s">
        <v>97</v>
      </c>
      <c r="R567" s="94" t="s">
        <v>63</v>
      </c>
      <c r="S567" s="119">
        <v>46320</v>
      </c>
      <c r="T567" s="119"/>
      <c r="U567" s="120">
        <v>46320</v>
      </c>
      <c r="V567" s="94"/>
      <c r="W567" s="94"/>
      <c r="X567" s="94"/>
      <c r="Y567" s="119">
        <v>46320</v>
      </c>
      <c r="Z567" s="94"/>
      <c r="AA567" s="120"/>
      <c r="AB567" s="120"/>
      <c r="AC567" s="120"/>
      <c r="AD567" s="120"/>
      <c r="AE567" s="120"/>
      <c r="AF567" s="120"/>
      <c r="AG567" s="94"/>
      <c r="AH567" s="120"/>
      <c r="AI567" s="94"/>
      <c r="AJ567" s="94" t="s">
        <v>98</v>
      </c>
      <c r="AK567" s="94" t="s">
        <v>101</v>
      </c>
      <c r="AL567" s="94">
        <v>160</v>
      </c>
      <c r="AM567" s="94" t="str">
        <f>TRIM(AJ567)&amp;TRIM(AL567)&amp;TRIM(AK567)</f>
      </c>
      <c r="AN567" s="116">
        <v>4801.73</v>
      </c>
      <c r="AO567" s="116">
        <v>236.27</v>
      </c>
      <c r="AP567" s="116">
        <f>SUMIFS(M:M,AM:AM,AM567)+SUMIFS(O:O,AM:AM,AM567)</f>
      </c>
      <c r="AQ567" s="116">
        <f>SUMIFS(L:L,AM:AM,AM567)</f>
      </c>
      <c r="AR567" s="116">
        <f>AQ567-AP567</f>
      </c>
      <c r="AS567" s="94" t="str">
        <f>IF(AN567&gt;=AQ567,"ok","ck")</f>
      </c>
      <c r="AT567" s="116">
        <f>-P567</f>
      </c>
      <c r="AU567" s="115">
        <f>IF(SUMIFS(AT:AT,AM:AM,AM567)&gt;AO567,(SUMIFS(AT:AT,AM:AM,AM567)-AO567))</f>
      </c>
      <c r="AV567" s="116">
        <v>4801.73</v>
      </c>
      <c r="AW567" s="121">
        <v>0.953</v>
      </c>
      <c r="AX567" s="115">
        <f>AN567-AP567</f>
      </c>
    </row>
    <row r="568" spans="1:50" ht="15" hidden="1" customHeight="1" x14ac:dyDescent="0.3">
      <c r="A568" s="94" t="s">
        <v>82</v>
      </c>
      <c r="B568" s="94"/>
      <c r="C568" s="94"/>
      <c r="D568" s="94"/>
      <c r="E568" s="94"/>
      <c r="F568" s="94"/>
      <c r="G568" s="112">
        <f>AU568</f>
      </c>
      <c r="H568" s="113"/>
      <c r="I568" s="94" t="s">
        <v>83</v>
      </c>
      <c r="J568" s="94" t="s">
        <v>100</v>
      </c>
      <c r="K568" s="114">
        <f>P568/3</f>
      </c>
      <c r="L568" s="115">
        <v>235.72</v>
      </c>
      <c r="M568" s="116"/>
      <c r="N568" s="117">
        <f>M568-L568</f>
      </c>
      <c r="O568" s="112"/>
      <c r="P568" s="118">
        <f>N568+O568</f>
      </c>
      <c r="Q568" s="94" t="s">
        <v>97</v>
      </c>
      <c r="R568" s="94" t="s">
        <v>63</v>
      </c>
      <c r="S568" s="119">
        <v>46336</v>
      </c>
      <c r="T568" s="119"/>
      <c r="U568" s="120">
        <v>46336</v>
      </c>
      <c r="V568" s="94"/>
      <c r="W568" s="94"/>
      <c r="X568" s="94"/>
      <c r="Y568" s="119">
        <v>46320</v>
      </c>
      <c r="Z568" s="94"/>
      <c r="AA568" s="120"/>
      <c r="AB568" s="120"/>
      <c r="AC568" s="120"/>
      <c r="AD568" s="120"/>
      <c r="AE568" s="120"/>
      <c r="AF568" s="120"/>
      <c r="AG568" s="94"/>
      <c r="AH568" s="120"/>
      <c r="AI568" s="94"/>
      <c r="AJ568" s="94" t="s">
        <v>98</v>
      </c>
      <c r="AK568" s="94" t="s">
        <v>101</v>
      </c>
      <c r="AL568" s="94">
        <v>160</v>
      </c>
      <c r="AM568" s="94" t="str">
        <f>TRIM(AJ568)&amp;TRIM(AL568)&amp;TRIM(AK568)</f>
      </c>
      <c r="AN568" s="116">
        <v>4801.73</v>
      </c>
      <c r="AO568" s="116">
        <v>236.27</v>
      </c>
      <c r="AP568" s="116">
        <f>SUMIFS(M:M,AM:AM,AM568)+SUMIFS(O:O,AM:AM,AM568)</f>
      </c>
      <c r="AQ568" s="116">
        <f>SUMIFS(L:L,AM:AM,AM568)</f>
      </c>
      <c r="AR568" s="116">
        <f>AQ568-AP568</f>
      </c>
      <c r="AS568" s="94" t="str">
        <f>IF(AN568&gt;=AQ568,"ok","ck")</f>
      </c>
      <c r="AT568" s="116">
        <f>-P568</f>
      </c>
      <c r="AU568" s="115">
        <f>IF(SUMIFS(AT:AT,AM:AM,AM568)&gt;AO568,(SUMIFS(AT:AT,AM:AM,AM568)-AO568))</f>
      </c>
      <c r="AV568" s="116">
        <v>4801.73</v>
      </c>
      <c r="AW568" s="121">
        <v>0.953</v>
      </c>
      <c r="AX568" s="115">
        <f>AN568-AP568</f>
      </c>
    </row>
    <row r="569" spans="1:50" ht="15" hidden="1" customHeight="1" x14ac:dyDescent="0.3">
      <c r="A569" s="94" t="s">
        <v>82</v>
      </c>
      <c r="B569" s="94"/>
      <c r="C569" s="94"/>
      <c r="D569" s="94"/>
      <c r="E569" s="94"/>
      <c r="F569" s="94"/>
      <c r="G569" s="112">
        <f>AU569</f>
      </c>
      <c r="H569" s="113"/>
      <c r="I569" s="94" t="s">
        <v>83</v>
      </c>
      <c r="J569" s="94" t="s">
        <v>113</v>
      </c>
      <c r="K569" s="114">
        <f>P569/3</f>
      </c>
      <c r="L569" s="115">
        <v>-36.145000000000003</v>
      </c>
      <c r="M569" s="116"/>
      <c r="N569" s="117">
        <f>M569-L569</f>
      </c>
      <c r="O569" s="112"/>
      <c r="P569" s="118">
        <f>N569+O569</f>
      </c>
      <c r="Q569" s="94" t="s">
        <v>97</v>
      </c>
      <c r="R569" s="94" t="s">
        <v>63</v>
      </c>
      <c r="S569" s="119">
        <v>46320</v>
      </c>
      <c r="T569" s="119"/>
      <c r="U569" s="120">
        <v>46320</v>
      </c>
      <c r="V569" s="94"/>
      <c r="W569" s="94"/>
      <c r="X569" s="94"/>
      <c r="Y569" s="119">
        <v>46320</v>
      </c>
      <c r="Z569" s="94"/>
      <c r="AA569" s="120"/>
      <c r="AB569" s="120"/>
      <c r="AC569" s="120"/>
      <c r="AD569" s="120"/>
      <c r="AE569" s="120"/>
      <c r="AF569" s="120"/>
      <c r="AG569" s="94"/>
      <c r="AH569" s="120"/>
      <c r="AI569" s="94"/>
      <c r="AJ569" s="94" t="s">
        <v>98</v>
      </c>
      <c r="AK569" s="94" t="s">
        <v>113</v>
      </c>
      <c r="AL569" s="94">
        <v>160</v>
      </c>
      <c r="AM569" s="94" t="str">
        <f>TRIM(AJ569)&amp;TRIM(AL569)&amp;TRIM(AK569)</f>
      </c>
      <c r="AN569" s="116">
        <v>4799.45</v>
      </c>
      <c r="AO569" s="116">
        <v>238.55</v>
      </c>
      <c r="AP569" s="116">
        <f>SUMIFS(M:M,AM:AM,AM569)+SUMIFS(O:O,AM:AM,AM569)</f>
      </c>
      <c r="AQ569" s="116">
        <f>SUMIFS(L:L,AM:AM,AM569)</f>
      </c>
      <c r="AR569" s="116">
        <f>AQ569-AP569</f>
      </c>
      <c r="AS569" s="94" t="str">
        <f>IF(AN569&gt;=AQ569,"ok","ck")</f>
      </c>
      <c r="AT569" s="116">
        <f>-P569</f>
      </c>
      <c r="AU569" s="115">
        <f>IF(SUMIFS(AT:AT,AM:AM,AM569)&gt;AO569,(SUMIFS(AT:AT,AM:AM,AM569)-AO569))</f>
      </c>
      <c r="AV569" s="116">
        <v>4799.45</v>
      </c>
      <c r="AW569" s="121">
        <v>0.953</v>
      </c>
      <c r="AX569" s="115">
        <f>AN569-AP569</f>
      </c>
    </row>
    <row r="570" spans="1:50" ht="15" hidden="1" customHeight="1" x14ac:dyDescent="0.3">
      <c r="A570" s="94" t="s">
        <v>82</v>
      </c>
      <c r="B570" s="94"/>
      <c r="C570" s="94"/>
      <c r="D570" s="94"/>
      <c r="E570" s="94"/>
      <c r="F570" s="94"/>
      <c r="G570" s="112">
        <f>AU570</f>
      </c>
      <c r="H570" s="113"/>
      <c r="I570" s="94" t="s">
        <v>83</v>
      </c>
      <c r="J570" s="94" t="s">
        <v>113</v>
      </c>
      <c r="K570" s="114">
        <f>P570/3</f>
      </c>
      <c r="L570" s="115">
        <v>363.56900000000002</v>
      </c>
      <c r="M570" s="116">
        <v>88.873999999999995</v>
      </c>
      <c r="N570" s="117">
        <f>M570-L570</f>
      </c>
      <c r="O570" s="112"/>
      <c r="P570" s="118">
        <f>N570+O570</f>
      </c>
      <c r="Q570" s="94" t="s">
        <v>97</v>
      </c>
      <c r="R570" s="94" t="s">
        <v>63</v>
      </c>
      <c r="S570" s="119">
        <v>46329</v>
      </c>
      <c r="T570" s="119"/>
      <c r="U570" s="120">
        <v>46329</v>
      </c>
      <c r="V570" s="94"/>
      <c r="W570" s="94"/>
      <c r="X570" s="94"/>
      <c r="Y570" s="119">
        <v>46320</v>
      </c>
      <c r="Z570" s="94"/>
      <c r="AA570" s="120"/>
      <c r="AB570" s="120"/>
      <c r="AC570" s="120"/>
      <c r="AD570" s="120"/>
      <c r="AE570" s="120"/>
      <c r="AF570" s="120"/>
      <c r="AG570" s="94"/>
      <c r="AH570" s="120"/>
      <c r="AI570" s="94"/>
      <c r="AJ570" s="94" t="s">
        <v>98</v>
      </c>
      <c r="AK570" s="94" t="s">
        <v>113</v>
      </c>
      <c r="AL570" s="94">
        <v>160</v>
      </c>
      <c r="AM570" s="94" t="str">
        <f>TRIM(AJ570)&amp;TRIM(AL570)&amp;TRIM(AK570)</f>
      </c>
      <c r="AN570" s="116">
        <v>4799.45</v>
      </c>
      <c r="AO570" s="116">
        <v>238.55</v>
      </c>
      <c r="AP570" s="116">
        <f>SUMIFS(M:M,AM:AM,AM570)+SUMIFS(O:O,AM:AM,AM570)</f>
      </c>
      <c r="AQ570" s="116">
        <f>SUMIFS(L:L,AM:AM,AM570)</f>
      </c>
      <c r="AR570" s="116">
        <f>AQ570-AP570</f>
      </c>
      <c r="AS570" s="94" t="str">
        <f>IF(AN570&gt;=AQ570,"ok","ck")</f>
      </c>
      <c r="AT570" s="116">
        <f>-P570</f>
      </c>
      <c r="AU570" s="115">
        <f>IF(SUMIFS(AT:AT,AM:AM,AM570)&gt;AO570,(SUMIFS(AT:AT,AM:AM,AM570)-AO570))</f>
      </c>
      <c r="AV570" s="116">
        <v>4799.45</v>
      </c>
      <c r="AW570" s="121">
        <v>0.953</v>
      </c>
      <c r="AX570" s="115">
        <f>AN570-AP570</f>
      </c>
    </row>
    <row r="571" spans="1:50" ht="15" hidden="1" customHeight="1" x14ac:dyDescent="0.3">
      <c r="A571" s="94" t="s">
        <v>60</v>
      </c>
      <c r="B571" s="94"/>
      <c r="C571" s="94"/>
      <c r="D571" s="94"/>
      <c r="E571" s="94"/>
      <c r="F571" s="94"/>
      <c r="G571" s="112">
        <f>AU571</f>
      </c>
      <c r="H571" s="113"/>
      <c r="I571" s="94" t="s">
        <v>70</v>
      </c>
      <c r="J571" s="94" t="s">
        <v>540</v>
      </c>
      <c r="K571" s="114">
        <f>P571/3</f>
      </c>
      <c r="L571" s="115">
        <v>0</v>
      </c>
      <c r="M571" s="116"/>
      <c r="N571" s="117">
        <f>M571-L571</f>
      </c>
      <c r="O571" s="112"/>
      <c r="P571" s="118">
        <f>N571+O571</f>
      </c>
      <c r="Q571" s="94" t="s">
        <v>792</v>
      </c>
      <c r="R571" s="94" t="s">
        <v>63</v>
      </c>
      <c r="S571" s="119">
        <v>46331</v>
      </c>
      <c r="T571" s="119"/>
      <c r="U571" s="120">
        <v>46331</v>
      </c>
      <c r="V571" s="94"/>
      <c r="W571" s="94"/>
      <c r="X571" s="94"/>
      <c r="Y571" s="119">
        <v>46331</v>
      </c>
      <c r="Z571" s="94"/>
      <c r="AA571" s="120"/>
      <c r="AB571" s="120"/>
      <c r="AC571" s="120"/>
      <c r="AD571" s="120"/>
      <c r="AE571" s="120"/>
      <c r="AF571" s="120"/>
      <c r="AG571" s="94"/>
      <c r="AH571" s="120"/>
      <c r="AI571" s="94"/>
      <c r="AJ571" s="94" t="s">
        <v>792</v>
      </c>
      <c r="AK571" s="94" t="s">
        <v>540</v>
      </c>
      <c r="AL571" s="94">
        <v>140</v>
      </c>
      <c r="AM571" s="94" t="str">
        <f>TRIM(AJ571)&amp;TRIM(AL571)&amp;TRIM(AK571)</f>
      </c>
      <c r="AN571" s="116">
        <v>3469.56</v>
      </c>
      <c r="AO571" s="116">
        <v>63.19</v>
      </c>
      <c r="AP571" s="116">
        <f>SUMIFS(M:M,AM:AM,AM571)+SUMIFS(O:O,AM:AM,AM571)</f>
      </c>
      <c r="AQ571" s="116">
        <f>SUMIFS(L:L,AM:AM,AM571)</f>
      </c>
      <c r="AR571" s="116">
        <f>AQ571-AP571</f>
      </c>
      <c r="AS571" s="94" t="str">
        <f>IF(AN571&gt;=AQ571,"ok","ck")</f>
      </c>
      <c r="AT571" s="116">
        <f>-P571</f>
      </c>
      <c r="AU571" s="115">
        <f>IF(SUMIFS(AT:AT,AM:AM,AM571)&gt;AO571,(SUMIFS(AT:AT,AM:AM,AM571)-AO571))</f>
      </c>
      <c r="AV571" s="116">
        <v>3469.56</v>
      </c>
      <c r="AW571" s="121">
        <v>0.982</v>
      </c>
      <c r="AX571" s="115">
        <f>AN571-AP571</f>
      </c>
    </row>
    <row r="572" spans="1:50" ht="15" hidden="1" customHeight="1" x14ac:dyDescent="0.3">
      <c r="A572" s="94" t="s">
        <v>60</v>
      </c>
      <c r="B572" s="94"/>
      <c r="C572" s="94"/>
      <c r="D572" s="94"/>
      <c r="E572" s="94"/>
      <c r="F572" s="94"/>
      <c r="G572" s="112">
        <f>AU572</f>
      </c>
      <c r="H572" s="113"/>
      <c r="I572" s="94" t="s">
        <v>70</v>
      </c>
      <c r="J572" s="94" t="s">
        <v>540</v>
      </c>
      <c r="K572" s="114">
        <f>P572/3</f>
      </c>
      <c r="L572" s="115">
        <v>0</v>
      </c>
      <c r="M572" s="116"/>
      <c r="N572" s="117">
        <f>M572-L572</f>
      </c>
      <c r="O572" s="112"/>
      <c r="P572" s="118">
        <f>N572+O572</f>
      </c>
      <c r="Q572" s="94" t="s">
        <v>792</v>
      </c>
      <c r="R572" s="94" t="s">
        <v>63</v>
      </c>
      <c r="S572" s="119">
        <v>46336</v>
      </c>
      <c r="T572" s="119"/>
      <c r="U572" s="120">
        <v>46336</v>
      </c>
      <c r="V572" s="94"/>
      <c r="W572" s="94"/>
      <c r="X572" s="94"/>
      <c r="Y572" s="119">
        <v>46336</v>
      </c>
      <c r="Z572" s="94"/>
      <c r="AA572" s="120"/>
      <c r="AB572" s="120"/>
      <c r="AC572" s="120"/>
      <c r="AD572" s="120"/>
      <c r="AE572" s="120"/>
      <c r="AF572" s="120"/>
      <c r="AG572" s="94"/>
      <c r="AH572" s="120"/>
      <c r="AI572" s="94"/>
      <c r="AJ572" s="94" t="s">
        <v>792</v>
      </c>
      <c r="AK572" s="94" t="s">
        <v>540</v>
      </c>
      <c r="AL572" s="94">
        <v>140</v>
      </c>
      <c r="AM572" s="94" t="str">
        <f>TRIM(AJ572)&amp;TRIM(AL572)&amp;TRIM(AK572)</f>
      </c>
      <c r="AN572" s="116">
        <v>3469.56</v>
      </c>
      <c r="AO572" s="116">
        <v>63.19</v>
      </c>
      <c r="AP572" s="116">
        <f>SUMIFS(M:M,AM:AM,AM572)+SUMIFS(O:O,AM:AM,AM572)</f>
      </c>
      <c r="AQ572" s="116">
        <f>SUMIFS(L:L,AM:AM,AM572)</f>
      </c>
      <c r="AR572" s="116">
        <f>AQ572-AP572</f>
      </c>
      <c r="AS572" s="94" t="str">
        <f>IF(AN572&gt;=AQ572,"ok","ck")</f>
      </c>
      <c r="AT572" s="116">
        <f>-P572</f>
      </c>
      <c r="AU572" s="115">
        <f>IF(SUMIFS(AT:AT,AM:AM,AM572)&gt;AO572,(SUMIFS(AT:AT,AM:AM,AM572)-AO572))</f>
      </c>
      <c r="AV572" s="116">
        <v>3469.56</v>
      </c>
      <c r="AW572" s="121">
        <v>0.982</v>
      </c>
      <c r="AX572" s="115">
        <f>AN572-AP572</f>
      </c>
    </row>
    <row r="573" spans="1:50" ht="15" hidden="1" customHeight="1" x14ac:dyDescent="0.3">
      <c r="A573" s="94" t="s">
        <v>268</v>
      </c>
      <c r="B573" s="94"/>
      <c r="C573" s="94"/>
      <c r="D573" s="94"/>
      <c r="E573" s="94"/>
      <c r="F573" s="94"/>
      <c r="G573" s="112">
        <f>AU573</f>
      </c>
      <c r="H573" s="113"/>
      <c r="I573" s="94" t="s">
        <v>278</v>
      </c>
      <c r="J573" s="94" t="s">
        <v>355</v>
      </c>
      <c r="K573" s="114">
        <f>P573/3</f>
      </c>
      <c r="L573" s="115">
        <v>36.845999999999997</v>
      </c>
      <c r="M573" s="116">
        <f>L573</f>
      </c>
      <c r="N573" s="117">
        <f>M573-L573</f>
      </c>
      <c r="O573" s="112"/>
      <c r="P573" s="118">
        <f>N573+O573</f>
      </c>
      <c r="Q573" s="94" t="s">
        <v>305</v>
      </c>
      <c r="R573" s="94" t="s">
        <v>63</v>
      </c>
      <c r="S573" s="119">
        <v>46333</v>
      </c>
      <c r="T573" s="119"/>
      <c r="U573" s="120">
        <v>46333</v>
      </c>
      <c r="V573" s="94"/>
      <c r="W573" s="94"/>
      <c r="X573" s="94"/>
      <c r="Y573" s="119">
        <v>46320</v>
      </c>
      <c r="Z573" s="94"/>
      <c r="AA573" s="120"/>
      <c r="AB573" s="120"/>
      <c r="AC573" s="120"/>
      <c r="AD573" s="120"/>
      <c r="AE573" s="120"/>
      <c r="AF573" s="120"/>
      <c r="AG573" s="94"/>
      <c r="AH573" s="120"/>
      <c r="AI573" s="94"/>
      <c r="AJ573" s="94" t="s">
        <v>305</v>
      </c>
      <c r="AK573" s="94" t="s">
        <v>356</v>
      </c>
      <c r="AL573" s="94">
        <v>120</v>
      </c>
      <c r="AM573" s="94" t="str">
        <f>TRIM(AJ573)&amp;TRIM(AL573)&amp;TRIM(AK573)</f>
      </c>
      <c r="AN573" s="116">
        <v>897.23</v>
      </c>
      <c r="AO573" s="116">
        <v>-20.23</v>
      </c>
      <c r="AP573" s="116">
        <f>SUMIFS(M:M,AM:AM,AM573)+SUMIFS(O:O,AM:AM,AM573)</f>
      </c>
      <c r="AQ573" s="116">
        <f>SUMIFS(L:L,AM:AM,AM573)</f>
      </c>
      <c r="AR573" s="116">
        <f>AQ573-AP573</f>
      </c>
      <c r="AS573" s="94" t="str">
        <f>IF(AN573&gt;=AQ573,"ok","ck")</f>
      </c>
      <c r="AT573" s="116">
        <f>-P573</f>
      </c>
      <c r="AU573" s="115">
        <f>IF(SUMIFS(AT:AT,AM:AM,AM573)&gt;AO573,(SUMIFS(AT:AT,AM:AM,AM573)-AO573))</f>
      </c>
      <c r="AV573" s="116">
        <v>897.23</v>
      </c>
      <c r="AW573" s="121">
        <v>1.023</v>
      </c>
      <c r="AX573" s="115">
        <f>AN573-AP573</f>
      </c>
    </row>
    <row r="574" spans="1:50" ht="15" hidden="1" customHeight="1" x14ac:dyDescent="0.3">
      <c r="A574" s="94" t="s">
        <v>253</v>
      </c>
      <c r="B574" s="94"/>
      <c r="C574" s="94"/>
      <c r="D574" s="94"/>
      <c r="E574" s="94"/>
      <c r="F574" s="94"/>
      <c r="G574" s="112">
        <f>AU574</f>
      </c>
      <c r="H574" s="113"/>
      <c r="I574" s="94" t="s">
        <v>254</v>
      </c>
      <c r="J574" s="94" t="s">
        <v>261</v>
      </c>
      <c r="K574" s="114">
        <f>P574/3</f>
      </c>
      <c r="L574" s="115">
        <v>0</v>
      </c>
      <c r="M574" s="116">
        <f>L574</f>
      </c>
      <c r="N574" s="117">
        <f>M574-L574</f>
      </c>
      <c r="O574" s="112"/>
      <c r="P574" s="118">
        <f>N574+O574</f>
      </c>
      <c r="Q574" s="94" t="s">
        <v>348</v>
      </c>
      <c r="R574" s="94" t="s">
        <v>63</v>
      </c>
      <c r="S574" s="119">
        <v>46320</v>
      </c>
      <c r="T574" s="119"/>
      <c r="U574" s="120">
        <v>46320</v>
      </c>
      <c r="V574" s="94"/>
      <c r="W574" s="94"/>
      <c r="X574" s="94"/>
      <c r="Y574" s="119">
        <v>46320</v>
      </c>
      <c r="Z574" s="94"/>
      <c r="AA574" s="120"/>
      <c r="AB574" s="120"/>
      <c r="AC574" s="120"/>
      <c r="AD574" s="120"/>
      <c r="AE574" s="120"/>
      <c r="AF574" s="120"/>
      <c r="AG574" s="94"/>
      <c r="AH574" s="120"/>
      <c r="AI574" s="94"/>
      <c r="AJ574" s="94" t="s">
        <v>349</v>
      </c>
      <c r="AK574" s="94" t="s">
        <v>262</v>
      </c>
      <c r="AL574" s="94">
        <v>150</v>
      </c>
      <c r="AM574" s="94" t="str">
        <f>TRIM(AJ574)&amp;TRIM(AL574)&amp;TRIM(AK574)</f>
      </c>
      <c r="AN574" s="116">
        <v>925</v>
      </c>
      <c r="AO574" s="116">
        <v>-21.49</v>
      </c>
      <c r="AP574" s="116">
        <f>SUMIFS(M:M,AM:AM,AM574)+SUMIFS(O:O,AM:AM,AM574)</f>
      </c>
      <c r="AQ574" s="116">
        <f>SUMIFS(L:L,AM:AM,AM574)</f>
      </c>
      <c r="AR574" s="116">
        <f>AQ574-AP574</f>
      </c>
      <c r="AS574" s="94" t="str">
        <f>IF(AN574&gt;=AQ574,"ok","ck")</f>
      </c>
      <c r="AT574" s="116">
        <f>-P574</f>
      </c>
      <c r="AU574" s="115">
        <f>IF(SUMIFS(AT:AT,AM:AM,AM574)&gt;AO574,(SUMIFS(AT:AT,AM:AM,AM574)-AO574))</f>
      </c>
      <c r="AV574" s="116">
        <v>925</v>
      </c>
      <c r="AW574" s="121">
        <v>1.024</v>
      </c>
      <c r="AX574" s="115">
        <f>AN574-AP574</f>
      </c>
    </row>
    <row r="575" spans="1:50" ht="15" hidden="1" customHeight="1" x14ac:dyDescent="0.3">
      <c r="A575" s="94" t="s">
        <v>288</v>
      </c>
      <c r="B575" s="94"/>
      <c r="C575" s="94"/>
      <c r="D575" s="94"/>
      <c r="E575" s="94"/>
      <c r="F575" s="94"/>
      <c r="G575" s="112">
        <f>AU575</f>
      </c>
      <c r="H575" s="113"/>
      <c r="I575" s="94" t="s">
        <v>295</v>
      </c>
      <c r="J575" s="94" t="s">
        <v>290</v>
      </c>
      <c r="K575" s="114">
        <f>P575/3</f>
      </c>
      <c r="L575" s="115">
        <v>0</v>
      </c>
      <c r="M575" s="116">
        <f>L575</f>
      </c>
      <c r="N575" s="117">
        <f>M575-L575</f>
      </c>
      <c r="O575" s="112"/>
      <c r="P575" s="118">
        <f>N575+O575</f>
      </c>
      <c r="Q575" s="94" t="s">
        <v>318</v>
      </c>
      <c r="R575" s="94" t="s">
        <v>63</v>
      </c>
      <c r="S575" s="119">
        <v>46324</v>
      </c>
      <c r="T575" s="119"/>
      <c r="U575" s="120">
        <v>46324</v>
      </c>
      <c r="V575" s="94"/>
      <c r="W575" s="94"/>
      <c r="X575" s="94"/>
      <c r="Y575" s="119">
        <v>46324</v>
      </c>
      <c r="Z575" s="94"/>
      <c r="AA575" s="120"/>
      <c r="AB575" s="120"/>
      <c r="AC575" s="120"/>
      <c r="AD575" s="120"/>
      <c r="AE575" s="120"/>
      <c r="AF575" s="120"/>
      <c r="AG575" s="94"/>
      <c r="AH575" s="120"/>
      <c r="AI575" s="94"/>
      <c r="AJ575" s="94" t="s">
        <v>319</v>
      </c>
      <c r="AK575" s="94" t="s">
        <v>267</v>
      </c>
      <c r="AL575" s="94">
        <v>180</v>
      </c>
      <c r="AM575" s="94" t="str">
        <f>TRIM(AJ575)&amp;TRIM(AL575)&amp;TRIM(AK575)</f>
      </c>
      <c r="AN575" s="116">
        <v>435</v>
      </c>
      <c r="AO575" s="116">
        <v>18.58</v>
      </c>
      <c r="AP575" s="116">
        <f>SUMIFS(M:M,AM:AM,AM575)+SUMIFS(O:O,AM:AM,AM575)</f>
      </c>
      <c r="AQ575" s="116">
        <f>SUMIFS(L:L,AM:AM,AM575)</f>
      </c>
      <c r="AR575" s="116">
        <f>AQ575-AP575</f>
      </c>
      <c r="AS575" s="94" t="str">
        <f>IF(AN575&gt;=AQ575,"ok","ck")</f>
      </c>
      <c r="AT575" s="116">
        <f>-P575</f>
      </c>
      <c r="AU575" s="115">
        <f>IF(SUMIFS(AT:AT,AM:AM,AM575)&gt;AO575,(SUMIFS(AT:AT,AM:AM,AM575)-AO575))</f>
      </c>
      <c r="AV575" s="116">
        <v>435</v>
      </c>
      <c r="AW575" s="121">
        <v>0.959</v>
      </c>
      <c r="AX575" s="115">
        <f>AN575-AP575</f>
      </c>
    </row>
    <row r="576" spans="1:50" ht="15" hidden="1" customHeight="1" x14ac:dyDescent="0.3">
      <c r="A576" s="94" t="s">
        <v>288</v>
      </c>
      <c r="B576" s="94"/>
      <c r="C576" s="94"/>
      <c r="D576" s="94"/>
      <c r="E576" s="94"/>
      <c r="F576" s="94"/>
      <c r="G576" s="112">
        <f>AU576</f>
      </c>
      <c r="H576" s="113"/>
      <c r="I576" s="94" t="s">
        <v>295</v>
      </c>
      <c r="J576" s="94" t="s">
        <v>290</v>
      </c>
      <c r="K576" s="114">
        <f>P576/3</f>
      </c>
      <c r="L576" s="115">
        <v>0</v>
      </c>
      <c r="M576" s="116">
        <f>L576</f>
      </c>
      <c r="N576" s="117">
        <f>M576-L576</f>
      </c>
      <c r="O576" s="112"/>
      <c r="P576" s="118">
        <f>N576+O576</f>
      </c>
      <c r="Q576" s="94" t="s">
        <v>318</v>
      </c>
      <c r="R576" s="94" t="s">
        <v>63</v>
      </c>
      <c r="S576" s="119">
        <v>46341</v>
      </c>
      <c r="T576" s="119"/>
      <c r="U576" s="120">
        <v>46341</v>
      </c>
      <c r="V576" s="94"/>
      <c r="W576" s="94"/>
      <c r="X576" s="94"/>
      <c r="Y576" s="119">
        <v>46341</v>
      </c>
      <c r="Z576" s="94"/>
      <c r="AA576" s="120"/>
      <c r="AB576" s="120"/>
      <c r="AC576" s="120"/>
      <c r="AD576" s="120"/>
      <c r="AE576" s="120"/>
      <c r="AF576" s="120"/>
      <c r="AG576" s="94"/>
      <c r="AH576" s="120"/>
      <c r="AI576" s="94"/>
      <c r="AJ576" s="94" t="s">
        <v>319</v>
      </c>
      <c r="AK576" s="94" t="s">
        <v>267</v>
      </c>
      <c r="AL576" s="94">
        <v>180</v>
      </c>
      <c r="AM576" s="94" t="str">
        <f>TRIM(AJ576)&amp;TRIM(AL576)&amp;TRIM(AK576)</f>
      </c>
      <c r="AN576" s="116">
        <v>435</v>
      </c>
      <c r="AO576" s="116">
        <v>18.58</v>
      </c>
      <c r="AP576" s="116">
        <f>SUMIFS(M:M,AM:AM,AM576)+SUMIFS(O:O,AM:AM,AM576)</f>
      </c>
      <c r="AQ576" s="116">
        <f>SUMIFS(L:L,AM:AM,AM576)</f>
      </c>
      <c r="AR576" s="116">
        <f>AQ576-AP576</f>
      </c>
      <c r="AS576" s="94" t="str">
        <f>IF(AN576&gt;=AQ576,"ok","ck")</f>
      </c>
      <c r="AT576" s="116">
        <f>-P576</f>
      </c>
      <c r="AU576" s="115">
        <f>IF(SUMIFS(AT:AT,AM:AM,AM576)&gt;AO576,(SUMIFS(AT:AT,AM:AM,AM576)-AO576))</f>
      </c>
      <c r="AV576" s="116">
        <v>435</v>
      </c>
      <c r="AW576" s="121">
        <v>0.959</v>
      </c>
      <c r="AX576" s="115">
        <f>AN576-AP576</f>
      </c>
    </row>
    <row r="577" spans="1:50" ht="15" hidden="1" customHeight="1" x14ac:dyDescent="0.3">
      <c r="A577" s="94" t="s">
        <v>288</v>
      </c>
      <c r="B577" s="94"/>
      <c r="C577" s="94"/>
      <c r="D577" s="94"/>
      <c r="E577" s="94"/>
      <c r="F577" s="94"/>
      <c r="G577" s="112">
        <f>AU577</f>
      </c>
      <c r="H577" s="113"/>
      <c r="I577" s="94" t="s">
        <v>295</v>
      </c>
      <c r="J577" s="94" t="s">
        <v>290</v>
      </c>
      <c r="K577" s="114">
        <f>P577/3</f>
      </c>
      <c r="L577" s="115">
        <v>0</v>
      </c>
      <c r="M577" s="116">
        <f>L577</f>
      </c>
      <c r="N577" s="117">
        <f>M577-L577</f>
      </c>
      <c r="O577" s="112"/>
      <c r="P577" s="118">
        <f>N577+O577</f>
      </c>
      <c r="Q577" s="94" t="s">
        <v>318</v>
      </c>
      <c r="R577" s="94" t="s">
        <v>63</v>
      </c>
      <c r="S577" s="119">
        <v>46344</v>
      </c>
      <c r="T577" s="119"/>
      <c r="U577" s="120">
        <v>46344</v>
      </c>
      <c r="V577" s="94"/>
      <c r="W577" s="94"/>
      <c r="X577" s="94"/>
      <c r="Y577" s="119">
        <v>46344</v>
      </c>
      <c r="Z577" s="94"/>
      <c r="AA577" s="120"/>
      <c r="AB577" s="120"/>
      <c r="AC577" s="120"/>
      <c r="AD577" s="120"/>
      <c r="AE577" s="120"/>
      <c r="AF577" s="120"/>
      <c r="AG577" s="94"/>
      <c r="AH577" s="120"/>
      <c r="AI577" s="94"/>
      <c r="AJ577" s="94" t="s">
        <v>319</v>
      </c>
      <c r="AK577" s="94" t="s">
        <v>267</v>
      </c>
      <c r="AL577" s="94">
        <v>180</v>
      </c>
      <c r="AM577" s="94" t="str">
        <f>TRIM(AJ577)&amp;TRIM(AL577)&amp;TRIM(AK577)</f>
      </c>
      <c r="AN577" s="116">
        <v>435</v>
      </c>
      <c r="AO577" s="116">
        <v>18.58</v>
      </c>
      <c r="AP577" s="116">
        <f>SUMIFS(M:M,AM:AM,AM577)+SUMIFS(O:O,AM:AM,AM577)</f>
      </c>
      <c r="AQ577" s="116">
        <f>SUMIFS(L:L,AM:AM,AM577)</f>
      </c>
      <c r="AR577" s="116">
        <f>AQ577-AP577</f>
      </c>
      <c r="AS577" s="94" t="str">
        <f>IF(AN577&gt;=AQ577,"ok","ck")</f>
      </c>
      <c r="AT577" s="116">
        <f>-P577</f>
      </c>
      <c r="AU577" s="115">
        <f>IF(SUMIFS(AT:AT,AM:AM,AM577)&gt;AO577,(SUMIFS(AT:AT,AM:AM,AM577)-AO577))</f>
      </c>
      <c r="AV577" s="116">
        <v>435</v>
      </c>
      <c r="AW577" s="121">
        <v>0.959</v>
      </c>
      <c r="AX577" s="115">
        <f>AN577-AP577</f>
      </c>
    </row>
    <row r="578" spans="1:50" ht="15" hidden="1" customHeight="1" x14ac:dyDescent="0.3">
      <c r="A578" s="94" t="s">
        <v>288</v>
      </c>
      <c r="B578" s="94"/>
      <c r="C578" s="94"/>
      <c r="D578" s="94"/>
      <c r="E578" s="94"/>
      <c r="F578" s="94"/>
      <c r="G578" s="112">
        <f>AU578</f>
      </c>
      <c r="H578" s="113"/>
      <c r="I578" s="94" t="s">
        <v>295</v>
      </c>
      <c r="J578" s="94" t="s">
        <v>290</v>
      </c>
      <c r="K578" s="114">
        <f>P578/3</f>
      </c>
      <c r="L578" s="115">
        <v>18.587</v>
      </c>
      <c r="M578" s="116">
        <f>L578</f>
      </c>
      <c r="N578" s="117">
        <f>M578-L578</f>
      </c>
      <c r="O578" s="112"/>
      <c r="P578" s="118">
        <f>N578+O578</f>
      </c>
      <c r="Q578" s="94" t="s">
        <v>318</v>
      </c>
      <c r="R578" s="94" t="s">
        <v>63</v>
      </c>
      <c r="S578" s="119">
        <v>46343</v>
      </c>
      <c r="T578" s="119"/>
      <c r="U578" s="120">
        <v>46343</v>
      </c>
      <c r="V578" s="94"/>
      <c r="W578" s="94"/>
      <c r="X578" s="94"/>
      <c r="Y578" s="119">
        <v>46343</v>
      </c>
      <c r="Z578" s="94"/>
      <c r="AA578" s="120"/>
      <c r="AB578" s="120"/>
      <c r="AC578" s="120"/>
      <c r="AD578" s="120"/>
      <c r="AE578" s="120"/>
      <c r="AF578" s="120"/>
      <c r="AG578" s="94"/>
      <c r="AH578" s="120"/>
      <c r="AI578" s="94"/>
      <c r="AJ578" s="94" t="s">
        <v>319</v>
      </c>
      <c r="AK578" s="94" t="s">
        <v>267</v>
      </c>
      <c r="AL578" s="94">
        <v>180</v>
      </c>
      <c r="AM578" s="94" t="str">
        <f>TRIM(AJ578)&amp;TRIM(AL578)&amp;TRIM(AK578)</f>
      </c>
      <c r="AN578" s="116">
        <v>435</v>
      </c>
      <c r="AO578" s="116">
        <v>18.58</v>
      </c>
      <c r="AP578" s="116">
        <f>SUMIFS(M:M,AM:AM,AM578)+SUMIFS(O:O,AM:AM,AM578)</f>
      </c>
      <c r="AQ578" s="116">
        <f>SUMIFS(L:L,AM:AM,AM578)</f>
      </c>
      <c r="AR578" s="116">
        <f>AQ578-AP578</f>
      </c>
      <c r="AS578" s="94" t="str">
        <f>IF(AN578&gt;=AQ578,"ok","ck")</f>
      </c>
      <c r="AT578" s="116">
        <f>-P578</f>
      </c>
      <c r="AU578" s="115">
        <f>IF(SUMIFS(AT:AT,AM:AM,AM578)&gt;AO578,(SUMIFS(AT:AT,AM:AM,AM578)-AO578))</f>
      </c>
      <c r="AV578" s="116">
        <v>435</v>
      </c>
      <c r="AW578" s="121">
        <v>0.959</v>
      </c>
      <c r="AX578" s="115">
        <f>AN578-AP578</f>
      </c>
    </row>
    <row r="579" spans="1:50" ht="15" hidden="1" customHeight="1" x14ac:dyDescent="0.3">
      <c r="A579" s="94" t="s">
        <v>288</v>
      </c>
      <c r="B579" s="94"/>
      <c r="C579" s="94"/>
      <c r="D579" s="94"/>
      <c r="E579" s="94"/>
      <c r="F579" s="94"/>
      <c r="G579" s="112">
        <f>AU579</f>
      </c>
      <c r="H579" s="113"/>
      <c r="I579" s="94" t="s">
        <v>297</v>
      </c>
      <c r="J579" s="94" t="s">
        <v>380</v>
      </c>
      <c r="K579" s="114">
        <f>P579/3</f>
      </c>
      <c r="L579" s="115">
        <v>-7.9320000000000004</v>
      </c>
      <c r="M579" s="116">
        <f>L579</f>
      </c>
      <c r="N579" s="117">
        <f>M579-L579</f>
      </c>
      <c r="O579" s="112"/>
      <c r="P579" s="118">
        <f>N579+O579</f>
      </c>
      <c r="Q579" s="94" t="s">
        <v>291</v>
      </c>
      <c r="R579" s="94" t="s">
        <v>63</v>
      </c>
      <c r="S579" s="119">
        <v>46320</v>
      </c>
      <c r="T579" s="119"/>
      <c r="U579" s="120">
        <v>46320</v>
      </c>
      <c r="V579" s="94"/>
      <c r="W579" s="94"/>
      <c r="X579" s="94"/>
      <c r="Y579" s="119">
        <v>46320</v>
      </c>
      <c r="Z579" s="94"/>
      <c r="AA579" s="120"/>
      <c r="AB579" s="120"/>
      <c r="AC579" s="120"/>
      <c r="AD579" s="120"/>
      <c r="AE579" s="120"/>
      <c r="AF579" s="120"/>
      <c r="AG579" s="94"/>
      <c r="AH579" s="120"/>
      <c r="AI579" s="94"/>
      <c r="AJ579" s="94" t="s">
        <v>292</v>
      </c>
      <c r="AK579" s="94" t="s">
        <v>357</v>
      </c>
      <c r="AL579" s="94">
        <v>190</v>
      </c>
      <c r="AM579" s="94" t="str">
        <f>TRIM(AJ579)&amp;TRIM(AL579)&amp;TRIM(AK579)</f>
      </c>
      <c r="AN579" s="116">
        <v>2152.92</v>
      </c>
      <c r="AO579" s="116">
        <v>-39.27</v>
      </c>
      <c r="AP579" s="116">
        <f>SUMIFS(M:M,AM:AM,AM579)+SUMIFS(O:O,AM:AM,AM579)</f>
      </c>
      <c r="AQ579" s="116">
        <f>SUMIFS(L:L,AM:AM,AM579)</f>
      </c>
      <c r="AR579" s="116">
        <f>AQ579-AP579</f>
      </c>
      <c r="AS579" s="94" t="str">
        <f>IF(AN579&gt;=AQ579,"ok","ck")</f>
      </c>
      <c r="AT579" s="116">
        <f>-P579</f>
      </c>
      <c r="AU579" s="115">
        <f>IF(SUMIFS(AT:AT,AM:AM,AM579)&gt;AO579,(SUMIFS(AT:AT,AM:AM,AM579)-AO579))</f>
      </c>
      <c r="AV579" s="116">
        <v>2152.92</v>
      </c>
      <c r="AW579" s="121">
        <v>1.019</v>
      </c>
      <c r="AX579" s="115">
        <f>AN579-AP579</f>
      </c>
    </row>
    <row r="580" spans="1:50" ht="15" hidden="1" customHeight="1" x14ac:dyDescent="0.3">
      <c r="A580" s="94" t="s">
        <v>288</v>
      </c>
      <c r="B580" s="94"/>
      <c r="C580" s="94"/>
      <c r="D580" s="94"/>
      <c r="E580" s="94"/>
      <c r="F580" s="94"/>
      <c r="G580" s="112">
        <f>AU580</f>
      </c>
      <c r="H580" s="113"/>
      <c r="I580" s="94" t="s">
        <v>297</v>
      </c>
      <c r="J580" s="94" t="s">
        <v>380</v>
      </c>
      <c r="K580" s="114">
        <f>P580/3</f>
      </c>
      <c r="L580" s="115">
        <v>-6.9740000000000002</v>
      </c>
      <c r="M580" s="116">
        <f>L580</f>
      </c>
      <c r="N580" s="117">
        <f>M580-L580</f>
      </c>
      <c r="O580" s="112"/>
      <c r="P580" s="118">
        <f>N580+O580</f>
      </c>
      <c r="Q580" s="94" t="s">
        <v>291</v>
      </c>
      <c r="R580" s="94" t="s">
        <v>63</v>
      </c>
      <c r="S580" s="119">
        <v>46320</v>
      </c>
      <c r="T580" s="119"/>
      <c r="U580" s="120">
        <v>46320</v>
      </c>
      <c r="V580" s="94"/>
      <c r="W580" s="94"/>
      <c r="X580" s="94"/>
      <c r="Y580" s="119">
        <v>46320</v>
      </c>
      <c r="Z580" s="94"/>
      <c r="AA580" s="120"/>
      <c r="AB580" s="120"/>
      <c r="AC580" s="120"/>
      <c r="AD580" s="120"/>
      <c r="AE580" s="120"/>
      <c r="AF580" s="120"/>
      <c r="AG580" s="94"/>
      <c r="AH580" s="120"/>
      <c r="AI580" s="94"/>
      <c r="AJ580" s="94" t="s">
        <v>292</v>
      </c>
      <c r="AK580" s="94" t="s">
        <v>357</v>
      </c>
      <c r="AL580" s="94">
        <v>190</v>
      </c>
      <c r="AM580" s="94" t="str">
        <f>TRIM(AJ580)&amp;TRIM(AL580)&amp;TRIM(AK580)</f>
      </c>
      <c r="AN580" s="116">
        <v>2152.92</v>
      </c>
      <c r="AO580" s="116">
        <v>-39.27</v>
      </c>
      <c r="AP580" s="116">
        <f>SUMIFS(M:M,AM:AM,AM580)+SUMIFS(O:O,AM:AM,AM580)</f>
      </c>
      <c r="AQ580" s="116">
        <f>SUMIFS(L:L,AM:AM,AM580)</f>
      </c>
      <c r="AR580" s="116">
        <f>AQ580-AP580</f>
      </c>
      <c r="AS580" s="94" t="str">
        <f>IF(AN580&gt;=AQ580,"ok","ck")</f>
      </c>
      <c r="AT580" s="116">
        <f>-P580</f>
      </c>
      <c r="AU580" s="115">
        <f>IF(SUMIFS(AT:AT,AM:AM,AM580)&gt;AO580,(SUMIFS(AT:AT,AM:AM,AM580)-AO580))</f>
      </c>
      <c r="AV580" s="116">
        <v>2152.92</v>
      </c>
      <c r="AW580" s="121">
        <v>1.019</v>
      </c>
      <c r="AX580" s="115">
        <f>AN580-AP580</f>
      </c>
    </row>
    <row r="581" spans="1:50" ht="15" hidden="1" customHeight="1" x14ac:dyDescent="0.3">
      <c r="A581" s="94" t="s">
        <v>60</v>
      </c>
      <c r="B581" s="94"/>
      <c r="C581" s="94"/>
      <c r="D581" s="94"/>
      <c r="E581" s="94"/>
      <c r="F581" s="94"/>
      <c r="G581" s="112">
        <f>AU581</f>
      </c>
      <c r="H581" s="113"/>
      <c r="I581" s="94" t="s">
        <v>65</v>
      </c>
      <c r="J581" s="94" t="s">
        <v>541</v>
      </c>
      <c r="K581" s="114">
        <f>P581/3</f>
      </c>
      <c r="L581" s="115">
        <v>149.33699999999999</v>
      </c>
      <c r="M581" s="116"/>
      <c r="N581" s="117">
        <f>M581-L581</f>
      </c>
      <c r="O581" s="112"/>
      <c r="P581" s="118">
        <f>N581+O581</f>
      </c>
      <c r="Q581" s="94" t="s">
        <v>785</v>
      </c>
      <c r="R581" s="94" t="s">
        <v>63</v>
      </c>
      <c r="S581" s="119">
        <v>46335</v>
      </c>
      <c r="T581" s="119"/>
      <c r="U581" s="120">
        <v>46335</v>
      </c>
      <c r="V581" s="94"/>
      <c r="W581" s="94"/>
      <c r="X581" s="94"/>
      <c r="Y581" s="119">
        <v>46330</v>
      </c>
      <c r="Z581" s="94"/>
      <c r="AA581" s="120"/>
      <c r="AB581" s="120"/>
      <c r="AC581" s="120"/>
      <c r="AD581" s="120"/>
      <c r="AE581" s="120"/>
      <c r="AF581" s="120"/>
      <c r="AG581" s="94"/>
      <c r="AH581" s="120"/>
      <c r="AI581" s="94"/>
      <c r="AJ581" s="94" t="s">
        <v>785</v>
      </c>
      <c r="AK581" s="94" t="s">
        <v>541</v>
      </c>
      <c r="AL581" s="94">
        <v>110</v>
      </c>
      <c r="AM581" s="94" t="str">
        <f>TRIM(AJ581)&amp;TRIM(AL581)&amp;TRIM(AK581)</f>
      </c>
      <c r="AN581" s="116">
        <v>47</v>
      </c>
      <c r="AO581" s="116">
        <v>1911</v>
      </c>
      <c r="AP581" s="116">
        <f>SUMIFS(M:M,AM:AM,AM581)+SUMIFS(O:O,AM:AM,AM581)</f>
      </c>
      <c r="AQ581" s="116">
        <f>SUMIFS(L:L,AM:AM,AM581)</f>
      </c>
      <c r="AR581" s="116">
        <f>AQ581-AP581</f>
      </c>
      <c r="AS581" s="94" t="str">
        <f>IF(AN581&gt;=AQ581,"ok","ck")</f>
      </c>
      <c r="AT581" s="116">
        <f>-P581</f>
      </c>
      <c r="AU581" s="115">
        <f>IF(SUMIFS(AT:AT,AM:AM,AM581)&gt;AO581,(SUMIFS(AT:AT,AM:AM,AM581)-AO581))</f>
      </c>
      <c r="AV581" s="116">
        <v>47</v>
      </c>
      <c r="AW581" s="121">
        <v>0.024</v>
      </c>
      <c r="AX581" s="115">
        <f>AN581-AP581</f>
      </c>
    </row>
    <row r="582" spans="1:50" ht="15" hidden="1" customHeight="1" x14ac:dyDescent="0.3">
      <c r="A582" s="94" t="s">
        <v>60</v>
      </c>
      <c r="B582" s="94"/>
      <c r="C582" s="94"/>
      <c r="D582" s="94"/>
      <c r="E582" s="94"/>
      <c r="F582" s="94"/>
      <c r="G582" s="112">
        <f>AU582</f>
      </c>
      <c r="H582" s="113"/>
      <c r="I582" s="94" t="s">
        <v>65</v>
      </c>
      <c r="J582" s="94" t="s">
        <v>542</v>
      </c>
      <c r="K582" s="114">
        <f>P582/3</f>
      </c>
      <c r="L582" s="115">
        <v>15.62</v>
      </c>
      <c r="M582" s="116"/>
      <c r="N582" s="117">
        <f>M582-L582</f>
      </c>
      <c r="O582" s="112"/>
      <c r="P582" s="118">
        <f>N582+O582</f>
      </c>
      <c r="Q582" s="94" t="s">
        <v>785</v>
      </c>
      <c r="R582" s="94" t="s">
        <v>63</v>
      </c>
      <c r="S582" s="119">
        <v>46335</v>
      </c>
      <c r="T582" s="119"/>
      <c r="U582" s="120">
        <v>46335</v>
      </c>
      <c r="V582" s="94"/>
      <c r="W582" s="94"/>
      <c r="X582" s="94"/>
      <c r="Y582" s="119">
        <v>46342</v>
      </c>
      <c r="Z582" s="94"/>
      <c r="AA582" s="120"/>
      <c r="AB582" s="120"/>
      <c r="AC582" s="120"/>
      <c r="AD582" s="120"/>
      <c r="AE582" s="120"/>
      <c r="AF582" s="120"/>
      <c r="AG582" s="94"/>
      <c r="AH582" s="120"/>
      <c r="AI582" s="94"/>
      <c r="AJ582" s="94" t="s">
        <v>785</v>
      </c>
      <c r="AK582" s="94" t="s">
        <v>541</v>
      </c>
      <c r="AL582" s="94">
        <v>110</v>
      </c>
      <c r="AM582" s="94" t="str">
        <f>TRIM(AJ582)&amp;TRIM(AL582)&amp;TRIM(AK582)</f>
      </c>
      <c r="AN582" s="116">
        <v>47</v>
      </c>
      <c r="AO582" s="116">
        <v>1911</v>
      </c>
      <c r="AP582" s="116">
        <f>SUMIFS(M:M,AM:AM,AM582)+SUMIFS(O:O,AM:AM,AM582)</f>
      </c>
      <c r="AQ582" s="116">
        <f>SUMIFS(L:L,AM:AM,AM582)</f>
      </c>
      <c r="AR582" s="116">
        <f>AQ582-AP582</f>
      </c>
      <c r="AS582" s="94" t="str">
        <f>IF(AN582&gt;=AQ582,"ok","ck")</f>
      </c>
      <c r="AT582" s="116">
        <f>-P582</f>
      </c>
      <c r="AU582" s="115">
        <f>IF(SUMIFS(AT:AT,AM:AM,AM582)&gt;AO582,(SUMIFS(AT:AT,AM:AM,AM582)-AO582))</f>
      </c>
      <c r="AV582" s="116">
        <v>47</v>
      </c>
      <c r="AW582" s="121">
        <v>0.024</v>
      </c>
      <c r="AX582" s="115">
        <f>AN582-AP582</f>
      </c>
    </row>
    <row r="583" spans="1:50" ht="15" hidden="1" customHeight="1" x14ac:dyDescent="0.3">
      <c r="A583" s="94" t="s">
        <v>60</v>
      </c>
      <c r="B583" s="94"/>
      <c r="C583" s="94"/>
      <c r="D583" s="94"/>
      <c r="E583" s="94"/>
      <c r="F583" s="94"/>
      <c r="G583" s="112">
        <f>AU583</f>
      </c>
      <c r="H583" s="113"/>
      <c r="I583" s="94" t="s">
        <v>65</v>
      </c>
      <c r="J583" s="94" t="s">
        <v>542</v>
      </c>
      <c r="K583" s="114">
        <f>P583/3</f>
      </c>
      <c r="L583" s="115">
        <v>0.19600000000000001</v>
      </c>
      <c r="M583" s="116"/>
      <c r="N583" s="117">
        <f>M583-L583</f>
      </c>
      <c r="O583" s="112"/>
      <c r="P583" s="118">
        <f>N583+O583</f>
      </c>
      <c r="Q583" s="94" t="s">
        <v>785</v>
      </c>
      <c r="R583" s="94" t="s">
        <v>63</v>
      </c>
      <c r="S583" s="119">
        <v>46331</v>
      </c>
      <c r="T583" s="119"/>
      <c r="U583" s="120">
        <v>46331</v>
      </c>
      <c r="V583" s="94"/>
      <c r="W583" s="94"/>
      <c r="X583" s="94"/>
      <c r="Y583" s="119">
        <v>46331</v>
      </c>
      <c r="Z583" s="94"/>
      <c r="AA583" s="120"/>
      <c r="AB583" s="120"/>
      <c r="AC583" s="120"/>
      <c r="AD583" s="120"/>
      <c r="AE583" s="120"/>
      <c r="AF583" s="120"/>
      <c r="AG583" s="94"/>
      <c r="AH583" s="120"/>
      <c r="AI583" s="94"/>
      <c r="AJ583" s="94" t="s">
        <v>785</v>
      </c>
      <c r="AK583" s="94" t="s">
        <v>541</v>
      </c>
      <c r="AL583" s="94">
        <v>110</v>
      </c>
      <c r="AM583" s="94" t="str">
        <f>TRIM(AJ583)&amp;TRIM(AL583)&amp;TRIM(AK583)</f>
      </c>
      <c r="AN583" s="116">
        <v>47</v>
      </c>
      <c r="AO583" s="116">
        <v>1911</v>
      </c>
      <c r="AP583" s="116">
        <f>SUMIFS(M:M,AM:AM,AM583)+SUMIFS(O:O,AM:AM,AM583)</f>
      </c>
      <c r="AQ583" s="116">
        <f>SUMIFS(L:L,AM:AM,AM583)</f>
      </c>
      <c r="AR583" s="116">
        <f>AQ583-AP583</f>
      </c>
      <c r="AS583" s="94" t="str">
        <f>IF(AN583&gt;=AQ583,"ok","ck")</f>
      </c>
      <c r="AT583" s="116">
        <f>-P583</f>
      </c>
      <c r="AU583" s="115">
        <f>IF(SUMIFS(AT:AT,AM:AM,AM583)&gt;AO583,(SUMIFS(AT:AT,AM:AM,AM583)-AO583))</f>
      </c>
      <c r="AV583" s="116">
        <v>47</v>
      </c>
      <c r="AW583" s="121">
        <v>0.024</v>
      </c>
      <c r="AX583" s="115">
        <f>AN583-AP583</f>
      </c>
    </row>
    <row r="584" spans="1:50" ht="15" hidden="1" customHeight="1" x14ac:dyDescent="0.3">
      <c r="A584" s="94" t="s">
        <v>60</v>
      </c>
      <c r="B584" s="94"/>
      <c r="C584" s="94"/>
      <c r="D584" s="94"/>
      <c r="E584" s="94"/>
      <c r="F584" s="94"/>
      <c r="G584" s="112">
        <f>AU584</f>
      </c>
      <c r="H584" s="113"/>
      <c r="I584" s="94" t="s">
        <v>65</v>
      </c>
      <c r="J584" s="94" t="s">
        <v>542</v>
      </c>
      <c r="K584" s="114">
        <f>P584/3</f>
      </c>
      <c r="L584" s="115">
        <v>82.983999999999995</v>
      </c>
      <c r="M584" s="116"/>
      <c r="N584" s="117">
        <f>M584-L584</f>
      </c>
      <c r="O584" s="112"/>
      <c r="P584" s="118">
        <f>N584+O584</f>
      </c>
      <c r="Q584" s="94" t="s">
        <v>785</v>
      </c>
      <c r="R584" s="94" t="s">
        <v>63</v>
      </c>
      <c r="S584" s="119">
        <v>46335</v>
      </c>
      <c r="T584" s="119"/>
      <c r="U584" s="120">
        <v>46335</v>
      </c>
      <c r="V584" s="94"/>
      <c r="W584" s="94"/>
      <c r="X584" s="94"/>
      <c r="Y584" s="119">
        <v>46330</v>
      </c>
      <c r="Z584" s="94"/>
      <c r="AA584" s="120"/>
      <c r="AB584" s="120"/>
      <c r="AC584" s="120"/>
      <c r="AD584" s="120"/>
      <c r="AE584" s="120"/>
      <c r="AF584" s="120"/>
      <c r="AG584" s="94"/>
      <c r="AH584" s="120"/>
      <c r="AI584" s="94"/>
      <c r="AJ584" s="94" t="s">
        <v>785</v>
      </c>
      <c r="AK584" s="94" t="s">
        <v>541</v>
      </c>
      <c r="AL584" s="94">
        <v>110</v>
      </c>
      <c r="AM584" s="94" t="str">
        <f>TRIM(AJ584)&amp;TRIM(AL584)&amp;TRIM(AK584)</f>
      </c>
      <c r="AN584" s="116">
        <v>47</v>
      </c>
      <c r="AO584" s="116">
        <v>1911</v>
      </c>
      <c r="AP584" s="116">
        <f>SUMIFS(M:M,AM:AM,AM584)+SUMIFS(O:O,AM:AM,AM584)</f>
      </c>
      <c r="AQ584" s="116">
        <f>SUMIFS(L:L,AM:AM,AM584)</f>
      </c>
      <c r="AR584" s="116">
        <f>AQ584-AP584</f>
      </c>
      <c r="AS584" s="94" t="str">
        <f>IF(AN584&gt;=AQ584,"ok","ck")</f>
      </c>
      <c r="AT584" s="116">
        <f>-P584</f>
      </c>
      <c r="AU584" s="115">
        <f>IF(SUMIFS(AT:AT,AM:AM,AM584)&gt;AO584,(SUMIFS(AT:AT,AM:AM,AM584)-AO584))</f>
      </c>
      <c r="AV584" s="116">
        <v>47</v>
      </c>
      <c r="AW584" s="121">
        <v>0.024</v>
      </c>
      <c r="AX584" s="115">
        <f>AN584-AP584</f>
      </c>
    </row>
    <row r="585" spans="1:50" ht="15" hidden="1" customHeight="1" x14ac:dyDescent="0.3">
      <c r="A585" s="94" t="s">
        <v>288</v>
      </c>
      <c r="B585" s="94"/>
      <c r="C585" s="94"/>
      <c r="D585" s="94"/>
      <c r="E585" s="94"/>
      <c r="F585" s="94"/>
      <c r="G585" s="112">
        <f>AU585</f>
      </c>
      <c r="H585" s="113"/>
      <c r="I585" s="94" t="s">
        <v>297</v>
      </c>
      <c r="J585" s="94" t="s">
        <v>357</v>
      </c>
      <c r="K585" s="114">
        <f>P585/3</f>
      </c>
      <c r="L585" s="115">
        <v>-5.0590000000000002</v>
      </c>
      <c r="M585" s="116">
        <f>L585</f>
      </c>
      <c r="N585" s="117">
        <f>M585-L585</f>
      </c>
      <c r="O585" s="112"/>
      <c r="P585" s="118">
        <f>N585+O585</f>
      </c>
      <c r="Q585" s="94" t="s">
        <v>296</v>
      </c>
      <c r="R585" s="94" t="s">
        <v>63</v>
      </c>
      <c r="S585" s="119">
        <v>46338</v>
      </c>
      <c r="T585" s="119"/>
      <c r="U585" s="120">
        <v>46338</v>
      </c>
      <c r="V585" s="94"/>
      <c r="W585" s="94"/>
      <c r="X585" s="94"/>
      <c r="Y585" s="119">
        <v>46338</v>
      </c>
      <c r="Z585" s="94"/>
      <c r="AA585" s="120"/>
      <c r="AB585" s="120"/>
      <c r="AC585" s="120"/>
      <c r="AD585" s="120"/>
      <c r="AE585" s="120"/>
      <c r="AF585" s="120"/>
      <c r="AG585" s="94"/>
      <c r="AH585" s="120"/>
      <c r="AI585" s="94"/>
      <c r="AJ585" s="94" t="s">
        <v>479</v>
      </c>
      <c r="AK585" s="94" t="s">
        <v>357</v>
      </c>
      <c r="AL585" s="94">
        <v>190</v>
      </c>
      <c r="AM585" s="94" t="str">
        <f>TRIM(AJ585)&amp;TRIM(AL585)&amp;TRIM(AK585)</f>
      </c>
      <c r="AN585" s="116">
        <v>3261.61</v>
      </c>
      <c r="AO585" s="116">
        <v>-66.28</v>
      </c>
      <c r="AP585" s="116">
        <f>SUMIFS(M:M,AM:AM,AM585)+SUMIFS(O:O,AM:AM,AM585)</f>
      </c>
      <c r="AQ585" s="116">
        <f>SUMIFS(L:L,AM:AM,AM585)</f>
      </c>
      <c r="AR585" s="116">
        <f>AQ585-AP585</f>
      </c>
      <c r="AS585" s="94" t="str">
        <f>IF(AN585&gt;=AQ585,"ok","ck")</f>
      </c>
      <c r="AT585" s="116">
        <f>-P585</f>
      </c>
      <c r="AU585" s="115">
        <f>IF(SUMIFS(AT:AT,AM:AM,AM585)&gt;AO585,(SUMIFS(AT:AT,AM:AM,AM585)-AO585))</f>
      </c>
      <c r="AV585" s="116">
        <v>3261.61</v>
      </c>
      <c r="AW585" s="121">
        <v>1.021</v>
      </c>
      <c r="AX585" s="115">
        <f>AN585-AP585</f>
      </c>
    </row>
    <row r="586" spans="1:50" ht="15" hidden="1" customHeight="1" x14ac:dyDescent="0.3">
      <c r="A586" s="94" t="s">
        <v>288</v>
      </c>
      <c r="B586" s="94"/>
      <c r="C586" s="94"/>
      <c r="D586" s="94"/>
      <c r="E586" s="94"/>
      <c r="F586" s="94"/>
      <c r="G586" s="112">
        <f>AU586</f>
      </c>
      <c r="H586" s="113"/>
      <c r="I586" s="94" t="s">
        <v>289</v>
      </c>
      <c r="J586" s="94" t="s">
        <v>380</v>
      </c>
      <c r="K586" s="114">
        <f>P586/3</f>
      </c>
      <c r="L586" s="115">
        <v>-2.59</v>
      </c>
      <c r="M586" s="116">
        <f>L586</f>
      </c>
      <c r="N586" s="117">
        <f>M586-L586</f>
      </c>
      <c r="O586" s="112"/>
      <c r="P586" s="118">
        <f>N586+O586</f>
      </c>
      <c r="Q586" s="94" t="s">
        <v>291</v>
      </c>
      <c r="R586" s="94" t="s">
        <v>63</v>
      </c>
      <c r="S586" s="119">
        <v>46320</v>
      </c>
      <c r="T586" s="119"/>
      <c r="U586" s="120">
        <v>46320</v>
      </c>
      <c r="V586" s="94"/>
      <c r="W586" s="94"/>
      <c r="X586" s="94"/>
      <c r="Y586" s="119">
        <v>46320</v>
      </c>
      <c r="Z586" s="94"/>
      <c r="AA586" s="120"/>
      <c r="AB586" s="120"/>
      <c r="AC586" s="120"/>
      <c r="AD586" s="120"/>
      <c r="AE586" s="120"/>
      <c r="AF586" s="120"/>
      <c r="AG586" s="94"/>
      <c r="AH586" s="120"/>
      <c r="AI586" s="94"/>
      <c r="AJ586" s="94" t="s">
        <v>292</v>
      </c>
      <c r="AK586" s="94" t="s">
        <v>357</v>
      </c>
      <c r="AL586" s="94">
        <v>235</v>
      </c>
      <c r="AM586" s="94" t="str">
        <f>TRIM(AJ586)&amp;TRIM(AL586)&amp;TRIM(AK586)</f>
      </c>
      <c r="AN586" s="116">
        <v>689</v>
      </c>
      <c r="AO586" s="116">
        <v>-24.71</v>
      </c>
      <c r="AP586" s="116">
        <f>SUMIFS(M:M,AM:AM,AM586)+SUMIFS(O:O,AM:AM,AM586)</f>
      </c>
      <c r="AQ586" s="116">
        <f>SUMIFS(L:L,AM:AM,AM586)</f>
      </c>
      <c r="AR586" s="116">
        <f>AQ586-AP586</f>
      </c>
      <c r="AS586" s="94" t="str">
        <f>IF(AN586&gt;=AQ586,"ok","ck")</f>
      </c>
      <c r="AT586" s="116">
        <f>-P586</f>
      </c>
      <c r="AU586" s="115">
        <f>IF(SUMIFS(AT:AT,AM:AM,AM586)&gt;AO586,(SUMIFS(AT:AT,AM:AM,AM586)-AO586))</f>
      </c>
      <c r="AV586" s="116">
        <v>689</v>
      </c>
      <c r="AW586" s="121">
        <v>1.037</v>
      </c>
      <c r="AX586" s="115">
        <f>AN586-AP586</f>
      </c>
    </row>
    <row r="587" spans="1:50" ht="15" hidden="1" customHeight="1" x14ac:dyDescent="0.3">
      <c r="A587" s="94" t="s">
        <v>288</v>
      </c>
      <c r="B587" s="94"/>
      <c r="C587" s="94"/>
      <c r="D587" s="94"/>
      <c r="E587" s="94"/>
      <c r="F587" s="94"/>
      <c r="G587" s="112">
        <f>AU587</f>
      </c>
      <c r="H587" s="113"/>
      <c r="I587" s="94" t="s">
        <v>289</v>
      </c>
      <c r="J587" s="94" t="s">
        <v>380</v>
      </c>
      <c r="K587" s="114">
        <f>P587/3</f>
      </c>
      <c r="L587" s="115">
        <v>-2.2730000000000001</v>
      </c>
      <c r="M587" s="116">
        <f>L587</f>
      </c>
      <c r="N587" s="117">
        <f>M587-L587</f>
      </c>
      <c r="O587" s="112"/>
      <c r="P587" s="118">
        <f>N587+O587</f>
      </c>
      <c r="Q587" s="94" t="s">
        <v>291</v>
      </c>
      <c r="R587" s="94" t="s">
        <v>63</v>
      </c>
      <c r="S587" s="119">
        <v>46320</v>
      </c>
      <c r="T587" s="119"/>
      <c r="U587" s="120">
        <v>46320</v>
      </c>
      <c r="V587" s="94"/>
      <c r="W587" s="94"/>
      <c r="X587" s="94"/>
      <c r="Y587" s="119">
        <v>46320</v>
      </c>
      <c r="Z587" s="94"/>
      <c r="AA587" s="120"/>
      <c r="AB587" s="120"/>
      <c r="AC587" s="120"/>
      <c r="AD587" s="120"/>
      <c r="AE587" s="120"/>
      <c r="AF587" s="120"/>
      <c r="AG587" s="94"/>
      <c r="AH587" s="120"/>
      <c r="AI587" s="94"/>
      <c r="AJ587" s="94" t="s">
        <v>292</v>
      </c>
      <c r="AK587" s="94" t="s">
        <v>357</v>
      </c>
      <c r="AL587" s="94">
        <v>235</v>
      </c>
      <c r="AM587" s="94" t="str">
        <f>TRIM(AJ587)&amp;TRIM(AL587)&amp;TRIM(AK587)</f>
      </c>
      <c r="AN587" s="116">
        <v>689</v>
      </c>
      <c r="AO587" s="116">
        <v>-24.71</v>
      </c>
      <c r="AP587" s="116">
        <f>SUMIFS(M:M,AM:AM,AM587)+SUMIFS(O:O,AM:AM,AM587)</f>
      </c>
      <c r="AQ587" s="116">
        <f>SUMIFS(L:L,AM:AM,AM587)</f>
      </c>
      <c r="AR587" s="116">
        <f>AQ587-AP587</f>
      </c>
      <c r="AS587" s="94" t="str">
        <f>IF(AN587&gt;=AQ587,"ok","ck")</f>
      </c>
      <c r="AT587" s="116">
        <f>-P587</f>
      </c>
      <c r="AU587" s="115">
        <f>IF(SUMIFS(AT:AT,AM:AM,AM587)&gt;AO587,(SUMIFS(AT:AT,AM:AM,AM587)-AO587))</f>
      </c>
      <c r="AV587" s="116">
        <v>689</v>
      </c>
      <c r="AW587" s="121">
        <v>1.037</v>
      </c>
      <c r="AX587" s="115">
        <f>AN587-AP587</f>
      </c>
    </row>
    <row r="588" spans="1:50" ht="15" hidden="1" customHeight="1" x14ac:dyDescent="0.3">
      <c r="A588" s="94" t="s">
        <v>268</v>
      </c>
      <c r="B588" s="94"/>
      <c r="C588" s="94"/>
      <c r="D588" s="94"/>
      <c r="E588" s="94"/>
      <c r="F588" s="94"/>
      <c r="G588" s="112">
        <f>AU588</f>
      </c>
      <c r="H588" s="113"/>
      <c r="I588" s="94" t="s">
        <v>278</v>
      </c>
      <c r="J588" s="94" t="s">
        <v>322</v>
      </c>
      <c r="K588" s="114">
        <f>P588/3</f>
      </c>
      <c r="L588" s="115">
        <v>20.75</v>
      </c>
      <c r="M588" s="116">
        <f>L588</f>
      </c>
      <c r="N588" s="117">
        <f>M588-L588</f>
      </c>
      <c r="O588" s="112"/>
      <c r="P588" s="118">
        <f>N588+O588</f>
      </c>
      <c r="Q588" s="94" t="s">
        <v>305</v>
      </c>
      <c r="R588" s="94" t="s">
        <v>63</v>
      </c>
      <c r="S588" s="119">
        <v>46321</v>
      </c>
      <c r="T588" s="119"/>
      <c r="U588" s="120">
        <v>46321</v>
      </c>
      <c r="V588" s="94"/>
      <c r="W588" s="94"/>
      <c r="X588" s="94"/>
      <c r="Y588" s="119">
        <v>46321</v>
      </c>
      <c r="Z588" s="94"/>
      <c r="AA588" s="120"/>
      <c r="AB588" s="120"/>
      <c r="AC588" s="120"/>
      <c r="AD588" s="120"/>
      <c r="AE588" s="120"/>
      <c r="AF588" s="120"/>
      <c r="AG588" s="94"/>
      <c r="AH588" s="120"/>
      <c r="AI588" s="94"/>
      <c r="AJ588" s="94" t="s">
        <v>305</v>
      </c>
      <c r="AK588" s="94" t="s">
        <v>323</v>
      </c>
      <c r="AL588" s="94">
        <v>120</v>
      </c>
      <c r="AM588" s="94" t="str">
        <f>TRIM(AJ588)&amp;TRIM(AL588)&amp;TRIM(AK588)</f>
      </c>
      <c r="AN588" s="116">
        <v>647.67</v>
      </c>
      <c r="AO588" s="116">
        <v>7.33</v>
      </c>
      <c r="AP588" s="116">
        <f>SUMIFS(M:M,AM:AM,AM588)+SUMIFS(O:O,AM:AM,AM588)</f>
      </c>
      <c r="AQ588" s="116">
        <f>SUMIFS(L:L,AM:AM,AM588)</f>
      </c>
      <c r="AR588" s="116">
        <f>AQ588-AP588</f>
      </c>
      <c r="AS588" s="94" t="str">
        <f>IF(AN588&gt;=AQ588,"ok","ck")</f>
      </c>
      <c r="AT588" s="116">
        <f>-P588</f>
      </c>
      <c r="AU588" s="115">
        <f>IF(SUMIFS(AT:AT,AM:AM,AM588)&gt;AO588,(SUMIFS(AT:AT,AM:AM,AM588)-AO588))</f>
      </c>
      <c r="AV588" s="116">
        <v>647.67</v>
      </c>
      <c r="AW588" s="121">
        <v>0.989</v>
      </c>
      <c r="AX588" s="115">
        <f>AN588-AP588</f>
      </c>
    </row>
    <row r="589" spans="1:50" ht="15" hidden="1" customHeight="1" x14ac:dyDescent="0.3">
      <c r="A589" s="94" t="s">
        <v>263</v>
      </c>
      <c r="B589" s="94"/>
      <c r="C589" s="94"/>
      <c r="D589" s="94"/>
      <c r="E589" s="94"/>
      <c r="F589" s="94"/>
      <c r="G589" s="112">
        <f>AU589</f>
      </c>
      <c r="H589" s="113"/>
      <c r="I589" s="94" t="s">
        <v>264</v>
      </c>
      <c r="J589" s="94" t="s">
        <v>363</v>
      </c>
      <c r="K589" s="114">
        <f>P589/3</f>
      </c>
      <c r="L589" s="115">
        <v>0</v>
      </c>
      <c r="M589" s="116">
        <f>L589</f>
      </c>
      <c r="N589" s="117">
        <f>M589-L589</f>
      </c>
      <c r="O589" s="112"/>
      <c r="P589" s="118">
        <f>N589+O589</f>
      </c>
      <c r="Q589" s="94" t="s">
        <v>266</v>
      </c>
      <c r="R589" s="94" t="s">
        <v>63</v>
      </c>
      <c r="S589" s="119">
        <v>46327</v>
      </c>
      <c r="T589" s="119"/>
      <c r="U589" s="120">
        <v>46327</v>
      </c>
      <c r="V589" s="94"/>
      <c r="W589" s="94"/>
      <c r="X589" s="94"/>
      <c r="Y589" s="119">
        <v>46327</v>
      </c>
      <c r="Z589" s="94"/>
      <c r="AA589" s="120"/>
      <c r="AB589" s="120"/>
      <c r="AC589" s="120"/>
      <c r="AD589" s="120"/>
      <c r="AE589" s="120"/>
      <c r="AF589" s="120"/>
      <c r="AG589" s="94"/>
      <c r="AH589" s="120"/>
      <c r="AI589" s="94"/>
      <c r="AJ589" s="94" t="s">
        <v>266</v>
      </c>
      <c r="AK589" s="94" t="s">
        <v>365</v>
      </c>
      <c r="AL589" s="94">
        <v>120</v>
      </c>
      <c r="AM589" s="94" t="str">
        <f>TRIM(AJ589)&amp;TRIM(AL589)&amp;TRIM(AK589)</f>
      </c>
      <c r="AN589" s="116">
        <v>39.05</v>
      </c>
      <c r="AO589" s="116">
        <v>-9.05</v>
      </c>
      <c r="AP589" s="116">
        <f>SUMIFS(M:M,AM:AM,AM589)+SUMIFS(O:O,AM:AM,AM589)</f>
      </c>
      <c r="AQ589" s="116">
        <f>SUMIFS(L:L,AM:AM,AM589)</f>
      </c>
      <c r="AR589" s="116">
        <f>AQ589-AP589</f>
      </c>
      <c r="AS589" s="94" t="str">
        <f>IF(AN589&gt;=AQ589,"ok","ck")</f>
      </c>
      <c r="AT589" s="116">
        <f>-P589</f>
      </c>
      <c r="AU589" s="115">
        <f>IF(SUMIFS(AT:AT,AM:AM,AM589)&gt;AO589,(SUMIFS(AT:AT,AM:AM,AM589)-AO589))</f>
      </c>
      <c r="AV589" s="116">
        <v>39.05</v>
      </c>
      <c r="AW589" s="121">
        <v>1.302</v>
      </c>
      <c r="AX589" s="115">
        <f>AN589-AP589</f>
      </c>
    </row>
    <row r="590" spans="1:50" ht="15" hidden="1" customHeight="1" x14ac:dyDescent="0.3">
      <c r="A590" s="94" t="s">
        <v>263</v>
      </c>
      <c r="B590" s="94"/>
      <c r="C590" s="94"/>
      <c r="D590" s="94"/>
      <c r="E590" s="94"/>
      <c r="F590" s="94"/>
      <c r="G590" s="112">
        <f>AU590</f>
      </c>
      <c r="H590" s="113"/>
      <c r="I590" s="94" t="s">
        <v>264</v>
      </c>
      <c r="J590" s="94" t="s">
        <v>281</v>
      </c>
      <c r="K590" s="114">
        <f>P590/3</f>
      </c>
      <c r="L590" s="115">
        <v>0</v>
      </c>
      <c r="M590" s="116">
        <f>L590</f>
      </c>
      <c r="N590" s="117">
        <f>M590-L590</f>
      </c>
      <c r="O590" s="112"/>
      <c r="P590" s="118">
        <f>N590+O590</f>
      </c>
      <c r="Q590" s="94" t="s">
        <v>266</v>
      </c>
      <c r="R590" s="94" t="s">
        <v>63</v>
      </c>
      <c r="S590" s="119">
        <v>46323</v>
      </c>
      <c r="T590" s="119"/>
      <c r="U590" s="120">
        <v>46323</v>
      </c>
      <c r="V590" s="94"/>
      <c r="W590" s="94"/>
      <c r="X590" s="94"/>
      <c r="Y590" s="119">
        <v>46323</v>
      </c>
      <c r="Z590" s="94"/>
      <c r="AA590" s="120"/>
      <c r="AB590" s="120"/>
      <c r="AC590" s="120"/>
      <c r="AD590" s="120"/>
      <c r="AE590" s="120"/>
      <c r="AF590" s="120"/>
      <c r="AG590" s="94"/>
      <c r="AH590" s="120"/>
      <c r="AI590" s="94"/>
      <c r="AJ590" s="94" t="s">
        <v>266</v>
      </c>
      <c r="AK590" s="94" t="s">
        <v>281</v>
      </c>
      <c r="AL590" s="94">
        <v>120</v>
      </c>
      <c r="AM590" s="94" t="str">
        <f>TRIM(AJ590)&amp;TRIM(AL590)&amp;TRIM(AK590)</f>
      </c>
      <c r="AN590" s="116">
        <v>135.54</v>
      </c>
      <c r="AO590" s="116">
        <v>-5.54</v>
      </c>
      <c r="AP590" s="116">
        <f>SUMIFS(M:M,AM:AM,AM590)+SUMIFS(O:O,AM:AM,AM590)</f>
      </c>
      <c r="AQ590" s="116">
        <f>SUMIFS(L:L,AM:AM,AM590)</f>
      </c>
      <c r="AR590" s="116">
        <f>AQ590-AP590</f>
      </c>
      <c r="AS590" s="94" t="str">
        <f>IF(AN590&gt;=AQ590,"ok","ck")</f>
      </c>
      <c r="AT590" s="116">
        <f>-P590</f>
      </c>
      <c r="AU590" s="115">
        <f>IF(SUMIFS(AT:AT,AM:AM,AM590)&gt;AO590,(SUMIFS(AT:AT,AM:AM,AM590)-AO590))</f>
      </c>
      <c r="AV590" s="116">
        <v>135.54</v>
      </c>
      <c r="AW590" s="121">
        <v>1.043</v>
      </c>
      <c r="AX590" s="115">
        <f>AN590-AP590</f>
      </c>
    </row>
    <row r="591" spans="1:50" ht="15" hidden="1" customHeight="1" x14ac:dyDescent="0.3">
      <c r="A591" s="94" t="s">
        <v>263</v>
      </c>
      <c r="B591" s="94"/>
      <c r="C591" s="94"/>
      <c r="D591" s="94"/>
      <c r="E591" s="94"/>
      <c r="F591" s="94"/>
      <c r="G591" s="112">
        <f>AU591</f>
      </c>
      <c r="H591" s="113"/>
      <c r="I591" s="94" t="s">
        <v>264</v>
      </c>
      <c r="J591" s="94" t="s">
        <v>281</v>
      </c>
      <c r="K591" s="114">
        <f>P591/3</f>
      </c>
      <c r="L591" s="115">
        <v>0</v>
      </c>
      <c r="M591" s="116">
        <f>L591</f>
      </c>
      <c r="N591" s="117">
        <f>M591-L591</f>
      </c>
      <c r="O591" s="112"/>
      <c r="P591" s="118">
        <f>N591+O591</f>
      </c>
      <c r="Q591" s="94" t="s">
        <v>266</v>
      </c>
      <c r="R591" s="94" t="s">
        <v>63</v>
      </c>
      <c r="S591" s="120">
        <v>46327</v>
      </c>
      <c r="T591" s="120"/>
      <c r="U591" s="120">
        <v>46327</v>
      </c>
      <c r="V591" s="94"/>
      <c r="W591" s="94"/>
      <c r="X591" s="94"/>
      <c r="Y591" s="119">
        <v>46327</v>
      </c>
      <c r="Z591" s="94"/>
      <c r="AA591" s="120"/>
      <c r="AB591" s="120"/>
      <c r="AC591" s="120"/>
      <c r="AD591" s="120"/>
      <c r="AE591" s="120"/>
      <c r="AF591" s="120"/>
      <c r="AG591" s="94"/>
      <c r="AH591" s="120"/>
      <c r="AI591" s="94"/>
      <c r="AJ591" s="94" t="s">
        <v>266</v>
      </c>
      <c r="AK591" s="94" t="s">
        <v>281</v>
      </c>
      <c r="AL591" s="94">
        <v>120</v>
      </c>
      <c r="AM591" s="94" t="str">
        <f>TRIM(AJ591)&amp;TRIM(AL591)&amp;TRIM(AK591)</f>
      </c>
      <c r="AN591" s="116">
        <v>135.54</v>
      </c>
      <c r="AO591" s="116">
        <v>-5.54</v>
      </c>
      <c r="AP591" s="116">
        <f>SUMIFS(M:M,AM:AM,AM591)+SUMIFS(O:O,AM:AM,AM591)</f>
      </c>
      <c r="AQ591" s="116">
        <f>SUMIFS(L:L,AM:AM,AM591)</f>
      </c>
      <c r="AR591" s="116">
        <f>AQ591-AP591</f>
      </c>
      <c r="AS591" s="94" t="str">
        <f>IF(AN591&gt;=AQ591,"ok","ck")</f>
      </c>
      <c r="AT591" s="116">
        <f>-P591</f>
      </c>
      <c r="AU591" s="115">
        <f>IF(SUMIFS(AT:AT,AM:AM,AM591)&gt;AO591,(SUMIFS(AT:AT,AM:AM,AM591)-AO591))</f>
      </c>
      <c r="AV591" s="116">
        <v>135.54</v>
      </c>
      <c r="AW591" s="121">
        <v>1.043</v>
      </c>
      <c r="AX591" s="115">
        <f>AN591-AP591</f>
      </c>
    </row>
    <row r="592" spans="1:50" ht="15" hidden="1" customHeight="1" x14ac:dyDescent="0.3">
      <c r="A592" s="94" t="s">
        <v>263</v>
      </c>
      <c r="B592" s="94"/>
      <c r="C592" s="94"/>
      <c r="D592" s="94"/>
      <c r="E592" s="94"/>
      <c r="F592" s="94"/>
      <c r="G592" s="112">
        <f>AU592</f>
      </c>
      <c r="H592" s="113"/>
      <c r="I592" s="94" t="s">
        <v>264</v>
      </c>
      <c r="J592" s="94" t="s">
        <v>281</v>
      </c>
      <c r="K592" s="114">
        <f>P592/3</f>
      </c>
      <c r="L592" s="115">
        <v>0</v>
      </c>
      <c r="M592" s="116">
        <f>L592</f>
      </c>
      <c r="N592" s="117">
        <f>M592-L592</f>
      </c>
      <c r="O592" s="112"/>
      <c r="P592" s="118">
        <f>N592+O592</f>
      </c>
      <c r="Q592" s="94" t="s">
        <v>266</v>
      </c>
      <c r="R592" s="94" t="s">
        <v>63</v>
      </c>
      <c r="S592" s="119">
        <v>46327</v>
      </c>
      <c r="T592" s="119"/>
      <c r="U592" s="119">
        <v>46327</v>
      </c>
      <c r="V592" s="94"/>
      <c r="W592" s="94"/>
      <c r="X592" s="94"/>
      <c r="Y592" s="119">
        <v>46327</v>
      </c>
      <c r="Z592" s="94"/>
      <c r="AA592" s="120"/>
      <c r="AB592" s="120"/>
      <c r="AC592" s="120"/>
      <c r="AD592" s="120"/>
      <c r="AE592" s="120"/>
      <c r="AF592" s="120"/>
      <c r="AG592" s="94"/>
      <c r="AH592" s="120"/>
      <c r="AI592" s="94"/>
      <c r="AJ592" s="94" t="s">
        <v>266</v>
      </c>
      <c r="AK592" s="94" t="s">
        <v>281</v>
      </c>
      <c r="AL592" s="94">
        <v>120</v>
      </c>
      <c r="AM592" s="94" t="str">
        <f>TRIM(AJ592)&amp;TRIM(AL592)&amp;TRIM(AK592)</f>
      </c>
      <c r="AN592" s="116">
        <v>135.54</v>
      </c>
      <c r="AO592" s="116">
        <v>-5.54</v>
      </c>
      <c r="AP592" s="116">
        <f>SUMIFS(M:M,AM:AM,AM592)+SUMIFS(O:O,AM:AM,AM592)</f>
      </c>
      <c r="AQ592" s="116">
        <f>SUMIFS(L:L,AM:AM,AM592)</f>
      </c>
      <c r="AR592" s="116">
        <f>AQ592-AP592</f>
      </c>
      <c r="AS592" s="94" t="str">
        <f>IF(AN592&gt;=AQ592,"ok","ck")</f>
      </c>
      <c r="AT592" s="116">
        <f>-P592</f>
      </c>
      <c r="AU592" s="115">
        <f>IF(SUMIFS(AT:AT,AM:AM,AM592)&gt;AO592,(SUMIFS(AT:AT,AM:AM,AM592)-AO592))</f>
      </c>
      <c r="AV592" s="116">
        <v>135.54</v>
      </c>
      <c r="AW592" s="121">
        <v>1.043</v>
      </c>
      <c r="AX592" s="115">
        <f>AN592-AP592</f>
      </c>
    </row>
    <row r="593" spans="1:50" ht="15" hidden="1" customHeight="1" x14ac:dyDescent="0.3">
      <c r="A593" s="94" t="s">
        <v>480</v>
      </c>
      <c r="B593" s="94"/>
      <c r="C593" s="94"/>
      <c r="D593" s="94"/>
      <c r="E593" s="94"/>
      <c r="F593" s="94"/>
      <c r="G593" s="112">
        <f>AU593</f>
      </c>
      <c r="H593" s="113"/>
      <c r="I593" s="94" t="s">
        <v>486</v>
      </c>
      <c r="J593" s="94" t="s">
        <v>543</v>
      </c>
      <c r="K593" s="114">
        <f>P593/3</f>
      </c>
      <c r="L593" s="115">
        <v>3.0379999999999998</v>
      </c>
      <c r="M593" s="116"/>
      <c r="N593" s="117">
        <f>M593-L593</f>
      </c>
      <c r="O593" s="112"/>
      <c r="P593" s="118">
        <f>N593+O593</f>
      </c>
      <c r="Q593" s="94" t="s">
        <v>782</v>
      </c>
      <c r="R593" s="94" t="s">
        <v>63</v>
      </c>
      <c r="S593" s="119">
        <v>46332</v>
      </c>
      <c r="T593" s="119"/>
      <c r="U593" s="119">
        <v>46332</v>
      </c>
      <c r="V593" s="94"/>
      <c r="W593" s="94"/>
      <c r="X593" s="94"/>
      <c r="Y593" s="119">
        <v>46338</v>
      </c>
      <c r="Z593" s="94"/>
      <c r="AA593" s="120"/>
      <c r="AB593" s="120"/>
      <c r="AC593" s="120"/>
      <c r="AD593" s="120"/>
      <c r="AE593" s="120"/>
      <c r="AF593" s="120"/>
      <c r="AG593" s="94"/>
      <c r="AH593" s="120"/>
      <c r="AI593" s="94"/>
      <c r="AJ593" s="94" t="s">
        <v>782</v>
      </c>
      <c r="AK593" s="94" t="s">
        <v>696</v>
      </c>
      <c r="AL593" s="94">
        <v>165</v>
      </c>
      <c r="AM593" s="94" t="str">
        <f>TRIM(AJ593)&amp;TRIM(AL593)&amp;TRIM(AK593)</f>
      </c>
      <c r="AN593" s="116">
        <v>0</v>
      </c>
      <c r="AO593" s="116" t="inlineStr">
        <is>
          <t>#NA</t>
        </is>
      </c>
      <c r="AP593" s="116">
        <f>SUMIFS(M:M,AM:AM,AM593)+SUMIFS(O:O,AM:AM,AM593)</f>
      </c>
      <c r="AQ593" s="116">
        <f>SUMIFS(L:L,AM:AM,AM593)</f>
      </c>
      <c r="AR593" s="116">
        <f>AQ593-AP593</f>
      </c>
      <c r="AS593" s="94" t="str">
        <f>IF(AN593&gt;=AQ593,"ok","ck")</f>
      </c>
      <c r="AT593" s="116">
        <f>-P593</f>
      </c>
      <c r="AU593" s="115">
        <f>IF(SUMIFS(AT:AT,AM:AM,AM593)&gt;AO593,(SUMIFS(AT:AT,AM:AM,AM593)-AO593))</f>
      </c>
      <c r="AV593" s="116">
        <v>0</v>
      </c>
      <c r="AW593" s="121">
        <v>0</v>
      </c>
      <c r="AX593" s="115">
        <f>AN593-AP593</f>
      </c>
    </row>
    <row r="594" spans="1:50" ht="15" hidden="1" customHeight="1" x14ac:dyDescent="0.3">
      <c r="A594" s="94" t="s">
        <v>480</v>
      </c>
      <c r="B594" s="94"/>
      <c r="C594" s="94"/>
      <c r="D594" s="94"/>
      <c r="E594" s="94"/>
      <c r="F594" s="94"/>
      <c r="G594" s="112">
        <f>AU594</f>
      </c>
      <c r="H594" s="113"/>
      <c r="I594" s="94" t="s">
        <v>486</v>
      </c>
      <c r="J594" s="94" t="s">
        <v>543</v>
      </c>
      <c r="K594" s="114">
        <f>P594/3</f>
      </c>
      <c r="L594" s="115">
        <v>31.09</v>
      </c>
      <c r="M594" s="116"/>
      <c r="N594" s="117">
        <f>M594-L594</f>
      </c>
      <c r="O594" s="112"/>
      <c r="P594" s="118">
        <f>N594+O594</f>
      </c>
      <c r="Q594" s="94" t="s">
        <v>782</v>
      </c>
      <c r="R594" s="94" t="s">
        <v>63</v>
      </c>
      <c r="S594" s="119">
        <v>46332</v>
      </c>
      <c r="T594" s="119"/>
      <c r="U594" s="119">
        <v>46332</v>
      </c>
      <c r="V594" s="94"/>
      <c r="W594" s="94"/>
      <c r="X594" s="94"/>
      <c r="Y594" s="119">
        <v>46338</v>
      </c>
      <c r="Z594" s="94"/>
      <c r="AA594" s="120"/>
      <c r="AB594" s="120"/>
      <c r="AC594" s="120"/>
      <c r="AD594" s="120"/>
      <c r="AE594" s="120"/>
      <c r="AF594" s="120"/>
      <c r="AG594" s="94"/>
      <c r="AH594" s="120"/>
      <c r="AI594" s="94"/>
      <c r="AJ594" s="94" t="s">
        <v>782</v>
      </c>
      <c r="AK594" s="94" t="s">
        <v>696</v>
      </c>
      <c r="AL594" s="94">
        <v>165</v>
      </c>
      <c r="AM594" s="94" t="str">
        <f>TRIM(AJ594)&amp;TRIM(AL594)&amp;TRIM(AK594)</f>
      </c>
      <c r="AN594" s="116">
        <v>0</v>
      </c>
      <c r="AO594" s="116" t="inlineStr">
        <is>
          <t>#NA</t>
        </is>
      </c>
      <c r="AP594" s="116">
        <f>SUMIFS(M:M,AM:AM,AM594)+SUMIFS(O:O,AM:AM,AM594)</f>
      </c>
      <c r="AQ594" s="116">
        <f>SUMIFS(L:L,AM:AM,AM594)</f>
      </c>
      <c r="AR594" s="116">
        <f>AQ594-AP594</f>
      </c>
      <c r="AS594" s="94" t="str">
        <f>IF(AN594&gt;=AQ594,"ok","ck")</f>
      </c>
      <c r="AT594" s="116">
        <f>-P594</f>
      </c>
      <c r="AU594" s="115">
        <f>IF(SUMIFS(AT:AT,AM:AM,AM594)&gt;AO594,(SUMIFS(AT:AT,AM:AM,AM594)-AO594))</f>
      </c>
      <c r="AV594" s="116">
        <v>0</v>
      </c>
      <c r="AW594" s="121">
        <v>0</v>
      </c>
      <c r="AX594" s="115">
        <f>AN594-AP594</f>
      </c>
    </row>
    <row r="595" spans="1:50" ht="15" hidden="1" customHeight="1" x14ac:dyDescent="0.3">
      <c r="A595" s="94" t="s">
        <v>480</v>
      </c>
      <c r="B595" s="94"/>
      <c r="C595" s="94"/>
      <c r="D595" s="94"/>
      <c r="E595" s="94"/>
      <c r="F595" s="94"/>
      <c r="G595" s="112">
        <f>AU595</f>
      </c>
      <c r="H595" s="113"/>
      <c r="I595" s="94" t="s">
        <v>486</v>
      </c>
      <c r="J595" s="94" t="s">
        <v>543</v>
      </c>
      <c r="K595" s="114">
        <f>P595/3</f>
      </c>
      <c r="L595" s="115">
        <v>7.4610000000000003</v>
      </c>
      <c r="M595" s="116"/>
      <c r="N595" s="117">
        <f>M595-L595</f>
      </c>
      <c r="O595" s="112"/>
      <c r="P595" s="118">
        <f>N595+O595</f>
      </c>
      <c r="Q595" s="94" t="s">
        <v>782</v>
      </c>
      <c r="R595" s="94" t="s">
        <v>63</v>
      </c>
      <c r="S595" s="119">
        <v>46332</v>
      </c>
      <c r="T595" s="119"/>
      <c r="U595" s="119">
        <v>46332</v>
      </c>
      <c r="V595" s="94"/>
      <c r="W595" s="94"/>
      <c r="X595" s="94"/>
      <c r="Y595" s="119">
        <v>46338</v>
      </c>
      <c r="Z595" s="94"/>
      <c r="AA595" s="120"/>
      <c r="AB595" s="120"/>
      <c r="AC595" s="120"/>
      <c r="AD595" s="120"/>
      <c r="AE595" s="120"/>
      <c r="AF595" s="120"/>
      <c r="AG595" s="94"/>
      <c r="AH595" s="120"/>
      <c r="AI595" s="94"/>
      <c r="AJ595" s="94" t="s">
        <v>782</v>
      </c>
      <c r="AK595" s="94" t="s">
        <v>696</v>
      </c>
      <c r="AL595" s="94">
        <v>165</v>
      </c>
      <c r="AM595" s="94" t="str">
        <f>TRIM(AJ595)&amp;TRIM(AL595)&amp;TRIM(AK595)</f>
      </c>
      <c r="AN595" s="116">
        <v>0</v>
      </c>
      <c r="AO595" s="116" t="inlineStr">
        <is>
          <t>#NA</t>
        </is>
      </c>
      <c r="AP595" s="116">
        <f>SUMIFS(M:M,AM:AM,AM595)+SUMIFS(O:O,AM:AM,AM595)</f>
      </c>
      <c r="AQ595" s="116">
        <f>SUMIFS(L:L,AM:AM,AM595)</f>
      </c>
      <c r="AR595" s="116">
        <f>AQ595-AP595</f>
      </c>
      <c r="AS595" s="94" t="str">
        <f>IF(AN595&gt;=AQ595,"ok","ck")</f>
      </c>
      <c r="AT595" s="116">
        <f>-P595</f>
      </c>
      <c r="AU595" s="115">
        <f>IF(SUMIFS(AT:AT,AM:AM,AM595)&gt;AO595,(SUMIFS(AT:AT,AM:AM,AM595)-AO595))</f>
      </c>
      <c r="AV595" s="116">
        <v>0</v>
      </c>
      <c r="AW595" s="121">
        <v>0</v>
      </c>
      <c r="AX595" s="115">
        <f>AN595-AP595</f>
      </c>
    </row>
    <row r="596" spans="1:50" ht="15" hidden="1" customHeight="1" x14ac:dyDescent="0.3">
      <c r="A596" s="94" t="s">
        <v>480</v>
      </c>
      <c r="B596" s="94"/>
      <c r="C596" s="94"/>
      <c r="D596" s="94"/>
      <c r="E596" s="94"/>
      <c r="F596" s="94"/>
      <c r="G596" s="112">
        <f>AU596</f>
      </c>
      <c r="H596" s="113"/>
      <c r="I596" s="94" t="s">
        <v>486</v>
      </c>
      <c r="J596" s="94" t="s">
        <v>543</v>
      </c>
      <c r="K596" s="114">
        <f>P596/3</f>
      </c>
      <c r="L596" s="115">
        <v>70.387</v>
      </c>
      <c r="M596" s="116"/>
      <c r="N596" s="117">
        <f>M596-L596</f>
      </c>
      <c r="O596" s="112"/>
      <c r="P596" s="118">
        <f>N596+O596</f>
      </c>
      <c r="Q596" s="94" t="s">
        <v>782</v>
      </c>
      <c r="R596" s="94" t="s">
        <v>63</v>
      </c>
      <c r="S596" s="119">
        <v>46332</v>
      </c>
      <c r="T596" s="119"/>
      <c r="U596" s="119">
        <v>46332</v>
      </c>
      <c r="V596" s="94"/>
      <c r="W596" s="94"/>
      <c r="X596" s="94"/>
      <c r="Y596" s="119">
        <v>46337</v>
      </c>
      <c r="Z596" s="94"/>
      <c r="AA596" s="120"/>
      <c r="AB596" s="120"/>
      <c r="AC596" s="120"/>
      <c r="AD596" s="120"/>
      <c r="AE596" s="120"/>
      <c r="AF596" s="120"/>
      <c r="AG596" s="94"/>
      <c r="AH596" s="120"/>
      <c r="AI596" s="94"/>
      <c r="AJ596" s="94" t="s">
        <v>782</v>
      </c>
      <c r="AK596" s="94" t="s">
        <v>696</v>
      </c>
      <c r="AL596" s="94">
        <v>165</v>
      </c>
      <c r="AM596" s="94" t="str">
        <f>TRIM(AJ596)&amp;TRIM(AL596)&amp;TRIM(AK596)</f>
      </c>
      <c r="AN596" s="116">
        <v>0</v>
      </c>
      <c r="AO596" s="116" t="inlineStr">
        <is>
          <t>#NA</t>
        </is>
      </c>
      <c r="AP596" s="116">
        <f>SUMIFS(M:M,AM:AM,AM596)+SUMIFS(O:O,AM:AM,AM596)</f>
      </c>
      <c r="AQ596" s="116">
        <f>SUMIFS(L:L,AM:AM,AM596)</f>
      </c>
      <c r="AR596" s="116">
        <f>AQ596-AP596</f>
      </c>
      <c r="AS596" s="94" t="str">
        <f>IF(AN596&gt;=AQ596,"ok","ck")</f>
      </c>
      <c r="AT596" s="116">
        <f>-P596</f>
      </c>
      <c r="AU596" s="115">
        <f>IF(SUMIFS(AT:AT,AM:AM,AM596)&gt;AO596,(SUMIFS(AT:AT,AM:AM,AM596)-AO596))</f>
      </c>
      <c r="AV596" s="116">
        <v>0</v>
      </c>
      <c r="AW596" s="121">
        <v>0</v>
      </c>
      <c r="AX596" s="115">
        <f>AN596-AP596</f>
      </c>
    </row>
    <row r="597" spans="1:50" ht="15" hidden="1" customHeight="1" x14ac:dyDescent="0.3">
      <c r="A597" s="94" t="s">
        <v>480</v>
      </c>
      <c r="B597" s="94"/>
      <c r="C597" s="94"/>
      <c r="D597" s="94"/>
      <c r="E597" s="94"/>
      <c r="F597" s="94"/>
      <c r="G597" s="112">
        <f>AU597</f>
      </c>
      <c r="H597" s="113"/>
      <c r="I597" s="94" t="s">
        <v>486</v>
      </c>
      <c r="J597" s="94" t="s">
        <v>543</v>
      </c>
      <c r="K597" s="114">
        <f>P597/3</f>
      </c>
      <c r="L597" s="115">
        <v>5.15</v>
      </c>
      <c r="M597" s="116"/>
      <c r="N597" s="117">
        <f>M597-L597</f>
      </c>
      <c r="O597" s="112"/>
      <c r="P597" s="118">
        <f>N597+O597</f>
      </c>
      <c r="Q597" s="94" t="s">
        <v>782</v>
      </c>
      <c r="R597" s="94" t="s">
        <v>63</v>
      </c>
      <c r="S597" s="119">
        <v>46332</v>
      </c>
      <c r="T597" s="119"/>
      <c r="U597" s="119">
        <v>46332</v>
      </c>
      <c r="V597" s="94"/>
      <c r="W597" s="94"/>
      <c r="X597" s="94"/>
      <c r="Y597" s="119">
        <v>46337</v>
      </c>
      <c r="Z597" s="94"/>
      <c r="AA597" s="120"/>
      <c r="AB597" s="120"/>
      <c r="AC597" s="120"/>
      <c r="AD597" s="120"/>
      <c r="AE597" s="120"/>
      <c r="AF597" s="120"/>
      <c r="AG597" s="94"/>
      <c r="AH597" s="120"/>
      <c r="AI597" s="94"/>
      <c r="AJ597" s="94" t="s">
        <v>782</v>
      </c>
      <c r="AK597" s="94" t="s">
        <v>696</v>
      </c>
      <c r="AL597" s="94">
        <v>165</v>
      </c>
      <c r="AM597" s="94" t="str">
        <f>TRIM(AJ597)&amp;TRIM(AL597)&amp;TRIM(AK597)</f>
      </c>
      <c r="AN597" s="116">
        <v>0</v>
      </c>
      <c r="AO597" s="116" t="inlineStr">
        <is>
          <t>#NA</t>
        </is>
      </c>
      <c r="AP597" s="116">
        <f>SUMIFS(M:M,AM:AM,AM597)+SUMIFS(O:O,AM:AM,AM597)</f>
      </c>
      <c r="AQ597" s="116">
        <f>SUMIFS(L:L,AM:AM,AM597)</f>
      </c>
      <c r="AR597" s="116">
        <f>AQ597-AP597</f>
      </c>
      <c r="AS597" s="94" t="str">
        <f>IF(AN597&gt;=AQ597,"ok","ck")</f>
      </c>
      <c r="AT597" s="116">
        <f>-P597</f>
      </c>
      <c r="AU597" s="115">
        <f>IF(SUMIFS(AT:AT,AM:AM,AM597)&gt;AO597,(SUMIFS(AT:AT,AM:AM,AM597)-AO597))</f>
      </c>
      <c r="AV597" s="116">
        <v>0</v>
      </c>
      <c r="AW597" s="121">
        <v>0</v>
      </c>
      <c r="AX597" s="115">
        <f>AN597-AP597</f>
      </c>
    </row>
    <row r="598" spans="1:50" ht="15" hidden="1" customHeight="1" x14ac:dyDescent="0.3">
      <c r="A598" s="94" t="s">
        <v>480</v>
      </c>
      <c r="B598" s="94"/>
      <c r="C598" s="94"/>
      <c r="D598" s="94"/>
      <c r="E598" s="94"/>
      <c r="F598" s="94"/>
      <c r="G598" s="112">
        <f>AU598</f>
      </c>
      <c r="H598" s="113"/>
      <c r="I598" s="94" t="s">
        <v>486</v>
      </c>
      <c r="J598" s="94" t="s">
        <v>543</v>
      </c>
      <c r="K598" s="114">
        <f>P598/3</f>
      </c>
      <c r="L598" s="115">
        <v>47.145000000000003</v>
      </c>
      <c r="M598" s="116"/>
      <c r="N598" s="117">
        <f>M598-L598</f>
      </c>
      <c r="O598" s="112"/>
      <c r="P598" s="118">
        <f>N598+O598</f>
      </c>
      <c r="Q598" s="94" t="s">
        <v>782</v>
      </c>
      <c r="R598" s="94" t="s">
        <v>63</v>
      </c>
      <c r="S598" s="119">
        <v>46332</v>
      </c>
      <c r="T598" s="119"/>
      <c r="U598" s="119">
        <v>46332</v>
      </c>
      <c r="V598" s="94"/>
      <c r="W598" s="94"/>
      <c r="X598" s="94"/>
      <c r="Y598" s="119">
        <v>46338</v>
      </c>
      <c r="Z598" s="94"/>
      <c r="AA598" s="120"/>
      <c r="AB598" s="120"/>
      <c r="AC598" s="120"/>
      <c r="AD598" s="120"/>
      <c r="AE598" s="120"/>
      <c r="AF598" s="120"/>
      <c r="AG598" s="94"/>
      <c r="AH598" s="120"/>
      <c r="AI598" s="94"/>
      <c r="AJ598" s="94" t="s">
        <v>782</v>
      </c>
      <c r="AK598" s="94" t="s">
        <v>696</v>
      </c>
      <c r="AL598" s="94">
        <v>165</v>
      </c>
      <c r="AM598" s="94" t="str">
        <f>TRIM(AJ598)&amp;TRIM(AL598)&amp;TRIM(AK598)</f>
      </c>
      <c r="AN598" s="116">
        <v>0</v>
      </c>
      <c r="AO598" s="116" t="inlineStr">
        <is>
          <t>#NA</t>
        </is>
      </c>
      <c r="AP598" s="116">
        <f>SUMIFS(M:M,AM:AM,AM598)+SUMIFS(O:O,AM:AM,AM598)</f>
      </c>
      <c r="AQ598" s="116">
        <f>SUMIFS(L:L,AM:AM,AM598)</f>
      </c>
      <c r="AR598" s="116">
        <f>AQ598-AP598</f>
      </c>
      <c r="AS598" s="94" t="str">
        <f>IF(AN598&gt;=AQ598,"ok","ck")</f>
      </c>
      <c r="AT598" s="116">
        <f>-P598</f>
      </c>
      <c r="AU598" s="115">
        <f>IF(SUMIFS(AT:AT,AM:AM,AM598)&gt;AO598,(SUMIFS(AT:AT,AM:AM,AM598)-AO598))</f>
      </c>
      <c r="AV598" s="116">
        <v>0</v>
      </c>
      <c r="AW598" s="121">
        <v>0</v>
      </c>
      <c r="AX598" s="115">
        <f>AN598-AP598</f>
      </c>
    </row>
    <row r="599" spans="1:50" ht="15" hidden="1" customHeight="1" x14ac:dyDescent="0.3">
      <c r="A599" s="94" t="s">
        <v>253</v>
      </c>
      <c r="B599" s="94"/>
      <c r="C599" s="94"/>
      <c r="D599" s="94"/>
      <c r="E599" s="94"/>
      <c r="F599" s="94"/>
      <c r="G599" s="112">
        <f>AU599</f>
      </c>
      <c r="H599" s="113"/>
      <c r="I599" s="94" t="s">
        <v>254</v>
      </c>
      <c r="J599" s="94" t="s">
        <v>544</v>
      </c>
      <c r="K599" s="114">
        <f>P599/3</f>
      </c>
      <c r="L599" s="115">
        <v>725</v>
      </c>
      <c r="M599" s="116"/>
      <c r="N599" s="117">
        <f>M599-L599</f>
      </c>
      <c r="O599" s="112"/>
      <c r="P599" s="118">
        <f>N599+O599</f>
      </c>
      <c r="Q599" s="94" t="s">
        <v>851</v>
      </c>
      <c r="R599" s="94" t="s">
        <v>63</v>
      </c>
      <c r="S599" s="119">
        <v>46346</v>
      </c>
      <c r="T599" s="119"/>
      <c r="U599" s="119">
        <v>46346</v>
      </c>
      <c r="V599" s="94"/>
      <c r="W599" s="94"/>
      <c r="X599" s="94"/>
      <c r="Y599" s="119">
        <v>46343</v>
      </c>
      <c r="Z599" s="94"/>
      <c r="AA599" s="120"/>
      <c r="AB599" s="120"/>
      <c r="AC599" s="120"/>
      <c r="AD599" s="120"/>
      <c r="AE599" s="120"/>
      <c r="AF599" s="120"/>
      <c r="AG599" s="94"/>
      <c r="AH599" s="120"/>
      <c r="AI599" s="94"/>
      <c r="AJ599" s="94" t="s">
        <v>789</v>
      </c>
      <c r="AK599" s="94" t="s">
        <v>720</v>
      </c>
      <c r="AL599" s="94">
        <v>150</v>
      </c>
      <c r="AM599" s="94" t="str">
        <f>TRIM(AJ599)&amp;TRIM(AL599)&amp;TRIM(AK599)</f>
      </c>
      <c r="AN599" s="116">
        <v>0</v>
      </c>
      <c r="AO599" s="116" t="inlineStr">
        <is>
          <t>#NA</t>
        </is>
      </c>
      <c r="AP599" s="116">
        <f>SUMIFS(M:M,AM:AM,AM599)+SUMIFS(O:O,AM:AM,AM599)</f>
      </c>
      <c r="AQ599" s="116">
        <f>SUMIFS(L:L,AM:AM,AM599)</f>
      </c>
      <c r="AR599" s="116">
        <f>AQ599-AP599</f>
      </c>
      <c r="AS599" s="94" t="str">
        <f>IF(AN599&gt;=AQ599,"ok","ck")</f>
      </c>
      <c r="AT599" s="116">
        <f>-P599</f>
      </c>
      <c r="AU599" s="115">
        <f>IF(SUMIFS(AT:AT,AM:AM,AM599)&gt;AO599,(SUMIFS(AT:AT,AM:AM,AM599)-AO599))</f>
      </c>
      <c r="AV599" s="116">
        <v>0</v>
      </c>
      <c r="AW599" s="121">
        <v>0</v>
      </c>
      <c r="AX599" s="115">
        <f>AN599-AP599</f>
      </c>
    </row>
    <row r="600" spans="1:50" ht="15" hidden="1" customHeight="1" x14ac:dyDescent="0.3">
      <c r="A600" s="94" t="s">
        <v>82</v>
      </c>
      <c r="B600" s="94"/>
      <c r="C600" s="94"/>
      <c r="D600" s="94"/>
      <c r="E600" s="94"/>
      <c r="F600" s="94"/>
      <c r="G600" s="112">
        <f>AU600</f>
      </c>
      <c r="H600" s="113"/>
      <c r="I600" s="94" t="s">
        <v>83</v>
      </c>
      <c r="J600" s="94" t="s">
        <v>100</v>
      </c>
      <c r="K600" s="114">
        <f>P600/3</f>
      </c>
      <c r="L600" s="115">
        <v>750</v>
      </c>
      <c r="M600" s="116">
        <v>750</v>
      </c>
      <c r="N600" s="117">
        <f>M600-L600</f>
      </c>
      <c r="O600" s="112"/>
      <c r="P600" s="118">
        <f>N600+O600</f>
      </c>
      <c r="Q600" s="94" t="s">
        <v>85</v>
      </c>
      <c r="R600" s="94" t="s">
        <v>63</v>
      </c>
      <c r="S600" s="119">
        <v>46336</v>
      </c>
      <c r="T600" s="119"/>
      <c r="U600" s="120" t="s">
        <v>650</v>
      </c>
      <c r="V600" s="94"/>
      <c r="W600" s="94"/>
      <c r="X600" s="94"/>
      <c r="Y600" s="119">
        <v>46320</v>
      </c>
      <c r="Z600" s="94"/>
      <c r="AA600" s="120"/>
      <c r="AB600" s="120"/>
      <c r="AC600" s="120"/>
      <c r="AD600" s="120"/>
      <c r="AE600" s="120"/>
      <c r="AF600" s="120"/>
      <c r="AG600" s="94"/>
      <c r="AH600" s="120"/>
      <c r="AI600" s="94"/>
      <c r="AJ600" s="94" t="s">
        <v>86</v>
      </c>
      <c r="AK600" s="94" t="s">
        <v>101</v>
      </c>
      <c r="AL600" s="94">
        <v>160</v>
      </c>
      <c r="AM600" s="94" t="str">
        <f>TRIM(AJ600)&amp;TRIM(AL600)&amp;TRIM(AK600)</f>
      </c>
      <c r="AN600" s="116">
        <v>11844.86</v>
      </c>
      <c r="AO600" s="116">
        <v>20581.14</v>
      </c>
      <c r="AP600" s="116">
        <f>SUMIFS(M:M,AM:AM,AM600)+SUMIFS(O:O,AM:AM,AM600)</f>
      </c>
      <c r="AQ600" s="116">
        <f>SUMIFS(L:L,AM:AM,AM600)</f>
      </c>
      <c r="AR600" s="116">
        <f>AQ600-AP600</f>
      </c>
      <c r="AS600" s="94" t="str">
        <f>IF(AN600&gt;=AQ600,"ok","ck")</f>
      </c>
      <c r="AT600" s="116">
        <f>-P600</f>
      </c>
      <c r="AU600" s="115">
        <f>IF(SUMIFS(AT:AT,AM:AM,AM600)&gt;AO600,(SUMIFS(AT:AT,AM:AM,AM600)-AO600))</f>
      </c>
      <c r="AV600" s="116">
        <v>11844.86</v>
      </c>
      <c r="AW600" s="121">
        <v>0.365</v>
      </c>
      <c r="AX600" s="115">
        <f>AN600-AP600</f>
      </c>
    </row>
    <row r="601" spans="1:50" ht="15" hidden="1" customHeight="1" x14ac:dyDescent="0.3">
      <c r="A601" s="94" t="s">
        <v>82</v>
      </c>
      <c r="B601" s="94"/>
      <c r="C601" s="94"/>
      <c r="D601" s="94"/>
      <c r="E601" s="94"/>
      <c r="F601" s="94"/>
      <c r="G601" s="112">
        <f>AU601</f>
      </c>
      <c r="H601" s="113"/>
      <c r="I601" s="94" t="s">
        <v>83</v>
      </c>
      <c r="J601" s="94" t="s">
        <v>100</v>
      </c>
      <c r="K601" s="114">
        <f>P601/3</f>
      </c>
      <c r="L601" s="115">
        <v>750</v>
      </c>
      <c r="M601" s="116">
        <v>750</v>
      </c>
      <c r="N601" s="117">
        <f>M601-L601</f>
      </c>
      <c r="O601" s="112"/>
      <c r="P601" s="118">
        <f>N601+O601</f>
      </c>
      <c r="Q601" s="94" t="s">
        <v>85</v>
      </c>
      <c r="R601" s="94" t="s">
        <v>63</v>
      </c>
      <c r="S601" s="119">
        <v>46337</v>
      </c>
      <c r="T601" s="119"/>
      <c r="U601" s="120" t="s">
        <v>650</v>
      </c>
      <c r="V601" s="94"/>
      <c r="W601" s="94"/>
      <c r="X601" s="94"/>
      <c r="Y601" s="119">
        <v>46328</v>
      </c>
      <c r="Z601" s="94"/>
      <c r="AA601" s="120"/>
      <c r="AB601" s="120"/>
      <c r="AC601" s="120"/>
      <c r="AD601" s="120"/>
      <c r="AE601" s="120"/>
      <c r="AF601" s="120"/>
      <c r="AG601" s="94"/>
      <c r="AH601" s="120"/>
      <c r="AI601" s="94"/>
      <c r="AJ601" s="94" t="s">
        <v>86</v>
      </c>
      <c r="AK601" s="94" t="s">
        <v>101</v>
      </c>
      <c r="AL601" s="94">
        <v>160</v>
      </c>
      <c r="AM601" s="94" t="str">
        <f>TRIM(AJ601)&amp;TRIM(AL601)&amp;TRIM(AK601)</f>
      </c>
      <c r="AN601" s="116">
        <v>11844.86</v>
      </c>
      <c r="AO601" s="116">
        <v>20581.14</v>
      </c>
      <c r="AP601" s="116">
        <f>SUMIFS(M:M,AM:AM,AM601)+SUMIFS(O:O,AM:AM,AM601)</f>
      </c>
      <c r="AQ601" s="116">
        <f>SUMIFS(L:L,AM:AM,AM601)</f>
      </c>
      <c r="AR601" s="116">
        <f>AQ601-AP601</f>
      </c>
      <c r="AS601" s="94" t="str">
        <f>IF(AN601&gt;=AQ601,"ok","ck")</f>
      </c>
      <c r="AT601" s="116">
        <f>-P601</f>
      </c>
      <c r="AU601" s="115">
        <f>IF(SUMIFS(AT:AT,AM:AM,AM601)&gt;AO601,(SUMIFS(AT:AT,AM:AM,AM601)-AO601))</f>
      </c>
      <c r="AV601" s="116">
        <v>11844.86</v>
      </c>
      <c r="AW601" s="121">
        <v>0.365</v>
      </c>
      <c r="AX601" s="115">
        <f>AN601-AP601</f>
      </c>
    </row>
    <row r="602" spans="1:50" ht="15" hidden="1" customHeight="1" x14ac:dyDescent="0.3">
      <c r="A602" s="94" t="s">
        <v>82</v>
      </c>
      <c r="B602" s="94"/>
      <c r="C602" s="94"/>
      <c r="D602" s="94"/>
      <c r="E602" s="94"/>
      <c r="F602" s="94"/>
      <c r="G602" s="112">
        <f>AU602</f>
      </c>
      <c r="H602" s="113"/>
      <c r="I602" s="94" t="s">
        <v>83</v>
      </c>
      <c r="J602" s="94" t="s">
        <v>100</v>
      </c>
      <c r="K602" s="114">
        <f>P602/3</f>
      </c>
      <c r="L602" s="115">
        <v>750</v>
      </c>
      <c r="M602" s="116">
        <v>750</v>
      </c>
      <c r="N602" s="117">
        <f>M602-L602</f>
      </c>
      <c r="O602" s="112"/>
      <c r="P602" s="118">
        <f>N602+O602</f>
      </c>
      <c r="Q602" s="94" t="s">
        <v>85</v>
      </c>
      <c r="R602" s="94" t="s">
        <v>63</v>
      </c>
      <c r="S602" s="119">
        <v>46338</v>
      </c>
      <c r="T602" s="119"/>
      <c r="U602" s="120" t="s">
        <v>650</v>
      </c>
      <c r="V602" s="94"/>
      <c r="W602" s="94"/>
      <c r="X602" s="94"/>
      <c r="Y602" s="119">
        <v>46328</v>
      </c>
      <c r="Z602" s="94"/>
      <c r="AA602" s="120"/>
      <c r="AB602" s="120"/>
      <c r="AC602" s="120"/>
      <c r="AD602" s="120"/>
      <c r="AE602" s="120"/>
      <c r="AF602" s="120"/>
      <c r="AG602" s="94"/>
      <c r="AH602" s="120"/>
      <c r="AI602" s="94"/>
      <c r="AJ602" s="94" t="s">
        <v>86</v>
      </c>
      <c r="AK602" s="94" t="s">
        <v>101</v>
      </c>
      <c r="AL602" s="94">
        <v>160</v>
      </c>
      <c r="AM602" s="94" t="str">
        <f>TRIM(AJ602)&amp;TRIM(AL602)&amp;TRIM(AK602)</f>
      </c>
      <c r="AN602" s="116">
        <v>11844.86</v>
      </c>
      <c r="AO602" s="116">
        <v>20581.14</v>
      </c>
      <c r="AP602" s="116">
        <f>SUMIFS(M:M,AM:AM,AM602)+SUMIFS(O:O,AM:AM,AM602)</f>
      </c>
      <c r="AQ602" s="116">
        <f>SUMIFS(L:L,AM:AM,AM602)</f>
      </c>
      <c r="AR602" s="116">
        <f>AQ602-AP602</f>
      </c>
      <c r="AS602" s="94" t="str">
        <f>IF(AN602&gt;=AQ602,"ok","ck")</f>
      </c>
      <c r="AT602" s="116">
        <f>-P602</f>
      </c>
      <c r="AU602" s="115">
        <f>IF(SUMIFS(AT:AT,AM:AM,AM602)&gt;AO602,(SUMIFS(AT:AT,AM:AM,AM602)-AO602))</f>
      </c>
      <c r="AV602" s="116">
        <v>11844.86</v>
      </c>
      <c r="AW602" s="121">
        <v>0.365</v>
      </c>
      <c r="AX602" s="115">
        <f>AN602-AP602</f>
      </c>
    </row>
    <row r="603" spans="1:50" ht="15" hidden="1" customHeight="1" x14ac:dyDescent="0.3">
      <c r="A603" s="94" t="s">
        <v>82</v>
      </c>
      <c r="B603" s="94"/>
      <c r="C603" s="94"/>
      <c r="D603" s="94"/>
      <c r="E603" s="94"/>
      <c r="F603" s="94"/>
      <c r="G603" s="112">
        <f>AU603</f>
      </c>
      <c r="H603" s="113"/>
      <c r="I603" s="94" t="s">
        <v>83</v>
      </c>
      <c r="J603" s="94" t="s">
        <v>100</v>
      </c>
      <c r="K603" s="114">
        <f>P603/3</f>
      </c>
      <c r="L603" s="115">
        <v>750</v>
      </c>
      <c r="M603" s="116">
        <v>750</v>
      </c>
      <c r="N603" s="117">
        <f>M603-L603</f>
      </c>
      <c r="O603" s="112"/>
      <c r="P603" s="118">
        <f>N603+O603</f>
      </c>
      <c r="Q603" s="94" t="s">
        <v>85</v>
      </c>
      <c r="R603" s="94" t="s">
        <v>63</v>
      </c>
      <c r="S603" s="119">
        <v>46339</v>
      </c>
      <c r="T603" s="119"/>
      <c r="U603" s="119" t="s">
        <v>650</v>
      </c>
      <c r="V603" s="94"/>
      <c r="W603" s="94"/>
      <c r="X603" s="94"/>
      <c r="Y603" s="119">
        <v>46328</v>
      </c>
      <c r="Z603" s="94"/>
      <c r="AA603" s="120"/>
      <c r="AB603" s="120"/>
      <c r="AC603" s="120"/>
      <c r="AD603" s="120"/>
      <c r="AE603" s="120"/>
      <c r="AF603" s="120"/>
      <c r="AG603" s="94"/>
      <c r="AH603" s="120"/>
      <c r="AI603" s="94"/>
      <c r="AJ603" s="94" t="s">
        <v>86</v>
      </c>
      <c r="AK603" s="94" t="s">
        <v>101</v>
      </c>
      <c r="AL603" s="94">
        <v>160</v>
      </c>
      <c r="AM603" s="94" t="str">
        <f>TRIM(AJ603)&amp;TRIM(AL603)&amp;TRIM(AK603)</f>
      </c>
      <c r="AN603" s="116">
        <v>11844.86</v>
      </c>
      <c r="AO603" s="116">
        <v>20581.14</v>
      </c>
      <c r="AP603" s="116">
        <f>SUMIFS(M:M,AM:AM,AM603)+SUMIFS(O:O,AM:AM,AM603)</f>
      </c>
      <c r="AQ603" s="116">
        <f>SUMIFS(L:L,AM:AM,AM603)</f>
      </c>
      <c r="AR603" s="116">
        <f>AQ603-AP603</f>
      </c>
      <c r="AS603" s="94" t="str">
        <f>IF(AN603&gt;=AQ603,"ok","ck")</f>
      </c>
      <c r="AT603" s="116">
        <f>-P603</f>
      </c>
      <c r="AU603" s="115">
        <f>IF(SUMIFS(AT:AT,AM:AM,AM603)&gt;AO603,(SUMIFS(AT:AT,AM:AM,AM603)-AO603))</f>
      </c>
      <c r="AV603" s="116">
        <v>11844.86</v>
      </c>
      <c r="AW603" s="121">
        <v>0.365</v>
      </c>
      <c r="AX603" s="115">
        <f>AN603-AP603</f>
      </c>
    </row>
    <row r="604" spans="1:50" ht="15" hidden="1" customHeight="1" x14ac:dyDescent="0.3">
      <c r="A604" s="94" t="s">
        <v>82</v>
      </c>
      <c r="B604" s="94"/>
      <c r="C604" s="94"/>
      <c r="D604" s="94"/>
      <c r="E604" s="94"/>
      <c r="F604" s="94"/>
      <c r="G604" s="112">
        <f>AU604</f>
      </c>
      <c r="H604" s="113"/>
      <c r="I604" s="94" t="s">
        <v>83</v>
      </c>
      <c r="J604" s="94" t="s">
        <v>100</v>
      </c>
      <c r="K604" s="114">
        <f>P604/3</f>
      </c>
      <c r="L604" s="115">
        <v>750</v>
      </c>
      <c r="M604" s="116">
        <v>750</v>
      </c>
      <c r="N604" s="117">
        <f>M604-L604</f>
      </c>
      <c r="O604" s="112"/>
      <c r="P604" s="118">
        <f>N604+O604</f>
      </c>
      <c r="Q604" s="94" t="s">
        <v>85</v>
      </c>
      <c r="R604" s="94" t="s">
        <v>63</v>
      </c>
      <c r="S604" s="119">
        <v>46340</v>
      </c>
      <c r="T604" s="119"/>
      <c r="U604" s="120" t="s">
        <v>650</v>
      </c>
      <c r="V604" s="94"/>
      <c r="W604" s="94"/>
      <c r="X604" s="94"/>
      <c r="Y604" s="119">
        <v>46328</v>
      </c>
      <c r="Z604" s="94"/>
      <c r="AA604" s="120"/>
      <c r="AB604" s="120"/>
      <c r="AC604" s="120"/>
      <c r="AD604" s="120"/>
      <c r="AE604" s="120"/>
      <c r="AF604" s="120"/>
      <c r="AG604" s="94"/>
      <c r="AH604" s="120"/>
      <c r="AI604" s="94"/>
      <c r="AJ604" s="94" t="s">
        <v>86</v>
      </c>
      <c r="AK604" s="94" t="s">
        <v>101</v>
      </c>
      <c r="AL604" s="94">
        <v>160</v>
      </c>
      <c r="AM604" s="94" t="str">
        <f>TRIM(AJ604)&amp;TRIM(AL604)&amp;TRIM(AK604)</f>
      </c>
      <c r="AN604" s="116">
        <v>11844.86</v>
      </c>
      <c r="AO604" s="116">
        <v>20581.14</v>
      </c>
      <c r="AP604" s="116">
        <f>SUMIFS(M:M,AM:AM,AM604)+SUMIFS(O:O,AM:AM,AM604)</f>
      </c>
      <c r="AQ604" s="116">
        <f>SUMIFS(L:L,AM:AM,AM604)</f>
      </c>
      <c r="AR604" s="116">
        <f>AQ604-AP604</f>
      </c>
      <c r="AS604" s="94" t="str">
        <f>IF(AN604&gt;=AQ604,"ok","ck")</f>
      </c>
      <c r="AT604" s="116">
        <f>-P604</f>
      </c>
      <c r="AU604" s="115">
        <f>IF(SUMIFS(AT:AT,AM:AM,AM604)&gt;AO604,(SUMIFS(AT:AT,AM:AM,AM604)-AO604))</f>
      </c>
      <c r="AV604" s="116">
        <v>11844.86</v>
      </c>
      <c r="AW604" s="121">
        <v>0.365</v>
      </c>
      <c r="AX604" s="115">
        <f>AN604-AP604</f>
      </c>
    </row>
    <row r="605" spans="1:50" ht="15" hidden="1" customHeight="1" x14ac:dyDescent="0.3">
      <c r="A605" s="94" t="s">
        <v>82</v>
      </c>
      <c r="B605" s="94"/>
      <c r="C605" s="94"/>
      <c r="D605" s="94"/>
      <c r="E605" s="94"/>
      <c r="F605" s="94"/>
      <c r="G605" s="112">
        <f>AU605</f>
      </c>
      <c r="H605" s="113"/>
      <c r="I605" s="94" t="s">
        <v>83</v>
      </c>
      <c r="J605" s="94" t="s">
        <v>100</v>
      </c>
      <c r="K605" s="114">
        <f>P605/3</f>
      </c>
      <c r="L605" s="115">
        <v>750</v>
      </c>
      <c r="M605" s="116">
        <v>721.09</v>
      </c>
      <c r="N605" s="117">
        <f>M605-L605</f>
      </c>
      <c r="O605" s="112"/>
      <c r="P605" s="118">
        <f>N605+O605</f>
      </c>
      <c r="Q605" s="94" t="s">
        <v>85</v>
      </c>
      <c r="R605" s="94" t="s">
        <v>63</v>
      </c>
      <c r="S605" s="119">
        <v>46341</v>
      </c>
      <c r="T605" s="119"/>
      <c r="U605" s="120" t="s">
        <v>650</v>
      </c>
      <c r="V605" s="94"/>
      <c r="W605" s="94"/>
      <c r="X605" s="94"/>
      <c r="Y605" s="119">
        <v>46328</v>
      </c>
      <c r="Z605" s="94"/>
      <c r="AA605" s="120"/>
      <c r="AB605" s="120"/>
      <c r="AC605" s="120"/>
      <c r="AD605" s="120"/>
      <c r="AE605" s="120"/>
      <c r="AF605" s="120"/>
      <c r="AG605" s="94"/>
      <c r="AH605" s="120"/>
      <c r="AI605" s="94"/>
      <c r="AJ605" s="94" t="s">
        <v>86</v>
      </c>
      <c r="AK605" s="94" t="s">
        <v>101</v>
      </c>
      <c r="AL605" s="94">
        <v>160</v>
      </c>
      <c r="AM605" s="94" t="str">
        <f>TRIM(AJ605)&amp;TRIM(AL605)&amp;TRIM(AK605)</f>
      </c>
      <c r="AN605" s="116">
        <v>11844.86</v>
      </c>
      <c r="AO605" s="116">
        <v>20581.14</v>
      </c>
      <c r="AP605" s="116">
        <f>SUMIFS(M:M,AM:AM,AM605)+SUMIFS(O:O,AM:AM,AM605)</f>
      </c>
      <c r="AQ605" s="116">
        <f>SUMIFS(L:L,AM:AM,AM605)</f>
      </c>
      <c r="AR605" s="116">
        <f>AQ605-AP605</f>
      </c>
      <c r="AS605" s="94" t="str">
        <f>IF(AN605&gt;=AQ605,"ok","ck")</f>
      </c>
      <c r="AT605" s="116">
        <f>-P605</f>
      </c>
      <c r="AU605" s="115">
        <f>IF(SUMIFS(AT:AT,AM:AM,AM605)&gt;AO605,(SUMIFS(AT:AT,AM:AM,AM605)-AO605))</f>
      </c>
      <c r="AV605" s="116">
        <v>11844.86</v>
      </c>
      <c r="AW605" s="121">
        <v>0.365</v>
      </c>
      <c r="AX605" s="115">
        <f>AN605-AP605</f>
      </c>
    </row>
    <row r="606" spans="1:50" ht="15" hidden="1" customHeight="1" x14ac:dyDescent="0.3">
      <c r="A606" s="94" t="s">
        <v>82</v>
      </c>
      <c r="B606" s="94"/>
      <c r="C606" s="94"/>
      <c r="D606" s="94"/>
      <c r="E606" s="94"/>
      <c r="F606" s="94"/>
      <c r="G606" s="112">
        <f>AU606</f>
      </c>
      <c r="H606" s="113"/>
      <c r="I606" s="94" t="s">
        <v>83</v>
      </c>
      <c r="J606" s="94" t="s">
        <v>100</v>
      </c>
      <c r="K606" s="114">
        <f>P606/3</f>
      </c>
      <c r="L606" s="115">
        <v>750</v>
      </c>
      <c r="M606" s="116"/>
      <c r="N606" s="117">
        <f>M606-L606</f>
      </c>
      <c r="O606" s="112"/>
      <c r="P606" s="118">
        <f>N606+O606</f>
      </c>
      <c r="Q606" s="94" t="s">
        <v>85</v>
      </c>
      <c r="R606" s="94" t="s">
        <v>63</v>
      </c>
      <c r="S606" s="120">
        <v>46342</v>
      </c>
      <c r="T606" s="120"/>
      <c r="U606" s="120" t="s">
        <v>650</v>
      </c>
      <c r="V606" s="94"/>
      <c r="W606" s="94"/>
      <c r="X606" s="94"/>
      <c r="Y606" s="119">
        <v>46328</v>
      </c>
      <c r="Z606" s="94"/>
      <c r="AA606" s="120"/>
      <c r="AB606" s="120"/>
      <c r="AC606" s="120"/>
      <c r="AD606" s="120"/>
      <c r="AE606" s="120"/>
      <c r="AF606" s="120"/>
      <c r="AG606" s="94"/>
      <c r="AH606" s="120"/>
      <c r="AI606" s="94"/>
      <c r="AJ606" s="94" t="s">
        <v>86</v>
      </c>
      <c r="AK606" s="94" t="s">
        <v>101</v>
      </c>
      <c r="AL606" s="94">
        <v>160</v>
      </c>
      <c r="AM606" s="94" t="str">
        <f>TRIM(AJ606)&amp;TRIM(AL606)&amp;TRIM(AK606)</f>
      </c>
      <c r="AN606" s="116">
        <v>11844.86</v>
      </c>
      <c r="AO606" s="116">
        <v>20581.14</v>
      </c>
      <c r="AP606" s="116">
        <f>SUMIFS(M:M,AM:AM,AM606)+SUMIFS(O:O,AM:AM,AM606)</f>
      </c>
      <c r="AQ606" s="116">
        <f>SUMIFS(L:L,AM:AM,AM606)</f>
      </c>
      <c r="AR606" s="116">
        <f>AQ606-AP606</f>
      </c>
      <c r="AS606" s="94" t="str">
        <f>IF(AN606&gt;=AQ606,"ok","ck")</f>
      </c>
      <c r="AT606" s="116">
        <f>-P606</f>
      </c>
      <c r="AU606" s="115">
        <f>IF(SUMIFS(AT:AT,AM:AM,AM606)&gt;AO606,(SUMIFS(AT:AT,AM:AM,AM606)-AO606))</f>
      </c>
      <c r="AV606" s="116">
        <v>11844.86</v>
      </c>
      <c r="AW606" s="121">
        <v>0.365</v>
      </c>
      <c r="AX606" s="115">
        <f>AN606-AP606</f>
      </c>
    </row>
    <row r="607" spans="1:50" ht="15" hidden="1" customHeight="1" x14ac:dyDescent="0.3">
      <c r="A607" s="94" t="s">
        <v>82</v>
      </c>
      <c r="B607" s="94"/>
      <c r="C607" s="94"/>
      <c r="D607" s="94"/>
      <c r="E607" s="94"/>
      <c r="F607" s="94"/>
      <c r="G607" s="112">
        <f>AU607</f>
      </c>
      <c r="H607" s="113"/>
      <c r="I607" s="94" t="s">
        <v>83</v>
      </c>
      <c r="J607" s="94" t="s">
        <v>100</v>
      </c>
      <c r="K607" s="114">
        <f>P607/3</f>
      </c>
      <c r="L607" s="115">
        <v>750</v>
      </c>
      <c r="M607" s="116"/>
      <c r="N607" s="117">
        <f>M607-L607</f>
      </c>
      <c r="O607" s="112"/>
      <c r="P607" s="118">
        <f>N607+O607</f>
      </c>
      <c r="Q607" s="94" t="s">
        <v>85</v>
      </c>
      <c r="R607" s="94" t="s">
        <v>63</v>
      </c>
      <c r="S607" s="120">
        <v>46343</v>
      </c>
      <c r="T607" s="120"/>
      <c r="U607" s="120" t="s">
        <v>650</v>
      </c>
      <c r="V607" s="94"/>
      <c r="W607" s="94"/>
      <c r="X607" s="94"/>
      <c r="Y607" s="119">
        <v>46331</v>
      </c>
      <c r="Z607" s="94"/>
      <c r="AA607" s="120"/>
      <c r="AB607" s="120"/>
      <c r="AC607" s="120"/>
      <c r="AD607" s="120"/>
      <c r="AE607" s="120"/>
      <c r="AF607" s="120"/>
      <c r="AG607" s="94"/>
      <c r="AH607" s="120"/>
      <c r="AI607" s="94"/>
      <c r="AJ607" s="94" t="s">
        <v>86</v>
      </c>
      <c r="AK607" s="94" t="s">
        <v>101</v>
      </c>
      <c r="AL607" s="94">
        <v>160</v>
      </c>
      <c r="AM607" s="94" t="str">
        <f>TRIM(AJ607)&amp;TRIM(AL607)&amp;TRIM(AK607)</f>
      </c>
      <c r="AN607" s="116">
        <v>11844.86</v>
      </c>
      <c r="AO607" s="116">
        <v>20581.14</v>
      </c>
      <c r="AP607" s="116">
        <f>SUMIFS(M:M,AM:AM,AM607)+SUMIFS(O:O,AM:AM,AM607)</f>
      </c>
      <c r="AQ607" s="116">
        <f>SUMIFS(L:L,AM:AM,AM607)</f>
      </c>
      <c r="AR607" s="116">
        <f>AQ607-AP607</f>
      </c>
      <c r="AS607" s="94" t="str">
        <f>IF(AN607&gt;=AQ607,"ok","ck")</f>
      </c>
      <c r="AT607" s="116">
        <f>-P607</f>
      </c>
      <c r="AU607" s="115">
        <f>IF(SUMIFS(AT:AT,AM:AM,AM607)&gt;AO607,(SUMIFS(AT:AT,AM:AM,AM607)-AO607))</f>
      </c>
      <c r="AV607" s="116">
        <v>11844.86</v>
      </c>
      <c r="AW607" s="121">
        <v>0.365</v>
      </c>
      <c r="AX607" s="115">
        <f>AN607-AP607</f>
      </c>
    </row>
    <row r="608" spans="1:50" ht="15" hidden="1" customHeight="1" x14ac:dyDescent="0.3">
      <c r="A608" s="94" t="s">
        <v>82</v>
      </c>
      <c r="B608" s="94"/>
      <c r="C608" s="94"/>
      <c r="D608" s="94"/>
      <c r="E608" s="94"/>
      <c r="F608" s="94"/>
      <c r="G608" s="112">
        <f>AU608</f>
      </c>
      <c r="H608" s="113"/>
      <c r="I608" s="94" t="s">
        <v>83</v>
      </c>
      <c r="J608" s="94" t="s">
        <v>100</v>
      </c>
      <c r="K608" s="114">
        <f>P608/3</f>
      </c>
      <c r="L608" s="115">
        <v>750</v>
      </c>
      <c r="M608" s="116"/>
      <c r="N608" s="117">
        <f>M608-L608</f>
      </c>
      <c r="O608" s="112"/>
      <c r="P608" s="118">
        <f>N608+O608</f>
      </c>
      <c r="Q608" s="94" t="s">
        <v>85</v>
      </c>
      <c r="R608" s="94" t="s">
        <v>63</v>
      </c>
      <c r="S608" s="120">
        <v>46344</v>
      </c>
      <c r="T608" s="120"/>
      <c r="U608" s="120" t="s">
        <v>650</v>
      </c>
      <c r="V608" s="94"/>
      <c r="W608" s="94"/>
      <c r="X608" s="94"/>
      <c r="Y608" s="119">
        <v>46331</v>
      </c>
      <c r="Z608" s="94"/>
      <c r="AA608" s="120"/>
      <c r="AB608" s="120"/>
      <c r="AC608" s="120"/>
      <c r="AD608" s="120"/>
      <c r="AE608" s="120"/>
      <c r="AF608" s="120"/>
      <c r="AG608" s="94"/>
      <c r="AH608" s="120"/>
      <c r="AI608" s="94"/>
      <c r="AJ608" s="94" t="s">
        <v>86</v>
      </c>
      <c r="AK608" s="94" t="s">
        <v>101</v>
      </c>
      <c r="AL608" s="94">
        <v>160</v>
      </c>
      <c r="AM608" s="94" t="str">
        <f>TRIM(AJ608)&amp;TRIM(AL608)&amp;TRIM(AK608)</f>
      </c>
      <c r="AN608" s="116">
        <v>11844.86</v>
      </c>
      <c r="AO608" s="116">
        <v>20581.14</v>
      </c>
      <c r="AP608" s="116">
        <f>SUMIFS(M:M,AM:AM,AM608)+SUMIFS(O:O,AM:AM,AM608)</f>
      </c>
      <c r="AQ608" s="116">
        <f>SUMIFS(L:L,AM:AM,AM608)</f>
      </c>
      <c r="AR608" s="116">
        <f>AQ608-AP608</f>
      </c>
      <c r="AS608" s="94" t="str">
        <f>IF(AN608&gt;=AQ608,"ok","ck")</f>
      </c>
      <c r="AT608" s="116">
        <f>-P608</f>
      </c>
      <c r="AU608" s="115">
        <f>IF(SUMIFS(AT:AT,AM:AM,AM608)&gt;AO608,(SUMIFS(AT:AT,AM:AM,AM608)-AO608))</f>
      </c>
      <c r="AV608" s="116">
        <v>11844.86</v>
      </c>
      <c r="AW608" s="121">
        <v>0.365</v>
      </c>
      <c r="AX608" s="115">
        <f>AN608-AP608</f>
      </c>
    </row>
    <row r="609" spans="1:50" ht="15" hidden="1" customHeight="1" x14ac:dyDescent="0.3">
      <c r="A609" s="94" t="s">
        <v>82</v>
      </c>
      <c r="B609" s="94"/>
      <c r="C609" s="94"/>
      <c r="D609" s="94"/>
      <c r="E609" s="94"/>
      <c r="F609" s="94"/>
      <c r="G609" s="112">
        <f>AU609</f>
      </c>
      <c r="H609" s="113"/>
      <c r="I609" s="94" t="s">
        <v>83</v>
      </c>
      <c r="J609" s="94" t="s">
        <v>100</v>
      </c>
      <c r="K609" s="114">
        <f>P609/3</f>
      </c>
      <c r="L609" s="115">
        <v>750</v>
      </c>
      <c r="M609" s="116"/>
      <c r="N609" s="117">
        <f>M609-L609</f>
      </c>
      <c r="O609" s="112"/>
      <c r="P609" s="118">
        <f>N609+O609</f>
      </c>
      <c r="Q609" s="94" t="s">
        <v>85</v>
      </c>
      <c r="R609" s="94" t="s">
        <v>63</v>
      </c>
      <c r="S609" s="120">
        <v>46345</v>
      </c>
      <c r="T609" s="120"/>
      <c r="U609" s="120" t="s">
        <v>650</v>
      </c>
      <c r="V609" s="94"/>
      <c r="W609" s="94"/>
      <c r="X609" s="94"/>
      <c r="Y609" s="119">
        <v>46331</v>
      </c>
      <c r="Z609" s="94"/>
      <c r="AA609" s="120"/>
      <c r="AB609" s="120"/>
      <c r="AC609" s="120"/>
      <c r="AD609" s="120"/>
      <c r="AE609" s="120"/>
      <c r="AF609" s="120"/>
      <c r="AG609" s="94"/>
      <c r="AH609" s="120"/>
      <c r="AI609" s="94"/>
      <c r="AJ609" s="94" t="s">
        <v>86</v>
      </c>
      <c r="AK609" s="94" t="s">
        <v>101</v>
      </c>
      <c r="AL609" s="94">
        <v>160</v>
      </c>
      <c r="AM609" s="94" t="str">
        <f>TRIM(AJ609)&amp;TRIM(AL609)&amp;TRIM(AK609)</f>
      </c>
      <c r="AN609" s="116">
        <v>11844.86</v>
      </c>
      <c r="AO609" s="116">
        <v>20581.14</v>
      </c>
      <c r="AP609" s="116">
        <f>SUMIFS(M:M,AM:AM,AM609)+SUMIFS(O:O,AM:AM,AM609)</f>
      </c>
      <c r="AQ609" s="116">
        <f>SUMIFS(L:L,AM:AM,AM609)</f>
      </c>
      <c r="AR609" s="116">
        <f>AQ609-AP609</f>
      </c>
      <c r="AS609" s="94" t="str">
        <f>IF(AN609&gt;=AQ609,"ok","ck")</f>
      </c>
      <c r="AT609" s="116">
        <f>-P609</f>
      </c>
      <c r="AU609" s="115">
        <f>IF(SUMIFS(AT:AT,AM:AM,AM609)&gt;AO609,(SUMIFS(AT:AT,AM:AM,AM609)-AO609))</f>
      </c>
      <c r="AV609" s="116">
        <v>11844.86</v>
      </c>
      <c r="AW609" s="121">
        <v>0.365</v>
      </c>
      <c r="AX609" s="115">
        <f>AN609-AP609</f>
      </c>
    </row>
    <row r="610" spans="1:50" ht="15" hidden="1" customHeight="1" x14ac:dyDescent="0.3">
      <c r="A610" s="94" t="s">
        <v>82</v>
      </c>
      <c r="B610" s="94"/>
      <c r="C610" s="94"/>
      <c r="D610" s="94"/>
      <c r="E610" s="94"/>
      <c r="F610" s="94"/>
      <c r="G610" s="112">
        <f>AU610</f>
      </c>
      <c r="H610" s="113"/>
      <c r="I610" s="94" t="s">
        <v>83</v>
      </c>
      <c r="J610" s="94" t="s">
        <v>100</v>
      </c>
      <c r="K610" s="114">
        <f>P610/3</f>
      </c>
      <c r="L610" s="115">
        <v>750</v>
      </c>
      <c r="M610" s="116"/>
      <c r="N610" s="117">
        <f>M610-L610</f>
      </c>
      <c r="O610" s="112"/>
      <c r="P610" s="118">
        <f>N610+O610</f>
      </c>
      <c r="Q610" s="94" t="s">
        <v>85</v>
      </c>
      <c r="R610" s="94" t="s">
        <v>63</v>
      </c>
      <c r="S610" s="120">
        <v>46346</v>
      </c>
      <c r="T610" s="120"/>
      <c r="U610" s="120" t="s">
        <v>650</v>
      </c>
      <c r="V610" s="94"/>
      <c r="W610" s="94"/>
      <c r="X610" s="94"/>
      <c r="Y610" s="119">
        <v>46331</v>
      </c>
      <c r="Z610" s="94"/>
      <c r="AA610" s="120"/>
      <c r="AB610" s="120"/>
      <c r="AC610" s="120"/>
      <c r="AD610" s="120"/>
      <c r="AE610" s="120"/>
      <c r="AF610" s="120"/>
      <c r="AG610" s="94"/>
      <c r="AH610" s="120"/>
      <c r="AI610" s="94"/>
      <c r="AJ610" s="94" t="s">
        <v>86</v>
      </c>
      <c r="AK610" s="94" t="s">
        <v>101</v>
      </c>
      <c r="AL610" s="94">
        <v>160</v>
      </c>
      <c r="AM610" s="94" t="str">
        <f>TRIM(AJ610)&amp;TRIM(AL610)&amp;TRIM(AK610)</f>
      </c>
      <c r="AN610" s="116">
        <v>11844.86</v>
      </c>
      <c r="AO610" s="116">
        <v>20581.14</v>
      </c>
      <c r="AP610" s="116">
        <f>SUMIFS(M:M,AM:AM,AM610)+SUMIFS(O:O,AM:AM,AM610)</f>
      </c>
      <c r="AQ610" s="116">
        <f>SUMIFS(L:L,AM:AM,AM610)</f>
      </c>
      <c r="AR610" s="116">
        <f>AQ610-AP610</f>
      </c>
      <c r="AS610" s="94" t="str">
        <f>IF(AN610&gt;=AQ610,"ok","ck")</f>
      </c>
      <c r="AT610" s="116">
        <f>-P610</f>
      </c>
      <c r="AU610" s="115">
        <f>IF(SUMIFS(AT:AT,AM:AM,AM610)&gt;AO610,(SUMIFS(AT:AT,AM:AM,AM610)-AO610))</f>
      </c>
      <c r="AV610" s="116">
        <v>11844.86</v>
      </c>
      <c r="AW610" s="121">
        <v>0.365</v>
      </c>
      <c r="AX610" s="115">
        <f>AN610-AP610</f>
      </c>
    </row>
    <row r="611" spans="1:50" ht="15" hidden="1" customHeight="1" x14ac:dyDescent="0.3">
      <c r="A611" s="94" t="s">
        <v>82</v>
      </c>
      <c r="B611" s="94"/>
      <c r="C611" s="94"/>
      <c r="D611" s="94"/>
      <c r="E611" s="94"/>
      <c r="F611" s="94"/>
      <c r="G611" s="112">
        <f>AU611</f>
      </c>
      <c r="H611" s="113"/>
      <c r="I611" s="94" t="s">
        <v>83</v>
      </c>
      <c r="J611" s="94" t="s">
        <v>100</v>
      </c>
      <c r="K611" s="114">
        <f>P611/3</f>
      </c>
      <c r="L611" s="115">
        <v>750</v>
      </c>
      <c r="M611" s="116"/>
      <c r="N611" s="117">
        <f>M611-L611</f>
      </c>
      <c r="O611" s="112"/>
      <c r="P611" s="118">
        <f>N611+O611</f>
      </c>
      <c r="Q611" s="94" t="s">
        <v>85</v>
      </c>
      <c r="R611" s="94" t="s">
        <v>63</v>
      </c>
      <c r="S611" s="120">
        <v>46347</v>
      </c>
      <c r="T611" s="120"/>
      <c r="U611" s="120" t="s">
        <v>650</v>
      </c>
      <c r="V611" s="94"/>
      <c r="W611" s="94"/>
      <c r="X611" s="94"/>
      <c r="Y611" s="119">
        <v>46331</v>
      </c>
      <c r="Z611" s="94"/>
      <c r="AA611" s="120"/>
      <c r="AB611" s="120"/>
      <c r="AC611" s="120"/>
      <c r="AD611" s="120"/>
      <c r="AE611" s="120"/>
      <c r="AF611" s="120"/>
      <c r="AG611" s="94"/>
      <c r="AH611" s="120"/>
      <c r="AI611" s="94"/>
      <c r="AJ611" s="94" t="s">
        <v>86</v>
      </c>
      <c r="AK611" s="94" t="s">
        <v>101</v>
      </c>
      <c r="AL611" s="94">
        <v>160</v>
      </c>
      <c r="AM611" s="94" t="str">
        <f>TRIM(AJ611)&amp;TRIM(AL611)&amp;TRIM(AK611)</f>
      </c>
      <c r="AN611" s="116">
        <v>11844.86</v>
      </c>
      <c r="AO611" s="116">
        <v>20581.14</v>
      </c>
      <c r="AP611" s="116">
        <f>SUMIFS(M:M,AM:AM,AM611)+SUMIFS(O:O,AM:AM,AM611)</f>
      </c>
      <c r="AQ611" s="116">
        <f>SUMIFS(L:L,AM:AM,AM611)</f>
      </c>
      <c r="AR611" s="116">
        <f>AQ611-AP611</f>
      </c>
      <c r="AS611" s="94" t="str">
        <f>IF(AN611&gt;=AQ611,"ok","ck")</f>
      </c>
      <c r="AT611" s="116">
        <f>-P611</f>
      </c>
      <c r="AU611" s="115">
        <f>IF(SUMIFS(AT:AT,AM:AM,AM611)&gt;AO611,(SUMIFS(AT:AT,AM:AM,AM611)-AO611))</f>
      </c>
      <c r="AV611" s="116">
        <v>11844.86</v>
      </c>
      <c r="AW611" s="121">
        <v>0.365</v>
      </c>
      <c r="AX611" s="115">
        <f>AN611-AP611</f>
      </c>
    </row>
    <row r="612" spans="1:50" ht="15" hidden="1" customHeight="1" x14ac:dyDescent="0.3">
      <c r="A612" s="94" t="s">
        <v>82</v>
      </c>
      <c r="B612" s="94"/>
      <c r="C612" s="94"/>
      <c r="D612" s="94"/>
      <c r="E612" s="94"/>
      <c r="F612" s="94"/>
      <c r="G612" s="112">
        <f>AU612</f>
      </c>
      <c r="H612" s="113"/>
      <c r="I612" s="94" t="s">
        <v>83</v>
      </c>
      <c r="J612" s="94" t="s">
        <v>100</v>
      </c>
      <c r="K612" s="114">
        <f>P612/3</f>
      </c>
      <c r="L612" s="115">
        <v>750</v>
      </c>
      <c r="M612" s="116"/>
      <c r="N612" s="117">
        <f>M612-L612</f>
      </c>
      <c r="O612" s="112"/>
      <c r="P612" s="118">
        <f>N612+O612</f>
      </c>
      <c r="Q612" s="94" t="s">
        <v>85</v>
      </c>
      <c r="R612" s="94" t="s">
        <v>63</v>
      </c>
      <c r="S612" s="120">
        <v>46348</v>
      </c>
      <c r="T612" s="120"/>
      <c r="U612" s="120" t="s">
        <v>650</v>
      </c>
      <c r="V612" s="94"/>
      <c r="W612" s="94"/>
      <c r="X612" s="94"/>
      <c r="Y612" s="119">
        <v>46331</v>
      </c>
      <c r="Z612" s="94"/>
      <c r="AA612" s="120"/>
      <c r="AB612" s="120"/>
      <c r="AC612" s="120"/>
      <c r="AD612" s="120"/>
      <c r="AE612" s="120"/>
      <c r="AF612" s="120"/>
      <c r="AG612" s="94"/>
      <c r="AH612" s="120"/>
      <c r="AI612" s="94"/>
      <c r="AJ612" s="94" t="s">
        <v>86</v>
      </c>
      <c r="AK612" s="94" t="s">
        <v>101</v>
      </c>
      <c r="AL612" s="94">
        <v>160</v>
      </c>
      <c r="AM612" s="94" t="str">
        <f>TRIM(AJ612)&amp;TRIM(AL612)&amp;TRIM(AK612)</f>
      </c>
      <c r="AN612" s="116">
        <v>11844.86</v>
      </c>
      <c r="AO612" s="116">
        <v>20581.14</v>
      </c>
      <c r="AP612" s="116">
        <f>SUMIFS(M:M,AM:AM,AM612)+SUMIFS(O:O,AM:AM,AM612)</f>
      </c>
      <c r="AQ612" s="116">
        <f>SUMIFS(L:L,AM:AM,AM612)</f>
      </c>
      <c r="AR612" s="116">
        <f>AQ612-AP612</f>
      </c>
      <c r="AS612" s="94" t="str">
        <f>IF(AN612&gt;=AQ612,"ok","ck")</f>
      </c>
      <c r="AT612" s="116">
        <f>-P612</f>
      </c>
      <c r="AU612" s="115">
        <f>IF(SUMIFS(AT:AT,AM:AM,AM612)&gt;AO612,(SUMIFS(AT:AT,AM:AM,AM612)-AO612))</f>
      </c>
      <c r="AV612" s="116">
        <v>11844.86</v>
      </c>
      <c r="AW612" s="121">
        <v>0.365</v>
      </c>
      <c r="AX612" s="115">
        <f>AN612-AP612</f>
      </c>
    </row>
    <row r="613" spans="1:50" ht="15" hidden="1" customHeight="1" x14ac:dyDescent="0.3">
      <c r="A613" s="94" t="s">
        <v>82</v>
      </c>
      <c r="B613" s="94"/>
      <c r="C613" s="94"/>
      <c r="D613" s="94"/>
      <c r="E613" s="94"/>
      <c r="F613" s="94"/>
      <c r="G613" s="112">
        <f>AU613</f>
      </c>
      <c r="H613" s="113"/>
      <c r="I613" s="94" t="s">
        <v>83</v>
      </c>
      <c r="J613" s="94" t="s">
        <v>100</v>
      </c>
      <c r="K613" s="114">
        <f>P613/3</f>
      </c>
      <c r="L613" s="115">
        <v>750</v>
      </c>
      <c r="M613" s="116"/>
      <c r="N613" s="117">
        <f>M613-L613</f>
      </c>
      <c r="O613" s="112"/>
      <c r="P613" s="118">
        <f>N613+O613</f>
      </c>
      <c r="Q613" s="94" t="s">
        <v>85</v>
      </c>
      <c r="R613" s="94" t="s">
        <v>63</v>
      </c>
      <c r="S613" s="119">
        <v>46349</v>
      </c>
      <c r="T613" s="119"/>
      <c r="U613" s="119" t="s">
        <v>650</v>
      </c>
      <c r="V613" s="94"/>
      <c r="W613" s="94"/>
      <c r="X613" s="94"/>
      <c r="Y613" s="119">
        <v>46331</v>
      </c>
      <c r="Z613" s="94"/>
      <c r="AA613" s="120"/>
      <c r="AB613" s="120"/>
      <c r="AC613" s="120"/>
      <c r="AD613" s="120"/>
      <c r="AE613" s="120"/>
      <c r="AF613" s="120"/>
      <c r="AG613" s="94"/>
      <c r="AH613" s="120"/>
      <c r="AI613" s="94"/>
      <c r="AJ613" s="94" t="s">
        <v>86</v>
      </c>
      <c r="AK613" s="94" t="s">
        <v>101</v>
      </c>
      <c r="AL613" s="94">
        <v>160</v>
      </c>
      <c r="AM613" s="94" t="str">
        <f>TRIM(AJ613)&amp;TRIM(AL613)&amp;TRIM(AK613)</f>
      </c>
      <c r="AN613" s="116">
        <v>11844.86</v>
      </c>
      <c r="AO613" s="116">
        <v>20581.14</v>
      </c>
      <c r="AP613" s="116">
        <f>SUMIFS(M:M,AM:AM,AM613)+SUMIFS(O:O,AM:AM,AM613)</f>
      </c>
      <c r="AQ613" s="116">
        <f>SUMIFS(L:L,AM:AM,AM613)</f>
      </c>
      <c r="AR613" s="116">
        <f>AQ613-AP613</f>
      </c>
      <c r="AS613" s="94" t="str">
        <f>IF(AN613&gt;=AQ613,"ok","ck")</f>
      </c>
      <c r="AT613" s="116">
        <f>-P613</f>
      </c>
      <c r="AU613" s="115">
        <f>IF(SUMIFS(AT:AT,AM:AM,AM613)&gt;AO613,(SUMIFS(AT:AT,AM:AM,AM613)-AO613))</f>
      </c>
      <c r="AV613" s="116">
        <v>11844.86</v>
      </c>
      <c r="AW613" s="121">
        <v>0.365</v>
      </c>
      <c r="AX613" s="115">
        <f>AN613-AP613</f>
      </c>
    </row>
    <row r="614" spans="1:50" ht="15" hidden="1" customHeight="1" x14ac:dyDescent="0.3">
      <c r="A614" s="94" t="s">
        <v>82</v>
      </c>
      <c r="B614" s="94"/>
      <c r="C614" s="94"/>
      <c r="D614" s="94"/>
      <c r="E614" s="94"/>
      <c r="F614" s="94"/>
      <c r="G614" s="112">
        <f>AU614</f>
      </c>
      <c r="H614" s="113"/>
      <c r="I614" s="94" t="s">
        <v>83</v>
      </c>
      <c r="J614" s="94" t="s">
        <v>100</v>
      </c>
      <c r="K614" s="114">
        <f>P614/3</f>
      </c>
      <c r="L614" s="115">
        <v>750</v>
      </c>
      <c r="M614" s="116"/>
      <c r="N614" s="117">
        <f>M614-L614</f>
      </c>
      <c r="O614" s="112"/>
      <c r="P614" s="118">
        <f>N614+O614</f>
      </c>
      <c r="Q614" s="94" t="s">
        <v>85</v>
      </c>
      <c r="R614" s="94" t="s">
        <v>63</v>
      </c>
      <c r="S614" s="119">
        <v>46350</v>
      </c>
      <c r="T614" s="119"/>
      <c r="U614" s="119" t="s">
        <v>650</v>
      </c>
      <c r="V614" s="94"/>
      <c r="W614" s="94"/>
      <c r="X614" s="94"/>
      <c r="Y614" s="119">
        <v>46331</v>
      </c>
      <c r="Z614" s="94"/>
      <c r="AA614" s="120"/>
      <c r="AB614" s="120"/>
      <c r="AC614" s="120"/>
      <c r="AD614" s="120"/>
      <c r="AE614" s="120"/>
      <c r="AF614" s="120"/>
      <c r="AG614" s="94"/>
      <c r="AH614" s="120"/>
      <c r="AI614" s="94"/>
      <c r="AJ614" s="94" t="s">
        <v>86</v>
      </c>
      <c r="AK614" s="94" t="s">
        <v>101</v>
      </c>
      <c r="AL614" s="94">
        <v>160</v>
      </c>
      <c r="AM614" s="94" t="str">
        <f>TRIM(AJ614)&amp;TRIM(AL614)&amp;TRIM(AK614)</f>
      </c>
      <c r="AN614" s="116">
        <v>11844.86</v>
      </c>
      <c r="AO614" s="116">
        <v>20581.14</v>
      </c>
      <c r="AP614" s="116">
        <f>SUMIFS(M:M,AM:AM,AM614)+SUMIFS(O:O,AM:AM,AM614)</f>
      </c>
      <c r="AQ614" s="116">
        <f>SUMIFS(L:L,AM:AM,AM614)</f>
      </c>
      <c r="AR614" s="116">
        <f>AQ614-AP614</f>
      </c>
      <c r="AS614" s="94" t="str">
        <f>IF(AN614&gt;=AQ614,"ok","ck")</f>
      </c>
      <c r="AT614" s="116">
        <f>-P614</f>
      </c>
      <c r="AU614" s="115">
        <f>IF(SUMIFS(AT:AT,AM:AM,AM614)&gt;AO614,(SUMIFS(AT:AT,AM:AM,AM614)-AO614))</f>
      </c>
      <c r="AV614" s="116">
        <v>11844.86</v>
      </c>
      <c r="AW614" s="121">
        <v>0.365</v>
      </c>
      <c r="AX614" s="115">
        <f>AN614-AP614</f>
      </c>
    </row>
    <row r="615" spans="1:50" ht="15" hidden="1" customHeight="1" x14ac:dyDescent="0.3">
      <c r="A615" s="94" t="s">
        <v>82</v>
      </c>
      <c r="B615" s="94"/>
      <c r="C615" s="94"/>
      <c r="D615" s="94"/>
      <c r="E615" s="94"/>
      <c r="F615" s="94"/>
      <c r="G615" s="112">
        <f>AU615</f>
      </c>
      <c r="H615" s="113"/>
      <c r="I615" s="94" t="s">
        <v>83</v>
      </c>
      <c r="J615" s="94" t="s">
        <v>100</v>
      </c>
      <c r="K615" s="114">
        <f>P615/3</f>
      </c>
      <c r="L615" s="115">
        <v>750</v>
      </c>
      <c r="M615" s="116"/>
      <c r="N615" s="117">
        <f>M615-L615</f>
      </c>
      <c r="O615" s="112"/>
      <c r="P615" s="118">
        <f>N615+O615</f>
      </c>
      <c r="Q615" s="94" t="s">
        <v>85</v>
      </c>
      <c r="R615" s="94" t="s">
        <v>63</v>
      </c>
      <c r="S615" s="119">
        <v>46351</v>
      </c>
      <c r="T615" s="119"/>
      <c r="U615" s="119" t="s">
        <v>650</v>
      </c>
      <c r="V615" s="94"/>
      <c r="W615" s="94"/>
      <c r="X615" s="94"/>
      <c r="Y615" s="119">
        <v>46331</v>
      </c>
      <c r="Z615" s="94"/>
      <c r="AA615" s="120"/>
      <c r="AB615" s="120"/>
      <c r="AC615" s="120"/>
      <c r="AD615" s="120"/>
      <c r="AE615" s="120"/>
      <c r="AF615" s="120"/>
      <c r="AG615" s="94"/>
      <c r="AH615" s="120"/>
      <c r="AI615" s="94"/>
      <c r="AJ615" s="94" t="s">
        <v>86</v>
      </c>
      <c r="AK615" s="94" t="s">
        <v>101</v>
      </c>
      <c r="AL615" s="94">
        <v>160</v>
      </c>
      <c r="AM615" s="94" t="str">
        <f>TRIM(AJ615)&amp;TRIM(AL615)&amp;TRIM(AK615)</f>
      </c>
      <c r="AN615" s="116">
        <v>11844.86</v>
      </c>
      <c r="AO615" s="116">
        <v>20581.14</v>
      </c>
      <c r="AP615" s="116">
        <f>SUMIFS(M:M,AM:AM,AM615)+SUMIFS(O:O,AM:AM,AM615)</f>
      </c>
      <c r="AQ615" s="116">
        <f>SUMIFS(L:L,AM:AM,AM615)</f>
      </c>
      <c r="AR615" s="116">
        <f>AQ615-AP615</f>
      </c>
      <c r="AS615" s="94" t="str">
        <f>IF(AN615&gt;=AQ615,"ok","ck")</f>
      </c>
      <c r="AT615" s="116">
        <f>-P615</f>
      </c>
      <c r="AU615" s="115">
        <f>IF(SUMIFS(AT:AT,AM:AM,AM615)&gt;AO615,(SUMIFS(AT:AT,AM:AM,AM615)-AO615))</f>
      </c>
      <c r="AV615" s="116">
        <v>11844.86</v>
      </c>
      <c r="AW615" s="121">
        <v>0.365</v>
      </c>
      <c r="AX615" s="115">
        <f>AN615-AP615</f>
      </c>
    </row>
    <row r="616" spans="1:50" ht="15" hidden="1" customHeight="1" x14ac:dyDescent="0.3">
      <c r="A616" s="94" t="s">
        <v>82</v>
      </c>
      <c r="B616" s="94"/>
      <c r="C616" s="94"/>
      <c r="D616" s="94"/>
      <c r="E616" s="94"/>
      <c r="F616" s="94"/>
      <c r="G616" s="112">
        <f>AU616</f>
      </c>
      <c r="H616" s="113"/>
      <c r="I616" s="94" t="s">
        <v>83</v>
      </c>
      <c r="J616" s="94" t="s">
        <v>100</v>
      </c>
      <c r="K616" s="114">
        <f>P616/3</f>
      </c>
      <c r="L616" s="115">
        <v>13052.23</v>
      </c>
      <c r="M616" s="116"/>
      <c r="N616" s="117">
        <f>M616-L616</f>
      </c>
      <c r="O616" s="112"/>
      <c r="P616" s="118">
        <f>N616+O616</f>
      </c>
      <c r="Q616" s="94" t="s">
        <v>85</v>
      </c>
      <c r="R616" s="94" t="s">
        <v>63</v>
      </c>
      <c r="S616" s="119">
        <v>46352</v>
      </c>
      <c r="T616" s="119"/>
      <c r="U616" s="119" t="s">
        <v>650</v>
      </c>
      <c r="V616" s="94"/>
      <c r="W616" s="94"/>
      <c r="X616" s="94"/>
      <c r="Y616" s="119">
        <v>46331</v>
      </c>
      <c r="Z616" s="94"/>
      <c r="AA616" s="120"/>
      <c r="AB616" s="120"/>
      <c r="AC616" s="120"/>
      <c r="AD616" s="120"/>
      <c r="AE616" s="120"/>
      <c r="AF616" s="120"/>
      <c r="AG616" s="94"/>
      <c r="AH616" s="120"/>
      <c r="AI616" s="94"/>
      <c r="AJ616" s="94" t="s">
        <v>86</v>
      </c>
      <c r="AK616" s="94" t="s">
        <v>101</v>
      </c>
      <c r="AL616" s="94">
        <v>160</v>
      </c>
      <c r="AM616" s="94" t="str">
        <f>TRIM(AJ616)&amp;TRIM(AL616)&amp;TRIM(AK616)</f>
      </c>
      <c r="AN616" s="116">
        <v>11844.86</v>
      </c>
      <c r="AO616" s="116">
        <v>20581.14</v>
      </c>
      <c r="AP616" s="116">
        <f>SUMIFS(M:M,AM:AM,AM616)+SUMIFS(O:O,AM:AM,AM616)</f>
      </c>
      <c r="AQ616" s="116">
        <f>SUMIFS(L:L,AM:AM,AM616)</f>
      </c>
      <c r="AR616" s="116">
        <f>AQ616-AP616</f>
      </c>
      <c r="AS616" s="94" t="str">
        <f>IF(AN616&gt;=AQ616,"ok","ck")</f>
      </c>
      <c r="AT616" s="116">
        <f>-P616</f>
      </c>
      <c r="AU616" s="115">
        <f>IF(SUMIFS(AT:AT,AM:AM,AM616)&gt;AO616,(SUMIFS(AT:AT,AM:AM,AM616)-AO616))</f>
      </c>
      <c r="AV616" s="116">
        <v>11844.86</v>
      </c>
      <c r="AW616" s="121">
        <v>0.365</v>
      </c>
      <c r="AX616" s="115">
        <f>AN616-AP616</f>
      </c>
    </row>
    <row r="617" spans="1:50" ht="15" hidden="1" customHeight="1" x14ac:dyDescent="0.3">
      <c r="A617" s="94" t="s">
        <v>268</v>
      </c>
      <c r="B617" s="94"/>
      <c r="C617" s="94"/>
      <c r="D617" s="94"/>
      <c r="E617" s="94"/>
      <c r="F617" s="94"/>
      <c r="G617" s="112">
        <f>AU617</f>
      </c>
      <c r="H617" s="113"/>
      <c r="I617" s="94" t="s">
        <v>278</v>
      </c>
      <c r="J617" s="94" t="s">
        <v>326</v>
      </c>
      <c r="K617" s="114">
        <f>P617/3</f>
      </c>
      <c r="L617" s="115">
        <v>0.16600000000000001</v>
      </c>
      <c r="M617" s="116"/>
      <c r="N617" s="117">
        <f>M617-L617</f>
      </c>
      <c r="O617" s="112"/>
      <c r="P617" s="118">
        <f>N617+O617</f>
      </c>
      <c r="Q617" s="94" t="s">
        <v>778</v>
      </c>
      <c r="R617" s="94" t="s">
        <v>63</v>
      </c>
      <c r="S617" s="119">
        <v>46341</v>
      </c>
      <c r="T617" s="119"/>
      <c r="U617" s="119">
        <v>46341</v>
      </c>
      <c r="V617" s="94"/>
      <c r="W617" s="94"/>
      <c r="X617" s="94"/>
      <c r="Y617" s="119">
        <v>46341</v>
      </c>
      <c r="Z617" s="94"/>
      <c r="AA617" s="120"/>
      <c r="AB617" s="120"/>
      <c r="AC617" s="120"/>
      <c r="AD617" s="120"/>
      <c r="AE617" s="120"/>
      <c r="AF617" s="120"/>
      <c r="AG617" s="94"/>
      <c r="AH617" s="120"/>
      <c r="AI617" s="94"/>
      <c r="AJ617" s="94" t="s">
        <v>778</v>
      </c>
      <c r="AK617" s="94" t="s">
        <v>327</v>
      </c>
      <c r="AL617" s="94">
        <v>120</v>
      </c>
      <c r="AM617" s="94" t="str">
        <f>TRIM(AJ617)&amp;TRIM(AL617)&amp;TRIM(AK617)</f>
      </c>
      <c r="AN617" s="116">
        <v>0</v>
      </c>
      <c r="AO617" s="116" t="inlineStr">
        <is>
          <t>#NA</t>
        </is>
      </c>
      <c r="AP617" s="116">
        <f>SUMIFS(M:M,AM:AM,AM617)+SUMIFS(O:O,AM:AM,AM617)</f>
      </c>
      <c r="AQ617" s="116">
        <f>SUMIFS(L:L,AM:AM,AM617)</f>
      </c>
      <c r="AR617" s="116">
        <f>AQ617-AP617</f>
      </c>
      <c r="AS617" s="94" t="str">
        <f>IF(AN617&gt;=AQ617,"ok","ck")</f>
      </c>
      <c r="AT617" s="116">
        <f>-P617</f>
      </c>
      <c r="AU617" s="115">
        <f>IF(SUMIFS(AT:AT,AM:AM,AM617)&gt;AO617,(SUMIFS(AT:AT,AM:AM,AM617)-AO617))</f>
      </c>
      <c r="AV617" s="116">
        <v>0</v>
      </c>
      <c r="AW617" s="121">
        <v>0</v>
      </c>
      <c r="AX617" s="115">
        <f>AN617-AP617</f>
      </c>
    </row>
    <row r="618" spans="1:50" ht="15" hidden="1" customHeight="1" x14ac:dyDescent="0.3">
      <c r="A618" s="94" t="s">
        <v>288</v>
      </c>
      <c r="B618" s="94"/>
      <c r="C618" s="94"/>
      <c r="D618" s="94"/>
      <c r="E618" s="94"/>
      <c r="F618" s="94"/>
      <c r="G618" s="112">
        <f>AU618</f>
      </c>
      <c r="H618" s="113"/>
      <c r="I618" s="94" t="s">
        <v>297</v>
      </c>
      <c r="J618" s="94" t="s">
        <v>358</v>
      </c>
      <c r="K618" s="114">
        <f>P618/3</f>
      </c>
      <c r="L618" s="115">
        <v>0</v>
      </c>
      <c r="M618" s="116"/>
      <c r="N618" s="117">
        <f>M618-L618</f>
      </c>
      <c r="O618" s="112"/>
      <c r="P618" s="118">
        <f>N618+O618</f>
      </c>
      <c r="Q618" s="94" t="s">
        <v>296</v>
      </c>
      <c r="R618" s="94" t="s">
        <v>63</v>
      </c>
      <c r="S618" s="119">
        <v>46340</v>
      </c>
      <c r="T618" s="119"/>
      <c r="U618" s="119">
        <v>46340</v>
      </c>
      <c r="V618" s="94"/>
      <c r="W618" s="94"/>
      <c r="X618" s="94"/>
      <c r="Y618" s="119">
        <v>46340</v>
      </c>
      <c r="Z618" s="94"/>
      <c r="AA618" s="120"/>
      <c r="AB618" s="120"/>
      <c r="AC618" s="120"/>
      <c r="AD618" s="120"/>
      <c r="AE618" s="120"/>
      <c r="AF618" s="120"/>
      <c r="AG618" s="94"/>
      <c r="AH618" s="120"/>
      <c r="AI618" s="94"/>
      <c r="AJ618" s="94" t="s">
        <v>479</v>
      </c>
      <c r="AK618" s="94" t="s">
        <v>359</v>
      </c>
      <c r="AL618" s="94">
        <v>190</v>
      </c>
      <c r="AM618" s="94" t="str">
        <f>TRIM(AJ618)&amp;TRIM(AL618)&amp;TRIM(AK618)</f>
      </c>
      <c r="AN618" s="116">
        <v>1822.8</v>
      </c>
      <c r="AO618" s="116">
        <v>28.79</v>
      </c>
      <c r="AP618" s="116">
        <f>SUMIFS(M:M,AM:AM,AM618)+SUMIFS(O:O,AM:AM,AM618)</f>
      </c>
      <c r="AQ618" s="116">
        <f>SUMIFS(L:L,AM:AM,AM618)</f>
      </c>
      <c r="AR618" s="116">
        <f>AQ618-AP618</f>
      </c>
      <c r="AS618" s="94" t="str">
        <f>IF(AN618&gt;=AQ618,"ok","ck")</f>
      </c>
      <c r="AT618" s="116">
        <f>-P618</f>
      </c>
      <c r="AU618" s="115">
        <f>IF(SUMIFS(AT:AT,AM:AM,AM618)&gt;AO618,(SUMIFS(AT:AT,AM:AM,AM618)-AO618))</f>
      </c>
      <c r="AV618" s="116">
        <v>1822.8</v>
      </c>
      <c r="AW618" s="121">
        <v>0.984</v>
      </c>
      <c r="AX618" s="115">
        <f>AN618-AP618</f>
      </c>
    </row>
    <row r="619" spans="1:50" ht="15" hidden="1" customHeight="1" x14ac:dyDescent="0.3">
      <c r="A619" s="94" t="s">
        <v>268</v>
      </c>
      <c r="B619" s="94"/>
      <c r="C619" s="94"/>
      <c r="D619" s="94"/>
      <c r="E619" s="94"/>
      <c r="F619" s="94"/>
      <c r="G619" s="112">
        <f>AU619</f>
      </c>
      <c r="H619" s="113"/>
      <c r="I619" s="94" t="s">
        <v>390</v>
      </c>
      <c r="J619" s="94" t="s">
        <v>333</v>
      </c>
      <c r="K619" s="114">
        <f>P619/3</f>
      </c>
      <c r="L619" s="115">
        <v>-4.024</v>
      </c>
      <c r="M619" s="116">
        <f>L619</f>
      </c>
      <c r="N619" s="117">
        <f>M619-L619</f>
      </c>
      <c r="O619" s="112"/>
      <c r="P619" s="118">
        <f>N619+O619</f>
      </c>
      <c r="Q619" s="94" t="s">
        <v>271</v>
      </c>
      <c r="R619" s="94" t="s">
        <v>63</v>
      </c>
      <c r="S619" s="119">
        <v>46320</v>
      </c>
      <c r="T619" s="119"/>
      <c r="U619" s="119">
        <v>46320</v>
      </c>
      <c r="V619" s="94"/>
      <c r="W619" s="94"/>
      <c r="X619" s="94"/>
      <c r="Y619" s="119">
        <v>46320</v>
      </c>
      <c r="Z619" s="94"/>
      <c r="AA619" s="120"/>
      <c r="AB619" s="120"/>
      <c r="AC619" s="120"/>
      <c r="AD619" s="120"/>
      <c r="AE619" s="120"/>
      <c r="AF619" s="120"/>
      <c r="AG619" s="94"/>
      <c r="AH619" s="120"/>
      <c r="AI619" s="94"/>
      <c r="AJ619" s="94" t="s">
        <v>271</v>
      </c>
      <c r="AK619" s="94" t="s">
        <v>338</v>
      </c>
      <c r="AL619" s="94">
        <v>140</v>
      </c>
      <c r="AM619" s="94" t="str">
        <f>TRIM(AJ619)&amp;TRIM(AL619)&amp;TRIM(AK619)</f>
      </c>
      <c r="AN619" s="116">
        <v>2830</v>
      </c>
      <c r="AO619" s="116">
        <v>-52</v>
      </c>
      <c r="AP619" s="116">
        <f>SUMIFS(M:M,AM:AM,AM619)+SUMIFS(O:O,AM:AM,AM619)</f>
      </c>
      <c r="AQ619" s="116">
        <f>SUMIFS(L:L,AM:AM,AM619)</f>
      </c>
      <c r="AR619" s="116">
        <f>AQ619-AP619</f>
      </c>
      <c r="AS619" s="94" t="str">
        <f>IF(AN619&gt;=AQ619,"ok","ck")</f>
      </c>
      <c r="AT619" s="116">
        <f>-P619</f>
      </c>
      <c r="AU619" s="115">
        <f>IF(SUMIFS(AT:AT,AM:AM,AM619)&gt;AO619,(SUMIFS(AT:AT,AM:AM,AM619)-AO619))</f>
      </c>
      <c r="AV619" s="116">
        <v>2830</v>
      </c>
      <c r="AW619" s="121">
        <v>1.019</v>
      </c>
      <c r="AX619" s="115">
        <f>AN619-AP619</f>
      </c>
    </row>
    <row r="620" spans="1:50" ht="15" hidden="1" customHeight="1" x14ac:dyDescent="0.3">
      <c r="A620" s="94" t="s">
        <v>268</v>
      </c>
      <c r="B620" s="94"/>
      <c r="C620" s="94"/>
      <c r="D620" s="94"/>
      <c r="E620" s="94"/>
      <c r="F620" s="94"/>
      <c r="G620" s="112">
        <f>AU620</f>
      </c>
      <c r="H620" s="113"/>
      <c r="I620" s="94" t="s">
        <v>390</v>
      </c>
      <c r="J620" s="94" t="s">
        <v>333</v>
      </c>
      <c r="K620" s="114">
        <f>P620/3</f>
      </c>
      <c r="L620" s="115">
        <v>-4.024</v>
      </c>
      <c r="M620" s="116">
        <f>L620</f>
      </c>
      <c r="N620" s="117">
        <f>M620-L620</f>
      </c>
      <c r="O620" s="112"/>
      <c r="P620" s="118">
        <f>N620+O620</f>
      </c>
      <c r="Q620" s="94" t="s">
        <v>271</v>
      </c>
      <c r="R620" s="94" t="s">
        <v>63</v>
      </c>
      <c r="S620" s="120">
        <v>46320</v>
      </c>
      <c r="T620" s="120"/>
      <c r="U620" s="120">
        <v>46320</v>
      </c>
      <c r="V620" s="94"/>
      <c r="W620" s="94"/>
      <c r="X620" s="94"/>
      <c r="Y620" s="119">
        <v>46320</v>
      </c>
      <c r="Z620" s="94"/>
      <c r="AA620" s="120"/>
      <c r="AB620" s="120"/>
      <c r="AC620" s="120"/>
      <c r="AD620" s="120"/>
      <c r="AE620" s="120"/>
      <c r="AF620" s="120"/>
      <c r="AG620" s="94"/>
      <c r="AH620" s="120"/>
      <c r="AI620" s="94"/>
      <c r="AJ620" s="94" t="s">
        <v>271</v>
      </c>
      <c r="AK620" s="94" t="s">
        <v>338</v>
      </c>
      <c r="AL620" s="94">
        <v>140</v>
      </c>
      <c r="AM620" s="94" t="str">
        <f>TRIM(AJ620)&amp;TRIM(AL620)&amp;TRIM(AK620)</f>
      </c>
      <c r="AN620" s="116">
        <v>2830</v>
      </c>
      <c r="AO620" s="116">
        <v>-52</v>
      </c>
      <c r="AP620" s="116">
        <f>SUMIFS(M:M,AM:AM,AM620)+SUMIFS(O:O,AM:AM,AM620)</f>
      </c>
      <c r="AQ620" s="116">
        <f>SUMIFS(L:L,AM:AM,AM620)</f>
      </c>
      <c r="AR620" s="116">
        <f>AQ620-AP620</f>
      </c>
      <c r="AS620" s="94" t="str">
        <f>IF(AN620&gt;=AQ620,"ok","ck")</f>
      </c>
      <c r="AT620" s="116">
        <f>-P620</f>
      </c>
      <c r="AU620" s="115">
        <f>IF(SUMIFS(AT:AT,AM:AM,AM620)&gt;AO620,(SUMIFS(AT:AT,AM:AM,AM620)-AO620))</f>
      </c>
      <c r="AV620" s="116">
        <v>2830</v>
      </c>
      <c r="AW620" s="121">
        <v>1.019</v>
      </c>
      <c r="AX620" s="115">
        <f>AN620-AP620</f>
      </c>
    </row>
    <row r="621" spans="1:50" ht="15" hidden="1" customHeight="1" x14ac:dyDescent="0.3">
      <c r="A621" s="94" t="s">
        <v>268</v>
      </c>
      <c r="B621" s="94"/>
      <c r="C621" s="94"/>
      <c r="D621" s="94"/>
      <c r="E621" s="94"/>
      <c r="F621" s="94"/>
      <c r="G621" s="112">
        <f>AU621</f>
      </c>
      <c r="H621" s="113"/>
      <c r="I621" s="94" t="s">
        <v>390</v>
      </c>
      <c r="J621" s="94" t="s">
        <v>333</v>
      </c>
      <c r="K621" s="114">
        <f>P621/3</f>
      </c>
      <c r="L621" s="115">
        <v>-4.0170000000000003</v>
      </c>
      <c r="M621" s="116">
        <f>L621</f>
      </c>
      <c r="N621" s="117">
        <f>M621-L621</f>
      </c>
      <c r="O621" s="112"/>
      <c r="P621" s="118">
        <f>N621+O621</f>
      </c>
      <c r="Q621" s="94" t="s">
        <v>271</v>
      </c>
      <c r="R621" s="94" t="s">
        <v>63</v>
      </c>
      <c r="S621" s="119">
        <v>46320</v>
      </c>
      <c r="T621" s="119"/>
      <c r="U621" s="120">
        <v>46320</v>
      </c>
      <c r="V621" s="94"/>
      <c r="W621" s="94"/>
      <c r="X621" s="94"/>
      <c r="Y621" s="119">
        <v>46320</v>
      </c>
      <c r="Z621" s="94"/>
      <c r="AA621" s="120"/>
      <c r="AB621" s="120"/>
      <c r="AC621" s="120"/>
      <c r="AD621" s="120"/>
      <c r="AE621" s="120"/>
      <c r="AF621" s="120"/>
      <c r="AG621" s="94"/>
      <c r="AH621" s="120"/>
      <c r="AI621" s="94"/>
      <c r="AJ621" s="94" t="s">
        <v>271</v>
      </c>
      <c r="AK621" s="94" t="s">
        <v>338</v>
      </c>
      <c r="AL621" s="94">
        <v>140</v>
      </c>
      <c r="AM621" s="94" t="str">
        <f>TRIM(AJ621)&amp;TRIM(AL621)&amp;TRIM(AK621)</f>
      </c>
      <c r="AN621" s="116">
        <v>2830</v>
      </c>
      <c r="AO621" s="116">
        <v>-52</v>
      </c>
      <c r="AP621" s="116">
        <f>SUMIFS(M:M,AM:AM,AM621)+SUMIFS(O:O,AM:AM,AM621)</f>
      </c>
      <c r="AQ621" s="116">
        <f>SUMIFS(L:L,AM:AM,AM621)</f>
      </c>
      <c r="AR621" s="116">
        <f>AQ621-AP621</f>
      </c>
      <c r="AS621" s="94" t="str">
        <f>IF(AN621&gt;=AQ621,"ok","ck")</f>
      </c>
      <c r="AT621" s="116">
        <f>-P621</f>
      </c>
      <c r="AU621" s="115">
        <f>IF(SUMIFS(AT:AT,AM:AM,AM621)&gt;AO621,(SUMIFS(AT:AT,AM:AM,AM621)-AO621))</f>
      </c>
      <c r="AV621" s="116">
        <v>2830</v>
      </c>
      <c r="AW621" s="121">
        <v>1.019</v>
      </c>
      <c r="AX621" s="115">
        <f>AN621-AP621</f>
      </c>
    </row>
    <row r="622" spans="1:50" ht="15" hidden="1" customHeight="1" x14ac:dyDescent="0.3">
      <c r="A622" s="94" t="s">
        <v>288</v>
      </c>
      <c r="B622" s="94"/>
      <c r="C622" s="94"/>
      <c r="D622" s="94"/>
      <c r="E622" s="94"/>
      <c r="F622" s="94"/>
      <c r="G622" s="112">
        <f>AU622</f>
      </c>
      <c r="H622" s="113"/>
      <c r="I622" s="94" t="s">
        <v>297</v>
      </c>
      <c r="J622" s="94" t="s">
        <v>358</v>
      </c>
      <c r="K622" s="114">
        <f>P622/3</f>
      </c>
      <c r="L622" s="115">
        <v>6.3369999999999997</v>
      </c>
      <c r="M622" s="116">
        <f>L622</f>
      </c>
      <c r="N622" s="117">
        <f>M622-L622</f>
      </c>
      <c r="O622" s="112"/>
      <c r="P622" s="118">
        <f>N622+O622</f>
      </c>
      <c r="Q622" s="94" t="s">
        <v>332</v>
      </c>
      <c r="R622" s="94" t="s">
        <v>63</v>
      </c>
      <c r="S622" s="119">
        <v>46320</v>
      </c>
      <c r="T622" s="119"/>
      <c r="U622" s="120">
        <v>46320</v>
      </c>
      <c r="V622" s="94"/>
      <c r="W622" s="94"/>
      <c r="X622" s="94"/>
      <c r="Y622" s="119">
        <v>46320</v>
      </c>
      <c r="Z622" s="94"/>
      <c r="AA622" s="120"/>
      <c r="AB622" s="120"/>
      <c r="AC622" s="120"/>
      <c r="AD622" s="120"/>
      <c r="AE622" s="120"/>
      <c r="AF622" s="120"/>
      <c r="AG622" s="94"/>
      <c r="AH622" s="120"/>
      <c r="AI622" s="94"/>
      <c r="AJ622" s="94" t="s">
        <v>783</v>
      </c>
      <c r="AK622" s="94" t="s">
        <v>359</v>
      </c>
      <c r="AL622" s="94">
        <v>190</v>
      </c>
      <c r="AM622" s="94" t="str">
        <f>TRIM(AJ622)&amp;TRIM(AL622)&amp;TRIM(AK622)</f>
      </c>
      <c r="AN622" s="116">
        <v>2833.49</v>
      </c>
      <c r="AO622" s="116">
        <v>-1101.5</v>
      </c>
      <c r="AP622" s="116">
        <f>SUMIFS(M:M,AM:AM,AM622)+SUMIFS(O:O,AM:AM,AM622)</f>
      </c>
      <c r="AQ622" s="116">
        <f>SUMIFS(L:L,AM:AM,AM622)</f>
      </c>
      <c r="AR622" s="116">
        <f>AQ622-AP622</f>
      </c>
      <c r="AS622" s="94" t="str">
        <f>IF(AN622&gt;=AQ622,"ok","ck")</f>
      </c>
      <c r="AT622" s="116">
        <f>-P622</f>
      </c>
      <c r="AU622" s="115">
        <f>IF(SUMIFS(AT:AT,AM:AM,AM622)&gt;AO622,(SUMIFS(AT:AT,AM:AM,AM622)-AO622))</f>
      </c>
      <c r="AV622" s="116">
        <v>2833.49</v>
      </c>
      <c r="AW622" s="121">
        <v>1.636</v>
      </c>
      <c r="AX622" s="115">
        <f>AN622-AP622</f>
      </c>
    </row>
    <row r="623" spans="1:50" ht="15" hidden="1" customHeight="1" x14ac:dyDescent="0.3">
      <c r="A623" s="94" t="s">
        <v>288</v>
      </c>
      <c r="B623" s="94"/>
      <c r="C623" s="94"/>
      <c r="D623" s="94"/>
      <c r="E623" s="94"/>
      <c r="F623" s="94"/>
      <c r="G623" s="112">
        <f>AU623</f>
      </c>
      <c r="H623" s="113"/>
      <c r="I623" s="94" t="s">
        <v>297</v>
      </c>
      <c r="J623" s="94" t="s">
        <v>358</v>
      </c>
      <c r="K623" s="114">
        <f>P623/3</f>
      </c>
      <c r="L623" s="115">
        <v>6.3369999999999997</v>
      </c>
      <c r="M623" s="116">
        <f>L623</f>
      </c>
      <c r="N623" s="117">
        <f>M623-L623</f>
      </c>
      <c r="O623" s="112"/>
      <c r="P623" s="118">
        <f>N623+O623</f>
      </c>
      <c r="Q623" s="94" t="s">
        <v>332</v>
      </c>
      <c r="R623" s="94" t="s">
        <v>63</v>
      </c>
      <c r="S623" s="119">
        <v>46320</v>
      </c>
      <c r="T623" s="119"/>
      <c r="U623" s="120">
        <v>46320</v>
      </c>
      <c r="V623" s="94"/>
      <c r="W623" s="94"/>
      <c r="X623" s="94"/>
      <c r="Y623" s="119">
        <v>46320</v>
      </c>
      <c r="Z623" s="94"/>
      <c r="AA623" s="120"/>
      <c r="AB623" s="120"/>
      <c r="AC623" s="120"/>
      <c r="AD623" s="120"/>
      <c r="AE623" s="120"/>
      <c r="AF623" s="120"/>
      <c r="AG623" s="94"/>
      <c r="AH623" s="120"/>
      <c r="AI623" s="94"/>
      <c r="AJ623" s="94" t="s">
        <v>783</v>
      </c>
      <c r="AK623" s="94" t="s">
        <v>359</v>
      </c>
      <c r="AL623" s="94">
        <v>190</v>
      </c>
      <c r="AM623" s="94" t="str">
        <f>TRIM(AJ623)&amp;TRIM(AL623)&amp;TRIM(AK623)</f>
      </c>
      <c r="AN623" s="116">
        <v>2833.49</v>
      </c>
      <c r="AO623" s="116">
        <v>-1101.5</v>
      </c>
      <c r="AP623" s="116">
        <f>SUMIFS(M:M,AM:AM,AM623)+SUMIFS(O:O,AM:AM,AM623)</f>
      </c>
      <c r="AQ623" s="116">
        <f>SUMIFS(L:L,AM:AM,AM623)</f>
      </c>
      <c r="AR623" s="116">
        <f>AQ623-AP623</f>
      </c>
      <c r="AS623" s="94" t="str">
        <f>IF(AN623&gt;=AQ623,"ok","ck")</f>
      </c>
      <c r="AT623" s="116">
        <f>-P623</f>
      </c>
      <c r="AU623" s="115">
        <f>IF(SUMIFS(AT:AT,AM:AM,AM623)&gt;AO623,(SUMIFS(AT:AT,AM:AM,AM623)-AO623))</f>
      </c>
      <c r="AV623" s="116">
        <v>2833.49</v>
      </c>
      <c r="AW623" s="121">
        <v>1.636</v>
      </c>
      <c r="AX623" s="115">
        <f>AN623-AP623</f>
      </c>
    </row>
    <row r="624" spans="1:50" ht="15" hidden="1" customHeight="1" x14ac:dyDescent="0.3">
      <c r="A624" s="94" t="s">
        <v>480</v>
      </c>
      <c r="B624" s="94"/>
      <c r="C624" s="94"/>
      <c r="D624" s="94"/>
      <c r="E624" s="94"/>
      <c r="F624" s="94"/>
      <c r="G624" s="112">
        <f>AU624</f>
      </c>
      <c r="H624" s="113"/>
      <c r="I624" s="94" t="s">
        <v>486</v>
      </c>
      <c r="J624" s="94" t="s">
        <v>545</v>
      </c>
      <c r="K624" s="114">
        <f>P624/3</f>
      </c>
      <c r="L624" s="115">
        <v>0.115</v>
      </c>
      <c r="M624" s="116"/>
      <c r="N624" s="117">
        <f>M624-L624</f>
      </c>
      <c r="O624" s="112"/>
      <c r="P624" s="118">
        <f>N624+O624</f>
      </c>
      <c r="Q624" s="94" t="s">
        <v>782</v>
      </c>
      <c r="R624" s="94" t="s">
        <v>63</v>
      </c>
      <c r="S624" s="119">
        <v>46332</v>
      </c>
      <c r="T624" s="119"/>
      <c r="U624" s="120">
        <v>46332</v>
      </c>
      <c r="V624" s="94"/>
      <c r="W624" s="94"/>
      <c r="X624" s="94"/>
      <c r="Y624" s="119">
        <v>46327</v>
      </c>
      <c r="Z624" s="94"/>
      <c r="AA624" s="120"/>
      <c r="AB624" s="120"/>
      <c r="AC624" s="120"/>
      <c r="AD624" s="120"/>
      <c r="AE624" s="120"/>
      <c r="AF624" s="120"/>
      <c r="AG624" s="94"/>
      <c r="AH624" s="120"/>
      <c r="AI624" s="94"/>
      <c r="AJ624" s="94" t="s">
        <v>782</v>
      </c>
      <c r="AK624" s="94" t="s">
        <v>721</v>
      </c>
      <c r="AL624" s="94">
        <v>165</v>
      </c>
      <c r="AM624" s="94" t="str">
        <f>TRIM(AJ624)&amp;TRIM(AL624)&amp;TRIM(AK624)</f>
      </c>
      <c r="AN624" s="116">
        <v>0</v>
      </c>
      <c r="AO624" s="116" t="inlineStr">
        <is>
          <t>#NA</t>
        </is>
      </c>
      <c r="AP624" s="116">
        <f>SUMIFS(M:M,AM:AM,AM624)+SUMIFS(O:O,AM:AM,AM624)</f>
      </c>
      <c r="AQ624" s="116">
        <f>SUMIFS(L:L,AM:AM,AM624)</f>
      </c>
      <c r="AR624" s="116">
        <f>AQ624-AP624</f>
      </c>
      <c r="AS624" s="94" t="str">
        <f>IF(AN624&gt;=AQ624,"ok","ck")</f>
      </c>
      <c r="AT624" s="116">
        <f>-P624</f>
      </c>
      <c r="AU624" s="115">
        <f>IF(SUMIFS(AT:AT,AM:AM,AM624)&gt;AO624,(SUMIFS(AT:AT,AM:AM,AM624)-AO624))</f>
      </c>
      <c r="AV624" s="116">
        <v>0</v>
      </c>
      <c r="AW624" s="121">
        <v>0</v>
      </c>
      <c r="AX624" s="115">
        <f>AN624-AP624</f>
      </c>
    </row>
    <row r="625" spans="1:50" ht="15" hidden="1" customHeight="1" x14ac:dyDescent="0.3">
      <c r="A625" s="94" t="s">
        <v>480</v>
      </c>
      <c r="B625" s="94"/>
      <c r="C625" s="94"/>
      <c r="D625" s="94"/>
      <c r="E625" s="94"/>
      <c r="F625" s="94"/>
      <c r="G625" s="112">
        <f>AU625</f>
      </c>
      <c r="H625" s="113"/>
      <c r="I625" s="94" t="s">
        <v>486</v>
      </c>
      <c r="J625" s="94" t="s">
        <v>545</v>
      </c>
      <c r="K625" s="114">
        <f>P625/3</f>
      </c>
      <c r="L625" s="115">
        <v>0.115</v>
      </c>
      <c r="M625" s="116"/>
      <c r="N625" s="117">
        <f>M625-L625</f>
      </c>
      <c r="O625" s="112"/>
      <c r="P625" s="118">
        <f>N625+O625</f>
      </c>
      <c r="Q625" s="94" t="s">
        <v>782</v>
      </c>
      <c r="R625" s="94" t="s">
        <v>63</v>
      </c>
      <c r="S625" s="119">
        <v>46332</v>
      </c>
      <c r="T625" s="119"/>
      <c r="U625" s="120">
        <v>46332</v>
      </c>
      <c r="V625" s="94"/>
      <c r="W625" s="94"/>
      <c r="X625" s="94"/>
      <c r="Y625" s="119">
        <v>46327</v>
      </c>
      <c r="Z625" s="94"/>
      <c r="AA625" s="120"/>
      <c r="AB625" s="120"/>
      <c r="AC625" s="120"/>
      <c r="AD625" s="120"/>
      <c r="AE625" s="120"/>
      <c r="AF625" s="120"/>
      <c r="AG625" s="94"/>
      <c r="AH625" s="120"/>
      <c r="AI625" s="94"/>
      <c r="AJ625" s="94" t="s">
        <v>782</v>
      </c>
      <c r="AK625" s="94" t="s">
        <v>721</v>
      </c>
      <c r="AL625" s="94">
        <v>165</v>
      </c>
      <c r="AM625" s="94" t="str">
        <f>TRIM(AJ625)&amp;TRIM(AL625)&amp;TRIM(AK625)</f>
      </c>
      <c r="AN625" s="116">
        <v>0</v>
      </c>
      <c r="AO625" s="116" t="inlineStr">
        <is>
          <t>#NA</t>
        </is>
      </c>
      <c r="AP625" s="116">
        <f>SUMIFS(M:M,AM:AM,AM625)+SUMIFS(O:O,AM:AM,AM625)</f>
      </c>
      <c r="AQ625" s="116">
        <f>SUMIFS(L:L,AM:AM,AM625)</f>
      </c>
      <c r="AR625" s="116">
        <f>AQ625-AP625</f>
      </c>
      <c r="AS625" s="94" t="str">
        <f>IF(AN625&gt;=AQ625,"ok","ck")</f>
      </c>
      <c r="AT625" s="116">
        <f>-P625</f>
      </c>
      <c r="AU625" s="115">
        <f>IF(SUMIFS(AT:AT,AM:AM,AM625)&gt;AO625,(SUMIFS(AT:AT,AM:AM,AM625)-AO625))</f>
      </c>
      <c r="AV625" s="116">
        <v>0</v>
      </c>
      <c r="AW625" s="121">
        <v>0</v>
      </c>
      <c r="AX625" s="115">
        <f>AN625-AP625</f>
      </c>
    </row>
    <row r="626" spans="1:50" ht="15" hidden="1" customHeight="1" x14ac:dyDescent="0.3">
      <c r="A626" s="94" t="s">
        <v>268</v>
      </c>
      <c r="B626" s="94"/>
      <c r="C626" s="94"/>
      <c r="D626" s="94"/>
      <c r="E626" s="94"/>
      <c r="F626" s="94"/>
      <c r="G626" s="112">
        <f>AU626</f>
      </c>
      <c r="H626" s="113"/>
      <c r="I626" s="94" t="s">
        <v>390</v>
      </c>
      <c r="J626" s="94" t="s">
        <v>328</v>
      </c>
      <c r="K626" s="114">
        <f>P626/3</f>
      </c>
      <c r="L626" s="115">
        <v>17.079999999999998</v>
      </c>
      <c r="M626" s="116"/>
      <c r="N626" s="117">
        <f>M626-L626</f>
      </c>
      <c r="O626" s="112"/>
      <c r="P626" s="118">
        <f>N626+O626</f>
      </c>
      <c r="Q626" s="94" t="s">
        <v>778</v>
      </c>
      <c r="R626" s="94" t="s">
        <v>63</v>
      </c>
      <c r="S626" s="119">
        <v>46340</v>
      </c>
      <c r="T626" s="119"/>
      <c r="U626" s="120">
        <v>46340</v>
      </c>
      <c r="V626" s="94"/>
      <c r="W626" s="94"/>
      <c r="X626" s="94"/>
      <c r="Y626" s="119">
        <v>46337</v>
      </c>
      <c r="Z626" s="94"/>
      <c r="AA626" s="120"/>
      <c r="AB626" s="120"/>
      <c r="AC626" s="120"/>
      <c r="AD626" s="120"/>
      <c r="AE626" s="120"/>
      <c r="AF626" s="120"/>
      <c r="AG626" s="94"/>
      <c r="AH626" s="120"/>
      <c r="AI626" s="94"/>
      <c r="AJ626" s="94" t="s">
        <v>778</v>
      </c>
      <c r="AK626" s="94" t="s">
        <v>329</v>
      </c>
      <c r="AL626" s="94">
        <v>140</v>
      </c>
      <c r="AM626" s="94" t="str">
        <f>TRIM(AJ626)&amp;TRIM(AL626)&amp;TRIM(AK626)</f>
      </c>
      <c r="AN626" s="116">
        <v>0</v>
      </c>
      <c r="AO626" s="116" t="inlineStr">
        <is>
          <t>#NA</t>
        </is>
      </c>
      <c r="AP626" s="116">
        <f>SUMIFS(M:M,AM:AM,AM626)+SUMIFS(O:O,AM:AM,AM626)</f>
      </c>
      <c r="AQ626" s="116">
        <f>SUMIFS(L:L,AM:AM,AM626)</f>
      </c>
      <c r="AR626" s="116">
        <f>AQ626-AP626</f>
      </c>
      <c r="AS626" s="94" t="str">
        <f>IF(AN626&gt;=AQ626,"ok","ck")</f>
      </c>
      <c r="AT626" s="116">
        <f>-P626</f>
      </c>
      <c r="AU626" s="115">
        <f>IF(SUMIFS(AT:AT,AM:AM,AM626)&gt;AO626,(SUMIFS(AT:AT,AM:AM,AM626)-AO626))</f>
      </c>
      <c r="AV626" s="116">
        <v>0</v>
      </c>
      <c r="AW626" s="121">
        <v>0</v>
      </c>
      <c r="AX626" s="115">
        <f>AN626-AP626</f>
      </c>
    </row>
    <row r="627" spans="1:50" ht="15" hidden="1" customHeight="1" x14ac:dyDescent="0.3">
      <c r="A627" s="94" t="s">
        <v>268</v>
      </c>
      <c r="B627" s="94"/>
      <c r="C627" s="94"/>
      <c r="D627" s="94"/>
      <c r="E627" s="94"/>
      <c r="F627" s="94"/>
      <c r="G627" s="112">
        <f>AU627</f>
      </c>
      <c r="H627" s="113"/>
      <c r="I627" s="94" t="s">
        <v>278</v>
      </c>
      <c r="J627" s="94" t="s">
        <v>273</v>
      </c>
      <c r="K627" s="114">
        <f>P627/3</f>
      </c>
      <c r="L627" s="115">
        <v>0.16600000000000001</v>
      </c>
      <c r="M627" s="116"/>
      <c r="N627" s="117">
        <f>M627-L627</f>
      </c>
      <c r="O627" s="112"/>
      <c r="P627" s="118">
        <f>N627+O627</f>
      </c>
      <c r="Q627" s="94" t="s">
        <v>778</v>
      </c>
      <c r="R627" s="94" t="s">
        <v>63</v>
      </c>
      <c r="S627" s="119">
        <v>46341</v>
      </c>
      <c r="T627" s="119"/>
      <c r="U627" s="120">
        <v>46341</v>
      </c>
      <c r="V627" s="94"/>
      <c r="W627" s="94"/>
      <c r="X627" s="94"/>
      <c r="Y627" s="119">
        <v>46341</v>
      </c>
      <c r="Z627" s="94"/>
      <c r="AA627" s="120"/>
      <c r="AB627" s="120"/>
      <c r="AC627" s="120"/>
      <c r="AD627" s="120"/>
      <c r="AE627" s="120"/>
      <c r="AF627" s="120"/>
      <c r="AG627" s="94"/>
      <c r="AH627" s="120"/>
      <c r="AI627" s="94"/>
      <c r="AJ627" s="94" t="s">
        <v>778</v>
      </c>
      <c r="AK627" s="94" t="s">
        <v>274</v>
      </c>
      <c r="AL627" s="94">
        <v>120</v>
      </c>
      <c r="AM627" s="94" t="str">
        <f>TRIM(AJ627)&amp;TRIM(AL627)&amp;TRIM(AK627)</f>
      </c>
      <c r="AN627" s="116">
        <v>0</v>
      </c>
      <c r="AO627" s="116" t="inlineStr">
        <is>
          <t>#NA</t>
        </is>
      </c>
      <c r="AP627" s="116">
        <f>SUMIFS(M:M,AM:AM,AM627)+SUMIFS(O:O,AM:AM,AM627)</f>
      </c>
      <c r="AQ627" s="116">
        <f>SUMIFS(L:L,AM:AM,AM627)</f>
      </c>
      <c r="AR627" s="116">
        <f>AQ627-AP627</f>
      </c>
      <c r="AS627" s="94" t="str">
        <f>IF(AN627&gt;=AQ627,"ok","ck")</f>
      </c>
      <c r="AT627" s="116">
        <f>-P627</f>
      </c>
      <c r="AU627" s="115">
        <f>IF(SUMIFS(AT:AT,AM:AM,AM627)&gt;AO627,(SUMIFS(AT:AT,AM:AM,AM627)-AO627))</f>
      </c>
      <c r="AV627" s="116">
        <v>0</v>
      </c>
      <c r="AW627" s="121">
        <v>0</v>
      </c>
      <c r="AX627" s="115">
        <f>AN627-AP627</f>
      </c>
    </row>
    <row r="628" spans="1:50" ht="15" hidden="1" customHeight="1" x14ac:dyDescent="0.3">
      <c r="A628" s="94" t="s">
        <v>268</v>
      </c>
      <c r="B628" s="94"/>
      <c r="C628" s="94"/>
      <c r="D628" s="94"/>
      <c r="E628" s="94"/>
      <c r="F628" s="94"/>
      <c r="G628" s="112">
        <f>AU628</f>
      </c>
      <c r="H628" s="113"/>
      <c r="I628" s="94" t="s">
        <v>278</v>
      </c>
      <c r="J628" s="94" t="s">
        <v>273</v>
      </c>
      <c r="K628" s="114">
        <f>P628/3</f>
      </c>
      <c r="L628" s="115">
        <v>0.1</v>
      </c>
      <c r="M628" s="116"/>
      <c r="N628" s="117">
        <f>M628-L628</f>
      </c>
      <c r="O628" s="112"/>
      <c r="P628" s="118">
        <f>N628+O628</f>
      </c>
      <c r="Q628" s="94" t="s">
        <v>778</v>
      </c>
      <c r="R628" s="94" t="s">
        <v>63</v>
      </c>
      <c r="S628" s="119">
        <v>46335</v>
      </c>
      <c r="T628" s="119"/>
      <c r="U628" s="119">
        <v>46335</v>
      </c>
      <c r="V628" s="94"/>
      <c r="W628" s="94"/>
      <c r="X628" s="94"/>
      <c r="Y628" s="119">
        <v>46335</v>
      </c>
      <c r="Z628" s="94"/>
      <c r="AA628" s="120"/>
      <c r="AB628" s="120"/>
      <c r="AC628" s="120"/>
      <c r="AD628" s="120"/>
      <c r="AE628" s="120"/>
      <c r="AF628" s="120"/>
      <c r="AG628" s="94"/>
      <c r="AH628" s="120"/>
      <c r="AI628" s="94"/>
      <c r="AJ628" s="94" t="s">
        <v>778</v>
      </c>
      <c r="AK628" s="94" t="s">
        <v>274</v>
      </c>
      <c r="AL628" s="94">
        <v>120</v>
      </c>
      <c r="AM628" s="94" t="str">
        <f>TRIM(AJ628)&amp;TRIM(AL628)&amp;TRIM(AK628)</f>
      </c>
      <c r="AN628" s="116">
        <v>0</v>
      </c>
      <c r="AO628" s="116" t="inlineStr">
        <is>
          <t>#NA</t>
        </is>
      </c>
      <c r="AP628" s="116">
        <f>SUMIFS(M:M,AM:AM,AM628)+SUMIFS(O:O,AM:AM,AM628)</f>
      </c>
      <c r="AQ628" s="116">
        <f>SUMIFS(L:L,AM:AM,AM628)</f>
      </c>
      <c r="AR628" s="116">
        <f>AQ628-AP628</f>
      </c>
      <c r="AS628" s="94" t="str">
        <f>IF(AN628&gt;=AQ628,"ok","ck")</f>
      </c>
      <c r="AT628" s="116">
        <f>-P628</f>
      </c>
      <c r="AU628" s="115">
        <f>IF(SUMIFS(AT:AT,AM:AM,AM628)&gt;AO628,(SUMIFS(AT:AT,AM:AM,AM628)-AO628))</f>
      </c>
      <c r="AV628" s="116">
        <v>0</v>
      </c>
      <c r="AW628" s="121">
        <v>0</v>
      </c>
      <c r="AX628" s="115">
        <f>AN628-AP628</f>
      </c>
    </row>
    <row r="629" spans="1:50" ht="15" hidden="1" customHeight="1" x14ac:dyDescent="0.3">
      <c r="A629" s="94" t="s">
        <v>82</v>
      </c>
      <c r="B629" s="94"/>
      <c r="C629" s="94"/>
      <c r="D629" s="94"/>
      <c r="E629" s="94"/>
      <c r="F629" s="94"/>
      <c r="G629" s="112">
        <f>AU629</f>
      </c>
      <c r="H629" s="113"/>
      <c r="I629" s="94" t="s">
        <v>83</v>
      </c>
      <c r="J629" s="94" t="s">
        <v>102</v>
      </c>
      <c r="K629" s="114">
        <f>P629/3</f>
      </c>
      <c r="L629" s="115">
        <v>-44.75</v>
      </c>
      <c r="M629" s="116">
        <f>L629</f>
      </c>
      <c r="N629" s="117">
        <f>M629-L629</f>
      </c>
      <c r="O629" s="112"/>
      <c r="P629" s="118">
        <f>N629+O629</f>
      </c>
      <c r="Q629" s="94" t="s">
        <v>848</v>
      </c>
      <c r="R629" s="94" t="s">
        <v>63</v>
      </c>
      <c r="S629" s="119">
        <v>46320</v>
      </c>
      <c r="T629" s="119"/>
      <c r="U629" s="119">
        <v>46320</v>
      </c>
      <c r="V629" s="94"/>
      <c r="W629" s="94"/>
      <c r="X629" s="94"/>
      <c r="Y629" s="119">
        <v>46320</v>
      </c>
      <c r="Z629" s="94"/>
      <c r="AA629" s="120"/>
      <c r="AB629" s="120"/>
      <c r="AC629" s="120"/>
      <c r="AD629" s="120"/>
      <c r="AE629" s="120"/>
      <c r="AF629" s="120"/>
      <c r="AG629" s="94"/>
      <c r="AH629" s="120"/>
      <c r="AI629" s="94"/>
      <c r="AJ629" s="94" t="s">
        <v>775</v>
      </c>
      <c r="AK629" s="94" t="s">
        <v>103</v>
      </c>
      <c r="AL629" s="94">
        <v>160</v>
      </c>
      <c r="AM629" s="94" t="str">
        <f>TRIM(AJ629)&amp;TRIM(AL629)&amp;TRIM(AK629)</f>
      </c>
      <c r="AN629" s="116">
        <v>2308</v>
      </c>
      <c r="AO629" s="116">
        <v>-64</v>
      </c>
      <c r="AP629" s="116">
        <f>SUMIFS(M:M,AM:AM,AM629)+SUMIFS(O:O,AM:AM,AM629)</f>
      </c>
      <c r="AQ629" s="116">
        <f>SUMIFS(L:L,AM:AM,AM629)</f>
      </c>
      <c r="AR629" s="116">
        <f>AQ629-AP629</f>
      </c>
      <c r="AS629" s="94" t="str">
        <f>IF(AN629&gt;=AQ629,"ok","ck")</f>
      </c>
      <c r="AT629" s="116">
        <f>-P629</f>
      </c>
      <c r="AU629" s="115">
        <f>IF(SUMIFS(AT:AT,AM:AM,AM629)&gt;AO629,(SUMIFS(AT:AT,AM:AM,AM629)-AO629))</f>
      </c>
      <c r="AV629" s="116">
        <v>2308</v>
      </c>
      <c r="AW629" s="121">
        <v>1.029</v>
      </c>
      <c r="AX629" s="115">
        <f>AN629-AP629</f>
      </c>
    </row>
    <row r="630" spans="1:50" ht="15" hidden="1" customHeight="1" x14ac:dyDescent="0.3">
      <c r="A630" s="94" t="s">
        <v>82</v>
      </c>
      <c r="B630" s="94"/>
      <c r="C630" s="94"/>
      <c r="D630" s="94"/>
      <c r="E630" s="94"/>
      <c r="F630" s="94"/>
      <c r="G630" s="112">
        <f>AU630</f>
      </c>
      <c r="H630" s="113"/>
      <c r="I630" s="94" t="s">
        <v>83</v>
      </c>
      <c r="J630" s="94" t="s">
        <v>102</v>
      </c>
      <c r="K630" s="114">
        <f>P630/3</f>
      </c>
      <c r="L630" s="115">
        <v>0</v>
      </c>
      <c r="M630" s="116">
        <f>L630</f>
      </c>
      <c r="N630" s="117">
        <f>M630-L630</f>
      </c>
      <c r="O630" s="112"/>
      <c r="P630" s="118">
        <f>N630+O630</f>
      </c>
      <c r="Q630" s="94" t="s">
        <v>848</v>
      </c>
      <c r="R630" s="94" t="s">
        <v>63</v>
      </c>
      <c r="S630" s="119">
        <v>46328</v>
      </c>
      <c r="T630" s="119"/>
      <c r="U630" s="119">
        <v>46328</v>
      </c>
      <c r="V630" s="94"/>
      <c r="W630" s="94"/>
      <c r="X630" s="94"/>
      <c r="Y630" s="119">
        <v>46328</v>
      </c>
      <c r="Z630" s="94"/>
      <c r="AA630" s="120"/>
      <c r="AB630" s="120"/>
      <c r="AC630" s="120"/>
      <c r="AD630" s="120"/>
      <c r="AE630" s="120"/>
      <c r="AF630" s="120"/>
      <c r="AG630" s="94"/>
      <c r="AH630" s="120"/>
      <c r="AI630" s="94"/>
      <c r="AJ630" s="94" t="s">
        <v>775</v>
      </c>
      <c r="AK630" s="94" t="s">
        <v>103</v>
      </c>
      <c r="AL630" s="94">
        <v>160</v>
      </c>
      <c r="AM630" s="94" t="str">
        <f>TRIM(AJ630)&amp;TRIM(AL630)&amp;TRIM(AK630)</f>
      </c>
      <c r="AN630" s="116">
        <v>2308</v>
      </c>
      <c r="AO630" s="116">
        <v>-64</v>
      </c>
      <c r="AP630" s="116">
        <f>SUMIFS(M:M,AM:AM,AM630)+SUMIFS(O:O,AM:AM,AM630)</f>
      </c>
      <c r="AQ630" s="116">
        <f>SUMIFS(L:L,AM:AM,AM630)</f>
      </c>
      <c r="AR630" s="116">
        <f>AQ630-AP630</f>
      </c>
      <c r="AS630" s="94" t="str">
        <f>IF(AN630&gt;=AQ630,"ok","ck")</f>
      </c>
      <c r="AT630" s="116">
        <f>-P630</f>
      </c>
      <c r="AU630" s="115">
        <f>IF(SUMIFS(AT:AT,AM:AM,AM630)&gt;AO630,(SUMIFS(AT:AT,AM:AM,AM630)-AO630))</f>
      </c>
      <c r="AV630" s="116">
        <v>2308</v>
      </c>
      <c r="AW630" s="121">
        <v>1.029</v>
      </c>
      <c r="AX630" s="115">
        <f>AN630-AP630</f>
      </c>
    </row>
    <row r="631" spans="1:50" ht="15" hidden="1" customHeight="1" x14ac:dyDescent="0.3">
      <c r="A631" s="94" t="s">
        <v>82</v>
      </c>
      <c r="B631" s="94"/>
      <c r="C631" s="94"/>
      <c r="D631" s="94"/>
      <c r="E631" s="94"/>
      <c r="F631" s="94"/>
      <c r="G631" s="112">
        <f>AU631</f>
      </c>
      <c r="H631" s="113"/>
      <c r="I631" s="94" t="s">
        <v>83</v>
      </c>
      <c r="J631" s="94" t="s">
        <v>102</v>
      </c>
      <c r="K631" s="114">
        <f>P631/3</f>
      </c>
      <c r="L631" s="115">
        <v>0</v>
      </c>
      <c r="M631" s="116">
        <f>L631</f>
      </c>
      <c r="N631" s="117">
        <f>M631-L631</f>
      </c>
      <c r="O631" s="112"/>
      <c r="P631" s="118">
        <f>N631+O631</f>
      </c>
      <c r="Q631" s="94" t="s">
        <v>848</v>
      </c>
      <c r="R631" s="94" t="s">
        <v>63</v>
      </c>
      <c r="S631" s="120">
        <v>46331</v>
      </c>
      <c r="T631" s="120"/>
      <c r="U631" s="120">
        <v>46331</v>
      </c>
      <c r="V631" s="94"/>
      <c r="W631" s="94"/>
      <c r="X631" s="94"/>
      <c r="Y631" s="119">
        <v>46331</v>
      </c>
      <c r="Z631" s="94"/>
      <c r="AA631" s="120"/>
      <c r="AB631" s="120"/>
      <c r="AC631" s="120"/>
      <c r="AD631" s="120"/>
      <c r="AE631" s="120"/>
      <c r="AF631" s="120"/>
      <c r="AG631" s="94"/>
      <c r="AH631" s="120"/>
      <c r="AI631" s="94"/>
      <c r="AJ631" s="94" t="s">
        <v>775</v>
      </c>
      <c r="AK631" s="94" t="s">
        <v>103</v>
      </c>
      <c r="AL631" s="94">
        <v>160</v>
      </c>
      <c r="AM631" s="94" t="str">
        <f>TRIM(AJ631)&amp;TRIM(AL631)&amp;TRIM(AK631)</f>
      </c>
      <c r="AN631" s="116">
        <v>2308</v>
      </c>
      <c r="AO631" s="116">
        <v>-64</v>
      </c>
      <c r="AP631" s="116">
        <f>SUMIFS(M:M,AM:AM,AM631)+SUMIFS(O:O,AM:AM,AM631)</f>
      </c>
      <c r="AQ631" s="116">
        <f>SUMIFS(L:L,AM:AM,AM631)</f>
      </c>
      <c r="AR631" s="116">
        <f>AQ631-AP631</f>
      </c>
      <c r="AS631" s="94" t="str">
        <f>IF(AN631&gt;=AQ631,"ok","ck")</f>
      </c>
      <c r="AT631" s="116">
        <f>-P631</f>
      </c>
      <c r="AU631" s="115">
        <f>IF(SUMIFS(AT:AT,AM:AM,AM631)&gt;AO631,(SUMIFS(AT:AT,AM:AM,AM631)-AO631))</f>
      </c>
      <c r="AV631" s="116">
        <v>2308</v>
      </c>
      <c r="AW631" s="121">
        <v>1.029</v>
      </c>
      <c r="AX631" s="115">
        <f>AN631-AP631</f>
      </c>
    </row>
    <row r="632" spans="1:50" ht="15" hidden="1" customHeight="1" x14ac:dyDescent="0.3">
      <c r="A632" s="94" t="s">
        <v>60</v>
      </c>
      <c r="B632" s="94"/>
      <c r="C632" s="94"/>
      <c r="D632" s="94"/>
      <c r="E632" s="94"/>
      <c r="F632" s="94"/>
      <c r="G632" s="112">
        <f>AU632</f>
      </c>
      <c r="H632" s="113"/>
      <c r="I632" s="94" t="s">
        <v>65</v>
      </c>
      <c r="J632" s="94" t="s">
        <v>71</v>
      </c>
      <c r="K632" s="114">
        <f>P632/3</f>
      </c>
      <c r="L632" s="115">
        <v>-3.03</v>
      </c>
      <c r="M632" s="116">
        <f>L632</f>
      </c>
      <c r="N632" s="117">
        <f>M632-L632</f>
      </c>
      <c r="O632" s="112"/>
      <c r="P632" s="118">
        <f>N632+O632</f>
      </c>
      <c r="Q632" s="94" t="s">
        <v>117</v>
      </c>
      <c r="R632" s="94" t="s">
        <v>63</v>
      </c>
      <c r="S632" s="120">
        <v>46320</v>
      </c>
      <c r="T632" s="120"/>
      <c r="U632" s="120">
        <v>46320</v>
      </c>
      <c r="V632" s="94"/>
      <c r="W632" s="94"/>
      <c r="X632" s="94"/>
      <c r="Y632" s="119">
        <v>46320</v>
      </c>
      <c r="Z632" s="94"/>
      <c r="AA632" s="120"/>
      <c r="AB632" s="120"/>
      <c r="AC632" s="120"/>
      <c r="AD632" s="120"/>
      <c r="AE632" s="120"/>
      <c r="AF632" s="120"/>
      <c r="AG632" s="94"/>
      <c r="AH632" s="120"/>
      <c r="AI632" s="94"/>
      <c r="AJ632" s="94" t="s">
        <v>117</v>
      </c>
      <c r="AK632" s="94" t="s">
        <v>71</v>
      </c>
      <c r="AL632" s="94">
        <v>110</v>
      </c>
      <c r="AM632" s="94" t="str">
        <f>TRIM(AJ632)&amp;TRIM(AL632)&amp;TRIM(AK632)</f>
      </c>
      <c r="AN632" s="116">
        <v>1628</v>
      </c>
      <c r="AO632" s="116">
        <v>-17</v>
      </c>
      <c r="AP632" s="116">
        <f>SUMIFS(M:M,AM:AM,AM632)+SUMIFS(O:O,AM:AM,AM632)</f>
      </c>
      <c r="AQ632" s="116">
        <f>SUMIFS(L:L,AM:AM,AM632)</f>
      </c>
      <c r="AR632" s="116">
        <f>AQ632-AP632</f>
      </c>
      <c r="AS632" s="94" t="str">
        <f>IF(AN632&gt;=AQ632,"ok","ck")</f>
      </c>
      <c r="AT632" s="116">
        <f>-P632</f>
      </c>
      <c r="AU632" s="115">
        <f>IF(SUMIFS(AT:AT,AM:AM,AM632)&gt;AO632,(SUMIFS(AT:AT,AM:AM,AM632)-AO632))</f>
      </c>
      <c r="AV632" s="116">
        <v>1628</v>
      </c>
      <c r="AW632" s="121">
        <v>1.011</v>
      </c>
      <c r="AX632" s="115">
        <f>AN632-AP632</f>
      </c>
    </row>
    <row r="633" spans="1:50" ht="15" hidden="1" customHeight="1" x14ac:dyDescent="0.3">
      <c r="A633" s="94" t="s">
        <v>350</v>
      </c>
      <c r="B633" s="94"/>
      <c r="C633" s="94"/>
      <c r="D633" s="94"/>
      <c r="E633" s="94"/>
      <c r="F633" s="94"/>
      <c r="G633" s="112">
        <f>AU633</f>
      </c>
      <c r="H633" s="113"/>
      <c r="I633" s="94" t="s">
        <v>264</v>
      </c>
      <c r="J633" s="94" t="s">
        <v>286</v>
      </c>
      <c r="K633" s="114">
        <f>P633/3</f>
      </c>
      <c r="L633" s="115">
        <v>0</v>
      </c>
      <c r="M633" s="116">
        <f>L633</f>
      </c>
      <c r="N633" s="117">
        <f>M633-L633</f>
      </c>
      <c r="O633" s="112"/>
      <c r="P633" s="118">
        <f>N633+O633</f>
      </c>
      <c r="Q633" s="94" t="s">
        <v>351</v>
      </c>
      <c r="R633" s="94" t="s">
        <v>63</v>
      </c>
      <c r="S633" s="120">
        <v>46334</v>
      </c>
      <c r="T633" s="120"/>
      <c r="U633" s="120">
        <v>46334</v>
      </c>
      <c r="V633" s="94"/>
      <c r="W633" s="94"/>
      <c r="X633" s="94"/>
      <c r="Y633" s="119">
        <v>46334</v>
      </c>
      <c r="Z633" s="94"/>
      <c r="AA633" s="120"/>
      <c r="AB633" s="120"/>
      <c r="AC633" s="120"/>
      <c r="AD633" s="120"/>
      <c r="AE633" s="120"/>
      <c r="AF633" s="120"/>
      <c r="AG633" s="94"/>
      <c r="AH633" s="120"/>
      <c r="AI633" s="94"/>
      <c r="AJ633" s="94" t="s">
        <v>351</v>
      </c>
      <c r="AK633" s="94" t="s">
        <v>281</v>
      </c>
      <c r="AL633" s="94">
        <v>120</v>
      </c>
      <c r="AM633" s="94" t="str">
        <f>TRIM(AJ633)&amp;TRIM(AL633)&amp;TRIM(AK633)</f>
      </c>
      <c r="AN633" s="116">
        <v>102</v>
      </c>
      <c r="AO633" s="116">
        <v>-4.56</v>
      </c>
      <c r="AP633" s="116">
        <f>SUMIFS(M:M,AM:AM,AM633)+SUMIFS(O:O,AM:AM,AM633)</f>
      </c>
      <c r="AQ633" s="116">
        <f>SUMIFS(L:L,AM:AM,AM633)</f>
      </c>
      <c r="AR633" s="116">
        <f>AQ633-AP633</f>
      </c>
      <c r="AS633" s="94" t="str">
        <f>IF(AN633&gt;=AQ633,"ok","ck")</f>
      </c>
      <c r="AT633" s="116">
        <f>-P633</f>
      </c>
      <c r="AU633" s="115">
        <f>IF(SUMIFS(AT:AT,AM:AM,AM633)&gt;AO633,(SUMIFS(AT:AT,AM:AM,AM633)-AO633))</f>
      </c>
      <c r="AV633" s="116">
        <v>102</v>
      </c>
      <c r="AW633" s="121">
        <v>1.047</v>
      </c>
      <c r="AX633" s="115">
        <f>AN633-AP633</f>
      </c>
    </row>
    <row r="634" spans="1:50" ht="15" hidden="1" customHeight="1" x14ac:dyDescent="0.3">
      <c r="A634" s="94" t="s">
        <v>350</v>
      </c>
      <c r="B634" s="94"/>
      <c r="C634" s="94"/>
      <c r="D634" s="94"/>
      <c r="E634" s="94"/>
      <c r="F634" s="94"/>
      <c r="G634" s="112">
        <f>AU634</f>
      </c>
      <c r="H634" s="113"/>
      <c r="I634" s="94" t="s">
        <v>264</v>
      </c>
      <c r="J634" s="94" t="s">
        <v>286</v>
      </c>
      <c r="K634" s="114">
        <f>P634/3</f>
      </c>
      <c r="L634" s="115">
        <v>0</v>
      </c>
      <c r="M634" s="116">
        <f>L634</f>
      </c>
      <c r="N634" s="117">
        <f>M634-L634</f>
      </c>
      <c r="O634" s="112"/>
      <c r="P634" s="118">
        <f>N634+O634</f>
      </c>
      <c r="Q634" s="94" t="s">
        <v>351</v>
      </c>
      <c r="R634" s="94" t="s">
        <v>63</v>
      </c>
      <c r="S634" s="120">
        <v>46326</v>
      </c>
      <c r="T634" s="120"/>
      <c r="U634" s="120">
        <v>46326</v>
      </c>
      <c r="V634" s="94"/>
      <c r="W634" s="94"/>
      <c r="X634" s="94"/>
      <c r="Y634" s="119">
        <v>46326</v>
      </c>
      <c r="Z634" s="94"/>
      <c r="AA634" s="120"/>
      <c r="AB634" s="120"/>
      <c r="AC634" s="120"/>
      <c r="AD634" s="120"/>
      <c r="AE634" s="120"/>
      <c r="AF634" s="120"/>
      <c r="AG634" s="94"/>
      <c r="AH634" s="120"/>
      <c r="AI634" s="94"/>
      <c r="AJ634" s="94" t="s">
        <v>351</v>
      </c>
      <c r="AK634" s="94" t="s">
        <v>281</v>
      </c>
      <c r="AL634" s="94">
        <v>120</v>
      </c>
      <c r="AM634" s="94" t="str">
        <f>TRIM(AJ634)&amp;TRIM(AL634)&amp;TRIM(AK634)</f>
      </c>
      <c r="AN634" s="116">
        <v>102</v>
      </c>
      <c r="AO634" s="116">
        <v>-4.56</v>
      </c>
      <c r="AP634" s="116">
        <f>SUMIFS(M:M,AM:AM,AM634)+SUMIFS(O:O,AM:AM,AM634)</f>
      </c>
      <c r="AQ634" s="116">
        <f>SUMIFS(L:L,AM:AM,AM634)</f>
      </c>
      <c r="AR634" s="116">
        <f>AQ634-AP634</f>
      </c>
      <c r="AS634" s="94" t="str">
        <f>IF(AN634&gt;=AQ634,"ok","ck")</f>
      </c>
      <c r="AT634" s="116">
        <f>-P634</f>
      </c>
      <c r="AU634" s="115">
        <f>IF(SUMIFS(AT:AT,AM:AM,AM634)&gt;AO634,(SUMIFS(AT:AT,AM:AM,AM634)-AO634))</f>
      </c>
      <c r="AV634" s="116">
        <v>102</v>
      </c>
      <c r="AW634" s="121">
        <v>1.047</v>
      </c>
      <c r="AX634" s="115">
        <f>AN634-AP634</f>
      </c>
    </row>
    <row r="635" spans="1:50" ht="15" hidden="1" customHeight="1" x14ac:dyDescent="0.3">
      <c r="A635" s="94" t="s">
        <v>60</v>
      </c>
      <c r="B635" s="94"/>
      <c r="C635" s="94"/>
      <c r="D635" s="94"/>
      <c r="E635" s="94"/>
      <c r="F635" s="94"/>
      <c r="G635" s="112">
        <f>AU635</f>
      </c>
      <c r="H635" s="113"/>
      <c r="I635" s="94" t="s">
        <v>65</v>
      </c>
      <c r="J635" s="94" t="s">
        <v>539</v>
      </c>
      <c r="K635" s="114">
        <f>P635/3</f>
      </c>
      <c r="L635" s="115">
        <v>68.847999999999999</v>
      </c>
      <c r="M635" s="116">
        <v>68.847999999999999</v>
      </c>
      <c r="N635" s="117">
        <f>M635-L635</f>
      </c>
      <c r="O635" s="112"/>
      <c r="P635" s="118">
        <f>N635+O635</f>
      </c>
      <c r="Q635" s="94" t="s">
        <v>791</v>
      </c>
      <c r="R635" s="94" t="s">
        <v>63</v>
      </c>
      <c r="S635" s="120">
        <v>46327</v>
      </c>
      <c r="T635" s="120"/>
      <c r="U635" s="120">
        <v>46327</v>
      </c>
      <c r="V635" s="94"/>
      <c r="W635" s="94"/>
      <c r="X635" s="94"/>
      <c r="Y635" s="119">
        <v>46327</v>
      </c>
      <c r="Z635" s="94"/>
      <c r="AA635" s="120"/>
      <c r="AB635" s="120"/>
      <c r="AC635" s="120"/>
      <c r="AD635" s="120"/>
      <c r="AE635" s="120"/>
      <c r="AF635" s="120"/>
      <c r="AG635" s="94"/>
      <c r="AH635" s="120"/>
      <c r="AI635" s="94"/>
      <c r="AJ635" s="94" t="s">
        <v>791</v>
      </c>
      <c r="AK635" s="94" t="s">
        <v>539</v>
      </c>
      <c r="AL635" s="94">
        <v>110</v>
      </c>
      <c r="AM635" s="94" t="str">
        <f>TRIM(AJ635)&amp;TRIM(AL635)&amp;TRIM(AK635)</f>
      </c>
      <c r="AN635" s="116">
        <v>234</v>
      </c>
      <c r="AO635" s="116">
        <v>48.12</v>
      </c>
      <c r="AP635" s="116">
        <f>SUMIFS(M:M,AM:AM,AM635)+SUMIFS(O:O,AM:AM,AM635)</f>
      </c>
      <c r="AQ635" s="116">
        <f>SUMIFS(L:L,AM:AM,AM635)</f>
      </c>
      <c r="AR635" s="116">
        <f>AQ635-AP635</f>
      </c>
      <c r="AS635" s="94" t="str">
        <f>IF(AN635&gt;=AQ635,"ok","ck")</f>
      </c>
      <c r="AT635" s="116">
        <f>-P635</f>
      </c>
      <c r="AU635" s="115">
        <f>IF(SUMIFS(AT:AT,AM:AM,AM635)&gt;AO635,(SUMIFS(AT:AT,AM:AM,AM635)-AO635))</f>
      </c>
      <c r="AV635" s="116">
        <v>234</v>
      </c>
      <c r="AW635" s="121">
        <v>0.829</v>
      </c>
      <c r="AX635" s="115">
        <f>AN635-AP635</f>
      </c>
    </row>
    <row r="636" spans="1:50" ht="15" hidden="1" customHeight="1" x14ac:dyDescent="0.3">
      <c r="A636" s="94" t="s">
        <v>60</v>
      </c>
      <c r="B636" s="94"/>
      <c r="C636" s="94"/>
      <c r="D636" s="94"/>
      <c r="E636" s="94"/>
      <c r="F636" s="94"/>
      <c r="G636" s="112">
        <f>AU636</f>
      </c>
      <c r="H636" s="113"/>
      <c r="I636" s="94" t="s">
        <v>65</v>
      </c>
      <c r="J636" s="94" t="s">
        <v>539</v>
      </c>
      <c r="K636" s="114">
        <f>P636/3</f>
      </c>
      <c r="L636" s="115">
        <v>106.32</v>
      </c>
      <c r="M636" s="116">
        <v>58.44</v>
      </c>
      <c r="N636" s="117">
        <f>M636-L636</f>
      </c>
      <c r="O636" s="112"/>
      <c r="P636" s="118">
        <f>N636+O636</f>
      </c>
      <c r="Q636" s="94" t="s">
        <v>791</v>
      </c>
      <c r="R636" s="94" t="s">
        <v>63</v>
      </c>
      <c r="S636" s="120">
        <v>46331</v>
      </c>
      <c r="T636" s="120"/>
      <c r="U636" s="120">
        <v>46331</v>
      </c>
      <c r="V636" s="94"/>
      <c r="W636" s="94"/>
      <c r="X636" s="94"/>
      <c r="Y636" s="119">
        <v>46331</v>
      </c>
      <c r="Z636" s="94"/>
      <c r="AA636" s="120"/>
      <c r="AB636" s="120"/>
      <c r="AC636" s="120"/>
      <c r="AD636" s="120"/>
      <c r="AE636" s="120"/>
      <c r="AF636" s="120"/>
      <c r="AG636" s="94"/>
      <c r="AH636" s="120"/>
      <c r="AI636" s="94"/>
      <c r="AJ636" s="94" t="s">
        <v>791</v>
      </c>
      <c r="AK636" s="94" t="s">
        <v>539</v>
      </c>
      <c r="AL636" s="94">
        <v>110</v>
      </c>
      <c r="AM636" s="94" t="str">
        <f>TRIM(AJ636)&amp;TRIM(AL636)&amp;TRIM(AK636)</f>
      </c>
      <c r="AN636" s="116">
        <v>234</v>
      </c>
      <c r="AO636" s="116">
        <v>48.12</v>
      </c>
      <c r="AP636" s="116">
        <f>SUMIFS(M:M,AM:AM,AM636)+SUMIFS(O:O,AM:AM,AM636)</f>
      </c>
      <c r="AQ636" s="116">
        <f>SUMIFS(L:L,AM:AM,AM636)</f>
      </c>
      <c r="AR636" s="116">
        <f>AQ636-AP636</f>
      </c>
      <c r="AS636" s="94" t="str">
        <f>IF(AN636&gt;=AQ636,"ok","ck")</f>
      </c>
      <c r="AT636" s="116">
        <f>-P636</f>
      </c>
      <c r="AU636" s="115">
        <f>IF(SUMIFS(AT:AT,AM:AM,AM636)&gt;AO636,(SUMIFS(AT:AT,AM:AM,AM636)-AO636))</f>
      </c>
      <c r="AV636" s="116">
        <v>234</v>
      </c>
      <c r="AW636" s="121">
        <v>0.829</v>
      </c>
      <c r="AX636" s="115">
        <f>AN636-AP636</f>
      </c>
    </row>
    <row r="637" spans="1:50" ht="15" hidden="1" customHeight="1" x14ac:dyDescent="0.3">
      <c r="A637" s="94" t="s">
        <v>253</v>
      </c>
      <c r="B637" s="94"/>
      <c r="C637" s="94"/>
      <c r="D637" s="94"/>
      <c r="E637" s="94"/>
      <c r="F637" s="94"/>
      <c r="G637" s="112">
        <f>AU637</f>
      </c>
      <c r="H637" s="113"/>
      <c r="I637" s="94" t="s">
        <v>275</v>
      </c>
      <c r="J637" s="94" t="s">
        <v>320</v>
      </c>
      <c r="K637" s="114">
        <f>P637/3</f>
      </c>
      <c r="L637" s="115">
        <v>-10.763</v>
      </c>
      <c r="M637" s="116">
        <f>L637</f>
      </c>
      <c r="N637" s="117">
        <f>M637-L637</f>
      </c>
      <c r="O637" s="112"/>
      <c r="P637" s="118">
        <f>N637+O637</f>
      </c>
      <c r="Q637" s="94" t="s">
        <v>306</v>
      </c>
      <c r="R637" s="94" t="s">
        <v>63</v>
      </c>
      <c r="S637" s="120">
        <v>46320</v>
      </c>
      <c r="T637" s="120"/>
      <c r="U637" s="120">
        <v>46320</v>
      </c>
      <c r="V637" s="94"/>
      <c r="W637" s="94"/>
      <c r="X637" s="94"/>
      <c r="Y637" s="119">
        <v>46320</v>
      </c>
      <c r="Z637" s="94"/>
      <c r="AA637" s="120"/>
      <c r="AB637" s="120"/>
      <c r="AC637" s="120"/>
      <c r="AD637" s="120"/>
      <c r="AE637" s="120"/>
      <c r="AF637" s="120"/>
      <c r="AG637" s="94"/>
      <c r="AH637" s="120"/>
      <c r="AI637" s="94"/>
      <c r="AJ637" s="94" t="s">
        <v>307</v>
      </c>
      <c r="AK637" s="94" t="s">
        <v>321</v>
      </c>
      <c r="AL637" s="94">
        <v>150</v>
      </c>
      <c r="AM637" s="94" t="str">
        <f>TRIM(AJ637)&amp;TRIM(AL637)&amp;TRIM(AK637)</f>
      </c>
      <c r="AN637" s="116">
        <v>1662</v>
      </c>
      <c r="AO637" s="116">
        <v>-42</v>
      </c>
      <c r="AP637" s="116">
        <f>SUMIFS(M:M,AM:AM,AM637)+SUMIFS(O:O,AM:AM,AM637)</f>
      </c>
      <c r="AQ637" s="116">
        <f>SUMIFS(L:L,AM:AM,AM637)</f>
      </c>
      <c r="AR637" s="116">
        <f>AQ637-AP637</f>
      </c>
      <c r="AS637" s="94" t="str">
        <f>IF(AN637&gt;=AQ637,"ok","ck")</f>
      </c>
      <c r="AT637" s="116">
        <f>-P637</f>
      </c>
      <c r="AU637" s="115">
        <f>IF(SUMIFS(AT:AT,AM:AM,AM637)&gt;AO637,(SUMIFS(AT:AT,AM:AM,AM637)-AO637))</f>
      </c>
      <c r="AV637" s="116">
        <v>1662</v>
      </c>
      <c r="AW637" s="121">
        <v>1.026</v>
      </c>
      <c r="AX637" s="115">
        <f>AN637-AP637</f>
      </c>
    </row>
    <row r="638" spans="1:50" ht="15" hidden="1" customHeight="1" x14ac:dyDescent="0.3">
      <c r="A638" s="94" t="s">
        <v>253</v>
      </c>
      <c r="B638" s="94"/>
      <c r="C638" s="94"/>
      <c r="D638" s="94"/>
      <c r="E638" s="94"/>
      <c r="F638" s="94"/>
      <c r="G638" s="112">
        <f>AU638</f>
      </c>
      <c r="H638" s="113"/>
      <c r="I638" s="94" t="s">
        <v>275</v>
      </c>
      <c r="J638" s="94" t="s">
        <v>276</v>
      </c>
      <c r="K638" s="114">
        <f>P638/3</f>
      </c>
      <c r="L638" s="115">
        <v>-14.234</v>
      </c>
      <c r="M638" s="116">
        <f>L638</f>
      </c>
      <c r="N638" s="117">
        <f>M638-L638</f>
      </c>
      <c r="O638" s="112"/>
      <c r="P638" s="118">
        <f>N638+O638</f>
      </c>
      <c r="Q638" s="94" t="s">
        <v>306</v>
      </c>
      <c r="R638" s="94" t="s">
        <v>63</v>
      </c>
      <c r="S638" s="120">
        <v>46320</v>
      </c>
      <c r="T638" s="120"/>
      <c r="U638" s="120">
        <v>46320</v>
      </c>
      <c r="V638" s="94"/>
      <c r="W638" s="94"/>
      <c r="X638" s="94"/>
      <c r="Y638" s="119">
        <v>46320</v>
      </c>
      <c r="Z638" s="94"/>
      <c r="AA638" s="120"/>
      <c r="AB638" s="120"/>
      <c r="AC638" s="120"/>
      <c r="AD638" s="120"/>
      <c r="AE638" s="120"/>
      <c r="AF638" s="120"/>
      <c r="AG638" s="94"/>
      <c r="AH638" s="120"/>
      <c r="AI638" s="94"/>
      <c r="AJ638" s="94" t="s">
        <v>307</v>
      </c>
      <c r="AK638" s="94" t="s">
        <v>277</v>
      </c>
      <c r="AL638" s="94">
        <v>150</v>
      </c>
      <c r="AM638" s="94" t="str">
        <f>TRIM(AJ638)&amp;TRIM(AL638)&amp;TRIM(AK638)</f>
      </c>
      <c r="AN638" s="116">
        <v>1101</v>
      </c>
      <c r="AO638" s="116">
        <v>-20.98</v>
      </c>
      <c r="AP638" s="116">
        <f>SUMIFS(M:M,AM:AM,AM638)+SUMIFS(O:O,AM:AM,AM638)</f>
      </c>
      <c r="AQ638" s="116">
        <f>SUMIFS(L:L,AM:AM,AM638)</f>
      </c>
      <c r="AR638" s="116">
        <f>AQ638-AP638</f>
      </c>
      <c r="AS638" s="94" t="str">
        <f>IF(AN638&gt;=AQ638,"ok","ck")</f>
      </c>
      <c r="AT638" s="116">
        <f>-P638</f>
      </c>
      <c r="AU638" s="115">
        <f>IF(SUMIFS(AT:AT,AM:AM,AM638)&gt;AO638,(SUMIFS(AT:AT,AM:AM,AM638)-AO638))</f>
      </c>
      <c r="AV638" s="116">
        <v>1101</v>
      </c>
      <c r="AW638" s="121">
        <v>1.019</v>
      </c>
      <c r="AX638" s="115">
        <f>AN638-AP638</f>
      </c>
    </row>
    <row r="639" spans="1:50" ht="15" hidden="1" customHeight="1" x14ac:dyDescent="0.3">
      <c r="A639" s="94" t="s">
        <v>253</v>
      </c>
      <c r="B639" s="94"/>
      <c r="C639" s="94"/>
      <c r="D639" s="94"/>
      <c r="E639" s="94"/>
      <c r="F639" s="94"/>
      <c r="G639" s="112">
        <f>AU639</f>
      </c>
      <c r="H639" s="113"/>
      <c r="I639" s="94" t="s">
        <v>275</v>
      </c>
      <c r="J639" s="94" t="s">
        <v>276</v>
      </c>
      <c r="K639" s="114">
        <f>P639/3</f>
      </c>
      <c r="L639" s="115">
        <v>-7.1159999999999997</v>
      </c>
      <c r="M639" s="116">
        <f>L639</f>
      </c>
      <c r="N639" s="117">
        <f>M639-L639</f>
      </c>
      <c r="O639" s="112"/>
      <c r="P639" s="118">
        <f>N639+O639</f>
      </c>
      <c r="Q639" s="94" t="s">
        <v>306</v>
      </c>
      <c r="R639" s="94" t="s">
        <v>63</v>
      </c>
      <c r="S639" s="120">
        <v>46320</v>
      </c>
      <c r="T639" s="120"/>
      <c r="U639" s="120">
        <v>46320</v>
      </c>
      <c r="V639" s="94"/>
      <c r="W639" s="94"/>
      <c r="X639" s="94"/>
      <c r="Y639" s="119">
        <v>46320</v>
      </c>
      <c r="Z639" s="94"/>
      <c r="AA639" s="120"/>
      <c r="AB639" s="120"/>
      <c r="AC639" s="120"/>
      <c r="AD639" s="120"/>
      <c r="AE639" s="120"/>
      <c r="AF639" s="120"/>
      <c r="AG639" s="94"/>
      <c r="AH639" s="120"/>
      <c r="AI639" s="94"/>
      <c r="AJ639" s="94" t="s">
        <v>307</v>
      </c>
      <c r="AK639" s="94" t="s">
        <v>277</v>
      </c>
      <c r="AL639" s="94">
        <v>150</v>
      </c>
      <c r="AM639" s="94" t="str">
        <f>TRIM(AJ639)&amp;TRIM(AL639)&amp;TRIM(AK639)</f>
      </c>
      <c r="AN639" s="116">
        <v>1101</v>
      </c>
      <c r="AO639" s="116">
        <v>-20.98</v>
      </c>
      <c r="AP639" s="116">
        <f>SUMIFS(M:M,AM:AM,AM639)+SUMIFS(O:O,AM:AM,AM639)</f>
      </c>
      <c r="AQ639" s="116">
        <f>SUMIFS(L:L,AM:AM,AM639)</f>
      </c>
      <c r="AR639" s="116">
        <f>AQ639-AP639</f>
      </c>
      <c r="AS639" s="94" t="str">
        <f>IF(AN639&gt;=AQ639,"ok","ck")</f>
      </c>
      <c r="AT639" s="116">
        <f>-P639</f>
      </c>
      <c r="AU639" s="115">
        <f>IF(SUMIFS(AT:AT,AM:AM,AM639)&gt;AO639,(SUMIFS(AT:AT,AM:AM,AM639)-AO639))</f>
      </c>
      <c r="AV639" s="116">
        <v>1101</v>
      </c>
      <c r="AW639" s="121">
        <v>1.019</v>
      </c>
      <c r="AX639" s="115">
        <f>AN639-AP639</f>
      </c>
    </row>
    <row r="640" spans="1:50" ht="15" hidden="1" customHeight="1" x14ac:dyDescent="0.3">
      <c r="A640" s="94" t="s">
        <v>288</v>
      </c>
      <c r="B640" s="94"/>
      <c r="C640" s="94"/>
      <c r="D640" s="94"/>
      <c r="E640" s="94"/>
      <c r="F640" s="94"/>
      <c r="G640" s="112">
        <f>AU640</f>
      </c>
      <c r="H640" s="113"/>
      <c r="I640" s="94" t="s">
        <v>289</v>
      </c>
      <c r="J640" s="94" t="s">
        <v>358</v>
      </c>
      <c r="K640" s="114">
        <f>P640/3</f>
      </c>
      <c r="L640" s="115">
        <v>0</v>
      </c>
      <c r="M640" s="116">
        <f>L640</f>
      </c>
      <c r="N640" s="117">
        <f>M640-L640</f>
      </c>
      <c r="O640" s="112"/>
      <c r="P640" s="118">
        <f>N640+O640</f>
      </c>
      <c r="Q640" s="94" t="s">
        <v>296</v>
      </c>
      <c r="R640" s="94" t="s">
        <v>63</v>
      </c>
      <c r="S640" s="120">
        <v>46331</v>
      </c>
      <c r="T640" s="120"/>
      <c r="U640" s="120">
        <v>46331</v>
      </c>
      <c r="V640" s="94"/>
      <c r="W640" s="94"/>
      <c r="X640" s="94"/>
      <c r="Y640" s="119">
        <v>46331</v>
      </c>
      <c r="Z640" s="94"/>
      <c r="AA640" s="120"/>
      <c r="AB640" s="120"/>
      <c r="AC640" s="120"/>
      <c r="AD640" s="120"/>
      <c r="AE640" s="120"/>
      <c r="AF640" s="120"/>
      <c r="AG640" s="94"/>
      <c r="AH640" s="120"/>
      <c r="AI640" s="94"/>
      <c r="AJ640" s="94" t="s">
        <v>479</v>
      </c>
      <c r="AK640" s="94" t="s">
        <v>359</v>
      </c>
      <c r="AL640" s="94">
        <v>235</v>
      </c>
      <c r="AM640" s="94" t="str">
        <f>TRIM(AJ640)&amp;TRIM(AL640)&amp;TRIM(AK640)</f>
      </c>
      <c r="AN640" s="116">
        <v>810.99</v>
      </c>
      <c r="AO640" s="116">
        <v>19.03</v>
      </c>
      <c r="AP640" s="116">
        <f>SUMIFS(M:M,AM:AM,AM640)+SUMIFS(O:O,AM:AM,AM640)</f>
      </c>
      <c r="AQ640" s="116">
        <f>SUMIFS(L:L,AM:AM,AM640)</f>
      </c>
      <c r="AR640" s="116">
        <f>AQ640-AP640</f>
      </c>
      <c r="AS640" s="94" t="str">
        <f>IF(AN640&gt;=AQ640,"ok","ck")</f>
      </c>
      <c r="AT640" s="116">
        <f>-P640</f>
      </c>
      <c r="AU640" s="115">
        <f>IF(SUMIFS(AT:AT,AM:AM,AM640)&gt;AO640,(SUMIFS(AT:AT,AM:AM,AM640)-AO640))</f>
      </c>
      <c r="AV640" s="116">
        <v>810.99</v>
      </c>
      <c r="AW640" s="121">
        <v>0.977</v>
      </c>
      <c r="AX640" s="115">
        <f>AN640-AP640</f>
      </c>
    </row>
    <row r="641" spans="1:50" ht="15" hidden="1" customHeight="1" x14ac:dyDescent="0.3">
      <c r="A641" s="94" t="s">
        <v>288</v>
      </c>
      <c r="B641" s="94"/>
      <c r="C641" s="94"/>
      <c r="D641" s="94"/>
      <c r="E641" s="94"/>
      <c r="F641" s="94"/>
      <c r="G641" s="112">
        <f>AU641</f>
      </c>
      <c r="H641" s="113"/>
      <c r="I641" s="94" t="s">
        <v>289</v>
      </c>
      <c r="J641" s="94" t="s">
        <v>358</v>
      </c>
      <c r="K641" s="114">
        <f>P641/3</f>
      </c>
      <c r="L641" s="115">
        <v>0</v>
      </c>
      <c r="M641" s="116">
        <f>L641</f>
      </c>
      <c r="N641" s="117">
        <f>M641-L641</f>
      </c>
      <c r="O641" s="112"/>
      <c r="P641" s="118">
        <f>N641+O641</f>
      </c>
      <c r="Q641" s="94" t="s">
        <v>296</v>
      </c>
      <c r="R641" s="94" t="s">
        <v>63</v>
      </c>
      <c r="S641" s="120">
        <v>46343</v>
      </c>
      <c r="T641" s="120"/>
      <c r="U641" s="120">
        <v>46343</v>
      </c>
      <c r="V641" s="94"/>
      <c r="W641" s="94"/>
      <c r="X641" s="94"/>
      <c r="Y641" s="119">
        <v>46343</v>
      </c>
      <c r="Z641" s="94"/>
      <c r="AA641" s="120"/>
      <c r="AB641" s="120"/>
      <c r="AC641" s="120"/>
      <c r="AD641" s="120"/>
      <c r="AE641" s="120"/>
      <c r="AF641" s="120"/>
      <c r="AG641" s="94"/>
      <c r="AH641" s="120"/>
      <c r="AI641" s="94"/>
      <c r="AJ641" s="94" t="s">
        <v>479</v>
      </c>
      <c r="AK641" s="94" t="s">
        <v>359</v>
      </c>
      <c r="AL641" s="94">
        <v>235</v>
      </c>
      <c r="AM641" s="94" t="str">
        <f>TRIM(AJ641)&amp;TRIM(AL641)&amp;TRIM(AK641)</f>
      </c>
      <c r="AN641" s="116">
        <v>810.99</v>
      </c>
      <c r="AO641" s="116">
        <v>19.03</v>
      </c>
      <c r="AP641" s="116">
        <f>SUMIFS(M:M,AM:AM,AM641)+SUMIFS(O:O,AM:AM,AM641)</f>
      </c>
      <c r="AQ641" s="116">
        <f>SUMIFS(L:L,AM:AM,AM641)</f>
      </c>
      <c r="AR641" s="116">
        <f>AQ641-AP641</f>
      </c>
      <c r="AS641" s="94" t="str">
        <f>IF(AN641&gt;=AQ641,"ok","ck")</f>
      </c>
      <c r="AT641" s="116">
        <f>-P641</f>
      </c>
      <c r="AU641" s="115">
        <f>IF(SUMIFS(AT:AT,AM:AM,AM641)&gt;AO641,(SUMIFS(AT:AT,AM:AM,AM641)-AO641))</f>
      </c>
      <c r="AV641" s="116">
        <v>810.99</v>
      </c>
      <c r="AW641" s="121">
        <v>0.977</v>
      </c>
      <c r="AX641" s="115">
        <f>AN641-AP641</f>
      </c>
    </row>
    <row r="642" spans="1:50" ht="15" hidden="1" customHeight="1" x14ac:dyDescent="0.3">
      <c r="A642" s="94" t="s">
        <v>288</v>
      </c>
      <c r="B642" s="94"/>
      <c r="C642" s="94"/>
      <c r="D642" s="94"/>
      <c r="E642" s="94"/>
      <c r="F642" s="94"/>
      <c r="G642" s="112">
        <f>AU642</f>
      </c>
      <c r="H642" s="113"/>
      <c r="I642" s="94" t="s">
        <v>289</v>
      </c>
      <c r="J642" s="94" t="s">
        <v>358</v>
      </c>
      <c r="K642" s="114">
        <f>P642/3</f>
      </c>
      <c r="L642" s="115">
        <v>0</v>
      </c>
      <c r="M642" s="116">
        <f>L642</f>
      </c>
      <c r="N642" s="117">
        <f>M642-L642</f>
      </c>
      <c r="O642" s="112"/>
      <c r="P642" s="118">
        <f>N642+O642</f>
      </c>
      <c r="Q642" s="94" t="s">
        <v>296</v>
      </c>
      <c r="R642" s="94" t="s">
        <v>63</v>
      </c>
      <c r="S642" s="120">
        <v>46340</v>
      </c>
      <c r="T642" s="120"/>
      <c r="U642" s="120">
        <v>46340</v>
      </c>
      <c r="V642" s="94"/>
      <c r="W642" s="94"/>
      <c r="X642" s="94"/>
      <c r="Y642" s="119">
        <v>46340</v>
      </c>
      <c r="Z642" s="94"/>
      <c r="AA642" s="120"/>
      <c r="AB642" s="120"/>
      <c r="AC642" s="120"/>
      <c r="AD642" s="120"/>
      <c r="AE642" s="120"/>
      <c r="AF642" s="120"/>
      <c r="AG642" s="94"/>
      <c r="AH642" s="120"/>
      <c r="AI642" s="94"/>
      <c r="AJ642" s="94" t="s">
        <v>479</v>
      </c>
      <c r="AK642" s="94" t="s">
        <v>359</v>
      </c>
      <c r="AL642" s="94">
        <v>235</v>
      </c>
      <c r="AM642" s="94" t="str">
        <f>TRIM(AJ642)&amp;TRIM(AL642)&amp;TRIM(AK642)</f>
      </c>
      <c r="AN642" s="116">
        <v>810.99</v>
      </c>
      <c r="AO642" s="116">
        <v>19.03</v>
      </c>
      <c r="AP642" s="116">
        <f>SUMIFS(M:M,AM:AM,AM642)+SUMIFS(O:O,AM:AM,AM642)</f>
      </c>
      <c r="AQ642" s="116">
        <f>SUMIFS(L:L,AM:AM,AM642)</f>
      </c>
      <c r="AR642" s="116">
        <f>AQ642-AP642</f>
      </c>
      <c r="AS642" s="94" t="str">
        <f>IF(AN642&gt;=AQ642,"ok","ck")</f>
      </c>
      <c r="AT642" s="116">
        <f>-P642</f>
      </c>
      <c r="AU642" s="115">
        <f>IF(SUMIFS(AT:AT,AM:AM,AM642)&gt;AO642,(SUMIFS(AT:AT,AM:AM,AM642)-AO642))</f>
      </c>
      <c r="AV642" s="116">
        <v>810.99</v>
      </c>
      <c r="AW642" s="121">
        <v>0.977</v>
      </c>
      <c r="AX642" s="115">
        <f>AN642-AP642</f>
      </c>
    </row>
    <row r="643" spans="1:50" ht="15" hidden="1" customHeight="1" x14ac:dyDescent="0.3">
      <c r="A643" s="94" t="s">
        <v>263</v>
      </c>
      <c r="B643" s="94"/>
      <c r="C643" s="94"/>
      <c r="D643" s="94"/>
      <c r="E643" s="94"/>
      <c r="F643" s="94"/>
      <c r="G643" s="112">
        <f>AU643</f>
      </c>
      <c r="H643" s="113"/>
      <c r="I643" s="94" t="s">
        <v>264</v>
      </c>
      <c r="J643" s="94" t="s">
        <v>357</v>
      </c>
      <c r="K643" s="114">
        <f>P643/3</f>
      </c>
      <c r="L643" s="115">
        <v>0</v>
      </c>
      <c r="M643" s="116">
        <f>L643</f>
      </c>
      <c r="N643" s="117">
        <f>M643-L643</f>
      </c>
      <c r="O643" s="112"/>
      <c r="P643" s="118">
        <f>N643+O643</f>
      </c>
      <c r="Q643" s="94" t="s">
        <v>788</v>
      </c>
      <c r="R643" s="94" t="s">
        <v>63</v>
      </c>
      <c r="S643" s="120">
        <v>46341</v>
      </c>
      <c r="T643" s="120"/>
      <c r="U643" s="120">
        <v>46341</v>
      </c>
      <c r="V643" s="94"/>
      <c r="W643" s="94"/>
      <c r="X643" s="94"/>
      <c r="Y643" s="119">
        <v>46341</v>
      </c>
      <c r="Z643" s="94"/>
      <c r="AA643" s="120"/>
      <c r="AB643" s="120"/>
      <c r="AC643" s="120"/>
      <c r="AD643" s="120"/>
      <c r="AE643" s="120"/>
      <c r="AF643" s="120"/>
      <c r="AG643" s="94"/>
      <c r="AH643" s="120"/>
      <c r="AI643" s="94"/>
      <c r="AJ643" s="94" t="s">
        <v>788</v>
      </c>
      <c r="AK643" s="94" t="s">
        <v>357</v>
      </c>
      <c r="AL643" s="94">
        <v>120</v>
      </c>
      <c r="AM643" s="94" t="str">
        <f>TRIM(AJ643)&amp;TRIM(AL643)&amp;TRIM(AK643)</f>
      </c>
      <c r="AN643" s="116">
        <v>835</v>
      </c>
      <c r="AO643" s="116">
        <v>-12</v>
      </c>
      <c r="AP643" s="116">
        <f>SUMIFS(M:M,AM:AM,AM643)+SUMIFS(O:O,AM:AM,AM643)</f>
      </c>
      <c r="AQ643" s="116">
        <f>SUMIFS(L:L,AM:AM,AM643)</f>
      </c>
      <c r="AR643" s="116">
        <f>AQ643-AP643</f>
      </c>
      <c r="AS643" s="94" t="str">
        <f>IF(AN643&gt;=AQ643,"ok","ck")</f>
      </c>
      <c r="AT643" s="116">
        <f>-P643</f>
      </c>
      <c r="AU643" s="115">
        <f>IF(SUMIFS(AT:AT,AM:AM,AM643)&gt;AO643,(SUMIFS(AT:AT,AM:AM,AM643)-AO643))</f>
      </c>
      <c r="AV643" s="116">
        <v>835</v>
      </c>
      <c r="AW643" s="121">
        <v>1.015</v>
      </c>
      <c r="AX643" s="115">
        <f>AN643-AP643</f>
      </c>
    </row>
    <row r="644" spans="1:50" ht="15" hidden="1" customHeight="1" x14ac:dyDescent="0.3">
      <c r="A644" s="94" t="s">
        <v>263</v>
      </c>
      <c r="B644" s="94"/>
      <c r="C644" s="94"/>
      <c r="D644" s="94"/>
      <c r="E644" s="94"/>
      <c r="F644" s="94"/>
      <c r="G644" s="112">
        <f>AU644</f>
      </c>
      <c r="H644" s="113"/>
      <c r="I644" s="94" t="s">
        <v>264</v>
      </c>
      <c r="J644" s="94" t="s">
        <v>357</v>
      </c>
      <c r="K644" s="114">
        <f>P644/3</f>
      </c>
      <c r="L644" s="115">
        <v>0</v>
      </c>
      <c r="M644" s="116">
        <f>L644</f>
      </c>
      <c r="N644" s="117">
        <f>M644-L644</f>
      </c>
      <c r="O644" s="112"/>
      <c r="P644" s="118">
        <f>N644+O644</f>
      </c>
      <c r="Q644" s="94" t="s">
        <v>788</v>
      </c>
      <c r="R644" s="94" t="s">
        <v>63</v>
      </c>
      <c r="S644" s="120">
        <v>46343</v>
      </c>
      <c r="T644" s="120"/>
      <c r="U644" s="120">
        <v>46343</v>
      </c>
      <c r="V644" s="94"/>
      <c r="W644" s="94"/>
      <c r="X644" s="94"/>
      <c r="Y644" s="119">
        <v>46343</v>
      </c>
      <c r="Z644" s="94"/>
      <c r="AA644" s="120"/>
      <c r="AB644" s="120"/>
      <c r="AC644" s="120"/>
      <c r="AD644" s="120"/>
      <c r="AE644" s="120"/>
      <c r="AF644" s="120"/>
      <c r="AG644" s="94"/>
      <c r="AH644" s="120"/>
      <c r="AI644" s="94"/>
      <c r="AJ644" s="94" t="s">
        <v>788</v>
      </c>
      <c r="AK644" s="94" t="s">
        <v>357</v>
      </c>
      <c r="AL644" s="94">
        <v>120</v>
      </c>
      <c r="AM644" s="94" t="str">
        <f>TRIM(AJ644)&amp;TRIM(AL644)&amp;TRIM(AK644)</f>
      </c>
      <c r="AN644" s="116">
        <v>835</v>
      </c>
      <c r="AO644" s="116">
        <v>-12</v>
      </c>
      <c r="AP644" s="116">
        <f>SUMIFS(M:M,AM:AM,AM644)+SUMIFS(O:O,AM:AM,AM644)</f>
      </c>
      <c r="AQ644" s="116">
        <f>SUMIFS(L:L,AM:AM,AM644)</f>
      </c>
      <c r="AR644" s="116">
        <f>AQ644-AP644</f>
      </c>
      <c r="AS644" s="94" t="str">
        <f>IF(AN644&gt;=AQ644,"ok","ck")</f>
      </c>
      <c r="AT644" s="116">
        <f>-P644</f>
      </c>
      <c r="AU644" s="115">
        <f>IF(SUMIFS(AT:AT,AM:AM,AM644)&gt;AO644,(SUMIFS(AT:AT,AM:AM,AM644)-AO644))</f>
      </c>
      <c r="AV644" s="116">
        <v>835</v>
      </c>
      <c r="AW644" s="121">
        <v>1.015</v>
      </c>
      <c r="AX644" s="115">
        <f>AN644-AP644</f>
      </c>
    </row>
    <row r="645" spans="1:50" ht="15" hidden="1" customHeight="1" x14ac:dyDescent="0.3">
      <c r="A645" s="94" t="s">
        <v>82</v>
      </c>
      <c r="B645" s="94"/>
      <c r="C645" s="94"/>
      <c r="D645" s="94"/>
      <c r="E645" s="94"/>
      <c r="F645" s="94"/>
      <c r="G645" s="112">
        <f>AU645</f>
      </c>
      <c r="H645" s="113"/>
      <c r="I645" s="94" t="s">
        <v>240</v>
      </c>
      <c r="J645" s="94" t="s">
        <v>66</v>
      </c>
      <c r="K645" s="114">
        <f>P645/3</f>
      </c>
      <c r="L645" s="115">
        <v>3000</v>
      </c>
      <c r="M645" s="116"/>
      <c r="N645" s="117">
        <f>M645-L645</f>
      </c>
      <c r="O645" s="112"/>
      <c r="P645" s="118">
        <f>N645+O645</f>
      </c>
      <c r="Q645" s="94" t="s">
        <v>854</v>
      </c>
      <c r="R645" s="94" t="s">
        <v>63</v>
      </c>
      <c r="S645" s="120">
        <v>46334</v>
      </c>
      <c r="T645" s="120"/>
      <c r="U645" s="120" t="s">
        <v>646</v>
      </c>
      <c r="V645" s="94"/>
      <c r="W645" s="94"/>
      <c r="X645" s="94"/>
      <c r="Y645" s="119">
        <v>46324</v>
      </c>
      <c r="Z645" s="94"/>
      <c r="AA645" s="120"/>
      <c r="AB645" s="120"/>
      <c r="AC645" s="120"/>
      <c r="AD645" s="120"/>
      <c r="AE645" s="120"/>
      <c r="AF645" s="120"/>
      <c r="AG645" s="94"/>
      <c r="AH645" s="120"/>
      <c r="AI645" s="94"/>
      <c r="AJ645" s="94" t="s">
        <v>801</v>
      </c>
      <c r="AK645" s="94" t="s">
        <v>66</v>
      </c>
      <c r="AL645" s="94">
        <v>190</v>
      </c>
      <c r="AM645" s="94" t="str">
        <f>TRIM(AJ645)&amp;TRIM(AL645)&amp;TRIM(AK645)</f>
      </c>
      <c r="AN645" s="116">
        <v>0</v>
      </c>
      <c r="AO645" s="116" t="inlineStr">
        <is>
          <t>#NA</t>
        </is>
      </c>
      <c r="AP645" s="116">
        <f>SUMIFS(M:M,AM:AM,AM645)+SUMIFS(O:O,AM:AM,AM645)</f>
      </c>
      <c r="AQ645" s="116">
        <f>SUMIFS(L:L,AM:AM,AM645)</f>
      </c>
      <c r="AR645" s="116">
        <f>AQ645-AP645</f>
      </c>
      <c r="AS645" s="94" t="str">
        <f>IF(AN645&gt;=AQ645,"ok","ck")</f>
      </c>
      <c r="AT645" s="116">
        <f>-P645</f>
      </c>
      <c r="AU645" s="115">
        <f>IF(SUMIFS(AT:AT,AM:AM,AM645)&gt;AO645,(SUMIFS(AT:AT,AM:AM,AM645)-AO645))</f>
      </c>
      <c r="AV645" s="116">
        <v>0</v>
      </c>
      <c r="AW645" s="121">
        <v>0</v>
      </c>
      <c r="AX645" s="115">
        <f>AN645-AP645</f>
      </c>
    </row>
    <row r="646" spans="1:50" ht="15" hidden="1" customHeight="1" x14ac:dyDescent="0.3">
      <c r="A646" s="94" t="s">
        <v>82</v>
      </c>
      <c r="B646" s="94"/>
      <c r="C646" s="94"/>
      <c r="D646" s="94"/>
      <c r="E646" s="94"/>
      <c r="F646" s="94"/>
      <c r="G646" s="112">
        <f>AU646</f>
      </c>
      <c r="H646" s="113"/>
      <c r="I646" s="94" t="s">
        <v>240</v>
      </c>
      <c r="J646" s="94" t="s">
        <v>66</v>
      </c>
      <c r="K646" s="114">
        <f>P646/3</f>
      </c>
      <c r="L646" s="115">
        <v>3000</v>
      </c>
      <c r="M646" s="116"/>
      <c r="N646" s="117">
        <f>M646-L646</f>
      </c>
      <c r="O646" s="112"/>
      <c r="P646" s="118">
        <f>N646+O646</f>
      </c>
      <c r="Q646" s="94" t="s">
        <v>854</v>
      </c>
      <c r="R646" s="94" t="s">
        <v>63</v>
      </c>
      <c r="S646" s="120">
        <v>46335</v>
      </c>
      <c r="T646" s="120"/>
      <c r="U646" s="120" t="s">
        <v>646</v>
      </c>
      <c r="V646" s="94"/>
      <c r="W646" s="94"/>
      <c r="X646" s="94"/>
      <c r="Y646" s="119">
        <v>46324</v>
      </c>
      <c r="Z646" s="94"/>
      <c r="AA646" s="120"/>
      <c r="AB646" s="120"/>
      <c r="AC646" s="120"/>
      <c r="AD646" s="120"/>
      <c r="AE646" s="120"/>
      <c r="AF646" s="120"/>
      <c r="AG646" s="94"/>
      <c r="AH646" s="120"/>
      <c r="AI646" s="94"/>
      <c r="AJ646" s="94" t="s">
        <v>801</v>
      </c>
      <c r="AK646" s="94" t="s">
        <v>66</v>
      </c>
      <c r="AL646" s="94">
        <v>190</v>
      </c>
      <c r="AM646" s="94" t="str">
        <f>TRIM(AJ646)&amp;TRIM(AL646)&amp;TRIM(AK646)</f>
      </c>
      <c r="AN646" s="116">
        <v>0</v>
      </c>
      <c r="AO646" s="116" t="inlineStr">
        <is>
          <t>#NA</t>
        </is>
      </c>
      <c r="AP646" s="116">
        <f>SUMIFS(M:M,AM:AM,AM646)+SUMIFS(O:O,AM:AM,AM646)</f>
      </c>
      <c r="AQ646" s="116">
        <f>SUMIFS(L:L,AM:AM,AM646)</f>
      </c>
      <c r="AR646" s="116">
        <f>AQ646-AP646</f>
      </c>
      <c r="AS646" s="94" t="str">
        <f>IF(AN646&gt;=AQ646,"ok","ck")</f>
      </c>
      <c r="AT646" s="116">
        <f>-P646</f>
      </c>
      <c r="AU646" s="115">
        <f>IF(SUMIFS(AT:AT,AM:AM,AM646)&gt;AO646,(SUMIFS(AT:AT,AM:AM,AM646)-AO646))</f>
      </c>
      <c r="AV646" s="116">
        <v>0</v>
      </c>
      <c r="AW646" s="121">
        <v>0</v>
      </c>
      <c r="AX646" s="115">
        <f>AN646-AP646</f>
      </c>
    </row>
    <row r="647" spans="1:50" ht="15" hidden="1" customHeight="1" x14ac:dyDescent="0.3">
      <c r="A647" s="94" t="s">
        <v>82</v>
      </c>
      <c r="B647" s="94"/>
      <c r="C647" s="94"/>
      <c r="D647" s="94"/>
      <c r="E647" s="94"/>
      <c r="F647" s="94"/>
      <c r="G647" s="112">
        <f>AU647</f>
      </c>
      <c r="H647" s="113"/>
      <c r="I647" s="94" t="s">
        <v>240</v>
      </c>
      <c r="J647" s="94" t="s">
        <v>66</v>
      </c>
      <c r="K647" s="114">
        <f>P647/3</f>
      </c>
      <c r="L647" s="115">
        <v>3000</v>
      </c>
      <c r="M647" s="116"/>
      <c r="N647" s="117">
        <f>M647-L647</f>
      </c>
      <c r="O647" s="112"/>
      <c r="P647" s="118">
        <f>N647+O647</f>
      </c>
      <c r="Q647" s="94" t="s">
        <v>854</v>
      </c>
      <c r="R647" s="94" t="s">
        <v>63</v>
      </c>
      <c r="S647" s="119">
        <v>46336</v>
      </c>
      <c r="T647" s="119"/>
      <c r="U647" s="119" t="s">
        <v>646</v>
      </c>
      <c r="V647" s="94"/>
      <c r="W647" s="94"/>
      <c r="X647" s="94"/>
      <c r="Y647" s="119">
        <v>46324</v>
      </c>
      <c r="Z647" s="94"/>
      <c r="AA647" s="120"/>
      <c r="AB647" s="120"/>
      <c r="AC647" s="120"/>
      <c r="AD647" s="120"/>
      <c r="AE647" s="120"/>
      <c r="AF647" s="120"/>
      <c r="AG647" s="94"/>
      <c r="AH647" s="120"/>
      <c r="AI647" s="94"/>
      <c r="AJ647" s="94" t="s">
        <v>801</v>
      </c>
      <c r="AK647" s="94" t="s">
        <v>66</v>
      </c>
      <c r="AL647" s="94">
        <v>190</v>
      </c>
      <c r="AM647" s="94" t="str">
        <f>TRIM(AJ647)&amp;TRIM(AL647)&amp;TRIM(AK647)</f>
      </c>
      <c r="AN647" s="116">
        <v>0</v>
      </c>
      <c r="AO647" s="116" t="inlineStr">
        <is>
          <t>#NA</t>
        </is>
      </c>
      <c r="AP647" s="116">
        <f>SUMIFS(M:M,AM:AM,AM647)+SUMIFS(O:O,AM:AM,AM647)</f>
      </c>
      <c r="AQ647" s="116">
        <f>SUMIFS(L:L,AM:AM,AM647)</f>
      </c>
      <c r="AR647" s="116">
        <f>AQ647-AP647</f>
      </c>
      <c r="AS647" s="94" t="str">
        <f>IF(AN647&gt;=AQ647,"ok","ck")</f>
      </c>
      <c r="AT647" s="116">
        <f>-P647</f>
      </c>
      <c r="AU647" s="115">
        <f>IF(SUMIFS(AT:AT,AM:AM,AM647)&gt;AO647,(SUMIFS(AT:AT,AM:AM,AM647)-AO647))</f>
      </c>
      <c r="AV647" s="116">
        <v>0</v>
      </c>
      <c r="AW647" s="121">
        <v>0</v>
      </c>
      <c r="AX647" s="115">
        <f>AN647-AP647</f>
      </c>
    </row>
    <row r="648" spans="1:50" ht="15" hidden="1" customHeight="1" x14ac:dyDescent="0.3">
      <c r="A648" s="94" t="s">
        <v>82</v>
      </c>
      <c r="B648" s="94"/>
      <c r="C648" s="94"/>
      <c r="D648" s="94"/>
      <c r="E648" s="94"/>
      <c r="F648" s="94"/>
      <c r="G648" s="112">
        <f>AU648</f>
      </c>
      <c r="H648" s="113"/>
      <c r="I648" s="94" t="s">
        <v>240</v>
      </c>
      <c r="J648" s="94" t="s">
        <v>66</v>
      </c>
      <c r="K648" s="114">
        <f>P648/3</f>
      </c>
      <c r="L648" s="115">
        <v>3000</v>
      </c>
      <c r="M648" s="116"/>
      <c r="N648" s="117">
        <f>M648-L648</f>
      </c>
      <c r="O648" s="112"/>
      <c r="P648" s="118">
        <f>N648+O648</f>
      </c>
      <c r="Q648" s="94" t="s">
        <v>854</v>
      </c>
      <c r="R648" s="94" t="s">
        <v>63</v>
      </c>
      <c r="S648" s="119">
        <v>46337</v>
      </c>
      <c r="T648" s="119"/>
      <c r="U648" s="119" t="s">
        <v>646</v>
      </c>
      <c r="V648" s="94"/>
      <c r="W648" s="94"/>
      <c r="X648" s="94"/>
      <c r="Y648" s="119">
        <v>46324</v>
      </c>
      <c r="Z648" s="94"/>
      <c r="AA648" s="120"/>
      <c r="AB648" s="120"/>
      <c r="AC648" s="120"/>
      <c r="AD648" s="120"/>
      <c r="AE648" s="120"/>
      <c r="AF648" s="120"/>
      <c r="AG648" s="94"/>
      <c r="AH648" s="120"/>
      <c r="AI648" s="94"/>
      <c r="AJ648" s="94" t="s">
        <v>801</v>
      </c>
      <c r="AK648" s="94" t="s">
        <v>66</v>
      </c>
      <c r="AL648" s="94">
        <v>190</v>
      </c>
      <c r="AM648" s="94" t="str">
        <f>TRIM(AJ648)&amp;TRIM(AL648)&amp;TRIM(AK648)</f>
      </c>
      <c r="AN648" s="116">
        <v>0</v>
      </c>
      <c r="AO648" s="116" t="inlineStr">
        <is>
          <t>#NA</t>
        </is>
      </c>
      <c r="AP648" s="116">
        <f>SUMIFS(M:M,AM:AM,AM648)+SUMIFS(O:O,AM:AM,AM648)</f>
      </c>
      <c r="AQ648" s="116">
        <f>SUMIFS(L:L,AM:AM,AM648)</f>
      </c>
      <c r="AR648" s="116">
        <f>AQ648-AP648</f>
      </c>
      <c r="AS648" s="94" t="str">
        <f>IF(AN648&gt;=AQ648,"ok","ck")</f>
      </c>
      <c r="AT648" s="116">
        <f>-P648</f>
      </c>
      <c r="AU648" s="115">
        <f>IF(SUMIFS(AT:AT,AM:AM,AM648)&gt;AO648,(SUMIFS(AT:AT,AM:AM,AM648)-AO648))</f>
      </c>
      <c r="AV648" s="116">
        <v>0</v>
      </c>
      <c r="AW648" s="121">
        <v>0</v>
      </c>
      <c r="AX648" s="115">
        <f>AN648-AP648</f>
      </c>
    </row>
    <row r="649" spans="1:50" ht="15" hidden="1" customHeight="1" x14ac:dyDescent="0.3">
      <c r="A649" s="94" t="s">
        <v>82</v>
      </c>
      <c r="B649" s="94"/>
      <c r="C649" s="94"/>
      <c r="D649" s="94"/>
      <c r="E649" s="94"/>
      <c r="F649" s="94"/>
      <c r="G649" s="112">
        <f>AU649</f>
      </c>
      <c r="H649" s="113"/>
      <c r="I649" s="94" t="s">
        <v>240</v>
      </c>
      <c r="J649" s="94" t="s">
        <v>66</v>
      </c>
      <c r="K649" s="114">
        <f>P649/3</f>
      </c>
      <c r="L649" s="115">
        <v>3000</v>
      </c>
      <c r="M649" s="116"/>
      <c r="N649" s="117">
        <f>M649-L649</f>
      </c>
      <c r="O649" s="112"/>
      <c r="P649" s="118">
        <f>N649+O649</f>
      </c>
      <c r="Q649" s="94" t="s">
        <v>854</v>
      </c>
      <c r="R649" s="94" t="s">
        <v>63</v>
      </c>
      <c r="S649" s="119">
        <v>46338</v>
      </c>
      <c r="T649" s="119"/>
      <c r="U649" s="119" t="s">
        <v>646</v>
      </c>
      <c r="V649" s="94"/>
      <c r="W649" s="94"/>
      <c r="X649" s="94"/>
      <c r="Y649" s="119">
        <v>46324</v>
      </c>
      <c r="Z649" s="94"/>
      <c r="AA649" s="120"/>
      <c r="AB649" s="120"/>
      <c r="AC649" s="120"/>
      <c r="AD649" s="120"/>
      <c r="AE649" s="120"/>
      <c r="AF649" s="120"/>
      <c r="AG649" s="94"/>
      <c r="AH649" s="120"/>
      <c r="AI649" s="94"/>
      <c r="AJ649" s="94" t="s">
        <v>801</v>
      </c>
      <c r="AK649" s="94" t="s">
        <v>66</v>
      </c>
      <c r="AL649" s="94">
        <v>190</v>
      </c>
      <c r="AM649" s="94" t="str">
        <f>TRIM(AJ649)&amp;TRIM(AL649)&amp;TRIM(AK649)</f>
      </c>
      <c r="AN649" s="116">
        <v>0</v>
      </c>
      <c r="AO649" s="116" t="inlineStr">
        <is>
          <t>#NA</t>
        </is>
      </c>
      <c r="AP649" s="116">
        <f>SUMIFS(M:M,AM:AM,AM649)+SUMIFS(O:O,AM:AM,AM649)</f>
      </c>
      <c r="AQ649" s="116">
        <f>SUMIFS(L:L,AM:AM,AM649)</f>
      </c>
      <c r="AR649" s="116">
        <f>AQ649-AP649</f>
      </c>
      <c r="AS649" s="94" t="str">
        <f>IF(AN649&gt;=AQ649,"ok","ck")</f>
      </c>
      <c r="AT649" s="116">
        <f>-P649</f>
      </c>
      <c r="AU649" s="115">
        <f>IF(SUMIFS(AT:AT,AM:AM,AM649)&gt;AO649,(SUMIFS(AT:AT,AM:AM,AM649)-AO649))</f>
      </c>
      <c r="AV649" s="116">
        <v>0</v>
      </c>
      <c r="AW649" s="121">
        <v>0</v>
      </c>
      <c r="AX649" s="115">
        <f>AN649-AP649</f>
      </c>
    </row>
    <row r="650" spans="1:50" ht="15" hidden="1" customHeight="1" x14ac:dyDescent="0.3">
      <c r="A650" s="94" t="s">
        <v>82</v>
      </c>
      <c r="B650" s="94"/>
      <c r="C650" s="94"/>
      <c r="D650" s="94"/>
      <c r="E650" s="94"/>
      <c r="F650" s="94"/>
      <c r="G650" s="112">
        <f>AU650</f>
      </c>
      <c r="H650" s="113"/>
      <c r="I650" s="94" t="s">
        <v>240</v>
      </c>
      <c r="J650" s="94" t="s">
        <v>66</v>
      </c>
      <c r="K650" s="114">
        <f>P650/3</f>
      </c>
      <c r="L650" s="115">
        <v>3000</v>
      </c>
      <c r="M650" s="116"/>
      <c r="N650" s="117">
        <f>M650-L650</f>
      </c>
      <c r="O650" s="112"/>
      <c r="P650" s="118">
        <f>N650+O650</f>
      </c>
      <c r="Q650" s="94" t="s">
        <v>854</v>
      </c>
      <c r="R650" s="94" t="s">
        <v>63</v>
      </c>
      <c r="S650" s="119">
        <v>46339</v>
      </c>
      <c r="T650" s="119"/>
      <c r="U650" s="119" t="s">
        <v>646</v>
      </c>
      <c r="V650" s="94"/>
      <c r="W650" s="94"/>
      <c r="X650" s="94"/>
      <c r="Y650" s="119">
        <v>46335</v>
      </c>
      <c r="Z650" s="94"/>
      <c r="AA650" s="120"/>
      <c r="AB650" s="120"/>
      <c r="AC650" s="120"/>
      <c r="AD650" s="120"/>
      <c r="AE650" s="120"/>
      <c r="AF650" s="120"/>
      <c r="AG650" s="94"/>
      <c r="AH650" s="120"/>
      <c r="AI650" s="94"/>
      <c r="AJ650" s="94" t="s">
        <v>801</v>
      </c>
      <c r="AK650" s="94" t="s">
        <v>66</v>
      </c>
      <c r="AL650" s="94">
        <v>190</v>
      </c>
      <c r="AM650" s="94" t="str">
        <f>TRIM(AJ650)&amp;TRIM(AL650)&amp;TRIM(AK650)</f>
      </c>
      <c r="AN650" s="116">
        <v>0</v>
      </c>
      <c r="AO650" s="116" t="inlineStr">
        <is>
          <t>#NA</t>
        </is>
      </c>
      <c r="AP650" s="116">
        <f>SUMIFS(M:M,AM:AM,AM650)+SUMIFS(O:O,AM:AM,AM650)</f>
      </c>
      <c r="AQ650" s="116">
        <f>SUMIFS(L:L,AM:AM,AM650)</f>
      </c>
      <c r="AR650" s="116">
        <f>AQ650-AP650</f>
      </c>
      <c r="AS650" s="94" t="str">
        <f>IF(AN650&gt;=AQ650,"ok","ck")</f>
      </c>
      <c r="AT650" s="116">
        <f>-P650</f>
      </c>
      <c r="AU650" s="115">
        <f>IF(SUMIFS(AT:AT,AM:AM,AM650)&gt;AO650,(SUMIFS(AT:AT,AM:AM,AM650)-AO650))</f>
      </c>
      <c r="AV650" s="116">
        <v>0</v>
      </c>
      <c r="AW650" s="121">
        <v>0</v>
      </c>
      <c r="AX650" s="115">
        <f>AN650-AP650</f>
      </c>
    </row>
    <row r="651" spans="1:50" ht="15" hidden="1" customHeight="1" x14ac:dyDescent="0.3">
      <c r="A651" s="94" t="s">
        <v>82</v>
      </c>
      <c r="B651" s="94"/>
      <c r="C651" s="94"/>
      <c r="D651" s="94"/>
      <c r="E651" s="94"/>
      <c r="F651" s="94"/>
      <c r="G651" s="112">
        <f>AU651</f>
      </c>
      <c r="H651" s="113"/>
      <c r="I651" s="94" t="s">
        <v>240</v>
      </c>
      <c r="J651" s="94" t="s">
        <v>66</v>
      </c>
      <c r="K651" s="114">
        <f>P651/3</f>
      </c>
      <c r="L651" s="115">
        <v>3000</v>
      </c>
      <c r="M651" s="116"/>
      <c r="N651" s="117">
        <f>M651-L651</f>
      </c>
      <c r="O651" s="112"/>
      <c r="P651" s="118">
        <f>N651+O651</f>
      </c>
      <c r="Q651" s="94" t="s">
        <v>854</v>
      </c>
      <c r="R651" s="94" t="s">
        <v>63</v>
      </c>
      <c r="S651" s="119">
        <v>46340</v>
      </c>
      <c r="T651" s="119"/>
      <c r="U651" s="119" t="s">
        <v>646</v>
      </c>
      <c r="V651" s="94"/>
      <c r="W651" s="94"/>
      <c r="X651" s="94"/>
      <c r="Y651" s="119">
        <v>46335</v>
      </c>
      <c r="Z651" s="94"/>
      <c r="AA651" s="120"/>
      <c r="AB651" s="120"/>
      <c r="AC651" s="120"/>
      <c r="AD651" s="120"/>
      <c r="AE651" s="120"/>
      <c r="AF651" s="120"/>
      <c r="AG651" s="94"/>
      <c r="AH651" s="120"/>
      <c r="AI651" s="94"/>
      <c r="AJ651" s="94" t="s">
        <v>801</v>
      </c>
      <c r="AK651" s="94" t="s">
        <v>66</v>
      </c>
      <c r="AL651" s="94">
        <v>190</v>
      </c>
      <c r="AM651" s="94" t="str">
        <f>TRIM(AJ651)&amp;TRIM(AL651)&amp;TRIM(AK651)</f>
      </c>
      <c r="AN651" s="116">
        <v>0</v>
      </c>
      <c r="AO651" s="116" t="inlineStr">
        <is>
          <t>#NA</t>
        </is>
      </c>
      <c r="AP651" s="116">
        <f>SUMIFS(M:M,AM:AM,AM651)+SUMIFS(O:O,AM:AM,AM651)</f>
      </c>
      <c r="AQ651" s="116">
        <f>SUMIFS(L:L,AM:AM,AM651)</f>
      </c>
      <c r="AR651" s="116">
        <f>AQ651-AP651</f>
      </c>
      <c r="AS651" s="94" t="str">
        <f>IF(AN651&gt;=AQ651,"ok","ck")</f>
      </c>
      <c r="AT651" s="116">
        <f>-P651</f>
      </c>
      <c r="AU651" s="115">
        <f>IF(SUMIFS(AT:AT,AM:AM,AM651)&gt;AO651,(SUMIFS(AT:AT,AM:AM,AM651)-AO651))</f>
      </c>
      <c r="AV651" s="116">
        <v>0</v>
      </c>
      <c r="AW651" s="121">
        <v>0</v>
      </c>
      <c r="AX651" s="115">
        <f>AN651-AP651</f>
      </c>
    </row>
    <row r="652" spans="1:50" ht="15" hidden="1" customHeight="1" x14ac:dyDescent="0.3">
      <c r="A652" s="94" t="s">
        <v>82</v>
      </c>
      <c r="B652" s="94"/>
      <c r="C652" s="94"/>
      <c r="D652" s="94"/>
      <c r="E652" s="94"/>
      <c r="F652" s="94"/>
      <c r="G652" s="112">
        <f>AU652</f>
      </c>
      <c r="H652" s="113"/>
      <c r="I652" s="94" t="s">
        <v>240</v>
      </c>
      <c r="J652" s="94" t="s">
        <v>66</v>
      </c>
      <c r="K652" s="114">
        <f>P652/3</f>
      </c>
      <c r="L652" s="115">
        <v>3000</v>
      </c>
      <c r="M652" s="116"/>
      <c r="N652" s="117">
        <f>M652-L652</f>
      </c>
      <c r="O652" s="112"/>
      <c r="P652" s="118">
        <f>N652+O652</f>
      </c>
      <c r="Q652" s="94" t="s">
        <v>854</v>
      </c>
      <c r="R652" s="94" t="s">
        <v>63</v>
      </c>
      <c r="S652" s="119">
        <v>46341</v>
      </c>
      <c r="T652" s="119"/>
      <c r="U652" s="119" t="s">
        <v>646</v>
      </c>
      <c r="V652" s="94"/>
      <c r="W652" s="94"/>
      <c r="X652" s="94"/>
      <c r="Y652" s="119">
        <v>46335</v>
      </c>
      <c r="Z652" s="94"/>
      <c r="AA652" s="120"/>
      <c r="AB652" s="120"/>
      <c r="AC652" s="120"/>
      <c r="AD652" s="120"/>
      <c r="AE652" s="120"/>
      <c r="AF652" s="120"/>
      <c r="AG652" s="94"/>
      <c r="AH652" s="120"/>
      <c r="AI652" s="94"/>
      <c r="AJ652" s="94" t="s">
        <v>801</v>
      </c>
      <c r="AK652" s="94" t="s">
        <v>66</v>
      </c>
      <c r="AL652" s="94">
        <v>190</v>
      </c>
      <c r="AM652" s="94" t="str">
        <f>TRIM(AJ652)&amp;TRIM(AL652)&amp;TRIM(AK652)</f>
      </c>
      <c r="AN652" s="116">
        <v>0</v>
      </c>
      <c r="AO652" s="116" t="inlineStr">
        <is>
          <t>#NA</t>
        </is>
      </c>
      <c r="AP652" s="116">
        <f>SUMIFS(M:M,AM:AM,AM652)+SUMIFS(O:O,AM:AM,AM652)</f>
      </c>
      <c r="AQ652" s="116">
        <f>SUMIFS(L:L,AM:AM,AM652)</f>
      </c>
      <c r="AR652" s="116">
        <f>AQ652-AP652</f>
      </c>
      <c r="AS652" s="94" t="str">
        <f>IF(AN652&gt;=AQ652,"ok","ck")</f>
      </c>
      <c r="AT652" s="116">
        <f>-P652</f>
      </c>
      <c r="AU652" s="115">
        <f>IF(SUMIFS(AT:AT,AM:AM,AM652)&gt;AO652,(SUMIFS(AT:AT,AM:AM,AM652)-AO652))</f>
      </c>
      <c r="AV652" s="116">
        <v>0</v>
      </c>
      <c r="AW652" s="121">
        <v>0</v>
      </c>
      <c r="AX652" s="115">
        <f>AN652-AP652</f>
      </c>
    </row>
    <row r="653" spans="1:50" ht="15" hidden="1" customHeight="1" x14ac:dyDescent="0.3">
      <c r="A653" s="94" t="s">
        <v>60</v>
      </c>
      <c r="B653" s="94"/>
      <c r="C653" s="94"/>
      <c r="D653" s="94"/>
      <c r="E653" s="94"/>
      <c r="F653" s="94"/>
      <c r="G653" s="112">
        <f>AU653</f>
      </c>
      <c r="H653" s="113"/>
      <c r="I653" s="94" t="s">
        <v>482</v>
      </c>
      <c r="J653" s="94" t="s">
        <v>546</v>
      </c>
      <c r="K653" s="114">
        <f>P653/3</f>
      </c>
      <c r="L653" s="115">
        <v>-3.387</v>
      </c>
      <c r="M653" s="116">
        <f>L653</f>
      </c>
      <c r="N653" s="117">
        <f>M653-L653</f>
      </c>
      <c r="O653" s="112"/>
      <c r="P653" s="118">
        <f>N653+O653</f>
      </c>
      <c r="Q653" s="94" t="s">
        <v>806</v>
      </c>
      <c r="R653" s="94" t="s">
        <v>63</v>
      </c>
      <c r="S653" s="119">
        <v>46329</v>
      </c>
      <c r="T653" s="119"/>
      <c r="U653" s="119">
        <v>46329</v>
      </c>
      <c r="V653" s="94"/>
      <c r="W653" s="94"/>
      <c r="X653" s="94"/>
      <c r="Y653" s="119">
        <v>46329</v>
      </c>
      <c r="Z653" s="94"/>
      <c r="AA653" s="120"/>
      <c r="AB653" s="120"/>
      <c r="AC653" s="120"/>
      <c r="AD653" s="120"/>
      <c r="AE653" s="120"/>
      <c r="AF653" s="120"/>
      <c r="AG653" s="94"/>
      <c r="AH653" s="120"/>
      <c r="AI653" s="94"/>
      <c r="AJ653" s="94" t="s">
        <v>806</v>
      </c>
      <c r="AK653" s="94" t="s">
        <v>722</v>
      </c>
      <c r="AL653" s="94">
        <v>110</v>
      </c>
      <c r="AM653" s="94" t="str">
        <f>TRIM(AJ653)&amp;TRIM(AL653)&amp;TRIM(AK653)</f>
      </c>
      <c r="AN653" s="116">
        <v>52.43</v>
      </c>
      <c r="AO653" s="116">
        <v>-5.41</v>
      </c>
      <c r="AP653" s="116">
        <f>SUMIFS(M:M,AM:AM,AM653)+SUMIFS(O:O,AM:AM,AM653)</f>
      </c>
      <c r="AQ653" s="116">
        <f>SUMIFS(L:L,AM:AM,AM653)</f>
      </c>
      <c r="AR653" s="116">
        <f>AQ653-AP653</f>
      </c>
      <c r="AS653" s="94" t="str">
        <f>IF(AN653&gt;=AQ653,"ok","ck")</f>
      </c>
      <c r="AT653" s="116">
        <f>-P653</f>
      </c>
      <c r="AU653" s="115">
        <f>IF(SUMIFS(AT:AT,AM:AM,AM653)&gt;AO653,(SUMIFS(AT:AT,AM:AM,AM653)-AO653))</f>
      </c>
      <c r="AV653" s="116">
        <v>52.43</v>
      </c>
      <c r="AW653" s="121">
        <v>1.115</v>
      </c>
      <c r="AX653" s="115">
        <f>AN653-AP653</f>
      </c>
    </row>
    <row r="654" spans="1:50" ht="15" hidden="1" customHeight="1" x14ac:dyDescent="0.3">
      <c r="A654" s="94" t="s">
        <v>268</v>
      </c>
      <c r="B654" s="94"/>
      <c r="C654" s="94"/>
      <c r="D654" s="94"/>
      <c r="E654" s="94"/>
      <c r="F654" s="94"/>
      <c r="G654" s="112">
        <f>AU654</f>
      </c>
      <c r="H654" s="113"/>
      <c r="I654" s="94" t="s">
        <v>278</v>
      </c>
      <c r="J654" s="94" t="s">
        <v>328</v>
      </c>
      <c r="K654" s="114">
        <f>P654/3</f>
      </c>
      <c r="L654" s="115">
        <v>293.91199999999998</v>
      </c>
      <c r="M654" s="116"/>
      <c r="N654" s="117">
        <f>M654-L654</f>
      </c>
      <c r="O654" s="112"/>
      <c r="P654" s="118">
        <f>N654+O654</f>
      </c>
      <c r="Q654" s="94" t="s">
        <v>305</v>
      </c>
      <c r="R654" s="94" t="s">
        <v>63</v>
      </c>
      <c r="S654" s="119">
        <v>46342</v>
      </c>
      <c r="T654" s="119"/>
      <c r="U654" s="119" t="s">
        <v>640</v>
      </c>
      <c r="V654" s="94"/>
      <c r="W654" s="94"/>
      <c r="X654" s="94"/>
      <c r="Y654" s="119">
        <v>46326</v>
      </c>
      <c r="Z654" s="94"/>
      <c r="AA654" s="120"/>
      <c r="AB654" s="120"/>
      <c r="AC654" s="120"/>
      <c r="AD654" s="120"/>
      <c r="AE654" s="120"/>
      <c r="AF654" s="120"/>
      <c r="AG654" s="94"/>
      <c r="AH654" s="120"/>
      <c r="AI654" s="94"/>
      <c r="AJ654" s="94" t="s">
        <v>305</v>
      </c>
      <c r="AK654" s="94" t="s">
        <v>329</v>
      </c>
      <c r="AL654" s="94">
        <v>120</v>
      </c>
      <c r="AM654" s="94" t="str">
        <f>TRIM(AJ654)&amp;TRIM(AL654)&amp;TRIM(AK654)</f>
      </c>
      <c r="AN654" s="116">
        <v>0</v>
      </c>
      <c r="AO654" s="116" t="inlineStr">
        <is>
          <t>#NA</t>
        </is>
      </c>
      <c r="AP654" s="116">
        <f>SUMIFS(M:M,AM:AM,AM654)+SUMIFS(O:O,AM:AM,AM654)</f>
      </c>
      <c r="AQ654" s="116">
        <f>SUMIFS(L:L,AM:AM,AM654)</f>
      </c>
      <c r="AR654" s="116">
        <f>AQ654-AP654</f>
      </c>
      <c r="AS654" s="94" t="str">
        <f>IF(AN654&gt;=AQ654,"ok","ck")</f>
      </c>
      <c r="AT654" s="116">
        <f>-P654</f>
      </c>
      <c r="AU654" s="115">
        <f>IF(SUMIFS(AT:AT,AM:AM,AM654)&gt;AO654,(SUMIFS(AT:AT,AM:AM,AM654)-AO654))</f>
      </c>
      <c r="AV654" s="116">
        <v>0</v>
      </c>
      <c r="AW654" s="121">
        <v>0</v>
      </c>
      <c r="AX654" s="115">
        <f>AN654-AP654</f>
      </c>
    </row>
    <row r="655" spans="1:50" ht="15" hidden="1" customHeight="1" x14ac:dyDescent="0.3">
      <c r="A655" s="94" t="s">
        <v>268</v>
      </c>
      <c r="B655" s="94"/>
      <c r="C655" s="94"/>
      <c r="D655" s="94"/>
      <c r="E655" s="94"/>
      <c r="F655" s="94"/>
      <c r="G655" s="112">
        <f>AU655</f>
      </c>
      <c r="H655" s="113"/>
      <c r="I655" s="94" t="s">
        <v>278</v>
      </c>
      <c r="J655" s="94" t="s">
        <v>328</v>
      </c>
      <c r="K655" s="114">
        <f>P655/3</f>
      </c>
      <c r="L655" s="115">
        <v>63.997</v>
      </c>
      <c r="M655" s="116"/>
      <c r="N655" s="117">
        <f>M655-L655</f>
      </c>
      <c r="O655" s="112"/>
      <c r="P655" s="118">
        <f>N655+O655</f>
      </c>
      <c r="Q655" s="94" t="s">
        <v>305</v>
      </c>
      <c r="R655" s="94" t="s">
        <v>63</v>
      </c>
      <c r="S655" s="119">
        <v>46346</v>
      </c>
      <c r="T655" s="119"/>
      <c r="U655" s="119" t="s">
        <v>640</v>
      </c>
      <c r="V655" s="94"/>
      <c r="W655" s="94"/>
      <c r="X655" s="94"/>
      <c r="Y655" s="119">
        <v>46326</v>
      </c>
      <c r="Z655" s="94"/>
      <c r="AA655" s="120"/>
      <c r="AB655" s="120"/>
      <c r="AC655" s="120"/>
      <c r="AD655" s="120"/>
      <c r="AE655" s="120"/>
      <c r="AF655" s="120"/>
      <c r="AG655" s="94"/>
      <c r="AH655" s="120"/>
      <c r="AI655" s="94"/>
      <c r="AJ655" s="94" t="s">
        <v>305</v>
      </c>
      <c r="AK655" s="94" t="s">
        <v>329</v>
      </c>
      <c r="AL655" s="94">
        <v>120</v>
      </c>
      <c r="AM655" s="94" t="str">
        <f>TRIM(AJ655)&amp;TRIM(AL655)&amp;TRIM(AK655)</f>
      </c>
      <c r="AN655" s="116">
        <v>0</v>
      </c>
      <c r="AO655" s="116" t="inlineStr">
        <is>
          <t>#NA</t>
        </is>
      </c>
      <c r="AP655" s="116">
        <f>SUMIFS(M:M,AM:AM,AM655)+SUMIFS(O:O,AM:AM,AM655)</f>
      </c>
      <c r="AQ655" s="116">
        <f>SUMIFS(L:L,AM:AM,AM655)</f>
      </c>
      <c r="AR655" s="116">
        <f>AQ655-AP655</f>
      </c>
      <c r="AS655" s="94" t="str">
        <f>IF(AN655&gt;=AQ655,"ok","ck")</f>
      </c>
      <c r="AT655" s="116">
        <f>-P655</f>
      </c>
      <c r="AU655" s="115">
        <f>IF(SUMIFS(AT:AT,AM:AM,AM655)&gt;AO655,(SUMIFS(AT:AT,AM:AM,AM655)-AO655))</f>
      </c>
      <c r="AV655" s="116">
        <v>0</v>
      </c>
      <c r="AW655" s="121">
        <v>0</v>
      </c>
      <c r="AX655" s="115">
        <f>AN655-AP655</f>
      </c>
    </row>
    <row r="656" spans="1:50" ht="15" hidden="1" customHeight="1" x14ac:dyDescent="0.3">
      <c r="A656" s="94" t="s">
        <v>268</v>
      </c>
      <c r="B656" s="94"/>
      <c r="C656" s="94"/>
      <c r="D656" s="94"/>
      <c r="E656" s="94"/>
      <c r="F656" s="94"/>
      <c r="G656" s="112">
        <f>AU656</f>
      </c>
      <c r="H656" s="113"/>
      <c r="I656" s="94" t="s">
        <v>390</v>
      </c>
      <c r="J656" s="94" t="s">
        <v>333</v>
      </c>
      <c r="K656" s="114">
        <f>P656/3</f>
      </c>
      <c r="L656" s="115">
        <v>-4.2439999999999998</v>
      </c>
      <c r="M656" s="116">
        <f>L656</f>
      </c>
      <c r="N656" s="117">
        <f>M656-L656</f>
      </c>
      <c r="O656" s="112"/>
      <c r="P656" s="118">
        <f>N656+O656</f>
      </c>
      <c r="Q656" s="94" t="s">
        <v>787</v>
      </c>
      <c r="R656" s="94" t="s">
        <v>63</v>
      </c>
      <c r="S656" s="119">
        <v>46320</v>
      </c>
      <c r="T656" s="119"/>
      <c r="U656" s="119">
        <v>46320</v>
      </c>
      <c r="V656" s="94"/>
      <c r="W656" s="94"/>
      <c r="X656" s="94"/>
      <c r="Y656" s="119">
        <v>46320</v>
      </c>
      <c r="Z656" s="94"/>
      <c r="AA656" s="120"/>
      <c r="AB656" s="120"/>
      <c r="AC656" s="120"/>
      <c r="AD656" s="120"/>
      <c r="AE656" s="120"/>
      <c r="AF656" s="120"/>
      <c r="AG656" s="94"/>
      <c r="AH656" s="120"/>
      <c r="AI656" s="94"/>
      <c r="AJ656" s="94" t="s">
        <v>787</v>
      </c>
      <c r="AK656" s="94" t="s">
        <v>334</v>
      </c>
      <c r="AL656" s="94">
        <v>140</v>
      </c>
      <c r="AM656" s="94" t="str">
        <f>TRIM(AJ656)&amp;TRIM(AL656)&amp;TRIM(AK656)</f>
      </c>
      <c r="AN656" s="116">
        <v>3603</v>
      </c>
      <c r="AO656" s="116">
        <v>-70</v>
      </c>
      <c r="AP656" s="116">
        <f>SUMIFS(M:M,AM:AM,AM656)+SUMIFS(O:O,AM:AM,AM656)</f>
      </c>
      <c r="AQ656" s="116">
        <f>SUMIFS(L:L,AM:AM,AM656)</f>
      </c>
      <c r="AR656" s="116">
        <f>AQ656-AP656</f>
      </c>
      <c r="AS656" s="94" t="str">
        <f>IF(AN656&gt;=AQ656,"ok","ck")</f>
      </c>
      <c r="AT656" s="116">
        <f>-P656</f>
      </c>
      <c r="AU656" s="115">
        <f>IF(SUMIFS(AT:AT,AM:AM,AM656)&gt;AO656,(SUMIFS(AT:AT,AM:AM,AM656)-AO656))</f>
      </c>
      <c r="AV656" s="116">
        <v>3603</v>
      </c>
      <c r="AW656" s="121">
        <v>1.02</v>
      </c>
      <c r="AX656" s="115">
        <f>AN656-AP656</f>
      </c>
    </row>
    <row r="657" spans="1:50" ht="15" hidden="1" customHeight="1" x14ac:dyDescent="0.3">
      <c r="A657" s="94" t="s">
        <v>82</v>
      </c>
      <c r="B657" s="94"/>
      <c r="C657" s="94"/>
      <c r="D657" s="94"/>
      <c r="E657" s="94"/>
      <c r="F657" s="94"/>
      <c r="G657" s="112">
        <f>AU657</f>
      </c>
      <c r="H657" s="113"/>
      <c r="I657" s="94" t="s">
        <v>83</v>
      </c>
      <c r="J657" s="94" t="s">
        <v>84</v>
      </c>
      <c r="K657" s="114">
        <f>P657/3</f>
      </c>
      <c r="L657" s="115">
        <v>-54.74</v>
      </c>
      <c r="M657" s="116">
        <f>L657</f>
      </c>
      <c r="N657" s="117">
        <f>M657-L657</f>
      </c>
      <c r="O657" s="112"/>
      <c r="P657" s="118">
        <f>N657+O657</f>
      </c>
      <c r="Q657" s="94" t="s">
        <v>848</v>
      </c>
      <c r="R657" s="94" t="s">
        <v>63</v>
      </c>
      <c r="S657" s="119">
        <v>46320</v>
      </c>
      <c r="T657" s="119"/>
      <c r="U657" s="119">
        <v>46320</v>
      </c>
      <c r="V657" s="94"/>
      <c r="W657" s="94"/>
      <c r="X657" s="94"/>
      <c r="Y657" s="119">
        <v>46320</v>
      </c>
      <c r="Z657" s="94"/>
      <c r="AA657" s="120"/>
      <c r="AB657" s="120"/>
      <c r="AC657" s="120"/>
      <c r="AD657" s="120"/>
      <c r="AE657" s="120"/>
      <c r="AF657" s="120"/>
      <c r="AG657" s="94"/>
      <c r="AH657" s="120"/>
      <c r="AI657" s="94"/>
      <c r="AJ657" s="94" t="s">
        <v>775</v>
      </c>
      <c r="AK657" s="94" t="s">
        <v>87</v>
      </c>
      <c r="AL657" s="94">
        <v>160</v>
      </c>
      <c r="AM657" s="94" t="str">
        <f>TRIM(AJ657)&amp;TRIM(AL657)&amp;TRIM(AK657)</f>
      </c>
      <c r="AN657" s="116">
        <v>2795</v>
      </c>
      <c r="AO657" s="116">
        <v>-56</v>
      </c>
      <c r="AP657" s="116">
        <f>SUMIFS(M:M,AM:AM,AM657)+SUMIFS(O:O,AM:AM,AM657)</f>
      </c>
      <c r="AQ657" s="116">
        <f>SUMIFS(L:L,AM:AM,AM657)</f>
      </c>
      <c r="AR657" s="116">
        <f>AQ657-AP657</f>
      </c>
      <c r="AS657" s="94" t="str">
        <f>IF(AN657&gt;=AQ657,"ok","ck")</f>
      </c>
      <c r="AT657" s="116">
        <f>-P657</f>
      </c>
      <c r="AU657" s="115">
        <f>IF(SUMIFS(AT:AT,AM:AM,AM657)&gt;AO657,(SUMIFS(AT:AT,AM:AM,AM657)-AO657))</f>
      </c>
      <c r="AV657" s="116">
        <v>2795</v>
      </c>
      <c r="AW657" s="121">
        <v>1.02</v>
      </c>
      <c r="AX657" s="115">
        <f>AN657-AP657</f>
      </c>
    </row>
    <row r="658" spans="1:50" ht="15" hidden="1" customHeight="1" x14ac:dyDescent="0.3">
      <c r="A658" s="94" t="s">
        <v>60</v>
      </c>
      <c r="B658" s="94"/>
      <c r="C658" s="94"/>
      <c r="D658" s="94"/>
      <c r="E658" s="94"/>
      <c r="F658" s="94"/>
      <c r="G658" s="112">
        <f>AU658</f>
      </c>
      <c r="H658" s="113"/>
      <c r="I658" s="94" t="s">
        <v>65</v>
      </c>
      <c r="J658" s="94" t="s">
        <v>517</v>
      </c>
      <c r="K658" s="114">
        <f>P658/3</f>
      </c>
      <c r="L658" s="115">
        <v>-1.3740000000000001</v>
      </c>
      <c r="M658" s="116">
        <f>L658</f>
      </c>
      <c r="N658" s="117">
        <f>M658-L658</f>
      </c>
      <c r="O658" s="112"/>
      <c r="P658" s="118">
        <f>N658+O658</f>
      </c>
      <c r="Q658" s="94" t="s">
        <v>791</v>
      </c>
      <c r="R658" s="94" t="s">
        <v>63</v>
      </c>
      <c r="S658" s="119">
        <v>46327</v>
      </c>
      <c r="T658" s="119"/>
      <c r="U658" s="119">
        <v>46327</v>
      </c>
      <c r="V658" s="94"/>
      <c r="W658" s="94"/>
      <c r="X658" s="94"/>
      <c r="Y658" s="119">
        <v>46327</v>
      </c>
      <c r="Z658" s="94"/>
      <c r="AA658" s="120"/>
      <c r="AB658" s="120"/>
      <c r="AC658" s="120"/>
      <c r="AD658" s="120"/>
      <c r="AE658" s="120"/>
      <c r="AF658" s="120"/>
      <c r="AG658" s="94"/>
      <c r="AH658" s="120"/>
      <c r="AI658" s="94"/>
      <c r="AJ658" s="94" t="s">
        <v>791</v>
      </c>
      <c r="AK658" s="94" t="s">
        <v>709</v>
      </c>
      <c r="AL658" s="94">
        <v>110</v>
      </c>
      <c r="AM658" s="94" t="str">
        <f>TRIM(AJ658)&amp;TRIM(AL658)&amp;TRIM(AK658)</f>
      </c>
      <c r="AN658" s="116">
        <v>294</v>
      </c>
      <c r="AO658" s="116">
        <v>-11.88</v>
      </c>
      <c r="AP658" s="116">
        <f>SUMIFS(M:M,AM:AM,AM658)+SUMIFS(O:O,AM:AM,AM658)</f>
      </c>
      <c r="AQ658" s="116">
        <f>SUMIFS(L:L,AM:AM,AM658)</f>
      </c>
      <c r="AR658" s="116">
        <f>AQ658-AP658</f>
      </c>
      <c r="AS658" s="94" t="str">
        <f>IF(AN658&gt;=AQ658,"ok","ck")</f>
      </c>
      <c r="AT658" s="116">
        <f>-P658</f>
      </c>
      <c r="AU658" s="115">
        <f>IF(SUMIFS(AT:AT,AM:AM,AM658)&gt;AO658,(SUMIFS(AT:AT,AM:AM,AM658)-AO658))</f>
      </c>
      <c r="AV658" s="116">
        <v>294</v>
      </c>
      <c r="AW658" s="121">
        <v>1.042</v>
      </c>
      <c r="AX658" s="115">
        <f>AN658-AP658</f>
      </c>
    </row>
    <row r="659" spans="1:50" ht="15" hidden="1" customHeight="1" x14ac:dyDescent="0.3">
      <c r="A659" s="94" t="s">
        <v>60</v>
      </c>
      <c r="B659" s="94"/>
      <c r="C659" s="94"/>
      <c r="D659" s="94"/>
      <c r="E659" s="94"/>
      <c r="F659" s="94"/>
      <c r="G659" s="112">
        <f>AU659</f>
      </c>
      <c r="H659" s="113"/>
      <c r="I659" s="94" t="s">
        <v>65</v>
      </c>
      <c r="J659" s="94" t="s">
        <v>517</v>
      </c>
      <c r="K659" s="114">
        <f>P659/3</f>
      </c>
      <c r="L659" s="115">
        <v>-2.1230000000000002</v>
      </c>
      <c r="M659" s="116">
        <f>L659</f>
      </c>
      <c r="N659" s="117">
        <f>M659-L659</f>
      </c>
      <c r="O659" s="112"/>
      <c r="P659" s="118">
        <f>N659+O659</f>
      </c>
      <c r="Q659" s="94" t="s">
        <v>791</v>
      </c>
      <c r="R659" s="94" t="s">
        <v>63</v>
      </c>
      <c r="S659" s="119">
        <v>46331</v>
      </c>
      <c r="T659" s="119"/>
      <c r="U659" s="119">
        <v>46331</v>
      </c>
      <c r="V659" s="94"/>
      <c r="W659" s="94"/>
      <c r="X659" s="94"/>
      <c r="Y659" s="119">
        <v>46331</v>
      </c>
      <c r="Z659" s="94"/>
      <c r="AA659" s="120"/>
      <c r="AB659" s="120"/>
      <c r="AC659" s="120"/>
      <c r="AD659" s="120"/>
      <c r="AE659" s="120"/>
      <c r="AF659" s="120"/>
      <c r="AG659" s="94"/>
      <c r="AH659" s="120"/>
      <c r="AI659" s="94"/>
      <c r="AJ659" s="94" t="s">
        <v>791</v>
      </c>
      <c r="AK659" s="94" t="s">
        <v>709</v>
      </c>
      <c r="AL659" s="94">
        <v>110</v>
      </c>
      <c r="AM659" s="94" t="str">
        <f>TRIM(AJ659)&amp;TRIM(AL659)&amp;TRIM(AK659)</f>
      </c>
      <c r="AN659" s="116">
        <v>294</v>
      </c>
      <c r="AO659" s="116">
        <v>-11.88</v>
      </c>
      <c r="AP659" s="116">
        <f>SUMIFS(M:M,AM:AM,AM659)+SUMIFS(O:O,AM:AM,AM659)</f>
      </c>
      <c r="AQ659" s="116">
        <f>SUMIFS(L:L,AM:AM,AM659)</f>
      </c>
      <c r="AR659" s="116">
        <f>AQ659-AP659</f>
      </c>
      <c r="AS659" s="94" t="str">
        <f>IF(AN659&gt;=AQ659,"ok","ck")</f>
      </c>
      <c r="AT659" s="116">
        <f>-P659</f>
      </c>
      <c r="AU659" s="115">
        <f>IF(SUMIFS(AT:AT,AM:AM,AM659)&gt;AO659,(SUMIFS(AT:AT,AM:AM,AM659)-AO659))</f>
      </c>
      <c r="AV659" s="116">
        <v>294</v>
      </c>
      <c r="AW659" s="121">
        <v>1.042</v>
      </c>
      <c r="AX659" s="115">
        <f>AN659-AP659</f>
      </c>
    </row>
    <row r="660" spans="1:50" ht="15" hidden="1" customHeight="1" x14ac:dyDescent="0.3">
      <c r="A660" s="94" t="s">
        <v>288</v>
      </c>
      <c r="B660" s="94"/>
      <c r="C660" s="94"/>
      <c r="D660" s="94"/>
      <c r="E660" s="94"/>
      <c r="F660" s="94"/>
      <c r="G660" s="112">
        <f>AU660</f>
      </c>
      <c r="H660" s="113"/>
      <c r="I660" s="94" t="s">
        <v>289</v>
      </c>
      <c r="J660" s="94" t="s">
        <v>298</v>
      </c>
      <c r="K660" s="114">
        <f>P660/3</f>
      </c>
      <c r="L660" s="115">
        <v>-1.038</v>
      </c>
      <c r="M660" s="116">
        <f>L660</f>
      </c>
      <c r="N660" s="117">
        <f>M660-L660</f>
      </c>
      <c r="O660" s="112"/>
      <c r="P660" s="118">
        <f>N660+O660</f>
      </c>
      <c r="Q660" s="94" t="s">
        <v>296</v>
      </c>
      <c r="R660" s="94" t="s">
        <v>63</v>
      </c>
      <c r="S660" s="119">
        <v>46320</v>
      </c>
      <c r="T660" s="119"/>
      <c r="U660" s="119">
        <v>46320</v>
      </c>
      <c r="V660" s="94"/>
      <c r="W660" s="94"/>
      <c r="X660" s="94"/>
      <c r="Y660" s="119">
        <v>46320</v>
      </c>
      <c r="Z660" s="94"/>
      <c r="AA660" s="120"/>
      <c r="AB660" s="120"/>
      <c r="AC660" s="120"/>
      <c r="AD660" s="120"/>
      <c r="AE660" s="120"/>
      <c r="AF660" s="120"/>
      <c r="AG660" s="94"/>
      <c r="AH660" s="120"/>
      <c r="AI660" s="94"/>
      <c r="AJ660" s="94" t="s">
        <v>479</v>
      </c>
      <c r="AK660" s="94" t="s">
        <v>300</v>
      </c>
      <c r="AL660" s="94">
        <v>235</v>
      </c>
      <c r="AM660" s="94" t="str">
        <f>TRIM(AJ660)&amp;TRIM(AL660)&amp;TRIM(AK660)</f>
      </c>
      <c r="AN660" s="116">
        <v>849.34</v>
      </c>
      <c r="AO660" s="116">
        <v>-19.32</v>
      </c>
      <c r="AP660" s="116">
        <f>SUMIFS(M:M,AM:AM,AM660)+SUMIFS(O:O,AM:AM,AM660)</f>
      </c>
      <c r="AQ660" s="116">
        <f>SUMIFS(L:L,AM:AM,AM660)</f>
      </c>
      <c r="AR660" s="116">
        <f>AQ660-AP660</f>
      </c>
      <c r="AS660" s="94" t="str">
        <f>IF(AN660&gt;=AQ660,"ok","ck")</f>
      </c>
      <c r="AT660" s="116">
        <f>-P660</f>
      </c>
      <c r="AU660" s="115">
        <f>IF(SUMIFS(AT:AT,AM:AM,AM660)&gt;AO660,(SUMIFS(AT:AT,AM:AM,AM660)-AO660))</f>
      </c>
      <c r="AV660" s="116">
        <v>849.34</v>
      </c>
      <c r="AW660" s="121">
        <v>1.023</v>
      </c>
      <c r="AX660" s="115">
        <f>AN660-AP660</f>
      </c>
    </row>
    <row r="661" spans="1:50" ht="15" hidden="1" customHeight="1" x14ac:dyDescent="0.3">
      <c r="A661" s="94" t="s">
        <v>288</v>
      </c>
      <c r="B661" s="94"/>
      <c r="C661" s="94"/>
      <c r="D661" s="94"/>
      <c r="E661" s="94"/>
      <c r="F661" s="94"/>
      <c r="G661" s="112">
        <f>AU661</f>
      </c>
      <c r="H661" s="113"/>
      <c r="I661" s="94" t="s">
        <v>289</v>
      </c>
      <c r="J661" s="94" t="s">
        <v>298</v>
      </c>
      <c r="K661" s="114">
        <f>P661/3</f>
      </c>
      <c r="L661" s="115">
        <v>-8.7590000000000003</v>
      </c>
      <c r="M661" s="116">
        <f>L661</f>
      </c>
      <c r="N661" s="117">
        <f>M661-L661</f>
      </c>
      <c r="O661" s="112"/>
      <c r="P661" s="118">
        <f>N661+O661</f>
      </c>
      <c r="Q661" s="94" t="s">
        <v>296</v>
      </c>
      <c r="R661" s="94" t="s">
        <v>63</v>
      </c>
      <c r="S661" s="119">
        <v>46322</v>
      </c>
      <c r="T661" s="119"/>
      <c r="U661" s="119">
        <v>46322</v>
      </c>
      <c r="V661" s="94"/>
      <c r="W661" s="94"/>
      <c r="X661" s="94"/>
      <c r="Y661" s="119">
        <v>46322</v>
      </c>
      <c r="Z661" s="94"/>
      <c r="AA661" s="120"/>
      <c r="AB661" s="120"/>
      <c r="AC661" s="120"/>
      <c r="AD661" s="120"/>
      <c r="AE661" s="120"/>
      <c r="AF661" s="120"/>
      <c r="AG661" s="94"/>
      <c r="AH661" s="120"/>
      <c r="AI661" s="94"/>
      <c r="AJ661" s="94" t="s">
        <v>479</v>
      </c>
      <c r="AK661" s="94" t="s">
        <v>300</v>
      </c>
      <c r="AL661" s="94">
        <v>235</v>
      </c>
      <c r="AM661" s="94" t="str">
        <f>TRIM(AJ661)&amp;TRIM(AL661)&amp;TRIM(AK661)</f>
      </c>
      <c r="AN661" s="116">
        <v>849.34</v>
      </c>
      <c r="AO661" s="116">
        <v>-19.32</v>
      </c>
      <c r="AP661" s="116">
        <f>SUMIFS(M:M,AM:AM,AM661)+SUMIFS(O:O,AM:AM,AM661)</f>
      </c>
      <c r="AQ661" s="116">
        <f>SUMIFS(L:L,AM:AM,AM661)</f>
      </c>
      <c r="AR661" s="116">
        <f>AQ661-AP661</f>
      </c>
      <c r="AS661" s="94" t="str">
        <f>IF(AN661&gt;=AQ661,"ok","ck")</f>
      </c>
      <c r="AT661" s="116">
        <f>-P661</f>
      </c>
      <c r="AU661" s="115">
        <f>IF(SUMIFS(AT:AT,AM:AM,AM661)&gt;AO661,(SUMIFS(AT:AT,AM:AM,AM661)-AO661))</f>
      </c>
      <c r="AV661" s="116">
        <v>849.34</v>
      </c>
      <c r="AW661" s="121">
        <v>1.023</v>
      </c>
      <c r="AX661" s="115">
        <f>AN661-AP661</f>
      </c>
    </row>
    <row r="662" spans="1:50" ht="15" hidden="1" customHeight="1" x14ac:dyDescent="0.3">
      <c r="A662" s="94" t="s">
        <v>288</v>
      </c>
      <c r="B662" s="94"/>
      <c r="C662" s="94"/>
      <c r="D662" s="94"/>
      <c r="E662" s="94"/>
      <c r="F662" s="94"/>
      <c r="G662" s="112">
        <f>AU662</f>
      </c>
      <c r="H662" s="113"/>
      <c r="I662" s="94" t="s">
        <v>289</v>
      </c>
      <c r="J662" s="94" t="s">
        <v>298</v>
      </c>
      <c r="K662" s="114">
        <f>P662/3</f>
      </c>
      <c r="L662" s="115">
        <v>0</v>
      </c>
      <c r="M662" s="116">
        <f>L662</f>
      </c>
      <c r="N662" s="117">
        <f>M662-L662</f>
      </c>
      <c r="O662" s="112"/>
      <c r="P662" s="118">
        <f>N662+O662</f>
      </c>
      <c r="Q662" s="94" t="s">
        <v>296</v>
      </c>
      <c r="R662" s="94" t="s">
        <v>63</v>
      </c>
      <c r="S662" s="119">
        <v>46331</v>
      </c>
      <c r="T662" s="119"/>
      <c r="U662" s="120">
        <v>46331</v>
      </c>
      <c r="V662" s="94"/>
      <c r="W662" s="94"/>
      <c r="X662" s="94"/>
      <c r="Y662" s="119">
        <v>46331</v>
      </c>
      <c r="Z662" s="94"/>
      <c r="AA662" s="120"/>
      <c r="AB662" s="120"/>
      <c r="AC662" s="120"/>
      <c r="AD662" s="120"/>
      <c r="AE662" s="120"/>
      <c r="AF662" s="120"/>
      <c r="AG662" s="94"/>
      <c r="AH662" s="120"/>
      <c r="AI662" s="94"/>
      <c r="AJ662" s="94" t="s">
        <v>479</v>
      </c>
      <c r="AK662" s="94" t="s">
        <v>300</v>
      </c>
      <c r="AL662" s="94">
        <v>235</v>
      </c>
      <c r="AM662" s="94" t="str">
        <f>TRIM(AJ662)&amp;TRIM(AL662)&amp;TRIM(AK662)</f>
      </c>
      <c r="AN662" s="116">
        <v>849.34</v>
      </c>
      <c r="AO662" s="116">
        <v>-19.32</v>
      </c>
      <c r="AP662" s="116">
        <f>SUMIFS(M:M,AM:AM,AM662)+SUMIFS(O:O,AM:AM,AM662)</f>
      </c>
      <c r="AQ662" s="116">
        <f>SUMIFS(L:L,AM:AM,AM662)</f>
      </c>
      <c r="AR662" s="116">
        <f>AQ662-AP662</f>
      </c>
      <c r="AS662" s="94" t="str">
        <f>IF(AN662&gt;=AQ662,"ok","ck")</f>
      </c>
      <c r="AT662" s="116">
        <f>-P662</f>
      </c>
      <c r="AU662" s="115">
        <f>IF(SUMIFS(AT:AT,AM:AM,AM662)&gt;AO662,(SUMIFS(AT:AT,AM:AM,AM662)-AO662))</f>
      </c>
      <c r="AV662" s="116">
        <v>849.34</v>
      </c>
      <c r="AW662" s="121">
        <v>1.023</v>
      </c>
      <c r="AX662" s="115">
        <f>AN662-AP662</f>
      </c>
    </row>
    <row r="663" spans="1:50" ht="15" hidden="1" customHeight="1" x14ac:dyDescent="0.3">
      <c r="A663" s="94" t="s">
        <v>288</v>
      </c>
      <c r="B663" s="94"/>
      <c r="C663" s="94"/>
      <c r="D663" s="94"/>
      <c r="E663" s="94"/>
      <c r="F663" s="94"/>
      <c r="G663" s="112">
        <f>AU663</f>
      </c>
      <c r="H663" s="113"/>
      <c r="I663" s="94" t="s">
        <v>289</v>
      </c>
      <c r="J663" s="94" t="s">
        <v>298</v>
      </c>
      <c r="K663" s="114">
        <f>P663/3</f>
      </c>
      <c r="L663" s="115">
        <v>-1.038</v>
      </c>
      <c r="M663" s="116">
        <f>L663</f>
      </c>
      <c r="N663" s="117">
        <f>M663-L663</f>
      </c>
      <c r="O663" s="112"/>
      <c r="P663" s="118">
        <f>N663+O663</f>
      </c>
      <c r="Q663" s="94" t="s">
        <v>296</v>
      </c>
      <c r="R663" s="94" t="s">
        <v>63</v>
      </c>
      <c r="S663" s="119">
        <v>46343</v>
      </c>
      <c r="T663" s="119"/>
      <c r="U663" s="120">
        <v>46343</v>
      </c>
      <c r="V663" s="94"/>
      <c r="W663" s="94"/>
      <c r="X663" s="94"/>
      <c r="Y663" s="119">
        <v>46343</v>
      </c>
      <c r="Z663" s="94"/>
      <c r="AA663" s="120"/>
      <c r="AB663" s="120"/>
      <c r="AC663" s="120"/>
      <c r="AD663" s="120"/>
      <c r="AE663" s="120"/>
      <c r="AF663" s="120"/>
      <c r="AG663" s="94"/>
      <c r="AH663" s="120"/>
      <c r="AI663" s="94"/>
      <c r="AJ663" s="94" t="s">
        <v>479</v>
      </c>
      <c r="AK663" s="94" t="s">
        <v>300</v>
      </c>
      <c r="AL663" s="94">
        <v>235</v>
      </c>
      <c r="AM663" s="94" t="str">
        <f>TRIM(AJ663)&amp;TRIM(AL663)&amp;TRIM(AK663)</f>
      </c>
      <c r="AN663" s="116">
        <v>849.34</v>
      </c>
      <c r="AO663" s="116">
        <v>-19.32</v>
      </c>
      <c r="AP663" s="116">
        <f>SUMIFS(M:M,AM:AM,AM663)+SUMIFS(O:O,AM:AM,AM663)</f>
      </c>
      <c r="AQ663" s="116">
        <f>SUMIFS(L:L,AM:AM,AM663)</f>
      </c>
      <c r="AR663" s="116">
        <f>AQ663-AP663</f>
      </c>
      <c r="AS663" s="94" t="str">
        <f>IF(AN663&gt;=AQ663,"ok","ck")</f>
      </c>
      <c r="AT663" s="116">
        <f>-P663</f>
      </c>
      <c r="AU663" s="115">
        <f>IF(SUMIFS(AT:AT,AM:AM,AM663)&gt;AO663,(SUMIFS(AT:AT,AM:AM,AM663)-AO663))</f>
      </c>
      <c r="AV663" s="116">
        <v>849.34</v>
      </c>
      <c r="AW663" s="121">
        <v>1.023</v>
      </c>
      <c r="AX663" s="115">
        <f>AN663-AP663</f>
      </c>
    </row>
    <row r="664" spans="1:50" ht="15" hidden="1" customHeight="1" x14ac:dyDescent="0.3">
      <c r="A664" s="94" t="s">
        <v>288</v>
      </c>
      <c r="B664" s="94"/>
      <c r="C664" s="94"/>
      <c r="D664" s="94"/>
      <c r="E664" s="94"/>
      <c r="F664" s="94"/>
      <c r="G664" s="112">
        <f>AU664</f>
      </c>
      <c r="H664" s="113"/>
      <c r="I664" s="94" t="s">
        <v>289</v>
      </c>
      <c r="J664" s="94" t="s">
        <v>298</v>
      </c>
      <c r="K664" s="114">
        <f>P664/3</f>
      </c>
      <c r="L664" s="115">
        <v>-1.038</v>
      </c>
      <c r="M664" s="116">
        <f>L664</f>
      </c>
      <c r="N664" s="117">
        <f>M664-L664</f>
      </c>
      <c r="O664" s="112"/>
      <c r="P664" s="118">
        <f>N664+O664</f>
      </c>
      <c r="Q664" s="94" t="s">
        <v>296</v>
      </c>
      <c r="R664" s="94" t="s">
        <v>63</v>
      </c>
      <c r="S664" s="119">
        <v>46340</v>
      </c>
      <c r="T664" s="119"/>
      <c r="U664" s="120">
        <v>46340</v>
      </c>
      <c r="V664" s="94"/>
      <c r="W664" s="94"/>
      <c r="X664" s="94"/>
      <c r="Y664" s="119">
        <v>46340</v>
      </c>
      <c r="Z664" s="94"/>
      <c r="AA664" s="120"/>
      <c r="AB664" s="120"/>
      <c r="AC664" s="120"/>
      <c r="AD664" s="120"/>
      <c r="AE664" s="120"/>
      <c r="AF664" s="120"/>
      <c r="AG664" s="94"/>
      <c r="AH664" s="120"/>
      <c r="AI664" s="94"/>
      <c r="AJ664" s="94" t="s">
        <v>479</v>
      </c>
      <c r="AK664" s="94" t="s">
        <v>300</v>
      </c>
      <c r="AL664" s="94">
        <v>235</v>
      </c>
      <c r="AM664" s="94" t="str">
        <f>TRIM(AJ664)&amp;TRIM(AL664)&amp;TRIM(AK664)</f>
      </c>
      <c r="AN664" s="116">
        <v>849.34</v>
      </c>
      <c r="AO664" s="116">
        <v>-19.32</v>
      </c>
      <c r="AP664" s="116">
        <f>SUMIFS(M:M,AM:AM,AM664)+SUMIFS(O:O,AM:AM,AM664)</f>
      </c>
      <c r="AQ664" s="116">
        <f>SUMIFS(L:L,AM:AM,AM664)</f>
      </c>
      <c r="AR664" s="116">
        <f>AQ664-AP664</f>
      </c>
      <c r="AS664" s="94" t="str">
        <f>IF(AN664&gt;=AQ664,"ok","ck")</f>
      </c>
      <c r="AT664" s="116">
        <f>-P664</f>
      </c>
      <c r="AU664" s="115">
        <f>IF(SUMIFS(AT:AT,AM:AM,AM664)&gt;AO664,(SUMIFS(AT:AT,AM:AM,AM664)-AO664))</f>
      </c>
      <c r="AV664" s="116">
        <v>849.34</v>
      </c>
      <c r="AW664" s="121">
        <v>1.023</v>
      </c>
      <c r="AX664" s="115">
        <f>AN664-AP664</f>
      </c>
    </row>
    <row r="665" spans="1:50" ht="15" hidden="1" customHeight="1" x14ac:dyDescent="0.3">
      <c r="A665" s="94" t="s">
        <v>288</v>
      </c>
      <c r="B665" s="94"/>
      <c r="C665" s="94"/>
      <c r="D665" s="94"/>
      <c r="E665" s="94"/>
      <c r="F665" s="94"/>
      <c r="G665" s="112">
        <f>AU665</f>
      </c>
      <c r="H665" s="113"/>
      <c r="I665" s="94" t="s">
        <v>289</v>
      </c>
      <c r="J665" s="94" t="s">
        <v>301</v>
      </c>
      <c r="K665" s="114">
        <f>P665/3</f>
      </c>
      <c r="L665" s="115">
        <v>0</v>
      </c>
      <c r="M665" s="116">
        <f>L665</f>
      </c>
      <c r="N665" s="117">
        <f>M665-L665</f>
      </c>
      <c r="O665" s="112"/>
      <c r="P665" s="118">
        <f>N665+O665</f>
      </c>
      <c r="Q665" s="94" t="s">
        <v>296</v>
      </c>
      <c r="R665" s="94" t="s">
        <v>63</v>
      </c>
      <c r="S665" s="119">
        <v>46320</v>
      </c>
      <c r="T665" s="119"/>
      <c r="U665" s="120">
        <v>46320</v>
      </c>
      <c r="V665" s="94"/>
      <c r="W665" s="94"/>
      <c r="X665" s="94"/>
      <c r="Y665" s="119">
        <v>46320</v>
      </c>
      <c r="Z665" s="94"/>
      <c r="AA665" s="120"/>
      <c r="AB665" s="120"/>
      <c r="AC665" s="120"/>
      <c r="AD665" s="120"/>
      <c r="AE665" s="120"/>
      <c r="AF665" s="120"/>
      <c r="AG665" s="94"/>
      <c r="AH665" s="120"/>
      <c r="AI665" s="94"/>
      <c r="AJ665" s="94" t="s">
        <v>479</v>
      </c>
      <c r="AK665" s="94" t="s">
        <v>302</v>
      </c>
      <c r="AL665" s="94">
        <v>235</v>
      </c>
      <c r="AM665" s="94" t="str">
        <f>TRIM(AJ665)&amp;TRIM(AL665)&amp;TRIM(AK665)</f>
      </c>
      <c r="AN665" s="116">
        <v>811.52</v>
      </c>
      <c r="AO665" s="116">
        <v>18.5</v>
      </c>
      <c r="AP665" s="116">
        <f>SUMIFS(M:M,AM:AM,AM665)+SUMIFS(O:O,AM:AM,AM665)</f>
      </c>
      <c r="AQ665" s="116">
        <f>SUMIFS(L:L,AM:AM,AM665)</f>
      </c>
      <c r="AR665" s="116">
        <f>AQ665-AP665</f>
      </c>
      <c r="AS665" s="94" t="str">
        <f>IF(AN665&gt;=AQ665,"ok","ck")</f>
      </c>
      <c r="AT665" s="116">
        <f>-P665</f>
      </c>
      <c r="AU665" s="115">
        <f>IF(SUMIFS(AT:AT,AM:AM,AM665)&gt;AO665,(SUMIFS(AT:AT,AM:AM,AM665)-AO665))</f>
      </c>
      <c r="AV665" s="116">
        <v>811.52</v>
      </c>
      <c r="AW665" s="121">
        <v>0.978</v>
      </c>
      <c r="AX665" s="115">
        <f>AN665-AP665</f>
      </c>
    </row>
    <row r="666" spans="1:50" ht="15" hidden="1" customHeight="1" x14ac:dyDescent="0.3">
      <c r="A666" s="94" t="s">
        <v>288</v>
      </c>
      <c r="B666" s="94"/>
      <c r="C666" s="94"/>
      <c r="D666" s="94"/>
      <c r="E666" s="94"/>
      <c r="F666" s="94"/>
      <c r="G666" s="112">
        <f>AU666</f>
      </c>
      <c r="H666" s="113"/>
      <c r="I666" s="94" t="s">
        <v>289</v>
      </c>
      <c r="J666" s="94" t="s">
        <v>301</v>
      </c>
      <c r="K666" s="114">
        <f>P666/3</f>
      </c>
      <c r="L666" s="115">
        <v>0</v>
      </c>
      <c r="M666" s="116">
        <f>L666</f>
      </c>
      <c r="N666" s="117">
        <f>M666-L666</f>
      </c>
      <c r="O666" s="112"/>
      <c r="P666" s="118">
        <f>N666+O666</f>
      </c>
      <c r="Q666" s="94" t="s">
        <v>296</v>
      </c>
      <c r="R666" s="94" t="s">
        <v>63</v>
      </c>
      <c r="S666" s="119">
        <v>46322</v>
      </c>
      <c r="T666" s="119"/>
      <c r="U666" s="120">
        <v>46322</v>
      </c>
      <c r="V666" s="94"/>
      <c r="W666" s="94"/>
      <c r="X666" s="94"/>
      <c r="Y666" s="119">
        <v>46322</v>
      </c>
      <c r="Z666" s="94"/>
      <c r="AA666" s="120"/>
      <c r="AB666" s="120"/>
      <c r="AC666" s="120"/>
      <c r="AD666" s="120"/>
      <c r="AE666" s="120"/>
      <c r="AF666" s="120"/>
      <c r="AG666" s="94"/>
      <c r="AH666" s="120"/>
      <c r="AI666" s="94"/>
      <c r="AJ666" s="94" t="s">
        <v>479</v>
      </c>
      <c r="AK666" s="94" t="s">
        <v>302</v>
      </c>
      <c r="AL666" s="94">
        <v>235</v>
      </c>
      <c r="AM666" s="94" t="str">
        <f>TRIM(AJ666)&amp;TRIM(AL666)&amp;TRIM(AK666)</f>
      </c>
      <c r="AN666" s="116">
        <v>811.52</v>
      </c>
      <c r="AO666" s="116">
        <v>18.5</v>
      </c>
      <c r="AP666" s="116">
        <f>SUMIFS(M:M,AM:AM,AM666)+SUMIFS(O:O,AM:AM,AM666)</f>
      </c>
      <c r="AQ666" s="116">
        <f>SUMIFS(L:L,AM:AM,AM666)</f>
      </c>
      <c r="AR666" s="116">
        <f>AQ666-AP666</f>
      </c>
      <c r="AS666" s="94" t="str">
        <f>IF(AN666&gt;=AQ666,"ok","ck")</f>
      </c>
      <c r="AT666" s="116">
        <f>-P666</f>
      </c>
      <c r="AU666" s="115">
        <f>IF(SUMIFS(AT:AT,AM:AM,AM666)&gt;AO666,(SUMIFS(AT:AT,AM:AM,AM666)-AO666))</f>
      </c>
      <c r="AV666" s="116">
        <v>811.52</v>
      </c>
      <c r="AW666" s="121">
        <v>0.978</v>
      </c>
      <c r="AX666" s="115">
        <f>AN666-AP666</f>
      </c>
    </row>
    <row r="667" spans="1:50" ht="15" hidden="1" customHeight="1" x14ac:dyDescent="0.3">
      <c r="A667" s="94" t="s">
        <v>288</v>
      </c>
      <c r="B667" s="94"/>
      <c r="C667" s="94"/>
      <c r="D667" s="94"/>
      <c r="E667" s="94"/>
      <c r="F667" s="94"/>
      <c r="G667" s="112">
        <f>AU667</f>
      </c>
      <c r="H667" s="113"/>
      <c r="I667" s="94" t="s">
        <v>289</v>
      </c>
      <c r="J667" s="94" t="s">
        <v>301</v>
      </c>
      <c r="K667" s="114">
        <f>P667/3</f>
      </c>
      <c r="L667" s="115">
        <v>0</v>
      </c>
      <c r="M667" s="116">
        <f>L667</f>
      </c>
      <c r="N667" s="117">
        <f>M667-L667</f>
      </c>
      <c r="O667" s="112"/>
      <c r="P667" s="118">
        <f>N667+O667</f>
      </c>
      <c r="Q667" s="94" t="s">
        <v>296</v>
      </c>
      <c r="R667" s="94" t="s">
        <v>63</v>
      </c>
      <c r="S667" s="119">
        <v>46331</v>
      </c>
      <c r="T667" s="119"/>
      <c r="U667" s="120">
        <v>46331</v>
      </c>
      <c r="V667" s="94"/>
      <c r="W667" s="94"/>
      <c r="X667" s="94"/>
      <c r="Y667" s="119">
        <v>46331</v>
      </c>
      <c r="Z667" s="94"/>
      <c r="AA667" s="120"/>
      <c r="AB667" s="120"/>
      <c r="AC667" s="120"/>
      <c r="AD667" s="120"/>
      <c r="AE667" s="120"/>
      <c r="AF667" s="120"/>
      <c r="AG667" s="94"/>
      <c r="AH667" s="120"/>
      <c r="AI667" s="94"/>
      <c r="AJ667" s="94" t="s">
        <v>479</v>
      </c>
      <c r="AK667" s="94" t="s">
        <v>302</v>
      </c>
      <c r="AL667" s="94">
        <v>235</v>
      </c>
      <c r="AM667" s="94" t="str">
        <f>TRIM(AJ667)&amp;TRIM(AL667)&amp;TRIM(AK667)</f>
      </c>
      <c r="AN667" s="116">
        <v>811.52</v>
      </c>
      <c r="AO667" s="116">
        <v>18.5</v>
      </c>
      <c r="AP667" s="116">
        <f>SUMIFS(M:M,AM:AM,AM667)+SUMIFS(O:O,AM:AM,AM667)</f>
      </c>
      <c r="AQ667" s="116">
        <f>SUMIFS(L:L,AM:AM,AM667)</f>
      </c>
      <c r="AR667" s="116">
        <f>AQ667-AP667</f>
      </c>
      <c r="AS667" s="94" t="str">
        <f>IF(AN667&gt;=AQ667,"ok","ck")</f>
      </c>
      <c r="AT667" s="116">
        <f>-P667</f>
      </c>
      <c r="AU667" s="115">
        <f>IF(SUMIFS(AT:AT,AM:AM,AM667)&gt;AO667,(SUMIFS(AT:AT,AM:AM,AM667)-AO667))</f>
      </c>
      <c r="AV667" s="116">
        <v>811.52</v>
      </c>
      <c r="AW667" s="121">
        <v>0.978</v>
      </c>
      <c r="AX667" s="115">
        <f>AN667-AP667</f>
      </c>
    </row>
    <row r="668" spans="1:50" ht="15" hidden="1" customHeight="1" x14ac:dyDescent="0.3">
      <c r="A668" s="94" t="s">
        <v>253</v>
      </c>
      <c r="B668" s="94"/>
      <c r="C668" s="94"/>
      <c r="D668" s="94"/>
      <c r="E668" s="94"/>
      <c r="F668" s="94"/>
      <c r="G668" s="112">
        <f>AU668</f>
      </c>
      <c r="H668" s="113"/>
      <c r="I668" s="94" t="s">
        <v>275</v>
      </c>
      <c r="J668" s="94" t="s">
        <v>286</v>
      </c>
      <c r="K668" s="114">
        <f>P668/3</f>
      </c>
      <c r="L668" s="115">
        <v>-13.145</v>
      </c>
      <c r="M668" s="116">
        <f>L668</f>
      </c>
      <c r="N668" s="117">
        <f>M668-L668</f>
      </c>
      <c r="O668" s="112"/>
      <c r="P668" s="118">
        <f>N668+O668</f>
      </c>
      <c r="Q668" s="94" t="s">
        <v>306</v>
      </c>
      <c r="R668" s="94" t="s">
        <v>63</v>
      </c>
      <c r="S668" s="119">
        <v>46320</v>
      </c>
      <c r="T668" s="119"/>
      <c r="U668" s="120">
        <v>46320</v>
      </c>
      <c r="V668" s="94"/>
      <c r="W668" s="94"/>
      <c r="X668" s="94"/>
      <c r="Y668" s="119">
        <v>46320</v>
      </c>
      <c r="Z668" s="94"/>
      <c r="AA668" s="120"/>
      <c r="AB668" s="120"/>
      <c r="AC668" s="120"/>
      <c r="AD668" s="120"/>
      <c r="AE668" s="120"/>
      <c r="AF668" s="120"/>
      <c r="AG668" s="94"/>
      <c r="AH668" s="120"/>
      <c r="AI668" s="94"/>
      <c r="AJ668" s="94" t="s">
        <v>307</v>
      </c>
      <c r="AK668" s="94" t="s">
        <v>281</v>
      </c>
      <c r="AL668" s="94">
        <v>150</v>
      </c>
      <c r="AM668" s="94" t="str">
        <f>TRIM(AJ668)&amp;TRIM(AL668)&amp;TRIM(AK668)</f>
      </c>
      <c r="AN668" s="116">
        <v>2391</v>
      </c>
      <c r="AO668" s="116">
        <v>-33.5</v>
      </c>
      <c r="AP668" s="116">
        <f>SUMIFS(M:M,AM:AM,AM668)+SUMIFS(O:O,AM:AM,AM668)</f>
      </c>
      <c r="AQ668" s="116">
        <f>SUMIFS(L:L,AM:AM,AM668)</f>
      </c>
      <c r="AR668" s="116">
        <f>AQ668-AP668</f>
      </c>
      <c r="AS668" s="94" t="str">
        <f>IF(AN668&gt;=AQ668,"ok","ck")</f>
      </c>
      <c r="AT668" s="116">
        <f>-P668</f>
      </c>
      <c r="AU668" s="115">
        <f>IF(SUMIFS(AT:AT,AM:AM,AM668)&gt;AO668,(SUMIFS(AT:AT,AM:AM,AM668)-AO668))</f>
      </c>
      <c r="AV668" s="116">
        <v>2391</v>
      </c>
      <c r="AW668" s="121">
        <v>1.014</v>
      </c>
      <c r="AX668" s="115">
        <f>AN668-AP668</f>
      </c>
    </row>
    <row r="669" spans="1:50" ht="15" hidden="1" customHeight="1" x14ac:dyDescent="0.3">
      <c r="A669" s="94" t="s">
        <v>253</v>
      </c>
      <c r="B669" s="94"/>
      <c r="C669" s="94"/>
      <c r="D669" s="94"/>
      <c r="E669" s="94"/>
      <c r="F669" s="94"/>
      <c r="G669" s="112">
        <f>AU669</f>
      </c>
      <c r="H669" s="113"/>
      <c r="I669" s="94" t="s">
        <v>275</v>
      </c>
      <c r="J669" s="94" t="s">
        <v>320</v>
      </c>
      <c r="K669" s="114">
        <f>P669/3</f>
      </c>
      <c r="L669" s="115">
        <v>-21.527000000000001</v>
      </c>
      <c r="M669" s="116">
        <f>L669</f>
      </c>
      <c r="N669" s="117">
        <f>M669-L669</f>
      </c>
      <c r="O669" s="112"/>
      <c r="P669" s="118">
        <f>N669+O669</f>
      </c>
      <c r="Q669" s="94" t="s">
        <v>306</v>
      </c>
      <c r="R669" s="94" t="s">
        <v>63</v>
      </c>
      <c r="S669" s="120">
        <v>46320</v>
      </c>
      <c r="T669" s="120"/>
      <c r="U669" s="120">
        <v>46320</v>
      </c>
      <c r="V669" s="94"/>
      <c r="W669" s="94"/>
      <c r="X669" s="94"/>
      <c r="Y669" s="119">
        <v>46320</v>
      </c>
      <c r="Z669" s="94"/>
      <c r="AA669" s="120"/>
      <c r="AB669" s="120"/>
      <c r="AC669" s="120"/>
      <c r="AD669" s="120"/>
      <c r="AE669" s="120"/>
      <c r="AF669" s="120"/>
      <c r="AG669" s="94"/>
      <c r="AH669" s="120"/>
      <c r="AI669" s="94"/>
      <c r="AJ669" s="94" t="s">
        <v>307</v>
      </c>
      <c r="AK669" s="94" t="s">
        <v>321</v>
      </c>
      <c r="AL669" s="94">
        <v>150</v>
      </c>
      <c r="AM669" s="94" t="str">
        <f>TRIM(AJ669)&amp;TRIM(AL669)&amp;TRIM(AK669)</f>
      </c>
      <c r="AN669" s="116">
        <v>1662</v>
      </c>
      <c r="AO669" s="116">
        <v>-42</v>
      </c>
      <c r="AP669" s="116">
        <f>SUMIFS(M:M,AM:AM,AM669)+SUMIFS(O:O,AM:AM,AM669)</f>
      </c>
      <c r="AQ669" s="116">
        <f>SUMIFS(L:L,AM:AM,AM669)</f>
      </c>
      <c r="AR669" s="116">
        <f>AQ669-AP669</f>
      </c>
      <c r="AS669" s="94" t="str">
        <f>IF(AN669&gt;=AQ669,"ok","ck")</f>
      </c>
      <c r="AT669" s="116">
        <f>-P669</f>
      </c>
      <c r="AU669" s="115">
        <f>IF(SUMIFS(AT:AT,AM:AM,AM669)&gt;AO669,(SUMIFS(AT:AT,AM:AM,AM669)-AO669))</f>
      </c>
      <c r="AV669" s="116">
        <v>1662</v>
      </c>
      <c r="AW669" s="121">
        <v>1.026</v>
      </c>
      <c r="AX669" s="115">
        <f>AN669-AP669</f>
      </c>
    </row>
    <row r="670" spans="1:50" ht="15" hidden="1" customHeight="1" x14ac:dyDescent="0.3">
      <c r="A670" s="94" t="s">
        <v>60</v>
      </c>
      <c r="B670" s="94"/>
      <c r="C670" s="94"/>
      <c r="D670" s="94"/>
      <c r="E670" s="94"/>
      <c r="F670" s="94"/>
      <c r="G670" s="112">
        <f>AU670</f>
      </c>
      <c r="H670" s="113"/>
      <c r="I670" s="94" t="s">
        <v>61</v>
      </c>
      <c r="J670" s="94" t="s">
        <v>547</v>
      </c>
      <c r="K670" s="114">
        <f>P670/3</f>
      </c>
      <c r="L670" s="115">
        <v>0</v>
      </c>
      <c r="M670" s="116">
        <f>L670</f>
      </c>
      <c r="N670" s="117">
        <f>M670-L670</f>
      </c>
      <c r="O670" s="112"/>
      <c r="P670" s="118">
        <f>N670+O670</f>
      </c>
      <c r="Q670" s="94" t="s">
        <v>785</v>
      </c>
      <c r="R670" s="94" t="s">
        <v>63</v>
      </c>
      <c r="S670" s="119">
        <v>46328</v>
      </c>
      <c r="T670" s="119"/>
      <c r="U670" s="119">
        <v>46328</v>
      </c>
      <c r="V670" s="94"/>
      <c r="W670" s="94"/>
      <c r="X670" s="94"/>
      <c r="Y670" s="119">
        <v>46328</v>
      </c>
      <c r="Z670" s="94"/>
      <c r="AA670" s="120"/>
      <c r="AB670" s="120"/>
      <c r="AC670" s="120"/>
      <c r="AD670" s="120"/>
      <c r="AE670" s="120"/>
      <c r="AF670" s="120"/>
      <c r="AG670" s="94"/>
      <c r="AH670" s="120"/>
      <c r="AI670" s="94"/>
      <c r="AJ670" s="94" t="s">
        <v>785</v>
      </c>
      <c r="AK670" s="94" t="s">
        <v>723</v>
      </c>
      <c r="AL670" s="94">
        <v>140</v>
      </c>
      <c r="AM670" s="94" t="str">
        <f>TRIM(AJ670)&amp;TRIM(AL670)&amp;TRIM(AK670)</f>
      </c>
      <c r="AN670" s="116">
        <v>1169.06</v>
      </c>
      <c r="AO670" s="116">
        <v>-27.06</v>
      </c>
      <c r="AP670" s="116">
        <f>SUMIFS(M:M,AM:AM,AM670)+SUMIFS(O:O,AM:AM,AM670)</f>
      </c>
      <c r="AQ670" s="116">
        <f>SUMIFS(L:L,AM:AM,AM670)</f>
      </c>
      <c r="AR670" s="116">
        <f>AQ670-AP670</f>
      </c>
      <c r="AS670" s="94" t="str">
        <f>IF(AN670&gt;=AQ670,"ok","ck")</f>
      </c>
      <c r="AT670" s="116">
        <f>-P670</f>
      </c>
      <c r="AU670" s="115">
        <f>IF(SUMIFS(AT:AT,AM:AM,AM670)&gt;AO670,(SUMIFS(AT:AT,AM:AM,AM670)-AO670))</f>
      </c>
      <c r="AV670" s="116">
        <v>1169.06</v>
      </c>
      <c r="AW670" s="121">
        <v>1.024</v>
      </c>
      <c r="AX670" s="115">
        <f>AN670-AP670</f>
      </c>
    </row>
    <row r="671" spans="1:50" ht="15" hidden="1" customHeight="1" x14ac:dyDescent="0.3">
      <c r="A671" s="94" t="s">
        <v>60</v>
      </c>
      <c r="B671" s="94"/>
      <c r="C671" s="94"/>
      <c r="D671" s="94"/>
      <c r="E671" s="94"/>
      <c r="F671" s="94"/>
      <c r="G671" s="112">
        <f>AU671</f>
      </c>
      <c r="H671" s="113"/>
      <c r="I671" s="94" t="s">
        <v>61</v>
      </c>
      <c r="J671" s="94" t="s">
        <v>547</v>
      </c>
      <c r="K671" s="114">
        <f>P671/3</f>
      </c>
      <c r="L671" s="115">
        <v>0</v>
      </c>
      <c r="M671" s="116">
        <f>L671</f>
      </c>
      <c r="N671" s="117">
        <f>M671-L671</f>
      </c>
      <c r="O671" s="112"/>
      <c r="P671" s="118">
        <f>N671+O671</f>
      </c>
      <c r="Q671" s="94" t="s">
        <v>785</v>
      </c>
      <c r="R671" s="94" t="s">
        <v>63</v>
      </c>
      <c r="S671" s="119">
        <v>46326</v>
      </c>
      <c r="T671" s="119"/>
      <c r="U671" s="119">
        <v>46326</v>
      </c>
      <c r="V671" s="94"/>
      <c r="W671" s="94"/>
      <c r="X671" s="94"/>
      <c r="Y671" s="119">
        <v>46326</v>
      </c>
      <c r="Z671" s="94"/>
      <c r="AA671" s="120"/>
      <c r="AB671" s="120"/>
      <c r="AC671" s="120"/>
      <c r="AD671" s="120"/>
      <c r="AE671" s="120"/>
      <c r="AF671" s="120"/>
      <c r="AG671" s="94"/>
      <c r="AH671" s="120"/>
      <c r="AI671" s="94"/>
      <c r="AJ671" s="94" t="s">
        <v>785</v>
      </c>
      <c r="AK671" s="94" t="s">
        <v>723</v>
      </c>
      <c r="AL671" s="94">
        <v>140</v>
      </c>
      <c r="AM671" s="94" t="str">
        <f>TRIM(AJ671)&amp;TRIM(AL671)&amp;TRIM(AK671)</f>
      </c>
      <c r="AN671" s="116">
        <v>1169.06</v>
      </c>
      <c r="AO671" s="116">
        <v>-27.06</v>
      </c>
      <c r="AP671" s="116">
        <f>SUMIFS(M:M,AM:AM,AM671)+SUMIFS(O:O,AM:AM,AM671)</f>
      </c>
      <c r="AQ671" s="116">
        <f>SUMIFS(L:L,AM:AM,AM671)</f>
      </c>
      <c r="AR671" s="116">
        <f>AQ671-AP671</f>
      </c>
      <c r="AS671" s="94" t="str">
        <f>IF(AN671&gt;=AQ671,"ok","ck")</f>
      </c>
      <c r="AT671" s="116">
        <f>-P671</f>
      </c>
      <c r="AU671" s="115">
        <f>IF(SUMIFS(AT:AT,AM:AM,AM671)&gt;AO671,(SUMIFS(AT:AT,AM:AM,AM671)-AO671))</f>
      </c>
      <c r="AV671" s="116">
        <v>1169.06</v>
      </c>
      <c r="AW671" s="121">
        <v>1.024</v>
      </c>
      <c r="AX671" s="115">
        <f>AN671-AP671</f>
      </c>
    </row>
    <row r="672" spans="1:50" ht="15" hidden="1" customHeight="1" x14ac:dyDescent="0.3">
      <c r="A672" s="94" t="s">
        <v>60</v>
      </c>
      <c r="B672" s="94"/>
      <c r="C672" s="94"/>
      <c r="D672" s="94"/>
      <c r="E672" s="94"/>
      <c r="F672" s="94"/>
      <c r="G672" s="112">
        <f>AU672</f>
      </c>
      <c r="H672" s="113"/>
      <c r="I672" s="94" t="s">
        <v>61</v>
      </c>
      <c r="J672" s="94" t="s">
        <v>547</v>
      </c>
      <c r="K672" s="114">
        <f>P672/3</f>
      </c>
      <c r="L672" s="115">
        <v>0</v>
      </c>
      <c r="M672" s="116">
        <f>L672</f>
      </c>
      <c r="N672" s="117">
        <f>M672-L672</f>
      </c>
      <c r="O672" s="112"/>
      <c r="P672" s="118">
        <f>N672+O672</f>
      </c>
      <c r="Q672" s="94" t="s">
        <v>785</v>
      </c>
      <c r="R672" s="94" t="s">
        <v>63</v>
      </c>
      <c r="S672" s="120">
        <v>46328</v>
      </c>
      <c r="T672" s="120"/>
      <c r="U672" s="120">
        <v>46328</v>
      </c>
      <c r="V672" s="94"/>
      <c r="W672" s="94"/>
      <c r="X672" s="94"/>
      <c r="Y672" s="119">
        <v>46328</v>
      </c>
      <c r="Z672" s="94"/>
      <c r="AA672" s="120"/>
      <c r="AB672" s="120"/>
      <c r="AC672" s="120"/>
      <c r="AD672" s="120"/>
      <c r="AE672" s="120"/>
      <c r="AF672" s="120"/>
      <c r="AG672" s="94"/>
      <c r="AH672" s="120"/>
      <c r="AI672" s="94"/>
      <c r="AJ672" s="94" t="s">
        <v>785</v>
      </c>
      <c r="AK672" s="94" t="s">
        <v>723</v>
      </c>
      <c r="AL672" s="94">
        <v>140</v>
      </c>
      <c r="AM672" s="94" t="str">
        <f>TRIM(AJ672)&amp;TRIM(AL672)&amp;TRIM(AK672)</f>
      </c>
      <c r="AN672" s="116">
        <v>1169.06</v>
      </c>
      <c r="AO672" s="116">
        <v>-27.06</v>
      </c>
      <c r="AP672" s="116">
        <f>SUMIFS(M:M,AM:AM,AM672)+SUMIFS(O:O,AM:AM,AM672)</f>
      </c>
      <c r="AQ672" s="116">
        <f>SUMIFS(L:L,AM:AM,AM672)</f>
      </c>
      <c r="AR672" s="116">
        <f>AQ672-AP672</f>
      </c>
      <c r="AS672" s="94" t="str">
        <f>IF(AN672&gt;=AQ672,"ok","ck")</f>
      </c>
      <c r="AT672" s="116">
        <f>-P672</f>
      </c>
      <c r="AU672" s="115">
        <f>IF(SUMIFS(AT:AT,AM:AM,AM672)&gt;AO672,(SUMIFS(AT:AT,AM:AM,AM672)-AO672))</f>
      </c>
      <c r="AV672" s="116">
        <v>1169.06</v>
      </c>
      <c r="AW672" s="121">
        <v>1.024</v>
      </c>
      <c r="AX672" s="115">
        <f>AN672-AP672</f>
      </c>
    </row>
    <row r="673" spans="1:50" ht="15" hidden="1" customHeight="1" x14ac:dyDescent="0.3">
      <c r="A673" s="94" t="s">
        <v>60</v>
      </c>
      <c r="B673" s="94"/>
      <c r="C673" s="94"/>
      <c r="D673" s="94"/>
      <c r="E673" s="94"/>
      <c r="F673" s="94"/>
      <c r="G673" s="112">
        <f>AU673</f>
      </c>
      <c r="H673" s="113"/>
      <c r="I673" s="94" t="s">
        <v>61</v>
      </c>
      <c r="J673" s="94" t="s">
        <v>541</v>
      </c>
      <c r="K673" s="114">
        <f>P673/3</f>
      </c>
      <c r="L673" s="115">
        <v>205.21899999999999</v>
      </c>
      <c r="M673" s="116"/>
      <c r="N673" s="117">
        <f>M673-L673</f>
      </c>
      <c r="O673" s="112"/>
      <c r="P673" s="118">
        <f>N673+O673</f>
      </c>
      <c r="Q673" s="94" t="s">
        <v>785</v>
      </c>
      <c r="R673" s="94" t="s">
        <v>63</v>
      </c>
      <c r="S673" s="120">
        <v>46335</v>
      </c>
      <c r="T673" s="120"/>
      <c r="U673" s="120">
        <v>46335</v>
      </c>
      <c r="V673" s="94"/>
      <c r="W673" s="94"/>
      <c r="X673" s="94"/>
      <c r="Y673" s="119">
        <v>46342</v>
      </c>
      <c r="Z673" s="94"/>
      <c r="AA673" s="120"/>
      <c r="AB673" s="120"/>
      <c r="AC673" s="120"/>
      <c r="AD673" s="120"/>
      <c r="AE673" s="120"/>
      <c r="AF673" s="120"/>
      <c r="AG673" s="94"/>
      <c r="AH673" s="120"/>
      <c r="AI673" s="94"/>
      <c r="AJ673" s="94" t="s">
        <v>785</v>
      </c>
      <c r="AK673" s="94" t="s">
        <v>541</v>
      </c>
      <c r="AL673" s="94">
        <v>140</v>
      </c>
      <c r="AM673" s="94" t="str">
        <f>TRIM(AJ673)&amp;TRIM(AL673)&amp;TRIM(AK673)</f>
      </c>
      <c r="AN673" s="116">
        <v>190</v>
      </c>
      <c r="AO673" s="116">
        <v>8389</v>
      </c>
      <c r="AP673" s="116">
        <f>SUMIFS(M:M,AM:AM,AM673)+SUMIFS(O:O,AM:AM,AM673)</f>
      </c>
      <c r="AQ673" s="116">
        <f>SUMIFS(L:L,AM:AM,AM673)</f>
      </c>
      <c r="AR673" s="116">
        <f>AQ673-AP673</f>
      </c>
      <c r="AS673" s="94" t="str">
        <f>IF(AN673&gt;=AQ673,"ok","ck")</f>
      </c>
      <c r="AT673" s="116">
        <f>-P673</f>
      </c>
      <c r="AU673" s="115">
        <f>IF(SUMIFS(AT:AT,AM:AM,AM673)&gt;AO673,(SUMIFS(AT:AT,AM:AM,AM673)-AO673))</f>
      </c>
      <c r="AV673" s="116">
        <v>190</v>
      </c>
      <c r="AW673" s="121">
        <v>0.022</v>
      </c>
      <c r="AX673" s="115">
        <f>AN673-AP673</f>
      </c>
    </row>
    <row r="674" spans="1:50" ht="15" hidden="1" customHeight="1" x14ac:dyDescent="0.3">
      <c r="A674" s="94" t="s">
        <v>268</v>
      </c>
      <c r="B674" s="94"/>
      <c r="C674" s="94"/>
      <c r="D674" s="94"/>
      <c r="E674" s="94"/>
      <c r="F674" s="94"/>
      <c r="G674" s="112">
        <f>AU674</f>
      </c>
      <c r="H674" s="113"/>
      <c r="I674" s="94" t="s">
        <v>390</v>
      </c>
      <c r="J674" s="94" t="s">
        <v>273</v>
      </c>
      <c r="K674" s="114">
        <f>P674/3</f>
      </c>
      <c r="L674" s="115">
        <v>0</v>
      </c>
      <c r="M674" s="116">
        <f>L674</f>
      </c>
      <c r="N674" s="117">
        <f>M674-L674</f>
      </c>
      <c r="O674" s="112"/>
      <c r="P674" s="118">
        <f>N674+O674</f>
      </c>
      <c r="Q674" s="94" t="s">
        <v>787</v>
      </c>
      <c r="R674" s="94" t="s">
        <v>63</v>
      </c>
      <c r="S674" s="120">
        <v>46320</v>
      </c>
      <c r="T674" s="120"/>
      <c r="U674" s="120">
        <v>46320</v>
      </c>
      <c r="V674" s="94"/>
      <c r="W674" s="94"/>
      <c r="X674" s="94"/>
      <c r="Y674" s="119">
        <v>46320</v>
      </c>
      <c r="Z674" s="94"/>
      <c r="AA674" s="120"/>
      <c r="AB674" s="120"/>
      <c r="AC674" s="120"/>
      <c r="AD674" s="120"/>
      <c r="AE674" s="120"/>
      <c r="AF674" s="120"/>
      <c r="AG674" s="94"/>
      <c r="AH674" s="120"/>
      <c r="AI674" s="94"/>
      <c r="AJ674" s="94" t="s">
        <v>787</v>
      </c>
      <c r="AK674" s="94" t="s">
        <v>274</v>
      </c>
      <c r="AL674" s="94">
        <v>140</v>
      </c>
      <c r="AM674" s="94" t="str">
        <f>TRIM(AJ674)&amp;TRIM(AL674)&amp;TRIM(AK674)</f>
      </c>
      <c r="AN674" s="116">
        <v>6812.56</v>
      </c>
      <c r="AO674" s="116">
        <v>-3279.56</v>
      </c>
      <c r="AP674" s="116">
        <f>SUMIFS(M:M,AM:AM,AM674)+SUMIFS(O:O,AM:AM,AM674)</f>
      </c>
      <c r="AQ674" s="116">
        <f>SUMIFS(L:L,AM:AM,AM674)</f>
      </c>
      <c r="AR674" s="116">
        <f>AQ674-AP674</f>
      </c>
      <c r="AS674" s="94" t="str">
        <f>IF(AN674&gt;=AQ674,"ok","ck")</f>
      </c>
      <c r="AT674" s="116">
        <f>-P674</f>
      </c>
      <c r="AU674" s="115">
        <f>IF(SUMIFS(AT:AT,AM:AM,AM674)&gt;AO674,(SUMIFS(AT:AT,AM:AM,AM674)-AO674))</f>
      </c>
      <c r="AV674" s="116">
        <v>6812.56</v>
      </c>
      <c r="AW674" s="121">
        <v>1.928</v>
      </c>
      <c r="AX674" s="115">
        <f>AN674-AP674</f>
      </c>
    </row>
    <row r="675" spans="1:50" ht="15" hidden="1" customHeight="1" x14ac:dyDescent="0.3">
      <c r="A675" s="94" t="s">
        <v>60</v>
      </c>
      <c r="B675" s="94"/>
      <c r="C675" s="94"/>
      <c r="D675" s="94"/>
      <c r="E675" s="94"/>
      <c r="F675" s="94"/>
      <c r="G675" s="112">
        <f>AU675</f>
      </c>
      <c r="H675" s="113"/>
      <c r="I675" s="94" t="s">
        <v>482</v>
      </c>
      <c r="J675" s="94" t="s">
        <v>499</v>
      </c>
      <c r="K675" s="114">
        <f>P675/3</f>
      </c>
      <c r="L675" s="115">
        <v>9.4E-2</v>
      </c>
      <c r="M675" s="116"/>
      <c r="N675" s="117">
        <f>M675-L675</f>
      </c>
      <c r="O675" s="112"/>
      <c r="P675" s="118">
        <f>N675+O675</f>
      </c>
      <c r="Q675" s="94" t="s">
        <v>781</v>
      </c>
      <c r="R675" s="94" t="s">
        <v>63</v>
      </c>
      <c r="S675" s="120">
        <v>46340</v>
      </c>
      <c r="T675" s="120"/>
      <c r="U675" s="120">
        <v>46340</v>
      </c>
      <c r="V675" s="94"/>
      <c r="W675" s="94"/>
      <c r="X675" s="94"/>
      <c r="Y675" s="119">
        <v>46340</v>
      </c>
      <c r="Z675" s="94"/>
      <c r="AA675" s="120"/>
      <c r="AB675" s="120"/>
      <c r="AC675" s="120"/>
      <c r="AD675" s="120"/>
      <c r="AE675" s="120"/>
      <c r="AF675" s="120"/>
      <c r="AG675" s="94"/>
      <c r="AH675" s="120"/>
      <c r="AI675" s="94"/>
      <c r="AJ675" s="94" t="s">
        <v>781</v>
      </c>
      <c r="AK675" s="94" t="s">
        <v>693</v>
      </c>
      <c r="AL675" s="94">
        <v>110</v>
      </c>
      <c r="AM675" s="94" t="str">
        <f>TRIM(AJ675)&amp;TRIM(AL675)&amp;TRIM(AK675)</f>
      </c>
      <c r="AN675" s="116">
        <v>0</v>
      </c>
      <c r="AO675" s="116" t="inlineStr">
        <is>
          <t>#NA</t>
        </is>
      </c>
      <c r="AP675" s="116">
        <f>SUMIFS(M:M,AM:AM,AM675)+SUMIFS(O:O,AM:AM,AM675)</f>
      </c>
      <c r="AQ675" s="116">
        <f>SUMIFS(L:L,AM:AM,AM675)</f>
      </c>
      <c r="AR675" s="116">
        <f>AQ675-AP675</f>
      </c>
      <c r="AS675" s="94" t="str">
        <f>IF(AN675&gt;=AQ675,"ok","ck")</f>
      </c>
      <c r="AT675" s="116">
        <f>-P675</f>
      </c>
      <c r="AU675" s="115">
        <f>IF(SUMIFS(AT:AT,AM:AM,AM675)&gt;AO675,(SUMIFS(AT:AT,AM:AM,AM675)-AO675))</f>
      </c>
      <c r="AV675" s="116">
        <v>0</v>
      </c>
      <c r="AW675" s="121">
        <v>0</v>
      </c>
      <c r="AX675" s="115">
        <f>AN675-AP675</f>
      </c>
    </row>
    <row r="676" spans="1:50" ht="15" hidden="1" customHeight="1" x14ac:dyDescent="0.3">
      <c r="A676" s="94" t="s">
        <v>480</v>
      </c>
      <c r="B676" s="94"/>
      <c r="C676" s="94"/>
      <c r="D676" s="94"/>
      <c r="E676" s="94"/>
      <c r="F676" s="94"/>
      <c r="G676" s="112">
        <f>AU676</f>
      </c>
      <c r="H676" s="113"/>
      <c r="I676" s="94" t="s">
        <v>486</v>
      </c>
      <c r="J676" s="94" t="s">
        <v>543</v>
      </c>
      <c r="K676" s="114">
        <f>P676/3</f>
      </c>
      <c r="L676" s="115">
        <v>1.6180000000000001</v>
      </c>
      <c r="M676" s="116"/>
      <c r="N676" s="117">
        <f>M676-L676</f>
      </c>
      <c r="O676" s="112"/>
      <c r="P676" s="118">
        <f>N676+O676</f>
      </c>
      <c r="Q676" s="94" t="s">
        <v>782</v>
      </c>
      <c r="R676" s="94" t="s">
        <v>63</v>
      </c>
      <c r="S676" s="120">
        <v>46332</v>
      </c>
      <c r="T676" s="120"/>
      <c r="U676" s="120">
        <v>46332</v>
      </c>
      <c r="V676" s="94"/>
      <c r="W676" s="94"/>
      <c r="X676" s="94"/>
      <c r="Y676" s="119">
        <v>46338</v>
      </c>
      <c r="Z676" s="94"/>
      <c r="AA676" s="120"/>
      <c r="AB676" s="120"/>
      <c r="AC676" s="120"/>
      <c r="AD676" s="120"/>
      <c r="AE676" s="120"/>
      <c r="AF676" s="120"/>
      <c r="AG676" s="94"/>
      <c r="AH676" s="120"/>
      <c r="AI676" s="94"/>
      <c r="AJ676" s="94" t="s">
        <v>782</v>
      </c>
      <c r="AK676" s="94" t="s">
        <v>696</v>
      </c>
      <c r="AL676" s="94">
        <v>165</v>
      </c>
      <c r="AM676" s="94" t="str">
        <f>TRIM(AJ676)&amp;TRIM(AL676)&amp;TRIM(AK676)</f>
      </c>
      <c r="AN676" s="116">
        <v>0</v>
      </c>
      <c r="AO676" s="116" t="inlineStr">
        <is>
          <t>#NA</t>
        </is>
      </c>
      <c r="AP676" s="116">
        <f>SUMIFS(M:M,AM:AM,AM676)+SUMIFS(O:O,AM:AM,AM676)</f>
      </c>
      <c r="AQ676" s="116">
        <f>SUMIFS(L:L,AM:AM,AM676)</f>
      </c>
      <c r="AR676" s="116">
        <f>AQ676-AP676</f>
      </c>
      <c r="AS676" s="94" t="str">
        <f>IF(AN676&gt;=AQ676,"ok","ck")</f>
      </c>
      <c r="AT676" s="116">
        <f>-P676</f>
      </c>
      <c r="AU676" s="115">
        <f>IF(SUMIFS(AT:AT,AM:AM,AM676)&gt;AO676,(SUMIFS(AT:AT,AM:AM,AM676)-AO676))</f>
      </c>
      <c r="AV676" s="116">
        <v>0</v>
      </c>
      <c r="AW676" s="121">
        <v>0</v>
      </c>
      <c r="AX676" s="115">
        <f>AN676-AP676</f>
      </c>
    </row>
    <row r="677" spans="1:50" ht="15" hidden="1" customHeight="1" x14ac:dyDescent="0.3">
      <c r="A677" s="94" t="s">
        <v>480</v>
      </c>
      <c r="B677" s="94"/>
      <c r="C677" s="94"/>
      <c r="D677" s="94"/>
      <c r="E677" s="94"/>
      <c r="F677" s="94"/>
      <c r="G677" s="112">
        <f>AU677</f>
      </c>
      <c r="H677" s="113"/>
      <c r="I677" s="94" t="s">
        <v>486</v>
      </c>
      <c r="J677" s="94" t="s">
        <v>543</v>
      </c>
      <c r="K677" s="114">
        <f>P677/3</f>
      </c>
      <c r="L677" s="115">
        <v>13.162000000000001</v>
      </c>
      <c r="M677" s="116"/>
      <c r="N677" s="117">
        <f>M677-L677</f>
      </c>
      <c r="O677" s="112"/>
      <c r="P677" s="118">
        <f>N677+O677</f>
      </c>
      <c r="Q677" s="94" t="s">
        <v>782</v>
      </c>
      <c r="R677" s="94" t="s">
        <v>63</v>
      </c>
      <c r="S677" s="120">
        <v>46332</v>
      </c>
      <c r="T677" s="120"/>
      <c r="U677" s="120">
        <v>46332</v>
      </c>
      <c r="V677" s="94"/>
      <c r="W677" s="94"/>
      <c r="X677" s="94"/>
      <c r="Y677" s="119">
        <v>46338</v>
      </c>
      <c r="Z677" s="94"/>
      <c r="AA677" s="120"/>
      <c r="AB677" s="120"/>
      <c r="AC677" s="120"/>
      <c r="AD677" s="120"/>
      <c r="AE677" s="120"/>
      <c r="AF677" s="120"/>
      <c r="AG677" s="94"/>
      <c r="AH677" s="120"/>
      <c r="AI677" s="94"/>
      <c r="AJ677" s="94" t="s">
        <v>782</v>
      </c>
      <c r="AK677" s="94" t="s">
        <v>696</v>
      </c>
      <c r="AL677" s="94">
        <v>165</v>
      </c>
      <c r="AM677" s="94" t="str">
        <f>TRIM(AJ677)&amp;TRIM(AL677)&amp;TRIM(AK677)</f>
      </c>
      <c r="AN677" s="116">
        <v>0</v>
      </c>
      <c r="AO677" s="116" t="inlineStr">
        <is>
          <t>#NA</t>
        </is>
      </c>
      <c r="AP677" s="116">
        <f>SUMIFS(M:M,AM:AM,AM677)+SUMIFS(O:O,AM:AM,AM677)</f>
      </c>
      <c r="AQ677" s="116">
        <f>SUMIFS(L:L,AM:AM,AM677)</f>
      </c>
      <c r="AR677" s="116">
        <f>AQ677-AP677</f>
      </c>
      <c r="AS677" s="94" t="str">
        <f>IF(AN677&gt;=AQ677,"ok","ck")</f>
      </c>
      <c r="AT677" s="116">
        <f>-P677</f>
      </c>
      <c r="AU677" s="115">
        <f>IF(SUMIFS(AT:AT,AM:AM,AM677)&gt;AO677,(SUMIFS(AT:AT,AM:AM,AM677)-AO677))</f>
      </c>
      <c r="AV677" s="116">
        <v>0</v>
      </c>
      <c r="AW677" s="121">
        <v>0</v>
      </c>
      <c r="AX677" s="115">
        <f>AN677-AP677</f>
      </c>
    </row>
    <row r="678" spans="1:50" ht="15" hidden="1" customHeight="1" x14ac:dyDescent="0.3">
      <c r="A678" s="94" t="s">
        <v>268</v>
      </c>
      <c r="B678" s="94"/>
      <c r="C678" s="94"/>
      <c r="D678" s="94"/>
      <c r="E678" s="94"/>
      <c r="F678" s="94"/>
      <c r="G678" s="112">
        <f>AU678</f>
      </c>
      <c r="H678" s="113"/>
      <c r="I678" s="94" t="s">
        <v>390</v>
      </c>
      <c r="J678" s="94" t="s">
        <v>535</v>
      </c>
      <c r="K678" s="114">
        <f>P678/3</f>
      </c>
      <c r="L678" s="115">
        <v>0</v>
      </c>
      <c r="M678" s="116"/>
      <c r="N678" s="117">
        <f>M678-L678</f>
      </c>
      <c r="O678" s="112"/>
      <c r="P678" s="118">
        <f>N678+O678</f>
      </c>
      <c r="Q678" s="94" t="s">
        <v>807</v>
      </c>
      <c r="R678" s="94" t="s">
        <v>63</v>
      </c>
      <c r="S678" s="119">
        <v>46343</v>
      </c>
      <c r="T678" s="119"/>
      <c r="U678" s="119">
        <v>46343</v>
      </c>
      <c r="V678" s="94"/>
      <c r="W678" s="94"/>
      <c r="X678" s="94"/>
      <c r="Y678" s="119">
        <v>46343</v>
      </c>
      <c r="Z678" s="94"/>
      <c r="AA678" s="120"/>
      <c r="AB678" s="120"/>
      <c r="AC678" s="120"/>
      <c r="AD678" s="120"/>
      <c r="AE678" s="120"/>
      <c r="AF678" s="120"/>
      <c r="AG678" s="94"/>
      <c r="AH678" s="120"/>
      <c r="AI678" s="94"/>
      <c r="AJ678" s="94" t="s">
        <v>807</v>
      </c>
      <c r="AK678" s="94" t="s">
        <v>719</v>
      </c>
      <c r="AL678" s="94">
        <v>140</v>
      </c>
      <c r="AM678" s="94" t="str">
        <f>TRIM(AJ678)&amp;TRIM(AL678)&amp;TRIM(AK678)</f>
      </c>
      <c r="AN678" s="116">
        <v>0</v>
      </c>
      <c r="AO678" s="116" t="inlineStr">
        <is>
          <t>#NA</t>
        </is>
      </c>
      <c r="AP678" s="116">
        <f>SUMIFS(M:M,AM:AM,AM678)+SUMIFS(O:O,AM:AM,AM678)</f>
      </c>
      <c r="AQ678" s="116">
        <f>SUMIFS(L:L,AM:AM,AM678)</f>
      </c>
      <c r="AR678" s="116">
        <f>AQ678-AP678</f>
      </c>
      <c r="AS678" s="94" t="str">
        <f>IF(AN678&gt;=AQ678,"ok","ck")</f>
      </c>
      <c r="AT678" s="116">
        <f>-P678</f>
      </c>
      <c r="AU678" s="115">
        <f>IF(SUMIFS(AT:AT,AM:AM,AM678)&gt;AO678,(SUMIFS(AT:AT,AM:AM,AM678)-AO678))</f>
      </c>
      <c r="AV678" s="116">
        <v>0</v>
      </c>
      <c r="AW678" s="121">
        <v>0</v>
      </c>
      <c r="AX678" s="115">
        <f>AN678-AP678</f>
      </c>
    </row>
    <row r="679" spans="1:50" ht="15" hidden="1" customHeight="1" x14ac:dyDescent="0.3">
      <c r="A679" s="94" t="s">
        <v>82</v>
      </c>
      <c r="B679" s="94"/>
      <c r="C679" s="94"/>
      <c r="D679" s="94"/>
      <c r="E679" s="94"/>
      <c r="F679" s="94"/>
      <c r="G679" s="112">
        <f>AU679</f>
      </c>
      <c r="H679" s="113"/>
      <c r="I679" s="94" t="s">
        <v>83</v>
      </c>
      <c r="J679" s="94" t="s">
        <v>100</v>
      </c>
      <c r="K679" s="114">
        <f>P679/3</f>
      </c>
      <c r="L679" s="115">
        <v>-43.29</v>
      </c>
      <c r="M679" s="116">
        <f>L679</f>
      </c>
      <c r="N679" s="117">
        <f>M679-L679</f>
      </c>
      <c r="O679" s="112"/>
      <c r="P679" s="118">
        <f>N679+O679</f>
      </c>
      <c r="Q679" s="94" t="s">
        <v>848</v>
      </c>
      <c r="R679" s="94" t="s">
        <v>63</v>
      </c>
      <c r="S679" s="120">
        <v>46320</v>
      </c>
      <c r="T679" s="120"/>
      <c r="U679" s="120">
        <v>46320</v>
      </c>
      <c r="V679" s="94"/>
      <c r="W679" s="94"/>
      <c r="X679" s="94"/>
      <c r="Y679" s="119">
        <v>46320</v>
      </c>
      <c r="Z679" s="94"/>
      <c r="AA679" s="120"/>
      <c r="AB679" s="120"/>
      <c r="AC679" s="120"/>
      <c r="AD679" s="120"/>
      <c r="AE679" s="120"/>
      <c r="AF679" s="120"/>
      <c r="AG679" s="94"/>
      <c r="AH679" s="120"/>
      <c r="AI679" s="94"/>
      <c r="AJ679" s="94" t="s">
        <v>775</v>
      </c>
      <c r="AK679" s="94" t="s">
        <v>101</v>
      </c>
      <c r="AL679" s="94">
        <v>160</v>
      </c>
      <c r="AM679" s="94" t="str">
        <f>TRIM(AJ679)&amp;TRIM(AL679)&amp;TRIM(AK679)</f>
      </c>
      <c r="AN679" s="116">
        <v>2287</v>
      </c>
      <c r="AO679" s="116">
        <v>-43</v>
      </c>
      <c r="AP679" s="116">
        <f>SUMIFS(M:M,AM:AM,AM679)+SUMIFS(O:O,AM:AM,AM679)</f>
      </c>
      <c r="AQ679" s="116">
        <f>SUMIFS(L:L,AM:AM,AM679)</f>
      </c>
      <c r="AR679" s="116">
        <f>AQ679-AP679</f>
      </c>
      <c r="AS679" s="94" t="str">
        <f>IF(AN679&gt;=AQ679,"ok","ck")</f>
      </c>
      <c r="AT679" s="116">
        <f>-P679</f>
      </c>
      <c r="AU679" s="115">
        <f>IF(SUMIFS(AT:AT,AM:AM,AM679)&gt;AO679,(SUMIFS(AT:AT,AM:AM,AM679)-AO679))</f>
      </c>
      <c r="AV679" s="116">
        <v>2287</v>
      </c>
      <c r="AW679" s="121">
        <v>1.019</v>
      </c>
      <c r="AX679" s="115">
        <f>AN679-AP679</f>
      </c>
    </row>
    <row r="680" spans="1:50" ht="15" hidden="1" customHeight="1" x14ac:dyDescent="0.3">
      <c r="A680" s="94" t="s">
        <v>82</v>
      </c>
      <c r="B680" s="94"/>
      <c r="C680" s="94"/>
      <c r="D680" s="94"/>
      <c r="E680" s="94"/>
      <c r="F680" s="94"/>
      <c r="G680" s="112">
        <f>AU680</f>
      </c>
      <c r="H680" s="113"/>
      <c r="I680" s="94" t="s">
        <v>83</v>
      </c>
      <c r="J680" s="94" t="s">
        <v>100</v>
      </c>
      <c r="K680" s="114">
        <f>P680/3</f>
      </c>
      <c r="L680" s="115">
        <v>0</v>
      </c>
      <c r="M680" s="116">
        <f>L680</f>
      </c>
      <c r="N680" s="117">
        <f>M680-L680</f>
      </c>
      <c r="O680" s="112"/>
      <c r="P680" s="118">
        <f>N680+O680</f>
      </c>
      <c r="Q680" s="94" t="s">
        <v>848</v>
      </c>
      <c r="R680" s="94" t="s">
        <v>63</v>
      </c>
      <c r="S680" s="120">
        <v>46328</v>
      </c>
      <c r="T680" s="120"/>
      <c r="U680" s="120">
        <v>46328</v>
      </c>
      <c r="V680" s="94"/>
      <c r="W680" s="94"/>
      <c r="X680" s="94"/>
      <c r="Y680" s="119">
        <v>46328</v>
      </c>
      <c r="Z680" s="94"/>
      <c r="AA680" s="120"/>
      <c r="AB680" s="120"/>
      <c r="AC680" s="120"/>
      <c r="AD680" s="120"/>
      <c r="AE680" s="120"/>
      <c r="AF680" s="120"/>
      <c r="AG680" s="94"/>
      <c r="AH680" s="120"/>
      <c r="AI680" s="94"/>
      <c r="AJ680" s="94" t="s">
        <v>775</v>
      </c>
      <c r="AK680" s="94" t="s">
        <v>101</v>
      </c>
      <c r="AL680" s="94">
        <v>160</v>
      </c>
      <c r="AM680" s="94" t="str">
        <f>TRIM(AJ680)&amp;TRIM(AL680)&amp;TRIM(AK680)</f>
      </c>
      <c r="AN680" s="116">
        <v>2287</v>
      </c>
      <c r="AO680" s="116">
        <v>-43</v>
      </c>
      <c r="AP680" s="116">
        <f>SUMIFS(M:M,AM:AM,AM680)+SUMIFS(O:O,AM:AM,AM680)</f>
      </c>
      <c r="AQ680" s="116">
        <f>SUMIFS(L:L,AM:AM,AM680)</f>
      </c>
      <c r="AR680" s="116">
        <f>AQ680-AP680</f>
      </c>
      <c r="AS680" s="94" t="str">
        <f>IF(AN680&gt;=AQ680,"ok","ck")</f>
      </c>
      <c r="AT680" s="116">
        <f>-P680</f>
      </c>
      <c r="AU680" s="115">
        <f>IF(SUMIFS(AT:AT,AM:AM,AM680)&gt;AO680,(SUMIFS(AT:AT,AM:AM,AM680)-AO680))</f>
      </c>
      <c r="AV680" s="116">
        <v>2287</v>
      </c>
      <c r="AW680" s="121">
        <v>1.019</v>
      </c>
      <c r="AX680" s="115">
        <f>AN680-AP680</f>
      </c>
    </row>
    <row r="681" spans="1:50" ht="15" hidden="1" customHeight="1" x14ac:dyDescent="0.3">
      <c r="A681" s="94" t="s">
        <v>82</v>
      </c>
      <c r="B681" s="94"/>
      <c r="C681" s="94"/>
      <c r="D681" s="94"/>
      <c r="E681" s="94"/>
      <c r="F681" s="94"/>
      <c r="G681" s="112">
        <f>AU681</f>
      </c>
      <c r="H681" s="113"/>
      <c r="I681" s="94" t="s">
        <v>83</v>
      </c>
      <c r="J681" s="94" t="s">
        <v>100</v>
      </c>
      <c r="K681" s="114">
        <f>P681/3</f>
      </c>
      <c r="L681" s="115">
        <v>0</v>
      </c>
      <c r="M681" s="116">
        <f>L681</f>
      </c>
      <c r="N681" s="117">
        <f>M681-L681</f>
      </c>
      <c r="O681" s="112"/>
      <c r="P681" s="118">
        <f>N681+O681</f>
      </c>
      <c r="Q681" s="94" t="s">
        <v>848</v>
      </c>
      <c r="R681" s="94" t="s">
        <v>63</v>
      </c>
      <c r="S681" s="120">
        <v>46331</v>
      </c>
      <c r="T681" s="120"/>
      <c r="U681" s="120">
        <v>46331</v>
      </c>
      <c r="V681" s="94"/>
      <c r="W681" s="94"/>
      <c r="X681" s="94"/>
      <c r="Y681" s="119">
        <v>46331</v>
      </c>
      <c r="Z681" s="94"/>
      <c r="AA681" s="120"/>
      <c r="AB681" s="120"/>
      <c r="AC681" s="120"/>
      <c r="AD681" s="120"/>
      <c r="AE681" s="120"/>
      <c r="AF681" s="120"/>
      <c r="AG681" s="94"/>
      <c r="AH681" s="120"/>
      <c r="AI681" s="94"/>
      <c r="AJ681" s="94" t="s">
        <v>775</v>
      </c>
      <c r="AK681" s="94" t="s">
        <v>101</v>
      </c>
      <c r="AL681" s="94">
        <v>160</v>
      </c>
      <c r="AM681" s="94" t="str">
        <f>TRIM(AJ681)&amp;TRIM(AL681)&amp;TRIM(AK681)</f>
      </c>
      <c r="AN681" s="116">
        <v>2287</v>
      </c>
      <c r="AO681" s="116">
        <v>-43</v>
      </c>
      <c r="AP681" s="116">
        <f>SUMIFS(M:M,AM:AM,AM681)+SUMIFS(O:O,AM:AM,AM681)</f>
      </c>
      <c r="AQ681" s="116">
        <f>SUMIFS(L:L,AM:AM,AM681)</f>
      </c>
      <c r="AR681" s="116">
        <f>AQ681-AP681</f>
      </c>
      <c r="AS681" s="94" t="str">
        <f>IF(AN681&gt;=AQ681,"ok","ck")</f>
      </c>
      <c r="AT681" s="116">
        <f>-P681</f>
      </c>
      <c r="AU681" s="115">
        <f>IF(SUMIFS(AT:AT,AM:AM,AM681)&gt;AO681,(SUMIFS(AT:AT,AM:AM,AM681)-AO681))</f>
      </c>
      <c r="AV681" s="116">
        <v>2287</v>
      </c>
      <c r="AW681" s="121">
        <v>1.019</v>
      </c>
      <c r="AX681" s="115">
        <f>AN681-AP681</f>
      </c>
    </row>
    <row r="682" spans="1:50" ht="15" customHeight="1" x14ac:dyDescent="0.3">
      <c r="A682" s="94" t="s">
        <v>862</v>
      </c>
      <c r="B682" s="94"/>
      <c r="C682" s="94"/>
      <c r="D682" s="94"/>
      <c r="E682" s="94"/>
      <c r="F682" s="94"/>
      <c r="G682" s="112">
        <f>AU682</f>
      </c>
      <c r="H682" s="113"/>
      <c r="I682" s="94" t="s">
        <v>278</v>
      </c>
      <c r="J682" s="94" t="s">
        <v>267</v>
      </c>
      <c r="K682" s="114">
        <f>P682/3</f>
      </c>
      <c r="L682" s="115">
        <v>120.514</v>
      </c>
      <c r="M682" s="116">
        <v>120.514</v>
      </c>
      <c r="N682" s="117">
        <f>M682-L682</f>
      </c>
      <c r="O682" s="112"/>
      <c r="P682" s="118">
        <f>N682+O682</f>
      </c>
      <c r="Q682" s="94"/>
      <c r="R682" s="94" t="s">
        <v>63</v>
      </c>
      <c r="S682" s="120">
        <v>46330</v>
      </c>
      <c r="T682" s="120"/>
      <c r="U682" s="120" t="s">
        <v>631</v>
      </c>
      <c r="V682" s="94"/>
      <c r="W682" s="94"/>
      <c r="X682" s="94"/>
      <c r="Y682" s="119">
        <v>46343</v>
      </c>
      <c r="Z682" s="94"/>
      <c r="AA682" s="120"/>
      <c r="AB682" s="120"/>
      <c r="AC682" s="120"/>
      <c r="AD682" s="120"/>
      <c r="AE682" s="120"/>
      <c r="AF682" s="120"/>
      <c r="AG682" s="94"/>
      <c r="AH682" s="120"/>
      <c r="AI682" s="94"/>
      <c r="AJ682" s="94"/>
      <c r="AK682" s="94"/>
      <c r="AL682" s="94">
        <v>120</v>
      </c>
      <c r="AM682" s="94" t="str">
        <f>TRIM(AJ682)&amp;TRIM(AL682)&amp;TRIM(AK682)</f>
      </c>
      <c r="AN682" s="116">
        <v>0</v>
      </c>
      <c r="AO682" s="116" t="inlineStr">
        <is>
          <t>#NA</t>
        </is>
      </c>
      <c r="AP682" s="116">
        <f>SUMIFS(M:M,AM:AM,AM682)+SUMIFS(O:O,AM:AM,AM682)</f>
      </c>
      <c r="AQ682" s="116">
        <f>SUMIFS(L:L,AM:AM,AM682)</f>
      </c>
      <c r="AR682" s="116">
        <f>AQ682-AP682</f>
      </c>
      <c r="AS682" s="94" t="str">
        <f>IF(AN682&gt;=AQ682,"ok","ck")</f>
      </c>
      <c r="AT682" s="116">
        <f>-P682</f>
      </c>
      <c r="AU682" s="115">
        <f>IF(SUMIFS(AT:AT,AM:AM,AM682)&gt;AO682,(SUMIFS(AT:AT,AM:AM,AM682)-AO682))</f>
      </c>
      <c r="AV682" s="116" t="e">
        <v>#N/A</v>
      </c>
      <c r="AW682" s="121" t="e">
        <v>#N/A</v>
      </c>
      <c r="AX682" s="115">
        <f>AN682-AP682</f>
      </c>
    </row>
    <row r="683" spans="1:50" ht="15" customHeight="1" x14ac:dyDescent="0.3">
      <c r="A683" s="94" t="s">
        <v>862</v>
      </c>
      <c r="B683" s="94"/>
      <c r="C683" s="94"/>
      <c r="D683" s="94"/>
      <c r="E683" s="94"/>
      <c r="F683" s="94"/>
      <c r="G683" s="112">
        <f>AU683</f>
      </c>
      <c r="H683" s="113"/>
      <c r="I683" s="94" t="s">
        <v>278</v>
      </c>
      <c r="J683" s="94" t="s">
        <v>281</v>
      </c>
      <c r="K683" s="114">
        <f>P683/3</f>
      </c>
      <c r="L683" s="115">
        <v>156.471</v>
      </c>
      <c r="M683" s="116"/>
      <c r="N683" s="117">
        <f>M683-L683</f>
      </c>
      <c r="O683" s="112"/>
      <c r="P683" s="118">
        <f>N683+O683</f>
      </c>
      <c r="Q683" s="94"/>
      <c r="R683" s="94" t="s">
        <v>63</v>
      </c>
      <c r="S683" s="120">
        <v>46338</v>
      </c>
      <c r="T683" s="120"/>
      <c r="U683" s="120" t="s">
        <v>632</v>
      </c>
      <c r="V683" s="94"/>
      <c r="W683" s="94"/>
      <c r="X683" s="94"/>
      <c r="Y683" s="119">
        <v>46331</v>
      </c>
      <c r="Z683" s="94"/>
      <c r="AA683" s="120"/>
      <c r="AB683" s="120"/>
      <c r="AC683" s="120"/>
      <c r="AD683" s="120"/>
      <c r="AE683" s="120"/>
      <c r="AF683" s="120"/>
      <c r="AG683" s="94"/>
      <c r="AH683" s="120"/>
      <c r="AI683" s="94"/>
      <c r="AJ683" s="94"/>
      <c r="AK683" s="94"/>
      <c r="AL683" s="94">
        <v>120</v>
      </c>
      <c r="AM683" s="94" t="str">
        <f>TRIM(AJ683)&amp;TRIM(AL683)&amp;TRIM(AK683)</f>
      </c>
      <c r="AN683" s="116">
        <v>0</v>
      </c>
      <c r="AO683" s="116" t="inlineStr">
        <is>
          <t>#NA</t>
        </is>
      </c>
      <c r="AP683" s="116">
        <f>SUMIFS(M:M,AM:AM,AM683)+SUMIFS(O:O,AM:AM,AM683)</f>
      </c>
      <c r="AQ683" s="116">
        <f>SUMIFS(L:L,AM:AM,AM683)</f>
      </c>
      <c r="AR683" s="116">
        <f>AQ683-AP683</f>
      </c>
      <c r="AS683" s="94" t="str">
        <f>IF(AN683&gt;=AQ683,"ok","ck")</f>
      </c>
      <c r="AT683" s="116">
        <f>-P683</f>
      </c>
      <c r="AU683" s="115">
        <f>IF(SUMIFS(AT:AT,AM:AM,AM683)&gt;AO683,(SUMIFS(AT:AT,AM:AM,AM683)-AO683))</f>
      </c>
      <c r="AV683" s="116" t="e">
        <v>#N/A</v>
      </c>
      <c r="AW683" s="121" t="e">
        <v>#N/A</v>
      </c>
      <c r="AX683" s="115">
        <f>AN683-AP683</f>
      </c>
    </row>
    <row r="684" spans="1:50" ht="15" hidden="1" customHeight="1" x14ac:dyDescent="0.3">
      <c r="A684" s="94" t="s">
        <v>268</v>
      </c>
      <c r="B684" s="94"/>
      <c r="C684" s="94"/>
      <c r="D684" s="94"/>
      <c r="E684" s="94"/>
      <c r="F684" s="94"/>
      <c r="G684" s="112">
        <f>AU684</f>
      </c>
      <c r="H684" s="113"/>
      <c r="I684" s="94" t="s">
        <v>278</v>
      </c>
      <c r="J684" s="94" t="s">
        <v>534</v>
      </c>
      <c r="K684" s="114">
        <f>P684/3</f>
      </c>
      <c r="L684" s="115">
        <v>-0.443</v>
      </c>
      <c r="M684" s="116">
        <f>L684</f>
      </c>
      <c r="N684" s="117">
        <f>M684-L684</f>
      </c>
      <c r="O684" s="112"/>
      <c r="P684" s="118">
        <f>N684+O684</f>
      </c>
      <c r="Q684" s="94" t="s">
        <v>309</v>
      </c>
      <c r="R684" s="94" t="s">
        <v>63</v>
      </c>
      <c r="S684" s="119">
        <v>46320</v>
      </c>
      <c r="T684" s="119"/>
      <c r="U684" s="120">
        <v>46320</v>
      </c>
      <c r="V684" s="94"/>
      <c r="W684" s="94"/>
      <c r="X684" s="94"/>
      <c r="Y684" s="119">
        <v>46320</v>
      </c>
      <c r="Z684" s="94"/>
      <c r="AA684" s="120"/>
      <c r="AB684" s="120"/>
      <c r="AC684" s="120"/>
      <c r="AD684" s="120"/>
      <c r="AE684" s="120"/>
      <c r="AF684" s="120"/>
      <c r="AG684" s="94"/>
      <c r="AH684" s="120"/>
      <c r="AI684" s="94"/>
      <c r="AJ684" s="94" t="s">
        <v>309</v>
      </c>
      <c r="AK684" s="94" t="s">
        <v>534</v>
      </c>
      <c r="AL684" s="94">
        <v>120</v>
      </c>
      <c r="AM684" s="94" t="str">
        <f>TRIM(AJ684)&amp;TRIM(AL684)&amp;TRIM(AK684)</f>
      </c>
      <c r="AN684" s="116">
        <v>472</v>
      </c>
      <c r="AO684" s="116">
        <v>-50</v>
      </c>
      <c r="AP684" s="116">
        <f>SUMIFS(M:M,AM:AM,AM684)+SUMIFS(O:O,AM:AM,AM684)</f>
      </c>
      <c r="AQ684" s="116">
        <f>SUMIFS(L:L,AM:AM,AM684)</f>
      </c>
      <c r="AR684" s="116">
        <f>AQ684-AP684</f>
      </c>
      <c r="AS684" s="94" t="str">
        <f>IF(AN684&gt;=AQ684,"ok","ck")</f>
      </c>
      <c r="AT684" s="116">
        <f>-P684</f>
      </c>
      <c r="AU684" s="115">
        <f>IF(SUMIFS(AT:AT,AM:AM,AM684)&gt;AO684,(SUMIFS(AT:AT,AM:AM,AM684)-AO684))</f>
      </c>
      <c r="AV684" s="116">
        <v>472</v>
      </c>
      <c r="AW684" s="121">
        <v>1.118</v>
      </c>
      <c r="AX684" s="115">
        <f>AN684-AP684</f>
      </c>
    </row>
    <row r="685" spans="1:50" ht="15" hidden="1" customHeight="1" x14ac:dyDescent="0.3">
      <c r="A685" s="94" t="s">
        <v>268</v>
      </c>
      <c r="B685" s="94"/>
      <c r="C685" s="94"/>
      <c r="D685" s="94"/>
      <c r="E685" s="94"/>
      <c r="F685" s="94"/>
      <c r="G685" s="112">
        <f>AU685</f>
      </c>
      <c r="H685" s="113"/>
      <c r="I685" s="94" t="s">
        <v>390</v>
      </c>
      <c r="J685" s="94" t="s">
        <v>381</v>
      </c>
      <c r="K685" s="114">
        <f>P685/3</f>
      </c>
      <c r="L685" s="115">
        <v>1769.249</v>
      </c>
      <c r="M685" s="116"/>
      <c r="N685" s="117">
        <f>M685-L685</f>
      </c>
      <c r="O685" s="112"/>
      <c r="P685" s="118">
        <f>N685+O685</f>
      </c>
      <c r="Q685" s="94" t="s">
        <v>778</v>
      </c>
      <c r="R685" s="94" t="s">
        <v>63</v>
      </c>
      <c r="S685" s="119">
        <v>46349</v>
      </c>
      <c r="T685" s="119"/>
      <c r="U685" s="120" t="s">
        <v>638</v>
      </c>
      <c r="V685" s="94"/>
      <c r="W685" s="94"/>
      <c r="X685" s="94"/>
      <c r="Y685" s="119">
        <v>46340</v>
      </c>
      <c r="Z685" s="94"/>
      <c r="AA685" s="120"/>
      <c r="AB685" s="120"/>
      <c r="AC685" s="120"/>
      <c r="AD685" s="120"/>
      <c r="AE685" s="120"/>
      <c r="AF685" s="120"/>
      <c r="AG685" s="94"/>
      <c r="AH685" s="120"/>
      <c r="AI685" s="94"/>
      <c r="AJ685" s="94" t="s">
        <v>778</v>
      </c>
      <c r="AK685" s="94" t="s">
        <v>381</v>
      </c>
      <c r="AL685" s="94">
        <v>140</v>
      </c>
      <c r="AM685" s="94" t="str">
        <f>TRIM(AJ685)&amp;TRIM(AL685)&amp;TRIM(AK685)</f>
      </c>
      <c r="AN685" s="116">
        <v>0</v>
      </c>
      <c r="AO685" s="116" t="inlineStr">
        <is>
          <t>#NA</t>
        </is>
      </c>
      <c r="AP685" s="116">
        <f>SUMIFS(M:M,AM:AM,AM685)+SUMIFS(O:O,AM:AM,AM685)</f>
      </c>
      <c r="AQ685" s="116">
        <f>SUMIFS(L:L,AM:AM,AM685)</f>
      </c>
      <c r="AR685" s="116">
        <f>AQ685-AP685</f>
      </c>
      <c r="AS685" s="94" t="str">
        <f>IF(AN685&gt;=AQ685,"ok","ck")</f>
      </c>
      <c r="AT685" s="116">
        <f>-P685</f>
      </c>
      <c r="AU685" s="115">
        <f>IF(SUMIFS(AT:AT,AM:AM,AM685)&gt;AO685,(SUMIFS(AT:AT,AM:AM,AM685)-AO685))</f>
      </c>
      <c r="AV685" s="116">
        <v>0</v>
      </c>
      <c r="AW685" s="121">
        <v>0</v>
      </c>
      <c r="AX685" s="115">
        <f>AN685-AP685</f>
      </c>
    </row>
    <row r="686" spans="1:50" ht="15" hidden="1" customHeight="1" x14ac:dyDescent="0.3">
      <c r="A686" s="94" t="s">
        <v>311</v>
      </c>
      <c r="B686" s="94"/>
      <c r="C686" s="94"/>
      <c r="D686" s="94"/>
      <c r="E686" s="94"/>
      <c r="F686" s="94"/>
      <c r="G686" s="112">
        <f>AU686</f>
      </c>
      <c r="H686" s="113"/>
      <c r="I686" s="94" t="s">
        <v>312</v>
      </c>
      <c r="J686" s="94" t="s">
        <v>548</v>
      </c>
      <c r="K686" s="114">
        <f>P686/3</f>
      </c>
      <c r="L686" s="115">
        <v>-12.57</v>
      </c>
      <c r="M686" s="116">
        <f>L686</f>
      </c>
      <c r="N686" s="117">
        <f>M686-L686</f>
      </c>
      <c r="O686" s="112"/>
      <c r="P686" s="118">
        <f>N686+O686</f>
      </c>
      <c r="Q686" s="94" t="s">
        <v>799</v>
      </c>
      <c r="R686" s="94" t="s">
        <v>63</v>
      </c>
      <c r="S686" s="119">
        <v>46326</v>
      </c>
      <c r="T686" s="119"/>
      <c r="U686" s="120">
        <v>46326</v>
      </c>
      <c r="V686" s="94"/>
      <c r="W686" s="94"/>
      <c r="X686" s="94"/>
      <c r="Y686" s="119">
        <v>46326</v>
      </c>
      <c r="Z686" s="94"/>
      <c r="AA686" s="120"/>
      <c r="AB686" s="120"/>
      <c r="AC686" s="120"/>
      <c r="AD686" s="120"/>
      <c r="AE686" s="120"/>
      <c r="AF686" s="120"/>
      <c r="AG686" s="94"/>
      <c r="AH686" s="120"/>
      <c r="AI686" s="94"/>
      <c r="AJ686" s="94" t="s">
        <v>799</v>
      </c>
      <c r="AK686" s="94" t="s">
        <v>724</v>
      </c>
      <c r="AL686" s="94">
        <v>150</v>
      </c>
      <c r="AM686" s="94" t="str">
        <f>TRIM(AJ686)&amp;TRIM(AL686)&amp;TRIM(AK686)</f>
      </c>
      <c r="AN686" s="116">
        <v>846</v>
      </c>
      <c r="AO686" s="116">
        <v>-12</v>
      </c>
      <c r="AP686" s="116">
        <f>SUMIFS(M:M,AM:AM,AM686)+SUMIFS(O:O,AM:AM,AM686)</f>
      </c>
      <c r="AQ686" s="116">
        <f>SUMIFS(L:L,AM:AM,AM686)</f>
      </c>
      <c r="AR686" s="116">
        <f>AQ686-AP686</f>
      </c>
      <c r="AS686" s="94" t="str">
        <f>IF(AN686&gt;=AQ686,"ok","ck")</f>
      </c>
      <c r="AT686" s="116">
        <f>-P686</f>
      </c>
      <c r="AU686" s="115">
        <f>IF(SUMIFS(AT:AT,AM:AM,AM686)&gt;AO686,(SUMIFS(AT:AT,AM:AM,AM686)-AO686))</f>
      </c>
      <c r="AV686" s="116">
        <v>846</v>
      </c>
      <c r="AW686" s="121">
        <v>1.014</v>
      </c>
      <c r="AX686" s="115">
        <f>AN686-AP686</f>
      </c>
    </row>
    <row r="687" spans="1:50" ht="15" hidden="1" customHeight="1" x14ac:dyDescent="0.3">
      <c r="A687" s="94" t="s">
        <v>82</v>
      </c>
      <c r="B687" s="94"/>
      <c r="C687" s="94"/>
      <c r="D687" s="94"/>
      <c r="E687" s="94"/>
      <c r="F687" s="94"/>
      <c r="G687" s="112">
        <f>AU687</f>
      </c>
      <c r="H687" s="113"/>
      <c r="I687" s="94" t="s">
        <v>83</v>
      </c>
      <c r="J687" s="94" t="s">
        <v>549</v>
      </c>
      <c r="K687" s="114">
        <f>P687/3</f>
      </c>
      <c r="L687" s="115">
        <v>1500</v>
      </c>
      <c r="M687" s="116"/>
      <c r="N687" s="117">
        <f>M687-L687</f>
      </c>
      <c r="O687" s="112"/>
      <c r="P687" s="118">
        <f>N687+O687</f>
      </c>
      <c r="Q687" s="94" t="s">
        <v>856</v>
      </c>
      <c r="R687" s="94" t="s">
        <v>63</v>
      </c>
      <c r="S687" s="119">
        <v>46342</v>
      </c>
      <c r="T687" s="119"/>
      <c r="U687" s="120" t="s">
        <v>651</v>
      </c>
      <c r="V687" s="94"/>
      <c r="W687" s="94"/>
      <c r="X687" s="94"/>
      <c r="Y687" s="119">
        <v>46334</v>
      </c>
      <c r="Z687" s="94"/>
      <c r="AA687" s="120"/>
      <c r="AB687" s="120"/>
      <c r="AC687" s="120"/>
      <c r="AD687" s="120"/>
      <c r="AE687" s="120"/>
      <c r="AF687" s="120"/>
      <c r="AG687" s="94"/>
      <c r="AH687" s="120"/>
      <c r="AI687" s="94"/>
      <c r="AJ687" s="94" t="s">
        <v>808</v>
      </c>
      <c r="AK687" s="94" t="s">
        <v>89</v>
      </c>
      <c r="AL687" s="94">
        <v>160</v>
      </c>
      <c r="AM687" s="94" t="str">
        <f>TRIM(AJ687)&amp;TRIM(AL687)&amp;TRIM(AK687)</f>
      </c>
      <c r="AN687" s="116">
        <v>0</v>
      </c>
      <c r="AO687" s="116" t="inlineStr">
        <is>
          <t>#NA</t>
        </is>
      </c>
      <c r="AP687" s="116">
        <f>SUMIFS(M:M,AM:AM,AM687)+SUMIFS(O:O,AM:AM,AM687)</f>
      </c>
      <c r="AQ687" s="116">
        <f>SUMIFS(L:L,AM:AM,AM687)</f>
      </c>
      <c r="AR687" s="116">
        <f>AQ687-AP687</f>
      </c>
      <c r="AS687" s="94" t="str">
        <f>IF(AN687&gt;=AQ687,"ok","ck")</f>
      </c>
      <c r="AT687" s="116">
        <f>-P687</f>
      </c>
      <c r="AU687" s="115">
        <f>IF(SUMIFS(AT:AT,AM:AM,AM687)&gt;AO687,(SUMIFS(AT:AT,AM:AM,AM687)-AO687))</f>
      </c>
      <c r="AV687" s="116">
        <v>0</v>
      </c>
      <c r="AW687" s="121">
        <v>0</v>
      </c>
      <c r="AX687" s="115">
        <f>AN687-AP687</f>
      </c>
    </row>
    <row r="688" spans="1:50" ht="15" hidden="1" customHeight="1" x14ac:dyDescent="0.3">
      <c r="A688" s="94" t="s">
        <v>82</v>
      </c>
      <c r="B688" s="94"/>
      <c r="C688" s="94"/>
      <c r="D688" s="94"/>
      <c r="E688" s="94"/>
      <c r="F688" s="94"/>
      <c r="G688" s="112">
        <f>AU688</f>
      </c>
      <c r="H688" s="113"/>
      <c r="I688" s="94" t="s">
        <v>83</v>
      </c>
      <c r="J688" s="94" t="s">
        <v>549</v>
      </c>
      <c r="K688" s="114">
        <f>P688/3</f>
      </c>
      <c r="L688" s="115">
        <v>1500</v>
      </c>
      <c r="M688" s="116"/>
      <c r="N688" s="117">
        <f>M688-L688</f>
      </c>
      <c r="O688" s="112"/>
      <c r="P688" s="118">
        <f>N688+O688</f>
      </c>
      <c r="Q688" s="94" t="s">
        <v>856</v>
      </c>
      <c r="R688" s="94" t="s">
        <v>63</v>
      </c>
      <c r="S688" s="119">
        <v>46343</v>
      </c>
      <c r="T688" s="119"/>
      <c r="U688" s="120" t="s">
        <v>651</v>
      </c>
      <c r="V688" s="94"/>
      <c r="W688" s="94"/>
      <c r="X688" s="94"/>
      <c r="Y688" s="119">
        <v>46334</v>
      </c>
      <c r="Z688" s="94"/>
      <c r="AA688" s="120"/>
      <c r="AB688" s="120"/>
      <c r="AC688" s="120"/>
      <c r="AD688" s="120"/>
      <c r="AE688" s="120"/>
      <c r="AF688" s="120"/>
      <c r="AG688" s="94"/>
      <c r="AH688" s="120"/>
      <c r="AI688" s="94"/>
      <c r="AJ688" s="94" t="s">
        <v>808</v>
      </c>
      <c r="AK688" s="94" t="s">
        <v>89</v>
      </c>
      <c r="AL688" s="94">
        <v>160</v>
      </c>
      <c r="AM688" s="94" t="str">
        <f>TRIM(AJ688)&amp;TRIM(AL688)&amp;TRIM(AK688)</f>
      </c>
      <c r="AN688" s="116">
        <v>0</v>
      </c>
      <c r="AO688" s="116" t="inlineStr">
        <is>
          <t>#NA</t>
        </is>
      </c>
      <c r="AP688" s="116">
        <f>SUMIFS(M:M,AM:AM,AM688)+SUMIFS(O:O,AM:AM,AM688)</f>
      </c>
      <c r="AQ688" s="116">
        <f>SUMIFS(L:L,AM:AM,AM688)</f>
      </c>
      <c r="AR688" s="116">
        <f>AQ688-AP688</f>
      </c>
      <c r="AS688" s="94" t="str">
        <f>IF(AN688&gt;=AQ688,"ok","ck")</f>
      </c>
      <c r="AT688" s="116">
        <f>-P688</f>
      </c>
      <c r="AU688" s="115">
        <f>IF(SUMIFS(AT:AT,AM:AM,AM688)&gt;AO688,(SUMIFS(AT:AT,AM:AM,AM688)-AO688))</f>
      </c>
      <c r="AV688" s="116">
        <v>0</v>
      </c>
      <c r="AW688" s="121">
        <v>0</v>
      </c>
      <c r="AX688" s="115">
        <f>AN688-AP688</f>
      </c>
    </row>
    <row r="689" spans="1:50" ht="15" hidden="1" customHeight="1" x14ac:dyDescent="0.3">
      <c r="A689" s="94" t="s">
        <v>82</v>
      </c>
      <c r="B689" s="94"/>
      <c r="C689" s="94"/>
      <c r="D689" s="94"/>
      <c r="E689" s="94"/>
      <c r="F689" s="94"/>
      <c r="G689" s="112">
        <f>AU689</f>
      </c>
      <c r="H689" s="113"/>
      <c r="I689" s="94" t="s">
        <v>83</v>
      </c>
      <c r="J689" s="94" t="s">
        <v>549</v>
      </c>
      <c r="K689" s="114">
        <f>P689/3</f>
      </c>
      <c r="L689" s="115">
        <v>1500</v>
      </c>
      <c r="M689" s="116"/>
      <c r="N689" s="117">
        <f>M689-L689</f>
      </c>
      <c r="O689" s="112"/>
      <c r="P689" s="118">
        <f>N689+O689</f>
      </c>
      <c r="Q689" s="94" t="s">
        <v>856</v>
      </c>
      <c r="R689" s="94" t="s">
        <v>63</v>
      </c>
      <c r="S689" s="119">
        <v>46344</v>
      </c>
      <c r="T689" s="119"/>
      <c r="U689" s="120" t="s">
        <v>651</v>
      </c>
      <c r="V689" s="94"/>
      <c r="W689" s="94"/>
      <c r="X689" s="94"/>
      <c r="Y689" s="119">
        <v>46334</v>
      </c>
      <c r="Z689" s="94"/>
      <c r="AA689" s="120"/>
      <c r="AB689" s="120"/>
      <c r="AC689" s="120"/>
      <c r="AD689" s="120"/>
      <c r="AE689" s="120"/>
      <c r="AF689" s="120"/>
      <c r="AG689" s="94"/>
      <c r="AH689" s="120"/>
      <c r="AI689" s="94"/>
      <c r="AJ689" s="94" t="s">
        <v>808</v>
      </c>
      <c r="AK689" s="94" t="s">
        <v>89</v>
      </c>
      <c r="AL689" s="94">
        <v>160</v>
      </c>
      <c r="AM689" s="94" t="str">
        <f>TRIM(AJ689)&amp;TRIM(AL689)&amp;TRIM(AK689)</f>
      </c>
      <c r="AN689" s="116">
        <v>0</v>
      </c>
      <c r="AO689" s="116" t="inlineStr">
        <is>
          <t>#NA</t>
        </is>
      </c>
      <c r="AP689" s="116">
        <f>SUMIFS(M:M,AM:AM,AM689)+SUMIFS(O:O,AM:AM,AM689)</f>
      </c>
      <c r="AQ689" s="116">
        <f>SUMIFS(L:L,AM:AM,AM689)</f>
      </c>
      <c r="AR689" s="116">
        <f>AQ689-AP689</f>
      </c>
      <c r="AS689" s="94" t="str">
        <f>IF(AN689&gt;=AQ689,"ok","ck")</f>
      </c>
      <c r="AT689" s="116">
        <f>-P689</f>
      </c>
      <c r="AU689" s="115">
        <f>IF(SUMIFS(AT:AT,AM:AM,AM689)&gt;AO689,(SUMIFS(AT:AT,AM:AM,AM689)-AO689))</f>
      </c>
      <c r="AV689" s="116">
        <v>0</v>
      </c>
      <c r="AW689" s="121">
        <v>0</v>
      </c>
      <c r="AX689" s="115">
        <f>AN689-AP689</f>
      </c>
    </row>
    <row r="690" spans="1:50" ht="15" hidden="1" customHeight="1" x14ac:dyDescent="0.3">
      <c r="A690" s="94" t="s">
        <v>82</v>
      </c>
      <c r="B690" s="94"/>
      <c r="C690" s="94"/>
      <c r="D690" s="94"/>
      <c r="E690" s="94"/>
      <c r="F690" s="94"/>
      <c r="G690" s="112">
        <f>AU690</f>
      </c>
      <c r="H690" s="113"/>
      <c r="I690" s="94" t="s">
        <v>83</v>
      </c>
      <c r="J690" s="94" t="s">
        <v>84</v>
      </c>
      <c r="K690" s="114">
        <f>P690/3</f>
      </c>
      <c r="L690" s="115">
        <v>1700</v>
      </c>
      <c r="M690" s="116"/>
      <c r="N690" s="117">
        <f>M690-L690</f>
      </c>
      <c r="O690" s="112"/>
      <c r="P690" s="118">
        <f>N690+O690</f>
      </c>
      <c r="Q690" s="94" t="s">
        <v>856</v>
      </c>
      <c r="R690" s="94" t="s">
        <v>63</v>
      </c>
      <c r="S690" s="119">
        <v>46341</v>
      </c>
      <c r="T690" s="119"/>
      <c r="U690" s="120" t="s">
        <v>652</v>
      </c>
      <c r="V690" s="94"/>
      <c r="W690" s="94"/>
      <c r="X690" s="94"/>
      <c r="Y690" s="119">
        <v>46336</v>
      </c>
      <c r="Z690" s="94"/>
      <c r="AA690" s="120"/>
      <c r="AB690" s="120"/>
      <c r="AC690" s="120"/>
      <c r="AD690" s="120"/>
      <c r="AE690" s="120"/>
      <c r="AF690" s="120"/>
      <c r="AG690" s="94"/>
      <c r="AH690" s="120"/>
      <c r="AI690" s="94"/>
      <c r="AJ690" s="94" t="s">
        <v>808</v>
      </c>
      <c r="AK690" s="94" t="s">
        <v>87</v>
      </c>
      <c r="AL690" s="94">
        <v>160</v>
      </c>
      <c r="AM690" s="94" t="str">
        <f>TRIM(AJ690)&amp;TRIM(AL690)&amp;TRIM(AK690)</f>
      </c>
      <c r="AN690" s="116">
        <v>0</v>
      </c>
      <c r="AO690" s="116" t="inlineStr">
        <is>
          <t>#NA</t>
        </is>
      </c>
      <c r="AP690" s="116">
        <f>SUMIFS(M:M,AM:AM,AM690)+SUMIFS(O:O,AM:AM,AM690)</f>
      </c>
      <c r="AQ690" s="116">
        <f>SUMIFS(L:L,AM:AM,AM690)</f>
      </c>
      <c r="AR690" s="116">
        <f>AQ690-AP690</f>
      </c>
      <c r="AS690" s="94" t="str">
        <f>IF(AN690&gt;=AQ690,"ok","ck")</f>
      </c>
      <c r="AT690" s="116">
        <f>-P690</f>
      </c>
      <c r="AU690" s="115">
        <f>IF(SUMIFS(AT:AT,AM:AM,AM690)&gt;AO690,(SUMIFS(AT:AT,AM:AM,AM690)-AO690))</f>
      </c>
      <c r="AV690" s="116">
        <v>0</v>
      </c>
      <c r="AW690" s="121">
        <v>0</v>
      </c>
      <c r="AX690" s="115">
        <f>AN690-AP690</f>
      </c>
    </row>
    <row r="691" spans="1:50" ht="15" hidden="1" customHeight="1" x14ac:dyDescent="0.3">
      <c r="A691" s="94" t="s">
        <v>82</v>
      </c>
      <c r="B691" s="94"/>
      <c r="C691" s="94"/>
      <c r="D691" s="94"/>
      <c r="E691" s="94"/>
      <c r="F691" s="94"/>
      <c r="G691" s="112">
        <f>AU691</f>
      </c>
      <c r="H691" s="113"/>
      <c r="I691" s="94" t="s">
        <v>83</v>
      </c>
      <c r="J691" s="94" t="s">
        <v>84</v>
      </c>
      <c r="K691" s="114">
        <f>P691/3</f>
      </c>
      <c r="L691" s="115">
        <v>1700</v>
      </c>
      <c r="M691" s="116"/>
      <c r="N691" s="117">
        <f>M691-L691</f>
      </c>
      <c r="O691" s="112"/>
      <c r="P691" s="118">
        <f>N691+O691</f>
      </c>
      <c r="Q691" s="94" t="s">
        <v>856</v>
      </c>
      <c r="R691" s="94" t="s">
        <v>63</v>
      </c>
      <c r="S691" s="119">
        <v>46342</v>
      </c>
      <c r="T691" s="119"/>
      <c r="U691" s="120" t="s">
        <v>652</v>
      </c>
      <c r="V691" s="94"/>
      <c r="W691" s="94"/>
      <c r="X691" s="94"/>
      <c r="Y691" s="119">
        <v>46336</v>
      </c>
      <c r="Z691" s="94"/>
      <c r="AA691" s="120"/>
      <c r="AB691" s="120"/>
      <c r="AC691" s="120"/>
      <c r="AD691" s="120"/>
      <c r="AE691" s="120"/>
      <c r="AF691" s="120"/>
      <c r="AG691" s="94"/>
      <c r="AH691" s="120"/>
      <c r="AI691" s="94"/>
      <c r="AJ691" s="94" t="s">
        <v>808</v>
      </c>
      <c r="AK691" s="94" t="s">
        <v>87</v>
      </c>
      <c r="AL691" s="94">
        <v>160</v>
      </c>
      <c r="AM691" s="94" t="str">
        <f>TRIM(AJ691)&amp;TRIM(AL691)&amp;TRIM(AK691)</f>
      </c>
      <c r="AN691" s="116">
        <v>0</v>
      </c>
      <c r="AO691" s="116" t="inlineStr">
        <is>
          <t>#NA</t>
        </is>
      </c>
      <c r="AP691" s="116">
        <f>SUMIFS(M:M,AM:AM,AM691)+SUMIFS(O:O,AM:AM,AM691)</f>
      </c>
      <c r="AQ691" s="116">
        <f>SUMIFS(L:L,AM:AM,AM691)</f>
      </c>
      <c r="AR691" s="116">
        <f>AQ691-AP691</f>
      </c>
      <c r="AS691" s="94" t="str">
        <f>IF(AN691&gt;=AQ691,"ok","ck")</f>
      </c>
      <c r="AT691" s="116">
        <f>-P691</f>
      </c>
      <c r="AU691" s="115">
        <f>IF(SUMIFS(AT:AT,AM:AM,AM691)&gt;AO691,(SUMIFS(AT:AT,AM:AM,AM691)-AO691))</f>
      </c>
      <c r="AV691" s="116">
        <v>0</v>
      </c>
      <c r="AW691" s="121">
        <v>0</v>
      </c>
      <c r="AX691" s="115">
        <f>AN691-AP691</f>
      </c>
    </row>
    <row r="692" spans="1:50" ht="15" hidden="1" customHeight="1" x14ac:dyDescent="0.3">
      <c r="A692" s="94" t="s">
        <v>82</v>
      </c>
      <c r="B692" s="94"/>
      <c r="C692" s="94"/>
      <c r="D692" s="94"/>
      <c r="E692" s="94"/>
      <c r="F692" s="94"/>
      <c r="G692" s="112">
        <f>AU692</f>
      </c>
      <c r="H692" s="113"/>
      <c r="I692" s="94" t="s">
        <v>83</v>
      </c>
      <c r="J692" s="94" t="s">
        <v>84</v>
      </c>
      <c r="K692" s="114">
        <f>P692/3</f>
      </c>
      <c r="L692" s="115">
        <v>1700</v>
      </c>
      <c r="M692" s="116"/>
      <c r="N692" s="117">
        <f>M692-L692</f>
      </c>
      <c r="O692" s="112"/>
      <c r="P692" s="118">
        <f>N692+O692</f>
      </c>
      <c r="Q692" s="94" t="s">
        <v>856</v>
      </c>
      <c r="R692" s="94" t="s">
        <v>63</v>
      </c>
      <c r="S692" s="119">
        <v>46343</v>
      </c>
      <c r="T692" s="119"/>
      <c r="U692" s="120" t="s">
        <v>652</v>
      </c>
      <c r="V692" s="94"/>
      <c r="W692" s="94"/>
      <c r="X692" s="94"/>
      <c r="Y692" s="119">
        <v>46336</v>
      </c>
      <c r="Z692" s="94"/>
      <c r="AA692" s="120"/>
      <c r="AB692" s="120"/>
      <c r="AC692" s="120"/>
      <c r="AD692" s="120"/>
      <c r="AE692" s="120"/>
      <c r="AF692" s="120"/>
      <c r="AG692" s="94"/>
      <c r="AH692" s="120"/>
      <c r="AI692" s="94"/>
      <c r="AJ692" s="94" t="s">
        <v>808</v>
      </c>
      <c r="AK692" s="94" t="s">
        <v>87</v>
      </c>
      <c r="AL692" s="94">
        <v>160</v>
      </c>
      <c r="AM692" s="94" t="str">
        <f>TRIM(AJ692)&amp;TRIM(AL692)&amp;TRIM(AK692)</f>
      </c>
      <c r="AN692" s="116">
        <v>0</v>
      </c>
      <c r="AO692" s="116" t="inlineStr">
        <is>
          <t>#NA</t>
        </is>
      </c>
      <c r="AP692" s="116">
        <f>SUMIFS(M:M,AM:AM,AM692)+SUMIFS(O:O,AM:AM,AM692)</f>
      </c>
      <c r="AQ692" s="116">
        <f>SUMIFS(L:L,AM:AM,AM692)</f>
      </c>
      <c r="AR692" s="116">
        <f>AQ692-AP692</f>
      </c>
      <c r="AS692" s="94" t="str">
        <f>IF(AN692&gt;=AQ692,"ok","ck")</f>
      </c>
      <c r="AT692" s="116">
        <f>-P692</f>
      </c>
      <c r="AU692" s="115">
        <f>IF(SUMIFS(AT:AT,AM:AM,AM692)&gt;AO692,(SUMIFS(AT:AT,AM:AM,AM692)-AO692))</f>
      </c>
      <c r="AV692" s="116">
        <v>0</v>
      </c>
      <c r="AW692" s="121">
        <v>0</v>
      </c>
      <c r="AX692" s="115">
        <f>AN692-AP692</f>
      </c>
    </row>
    <row r="693" spans="1:50" ht="15" hidden="1" customHeight="1" x14ac:dyDescent="0.3">
      <c r="A693" s="94" t="s">
        <v>82</v>
      </c>
      <c r="B693" s="94"/>
      <c r="C693" s="94"/>
      <c r="D693" s="94"/>
      <c r="E693" s="94"/>
      <c r="F693" s="94"/>
      <c r="G693" s="112">
        <f>AU693</f>
      </c>
      <c r="H693" s="113"/>
      <c r="I693" s="94" t="s">
        <v>83</v>
      </c>
      <c r="J693" s="94" t="s">
        <v>84</v>
      </c>
      <c r="K693" s="114">
        <f>P693/3</f>
      </c>
      <c r="L693" s="115">
        <v>16753.123</v>
      </c>
      <c r="M693" s="116"/>
      <c r="N693" s="117">
        <f>M693-L693</f>
      </c>
      <c r="O693" s="112"/>
      <c r="P693" s="118">
        <f>N693+O693</f>
      </c>
      <c r="Q693" s="94" t="s">
        <v>856</v>
      </c>
      <c r="R693" s="94" t="s">
        <v>63</v>
      </c>
      <c r="S693" s="119">
        <v>46344</v>
      </c>
      <c r="T693" s="119"/>
      <c r="U693" s="120" t="s">
        <v>652</v>
      </c>
      <c r="V693" s="94"/>
      <c r="W693" s="94"/>
      <c r="X693" s="94"/>
      <c r="Y693" s="119">
        <v>46336</v>
      </c>
      <c r="Z693" s="94"/>
      <c r="AA693" s="120"/>
      <c r="AB693" s="120"/>
      <c r="AC693" s="120"/>
      <c r="AD693" s="120"/>
      <c r="AE693" s="120"/>
      <c r="AF693" s="120"/>
      <c r="AG693" s="94"/>
      <c r="AH693" s="120"/>
      <c r="AI693" s="94"/>
      <c r="AJ693" s="94" t="s">
        <v>808</v>
      </c>
      <c r="AK693" s="94" t="s">
        <v>87</v>
      </c>
      <c r="AL693" s="94">
        <v>160</v>
      </c>
      <c r="AM693" s="94" t="str">
        <f>TRIM(AJ693)&amp;TRIM(AL693)&amp;TRIM(AK693)</f>
      </c>
      <c r="AN693" s="116">
        <v>0</v>
      </c>
      <c r="AO693" s="116" t="inlineStr">
        <is>
          <t>#NA</t>
        </is>
      </c>
      <c r="AP693" s="116">
        <f>SUMIFS(M:M,AM:AM,AM693)+SUMIFS(O:O,AM:AM,AM693)</f>
      </c>
      <c r="AQ693" s="116">
        <f>SUMIFS(L:L,AM:AM,AM693)</f>
      </c>
      <c r="AR693" s="116">
        <f>AQ693-AP693</f>
      </c>
      <c r="AS693" s="94" t="str">
        <f>IF(AN693&gt;=AQ693,"ok","ck")</f>
      </c>
      <c r="AT693" s="116">
        <f>-P693</f>
      </c>
      <c r="AU693" s="115">
        <f>IF(SUMIFS(AT:AT,AM:AM,AM693)&gt;AO693,(SUMIFS(AT:AT,AM:AM,AM693)-AO693))</f>
      </c>
      <c r="AV693" s="116">
        <v>0</v>
      </c>
      <c r="AW693" s="121">
        <v>0</v>
      </c>
      <c r="AX693" s="115">
        <f>AN693-AP693</f>
      </c>
    </row>
    <row r="694" spans="1:50" ht="15" hidden="1" customHeight="1" x14ac:dyDescent="0.3">
      <c r="A694" s="94" t="s">
        <v>268</v>
      </c>
      <c r="B694" s="94"/>
      <c r="C694" s="94"/>
      <c r="D694" s="94"/>
      <c r="E694" s="94"/>
      <c r="F694" s="94"/>
      <c r="G694" s="112">
        <f>AU694</f>
      </c>
      <c r="H694" s="113"/>
      <c r="I694" s="94" t="s">
        <v>278</v>
      </c>
      <c r="J694" s="94" t="s">
        <v>506</v>
      </c>
      <c r="K694" s="114">
        <f>P694/3</f>
      </c>
      <c r="L694" s="115">
        <v>2.972</v>
      </c>
      <c r="M694" s="116">
        <f>L694</f>
      </c>
      <c r="N694" s="117">
        <f>M694-L694</f>
      </c>
      <c r="O694" s="112"/>
      <c r="P694" s="118">
        <f>N694+O694</f>
      </c>
      <c r="Q694" s="94" t="s">
        <v>803</v>
      </c>
      <c r="R694" s="94" t="s">
        <v>63</v>
      </c>
      <c r="S694" s="119">
        <v>46334</v>
      </c>
      <c r="T694" s="119"/>
      <c r="U694" s="120">
        <v>46334</v>
      </c>
      <c r="V694" s="94"/>
      <c r="W694" s="94"/>
      <c r="X694" s="94"/>
      <c r="Y694" s="119">
        <v>46334</v>
      </c>
      <c r="Z694" s="94"/>
      <c r="AA694" s="120"/>
      <c r="AB694" s="120"/>
      <c r="AC694" s="120"/>
      <c r="AD694" s="120"/>
      <c r="AE694" s="120"/>
      <c r="AF694" s="120"/>
      <c r="AG694" s="94"/>
      <c r="AH694" s="120"/>
      <c r="AI694" s="94"/>
      <c r="AJ694" s="94" t="s">
        <v>803</v>
      </c>
      <c r="AK694" s="94" t="s">
        <v>700</v>
      </c>
      <c r="AL694" s="94">
        <v>120</v>
      </c>
      <c r="AM694" s="94" t="str">
        <f>TRIM(AJ694)&amp;TRIM(AL694)&amp;TRIM(AK694)</f>
      </c>
      <c r="AN694" s="116">
        <v>19</v>
      </c>
      <c r="AO694" s="116">
        <v>-11</v>
      </c>
      <c r="AP694" s="116">
        <f>SUMIFS(M:M,AM:AM,AM694)+SUMIFS(O:O,AM:AM,AM694)</f>
      </c>
      <c r="AQ694" s="116">
        <f>SUMIFS(L:L,AM:AM,AM694)</f>
      </c>
      <c r="AR694" s="116">
        <f>AQ694-AP694</f>
      </c>
      <c r="AS694" s="94" t="str">
        <f>IF(AN694&gt;=AQ694,"ok","ck")</f>
      </c>
      <c r="AT694" s="116">
        <f>-P694</f>
      </c>
      <c r="AU694" s="115">
        <f>IF(SUMIFS(AT:AT,AM:AM,AM694)&gt;AO694,(SUMIFS(AT:AT,AM:AM,AM694)-AO694))</f>
      </c>
      <c r="AV694" s="116">
        <v>19</v>
      </c>
      <c r="AW694" s="121">
        <v>2.375</v>
      </c>
      <c r="AX694" s="115">
        <f>AN694-AP694</f>
      </c>
    </row>
    <row r="695" spans="1:50" ht="15" hidden="1" customHeight="1" x14ac:dyDescent="0.3">
      <c r="A695" s="94" t="s">
        <v>268</v>
      </c>
      <c r="B695" s="94"/>
      <c r="C695" s="94"/>
      <c r="D695" s="94"/>
      <c r="E695" s="94"/>
      <c r="F695" s="94"/>
      <c r="G695" s="112">
        <f>AU695</f>
      </c>
      <c r="H695" s="113"/>
      <c r="I695" s="94" t="s">
        <v>278</v>
      </c>
      <c r="J695" s="94" t="s">
        <v>510</v>
      </c>
      <c r="K695" s="114">
        <f>P695/3</f>
      </c>
      <c r="L695" s="115">
        <v>9.9629999999999992</v>
      </c>
      <c r="M695" s="116">
        <f>L695</f>
      </c>
      <c r="N695" s="117">
        <f>M695-L695</f>
      </c>
      <c r="O695" s="112"/>
      <c r="P695" s="118">
        <f>N695+O695</f>
      </c>
      <c r="Q695" s="94" t="s">
        <v>803</v>
      </c>
      <c r="R695" s="94" t="s">
        <v>63</v>
      </c>
      <c r="S695" s="119">
        <v>46334</v>
      </c>
      <c r="T695" s="119"/>
      <c r="U695" s="120">
        <v>46334</v>
      </c>
      <c r="V695" s="94"/>
      <c r="W695" s="94"/>
      <c r="X695" s="94"/>
      <c r="Y695" s="119">
        <v>46334</v>
      </c>
      <c r="Z695" s="94"/>
      <c r="AA695" s="120"/>
      <c r="AB695" s="120"/>
      <c r="AC695" s="120"/>
      <c r="AD695" s="120"/>
      <c r="AE695" s="120"/>
      <c r="AF695" s="120"/>
      <c r="AG695" s="94"/>
      <c r="AH695" s="120"/>
      <c r="AI695" s="94"/>
      <c r="AJ695" s="94" t="s">
        <v>803</v>
      </c>
      <c r="AK695" s="94" t="s">
        <v>705</v>
      </c>
      <c r="AL695" s="94">
        <v>120</v>
      </c>
      <c r="AM695" s="94" t="str">
        <f>TRIM(AJ695)&amp;TRIM(AL695)&amp;TRIM(AK695)</f>
      </c>
      <c r="AN695" s="116">
        <v>12.26</v>
      </c>
      <c r="AO695" s="116">
        <v>-0.26</v>
      </c>
      <c r="AP695" s="116">
        <f>SUMIFS(M:M,AM:AM,AM695)+SUMIFS(O:O,AM:AM,AM695)</f>
      </c>
      <c r="AQ695" s="116">
        <f>SUMIFS(L:L,AM:AM,AM695)</f>
      </c>
      <c r="AR695" s="116">
        <f>AQ695-AP695</f>
      </c>
      <c r="AS695" s="94" t="str">
        <f>IF(AN695&gt;=AQ695,"ok","ck")</f>
      </c>
      <c r="AT695" s="116">
        <f>-P695</f>
      </c>
      <c r="AU695" s="115">
        <f>IF(SUMIFS(AT:AT,AM:AM,AM695)&gt;AO695,(SUMIFS(AT:AT,AM:AM,AM695)-AO695))</f>
      </c>
      <c r="AV695" s="116">
        <v>12.26</v>
      </c>
      <c r="AW695" s="121">
        <v>1.022</v>
      </c>
      <c r="AX695" s="115">
        <f>AN695-AP695</f>
      </c>
    </row>
    <row r="696" spans="1:50" ht="15" hidden="1" customHeight="1" x14ac:dyDescent="0.3">
      <c r="A696" s="94" t="s">
        <v>268</v>
      </c>
      <c r="B696" s="94"/>
      <c r="C696" s="94"/>
      <c r="D696" s="94"/>
      <c r="E696" s="94"/>
      <c r="F696" s="94"/>
      <c r="G696" s="112">
        <f>AU696</f>
      </c>
      <c r="H696" s="113"/>
      <c r="I696" s="94" t="s">
        <v>278</v>
      </c>
      <c r="J696" s="94" t="s">
        <v>550</v>
      </c>
      <c r="K696" s="114">
        <f>P696/3</f>
      </c>
      <c r="L696" s="115">
        <v>22.251999999999999</v>
      </c>
      <c r="M696" s="116"/>
      <c r="N696" s="117">
        <f>M696-L696</f>
      </c>
      <c r="O696" s="112"/>
      <c r="P696" s="118">
        <f>N696+O696</f>
      </c>
      <c r="Q696" s="94" t="s">
        <v>807</v>
      </c>
      <c r="R696" s="94" t="s">
        <v>63</v>
      </c>
      <c r="S696" s="119">
        <v>46345</v>
      </c>
      <c r="T696" s="119"/>
      <c r="U696" s="120">
        <v>46345</v>
      </c>
      <c r="V696" s="94"/>
      <c r="W696" s="94"/>
      <c r="X696" s="94"/>
      <c r="Y696" s="119">
        <v>46343</v>
      </c>
      <c r="Z696" s="94"/>
      <c r="AA696" s="120"/>
      <c r="AB696" s="120"/>
      <c r="AC696" s="120"/>
      <c r="AD696" s="120"/>
      <c r="AE696" s="120"/>
      <c r="AF696" s="120"/>
      <c r="AG696" s="94"/>
      <c r="AH696" s="120"/>
      <c r="AI696" s="94"/>
      <c r="AJ696" s="94" t="s">
        <v>807</v>
      </c>
      <c r="AK696" s="94" t="s">
        <v>725</v>
      </c>
      <c r="AL696" s="94">
        <v>120</v>
      </c>
      <c r="AM696" s="94" t="str">
        <f>TRIM(AJ696)&amp;TRIM(AL696)&amp;TRIM(AK696)</f>
      </c>
      <c r="AN696" s="116">
        <v>0</v>
      </c>
      <c r="AO696" s="116" t="inlineStr">
        <is>
          <t>#NA</t>
        </is>
      </c>
      <c r="AP696" s="116">
        <f>SUMIFS(M:M,AM:AM,AM696)+SUMIFS(O:O,AM:AM,AM696)</f>
      </c>
      <c r="AQ696" s="116">
        <f>SUMIFS(L:L,AM:AM,AM696)</f>
      </c>
      <c r="AR696" s="116">
        <f>AQ696-AP696</f>
      </c>
      <c r="AS696" s="94" t="str">
        <f>IF(AN696&gt;=AQ696,"ok","ck")</f>
      </c>
      <c r="AT696" s="116">
        <f>-P696</f>
      </c>
      <c r="AU696" s="115">
        <f>IF(SUMIFS(AT:AT,AM:AM,AM696)&gt;AO696,(SUMIFS(AT:AT,AM:AM,AM696)-AO696))</f>
      </c>
      <c r="AV696" s="116">
        <v>0</v>
      </c>
      <c r="AW696" s="121">
        <v>0</v>
      </c>
      <c r="AX696" s="115">
        <f>AN696-AP696</f>
      </c>
    </row>
    <row r="697" spans="1:50" ht="15" hidden="1" customHeight="1" x14ac:dyDescent="0.3">
      <c r="A697" s="94" t="s">
        <v>268</v>
      </c>
      <c r="B697" s="94"/>
      <c r="C697" s="94"/>
      <c r="D697" s="94"/>
      <c r="E697" s="94"/>
      <c r="F697" s="94"/>
      <c r="G697" s="112">
        <f>AU697</f>
      </c>
      <c r="H697" s="113"/>
      <c r="I697" s="94" t="s">
        <v>278</v>
      </c>
      <c r="J697" s="94" t="s">
        <v>535</v>
      </c>
      <c r="K697" s="114">
        <f>P697/3</f>
      </c>
      <c r="L697" s="115">
        <v>0.126</v>
      </c>
      <c r="M697" s="116"/>
      <c r="N697" s="117">
        <f>M697-L697</f>
      </c>
      <c r="O697" s="112"/>
      <c r="P697" s="118">
        <f>N697+O697</f>
      </c>
      <c r="Q697" s="94" t="s">
        <v>778</v>
      </c>
      <c r="R697" s="94" t="s">
        <v>63</v>
      </c>
      <c r="S697" s="119">
        <v>46328</v>
      </c>
      <c r="T697" s="119"/>
      <c r="U697" s="120">
        <v>46328</v>
      </c>
      <c r="V697" s="94"/>
      <c r="W697" s="94"/>
      <c r="X697" s="94"/>
      <c r="Y697" s="119">
        <v>46328</v>
      </c>
      <c r="Z697" s="94"/>
      <c r="AA697" s="120"/>
      <c r="AB697" s="120"/>
      <c r="AC697" s="120"/>
      <c r="AD697" s="120"/>
      <c r="AE697" s="120"/>
      <c r="AF697" s="120"/>
      <c r="AG697" s="94"/>
      <c r="AH697" s="120"/>
      <c r="AI697" s="94"/>
      <c r="AJ697" s="94" t="s">
        <v>778</v>
      </c>
      <c r="AK697" s="94" t="s">
        <v>719</v>
      </c>
      <c r="AL697" s="94">
        <v>120</v>
      </c>
      <c r="AM697" s="94" t="str">
        <f>TRIM(AJ697)&amp;TRIM(AL697)&amp;TRIM(AK697)</f>
      </c>
      <c r="AN697" s="116">
        <v>0</v>
      </c>
      <c r="AO697" s="116" t="inlineStr">
        <is>
          <t>#NA</t>
        </is>
      </c>
      <c r="AP697" s="116">
        <f>SUMIFS(M:M,AM:AM,AM697)+SUMIFS(O:O,AM:AM,AM697)</f>
      </c>
      <c r="AQ697" s="116">
        <f>SUMIFS(L:L,AM:AM,AM697)</f>
      </c>
      <c r="AR697" s="116">
        <f>AQ697-AP697</f>
      </c>
      <c r="AS697" s="94" t="str">
        <f>IF(AN697&gt;=AQ697,"ok","ck")</f>
      </c>
      <c r="AT697" s="116">
        <f>-P697</f>
      </c>
      <c r="AU697" s="115">
        <f>IF(SUMIFS(AT:AT,AM:AM,AM697)&gt;AO697,(SUMIFS(AT:AT,AM:AM,AM697)-AO697))</f>
      </c>
      <c r="AV697" s="116">
        <v>0</v>
      </c>
      <c r="AW697" s="121">
        <v>0</v>
      </c>
      <c r="AX697" s="115">
        <f>AN697-AP697</f>
      </c>
    </row>
    <row r="698" spans="1:50" ht="15" hidden="1" customHeight="1" x14ac:dyDescent="0.3">
      <c r="A698" s="94" t="s">
        <v>268</v>
      </c>
      <c r="B698" s="94"/>
      <c r="C698" s="94"/>
      <c r="D698" s="94"/>
      <c r="E698" s="94"/>
      <c r="F698" s="94"/>
      <c r="G698" s="112">
        <f>AU698</f>
      </c>
      <c r="H698" s="113"/>
      <c r="I698" s="94" t="s">
        <v>278</v>
      </c>
      <c r="J698" s="94" t="s">
        <v>535</v>
      </c>
      <c r="K698" s="114">
        <f>P698/3</f>
      </c>
      <c r="L698" s="115">
        <v>121.867</v>
      </c>
      <c r="M698" s="116"/>
      <c r="N698" s="117">
        <f>M698-L698</f>
      </c>
      <c r="O698" s="112"/>
      <c r="P698" s="118">
        <f>N698+O698</f>
      </c>
      <c r="Q698" s="94" t="s">
        <v>778</v>
      </c>
      <c r="R698" s="94" t="s">
        <v>63</v>
      </c>
      <c r="S698" s="119">
        <v>46328</v>
      </c>
      <c r="T698" s="119"/>
      <c r="U698" s="120" t="s">
        <v>653</v>
      </c>
      <c r="V698" s="94"/>
      <c r="W698" s="94"/>
      <c r="X698" s="94"/>
      <c r="Y698" s="119">
        <v>46328</v>
      </c>
      <c r="Z698" s="94"/>
      <c r="AA698" s="120"/>
      <c r="AB698" s="120"/>
      <c r="AC698" s="120"/>
      <c r="AD698" s="120"/>
      <c r="AE698" s="120"/>
      <c r="AF698" s="120"/>
      <c r="AG698" s="94"/>
      <c r="AH698" s="120"/>
      <c r="AI698" s="94"/>
      <c r="AJ698" s="94" t="s">
        <v>778</v>
      </c>
      <c r="AK698" s="94" t="s">
        <v>719</v>
      </c>
      <c r="AL698" s="94">
        <v>120</v>
      </c>
      <c r="AM698" s="94" t="str">
        <f>TRIM(AJ698)&amp;TRIM(AL698)&amp;TRIM(AK698)</f>
      </c>
      <c r="AN698" s="116">
        <v>0</v>
      </c>
      <c r="AO698" s="116" t="inlineStr">
        <is>
          <t>#NA</t>
        </is>
      </c>
      <c r="AP698" s="116">
        <f>SUMIFS(M:M,AM:AM,AM698)+SUMIFS(O:O,AM:AM,AM698)</f>
      </c>
      <c r="AQ698" s="116">
        <f>SUMIFS(L:L,AM:AM,AM698)</f>
      </c>
      <c r="AR698" s="116">
        <f>AQ698-AP698</f>
      </c>
      <c r="AS698" s="94" t="str">
        <f>IF(AN698&gt;=AQ698,"ok","ck")</f>
      </c>
      <c r="AT698" s="116">
        <f>-P698</f>
      </c>
      <c r="AU698" s="115">
        <f>IF(SUMIFS(AT:AT,AM:AM,AM698)&gt;AO698,(SUMIFS(AT:AT,AM:AM,AM698)-AO698))</f>
      </c>
      <c r="AV698" s="116">
        <v>0</v>
      </c>
      <c r="AW698" s="121">
        <v>0</v>
      </c>
      <c r="AX698" s="115">
        <f>AN698-AP698</f>
      </c>
    </row>
    <row r="699" spans="1:50" ht="15" hidden="1" customHeight="1" x14ac:dyDescent="0.3">
      <c r="A699" s="94" t="s">
        <v>60</v>
      </c>
      <c r="B699" s="94"/>
      <c r="C699" s="94"/>
      <c r="D699" s="94"/>
      <c r="E699" s="94"/>
      <c r="F699" s="94"/>
      <c r="G699" s="112">
        <f>AU699</f>
      </c>
      <c r="H699" s="113"/>
      <c r="I699" s="94" t="s">
        <v>482</v>
      </c>
      <c r="J699" s="94" t="s">
        <v>286</v>
      </c>
      <c r="K699" s="114">
        <f>P699/3</f>
      </c>
      <c r="L699" s="115">
        <v>146.4</v>
      </c>
      <c r="M699" s="116"/>
      <c r="N699" s="117">
        <f>M699-L699</f>
      </c>
      <c r="O699" s="112"/>
      <c r="P699" s="118">
        <f>N699+O699</f>
      </c>
      <c r="Q699" s="94" t="s">
        <v>809</v>
      </c>
      <c r="R699" s="94" t="s">
        <v>63</v>
      </c>
      <c r="S699" s="119">
        <v>46342</v>
      </c>
      <c r="T699" s="119"/>
      <c r="U699" s="120">
        <v>46342</v>
      </c>
      <c r="V699" s="94"/>
      <c r="W699" s="94"/>
      <c r="X699" s="94"/>
      <c r="Y699" s="119">
        <v>46342</v>
      </c>
      <c r="Z699" s="94"/>
      <c r="AA699" s="120"/>
      <c r="AB699" s="120"/>
      <c r="AC699" s="120"/>
      <c r="AD699" s="120"/>
      <c r="AE699" s="120"/>
      <c r="AF699" s="120"/>
      <c r="AG699" s="94"/>
      <c r="AH699" s="120"/>
      <c r="AI699" s="94"/>
      <c r="AJ699" s="94" t="s">
        <v>809</v>
      </c>
      <c r="AK699" s="94" t="s">
        <v>66</v>
      </c>
      <c r="AL699" s="94">
        <v>110</v>
      </c>
      <c r="AM699" s="94" t="str">
        <f>TRIM(AJ699)&amp;TRIM(AL699)&amp;TRIM(AK699)</f>
      </c>
      <c r="AN699" s="116">
        <v>0</v>
      </c>
      <c r="AO699" s="116" t="inlineStr">
        <is>
          <t>#NA</t>
        </is>
      </c>
      <c r="AP699" s="116">
        <f>SUMIFS(M:M,AM:AM,AM699)+SUMIFS(O:O,AM:AM,AM699)</f>
      </c>
      <c r="AQ699" s="116">
        <f>SUMIFS(L:L,AM:AM,AM699)</f>
      </c>
      <c r="AR699" s="116">
        <f>AQ699-AP699</f>
      </c>
      <c r="AS699" s="94" t="str">
        <f>IF(AN699&gt;=AQ699,"ok","ck")</f>
      </c>
      <c r="AT699" s="116">
        <f>-P699</f>
      </c>
      <c r="AU699" s="115">
        <f>IF(SUMIFS(AT:AT,AM:AM,AM699)&gt;AO699,(SUMIFS(AT:AT,AM:AM,AM699)-AO699))</f>
      </c>
      <c r="AV699" s="116">
        <v>0</v>
      </c>
      <c r="AW699" s="121">
        <v>0</v>
      </c>
      <c r="AX699" s="115">
        <f>AN699-AP699</f>
      </c>
    </row>
    <row r="700" spans="1:50" ht="15" hidden="1" customHeight="1" x14ac:dyDescent="0.3">
      <c r="A700" s="94" t="s">
        <v>60</v>
      </c>
      <c r="B700" s="94"/>
      <c r="C700" s="94"/>
      <c r="D700" s="94"/>
      <c r="E700" s="94"/>
      <c r="F700" s="94"/>
      <c r="G700" s="112">
        <f>AU700</f>
      </c>
      <c r="H700" s="113"/>
      <c r="I700" s="94" t="s">
        <v>482</v>
      </c>
      <c r="J700" s="94" t="s">
        <v>286</v>
      </c>
      <c r="K700" s="114">
        <f>P700/3</f>
      </c>
      <c r="L700" s="115">
        <v>0.54900000000000004</v>
      </c>
      <c r="M700" s="116"/>
      <c r="N700" s="117">
        <f>M700-L700</f>
      </c>
      <c r="O700" s="112"/>
      <c r="P700" s="118">
        <f>N700+O700</f>
      </c>
      <c r="Q700" s="94">
        <v>459222</v>
      </c>
      <c r="R700" s="94" t="s">
        <v>63</v>
      </c>
      <c r="S700" s="120">
        <v>46342</v>
      </c>
      <c r="T700" s="120"/>
      <c r="U700" s="120">
        <v>46342</v>
      </c>
      <c r="V700" s="94"/>
      <c r="W700" s="94"/>
      <c r="X700" s="94"/>
      <c r="Y700" s="119">
        <v>46342</v>
      </c>
      <c r="Z700" s="94"/>
      <c r="AA700" s="120"/>
      <c r="AB700" s="120"/>
      <c r="AC700" s="120"/>
      <c r="AD700" s="120"/>
      <c r="AE700" s="120"/>
      <c r="AF700" s="120"/>
      <c r="AG700" s="94"/>
      <c r="AH700" s="120"/>
      <c r="AI700" s="94"/>
      <c r="AJ700" s="94" t="s">
        <v>809</v>
      </c>
      <c r="AK700" s="94" t="s">
        <v>66</v>
      </c>
      <c r="AL700" s="94">
        <v>110</v>
      </c>
      <c r="AM700" s="94" t="str">
        <f>TRIM(AJ700)&amp;TRIM(AL700)&amp;TRIM(AK700)</f>
      </c>
      <c r="AN700" s="116">
        <v>0</v>
      </c>
      <c r="AO700" s="116" t="inlineStr">
        <is>
          <t>#NA</t>
        </is>
      </c>
      <c r="AP700" s="116">
        <f>SUMIFS(M:M,AM:AM,AM700)+SUMIFS(O:O,AM:AM,AM700)</f>
      </c>
      <c r="AQ700" s="116">
        <f>SUMIFS(L:L,AM:AM,AM700)</f>
      </c>
      <c r="AR700" s="116">
        <f>AQ700-AP700</f>
      </c>
      <c r="AS700" s="94" t="str">
        <f>IF(AN700&gt;=AQ700,"ok","ck")</f>
      </c>
      <c r="AT700" s="116">
        <f>-P700</f>
      </c>
      <c r="AU700" s="115">
        <f>IF(SUMIFS(AT:AT,AM:AM,AM700)&gt;AO700,(SUMIFS(AT:AT,AM:AM,AM700)-AO700))</f>
      </c>
      <c r="AV700" s="116">
        <v>0</v>
      </c>
      <c r="AW700" s="121">
        <v>0</v>
      </c>
      <c r="AX700" s="115">
        <f>AN700-AP700</f>
      </c>
    </row>
    <row r="701" spans="1:50" ht="15" hidden="1" customHeight="1" x14ac:dyDescent="0.3">
      <c r="A701" s="94" t="s">
        <v>268</v>
      </c>
      <c r="B701" s="94"/>
      <c r="C701" s="94"/>
      <c r="D701" s="94"/>
      <c r="E701" s="94"/>
      <c r="F701" s="94"/>
      <c r="G701" s="112">
        <f>AU701</f>
      </c>
      <c r="H701" s="113"/>
      <c r="I701" s="94" t="s">
        <v>278</v>
      </c>
      <c r="J701" s="94" t="s">
        <v>534</v>
      </c>
      <c r="K701" s="114">
        <f>P701/3</f>
      </c>
      <c r="L701" s="115">
        <v>-0.443</v>
      </c>
      <c r="M701" s="116">
        <f>L701</f>
      </c>
      <c r="N701" s="117">
        <f>M701-L701</f>
      </c>
      <c r="O701" s="112"/>
      <c r="P701" s="118">
        <f>N701+O701</f>
      </c>
      <c r="Q701" s="94" t="s">
        <v>309</v>
      </c>
      <c r="R701" s="94" t="s">
        <v>63</v>
      </c>
      <c r="S701" s="120">
        <v>46321</v>
      </c>
      <c r="T701" s="120"/>
      <c r="U701" s="120">
        <v>46321</v>
      </c>
      <c r="V701" s="94"/>
      <c r="W701" s="94"/>
      <c r="X701" s="94"/>
      <c r="Y701" s="119">
        <v>46321</v>
      </c>
      <c r="Z701" s="94"/>
      <c r="AA701" s="120"/>
      <c r="AB701" s="120"/>
      <c r="AC701" s="120"/>
      <c r="AD701" s="120"/>
      <c r="AE701" s="120"/>
      <c r="AF701" s="120"/>
      <c r="AG701" s="94"/>
      <c r="AH701" s="120"/>
      <c r="AI701" s="94"/>
      <c r="AJ701" s="94" t="s">
        <v>309</v>
      </c>
      <c r="AK701" s="94" t="s">
        <v>534</v>
      </c>
      <c r="AL701" s="94">
        <v>120</v>
      </c>
      <c r="AM701" s="94" t="str">
        <f>TRIM(AJ701)&amp;TRIM(AL701)&amp;TRIM(AK701)</f>
      </c>
      <c r="AN701" s="116">
        <v>472</v>
      </c>
      <c r="AO701" s="116">
        <v>-50</v>
      </c>
      <c r="AP701" s="116">
        <f>SUMIFS(M:M,AM:AM,AM701)+SUMIFS(O:O,AM:AM,AM701)</f>
      </c>
      <c r="AQ701" s="116">
        <f>SUMIFS(L:L,AM:AM,AM701)</f>
      </c>
      <c r="AR701" s="116">
        <f>AQ701-AP701</f>
      </c>
      <c r="AS701" s="94" t="str">
        <f>IF(AN701&gt;=AQ701,"ok","ck")</f>
      </c>
      <c r="AT701" s="116">
        <f>-P701</f>
      </c>
      <c r="AU701" s="115">
        <f>IF(SUMIFS(AT:AT,AM:AM,AM701)&gt;AO701,(SUMIFS(AT:AT,AM:AM,AM701)-AO701))</f>
      </c>
      <c r="AV701" s="116">
        <v>472</v>
      </c>
      <c r="AW701" s="121">
        <v>1.118</v>
      </c>
      <c r="AX701" s="115">
        <f>AN701-AP701</f>
      </c>
    </row>
    <row r="702" spans="1:50" ht="15" customHeight="1" x14ac:dyDescent="0.3">
      <c r="A702" s="94" t="s">
        <v>862</v>
      </c>
      <c r="B702" s="94"/>
      <c r="C702" s="94"/>
      <c r="D702" s="94"/>
      <c r="E702" s="94"/>
      <c r="F702" s="94"/>
      <c r="G702" s="112">
        <f>AU702</f>
      </c>
      <c r="H702" s="113"/>
      <c r="I702" s="94" t="s">
        <v>278</v>
      </c>
      <c r="J702" s="94" t="s">
        <v>267</v>
      </c>
      <c r="K702" s="114">
        <f>P702/3</f>
      </c>
      <c r="L702" s="115">
        <v>119.892</v>
      </c>
      <c r="M702" s="116"/>
      <c r="N702" s="117">
        <f>M702-L702</f>
      </c>
      <c r="O702" s="112"/>
      <c r="P702" s="118">
        <f>N702+O702</f>
      </c>
      <c r="Q702" s="94"/>
      <c r="R702" s="94" t="s">
        <v>63</v>
      </c>
      <c r="S702" s="120">
        <v>46336</v>
      </c>
      <c r="T702" s="120"/>
      <c r="U702" s="120" t="s">
        <v>631</v>
      </c>
      <c r="V702" s="94"/>
      <c r="W702" s="94"/>
      <c r="X702" s="94"/>
      <c r="Y702" s="119">
        <v>46323</v>
      </c>
      <c r="Z702" s="94"/>
      <c r="AA702" s="120"/>
      <c r="AB702" s="120"/>
      <c r="AC702" s="120"/>
      <c r="AD702" s="120"/>
      <c r="AE702" s="120"/>
      <c r="AF702" s="120"/>
      <c r="AG702" s="94"/>
      <c r="AH702" s="120"/>
      <c r="AI702" s="94"/>
      <c r="AJ702" s="94"/>
      <c r="AK702" s="94"/>
      <c r="AL702" s="94">
        <v>120</v>
      </c>
      <c r="AM702" s="94" t="str">
        <f>TRIM(AJ702)&amp;TRIM(AL702)&amp;TRIM(AK702)</f>
      </c>
      <c r="AN702" s="116">
        <v>0</v>
      </c>
      <c r="AO702" s="116" t="inlineStr">
        <is>
          <t>#NA</t>
        </is>
      </c>
      <c r="AP702" s="116">
        <f>SUMIFS(M:M,AM:AM,AM702)+SUMIFS(O:O,AM:AM,AM702)</f>
      </c>
      <c r="AQ702" s="116">
        <f>SUMIFS(L:L,AM:AM,AM702)</f>
      </c>
      <c r="AR702" s="116">
        <f>AQ702-AP702</f>
      </c>
      <c r="AS702" s="94" t="str">
        <f>IF(AN702&gt;=AQ702,"ok","ck")</f>
      </c>
      <c r="AT702" s="116">
        <f>-P702</f>
      </c>
      <c r="AU702" s="115">
        <f>IF(SUMIFS(AT:AT,AM:AM,AM702)&gt;AO702,(SUMIFS(AT:AT,AM:AM,AM702)-AO702))</f>
      </c>
      <c r="AV702" s="116" t="e">
        <v>#N/A</v>
      </c>
      <c r="AW702" s="121" t="e">
        <v>#N/A</v>
      </c>
      <c r="AX702" s="115">
        <f>AN702-AP702</f>
      </c>
    </row>
    <row r="703" spans="1:50" ht="15" customHeight="1" x14ac:dyDescent="0.3">
      <c r="A703" s="94" t="s">
        <v>862</v>
      </c>
      <c r="B703" s="94"/>
      <c r="C703" s="94"/>
      <c r="D703" s="94"/>
      <c r="E703" s="94"/>
      <c r="F703" s="94"/>
      <c r="G703" s="112">
        <f>AU703</f>
      </c>
      <c r="H703" s="113"/>
      <c r="I703" s="94" t="s">
        <v>390</v>
      </c>
      <c r="J703" s="94" t="s">
        <v>267</v>
      </c>
      <c r="K703" s="114">
        <f>P703/3</f>
      </c>
      <c r="L703" s="115">
        <v>1379.4860000000001</v>
      </c>
      <c r="M703" s="116">
        <v>1379.486</v>
      </c>
      <c r="N703" s="117">
        <f>M703-L703</f>
      </c>
      <c r="O703" s="112"/>
      <c r="P703" s="118">
        <f>N703+O703</f>
      </c>
      <c r="Q703" s="94"/>
      <c r="R703" s="94" t="s">
        <v>63</v>
      </c>
      <c r="S703" s="119">
        <v>46329</v>
      </c>
      <c r="T703" s="119"/>
      <c r="U703" s="120" t="s">
        <v>631</v>
      </c>
      <c r="V703" s="94"/>
      <c r="W703" s="94"/>
      <c r="X703" s="94"/>
      <c r="Y703" s="119">
        <v>46329</v>
      </c>
      <c r="Z703" s="94"/>
      <c r="AA703" s="120"/>
      <c r="AB703" s="120"/>
      <c r="AC703" s="120"/>
      <c r="AD703" s="120"/>
      <c r="AE703" s="120"/>
      <c r="AF703" s="120"/>
      <c r="AG703" s="94"/>
      <c r="AH703" s="120"/>
      <c r="AI703" s="94"/>
      <c r="AJ703" s="94"/>
      <c r="AK703" s="94"/>
      <c r="AL703" s="94">
        <v>140</v>
      </c>
      <c r="AM703" s="94" t="str">
        <f>TRIM(AJ703)&amp;TRIM(AL703)&amp;TRIM(AK703)</f>
      </c>
      <c r="AN703" s="116">
        <v>0</v>
      </c>
      <c r="AO703" s="116" t="inlineStr">
        <is>
          <t>#NA</t>
        </is>
      </c>
      <c r="AP703" s="116">
        <f>SUMIFS(M:M,AM:AM,AM703)+SUMIFS(O:O,AM:AM,AM703)</f>
      </c>
      <c r="AQ703" s="116">
        <f>SUMIFS(L:L,AM:AM,AM703)</f>
      </c>
      <c r="AR703" s="116">
        <f>AQ703-AP703</f>
      </c>
      <c r="AS703" s="94" t="str">
        <f>IF(AN703&gt;=AQ703,"ok","ck")</f>
      </c>
      <c r="AT703" s="116">
        <f>-P703</f>
      </c>
      <c r="AU703" s="115">
        <f>IF(SUMIFS(AT:AT,AM:AM,AM703)&gt;AO703,(SUMIFS(AT:AT,AM:AM,AM703)-AO703))</f>
      </c>
      <c r="AV703" s="116" t="e">
        <v>#N/A</v>
      </c>
      <c r="AW703" s="121" t="e">
        <v>#N/A</v>
      </c>
      <c r="AX703" s="115">
        <f>AN703-AP703</f>
      </c>
    </row>
    <row r="704" spans="1:50" ht="15" hidden="1" customHeight="1" x14ac:dyDescent="0.3">
      <c r="A704" s="94" t="s">
        <v>60</v>
      </c>
      <c r="B704" s="94"/>
      <c r="C704" s="94"/>
      <c r="D704" s="94"/>
      <c r="E704" s="94"/>
      <c r="F704" s="94"/>
      <c r="G704" s="112">
        <f>AU704</f>
      </c>
      <c r="H704" s="113"/>
      <c r="I704" s="94" t="s">
        <v>485</v>
      </c>
      <c r="J704" s="94" t="s">
        <v>551</v>
      </c>
      <c r="K704" s="114">
        <f>P704/3</f>
      </c>
      <c r="L704" s="115">
        <v>-0.61399999999999999</v>
      </c>
      <c r="M704" s="116">
        <f>L704</f>
      </c>
      <c r="N704" s="117">
        <f>M704-L704</f>
      </c>
      <c r="O704" s="112"/>
      <c r="P704" s="118">
        <f>N704+O704</f>
      </c>
      <c r="Q704" s="94" t="s">
        <v>810</v>
      </c>
      <c r="R704" s="94" t="s">
        <v>63</v>
      </c>
      <c r="S704" s="119">
        <v>46341</v>
      </c>
      <c r="T704" s="119"/>
      <c r="U704" s="120">
        <v>46341</v>
      </c>
      <c r="V704" s="94"/>
      <c r="W704" s="94"/>
      <c r="X704" s="94"/>
      <c r="Y704" s="119">
        <v>46341</v>
      </c>
      <c r="Z704" s="94"/>
      <c r="AA704" s="120"/>
      <c r="AB704" s="120"/>
      <c r="AC704" s="120"/>
      <c r="AD704" s="120"/>
      <c r="AE704" s="120"/>
      <c r="AF704" s="120"/>
      <c r="AG704" s="94"/>
      <c r="AH704" s="120"/>
      <c r="AI704" s="94"/>
      <c r="AJ704" s="94" t="s">
        <v>810</v>
      </c>
      <c r="AK704" s="94" t="s">
        <v>726</v>
      </c>
      <c r="AL704" s="94">
        <v>140</v>
      </c>
      <c r="AM704" s="94" t="str">
        <f>TRIM(AJ704)&amp;TRIM(AL704)&amp;TRIM(AK704)</f>
      </c>
      <c r="AN704" s="116">
        <v>80</v>
      </c>
      <c r="AO704" s="116">
        <v>-2</v>
      </c>
      <c r="AP704" s="116">
        <f>SUMIFS(M:M,AM:AM,AM704)+SUMIFS(O:O,AM:AM,AM704)</f>
      </c>
      <c r="AQ704" s="116">
        <f>SUMIFS(L:L,AM:AM,AM704)</f>
      </c>
      <c r="AR704" s="116">
        <f>AQ704-AP704</f>
      </c>
      <c r="AS704" s="94" t="str">
        <f>IF(AN704&gt;=AQ704,"ok","ck")</f>
      </c>
      <c r="AT704" s="116">
        <f>-P704</f>
      </c>
      <c r="AU704" s="115">
        <f>IF(SUMIFS(AT:AT,AM:AM,AM704)&gt;AO704,(SUMIFS(AT:AT,AM:AM,AM704)-AO704))</f>
      </c>
      <c r="AV704" s="116">
        <v>80</v>
      </c>
      <c r="AW704" s="121">
        <v>1.026</v>
      </c>
      <c r="AX704" s="115">
        <f>AN704-AP704</f>
      </c>
    </row>
    <row r="705" spans="1:50" ht="15" hidden="1" customHeight="1" x14ac:dyDescent="0.3">
      <c r="A705" s="94" t="s">
        <v>60</v>
      </c>
      <c r="B705" s="94"/>
      <c r="C705" s="94"/>
      <c r="D705" s="94"/>
      <c r="E705" s="94"/>
      <c r="F705" s="94"/>
      <c r="G705" s="112">
        <f>AU705</f>
      </c>
      <c r="H705" s="113"/>
      <c r="I705" s="94" t="s">
        <v>485</v>
      </c>
      <c r="J705" s="94" t="s">
        <v>551</v>
      </c>
      <c r="K705" s="114">
        <f>P705/3</f>
      </c>
      <c r="L705" s="115">
        <v>-0.17699999999999999</v>
      </c>
      <c r="M705" s="116">
        <f>L705</f>
      </c>
      <c r="N705" s="117">
        <f>M705-L705</f>
      </c>
      <c r="O705" s="112"/>
      <c r="P705" s="118">
        <f>N705+O705</f>
      </c>
      <c r="Q705" s="94" t="s">
        <v>810</v>
      </c>
      <c r="R705" s="94" t="s">
        <v>63</v>
      </c>
      <c r="S705" s="119">
        <v>46345</v>
      </c>
      <c r="T705" s="119"/>
      <c r="U705" s="120">
        <v>46345</v>
      </c>
      <c r="V705" s="94"/>
      <c r="W705" s="94"/>
      <c r="X705" s="94"/>
      <c r="Y705" s="119">
        <v>46345</v>
      </c>
      <c r="Z705" s="94"/>
      <c r="AA705" s="120"/>
      <c r="AB705" s="120"/>
      <c r="AC705" s="120"/>
      <c r="AD705" s="120"/>
      <c r="AE705" s="120"/>
      <c r="AF705" s="120"/>
      <c r="AG705" s="94"/>
      <c r="AH705" s="120"/>
      <c r="AI705" s="94"/>
      <c r="AJ705" s="94" t="s">
        <v>810</v>
      </c>
      <c r="AK705" s="94" t="s">
        <v>726</v>
      </c>
      <c r="AL705" s="94">
        <v>140</v>
      </c>
      <c r="AM705" s="94" t="str">
        <f>TRIM(AJ705)&amp;TRIM(AL705)&amp;TRIM(AK705)</f>
      </c>
      <c r="AN705" s="116">
        <v>80</v>
      </c>
      <c r="AO705" s="116">
        <v>-2</v>
      </c>
      <c r="AP705" s="116">
        <f>SUMIFS(M:M,AM:AM,AM705)+SUMIFS(O:O,AM:AM,AM705)</f>
      </c>
      <c r="AQ705" s="116">
        <f>SUMIFS(L:L,AM:AM,AM705)</f>
      </c>
      <c r="AR705" s="116">
        <f>AQ705-AP705</f>
      </c>
      <c r="AS705" s="94" t="str">
        <f>IF(AN705&gt;=AQ705,"ok","ck")</f>
      </c>
      <c r="AT705" s="116">
        <f>-P705</f>
      </c>
      <c r="AU705" s="115">
        <f>IF(SUMIFS(AT:AT,AM:AM,AM705)&gt;AO705,(SUMIFS(AT:AT,AM:AM,AM705)-AO705))</f>
      </c>
      <c r="AV705" s="116">
        <v>80</v>
      </c>
      <c r="AW705" s="121">
        <v>1.026</v>
      </c>
      <c r="AX705" s="115">
        <f>AN705-AP705</f>
      </c>
    </row>
    <row r="706" spans="1:50" ht="15" hidden="1" customHeight="1" x14ac:dyDescent="0.3">
      <c r="A706" s="94" t="s">
        <v>60</v>
      </c>
      <c r="B706" s="94"/>
      <c r="C706" s="94"/>
      <c r="D706" s="94"/>
      <c r="E706" s="94"/>
      <c r="F706" s="94"/>
      <c r="G706" s="112">
        <f>AU706</f>
      </c>
      <c r="H706" s="113"/>
      <c r="I706" s="94" t="s">
        <v>485</v>
      </c>
      <c r="J706" s="94" t="s">
        <v>552</v>
      </c>
      <c r="K706" s="114">
        <f>P706/3</f>
      </c>
      <c r="L706" s="115">
        <v>0</v>
      </c>
      <c r="M706" s="116">
        <f>L706</f>
      </c>
      <c r="N706" s="117">
        <f>M706-L706</f>
      </c>
      <c r="O706" s="112"/>
      <c r="P706" s="118">
        <f>N706+O706</f>
      </c>
      <c r="Q706" s="94" t="s">
        <v>810</v>
      </c>
      <c r="R706" s="94" t="s">
        <v>63</v>
      </c>
      <c r="S706" s="119">
        <v>46341</v>
      </c>
      <c r="T706" s="119"/>
      <c r="U706" s="120">
        <v>46341</v>
      </c>
      <c r="V706" s="94"/>
      <c r="W706" s="94"/>
      <c r="X706" s="94"/>
      <c r="Y706" s="119">
        <v>46341</v>
      </c>
      <c r="Z706" s="94"/>
      <c r="AA706" s="120"/>
      <c r="AB706" s="120"/>
      <c r="AC706" s="120"/>
      <c r="AD706" s="120"/>
      <c r="AE706" s="120"/>
      <c r="AF706" s="120"/>
      <c r="AG706" s="94"/>
      <c r="AH706" s="120"/>
      <c r="AI706" s="94"/>
      <c r="AJ706" s="94" t="s">
        <v>810</v>
      </c>
      <c r="AK706" s="94" t="s">
        <v>727</v>
      </c>
      <c r="AL706" s="94">
        <v>140</v>
      </c>
      <c r="AM706" s="94" t="str">
        <f>TRIM(AJ706)&amp;TRIM(AL706)&amp;TRIM(AK706)</f>
      </c>
      <c r="AN706" s="116">
        <v>66.17</v>
      </c>
      <c r="AO706" s="116">
        <v>11.83</v>
      </c>
      <c r="AP706" s="116">
        <f>SUMIFS(M:M,AM:AM,AM706)+SUMIFS(O:O,AM:AM,AM706)</f>
      </c>
      <c r="AQ706" s="116">
        <f>SUMIFS(L:L,AM:AM,AM706)</f>
      </c>
      <c r="AR706" s="116">
        <f>AQ706-AP706</f>
      </c>
      <c r="AS706" s="94" t="str">
        <f>IF(AN706&gt;=AQ706,"ok","ck")</f>
      </c>
      <c r="AT706" s="116">
        <f>-P706</f>
      </c>
      <c r="AU706" s="115">
        <f>IF(SUMIFS(AT:AT,AM:AM,AM706)&gt;AO706,(SUMIFS(AT:AT,AM:AM,AM706)-AO706))</f>
      </c>
      <c r="AV706" s="116">
        <v>66.17</v>
      </c>
      <c r="AW706" s="121">
        <v>0.848</v>
      </c>
      <c r="AX706" s="115">
        <f>AN706-AP706</f>
      </c>
    </row>
    <row r="707" spans="1:50" ht="15" hidden="1" customHeight="1" x14ac:dyDescent="0.3">
      <c r="A707" s="94" t="s">
        <v>60</v>
      </c>
      <c r="B707" s="94"/>
      <c r="C707" s="94"/>
      <c r="D707" s="94"/>
      <c r="E707" s="94"/>
      <c r="F707" s="94"/>
      <c r="G707" s="112">
        <f>AU707</f>
      </c>
      <c r="H707" s="113"/>
      <c r="I707" s="94" t="s">
        <v>485</v>
      </c>
      <c r="J707" s="94" t="s">
        <v>552</v>
      </c>
      <c r="K707" s="114">
        <f>P707/3</f>
      </c>
      <c r="L707" s="115">
        <v>0</v>
      </c>
      <c r="M707" s="116">
        <f>L707</f>
      </c>
      <c r="N707" s="117">
        <f>M707-L707</f>
      </c>
      <c r="O707" s="112"/>
      <c r="P707" s="118">
        <f>N707+O707</f>
      </c>
      <c r="Q707" s="94" t="s">
        <v>810</v>
      </c>
      <c r="R707" s="94" t="s">
        <v>63</v>
      </c>
      <c r="S707" s="119">
        <v>46345</v>
      </c>
      <c r="T707" s="119"/>
      <c r="U707" s="120">
        <v>46345</v>
      </c>
      <c r="V707" s="94"/>
      <c r="W707" s="94"/>
      <c r="X707" s="94"/>
      <c r="Y707" s="119">
        <v>46345</v>
      </c>
      <c r="Z707" s="94"/>
      <c r="AA707" s="120"/>
      <c r="AB707" s="120"/>
      <c r="AC707" s="120"/>
      <c r="AD707" s="120"/>
      <c r="AE707" s="120"/>
      <c r="AF707" s="120"/>
      <c r="AG707" s="94"/>
      <c r="AH707" s="120"/>
      <c r="AI707" s="94"/>
      <c r="AJ707" s="94" t="s">
        <v>810</v>
      </c>
      <c r="AK707" s="94" t="s">
        <v>727</v>
      </c>
      <c r="AL707" s="94">
        <v>140</v>
      </c>
      <c r="AM707" s="94" t="str">
        <f>TRIM(AJ707)&amp;TRIM(AL707)&amp;TRIM(AK707)</f>
      </c>
      <c r="AN707" s="116">
        <v>66.17</v>
      </c>
      <c r="AO707" s="116">
        <v>11.83</v>
      </c>
      <c r="AP707" s="116">
        <f>SUMIFS(M:M,AM:AM,AM707)+SUMIFS(O:O,AM:AM,AM707)</f>
      </c>
      <c r="AQ707" s="116">
        <f>SUMIFS(L:L,AM:AM,AM707)</f>
      </c>
      <c r="AR707" s="116">
        <f>AQ707-AP707</f>
      </c>
      <c r="AS707" s="94" t="str">
        <f>IF(AN707&gt;=AQ707,"ok","ck")</f>
      </c>
      <c r="AT707" s="116">
        <f>-P707</f>
      </c>
      <c r="AU707" s="115">
        <f>IF(SUMIFS(AT:AT,AM:AM,AM707)&gt;AO707,(SUMIFS(AT:AT,AM:AM,AM707)-AO707))</f>
      </c>
      <c r="AV707" s="116">
        <v>66.17</v>
      </c>
      <c r="AW707" s="121">
        <v>0.848</v>
      </c>
      <c r="AX707" s="115">
        <f>AN707-AP707</f>
      </c>
    </row>
    <row r="708" spans="1:50" ht="15" hidden="1" customHeight="1" x14ac:dyDescent="0.3">
      <c r="A708" s="94" t="s">
        <v>60</v>
      </c>
      <c r="B708" s="94"/>
      <c r="C708" s="94"/>
      <c r="D708" s="94"/>
      <c r="E708" s="94"/>
      <c r="F708" s="94"/>
      <c r="G708" s="112">
        <f>AU708</f>
      </c>
      <c r="H708" s="113"/>
      <c r="I708" s="94" t="s">
        <v>485</v>
      </c>
      <c r="J708" s="94" t="s">
        <v>553</v>
      </c>
      <c r="K708" s="114">
        <f>P708/3</f>
      </c>
      <c r="L708" s="115">
        <v>0</v>
      </c>
      <c r="M708" s="116">
        <f>L708</f>
      </c>
      <c r="N708" s="117">
        <f>M708-L708</f>
      </c>
      <c r="O708" s="112"/>
      <c r="P708" s="118">
        <f>N708+O708</f>
      </c>
      <c r="Q708" s="94" t="s">
        <v>810</v>
      </c>
      <c r="R708" s="94" t="s">
        <v>63</v>
      </c>
      <c r="S708" s="119">
        <v>46341</v>
      </c>
      <c r="T708" s="119"/>
      <c r="U708" s="120">
        <v>46341</v>
      </c>
      <c r="V708" s="94"/>
      <c r="W708" s="94"/>
      <c r="X708" s="94"/>
      <c r="Y708" s="119">
        <v>46341</v>
      </c>
      <c r="Z708" s="94"/>
      <c r="AA708" s="120"/>
      <c r="AB708" s="120"/>
      <c r="AC708" s="120"/>
      <c r="AD708" s="120"/>
      <c r="AE708" s="120"/>
      <c r="AF708" s="120"/>
      <c r="AG708" s="94"/>
      <c r="AH708" s="120"/>
      <c r="AI708" s="94"/>
      <c r="AJ708" s="94" t="s">
        <v>810</v>
      </c>
      <c r="AK708" s="94" t="s">
        <v>728</v>
      </c>
      <c r="AL708" s="94">
        <v>140</v>
      </c>
      <c r="AM708" s="94" t="str">
        <f>TRIM(AJ708)&amp;TRIM(AL708)&amp;TRIM(AK708)</f>
      </c>
      <c r="AN708" s="116">
        <v>76</v>
      </c>
      <c r="AO708" s="116">
        <v>2</v>
      </c>
      <c r="AP708" s="116">
        <f>SUMIFS(M:M,AM:AM,AM708)+SUMIFS(O:O,AM:AM,AM708)</f>
      </c>
      <c r="AQ708" s="116">
        <f>SUMIFS(L:L,AM:AM,AM708)</f>
      </c>
      <c r="AR708" s="116">
        <f>AQ708-AP708</f>
      </c>
      <c r="AS708" s="94" t="str">
        <f>IF(AN708&gt;=AQ708,"ok","ck")</f>
      </c>
      <c r="AT708" s="116">
        <f>-P708</f>
      </c>
      <c r="AU708" s="115">
        <f>IF(SUMIFS(AT:AT,AM:AM,AM708)&gt;AO708,(SUMIFS(AT:AT,AM:AM,AM708)-AO708))</f>
      </c>
      <c r="AV708" s="116">
        <v>76</v>
      </c>
      <c r="AW708" s="121">
        <v>0.974</v>
      </c>
      <c r="AX708" s="115">
        <f>AN708-AP708</f>
      </c>
    </row>
    <row r="709" spans="1:50" ht="15" hidden="1" customHeight="1" x14ac:dyDescent="0.3">
      <c r="A709" s="94" t="s">
        <v>60</v>
      </c>
      <c r="B709" s="94"/>
      <c r="C709" s="94"/>
      <c r="D709" s="94"/>
      <c r="E709" s="94"/>
      <c r="F709" s="94"/>
      <c r="G709" s="112">
        <f>AU709</f>
      </c>
      <c r="H709" s="113"/>
      <c r="I709" s="94" t="s">
        <v>485</v>
      </c>
      <c r="J709" s="94" t="s">
        <v>553</v>
      </c>
      <c r="K709" s="114">
        <f>P709/3</f>
      </c>
      <c r="L709" s="115">
        <v>0</v>
      </c>
      <c r="M709" s="116">
        <f>L709</f>
      </c>
      <c r="N709" s="117">
        <f>M709-L709</f>
      </c>
      <c r="O709" s="112"/>
      <c r="P709" s="118">
        <f>N709+O709</f>
      </c>
      <c r="Q709" s="94" t="s">
        <v>810</v>
      </c>
      <c r="R709" s="94" t="s">
        <v>63</v>
      </c>
      <c r="S709" s="119">
        <v>46345</v>
      </c>
      <c r="T709" s="119"/>
      <c r="U709" s="120">
        <v>46345</v>
      </c>
      <c r="V709" s="94"/>
      <c r="W709" s="94"/>
      <c r="X709" s="94"/>
      <c r="Y709" s="119">
        <v>46345</v>
      </c>
      <c r="Z709" s="94"/>
      <c r="AA709" s="120"/>
      <c r="AB709" s="120"/>
      <c r="AC709" s="120"/>
      <c r="AD709" s="120"/>
      <c r="AE709" s="120"/>
      <c r="AF709" s="120"/>
      <c r="AG709" s="94"/>
      <c r="AH709" s="120"/>
      <c r="AI709" s="94"/>
      <c r="AJ709" s="94" t="s">
        <v>810</v>
      </c>
      <c r="AK709" s="94" t="s">
        <v>728</v>
      </c>
      <c r="AL709" s="94">
        <v>140</v>
      </c>
      <c r="AM709" s="94" t="str">
        <f>TRIM(AJ709)&amp;TRIM(AL709)&amp;TRIM(AK709)</f>
      </c>
      <c r="AN709" s="116">
        <v>76</v>
      </c>
      <c r="AO709" s="116">
        <v>2</v>
      </c>
      <c r="AP709" s="116">
        <f>SUMIFS(M:M,AM:AM,AM709)+SUMIFS(O:O,AM:AM,AM709)</f>
      </c>
      <c r="AQ709" s="116">
        <f>SUMIFS(L:L,AM:AM,AM709)</f>
      </c>
      <c r="AR709" s="116">
        <f>AQ709-AP709</f>
      </c>
      <c r="AS709" s="94" t="str">
        <f>IF(AN709&gt;=AQ709,"ok","ck")</f>
      </c>
      <c r="AT709" s="116">
        <f>-P709</f>
      </c>
      <c r="AU709" s="115">
        <f>IF(SUMIFS(AT:AT,AM:AM,AM709)&gt;AO709,(SUMIFS(AT:AT,AM:AM,AM709)-AO709))</f>
      </c>
      <c r="AV709" s="116">
        <v>76</v>
      </c>
      <c r="AW709" s="121">
        <v>0.974</v>
      </c>
      <c r="AX709" s="115">
        <f>AN709-AP709</f>
      </c>
    </row>
    <row r="710" spans="1:50" ht="15" hidden="1" customHeight="1" x14ac:dyDescent="0.3">
      <c r="A710" s="94" t="s">
        <v>268</v>
      </c>
      <c r="B710" s="94"/>
      <c r="C710" s="94"/>
      <c r="D710" s="94"/>
      <c r="E710" s="94"/>
      <c r="F710" s="94"/>
      <c r="G710" s="112">
        <f>AU710</f>
      </c>
      <c r="H710" s="113"/>
      <c r="I710" s="94" t="s">
        <v>278</v>
      </c>
      <c r="J710" s="94" t="s">
        <v>497</v>
      </c>
      <c r="K710" s="114">
        <f>P710/3</f>
      </c>
      <c r="L710" s="115">
        <v>-0.376</v>
      </c>
      <c r="M710" s="116">
        <f>L710</f>
      </c>
      <c r="N710" s="117">
        <f>M710-L710</f>
      </c>
      <c r="O710" s="112"/>
      <c r="P710" s="118">
        <f>N710+O710</f>
      </c>
      <c r="Q710" s="94" t="s">
        <v>772</v>
      </c>
      <c r="R710" s="94" t="s">
        <v>63</v>
      </c>
      <c r="S710" s="119">
        <v>46320</v>
      </c>
      <c r="T710" s="119"/>
      <c r="U710" s="119">
        <v>46320</v>
      </c>
      <c r="V710" s="94"/>
      <c r="W710" s="94"/>
      <c r="X710" s="94"/>
      <c r="Y710" s="119">
        <v>46320</v>
      </c>
      <c r="Z710" s="94"/>
      <c r="AA710" s="120"/>
      <c r="AB710" s="120"/>
      <c r="AC710" s="120"/>
      <c r="AD710" s="120"/>
      <c r="AE710" s="120"/>
      <c r="AF710" s="120"/>
      <c r="AG710" s="94"/>
      <c r="AH710" s="120"/>
      <c r="AI710" s="94"/>
      <c r="AJ710" s="94" t="s">
        <v>772</v>
      </c>
      <c r="AK710" s="94" t="s">
        <v>366</v>
      </c>
      <c r="AL710" s="94">
        <v>120</v>
      </c>
      <c r="AM710" s="94" t="str">
        <f>TRIM(AJ710)&amp;TRIM(AL710)&amp;TRIM(AK710)</f>
      </c>
      <c r="AN710" s="116">
        <v>121</v>
      </c>
      <c r="AO710" s="116">
        <v>-9.87</v>
      </c>
      <c r="AP710" s="116">
        <f>SUMIFS(M:M,AM:AM,AM710)+SUMIFS(O:O,AM:AM,AM710)</f>
      </c>
      <c r="AQ710" s="116">
        <f>SUMIFS(L:L,AM:AM,AM710)</f>
      </c>
      <c r="AR710" s="116">
        <f>AQ710-AP710</f>
      </c>
      <c r="AS710" s="94" t="str">
        <f>IF(AN710&gt;=AQ710,"ok","ck")</f>
      </c>
      <c r="AT710" s="116">
        <f>-P710</f>
      </c>
      <c r="AU710" s="115">
        <f>IF(SUMIFS(AT:AT,AM:AM,AM710)&gt;AO710,(SUMIFS(AT:AT,AM:AM,AM710)-AO710))</f>
      </c>
      <c r="AV710" s="116">
        <v>121</v>
      </c>
      <c r="AW710" s="121">
        <v>1.089</v>
      </c>
      <c r="AX710" s="115">
        <f>AN710-AP710</f>
      </c>
    </row>
    <row r="711" spans="1:50" ht="15" hidden="1" customHeight="1" x14ac:dyDescent="0.3">
      <c r="A711" s="94" t="s">
        <v>268</v>
      </c>
      <c r="B711" s="94"/>
      <c r="C711" s="94"/>
      <c r="D711" s="94"/>
      <c r="E711" s="94"/>
      <c r="F711" s="94"/>
      <c r="G711" s="112">
        <f>AU711</f>
      </c>
      <c r="H711" s="113"/>
      <c r="I711" s="94" t="s">
        <v>278</v>
      </c>
      <c r="J711" s="94" t="s">
        <v>497</v>
      </c>
      <c r="K711" s="114">
        <f>P711/3</f>
      </c>
      <c r="L711" s="115">
        <v>-0.372</v>
      </c>
      <c r="M711" s="116">
        <f>L711</f>
      </c>
      <c r="N711" s="117">
        <f>M711-L711</f>
      </c>
      <c r="O711" s="112"/>
      <c r="P711" s="118">
        <f>N711+O711</f>
      </c>
      <c r="Q711" s="94" t="s">
        <v>772</v>
      </c>
      <c r="R711" s="94" t="s">
        <v>63</v>
      </c>
      <c r="S711" s="119">
        <v>46321</v>
      </c>
      <c r="T711" s="119"/>
      <c r="U711" s="119">
        <v>46321</v>
      </c>
      <c r="V711" s="94"/>
      <c r="W711" s="94"/>
      <c r="X711" s="94"/>
      <c r="Y711" s="119">
        <v>46321</v>
      </c>
      <c r="Z711" s="94"/>
      <c r="AA711" s="120"/>
      <c r="AB711" s="120"/>
      <c r="AC711" s="120"/>
      <c r="AD711" s="120"/>
      <c r="AE711" s="120"/>
      <c r="AF711" s="120"/>
      <c r="AG711" s="94"/>
      <c r="AH711" s="120"/>
      <c r="AI711" s="94"/>
      <c r="AJ711" s="94" t="s">
        <v>772</v>
      </c>
      <c r="AK711" s="94" t="s">
        <v>366</v>
      </c>
      <c r="AL711" s="94">
        <v>120</v>
      </c>
      <c r="AM711" s="94" t="str">
        <f>TRIM(AJ711)&amp;TRIM(AL711)&amp;TRIM(AK711)</f>
      </c>
      <c r="AN711" s="116">
        <v>121</v>
      </c>
      <c r="AO711" s="116">
        <v>-9.87</v>
      </c>
      <c r="AP711" s="116">
        <f>SUMIFS(M:M,AM:AM,AM711)+SUMIFS(O:O,AM:AM,AM711)</f>
      </c>
      <c r="AQ711" s="116">
        <f>SUMIFS(L:L,AM:AM,AM711)</f>
      </c>
      <c r="AR711" s="116">
        <f>AQ711-AP711</f>
      </c>
      <c r="AS711" s="94" t="str">
        <f>IF(AN711&gt;=AQ711,"ok","ck")</f>
      </c>
      <c r="AT711" s="116">
        <f>-P711</f>
      </c>
      <c r="AU711" s="115">
        <f>IF(SUMIFS(AT:AT,AM:AM,AM711)&gt;AO711,(SUMIFS(AT:AT,AM:AM,AM711)-AO711))</f>
      </c>
      <c r="AV711" s="116">
        <v>121</v>
      </c>
      <c r="AW711" s="121">
        <v>1.089</v>
      </c>
      <c r="AX711" s="115">
        <f>AN711-AP711</f>
      </c>
    </row>
    <row r="712" spans="1:50" ht="15" hidden="1" customHeight="1" x14ac:dyDescent="0.3">
      <c r="A712" s="94" t="s">
        <v>60</v>
      </c>
      <c r="B712" s="94"/>
      <c r="C712" s="94"/>
      <c r="D712" s="94"/>
      <c r="E712" s="94"/>
      <c r="F712" s="94"/>
      <c r="G712" s="112">
        <f>AU712</f>
      </c>
      <c r="H712" s="113"/>
      <c r="I712" s="94" t="s">
        <v>61</v>
      </c>
      <c r="J712" s="94" t="s">
        <v>532</v>
      </c>
      <c r="K712" s="114">
        <f>P712/3</f>
      </c>
      <c r="L712" s="115">
        <v>0</v>
      </c>
      <c r="M712" s="116"/>
      <c r="N712" s="117">
        <f>M712-L712</f>
      </c>
      <c r="O712" s="112"/>
      <c r="P712" s="118">
        <f>N712+O712</f>
      </c>
      <c r="Q712" s="94" t="s">
        <v>785</v>
      </c>
      <c r="R712" s="94" t="s">
        <v>63</v>
      </c>
      <c r="S712" s="119">
        <v>46331</v>
      </c>
      <c r="T712" s="119"/>
      <c r="U712" s="119">
        <v>46331</v>
      </c>
      <c r="V712" s="94"/>
      <c r="W712" s="94"/>
      <c r="X712" s="94"/>
      <c r="Y712" s="119">
        <v>46331</v>
      </c>
      <c r="Z712" s="94"/>
      <c r="AA712" s="120"/>
      <c r="AB712" s="120"/>
      <c r="AC712" s="120"/>
      <c r="AD712" s="120"/>
      <c r="AE712" s="120"/>
      <c r="AF712" s="120"/>
      <c r="AG712" s="94"/>
      <c r="AH712" s="120"/>
      <c r="AI712" s="94"/>
      <c r="AJ712" s="94" t="s">
        <v>785</v>
      </c>
      <c r="AK712" s="94" t="s">
        <v>532</v>
      </c>
      <c r="AL712" s="94">
        <v>140</v>
      </c>
      <c r="AM712" s="94" t="str">
        <f>TRIM(AJ712)&amp;TRIM(AL712)&amp;TRIM(AK712)</f>
      </c>
      <c r="AN712" s="116">
        <v>407</v>
      </c>
      <c r="AO712" s="116">
        <v>8172</v>
      </c>
      <c r="AP712" s="116">
        <f>SUMIFS(M:M,AM:AM,AM712)+SUMIFS(O:O,AM:AM,AM712)</f>
      </c>
      <c r="AQ712" s="116">
        <f>SUMIFS(L:L,AM:AM,AM712)</f>
      </c>
      <c r="AR712" s="116">
        <f>AQ712-AP712</f>
      </c>
      <c r="AS712" s="94" t="str">
        <f>IF(AN712&gt;=AQ712,"ok","ck")</f>
      </c>
      <c r="AT712" s="116">
        <f>-P712</f>
      </c>
      <c r="AU712" s="115">
        <f>IF(SUMIFS(AT:AT,AM:AM,AM712)&gt;AO712,(SUMIFS(AT:AT,AM:AM,AM712)-AO712))</f>
      </c>
      <c r="AV712" s="116">
        <v>407</v>
      </c>
      <c r="AW712" s="121">
        <v>0.047</v>
      </c>
      <c r="AX712" s="115">
        <f>AN712-AP712</f>
      </c>
    </row>
    <row r="713" spans="1:50" ht="15" hidden="1" customHeight="1" x14ac:dyDescent="0.3">
      <c r="A713" s="94" t="s">
        <v>268</v>
      </c>
      <c r="B713" s="94"/>
      <c r="C713" s="94"/>
      <c r="D713" s="94"/>
      <c r="E713" s="94"/>
      <c r="F713" s="94"/>
      <c r="G713" s="112">
        <f>AU713</f>
      </c>
      <c r="H713" s="113"/>
      <c r="I713" s="94" t="s">
        <v>278</v>
      </c>
      <c r="J713" s="94" t="s">
        <v>273</v>
      </c>
      <c r="K713" s="114">
        <f>P713/3</f>
      </c>
      <c r="L713" s="115">
        <v>315.37</v>
      </c>
      <c r="M713" s="116"/>
      <c r="N713" s="117">
        <f>M713-L713</f>
      </c>
      <c r="O713" s="112"/>
      <c r="P713" s="118">
        <f>N713+O713</f>
      </c>
      <c r="Q713" s="94" t="s">
        <v>305</v>
      </c>
      <c r="R713" s="94" t="s">
        <v>63</v>
      </c>
      <c r="S713" s="120">
        <v>46334</v>
      </c>
      <c r="T713" s="120"/>
      <c r="U713" s="120" t="s">
        <v>649</v>
      </c>
      <c r="V713" s="94"/>
      <c r="W713" s="94"/>
      <c r="X713" s="94"/>
      <c r="Y713" s="119">
        <v>46323</v>
      </c>
      <c r="Z713" s="94"/>
      <c r="AA713" s="120"/>
      <c r="AB713" s="120"/>
      <c r="AC713" s="120"/>
      <c r="AD713" s="120"/>
      <c r="AE713" s="120"/>
      <c r="AF713" s="120"/>
      <c r="AG713" s="94"/>
      <c r="AH713" s="120"/>
      <c r="AI713" s="94"/>
      <c r="AJ713" s="94" t="s">
        <v>305</v>
      </c>
      <c r="AK713" s="94" t="s">
        <v>274</v>
      </c>
      <c r="AL713" s="94">
        <v>120</v>
      </c>
      <c r="AM713" s="94" t="str">
        <f>TRIM(AJ713)&amp;TRIM(AL713)&amp;TRIM(AK713)</f>
      </c>
      <c r="AN713" s="116">
        <v>0</v>
      </c>
      <c r="AO713" s="116" t="inlineStr">
        <is>
          <t>#NA</t>
        </is>
      </c>
      <c r="AP713" s="116">
        <f>SUMIFS(M:M,AM:AM,AM713)+SUMIFS(O:O,AM:AM,AM713)</f>
      </c>
      <c r="AQ713" s="116">
        <f>SUMIFS(L:L,AM:AM,AM713)</f>
      </c>
      <c r="AR713" s="116">
        <f>AQ713-AP713</f>
      </c>
      <c r="AS713" s="94" t="str">
        <f>IF(AN713&gt;=AQ713,"ok","ck")</f>
      </c>
      <c r="AT713" s="116">
        <f>-P713</f>
      </c>
      <c r="AU713" s="115">
        <f>IF(SUMIFS(AT:AT,AM:AM,AM713)&gt;AO713,(SUMIFS(AT:AT,AM:AM,AM713)-AO713))</f>
      </c>
      <c r="AV713" s="116">
        <v>0</v>
      </c>
      <c r="AW713" s="121">
        <v>0</v>
      </c>
      <c r="AX713" s="115">
        <f>AN713-AP713</f>
      </c>
    </row>
    <row r="714" spans="1:50" ht="15" hidden="1" customHeight="1" x14ac:dyDescent="0.3">
      <c r="A714" s="94" t="s">
        <v>268</v>
      </c>
      <c r="B714" s="94"/>
      <c r="C714" s="94"/>
      <c r="D714" s="94"/>
      <c r="E714" s="94"/>
      <c r="F714" s="94"/>
      <c r="G714" s="112">
        <f>AU714</f>
      </c>
      <c r="H714" s="113"/>
      <c r="I714" s="94" t="s">
        <v>278</v>
      </c>
      <c r="J714" s="94" t="s">
        <v>273</v>
      </c>
      <c r="K714" s="114">
        <f>P714/3</f>
      </c>
      <c r="L714" s="115">
        <v>0.14099999999999999</v>
      </c>
      <c r="M714" s="116"/>
      <c r="N714" s="117">
        <f>M714-L714</f>
      </c>
      <c r="O714" s="112"/>
      <c r="P714" s="118">
        <f>N714+O714</f>
      </c>
      <c r="Q714" s="94" t="s">
        <v>305</v>
      </c>
      <c r="R714" s="94" t="s">
        <v>63</v>
      </c>
      <c r="S714" s="120">
        <v>46329</v>
      </c>
      <c r="T714" s="120"/>
      <c r="U714" s="120">
        <v>46329</v>
      </c>
      <c r="V714" s="94"/>
      <c r="W714" s="94"/>
      <c r="X714" s="94"/>
      <c r="Y714" s="119">
        <v>46329</v>
      </c>
      <c r="Z714" s="94"/>
      <c r="AA714" s="120"/>
      <c r="AB714" s="120"/>
      <c r="AC714" s="120"/>
      <c r="AD714" s="120"/>
      <c r="AE714" s="120"/>
      <c r="AF714" s="120"/>
      <c r="AG714" s="94"/>
      <c r="AH714" s="120"/>
      <c r="AI714" s="94"/>
      <c r="AJ714" s="94" t="s">
        <v>305</v>
      </c>
      <c r="AK714" s="94" t="s">
        <v>274</v>
      </c>
      <c r="AL714" s="94">
        <v>120</v>
      </c>
      <c r="AM714" s="94" t="str">
        <f>TRIM(AJ714)&amp;TRIM(AL714)&amp;TRIM(AK714)</f>
      </c>
      <c r="AN714" s="116">
        <v>0</v>
      </c>
      <c r="AO714" s="116" t="inlineStr">
        <is>
          <t>#NA</t>
        </is>
      </c>
      <c r="AP714" s="116">
        <f>SUMIFS(M:M,AM:AM,AM714)+SUMIFS(O:O,AM:AM,AM714)</f>
      </c>
      <c r="AQ714" s="116">
        <f>SUMIFS(L:L,AM:AM,AM714)</f>
      </c>
      <c r="AR714" s="116">
        <f>AQ714-AP714</f>
      </c>
      <c r="AS714" s="94" t="str">
        <f>IF(AN714&gt;=AQ714,"ok","ck")</f>
      </c>
      <c r="AT714" s="116">
        <f>-P714</f>
      </c>
      <c r="AU714" s="115">
        <f>IF(SUMIFS(AT:AT,AM:AM,AM714)&gt;AO714,(SUMIFS(AT:AT,AM:AM,AM714)-AO714))</f>
      </c>
      <c r="AV714" s="116">
        <v>0</v>
      </c>
      <c r="AW714" s="121">
        <v>0</v>
      </c>
      <c r="AX714" s="115">
        <f>AN714-AP714</f>
      </c>
    </row>
    <row r="715" spans="1:50" ht="15" hidden="1" customHeight="1" x14ac:dyDescent="0.3">
      <c r="A715" s="94" t="s">
        <v>60</v>
      </c>
      <c r="B715" s="94"/>
      <c r="C715" s="94"/>
      <c r="D715" s="94"/>
      <c r="E715" s="94"/>
      <c r="F715" s="94"/>
      <c r="G715" s="112">
        <f>AU715</f>
      </c>
      <c r="H715" s="113"/>
      <c r="I715" s="94" t="s">
        <v>65</v>
      </c>
      <c r="J715" s="94" t="s">
        <v>122</v>
      </c>
      <c r="K715" s="114">
        <f>P715/3</f>
      </c>
      <c r="L715" s="115">
        <v>-1.127</v>
      </c>
      <c r="M715" s="116">
        <f>L715</f>
      </c>
      <c r="N715" s="117">
        <f>M715-L715</f>
      </c>
      <c r="O715" s="112"/>
      <c r="P715" s="118">
        <f>N715+O715</f>
      </c>
      <c r="Q715" s="94" t="s">
        <v>62</v>
      </c>
      <c r="R715" s="94" t="s">
        <v>63</v>
      </c>
      <c r="S715" s="120">
        <v>46320</v>
      </c>
      <c r="T715" s="120"/>
      <c r="U715" s="120">
        <v>46320</v>
      </c>
      <c r="V715" s="94"/>
      <c r="W715" s="94"/>
      <c r="X715" s="94"/>
      <c r="Y715" s="119">
        <v>46320</v>
      </c>
      <c r="Z715" s="94"/>
      <c r="AA715" s="120"/>
      <c r="AB715" s="120"/>
      <c r="AC715" s="120"/>
      <c r="AD715" s="120"/>
      <c r="AE715" s="120"/>
      <c r="AF715" s="120"/>
      <c r="AG715" s="94"/>
      <c r="AH715" s="120"/>
      <c r="AI715" s="94"/>
      <c r="AJ715" s="94" t="s">
        <v>64</v>
      </c>
      <c r="AK715" s="94" t="s">
        <v>692</v>
      </c>
      <c r="AL715" s="94">
        <v>110</v>
      </c>
      <c r="AM715" s="94" t="str">
        <f>TRIM(AJ715)&amp;TRIM(AL715)&amp;TRIM(AK715)</f>
      </c>
      <c r="AN715" s="116">
        <v>204</v>
      </c>
      <c r="AO715" s="116">
        <v>-11.06</v>
      </c>
      <c r="AP715" s="116">
        <f>SUMIFS(M:M,AM:AM,AM715)+SUMIFS(O:O,AM:AM,AM715)</f>
      </c>
      <c r="AQ715" s="116">
        <f>SUMIFS(L:L,AM:AM,AM715)</f>
      </c>
      <c r="AR715" s="116">
        <f>AQ715-AP715</f>
      </c>
      <c r="AS715" s="94" t="str">
        <f>IF(AN715&gt;=AQ715,"ok","ck")</f>
      </c>
      <c r="AT715" s="116">
        <f>-P715</f>
      </c>
      <c r="AU715" s="115">
        <f>IF(SUMIFS(AT:AT,AM:AM,AM715)&gt;AO715,(SUMIFS(AT:AT,AM:AM,AM715)-AO715))</f>
      </c>
      <c r="AV715" s="116">
        <v>204</v>
      </c>
      <c r="AW715" s="121">
        <v>1.057</v>
      </c>
      <c r="AX715" s="115">
        <f>AN715-AP715</f>
      </c>
    </row>
    <row r="716" spans="1:50" ht="15" hidden="1" customHeight="1" x14ac:dyDescent="0.3">
      <c r="A716" s="94" t="s">
        <v>268</v>
      </c>
      <c r="B716" s="94"/>
      <c r="C716" s="94"/>
      <c r="D716" s="94"/>
      <c r="E716" s="94"/>
      <c r="F716" s="94"/>
      <c r="G716" s="112">
        <f>AU716</f>
      </c>
      <c r="H716" s="113"/>
      <c r="I716" s="94" t="s">
        <v>278</v>
      </c>
      <c r="J716" s="94" t="s">
        <v>328</v>
      </c>
      <c r="K716" s="114">
        <f>P716/3</f>
      </c>
      <c r="L716" s="115">
        <v>0.13400000000000001</v>
      </c>
      <c r="M716" s="116"/>
      <c r="N716" s="117">
        <f>M716-L716</f>
      </c>
      <c r="O716" s="112"/>
      <c r="P716" s="118">
        <f>N716+O716</f>
      </c>
      <c r="Q716" s="94" t="s">
        <v>305</v>
      </c>
      <c r="R716" s="94" t="s">
        <v>63</v>
      </c>
      <c r="S716" s="120">
        <v>46323</v>
      </c>
      <c r="T716" s="120"/>
      <c r="U716" s="120">
        <v>46323</v>
      </c>
      <c r="V716" s="94"/>
      <c r="W716" s="94"/>
      <c r="X716" s="94"/>
      <c r="Y716" s="119">
        <v>46323</v>
      </c>
      <c r="Z716" s="94"/>
      <c r="AA716" s="120"/>
      <c r="AB716" s="120"/>
      <c r="AC716" s="120"/>
      <c r="AD716" s="120"/>
      <c r="AE716" s="120"/>
      <c r="AF716" s="120"/>
      <c r="AG716" s="94"/>
      <c r="AH716" s="120"/>
      <c r="AI716" s="94"/>
      <c r="AJ716" s="94" t="s">
        <v>305</v>
      </c>
      <c r="AK716" s="94" t="s">
        <v>329</v>
      </c>
      <c r="AL716" s="94">
        <v>120</v>
      </c>
      <c r="AM716" s="94" t="str">
        <f>TRIM(AJ716)&amp;TRIM(AL716)&amp;TRIM(AK716)</f>
      </c>
      <c r="AN716" s="116">
        <v>0</v>
      </c>
      <c r="AO716" s="116" t="inlineStr">
        <is>
          <t>#NA</t>
        </is>
      </c>
      <c r="AP716" s="116">
        <f>SUMIFS(M:M,AM:AM,AM716)+SUMIFS(O:O,AM:AM,AM716)</f>
      </c>
      <c r="AQ716" s="116">
        <f>SUMIFS(L:L,AM:AM,AM716)</f>
      </c>
      <c r="AR716" s="116">
        <f>AQ716-AP716</f>
      </c>
      <c r="AS716" s="94" t="str">
        <f>IF(AN716&gt;=AQ716,"ok","ck")</f>
      </c>
      <c r="AT716" s="116">
        <f>-P716</f>
      </c>
      <c r="AU716" s="115">
        <f>IF(SUMIFS(AT:AT,AM:AM,AM716)&gt;AO716,(SUMIFS(AT:AT,AM:AM,AM716)-AO716))</f>
      </c>
      <c r="AV716" s="116">
        <v>0</v>
      </c>
      <c r="AW716" s="121">
        <v>0</v>
      </c>
      <c r="AX716" s="115">
        <f>AN716-AP716</f>
      </c>
    </row>
    <row r="717" spans="1:50" ht="15" hidden="1" customHeight="1" x14ac:dyDescent="0.3">
      <c r="A717" s="94" t="s">
        <v>82</v>
      </c>
      <c r="B717" s="94"/>
      <c r="C717" s="94"/>
      <c r="D717" s="94"/>
      <c r="E717" s="94"/>
      <c r="F717" s="94"/>
      <c r="G717" s="112">
        <f>AU717</f>
      </c>
      <c r="H717" s="113"/>
      <c r="I717" s="94" t="s">
        <v>83</v>
      </c>
      <c r="J717" s="94" t="s">
        <v>84</v>
      </c>
      <c r="K717" s="114">
        <f>P717/3</f>
      </c>
      <c r="L717" s="115">
        <v>445.303</v>
      </c>
      <c r="M717" s="116">
        <v>412.899</v>
      </c>
      <c r="N717" s="117">
        <f>M717-L717</f>
      </c>
      <c r="O717" s="112"/>
      <c r="P717" s="118">
        <f>N717+O717</f>
      </c>
      <c r="Q717" s="94" t="s">
        <v>97</v>
      </c>
      <c r="R717" s="94" t="s">
        <v>63</v>
      </c>
      <c r="S717" s="119">
        <v>46327</v>
      </c>
      <c r="T717" s="119"/>
      <c r="U717" s="119">
        <v>46327</v>
      </c>
      <c r="V717" s="94"/>
      <c r="W717" s="94"/>
      <c r="X717" s="94"/>
      <c r="Y717" s="119">
        <v>46320</v>
      </c>
      <c r="Z717" s="94"/>
      <c r="AA717" s="120"/>
      <c r="AB717" s="120"/>
      <c r="AC717" s="120"/>
      <c r="AD717" s="120"/>
      <c r="AE717" s="120"/>
      <c r="AF717" s="120"/>
      <c r="AG717" s="94"/>
      <c r="AH717" s="120"/>
      <c r="AI717" s="94"/>
      <c r="AJ717" s="94" t="s">
        <v>98</v>
      </c>
      <c r="AK717" s="94" t="s">
        <v>87</v>
      </c>
      <c r="AL717" s="94">
        <v>160</v>
      </c>
      <c r="AM717" s="94" t="str">
        <f>TRIM(AJ717)&amp;TRIM(AL717)&amp;TRIM(AK717)</f>
      </c>
      <c r="AN717" s="116">
        <v>3635</v>
      </c>
      <c r="AO717" s="116">
        <v>202</v>
      </c>
      <c r="AP717" s="116">
        <f>SUMIFS(M:M,AM:AM,AM717)+SUMIFS(O:O,AM:AM,AM717)</f>
      </c>
      <c r="AQ717" s="116">
        <f>SUMIFS(L:L,AM:AM,AM717)</f>
      </c>
      <c r="AR717" s="116">
        <f>AQ717-AP717</f>
      </c>
      <c r="AS717" s="94" t="str">
        <f>IF(AN717&gt;=AQ717,"ok","ck")</f>
      </c>
      <c r="AT717" s="116">
        <f>-P717</f>
      </c>
      <c r="AU717" s="115">
        <f>IF(SUMIFS(AT:AT,AM:AM,AM717)&gt;AO717,(SUMIFS(AT:AT,AM:AM,AM717)-AO717))</f>
      </c>
      <c r="AV717" s="116">
        <v>3635</v>
      </c>
      <c r="AW717" s="121">
        <v>0.947</v>
      </c>
      <c r="AX717" s="115">
        <f>AN717-AP717</f>
      </c>
    </row>
    <row r="718" spans="1:50" ht="15" hidden="1" customHeight="1" x14ac:dyDescent="0.3">
      <c r="A718" s="94" t="s">
        <v>82</v>
      </c>
      <c r="B718" s="94"/>
      <c r="C718" s="94"/>
      <c r="D718" s="94"/>
      <c r="E718" s="94"/>
      <c r="F718" s="94"/>
      <c r="G718" s="112">
        <f>AU718</f>
      </c>
      <c r="H718" s="113"/>
      <c r="I718" s="94" t="s">
        <v>83</v>
      </c>
      <c r="J718" s="94" t="s">
        <v>84</v>
      </c>
      <c r="K718" s="114">
        <f>P718/3</f>
      </c>
      <c r="L718" s="115">
        <v>169.596</v>
      </c>
      <c r="M718" s="116"/>
      <c r="N718" s="117">
        <f>M718-L718</f>
      </c>
      <c r="O718" s="112"/>
      <c r="P718" s="118">
        <f>N718+O718</f>
      </c>
      <c r="Q718" s="94" t="s">
        <v>97</v>
      </c>
      <c r="R718" s="94" t="s">
        <v>63</v>
      </c>
      <c r="S718" s="119">
        <v>46331</v>
      </c>
      <c r="T718" s="119"/>
      <c r="U718" s="119">
        <v>46331</v>
      </c>
      <c r="V718" s="94"/>
      <c r="W718" s="94"/>
      <c r="X718" s="94"/>
      <c r="Y718" s="119">
        <v>46322</v>
      </c>
      <c r="Z718" s="94"/>
      <c r="AA718" s="120"/>
      <c r="AB718" s="120"/>
      <c r="AC718" s="120"/>
      <c r="AD718" s="120"/>
      <c r="AE718" s="120"/>
      <c r="AF718" s="120"/>
      <c r="AG718" s="94"/>
      <c r="AH718" s="120"/>
      <c r="AI718" s="94"/>
      <c r="AJ718" s="94" t="s">
        <v>98</v>
      </c>
      <c r="AK718" s="94" t="s">
        <v>87</v>
      </c>
      <c r="AL718" s="94">
        <v>160</v>
      </c>
      <c r="AM718" s="94" t="str">
        <f>TRIM(AJ718)&amp;TRIM(AL718)&amp;TRIM(AK718)</f>
      </c>
      <c r="AN718" s="116">
        <v>3635</v>
      </c>
      <c r="AO718" s="116">
        <v>202</v>
      </c>
      <c r="AP718" s="116">
        <f>SUMIFS(M:M,AM:AM,AM718)+SUMIFS(O:O,AM:AM,AM718)</f>
      </c>
      <c r="AQ718" s="116">
        <f>SUMIFS(L:L,AM:AM,AM718)</f>
      </c>
      <c r="AR718" s="116">
        <f>AQ718-AP718</f>
      </c>
      <c r="AS718" s="94" t="str">
        <f>IF(AN718&gt;=AQ718,"ok","ck")</f>
      </c>
      <c r="AT718" s="116">
        <f>-P718</f>
      </c>
      <c r="AU718" s="115">
        <f>IF(SUMIFS(AT:AT,AM:AM,AM718)&gt;AO718,(SUMIFS(AT:AT,AM:AM,AM718)-AO718))</f>
      </c>
      <c r="AV718" s="116">
        <v>3635</v>
      </c>
      <c r="AW718" s="121">
        <v>0.947</v>
      </c>
      <c r="AX718" s="115">
        <f>AN718-AP718</f>
      </c>
    </row>
    <row r="719" spans="1:50" ht="15" hidden="1" customHeight="1" x14ac:dyDescent="0.3">
      <c r="A719" s="94" t="s">
        <v>60</v>
      </c>
      <c r="B719" s="94"/>
      <c r="C719" s="94"/>
      <c r="D719" s="94"/>
      <c r="E719" s="94"/>
      <c r="F719" s="94"/>
      <c r="G719" s="112">
        <f>AU719</f>
      </c>
      <c r="H719" s="113"/>
      <c r="I719" s="94" t="s">
        <v>61</v>
      </c>
      <c r="J719" s="94" t="s">
        <v>532</v>
      </c>
      <c r="K719" s="114">
        <f>P719/3</f>
      </c>
      <c r="L719" s="115">
        <v>890.149</v>
      </c>
      <c r="M719" s="116"/>
      <c r="N719" s="117">
        <f>M719-L719</f>
      </c>
      <c r="O719" s="112"/>
      <c r="P719" s="118">
        <f>N719+O719</f>
      </c>
      <c r="Q719" s="94" t="s">
        <v>785</v>
      </c>
      <c r="R719" s="94" t="s">
        <v>63</v>
      </c>
      <c r="S719" s="119">
        <v>46330</v>
      </c>
      <c r="T719" s="119"/>
      <c r="U719" s="119">
        <v>46330</v>
      </c>
      <c r="V719" s="94"/>
      <c r="W719" s="94"/>
      <c r="X719" s="94"/>
      <c r="Y719" s="119">
        <v>46330</v>
      </c>
      <c r="Z719" s="94"/>
      <c r="AA719" s="120"/>
      <c r="AB719" s="120"/>
      <c r="AC719" s="120"/>
      <c r="AD719" s="120"/>
      <c r="AE719" s="120"/>
      <c r="AF719" s="120"/>
      <c r="AG719" s="94"/>
      <c r="AH719" s="120"/>
      <c r="AI719" s="94"/>
      <c r="AJ719" s="94" t="s">
        <v>785</v>
      </c>
      <c r="AK719" s="94" t="s">
        <v>532</v>
      </c>
      <c r="AL719" s="94">
        <v>140</v>
      </c>
      <c r="AM719" s="94" t="str">
        <f>TRIM(AJ719)&amp;TRIM(AL719)&amp;TRIM(AK719)</f>
      </c>
      <c r="AN719" s="116">
        <v>407</v>
      </c>
      <c r="AO719" s="116">
        <v>8172</v>
      </c>
      <c r="AP719" s="116">
        <f>SUMIFS(M:M,AM:AM,AM719)+SUMIFS(O:O,AM:AM,AM719)</f>
      </c>
      <c r="AQ719" s="116">
        <f>SUMIFS(L:L,AM:AM,AM719)</f>
      </c>
      <c r="AR719" s="116">
        <f>AQ719-AP719</f>
      </c>
      <c r="AS719" s="94" t="str">
        <f>IF(AN719&gt;=AQ719,"ok","ck")</f>
      </c>
      <c r="AT719" s="116">
        <f>-P719</f>
      </c>
      <c r="AU719" s="115">
        <f>IF(SUMIFS(AT:AT,AM:AM,AM719)&gt;AO719,(SUMIFS(AT:AT,AM:AM,AM719)-AO719))</f>
      </c>
      <c r="AV719" s="116">
        <v>407</v>
      </c>
      <c r="AW719" s="121">
        <v>0.047</v>
      </c>
      <c r="AX719" s="115">
        <f>AN719-AP719</f>
      </c>
    </row>
    <row r="720" spans="1:50" ht="15" hidden="1" customHeight="1" x14ac:dyDescent="0.3">
      <c r="A720" s="94" t="s">
        <v>60</v>
      </c>
      <c r="B720" s="94"/>
      <c r="C720" s="94"/>
      <c r="D720" s="94"/>
      <c r="E720" s="94"/>
      <c r="F720" s="94"/>
      <c r="G720" s="112">
        <f>AU720</f>
      </c>
      <c r="H720" s="113"/>
      <c r="I720" s="94" t="s">
        <v>61</v>
      </c>
      <c r="J720" s="94" t="s">
        <v>554</v>
      </c>
      <c r="K720" s="114">
        <f>P720/3</f>
      </c>
      <c r="L720" s="115">
        <v>0</v>
      </c>
      <c r="M720" s="116">
        <f>L720</f>
      </c>
      <c r="N720" s="117">
        <f>M720-L720</f>
      </c>
      <c r="O720" s="112"/>
      <c r="P720" s="118">
        <f>N720+O720</f>
      </c>
      <c r="Q720" s="94" t="s">
        <v>785</v>
      </c>
      <c r="R720" s="94" t="s">
        <v>63</v>
      </c>
      <c r="S720" s="119">
        <v>46328</v>
      </c>
      <c r="T720" s="119"/>
      <c r="U720" s="119">
        <v>46328</v>
      </c>
      <c r="V720" s="94"/>
      <c r="W720" s="94"/>
      <c r="X720" s="94"/>
      <c r="Y720" s="119">
        <v>46328</v>
      </c>
      <c r="Z720" s="94"/>
      <c r="AA720" s="120"/>
      <c r="AB720" s="120"/>
      <c r="AC720" s="120"/>
      <c r="AD720" s="120"/>
      <c r="AE720" s="120"/>
      <c r="AF720" s="120"/>
      <c r="AG720" s="94"/>
      <c r="AH720" s="120"/>
      <c r="AI720" s="94"/>
      <c r="AJ720" s="94" t="s">
        <v>785</v>
      </c>
      <c r="AK720" s="94" t="s">
        <v>729</v>
      </c>
      <c r="AL720" s="94">
        <v>140</v>
      </c>
      <c r="AM720" s="94" t="str">
        <f>TRIM(AJ720)&amp;TRIM(AL720)&amp;TRIM(AK720)</f>
      </c>
      <c r="AN720" s="116">
        <v>1170</v>
      </c>
      <c r="AO720" s="116">
        <v>-28</v>
      </c>
      <c r="AP720" s="116">
        <f>SUMIFS(M:M,AM:AM,AM720)+SUMIFS(O:O,AM:AM,AM720)</f>
      </c>
      <c r="AQ720" s="116">
        <f>SUMIFS(L:L,AM:AM,AM720)</f>
      </c>
      <c r="AR720" s="116">
        <f>AQ720-AP720</f>
      </c>
      <c r="AS720" s="94" t="str">
        <f>IF(AN720&gt;=AQ720,"ok","ck")</f>
      </c>
      <c r="AT720" s="116">
        <f>-P720</f>
      </c>
      <c r="AU720" s="115">
        <f>IF(SUMIFS(AT:AT,AM:AM,AM720)&gt;AO720,(SUMIFS(AT:AT,AM:AM,AM720)-AO720))</f>
      </c>
      <c r="AV720" s="116">
        <v>1170</v>
      </c>
      <c r="AW720" s="121">
        <v>1.025</v>
      </c>
      <c r="AX720" s="115">
        <f>AN720-AP720</f>
      </c>
    </row>
    <row r="721" spans="1:50" ht="15" hidden="1" customHeight="1" x14ac:dyDescent="0.3">
      <c r="A721" s="94" t="s">
        <v>60</v>
      </c>
      <c r="B721" s="94"/>
      <c r="C721" s="94"/>
      <c r="D721" s="94"/>
      <c r="E721" s="94"/>
      <c r="F721" s="94"/>
      <c r="G721" s="112">
        <f>AU721</f>
      </c>
      <c r="H721" s="113"/>
      <c r="I721" s="94" t="s">
        <v>61</v>
      </c>
      <c r="J721" s="94" t="s">
        <v>554</v>
      </c>
      <c r="K721" s="114">
        <f>P721/3</f>
      </c>
      <c r="L721" s="115">
        <v>0</v>
      </c>
      <c r="M721" s="116">
        <f>L721</f>
      </c>
      <c r="N721" s="117">
        <f>M721-L721</f>
      </c>
      <c r="O721" s="112"/>
      <c r="P721" s="118">
        <f>N721+O721</f>
      </c>
      <c r="Q721" s="94" t="s">
        <v>785</v>
      </c>
      <c r="R721" s="94" t="s">
        <v>63</v>
      </c>
      <c r="S721" s="119">
        <v>46326</v>
      </c>
      <c r="T721" s="119"/>
      <c r="U721" s="119">
        <v>46326</v>
      </c>
      <c r="V721" s="94"/>
      <c r="W721" s="94"/>
      <c r="X721" s="94"/>
      <c r="Y721" s="119">
        <v>46326</v>
      </c>
      <c r="Z721" s="94"/>
      <c r="AA721" s="120"/>
      <c r="AB721" s="120"/>
      <c r="AC721" s="120"/>
      <c r="AD721" s="120"/>
      <c r="AE721" s="120"/>
      <c r="AF721" s="120"/>
      <c r="AG721" s="94"/>
      <c r="AH721" s="120"/>
      <c r="AI721" s="94"/>
      <c r="AJ721" s="94" t="s">
        <v>785</v>
      </c>
      <c r="AK721" s="94" t="s">
        <v>729</v>
      </c>
      <c r="AL721" s="94">
        <v>140</v>
      </c>
      <c r="AM721" s="94" t="str">
        <f>TRIM(AJ721)&amp;TRIM(AL721)&amp;TRIM(AK721)</f>
      </c>
      <c r="AN721" s="116">
        <v>1170</v>
      </c>
      <c r="AO721" s="116">
        <v>-28</v>
      </c>
      <c r="AP721" s="116">
        <f>SUMIFS(M:M,AM:AM,AM721)+SUMIFS(O:O,AM:AM,AM721)</f>
      </c>
      <c r="AQ721" s="116">
        <f>SUMIFS(L:L,AM:AM,AM721)</f>
      </c>
      <c r="AR721" s="116">
        <f>AQ721-AP721</f>
      </c>
      <c r="AS721" s="94" t="str">
        <f>IF(AN721&gt;=AQ721,"ok","ck")</f>
      </c>
      <c r="AT721" s="116">
        <f>-P721</f>
      </c>
      <c r="AU721" s="115">
        <f>IF(SUMIFS(AT:AT,AM:AM,AM721)&gt;AO721,(SUMIFS(AT:AT,AM:AM,AM721)-AO721))</f>
      </c>
      <c r="AV721" s="116">
        <v>1170</v>
      </c>
      <c r="AW721" s="121">
        <v>1.025</v>
      </c>
      <c r="AX721" s="115">
        <f>AN721-AP721</f>
      </c>
    </row>
    <row r="722" spans="1:50" ht="15" hidden="1" customHeight="1" x14ac:dyDescent="0.3">
      <c r="A722" s="94" t="s">
        <v>60</v>
      </c>
      <c r="B722" s="94"/>
      <c r="C722" s="94"/>
      <c r="D722" s="94"/>
      <c r="E722" s="94"/>
      <c r="F722" s="94"/>
      <c r="G722" s="112">
        <f>AU722</f>
      </c>
      <c r="H722" s="113"/>
      <c r="I722" s="94" t="s">
        <v>61</v>
      </c>
      <c r="J722" s="94" t="s">
        <v>554</v>
      </c>
      <c r="K722" s="114">
        <f>P722/3</f>
      </c>
      <c r="L722" s="115">
        <v>0</v>
      </c>
      <c r="M722" s="116">
        <f>L722</f>
      </c>
      <c r="N722" s="117">
        <f>M722-L722</f>
      </c>
      <c r="O722" s="112"/>
      <c r="P722" s="118">
        <f>N722+O722</f>
      </c>
      <c r="Q722" s="94" t="s">
        <v>785</v>
      </c>
      <c r="R722" s="94" t="s">
        <v>63</v>
      </c>
      <c r="S722" s="119">
        <v>46328</v>
      </c>
      <c r="T722" s="119"/>
      <c r="U722" s="119">
        <v>46328</v>
      </c>
      <c r="V722" s="94"/>
      <c r="W722" s="94"/>
      <c r="X722" s="94"/>
      <c r="Y722" s="119">
        <v>46328</v>
      </c>
      <c r="Z722" s="94"/>
      <c r="AA722" s="120"/>
      <c r="AB722" s="120"/>
      <c r="AC722" s="120"/>
      <c r="AD722" s="120"/>
      <c r="AE722" s="120"/>
      <c r="AF722" s="120"/>
      <c r="AG722" s="94"/>
      <c r="AH722" s="120"/>
      <c r="AI722" s="94"/>
      <c r="AJ722" s="94" t="s">
        <v>785</v>
      </c>
      <c r="AK722" s="94" t="s">
        <v>729</v>
      </c>
      <c r="AL722" s="94">
        <v>140</v>
      </c>
      <c r="AM722" s="94" t="str">
        <f>TRIM(AJ722)&amp;TRIM(AL722)&amp;TRIM(AK722)</f>
      </c>
      <c r="AN722" s="116">
        <v>1170</v>
      </c>
      <c r="AO722" s="116">
        <v>-28</v>
      </c>
      <c r="AP722" s="116">
        <f>SUMIFS(M:M,AM:AM,AM722)+SUMIFS(O:O,AM:AM,AM722)</f>
      </c>
      <c r="AQ722" s="116">
        <f>SUMIFS(L:L,AM:AM,AM722)</f>
      </c>
      <c r="AR722" s="116">
        <f>AQ722-AP722</f>
      </c>
      <c r="AS722" s="94" t="str">
        <f>IF(AN722&gt;=AQ722,"ok","ck")</f>
      </c>
      <c r="AT722" s="116">
        <f>-P722</f>
      </c>
      <c r="AU722" s="115">
        <f>IF(SUMIFS(AT:AT,AM:AM,AM722)&gt;AO722,(SUMIFS(AT:AT,AM:AM,AM722)-AO722))</f>
      </c>
      <c r="AV722" s="116">
        <v>1170</v>
      </c>
      <c r="AW722" s="121">
        <v>1.025</v>
      </c>
      <c r="AX722" s="115">
        <f>AN722-AP722</f>
      </c>
    </row>
    <row r="723" spans="1:50" ht="15" hidden="1" customHeight="1" x14ac:dyDescent="0.3">
      <c r="A723" s="94" t="s">
        <v>82</v>
      </c>
      <c r="B723" s="94"/>
      <c r="C723" s="94"/>
      <c r="D723" s="94"/>
      <c r="E723" s="94"/>
      <c r="F723" s="94"/>
      <c r="G723" s="112">
        <f>AU723</f>
      </c>
      <c r="H723" s="113"/>
      <c r="I723" s="94" t="s">
        <v>83</v>
      </c>
      <c r="J723" s="94" t="s">
        <v>96</v>
      </c>
      <c r="K723" s="114">
        <f>P723/3</f>
      </c>
      <c r="L723" s="115">
        <v>318.31200000000001</v>
      </c>
      <c r="M723" s="116">
        <v>318.31200000000001</v>
      </c>
      <c r="N723" s="117">
        <f>M723-L723</f>
      </c>
      <c r="O723" s="112"/>
      <c r="P723" s="118">
        <f>N723+O723</f>
      </c>
      <c r="Q723" s="94" t="s">
        <v>97</v>
      </c>
      <c r="R723" s="94" t="s">
        <v>63</v>
      </c>
      <c r="S723" s="119">
        <v>46330</v>
      </c>
      <c r="T723" s="119"/>
      <c r="U723" s="119">
        <v>46330</v>
      </c>
      <c r="V723" s="94"/>
      <c r="W723" s="94"/>
      <c r="X723" s="94"/>
      <c r="Y723" s="119">
        <v>46320</v>
      </c>
      <c r="Z723" s="94"/>
      <c r="AA723" s="120"/>
      <c r="AB723" s="120"/>
      <c r="AC723" s="120"/>
      <c r="AD723" s="120"/>
      <c r="AE723" s="120"/>
      <c r="AF723" s="120"/>
      <c r="AG723" s="94"/>
      <c r="AH723" s="120"/>
      <c r="AI723" s="94"/>
      <c r="AJ723" s="94" t="s">
        <v>98</v>
      </c>
      <c r="AK723" s="94" t="s">
        <v>99</v>
      </c>
      <c r="AL723" s="94">
        <v>160</v>
      </c>
      <c r="AM723" s="94" t="str">
        <f>TRIM(AJ723)&amp;TRIM(AL723)&amp;TRIM(AK723)</f>
      </c>
      <c r="AN723" s="116">
        <v>4794.75</v>
      </c>
      <c r="AO723" s="116">
        <v>243.24</v>
      </c>
      <c r="AP723" s="116">
        <f>SUMIFS(M:M,AM:AM,AM723)+SUMIFS(O:O,AM:AM,AM723)</f>
      </c>
      <c r="AQ723" s="116">
        <f>SUMIFS(L:L,AM:AM,AM723)</f>
      </c>
      <c r="AR723" s="116">
        <f>AQ723-AP723</f>
      </c>
      <c r="AS723" s="94" t="str">
        <f>IF(AN723&gt;=AQ723,"ok","ck")</f>
      </c>
      <c r="AT723" s="116">
        <f>-P723</f>
      </c>
      <c r="AU723" s="115">
        <f>IF(SUMIFS(AT:AT,AM:AM,AM723)&gt;AO723,(SUMIFS(AT:AT,AM:AM,AM723)-AO723))</f>
      </c>
      <c r="AV723" s="116">
        <v>4794.75</v>
      </c>
      <c r="AW723" s="121">
        <v>0.952</v>
      </c>
      <c r="AX723" s="115">
        <f>AN723-AP723</f>
      </c>
    </row>
    <row r="724" spans="1:50" ht="15" hidden="1" customHeight="1" x14ac:dyDescent="0.3">
      <c r="A724" s="94" t="s">
        <v>82</v>
      </c>
      <c r="B724" s="94"/>
      <c r="C724" s="94"/>
      <c r="D724" s="94"/>
      <c r="E724" s="94"/>
      <c r="F724" s="94"/>
      <c r="G724" s="112">
        <f>AU724</f>
      </c>
      <c r="H724" s="113"/>
      <c r="I724" s="94" t="s">
        <v>83</v>
      </c>
      <c r="J724" s="94" t="s">
        <v>96</v>
      </c>
      <c r="K724" s="114">
        <f>P724/3</f>
      </c>
      <c r="L724" s="115">
        <v>689.94799999999998</v>
      </c>
      <c r="M724" s="116">
        <v>446.70800000000003</v>
      </c>
      <c r="N724" s="117">
        <f>M724-L724</f>
      </c>
      <c r="O724" s="112"/>
      <c r="P724" s="118">
        <f>N724+O724</f>
      </c>
      <c r="Q724" s="94" t="s">
        <v>97</v>
      </c>
      <c r="R724" s="94" t="s">
        <v>63</v>
      </c>
      <c r="S724" s="119">
        <v>46330</v>
      </c>
      <c r="T724" s="119"/>
      <c r="U724" s="119">
        <v>46330</v>
      </c>
      <c r="V724" s="94"/>
      <c r="W724" s="94"/>
      <c r="X724" s="94"/>
      <c r="Y724" s="119">
        <v>46320</v>
      </c>
      <c r="Z724" s="94"/>
      <c r="AA724" s="120"/>
      <c r="AB724" s="120"/>
      <c r="AC724" s="120"/>
      <c r="AD724" s="120"/>
      <c r="AE724" s="120"/>
      <c r="AF724" s="120"/>
      <c r="AG724" s="94"/>
      <c r="AH724" s="120"/>
      <c r="AI724" s="94"/>
      <c r="AJ724" s="94" t="s">
        <v>98</v>
      </c>
      <c r="AK724" s="94" t="s">
        <v>99</v>
      </c>
      <c r="AL724" s="94">
        <v>160</v>
      </c>
      <c r="AM724" s="94" t="str">
        <f>TRIM(AJ724)&amp;TRIM(AL724)&amp;TRIM(AK724)</f>
      </c>
      <c r="AN724" s="116">
        <v>4794.75</v>
      </c>
      <c r="AO724" s="116">
        <v>243.24</v>
      </c>
      <c r="AP724" s="116">
        <f>SUMIFS(M:M,AM:AM,AM724)+SUMIFS(O:O,AM:AM,AM724)</f>
      </c>
      <c r="AQ724" s="116">
        <f>SUMIFS(L:L,AM:AM,AM724)</f>
      </c>
      <c r="AR724" s="116">
        <f>AQ724-AP724</f>
      </c>
      <c r="AS724" s="94" t="str">
        <f>IF(AN724&gt;=AQ724,"ok","ck")</f>
      </c>
      <c r="AT724" s="116">
        <f>-P724</f>
      </c>
      <c r="AU724" s="115">
        <f>IF(SUMIFS(AT:AT,AM:AM,AM724)&gt;AO724,(SUMIFS(AT:AT,AM:AM,AM724)-AO724))</f>
      </c>
      <c r="AV724" s="116">
        <v>4794.75</v>
      </c>
      <c r="AW724" s="121">
        <v>0.952</v>
      </c>
      <c r="AX724" s="115">
        <f>AN724-AP724</f>
      </c>
    </row>
    <row r="725" spans="1:50" ht="15" hidden="1" customHeight="1" x14ac:dyDescent="0.3">
      <c r="A725" s="94" t="s">
        <v>82</v>
      </c>
      <c r="B725" s="94"/>
      <c r="C725" s="94"/>
      <c r="D725" s="94"/>
      <c r="E725" s="94"/>
      <c r="F725" s="94"/>
      <c r="G725" s="112">
        <f>AU725</f>
      </c>
      <c r="H725" s="113"/>
      <c r="I725" s="94" t="s">
        <v>83</v>
      </c>
      <c r="J725" s="94" t="s">
        <v>71</v>
      </c>
      <c r="K725" s="114">
        <f>P725/3</f>
      </c>
      <c r="L725" s="115">
        <v>748.65300000000002</v>
      </c>
      <c r="M725" s="116">
        <v>692.64300000000003</v>
      </c>
      <c r="N725" s="117">
        <f>M725-L725</f>
      </c>
      <c r="O725" s="112"/>
      <c r="P725" s="118">
        <f>N725+O725</f>
      </c>
      <c r="Q725" s="94" t="s">
        <v>97</v>
      </c>
      <c r="R725" s="94" t="s">
        <v>63</v>
      </c>
      <c r="S725" s="119">
        <v>46327</v>
      </c>
      <c r="T725" s="119"/>
      <c r="U725" s="119">
        <v>46327</v>
      </c>
      <c r="V725" s="94"/>
      <c r="W725" s="94"/>
      <c r="X725" s="94"/>
      <c r="Y725" s="119">
        <v>46320</v>
      </c>
      <c r="Z725" s="94"/>
      <c r="AA725" s="120"/>
      <c r="AB725" s="120"/>
      <c r="AC725" s="120"/>
      <c r="AD725" s="120"/>
      <c r="AE725" s="120"/>
      <c r="AF725" s="120"/>
      <c r="AG725" s="94"/>
      <c r="AH725" s="120"/>
      <c r="AI725" s="94"/>
      <c r="AJ725" s="94" t="s">
        <v>98</v>
      </c>
      <c r="AK725" s="94" t="s">
        <v>71</v>
      </c>
      <c r="AL725" s="94">
        <v>160</v>
      </c>
      <c r="AM725" s="94" t="str">
        <f>TRIM(AJ725)&amp;TRIM(AL725)&amp;TRIM(AK725)</f>
      </c>
      <c r="AN725" s="116">
        <v>3781</v>
      </c>
      <c r="AO725" s="116">
        <v>56.01</v>
      </c>
      <c r="AP725" s="116">
        <f>SUMIFS(M:M,AM:AM,AM725)+SUMIFS(O:O,AM:AM,AM725)</f>
      </c>
      <c r="AQ725" s="116">
        <f>SUMIFS(L:L,AM:AM,AM725)</f>
      </c>
      <c r="AR725" s="116">
        <f>AQ725-AP725</f>
      </c>
      <c r="AS725" s="94" t="str">
        <f>IF(AN725&gt;=AQ725,"ok","ck")</f>
      </c>
      <c r="AT725" s="116">
        <f>-P725</f>
      </c>
      <c r="AU725" s="115">
        <f>IF(SUMIFS(AT:AT,AM:AM,AM725)&gt;AO725,(SUMIFS(AT:AT,AM:AM,AM725)-AO725))</f>
      </c>
      <c r="AV725" s="116">
        <v>3781</v>
      </c>
      <c r="AW725" s="121">
        <v>0.985</v>
      </c>
      <c r="AX725" s="115">
        <f>AN725-AP725</f>
      </c>
    </row>
    <row r="726" spans="1:50" ht="15" hidden="1" customHeight="1" x14ac:dyDescent="0.3">
      <c r="A726" s="94" t="s">
        <v>268</v>
      </c>
      <c r="B726" s="94"/>
      <c r="C726" s="94"/>
      <c r="D726" s="94"/>
      <c r="E726" s="94"/>
      <c r="F726" s="94"/>
      <c r="G726" s="112">
        <f>AU726</f>
      </c>
      <c r="H726" s="113"/>
      <c r="I726" s="94" t="s">
        <v>390</v>
      </c>
      <c r="J726" s="94" t="s">
        <v>328</v>
      </c>
      <c r="K726" s="114">
        <f>P726/3</f>
      </c>
      <c r="L726" s="115">
        <v>2759.0880000000002</v>
      </c>
      <c r="M726" s="116"/>
      <c r="N726" s="117">
        <f>M726-L726</f>
      </c>
      <c r="O726" s="112"/>
      <c r="P726" s="118">
        <f>N726+O726</f>
      </c>
      <c r="Q726" s="94" t="s">
        <v>305</v>
      </c>
      <c r="R726" s="94" t="s">
        <v>63</v>
      </c>
      <c r="S726" s="119">
        <v>46342</v>
      </c>
      <c r="T726" s="119"/>
      <c r="U726" s="119" t="s">
        <v>640</v>
      </c>
      <c r="V726" s="94"/>
      <c r="W726" s="94"/>
      <c r="X726" s="94"/>
      <c r="Y726" s="119">
        <v>46323</v>
      </c>
      <c r="Z726" s="94"/>
      <c r="AA726" s="120"/>
      <c r="AB726" s="120"/>
      <c r="AC726" s="120"/>
      <c r="AD726" s="120"/>
      <c r="AE726" s="120"/>
      <c r="AF726" s="120"/>
      <c r="AG726" s="94"/>
      <c r="AH726" s="120"/>
      <c r="AI726" s="94"/>
      <c r="AJ726" s="94" t="s">
        <v>305</v>
      </c>
      <c r="AK726" s="94" t="s">
        <v>329</v>
      </c>
      <c r="AL726" s="94">
        <v>140</v>
      </c>
      <c r="AM726" s="94" t="str">
        <f>TRIM(AJ726)&amp;TRIM(AL726)&amp;TRIM(AK726)</f>
      </c>
      <c r="AN726" s="116">
        <v>0</v>
      </c>
      <c r="AO726" s="116" t="inlineStr">
        <is>
          <t>#NA</t>
        </is>
      </c>
      <c r="AP726" s="116">
        <f>SUMIFS(M:M,AM:AM,AM726)+SUMIFS(O:O,AM:AM,AM726)</f>
      </c>
      <c r="AQ726" s="116">
        <f>SUMIFS(L:L,AM:AM,AM726)</f>
      </c>
      <c r="AR726" s="116">
        <f>AQ726-AP726</f>
      </c>
      <c r="AS726" s="94" t="str">
        <f>IF(AN726&gt;=AQ726,"ok","ck")</f>
      </c>
      <c r="AT726" s="116">
        <f>-P726</f>
      </c>
      <c r="AU726" s="115">
        <f>IF(SUMIFS(AT:AT,AM:AM,AM726)&gt;AO726,(SUMIFS(AT:AT,AM:AM,AM726)-AO726))</f>
      </c>
      <c r="AV726" s="116">
        <v>0</v>
      </c>
      <c r="AW726" s="121">
        <v>0</v>
      </c>
      <c r="AX726" s="115">
        <f>AN726-AP726</f>
      </c>
    </row>
    <row r="727" spans="1:50" ht="15" customHeight="1" x14ac:dyDescent="0.3">
      <c r="A727" s="94" t="s">
        <v>862</v>
      </c>
      <c r="B727" s="94"/>
      <c r="C727" s="94"/>
      <c r="D727" s="94"/>
      <c r="E727" s="94"/>
      <c r="F727" s="94"/>
      <c r="G727" s="112">
        <f>AU727</f>
      </c>
      <c r="H727" s="113"/>
      <c r="I727" s="94" t="s">
        <v>390</v>
      </c>
      <c r="J727" s="94" t="s">
        <v>267</v>
      </c>
      <c r="K727" s="114">
        <f>P727/3</f>
      </c>
      <c r="L727" s="115">
        <v>1379.4860000000001</v>
      </c>
      <c r="M727" s="116">
        <v>1379.486</v>
      </c>
      <c r="N727" s="117">
        <f>M727-L727</f>
      </c>
      <c r="O727" s="112"/>
      <c r="P727" s="118">
        <f>N727+O727</f>
      </c>
      <c r="Q727" s="94"/>
      <c r="R727" s="94" t="s">
        <v>63</v>
      </c>
      <c r="S727" s="119">
        <v>46330</v>
      </c>
      <c r="T727" s="119"/>
      <c r="U727" s="119" t="s">
        <v>631</v>
      </c>
      <c r="V727" s="94"/>
      <c r="W727" s="94"/>
      <c r="X727" s="94"/>
      <c r="Y727" s="119">
        <v>46336</v>
      </c>
      <c r="Z727" s="94"/>
      <c r="AA727" s="120"/>
      <c r="AB727" s="120"/>
      <c r="AC727" s="120"/>
      <c r="AD727" s="120"/>
      <c r="AE727" s="120"/>
      <c r="AF727" s="120"/>
      <c r="AG727" s="94"/>
      <c r="AH727" s="120"/>
      <c r="AI727" s="94"/>
      <c r="AJ727" s="94"/>
      <c r="AK727" s="94"/>
      <c r="AL727" s="94">
        <v>140</v>
      </c>
      <c r="AM727" s="94" t="str">
        <f>TRIM(AJ727)&amp;TRIM(AL727)&amp;TRIM(AK727)</f>
      </c>
      <c r="AN727" s="116">
        <v>0</v>
      </c>
      <c r="AO727" s="116" t="inlineStr">
        <is>
          <t>#NA</t>
        </is>
      </c>
      <c r="AP727" s="116">
        <f>SUMIFS(M:M,AM:AM,AM727)+SUMIFS(O:O,AM:AM,AM727)</f>
      </c>
      <c r="AQ727" s="116">
        <f>SUMIFS(L:L,AM:AM,AM727)</f>
      </c>
      <c r="AR727" s="116">
        <f>AQ727-AP727</f>
      </c>
      <c r="AS727" s="94" t="str">
        <f>IF(AN727&gt;=AQ727,"ok","ck")</f>
      </c>
      <c r="AT727" s="116">
        <f>-P727</f>
      </c>
      <c r="AU727" s="115">
        <f>IF(SUMIFS(AT:AT,AM:AM,AM727)&gt;AO727,(SUMIFS(AT:AT,AM:AM,AM727)-AO727))</f>
      </c>
      <c r="AV727" s="116" t="e">
        <v>#N/A</v>
      </c>
      <c r="AW727" s="121" t="e">
        <v>#N/A</v>
      </c>
      <c r="AX727" s="115">
        <f>AN727-AP727</f>
      </c>
    </row>
    <row r="728" spans="1:50" ht="15" customHeight="1" x14ac:dyDescent="0.3">
      <c r="A728" s="94" t="s">
        <v>862</v>
      </c>
      <c r="B728" s="94"/>
      <c r="C728" s="94"/>
      <c r="D728" s="94"/>
      <c r="E728" s="94"/>
      <c r="F728" s="94"/>
      <c r="G728" s="112">
        <f>AU728</f>
      </c>
      <c r="H728" s="113"/>
      <c r="I728" s="94" t="s">
        <v>390</v>
      </c>
      <c r="J728" s="94" t="s">
        <v>267</v>
      </c>
      <c r="K728" s="114">
        <f>P728/3</f>
      </c>
      <c r="L728" s="115">
        <v>1379.4860000000001</v>
      </c>
      <c r="M728" s="116">
        <v>212.431</v>
      </c>
      <c r="N728" s="117">
        <f>M728-L728</f>
      </c>
      <c r="O728" s="112"/>
      <c r="P728" s="118">
        <f>N728+O728</f>
      </c>
      <c r="Q728" s="94"/>
      <c r="R728" s="94" t="s">
        <v>63</v>
      </c>
      <c r="S728" s="119">
        <v>46331</v>
      </c>
      <c r="T728" s="119"/>
      <c r="U728" s="119" t="s">
        <v>631</v>
      </c>
      <c r="V728" s="94"/>
      <c r="W728" s="94"/>
      <c r="X728" s="94"/>
      <c r="Y728" s="119">
        <v>46343</v>
      </c>
      <c r="Z728" s="94"/>
      <c r="AA728" s="120"/>
      <c r="AB728" s="120"/>
      <c r="AC728" s="120"/>
      <c r="AD728" s="120"/>
      <c r="AE728" s="120"/>
      <c r="AF728" s="120"/>
      <c r="AG728" s="94"/>
      <c r="AH728" s="120"/>
      <c r="AI728" s="94"/>
      <c r="AJ728" s="94"/>
      <c r="AK728" s="94"/>
      <c r="AL728" s="94">
        <v>140</v>
      </c>
      <c r="AM728" s="94" t="str">
        <f>TRIM(AJ728)&amp;TRIM(AL728)&amp;TRIM(AK728)</f>
      </c>
      <c r="AN728" s="116">
        <v>0</v>
      </c>
      <c r="AO728" s="116" t="inlineStr">
        <is>
          <t>#NA</t>
        </is>
      </c>
      <c r="AP728" s="116">
        <f>SUMIFS(M:M,AM:AM,AM728)+SUMIFS(O:O,AM:AM,AM728)</f>
      </c>
      <c r="AQ728" s="116">
        <f>SUMIFS(L:L,AM:AM,AM728)</f>
      </c>
      <c r="AR728" s="116">
        <f>AQ728-AP728</f>
      </c>
      <c r="AS728" s="94" t="str">
        <f>IF(AN728&gt;=AQ728,"ok","ck")</f>
      </c>
      <c r="AT728" s="116">
        <f>-P728</f>
      </c>
      <c r="AU728" s="115">
        <f>IF(SUMIFS(AT:AT,AM:AM,AM728)&gt;AO728,(SUMIFS(AT:AT,AM:AM,AM728)-AO728))</f>
      </c>
      <c r="AV728" s="116" t="e">
        <v>#N/A</v>
      </c>
      <c r="AW728" s="121" t="e">
        <v>#N/A</v>
      </c>
      <c r="AX728" s="115">
        <f>AN728-AP728</f>
      </c>
    </row>
    <row r="729" spans="1:50" ht="15" customHeight="1" x14ac:dyDescent="0.3">
      <c r="A729" s="94" t="s">
        <v>862</v>
      </c>
      <c r="B729" s="94"/>
      <c r="C729" s="94"/>
      <c r="D729" s="94"/>
      <c r="E729" s="94"/>
      <c r="F729" s="94"/>
      <c r="G729" s="112">
        <f>AU729</f>
      </c>
      <c r="H729" s="113"/>
      <c r="I729" s="94" t="s">
        <v>390</v>
      </c>
      <c r="J729" s="94" t="s">
        <v>281</v>
      </c>
      <c r="K729" s="114">
        <f>P729/3</f>
      </c>
      <c r="L729" s="115">
        <v>1843.529</v>
      </c>
      <c r="M729" s="116"/>
      <c r="N729" s="117">
        <f>M729-L729</f>
      </c>
      <c r="O729" s="112"/>
      <c r="P729" s="118">
        <f>N729+O729</f>
      </c>
      <c r="Q729" s="94"/>
      <c r="R729" s="94" t="s">
        <v>63</v>
      </c>
      <c r="S729" s="119">
        <v>46334</v>
      </c>
      <c r="T729" s="119"/>
      <c r="U729" s="119" t="s">
        <v>632</v>
      </c>
      <c r="V729" s="94"/>
      <c r="W729" s="94"/>
      <c r="X729" s="94"/>
      <c r="Y729" s="119">
        <v>46331</v>
      </c>
      <c r="Z729" s="94"/>
      <c r="AA729" s="120"/>
      <c r="AB729" s="120"/>
      <c r="AC729" s="120"/>
      <c r="AD729" s="120"/>
      <c r="AE729" s="120"/>
      <c r="AF729" s="120"/>
      <c r="AG729" s="94"/>
      <c r="AH729" s="120"/>
      <c r="AI729" s="94"/>
      <c r="AJ729" s="94"/>
      <c r="AK729" s="94"/>
      <c r="AL729" s="94">
        <v>140</v>
      </c>
      <c r="AM729" s="94" t="str">
        <f>TRIM(AJ729)&amp;TRIM(AL729)&amp;TRIM(AK729)</f>
      </c>
      <c r="AN729" s="116">
        <v>0</v>
      </c>
      <c r="AO729" s="116" t="inlineStr">
        <is>
          <t>#NA</t>
        </is>
      </c>
      <c r="AP729" s="116">
        <f>SUMIFS(M:M,AM:AM,AM729)+SUMIFS(O:O,AM:AM,AM729)</f>
      </c>
      <c r="AQ729" s="116">
        <f>SUMIFS(L:L,AM:AM,AM729)</f>
      </c>
      <c r="AR729" s="116">
        <f>AQ729-AP729</f>
      </c>
      <c r="AS729" s="94" t="str">
        <f>IF(AN729&gt;=AQ729,"ok","ck")</f>
      </c>
      <c r="AT729" s="116">
        <f>-P729</f>
      </c>
      <c r="AU729" s="115">
        <f>IF(SUMIFS(AT:AT,AM:AM,AM729)&gt;AO729,(SUMIFS(AT:AT,AM:AM,AM729)-AO729))</f>
      </c>
      <c r="AV729" s="116" t="e">
        <v>#N/A</v>
      </c>
      <c r="AW729" s="121" t="e">
        <v>#N/A</v>
      </c>
      <c r="AX729" s="115">
        <f>AN729-AP729</f>
      </c>
    </row>
    <row r="730" spans="1:50" ht="15" customHeight="1" x14ac:dyDescent="0.3">
      <c r="A730" s="94" t="s">
        <v>862</v>
      </c>
      <c r="B730" s="94"/>
      <c r="C730" s="94"/>
      <c r="D730" s="94"/>
      <c r="E730" s="94"/>
      <c r="F730" s="94"/>
      <c r="G730" s="112">
        <f>AU730</f>
      </c>
      <c r="H730" s="113"/>
      <c r="I730" s="94" t="s">
        <v>390</v>
      </c>
      <c r="J730" s="94" t="s">
        <v>281</v>
      </c>
      <c r="K730" s="114">
        <f>P730/3</f>
      </c>
      <c r="L730" s="115">
        <v>1843.529</v>
      </c>
      <c r="M730" s="116"/>
      <c r="N730" s="117">
        <f>M730-L730</f>
      </c>
      <c r="O730" s="112"/>
      <c r="P730" s="118">
        <f>N730+O730</f>
      </c>
      <c r="Q730" s="94"/>
      <c r="R730" s="94" t="s">
        <v>63</v>
      </c>
      <c r="S730" s="119">
        <v>46335</v>
      </c>
      <c r="T730" s="119"/>
      <c r="U730" s="119" t="s">
        <v>632</v>
      </c>
      <c r="V730" s="94"/>
      <c r="W730" s="94"/>
      <c r="X730" s="94"/>
      <c r="Y730" s="119">
        <v>46338</v>
      </c>
      <c r="Z730" s="94"/>
      <c r="AA730" s="120"/>
      <c r="AB730" s="120"/>
      <c r="AC730" s="120"/>
      <c r="AD730" s="120"/>
      <c r="AE730" s="120"/>
      <c r="AF730" s="120"/>
      <c r="AG730" s="94"/>
      <c r="AH730" s="120"/>
      <c r="AI730" s="94"/>
      <c r="AJ730" s="94"/>
      <c r="AK730" s="94"/>
      <c r="AL730" s="94">
        <v>140</v>
      </c>
      <c r="AM730" s="94" t="str">
        <f>TRIM(AJ730)&amp;TRIM(AL730)&amp;TRIM(AK730)</f>
      </c>
      <c r="AN730" s="116">
        <v>0</v>
      </c>
      <c r="AO730" s="116" t="inlineStr">
        <is>
          <t>#NA</t>
        </is>
      </c>
      <c r="AP730" s="116">
        <f>SUMIFS(M:M,AM:AM,AM730)+SUMIFS(O:O,AM:AM,AM730)</f>
      </c>
      <c r="AQ730" s="116">
        <f>SUMIFS(L:L,AM:AM,AM730)</f>
      </c>
      <c r="AR730" s="116">
        <f>AQ730-AP730</f>
      </c>
      <c r="AS730" s="94" t="str">
        <f>IF(AN730&gt;=AQ730,"ok","ck")</f>
      </c>
      <c r="AT730" s="116">
        <f>-P730</f>
      </c>
      <c r="AU730" s="115">
        <f>IF(SUMIFS(AT:AT,AM:AM,AM730)&gt;AO730,(SUMIFS(AT:AT,AM:AM,AM730)-AO730))</f>
      </c>
      <c r="AV730" s="116" t="e">
        <v>#N/A</v>
      </c>
      <c r="AW730" s="121" t="e">
        <v>#N/A</v>
      </c>
      <c r="AX730" s="115">
        <f>AN730-AP730</f>
      </c>
    </row>
    <row r="731" spans="1:50" ht="15" customHeight="1" x14ac:dyDescent="0.3">
      <c r="A731" s="94" t="s">
        <v>862</v>
      </c>
      <c r="B731" s="94"/>
      <c r="C731" s="94"/>
      <c r="D731" s="94"/>
      <c r="E731" s="94"/>
      <c r="F731" s="94"/>
      <c r="G731" s="112">
        <f>AU731</f>
      </c>
      <c r="H731" s="113"/>
      <c r="I731" s="94" t="s">
        <v>390</v>
      </c>
      <c r="J731" s="94" t="s">
        <v>281</v>
      </c>
      <c r="K731" s="114">
        <f>P731/3</f>
      </c>
      <c r="L731" s="115">
        <v>1843.529</v>
      </c>
      <c r="M731" s="116"/>
      <c r="N731" s="117">
        <f>M731-L731</f>
      </c>
      <c r="O731" s="112"/>
      <c r="P731" s="118">
        <f>N731+O731</f>
      </c>
      <c r="Q731" s="94"/>
      <c r="R731" s="94" t="s">
        <v>63</v>
      </c>
      <c r="S731" s="119">
        <v>46336</v>
      </c>
      <c r="T731" s="119"/>
      <c r="U731" s="119" t="s">
        <v>632</v>
      </c>
      <c r="V731" s="94"/>
      <c r="W731" s="94"/>
      <c r="X731" s="94"/>
      <c r="Y731" s="119">
        <v>46338</v>
      </c>
      <c r="Z731" s="94"/>
      <c r="AA731" s="120"/>
      <c r="AB731" s="120"/>
      <c r="AC731" s="120"/>
      <c r="AD731" s="120"/>
      <c r="AE731" s="120"/>
      <c r="AF731" s="120"/>
      <c r="AG731" s="94"/>
      <c r="AH731" s="120"/>
      <c r="AI731" s="94"/>
      <c r="AJ731" s="94"/>
      <c r="AK731" s="94"/>
      <c r="AL731" s="94">
        <v>140</v>
      </c>
      <c r="AM731" s="94" t="str">
        <f>TRIM(AJ731)&amp;TRIM(AL731)&amp;TRIM(AK731)</f>
      </c>
      <c r="AN731" s="116">
        <v>0</v>
      </c>
      <c r="AO731" s="116" t="inlineStr">
        <is>
          <t>#NA</t>
        </is>
      </c>
      <c r="AP731" s="116">
        <f>SUMIFS(M:M,AM:AM,AM731)+SUMIFS(O:O,AM:AM,AM731)</f>
      </c>
      <c r="AQ731" s="116">
        <f>SUMIFS(L:L,AM:AM,AM731)</f>
      </c>
      <c r="AR731" s="116">
        <f>AQ731-AP731</f>
      </c>
      <c r="AS731" s="94" t="str">
        <f>IF(AN731&gt;=AQ731,"ok","ck")</f>
      </c>
      <c r="AT731" s="116">
        <f>-P731</f>
      </c>
      <c r="AU731" s="115">
        <f>IF(SUMIFS(AT:AT,AM:AM,AM731)&gt;AO731,(SUMIFS(AT:AT,AM:AM,AM731)-AO731))</f>
      </c>
      <c r="AV731" s="116" t="e">
        <v>#N/A</v>
      </c>
      <c r="AW731" s="121" t="e">
        <v>#N/A</v>
      </c>
      <c r="AX731" s="115">
        <f>AN731-AP731</f>
      </c>
    </row>
    <row r="732" spans="1:50" ht="15" customHeight="1" x14ac:dyDescent="0.3">
      <c r="A732" s="94" t="s">
        <v>862</v>
      </c>
      <c r="B732" s="94"/>
      <c r="C732" s="94"/>
      <c r="D732" s="94"/>
      <c r="E732" s="94"/>
      <c r="F732" s="94"/>
      <c r="G732" s="112">
        <f>AU732</f>
      </c>
      <c r="H732" s="113"/>
      <c r="I732" s="94" t="s">
        <v>390</v>
      </c>
      <c r="J732" s="94" t="s">
        <v>281</v>
      </c>
      <c r="K732" s="114">
        <f>P732/3</f>
      </c>
      <c r="L732" s="115">
        <v>1843.529</v>
      </c>
      <c r="M732" s="116"/>
      <c r="N732" s="117">
        <f>M732-L732</f>
      </c>
      <c r="O732" s="112"/>
      <c r="P732" s="118">
        <f>N732+O732</f>
      </c>
      <c r="Q732" s="94"/>
      <c r="R732" s="94" t="s">
        <v>63</v>
      </c>
      <c r="S732" s="119">
        <v>46337</v>
      </c>
      <c r="T732" s="119"/>
      <c r="U732" s="120" t="s">
        <v>632</v>
      </c>
      <c r="V732" s="94"/>
      <c r="W732" s="94"/>
      <c r="X732" s="94"/>
      <c r="Y732" s="119">
        <v>46320</v>
      </c>
      <c r="Z732" s="94"/>
      <c r="AA732" s="120"/>
      <c r="AB732" s="120"/>
      <c r="AC732" s="120"/>
      <c r="AD732" s="120"/>
      <c r="AE732" s="120"/>
      <c r="AF732" s="120"/>
      <c r="AG732" s="94"/>
      <c r="AH732" s="120"/>
      <c r="AI732" s="94"/>
      <c r="AJ732" s="94"/>
      <c r="AK732" s="94"/>
      <c r="AL732" s="94">
        <v>140</v>
      </c>
      <c r="AM732" s="94" t="str">
        <f>TRIM(AJ732)&amp;TRIM(AL732)&amp;TRIM(AK732)</f>
      </c>
      <c r="AN732" s="116">
        <v>0</v>
      </c>
      <c r="AO732" s="116" t="inlineStr">
        <is>
          <t>#NA</t>
        </is>
      </c>
      <c r="AP732" s="116">
        <f>SUMIFS(M:M,AM:AM,AM732)+SUMIFS(O:O,AM:AM,AM732)</f>
      </c>
      <c r="AQ732" s="116">
        <f>SUMIFS(L:L,AM:AM,AM732)</f>
      </c>
      <c r="AR732" s="116">
        <f>AQ732-AP732</f>
      </c>
      <c r="AS732" s="94" t="str">
        <f>IF(AN732&gt;=AQ732,"ok","ck")</f>
      </c>
      <c r="AT732" s="116">
        <f>-P732</f>
      </c>
      <c r="AU732" s="115">
        <f>IF(SUMIFS(AT:AT,AM:AM,AM732)&gt;AO732,(SUMIFS(AT:AT,AM:AM,AM732)-AO732))</f>
      </c>
      <c r="AV732" s="116" t="e">
        <v>#N/A</v>
      </c>
      <c r="AW732" s="121" t="e">
        <v>#N/A</v>
      </c>
      <c r="AX732" s="115">
        <f>AN732-AP732</f>
      </c>
    </row>
    <row r="733" spans="1:50" ht="15" customHeight="1" x14ac:dyDescent="0.3">
      <c r="A733" s="94" t="s">
        <v>862</v>
      </c>
      <c r="B733" s="94"/>
      <c r="C733" s="94"/>
      <c r="D733" s="94"/>
      <c r="E733" s="94"/>
      <c r="F733" s="94"/>
      <c r="G733" s="112">
        <f>AU733</f>
      </c>
      <c r="H733" s="113"/>
      <c r="I733" s="94" t="s">
        <v>390</v>
      </c>
      <c r="J733" s="94" t="s">
        <v>281</v>
      </c>
      <c r="K733" s="114">
        <f>P733/3</f>
      </c>
      <c r="L733" s="115">
        <v>1843.529</v>
      </c>
      <c r="M733" s="116"/>
      <c r="N733" s="117">
        <f>M733-L733</f>
      </c>
      <c r="O733" s="112"/>
      <c r="P733" s="118">
        <f>N733+O733</f>
      </c>
      <c r="Q733" s="94"/>
      <c r="R733" s="94" t="s">
        <v>63</v>
      </c>
      <c r="S733" s="119">
        <v>46338</v>
      </c>
      <c r="T733" s="119"/>
      <c r="U733" s="120" t="s">
        <v>632</v>
      </c>
      <c r="V733" s="94"/>
      <c r="W733" s="94"/>
      <c r="X733" s="94"/>
      <c r="Y733" s="119">
        <v>46320</v>
      </c>
      <c r="Z733" s="94"/>
      <c r="AA733" s="120"/>
      <c r="AB733" s="120"/>
      <c r="AC733" s="120"/>
      <c r="AD733" s="120"/>
      <c r="AE733" s="120"/>
      <c r="AF733" s="120"/>
      <c r="AG733" s="94"/>
      <c r="AH733" s="120"/>
      <c r="AI733" s="94"/>
      <c r="AJ733" s="94"/>
      <c r="AK733" s="94"/>
      <c r="AL733" s="94">
        <v>140</v>
      </c>
      <c r="AM733" s="94" t="str">
        <f>TRIM(AJ733)&amp;TRIM(AL733)&amp;TRIM(AK733)</f>
      </c>
      <c r="AN733" s="116">
        <v>0</v>
      </c>
      <c r="AO733" s="116" t="inlineStr">
        <is>
          <t>#NA</t>
        </is>
      </c>
      <c r="AP733" s="116">
        <f>SUMIFS(M:M,AM:AM,AM733)+SUMIFS(O:O,AM:AM,AM733)</f>
      </c>
      <c r="AQ733" s="116">
        <f>SUMIFS(L:L,AM:AM,AM733)</f>
      </c>
      <c r="AR733" s="116">
        <f>AQ733-AP733</f>
      </c>
      <c r="AS733" s="94" t="str">
        <f>IF(AN733&gt;=AQ733,"ok","ck")</f>
      </c>
      <c r="AT733" s="116">
        <f>-P733</f>
      </c>
      <c r="AU733" s="115">
        <f>IF(SUMIFS(AT:AT,AM:AM,AM733)&gt;AO733,(SUMIFS(AT:AT,AM:AM,AM733)-AO733))</f>
      </c>
      <c r="AV733" s="116" t="e">
        <v>#N/A</v>
      </c>
      <c r="AW733" s="121" t="e">
        <v>#N/A</v>
      </c>
      <c r="AX733" s="115">
        <f>AN733-AP733</f>
      </c>
    </row>
    <row r="734" spans="1:50" ht="15" customHeight="1" x14ac:dyDescent="0.3">
      <c r="A734" s="94" t="s">
        <v>862</v>
      </c>
      <c r="B734" s="94"/>
      <c r="C734" s="94"/>
      <c r="D734" s="94"/>
      <c r="E734" s="94"/>
      <c r="F734" s="94"/>
      <c r="G734" s="112">
        <f>AU734</f>
      </c>
      <c r="H734" s="113"/>
      <c r="I734" s="94" t="s">
        <v>390</v>
      </c>
      <c r="J734" s="94" t="s">
        <v>281</v>
      </c>
      <c r="K734" s="114">
        <f>P734/3</f>
      </c>
      <c r="L734" s="115">
        <v>1843.529</v>
      </c>
      <c r="M734" s="116"/>
      <c r="N734" s="117">
        <f>M734-L734</f>
      </c>
      <c r="O734" s="112"/>
      <c r="P734" s="118">
        <f>N734+O734</f>
      </c>
      <c r="Q734" s="94"/>
      <c r="R734" s="94" t="s">
        <v>63</v>
      </c>
      <c r="S734" s="119">
        <v>46339</v>
      </c>
      <c r="T734" s="119"/>
      <c r="U734" s="120" t="s">
        <v>632</v>
      </c>
      <c r="V734" s="94"/>
      <c r="W734" s="94"/>
      <c r="X734" s="94"/>
      <c r="Y734" s="119">
        <v>46328</v>
      </c>
      <c r="Z734" s="94"/>
      <c r="AA734" s="120"/>
      <c r="AB734" s="120"/>
      <c r="AC734" s="120"/>
      <c r="AD734" s="120"/>
      <c r="AE734" s="120"/>
      <c r="AF734" s="120"/>
      <c r="AG734" s="94"/>
      <c r="AH734" s="120"/>
      <c r="AI734" s="94"/>
      <c r="AJ734" s="94"/>
      <c r="AK734" s="94"/>
      <c r="AL734" s="94">
        <v>140</v>
      </c>
      <c r="AM734" s="94" t="str">
        <f>TRIM(AJ734)&amp;TRIM(AL734)&amp;TRIM(AK734)</f>
      </c>
      <c r="AN734" s="116">
        <v>0</v>
      </c>
      <c r="AO734" s="116" t="inlineStr">
        <is>
          <t>#NA</t>
        </is>
      </c>
      <c r="AP734" s="116">
        <f>SUMIFS(M:M,AM:AM,AM734)+SUMIFS(O:O,AM:AM,AM734)</f>
      </c>
      <c r="AQ734" s="116">
        <f>SUMIFS(L:L,AM:AM,AM734)</f>
      </c>
      <c r="AR734" s="116">
        <f>AQ734-AP734</f>
      </c>
      <c r="AS734" s="94" t="str">
        <f>IF(AN734&gt;=AQ734,"ok","ck")</f>
      </c>
      <c r="AT734" s="116">
        <f>-P734</f>
      </c>
      <c r="AU734" s="115">
        <f>IF(SUMIFS(AT:AT,AM:AM,AM734)&gt;AO734,(SUMIFS(AT:AT,AM:AM,AM734)-AO734))</f>
      </c>
      <c r="AV734" s="116" t="e">
        <v>#N/A</v>
      </c>
      <c r="AW734" s="121" t="e">
        <v>#N/A</v>
      </c>
      <c r="AX734" s="115">
        <f>AN734-AP734</f>
      </c>
    </row>
    <row r="735" spans="1:50" ht="15" customHeight="1" x14ac:dyDescent="0.3">
      <c r="A735" s="94" t="s">
        <v>862</v>
      </c>
      <c r="B735" s="94"/>
      <c r="C735" s="94"/>
      <c r="D735" s="94"/>
      <c r="E735" s="94"/>
      <c r="F735" s="94"/>
      <c r="G735" s="112">
        <f>AU735</f>
      </c>
      <c r="H735" s="113"/>
      <c r="I735" s="94" t="s">
        <v>278</v>
      </c>
      <c r="J735" s="94" t="s">
        <v>267</v>
      </c>
      <c r="K735" s="114">
        <f>P735/3</f>
      </c>
      <c r="L735" s="115">
        <v>120.514</v>
      </c>
      <c r="M735" s="116">
        <v>56.694</v>
      </c>
      <c r="N735" s="117">
        <f>M735-L735</f>
      </c>
      <c r="O735" s="112"/>
      <c r="P735" s="118">
        <f>N735+O735</f>
      </c>
      <c r="Q735" s="94"/>
      <c r="R735" s="94" t="s">
        <v>63</v>
      </c>
      <c r="S735" s="119">
        <v>46331</v>
      </c>
      <c r="T735" s="119"/>
      <c r="U735" s="120" t="s">
        <v>631</v>
      </c>
      <c r="V735" s="94"/>
      <c r="W735" s="94"/>
      <c r="X735" s="94"/>
      <c r="Y735" s="119">
        <v>46329</v>
      </c>
      <c r="Z735" s="94"/>
      <c r="AA735" s="120"/>
      <c r="AB735" s="120"/>
      <c r="AC735" s="120"/>
      <c r="AD735" s="120"/>
      <c r="AE735" s="120"/>
      <c r="AF735" s="120"/>
      <c r="AG735" s="94"/>
      <c r="AH735" s="120"/>
      <c r="AI735" s="94"/>
      <c r="AJ735" s="94"/>
      <c r="AK735" s="94"/>
      <c r="AL735" s="94">
        <v>120</v>
      </c>
      <c r="AM735" s="94" t="str">
        <f>TRIM(AJ735)&amp;TRIM(AL735)&amp;TRIM(AK735)</f>
      </c>
      <c r="AN735" s="116">
        <v>0</v>
      </c>
      <c r="AO735" s="116" t="inlineStr">
        <is>
          <t>#NA</t>
        </is>
      </c>
      <c r="AP735" s="116">
        <f>SUMIFS(M:M,AM:AM,AM735)+SUMIFS(O:O,AM:AM,AM735)</f>
      </c>
      <c r="AQ735" s="116">
        <f>SUMIFS(L:L,AM:AM,AM735)</f>
      </c>
      <c r="AR735" s="116">
        <f>AQ735-AP735</f>
      </c>
      <c r="AS735" s="94" t="str">
        <f>IF(AN735&gt;=AQ735,"ok","ck")</f>
      </c>
      <c r="AT735" s="116">
        <f>-P735</f>
      </c>
      <c r="AU735" s="115">
        <f>IF(SUMIFS(AT:AT,AM:AM,AM735)&gt;AO735,(SUMIFS(AT:AT,AM:AM,AM735)-AO735))</f>
      </c>
      <c r="AV735" s="116" t="e">
        <v>#N/A</v>
      </c>
      <c r="AW735" s="121" t="e">
        <v>#N/A</v>
      </c>
      <c r="AX735" s="115">
        <f>AN735-AP735</f>
      </c>
    </row>
    <row r="736" spans="1:50" ht="15" customHeight="1" x14ac:dyDescent="0.3">
      <c r="A736" s="94" t="s">
        <v>862</v>
      </c>
      <c r="B736" s="94"/>
      <c r="C736" s="94"/>
      <c r="D736" s="94"/>
      <c r="E736" s="94"/>
      <c r="F736" s="94"/>
      <c r="G736" s="112">
        <f>AU736</f>
      </c>
      <c r="H736" s="113"/>
      <c r="I736" s="94" t="s">
        <v>278</v>
      </c>
      <c r="J736" s="94" t="s">
        <v>267</v>
      </c>
      <c r="K736" s="114">
        <f>P736/3</f>
      </c>
      <c r="L736" s="115">
        <v>120.514</v>
      </c>
      <c r="M736" s="116"/>
      <c r="N736" s="117">
        <f>M736-L736</f>
      </c>
      <c r="O736" s="112"/>
      <c r="P736" s="118">
        <f>N736+O736</f>
      </c>
      <c r="Q736" s="94"/>
      <c r="R736" s="94" t="s">
        <v>63</v>
      </c>
      <c r="S736" s="119">
        <v>46332</v>
      </c>
      <c r="T736" s="119"/>
      <c r="U736" s="120" t="s">
        <v>631</v>
      </c>
      <c r="V736" s="94"/>
      <c r="W736" s="94"/>
      <c r="X736" s="94"/>
      <c r="Y736" s="119">
        <v>46336</v>
      </c>
      <c r="Z736" s="94"/>
      <c r="AA736" s="120"/>
      <c r="AB736" s="120"/>
      <c r="AC736" s="120"/>
      <c r="AD736" s="120"/>
      <c r="AE736" s="120"/>
      <c r="AF736" s="120"/>
      <c r="AG736" s="94"/>
      <c r="AH736" s="120"/>
      <c r="AI736" s="94"/>
      <c r="AJ736" s="94"/>
      <c r="AK736" s="94"/>
      <c r="AL736" s="94">
        <v>120</v>
      </c>
      <c r="AM736" s="94" t="str">
        <f>TRIM(AJ736)&amp;TRIM(AL736)&amp;TRIM(AK736)</f>
      </c>
      <c r="AN736" s="116">
        <v>0</v>
      </c>
      <c r="AO736" s="116" t="inlineStr">
        <is>
          <t>#NA</t>
        </is>
      </c>
      <c r="AP736" s="116">
        <f>SUMIFS(M:M,AM:AM,AM736)+SUMIFS(O:O,AM:AM,AM736)</f>
      </c>
      <c r="AQ736" s="116">
        <f>SUMIFS(L:L,AM:AM,AM736)</f>
      </c>
      <c r="AR736" s="116">
        <f>AQ736-AP736</f>
      </c>
      <c r="AS736" s="94" t="str">
        <f>IF(AN736&gt;=AQ736,"ok","ck")</f>
      </c>
      <c r="AT736" s="116">
        <f>-P736</f>
      </c>
      <c r="AU736" s="115">
        <f>IF(SUMIFS(AT:AT,AM:AM,AM736)&gt;AO736,(SUMIFS(AT:AT,AM:AM,AM736)-AO736))</f>
      </c>
      <c r="AV736" s="116" t="e">
        <v>#N/A</v>
      </c>
      <c r="AW736" s="121" t="e">
        <v>#N/A</v>
      </c>
      <c r="AX736" s="115">
        <f>AN736-AP736</f>
      </c>
    </row>
    <row r="737" spans="1:50" ht="15" customHeight="1" x14ac:dyDescent="0.3">
      <c r="A737" s="94" t="s">
        <v>862</v>
      </c>
      <c r="B737" s="94"/>
      <c r="C737" s="94"/>
      <c r="D737" s="94"/>
      <c r="E737" s="94"/>
      <c r="F737" s="94"/>
      <c r="G737" s="112">
        <f>AU737</f>
      </c>
      <c r="H737" s="113"/>
      <c r="I737" s="94" t="s">
        <v>278</v>
      </c>
      <c r="J737" s="94" t="s">
        <v>267</v>
      </c>
      <c r="K737" s="114">
        <f>P737/3</f>
      </c>
      <c r="L737" s="115">
        <v>120.514</v>
      </c>
      <c r="M737" s="116"/>
      <c r="N737" s="117">
        <f>M737-L737</f>
      </c>
      <c r="O737" s="112"/>
      <c r="P737" s="118">
        <f>N737+O737</f>
      </c>
      <c r="Q737" s="94"/>
      <c r="R737" s="94" t="s">
        <v>63</v>
      </c>
      <c r="S737" s="119">
        <v>46333</v>
      </c>
      <c r="T737" s="119"/>
      <c r="U737" s="120" t="s">
        <v>631</v>
      </c>
      <c r="V737" s="94"/>
      <c r="W737" s="94"/>
      <c r="X737" s="94"/>
      <c r="Y737" s="119">
        <v>46336</v>
      </c>
      <c r="Z737" s="94"/>
      <c r="AA737" s="120"/>
      <c r="AB737" s="120"/>
      <c r="AC737" s="120"/>
      <c r="AD737" s="120"/>
      <c r="AE737" s="120"/>
      <c r="AF737" s="120"/>
      <c r="AG737" s="94"/>
      <c r="AH737" s="120"/>
      <c r="AI737" s="94"/>
      <c r="AJ737" s="94"/>
      <c r="AK737" s="94"/>
      <c r="AL737" s="94">
        <v>120</v>
      </c>
      <c r="AM737" s="94" t="str">
        <f>TRIM(AJ737)&amp;TRIM(AL737)&amp;TRIM(AK737)</f>
      </c>
      <c r="AN737" s="116">
        <v>0</v>
      </c>
      <c r="AO737" s="116" t="inlineStr">
        <is>
          <t>#NA</t>
        </is>
      </c>
      <c r="AP737" s="116">
        <f>SUMIFS(M:M,AM:AM,AM737)+SUMIFS(O:O,AM:AM,AM737)</f>
      </c>
      <c r="AQ737" s="116">
        <f>SUMIFS(L:L,AM:AM,AM737)</f>
      </c>
      <c r="AR737" s="116">
        <f>AQ737-AP737</f>
      </c>
      <c r="AS737" s="94" t="str">
        <f>IF(AN737&gt;=AQ737,"ok","ck")</f>
      </c>
      <c r="AT737" s="116">
        <f>-P737</f>
      </c>
      <c r="AU737" s="115">
        <f>IF(SUMIFS(AT:AT,AM:AM,AM737)&gt;AO737,(SUMIFS(AT:AT,AM:AM,AM737)-AO737))</f>
      </c>
      <c r="AV737" s="116" t="e">
        <v>#N/A</v>
      </c>
      <c r="AW737" s="121" t="e">
        <v>#N/A</v>
      </c>
      <c r="AX737" s="115">
        <f>AN737-AP737</f>
      </c>
    </row>
    <row r="738" spans="1:50" ht="15" customHeight="1" x14ac:dyDescent="0.3">
      <c r="A738" s="94" t="s">
        <v>862</v>
      </c>
      <c r="B738" s="94"/>
      <c r="C738" s="94"/>
      <c r="D738" s="94"/>
      <c r="E738" s="94"/>
      <c r="F738" s="94"/>
      <c r="G738" s="112">
        <f>AU738</f>
      </c>
      <c r="H738" s="113"/>
      <c r="I738" s="94" t="s">
        <v>278</v>
      </c>
      <c r="J738" s="94" t="s">
        <v>267</v>
      </c>
      <c r="K738" s="114">
        <f>P738/3</f>
      </c>
      <c r="L738" s="115">
        <v>120.514</v>
      </c>
      <c r="M738" s="116"/>
      <c r="N738" s="117">
        <f>M738-L738</f>
      </c>
      <c r="O738" s="112"/>
      <c r="P738" s="118">
        <f>N738+O738</f>
      </c>
      <c r="Q738" s="94"/>
      <c r="R738" s="94" t="s">
        <v>63</v>
      </c>
      <c r="S738" s="119">
        <v>46334</v>
      </c>
      <c r="T738" s="119"/>
      <c r="U738" s="120" t="s">
        <v>631</v>
      </c>
      <c r="V738" s="94"/>
      <c r="W738" s="94"/>
      <c r="X738" s="94"/>
      <c r="Y738" s="119">
        <v>46320</v>
      </c>
      <c r="Z738" s="94"/>
      <c r="AA738" s="120"/>
      <c r="AB738" s="120"/>
      <c r="AC738" s="120"/>
      <c r="AD738" s="120"/>
      <c r="AE738" s="120"/>
      <c r="AF738" s="120"/>
      <c r="AG738" s="94"/>
      <c r="AH738" s="120"/>
      <c r="AI738" s="94"/>
      <c r="AJ738" s="94"/>
      <c r="AK738" s="94"/>
      <c r="AL738" s="94">
        <v>120</v>
      </c>
      <c r="AM738" s="94" t="str">
        <f>TRIM(AJ738)&amp;TRIM(AL738)&amp;TRIM(AK738)</f>
      </c>
      <c r="AN738" s="116">
        <v>0</v>
      </c>
      <c r="AO738" s="116" t="inlineStr">
        <is>
          <t>#NA</t>
        </is>
      </c>
      <c r="AP738" s="116">
        <f>SUMIFS(M:M,AM:AM,AM738)+SUMIFS(O:O,AM:AM,AM738)</f>
      </c>
      <c r="AQ738" s="116">
        <f>SUMIFS(L:L,AM:AM,AM738)</f>
      </c>
      <c r="AR738" s="116">
        <f>AQ738-AP738</f>
      </c>
      <c r="AS738" s="94" t="str">
        <f>IF(AN738&gt;=AQ738,"ok","ck")</f>
      </c>
      <c r="AT738" s="116">
        <f>-P738</f>
      </c>
      <c r="AU738" s="115">
        <f>IF(SUMIFS(AT:AT,AM:AM,AM738)&gt;AO738,(SUMIFS(AT:AT,AM:AM,AM738)-AO738))</f>
      </c>
      <c r="AV738" s="116" t="e">
        <v>#N/A</v>
      </c>
      <c r="AW738" s="121" t="e">
        <v>#N/A</v>
      </c>
      <c r="AX738" s="115">
        <f>AN738-AP738</f>
      </c>
    </row>
    <row r="739" spans="1:50" ht="15" customHeight="1" x14ac:dyDescent="0.3">
      <c r="A739" s="94" t="s">
        <v>862</v>
      </c>
      <c r="B739" s="94"/>
      <c r="C739" s="94"/>
      <c r="D739" s="94"/>
      <c r="E739" s="94"/>
      <c r="F739" s="94"/>
      <c r="G739" s="112">
        <f>AU739</f>
      </c>
      <c r="H739" s="113"/>
      <c r="I739" s="94" t="s">
        <v>278</v>
      </c>
      <c r="J739" s="94" t="s">
        <v>267</v>
      </c>
      <c r="K739" s="114">
        <f>P739/3</f>
      </c>
      <c r="L739" s="115">
        <v>120.514</v>
      </c>
      <c r="M739" s="116"/>
      <c r="N739" s="117">
        <f>M739-L739</f>
      </c>
      <c r="O739" s="112"/>
      <c r="P739" s="118">
        <f>N739+O739</f>
      </c>
      <c r="Q739" s="94"/>
      <c r="R739" s="94" t="s">
        <v>63</v>
      </c>
      <c r="S739" s="119">
        <v>46335</v>
      </c>
      <c r="T739" s="119"/>
      <c r="U739" s="120" t="s">
        <v>631</v>
      </c>
      <c r="V739" s="94"/>
      <c r="W739" s="94"/>
      <c r="X739" s="94"/>
      <c r="Y739" s="119">
        <v>46320</v>
      </c>
      <c r="Z739" s="94"/>
      <c r="AA739" s="120"/>
      <c r="AB739" s="120"/>
      <c r="AC739" s="120"/>
      <c r="AD739" s="120"/>
      <c r="AE739" s="120"/>
      <c r="AF739" s="120"/>
      <c r="AG739" s="94"/>
      <c r="AH739" s="120"/>
      <c r="AI739" s="94"/>
      <c r="AJ739" s="94"/>
      <c r="AK739" s="94"/>
      <c r="AL739" s="94">
        <v>120</v>
      </c>
      <c r="AM739" s="94" t="str">
        <f>TRIM(AJ739)&amp;TRIM(AL739)&amp;TRIM(AK739)</f>
      </c>
      <c r="AN739" s="116">
        <v>0</v>
      </c>
      <c r="AO739" s="116" t="inlineStr">
        <is>
          <t>#NA</t>
        </is>
      </c>
      <c r="AP739" s="116">
        <f>SUMIFS(M:M,AM:AM,AM739)+SUMIFS(O:O,AM:AM,AM739)</f>
      </c>
      <c r="AQ739" s="116">
        <f>SUMIFS(L:L,AM:AM,AM739)</f>
      </c>
      <c r="AR739" s="116">
        <f>AQ739-AP739</f>
      </c>
      <c r="AS739" s="94" t="str">
        <f>IF(AN739&gt;=AQ739,"ok","ck")</f>
      </c>
      <c r="AT739" s="116">
        <f>-P739</f>
      </c>
      <c r="AU739" s="115">
        <f>IF(SUMIFS(AT:AT,AM:AM,AM739)&gt;AO739,(SUMIFS(AT:AT,AM:AM,AM739)-AO739))</f>
      </c>
      <c r="AV739" s="116" t="e">
        <v>#N/A</v>
      </c>
      <c r="AW739" s="121" t="e">
        <v>#N/A</v>
      </c>
      <c r="AX739" s="115">
        <f>AN739-AP739</f>
      </c>
    </row>
    <row r="740" spans="1:50" ht="15" hidden="1" customHeight="1" x14ac:dyDescent="0.3">
      <c r="A740" s="94" t="s">
        <v>268</v>
      </c>
      <c r="B740" s="94"/>
      <c r="C740" s="94"/>
      <c r="D740" s="94"/>
      <c r="E740" s="94"/>
      <c r="F740" s="94"/>
      <c r="G740" s="112">
        <f>AU740</f>
      </c>
      <c r="H740" s="113"/>
      <c r="I740" s="94" t="s">
        <v>278</v>
      </c>
      <c r="J740" s="94" t="s">
        <v>273</v>
      </c>
      <c r="K740" s="114">
        <f>P740/3</f>
      </c>
      <c r="L740" s="115">
        <v>11.481</v>
      </c>
      <c r="M740" s="116"/>
      <c r="N740" s="117">
        <f>M740-L740</f>
      </c>
      <c r="O740" s="112"/>
      <c r="P740" s="118">
        <f>N740+O740</f>
      </c>
      <c r="Q740" s="94" t="s">
        <v>287</v>
      </c>
      <c r="R740" s="94" t="s">
        <v>63</v>
      </c>
      <c r="S740" s="119">
        <v>46330</v>
      </c>
      <c r="T740" s="119"/>
      <c r="U740" s="120">
        <v>46330</v>
      </c>
      <c r="V740" s="94"/>
      <c r="W740" s="94"/>
      <c r="X740" s="94"/>
      <c r="Y740" s="119">
        <v>46320</v>
      </c>
      <c r="Z740" s="94"/>
      <c r="AA740" s="120"/>
      <c r="AB740" s="120"/>
      <c r="AC740" s="120"/>
      <c r="AD740" s="120"/>
      <c r="AE740" s="120"/>
      <c r="AF740" s="120"/>
      <c r="AG740" s="94"/>
      <c r="AH740" s="120"/>
      <c r="AI740" s="94"/>
      <c r="AJ740" s="94" t="s">
        <v>287</v>
      </c>
      <c r="AK740" s="94" t="s">
        <v>274</v>
      </c>
      <c r="AL740" s="94">
        <v>120</v>
      </c>
      <c r="AM740" s="94" t="str">
        <f>TRIM(AJ740)&amp;TRIM(AL740)&amp;TRIM(AK740)</f>
      </c>
      <c r="AN740" s="116">
        <v>569.91</v>
      </c>
      <c r="AO740" s="116">
        <v>70.32</v>
      </c>
      <c r="AP740" s="116">
        <f>SUMIFS(M:M,AM:AM,AM740)+SUMIFS(O:O,AM:AM,AM740)</f>
      </c>
      <c r="AQ740" s="116">
        <f>SUMIFS(L:L,AM:AM,AM740)</f>
      </c>
      <c r="AR740" s="116">
        <f>AQ740-AP740</f>
      </c>
      <c r="AS740" s="94" t="str">
        <f>IF(AN740&gt;=AQ740,"ok","ck")</f>
      </c>
      <c r="AT740" s="116">
        <f>-P740</f>
      </c>
      <c r="AU740" s="115">
        <f>IF(SUMIFS(AT:AT,AM:AM,AM740)&gt;AO740,(SUMIFS(AT:AT,AM:AM,AM740)-AO740))</f>
      </c>
      <c r="AV740" s="116">
        <v>569.91</v>
      </c>
      <c r="AW740" s="121">
        <v>0.89</v>
      </c>
      <c r="AX740" s="115">
        <f>AN740-AP740</f>
      </c>
    </row>
    <row r="741" spans="1:50" ht="15" hidden="1" customHeight="1" x14ac:dyDescent="0.3">
      <c r="A741" s="94" t="s">
        <v>60</v>
      </c>
      <c r="B741" s="94"/>
      <c r="C741" s="94"/>
      <c r="D741" s="94"/>
      <c r="E741" s="94"/>
      <c r="F741" s="94"/>
      <c r="G741" s="112">
        <f>AU741</f>
      </c>
      <c r="H741" s="113"/>
      <c r="I741" s="94" t="s">
        <v>487</v>
      </c>
      <c r="J741" s="94" t="s">
        <v>553</v>
      </c>
      <c r="K741" s="114">
        <f>P741/3</f>
      </c>
      <c r="L741" s="115">
        <v>-6.83</v>
      </c>
      <c r="M741" s="116">
        <f>L741</f>
      </c>
      <c r="N741" s="117">
        <f>M741-L741</f>
      </c>
      <c r="O741" s="112"/>
      <c r="P741" s="118">
        <f>N741+O741</f>
      </c>
      <c r="Q741" s="94" t="s">
        <v>810</v>
      </c>
      <c r="R741" s="94" t="s">
        <v>63</v>
      </c>
      <c r="S741" s="119">
        <v>46341</v>
      </c>
      <c r="T741" s="119"/>
      <c r="U741" s="120">
        <v>46341</v>
      </c>
      <c r="V741" s="94"/>
      <c r="W741" s="94"/>
      <c r="X741" s="94"/>
      <c r="Y741" s="119">
        <v>46341</v>
      </c>
      <c r="Z741" s="94"/>
      <c r="AA741" s="120"/>
      <c r="AB741" s="120"/>
      <c r="AC741" s="120"/>
      <c r="AD741" s="120"/>
      <c r="AE741" s="120"/>
      <c r="AF741" s="120"/>
      <c r="AG741" s="94"/>
      <c r="AH741" s="120"/>
      <c r="AI741" s="94"/>
      <c r="AJ741" s="94" t="s">
        <v>810</v>
      </c>
      <c r="AK741" s="94" t="s">
        <v>728</v>
      </c>
      <c r="AL741" s="94">
        <v>160</v>
      </c>
      <c r="AM741" s="94" t="str">
        <f>TRIM(AJ741)&amp;TRIM(AL741)&amp;TRIM(AK741)</f>
      </c>
      <c r="AN741" s="116">
        <v>856</v>
      </c>
      <c r="AO741" s="116">
        <v>-16</v>
      </c>
      <c r="AP741" s="116">
        <f>SUMIFS(M:M,AM:AM,AM741)+SUMIFS(O:O,AM:AM,AM741)</f>
      </c>
      <c r="AQ741" s="116">
        <f>SUMIFS(L:L,AM:AM,AM741)</f>
      </c>
      <c r="AR741" s="116">
        <f>AQ741-AP741</f>
      </c>
      <c r="AS741" s="94" t="str">
        <f>IF(AN741&gt;=AQ741,"ok","ck")</f>
      </c>
      <c r="AT741" s="116">
        <f>-P741</f>
      </c>
      <c r="AU741" s="115">
        <f>IF(SUMIFS(AT:AT,AM:AM,AM741)&gt;AO741,(SUMIFS(AT:AT,AM:AM,AM741)-AO741))</f>
      </c>
      <c r="AV741" s="116">
        <v>856</v>
      </c>
      <c r="AW741" s="121">
        <v>1.019</v>
      </c>
      <c r="AX741" s="115">
        <f>AN741-AP741</f>
      </c>
    </row>
    <row r="742" spans="1:50" ht="15" hidden="1" customHeight="1" x14ac:dyDescent="0.3">
      <c r="A742" s="94" t="s">
        <v>60</v>
      </c>
      <c r="B742" s="94"/>
      <c r="C742" s="94"/>
      <c r="D742" s="94"/>
      <c r="E742" s="94"/>
      <c r="F742" s="94"/>
      <c r="G742" s="112">
        <f>AU742</f>
      </c>
      <c r="H742" s="113"/>
      <c r="I742" s="94" t="s">
        <v>487</v>
      </c>
      <c r="J742" s="94" t="s">
        <v>553</v>
      </c>
      <c r="K742" s="114">
        <f>P742/3</f>
      </c>
      <c r="L742" s="115">
        <v>-1.9850000000000001</v>
      </c>
      <c r="M742" s="116">
        <f>L742</f>
      </c>
      <c r="N742" s="117">
        <f>M742-L742</f>
      </c>
      <c r="O742" s="112"/>
      <c r="P742" s="118">
        <f>N742+O742</f>
      </c>
      <c r="Q742" s="94" t="s">
        <v>810</v>
      </c>
      <c r="R742" s="94" t="s">
        <v>63</v>
      </c>
      <c r="S742" s="119">
        <v>46345</v>
      </c>
      <c r="T742" s="119"/>
      <c r="U742" s="120">
        <v>46345</v>
      </c>
      <c r="V742" s="94"/>
      <c r="W742" s="94"/>
      <c r="X742" s="94"/>
      <c r="Y742" s="119">
        <v>46345</v>
      </c>
      <c r="Z742" s="94"/>
      <c r="AA742" s="120"/>
      <c r="AB742" s="120"/>
      <c r="AC742" s="120"/>
      <c r="AD742" s="120"/>
      <c r="AE742" s="120"/>
      <c r="AF742" s="120"/>
      <c r="AG742" s="94"/>
      <c r="AH742" s="120"/>
      <c r="AI742" s="94"/>
      <c r="AJ742" s="94" t="s">
        <v>810</v>
      </c>
      <c r="AK742" s="94" t="s">
        <v>728</v>
      </c>
      <c r="AL742" s="94">
        <v>160</v>
      </c>
      <c r="AM742" s="94" t="str">
        <f>TRIM(AJ742)&amp;TRIM(AL742)&amp;TRIM(AK742)</f>
      </c>
      <c r="AN742" s="116">
        <v>856</v>
      </c>
      <c r="AO742" s="116">
        <v>-16</v>
      </c>
      <c r="AP742" s="116">
        <f>SUMIFS(M:M,AM:AM,AM742)+SUMIFS(O:O,AM:AM,AM742)</f>
      </c>
      <c r="AQ742" s="116">
        <f>SUMIFS(L:L,AM:AM,AM742)</f>
      </c>
      <c r="AR742" s="116">
        <f>AQ742-AP742</f>
      </c>
      <c r="AS742" s="94" t="str">
        <f>IF(AN742&gt;=AQ742,"ok","ck")</f>
      </c>
      <c r="AT742" s="116">
        <f>-P742</f>
      </c>
      <c r="AU742" s="115">
        <f>IF(SUMIFS(AT:AT,AM:AM,AM742)&gt;AO742,(SUMIFS(AT:AT,AM:AM,AM742)-AO742))</f>
      </c>
      <c r="AV742" s="116">
        <v>856</v>
      </c>
      <c r="AW742" s="121">
        <v>1.019</v>
      </c>
      <c r="AX742" s="115">
        <f>AN742-AP742</f>
      </c>
    </row>
    <row r="743" spans="1:50" ht="15" hidden="1" customHeight="1" x14ac:dyDescent="0.3">
      <c r="A743" s="94" t="s">
        <v>60</v>
      </c>
      <c r="B743" s="94"/>
      <c r="C743" s="94"/>
      <c r="D743" s="94"/>
      <c r="E743" s="94"/>
      <c r="F743" s="94"/>
      <c r="G743" s="112">
        <f>AU743</f>
      </c>
      <c r="H743" s="113"/>
      <c r="I743" s="94" t="s">
        <v>487</v>
      </c>
      <c r="J743" s="94" t="s">
        <v>551</v>
      </c>
      <c r="K743" s="114">
        <f>P743/3</f>
      </c>
      <c r="L743" s="115">
        <v>-6.7240000000000002</v>
      </c>
      <c r="M743" s="116">
        <f>L743</f>
      </c>
      <c r="N743" s="117">
        <f>M743-L743</f>
      </c>
      <c r="O743" s="112"/>
      <c r="P743" s="118">
        <f>N743+O743</f>
      </c>
      <c r="Q743" s="94" t="s">
        <v>810</v>
      </c>
      <c r="R743" s="94" t="s">
        <v>63</v>
      </c>
      <c r="S743" s="119">
        <v>46341</v>
      </c>
      <c r="T743" s="119"/>
      <c r="U743" s="120">
        <v>46341</v>
      </c>
      <c r="V743" s="94"/>
      <c r="W743" s="94"/>
      <c r="X743" s="94"/>
      <c r="Y743" s="119">
        <v>46341</v>
      </c>
      <c r="Z743" s="94"/>
      <c r="AA743" s="120"/>
      <c r="AB743" s="120"/>
      <c r="AC743" s="120"/>
      <c r="AD743" s="120"/>
      <c r="AE743" s="120"/>
      <c r="AF743" s="120"/>
      <c r="AG743" s="94"/>
      <c r="AH743" s="120"/>
      <c r="AI743" s="94"/>
      <c r="AJ743" s="94" t="s">
        <v>810</v>
      </c>
      <c r="AK743" s="94" t="s">
        <v>726</v>
      </c>
      <c r="AL743" s="94">
        <v>160</v>
      </c>
      <c r="AM743" s="94" t="str">
        <f>TRIM(AJ743)&amp;TRIM(AL743)&amp;TRIM(AK743)</f>
      </c>
      <c r="AN743" s="116">
        <v>858</v>
      </c>
      <c r="AO743" s="116">
        <v>-18</v>
      </c>
      <c r="AP743" s="116">
        <f>SUMIFS(M:M,AM:AM,AM743)+SUMIFS(O:O,AM:AM,AM743)</f>
      </c>
      <c r="AQ743" s="116">
        <f>SUMIFS(L:L,AM:AM,AM743)</f>
      </c>
      <c r="AR743" s="116">
        <f>AQ743-AP743</f>
      </c>
      <c r="AS743" s="94" t="str">
        <f>IF(AN743&gt;=AQ743,"ok","ck")</f>
      </c>
      <c r="AT743" s="116">
        <f>-P743</f>
      </c>
      <c r="AU743" s="115">
        <f>IF(SUMIFS(AT:AT,AM:AM,AM743)&gt;AO743,(SUMIFS(AT:AT,AM:AM,AM743)-AO743))</f>
      </c>
      <c r="AV743" s="116">
        <v>858</v>
      </c>
      <c r="AW743" s="121">
        <v>1.021</v>
      </c>
      <c r="AX743" s="115">
        <f>AN743-AP743</f>
      </c>
    </row>
    <row r="744" spans="1:50" ht="15" hidden="1" customHeight="1" x14ac:dyDescent="0.3">
      <c r="A744" s="94" t="s">
        <v>60</v>
      </c>
      <c r="B744" s="94"/>
      <c r="C744" s="94"/>
      <c r="D744" s="94"/>
      <c r="E744" s="94"/>
      <c r="F744" s="94"/>
      <c r="G744" s="112">
        <f>AU744</f>
      </c>
      <c r="H744" s="113"/>
      <c r="I744" s="94" t="s">
        <v>487</v>
      </c>
      <c r="J744" s="94" t="s">
        <v>551</v>
      </c>
      <c r="K744" s="114">
        <f>P744/3</f>
      </c>
      <c r="L744" s="115">
        <v>-1.954</v>
      </c>
      <c r="M744" s="116">
        <f>L744</f>
      </c>
      <c r="N744" s="117">
        <f>M744-L744</f>
      </c>
      <c r="O744" s="112"/>
      <c r="P744" s="118">
        <f>N744+O744</f>
      </c>
      <c r="Q744" s="94" t="s">
        <v>810</v>
      </c>
      <c r="R744" s="94" t="s">
        <v>63</v>
      </c>
      <c r="S744" s="119">
        <v>46345</v>
      </c>
      <c r="T744" s="119"/>
      <c r="U744" s="120">
        <v>46345</v>
      </c>
      <c r="V744" s="94"/>
      <c r="W744" s="94"/>
      <c r="X744" s="94"/>
      <c r="Y744" s="119">
        <v>46345</v>
      </c>
      <c r="Z744" s="94"/>
      <c r="AA744" s="120"/>
      <c r="AB744" s="120"/>
      <c r="AC744" s="120"/>
      <c r="AD744" s="120"/>
      <c r="AE744" s="120"/>
      <c r="AF744" s="120"/>
      <c r="AG744" s="94"/>
      <c r="AH744" s="120"/>
      <c r="AI744" s="94"/>
      <c r="AJ744" s="94" t="s">
        <v>810</v>
      </c>
      <c r="AK744" s="94" t="s">
        <v>726</v>
      </c>
      <c r="AL744" s="94">
        <v>160</v>
      </c>
      <c r="AM744" s="94" t="str">
        <f>TRIM(AJ744)&amp;TRIM(AL744)&amp;TRIM(AK744)</f>
      </c>
      <c r="AN744" s="116">
        <v>858</v>
      </c>
      <c r="AO744" s="116">
        <v>-18</v>
      </c>
      <c r="AP744" s="116">
        <f>SUMIFS(M:M,AM:AM,AM744)+SUMIFS(O:O,AM:AM,AM744)</f>
      </c>
      <c r="AQ744" s="116">
        <f>SUMIFS(L:L,AM:AM,AM744)</f>
      </c>
      <c r="AR744" s="116">
        <f>AQ744-AP744</f>
      </c>
      <c r="AS744" s="94" t="str">
        <f>IF(AN744&gt;=AQ744,"ok","ck")</f>
      </c>
      <c r="AT744" s="116">
        <f>-P744</f>
      </c>
      <c r="AU744" s="115">
        <f>IF(SUMIFS(AT:AT,AM:AM,AM744)&gt;AO744,(SUMIFS(AT:AT,AM:AM,AM744)-AO744))</f>
      </c>
      <c r="AV744" s="116">
        <v>858</v>
      </c>
      <c r="AW744" s="121">
        <v>1.021</v>
      </c>
      <c r="AX744" s="115">
        <f>AN744-AP744</f>
      </c>
    </row>
    <row r="745" spans="1:50" ht="15" hidden="1" customHeight="1" x14ac:dyDescent="0.3">
      <c r="A745" s="94" t="s">
        <v>60</v>
      </c>
      <c r="B745" s="94"/>
      <c r="C745" s="94"/>
      <c r="D745" s="94"/>
      <c r="E745" s="94"/>
      <c r="F745" s="94"/>
      <c r="G745" s="112">
        <f>AU745</f>
      </c>
      <c r="H745" s="113"/>
      <c r="I745" s="94" t="s">
        <v>487</v>
      </c>
      <c r="J745" s="94" t="s">
        <v>552</v>
      </c>
      <c r="K745" s="114">
        <f>P745/3</f>
      </c>
      <c r="L745" s="115">
        <v>0</v>
      </c>
      <c r="M745" s="116"/>
      <c r="N745" s="117">
        <f>M745-L745</f>
      </c>
      <c r="O745" s="112"/>
      <c r="P745" s="118">
        <f>N745+O745</f>
      </c>
      <c r="Q745" s="94" t="s">
        <v>810</v>
      </c>
      <c r="R745" s="94" t="s">
        <v>63</v>
      </c>
      <c r="S745" s="119">
        <v>46341</v>
      </c>
      <c r="T745" s="119"/>
      <c r="U745" s="120">
        <v>46341</v>
      </c>
      <c r="V745" s="94"/>
      <c r="W745" s="94"/>
      <c r="X745" s="94"/>
      <c r="Y745" s="119">
        <v>46341</v>
      </c>
      <c r="Z745" s="94"/>
      <c r="AA745" s="120"/>
      <c r="AB745" s="120"/>
      <c r="AC745" s="120"/>
      <c r="AD745" s="120"/>
      <c r="AE745" s="120"/>
      <c r="AF745" s="120"/>
      <c r="AG745" s="94"/>
      <c r="AH745" s="120"/>
      <c r="AI745" s="94"/>
      <c r="AJ745" s="94" t="s">
        <v>810</v>
      </c>
      <c r="AK745" s="94" t="s">
        <v>727</v>
      </c>
      <c r="AL745" s="94">
        <v>160</v>
      </c>
      <c r="AM745" s="94" t="str">
        <f>TRIM(AJ745)&amp;TRIM(AL745)&amp;TRIM(AK745)</f>
      </c>
      <c r="AN745" s="116">
        <v>806.82</v>
      </c>
      <c r="AO745" s="116">
        <v>33.18</v>
      </c>
      <c r="AP745" s="116">
        <f>SUMIFS(M:M,AM:AM,AM745)+SUMIFS(O:O,AM:AM,AM745)</f>
      </c>
      <c r="AQ745" s="116">
        <f>SUMIFS(L:L,AM:AM,AM745)</f>
      </c>
      <c r="AR745" s="116">
        <f>AQ745-AP745</f>
      </c>
      <c r="AS745" s="94" t="str">
        <f>IF(AN745&gt;=AQ745,"ok","ck")</f>
      </c>
      <c r="AT745" s="116">
        <f>-P745</f>
      </c>
      <c r="AU745" s="115">
        <f>IF(SUMIFS(AT:AT,AM:AM,AM745)&gt;AO745,(SUMIFS(AT:AT,AM:AM,AM745)-AO745))</f>
      </c>
      <c r="AV745" s="116">
        <v>806.82</v>
      </c>
      <c r="AW745" s="121">
        <v>0.961</v>
      </c>
      <c r="AX745" s="115">
        <f>AN745-AP745</f>
      </c>
    </row>
    <row r="746" spans="1:50" ht="15" hidden="1" customHeight="1" x14ac:dyDescent="0.3">
      <c r="A746" s="94" t="s">
        <v>60</v>
      </c>
      <c r="B746" s="94"/>
      <c r="C746" s="94"/>
      <c r="D746" s="94"/>
      <c r="E746" s="94"/>
      <c r="F746" s="94"/>
      <c r="G746" s="112">
        <f>AU746</f>
      </c>
      <c r="H746" s="113"/>
      <c r="I746" s="94" t="s">
        <v>487</v>
      </c>
      <c r="J746" s="94" t="s">
        <v>552</v>
      </c>
      <c r="K746" s="114">
        <f>P746/3</f>
      </c>
      <c r="L746" s="115">
        <v>0</v>
      </c>
      <c r="M746" s="116"/>
      <c r="N746" s="117">
        <f>M746-L746</f>
      </c>
      <c r="O746" s="112"/>
      <c r="P746" s="118">
        <f>N746+O746</f>
      </c>
      <c r="Q746" s="94" t="s">
        <v>810</v>
      </c>
      <c r="R746" s="94" t="s">
        <v>63</v>
      </c>
      <c r="S746" s="119">
        <v>46345</v>
      </c>
      <c r="T746" s="119"/>
      <c r="U746" s="120">
        <v>46345</v>
      </c>
      <c r="V746" s="94"/>
      <c r="W746" s="94"/>
      <c r="X746" s="94"/>
      <c r="Y746" s="119">
        <v>46345</v>
      </c>
      <c r="Z746" s="94"/>
      <c r="AA746" s="120"/>
      <c r="AB746" s="120"/>
      <c r="AC746" s="120"/>
      <c r="AD746" s="120"/>
      <c r="AE746" s="120"/>
      <c r="AF746" s="120"/>
      <c r="AG746" s="94"/>
      <c r="AH746" s="120"/>
      <c r="AI746" s="94"/>
      <c r="AJ746" s="94" t="s">
        <v>810</v>
      </c>
      <c r="AK746" s="94" t="s">
        <v>727</v>
      </c>
      <c r="AL746" s="94">
        <v>160</v>
      </c>
      <c r="AM746" s="94" t="str">
        <f>TRIM(AJ746)&amp;TRIM(AL746)&amp;TRIM(AK746)</f>
      </c>
      <c r="AN746" s="116">
        <v>806.82</v>
      </c>
      <c r="AO746" s="116">
        <v>33.18</v>
      </c>
      <c r="AP746" s="116">
        <f>SUMIFS(M:M,AM:AM,AM746)+SUMIFS(O:O,AM:AM,AM746)</f>
      </c>
      <c r="AQ746" s="116">
        <f>SUMIFS(L:L,AM:AM,AM746)</f>
      </c>
      <c r="AR746" s="116">
        <f>AQ746-AP746</f>
      </c>
      <c r="AS746" s="94" t="str">
        <f>IF(AN746&gt;=AQ746,"ok","ck")</f>
      </c>
      <c r="AT746" s="116">
        <f>-P746</f>
      </c>
      <c r="AU746" s="115">
        <f>IF(SUMIFS(AT:AT,AM:AM,AM746)&gt;AO746,(SUMIFS(AT:AT,AM:AM,AM746)-AO746))</f>
      </c>
      <c r="AV746" s="116">
        <v>806.82</v>
      </c>
      <c r="AW746" s="121">
        <v>0.961</v>
      </c>
      <c r="AX746" s="115">
        <f>AN746-AP746</f>
      </c>
    </row>
    <row r="747" spans="1:50" ht="15" hidden="1" customHeight="1" x14ac:dyDescent="0.3">
      <c r="A747" s="94" t="s">
        <v>288</v>
      </c>
      <c r="B747" s="94"/>
      <c r="C747" s="94"/>
      <c r="D747" s="94"/>
      <c r="E747" s="94"/>
      <c r="F747" s="94"/>
      <c r="G747" s="112">
        <f>AU747</f>
      </c>
      <c r="H747" s="113"/>
      <c r="I747" s="94" t="s">
        <v>289</v>
      </c>
      <c r="J747" s="94" t="s">
        <v>301</v>
      </c>
      <c r="K747" s="114">
        <f>P747/3</f>
      </c>
      <c r="L747" s="115">
        <v>0</v>
      </c>
      <c r="M747" s="116">
        <f>L747</f>
      </c>
      <c r="N747" s="117">
        <f>M747-L747</f>
      </c>
      <c r="O747" s="112"/>
      <c r="P747" s="118">
        <f>N747+O747</f>
      </c>
      <c r="Q747" s="94" t="s">
        <v>296</v>
      </c>
      <c r="R747" s="94" t="s">
        <v>63</v>
      </c>
      <c r="S747" s="119">
        <v>46343</v>
      </c>
      <c r="T747" s="119"/>
      <c r="U747" s="120">
        <v>46343</v>
      </c>
      <c r="V747" s="94"/>
      <c r="W747" s="94"/>
      <c r="X747" s="94"/>
      <c r="Y747" s="119">
        <v>46343</v>
      </c>
      <c r="Z747" s="94"/>
      <c r="AA747" s="120"/>
      <c r="AB747" s="120"/>
      <c r="AC747" s="120"/>
      <c r="AD747" s="120"/>
      <c r="AE747" s="120"/>
      <c r="AF747" s="120"/>
      <c r="AG747" s="94"/>
      <c r="AH747" s="120"/>
      <c r="AI747" s="94"/>
      <c r="AJ747" s="94" t="s">
        <v>479</v>
      </c>
      <c r="AK747" s="94" t="s">
        <v>302</v>
      </c>
      <c r="AL747" s="94">
        <v>235</v>
      </c>
      <c r="AM747" s="94" t="str">
        <f>TRIM(AJ747)&amp;TRIM(AL747)&amp;TRIM(AK747)</f>
      </c>
      <c r="AN747" s="116">
        <v>811.52</v>
      </c>
      <c r="AO747" s="116">
        <v>18.5</v>
      </c>
      <c r="AP747" s="116">
        <f>SUMIFS(M:M,AM:AM,AM747)+SUMIFS(O:O,AM:AM,AM747)</f>
      </c>
      <c r="AQ747" s="116">
        <f>SUMIFS(L:L,AM:AM,AM747)</f>
      </c>
      <c r="AR747" s="116">
        <f>AQ747-AP747</f>
      </c>
      <c r="AS747" s="94" t="str">
        <f>IF(AN747&gt;=AQ747,"ok","ck")</f>
      </c>
      <c r="AT747" s="116">
        <f>-P747</f>
      </c>
      <c r="AU747" s="115">
        <f>IF(SUMIFS(AT:AT,AM:AM,AM747)&gt;AO747,(SUMIFS(AT:AT,AM:AM,AM747)-AO747))</f>
      </c>
      <c r="AV747" s="116">
        <v>811.52</v>
      </c>
      <c r="AW747" s="121">
        <v>0.978</v>
      </c>
      <c r="AX747" s="115">
        <f>AN747-AP747</f>
      </c>
    </row>
    <row r="748" spans="1:50" ht="15" hidden="1" customHeight="1" x14ac:dyDescent="0.3">
      <c r="A748" s="94" t="s">
        <v>288</v>
      </c>
      <c r="B748" s="94"/>
      <c r="C748" s="94"/>
      <c r="D748" s="94"/>
      <c r="E748" s="94"/>
      <c r="F748" s="94"/>
      <c r="G748" s="112">
        <f>AU748</f>
      </c>
      <c r="H748" s="113"/>
      <c r="I748" s="94" t="s">
        <v>289</v>
      </c>
      <c r="J748" s="94" t="s">
        <v>301</v>
      </c>
      <c r="K748" s="114">
        <f>P748/3</f>
      </c>
      <c r="L748" s="115">
        <v>0</v>
      </c>
      <c r="M748" s="116">
        <f>L748</f>
      </c>
      <c r="N748" s="117">
        <f>M748-L748</f>
      </c>
      <c r="O748" s="112"/>
      <c r="P748" s="118">
        <f>N748+O748</f>
      </c>
      <c r="Q748" s="94" t="s">
        <v>296</v>
      </c>
      <c r="R748" s="94" t="s">
        <v>63</v>
      </c>
      <c r="S748" s="119">
        <v>46340</v>
      </c>
      <c r="T748" s="119"/>
      <c r="U748" s="120">
        <v>46340</v>
      </c>
      <c r="V748" s="94"/>
      <c r="W748" s="94"/>
      <c r="X748" s="94"/>
      <c r="Y748" s="119">
        <v>46340</v>
      </c>
      <c r="Z748" s="94"/>
      <c r="AA748" s="120"/>
      <c r="AB748" s="120"/>
      <c r="AC748" s="120"/>
      <c r="AD748" s="120"/>
      <c r="AE748" s="120"/>
      <c r="AF748" s="120"/>
      <c r="AG748" s="94"/>
      <c r="AH748" s="120"/>
      <c r="AI748" s="94"/>
      <c r="AJ748" s="94" t="s">
        <v>479</v>
      </c>
      <c r="AK748" s="94" t="s">
        <v>302</v>
      </c>
      <c r="AL748" s="94">
        <v>235</v>
      </c>
      <c r="AM748" s="94" t="str">
        <f>TRIM(AJ748)&amp;TRIM(AL748)&amp;TRIM(AK748)</f>
      </c>
      <c r="AN748" s="116">
        <v>811.52</v>
      </c>
      <c r="AO748" s="116">
        <v>18.5</v>
      </c>
      <c r="AP748" s="116">
        <f>SUMIFS(M:M,AM:AM,AM748)+SUMIFS(O:O,AM:AM,AM748)</f>
      </c>
      <c r="AQ748" s="116">
        <f>SUMIFS(L:L,AM:AM,AM748)</f>
      </c>
      <c r="AR748" s="116">
        <f>AQ748-AP748</f>
      </c>
      <c r="AS748" s="94" t="str">
        <f>IF(AN748&gt;=AQ748,"ok","ck")</f>
      </c>
      <c r="AT748" s="116">
        <f>-P748</f>
      </c>
      <c r="AU748" s="115">
        <f>IF(SUMIFS(AT:AT,AM:AM,AM748)&gt;AO748,(SUMIFS(AT:AT,AM:AM,AM748)-AO748))</f>
      </c>
      <c r="AV748" s="116">
        <v>811.52</v>
      </c>
      <c r="AW748" s="121">
        <v>0.978</v>
      </c>
      <c r="AX748" s="115">
        <f>AN748-AP748</f>
      </c>
    </row>
    <row r="749" spans="1:50" ht="15" hidden="1" customHeight="1" x14ac:dyDescent="0.3">
      <c r="A749" s="94" t="s">
        <v>288</v>
      </c>
      <c r="B749" s="94"/>
      <c r="C749" s="94"/>
      <c r="D749" s="94"/>
      <c r="E749" s="94"/>
      <c r="F749" s="94"/>
      <c r="G749" s="112">
        <f>AU749</f>
      </c>
      <c r="H749" s="113"/>
      <c r="I749" s="94" t="s">
        <v>289</v>
      </c>
      <c r="J749" s="94" t="s">
        <v>357</v>
      </c>
      <c r="K749" s="114">
        <f>P749/3</f>
      </c>
      <c r="L749" s="115">
        <v>0</v>
      </c>
      <c r="M749" s="116">
        <f>L749</f>
      </c>
      <c r="N749" s="117">
        <f>M749-L749</f>
      </c>
      <c r="O749" s="112"/>
      <c r="P749" s="118">
        <f>N749+O749</f>
      </c>
      <c r="Q749" s="94" t="s">
        <v>296</v>
      </c>
      <c r="R749" s="94" t="s">
        <v>63</v>
      </c>
      <c r="S749" s="119">
        <v>46338</v>
      </c>
      <c r="T749" s="119"/>
      <c r="U749" s="120">
        <v>46338</v>
      </c>
      <c r="V749" s="94"/>
      <c r="W749" s="94"/>
      <c r="X749" s="94"/>
      <c r="Y749" s="119">
        <v>46338</v>
      </c>
      <c r="Z749" s="94"/>
      <c r="AA749" s="120"/>
      <c r="AB749" s="120"/>
      <c r="AC749" s="120"/>
      <c r="AD749" s="120"/>
      <c r="AE749" s="120"/>
      <c r="AF749" s="120"/>
      <c r="AG749" s="94"/>
      <c r="AH749" s="120"/>
      <c r="AI749" s="94"/>
      <c r="AJ749" s="94" t="s">
        <v>479</v>
      </c>
      <c r="AK749" s="94" t="s">
        <v>357</v>
      </c>
      <c r="AL749" s="94">
        <v>235</v>
      </c>
      <c r="AM749" s="94" t="str">
        <f>TRIM(AJ749)&amp;TRIM(AL749)&amp;TRIM(AK749)</f>
      </c>
      <c r="AN749" s="116">
        <v>1421</v>
      </c>
      <c r="AO749" s="116">
        <v>11.39</v>
      </c>
      <c r="AP749" s="116">
        <f>SUMIFS(M:M,AM:AM,AM749)+SUMIFS(O:O,AM:AM,AM749)</f>
      </c>
      <c r="AQ749" s="116">
        <f>SUMIFS(L:L,AM:AM,AM749)</f>
      </c>
      <c r="AR749" s="116">
        <f>AQ749-AP749</f>
      </c>
      <c r="AS749" s="94" t="str">
        <f>IF(AN749&gt;=AQ749,"ok","ck")</f>
      </c>
      <c r="AT749" s="116">
        <f>-P749</f>
      </c>
      <c r="AU749" s="115">
        <f>IF(SUMIFS(AT:AT,AM:AM,AM749)&gt;AO749,(SUMIFS(AT:AT,AM:AM,AM749)-AO749))</f>
      </c>
      <c r="AV749" s="116">
        <v>1421</v>
      </c>
      <c r="AW749" s="121">
        <v>0.992</v>
      </c>
      <c r="AX749" s="115">
        <f>AN749-AP749</f>
      </c>
    </row>
    <row r="750" spans="1:50" ht="15" hidden="1" customHeight="1" x14ac:dyDescent="0.3">
      <c r="A750" s="94" t="s">
        <v>288</v>
      </c>
      <c r="B750" s="94"/>
      <c r="C750" s="94"/>
      <c r="D750" s="94"/>
      <c r="E750" s="94"/>
      <c r="F750" s="94"/>
      <c r="G750" s="112">
        <f>AU750</f>
      </c>
      <c r="H750" s="113"/>
      <c r="I750" s="94" t="s">
        <v>297</v>
      </c>
      <c r="J750" s="94" t="s">
        <v>298</v>
      </c>
      <c r="K750" s="114">
        <f>P750/3</f>
      </c>
      <c r="L750" s="115">
        <v>83.05</v>
      </c>
      <c r="M750" s="116">
        <f>L750</f>
      </c>
      <c r="N750" s="117">
        <f>M750-L750</f>
      </c>
      <c r="O750" s="112"/>
      <c r="P750" s="118">
        <f>N750+O750</f>
      </c>
      <c r="Q750" s="94" t="s">
        <v>299</v>
      </c>
      <c r="R750" s="94" t="s">
        <v>63</v>
      </c>
      <c r="S750" s="119">
        <v>46338</v>
      </c>
      <c r="T750" s="119"/>
      <c r="U750" s="120">
        <v>46338</v>
      </c>
      <c r="V750" s="94"/>
      <c r="W750" s="94"/>
      <c r="X750" s="94"/>
      <c r="Y750" s="119">
        <v>46338</v>
      </c>
      <c r="Z750" s="94"/>
      <c r="AA750" s="120"/>
      <c r="AB750" s="120"/>
      <c r="AC750" s="120"/>
      <c r="AD750" s="120"/>
      <c r="AE750" s="120"/>
      <c r="AF750" s="120"/>
      <c r="AG750" s="94"/>
      <c r="AH750" s="120"/>
      <c r="AI750" s="94"/>
      <c r="AJ750" s="94" t="s">
        <v>478</v>
      </c>
      <c r="AK750" s="94" t="s">
        <v>300</v>
      </c>
      <c r="AL750" s="94">
        <v>190</v>
      </c>
      <c r="AM750" s="94" t="str">
        <f>TRIM(AJ750)&amp;TRIM(AL750)&amp;TRIM(AK750)</f>
      </c>
      <c r="AN750" s="116">
        <v>2032.33</v>
      </c>
      <c r="AO750" s="116">
        <v>-490.93</v>
      </c>
      <c r="AP750" s="116">
        <f>SUMIFS(M:M,AM:AM,AM750)+SUMIFS(O:O,AM:AM,AM750)</f>
      </c>
      <c r="AQ750" s="116">
        <f>SUMIFS(L:L,AM:AM,AM750)</f>
      </c>
      <c r="AR750" s="116">
        <f>AQ750-AP750</f>
      </c>
      <c r="AS750" s="94" t="str">
        <f>IF(AN750&gt;=AQ750,"ok","ck")</f>
      </c>
      <c r="AT750" s="116">
        <f>-P750</f>
      </c>
      <c r="AU750" s="115">
        <f>IF(SUMIFS(AT:AT,AM:AM,AM750)&gt;AO750,(SUMIFS(AT:AT,AM:AM,AM750)-AO750))</f>
      </c>
      <c r="AV750" s="116">
        <v>2032.33</v>
      </c>
      <c r="AW750" s="121">
        <v>1.318</v>
      </c>
      <c r="AX750" s="115">
        <f>AN750-AP750</f>
      </c>
    </row>
    <row r="751" spans="1:50" ht="15" hidden="1" customHeight="1" x14ac:dyDescent="0.3">
      <c r="A751" s="94" t="s">
        <v>268</v>
      </c>
      <c r="B751" s="94"/>
      <c r="C751" s="94"/>
      <c r="D751" s="94"/>
      <c r="E751" s="94"/>
      <c r="F751" s="94"/>
      <c r="G751" s="112">
        <f>AU751</f>
      </c>
      <c r="H751" s="113"/>
      <c r="I751" s="94" t="s">
        <v>278</v>
      </c>
      <c r="J751" s="94" t="s">
        <v>381</v>
      </c>
      <c r="K751" s="114">
        <f>P751/3</f>
      </c>
      <c r="L751" s="115">
        <v>0</v>
      </c>
      <c r="M751" s="116">
        <f>L751</f>
      </c>
      <c r="N751" s="117">
        <f>M751-L751</f>
      </c>
      <c r="O751" s="112"/>
      <c r="P751" s="118">
        <f>N751+O751</f>
      </c>
      <c r="Q751" s="94" t="s">
        <v>309</v>
      </c>
      <c r="R751" s="94" t="s">
        <v>63</v>
      </c>
      <c r="S751" s="119">
        <v>46323</v>
      </c>
      <c r="T751" s="119"/>
      <c r="U751" s="119">
        <v>46323</v>
      </c>
      <c r="V751" s="94"/>
      <c r="W751" s="94"/>
      <c r="X751" s="94"/>
      <c r="Y751" s="119">
        <v>46323</v>
      </c>
      <c r="Z751" s="94"/>
      <c r="AA751" s="120"/>
      <c r="AB751" s="120"/>
      <c r="AC751" s="120"/>
      <c r="AD751" s="120"/>
      <c r="AE751" s="120"/>
      <c r="AF751" s="120"/>
      <c r="AG751" s="94"/>
      <c r="AH751" s="120"/>
      <c r="AI751" s="94"/>
      <c r="AJ751" s="94" t="s">
        <v>309</v>
      </c>
      <c r="AK751" s="94" t="s">
        <v>381</v>
      </c>
      <c r="AL751" s="94">
        <v>120</v>
      </c>
      <c r="AM751" s="94" t="str">
        <f>TRIM(AJ751)&amp;TRIM(AL751)&amp;TRIM(AK751)</f>
      </c>
      <c r="AN751" s="116">
        <v>567</v>
      </c>
      <c r="AO751" s="116">
        <v>-23</v>
      </c>
      <c r="AP751" s="116">
        <f>SUMIFS(M:M,AM:AM,AM751)+SUMIFS(O:O,AM:AM,AM751)</f>
      </c>
      <c r="AQ751" s="116">
        <f>SUMIFS(L:L,AM:AM,AM751)</f>
      </c>
      <c r="AR751" s="116">
        <f>AQ751-AP751</f>
      </c>
      <c r="AS751" s="94" t="str">
        <f>IF(AN751&gt;=AQ751,"ok","ck")</f>
      </c>
      <c r="AT751" s="116">
        <f>-P751</f>
      </c>
      <c r="AU751" s="115">
        <f>IF(SUMIFS(AT:AT,AM:AM,AM751)&gt;AO751,(SUMIFS(AT:AT,AM:AM,AM751)-AO751))</f>
      </c>
      <c r="AV751" s="116">
        <v>567</v>
      </c>
      <c r="AW751" s="121">
        <v>1.042</v>
      </c>
      <c r="AX751" s="115">
        <f>AN751-AP751</f>
      </c>
    </row>
    <row r="752" spans="1:50" ht="15" hidden="1" customHeight="1" x14ac:dyDescent="0.3">
      <c r="A752" s="94" t="s">
        <v>268</v>
      </c>
      <c r="B752" s="94"/>
      <c r="C752" s="94"/>
      <c r="D752" s="94"/>
      <c r="E752" s="94"/>
      <c r="F752" s="94"/>
      <c r="G752" s="112">
        <f>AU752</f>
      </c>
      <c r="H752" s="113"/>
      <c r="I752" s="94" t="s">
        <v>390</v>
      </c>
      <c r="J752" s="94" t="s">
        <v>273</v>
      </c>
      <c r="K752" s="114">
        <f>P752/3</f>
      </c>
      <c r="L752" s="115">
        <v>0</v>
      </c>
      <c r="M752" s="116">
        <f>L752</f>
      </c>
      <c r="N752" s="117">
        <f>M752-L752</f>
      </c>
      <c r="O752" s="112"/>
      <c r="P752" s="118">
        <f>N752+O752</f>
      </c>
      <c r="Q752" s="94" t="s">
        <v>787</v>
      </c>
      <c r="R752" s="94" t="s">
        <v>63</v>
      </c>
      <c r="S752" s="119">
        <v>46320</v>
      </c>
      <c r="T752" s="119"/>
      <c r="U752" s="119">
        <v>46320</v>
      </c>
      <c r="V752" s="94"/>
      <c r="W752" s="94"/>
      <c r="X752" s="94"/>
      <c r="Y752" s="119">
        <v>46320</v>
      </c>
      <c r="Z752" s="94"/>
      <c r="AA752" s="120"/>
      <c r="AB752" s="120"/>
      <c r="AC752" s="120"/>
      <c r="AD752" s="120"/>
      <c r="AE752" s="120"/>
      <c r="AF752" s="120"/>
      <c r="AG752" s="94"/>
      <c r="AH752" s="120"/>
      <c r="AI752" s="94"/>
      <c r="AJ752" s="94" t="s">
        <v>787</v>
      </c>
      <c r="AK752" s="94" t="s">
        <v>274</v>
      </c>
      <c r="AL752" s="94">
        <v>140</v>
      </c>
      <c r="AM752" s="94" t="str">
        <f>TRIM(AJ752)&amp;TRIM(AL752)&amp;TRIM(AK752)</f>
      </c>
      <c r="AN752" s="116">
        <v>6812.56</v>
      </c>
      <c r="AO752" s="116">
        <v>-3279.56</v>
      </c>
      <c r="AP752" s="116">
        <f>SUMIFS(M:M,AM:AM,AM752)+SUMIFS(O:O,AM:AM,AM752)</f>
      </c>
      <c r="AQ752" s="116">
        <f>SUMIFS(L:L,AM:AM,AM752)</f>
      </c>
      <c r="AR752" s="116">
        <f>AQ752-AP752</f>
      </c>
      <c r="AS752" s="94" t="str">
        <f>IF(AN752&gt;=AQ752,"ok","ck")</f>
      </c>
      <c r="AT752" s="116">
        <f>-P752</f>
      </c>
      <c r="AU752" s="115">
        <f>IF(SUMIFS(AT:AT,AM:AM,AM752)&gt;AO752,(SUMIFS(AT:AT,AM:AM,AM752)-AO752))</f>
      </c>
      <c r="AV752" s="116">
        <v>6812.56</v>
      </c>
      <c r="AW752" s="121">
        <v>1.928</v>
      </c>
      <c r="AX752" s="115">
        <f>AN752-AP752</f>
      </c>
    </row>
    <row r="753" spans="1:50" ht="15" hidden="1" customHeight="1" x14ac:dyDescent="0.3">
      <c r="A753" s="94" t="s">
        <v>268</v>
      </c>
      <c r="B753" s="94"/>
      <c r="C753" s="94"/>
      <c r="D753" s="94"/>
      <c r="E753" s="94"/>
      <c r="F753" s="94"/>
      <c r="G753" s="112">
        <f>AU753</f>
      </c>
      <c r="H753" s="113"/>
      <c r="I753" s="94" t="s">
        <v>278</v>
      </c>
      <c r="J753" s="94" t="s">
        <v>273</v>
      </c>
      <c r="K753" s="114">
        <f>P753/3</f>
      </c>
      <c r="L753" s="115">
        <v>-0.36499999999999999</v>
      </c>
      <c r="M753" s="116">
        <f>L753</f>
      </c>
      <c r="N753" s="117">
        <f>M753-L753</f>
      </c>
      <c r="O753" s="112"/>
      <c r="P753" s="118">
        <f>N753+O753</f>
      </c>
      <c r="Q753" s="94" t="s">
        <v>787</v>
      </c>
      <c r="R753" s="94" t="s">
        <v>63</v>
      </c>
      <c r="S753" s="119">
        <v>46320</v>
      </c>
      <c r="T753" s="119"/>
      <c r="U753" s="119">
        <v>46320</v>
      </c>
      <c r="V753" s="94"/>
      <c r="W753" s="94"/>
      <c r="X753" s="94"/>
      <c r="Y753" s="119">
        <v>46320</v>
      </c>
      <c r="Z753" s="94"/>
      <c r="AA753" s="120"/>
      <c r="AB753" s="120"/>
      <c r="AC753" s="120"/>
      <c r="AD753" s="120"/>
      <c r="AE753" s="120"/>
      <c r="AF753" s="120"/>
      <c r="AG753" s="94"/>
      <c r="AH753" s="120"/>
      <c r="AI753" s="94"/>
      <c r="AJ753" s="94" t="s">
        <v>787</v>
      </c>
      <c r="AK753" s="94" t="s">
        <v>274</v>
      </c>
      <c r="AL753" s="94">
        <v>120</v>
      </c>
      <c r="AM753" s="94" t="str">
        <f>TRIM(AJ753)&amp;TRIM(AL753)&amp;TRIM(AK753)</f>
      </c>
      <c r="AN753" s="116">
        <v>487.98</v>
      </c>
      <c r="AO753" s="116">
        <v>-112.98</v>
      </c>
      <c r="AP753" s="116">
        <f>SUMIFS(M:M,AM:AM,AM753)+SUMIFS(O:O,AM:AM,AM753)</f>
      </c>
      <c r="AQ753" s="116">
        <f>SUMIFS(L:L,AM:AM,AM753)</f>
      </c>
      <c r="AR753" s="116">
        <f>AQ753-AP753</f>
      </c>
      <c r="AS753" s="94" t="str">
        <f>IF(AN753&gt;=AQ753,"ok","ck")</f>
      </c>
      <c r="AT753" s="116">
        <f>-P753</f>
      </c>
      <c r="AU753" s="115">
        <f>IF(SUMIFS(AT:AT,AM:AM,AM753)&gt;AO753,(SUMIFS(AT:AT,AM:AM,AM753)-AO753))</f>
      </c>
      <c r="AV753" s="116">
        <v>487.98</v>
      </c>
      <c r="AW753" s="121">
        <v>1.301</v>
      </c>
      <c r="AX753" s="115">
        <f>AN753-AP753</f>
      </c>
    </row>
    <row r="754" spans="1:50" ht="15" hidden="1" customHeight="1" x14ac:dyDescent="0.3">
      <c r="A754" s="94" t="s">
        <v>268</v>
      </c>
      <c r="B754" s="94"/>
      <c r="C754" s="94"/>
      <c r="D754" s="94"/>
      <c r="E754" s="94"/>
      <c r="F754" s="94"/>
      <c r="G754" s="112">
        <f>AU754</f>
      </c>
      <c r="H754" s="113"/>
      <c r="I754" s="94" t="s">
        <v>278</v>
      </c>
      <c r="J754" s="94" t="s">
        <v>523</v>
      </c>
      <c r="K754" s="114">
        <f>P754/3</f>
      </c>
      <c r="L754" s="115">
        <v>-0.439</v>
      </c>
      <c r="M754" s="116">
        <f>L754</f>
      </c>
      <c r="N754" s="117">
        <f>M754-L754</f>
      </c>
      <c r="O754" s="112"/>
      <c r="P754" s="118">
        <f>N754+O754</f>
      </c>
      <c r="Q754" s="94" t="s">
        <v>309</v>
      </c>
      <c r="R754" s="94" t="s">
        <v>63</v>
      </c>
      <c r="S754" s="119">
        <v>46321</v>
      </c>
      <c r="T754" s="119"/>
      <c r="U754" s="119">
        <v>46321</v>
      </c>
      <c r="V754" s="94"/>
      <c r="W754" s="94"/>
      <c r="X754" s="94"/>
      <c r="Y754" s="119">
        <v>46321</v>
      </c>
      <c r="Z754" s="94"/>
      <c r="AA754" s="120"/>
      <c r="AB754" s="120"/>
      <c r="AC754" s="120"/>
      <c r="AD754" s="120"/>
      <c r="AE754" s="120"/>
      <c r="AF754" s="120"/>
      <c r="AG754" s="94"/>
      <c r="AH754" s="120"/>
      <c r="AI754" s="94"/>
      <c r="AJ754" s="94" t="s">
        <v>309</v>
      </c>
      <c r="AK754" s="94" t="s">
        <v>713</v>
      </c>
      <c r="AL754" s="94">
        <v>120</v>
      </c>
      <c r="AM754" s="94" t="str">
        <f>TRIM(AJ754)&amp;TRIM(AL754)&amp;TRIM(AK754)</f>
      </c>
      <c r="AN754" s="116">
        <v>434</v>
      </c>
      <c r="AO754" s="116">
        <v>-12</v>
      </c>
      <c r="AP754" s="116">
        <f>SUMIFS(M:M,AM:AM,AM754)+SUMIFS(O:O,AM:AM,AM754)</f>
      </c>
      <c r="AQ754" s="116">
        <f>SUMIFS(L:L,AM:AM,AM754)</f>
      </c>
      <c r="AR754" s="116">
        <f>AQ754-AP754</f>
      </c>
      <c r="AS754" s="94" t="str">
        <f>IF(AN754&gt;=AQ754,"ok","ck")</f>
      </c>
      <c r="AT754" s="116">
        <f>-P754</f>
      </c>
      <c r="AU754" s="115">
        <f>IF(SUMIFS(AT:AT,AM:AM,AM754)&gt;AO754,(SUMIFS(AT:AT,AM:AM,AM754)-AO754))</f>
      </c>
      <c r="AV754" s="116">
        <v>434</v>
      </c>
      <c r="AW754" s="121">
        <v>1.028</v>
      </c>
      <c r="AX754" s="115">
        <f>AN754-AP754</f>
      </c>
    </row>
    <row r="755" spans="1:50" ht="15" hidden="1" customHeight="1" x14ac:dyDescent="0.3">
      <c r="A755" s="94" t="s">
        <v>263</v>
      </c>
      <c r="B755" s="94"/>
      <c r="C755" s="94"/>
      <c r="D755" s="94"/>
      <c r="E755" s="94"/>
      <c r="F755" s="94"/>
      <c r="G755" s="112">
        <f>AU755</f>
      </c>
      <c r="H755" s="113"/>
      <c r="I755" s="94" t="s">
        <v>264</v>
      </c>
      <c r="J755" s="94" t="s">
        <v>357</v>
      </c>
      <c r="K755" s="114">
        <f>P755/3</f>
      </c>
      <c r="L755" s="115">
        <v>0</v>
      </c>
      <c r="M755" s="116">
        <f>L755</f>
      </c>
      <c r="N755" s="117">
        <f>M755-L755</f>
      </c>
      <c r="O755" s="112"/>
      <c r="P755" s="118">
        <f>N755+O755</f>
      </c>
      <c r="Q755" s="94" t="s">
        <v>364</v>
      </c>
      <c r="R755" s="94" t="s">
        <v>63</v>
      </c>
      <c r="S755" s="119">
        <v>46345</v>
      </c>
      <c r="T755" s="119"/>
      <c r="U755" s="119">
        <v>46345</v>
      </c>
      <c r="V755" s="94"/>
      <c r="W755" s="94"/>
      <c r="X755" s="94"/>
      <c r="Y755" s="119">
        <v>46345</v>
      </c>
      <c r="Z755" s="94"/>
      <c r="AA755" s="120"/>
      <c r="AB755" s="120"/>
      <c r="AC755" s="120"/>
      <c r="AD755" s="120"/>
      <c r="AE755" s="120"/>
      <c r="AF755" s="120"/>
      <c r="AG755" s="94"/>
      <c r="AH755" s="120"/>
      <c r="AI755" s="94"/>
      <c r="AJ755" s="94" t="s">
        <v>364</v>
      </c>
      <c r="AK755" s="94" t="s">
        <v>357</v>
      </c>
      <c r="AL755" s="94">
        <v>120</v>
      </c>
      <c r="AM755" s="94" t="str">
        <f>TRIM(AJ755)&amp;TRIM(AL755)&amp;TRIM(AK755)</f>
      </c>
      <c r="AN755" s="116">
        <v>983</v>
      </c>
      <c r="AO755" s="116">
        <v>-15</v>
      </c>
      <c r="AP755" s="116">
        <f>SUMIFS(M:M,AM:AM,AM755)+SUMIFS(O:O,AM:AM,AM755)</f>
      </c>
      <c r="AQ755" s="116">
        <f>SUMIFS(L:L,AM:AM,AM755)</f>
      </c>
      <c r="AR755" s="116">
        <f>AQ755-AP755</f>
      </c>
      <c r="AS755" s="94" t="str">
        <f>IF(AN755&gt;=AQ755,"ok","ck")</f>
      </c>
      <c r="AT755" s="116">
        <f>-P755</f>
      </c>
      <c r="AU755" s="115">
        <f>IF(SUMIFS(AT:AT,AM:AM,AM755)&gt;AO755,(SUMIFS(AT:AT,AM:AM,AM755)-AO755))</f>
      </c>
      <c r="AV755" s="116">
        <v>983</v>
      </c>
      <c r="AW755" s="121">
        <v>1.015</v>
      </c>
      <c r="AX755" s="115">
        <f>AN755-AP755</f>
      </c>
    </row>
    <row r="756" spans="1:50" ht="15" hidden="1" customHeight="1" x14ac:dyDescent="0.3">
      <c r="A756" s="94" t="s">
        <v>268</v>
      </c>
      <c r="B756" s="94"/>
      <c r="C756" s="94"/>
      <c r="D756" s="94"/>
      <c r="E756" s="94"/>
      <c r="F756" s="94"/>
      <c r="G756" s="112">
        <f>AU756</f>
      </c>
      <c r="H756" s="113"/>
      <c r="I756" s="94" t="s">
        <v>390</v>
      </c>
      <c r="J756" s="94" t="s">
        <v>326</v>
      </c>
      <c r="K756" s="114">
        <f>P756/3</f>
      </c>
      <c r="L756" s="115">
        <v>2736.2159999999999</v>
      </c>
      <c r="M756" s="116"/>
      <c r="N756" s="117">
        <f>M756-L756</f>
      </c>
      <c r="O756" s="112"/>
      <c r="P756" s="118">
        <f>N756+O756</f>
      </c>
      <c r="Q756" s="94" t="s">
        <v>305</v>
      </c>
      <c r="R756" s="94" t="s">
        <v>63</v>
      </c>
      <c r="S756" s="119">
        <v>46336</v>
      </c>
      <c r="T756" s="119"/>
      <c r="U756" s="119" t="s">
        <v>635</v>
      </c>
      <c r="V756" s="94"/>
      <c r="W756" s="94"/>
      <c r="X756" s="94"/>
      <c r="Y756" s="119">
        <v>46327</v>
      </c>
      <c r="Z756" s="94"/>
      <c r="AA756" s="120"/>
      <c r="AB756" s="120"/>
      <c r="AC756" s="120"/>
      <c r="AD756" s="120"/>
      <c r="AE756" s="120"/>
      <c r="AF756" s="120"/>
      <c r="AG756" s="94"/>
      <c r="AH756" s="120"/>
      <c r="AI756" s="94"/>
      <c r="AJ756" s="94" t="s">
        <v>305</v>
      </c>
      <c r="AK756" s="94" t="s">
        <v>327</v>
      </c>
      <c r="AL756" s="94">
        <v>140</v>
      </c>
      <c r="AM756" s="94" t="str">
        <f>TRIM(AJ756)&amp;TRIM(AL756)&amp;TRIM(AK756)</f>
      </c>
      <c r="AN756" s="116">
        <v>0</v>
      </c>
      <c r="AO756" s="116" t="inlineStr">
        <is>
          <t>#NA</t>
        </is>
      </c>
      <c r="AP756" s="116">
        <f>SUMIFS(M:M,AM:AM,AM756)+SUMIFS(O:O,AM:AM,AM756)</f>
      </c>
      <c r="AQ756" s="116">
        <f>SUMIFS(L:L,AM:AM,AM756)</f>
      </c>
      <c r="AR756" s="116">
        <f>AQ756-AP756</f>
      </c>
      <c r="AS756" s="94" t="str">
        <f>IF(AN756&gt;=AQ756,"ok","ck")</f>
      </c>
      <c r="AT756" s="116">
        <f>-P756</f>
      </c>
      <c r="AU756" s="115">
        <f>IF(SUMIFS(AT:AT,AM:AM,AM756)&gt;AO756,(SUMIFS(AT:AT,AM:AM,AM756)-AO756))</f>
      </c>
      <c r="AV756" s="116">
        <v>0</v>
      </c>
      <c r="AW756" s="121">
        <v>0</v>
      </c>
      <c r="AX756" s="115">
        <f>AN756-AP756</f>
      </c>
    </row>
    <row r="757" spans="1:50" ht="15" hidden="1" customHeight="1" x14ac:dyDescent="0.3">
      <c r="A757" s="94" t="s">
        <v>60</v>
      </c>
      <c r="B757" s="94"/>
      <c r="C757" s="94"/>
      <c r="D757" s="94"/>
      <c r="E757" s="94"/>
      <c r="F757" s="94"/>
      <c r="G757" s="112">
        <f>AU757</f>
      </c>
      <c r="H757" s="113"/>
      <c r="I757" s="94" t="s">
        <v>61</v>
      </c>
      <c r="J757" s="94" t="s">
        <v>104</v>
      </c>
      <c r="K757" s="114">
        <f>P757/3</f>
      </c>
      <c r="L757" s="115">
        <v>1.08</v>
      </c>
      <c r="M757" s="116">
        <f>L757</f>
      </c>
      <c r="N757" s="117">
        <f>M757-L757</f>
      </c>
      <c r="O757" s="112"/>
      <c r="P757" s="118">
        <f>N757+O757</f>
      </c>
      <c r="Q757" s="94" t="s">
        <v>116</v>
      </c>
      <c r="R757" s="94" t="s">
        <v>63</v>
      </c>
      <c r="S757" s="119">
        <v>46320</v>
      </c>
      <c r="T757" s="119"/>
      <c r="U757" s="119">
        <v>46320</v>
      </c>
      <c r="V757" s="94"/>
      <c r="W757" s="94"/>
      <c r="X757" s="94"/>
      <c r="Y757" s="119">
        <v>46320</v>
      </c>
      <c r="Z757" s="94"/>
      <c r="AA757" s="120"/>
      <c r="AB757" s="120"/>
      <c r="AC757" s="120"/>
      <c r="AD757" s="120"/>
      <c r="AE757" s="120"/>
      <c r="AF757" s="120"/>
      <c r="AG757" s="94"/>
      <c r="AH757" s="120"/>
      <c r="AI757" s="94"/>
      <c r="AJ757" s="94" t="s">
        <v>64</v>
      </c>
      <c r="AK757" s="94" t="s">
        <v>105</v>
      </c>
      <c r="AL757" s="94">
        <v>140</v>
      </c>
      <c r="AM757" s="94" t="str">
        <f>TRIM(AJ757)&amp;TRIM(AL757)&amp;TRIM(AK757)</f>
      </c>
      <c r="AN757" s="116">
        <v>3191</v>
      </c>
      <c r="AO757" s="116">
        <v>-41</v>
      </c>
      <c r="AP757" s="116">
        <f>SUMIFS(M:M,AM:AM,AM757)+SUMIFS(O:O,AM:AM,AM757)</f>
      </c>
      <c r="AQ757" s="116">
        <f>SUMIFS(L:L,AM:AM,AM757)</f>
      </c>
      <c r="AR757" s="116">
        <f>AQ757-AP757</f>
      </c>
      <c r="AS757" s="94" t="str">
        <f>IF(AN757&gt;=AQ757,"ok","ck")</f>
      </c>
      <c r="AT757" s="116">
        <f>-P757</f>
      </c>
      <c r="AU757" s="115">
        <f>IF(SUMIFS(AT:AT,AM:AM,AM757)&gt;AO757,(SUMIFS(AT:AT,AM:AM,AM757)-AO757))</f>
      </c>
      <c r="AV757" s="116">
        <v>3191</v>
      </c>
      <c r="AW757" s="121">
        <v>1.013</v>
      </c>
      <c r="AX757" s="115">
        <f>AN757-AP757</f>
      </c>
    </row>
    <row r="758" spans="1:50" ht="15" hidden="1" customHeight="1" x14ac:dyDescent="0.3">
      <c r="A758" s="94" t="s">
        <v>253</v>
      </c>
      <c r="B758" s="94"/>
      <c r="C758" s="94"/>
      <c r="D758" s="94"/>
      <c r="E758" s="94"/>
      <c r="F758" s="94"/>
      <c r="G758" s="112">
        <f>AU758</f>
      </c>
      <c r="H758" s="113"/>
      <c r="I758" s="94" t="s">
        <v>275</v>
      </c>
      <c r="J758" s="94" t="s">
        <v>320</v>
      </c>
      <c r="K758" s="114">
        <f>P758/3</f>
      </c>
      <c r="L758" s="115">
        <v>-0.115</v>
      </c>
      <c r="M758" s="116">
        <f>L758</f>
      </c>
      <c r="N758" s="117">
        <f>M758-L758</f>
      </c>
      <c r="O758" s="112"/>
      <c r="P758" s="118">
        <f>N758+O758</f>
      </c>
      <c r="Q758" s="94" t="s">
        <v>378</v>
      </c>
      <c r="R758" s="94" t="s">
        <v>63</v>
      </c>
      <c r="S758" s="119">
        <v>46320</v>
      </c>
      <c r="T758" s="119"/>
      <c r="U758" s="119">
        <v>46320</v>
      </c>
      <c r="V758" s="94"/>
      <c r="W758" s="94"/>
      <c r="X758" s="94"/>
      <c r="Y758" s="119">
        <v>46320</v>
      </c>
      <c r="Z758" s="94"/>
      <c r="AA758" s="120"/>
      <c r="AB758" s="120"/>
      <c r="AC758" s="120"/>
      <c r="AD758" s="120"/>
      <c r="AE758" s="120"/>
      <c r="AF758" s="120"/>
      <c r="AG758" s="94"/>
      <c r="AH758" s="120"/>
      <c r="AI758" s="94"/>
      <c r="AJ758" s="94" t="s">
        <v>379</v>
      </c>
      <c r="AK758" s="94" t="s">
        <v>321</v>
      </c>
      <c r="AL758" s="94">
        <v>150</v>
      </c>
      <c r="AM758" s="94" t="str">
        <f>TRIM(AJ758)&amp;TRIM(AL758)&amp;TRIM(AK758)</f>
      </c>
      <c r="AN758" s="116">
        <v>9362</v>
      </c>
      <c r="AO758" s="116">
        <v>-72.51</v>
      </c>
      <c r="AP758" s="116">
        <f>SUMIFS(M:M,AM:AM,AM758)+SUMIFS(O:O,AM:AM,AM758)</f>
      </c>
      <c r="AQ758" s="116">
        <f>SUMIFS(L:L,AM:AM,AM758)</f>
      </c>
      <c r="AR758" s="116">
        <f>AQ758-AP758</f>
      </c>
      <c r="AS758" s="94" t="str">
        <f>IF(AN758&gt;=AQ758,"ok","ck")</f>
      </c>
      <c r="AT758" s="116">
        <f>-P758</f>
      </c>
      <c r="AU758" s="115">
        <f>IF(SUMIFS(AT:AT,AM:AM,AM758)&gt;AO758,(SUMIFS(AT:AT,AM:AM,AM758)-AO758))</f>
      </c>
      <c r="AV758" s="116">
        <v>9362</v>
      </c>
      <c r="AW758" s="121">
        <v>1.008</v>
      </c>
      <c r="AX758" s="115">
        <f>AN758-AP758</f>
      </c>
    </row>
    <row r="759" spans="1:50" ht="15" hidden="1" customHeight="1" x14ac:dyDescent="0.3">
      <c r="A759" s="94" t="s">
        <v>288</v>
      </c>
      <c r="B759" s="94"/>
      <c r="C759" s="94"/>
      <c r="D759" s="94"/>
      <c r="E759" s="94"/>
      <c r="F759" s="94"/>
      <c r="G759" s="112">
        <f>AU759</f>
      </c>
      <c r="H759" s="113"/>
      <c r="I759" s="94" t="s">
        <v>289</v>
      </c>
      <c r="J759" s="94" t="s">
        <v>358</v>
      </c>
      <c r="K759" s="114">
        <f>P759/3</f>
      </c>
      <c r="L759" s="115">
        <v>-3.891</v>
      </c>
      <c r="M759" s="116">
        <f>L759</f>
      </c>
      <c r="N759" s="117">
        <f>M759-L759</f>
      </c>
      <c r="O759" s="112"/>
      <c r="P759" s="118">
        <f>N759+O759</f>
      </c>
      <c r="Q759" s="94" t="s">
        <v>299</v>
      </c>
      <c r="R759" s="94" t="s">
        <v>63</v>
      </c>
      <c r="S759" s="119">
        <v>46322</v>
      </c>
      <c r="T759" s="119"/>
      <c r="U759" s="119">
        <v>46322</v>
      </c>
      <c r="V759" s="94"/>
      <c r="W759" s="94"/>
      <c r="X759" s="94"/>
      <c r="Y759" s="119">
        <v>46322</v>
      </c>
      <c r="Z759" s="94"/>
      <c r="AA759" s="120"/>
      <c r="AB759" s="120"/>
      <c r="AC759" s="120"/>
      <c r="AD759" s="120"/>
      <c r="AE759" s="120"/>
      <c r="AF759" s="120"/>
      <c r="AG759" s="94"/>
      <c r="AH759" s="120"/>
      <c r="AI759" s="94"/>
      <c r="AJ759" s="94" t="s">
        <v>478</v>
      </c>
      <c r="AK759" s="94" t="s">
        <v>359</v>
      </c>
      <c r="AL759" s="94">
        <v>235</v>
      </c>
      <c r="AM759" s="94" t="str">
        <f>TRIM(AJ759)&amp;TRIM(AL759)&amp;TRIM(AK759)</f>
      </c>
      <c r="AN759" s="116">
        <v>621</v>
      </c>
      <c r="AO759" s="116">
        <v>-49.36</v>
      </c>
      <c r="AP759" s="116">
        <f>SUMIFS(M:M,AM:AM,AM759)+SUMIFS(O:O,AM:AM,AM759)</f>
      </c>
      <c r="AQ759" s="116">
        <f>SUMIFS(L:L,AM:AM,AM759)</f>
      </c>
      <c r="AR759" s="116">
        <f>AQ759-AP759</f>
      </c>
      <c r="AS759" s="94" t="str">
        <f>IF(AN759&gt;=AQ759,"ok","ck")</f>
      </c>
      <c r="AT759" s="116">
        <f>-P759</f>
      </c>
      <c r="AU759" s="115">
        <f>IF(SUMIFS(AT:AT,AM:AM,AM759)&gt;AO759,(SUMIFS(AT:AT,AM:AM,AM759)-AO759))</f>
      </c>
      <c r="AV759" s="116">
        <v>621</v>
      </c>
      <c r="AW759" s="121">
        <v>1.086</v>
      </c>
      <c r="AX759" s="115">
        <f>AN759-AP759</f>
      </c>
    </row>
    <row r="760" spans="1:50" ht="15" hidden="1" customHeight="1" x14ac:dyDescent="0.3">
      <c r="A760" s="94" t="s">
        <v>288</v>
      </c>
      <c r="B760" s="94"/>
      <c r="C760" s="94"/>
      <c r="D760" s="94"/>
      <c r="E760" s="94"/>
      <c r="F760" s="94"/>
      <c r="G760" s="112">
        <f>AU760</f>
      </c>
      <c r="H760" s="113"/>
      <c r="I760" s="94" t="s">
        <v>289</v>
      </c>
      <c r="J760" s="94" t="s">
        <v>358</v>
      </c>
      <c r="K760" s="114">
        <f>P760/3</f>
      </c>
      <c r="L760" s="115">
        <v>-0.61</v>
      </c>
      <c r="M760" s="116">
        <f>L760</f>
      </c>
      <c r="N760" s="117">
        <f>M760-L760</f>
      </c>
      <c r="O760" s="112"/>
      <c r="P760" s="118">
        <f>N760+O760</f>
      </c>
      <c r="Q760" s="94" t="s">
        <v>299</v>
      </c>
      <c r="R760" s="94" t="s">
        <v>63</v>
      </c>
      <c r="S760" s="120">
        <v>46338</v>
      </c>
      <c r="T760" s="120"/>
      <c r="U760" s="120">
        <v>46338</v>
      </c>
      <c r="V760" s="94"/>
      <c r="W760" s="94"/>
      <c r="X760" s="94"/>
      <c r="Y760" s="119">
        <v>46338</v>
      </c>
      <c r="Z760" s="94"/>
      <c r="AA760" s="120"/>
      <c r="AB760" s="120"/>
      <c r="AC760" s="120"/>
      <c r="AD760" s="120"/>
      <c r="AE760" s="120"/>
      <c r="AF760" s="120"/>
      <c r="AG760" s="94"/>
      <c r="AH760" s="120"/>
      <c r="AI760" s="94"/>
      <c r="AJ760" s="94" t="s">
        <v>478</v>
      </c>
      <c r="AK760" s="94" t="s">
        <v>359</v>
      </c>
      <c r="AL760" s="94">
        <v>235</v>
      </c>
      <c r="AM760" s="94" t="str">
        <f>TRIM(AJ760)&amp;TRIM(AL760)&amp;TRIM(AK760)</f>
      </c>
      <c r="AN760" s="116">
        <v>621</v>
      </c>
      <c r="AO760" s="116">
        <v>-49.36</v>
      </c>
      <c r="AP760" s="116">
        <f>SUMIFS(M:M,AM:AM,AM760)+SUMIFS(O:O,AM:AM,AM760)</f>
      </c>
      <c r="AQ760" s="116">
        <f>SUMIFS(L:L,AM:AM,AM760)</f>
      </c>
      <c r="AR760" s="116">
        <f>AQ760-AP760</f>
      </c>
      <c r="AS760" s="94" t="str">
        <f>IF(AN760&gt;=AQ760,"ok","ck")</f>
      </c>
      <c r="AT760" s="116">
        <f>-P760</f>
      </c>
      <c r="AU760" s="115">
        <f>IF(SUMIFS(AT:AT,AM:AM,AM760)&gt;AO760,(SUMIFS(AT:AT,AM:AM,AM760)-AO760))</f>
      </c>
      <c r="AV760" s="116">
        <v>621</v>
      </c>
      <c r="AW760" s="121">
        <v>1.086</v>
      </c>
      <c r="AX760" s="115">
        <f>AN760-AP760</f>
      </c>
    </row>
    <row r="761" spans="1:50" ht="15" hidden="1" customHeight="1" x14ac:dyDescent="0.3">
      <c r="A761" s="94" t="s">
        <v>288</v>
      </c>
      <c r="B761" s="94"/>
      <c r="C761" s="94"/>
      <c r="D761" s="94"/>
      <c r="E761" s="94"/>
      <c r="F761" s="94"/>
      <c r="G761" s="112">
        <f>AU761</f>
      </c>
      <c r="H761" s="113"/>
      <c r="I761" s="94" t="s">
        <v>289</v>
      </c>
      <c r="J761" s="94" t="s">
        <v>380</v>
      </c>
      <c r="K761" s="114">
        <f>P761/3</f>
      </c>
      <c r="L761" s="115">
        <v>-0.32200000000000001</v>
      </c>
      <c r="M761" s="116">
        <f>L761</f>
      </c>
      <c r="N761" s="117">
        <f>M761-L761</f>
      </c>
      <c r="O761" s="112"/>
      <c r="P761" s="118">
        <f>N761+O761</f>
      </c>
      <c r="Q761" s="94" t="s">
        <v>299</v>
      </c>
      <c r="R761" s="94" t="s">
        <v>63</v>
      </c>
      <c r="S761" s="120">
        <v>46320</v>
      </c>
      <c r="T761" s="120"/>
      <c r="U761" s="120">
        <v>46320</v>
      </c>
      <c r="V761" s="94"/>
      <c r="W761" s="94"/>
      <c r="X761" s="94"/>
      <c r="Y761" s="119">
        <v>46320</v>
      </c>
      <c r="Z761" s="94"/>
      <c r="AA761" s="120"/>
      <c r="AB761" s="120"/>
      <c r="AC761" s="120"/>
      <c r="AD761" s="120"/>
      <c r="AE761" s="120"/>
      <c r="AF761" s="120"/>
      <c r="AG761" s="94"/>
      <c r="AH761" s="120"/>
      <c r="AI761" s="94"/>
      <c r="AJ761" s="94" t="s">
        <v>478</v>
      </c>
      <c r="AK761" s="94" t="s">
        <v>357</v>
      </c>
      <c r="AL761" s="94">
        <v>235</v>
      </c>
      <c r="AM761" s="94" t="str">
        <f>TRIM(AJ761)&amp;TRIM(AL761)&amp;TRIM(AK761)</f>
      </c>
      <c r="AN761" s="116">
        <v>2376</v>
      </c>
      <c r="AO761" s="116">
        <v>-38.76</v>
      </c>
      <c r="AP761" s="116">
        <f>SUMIFS(M:M,AM:AM,AM761)+SUMIFS(O:O,AM:AM,AM761)</f>
      </c>
      <c r="AQ761" s="116">
        <f>SUMIFS(L:L,AM:AM,AM761)</f>
      </c>
      <c r="AR761" s="116">
        <f>AQ761-AP761</f>
      </c>
      <c r="AS761" s="94" t="str">
        <f>IF(AN761&gt;=AQ761,"ok","ck")</f>
      </c>
      <c r="AT761" s="116">
        <f>-P761</f>
      </c>
      <c r="AU761" s="115">
        <f>IF(SUMIFS(AT:AT,AM:AM,AM761)&gt;AO761,(SUMIFS(AT:AT,AM:AM,AM761)-AO761))</f>
      </c>
      <c r="AV761" s="116">
        <v>2376</v>
      </c>
      <c r="AW761" s="121">
        <v>1.017</v>
      </c>
      <c r="AX761" s="115">
        <f>AN761-AP761</f>
      </c>
    </row>
    <row r="762" spans="1:50" ht="15" hidden="1" customHeight="1" x14ac:dyDescent="0.3">
      <c r="A762" s="94" t="s">
        <v>288</v>
      </c>
      <c r="B762" s="94"/>
      <c r="C762" s="94"/>
      <c r="D762" s="94"/>
      <c r="E762" s="94"/>
      <c r="F762" s="94"/>
      <c r="G762" s="112">
        <f>AU762</f>
      </c>
      <c r="H762" s="113"/>
      <c r="I762" s="94" t="s">
        <v>289</v>
      </c>
      <c r="J762" s="94" t="s">
        <v>380</v>
      </c>
      <c r="K762" s="114">
        <f>P762/3</f>
      </c>
      <c r="L762" s="115">
        <v>0</v>
      </c>
      <c r="M762" s="116">
        <f>L762</f>
      </c>
      <c r="N762" s="117">
        <f>M762-L762</f>
      </c>
      <c r="O762" s="112"/>
      <c r="P762" s="118">
        <f>N762+O762</f>
      </c>
      <c r="Q762" s="94" t="s">
        <v>299</v>
      </c>
      <c r="R762" s="94" t="s">
        <v>63</v>
      </c>
      <c r="S762" s="120">
        <v>46330</v>
      </c>
      <c r="T762" s="120"/>
      <c r="U762" s="120">
        <v>46330</v>
      </c>
      <c r="V762" s="94"/>
      <c r="W762" s="94"/>
      <c r="X762" s="94"/>
      <c r="Y762" s="119">
        <v>46330</v>
      </c>
      <c r="Z762" s="94"/>
      <c r="AA762" s="120"/>
      <c r="AB762" s="120"/>
      <c r="AC762" s="120"/>
      <c r="AD762" s="120"/>
      <c r="AE762" s="120"/>
      <c r="AF762" s="120"/>
      <c r="AG762" s="94"/>
      <c r="AH762" s="120"/>
      <c r="AI762" s="94"/>
      <c r="AJ762" s="94" t="s">
        <v>478</v>
      </c>
      <c r="AK762" s="94" t="s">
        <v>357</v>
      </c>
      <c r="AL762" s="94">
        <v>235</v>
      </c>
      <c r="AM762" s="94" t="str">
        <f>TRIM(AJ762)&amp;TRIM(AL762)&amp;TRIM(AK762)</f>
      </c>
      <c r="AN762" s="116">
        <v>2376</v>
      </c>
      <c r="AO762" s="116">
        <v>-38.76</v>
      </c>
      <c r="AP762" s="116">
        <f>SUMIFS(M:M,AM:AM,AM762)+SUMIFS(O:O,AM:AM,AM762)</f>
      </c>
      <c r="AQ762" s="116">
        <f>SUMIFS(L:L,AM:AM,AM762)</f>
      </c>
      <c r="AR762" s="116">
        <f>AQ762-AP762</f>
      </c>
      <c r="AS762" s="94" t="str">
        <f>IF(AN762&gt;=AQ762,"ok","ck")</f>
      </c>
      <c r="AT762" s="116">
        <f>-P762</f>
      </c>
      <c r="AU762" s="115">
        <f>IF(SUMIFS(AT:AT,AM:AM,AM762)&gt;AO762,(SUMIFS(AT:AT,AM:AM,AM762)-AO762))</f>
      </c>
      <c r="AV762" s="116">
        <v>2376</v>
      </c>
      <c r="AW762" s="121">
        <v>1.017</v>
      </c>
      <c r="AX762" s="115">
        <f>AN762-AP762</f>
      </c>
    </row>
    <row r="763" spans="1:50" ht="15" hidden="1" customHeight="1" x14ac:dyDescent="0.3">
      <c r="A763" s="94" t="s">
        <v>288</v>
      </c>
      <c r="B763" s="94"/>
      <c r="C763" s="94"/>
      <c r="D763" s="94"/>
      <c r="E763" s="94"/>
      <c r="F763" s="94"/>
      <c r="G763" s="112">
        <f>AU763</f>
      </c>
      <c r="H763" s="113"/>
      <c r="I763" s="94" t="s">
        <v>289</v>
      </c>
      <c r="J763" s="94" t="s">
        <v>380</v>
      </c>
      <c r="K763" s="114">
        <f>P763/3</f>
      </c>
      <c r="L763" s="115">
        <v>-3.6549999999999998</v>
      </c>
      <c r="M763" s="116">
        <f>L763</f>
      </c>
      <c r="N763" s="117">
        <f>M763-L763</f>
      </c>
      <c r="O763" s="112"/>
      <c r="P763" s="118">
        <f>N763+O763</f>
      </c>
      <c r="Q763" s="94" t="s">
        <v>299</v>
      </c>
      <c r="R763" s="94" t="s">
        <v>63</v>
      </c>
      <c r="S763" s="120">
        <v>46338</v>
      </c>
      <c r="T763" s="120"/>
      <c r="U763" s="120">
        <v>46338</v>
      </c>
      <c r="V763" s="94"/>
      <c r="W763" s="94"/>
      <c r="X763" s="94"/>
      <c r="Y763" s="119">
        <v>46338</v>
      </c>
      <c r="Z763" s="94"/>
      <c r="AA763" s="120"/>
      <c r="AB763" s="120"/>
      <c r="AC763" s="120"/>
      <c r="AD763" s="120"/>
      <c r="AE763" s="120"/>
      <c r="AF763" s="120"/>
      <c r="AG763" s="94"/>
      <c r="AH763" s="120"/>
      <c r="AI763" s="94"/>
      <c r="AJ763" s="94" t="s">
        <v>478</v>
      </c>
      <c r="AK763" s="94" t="s">
        <v>357</v>
      </c>
      <c r="AL763" s="94">
        <v>235</v>
      </c>
      <c r="AM763" s="94" t="str">
        <f>TRIM(AJ763)&amp;TRIM(AL763)&amp;TRIM(AK763)</f>
      </c>
      <c r="AN763" s="116">
        <v>2376</v>
      </c>
      <c r="AO763" s="116">
        <v>-38.76</v>
      </c>
      <c r="AP763" s="116">
        <f>SUMIFS(M:M,AM:AM,AM763)+SUMIFS(O:O,AM:AM,AM763)</f>
      </c>
      <c r="AQ763" s="116">
        <f>SUMIFS(L:L,AM:AM,AM763)</f>
      </c>
      <c r="AR763" s="116">
        <f>AQ763-AP763</f>
      </c>
      <c r="AS763" s="94" t="str">
        <f>IF(AN763&gt;=AQ763,"ok","ck")</f>
      </c>
      <c r="AT763" s="116">
        <f>-P763</f>
      </c>
      <c r="AU763" s="115">
        <f>IF(SUMIFS(AT:AT,AM:AM,AM763)&gt;AO763,(SUMIFS(AT:AT,AM:AM,AM763)-AO763))</f>
      </c>
      <c r="AV763" s="116">
        <v>2376</v>
      </c>
      <c r="AW763" s="121">
        <v>1.017</v>
      </c>
      <c r="AX763" s="115">
        <f>AN763-AP763</f>
      </c>
    </row>
    <row r="764" spans="1:50" ht="15" hidden="1" customHeight="1" x14ac:dyDescent="0.3">
      <c r="A764" s="94" t="s">
        <v>263</v>
      </c>
      <c r="B764" s="94"/>
      <c r="C764" s="94"/>
      <c r="D764" s="94"/>
      <c r="E764" s="94"/>
      <c r="F764" s="94"/>
      <c r="G764" s="112">
        <f>AU764</f>
      </c>
      <c r="H764" s="113"/>
      <c r="I764" s="94" t="s">
        <v>264</v>
      </c>
      <c r="J764" s="94" t="s">
        <v>357</v>
      </c>
      <c r="K764" s="114">
        <f>P764/3</f>
      </c>
      <c r="L764" s="115">
        <v>0</v>
      </c>
      <c r="M764" s="116">
        <f>L764</f>
      </c>
      <c r="N764" s="117">
        <f>M764-L764</f>
      </c>
      <c r="O764" s="112"/>
      <c r="P764" s="118">
        <f>N764+O764</f>
      </c>
      <c r="Q764" s="94" t="s">
        <v>364</v>
      </c>
      <c r="R764" s="94" t="s">
        <v>63</v>
      </c>
      <c r="S764" s="120">
        <v>46328</v>
      </c>
      <c r="T764" s="120"/>
      <c r="U764" s="120">
        <v>46328</v>
      </c>
      <c r="V764" s="94"/>
      <c r="W764" s="94"/>
      <c r="X764" s="94"/>
      <c r="Y764" s="119">
        <v>46328</v>
      </c>
      <c r="Z764" s="94"/>
      <c r="AA764" s="120"/>
      <c r="AB764" s="120"/>
      <c r="AC764" s="120"/>
      <c r="AD764" s="120"/>
      <c r="AE764" s="120"/>
      <c r="AF764" s="120"/>
      <c r="AG764" s="94"/>
      <c r="AH764" s="120"/>
      <c r="AI764" s="94"/>
      <c r="AJ764" s="94" t="s">
        <v>364</v>
      </c>
      <c r="AK764" s="94" t="s">
        <v>357</v>
      </c>
      <c r="AL764" s="94">
        <v>120</v>
      </c>
      <c r="AM764" s="94" t="str">
        <f>TRIM(AJ764)&amp;TRIM(AL764)&amp;TRIM(AK764)</f>
      </c>
      <c r="AN764" s="116">
        <v>983</v>
      </c>
      <c r="AO764" s="116">
        <v>-15</v>
      </c>
      <c r="AP764" s="116">
        <f>SUMIFS(M:M,AM:AM,AM764)+SUMIFS(O:O,AM:AM,AM764)</f>
      </c>
      <c r="AQ764" s="116">
        <f>SUMIFS(L:L,AM:AM,AM764)</f>
      </c>
      <c r="AR764" s="116">
        <f>AQ764-AP764</f>
      </c>
      <c r="AS764" s="94" t="str">
        <f>IF(AN764&gt;=AQ764,"ok","ck")</f>
      </c>
      <c r="AT764" s="116">
        <f>-P764</f>
      </c>
      <c r="AU764" s="115">
        <f>IF(SUMIFS(AT:AT,AM:AM,AM764)&gt;AO764,(SUMIFS(AT:AT,AM:AM,AM764)-AO764))</f>
      </c>
      <c r="AV764" s="116">
        <v>983</v>
      </c>
      <c r="AW764" s="121">
        <v>1.015</v>
      </c>
      <c r="AX764" s="115">
        <f>AN764-AP764</f>
      </c>
    </row>
    <row r="765" spans="1:50" ht="15" hidden="1" customHeight="1" x14ac:dyDescent="0.3">
      <c r="A765" s="94" t="s">
        <v>268</v>
      </c>
      <c r="B765" s="94"/>
      <c r="C765" s="94"/>
      <c r="D765" s="94"/>
      <c r="E765" s="94"/>
      <c r="F765" s="94"/>
      <c r="G765" s="112">
        <f>AU765</f>
      </c>
      <c r="H765" s="113"/>
      <c r="I765" s="94" t="s">
        <v>278</v>
      </c>
      <c r="J765" s="94" t="s">
        <v>333</v>
      </c>
      <c r="K765" s="114">
        <f>P765/3</f>
      </c>
      <c r="L765" s="115">
        <v>0.45900000000000002</v>
      </c>
      <c r="M765" s="116">
        <f>L765</f>
      </c>
      <c r="N765" s="117">
        <f>M765-L765</f>
      </c>
      <c r="O765" s="112"/>
      <c r="P765" s="118">
        <f>N765+O765</f>
      </c>
      <c r="Q765" s="94" t="s">
        <v>344</v>
      </c>
      <c r="R765" s="94" t="s">
        <v>63</v>
      </c>
      <c r="S765" s="120">
        <v>46320</v>
      </c>
      <c r="T765" s="120"/>
      <c r="U765" s="120">
        <v>46320</v>
      </c>
      <c r="V765" s="94"/>
      <c r="W765" s="94"/>
      <c r="X765" s="94"/>
      <c r="Y765" s="119">
        <v>46320</v>
      </c>
      <c r="Z765" s="94"/>
      <c r="AA765" s="120"/>
      <c r="AB765" s="120"/>
      <c r="AC765" s="120"/>
      <c r="AD765" s="120"/>
      <c r="AE765" s="120"/>
      <c r="AF765" s="120"/>
      <c r="AG765" s="94"/>
      <c r="AH765" s="120"/>
      <c r="AI765" s="94"/>
      <c r="AJ765" s="94" t="s">
        <v>344</v>
      </c>
      <c r="AK765" s="94" t="s">
        <v>334</v>
      </c>
      <c r="AL765" s="94">
        <v>120</v>
      </c>
      <c r="AM765" s="94" t="str">
        <f>TRIM(AJ765)&amp;TRIM(AL765)&amp;TRIM(AK765)</f>
      </c>
      <c r="AN765" s="116">
        <v>32</v>
      </c>
      <c r="AO765" s="116">
        <v>-2</v>
      </c>
      <c r="AP765" s="116">
        <f>SUMIFS(M:M,AM:AM,AM765)+SUMIFS(O:O,AM:AM,AM765)</f>
      </c>
      <c r="AQ765" s="116">
        <f>SUMIFS(L:L,AM:AM,AM765)</f>
      </c>
      <c r="AR765" s="116">
        <f>AQ765-AP765</f>
      </c>
      <c r="AS765" s="94" t="str">
        <f>IF(AN765&gt;=AQ765,"ok","ck")</f>
      </c>
      <c r="AT765" s="116">
        <f>-P765</f>
      </c>
      <c r="AU765" s="115">
        <f>IF(SUMIFS(AT:AT,AM:AM,AM765)&gt;AO765,(SUMIFS(AT:AT,AM:AM,AM765)-AO765))</f>
      </c>
      <c r="AV765" s="116">
        <v>32</v>
      </c>
      <c r="AW765" s="121">
        <v>1.067</v>
      </c>
      <c r="AX765" s="115">
        <f>AN765-AP765</f>
      </c>
    </row>
    <row r="766" spans="1:50" ht="15" hidden="1" customHeight="1" x14ac:dyDescent="0.3">
      <c r="A766" s="94" t="s">
        <v>288</v>
      </c>
      <c r="B766" s="94"/>
      <c r="C766" s="94"/>
      <c r="D766" s="94"/>
      <c r="E766" s="94"/>
      <c r="F766" s="94"/>
      <c r="G766" s="112">
        <f>AU766</f>
      </c>
      <c r="H766" s="113"/>
      <c r="I766" s="94" t="s">
        <v>289</v>
      </c>
      <c r="J766" s="94" t="s">
        <v>358</v>
      </c>
      <c r="K766" s="114">
        <f>P766/3</f>
      </c>
      <c r="L766" s="115">
        <v>-0.72099999999999997</v>
      </c>
      <c r="M766" s="116">
        <f>L766</f>
      </c>
      <c r="N766" s="117">
        <f>M766-L766</f>
      </c>
      <c r="O766" s="112"/>
      <c r="P766" s="118">
        <f>N766+O766</f>
      </c>
      <c r="Q766" s="94" t="s">
        <v>299</v>
      </c>
      <c r="R766" s="94" t="s">
        <v>63</v>
      </c>
      <c r="S766" s="120">
        <v>46320</v>
      </c>
      <c r="T766" s="120"/>
      <c r="U766" s="120">
        <v>46320</v>
      </c>
      <c r="V766" s="94"/>
      <c r="W766" s="94"/>
      <c r="X766" s="94"/>
      <c r="Y766" s="119">
        <v>46320</v>
      </c>
      <c r="Z766" s="94"/>
      <c r="AA766" s="120"/>
      <c r="AB766" s="120"/>
      <c r="AC766" s="120"/>
      <c r="AD766" s="120"/>
      <c r="AE766" s="120"/>
      <c r="AF766" s="120"/>
      <c r="AG766" s="94"/>
      <c r="AH766" s="120"/>
      <c r="AI766" s="94"/>
      <c r="AJ766" s="94" t="s">
        <v>478</v>
      </c>
      <c r="AK766" s="94" t="s">
        <v>359</v>
      </c>
      <c r="AL766" s="94">
        <v>235</v>
      </c>
      <c r="AM766" s="94" t="str">
        <f>TRIM(AJ766)&amp;TRIM(AL766)&amp;TRIM(AK766)</f>
      </c>
      <c r="AN766" s="116">
        <v>621</v>
      </c>
      <c r="AO766" s="116">
        <v>-49.36</v>
      </c>
      <c r="AP766" s="116">
        <f>SUMIFS(M:M,AM:AM,AM766)+SUMIFS(O:O,AM:AM,AM766)</f>
      </c>
      <c r="AQ766" s="116">
        <f>SUMIFS(L:L,AM:AM,AM766)</f>
      </c>
      <c r="AR766" s="116">
        <f>AQ766-AP766</f>
      </c>
      <c r="AS766" s="94" t="str">
        <f>IF(AN766&gt;=AQ766,"ok","ck")</f>
      </c>
      <c r="AT766" s="116">
        <f>-P766</f>
      </c>
      <c r="AU766" s="115">
        <f>IF(SUMIFS(AT:AT,AM:AM,AM766)&gt;AO766,(SUMIFS(AT:AT,AM:AM,AM766)-AO766))</f>
      </c>
      <c r="AV766" s="116">
        <v>621</v>
      </c>
      <c r="AW766" s="121">
        <v>1.086</v>
      </c>
      <c r="AX766" s="115">
        <f>AN766-AP766</f>
      </c>
    </row>
    <row r="767" spans="1:50" ht="15" hidden="1" customHeight="1" x14ac:dyDescent="0.3">
      <c r="A767" s="94" t="s">
        <v>60</v>
      </c>
      <c r="B767" s="94"/>
      <c r="C767" s="94"/>
      <c r="D767" s="94"/>
      <c r="E767" s="94"/>
      <c r="F767" s="94"/>
      <c r="G767" s="112">
        <f>AU767</f>
      </c>
      <c r="H767" s="113"/>
      <c r="I767" s="94" t="s">
        <v>482</v>
      </c>
      <c r="J767" s="94" t="s">
        <v>546</v>
      </c>
      <c r="K767" s="114">
        <f>P767/3</f>
      </c>
      <c r="L767" s="115">
        <v>1.0429999999999999</v>
      </c>
      <c r="M767" s="116">
        <f>L767</f>
      </c>
      <c r="N767" s="117">
        <f>M767-L767</f>
      </c>
      <c r="O767" s="112"/>
      <c r="P767" s="118">
        <f>N767+O767</f>
      </c>
      <c r="Q767" s="94" t="s">
        <v>806</v>
      </c>
      <c r="R767" s="94" t="s">
        <v>63</v>
      </c>
      <c r="S767" s="120">
        <v>46327</v>
      </c>
      <c r="T767" s="120"/>
      <c r="U767" s="120">
        <v>46327</v>
      </c>
      <c r="V767" s="94"/>
      <c r="W767" s="94"/>
      <c r="X767" s="94"/>
      <c r="Y767" s="119">
        <v>46327</v>
      </c>
      <c r="Z767" s="94"/>
      <c r="AA767" s="120"/>
      <c r="AB767" s="120"/>
      <c r="AC767" s="120"/>
      <c r="AD767" s="120"/>
      <c r="AE767" s="120"/>
      <c r="AF767" s="120"/>
      <c r="AG767" s="94"/>
      <c r="AH767" s="120"/>
      <c r="AI767" s="94"/>
      <c r="AJ767" s="94" t="s">
        <v>806</v>
      </c>
      <c r="AK767" s="94" t="s">
        <v>722</v>
      </c>
      <c r="AL767" s="94">
        <v>110</v>
      </c>
      <c r="AM767" s="94" t="str">
        <f>TRIM(AJ767)&amp;TRIM(AL767)&amp;TRIM(AK767)</f>
      </c>
      <c r="AN767" s="116">
        <v>52.43</v>
      </c>
      <c r="AO767" s="116">
        <v>-5.41</v>
      </c>
      <c r="AP767" s="116">
        <f>SUMIFS(M:M,AM:AM,AM767)+SUMIFS(O:O,AM:AM,AM767)</f>
      </c>
      <c r="AQ767" s="116">
        <f>SUMIFS(L:L,AM:AM,AM767)</f>
      </c>
      <c r="AR767" s="116">
        <f>AQ767-AP767</f>
      </c>
      <c r="AS767" s="94" t="str">
        <f>IF(AN767&gt;=AQ767,"ok","ck")</f>
      </c>
      <c r="AT767" s="116">
        <f>-P767</f>
      </c>
      <c r="AU767" s="115">
        <f>IF(SUMIFS(AT:AT,AM:AM,AM767)&gt;AO767,(SUMIFS(AT:AT,AM:AM,AM767)-AO767))</f>
      </c>
      <c r="AV767" s="116">
        <v>52.43</v>
      </c>
      <c r="AW767" s="121">
        <v>1.115</v>
      </c>
      <c r="AX767" s="115">
        <f>AN767-AP767</f>
      </c>
    </row>
    <row r="768" spans="1:50" ht="15" hidden="1" customHeight="1" x14ac:dyDescent="0.3">
      <c r="A768" s="94" t="s">
        <v>268</v>
      </c>
      <c r="B768" s="94"/>
      <c r="C768" s="94"/>
      <c r="D768" s="94"/>
      <c r="E768" s="94"/>
      <c r="F768" s="94"/>
      <c r="G768" s="112">
        <f>AU768</f>
      </c>
      <c r="H768" s="113"/>
      <c r="I768" s="94" t="s">
        <v>390</v>
      </c>
      <c r="J768" s="94" t="s">
        <v>333</v>
      </c>
      <c r="K768" s="114">
        <f>P768/3</f>
      </c>
      <c r="L768" s="115">
        <v>157.94200000000001</v>
      </c>
      <c r="M768" s="116"/>
      <c r="N768" s="117">
        <f>M768-L768</f>
      </c>
      <c r="O768" s="112"/>
      <c r="P768" s="118">
        <f>N768+O768</f>
      </c>
      <c r="Q768" s="94" t="s">
        <v>778</v>
      </c>
      <c r="R768" s="94" t="s">
        <v>63</v>
      </c>
      <c r="S768" s="120">
        <v>46344</v>
      </c>
      <c r="T768" s="120"/>
      <c r="U768" s="120" t="s">
        <v>641</v>
      </c>
      <c r="V768" s="94"/>
      <c r="W768" s="94"/>
      <c r="X768" s="94"/>
      <c r="Y768" s="119">
        <v>46334</v>
      </c>
      <c r="Z768" s="94"/>
      <c r="AA768" s="120"/>
      <c r="AB768" s="120"/>
      <c r="AC768" s="120"/>
      <c r="AD768" s="120"/>
      <c r="AE768" s="120"/>
      <c r="AF768" s="120"/>
      <c r="AG768" s="94"/>
      <c r="AH768" s="120"/>
      <c r="AI768" s="94"/>
      <c r="AJ768" s="94" t="s">
        <v>778</v>
      </c>
      <c r="AK768" s="94" t="s">
        <v>338</v>
      </c>
      <c r="AL768" s="94">
        <v>140</v>
      </c>
      <c r="AM768" s="94" t="str">
        <f>TRIM(AJ768)&amp;TRIM(AL768)&amp;TRIM(AK768)</f>
      </c>
      <c r="AN768" s="116">
        <v>0</v>
      </c>
      <c r="AO768" s="116" t="inlineStr">
        <is>
          <t>#NA</t>
        </is>
      </c>
      <c r="AP768" s="116">
        <f>SUMIFS(M:M,AM:AM,AM768)+SUMIFS(O:O,AM:AM,AM768)</f>
      </c>
      <c r="AQ768" s="116">
        <f>SUMIFS(L:L,AM:AM,AM768)</f>
      </c>
      <c r="AR768" s="116">
        <f>AQ768-AP768</f>
      </c>
      <c r="AS768" s="94" t="str">
        <f>IF(AN768&gt;=AQ768,"ok","ck")</f>
      </c>
      <c r="AT768" s="116">
        <f>-P768</f>
      </c>
      <c r="AU768" s="115">
        <f>IF(SUMIFS(AT:AT,AM:AM,AM768)&gt;AO768,(SUMIFS(AT:AT,AM:AM,AM768)-AO768))</f>
      </c>
      <c r="AV768" s="116">
        <v>0</v>
      </c>
      <c r="AW768" s="121">
        <v>0</v>
      </c>
      <c r="AX768" s="115">
        <f>AN768-AP768</f>
      </c>
    </row>
    <row r="769" spans="1:50" ht="15" hidden="1" customHeight="1" x14ac:dyDescent="0.3">
      <c r="A769" s="94" t="s">
        <v>311</v>
      </c>
      <c r="B769" s="94"/>
      <c r="C769" s="94"/>
      <c r="D769" s="94"/>
      <c r="E769" s="94"/>
      <c r="F769" s="94"/>
      <c r="G769" s="112">
        <f>AU769</f>
      </c>
      <c r="H769" s="113"/>
      <c r="I769" s="94" t="s">
        <v>312</v>
      </c>
      <c r="J769" s="94" t="s">
        <v>339</v>
      </c>
      <c r="K769" s="114">
        <f>P769/3</f>
      </c>
      <c r="L769" s="115">
        <v>-4.9000000000000002E-2</v>
      </c>
      <c r="M769" s="116"/>
      <c r="N769" s="117">
        <f>M769-L769</f>
      </c>
      <c r="O769" s="112"/>
      <c r="P769" s="118">
        <f>N769+O769</f>
      </c>
      <c r="Q769" s="94" t="s">
        <v>314</v>
      </c>
      <c r="R769" s="94" t="s">
        <v>63</v>
      </c>
      <c r="S769" s="120">
        <v>46321</v>
      </c>
      <c r="T769" s="120"/>
      <c r="U769" s="120">
        <v>46321</v>
      </c>
      <c r="V769" s="94"/>
      <c r="W769" s="94"/>
      <c r="X769" s="94"/>
      <c r="Y769" s="119">
        <v>46321</v>
      </c>
      <c r="Z769" s="94"/>
      <c r="AA769" s="120"/>
      <c r="AB769" s="120"/>
      <c r="AC769" s="120"/>
      <c r="AD769" s="120"/>
      <c r="AE769" s="120"/>
      <c r="AF769" s="120"/>
      <c r="AG769" s="94"/>
      <c r="AH769" s="120"/>
      <c r="AI769" s="94"/>
      <c r="AJ769" s="94" t="s">
        <v>314</v>
      </c>
      <c r="AK769" s="94" t="s">
        <v>340</v>
      </c>
      <c r="AL769" s="94">
        <v>150</v>
      </c>
      <c r="AM769" s="94" t="str">
        <f>TRIM(AJ769)&amp;TRIM(AL769)&amp;TRIM(AK769)</f>
      </c>
      <c r="AN769" s="116">
        <v>0</v>
      </c>
      <c r="AO769" s="116" t="inlineStr">
        <is>
          <t>#NA</t>
        </is>
      </c>
      <c r="AP769" s="116">
        <f>SUMIFS(M:M,AM:AM,AM769)+SUMIFS(O:O,AM:AM,AM769)</f>
      </c>
      <c r="AQ769" s="116">
        <f>SUMIFS(L:L,AM:AM,AM769)</f>
      </c>
      <c r="AR769" s="116">
        <f>AQ769-AP769</f>
      </c>
      <c r="AS769" s="94" t="str">
        <f>IF(AN769&gt;=AQ769,"ok","ck")</f>
      </c>
      <c r="AT769" s="116">
        <f>-P769</f>
      </c>
      <c r="AU769" s="115">
        <f>IF(SUMIFS(AT:AT,AM:AM,AM769)&gt;AO769,(SUMIFS(AT:AT,AM:AM,AM769)-AO769))</f>
      </c>
      <c r="AV769" s="116">
        <v>0</v>
      </c>
      <c r="AW769" s="121">
        <v>1.019</v>
      </c>
      <c r="AX769" s="115">
        <f>AN769-AP769</f>
      </c>
    </row>
    <row r="770" spans="1:50" ht="15" hidden="1" customHeight="1" x14ac:dyDescent="0.3">
      <c r="A770" s="94" t="s">
        <v>311</v>
      </c>
      <c r="B770" s="94"/>
      <c r="C770" s="94"/>
      <c r="D770" s="94"/>
      <c r="E770" s="94"/>
      <c r="F770" s="94"/>
      <c r="G770" s="112">
        <f>AU770</f>
      </c>
      <c r="H770" s="113"/>
      <c r="I770" s="94" t="s">
        <v>312</v>
      </c>
      <c r="J770" s="94" t="s">
        <v>339</v>
      </c>
      <c r="K770" s="114">
        <f>P770/3</f>
      </c>
      <c r="L770" s="115">
        <v>-1.468</v>
      </c>
      <c r="M770" s="116"/>
      <c r="N770" s="117">
        <f>M770-L770</f>
      </c>
      <c r="O770" s="112"/>
      <c r="P770" s="118">
        <f>N770+O770</f>
      </c>
      <c r="Q770" s="94" t="s">
        <v>314</v>
      </c>
      <c r="R770" s="94" t="s">
        <v>63</v>
      </c>
      <c r="S770" s="120">
        <v>46320</v>
      </c>
      <c r="T770" s="120"/>
      <c r="U770" s="120">
        <v>46320</v>
      </c>
      <c r="V770" s="94"/>
      <c r="W770" s="94"/>
      <c r="X770" s="94"/>
      <c r="Y770" s="119">
        <v>46320</v>
      </c>
      <c r="Z770" s="94"/>
      <c r="AA770" s="120"/>
      <c r="AB770" s="120"/>
      <c r="AC770" s="120"/>
      <c r="AD770" s="120"/>
      <c r="AE770" s="120"/>
      <c r="AF770" s="120"/>
      <c r="AG770" s="94"/>
      <c r="AH770" s="120"/>
      <c r="AI770" s="94"/>
      <c r="AJ770" s="94" t="s">
        <v>314</v>
      </c>
      <c r="AK770" s="94" t="s">
        <v>340</v>
      </c>
      <c r="AL770" s="94">
        <v>150</v>
      </c>
      <c r="AM770" s="94" t="str">
        <f>TRIM(AJ770)&amp;TRIM(AL770)&amp;TRIM(AK770)</f>
      </c>
      <c r="AN770" s="116">
        <v>0</v>
      </c>
      <c r="AO770" s="116" t="inlineStr">
        <is>
          <t>#NA</t>
        </is>
      </c>
      <c r="AP770" s="116">
        <f>SUMIFS(M:M,AM:AM,AM770)+SUMIFS(O:O,AM:AM,AM770)</f>
      </c>
      <c r="AQ770" s="116">
        <f>SUMIFS(L:L,AM:AM,AM770)</f>
      </c>
      <c r="AR770" s="116">
        <f>AQ770-AP770</f>
      </c>
      <c r="AS770" s="94" t="str">
        <f>IF(AN770&gt;=AQ770,"ok","ck")</f>
      </c>
      <c r="AT770" s="116">
        <f>-P770</f>
      </c>
      <c r="AU770" s="115">
        <f>IF(SUMIFS(AT:AT,AM:AM,AM770)&gt;AO770,(SUMIFS(AT:AT,AM:AM,AM770)-AO770))</f>
      </c>
      <c r="AV770" s="116">
        <v>0</v>
      </c>
      <c r="AW770" s="121">
        <v>1.019</v>
      </c>
      <c r="AX770" s="115">
        <f>AN770-AP770</f>
      </c>
    </row>
    <row r="771" spans="1:50" ht="15" hidden="1" customHeight="1" x14ac:dyDescent="0.3">
      <c r="A771" s="94" t="s">
        <v>268</v>
      </c>
      <c r="B771" s="94"/>
      <c r="C771" s="94"/>
      <c r="D771" s="94"/>
      <c r="E771" s="94"/>
      <c r="F771" s="94"/>
      <c r="G771" s="112">
        <f>AU771</f>
      </c>
      <c r="H771" s="113"/>
      <c r="I771" s="94" t="s">
        <v>278</v>
      </c>
      <c r="J771" s="94" t="s">
        <v>355</v>
      </c>
      <c r="K771" s="114">
        <f>P771/3</f>
      </c>
      <c r="L771" s="115">
        <v>0</v>
      </c>
      <c r="M771" s="116">
        <f>L771</f>
      </c>
      <c r="N771" s="117">
        <f>M771-L771</f>
      </c>
      <c r="O771" s="112"/>
      <c r="P771" s="118">
        <f>N771+O771</f>
      </c>
      <c r="Q771" s="94" t="s">
        <v>287</v>
      </c>
      <c r="R771" s="94" t="s">
        <v>63</v>
      </c>
      <c r="S771" s="120">
        <v>46320</v>
      </c>
      <c r="T771" s="120"/>
      <c r="U771" s="120">
        <v>46320</v>
      </c>
      <c r="V771" s="94"/>
      <c r="W771" s="94"/>
      <c r="X771" s="94"/>
      <c r="Y771" s="119">
        <v>46320</v>
      </c>
      <c r="Z771" s="94"/>
      <c r="AA771" s="120"/>
      <c r="AB771" s="120"/>
      <c r="AC771" s="120"/>
      <c r="AD771" s="120"/>
      <c r="AE771" s="120"/>
      <c r="AF771" s="120"/>
      <c r="AG771" s="94"/>
      <c r="AH771" s="120"/>
      <c r="AI771" s="94"/>
      <c r="AJ771" s="94" t="s">
        <v>287</v>
      </c>
      <c r="AK771" s="94" t="s">
        <v>356</v>
      </c>
      <c r="AL771" s="94">
        <v>120</v>
      </c>
      <c r="AM771" s="94" t="str">
        <f>TRIM(AJ771)&amp;TRIM(AL771)&amp;TRIM(AK771)</f>
      </c>
      <c r="AN771" s="116">
        <v>834</v>
      </c>
      <c r="AO771" s="116">
        <v>0.15</v>
      </c>
      <c r="AP771" s="116">
        <f>SUMIFS(M:M,AM:AM,AM771)+SUMIFS(O:O,AM:AM,AM771)</f>
      </c>
      <c r="AQ771" s="116">
        <f>SUMIFS(L:L,AM:AM,AM771)</f>
      </c>
      <c r="AR771" s="116">
        <f>AQ771-AP771</f>
      </c>
      <c r="AS771" s="94" t="str">
        <f>IF(AN771&gt;=AQ771,"ok","ck")</f>
      </c>
      <c r="AT771" s="116">
        <f>-P771</f>
      </c>
      <c r="AU771" s="115">
        <f>IF(SUMIFS(AT:AT,AM:AM,AM771)&gt;AO771,(SUMIFS(AT:AT,AM:AM,AM771)-AO771))</f>
      </c>
      <c r="AV771" s="116">
        <v>821</v>
      </c>
      <c r="AW771" s="121">
        <v>1</v>
      </c>
      <c r="AX771" s="115">
        <f>AN771-AP771</f>
      </c>
    </row>
    <row r="772" spans="1:50" ht="15" hidden="1" customHeight="1" x14ac:dyDescent="0.3">
      <c r="A772" s="94" t="s">
        <v>82</v>
      </c>
      <c r="B772" s="94"/>
      <c r="C772" s="94"/>
      <c r="D772" s="94"/>
      <c r="E772" s="94"/>
      <c r="F772" s="94"/>
      <c r="G772" s="112">
        <f>AU772</f>
      </c>
      <c r="H772" s="113"/>
      <c r="I772" s="94" t="s">
        <v>83</v>
      </c>
      <c r="J772" s="94" t="s">
        <v>84</v>
      </c>
      <c r="K772" s="114">
        <f>P772/3</f>
      </c>
      <c r="L772" s="115">
        <v>1200</v>
      </c>
      <c r="M772" s="116">
        <v>1200</v>
      </c>
      <c r="N772" s="117">
        <f>M772-L772</f>
      </c>
      <c r="O772" s="112"/>
      <c r="P772" s="118">
        <f>N772+O772</f>
      </c>
      <c r="Q772" s="94" t="s">
        <v>85</v>
      </c>
      <c r="R772" s="94" t="s">
        <v>63</v>
      </c>
      <c r="S772" s="120">
        <v>46331</v>
      </c>
      <c r="T772" s="120"/>
      <c r="U772" s="120" t="s">
        <v>654</v>
      </c>
      <c r="V772" s="94"/>
      <c r="W772" s="94"/>
      <c r="X772" s="94"/>
      <c r="Y772" s="119">
        <v>46320</v>
      </c>
      <c r="Z772" s="94"/>
      <c r="AA772" s="120"/>
      <c r="AB772" s="120"/>
      <c r="AC772" s="120"/>
      <c r="AD772" s="120"/>
      <c r="AE772" s="120"/>
      <c r="AF772" s="120"/>
      <c r="AG772" s="94"/>
      <c r="AH772" s="120"/>
      <c r="AI772" s="94"/>
      <c r="AJ772" s="94" t="s">
        <v>86</v>
      </c>
      <c r="AK772" s="94" t="s">
        <v>87</v>
      </c>
      <c r="AL772" s="94">
        <v>160</v>
      </c>
      <c r="AM772" s="94" t="str">
        <f>TRIM(AJ772)&amp;TRIM(AL772)&amp;TRIM(AK772)</f>
      </c>
      <c r="AN772" s="116">
        <v>13950.18</v>
      </c>
      <c r="AO772" s="116">
        <v>6776.82</v>
      </c>
      <c r="AP772" s="116">
        <f>SUMIFS(M:M,AM:AM,AM772)+SUMIFS(O:O,AM:AM,AM772)</f>
      </c>
      <c r="AQ772" s="116">
        <f>SUMIFS(L:L,AM:AM,AM772)</f>
      </c>
      <c r="AR772" s="116">
        <f>AQ772-AP772</f>
      </c>
      <c r="AS772" s="94" t="str">
        <f>IF(AN772&gt;=AQ772,"ok","ck")</f>
      </c>
      <c r="AT772" s="116">
        <f>-P772</f>
      </c>
      <c r="AU772" s="115">
        <f>IF(SUMIFS(AT:AT,AM:AM,AM772)&gt;AO772,(SUMIFS(AT:AT,AM:AM,AM772)-AO772))</f>
      </c>
      <c r="AV772" s="116">
        <v>13950.18</v>
      </c>
      <c r="AW772" s="121">
        <v>0.673</v>
      </c>
      <c r="AX772" s="115">
        <f>AN772-AP772</f>
      </c>
    </row>
    <row r="773" spans="1:50" ht="15" hidden="1" customHeight="1" x14ac:dyDescent="0.3">
      <c r="A773" s="94" t="s">
        <v>82</v>
      </c>
      <c r="B773" s="94"/>
      <c r="C773" s="94"/>
      <c r="D773" s="94"/>
      <c r="E773" s="94"/>
      <c r="F773" s="94"/>
      <c r="G773" s="112">
        <f>AU773</f>
      </c>
      <c r="H773" s="113"/>
      <c r="I773" s="94" t="s">
        <v>83</v>
      </c>
      <c r="J773" s="94" t="s">
        <v>84</v>
      </c>
      <c r="K773" s="114">
        <f>P773/3</f>
      </c>
      <c r="L773" s="115">
        <v>1200</v>
      </c>
      <c r="M773" s="116">
        <v>1200</v>
      </c>
      <c r="N773" s="117">
        <f>M773-L773</f>
      </c>
      <c r="O773" s="112"/>
      <c r="P773" s="118">
        <f>N773+O773</f>
      </c>
      <c r="Q773" s="94" t="s">
        <v>85</v>
      </c>
      <c r="R773" s="94" t="s">
        <v>63</v>
      </c>
      <c r="S773" s="120">
        <v>46332</v>
      </c>
      <c r="T773" s="120"/>
      <c r="U773" s="120" t="s">
        <v>654</v>
      </c>
      <c r="V773" s="94"/>
      <c r="W773" s="94"/>
      <c r="X773" s="94"/>
      <c r="Y773" s="119">
        <v>46320</v>
      </c>
      <c r="Z773" s="94"/>
      <c r="AA773" s="120"/>
      <c r="AB773" s="120"/>
      <c r="AC773" s="120"/>
      <c r="AD773" s="120"/>
      <c r="AE773" s="120"/>
      <c r="AF773" s="120"/>
      <c r="AG773" s="94"/>
      <c r="AH773" s="120"/>
      <c r="AI773" s="94"/>
      <c r="AJ773" s="94" t="s">
        <v>86</v>
      </c>
      <c r="AK773" s="94" t="s">
        <v>87</v>
      </c>
      <c r="AL773" s="94">
        <v>160</v>
      </c>
      <c r="AM773" s="94" t="str">
        <f>TRIM(AJ773)&amp;TRIM(AL773)&amp;TRIM(AK773)</f>
      </c>
      <c r="AN773" s="116">
        <v>13950.18</v>
      </c>
      <c r="AO773" s="116">
        <v>6776.82</v>
      </c>
      <c r="AP773" s="116">
        <f>SUMIFS(M:M,AM:AM,AM773)+SUMIFS(O:O,AM:AM,AM773)</f>
      </c>
      <c r="AQ773" s="116">
        <f>SUMIFS(L:L,AM:AM,AM773)</f>
      </c>
      <c r="AR773" s="116">
        <f>AQ773-AP773</f>
      </c>
      <c r="AS773" s="94" t="str">
        <f>IF(AN773&gt;=AQ773,"ok","ck")</f>
      </c>
      <c r="AT773" s="116">
        <f>-P773</f>
      </c>
      <c r="AU773" s="115">
        <f>IF(SUMIFS(AT:AT,AM:AM,AM773)&gt;AO773,(SUMIFS(AT:AT,AM:AM,AM773)-AO773))</f>
      </c>
      <c r="AV773" s="116">
        <v>13950.18</v>
      </c>
      <c r="AW773" s="121">
        <v>0.673</v>
      </c>
      <c r="AX773" s="115">
        <f>AN773-AP773</f>
      </c>
    </row>
    <row r="774" spans="1:50" ht="15" hidden="1" customHeight="1" x14ac:dyDescent="0.3">
      <c r="A774" s="94" t="s">
        <v>82</v>
      </c>
      <c r="B774" s="94"/>
      <c r="C774" s="94"/>
      <c r="D774" s="94"/>
      <c r="E774" s="94"/>
      <c r="F774" s="94"/>
      <c r="G774" s="112">
        <f>AU774</f>
      </c>
      <c r="H774" s="113"/>
      <c r="I774" s="94" t="s">
        <v>83</v>
      </c>
      <c r="J774" s="94" t="s">
        <v>84</v>
      </c>
      <c r="K774" s="114">
        <f>P774/3</f>
      </c>
      <c r="L774" s="115">
        <v>1200</v>
      </c>
      <c r="M774" s="116">
        <v>1200</v>
      </c>
      <c r="N774" s="117">
        <f>M774-L774</f>
      </c>
      <c r="O774" s="112"/>
      <c r="P774" s="118">
        <f>N774+O774</f>
      </c>
      <c r="Q774" s="94" t="s">
        <v>85</v>
      </c>
      <c r="R774" s="94" t="s">
        <v>63</v>
      </c>
      <c r="S774" s="120">
        <v>46336</v>
      </c>
      <c r="T774" s="120"/>
      <c r="U774" s="120" t="s">
        <v>654</v>
      </c>
      <c r="V774" s="94"/>
      <c r="W774" s="94"/>
      <c r="X774" s="94"/>
      <c r="Y774" s="119">
        <v>46324</v>
      </c>
      <c r="Z774" s="94"/>
      <c r="AA774" s="120"/>
      <c r="AB774" s="120"/>
      <c r="AC774" s="120"/>
      <c r="AD774" s="120"/>
      <c r="AE774" s="120"/>
      <c r="AF774" s="120"/>
      <c r="AG774" s="94"/>
      <c r="AH774" s="120"/>
      <c r="AI774" s="94"/>
      <c r="AJ774" s="94" t="s">
        <v>86</v>
      </c>
      <c r="AK774" s="94" t="s">
        <v>87</v>
      </c>
      <c r="AL774" s="94">
        <v>160</v>
      </c>
      <c r="AM774" s="94" t="str">
        <f>TRIM(AJ774)&amp;TRIM(AL774)&amp;TRIM(AK774)</f>
      </c>
      <c r="AN774" s="116">
        <v>13950.18</v>
      </c>
      <c r="AO774" s="116">
        <v>6776.82</v>
      </c>
      <c r="AP774" s="116">
        <f>SUMIFS(M:M,AM:AM,AM774)+SUMIFS(O:O,AM:AM,AM774)</f>
      </c>
      <c r="AQ774" s="116">
        <f>SUMIFS(L:L,AM:AM,AM774)</f>
      </c>
      <c r="AR774" s="116">
        <f>AQ774-AP774</f>
      </c>
      <c r="AS774" s="94" t="str">
        <f>IF(AN774&gt;=AQ774,"ok","ck")</f>
      </c>
      <c r="AT774" s="116">
        <f>-P774</f>
      </c>
      <c r="AU774" s="115">
        <f>IF(SUMIFS(AT:AT,AM:AM,AM774)&gt;AO774,(SUMIFS(AT:AT,AM:AM,AM774)-AO774))</f>
      </c>
      <c r="AV774" s="116">
        <v>13950.18</v>
      </c>
      <c r="AW774" s="121">
        <v>0.673</v>
      </c>
      <c r="AX774" s="115">
        <f>AN774-AP774</f>
      </c>
    </row>
    <row r="775" spans="1:50" ht="15" hidden="1" customHeight="1" x14ac:dyDescent="0.3">
      <c r="A775" s="94" t="s">
        <v>82</v>
      </c>
      <c r="B775" s="94"/>
      <c r="C775" s="94"/>
      <c r="D775" s="94"/>
      <c r="E775" s="94"/>
      <c r="F775" s="94"/>
      <c r="G775" s="112">
        <f>AU775</f>
      </c>
      <c r="H775" s="113"/>
      <c r="I775" s="94" t="s">
        <v>83</v>
      </c>
      <c r="J775" s="94" t="s">
        <v>84</v>
      </c>
      <c r="K775" s="114">
        <f>P775/3</f>
      </c>
      <c r="L775" s="115">
        <v>1200</v>
      </c>
      <c r="M775" s="116">
        <v>1200</v>
      </c>
      <c r="N775" s="117">
        <f>M775-L775</f>
      </c>
      <c r="O775" s="112"/>
      <c r="P775" s="118">
        <f>N775+O775</f>
      </c>
      <c r="Q775" s="94" t="s">
        <v>85</v>
      </c>
      <c r="R775" s="94" t="s">
        <v>63</v>
      </c>
      <c r="S775" s="119">
        <v>46337</v>
      </c>
      <c r="T775" s="119"/>
      <c r="U775" s="119" t="s">
        <v>654</v>
      </c>
      <c r="V775" s="94"/>
      <c r="W775" s="94"/>
      <c r="X775" s="94"/>
      <c r="Y775" s="119">
        <v>46324</v>
      </c>
      <c r="Z775" s="94"/>
      <c r="AA775" s="120"/>
      <c r="AB775" s="120"/>
      <c r="AC775" s="120"/>
      <c r="AD775" s="120"/>
      <c r="AE775" s="120"/>
      <c r="AF775" s="120"/>
      <c r="AG775" s="94"/>
      <c r="AH775" s="120"/>
      <c r="AI775" s="94"/>
      <c r="AJ775" s="94" t="s">
        <v>86</v>
      </c>
      <c r="AK775" s="94" t="s">
        <v>87</v>
      </c>
      <c r="AL775" s="94">
        <v>160</v>
      </c>
      <c r="AM775" s="94" t="str">
        <f>TRIM(AJ775)&amp;TRIM(AL775)&amp;TRIM(AK775)</f>
      </c>
      <c r="AN775" s="116">
        <v>13950.18</v>
      </c>
      <c r="AO775" s="116">
        <v>6776.82</v>
      </c>
      <c r="AP775" s="116">
        <f>SUMIFS(M:M,AM:AM,AM775)+SUMIFS(O:O,AM:AM,AM775)</f>
      </c>
      <c r="AQ775" s="116">
        <f>SUMIFS(L:L,AM:AM,AM775)</f>
      </c>
      <c r="AR775" s="116">
        <f>AQ775-AP775</f>
      </c>
      <c r="AS775" s="94" t="str">
        <f>IF(AN775&gt;=AQ775,"ok","ck")</f>
      </c>
      <c r="AT775" s="116">
        <f>-P775</f>
      </c>
      <c r="AU775" s="115">
        <f>IF(SUMIFS(AT:AT,AM:AM,AM775)&gt;AO775,(SUMIFS(AT:AT,AM:AM,AM775)-AO775))</f>
      </c>
      <c r="AV775" s="116">
        <v>13950.18</v>
      </c>
      <c r="AW775" s="121">
        <v>0.673</v>
      </c>
      <c r="AX775" s="115">
        <f>AN775-AP775</f>
      </c>
    </row>
    <row r="776" spans="1:50" ht="15" hidden="1" customHeight="1" x14ac:dyDescent="0.3">
      <c r="A776" s="94" t="s">
        <v>82</v>
      </c>
      <c r="B776" s="94"/>
      <c r="C776" s="94"/>
      <c r="D776" s="94"/>
      <c r="E776" s="94"/>
      <c r="F776" s="94"/>
      <c r="G776" s="112">
        <f>AU776</f>
      </c>
      <c r="H776" s="113"/>
      <c r="I776" s="94" t="s">
        <v>83</v>
      </c>
      <c r="J776" s="94" t="s">
        <v>84</v>
      </c>
      <c r="K776" s="114">
        <f>P776/3</f>
      </c>
      <c r="L776" s="115">
        <v>1200</v>
      </c>
      <c r="M776" s="116">
        <v>1200</v>
      </c>
      <c r="N776" s="117">
        <f>M776-L776</f>
      </c>
      <c r="O776" s="112"/>
      <c r="P776" s="118">
        <f>N776+O776</f>
      </c>
      <c r="Q776" s="94" t="s">
        <v>85</v>
      </c>
      <c r="R776" s="94" t="s">
        <v>63</v>
      </c>
      <c r="S776" s="119">
        <v>46338</v>
      </c>
      <c r="T776" s="119"/>
      <c r="U776" s="119" t="s">
        <v>654</v>
      </c>
      <c r="V776" s="94"/>
      <c r="W776" s="94"/>
      <c r="X776" s="94"/>
      <c r="Y776" s="119">
        <v>46324</v>
      </c>
      <c r="Z776" s="94"/>
      <c r="AA776" s="120"/>
      <c r="AB776" s="120"/>
      <c r="AC776" s="120"/>
      <c r="AD776" s="120"/>
      <c r="AE776" s="120"/>
      <c r="AF776" s="120"/>
      <c r="AG776" s="94"/>
      <c r="AH776" s="120"/>
      <c r="AI776" s="94"/>
      <c r="AJ776" s="94" t="s">
        <v>86</v>
      </c>
      <c r="AK776" s="94" t="s">
        <v>87</v>
      </c>
      <c r="AL776" s="94">
        <v>160</v>
      </c>
      <c r="AM776" s="94" t="str">
        <f>TRIM(AJ776)&amp;TRIM(AL776)&amp;TRIM(AK776)</f>
      </c>
      <c r="AN776" s="116">
        <v>13950.18</v>
      </c>
      <c r="AO776" s="116">
        <v>6776.82</v>
      </c>
      <c r="AP776" s="116">
        <f>SUMIFS(M:M,AM:AM,AM776)+SUMIFS(O:O,AM:AM,AM776)</f>
      </c>
      <c r="AQ776" s="116">
        <f>SUMIFS(L:L,AM:AM,AM776)</f>
      </c>
      <c r="AR776" s="116">
        <f>AQ776-AP776</f>
      </c>
      <c r="AS776" s="94" t="str">
        <f>IF(AN776&gt;=AQ776,"ok","ck")</f>
      </c>
      <c r="AT776" s="116">
        <f>-P776</f>
      </c>
      <c r="AU776" s="115">
        <f>IF(SUMIFS(AT:AT,AM:AM,AM776)&gt;AO776,(SUMIFS(AT:AT,AM:AM,AM776)-AO776))</f>
      </c>
      <c r="AV776" s="116">
        <v>13950.18</v>
      </c>
      <c r="AW776" s="121">
        <v>0.673</v>
      </c>
      <c r="AX776" s="115">
        <f>AN776-AP776</f>
      </c>
    </row>
    <row r="777" spans="1:50" ht="15" hidden="1" customHeight="1" x14ac:dyDescent="0.3">
      <c r="A777" s="94" t="s">
        <v>82</v>
      </c>
      <c r="B777" s="94"/>
      <c r="C777" s="94"/>
      <c r="D777" s="94"/>
      <c r="E777" s="94"/>
      <c r="F777" s="94"/>
      <c r="G777" s="112">
        <f>AU777</f>
      </c>
      <c r="H777" s="113"/>
      <c r="I777" s="94" t="s">
        <v>83</v>
      </c>
      <c r="J777" s="94" t="s">
        <v>84</v>
      </c>
      <c r="K777" s="114">
        <f>P777/3</f>
      </c>
      <c r="L777" s="115">
        <v>7070.3</v>
      </c>
      <c r="M777" s="116">
        <v>293.48</v>
      </c>
      <c r="N777" s="117">
        <f>M777-L777</f>
      </c>
      <c r="O777" s="112"/>
      <c r="P777" s="118">
        <f>N777+O777</f>
      </c>
      <c r="Q777" s="94" t="s">
        <v>85</v>
      </c>
      <c r="R777" s="94" t="s">
        <v>63</v>
      </c>
      <c r="S777" s="119">
        <v>46339</v>
      </c>
      <c r="T777" s="119"/>
      <c r="U777" s="119" t="s">
        <v>654</v>
      </c>
      <c r="V777" s="94"/>
      <c r="W777" s="94"/>
      <c r="X777" s="94"/>
      <c r="Y777" s="119">
        <v>46324</v>
      </c>
      <c r="Z777" s="94"/>
      <c r="AA777" s="120"/>
      <c r="AB777" s="120"/>
      <c r="AC777" s="120"/>
      <c r="AD777" s="120"/>
      <c r="AE777" s="120"/>
      <c r="AF777" s="120"/>
      <c r="AG777" s="94"/>
      <c r="AH777" s="120"/>
      <c r="AI777" s="94"/>
      <c r="AJ777" s="94" t="s">
        <v>86</v>
      </c>
      <c r="AK777" s="94" t="s">
        <v>87</v>
      </c>
      <c r="AL777" s="94">
        <v>160</v>
      </c>
      <c r="AM777" s="94" t="str">
        <f>TRIM(AJ777)&amp;TRIM(AL777)&amp;TRIM(AK777)</f>
      </c>
      <c r="AN777" s="116">
        <v>13950.18</v>
      </c>
      <c r="AO777" s="116">
        <v>6776.82</v>
      </c>
      <c r="AP777" s="116">
        <f>SUMIFS(M:M,AM:AM,AM777)+SUMIFS(O:O,AM:AM,AM777)</f>
      </c>
      <c r="AQ777" s="116">
        <f>SUMIFS(L:L,AM:AM,AM777)</f>
      </c>
      <c r="AR777" s="116">
        <f>AQ777-AP777</f>
      </c>
      <c r="AS777" s="94" t="str">
        <f>IF(AN777&gt;=AQ777,"ok","ck")</f>
      </c>
      <c r="AT777" s="116">
        <f>-P777</f>
      </c>
      <c r="AU777" s="115">
        <f>IF(SUMIFS(AT:AT,AM:AM,AM777)&gt;AO777,(SUMIFS(AT:AT,AM:AM,AM777)-AO777))</f>
      </c>
      <c r="AV777" s="116">
        <v>13950.18</v>
      </c>
      <c r="AW777" s="121">
        <v>0.673</v>
      </c>
      <c r="AX777" s="115">
        <f>AN777-AP777</f>
      </c>
    </row>
    <row r="778" spans="1:50" ht="15" hidden="1" customHeight="1" x14ac:dyDescent="0.3">
      <c r="A778" s="94" t="s">
        <v>60</v>
      </c>
      <c r="B778" s="94"/>
      <c r="C778" s="94"/>
      <c r="D778" s="94"/>
      <c r="E778" s="94"/>
      <c r="F778" s="94"/>
      <c r="G778" s="112">
        <f>AU778</f>
      </c>
      <c r="H778" s="113"/>
      <c r="I778" s="94" t="s">
        <v>70</v>
      </c>
      <c r="J778" s="94" t="s">
        <v>555</v>
      </c>
      <c r="K778" s="114">
        <f>P778/3</f>
      </c>
      <c r="L778" s="115">
        <v>350.88</v>
      </c>
      <c r="M778" s="116"/>
      <c r="N778" s="117">
        <f>M778-L778</f>
      </c>
      <c r="O778" s="112"/>
      <c r="P778" s="118">
        <f>N778+O778</f>
      </c>
      <c r="Q778" s="94" t="s">
        <v>811</v>
      </c>
      <c r="R778" s="94" t="s">
        <v>63</v>
      </c>
      <c r="S778" s="119">
        <v>46345</v>
      </c>
      <c r="T778" s="119"/>
      <c r="U778" s="119">
        <v>46345</v>
      </c>
      <c r="V778" s="94"/>
      <c r="W778" s="94"/>
      <c r="X778" s="94"/>
      <c r="Y778" s="119">
        <v>46336</v>
      </c>
      <c r="Z778" s="94"/>
      <c r="AA778" s="120"/>
      <c r="AB778" s="120"/>
      <c r="AC778" s="120"/>
      <c r="AD778" s="120"/>
      <c r="AE778" s="120"/>
      <c r="AF778" s="120"/>
      <c r="AG778" s="94"/>
      <c r="AH778" s="120"/>
      <c r="AI778" s="94"/>
      <c r="AJ778" s="94" t="s">
        <v>811</v>
      </c>
      <c r="AK778" s="94" t="s">
        <v>730</v>
      </c>
      <c r="AL778" s="94">
        <v>140</v>
      </c>
      <c r="AM778" s="94" t="str">
        <f>TRIM(AJ778)&amp;TRIM(AL778)&amp;TRIM(AK778)</f>
      </c>
      <c r="AN778" s="116">
        <v>0</v>
      </c>
      <c r="AO778" s="116" t="inlineStr">
        <is>
          <t>#NA</t>
        </is>
      </c>
      <c r="AP778" s="116">
        <f>SUMIFS(M:M,AM:AM,AM778)+SUMIFS(O:O,AM:AM,AM778)</f>
      </c>
      <c r="AQ778" s="116">
        <f>SUMIFS(L:L,AM:AM,AM778)</f>
      </c>
      <c r="AR778" s="116">
        <f>AQ778-AP778</f>
      </c>
      <c r="AS778" s="94" t="str">
        <f>IF(AN778&gt;=AQ778,"ok","ck")</f>
      </c>
      <c r="AT778" s="116">
        <f>-P778</f>
      </c>
      <c r="AU778" s="115">
        <f>IF(SUMIFS(AT:AT,AM:AM,AM778)&gt;AO778,(SUMIFS(AT:AT,AM:AM,AM778)-AO778))</f>
      </c>
      <c r="AV778" s="116">
        <v>0</v>
      </c>
      <c r="AW778" s="121">
        <v>0</v>
      </c>
      <c r="AX778" s="115">
        <f>AN778-AP778</f>
      </c>
    </row>
    <row r="779" spans="1:50" ht="15" hidden="1" customHeight="1" x14ac:dyDescent="0.3">
      <c r="A779" s="94" t="s">
        <v>268</v>
      </c>
      <c r="B779" s="94"/>
      <c r="C779" s="94"/>
      <c r="D779" s="94"/>
      <c r="E779" s="94"/>
      <c r="F779" s="94"/>
      <c r="G779" s="112">
        <f>AU779</f>
      </c>
      <c r="H779" s="113"/>
      <c r="I779" s="94" t="s">
        <v>278</v>
      </c>
      <c r="J779" s="94" t="s">
        <v>293</v>
      </c>
      <c r="K779" s="114">
        <f>P779/3</f>
      </c>
      <c r="L779" s="115">
        <v>9.7970000000000006</v>
      </c>
      <c r="M779" s="116">
        <f>L779</f>
      </c>
      <c r="N779" s="117">
        <f>M779-L779</f>
      </c>
      <c r="O779" s="112"/>
      <c r="P779" s="118">
        <f>N779+O779</f>
      </c>
      <c r="Q779" s="94" t="s">
        <v>287</v>
      </c>
      <c r="R779" s="94" t="s">
        <v>63</v>
      </c>
      <c r="S779" s="119">
        <v>46329</v>
      </c>
      <c r="T779" s="119"/>
      <c r="U779" s="119">
        <v>46329</v>
      </c>
      <c r="V779" s="94"/>
      <c r="W779" s="94"/>
      <c r="X779" s="94"/>
      <c r="Y779" s="119">
        <v>46320</v>
      </c>
      <c r="Z779" s="94"/>
      <c r="AA779" s="120"/>
      <c r="AB779" s="120"/>
      <c r="AC779" s="120"/>
      <c r="AD779" s="120"/>
      <c r="AE779" s="120"/>
      <c r="AF779" s="120"/>
      <c r="AG779" s="94"/>
      <c r="AH779" s="120"/>
      <c r="AI779" s="94"/>
      <c r="AJ779" s="94" t="s">
        <v>287</v>
      </c>
      <c r="AK779" s="94" t="s">
        <v>294</v>
      </c>
      <c r="AL779" s="94">
        <v>120</v>
      </c>
      <c r="AM779" s="94" t="str">
        <f>TRIM(AJ779)&amp;TRIM(AL779)&amp;TRIM(AK779)</f>
      </c>
      <c r="AN779" s="116">
        <v>1378</v>
      </c>
      <c r="AO779" s="116">
        <v>16.72</v>
      </c>
      <c r="AP779" s="116">
        <f>SUMIFS(M:M,AM:AM,AM779)+SUMIFS(O:O,AM:AM,AM779)</f>
      </c>
      <c r="AQ779" s="116">
        <f>SUMIFS(L:L,AM:AM,AM779)</f>
      </c>
      <c r="AR779" s="116">
        <f>AQ779-AP779</f>
      </c>
      <c r="AS779" s="94" t="str">
        <f>IF(AN779&gt;=AQ779,"ok","ck")</f>
      </c>
      <c r="AT779" s="116">
        <f>-P779</f>
      </c>
      <c r="AU779" s="115">
        <f>IF(SUMIFS(AT:AT,AM:AM,AM779)&gt;AO779,(SUMIFS(AT:AT,AM:AM,AM779)-AO779))</f>
      </c>
      <c r="AV779" s="116">
        <v>1245</v>
      </c>
      <c r="AW779" s="121">
        <v>0.987</v>
      </c>
      <c r="AX779" s="115">
        <f>AN779-AP779</f>
      </c>
    </row>
    <row r="780" spans="1:50" ht="15" hidden="1" customHeight="1" x14ac:dyDescent="0.3">
      <c r="A780" s="94" t="s">
        <v>60</v>
      </c>
      <c r="B780" s="94"/>
      <c r="C780" s="94"/>
      <c r="D780" s="94"/>
      <c r="E780" s="94"/>
      <c r="F780" s="94"/>
      <c r="G780" s="112">
        <f>AU780</f>
      </c>
      <c r="H780" s="113"/>
      <c r="I780" s="94" t="s">
        <v>487</v>
      </c>
      <c r="J780" s="94" t="s">
        <v>511</v>
      </c>
      <c r="K780" s="114">
        <f>P780/3</f>
      </c>
      <c r="L780" s="115">
        <v>3.0750000000000002</v>
      </c>
      <c r="M780" s="116"/>
      <c r="N780" s="117">
        <f>M780-L780</f>
      </c>
      <c r="O780" s="112"/>
      <c r="P780" s="118">
        <f>N780+O780</f>
      </c>
      <c r="Q780" s="94" t="s">
        <v>795</v>
      </c>
      <c r="R780" s="94" t="s">
        <v>63</v>
      </c>
      <c r="S780" s="119">
        <v>46334</v>
      </c>
      <c r="T780" s="119"/>
      <c r="U780" s="119">
        <v>46334</v>
      </c>
      <c r="V780" s="94"/>
      <c r="W780" s="94"/>
      <c r="X780" s="94"/>
      <c r="Y780" s="119">
        <v>46334</v>
      </c>
      <c r="Z780" s="94"/>
      <c r="AA780" s="120"/>
      <c r="AB780" s="120"/>
      <c r="AC780" s="120"/>
      <c r="AD780" s="120"/>
      <c r="AE780" s="120"/>
      <c r="AF780" s="120"/>
      <c r="AG780" s="94"/>
      <c r="AH780" s="120"/>
      <c r="AI780" s="94"/>
      <c r="AJ780" s="94" t="s">
        <v>795</v>
      </c>
      <c r="AK780" s="94" t="s">
        <v>511</v>
      </c>
      <c r="AL780" s="94">
        <v>160</v>
      </c>
      <c r="AM780" s="94" t="str">
        <f>TRIM(AJ780)&amp;TRIM(AL780)&amp;TRIM(AK780)</f>
      </c>
      <c r="AN780" s="116">
        <v>0</v>
      </c>
      <c r="AO780" s="116" t="inlineStr">
        <is>
          <t>#NA</t>
        </is>
      </c>
      <c r="AP780" s="116">
        <f>SUMIFS(M:M,AM:AM,AM780)+SUMIFS(O:O,AM:AM,AM780)</f>
      </c>
      <c r="AQ780" s="116">
        <f>SUMIFS(L:L,AM:AM,AM780)</f>
      </c>
      <c r="AR780" s="116">
        <f>AQ780-AP780</f>
      </c>
      <c r="AS780" s="94" t="str">
        <f>IF(AN780&gt;=AQ780,"ok","ck")</f>
      </c>
      <c r="AT780" s="116">
        <f>-P780</f>
      </c>
      <c r="AU780" s="115">
        <f>IF(SUMIFS(AT:AT,AM:AM,AM780)&gt;AO780,(SUMIFS(AT:AT,AM:AM,AM780)-AO780))</f>
      </c>
      <c r="AV780" s="116">
        <v>0</v>
      </c>
      <c r="AW780" s="121">
        <v>0</v>
      </c>
      <c r="AX780" s="115">
        <f>AN780-AP780</f>
      </c>
    </row>
    <row r="781" spans="1:50" ht="15" hidden="1" customHeight="1" x14ac:dyDescent="0.3">
      <c r="A781" s="94" t="s">
        <v>268</v>
      </c>
      <c r="B781" s="94"/>
      <c r="C781" s="94"/>
      <c r="D781" s="94"/>
      <c r="E781" s="94"/>
      <c r="F781" s="94"/>
      <c r="G781" s="112">
        <f>AU781</f>
      </c>
      <c r="H781" s="113"/>
      <c r="I781" s="94" t="s">
        <v>278</v>
      </c>
      <c r="J781" s="94" t="s">
        <v>381</v>
      </c>
      <c r="K781" s="114">
        <f>P781/3</f>
      </c>
      <c r="L781" s="115">
        <v>465.988</v>
      </c>
      <c r="M781" s="116"/>
      <c r="N781" s="117">
        <f>M781-L781</f>
      </c>
      <c r="O781" s="112"/>
      <c r="P781" s="118">
        <f>N781+O781</f>
      </c>
      <c r="Q781" s="94" t="s">
        <v>773</v>
      </c>
      <c r="R781" s="94" t="s">
        <v>63</v>
      </c>
      <c r="S781" s="119">
        <v>46344</v>
      </c>
      <c r="T781" s="119"/>
      <c r="U781" s="119" t="s">
        <v>630</v>
      </c>
      <c r="V781" s="94"/>
      <c r="W781" s="94"/>
      <c r="X781" s="94"/>
      <c r="Y781" s="119">
        <v>46337</v>
      </c>
      <c r="Z781" s="94"/>
      <c r="AA781" s="120"/>
      <c r="AB781" s="120"/>
      <c r="AC781" s="120"/>
      <c r="AD781" s="120"/>
      <c r="AE781" s="120"/>
      <c r="AF781" s="120"/>
      <c r="AG781" s="94"/>
      <c r="AH781" s="120"/>
      <c r="AI781" s="94"/>
      <c r="AJ781" s="94" t="s">
        <v>773</v>
      </c>
      <c r="AK781" s="94" t="s">
        <v>381</v>
      </c>
      <c r="AL781" s="94">
        <v>120</v>
      </c>
      <c r="AM781" s="94" t="str">
        <f>TRIM(AJ781)&amp;TRIM(AL781)&amp;TRIM(AK781)</f>
      </c>
      <c r="AN781" s="116">
        <v>0</v>
      </c>
      <c r="AO781" s="116" t="inlineStr">
        <is>
          <t>#NA</t>
        </is>
      </c>
      <c r="AP781" s="116">
        <f>SUMIFS(M:M,AM:AM,AM781)+SUMIFS(O:O,AM:AM,AM781)</f>
      </c>
      <c r="AQ781" s="116">
        <f>SUMIFS(L:L,AM:AM,AM781)</f>
      </c>
      <c r="AR781" s="116">
        <f>AQ781-AP781</f>
      </c>
      <c r="AS781" s="94" t="str">
        <f>IF(AN781&gt;=AQ781,"ok","ck")</f>
      </c>
      <c r="AT781" s="116">
        <f>-P781</f>
      </c>
      <c r="AU781" s="115">
        <f>IF(SUMIFS(AT:AT,AM:AM,AM781)&gt;AO781,(SUMIFS(AT:AT,AM:AM,AM781)-AO781))</f>
      </c>
      <c r="AV781" s="116">
        <v>0</v>
      </c>
      <c r="AW781" s="121">
        <v>0</v>
      </c>
      <c r="AX781" s="115">
        <f>AN781-AP781</f>
      </c>
    </row>
    <row r="782" spans="1:50" ht="15" hidden="1" customHeight="1" x14ac:dyDescent="0.3">
      <c r="A782" s="94" t="s">
        <v>60</v>
      </c>
      <c r="B782" s="94"/>
      <c r="C782" s="94"/>
      <c r="D782" s="94"/>
      <c r="E782" s="94"/>
      <c r="F782" s="94"/>
      <c r="G782" s="112">
        <f>AU782</f>
      </c>
      <c r="H782" s="113"/>
      <c r="I782" s="94" t="s">
        <v>70</v>
      </c>
      <c r="J782" s="94" t="s">
        <v>555</v>
      </c>
      <c r="K782" s="114">
        <f>P782/3</f>
      </c>
      <c r="L782" s="115">
        <v>2.04</v>
      </c>
      <c r="M782" s="116"/>
      <c r="N782" s="117">
        <f>M782-L782</f>
      </c>
      <c r="O782" s="112"/>
      <c r="P782" s="118">
        <f>N782+O782</f>
      </c>
      <c r="Q782" s="94" t="s">
        <v>811</v>
      </c>
      <c r="R782" s="94" t="s">
        <v>63</v>
      </c>
      <c r="S782" s="119">
        <v>46345</v>
      </c>
      <c r="T782" s="119"/>
      <c r="U782" s="119">
        <v>46345</v>
      </c>
      <c r="V782" s="94"/>
      <c r="W782" s="94"/>
      <c r="X782" s="94"/>
      <c r="Y782" s="119">
        <v>46337</v>
      </c>
      <c r="Z782" s="94"/>
      <c r="AA782" s="120"/>
      <c r="AB782" s="120"/>
      <c r="AC782" s="120"/>
      <c r="AD782" s="120"/>
      <c r="AE782" s="120"/>
      <c r="AF782" s="120"/>
      <c r="AG782" s="94"/>
      <c r="AH782" s="120"/>
      <c r="AI782" s="94"/>
      <c r="AJ782" s="94" t="s">
        <v>811</v>
      </c>
      <c r="AK782" s="94" t="s">
        <v>730</v>
      </c>
      <c r="AL782" s="94">
        <v>140</v>
      </c>
      <c r="AM782" s="94" t="str">
        <f>TRIM(AJ782)&amp;TRIM(AL782)&amp;TRIM(AK782)</f>
      </c>
      <c r="AN782" s="116">
        <v>0</v>
      </c>
      <c r="AO782" s="116" t="inlineStr">
        <is>
          <t>#NA</t>
        </is>
      </c>
      <c r="AP782" s="116">
        <f>SUMIFS(M:M,AM:AM,AM782)+SUMIFS(O:O,AM:AM,AM782)</f>
      </c>
      <c r="AQ782" s="116">
        <f>SUMIFS(L:L,AM:AM,AM782)</f>
      </c>
      <c r="AR782" s="116">
        <f>AQ782-AP782</f>
      </c>
      <c r="AS782" s="94" t="str">
        <f>IF(AN782&gt;=AQ782,"ok","ck")</f>
      </c>
      <c r="AT782" s="116">
        <f>-P782</f>
      </c>
      <c r="AU782" s="115">
        <f>IF(SUMIFS(AT:AT,AM:AM,AM782)&gt;AO782,(SUMIFS(AT:AT,AM:AM,AM782)-AO782))</f>
      </c>
      <c r="AV782" s="116">
        <v>0</v>
      </c>
      <c r="AW782" s="121">
        <v>0</v>
      </c>
      <c r="AX782" s="115">
        <f>AN782-AP782</f>
      </c>
    </row>
    <row r="783" spans="1:50" ht="15" hidden="1" customHeight="1" x14ac:dyDescent="0.3">
      <c r="A783" s="94" t="s">
        <v>60</v>
      </c>
      <c r="B783" s="94"/>
      <c r="C783" s="94"/>
      <c r="D783" s="94"/>
      <c r="E783" s="94"/>
      <c r="F783" s="94"/>
      <c r="G783" s="112">
        <f>AU783</f>
      </c>
      <c r="H783" s="113"/>
      <c r="I783" s="94" t="s">
        <v>485</v>
      </c>
      <c r="J783" s="94" t="s">
        <v>556</v>
      </c>
      <c r="K783" s="114">
        <f>P783/3</f>
      </c>
      <c r="L783" s="115">
        <v>61.8</v>
      </c>
      <c r="M783" s="116"/>
      <c r="N783" s="117">
        <f>M783-L783</f>
      </c>
      <c r="O783" s="112"/>
      <c r="P783" s="118">
        <f>N783+O783</f>
      </c>
      <c r="Q783" s="94" t="s">
        <v>795</v>
      </c>
      <c r="R783" s="94" t="s">
        <v>63</v>
      </c>
      <c r="S783" s="119">
        <v>46302</v>
      </c>
      <c r="T783" s="119"/>
      <c r="U783" s="119">
        <v>46302</v>
      </c>
      <c r="V783" s="94"/>
      <c r="W783" s="94"/>
      <c r="X783" s="94"/>
      <c r="Y783" s="119">
        <v>46327</v>
      </c>
      <c r="Z783" s="94"/>
      <c r="AA783" s="120"/>
      <c r="AB783" s="120"/>
      <c r="AC783" s="120"/>
      <c r="AD783" s="120"/>
      <c r="AE783" s="120"/>
      <c r="AF783" s="120"/>
      <c r="AG783" s="94"/>
      <c r="AH783" s="120"/>
      <c r="AI783" s="94"/>
      <c r="AJ783" s="94" t="s">
        <v>795</v>
      </c>
      <c r="AK783" s="94" t="s">
        <v>556</v>
      </c>
      <c r="AL783" s="94">
        <v>140</v>
      </c>
      <c r="AM783" s="94" t="str">
        <f>TRIM(AJ783)&amp;TRIM(AL783)&amp;TRIM(AK783)</f>
      </c>
      <c r="AN783" s="116">
        <v>0</v>
      </c>
      <c r="AO783" s="116" t="inlineStr">
        <is>
          <t>#NA</t>
        </is>
      </c>
      <c r="AP783" s="116">
        <f>SUMIFS(M:M,AM:AM,AM783)+SUMIFS(O:O,AM:AM,AM783)</f>
      </c>
      <c r="AQ783" s="116">
        <f>SUMIFS(L:L,AM:AM,AM783)</f>
      </c>
      <c r="AR783" s="116">
        <f>AQ783-AP783</f>
      </c>
      <c r="AS783" s="94" t="str">
        <f>IF(AN783&gt;=AQ783,"ok","ck")</f>
      </c>
      <c r="AT783" s="116">
        <f>-P783</f>
      </c>
      <c r="AU783" s="115">
        <f>IF(SUMIFS(AT:AT,AM:AM,AM783)&gt;AO783,(SUMIFS(AT:AT,AM:AM,AM783)-AO783))</f>
      </c>
      <c r="AV783" s="116">
        <v>0</v>
      </c>
      <c r="AW783" s="121">
        <v>0</v>
      </c>
      <c r="AX783" s="115">
        <f>AN783-AP783</f>
      </c>
    </row>
    <row r="784" spans="1:50" ht="15" hidden="1" customHeight="1" x14ac:dyDescent="0.3">
      <c r="A784" s="94" t="s">
        <v>60</v>
      </c>
      <c r="B784" s="94"/>
      <c r="C784" s="94"/>
      <c r="D784" s="94"/>
      <c r="E784" s="94"/>
      <c r="F784" s="94"/>
      <c r="G784" s="112">
        <f>AU784</f>
      </c>
      <c r="H784" s="113"/>
      <c r="I784" s="94" t="s">
        <v>485</v>
      </c>
      <c r="J784" s="94" t="s">
        <v>556</v>
      </c>
      <c r="K784" s="114">
        <f>P784/3</f>
      </c>
      <c r="L784" s="115">
        <v>0.309</v>
      </c>
      <c r="M784" s="116"/>
      <c r="N784" s="117">
        <f>M784-L784</f>
      </c>
      <c r="O784" s="112"/>
      <c r="P784" s="118">
        <f>N784+O784</f>
      </c>
      <c r="Q784" s="94" t="s">
        <v>795</v>
      </c>
      <c r="R784" s="94" t="s">
        <v>63</v>
      </c>
      <c r="S784" s="119">
        <v>46334</v>
      </c>
      <c r="T784" s="119"/>
      <c r="U784" s="119">
        <v>46334</v>
      </c>
      <c r="V784" s="94"/>
      <c r="W784" s="94"/>
      <c r="X784" s="94"/>
      <c r="Y784" s="119">
        <v>46334</v>
      </c>
      <c r="Z784" s="94"/>
      <c r="AA784" s="120"/>
      <c r="AB784" s="120"/>
      <c r="AC784" s="120"/>
      <c r="AD784" s="120"/>
      <c r="AE784" s="120"/>
      <c r="AF784" s="120"/>
      <c r="AG784" s="94"/>
      <c r="AH784" s="120"/>
      <c r="AI784" s="94"/>
      <c r="AJ784" s="94" t="s">
        <v>795</v>
      </c>
      <c r="AK784" s="94" t="s">
        <v>556</v>
      </c>
      <c r="AL784" s="94">
        <v>140</v>
      </c>
      <c r="AM784" s="94" t="str">
        <f>TRIM(AJ784)&amp;TRIM(AL784)&amp;TRIM(AK784)</f>
      </c>
      <c r="AN784" s="116">
        <v>0</v>
      </c>
      <c r="AO784" s="116" t="inlineStr">
        <is>
          <t>#NA</t>
        </is>
      </c>
      <c r="AP784" s="116">
        <f>SUMIFS(M:M,AM:AM,AM784)+SUMIFS(O:O,AM:AM,AM784)</f>
      </c>
      <c r="AQ784" s="116">
        <f>SUMIFS(L:L,AM:AM,AM784)</f>
      </c>
      <c r="AR784" s="116">
        <f>AQ784-AP784</f>
      </c>
      <c r="AS784" s="94" t="str">
        <f>IF(AN784&gt;=AQ784,"ok","ck")</f>
      </c>
      <c r="AT784" s="116">
        <f>-P784</f>
      </c>
      <c r="AU784" s="115">
        <f>IF(SUMIFS(AT:AT,AM:AM,AM784)&gt;AO784,(SUMIFS(AT:AT,AM:AM,AM784)-AO784))</f>
      </c>
      <c r="AV784" s="116">
        <v>0</v>
      </c>
      <c r="AW784" s="121">
        <v>0</v>
      </c>
      <c r="AX784" s="115">
        <f>AN784-AP784</f>
      </c>
    </row>
    <row r="785" spans="1:50" ht="15" hidden="1" customHeight="1" x14ac:dyDescent="0.3">
      <c r="A785" s="94" t="s">
        <v>60</v>
      </c>
      <c r="B785" s="94"/>
      <c r="C785" s="94"/>
      <c r="D785" s="94"/>
      <c r="E785" s="94"/>
      <c r="F785" s="94"/>
      <c r="G785" s="112">
        <f>AU785</f>
      </c>
      <c r="H785" s="113"/>
      <c r="I785" s="94" t="s">
        <v>485</v>
      </c>
      <c r="J785" s="94" t="s">
        <v>557</v>
      </c>
      <c r="K785" s="114">
        <f>P785/3</f>
      </c>
      <c r="L785" s="115">
        <v>61.8</v>
      </c>
      <c r="M785" s="116"/>
      <c r="N785" s="117">
        <f>M785-L785</f>
      </c>
      <c r="O785" s="112"/>
      <c r="P785" s="118">
        <f>N785+O785</f>
      </c>
      <c r="Q785" s="94" t="s">
        <v>795</v>
      </c>
      <c r="R785" s="94" t="s">
        <v>63</v>
      </c>
      <c r="S785" s="119">
        <v>46341</v>
      </c>
      <c r="T785" s="119"/>
      <c r="U785" s="119">
        <v>46341</v>
      </c>
      <c r="V785" s="94"/>
      <c r="W785" s="94"/>
      <c r="X785" s="94"/>
      <c r="Y785" s="119">
        <v>46327</v>
      </c>
      <c r="Z785" s="94"/>
      <c r="AA785" s="120"/>
      <c r="AB785" s="120"/>
      <c r="AC785" s="120"/>
      <c r="AD785" s="120"/>
      <c r="AE785" s="120"/>
      <c r="AF785" s="120"/>
      <c r="AG785" s="94"/>
      <c r="AH785" s="120"/>
      <c r="AI785" s="94"/>
      <c r="AJ785" s="94" t="s">
        <v>795</v>
      </c>
      <c r="AK785" s="94" t="s">
        <v>731</v>
      </c>
      <c r="AL785" s="94">
        <v>140</v>
      </c>
      <c r="AM785" s="94" t="str">
        <f>TRIM(AJ785)&amp;TRIM(AL785)&amp;TRIM(AK785)</f>
      </c>
      <c r="AN785" s="116">
        <v>0</v>
      </c>
      <c r="AO785" s="116" t="inlineStr">
        <is>
          <t>#NA</t>
        </is>
      </c>
      <c r="AP785" s="116">
        <f>SUMIFS(M:M,AM:AM,AM785)+SUMIFS(O:O,AM:AM,AM785)</f>
      </c>
      <c r="AQ785" s="116">
        <f>SUMIFS(L:L,AM:AM,AM785)</f>
      </c>
      <c r="AR785" s="116">
        <f>AQ785-AP785</f>
      </c>
      <c r="AS785" s="94" t="str">
        <f>IF(AN785&gt;=AQ785,"ok","ck")</f>
      </c>
      <c r="AT785" s="116">
        <f>-P785</f>
      </c>
      <c r="AU785" s="115">
        <f>IF(SUMIFS(AT:AT,AM:AM,AM785)&gt;AO785,(SUMIFS(AT:AT,AM:AM,AM785)-AO785))</f>
      </c>
      <c r="AV785" s="116">
        <v>0</v>
      </c>
      <c r="AW785" s="121">
        <v>0</v>
      </c>
      <c r="AX785" s="115">
        <f>AN785-AP785</f>
      </c>
    </row>
    <row r="786" spans="1:50" ht="15" hidden="1" customHeight="1" x14ac:dyDescent="0.3">
      <c r="A786" s="94" t="s">
        <v>60</v>
      </c>
      <c r="B786" s="94"/>
      <c r="C786" s="94"/>
      <c r="D786" s="94"/>
      <c r="E786" s="94"/>
      <c r="F786" s="94"/>
      <c r="G786" s="112">
        <f>AU786</f>
      </c>
      <c r="H786" s="113"/>
      <c r="I786" s="94" t="s">
        <v>485</v>
      </c>
      <c r="J786" s="94" t="s">
        <v>557</v>
      </c>
      <c r="K786" s="114">
        <f>P786/3</f>
      </c>
      <c r="L786" s="115">
        <v>0.309</v>
      </c>
      <c r="M786" s="116"/>
      <c r="N786" s="117">
        <f>M786-L786</f>
      </c>
      <c r="O786" s="112"/>
      <c r="P786" s="118">
        <f>N786+O786</f>
      </c>
      <c r="Q786" s="94" t="s">
        <v>795</v>
      </c>
      <c r="R786" s="94" t="s">
        <v>63</v>
      </c>
      <c r="S786" s="119">
        <v>46334</v>
      </c>
      <c r="T786" s="119"/>
      <c r="U786" s="119">
        <v>46334</v>
      </c>
      <c r="V786" s="94"/>
      <c r="W786" s="94"/>
      <c r="X786" s="94"/>
      <c r="Y786" s="119">
        <v>46334</v>
      </c>
      <c r="Z786" s="94"/>
      <c r="AA786" s="120"/>
      <c r="AB786" s="120"/>
      <c r="AC786" s="120"/>
      <c r="AD786" s="120"/>
      <c r="AE786" s="120"/>
      <c r="AF786" s="120"/>
      <c r="AG786" s="94"/>
      <c r="AH786" s="120"/>
      <c r="AI786" s="94"/>
      <c r="AJ786" s="94" t="s">
        <v>795</v>
      </c>
      <c r="AK786" s="94" t="s">
        <v>731</v>
      </c>
      <c r="AL786" s="94">
        <v>140</v>
      </c>
      <c r="AM786" s="94" t="str">
        <f>TRIM(AJ786)&amp;TRIM(AL786)&amp;TRIM(AK786)</f>
      </c>
      <c r="AN786" s="116">
        <v>0</v>
      </c>
      <c r="AO786" s="116" t="inlineStr">
        <is>
          <t>#NA</t>
        </is>
      </c>
      <c r="AP786" s="116">
        <f>SUMIFS(M:M,AM:AM,AM786)+SUMIFS(O:O,AM:AM,AM786)</f>
      </c>
      <c r="AQ786" s="116">
        <f>SUMIFS(L:L,AM:AM,AM786)</f>
      </c>
      <c r="AR786" s="116">
        <f>AQ786-AP786</f>
      </c>
      <c r="AS786" s="94" t="str">
        <f>IF(AN786&gt;=AQ786,"ok","ck")</f>
      </c>
      <c r="AT786" s="116">
        <f>-P786</f>
      </c>
      <c r="AU786" s="115">
        <f>IF(SUMIFS(AT:AT,AM:AM,AM786)&gt;AO786,(SUMIFS(AT:AT,AM:AM,AM786)-AO786))</f>
      </c>
      <c r="AV786" s="116">
        <v>0</v>
      </c>
      <c r="AW786" s="121">
        <v>0</v>
      </c>
      <c r="AX786" s="115">
        <f>AN786-AP786</f>
      </c>
    </row>
    <row r="787" spans="1:50" ht="15" hidden="1" customHeight="1" x14ac:dyDescent="0.3">
      <c r="A787" s="94" t="s">
        <v>60</v>
      </c>
      <c r="B787" s="94"/>
      <c r="C787" s="94"/>
      <c r="D787" s="94"/>
      <c r="E787" s="94"/>
      <c r="F787" s="94"/>
      <c r="G787" s="112">
        <f>AU787</f>
      </c>
      <c r="H787" s="113"/>
      <c r="I787" s="94" t="s">
        <v>485</v>
      </c>
      <c r="J787" s="94" t="s">
        <v>102</v>
      </c>
      <c r="K787" s="114">
        <f>P787/3</f>
      </c>
      <c r="L787" s="115">
        <v>61.8</v>
      </c>
      <c r="M787" s="116"/>
      <c r="N787" s="117">
        <f>M787-L787</f>
      </c>
      <c r="O787" s="112"/>
      <c r="P787" s="118">
        <f>N787+O787</f>
      </c>
      <c r="Q787" s="94" t="s">
        <v>795</v>
      </c>
      <c r="R787" s="94" t="s">
        <v>63</v>
      </c>
      <c r="S787" s="119">
        <v>46301</v>
      </c>
      <c r="T787" s="119"/>
      <c r="U787" s="119">
        <v>46301</v>
      </c>
      <c r="V787" s="94"/>
      <c r="W787" s="94"/>
      <c r="X787" s="94"/>
      <c r="Y787" s="119">
        <v>46327</v>
      </c>
      <c r="Z787" s="94"/>
      <c r="AA787" s="120"/>
      <c r="AB787" s="120"/>
      <c r="AC787" s="120"/>
      <c r="AD787" s="120"/>
      <c r="AE787" s="120"/>
      <c r="AF787" s="120"/>
      <c r="AG787" s="94"/>
      <c r="AH787" s="120"/>
      <c r="AI787" s="94"/>
      <c r="AJ787" s="94" t="s">
        <v>795</v>
      </c>
      <c r="AK787" s="94" t="s">
        <v>103</v>
      </c>
      <c r="AL787" s="94">
        <v>140</v>
      </c>
      <c r="AM787" s="94" t="str">
        <f>TRIM(AJ787)&amp;TRIM(AL787)&amp;TRIM(AK787)</f>
      </c>
      <c r="AN787" s="116">
        <v>0</v>
      </c>
      <c r="AO787" s="116" t="inlineStr">
        <is>
          <t>#NA</t>
        </is>
      </c>
      <c r="AP787" s="116">
        <f>SUMIFS(M:M,AM:AM,AM787)+SUMIFS(O:O,AM:AM,AM787)</f>
      </c>
      <c r="AQ787" s="116">
        <f>SUMIFS(L:L,AM:AM,AM787)</f>
      </c>
      <c r="AR787" s="116">
        <f>AQ787-AP787</f>
      </c>
      <c r="AS787" s="94" t="str">
        <f>IF(AN787&gt;=AQ787,"ok","ck")</f>
      </c>
      <c r="AT787" s="116">
        <f>-P787</f>
      </c>
      <c r="AU787" s="115">
        <f>IF(SUMIFS(AT:AT,AM:AM,AM787)&gt;AO787,(SUMIFS(AT:AT,AM:AM,AM787)-AO787))</f>
      </c>
      <c r="AV787" s="116">
        <v>0</v>
      </c>
      <c r="AW787" s="121">
        <v>0</v>
      </c>
      <c r="AX787" s="115">
        <f>AN787-AP787</f>
      </c>
    </row>
    <row r="788" spans="1:50" ht="15" hidden="1" customHeight="1" x14ac:dyDescent="0.3">
      <c r="A788" s="94" t="s">
        <v>60</v>
      </c>
      <c r="B788" s="94"/>
      <c r="C788" s="94"/>
      <c r="D788" s="94"/>
      <c r="E788" s="94"/>
      <c r="F788" s="94"/>
      <c r="G788" s="112">
        <f>AU788</f>
      </c>
      <c r="H788" s="113"/>
      <c r="I788" s="94" t="s">
        <v>485</v>
      </c>
      <c r="J788" s="94" t="s">
        <v>102</v>
      </c>
      <c r="K788" s="114">
        <f>P788/3</f>
      </c>
      <c r="L788" s="115">
        <v>0.309</v>
      </c>
      <c r="M788" s="116"/>
      <c r="N788" s="117">
        <f>M788-L788</f>
      </c>
      <c r="O788" s="112"/>
      <c r="P788" s="118">
        <f>N788+O788</f>
      </c>
      <c r="Q788" s="94" t="s">
        <v>795</v>
      </c>
      <c r="R788" s="94" t="s">
        <v>63</v>
      </c>
      <c r="S788" s="119">
        <v>46334</v>
      </c>
      <c r="T788" s="119"/>
      <c r="U788" s="119">
        <v>46334</v>
      </c>
      <c r="V788" s="94"/>
      <c r="W788" s="94"/>
      <c r="X788" s="94"/>
      <c r="Y788" s="119">
        <v>46334</v>
      </c>
      <c r="Z788" s="94"/>
      <c r="AA788" s="120"/>
      <c r="AB788" s="120"/>
      <c r="AC788" s="120"/>
      <c r="AD788" s="120"/>
      <c r="AE788" s="120"/>
      <c r="AF788" s="120"/>
      <c r="AG788" s="94"/>
      <c r="AH788" s="120"/>
      <c r="AI788" s="94"/>
      <c r="AJ788" s="94" t="s">
        <v>795</v>
      </c>
      <c r="AK788" s="94" t="s">
        <v>103</v>
      </c>
      <c r="AL788" s="94">
        <v>140</v>
      </c>
      <c r="AM788" s="94" t="str">
        <f>TRIM(AJ788)&amp;TRIM(AL788)&amp;TRIM(AK788)</f>
      </c>
      <c r="AN788" s="116">
        <v>0</v>
      </c>
      <c r="AO788" s="116" t="inlineStr">
        <is>
          <t>#NA</t>
        </is>
      </c>
      <c r="AP788" s="116">
        <f>SUMIFS(M:M,AM:AM,AM788)+SUMIFS(O:O,AM:AM,AM788)</f>
      </c>
      <c r="AQ788" s="116">
        <f>SUMIFS(L:L,AM:AM,AM788)</f>
      </c>
      <c r="AR788" s="116">
        <f>AQ788-AP788</f>
      </c>
      <c r="AS788" s="94" t="str">
        <f>IF(AN788&gt;=AQ788,"ok","ck")</f>
      </c>
      <c r="AT788" s="116">
        <f>-P788</f>
      </c>
      <c r="AU788" s="115">
        <f>IF(SUMIFS(AT:AT,AM:AM,AM788)&gt;AO788,(SUMIFS(AT:AT,AM:AM,AM788)-AO788))</f>
      </c>
      <c r="AV788" s="116">
        <v>0</v>
      </c>
      <c r="AW788" s="121">
        <v>0</v>
      </c>
      <c r="AX788" s="115">
        <f>AN788-AP788</f>
      </c>
    </row>
    <row r="789" spans="1:50" ht="15" hidden="1" customHeight="1" x14ac:dyDescent="0.3">
      <c r="A789" s="94" t="s">
        <v>60</v>
      </c>
      <c r="B789" s="94"/>
      <c r="C789" s="94"/>
      <c r="D789" s="94"/>
      <c r="E789" s="94"/>
      <c r="F789" s="94"/>
      <c r="G789" s="112">
        <f>AU789</f>
      </c>
      <c r="H789" s="113"/>
      <c r="I789" s="94" t="s">
        <v>485</v>
      </c>
      <c r="J789" s="94" t="s">
        <v>558</v>
      </c>
      <c r="K789" s="114">
        <f>P789/3</f>
      </c>
      <c r="L789" s="115">
        <v>61.8</v>
      </c>
      <c r="M789" s="116"/>
      <c r="N789" s="117">
        <f>M789-L789</f>
      </c>
      <c r="O789" s="112"/>
      <c r="P789" s="118">
        <f>N789+O789</f>
      </c>
      <c r="Q789" s="94" t="s">
        <v>795</v>
      </c>
      <c r="R789" s="94" t="s">
        <v>63</v>
      </c>
      <c r="S789" s="119">
        <v>46341</v>
      </c>
      <c r="T789" s="119"/>
      <c r="U789" s="119">
        <v>46341</v>
      </c>
      <c r="V789" s="94"/>
      <c r="W789" s="94"/>
      <c r="X789" s="94"/>
      <c r="Y789" s="119">
        <v>46327</v>
      </c>
      <c r="Z789" s="94"/>
      <c r="AA789" s="120"/>
      <c r="AB789" s="120"/>
      <c r="AC789" s="120"/>
      <c r="AD789" s="120"/>
      <c r="AE789" s="120"/>
      <c r="AF789" s="120"/>
      <c r="AG789" s="94"/>
      <c r="AH789" s="120"/>
      <c r="AI789" s="94"/>
      <c r="AJ789" s="94" t="s">
        <v>795</v>
      </c>
      <c r="AK789" s="94" t="s">
        <v>732</v>
      </c>
      <c r="AL789" s="94">
        <v>140</v>
      </c>
      <c r="AM789" s="94" t="str">
        <f>TRIM(AJ789)&amp;TRIM(AL789)&amp;TRIM(AK789)</f>
      </c>
      <c r="AN789" s="116">
        <v>0</v>
      </c>
      <c r="AO789" s="116" t="inlineStr">
        <is>
          <t>#NA</t>
        </is>
      </c>
      <c r="AP789" s="116">
        <f>SUMIFS(M:M,AM:AM,AM789)+SUMIFS(O:O,AM:AM,AM789)</f>
      </c>
      <c r="AQ789" s="116">
        <f>SUMIFS(L:L,AM:AM,AM789)</f>
      </c>
      <c r="AR789" s="116">
        <f>AQ789-AP789</f>
      </c>
      <c r="AS789" s="94" t="str">
        <f>IF(AN789&gt;=AQ789,"ok","ck")</f>
      </c>
      <c r="AT789" s="116">
        <f>-P789</f>
      </c>
      <c r="AU789" s="115">
        <f>IF(SUMIFS(AT:AT,AM:AM,AM789)&gt;AO789,(SUMIFS(AT:AT,AM:AM,AM789)-AO789))</f>
      </c>
      <c r="AV789" s="116">
        <v>0</v>
      </c>
      <c r="AW789" s="121">
        <v>0</v>
      </c>
      <c r="AX789" s="115">
        <f>AN789-AP789</f>
      </c>
    </row>
    <row r="790" spans="1:50" ht="15" hidden="1" customHeight="1" x14ac:dyDescent="0.3">
      <c r="A790" s="94" t="s">
        <v>60</v>
      </c>
      <c r="B790" s="94"/>
      <c r="C790" s="94"/>
      <c r="D790" s="94"/>
      <c r="E790" s="94"/>
      <c r="F790" s="94"/>
      <c r="G790" s="112">
        <f>AU790</f>
      </c>
      <c r="H790" s="113"/>
      <c r="I790" s="94" t="s">
        <v>485</v>
      </c>
      <c r="J790" s="94" t="s">
        <v>558</v>
      </c>
      <c r="K790" s="114">
        <f>P790/3</f>
      </c>
      <c r="L790" s="115">
        <v>0.309</v>
      </c>
      <c r="M790" s="116"/>
      <c r="N790" s="117">
        <f>M790-L790</f>
      </c>
      <c r="O790" s="112"/>
      <c r="P790" s="118">
        <f>N790+O790</f>
      </c>
      <c r="Q790" s="94" t="s">
        <v>795</v>
      </c>
      <c r="R790" s="94" t="s">
        <v>63</v>
      </c>
      <c r="S790" s="119">
        <v>46341</v>
      </c>
      <c r="T790" s="119"/>
      <c r="U790" s="119">
        <v>46341</v>
      </c>
      <c r="V790" s="94"/>
      <c r="W790" s="94"/>
      <c r="X790" s="94"/>
      <c r="Y790" s="119">
        <v>46334</v>
      </c>
      <c r="Z790" s="94"/>
      <c r="AA790" s="120"/>
      <c r="AB790" s="120"/>
      <c r="AC790" s="120"/>
      <c r="AD790" s="120"/>
      <c r="AE790" s="120"/>
      <c r="AF790" s="120"/>
      <c r="AG790" s="94"/>
      <c r="AH790" s="120"/>
      <c r="AI790" s="94"/>
      <c r="AJ790" s="94" t="s">
        <v>795</v>
      </c>
      <c r="AK790" s="94" t="s">
        <v>732</v>
      </c>
      <c r="AL790" s="94">
        <v>140</v>
      </c>
      <c r="AM790" s="94" t="str">
        <f>TRIM(AJ790)&amp;TRIM(AL790)&amp;TRIM(AK790)</f>
      </c>
      <c r="AN790" s="116">
        <v>0</v>
      </c>
      <c r="AO790" s="116" t="inlineStr">
        <is>
          <t>#NA</t>
        </is>
      </c>
      <c r="AP790" s="116">
        <f>SUMIFS(M:M,AM:AM,AM790)+SUMIFS(O:O,AM:AM,AM790)</f>
      </c>
      <c r="AQ790" s="116">
        <f>SUMIFS(L:L,AM:AM,AM790)</f>
      </c>
      <c r="AR790" s="116">
        <f>AQ790-AP790</f>
      </c>
      <c r="AS790" s="94" t="str">
        <f>IF(AN790&gt;=AQ790,"ok","ck")</f>
      </c>
      <c r="AT790" s="116">
        <f>-P790</f>
      </c>
      <c r="AU790" s="115">
        <f>IF(SUMIFS(AT:AT,AM:AM,AM790)&gt;AO790,(SUMIFS(AT:AT,AM:AM,AM790)-AO790))</f>
      </c>
      <c r="AV790" s="116">
        <v>0</v>
      </c>
      <c r="AW790" s="121">
        <v>0</v>
      </c>
      <c r="AX790" s="115">
        <f>AN790-AP790</f>
      </c>
    </row>
    <row r="791" spans="1:50" ht="15" hidden="1" customHeight="1" x14ac:dyDescent="0.3">
      <c r="A791" s="94" t="s">
        <v>60</v>
      </c>
      <c r="B791" s="94"/>
      <c r="C791" s="94"/>
      <c r="D791" s="94"/>
      <c r="E791" s="94"/>
      <c r="F791" s="94"/>
      <c r="G791" s="112">
        <f>AU791</f>
      </c>
      <c r="H791" s="113"/>
      <c r="I791" s="94" t="s">
        <v>485</v>
      </c>
      <c r="J791" s="94" t="s">
        <v>524</v>
      </c>
      <c r="K791" s="114">
        <f>P791/3</f>
      </c>
      <c r="L791" s="115">
        <v>61.8</v>
      </c>
      <c r="M791" s="116"/>
      <c r="N791" s="117">
        <f>M791-L791</f>
      </c>
      <c r="O791" s="112"/>
      <c r="P791" s="118">
        <f>N791+O791</f>
      </c>
      <c r="Q791" s="94" t="s">
        <v>795</v>
      </c>
      <c r="R791" s="94" t="s">
        <v>63</v>
      </c>
      <c r="S791" s="120">
        <v>46341</v>
      </c>
      <c r="T791" s="120"/>
      <c r="U791" s="120">
        <v>46341</v>
      </c>
      <c r="V791" s="94"/>
      <c r="W791" s="94"/>
      <c r="X791" s="94"/>
      <c r="Y791" s="119">
        <v>46327</v>
      </c>
      <c r="Z791" s="94"/>
      <c r="AA791" s="120"/>
      <c r="AB791" s="120"/>
      <c r="AC791" s="120"/>
      <c r="AD791" s="120"/>
      <c r="AE791" s="120"/>
      <c r="AF791" s="120"/>
      <c r="AG791" s="94"/>
      <c r="AH791" s="120"/>
      <c r="AI791" s="94"/>
      <c r="AJ791" s="94" t="s">
        <v>795</v>
      </c>
      <c r="AK791" s="94" t="s">
        <v>524</v>
      </c>
      <c r="AL791" s="94">
        <v>140</v>
      </c>
      <c r="AM791" s="94" t="str">
        <f>TRIM(AJ791)&amp;TRIM(AL791)&amp;TRIM(AK791)</f>
      </c>
      <c r="AN791" s="116">
        <v>0</v>
      </c>
      <c r="AO791" s="116" t="inlineStr">
        <is>
          <t>#NA</t>
        </is>
      </c>
      <c r="AP791" s="116">
        <f>SUMIFS(M:M,AM:AM,AM791)+SUMIFS(O:O,AM:AM,AM791)</f>
      </c>
      <c r="AQ791" s="116">
        <f>SUMIFS(L:L,AM:AM,AM791)</f>
      </c>
      <c r="AR791" s="116">
        <f>AQ791-AP791</f>
      </c>
      <c r="AS791" s="94" t="str">
        <f>IF(AN791&gt;=AQ791,"ok","ck")</f>
      </c>
      <c r="AT791" s="116">
        <f>-P791</f>
      </c>
      <c r="AU791" s="115">
        <f>IF(SUMIFS(AT:AT,AM:AM,AM791)&gt;AO791,(SUMIFS(AT:AT,AM:AM,AM791)-AO791))</f>
      </c>
      <c r="AV791" s="116">
        <v>0</v>
      </c>
      <c r="AW791" s="121">
        <v>0</v>
      </c>
      <c r="AX791" s="115">
        <f>AN791-AP791</f>
      </c>
    </row>
    <row r="792" spans="1:50" ht="15" hidden="1" customHeight="1" x14ac:dyDescent="0.3">
      <c r="A792" s="94" t="s">
        <v>263</v>
      </c>
      <c r="B792" s="94"/>
      <c r="C792" s="94"/>
      <c r="D792" s="94"/>
      <c r="E792" s="94"/>
      <c r="F792" s="94"/>
      <c r="G792" s="112">
        <f>AU792</f>
      </c>
      <c r="H792" s="113"/>
      <c r="I792" s="94" t="s">
        <v>264</v>
      </c>
      <c r="J792" s="94" t="s">
        <v>265</v>
      </c>
      <c r="K792" s="114">
        <f>P792/3</f>
      </c>
      <c r="L792" s="115">
        <v>0</v>
      </c>
      <c r="M792" s="116">
        <f>L792</f>
      </c>
      <c r="N792" s="117">
        <f>M792-L792</f>
      </c>
      <c r="O792" s="112"/>
      <c r="P792" s="118">
        <f>N792+O792</f>
      </c>
      <c r="Q792" s="94" t="s">
        <v>788</v>
      </c>
      <c r="R792" s="94" t="s">
        <v>63</v>
      </c>
      <c r="S792" s="120">
        <v>46335</v>
      </c>
      <c r="T792" s="120"/>
      <c r="U792" s="120">
        <v>46335</v>
      </c>
      <c r="V792" s="94"/>
      <c r="W792" s="94"/>
      <c r="X792" s="94"/>
      <c r="Y792" s="119">
        <v>46335</v>
      </c>
      <c r="Z792" s="94"/>
      <c r="AA792" s="120"/>
      <c r="AB792" s="120"/>
      <c r="AC792" s="120"/>
      <c r="AD792" s="120"/>
      <c r="AE792" s="120"/>
      <c r="AF792" s="120"/>
      <c r="AG792" s="94"/>
      <c r="AH792" s="120"/>
      <c r="AI792" s="94"/>
      <c r="AJ792" s="94" t="s">
        <v>788</v>
      </c>
      <c r="AK792" s="94" t="s">
        <v>267</v>
      </c>
      <c r="AL792" s="94">
        <v>120</v>
      </c>
      <c r="AM792" s="94" t="str">
        <f>TRIM(AJ792)&amp;TRIM(AL792)&amp;TRIM(AK792)</f>
      </c>
      <c r="AN792" s="116">
        <v>1010</v>
      </c>
      <c r="AO792" s="116">
        <v>-19</v>
      </c>
      <c r="AP792" s="116">
        <f>SUMIFS(M:M,AM:AM,AM792)+SUMIFS(O:O,AM:AM,AM792)</f>
      </c>
      <c r="AQ792" s="116">
        <f>SUMIFS(L:L,AM:AM,AM792)</f>
      </c>
      <c r="AR792" s="116">
        <f>AQ792-AP792</f>
      </c>
      <c r="AS792" s="94" t="str">
        <f>IF(AN792&gt;=AQ792,"ok","ck")</f>
      </c>
      <c r="AT792" s="116">
        <f>-P792</f>
      </c>
      <c r="AU792" s="115">
        <f>IF(SUMIFS(AT:AT,AM:AM,AM792)&gt;AO792,(SUMIFS(AT:AT,AM:AM,AM792)-AO792))</f>
      </c>
      <c r="AV792" s="116">
        <v>1010</v>
      </c>
      <c r="AW792" s="121">
        <v>1.019</v>
      </c>
      <c r="AX792" s="115">
        <f>AN792-AP792</f>
      </c>
    </row>
    <row r="793" spans="1:50" ht="15" customHeight="1" x14ac:dyDescent="0.3">
      <c r="A793" s="94" t="s">
        <v>862</v>
      </c>
      <c r="B793" s="94"/>
      <c r="C793" s="94"/>
      <c r="D793" s="94"/>
      <c r="E793" s="94"/>
      <c r="F793" s="94"/>
      <c r="G793" s="112">
        <f>AU793</f>
      </c>
      <c r="H793" s="113"/>
      <c r="I793" s="94" t="s">
        <v>390</v>
      </c>
      <c r="J793" s="94" t="s">
        <v>267</v>
      </c>
      <c r="K793" s="114">
        <f>P793/3</f>
      </c>
      <c r="L793" s="115">
        <v>1379.4860000000001</v>
      </c>
      <c r="M793" s="116"/>
      <c r="N793" s="117">
        <f>M793-L793</f>
      </c>
      <c r="O793" s="112"/>
      <c r="P793" s="118">
        <f>N793+O793</f>
      </c>
      <c r="Q793" s="94"/>
      <c r="R793" s="94" t="s">
        <v>63</v>
      </c>
      <c r="S793" s="120">
        <v>46332</v>
      </c>
      <c r="T793" s="120"/>
      <c r="U793" s="120" t="s">
        <v>631</v>
      </c>
      <c r="V793" s="94"/>
      <c r="W793" s="94"/>
      <c r="X793" s="94"/>
      <c r="Y793" s="119">
        <v>46320</v>
      </c>
      <c r="Z793" s="94"/>
      <c r="AA793" s="120"/>
      <c r="AB793" s="120"/>
      <c r="AC793" s="120"/>
      <c r="AD793" s="120"/>
      <c r="AE793" s="120"/>
      <c r="AF793" s="120"/>
      <c r="AG793" s="94"/>
      <c r="AH793" s="120"/>
      <c r="AI793" s="94"/>
      <c r="AJ793" s="94"/>
      <c r="AK793" s="94"/>
      <c r="AL793" s="94">
        <v>140</v>
      </c>
      <c r="AM793" s="94" t="str">
        <f>TRIM(AJ793)&amp;TRIM(AL793)&amp;TRIM(AK793)</f>
      </c>
      <c r="AN793" s="116">
        <v>0</v>
      </c>
      <c r="AO793" s="116" t="inlineStr">
        <is>
          <t>#NA</t>
        </is>
      </c>
      <c r="AP793" s="116">
        <f>SUMIFS(M:M,AM:AM,AM793)+SUMIFS(O:O,AM:AM,AM793)</f>
      </c>
      <c r="AQ793" s="116">
        <f>SUMIFS(L:L,AM:AM,AM793)</f>
      </c>
      <c r="AR793" s="116">
        <f>AQ793-AP793</f>
      </c>
      <c r="AS793" s="94" t="str">
        <f>IF(AN793&gt;=AQ793,"ok","ck")</f>
      </c>
      <c r="AT793" s="116">
        <f>-P793</f>
      </c>
      <c r="AU793" s="115">
        <f>IF(SUMIFS(AT:AT,AM:AM,AM793)&gt;AO793,(SUMIFS(AT:AT,AM:AM,AM793)-AO793))</f>
      </c>
      <c r="AV793" s="116" t="e">
        <v>#N/A</v>
      </c>
      <c r="AW793" s="121" t="e">
        <v>#N/A</v>
      </c>
      <c r="AX793" s="115">
        <f>AN793-AP793</f>
      </c>
    </row>
    <row r="794" spans="1:50" ht="15" customHeight="1" x14ac:dyDescent="0.3">
      <c r="A794" s="94" t="s">
        <v>862</v>
      </c>
      <c r="B794" s="94"/>
      <c r="C794" s="94"/>
      <c r="D794" s="94"/>
      <c r="E794" s="94"/>
      <c r="F794" s="94"/>
      <c r="G794" s="112">
        <f>AU794</f>
      </c>
      <c r="H794" s="113"/>
      <c r="I794" s="94" t="s">
        <v>390</v>
      </c>
      <c r="J794" s="94" t="s">
        <v>267</v>
      </c>
      <c r="K794" s="114">
        <f>P794/3</f>
      </c>
      <c r="L794" s="115">
        <v>1379.4860000000001</v>
      </c>
      <c r="M794" s="116"/>
      <c r="N794" s="117">
        <f>M794-L794</f>
      </c>
      <c r="O794" s="112"/>
      <c r="P794" s="118">
        <f>N794+O794</f>
      </c>
      <c r="Q794" s="94"/>
      <c r="R794" s="94" t="s">
        <v>63</v>
      </c>
      <c r="S794" s="119">
        <v>46333</v>
      </c>
      <c r="T794" s="119"/>
      <c r="U794" s="120" t="s">
        <v>631</v>
      </c>
      <c r="V794" s="94"/>
      <c r="W794" s="94"/>
      <c r="X794" s="94"/>
      <c r="Y794" s="119">
        <v>46320</v>
      </c>
      <c r="Z794" s="94"/>
      <c r="AA794" s="120"/>
      <c r="AB794" s="120"/>
      <c r="AC794" s="120"/>
      <c r="AD794" s="120"/>
      <c r="AE794" s="120"/>
      <c r="AF794" s="120"/>
      <c r="AG794" s="94"/>
      <c r="AH794" s="120"/>
      <c r="AI794" s="94"/>
      <c r="AJ794" s="94"/>
      <c r="AK794" s="94"/>
      <c r="AL794" s="94">
        <v>140</v>
      </c>
      <c r="AM794" s="94" t="str">
        <f>TRIM(AJ794)&amp;TRIM(AL794)&amp;TRIM(AK794)</f>
      </c>
      <c r="AN794" s="116">
        <v>0</v>
      </c>
      <c r="AO794" s="116" t="inlineStr">
        <is>
          <t>#NA</t>
        </is>
      </c>
      <c r="AP794" s="116">
        <f>SUMIFS(M:M,AM:AM,AM794)+SUMIFS(O:O,AM:AM,AM794)</f>
      </c>
      <c r="AQ794" s="116">
        <f>SUMIFS(L:L,AM:AM,AM794)</f>
      </c>
      <c r="AR794" s="116">
        <f>AQ794-AP794</f>
      </c>
      <c r="AS794" s="94" t="str">
        <f>IF(AN794&gt;=AQ794,"ok","ck")</f>
      </c>
      <c r="AT794" s="116">
        <f>-P794</f>
      </c>
      <c r="AU794" s="115">
        <f>IF(SUMIFS(AT:AT,AM:AM,AM794)&gt;AO794,(SUMIFS(AT:AT,AM:AM,AM794)-AO794))</f>
      </c>
      <c r="AV794" s="116" t="e">
        <v>#N/A</v>
      </c>
      <c r="AW794" s="121" t="e">
        <v>#N/A</v>
      </c>
      <c r="AX794" s="115">
        <f>AN794-AP794</f>
      </c>
    </row>
    <row r="795" spans="1:50" ht="15" customHeight="1" x14ac:dyDescent="0.3">
      <c r="A795" s="94" t="s">
        <v>862</v>
      </c>
      <c r="B795" s="94"/>
      <c r="C795" s="94"/>
      <c r="D795" s="94"/>
      <c r="E795" s="94"/>
      <c r="F795" s="94"/>
      <c r="G795" s="112">
        <f>AU795</f>
      </c>
      <c r="H795" s="113"/>
      <c r="I795" s="94" t="s">
        <v>390</v>
      </c>
      <c r="J795" s="94" t="s">
        <v>267</v>
      </c>
      <c r="K795" s="114">
        <f>P795/3</f>
      </c>
      <c r="L795" s="115">
        <v>1379.4860000000001</v>
      </c>
      <c r="M795" s="116"/>
      <c r="N795" s="117">
        <f>M795-L795</f>
      </c>
      <c r="O795" s="112"/>
      <c r="P795" s="118">
        <f>N795+O795</f>
      </c>
      <c r="Q795" s="94"/>
      <c r="R795" s="94" t="s">
        <v>63</v>
      </c>
      <c r="S795" s="120">
        <v>46334</v>
      </c>
      <c r="T795" s="120"/>
      <c r="U795" s="120" t="s">
        <v>631</v>
      </c>
      <c r="V795" s="94"/>
      <c r="W795" s="94"/>
      <c r="X795" s="94"/>
      <c r="Y795" s="119">
        <v>46320</v>
      </c>
      <c r="Z795" s="94"/>
      <c r="AA795" s="120"/>
      <c r="AB795" s="120"/>
      <c r="AC795" s="120"/>
      <c r="AD795" s="120"/>
      <c r="AE795" s="120"/>
      <c r="AF795" s="120"/>
      <c r="AG795" s="94"/>
      <c r="AH795" s="120"/>
      <c r="AI795" s="94"/>
      <c r="AJ795" s="94"/>
      <c r="AK795" s="94"/>
      <c r="AL795" s="94">
        <v>140</v>
      </c>
      <c r="AM795" s="94" t="str">
        <f>TRIM(AJ795)&amp;TRIM(AL795)&amp;TRIM(AK795)</f>
      </c>
      <c r="AN795" s="116">
        <v>0</v>
      </c>
      <c r="AO795" s="116" t="inlineStr">
        <is>
          <t>#NA</t>
        </is>
      </c>
      <c r="AP795" s="116">
        <f>SUMIFS(M:M,AM:AM,AM795)+SUMIFS(O:O,AM:AM,AM795)</f>
      </c>
      <c r="AQ795" s="116">
        <f>SUMIFS(L:L,AM:AM,AM795)</f>
      </c>
      <c r="AR795" s="116">
        <f>AQ795-AP795</f>
      </c>
      <c r="AS795" s="94" t="str">
        <f>IF(AN795&gt;=AQ795,"ok","ck")</f>
      </c>
      <c r="AT795" s="116">
        <f>-P795</f>
      </c>
      <c r="AU795" s="115">
        <f>IF(SUMIFS(AT:AT,AM:AM,AM795)&gt;AO795,(SUMIFS(AT:AT,AM:AM,AM795)-AO795))</f>
      </c>
      <c r="AV795" s="116" t="e">
        <v>#N/A</v>
      </c>
      <c r="AW795" s="121" t="e">
        <v>#N/A</v>
      </c>
      <c r="AX795" s="115">
        <f>AN795-AP795</f>
      </c>
    </row>
    <row r="796" spans="1:50" ht="15" customHeight="1" x14ac:dyDescent="0.3">
      <c r="A796" s="94" t="s">
        <v>862</v>
      </c>
      <c r="B796" s="94"/>
      <c r="C796" s="94"/>
      <c r="D796" s="94"/>
      <c r="E796" s="94"/>
      <c r="F796" s="94"/>
      <c r="G796" s="112">
        <f>AU796</f>
      </c>
      <c r="H796" s="113"/>
      <c r="I796" s="94" t="s">
        <v>390</v>
      </c>
      <c r="J796" s="94" t="s">
        <v>267</v>
      </c>
      <c r="K796" s="114">
        <f>P796/3</f>
      </c>
      <c r="L796" s="115">
        <v>1379.4860000000001</v>
      </c>
      <c r="M796" s="116"/>
      <c r="N796" s="117">
        <f>M796-L796</f>
      </c>
      <c r="O796" s="112"/>
      <c r="P796" s="118">
        <f>N796+O796</f>
      </c>
      <c r="Q796" s="94"/>
      <c r="R796" s="94" t="s">
        <v>63</v>
      </c>
      <c r="S796" s="120">
        <v>46335</v>
      </c>
      <c r="T796" s="120"/>
      <c r="U796" s="120" t="s">
        <v>631</v>
      </c>
      <c r="V796" s="94"/>
      <c r="W796" s="94"/>
      <c r="X796" s="94"/>
      <c r="Y796" s="119">
        <v>46320</v>
      </c>
      <c r="Z796" s="94"/>
      <c r="AA796" s="120"/>
      <c r="AB796" s="120"/>
      <c r="AC796" s="120"/>
      <c r="AD796" s="120"/>
      <c r="AE796" s="120"/>
      <c r="AF796" s="120"/>
      <c r="AG796" s="94"/>
      <c r="AH796" s="120"/>
      <c r="AI796" s="94"/>
      <c r="AJ796" s="94"/>
      <c r="AK796" s="94"/>
      <c r="AL796" s="94">
        <v>140</v>
      </c>
      <c r="AM796" s="94" t="str">
        <f>TRIM(AJ796)&amp;TRIM(AL796)&amp;TRIM(AK796)</f>
      </c>
      <c r="AN796" s="116">
        <v>0</v>
      </c>
      <c r="AO796" s="116" t="inlineStr">
        <is>
          <t>#NA</t>
        </is>
      </c>
      <c r="AP796" s="116">
        <f>SUMIFS(M:M,AM:AM,AM796)+SUMIFS(O:O,AM:AM,AM796)</f>
      </c>
      <c r="AQ796" s="116">
        <f>SUMIFS(L:L,AM:AM,AM796)</f>
      </c>
      <c r="AR796" s="116">
        <f>AQ796-AP796</f>
      </c>
      <c r="AS796" s="94" t="str">
        <f>IF(AN796&gt;=AQ796,"ok","ck")</f>
      </c>
      <c r="AT796" s="116">
        <f>-P796</f>
      </c>
      <c r="AU796" s="115">
        <f>IF(SUMIFS(AT:AT,AM:AM,AM796)&gt;AO796,(SUMIFS(AT:AT,AM:AM,AM796)-AO796))</f>
      </c>
      <c r="AV796" s="116" t="e">
        <v>#N/A</v>
      </c>
      <c r="AW796" s="121" t="e">
        <v>#N/A</v>
      </c>
      <c r="AX796" s="115">
        <f>AN796-AP796</f>
      </c>
    </row>
    <row r="797" spans="1:50" ht="15" hidden="1" customHeight="1" x14ac:dyDescent="0.3">
      <c r="A797" s="94" t="s">
        <v>311</v>
      </c>
      <c r="B797" s="94"/>
      <c r="C797" s="94"/>
      <c r="D797" s="94"/>
      <c r="E797" s="94"/>
      <c r="F797" s="94"/>
      <c r="G797" s="112">
        <f>AU797</f>
      </c>
      <c r="H797" s="113"/>
      <c r="I797" s="94" t="s">
        <v>312</v>
      </c>
      <c r="J797" s="94" t="s">
        <v>368</v>
      </c>
      <c r="K797" s="114">
        <f>P797/3</f>
      </c>
      <c r="L797" s="115">
        <v>0</v>
      </c>
      <c r="M797" s="116"/>
      <c r="N797" s="117">
        <f>M797-L797</f>
      </c>
      <c r="O797" s="112"/>
      <c r="P797" s="118">
        <f>N797+O797</f>
      </c>
      <c r="Q797" s="94" t="s">
        <v>346</v>
      </c>
      <c r="R797" s="94" t="s">
        <v>63</v>
      </c>
      <c r="S797" s="120">
        <v>46322</v>
      </c>
      <c r="T797" s="120"/>
      <c r="U797" s="120">
        <v>46322</v>
      </c>
      <c r="V797" s="94"/>
      <c r="W797" s="94"/>
      <c r="X797" s="94"/>
      <c r="Y797" s="119">
        <v>46322</v>
      </c>
      <c r="Z797" s="94"/>
      <c r="AA797" s="120"/>
      <c r="AB797" s="120"/>
      <c r="AC797" s="120"/>
      <c r="AD797" s="120"/>
      <c r="AE797" s="120"/>
      <c r="AF797" s="120"/>
      <c r="AG797" s="94"/>
      <c r="AH797" s="120"/>
      <c r="AI797" s="94"/>
      <c r="AJ797" s="94" t="s">
        <v>346</v>
      </c>
      <c r="AK797" s="94" t="s">
        <v>389</v>
      </c>
      <c r="AL797" s="94">
        <v>150</v>
      </c>
      <c r="AM797" s="94" t="str">
        <f>TRIM(AJ797)&amp;TRIM(AL797)&amp;TRIM(AK797)</f>
      </c>
      <c r="AN797" s="116">
        <v>0</v>
      </c>
      <c r="AO797" s="116" t="inlineStr">
        <is>
          <t>#NA</t>
        </is>
      </c>
      <c r="AP797" s="116">
        <f>SUMIFS(M:M,AM:AM,AM797)+SUMIFS(O:O,AM:AM,AM797)</f>
      </c>
      <c r="AQ797" s="116">
        <f>SUMIFS(L:L,AM:AM,AM797)</f>
      </c>
      <c r="AR797" s="116">
        <f>AQ797-AP797</f>
      </c>
      <c r="AS797" s="94" t="str">
        <f>IF(AN797&gt;=AQ797,"ok","ck")</f>
      </c>
      <c r="AT797" s="116">
        <f>-P797</f>
      </c>
      <c r="AU797" s="115">
        <f>IF(SUMIFS(AT:AT,AM:AM,AM797)&gt;AO797,(SUMIFS(AT:AT,AM:AM,AM797)-AO797))</f>
      </c>
      <c r="AV797" s="116">
        <v>0</v>
      </c>
      <c r="AW797" s="121">
        <v>1.022</v>
      </c>
      <c r="AX797" s="115">
        <f>AN797-AP797</f>
      </c>
    </row>
    <row r="798" spans="1:50" ht="15" hidden="1" customHeight="1" x14ac:dyDescent="0.3">
      <c r="A798" s="94" t="s">
        <v>311</v>
      </c>
      <c r="B798" s="94"/>
      <c r="C798" s="94"/>
      <c r="D798" s="94"/>
      <c r="E798" s="94"/>
      <c r="F798" s="94"/>
      <c r="G798" s="112">
        <f>AU798</f>
      </c>
      <c r="H798" s="113"/>
      <c r="I798" s="94" t="s">
        <v>312</v>
      </c>
      <c r="J798" s="94" t="s">
        <v>368</v>
      </c>
      <c r="K798" s="114">
        <f>P798/3</f>
      </c>
      <c r="L798" s="115">
        <v>0</v>
      </c>
      <c r="M798" s="116"/>
      <c r="N798" s="117">
        <f>M798-L798</f>
      </c>
      <c r="O798" s="112"/>
      <c r="P798" s="118">
        <f>N798+O798</f>
      </c>
      <c r="Q798" s="94" t="s">
        <v>346</v>
      </c>
      <c r="R798" s="94" t="s">
        <v>63</v>
      </c>
      <c r="S798" s="119">
        <v>46320</v>
      </c>
      <c r="T798" s="119"/>
      <c r="U798" s="119">
        <v>46320</v>
      </c>
      <c r="V798" s="94"/>
      <c r="W798" s="94"/>
      <c r="X798" s="94"/>
      <c r="Y798" s="119">
        <v>46320</v>
      </c>
      <c r="Z798" s="94"/>
      <c r="AA798" s="120"/>
      <c r="AB798" s="120"/>
      <c r="AC798" s="120"/>
      <c r="AD798" s="120"/>
      <c r="AE798" s="120"/>
      <c r="AF798" s="120"/>
      <c r="AG798" s="94"/>
      <c r="AH798" s="120"/>
      <c r="AI798" s="94"/>
      <c r="AJ798" s="94" t="s">
        <v>346</v>
      </c>
      <c r="AK798" s="94" t="s">
        <v>389</v>
      </c>
      <c r="AL798" s="94">
        <v>150</v>
      </c>
      <c r="AM798" s="94" t="str">
        <f>TRIM(AJ798)&amp;TRIM(AL798)&amp;TRIM(AK798)</f>
      </c>
      <c r="AN798" s="116">
        <v>0</v>
      </c>
      <c r="AO798" s="116" t="inlineStr">
        <is>
          <t>#NA</t>
        </is>
      </c>
      <c r="AP798" s="116">
        <f>SUMIFS(M:M,AM:AM,AM798)+SUMIFS(O:O,AM:AM,AM798)</f>
      </c>
      <c r="AQ798" s="116">
        <f>SUMIFS(L:L,AM:AM,AM798)</f>
      </c>
      <c r="AR798" s="116">
        <f>AQ798-AP798</f>
      </c>
      <c r="AS798" s="94" t="str">
        <f>IF(AN798&gt;=AQ798,"ok","ck")</f>
      </c>
      <c r="AT798" s="116">
        <f>-P798</f>
      </c>
      <c r="AU798" s="115">
        <f>IF(SUMIFS(AT:AT,AM:AM,AM798)&gt;AO798,(SUMIFS(AT:AT,AM:AM,AM798)-AO798))</f>
      </c>
      <c r="AV798" s="116">
        <v>0</v>
      </c>
      <c r="AW798" s="121">
        <v>1.022</v>
      </c>
      <c r="AX798" s="115">
        <f>AN798-AP798</f>
      </c>
    </row>
    <row r="799" spans="1:50" ht="15" hidden="1" customHeight="1" x14ac:dyDescent="0.3">
      <c r="A799" s="94" t="s">
        <v>311</v>
      </c>
      <c r="B799" s="94"/>
      <c r="C799" s="94"/>
      <c r="D799" s="94"/>
      <c r="E799" s="94"/>
      <c r="F799" s="94"/>
      <c r="G799" s="112">
        <f>AU799</f>
      </c>
      <c r="H799" s="113"/>
      <c r="I799" s="94" t="s">
        <v>312</v>
      </c>
      <c r="J799" s="94" t="s">
        <v>345</v>
      </c>
      <c r="K799" s="114">
        <f>P799/3</f>
      </c>
      <c r="L799" s="115">
        <v>0</v>
      </c>
      <c r="M799" s="116"/>
      <c r="N799" s="117">
        <f>M799-L799</f>
      </c>
      <c r="O799" s="112"/>
      <c r="P799" s="118">
        <f>N799+O799</f>
      </c>
      <c r="Q799" s="94" t="s">
        <v>346</v>
      </c>
      <c r="R799" s="94" t="s">
        <v>63</v>
      </c>
      <c r="S799" s="119">
        <v>46320</v>
      </c>
      <c r="T799" s="119"/>
      <c r="U799" s="119">
        <v>46320</v>
      </c>
      <c r="V799" s="94"/>
      <c r="W799" s="94"/>
      <c r="X799" s="94"/>
      <c r="Y799" s="119">
        <v>46320</v>
      </c>
      <c r="Z799" s="94"/>
      <c r="AA799" s="120"/>
      <c r="AB799" s="120"/>
      <c r="AC799" s="120"/>
      <c r="AD799" s="120"/>
      <c r="AE799" s="120"/>
      <c r="AF799" s="120"/>
      <c r="AG799" s="94"/>
      <c r="AH799" s="120"/>
      <c r="AI799" s="94"/>
      <c r="AJ799" s="94" t="s">
        <v>346</v>
      </c>
      <c r="AK799" s="94" t="s">
        <v>347</v>
      </c>
      <c r="AL799" s="94">
        <v>150</v>
      </c>
      <c r="AM799" s="94" t="str">
        <f>TRIM(AJ799)&amp;TRIM(AL799)&amp;TRIM(AK799)</f>
      </c>
      <c r="AN799" s="116">
        <v>0</v>
      </c>
      <c r="AO799" s="116" t="inlineStr">
        <is>
          <t>#NA</t>
        </is>
      </c>
      <c r="AP799" s="116">
        <f>SUMIFS(M:M,AM:AM,AM799)+SUMIFS(O:O,AM:AM,AM799)</f>
      </c>
      <c r="AQ799" s="116">
        <f>SUMIFS(L:L,AM:AM,AM799)</f>
      </c>
      <c r="AR799" s="116">
        <f>AQ799-AP799</f>
      </c>
      <c r="AS799" s="94" t="str">
        <f>IF(AN799&gt;=AQ799,"ok","ck")</f>
      </c>
      <c r="AT799" s="116">
        <f>-P799</f>
      </c>
      <c r="AU799" s="115">
        <f>IF(SUMIFS(AT:AT,AM:AM,AM799)&gt;AO799,(SUMIFS(AT:AT,AM:AM,AM799)-AO799))</f>
      </c>
      <c r="AV799" s="116">
        <v>0</v>
      </c>
      <c r="AW799" s="121">
        <v>0.97</v>
      </c>
      <c r="AX799" s="115">
        <f>AN799-AP799</f>
      </c>
    </row>
    <row r="800" spans="1:50" ht="15" hidden="1" customHeight="1" x14ac:dyDescent="0.3">
      <c r="A800" s="94" t="s">
        <v>311</v>
      </c>
      <c r="B800" s="94"/>
      <c r="C800" s="94"/>
      <c r="D800" s="94"/>
      <c r="E800" s="94"/>
      <c r="F800" s="94"/>
      <c r="G800" s="112">
        <f>AU800</f>
      </c>
      <c r="H800" s="113"/>
      <c r="I800" s="94" t="s">
        <v>312</v>
      </c>
      <c r="J800" s="94" t="s">
        <v>345</v>
      </c>
      <c r="K800" s="114">
        <f>P800/3</f>
      </c>
      <c r="L800" s="115">
        <v>0</v>
      </c>
      <c r="M800" s="116"/>
      <c r="N800" s="117">
        <f>M800-L800</f>
      </c>
      <c r="O800" s="112"/>
      <c r="P800" s="118">
        <f>N800+O800</f>
      </c>
      <c r="Q800" s="94" t="s">
        <v>346</v>
      </c>
      <c r="R800" s="94" t="s">
        <v>63</v>
      </c>
      <c r="S800" s="119">
        <v>46322</v>
      </c>
      <c r="T800" s="119"/>
      <c r="U800" s="119">
        <v>46322</v>
      </c>
      <c r="V800" s="94"/>
      <c r="W800" s="94"/>
      <c r="X800" s="94"/>
      <c r="Y800" s="119">
        <v>46322</v>
      </c>
      <c r="Z800" s="94"/>
      <c r="AA800" s="120"/>
      <c r="AB800" s="120"/>
      <c r="AC800" s="120"/>
      <c r="AD800" s="120"/>
      <c r="AE800" s="120"/>
      <c r="AF800" s="120"/>
      <c r="AG800" s="94"/>
      <c r="AH800" s="120"/>
      <c r="AI800" s="94"/>
      <c r="AJ800" s="94" t="s">
        <v>346</v>
      </c>
      <c r="AK800" s="94" t="s">
        <v>347</v>
      </c>
      <c r="AL800" s="94">
        <v>150</v>
      </c>
      <c r="AM800" s="94" t="str">
        <f>TRIM(AJ800)&amp;TRIM(AL800)&amp;TRIM(AK800)</f>
      </c>
      <c r="AN800" s="116">
        <v>0</v>
      </c>
      <c r="AO800" s="116" t="inlineStr">
        <is>
          <t>#NA</t>
        </is>
      </c>
      <c r="AP800" s="116">
        <f>SUMIFS(M:M,AM:AM,AM800)+SUMIFS(O:O,AM:AM,AM800)</f>
      </c>
      <c r="AQ800" s="116">
        <f>SUMIFS(L:L,AM:AM,AM800)</f>
      </c>
      <c r="AR800" s="116">
        <f>AQ800-AP800</f>
      </c>
      <c r="AS800" s="94" t="str">
        <f>IF(AN800&gt;=AQ800,"ok","ck")</f>
      </c>
      <c r="AT800" s="116">
        <f>-P800</f>
      </c>
      <c r="AU800" s="115">
        <f>IF(SUMIFS(AT:AT,AM:AM,AM800)&gt;AO800,(SUMIFS(AT:AT,AM:AM,AM800)-AO800))</f>
      </c>
      <c r="AV800" s="116">
        <v>0</v>
      </c>
      <c r="AW800" s="121">
        <v>0.97</v>
      </c>
      <c r="AX800" s="115">
        <f>AN800-AP800</f>
      </c>
    </row>
    <row r="801" spans="1:50" ht="15" hidden="1" customHeight="1" x14ac:dyDescent="0.3">
      <c r="A801" s="94" t="s">
        <v>311</v>
      </c>
      <c r="B801" s="94"/>
      <c r="C801" s="94"/>
      <c r="D801" s="94"/>
      <c r="E801" s="94"/>
      <c r="F801" s="94"/>
      <c r="G801" s="112">
        <f>AU801</f>
      </c>
      <c r="H801" s="113"/>
      <c r="I801" s="94" t="s">
        <v>312</v>
      </c>
      <c r="J801" s="94" t="s">
        <v>345</v>
      </c>
      <c r="K801" s="114">
        <f>P801/3</f>
      </c>
      <c r="L801" s="115">
        <v>0.214</v>
      </c>
      <c r="M801" s="116"/>
      <c r="N801" s="117">
        <f>M801-L801</f>
      </c>
      <c r="O801" s="112"/>
      <c r="P801" s="118">
        <f>N801+O801</f>
      </c>
      <c r="Q801" s="94" t="s">
        <v>346</v>
      </c>
      <c r="R801" s="94" t="s">
        <v>63</v>
      </c>
      <c r="S801" s="119">
        <v>46320</v>
      </c>
      <c r="T801" s="119"/>
      <c r="U801" s="119">
        <v>46320</v>
      </c>
      <c r="V801" s="94"/>
      <c r="W801" s="94"/>
      <c r="X801" s="94"/>
      <c r="Y801" s="119">
        <v>46320</v>
      </c>
      <c r="Z801" s="94"/>
      <c r="AA801" s="120"/>
      <c r="AB801" s="120"/>
      <c r="AC801" s="120"/>
      <c r="AD801" s="120"/>
      <c r="AE801" s="120"/>
      <c r="AF801" s="120"/>
      <c r="AG801" s="94"/>
      <c r="AH801" s="120"/>
      <c r="AI801" s="94"/>
      <c r="AJ801" s="94" t="s">
        <v>346</v>
      </c>
      <c r="AK801" s="94" t="s">
        <v>347</v>
      </c>
      <c r="AL801" s="94">
        <v>150</v>
      </c>
      <c r="AM801" s="94" t="str">
        <f>TRIM(AJ801)&amp;TRIM(AL801)&amp;TRIM(AK801)</f>
      </c>
      <c r="AN801" s="116">
        <v>0</v>
      </c>
      <c r="AO801" s="116" t="inlineStr">
        <is>
          <t>#NA</t>
        </is>
      </c>
      <c r="AP801" s="116">
        <f>SUMIFS(M:M,AM:AM,AM801)+SUMIFS(O:O,AM:AM,AM801)</f>
      </c>
      <c r="AQ801" s="116">
        <f>SUMIFS(L:L,AM:AM,AM801)</f>
      </c>
      <c r="AR801" s="116">
        <f>AQ801-AP801</f>
      </c>
      <c r="AS801" s="94" t="str">
        <f>IF(AN801&gt;=AQ801,"ok","ck")</f>
      </c>
      <c r="AT801" s="116">
        <f>-P801</f>
      </c>
      <c r="AU801" s="115">
        <f>IF(SUMIFS(AT:AT,AM:AM,AM801)&gt;AO801,(SUMIFS(AT:AT,AM:AM,AM801)-AO801))</f>
      </c>
      <c r="AV801" s="116">
        <v>0</v>
      </c>
      <c r="AW801" s="121">
        <v>0.97</v>
      </c>
      <c r="AX801" s="115">
        <f>AN801-AP801</f>
      </c>
    </row>
    <row r="802" spans="1:50" ht="15" hidden="1" customHeight="1" x14ac:dyDescent="0.3">
      <c r="A802" s="94" t="s">
        <v>268</v>
      </c>
      <c r="B802" s="94"/>
      <c r="C802" s="94"/>
      <c r="D802" s="94"/>
      <c r="E802" s="94"/>
      <c r="F802" s="94"/>
      <c r="G802" s="112">
        <f>AU802</f>
      </c>
      <c r="H802" s="113"/>
      <c r="I802" s="94" t="s">
        <v>390</v>
      </c>
      <c r="J802" s="94" t="s">
        <v>328</v>
      </c>
      <c r="K802" s="114">
        <f>P802/3</f>
      </c>
      <c r="L802" s="115">
        <v>0.1</v>
      </c>
      <c r="M802" s="116"/>
      <c r="N802" s="117">
        <f>M802-L802</f>
      </c>
      <c r="O802" s="112"/>
      <c r="P802" s="118">
        <f>N802+O802</f>
      </c>
      <c r="Q802" s="94" t="s">
        <v>305</v>
      </c>
      <c r="R802" s="94" t="s">
        <v>63</v>
      </c>
      <c r="S802" s="119">
        <v>46323</v>
      </c>
      <c r="T802" s="119"/>
      <c r="U802" s="119">
        <v>46323</v>
      </c>
      <c r="V802" s="94"/>
      <c r="W802" s="94"/>
      <c r="X802" s="94"/>
      <c r="Y802" s="119">
        <v>46323</v>
      </c>
      <c r="Z802" s="94"/>
      <c r="AA802" s="120"/>
      <c r="AB802" s="120"/>
      <c r="AC802" s="120"/>
      <c r="AD802" s="120"/>
      <c r="AE802" s="120"/>
      <c r="AF802" s="120"/>
      <c r="AG802" s="94"/>
      <c r="AH802" s="120"/>
      <c r="AI802" s="94"/>
      <c r="AJ802" s="94" t="s">
        <v>305</v>
      </c>
      <c r="AK802" s="94" t="s">
        <v>329</v>
      </c>
      <c r="AL802" s="94">
        <v>140</v>
      </c>
      <c r="AM802" s="94" t="str">
        <f>TRIM(AJ802)&amp;TRIM(AL802)&amp;TRIM(AK802)</f>
      </c>
      <c r="AN802" s="116">
        <v>0</v>
      </c>
      <c r="AO802" s="116" t="inlineStr">
        <is>
          <t>#NA</t>
        </is>
      </c>
      <c r="AP802" s="116">
        <f>SUMIFS(M:M,AM:AM,AM802)+SUMIFS(O:O,AM:AM,AM802)</f>
      </c>
      <c r="AQ802" s="116">
        <f>SUMIFS(L:L,AM:AM,AM802)</f>
      </c>
      <c r="AR802" s="116">
        <f>AQ802-AP802</f>
      </c>
      <c r="AS802" s="94" t="str">
        <f>IF(AN802&gt;=AQ802,"ok","ck")</f>
      </c>
      <c r="AT802" s="116">
        <f>-P802</f>
      </c>
      <c r="AU802" s="115">
        <f>IF(SUMIFS(AT:AT,AM:AM,AM802)&gt;AO802,(SUMIFS(AT:AT,AM:AM,AM802)-AO802))</f>
      </c>
      <c r="AV802" s="116">
        <v>0</v>
      </c>
      <c r="AW802" s="121">
        <v>0</v>
      </c>
      <c r="AX802" s="115">
        <f>AN802-AP802</f>
      </c>
    </row>
    <row r="803" spans="1:50" ht="15" hidden="1" customHeight="1" x14ac:dyDescent="0.3">
      <c r="A803" s="94" t="s">
        <v>268</v>
      </c>
      <c r="B803" s="94"/>
      <c r="C803" s="94"/>
      <c r="D803" s="94"/>
      <c r="E803" s="94"/>
      <c r="F803" s="94"/>
      <c r="G803" s="112">
        <f>AU803</f>
      </c>
      <c r="H803" s="113"/>
      <c r="I803" s="94" t="s">
        <v>390</v>
      </c>
      <c r="J803" s="94" t="s">
        <v>328</v>
      </c>
      <c r="K803" s="114">
        <f>P803/3</f>
      </c>
      <c r="L803" s="115">
        <v>600.77800000000002</v>
      </c>
      <c r="M803" s="116"/>
      <c r="N803" s="117">
        <f>M803-L803</f>
      </c>
      <c r="O803" s="112"/>
      <c r="P803" s="118">
        <f>N803+O803</f>
      </c>
      <c r="Q803" s="94" t="s">
        <v>305</v>
      </c>
      <c r="R803" s="94" t="s">
        <v>63</v>
      </c>
      <c r="S803" s="119">
        <v>46346</v>
      </c>
      <c r="T803" s="119"/>
      <c r="U803" s="119" t="s">
        <v>640</v>
      </c>
      <c r="V803" s="94"/>
      <c r="W803" s="94"/>
      <c r="X803" s="94"/>
      <c r="Y803" s="119">
        <v>46320</v>
      </c>
      <c r="Z803" s="94"/>
      <c r="AA803" s="120"/>
      <c r="AB803" s="120"/>
      <c r="AC803" s="120"/>
      <c r="AD803" s="120"/>
      <c r="AE803" s="120"/>
      <c r="AF803" s="120"/>
      <c r="AG803" s="94"/>
      <c r="AH803" s="120"/>
      <c r="AI803" s="94"/>
      <c r="AJ803" s="94" t="s">
        <v>305</v>
      </c>
      <c r="AK803" s="94" t="s">
        <v>329</v>
      </c>
      <c r="AL803" s="94">
        <v>140</v>
      </c>
      <c r="AM803" s="94" t="str">
        <f>TRIM(AJ803)&amp;TRIM(AL803)&amp;TRIM(AK803)</f>
      </c>
      <c r="AN803" s="116">
        <v>0</v>
      </c>
      <c r="AO803" s="116" t="inlineStr">
        <is>
          <t>#NA</t>
        </is>
      </c>
      <c r="AP803" s="116">
        <f>SUMIFS(M:M,AM:AM,AM803)+SUMIFS(O:O,AM:AM,AM803)</f>
      </c>
      <c r="AQ803" s="116">
        <f>SUMIFS(L:L,AM:AM,AM803)</f>
      </c>
      <c r="AR803" s="116">
        <f>AQ803-AP803</f>
      </c>
      <c r="AS803" s="94" t="str">
        <f>IF(AN803&gt;=AQ803,"ok","ck")</f>
      </c>
      <c r="AT803" s="116">
        <f>-P803</f>
      </c>
      <c r="AU803" s="115">
        <f>IF(SUMIFS(AT:AT,AM:AM,AM803)&gt;AO803,(SUMIFS(AT:AT,AM:AM,AM803)-AO803))</f>
      </c>
      <c r="AV803" s="116">
        <v>0</v>
      </c>
      <c r="AW803" s="121">
        <v>0</v>
      </c>
      <c r="AX803" s="115">
        <f>AN803-AP803</f>
      </c>
    </row>
    <row r="804" spans="1:50" ht="15" hidden="1" customHeight="1" x14ac:dyDescent="0.3">
      <c r="A804" s="94" t="s">
        <v>311</v>
      </c>
      <c r="B804" s="94"/>
      <c r="C804" s="94"/>
      <c r="D804" s="94"/>
      <c r="E804" s="94"/>
      <c r="F804" s="94"/>
      <c r="G804" s="112">
        <f>AU804</f>
      </c>
      <c r="H804" s="113"/>
      <c r="I804" s="94" t="s">
        <v>312</v>
      </c>
      <c r="J804" s="94" t="s">
        <v>368</v>
      </c>
      <c r="K804" s="114">
        <f>P804/3</f>
      </c>
      <c r="L804" s="115">
        <v>26.844000000000001</v>
      </c>
      <c r="M804" s="116">
        <f>L804</f>
      </c>
      <c r="N804" s="117">
        <f>M804-L804</f>
      </c>
      <c r="O804" s="112"/>
      <c r="P804" s="118">
        <f>N804+O804</f>
      </c>
      <c r="Q804" s="94" t="s">
        <v>314</v>
      </c>
      <c r="R804" s="94" t="s">
        <v>63</v>
      </c>
      <c r="S804" s="119">
        <v>46320</v>
      </c>
      <c r="T804" s="119"/>
      <c r="U804" s="119">
        <v>46320</v>
      </c>
      <c r="V804" s="94"/>
      <c r="W804" s="94"/>
      <c r="X804" s="94"/>
      <c r="Y804" s="119">
        <v>46320</v>
      </c>
      <c r="Z804" s="94"/>
      <c r="AA804" s="120"/>
      <c r="AB804" s="120"/>
      <c r="AC804" s="120"/>
      <c r="AD804" s="120"/>
      <c r="AE804" s="120"/>
      <c r="AF804" s="120"/>
      <c r="AG804" s="94"/>
      <c r="AH804" s="120"/>
      <c r="AI804" s="94"/>
      <c r="AJ804" s="94" t="s">
        <v>314</v>
      </c>
      <c r="AK804" s="94" t="s">
        <v>294</v>
      </c>
      <c r="AL804" s="94">
        <v>150</v>
      </c>
      <c r="AM804" s="94" t="str">
        <f>TRIM(AJ804)&amp;TRIM(AL804)&amp;TRIM(AK804)</f>
      </c>
      <c r="AN804" s="116">
        <v>145.64</v>
      </c>
      <c r="AO804" s="116">
        <v>-8.64</v>
      </c>
      <c r="AP804" s="116">
        <f>SUMIFS(M:M,AM:AM,AM804)+SUMIFS(O:O,AM:AM,AM804)</f>
      </c>
      <c r="AQ804" s="116">
        <f>SUMIFS(L:L,AM:AM,AM804)</f>
      </c>
      <c r="AR804" s="116">
        <f>AQ804-AP804</f>
      </c>
      <c r="AS804" s="94" t="str">
        <f>IF(AN804&gt;=AQ804,"ok","ck")</f>
      </c>
      <c r="AT804" s="116">
        <f>-P804</f>
      </c>
      <c r="AU804" s="115">
        <f>IF(SUMIFS(AT:AT,AM:AM,AM804)&gt;AO804,(SUMIFS(AT:AT,AM:AM,AM804)-AO804))</f>
      </c>
      <c r="AV804" s="116">
        <v>145.64</v>
      </c>
      <c r="AW804" s="121">
        <v>1.063</v>
      </c>
      <c r="AX804" s="115">
        <f>AN804-AP804</f>
      </c>
    </row>
    <row r="805" spans="1:50" ht="15" hidden="1" customHeight="1" x14ac:dyDescent="0.3">
      <c r="A805" s="94" t="s">
        <v>311</v>
      </c>
      <c r="B805" s="94"/>
      <c r="C805" s="94"/>
      <c r="D805" s="94"/>
      <c r="E805" s="94"/>
      <c r="F805" s="94"/>
      <c r="G805" s="112">
        <f>AU805</f>
      </c>
      <c r="H805" s="113"/>
      <c r="I805" s="94" t="s">
        <v>312</v>
      </c>
      <c r="J805" s="94" t="s">
        <v>368</v>
      </c>
      <c r="K805" s="114">
        <f>P805/3</f>
      </c>
      <c r="L805" s="115">
        <v>27.3</v>
      </c>
      <c r="M805" s="116">
        <f>L805</f>
      </c>
      <c r="N805" s="117">
        <f>M805-L805</f>
      </c>
      <c r="O805" s="112"/>
      <c r="P805" s="118">
        <f>N805+O805</f>
      </c>
      <c r="Q805" s="94" t="s">
        <v>314</v>
      </c>
      <c r="R805" s="94" t="s">
        <v>63</v>
      </c>
      <c r="S805" s="119">
        <v>46323</v>
      </c>
      <c r="T805" s="119"/>
      <c r="U805" s="119">
        <v>46323</v>
      </c>
      <c r="V805" s="94"/>
      <c r="W805" s="94"/>
      <c r="X805" s="94"/>
      <c r="Y805" s="119">
        <v>46323</v>
      </c>
      <c r="Z805" s="94"/>
      <c r="AA805" s="120"/>
      <c r="AB805" s="120"/>
      <c r="AC805" s="120"/>
      <c r="AD805" s="120"/>
      <c r="AE805" s="120"/>
      <c r="AF805" s="120"/>
      <c r="AG805" s="94"/>
      <c r="AH805" s="120"/>
      <c r="AI805" s="94"/>
      <c r="AJ805" s="94" t="s">
        <v>314</v>
      </c>
      <c r="AK805" s="94" t="s">
        <v>294</v>
      </c>
      <c r="AL805" s="94">
        <v>150</v>
      </c>
      <c r="AM805" s="94" t="str">
        <f>TRIM(AJ805)&amp;TRIM(AL805)&amp;TRIM(AK805)</f>
      </c>
      <c r="AN805" s="116">
        <v>145.64</v>
      </c>
      <c r="AO805" s="116">
        <v>-8.64</v>
      </c>
      <c r="AP805" s="116">
        <f>SUMIFS(M:M,AM:AM,AM805)+SUMIFS(O:O,AM:AM,AM805)</f>
      </c>
      <c r="AQ805" s="116">
        <f>SUMIFS(L:L,AM:AM,AM805)</f>
      </c>
      <c r="AR805" s="116">
        <f>AQ805-AP805</f>
      </c>
      <c r="AS805" s="94" t="str">
        <f>IF(AN805&gt;=AQ805,"ok","ck")</f>
      </c>
      <c r="AT805" s="116">
        <f>-P805</f>
      </c>
      <c r="AU805" s="115">
        <f>IF(SUMIFS(AT:AT,AM:AM,AM805)&gt;AO805,(SUMIFS(AT:AT,AM:AM,AM805)-AO805))</f>
      </c>
      <c r="AV805" s="116">
        <v>145.64</v>
      </c>
      <c r="AW805" s="121">
        <v>1.063</v>
      </c>
      <c r="AX805" s="115">
        <f>AN805-AP805</f>
      </c>
    </row>
    <row r="806" spans="1:50" ht="15" hidden="1" customHeight="1" x14ac:dyDescent="0.3">
      <c r="A806" s="94" t="s">
        <v>311</v>
      </c>
      <c r="B806" s="94"/>
      <c r="C806" s="94"/>
      <c r="D806" s="94"/>
      <c r="E806" s="94"/>
      <c r="F806" s="94"/>
      <c r="G806" s="112">
        <f>AU806</f>
      </c>
      <c r="H806" s="113"/>
      <c r="I806" s="94" t="s">
        <v>312</v>
      </c>
      <c r="J806" s="94" t="s">
        <v>313</v>
      </c>
      <c r="K806" s="114">
        <f>P806/3</f>
      </c>
      <c r="L806" s="115">
        <v>-0.28899999999999998</v>
      </c>
      <c r="M806" s="116"/>
      <c r="N806" s="117">
        <f>M806-L806</f>
      </c>
      <c r="O806" s="112"/>
      <c r="P806" s="118">
        <f>N806+O806</f>
      </c>
      <c r="Q806" s="94" t="s">
        <v>314</v>
      </c>
      <c r="R806" s="94" t="s">
        <v>63</v>
      </c>
      <c r="S806" s="119">
        <v>46320</v>
      </c>
      <c r="T806" s="119"/>
      <c r="U806" s="119">
        <v>46320</v>
      </c>
      <c r="V806" s="94"/>
      <c r="W806" s="94"/>
      <c r="X806" s="94"/>
      <c r="Y806" s="119">
        <v>46320</v>
      </c>
      <c r="Z806" s="94"/>
      <c r="AA806" s="120"/>
      <c r="AB806" s="120"/>
      <c r="AC806" s="120"/>
      <c r="AD806" s="120"/>
      <c r="AE806" s="120"/>
      <c r="AF806" s="120"/>
      <c r="AG806" s="94"/>
      <c r="AH806" s="120"/>
      <c r="AI806" s="94"/>
      <c r="AJ806" s="94" t="s">
        <v>314</v>
      </c>
      <c r="AK806" s="94" t="s">
        <v>315</v>
      </c>
      <c r="AL806" s="94">
        <v>150</v>
      </c>
      <c r="AM806" s="94" t="str">
        <f>TRIM(AJ806)&amp;TRIM(AL806)&amp;TRIM(AK806)</f>
      </c>
      <c r="AN806" s="116">
        <v>0</v>
      </c>
      <c r="AO806" s="116" t="inlineStr">
        <is>
          <t>#NA</t>
        </is>
      </c>
      <c r="AP806" s="116">
        <f>SUMIFS(M:M,AM:AM,AM806)+SUMIFS(O:O,AM:AM,AM806)</f>
      </c>
      <c r="AQ806" s="116">
        <f>SUMIFS(L:L,AM:AM,AM806)</f>
      </c>
      <c r="AR806" s="116">
        <f>AQ806-AP806</f>
      </c>
      <c r="AS806" s="94" t="str">
        <f>IF(AN806&gt;=AQ806,"ok","ck")</f>
      </c>
      <c r="AT806" s="116">
        <f>-P806</f>
      </c>
      <c r="AU806" s="115">
        <f>IF(SUMIFS(AT:AT,AM:AM,AM806)&gt;AO806,(SUMIFS(AT:AT,AM:AM,AM806)-AO806))</f>
      </c>
      <c r="AV806" s="116">
        <v>0</v>
      </c>
      <c r="AW806" s="121">
        <v>0.999</v>
      </c>
      <c r="AX806" s="115">
        <f>AN806-AP806</f>
      </c>
    </row>
    <row r="807" spans="1:50" ht="15" hidden="1" customHeight="1" x14ac:dyDescent="0.3">
      <c r="A807" s="94" t="s">
        <v>311</v>
      </c>
      <c r="B807" s="94"/>
      <c r="C807" s="94"/>
      <c r="D807" s="94"/>
      <c r="E807" s="94"/>
      <c r="F807" s="94"/>
      <c r="G807" s="112">
        <f>AU807</f>
      </c>
      <c r="H807" s="113"/>
      <c r="I807" s="94" t="s">
        <v>312</v>
      </c>
      <c r="J807" s="94" t="s">
        <v>313</v>
      </c>
      <c r="K807" s="114">
        <f>P807/3</f>
      </c>
      <c r="L807" s="115">
        <v>-0.3</v>
      </c>
      <c r="M807" s="116"/>
      <c r="N807" s="117">
        <f>M807-L807</f>
      </c>
      <c r="O807" s="112"/>
      <c r="P807" s="118">
        <f>N807+O807</f>
      </c>
      <c r="Q807" s="94" t="s">
        <v>314</v>
      </c>
      <c r="R807" s="94" t="s">
        <v>63</v>
      </c>
      <c r="S807" s="119">
        <v>46323</v>
      </c>
      <c r="T807" s="119"/>
      <c r="U807" s="119">
        <v>46323</v>
      </c>
      <c r="V807" s="94"/>
      <c r="W807" s="94"/>
      <c r="X807" s="94"/>
      <c r="Y807" s="119">
        <v>46323</v>
      </c>
      <c r="Z807" s="94"/>
      <c r="AA807" s="120"/>
      <c r="AB807" s="120"/>
      <c r="AC807" s="120"/>
      <c r="AD807" s="120"/>
      <c r="AE807" s="120"/>
      <c r="AF807" s="120"/>
      <c r="AG807" s="94"/>
      <c r="AH807" s="120"/>
      <c r="AI807" s="94"/>
      <c r="AJ807" s="94" t="s">
        <v>314</v>
      </c>
      <c r="AK807" s="94" t="s">
        <v>315</v>
      </c>
      <c r="AL807" s="94">
        <v>150</v>
      </c>
      <c r="AM807" s="94" t="str">
        <f>TRIM(AJ807)&amp;TRIM(AL807)&amp;TRIM(AK807)</f>
      </c>
      <c r="AN807" s="116">
        <v>0</v>
      </c>
      <c r="AO807" s="116" t="inlineStr">
        <is>
          <t>#NA</t>
        </is>
      </c>
      <c r="AP807" s="116">
        <f>SUMIFS(M:M,AM:AM,AM807)+SUMIFS(O:O,AM:AM,AM807)</f>
      </c>
      <c r="AQ807" s="116">
        <f>SUMIFS(L:L,AM:AM,AM807)</f>
      </c>
      <c r="AR807" s="116">
        <f>AQ807-AP807</f>
      </c>
      <c r="AS807" s="94" t="str">
        <f>IF(AN807&gt;=AQ807,"ok","ck")</f>
      </c>
      <c r="AT807" s="116">
        <f>-P807</f>
      </c>
      <c r="AU807" s="115">
        <f>IF(SUMIFS(AT:AT,AM:AM,AM807)&gt;AO807,(SUMIFS(AT:AT,AM:AM,AM807)-AO807))</f>
      </c>
      <c r="AV807" s="116">
        <v>0</v>
      </c>
      <c r="AW807" s="121">
        <v>0.999</v>
      </c>
      <c r="AX807" s="115">
        <f>AN807-AP807</f>
      </c>
    </row>
    <row r="808" spans="1:50" ht="15" hidden="1" customHeight="1" x14ac:dyDescent="0.3">
      <c r="A808" s="94" t="s">
        <v>253</v>
      </c>
      <c r="B808" s="94"/>
      <c r="C808" s="94"/>
      <c r="D808" s="94"/>
      <c r="E808" s="94"/>
      <c r="F808" s="94"/>
      <c r="G808" s="112">
        <f>AU808</f>
      </c>
      <c r="H808" s="113"/>
      <c r="I808" s="94" t="s">
        <v>254</v>
      </c>
      <c r="J808" s="94" t="s">
        <v>320</v>
      </c>
      <c r="K808" s="114">
        <f>P808/3</f>
      </c>
      <c r="L808" s="115">
        <v>0</v>
      </c>
      <c r="M808" s="116">
        <f>L808</f>
      </c>
      <c r="N808" s="117">
        <f>M808-L808</f>
      </c>
      <c r="O808" s="112"/>
      <c r="P808" s="118">
        <f>N808+O808</f>
      </c>
      <c r="Q808" s="94" t="s">
        <v>256</v>
      </c>
      <c r="R808" s="94" t="s">
        <v>63</v>
      </c>
      <c r="S808" s="119">
        <v>46320</v>
      </c>
      <c r="T808" s="119"/>
      <c r="U808" s="119">
        <v>46320</v>
      </c>
      <c r="V808" s="94"/>
      <c r="W808" s="94"/>
      <c r="X808" s="94"/>
      <c r="Y808" s="119">
        <v>46320</v>
      </c>
      <c r="Z808" s="94"/>
      <c r="AA808" s="120"/>
      <c r="AB808" s="120"/>
      <c r="AC808" s="120"/>
      <c r="AD808" s="120"/>
      <c r="AE808" s="120"/>
      <c r="AF808" s="120"/>
      <c r="AG808" s="94"/>
      <c r="AH808" s="120"/>
      <c r="AI808" s="94"/>
      <c r="AJ808" s="94" t="s">
        <v>257</v>
      </c>
      <c r="AK808" s="94" t="s">
        <v>321</v>
      </c>
      <c r="AL808" s="94">
        <v>150</v>
      </c>
      <c r="AM808" s="94" t="str">
        <f>TRIM(AJ808)&amp;TRIM(AL808)&amp;TRIM(AK808)</f>
      </c>
      <c r="AN808" s="116">
        <v>2791</v>
      </c>
      <c r="AO808" s="116">
        <v>-80.1</v>
      </c>
      <c r="AP808" s="116">
        <f>SUMIFS(M:M,AM:AM,AM808)+SUMIFS(O:O,AM:AM,AM808)</f>
      </c>
      <c r="AQ808" s="116">
        <f>SUMIFS(L:L,AM:AM,AM808)</f>
      </c>
      <c r="AR808" s="116">
        <f>AQ808-AP808</f>
      </c>
      <c r="AS808" s="94" t="str">
        <f>IF(AN808&gt;=AQ808,"ok","ck")</f>
      </c>
      <c r="AT808" s="116">
        <f>-P808</f>
      </c>
      <c r="AU808" s="115">
        <f>IF(SUMIFS(AT:AT,AM:AM,AM808)&gt;AO808,(SUMIFS(AT:AT,AM:AM,AM808)-AO808))</f>
      </c>
      <c r="AV808" s="116">
        <v>2791</v>
      </c>
      <c r="AW808" s="121">
        <v>1.03</v>
      </c>
      <c r="AX808" s="115">
        <f>AN808-AP808</f>
      </c>
    </row>
    <row r="809" spans="1:50" ht="15" hidden="1" customHeight="1" x14ac:dyDescent="0.3">
      <c r="A809" s="94" t="s">
        <v>60</v>
      </c>
      <c r="B809" s="94"/>
      <c r="C809" s="94"/>
      <c r="D809" s="94"/>
      <c r="E809" s="94"/>
      <c r="F809" s="94"/>
      <c r="G809" s="112">
        <f>AU809</f>
      </c>
      <c r="H809" s="113"/>
      <c r="I809" s="94" t="s">
        <v>482</v>
      </c>
      <c r="J809" s="94" t="s">
        <v>499</v>
      </c>
      <c r="K809" s="114">
        <f>P809/3</f>
      </c>
      <c r="L809" s="115">
        <v>10.382</v>
      </c>
      <c r="M809" s="116"/>
      <c r="N809" s="117">
        <f>M809-L809</f>
      </c>
      <c r="O809" s="112"/>
      <c r="P809" s="118">
        <f>N809+O809</f>
      </c>
      <c r="Q809" s="94" t="s">
        <v>781</v>
      </c>
      <c r="R809" s="94" t="s">
        <v>63</v>
      </c>
      <c r="S809" s="119">
        <v>46330</v>
      </c>
      <c r="T809" s="119"/>
      <c r="U809" s="119">
        <v>46330</v>
      </c>
      <c r="V809" s="94"/>
      <c r="W809" s="94"/>
      <c r="X809" s="94"/>
      <c r="Y809" s="119">
        <v>46330</v>
      </c>
      <c r="Z809" s="94"/>
      <c r="AA809" s="120"/>
      <c r="AB809" s="120"/>
      <c r="AC809" s="120"/>
      <c r="AD809" s="120"/>
      <c r="AE809" s="120"/>
      <c r="AF809" s="120"/>
      <c r="AG809" s="94"/>
      <c r="AH809" s="120"/>
      <c r="AI809" s="94"/>
      <c r="AJ809" s="94" t="s">
        <v>781</v>
      </c>
      <c r="AK809" s="94" t="s">
        <v>693</v>
      </c>
      <c r="AL809" s="94">
        <v>110</v>
      </c>
      <c r="AM809" s="94" t="str">
        <f>TRIM(AJ809)&amp;TRIM(AL809)&amp;TRIM(AK809)</f>
      </c>
      <c r="AN809" s="116">
        <v>0</v>
      </c>
      <c r="AO809" s="116" t="inlineStr">
        <is>
          <t>#NA</t>
        </is>
      </c>
      <c r="AP809" s="116">
        <f>SUMIFS(M:M,AM:AM,AM809)+SUMIFS(O:O,AM:AM,AM809)</f>
      </c>
      <c r="AQ809" s="116">
        <f>SUMIFS(L:L,AM:AM,AM809)</f>
      </c>
      <c r="AR809" s="116">
        <f>AQ809-AP809</f>
      </c>
      <c r="AS809" s="94" t="str">
        <f>IF(AN809&gt;=AQ809,"ok","ck")</f>
      </c>
      <c r="AT809" s="116">
        <f>-P809</f>
      </c>
      <c r="AU809" s="115">
        <f>IF(SUMIFS(AT:AT,AM:AM,AM809)&gt;AO809,(SUMIFS(AT:AT,AM:AM,AM809)-AO809))</f>
      </c>
      <c r="AV809" s="116">
        <v>0</v>
      </c>
      <c r="AW809" s="121">
        <v>0</v>
      </c>
      <c r="AX809" s="115">
        <f>AN809-AP809</f>
      </c>
    </row>
    <row r="810" spans="1:50" ht="15" hidden="1" customHeight="1" x14ac:dyDescent="0.3">
      <c r="A810" s="94" t="s">
        <v>311</v>
      </c>
      <c r="B810" s="94"/>
      <c r="C810" s="94"/>
      <c r="D810" s="94"/>
      <c r="E810" s="94"/>
      <c r="F810" s="94"/>
      <c r="G810" s="112">
        <f>AU810</f>
      </c>
      <c r="H810" s="113"/>
      <c r="I810" s="94" t="s">
        <v>312</v>
      </c>
      <c r="J810" s="94" t="s">
        <v>335</v>
      </c>
      <c r="K810" s="114">
        <f>P810/3</f>
      </c>
      <c r="L810" s="115">
        <v>152.80000000000001</v>
      </c>
      <c r="M810" s="116"/>
      <c r="N810" s="117">
        <f>M810-L810</f>
      </c>
      <c r="O810" s="112"/>
      <c r="P810" s="118">
        <f>N810+O810</f>
      </c>
      <c r="Q810" s="94" t="s">
        <v>314</v>
      </c>
      <c r="R810" s="94" t="s">
        <v>63</v>
      </c>
      <c r="S810" s="119">
        <v>46323</v>
      </c>
      <c r="T810" s="119"/>
      <c r="U810" s="119">
        <v>46323</v>
      </c>
      <c r="V810" s="94"/>
      <c r="W810" s="94"/>
      <c r="X810" s="94"/>
      <c r="Y810" s="119">
        <v>46320</v>
      </c>
      <c r="Z810" s="94"/>
      <c r="AA810" s="120"/>
      <c r="AB810" s="120"/>
      <c r="AC810" s="120"/>
      <c r="AD810" s="120"/>
      <c r="AE810" s="120"/>
      <c r="AF810" s="120"/>
      <c r="AG810" s="94"/>
      <c r="AH810" s="120"/>
      <c r="AI810" s="94"/>
      <c r="AJ810" s="94" t="s">
        <v>314</v>
      </c>
      <c r="AK810" s="94" t="s">
        <v>335</v>
      </c>
      <c r="AL810" s="94">
        <v>150</v>
      </c>
      <c r="AM810" s="94" t="str">
        <f>TRIM(AJ810)&amp;TRIM(AL810)&amp;TRIM(AK810)</f>
      </c>
      <c r="AN810" s="116">
        <v>0</v>
      </c>
      <c r="AO810" s="116" t="inlineStr">
        <is>
          <t>#NA</t>
        </is>
      </c>
      <c r="AP810" s="116">
        <f>SUMIFS(M:M,AM:AM,AM810)+SUMIFS(O:O,AM:AM,AM810)</f>
      </c>
      <c r="AQ810" s="116">
        <f>SUMIFS(L:L,AM:AM,AM810)</f>
      </c>
      <c r="AR810" s="116">
        <f>AQ810-AP810</f>
      </c>
      <c r="AS810" s="94" t="str">
        <f>IF(AN810&gt;=AQ810,"ok","ck")</f>
      </c>
      <c r="AT810" s="116">
        <f>-P810</f>
      </c>
      <c r="AU810" s="115">
        <f>IF(SUMIFS(AT:AT,AM:AM,AM810)&gt;AO810,(SUMIFS(AT:AT,AM:AM,AM810)-AO810))</f>
      </c>
      <c r="AV810" s="116">
        <v>0</v>
      </c>
      <c r="AW810" s="121">
        <v>0</v>
      </c>
      <c r="AX810" s="115">
        <f>AN810-AP810</f>
      </c>
    </row>
    <row r="811" spans="1:50" ht="15" hidden="1" customHeight="1" x14ac:dyDescent="0.3">
      <c r="A811" s="94" t="s">
        <v>311</v>
      </c>
      <c r="B811" s="94"/>
      <c r="C811" s="94"/>
      <c r="D811" s="94"/>
      <c r="E811" s="94"/>
      <c r="F811" s="94"/>
      <c r="G811" s="112">
        <f>AU811</f>
      </c>
      <c r="H811" s="113"/>
      <c r="I811" s="94" t="s">
        <v>312</v>
      </c>
      <c r="J811" s="94" t="s">
        <v>335</v>
      </c>
      <c r="K811" s="114">
        <f>P811/3</f>
      </c>
      <c r="L811" s="115">
        <v>76.400000000000006</v>
      </c>
      <c r="M811" s="116"/>
      <c r="N811" s="117">
        <f>M811-L811</f>
      </c>
      <c r="O811" s="112"/>
      <c r="P811" s="118">
        <f>N811+O811</f>
      </c>
      <c r="Q811" s="94" t="s">
        <v>314</v>
      </c>
      <c r="R811" s="94" t="s">
        <v>63</v>
      </c>
      <c r="S811" s="119">
        <v>46323</v>
      </c>
      <c r="T811" s="119"/>
      <c r="U811" s="119">
        <v>46323</v>
      </c>
      <c r="V811" s="94"/>
      <c r="W811" s="94"/>
      <c r="X811" s="94"/>
      <c r="Y811" s="119">
        <v>46320</v>
      </c>
      <c r="Z811" s="94"/>
      <c r="AA811" s="120"/>
      <c r="AB811" s="120"/>
      <c r="AC811" s="120"/>
      <c r="AD811" s="120"/>
      <c r="AE811" s="120"/>
      <c r="AF811" s="120"/>
      <c r="AG811" s="94"/>
      <c r="AH811" s="120"/>
      <c r="AI811" s="94"/>
      <c r="AJ811" s="94" t="s">
        <v>314</v>
      </c>
      <c r="AK811" s="94" t="s">
        <v>335</v>
      </c>
      <c r="AL811" s="94">
        <v>150</v>
      </c>
      <c r="AM811" s="94" t="str">
        <f>TRIM(AJ811)&amp;TRIM(AL811)&amp;TRIM(AK811)</f>
      </c>
      <c r="AN811" s="116">
        <v>0</v>
      </c>
      <c r="AO811" s="116" t="inlineStr">
        <is>
          <t>#NA</t>
        </is>
      </c>
      <c r="AP811" s="116">
        <f>SUMIFS(M:M,AM:AM,AM811)+SUMIFS(O:O,AM:AM,AM811)</f>
      </c>
      <c r="AQ811" s="116">
        <f>SUMIFS(L:L,AM:AM,AM811)</f>
      </c>
      <c r="AR811" s="116">
        <f>AQ811-AP811</f>
      </c>
      <c r="AS811" s="94" t="str">
        <f>IF(AN811&gt;=AQ811,"ok","ck")</f>
      </c>
      <c r="AT811" s="116">
        <f>-P811</f>
      </c>
      <c r="AU811" s="115">
        <f>IF(SUMIFS(AT:AT,AM:AM,AM811)&gt;AO811,(SUMIFS(AT:AT,AM:AM,AM811)-AO811))</f>
      </c>
      <c r="AV811" s="116">
        <v>0</v>
      </c>
      <c r="AW811" s="121">
        <v>0</v>
      </c>
      <c r="AX811" s="115">
        <f>AN811-AP811</f>
      </c>
    </row>
    <row r="812" spans="1:50" ht="15" hidden="1" customHeight="1" x14ac:dyDescent="0.3">
      <c r="A812" s="94" t="s">
        <v>311</v>
      </c>
      <c r="B812" s="94"/>
      <c r="C812" s="94"/>
      <c r="D812" s="94"/>
      <c r="E812" s="94"/>
      <c r="F812" s="94"/>
      <c r="G812" s="112">
        <f>AU812</f>
      </c>
      <c r="H812" s="113"/>
      <c r="I812" s="94" t="s">
        <v>312</v>
      </c>
      <c r="J812" s="94" t="s">
        <v>335</v>
      </c>
      <c r="K812" s="114">
        <f>P812/3</f>
      </c>
      <c r="L812" s="115">
        <v>76.400000000000006</v>
      </c>
      <c r="M812" s="116"/>
      <c r="N812" s="117">
        <f>M812-L812</f>
      </c>
      <c r="O812" s="112"/>
      <c r="P812" s="118">
        <f>N812+O812</f>
      </c>
      <c r="Q812" s="94" t="s">
        <v>314</v>
      </c>
      <c r="R812" s="94" t="s">
        <v>63</v>
      </c>
      <c r="S812" s="119">
        <v>46323</v>
      </c>
      <c r="T812" s="119"/>
      <c r="U812" s="119">
        <v>46323</v>
      </c>
      <c r="V812" s="94"/>
      <c r="W812" s="94"/>
      <c r="X812" s="94"/>
      <c r="Y812" s="119">
        <v>46320</v>
      </c>
      <c r="Z812" s="94"/>
      <c r="AA812" s="120"/>
      <c r="AB812" s="120"/>
      <c r="AC812" s="120"/>
      <c r="AD812" s="120"/>
      <c r="AE812" s="120"/>
      <c r="AF812" s="120"/>
      <c r="AG812" s="94"/>
      <c r="AH812" s="120"/>
      <c r="AI812" s="94"/>
      <c r="AJ812" s="94" t="s">
        <v>314</v>
      </c>
      <c r="AK812" s="94" t="s">
        <v>335</v>
      </c>
      <c r="AL812" s="94">
        <v>150</v>
      </c>
      <c r="AM812" s="94" t="str">
        <f>TRIM(AJ812)&amp;TRIM(AL812)&amp;TRIM(AK812)</f>
      </c>
      <c r="AN812" s="116">
        <v>0</v>
      </c>
      <c r="AO812" s="116" t="inlineStr">
        <is>
          <t>#NA</t>
        </is>
      </c>
      <c r="AP812" s="116">
        <f>SUMIFS(M:M,AM:AM,AM812)+SUMIFS(O:O,AM:AM,AM812)</f>
      </c>
      <c r="AQ812" s="116">
        <f>SUMIFS(L:L,AM:AM,AM812)</f>
      </c>
      <c r="AR812" s="116">
        <f>AQ812-AP812</f>
      </c>
      <c r="AS812" s="94" t="str">
        <f>IF(AN812&gt;=AQ812,"ok","ck")</f>
      </c>
      <c r="AT812" s="116">
        <f>-P812</f>
      </c>
      <c r="AU812" s="115">
        <f>IF(SUMIFS(AT:AT,AM:AM,AM812)&gt;AO812,(SUMIFS(AT:AT,AM:AM,AM812)-AO812))</f>
      </c>
      <c r="AV812" s="116">
        <v>0</v>
      </c>
      <c r="AW812" s="121">
        <v>0</v>
      </c>
      <c r="AX812" s="115">
        <f>AN812-AP812</f>
      </c>
    </row>
    <row r="813" spans="1:50" ht="15" hidden="1" customHeight="1" x14ac:dyDescent="0.3">
      <c r="A813" s="94" t="s">
        <v>311</v>
      </c>
      <c r="B813" s="94"/>
      <c r="C813" s="94"/>
      <c r="D813" s="94"/>
      <c r="E813" s="94"/>
      <c r="F813" s="94"/>
      <c r="G813" s="112">
        <f>AU813</f>
      </c>
      <c r="H813" s="113"/>
      <c r="I813" s="94" t="s">
        <v>312</v>
      </c>
      <c r="J813" s="94" t="s">
        <v>335</v>
      </c>
      <c r="K813" s="114">
        <f>P813/3</f>
      </c>
      <c r="L813" s="115">
        <v>2.6739999999999999</v>
      </c>
      <c r="M813" s="116"/>
      <c r="N813" s="117">
        <f>M813-L813</f>
      </c>
      <c r="O813" s="112"/>
      <c r="P813" s="118">
        <f>N813+O813</f>
      </c>
      <c r="Q813" s="94" t="s">
        <v>314</v>
      </c>
      <c r="R813" s="94" t="s">
        <v>63</v>
      </c>
      <c r="S813" s="119">
        <v>46323</v>
      </c>
      <c r="T813" s="119"/>
      <c r="U813" s="119">
        <v>46323</v>
      </c>
      <c r="V813" s="94"/>
      <c r="W813" s="94"/>
      <c r="X813" s="94"/>
      <c r="Y813" s="119">
        <v>46321</v>
      </c>
      <c r="Z813" s="94"/>
      <c r="AA813" s="120"/>
      <c r="AB813" s="120"/>
      <c r="AC813" s="120"/>
      <c r="AD813" s="120"/>
      <c r="AE813" s="120"/>
      <c r="AF813" s="120"/>
      <c r="AG813" s="94"/>
      <c r="AH813" s="120"/>
      <c r="AI813" s="94"/>
      <c r="AJ813" s="94" t="s">
        <v>314</v>
      </c>
      <c r="AK813" s="94" t="s">
        <v>335</v>
      </c>
      <c r="AL813" s="94">
        <v>150</v>
      </c>
      <c r="AM813" s="94" t="str">
        <f>TRIM(AJ813)&amp;TRIM(AL813)&amp;TRIM(AK813)</f>
      </c>
      <c r="AN813" s="116">
        <v>0</v>
      </c>
      <c r="AO813" s="116" t="inlineStr">
        <is>
          <t>#NA</t>
        </is>
      </c>
      <c r="AP813" s="116">
        <f>SUMIFS(M:M,AM:AM,AM813)+SUMIFS(O:O,AM:AM,AM813)</f>
      </c>
      <c r="AQ813" s="116">
        <f>SUMIFS(L:L,AM:AM,AM813)</f>
      </c>
      <c r="AR813" s="116">
        <f>AQ813-AP813</f>
      </c>
      <c r="AS813" s="94" t="str">
        <f>IF(AN813&gt;=AQ813,"ok","ck")</f>
      </c>
      <c r="AT813" s="116">
        <f>-P813</f>
      </c>
      <c r="AU813" s="115">
        <f>IF(SUMIFS(AT:AT,AM:AM,AM813)&gt;AO813,(SUMIFS(AT:AT,AM:AM,AM813)-AO813))</f>
      </c>
      <c r="AV813" s="116">
        <v>0</v>
      </c>
      <c r="AW813" s="121">
        <v>0</v>
      </c>
      <c r="AX813" s="115">
        <f>AN813-AP813</f>
      </c>
    </row>
    <row r="814" spans="1:50" ht="15" hidden="1" customHeight="1" x14ac:dyDescent="0.3">
      <c r="A814" s="94" t="s">
        <v>311</v>
      </c>
      <c r="B814" s="94"/>
      <c r="C814" s="94"/>
      <c r="D814" s="94"/>
      <c r="E814" s="94"/>
      <c r="F814" s="94"/>
      <c r="G814" s="112">
        <f>AU814</f>
      </c>
      <c r="H814" s="113"/>
      <c r="I814" s="94" t="s">
        <v>312</v>
      </c>
      <c r="J814" s="94" t="s">
        <v>335</v>
      </c>
      <c r="K814" s="114">
        <f>P814/3</f>
      </c>
      <c r="L814" s="115">
        <v>20</v>
      </c>
      <c r="M814" s="116"/>
      <c r="N814" s="117">
        <f>M814-L814</f>
      </c>
      <c r="O814" s="112"/>
      <c r="P814" s="118">
        <f>N814+O814</f>
      </c>
      <c r="Q814" s="94" t="s">
        <v>314</v>
      </c>
      <c r="R814" s="94" t="s">
        <v>63</v>
      </c>
      <c r="S814" s="119">
        <v>46323</v>
      </c>
      <c r="T814" s="119"/>
      <c r="U814" s="119">
        <v>46323</v>
      </c>
      <c r="V814" s="94"/>
      <c r="W814" s="94"/>
      <c r="X814" s="94"/>
      <c r="Y814" s="119">
        <v>46320</v>
      </c>
      <c r="Z814" s="94"/>
      <c r="AA814" s="120"/>
      <c r="AB814" s="120"/>
      <c r="AC814" s="120"/>
      <c r="AD814" s="120"/>
      <c r="AE814" s="120"/>
      <c r="AF814" s="120"/>
      <c r="AG814" s="94"/>
      <c r="AH814" s="120"/>
      <c r="AI814" s="94"/>
      <c r="AJ814" s="94" t="s">
        <v>314</v>
      </c>
      <c r="AK814" s="94" t="s">
        <v>335</v>
      </c>
      <c r="AL814" s="94">
        <v>150</v>
      </c>
      <c r="AM814" s="94" t="str">
        <f>TRIM(AJ814)&amp;TRIM(AL814)&amp;TRIM(AK814)</f>
      </c>
      <c r="AN814" s="116">
        <v>0</v>
      </c>
      <c r="AO814" s="116" t="inlineStr">
        <is>
          <t>#NA</t>
        </is>
      </c>
      <c r="AP814" s="116">
        <f>SUMIFS(M:M,AM:AM,AM814)+SUMIFS(O:O,AM:AM,AM814)</f>
      </c>
      <c r="AQ814" s="116">
        <f>SUMIFS(L:L,AM:AM,AM814)</f>
      </c>
      <c r="AR814" s="116">
        <f>AQ814-AP814</f>
      </c>
      <c r="AS814" s="94" t="str">
        <f>IF(AN814&gt;=AQ814,"ok","ck")</f>
      </c>
      <c r="AT814" s="116">
        <f>-P814</f>
      </c>
      <c r="AU814" s="115">
        <f>IF(SUMIFS(AT:AT,AM:AM,AM814)&gt;AO814,(SUMIFS(AT:AT,AM:AM,AM814)-AO814))</f>
      </c>
      <c r="AV814" s="116">
        <v>0</v>
      </c>
      <c r="AW814" s="121">
        <v>0</v>
      </c>
      <c r="AX814" s="115">
        <f>AN814-AP814</f>
      </c>
    </row>
    <row r="815" spans="1:50" ht="15" hidden="1" customHeight="1" x14ac:dyDescent="0.3">
      <c r="A815" s="94" t="s">
        <v>311</v>
      </c>
      <c r="B815" s="94"/>
      <c r="C815" s="94"/>
      <c r="D815" s="94"/>
      <c r="E815" s="94"/>
      <c r="F815" s="94"/>
      <c r="G815" s="112">
        <f>AU815</f>
      </c>
      <c r="H815" s="113"/>
      <c r="I815" s="94" t="s">
        <v>312</v>
      </c>
      <c r="J815" s="94" t="s">
        <v>335</v>
      </c>
      <c r="K815" s="114">
        <f>P815/3</f>
      </c>
      <c r="L815" s="115">
        <v>9.3759999999999994</v>
      </c>
      <c r="M815" s="116"/>
      <c r="N815" s="117">
        <f>M815-L815</f>
      </c>
      <c r="O815" s="112"/>
      <c r="P815" s="118">
        <f>N815+O815</f>
      </c>
      <c r="Q815" s="94" t="s">
        <v>314</v>
      </c>
      <c r="R815" s="94" t="s">
        <v>63</v>
      </c>
      <c r="S815" s="119">
        <v>46323</v>
      </c>
      <c r="T815" s="119"/>
      <c r="U815" s="119">
        <v>46323</v>
      </c>
      <c r="V815" s="94"/>
      <c r="W815" s="94"/>
      <c r="X815" s="94"/>
      <c r="Y815" s="119">
        <v>46320</v>
      </c>
      <c r="Z815" s="94"/>
      <c r="AA815" s="120"/>
      <c r="AB815" s="120"/>
      <c r="AC815" s="120"/>
      <c r="AD815" s="120"/>
      <c r="AE815" s="120"/>
      <c r="AF815" s="120"/>
      <c r="AG815" s="94"/>
      <c r="AH815" s="120"/>
      <c r="AI815" s="94"/>
      <c r="AJ815" s="94" t="s">
        <v>314</v>
      </c>
      <c r="AK815" s="94" t="s">
        <v>335</v>
      </c>
      <c r="AL815" s="94">
        <v>150</v>
      </c>
      <c r="AM815" s="94" t="str">
        <f>TRIM(AJ815)&amp;TRIM(AL815)&amp;TRIM(AK815)</f>
      </c>
      <c r="AN815" s="116">
        <v>0</v>
      </c>
      <c r="AO815" s="116" t="inlineStr">
        <is>
          <t>#NA</t>
        </is>
      </c>
      <c r="AP815" s="116">
        <f>SUMIFS(M:M,AM:AM,AM815)+SUMIFS(O:O,AM:AM,AM815)</f>
      </c>
      <c r="AQ815" s="116">
        <f>SUMIFS(L:L,AM:AM,AM815)</f>
      </c>
      <c r="AR815" s="116">
        <f>AQ815-AP815</f>
      </c>
      <c r="AS815" s="94" t="str">
        <f>IF(AN815&gt;=AQ815,"ok","ck")</f>
      </c>
      <c r="AT815" s="116">
        <f>-P815</f>
      </c>
      <c r="AU815" s="115">
        <f>IF(SUMIFS(AT:AT,AM:AM,AM815)&gt;AO815,(SUMIFS(AT:AT,AM:AM,AM815)-AO815))</f>
      </c>
      <c r="AV815" s="116">
        <v>0</v>
      </c>
      <c r="AW815" s="121">
        <v>0</v>
      </c>
      <c r="AX815" s="115">
        <f>AN815-AP815</f>
      </c>
    </row>
    <row r="816" spans="1:50" ht="15" hidden="1" customHeight="1" x14ac:dyDescent="0.3">
      <c r="A816" s="94" t="s">
        <v>311</v>
      </c>
      <c r="B816" s="94"/>
      <c r="C816" s="94"/>
      <c r="D816" s="94"/>
      <c r="E816" s="94"/>
      <c r="F816" s="94"/>
      <c r="G816" s="112">
        <f>AU816</f>
      </c>
      <c r="H816" s="113"/>
      <c r="I816" s="94" t="s">
        <v>312</v>
      </c>
      <c r="J816" s="94" t="s">
        <v>335</v>
      </c>
      <c r="K816" s="114">
        <f>P816/3</f>
      </c>
      <c r="L816" s="115">
        <v>10</v>
      </c>
      <c r="M816" s="116"/>
      <c r="N816" s="117">
        <f>M816-L816</f>
      </c>
      <c r="O816" s="112"/>
      <c r="P816" s="118">
        <f>N816+O816</f>
      </c>
      <c r="Q816" s="94" t="s">
        <v>314</v>
      </c>
      <c r="R816" s="94" t="s">
        <v>63</v>
      </c>
      <c r="S816" s="119">
        <v>46323</v>
      </c>
      <c r="T816" s="119"/>
      <c r="U816" s="119">
        <v>46323</v>
      </c>
      <c r="V816" s="94"/>
      <c r="W816" s="94"/>
      <c r="X816" s="94"/>
      <c r="Y816" s="119">
        <v>46320</v>
      </c>
      <c r="Z816" s="94"/>
      <c r="AA816" s="120"/>
      <c r="AB816" s="120"/>
      <c r="AC816" s="120"/>
      <c r="AD816" s="120"/>
      <c r="AE816" s="120"/>
      <c r="AF816" s="120"/>
      <c r="AG816" s="94"/>
      <c r="AH816" s="120"/>
      <c r="AI816" s="94"/>
      <c r="AJ816" s="94" t="s">
        <v>314</v>
      </c>
      <c r="AK816" s="94" t="s">
        <v>335</v>
      </c>
      <c r="AL816" s="94">
        <v>150</v>
      </c>
      <c r="AM816" s="94" t="str">
        <f>TRIM(AJ816)&amp;TRIM(AL816)&amp;TRIM(AK816)</f>
      </c>
      <c r="AN816" s="116">
        <v>0</v>
      </c>
      <c r="AO816" s="116" t="inlineStr">
        <is>
          <t>#NA</t>
        </is>
      </c>
      <c r="AP816" s="116">
        <f>SUMIFS(M:M,AM:AM,AM816)+SUMIFS(O:O,AM:AM,AM816)</f>
      </c>
      <c r="AQ816" s="116">
        <f>SUMIFS(L:L,AM:AM,AM816)</f>
      </c>
      <c r="AR816" s="116">
        <f>AQ816-AP816</f>
      </c>
      <c r="AS816" s="94" t="str">
        <f>IF(AN816&gt;=AQ816,"ok","ck")</f>
      </c>
      <c r="AT816" s="116">
        <f>-P816</f>
      </c>
      <c r="AU816" s="115">
        <f>IF(SUMIFS(AT:AT,AM:AM,AM816)&gt;AO816,(SUMIFS(AT:AT,AM:AM,AM816)-AO816))</f>
      </c>
      <c r="AV816" s="116">
        <v>0</v>
      </c>
      <c r="AW816" s="121">
        <v>0</v>
      </c>
      <c r="AX816" s="115">
        <f>AN816-AP816</f>
      </c>
    </row>
    <row r="817" spans="1:50" ht="15" hidden="1" customHeight="1" x14ac:dyDescent="0.3">
      <c r="A817" s="94" t="s">
        <v>311</v>
      </c>
      <c r="B817" s="94"/>
      <c r="C817" s="94"/>
      <c r="D817" s="94"/>
      <c r="E817" s="94"/>
      <c r="F817" s="94"/>
      <c r="G817" s="112">
        <f>AU817</f>
      </c>
      <c r="H817" s="113"/>
      <c r="I817" s="94" t="s">
        <v>312</v>
      </c>
      <c r="J817" s="94" t="s">
        <v>335</v>
      </c>
      <c r="K817" s="114">
        <f>P817/3</f>
      </c>
      <c r="L817" s="115">
        <v>0.35</v>
      </c>
      <c r="M817" s="116"/>
      <c r="N817" s="117">
        <f>M817-L817</f>
      </c>
      <c r="O817" s="112"/>
      <c r="P817" s="118">
        <f>N817+O817</f>
      </c>
      <c r="Q817" s="94" t="s">
        <v>314</v>
      </c>
      <c r="R817" s="94" t="s">
        <v>63</v>
      </c>
      <c r="S817" s="119">
        <v>46321</v>
      </c>
      <c r="T817" s="119"/>
      <c r="U817" s="119">
        <v>46321</v>
      </c>
      <c r="V817" s="94"/>
      <c r="W817" s="94"/>
      <c r="X817" s="94"/>
      <c r="Y817" s="119">
        <v>46321</v>
      </c>
      <c r="Z817" s="94"/>
      <c r="AA817" s="120"/>
      <c r="AB817" s="120"/>
      <c r="AC817" s="120"/>
      <c r="AD817" s="120"/>
      <c r="AE817" s="120"/>
      <c r="AF817" s="120"/>
      <c r="AG817" s="94"/>
      <c r="AH817" s="120"/>
      <c r="AI817" s="94"/>
      <c r="AJ817" s="94" t="s">
        <v>314</v>
      </c>
      <c r="AK817" s="94" t="s">
        <v>335</v>
      </c>
      <c r="AL817" s="94">
        <v>150</v>
      </c>
      <c r="AM817" s="94" t="str">
        <f>TRIM(AJ817)&amp;TRIM(AL817)&amp;TRIM(AK817)</f>
      </c>
      <c r="AN817" s="116">
        <v>0</v>
      </c>
      <c r="AO817" s="116" t="inlineStr">
        <is>
          <t>#NA</t>
        </is>
      </c>
      <c r="AP817" s="116">
        <f>SUMIFS(M:M,AM:AM,AM817)+SUMIFS(O:O,AM:AM,AM817)</f>
      </c>
      <c r="AQ817" s="116">
        <f>SUMIFS(L:L,AM:AM,AM817)</f>
      </c>
      <c r="AR817" s="116">
        <f>AQ817-AP817</f>
      </c>
      <c r="AS817" s="94" t="str">
        <f>IF(AN817&gt;=AQ817,"ok","ck")</f>
      </c>
      <c r="AT817" s="116">
        <f>-P817</f>
      </c>
      <c r="AU817" s="115">
        <f>IF(SUMIFS(AT:AT,AM:AM,AM817)&gt;AO817,(SUMIFS(AT:AT,AM:AM,AM817)-AO817))</f>
      </c>
      <c r="AV817" s="116">
        <v>0</v>
      </c>
      <c r="AW817" s="121">
        <v>0</v>
      </c>
      <c r="AX817" s="115">
        <f>AN817-AP817</f>
      </c>
    </row>
    <row r="818" spans="1:50" ht="15" hidden="1" customHeight="1" x14ac:dyDescent="0.3">
      <c r="A818" s="94" t="s">
        <v>311</v>
      </c>
      <c r="B818" s="94"/>
      <c r="C818" s="94"/>
      <c r="D818" s="94"/>
      <c r="E818" s="94"/>
      <c r="F818" s="94"/>
      <c r="G818" s="112">
        <f>AU818</f>
      </c>
      <c r="H818" s="113"/>
      <c r="I818" s="94" t="s">
        <v>312</v>
      </c>
      <c r="J818" s="94" t="s">
        <v>336</v>
      </c>
      <c r="K818" s="114">
        <f>P818/3</f>
      </c>
      <c r="L818" s="115">
        <v>-0.34699999999999998</v>
      </c>
      <c r="M818" s="116"/>
      <c r="N818" s="117">
        <f>M818-L818</f>
      </c>
      <c r="O818" s="112"/>
      <c r="P818" s="118">
        <f>N818+O818</f>
      </c>
      <c r="Q818" s="94" t="s">
        <v>314</v>
      </c>
      <c r="R818" s="94" t="s">
        <v>63</v>
      </c>
      <c r="S818" s="119">
        <v>46320</v>
      </c>
      <c r="T818" s="119"/>
      <c r="U818" s="119">
        <v>46320</v>
      </c>
      <c r="V818" s="94"/>
      <c r="W818" s="94"/>
      <c r="X818" s="94"/>
      <c r="Y818" s="119">
        <v>46320</v>
      </c>
      <c r="Z818" s="94"/>
      <c r="AA818" s="120"/>
      <c r="AB818" s="120"/>
      <c r="AC818" s="120"/>
      <c r="AD818" s="120"/>
      <c r="AE818" s="120"/>
      <c r="AF818" s="120"/>
      <c r="AG818" s="94"/>
      <c r="AH818" s="120"/>
      <c r="AI818" s="94"/>
      <c r="AJ818" s="94" t="s">
        <v>314</v>
      </c>
      <c r="AK818" s="94" t="s">
        <v>337</v>
      </c>
      <c r="AL818" s="94">
        <v>150</v>
      </c>
      <c r="AM818" s="94" t="str">
        <f>TRIM(AJ818)&amp;TRIM(AL818)&amp;TRIM(AK818)</f>
      </c>
      <c r="AN818" s="116">
        <v>0</v>
      </c>
      <c r="AO818" s="116" t="inlineStr">
        <is>
          <t>#NA</t>
        </is>
      </c>
      <c r="AP818" s="116">
        <f>SUMIFS(M:M,AM:AM,AM818)+SUMIFS(O:O,AM:AM,AM818)</f>
      </c>
      <c r="AQ818" s="116">
        <f>SUMIFS(L:L,AM:AM,AM818)</f>
      </c>
      <c r="AR818" s="116">
        <f>AQ818-AP818</f>
      </c>
      <c r="AS818" s="94" t="str">
        <f>IF(AN818&gt;=AQ818,"ok","ck")</f>
      </c>
      <c r="AT818" s="116">
        <f>-P818</f>
      </c>
      <c r="AU818" s="115">
        <f>IF(SUMIFS(AT:AT,AM:AM,AM818)&gt;AO818,(SUMIFS(AT:AT,AM:AM,AM818)-AO818))</f>
      </c>
      <c r="AV818" s="116">
        <v>0</v>
      </c>
      <c r="AW818" s="121">
        <v>1.041</v>
      </c>
      <c r="AX818" s="115">
        <f>AN818-AP818</f>
      </c>
    </row>
    <row r="819" spans="1:50" ht="15" hidden="1" customHeight="1" x14ac:dyDescent="0.3">
      <c r="A819" s="94" t="s">
        <v>311</v>
      </c>
      <c r="B819" s="94"/>
      <c r="C819" s="94"/>
      <c r="D819" s="94"/>
      <c r="E819" s="94"/>
      <c r="F819" s="94"/>
      <c r="G819" s="112">
        <f>AU819</f>
      </c>
      <c r="H819" s="113"/>
      <c r="I819" s="94" t="s">
        <v>312</v>
      </c>
      <c r="J819" s="94" t="s">
        <v>336</v>
      </c>
      <c r="K819" s="114">
        <f>P819/3</f>
      </c>
      <c r="L819" s="115">
        <v>-0.36</v>
      </c>
      <c r="M819" s="116"/>
      <c r="N819" s="117">
        <f>M819-L819</f>
      </c>
      <c r="O819" s="112"/>
      <c r="P819" s="118">
        <f>N819+O819</f>
      </c>
      <c r="Q819" s="94" t="s">
        <v>314</v>
      </c>
      <c r="R819" s="94" t="s">
        <v>63</v>
      </c>
      <c r="S819" s="119">
        <v>46323</v>
      </c>
      <c r="T819" s="119"/>
      <c r="U819" s="119">
        <v>46323</v>
      </c>
      <c r="V819" s="94"/>
      <c r="W819" s="94"/>
      <c r="X819" s="94"/>
      <c r="Y819" s="119">
        <v>46323</v>
      </c>
      <c r="Z819" s="94"/>
      <c r="AA819" s="120"/>
      <c r="AB819" s="120"/>
      <c r="AC819" s="120"/>
      <c r="AD819" s="120"/>
      <c r="AE819" s="120"/>
      <c r="AF819" s="120"/>
      <c r="AG819" s="94"/>
      <c r="AH819" s="120"/>
      <c r="AI819" s="94"/>
      <c r="AJ819" s="94" t="s">
        <v>314</v>
      </c>
      <c r="AK819" s="94" t="s">
        <v>337</v>
      </c>
      <c r="AL819" s="94">
        <v>150</v>
      </c>
      <c r="AM819" s="94" t="str">
        <f>TRIM(AJ819)&amp;TRIM(AL819)&amp;TRIM(AK819)</f>
      </c>
      <c r="AN819" s="116">
        <v>0</v>
      </c>
      <c r="AO819" s="116" t="inlineStr">
        <is>
          <t>#NA</t>
        </is>
      </c>
      <c r="AP819" s="116">
        <f>SUMIFS(M:M,AM:AM,AM819)+SUMIFS(O:O,AM:AM,AM819)</f>
      </c>
      <c r="AQ819" s="116">
        <f>SUMIFS(L:L,AM:AM,AM819)</f>
      </c>
      <c r="AR819" s="116">
        <f>AQ819-AP819</f>
      </c>
      <c r="AS819" s="94" t="str">
        <f>IF(AN819&gt;=AQ819,"ok","ck")</f>
      </c>
      <c r="AT819" s="116">
        <f>-P819</f>
      </c>
      <c r="AU819" s="115">
        <f>IF(SUMIFS(AT:AT,AM:AM,AM819)&gt;AO819,(SUMIFS(AT:AT,AM:AM,AM819)-AO819))</f>
      </c>
      <c r="AV819" s="116">
        <v>0</v>
      </c>
      <c r="AW819" s="121">
        <v>1.041</v>
      </c>
      <c r="AX819" s="115">
        <f>AN819-AP819</f>
      </c>
    </row>
    <row r="820" spans="1:50" ht="15" hidden="1" customHeight="1" x14ac:dyDescent="0.3">
      <c r="A820" s="94" t="s">
        <v>311</v>
      </c>
      <c r="B820" s="94"/>
      <c r="C820" s="94"/>
      <c r="D820" s="94"/>
      <c r="E820" s="94"/>
      <c r="F820" s="94"/>
      <c r="G820" s="112">
        <f>AU820</f>
      </c>
      <c r="H820" s="113"/>
      <c r="I820" s="94" t="s">
        <v>312</v>
      </c>
      <c r="J820" s="94" t="s">
        <v>339</v>
      </c>
      <c r="K820" s="114">
        <f>P820/3</f>
      </c>
      <c r="L820" s="115">
        <v>-2.8079999999999998</v>
      </c>
      <c r="M820" s="116"/>
      <c r="N820" s="117">
        <f>M820-L820</f>
      </c>
      <c r="O820" s="112"/>
      <c r="P820" s="118">
        <f>N820+O820</f>
      </c>
      <c r="Q820" s="94" t="s">
        <v>314</v>
      </c>
      <c r="R820" s="94" t="s">
        <v>63</v>
      </c>
      <c r="S820" s="119">
        <v>46320</v>
      </c>
      <c r="T820" s="119"/>
      <c r="U820" s="119">
        <v>46320</v>
      </c>
      <c r="V820" s="94"/>
      <c r="W820" s="94"/>
      <c r="X820" s="94"/>
      <c r="Y820" s="119">
        <v>46320</v>
      </c>
      <c r="Z820" s="94"/>
      <c r="AA820" s="120"/>
      <c r="AB820" s="120"/>
      <c r="AC820" s="120"/>
      <c r="AD820" s="120"/>
      <c r="AE820" s="120"/>
      <c r="AF820" s="120"/>
      <c r="AG820" s="94"/>
      <c r="AH820" s="120"/>
      <c r="AI820" s="94"/>
      <c r="AJ820" s="94" t="s">
        <v>314</v>
      </c>
      <c r="AK820" s="94" t="s">
        <v>340</v>
      </c>
      <c r="AL820" s="94">
        <v>150</v>
      </c>
      <c r="AM820" s="94" t="str">
        <f>TRIM(AJ820)&amp;TRIM(AL820)&amp;TRIM(AK820)</f>
      </c>
      <c r="AN820" s="116">
        <v>0</v>
      </c>
      <c r="AO820" s="116" t="inlineStr">
        <is>
          <t>#NA</t>
        </is>
      </c>
      <c r="AP820" s="116">
        <f>SUMIFS(M:M,AM:AM,AM820)+SUMIFS(O:O,AM:AM,AM820)</f>
      </c>
      <c r="AQ820" s="116">
        <f>SUMIFS(L:L,AM:AM,AM820)</f>
      </c>
      <c r="AR820" s="116">
        <f>AQ820-AP820</f>
      </c>
      <c r="AS820" s="94" t="str">
        <f>IF(AN820&gt;=AQ820,"ok","ck")</f>
      </c>
      <c r="AT820" s="116">
        <f>-P820</f>
      </c>
      <c r="AU820" s="115">
        <f>IF(SUMIFS(AT:AT,AM:AM,AM820)&gt;AO820,(SUMIFS(AT:AT,AM:AM,AM820)-AO820))</f>
      </c>
      <c r="AV820" s="116">
        <v>0</v>
      </c>
      <c r="AW820" s="121">
        <v>1.019</v>
      </c>
      <c r="AX820" s="115">
        <f>AN820-AP820</f>
      </c>
    </row>
    <row r="821" spans="1:50" ht="15" hidden="1" customHeight="1" x14ac:dyDescent="0.3">
      <c r="A821" s="94" t="s">
        <v>268</v>
      </c>
      <c r="B821" s="94"/>
      <c r="C821" s="94"/>
      <c r="D821" s="94"/>
      <c r="E821" s="94"/>
      <c r="F821" s="94"/>
      <c r="G821" s="112">
        <f>AU821</f>
      </c>
      <c r="H821" s="113"/>
      <c r="I821" s="94" t="s">
        <v>390</v>
      </c>
      <c r="J821" s="94" t="s">
        <v>550</v>
      </c>
      <c r="K821" s="114">
        <f>P821/3</f>
      </c>
      <c r="L821" s="115">
        <v>882.19200000000001</v>
      </c>
      <c r="M821" s="116"/>
      <c r="N821" s="117">
        <f>M821-L821</f>
      </c>
      <c r="O821" s="112"/>
      <c r="P821" s="118">
        <f>N821+O821</f>
      </c>
      <c r="Q821" s="94" t="s">
        <v>778</v>
      </c>
      <c r="R821" s="94" t="s">
        <v>63</v>
      </c>
      <c r="S821" s="119">
        <v>46333</v>
      </c>
      <c r="T821" s="119"/>
      <c r="U821" s="119" t="s">
        <v>655</v>
      </c>
      <c r="V821" s="94"/>
      <c r="W821" s="94"/>
      <c r="X821" s="94"/>
      <c r="Y821" s="119">
        <v>46342</v>
      </c>
      <c r="Z821" s="94"/>
      <c r="AA821" s="120"/>
      <c r="AB821" s="120"/>
      <c r="AC821" s="120"/>
      <c r="AD821" s="120"/>
      <c r="AE821" s="120"/>
      <c r="AF821" s="120"/>
      <c r="AG821" s="94"/>
      <c r="AH821" s="120"/>
      <c r="AI821" s="94"/>
      <c r="AJ821" s="94" t="s">
        <v>778</v>
      </c>
      <c r="AK821" s="94" t="s">
        <v>725</v>
      </c>
      <c r="AL821" s="94">
        <v>140</v>
      </c>
      <c r="AM821" s="94" t="str">
        <f>TRIM(AJ821)&amp;TRIM(AL821)&amp;TRIM(AK821)</f>
      </c>
      <c r="AN821" s="116">
        <v>0</v>
      </c>
      <c r="AO821" s="116" t="inlineStr">
        <is>
          <t>#NA</t>
        </is>
      </c>
      <c r="AP821" s="116">
        <f>SUMIFS(M:M,AM:AM,AM821)+SUMIFS(O:O,AM:AM,AM821)</f>
      </c>
      <c r="AQ821" s="116">
        <f>SUMIFS(L:L,AM:AM,AM821)</f>
      </c>
      <c r="AR821" s="116">
        <f>AQ821-AP821</f>
      </c>
      <c r="AS821" s="94" t="str">
        <f>IF(AN821&gt;=AQ821,"ok","ck")</f>
      </c>
      <c r="AT821" s="116">
        <f>-P821</f>
      </c>
      <c r="AU821" s="115">
        <f>IF(SUMIFS(AT:AT,AM:AM,AM821)&gt;AO821,(SUMIFS(AT:AT,AM:AM,AM821)-AO821))</f>
      </c>
      <c r="AV821" s="116">
        <v>0</v>
      </c>
      <c r="AW821" s="121">
        <v>0</v>
      </c>
      <c r="AX821" s="115">
        <f>AN821-AP821</f>
      </c>
    </row>
    <row r="822" spans="1:50" ht="15" hidden="1" customHeight="1" x14ac:dyDescent="0.3">
      <c r="A822" s="94" t="s">
        <v>268</v>
      </c>
      <c r="B822" s="94"/>
      <c r="C822" s="94"/>
      <c r="D822" s="94"/>
      <c r="E822" s="94"/>
      <c r="F822" s="94"/>
      <c r="G822" s="112">
        <f>AU822</f>
      </c>
      <c r="H822" s="113"/>
      <c r="I822" s="94" t="s">
        <v>390</v>
      </c>
      <c r="J822" s="94" t="s">
        <v>550</v>
      </c>
      <c r="K822" s="114">
        <f>P822/3</f>
      </c>
      <c r="L822" s="115">
        <v>1084.2149999999999</v>
      </c>
      <c r="M822" s="116"/>
      <c r="N822" s="117">
        <f>M822-L822</f>
      </c>
      <c r="O822" s="112"/>
      <c r="P822" s="118">
        <f>N822+O822</f>
      </c>
      <c r="Q822" s="94" t="s">
        <v>778</v>
      </c>
      <c r="R822" s="94" t="s">
        <v>63</v>
      </c>
      <c r="S822" s="119">
        <v>46346</v>
      </c>
      <c r="T822" s="119"/>
      <c r="U822" s="119" t="s">
        <v>655</v>
      </c>
      <c r="V822" s="94"/>
      <c r="W822" s="94"/>
      <c r="X822" s="94"/>
      <c r="Y822" s="119">
        <v>46328</v>
      </c>
      <c r="Z822" s="94"/>
      <c r="AA822" s="120"/>
      <c r="AB822" s="120"/>
      <c r="AC822" s="120"/>
      <c r="AD822" s="120"/>
      <c r="AE822" s="120"/>
      <c r="AF822" s="120"/>
      <c r="AG822" s="94"/>
      <c r="AH822" s="120"/>
      <c r="AI822" s="94"/>
      <c r="AJ822" s="94" t="s">
        <v>778</v>
      </c>
      <c r="AK822" s="94" t="s">
        <v>725</v>
      </c>
      <c r="AL822" s="94">
        <v>140</v>
      </c>
      <c r="AM822" s="94" t="str">
        <f>TRIM(AJ822)&amp;TRIM(AL822)&amp;TRIM(AK822)</f>
      </c>
      <c r="AN822" s="116">
        <v>0</v>
      </c>
      <c r="AO822" s="116" t="inlineStr">
        <is>
          <t>#NA</t>
        </is>
      </c>
      <c r="AP822" s="116">
        <f>SUMIFS(M:M,AM:AM,AM822)+SUMIFS(O:O,AM:AM,AM822)</f>
      </c>
      <c r="AQ822" s="116">
        <f>SUMIFS(L:L,AM:AM,AM822)</f>
      </c>
      <c r="AR822" s="116">
        <f>AQ822-AP822</f>
      </c>
      <c r="AS822" s="94" t="str">
        <f>IF(AN822&gt;=AQ822,"ok","ck")</f>
      </c>
      <c r="AT822" s="116">
        <f>-P822</f>
      </c>
      <c r="AU822" s="115">
        <f>IF(SUMIFS(AT:AT,AM:AM,AM822)&gt;AO822,(SUMIFS(AT:AT,AM:AM,AM822)-AO822))</f>
      </c>
      <c r="AV822" s="116">
        <v>0</v>
      </c>
      <c r="AW822" s="121">
        <v>0</v>
      </c>
      <c r="AX822" s="115">
        <f>AN822-AP822</f>
      </c>
    </row>
    <row r="823" spans="1:50" ht="15" hidden="1" customHeight="1" x14ac:dyDescent="0.3">
      <c r="A823" s="94" t="s">
        <v>268</v>
      </c>
      <c r="B823" s="94"/>
      <c r="C823" s="94"/>
      <c r="D823" s="94"/>
      <c r="E823" s="94"/>
      <c r="F823" s="94"/>
      <c r="G823" s="112">
        <f>AU823</f>
      </c>
      <c r="H823" s="113"/>
      <c r="I823" s="94" t="s">
        <v>390</v>
      </c>
      <c r="J823" s="94" t="s">
        <v>550</v>
      </c>
      <c r="K823" s="114">
        <f>P823/3</f>
      </c>
      <c r="L823" s="115">
        <v>1772.5930000000001</v>
      </c>
      <c r="M823" s="116"/>
      <c r="N823" s="117">
        <f>M823-L823</f>
      </c>
      <c r="O823" s="112"/>
      <c r="P823" s="118">
        <f>N823+O823</f>
      </c>
      <c r="Q823" s="94" t="s">
        <v>778</v>
      </c>
      <c r="R823" s="94" t="s">
        <v>63</v>
      </c>
      <c r="S823" s="119">
        <v>46348</v>
      </c>
      <c r="T823" s="119"/>
      <c r="U823" s="119" t="s">
        <v>655</v>
      </c>
      <c r="V823" s="94"/>
      <c r="W823" s="94"/>
      <c r="X823" s="94"/>
      <c r="Y823" s="119">
        <v>46330</v>
      </c>
      <c r="Z823" s="94"/>
      <c r="AA823" s="120"/>
      <c r="AB823" s="120"/>
      <c r="AC823" s="120"/>
      <c r="AD823" s="120"/>
      <c r="AE823" s="120"/>
      <c r="AF823" s="120"/>
      <c r="AG823" s="94"/>
      <c r="AH823" s="120"/>
      <c r="AI823" s="94"/>
      <c r="AJ823" s="94" t="s">
        <v>778</v>
      </c>
      <c r="AK823" s="94" t="s">
        <v>725</v>
      </c>
      <c r="AL823" s="94">
        <v>140</v>
      </c>
      <c r="AM823" s="94" t="str">
        <f>TRIM(AJ823)&amp;TRIM(AL823)&amp;TRIM(AK823)</f>
      </c>
      <c r="AN823" s="116">
        <v>0</v>
      </c>
      <c r="AO823" s="116" t="inlineStr">
        <is>
          <t>#NA</t>
        </is>
      </c>
      <c r="AP823" s="116">
        <f>SUMIFS(M:M,AM:AM,AM823)+SUMIFS(O:O,AM:AM,AM823)</f>
      </c>
      <c r="AQ823" s="116">
        <f>SUMIFS(L:L,AM:AM,AM823)</f>
      </c>
      <c r="AR823" s="116">
        <f>AQ823-AP823</f>
      </c>
      <c r="AS823" s="94" t="str">
        <f>IF(AN823&gt;=AQ823,"ok","ck")</f>
      </c>
      <c r="AT823" s="116">
        <f>-P823</f>
      </c>
      <c r="AU823" s="115">
        <f>IF(SUMIFS(AT:AT,AM:AM,AM823)&gt;AO823,(SUMIFS(AT:AT,AM:AM,AM823)-AO823))</f>
      </c>
      <c r="AV823" s="116">
        <v>0</v>
      </c>
      <c r="AW823" s="121">
        <v>0</v>
      </c>
      <c r="AX823" s="115">
        <f>AN823-AP823</f>
      </c>
    </row>
    <row r="824" spans="1:50" ht="15" hidden="1" customHeight="1" x14ac:dyDescent="0.3">
      <c r="A824" s="94" t="s">
        <v>268</v>
      </c>
      <c r="B824" s="94"/>
      <c r="C824" s="94"/>
      <c r="D824" s="94"/>
      <c r="E824" s="94"/>
      <c r="F824" s="94"/>
      <c r="G824" s="112">
        <f>AU824</f>
      </c>
      <c r="H824" s="113"/>
      <c r="I824" s="94" t="s">
        <v>390</v>
      </c>
      <c r="J824" s="94" t="s">
        <v>273</v>
      </c>
      <c r="K824" s="114">
        <f>P824/3</f>
      </c>
      <c r="L824" s="115">
        <v>134.767</v>
      </c>
      <c r="M824" s="116"/>
      <c r="N824" s="117">
        <f>M824-L824</f>
      </c>
      <c r="O824" s="112"/>
      <c r="P824" s="118">
        <f>N824+O824</f>
      </c>
      <c r="Q824" s="94" t="s">
        <v>778</v>
      </c>
      <c r="R824" s="94" t="s">
        <v>63</v>
      </c>
      <c r="S824" s="119">
        <v>46337</v>
      </c>
      <c r="T824" s="119"/>
      <c r="U824" s="119" t="s">
        <v>645</v>
      </c>
      <c r="V824" s="94"/>
      <c r="W824" s="94"/>
      <c r="X824" s="94"/>
      <c r="Y824" s="119">
        <v>46342</v>
      </c>
      <c r="Z824" s="94"/>
      <c r="AA824" s="120"/>
      <c r="AB824" s="120"/>
      <c r="AC824" s="120"/>
      <c r="AD824" s="120"/>
      <c r="AE824" s="120"/>
      <c r="AF824" s="120"/>
      <c r="AG824" s="94"/>
      <c r="AH824" s="120"/>
      <c r="AI824" s="94"/>
      <c r="AJ824" s="94" t="s">
        <v>778</v>
      </c>
      <c r="AK824" s="94" t="s">
        <v>274</v>
      </c>
      <c r="AL824" s="94">
        <v>140</v>
      </c>
      <c r="AM824" s="94" t="str">
        <f>TRIM(AJ824)&amp;TRIM(AL824)&amp;TRIM(AK824)</f>
      </c>
      <c r="AN824" s="116">
        <v>0</v>
      </c>
      <c r="AO824" s="116" t="inlineStr">
        <is>
          <t>#NA</t>
        </is>
      </c>
      <c r="AP824" s="116">
        <f>SUMIFS(M:M,AM:AM,AM824)+SUMIFS(O:O,AM:AM,AM824)</f>
      </c>
      <c r="AQ824" s="116">
        <f>SUMIFS(L:L,AM:AM,AM824)</f>
      </c>
      <c r="AR824" s="116">
        <f>AQ824-AP824</f>
      </c>
      <c r="AS824" s="94" t="str">
        <f>IF(AN824&gt;=AQ824,"ok","ck")</f>
      </c>
      <c r="AT824" s="116">
        <f>-P824</f>
      </c>
      <c r="AU824" s="115">
        <f>IF(SUMIFS(AT:AT,AM:AM,AM824)&gt;AO824,(SUMIFS(AT:AT,AM:AM,AM824)-AO824))</f>
      </c>
      <c r="AV824" s="116">
        <v>0</v>
      </c>
      <c r="AW824" s="121">
        <v>0</v>
      </c>
      <c r="AX824" s="115">
        <f>AN824-AP824</f>
      </c>
    </row>
    <row r="825" spans="1:50" ht="15" hidden="1" customHeight="1" x14ac:dyDescent="0.3">
      <c r="A825" s="94" t="s">
        <v>268</v>
      </c>
      <c r="B825" s="94"/>
      <c r="C825" s="94"/>
      <c r="D825" s="94"/>
      <c r="E825" s="94"/>
      <c r="F825" s="94"/>
      <c r="G825" s="112">
        <f>AU825</f>
      </c>
      <c r="H825" s="113"/>
      <c r="I825" s="94" t="s">
        <v>390</v>
      </c>
      <c r="J825" s="94" t="s">
        <v>273</v>
      </c>
      <c r="K825" s="114">
        <f>P825/3</f>
      </c>
      <c r="L825" s="115">
        <v>894.25400000000002</v>
      </c>
      <c r="M825" s="116"/>
      <c r="N825" s="117">
        <f>M825-L825</f>
      </c>
      <c r="O825" s="112"/>
      <c r="P825" s="118">
        <f>N825+O825</f>
      </c>
      <c r="Q825" s="94" t="s">
        <v>778</v>
      </c>
      <c r="R825" s="94" t="s">
        <v>63</v>
      </c>
      <c r="S825" s="119">
        <v>46340</v>
      </c>
      <c r="T825" s="119"/>
      <c r="U825" s="119" t="s">
        <v>645</v>
      </c>
      <c r="V825" s="94"/>
      <c r="W825" s="94"/>
      <c r="X825" s="94"/>
      <c r="Y825" s="119">
        <v>46342</v>
      </c>
      <c r="Z825" s="94"/>
      <c r="AA825" s="120"/>
      <c r="AB825" s="120"/>
      <c r="AC825" s="120"/>
      <c r="AD825" s="120"/>
      <c r="AE825" s="120"/>
      <c r="AF825" s="120"/>
      <c r="AG825" s="94"/>
      <c r="AH825" s="120"/>
      <c r="AI825" s="94"/>
      <c r="AJ825" s="94" t="s">
        <v>778</v>
      </c>
      <c r="AK825" s="94" t="s">
        <v>274</v>
      </c>
      <c r="AL825" s="94">
        <v>140</v>
      </c>
      <c r="AM825" s="94" t="str">
        <f>TRIM(AJ825)&amp;TRIM(AL825)&amp;TRIM(AK825)</f>
      </c>
      <c r="AN825" s="116">
        <v>0</v>
      </c>
      <c r="AO825" s="116" t="inlineStr">
        <is>
          <t>#NA</t>
        </is>
      </c>
      <c r="AP825" s="116">
        <f>SUMIFS(M:M,AM:AM,AM825)+SUMIFS(O:O,AM:AM,AM825)</f>
      </c>
      <c r="AQ825" s="116">
        <f>SUMIFS(L:L,AM:AM,AM825)</f>
      </c>
      <c r="AR825" s="116">
        <f>AQ825-AP825</f>
      </c>
      <c r="AS825" s="94" t="str">
        <f>IF(AN825&gt;=AQ825,"ok","ck")</f>
      </c>
      <c r="AT825" s="116">
        <f>-P825</f>
      </c>
      <c r="AU825" s="115">
        <f>IF(SUMIFS(AT:AT,AM:AM,AM825)&gt;AO825,(SUMIFS(AT:AT,AM:AM,AM825)-AO825))</f>
      </c>
      <c r="AV825" s="116">
        <v>0</v>
      </c>
      <c r="AW825" s="121">
        <v>0</v>
      </c>
      <c r="AX825" s="115">
        <f>AN825-AP825</f>
      </c>
    </row>
    <row r="826" spans="1:50" ht="15" hidden="1" customHeight="1" x14ac:dyDescent="0.3">
      <c r="A826" s="94" t="s">
        <v>268</v>
      </c>
      <c r="B826" s="94"/>
      <c r="C826" s="94"/>
      <c r="D826" s="94"/>
      <c r="E826" s="94"/>
      <c r="F826" s="94"/>
      <c r="G826" s="112">
        <f>AU826</f>
      </c>
      <c r="H826" s="113"/>
      <c r="I826" s="94" t="s">
        <v>390</v>
      </c>
      <c r="J826" s="94" t="s">
        <v>326</v>
      </c>
      <c r="K826" s="114">
        <f>P826/3</f>
      </c>
      <c r="L826" s="115">
        <v>-4.2089999999999996</v>
      </c>
      <c r="M826" s="116">
        <f>L826</f>
      </c>
      <c r="N826" s="117">
        <f>M826-L826</f>
      </c>
      <c r="O826" s="112"/>
      <c r="P826" s="118">
        <f>N826+O826</f>
      </c>
      <c r="Q826" s="94" t="s">
        <v>787</v>
      </c>
      <c r="R826" s="94" t="s">
        <v>63</v>
      </c>
      <c r="S826" s="119">
        <v>46320</v>
      </c>
      <c r="T826" s="119"/>
      <c r="U826" s="119">
        <v>46320</v>
      </c>
      <c r="V826" s="94"/>
      <c r="W826" s="94"/>
      <c r="X826" s="94"/>
      <c r="Y826" s="119">
        <v>46320</v>
      </c>
      <c r="Z826" s="94"/>
      <c r="AA826" s="120"/>
      <c r="AB826" s="120"/>
      <c r="AC826" s="120"/>
      <c r="AD826" s="120"/>
      <c r="AE826" s="120"/>
      <c r="AF826" s="120"/>
      <c r="AG826" s="94"/>
      <c r="AH826" s="120"/>
      <c r="AI826" s="94"/>
      <c r="AJ826" s="94" t="s">
        <v>787</v>
      </c>
      <c r="AK826" s="94" t="s">
        <v>327</v>
      </c>
      <c r="AL826" s="94">
        <v>140</v>
      </c>
      <c r="AM826" s="94" t="str">
        <f>TRIM(AJ826)&amp;TRIM(AL826)&amp;TRIM(AK826)</f>
      </c>
      <c r="AN826" s="116">
        <v>3601</v>
      </c>
      <c r="AO826" s="116">
        <v>-68</v>
      </c>
      <c r="AP826" s="116">
        <f>SUMIFS(M:M,AM:AM,AM826)+SUMIFS(O:O,AM:AM,AM826)</f>
      </c>
      <c r="AQ826" s="116">
        <f>SUMIFS(L:L,AM:AM,AM826)</f>
      </c>
      <c r="AR826" s="116">
        <f>AQ826-AP826</f>
      </c>
      <c r="AS826" s="94" t="str">
        <f>IF(AN826&gt;=AQ826,"ok","ck")</f>
      </c>
      <c r="AT826" s="116">
        <f>-P826</f>
      </c>
      <c r="AU826" s="115">
        <f>IF(SUMIFS(AT:AT,AM:AM,AM826)&gt;AO826,(SUMIFS(AT:AT,AM:AM,AM826)-AO826))</f>
      </c>
      <c r="AV826" s="116">
        <v>3601</v>
      </c>
      <c r="AW826" s="121">
        <v>1.019</v>
      </c>
      <c r="AX826" s="115">
        <f>AN826-AP826</f>
      </c>
    </row>
    <row r="827" spans="1:50" ht="15" hidden="1" customHeight="1" x14ac:dyDescent="0.3">
      <c r="A827" s="94" t="s">
        <v>268</v>
      </c>
      <c r="B827" s="94"/>
      <c r="C827" s="94"/>
      <c r="D827" s="94"/>
      <c r="E827" s="94"/>
      <c r="F827" s="94"/>
      <c r="G827" s="112">
        <f>AU827</f>
      </c>
      <c r="H827" s="113"/>
      <c r="I827" s="94" t="s">
        <v>278</v>
      </c>
      <c r="J827" s="94" t="s">
        <v>355</v>
      </c>
      <c r="K827" s="114">
        <f>P827/3</f>
      </c>
      <c r="L827" s="115">
        <v>96</v>
      </c>
      <c r="M827" s="116">
        <f>L827</f>
      </c>
      <c r="N827" s="117">
        <f>M827-L827</f>
      </c>
      <c r="O827" s="112"/>
      <c r="P827" s="118">
        <f>N827+O827</f>
      </c>
      <c r="Q827" s="94" t="s">
        <v>305</v>
      </c>
      <c r="R827" s="94" t="s">
        <v>63</v>
      </c>
      <c r="S827" s="119">
        <v>46333</v>
      </c>
      <c r="T827" s="119"/>
      <c r="U827" s="119">
        <v>46333</v>
      </c>
      <c r="V827" s="94"/>
      <c r="W827" s="94"/>
      <c r="X827" s="94"/>
      <c r="Y827" s="119">
        <v>46320</v>
      </c>
      <c r="Z827" s="94"/>
      <c r="AA827" s="120"/>
      <c r="AB827" s="120"/>
      <c r="AC827" s="120"/>
      <c r="AD827" s="120"/>
      <c r="AE827" s="120"/>
      <c r="AF827" s="120"/>
      <c r="AG827" s="94"/>
      <c r="AH827" s="120"/>
      <c r="AI827" s="94"/>
      <c r="AJ827" s="94" t="s">
        <v>305</v>
      </c>
      <c r="AK827" s="94" t="s">
        <v>356</v>
      </c>
      <c r="AL827" s="94">
        <v>120</v>
      </c>
      <c r="AM827" s="94" t="str">
        <f>TRIM(AJ827)&amp;TRIM(AL827)&amp;TRIM(AK827)</f>
      </c>
      <c r="AN827" s="116">
        <v>897.23</v>
      </c>
      <c r="AO827" s="116">
        <v>-20.23</v>
      </c>
      <c r="AP827" s="116">
        <f>SUMIFS(M:M,AM:AM,AM827)+SUMIFS(O:O,AM:AM,AM827)</f>
      </c>
      <c r="AQ827" s="116">
        <f>SUMIFS(L:L,AM:AM,AM827)</f>
      </c>
      <c r="AR827" s="116">
        <f>AQ827-AP827</f>
      </c>
      <c r="AS827" s="94" t="str">
        <f>IF(AN827&gt;=AQ827,"ok","ck")</f>
      </c>
      <c r="AT827" s="116">
        <f>-P827</f>
      </c>
      <c r="AU827" s="115">
        <f>IF(SUMIFS(AT:AT,AM:AM,AM827)&gt;AO827,(SUMIFS(AT:AT,AM:AM,AM827)-AO827))</f>
      </c>
      <c r="AV827" s="116">
        <v>897.23</v>
      </c>
      <c r="AW827" s="121">
        <v>1.023</v>
      </c>
      <c r="AX827" s="115">
        <f>AN827-AP827</f>
      </c>
    </row>
    <row r="828" spans="1:50" ht="15" hidden="1" customHeight="1" x14ac:dyDescent="0.3">
      <c r="A828" s="94" t="s">
        <v>268</v>
      </c>
      <c r="B828" s="94"/>
      <c r="C828" s="94"/>
      <c r="D828" s="94"/>
      <c r="E828" s="94"/>
      <c r="F828" s="94"/>
      <c r="G828" s="112">
        <f>AU828</f>
      </c>
      <c r="H828" s="113"/>
      <c r="I828" s="94" t="s">
        <v>278</v>
      </c>
      <c r="J828" s="94" t="s">
        <v>355</v>
      </c>
      <c r="K828" s="114">
        <f>P828/3</f>
      </c>
      <c r="L828" s="115">
        <v>36</v>
      </c>
      <c r="M828" s="116">
        <f>L828</f>
      </c>
      <c r="N828" s="117">
        <f>M828-L828</f>
      </c>
      <c r="O828" s="112"/>
      <c r="P828" s="118">
        <f>N828+O828</f>
      </c>
      <c r="Q828" s="94" t="s">
        <v>305</v>
      </c>
      <c r="R828" s="94" t="s">
        <v>63</v>
      </c>
      <c r="S828" s="119">
        <v>46333</v>
      </c>
      <c r="T828" s="119"/>
      <c r="U828" s="119">
        <v>46333</v>
      </c>
      <c r="V828" s="94"/>
      <c r="W828" s="94"/>
      <c r="X828" s="94"/>
      <c r="Y828" s="119">
        <v>46326</v>
      </c>
      <c r="Z828" s="94"/>
      <c r="AA828" s="120"/>
      <c r="AB828" s="120"/>
      <c r="AC828" s="120"/>
      <c r="AD828" s="120"/>
      <c r="AE828" s="120"/>
      <c r="AF828" s="120"/>
      <c r="AG828" s="94"/>
      <c r="AH828" s="120"/>
      <c r="AI828" s="94"/>
      <c r="AJ828" s="94" t="s">
        <v>305</v>
      </c>
      <c r="AK828" s="94" t="s">
        <v>356</v>
      </c>
      <c r="AL828" s="94">
        <v>120</v>
      </c>
      <c r="AM828" s="94" t="str">
        <f>TRIM(AJ828)&amp;TRIM(AL828)&amp;TRIM(AK828)</f>
      </c>
      <c r="AN828" s="116">
        <v>897.23</v>
      </c>
      <c r="AO828" s="116">
        <v>-20.23</v>
      </c>
      <c r="AP828" s="116">
        <f>SUMIFS(M:M,AM:AM,AM828)+SUMIFS(O:O,AM:AM,AM828)</f>
      </c>
      <c r="AQ828" s="116">
        <f>SUMIFS(L:L,AM:AM,AM828)</f>
      </c>
      <c r="AR828" s="116">
        <f>AQ828-AP828</f>
      </c>
      <c r="AS828" s="94" t="str">
        <f>IF(AN828&gt;=AQ828,"ok","ck")</f>
      </c>
      <c r="AT828" s="116">
        <f>-P828</f>
      </c>
      <c r="AU828" s="115">
        <f>IF(SUMIFS(AT:AT,AM:AM,AM828)&gt;AO828,(SUMIFS(AT:AT,AM:AM,AM828)-AO828))</f>
      </c>
      <c r="AV828" s="116">
        <v>897.23</v>
      </c>
      <c r="AW828" s="121">
        <v>1.023</v>
      </c>
      <c r="AX828" s="115">
        <f>AN828-AP828</f>
      </c>
    </row>
    <row r="829" spans="1:50" ht="15" hidden="1" customHeight="1" x14ac:dyDescent="0.3">
      <c r="A829" s="94" t="s">
        <v>268</v>
      </c>
      <c r="B829" s="94"/>
      <c r="C829" s="94"/>
      <c r="D829" s="94"/>
      <c r="E829" s="94"/>
      <c r="F829" s="94"/>
      <c r="G829" s="112">
        <f>AU829</f>
      </c>
      <c r="H829" s="113"/>
      <c r="I829" s="94" t="s">
        <v>278</v>
      </c>
      <c r="J829" s="94" t="s">
        <v>355</v>
      </c>
      <c r="K829" s="114">
        <f>P829/3</f>
      </c>
      <c r="L829" s="115">
        <v>36</v>
      </c>
      <c r="M829" s="116">
        <f>L829</f>
      </c>
      <c r="N829" s="117">
        <f>M829-L829</f>
      </c>
      <c r="O829" s="112"/>
      <c r="P829" s="118">
        <f>N829+O829</f>
      </c>
      <c r="Q829" s="94" t="s">
        <v>305</v>
      </c>
      <c r="R829" s="94" t="s">
        <v>63</v>
      </c>
      <c r="S829" s="119">
        <v>46333</v>
      </c>
      <c r="T829" s="119"/>
      <c r="U829" s="119">
        <v>46333</v>
      </c>
      <c r="V829" s="94"/>
      <c r="W829" s="94"/>
      <c r="X829" s="94"/>
      <c r="Y829" s="119">
        <v>46329</v>
      </c>
      <c r="Z829" s="94"/>
      <c r="AA829" s="120"/>
      <c r="AB829" s="120"/>
      <c r="AC829" s="120"/>
      <c r="AD829" s="120"/>
      <c r="AE829" s="120"/>
      <c r="AF829" s="120"/>
      <c r="AG829" s="94"/>
      <c r="AH829" s="120"/>
      <c r="AI829" s="94"/>
      <c r="AJ829" s="94" t="s">
        <v>305</v>
      </c>
      <c r="AK829" s="94" t="s">
        <v>356</v>
      </c>
      <c r="AL829" s="94">
        <v>120</v>
      </c>
      <c r="AM829" s="94" t="str">
        <f>TRIM(AJ829)&amp;TRIM(AL829)&amp;TRIM(AK829)</f>
      </c>
      <c r="AN829" s="116">
        <v>897.23</v>
      </c>
      <c r="AO829" s="116">
        <v>-20.23</v>
      </c>
      <c r="AP829" s="116">
        <f>SUMIFS(M:M,AM:AM,AM829)+SUMIFS(O:O,AM:AM,AM829)</f>
      </c>
      <c r="AQ829" s="116">
        <f>SUMIFS(L:L,AM:AM,AM829)</f>
      </c>
      <c r="AR829" s="116">
        <f>AQ829-AP829</f>
      </c>
      <c r="AS829" s="94" t="str">
        <f>IF(AN829&gt;=AQ829,"ok","ck")</f>
      </c>
      <c r="AT829" s="116">
        <f>-P829</f>
      </c>
      <c r="AU829" s="115">
        <f>IF(SUMIFS(AT:AT,AM:AM,AM829)&gt;AO829,(SUMIFS(AT:AT,AM:AM,AM829)-AO829))</f>
      </c>
      <c r="AV829" s="116">
        <v>897.23</v>
      </c>
      <c r="AW829" s="121">
        <v>1.023</v>
      </c>
      <c r="AX829" s="115">
        <f>AN829-AP829</f>
      </c>
    </row>
    <row r="830" spans="1:50" ht="15" hidden="1" customHeight="1" x14ac:dyDescent="0.3">
      <c r="A830" s="94" t="s">
        <v>268</v>
      </c>
      <c r="B830" s="94"/>
      <c r="C830" s="94"/>
      <c r="D830" s="94"/>
      <c r="E830" s="94"/>
      <c r="F830" s="94"/>
      <c r="G830" s="112">
        <f>AU830</f>
      </c>
      <c r="H830" s="113"/>
      <c r="I830" s="94" t="s">
        <v>278</v>
      </c>
      <c r="J830" s="94" t="s">
        <v>355</v>
      </c>
      <c r="K830" s="114">
        <f>P830/3</f>
      </c>
      <c r="L830" s="115">
        <v>0</v>
      </c>
      <c r="M830" s="116">
        <f>L830</f>
      </c>
      <c r="N830" s="117">
        <f>M830-L830</f>
      </c>
      <c r="O830" s="112"/>
      <c r="P830" s="118">
        <f>N830+O830</f>
      </c>
      <c r="Q830" s="94" t="s">
        <v>305</v>
      </c>
      <c r="R830" s="94" t="s">
        <v>63</v>
      </c>
      <c r="S830" s="120">
        <v>46322</v>
      </c>
      <c r="T830" s="120"/>
      <c r="U830" s="120">
        <v>46322</v>
      </c>
      <c r="V830" s="94"/>
      <c r="W830" s="94"/>
      <c r="X830" s="94"/>
      <c r="Y830" s="119">
        <v>46322</v>
      </c>
      <c r="Z830" s="94"/>
      <c r="AA830" s="120"/>
      <c r="AB830" s="120"/>
      <c r="AC830" s="120"/>
      <c r="AD830" s="120"/>
      <c r="AE830" s="120"/>
      <c r="AF830" s="120"/>
      <c r="AG830" s="94"/>
      <c r="AH830" s="120"/>
      <c r="AI830" s="94"/>
      <c r="AJ830" s="94" t="s">
        <v>305</v>
      </c>
      <c r="AK830" s="94" t="s">
        <v>356</v>
      </c>
      <c r="AL830" s="94">
        <v>120</v>
      </c>
      <c r="AM830" s="94" t="str">
        <f>TRIM(AJ830)&amp;TRIM(AL830)&amp;TRIM(AK830)</f>
      </c>
      <c r="AN830" s="116">
        <v>897.23</v>
      </c>
      <c r="AO830" s="116">
        <v>-20.23</v>
      </c>
      <c r="AP830" s="116">
        <f>SUMIFS(M:M,AM:AM,AM830)+SUMIFS(O:O,AM:AM,AM830)</f>
      </c>
      <c r="AQ830" s="116">
        <f>SUMIFS(L:L,AM:AM,AM830)</f>
      </c>
      <c r="AR830" s="116">
        <f>AQ830-AP830</f>
      </c>
      <c r="AS830" s="94" t="str">
        <f>IF(AN830&gt;=AQ830,"ok","ck")</f>
      </c>
      <c r="AT830" s="116">
        <f>-P830</f>
      </c>
      <c r="AU830" s="115">
        <f>IF(SUMIFS(AT:AT,AM:AM,AM830)&gt;AO830,(SUMIFS(AT:AT,AM:AM,AM830)-AO830))</f>
      </c>
      <c r="AV830" s="116">
        <v>897.23</v>
      </c>
      <c r="AW830" s="121">
        <v>1.023</v>
      </c>
      <c r="AX830" s="115">
        <f>AN830-AP830</f>
      </c>
    </row>
    <row r="831" spans="1:50" ht="15" hidden="1" customHeight="1" x14ac:dyDescent="0.3">
      <c r="A831" s="94" t="s">
        <v>480</v>
      </c>
      <c r="B831" s="94"/>
      <c r="C831" s="94"/>
      <c r="D831" s="94"/>
      <c r="E831" s="94"/>
      <c r="F831" s="94"/>
      <c r="G831" s="112">
        <f>AU831</f>
      </c>
      <c r="H831" s="113"/>
      <c r="I831" s="94" t="s">
        <v>486</v>
      </c>
      <c r="J831" s="94" t="s">
        <v>543</v>
      </c>
      <c r="K831" s="114">
        <f>P831/3</f>
      </c>
      <c r="L831" s="115">
        <v>33.345999999999997</v>
      </c>
      <c r="M831" s="116">
        <f>L831</f>
      </c>
      <c r="N831" s="117">
        <f>M831-L831</f>
      </c>
      <c r="O831" s="112"/>
      <c r="P831" s="118">
        <f>N831+O831</f>
      </c>
      <c r="Q831" s="94" t="s">
        <v>796</v>
      </c>
      <c r="R831" s="94" t="s">
        <v>63</v>
      </c>
      <c r="S831" s="120">
        <v>46338</v>
      </c>
      <c r="T831" s="120"/>
      <c r="U831" s="120">
        <v>46338</v>
      </c>
      <c r="V831" s="94"/>
      <c r="W831" s="94"/>
      <c r="X831" s="94"/>
      <c r="Y831" s="119">
        <v>46338</v>
      </c>
      <c r="Z831" s="94"/>
      <c r="AA831" s="120"/>
      <c r="AB831" s="120"/>
      <c r="AC831" s="120"/>
      <c r="AD831" s="120"/>
      <c r="AE831" s="120"/>
      <c r="AF831" s="120"/>
      <c r="AG831" s="94"/>
      <c r="AH831" s="120"/>
      <c r="AI831" s="94"/>
      <c r="AJ831" s="94" t="s">
        <v>796</v>
      </c>
      <c r="AK831" s="94" t="s">
        <v>696</v>
      </c>
      <c r="AL831" s="94">
        <v>165</v>
      </c>
      <c r="AM831" s="94" t="str">
        <f>TRIM(AJ831)&amp;TRIM(AL831)&amp;TRIM(AK831)</f>
      </c>
      <c r="AN831" s="116">
        <v>45.7</v>
      </c>
      <c r="AO831" s="116">
        <v>-7.7</v>
      </c>
      <c r="AP831" s="116">
        <f>SUMIFS(M:M,AM:AM,AM831)+SUMIFS(O:O,AM:AM,AM831)</f>
      </c>
      <c r="AQ831" s="116">
        <f>SUMIFS(L:L,AM:AM,AM831)</f>
      </c>
      <c r="AR831" s="116">
        <f>AQ831-AP831</f>
      </c>
      <c r="AS831" s="94" t="str">
        <f>IF(AN831&gt;=AQ831,"ok","ck")</f>
      </c>
      <c r="AT831" s="116">
        <f>-P831</f>
      </c>
      <c r="AU831" s="115">
        <f>IF(SUMIFS(AT:AT,AM:AM,AM831)&gt;AO831,(SUMIFS(AT:AT,AM:AM,AM831)-AO831))</f>
      </c>
      <c r="AV831" s="116">
        <v>45.7</v>
      </c>
      <c r="AW831" s="121">
        <v>1.203</v>
      </c>
      <c r="AX831" s="115">
        <f>AN831-AP831</f>
      </c>
    </row>
    <row r="832" spans="1:50" ht="15" hidden="1" customHeight="1" x14ac:dyDescent="0.3">
      <c r="A832" s="94" t="s">
        <v>480</v>
      </c>
      <c r="B832" s="94"/>
      <c r="C832" s="94"/>
      <c r="D832" s="94"/>
      <c r="E832" s="94"/>
      <c r="F832" s="94"/>
      <c r="G832" s="112">
        <f>AU832</f>
      </c>
      <c r="H832" s="113"/>
      <c r="I832" s="94" t="s">
        <v>486</v>
      </c>
      <c r="J832" s="94" t="s">
        <v>543</v>
      </c>
      <c r="K832" s="114">
        <f>P832/3</f>
      </c>
      <c r="L832" s="115">
        <v>4.6539999999999999</v>
      </c>
      <c r="M832" s="116">
        <f>L832</f>
      </c>
      <c r="N832" s="117">
        <f>M832-L832</f>
      </c>
      <c r="O832" s="112"/>
      <c r="P832" s="118">
        <f>N832+O832</f>
      </c>
      <c r="Q832" s="94" t="s">
        <v>796</v>
      </c>
      <c r="R832" s="94" t="s">
        <v>63</v>
      </c>
      <c r="S832" s="120">
        <v>46338</v>
      </c>
      <c r="T832" s="120"/>
      <c r="U832" s="120">
        <v>46338</v>
      </c>
      <c r="V832" s="94"/>
      <c r="W832" s="94"/>
      <c r="X832" s="94"/>
      <c r="Y832" s="119">
        <v>46338</v>
      </c>
      <c r="Z832" s="94"/>
      <c r="AA832" s="120"/>
      <c r="AB832" s="120"/>
      <c r="AC832" s="120"/>
      <c r="AD832" s="120"/>
      <c r="AE832" s="120"/>
      <c r="AF832" s="120"/>
      <c r="AG832" s="94"/>
      <c r="AH832" s="120"/>
      <c r="AI832" s="94"/>
      <c r="AJ832" s="94" t="s">
        <v>796</v>
      </c>
      <c r="AK832" s="94" t="s">
        <v>696</v>
      </c>
      <c r="AL832" s="94">
        <v>165</v>
      </c>
      <c r="AM832" s="94" t="str">
        <f>TRIM(AJ832)&amp;TRIM(AL832)&amp;TRIM(AK832)</f>
      </c>
      <c r="AN832" s="116">
        <v>45.7</v>
      </c>
      <c r="AO832" s="116">
        <v>-7.7</v>
      </c>
      <c r="AP832" s="116">
        <f>SUMIFS(M:M,AM:AM,AM832)+SUMIFS(O:O,AM:AM,AM832)</f>
      </c>
      <c r="AQ832" s="116">
        <f>SUMIFS(L:L,AM:AM,AM832)</f>
      </c>
      <c r="AR832" s="116">
        <f>AQ832-AP832</f>
      </c>
      <c r="AS832" s="94" t="str">
        <f>IF(AN832&gt;=AQ832,"ok","ck")</f>
      </c>
      <c r="AT832" s="116">
        <f>-P832</f>
      </c>
      <c r="AU832" s="115">
        <f>IF(SUMIFS(AT:AT,AM:AM,AM832)&gt;AO832,(SUMIFS(AT:AT,AM:AM,AM832)-AO832))</f>
      </c>
      <c r="AV832" s="116">
        <v>45.7</v>
      </c>
      <c r="AW832" s="121">
        <v>1.203</v>
      </c>
      <c r="AX832" s="115">
        <f>AN832-AP832</f>
      </c>
    </row>
    <row r="833" spans="1:50" ht="15" hidden="1" customHeight="1" x14ac:dyDescent="0.3">
      <c r="A833" s="94" t="s">
        <v>480</v>
      </c>
      <c r="B833" s="94"/>
      <c r="C833" s="94"/>
      <c r="D833" s="94"/>
      <c r="E833" s="94"/>
      <c r="F833" s="94"/>
      <c r="G833" s="112">
        <f>AU833</f>
      </c>
      <c r="H833" s="113"/>
      <c r="I833" s="94" t="s">
        <v>486</v>
      </c>
      <c r="J833" s="94" t="s">
        <v>513</v>
      </c>
      <c r="K833" s="114">
        <f>P833/3</f>
      </c>
      <c r="L833" s="115">
        <v>20.902000000000001</v>
      </c>
      <c r="M833" s="116">
        <f>L833</f>
      </c>
      <c r="N833" s="117">
        <f>M833-L833</f>
      </c>
      <c r="O833" s="112"/>
      <c r="P833" s="118">
        <f>N833+O833</f>
      </c>
      <c r="Q833" s="94" t="s">
        <v>796</v>
      </c>
      <c r="R833" s="94" t="s">
        <v>63</v>
      </c>
      <c r="S833" s="120">
        <v>46330</v>
      </c>
      <c r="T833" s="120"/>
      <c r="U833" s="120">
        <v>46330</v>
      </c>
      <c r="V833" s="94"/>
      <c r="W833" s="94"/>
      <c r="X833" s="94"/>
      <c r="Y833" s="119">
        <v>46330</v>
      </c>
      <c r="Z833" s="94"/>
      <c r="AA833" s="120"/>
      <c r="AB833" s="120"/>
      <c r="AC833" s="120"/>
      <c r="AD833" s="120"/>
      <c r="AE833" s="120"/>
      <c r="AF833" s="120"/>
      <c r="AG833" s="94"/>
      <c r="AH833" s="120"/>
      <c r="AI833" s="94"/>
      <c r="AJ833" s="94" t="s">
        <v>796</v>
      </c>
      <c r="AK833" s="94" t="s">
        <v>707</v>
      </c>
      <c r="AL833" s="94">
        <v>165</v>
      </c>
      <c r="AM833" s="94" t="str">
        <f>TRIM(AJ833)&amp;TRIM(AL833)&amp;TRIM(AK833)</f>
      </c>
      <c r="AN833" s="116">
        <v>30.39</v>
      </c>
      <c r="AO833" s="116">
        <v>-6.39</v>
      </c>
      <c r="AP833" s="116">
        <f>SUMIFS(M:M,AM:AM,AM833)+SUMIFS(O:O,AM:AM,AM833)</f>
      </c>
      <c r="AQ833" s="116">
        <f>SUMIFS(L:L,AM:AM,AM833)</f>
      </c>
      <c r="AR833" s="116">
        <f>AQ833-AP833</f>
      </c>
      <c r="AS833" s="94" t="str">
        <f>IF(AN833&gt;=AQ833,"ok","ck")</f>
      </c>
      <c r="AT833" s="116">
        <f>-P833</f>
      </c>
      <c r="AU833" s="115">
        <f>IF(SUMIFS(AT:AT,AM:AM,AM833)&gt;AO833,(SUMIFS(AT:AT,AM:AM,AM833)-AO833))</f>
      </c>
      <c r="AV833" s="116">
        <v>30.39</v>
      </c>
      <c r="AW833" s="121">
        <v>1.266</v>
      </c>
      <c r="AX833" s="115">
        <f>AN833-AP833</f>
      </c>
    </row>
    <row r="834" spans="1:50" ht="15" hidden="1" customHeight="1" x14ac:dyDescent="0.3">
      <c r="A834" s="94" t="s">
        <v>480</v>
      </c>
      <c r="B834" s="94"/>
      <c r="C834" s="94"/>
      <c r="D834" s="94"/>
      <c r="E834" s="94"/>
      <c r="F834" s="94"/>
      <c r="G834" s="112">
        <f>AU834</f>
      </c>
      <c r="H834" s="113"/>
      <c r="I834" s="94" t="s">
        <v>486</v>
      </c>
      <c r="J834" s="94" t="s">
        <v>513</v>
      </c>
      <c r="K834" s="114">
        <f>P834/3</f>
      </c>
      <c r="L834" s="115">
        <v>3.0979999999999999</v>
      </c>
      <c r="M834" s="116">
        <f>L834</f>
      </c>
      <c r="N834" s="117">
        <f>M834-L834</f>
      </c>
      <c r="O834" s="112"/>
      <c r="P834" s="118">
        <f>N834+O834</f>
      </c>
      <c r="Q834" s="94" t="s">
        <v>796</v>
      </c>
      <c r="R834" s="94" t="s">
        <v>63</v>
      </c>
      <c r="S834" s="120">
        <v>46330</v>
      </c>
      <c r="T834" s="120"/>
      <c r="U834" s="120">
        <v>46330</v>
      </c>
      <c r="V834" s="94"/>
      <c r="W834" s="94"/>
      <c r="X834" s="94"/>
      <c r="Y834" s="119">
        <v>46330</v>
      </c>
      <c r="Z834" s="94"/>
      <c r="AA834" s="120"/>
      <c r="AB834" s="120"/>
      <c r="AC834" s="120"/>
      <c r="AD834" s="120"/>
      <c r="AE834" s="120"/>
      <c r="AF834" s="120"/>
      <c r="AG834" s="94"/>
      <c r="AH834" s="120"/>
      <c r="AI834" s="94"/>
      <c r="AJ834" s="94" t="s">
        <v>796</v>
      </c>
      <c r="AK834" s="94" t="s">
        <v>707</v>
      </c>
      <c r="AL834" s="94">
        <v>165</v>
      </c>
      <c r="AM834" s="94" t="str">
        <f>TRIM(AJ834)&amp;TRIM(AL834)&amp;TRIM(AK834)</f>
      </c>
      <c r="AN834" s="116">
        <v>30.39</v>
      </c>
      <c r="AO834" s="116">
        <v>-6.39</v>
      </c>
      <c r="AP834" s="116">
        <f>SUMIFS(M:M,AM:AM,AM834)+SUMIFS(O:O,AM:AM,AM834)</f>
      </c>
      <c r="AQ834" s="116">
        <f>SUMIFS(L:L,AM:AM,AM834)</f>
      </c>
      <c r="AR834" s="116">
        <f>AQ834-AP834</f>
      </c>
      <c r="AS834" s="94" t="str">
        <f>IF(AN834&gt;=AQ834,"ok","ck")</f>
      </c>
      <c r="AT834" s="116">
        <f>-P834</f>
      </c>
      <c r="AU834" s="115">
        <f>IF(SUMIFS(AT:AT,AM:AM,AM834)&gt;AO834,(SUMIFS(AT:AT,AM:AM,AM834)-AO834))</f>
      </c>
      <c r="AV834" s="116">
        <v>30.39</v>
      </c>
      <c r="AW834" s="121">
        <v>1.266</v>
      </c>
      <c r="AX834" s="115">
        <f>AN834-AP834</f>
      </c>
    </row>
    <row r="835" spans="1:50" ht="15" hidden="1" customHeight="1" x14ac:dyDescent="0.3">
      <c r="A835" s="94" t="s">
        <v>480</v>
      </c>
      <c r="B835" s="94"/>
      <c r="C835" s="94"/>
      <c r="D835" s="94"/>
      <c r="E835" s="94"/>
      <c r="F835" s="94"/>
      <c r="G835" s="112">
        <f>AU835</f>
      </c>
      <c r="H835" s="113"/>
      <c r="I835" s="94" t="s">
        <v>486</v>
      </c>
      <c r="J835" s="94" t="s">
        <v>515</v>
      </c>
      <c r="K835" s="114">
        <f>P835/3</f>
      </c>
      <c r="L835" s="115">
        <v>3.3730000000000002</v>
      </c>
      <c r="M835" s="116">
        <f>L835</f>
      </c>
      <c r="N835" s="117">
        <f>M835-L835</f>
      </c>
      <c r="O835" s="112"/>
      <c r="P835" s="118">
        <f>N835+O835</f>
      </c>
      <c r="Q835" s="94" t="s">
        <v>796</v>
      </c>
      <c r="R835" s="94" t="s">
        <v>63</v>
      </c>
      <c r="S835" s="120">
        <v>46330</v>
      </c>
      <c r="T835" s="120"/>
      <c r="U835" s="120">
        <v>46330</v>
      </c>
      <c r="V835" s="94"/>
      <c r="W835" s="94"/>
      <c r="X835" s="94"/>
      <c r="Y835" s="119">
        <v>46330</v>
      </c>
      <c r="Z835" s="94"/>
      <c r="AA835" s="120"/>
      <c r="AB835" s="120"/>
      <c r="AC835" s="120"/>
      <c r="AD835" s="120"/>
      <c r="AE835" s="120"/>
      <c r="AF835" s="120"/>
      <c r="AG835" s="94"/>
      <c r="AH835" s="120"/>
      <c r="AI835" s="94"/>
      <c r="AJ835" s="94" t="s">
        <v>796</v>
      </c>
      <c r="AK835" s="94" t="s">
        <v>71</v>
      </c>
      <c r="AL835" s="94">
        <v>165</v>
      </c>
      <c r="AM835" s="94" t="str">
        <f>TRIM(AJ835)&amp;TRIM(AL835)&amp;TRIM(AK835)</f>
      </c>
      <c r="AN835" s="116">
        <v>15</v>
      </c>
      <c r="AO835" s="116">
        <v>-5.01</v>
      </c>
      <c r="AP835" s="116">
        <f>SUMIFS(M:M,AM:AM,AM835)+SUMIFS(O:O,AM:AM,AM835)</f>
      </c>
      <c r="AQ835" s="116">
        <f>SUMIFS(L:L,AM:AM,AM835)</f>
      </c>
      <c r="AR835" s="116">
        <f>AQ835-AP835</f>
      </c>
      <c r="AS835" s="94" t="str">
        <f>IF(AN835&gt;=AQ835,"ok","ck")</f>
      </c>
      <c r="AT835" s="116">
        <f>-P835</f>
      </c>
      <c r="AU835" s="115">
        <f>IF(SUMIFS(AT:AT,AM:AM,AM835)&gt;AO835,(SUMIFS(AT:AT,AM:AM,AM835)-AO835))</f>
      </c>
      <c r="AV835" s="116">
        <v>15</v>
      </c>
      <c r="AW835" s="121">
        <v>1.502</v>
      </c>
      <c r="AX835" s="115">
        <f>AN835-AP835</f>
      </c>
    </row>
    <row r="836" spans="1:50" ht="15" hidden="1" customHeight="1" x14ac:dyDescent="0.3">
      <c r="A836" s="94" t="s">
        <v>480</v>
      </c>
      <c r="B836" s="94"/>
      <c r="C836" s="94"/>
      <c r="D836" s="94"/>
      <c r="E836" s="94"/>
      <c r="F836" s="94"/>
      <c r="G836" s="112">
        <f>AU836</f>
      </c>
      <c r="H836" s="113"/>
      <c r="I836" s="94" t="s">
        <v>486</v>
      </c>
      <c r="J836" s="94" t="s">
        <v>515</v>
      </c>
      <c r="K836" s="114">
        <f>P836/3</f>
      </c>
      <c r="L836" s="115">
        <v>0.50600000000000001</v>
      </c>
      <c r="M836" s="116">
        <f>L836</f>
      </c>
      <c r="N836" s="117">
        <f>M836-L836</f>
      </c>
      <c r="O836" s="112"/>
      <c r="P836" s="118">
        <f>N836+O836</f>
      </c>
      <c r="Q836" s="94" t="s">
        <v>796</v>
      </c>
      <c r="R836" s="94" t="s">
        <v>63</v>
      </c>
      <c r="S836" s="120">
        <v>46330</v>
      </c>
      <c r="T836" s="120"/>
      <c r="U836" s="120">
        <v>46330</v>
      </c>
      <c r="V836" s="94"/>
      <c r="W836" s="94"/>
      <c r="X836" s="94"/>
      <c r="Y836" s="119">
        <v>46330</v>
      </c>
      <c r="Z836" s="94"/>
      <c r="AA836" s="120"/>
      <c r="AB836" s="120"/>
      <c r="AC836" s="120"/>
      <c r="AD836" s="120"/>
      <c r="AE836" s="120"/>
      <c r="AF836" s="120"/>
      <c r="AG836" s="94"/>
      <c r="AH836" s="120"/>
      <c r="AI836" s="94"/>
      <c r="AJ836" s="94" t="s">
        <v>796</v>
      </c>
      <c r="AK836" s="94" t="s">
        <v>71</v>
      </c>
      <c r="AL836" s="94">
        <v>165</v>
      </c>
      <c r="AM836" s="94" t="str">
        <f>TRIM(AJ836)&amp;TRIM(AL836)&amp;TRIM(AK836)</f>
      </c>
      <c r="AN836" s="116">
        <v>15</v>
      </c>
      <c r="AO836" s="116">
        <v>-5.01</v>
      </c>
      <c r="AP836" s="116">
        <f>SUMIFS(M:M,AM:AM,AM836)+SUMIFS(O:O,AM:AM,AM836)</f>
      </c>
      <c r="AQ836" s="116">
        <f>SUMIFS(L:L,AM:AM,AM836)</f>
      </c>
      <c r="AR836" s="116">
        <f>AQ836-AP836</f>
      </c>
      <c r="AS836" s="94" t="str">
        <f>IF(AN836&gt;=AQ836,"ok","ck")</f>
      </c>
      <c r="AT836" s="116">
        <f>-P836</f>
      </c>
      <c r="AU836" s="115">
        <f>IF(SUMIFS(AT:AT,AM:AM,AM836)&gt;AO836,(SUMIFS(AT:AT,AM:AM,AM836)-AO836))</f>
      </c>
      <c r="AV836" s="116">
        <v>15</v>
      </c>
      <c r="AW836" s="121">
        <v>1.502</v>
      </c>
      <c r="AX836" s="115">
        <f>AN836-AP836</f>
      </c>
    </row>
    <row r="837" spans="1:50" ht="15" hidden="1" customHeight="1" x14ac:dyDescent="0.3">
      <c r="A837" s="94" t="s">
        <v>480</v>
      </c>
      <c r="B837" s="94"/>
      <c r="C837" s="94"/>
      <c r="D837" s="94"/>
      <c r="E837" s="94"/>
      <c r="F837" s="94"/>
      <c r="G837" s="112">
        <f>AU837</f>
      </c>
      <c r="H837" s="113"/>
      <c r="I837" s="94" t="s">
        <v>486</v>
      </c>
      <c r="J837" s="94" t="s">
        <v>515</v>
      </c>
      <c r="K837" s="114">
        <f>P837/3</f>
      </c>
      <c r="L837" s="115">
        <v>5.3719999999999999</v>
      </c>
      <c r="M837" s="116">
        <f>L837</f>
      </c>
      <c r="N837" s="117">
        <f>M837-L837</f>
      </c>
      <c r="O837" s="112"/>
      <c r="P837" s="118">
        <f>N837+O837</f>
      </c>
      <c r="Q837" s="94" t="s">
        <v>796</v>
      </c>
      <c r="R837" s="94" t="s">
        <v>63</v>
      </c>
      <c r="S837" s="119">
        <v>46338</v>
      </c>
      <c r="T837" s="119"/>
      <c r="U837" s="119">
        <v>46338</v>
      </c>
      <c r="V837" s="94"/>
      <c r="W837" s="94"/>
      <c r="X837" s="94"/>
      <c r="Y837" s="119">
        <v>46338</v>
      </c>
      <c r="Z837" s="94"/>
      <c r="AA837" s="120"/>
      <c r="AB837" s="120"/>
      <c r="AC837" s="120"/>
      <c r="AD837" s="120"/>
      <c r="AE837" s="120"/>
      <c r="AF837" s="120"/>
      <c r="AG837" s="94"/>
      <c r="AH837" s="120"/>
      <c r="AI837" s="94"/>
      <c r="AJ837" s="94" t="s">
        <v>796</v>
      </c>
      <c r="AK837" s="94" t="s">
        <v>71</v>
      </c>
      <c r="AL837" s="94">
        <v>165</v>
      </c>
      <c r="AM837" s="94" t="str">
        <f>TRIM(AJ837)&amp;TRIM(AL837)&amp;TRIM(AK837)</f>
      </c>
      <c r="AN837" s="116">
        <v>15</v>
      </c>
      <c r="AO837" s="116">
        <v>-5.01</v>
      </c>
      <c r="AP837" s="116">
        <f>SUMIFS(M:M,AM:AM,AM837)+SUMIFS(O:O,AM:AM,AM837)</f>
      </c>
      <c r="AQ837" s="116">
        <f>SUMIFS(L:L,AM:AM,AM837)</f>
      </c>
      <c r="AR837" s="116">
        <f>AQ837-AP837</f>
      </c>
      <c r="AS837" s="94" t="str">
        <f>IF(AN837&gt;=AQ837,"ok","ck")</f>
      </c>
      <c r="AT837" s="116">
        <f>-P837</f>
      </c>
      <c r="AU837" s="115">
        <f>IF(SUMIFS(AT:AT,AM:AM,AM837)&gt;AO837,(SUMIFS(AT:AT,AM:AM,AM837)-AO837))</f>
      </c>
      <c r="AV837" s="116">
        <v>15</v>
      </c>
      <c r="AW837" s="121">
        <v>1.502</v>
      </c>
      <c r="AX837" s="115">
        <f>AN837-AP837</f>
      </c>
    </row>
    <row r="838" spans="1:50" ht="15" hidden="1" customHeight="1" x14ac:dyDescent="0.3">
      <c r="A838" s="94" t="s">
        <v>268</v>
      </c>
      <c r="B838" s="94"/>
      <c r="C838" s="94"/>
      <c r="D838" s="94"/>
      <c r="E838" s="94"/>
      <c r="F838" s="94"/>
      <c r="G838" s="112">
        <f>AU838</f>
      </c>
      <c r="H838" s="113"/>
      <c r="I838" s="94" t="s">
        <v>278</v>
      </c>
      <c r="J838" s="94" t="s">
        <v>355</v>
      </c>
      <c r="K838" s="114">
        <f>P838/3</f>
      </c>
      <c r="L838" s="115">
        <v>20</v>
      </c>
      <c r="M838" s="116"/>
      <c r="N838" s="117">
        <f>M838-L838</f>
      </c>
      <c r="O838" s="112"/>
      <c r="P838" s="118">
        <f>N838+O838</f>
      </c>
      <c r="Q838" s="94" t="s">
        <v>793</v>
      </c>
      <c r="R838" s="94" t="s">
        <v>63</v>
      </c>
      <c r="S838" s="119">
        <v>46336</v>
      </c>
      <c r="T838" s="119"/>
      <c r="U838" s="119">
        <v>46336</v>
      </c>
      <c r="V838" s="94"/>
      <c r="W838" s="94"/>
      <c r="X838" s="94"/>
      <c r="Y838" s="119">
        <v>46320</v>
      </c>
      <c r="Z838" s="94"/>
      <c r="AA838" s="120"/>
      <c r="AB838" s="120"/>
      <c r="AC838" s="120"/>
      <c r="AD838" s="120"/>
      <c r="AE838" s="120"/>
      <c r="AF838" s="120"/>
      <c r="AG838" s="94"/>
      <c r="AH838" s="120"/>
      <c r="AI838" s="94"/>
      <c r="AJ838" s="94" t="s">
        <v>793</v>
      </c>
      <c r="AK838" s="94" t="s">
        <v>356</v>
      </c>
      <c r="AL838" s="94">
        <v>120</v>
      </c>
      <c r="AM838" s="94" t="str">
        <f>TRIM(AJ838)&amp;TRIM(AL838)&amp;TRIM(AK838)</f>
      </c>
      <c r="AN838" s="116">
        <v>0</v>
      </c>
      <c r="AO838" s="116" t="inlineStr">
        <is>
          <t>#NA</t>
        </is>
      </c>
      <c r="AP838" s="116">
        <f>SUMIFS(M:M,AM:AM,AM838)+SUMIFS(O:O,AM:AM,AM838)</f>
      </c>
      <c r="AQ838" s="116">
        <f>SUMIFS(L:L,AM:AM,AM838)</f>
      </c>
      <c r="AR838" s="116">
        <f>AQ838-AP838</f>
      </c>
      <c r="AS838" s="94" t="str">
        <f>IF(AN838&gt;=AQ838,"ok","ck")</f>
      </c>
      <c r="AT838" s="116">
        <f>-P838</f>
      </c>
      <c r="AU838" s="115">
        <f>IF(SUMIFS(AT:AT,AM:AM,AM838)&gt;AO838,(SUMIFS(AT:AT,AM:AM,AM838)-AO838))</f>
      </c>
      <c r="AV838" s="116">
        <v>0</v>
      </c>
      <c r="AW838" s="121">
        <v>0</v>
      </c>
      <c r="AX838" s="115">
        <f>AN838-AP838</f>
      </c>
    </row>
    <row r="839" spans="1:50" ht="15" hidden="1" customHeight="1" x14ac:dyDescent="0.3">
      <c r="A839" s="94" t="s">
        <v>268</v>
      </c>
      <c r="B839" s="94"/>
      <c r="C839" s="94"/>
      <c r="D839" s="94"/>
      <c r="E839" s="94"/>
      <c r="F839" s="94"/>
      <c r="G839" s="112">
        <f>AU839</f>
      </c>
      <c r="H839" s="113"/>
      <c r="I839" s="94" t="s">
        <v>390</v>
      </c>
      <c r="J839" s="94" t="s">
        <v>333</v>
      </c>
      <c r="K839" s="114">
        <f>P839/3</f>
      </c>
      <c r="L839" s="115">
        <v>-0.81200000000000006</v>
      </c>
      <c r="M839" s="116">
        <f>L839</f>
      </c>
      <c r="N839" s="117">
        <f>M839-L839</f>
      </c>
      <c r="O839" s="112"/>
      <c r="P839" s="118">
        <f>N839+O839</f>
      </c>
      <c r="Q839" s="94" t="s">
        <v>787</v>
      </c>
      <c r="R839" s="94" t="s">
        <v>63</v>
      </c>
      <c r="S839" s="119">
        <v>46320</v>
      </c>
      <c r="T839" s="119"/>
      <c r="U839" s="119">
        <v>46320</v>
      </c>
      <c r="V839" s="94"/>
      <c r="W839" s="94"/>
      <c r="X839" s="94"/>
      <c r="Y839" s="119">
        <v>46320</v>
      </c>
      <c r="Z839" s="94"/>
      <c r="AA839" s="120"/>
      <c r="AB839" s="120"/>
      <c r="AC839" s="120"/>
      <c r="AD839" s="120"/>
      <c r="AE839" s="120"/>
      <c r="AF839" s="120"/>
      <c r="AG839" s="94"/>
      <c r="AH839" s="120"/>
      <c r="AI839" s="94"/>
      <c r="AJ839" s="94" t="s">
        <v>787</v>
      </c>
      <c r="AK839" s="94" t="s">
        <v>334</v>
      </c>
      <c r="AL839" s="94">
        <v>140</v>
      </c>
      <c r="AM839" s="94" t="str">
        <f>TRIM(AJ839)&amp;TRIM(AL839)&amp;TRIM(AK839)</f>
      </c>
      <c r="AN839" s="116">
        <v>3603</v>
      </c>
      <c r="AO839" s="116">
        <v>-70</v>
      </c>
      <c r="AP839" s="116">
        <f>SUMIFS(M:M,AM:AM,AM839)+SUMIFS(O:O,AM:AM,AM839)</f>
      </c>
      <c r="AQ839" s="116">
        <f>SUMIFS(L:L,AM:AM,AM839)</f>
      </c>
      <c r="AR839" s="116">
        <f>AQ839-AP839</f>
      </c>
      <c r="AS839" s="94" t="str">
        <f>IF(AN839&gt;=AQ839,"ok","ck")</f>
      </c>
      <c r="AT839" s="116">
        <f>-P839</f>
      </c>
      <c r="AU839" s="115">
        <f>IF(SUMIFS(AT:AT,AM:AM,AM839)&gt;AO839,(SUMIFS(AT:AT,AM:AM,AM839)-AO839))</f>
      </c>
      <c r="AV839" s="116">
        <v>3603</v>
      </c>
      <c r="AW839" s="121">
        <v>1.02</v>
      </c>
      <c r="AX839" s="115">
        <f>AN839-AP839</f>
      </c>
    </row>
    <row r="840" spans="1:50" ht="15" hidden="1" customHeight="1" x14ac:dyDescent="0.3">
      <c r="A840" s="94" t="s">
        <v>288</v>
      </c>
      <c r="B840" s="94"/>
      <c r="C840" s="94"/>
      <c r="D840" s="94"/>
      <c r="E840" s="94"/>
      <c r="F840" s="94"/>
      <c r="G840" s="112">
        <f>AU840</f>
      </c>
      <c r="H840" s="113"/>
      <c r="I840" s="94" t="s">
        <v>289</v>
      </c>
      <c r="J840" s="94" t="s">
        <v>286</v>
      </c>
      <c r="K840" s="114">
        <f>P840/3</f>
      </c>
      <c r="L840" s="115">
        <v>-1.5269999999999999</v>
      </c>
      <c r="M840" s="116">
        <f>L840</f>
      </c>
      <c r="N840" s="117">
        <f>M840-L840</f>
      </c>
      <c r="O840" s="112"/>
      <c r="P840" s="118">
        <f>N840+O840</f>
      </c>
      <c r="Q840" s="94" t="s">
        <v>291</v>
      </c>
      <c r="R840" s="94" t="s">
        <v>63</v>
      </c>
      <c r="S840" s="119">
        <v>46320</v>
      </c>
      <c r="T840" s="119"/>
      <c r="U840" s="120">
        <v>46320</v>
      </c>
      <c r="V840" s="94"/>
      <c r="W840" s="94"/>
      <c r="X840" s="94"/>
      <c r="Y840" s="119">
        <v>46320</v>
      </c>
      <c r="Z840" s="94"/>
      <c r="AA840" s="120"/>
      <c r="AB840" s="120"/>
      <c r="AC840" s="120"/>
      <c r="AD840" s="120"/>
      <c r="AE840" s="120"/>
      <c r="AF840" s="120"/>
      <c r="AG840" s="94"/>
      <c r="AH840" s="120"/>
      <c r="AI840" s="94"/>
      <c r="AJ840" s="94" t="s">
        <v>292</v>
      </c>
      <c r="AK840" s="94" t="s">
        <v>281</v>
      </c>
      <c r="AL840" s="94">
        <v>235</v>
      </c>
      <c r="AM840" s="94" t="str">
        <f>TRIM(AJ840)&amp;TRIM(AL840)&amp;TRIM(AK840)</f>
      </c>
      <c r="AN840" s="116">
        <v>671</v>
      </c>
      <c r="AO840" s="116">
        <v>-6.71</v>
      </c>
      <c r="AP840" s="116">
        <f>SUMIFS(M:M,AM:AM,AM840)+SUMIFS(O:O,AM:AM,AM840)</f>
      </c>
      <c r="AQ840" s="116">
        <f>SUMIFS(L:L,AM:AM,AM840)</f>
      </c>
      <c r="AR840" s="116">
        <f>AQ840-AP840</f>
      </c>
      <c r="AS840" s="94" t="str">
        <f>IF(AN840&gt;=AQ840,"ok","ck")</f>
      </c>
      <c r="AT840" s="116">
        <f>-P840</f>
      </c>
      <c r="AU840" s="115">
        <f>IF(SUMIFS(AT:AT,AM:AM,AM840)&gt;AO840,(SUMIFS(AT:AT,AM:AM,AM840)-AO840))</f>
      </c>
      <c r="AV840" s="116">
        <v>671</v>
      </c>
      <c r="AW840" s="121">
        <v>1.01</v>
      </c>
      <c r="AX840" s="115">
        <f>AN840-AP840</f>
      </c>
    </row>
    <row r="841" spans="1:50" ht="15" hidden="1" customHeight="1" x14ac:dyDescent="0.3">
      <c r="A841" s="94" t="s">
        <v>288</v>
      </c>
      <c r="B841" s="94"/>
      <c r="C841" s="94"/>
      <c r="D841" s="94"/>
      <c r="E841" s="94"/>
      <c r="F841" s="94"/>
      <c r="G841" s="112">
        <f>AU841</f>
      </c>
      <c r="H841" s="113"/>
      <c r="I841" s="94" t="s">
        <v>289</v>
      </c>
      <c r="J841" s="94" t="s">
        <v>286</v>
      </c>
      <c r="K841" s="114">
        <f>P841/3</f>
      </c>
      <c r="L841" s="115">
        <v>-1.3380000000000001</v>
      </c>
      <c r="M841" s="116">
        <f>L841</f>
      </c>
      <c r="N841" s="117">
        <f>M841-L841</f>
      </c>
      <c r="O841" s="112"/>
      <c r="P841" s="118">
        <f>N841+O841</f>
      </c>
      <c r="Q841" s="94" t="s">
        <v>291</v>
      </c>
      <c r="R841" s="94" t="s">
        <v>63</v>
      </c>
      <c r="S841" s="120">
        <v>46320</v>
      </c>
      <c r="T841" s="120"/>
      <c r="U841" s="120">
        <v>46320</v>
      </c>
      <c r="V841" s="94"/>
      <c r="W841" s="94"/>
      <c r="X841" s="94"/>
      <c r="Y841" s="119">
        <v>46320</v>
      </c>
      <c r="Z841" s="94"/>
      <c r="AA841" s="120"/>
      <c r="AB841" s="120"/>
      <c r="AC841" s="120"/>
      <c r="AD841" s="120"/>
      <c r="AE841" s="120"/>
      <c r="AF841" s="120"/>
      <c r="AG841" s="94"/>
      <c r="AH841" s="120"/>
      <c r="AI841" s="94"/>
      <c r="AJ841" s="94" t="s">
        <v>292</v>
      </c>
      <c r="AK841" s="94" t="s">
        <v>281</v>
      </c>
      <c r="AL841" s="94">
        <v>235</v>
      </c>
      <c r="AM841" s="94" t="str">
        <f>TRIM(AJ841)&amp;TRIM(AL841)&amp;TRIM(AK841)</f>
      </c>
      <c r="AN841" s="116">
        <v>671</v>
      </c>
      <c r="AO841" s="116">
        <v>-6.71</v>
      </c>
      <c r="AP841" s="116">
        <f>SUMIFS(M:M,AM:AM,AM841)+SUMIFS(O:O,AM:AM,AM841)</f>
      </c>
      <c r="AQ841" s="116">
        <f>SUMIFS(L:L,AM:AM,AM841)</f>
      </c>
      <c r="AR841" s="116">
        <f>AQ841-AP841</f>
      </c>
      <c r="AS841" s="94" t="str">
        <f>IF(AN841&gt;=AQ841,"ok","ck")</f>
      </c>
      <c r="AT841" s="116">
        <f>-P841</f>
      </c>
      <c r="AU841" s="115">
        <f>IF(SUMIFS(AT:AT,AM:AM,AM841)&gt;AO841,(SUMIFS(AT:AT,AM:AM,AM841)-AO841))</f>
      </c>
      <c r="AV841" s="116">
        <v>671</v>
      </c>
      <c r="AW841" s="121">
        <v>1.01</v>
      </c>
      <c r="AX841" s="115">
        <f>AN841-AP841</f>
      </c>
    </row>
    <row r="842" spans="1:50" ht="15" hidden="1" customHeight="1" x14ac:dyDescent="0.3">
      <c r="A842" s="94" t="s">
        <v>288</v>
      </c>
      <c r="B842" s="94"/>
      <c r="C842" s="94"/>
      <c r="D842" s="94"/>
      <c r="E842" s="94"/>
      <c r="F842" s="94"/>
      <c r="G842" s="112">
        <f>AU842</f>
      </c>
      <c r="H842" s="113"/>
      <c r="I842" s="94" t="s">
        <v>297</v>
      </c>
      <c r="J842" s="94" t="s">
        <v>358</v>
      </c>
      <c r="K842" s="114">
        <f>P842/3</f>
      </c>
      <c r="L842" s="115">
        <v>0</v>
      </c>
      <c r="M842" s="116">
        <f>L842</f>
      </c>
      <c r="N842" s="117">
        <f>M842-L842</f>
      </c>
      <c r="O842" s="112"/>
      <c r="P842" s="118">
        <f>N842+O842</f>
      </c>
      <c r="Q842" s="94" t="s">
        <v>299</v>
      </c>
      <c r="R842" s="94" t="s">
        <v>63</v>
      </c>
      <c r="S842" s="120">
        <v>46320</v>
      </c>
      <c r="T842" s="120"/>
      <c r="U842" s="120">
        <v>46320</v>
      </c>
      <c r="V842" s="94"/>
      <c r="W842" s="94"/>
      <c r="X842" s="94"/>
      <c r="Y842" s="119">
        <v>46320</v>
      </c>
      <c r="Z842" s="94"/>
      <c r="AA842" s="120"/>
      <c r="AB842" s="120"/>
      <c r="AC842" s="120"/>
      <c r="AD842" s="120"/>
      <c r="AE842" s="120"/>
      <c r="AF842" s="120"/>
      <c r="AG842" s="94"/>
      <c r="AH842" s="120"/>
      <c r="AI842" s="94"/>
      <c r="AJ842" s="94" t="s">
        <v>478</v>
      </c>
      <c r="AK842" s="94" t="s">
        <v>359</v>
      </c>
      <c r="AL842" s="94">
        <v>190</v>
      </c>
      <c r="AM842" s="94" t="str">
        <f>TRIM(AJ842)&amp;TRIM(AL842)&amp;TRIM(AK842)</f>
      </c>
      <c r="AN842" s="116">
        <v>1575.84</v>
      </c>
      <c r="AO842" s="116">
        <v>-34.44</v>
      </c>
      <c r="AP842" s="116">
        <f>SUMIFS(M:M,AM:AM,AM842)+SUMIFS(O:O,AM:AM,AM842)</f>
      </c>
      <c r="AQ842" s="116">
        <f>SUMIFS(L:L,AM:AM,AM842)</f>
      </c>
      <c r="AR842" s="116">
        <f>AQ842-AP842</f>
      </c>
      <c r="AS842" s="94" t="str">
        <f>IF(AN842&gt;=AQ842,"ok","ck")</f>
      </c>
      <c r="AT842" s="116">
        <f>-P842</f>
      </c>
      <c r="AU842" s="115">
        <f>IF(SUMIFS(AT:AT,AM:AM,AM842)&gt;AO842,(SUMIFS(AT:AT,AM:AM,AM842)-AO842))</f>
      </c>
      <c r="AV842" s="116">
        <v>1575.84</v>
      </c>
      <c r="AW842" s="121">
        <v>1.022</v>
      </c>
      <c r="AX842" s="115">
        <f>AN842-AP842</f>
      </c>
    </row>
    <row r="843" spans="1:50" ht="15" hidden="1" customHeight="1" x14ac:dyDescent="0.3">
      <c r="A843" s="94" t="s">
        <v>268</v>
      </c>
      <c r="B843" s="94"/>
      <c r="C843" s="94"/>
      <c r="D843" s="94"/>
      <c r="E843" s="94"/>
      <c r="F843" s="94"/>
      <c r="G843" s="112">
        <f>AU843</f>
      </c>
      <c r="H843" s="113"/>
      <c r="I843" s="94" t="s">
        <v>278</v>
      </c>
      <c r="J843" s="94" t="s">
        <v>341</v>
      </c>
      <c r="K843" s="114">
        <f>P843/3</f>
      </c>
      <c r="L843" s="115">
        <v>0</v>
      </c>
      <c r="M843" s="116">
        <f>L843</f>
      </c>
      <c r="N843" s="117">
        <f>M843-L843</f>
      </c>
      <c r="O843" s="112"/>
      <c r="P843" s="118">
        <f>N843+O843</f>
      </c>
      <c r="Q843" s="94" t="s">
        <v>309</v>
      </c>
      <c r="R843" s="94" t="s">
        <v>63</v>
      </c>
      <c r="S843" s="120">
        <v>46334</v>
      </c>
      <c r="T843" s="120"/>
      <c r="U843" s="120">
        <v>46334</v>
      </c>
      <c r="V843" s="94"/>
      <c r="W843" s="94"/>
      <c r="X843" s="94"/>
      <c r="Y843" s="119">
        <v>46334</v>
      </c>
      <c r="Z843" s="94"/>
      <c r="AA843" s="120"/>
      <c r="AB843" s="120"/>
      <c r="AC843" s="120"/>
      <c r="AD843" s="120"/>
      <c r="AE843" s="120"/>
      <c r="AF843" s="120"/>
      <c r="AG843" s="94"/>
      <c r="AH843" s="120"/>
      <c r="AI843" s="94"/>
      <c r="AJ843" s="94" t="s">
        <v>309</v>
      </c>
      <c r="AK843" s="94" t="s">
        <v>704</v>
      </c>
      <c r="AL843" s="94">
        <v>120</v>
      </c>
      <c r="AM843" s="94" t="str">
        <f>TRIM(AJ843)&amp;TRIM(AL843)&amp;TRIM(AK843)</f>
      </c>
      <c r="AN843" s="116">
        <v>26.07</v>
      </c>
      <c r="AO843" s="116">
        <v>-6.07</v>
      </c>
      <c r="AP843" s="116">
        <f>SUMIFS(M:M,AM:AM,AM843)+SUMIFS(O:O,AM:AM,AM843)</f>
      </c>
      <c r="AQ843" s="116">
        <f>SUMIFS(L:L,AM:AM,AM843)</f>
      </c>
      <c r="AR843" s="116">
        <f>AQ843-AP843</f>
      </c>
      <c r="AS843" s="94" t="str">
        <f>IF(AN843&gt;=AQ843,"ok","ck")</f>
      </c>
      <c r="AT843" s="116">
        <f>-P843</f>
      </c>
      <c r="AU843" s="115">
        <f>IF(SUMIFS(AT:AT,AM:AM,AM843)&gt;AO843,(SUMIFS(AT:AT,AM:AM,AM843)-AO843))</f>
      </c>
      <c r="AV843" s="116">
        <v>26.07</v>
      </c>
      <c r="AW843" s="121">
        <v>1.303</v>
      </c>
      <c r="AX843" s="115">
        <f>AN843-AP843</f>
      </c>
    </row>
    <row r="844" spans="1:50" ht="15" hidden="1" customHeight="1" x14ac:dyDescent="0.3">
      <c r="A844" s="94" t="s">
        <v>268</v>
      </c>
      <c r="B844" s="94"/>
      <c r="C844" s="94"/>
      <c r="D844" s="94"/>
      <c r="E844" s="94"/>
      <c r="F844" s="94"/>
      <c r="G844" s="112">
        <f>AU844</f>
      </c>
      <c r="H844" s="113"/>
      <c r="I844" s="94" t="s">
        <v>390</v>
      </c>
      <c r="J844" s="94" t="s">
        <v>326</v>
      </c>
      <c r="K844" s="114">
        <f>P844/3</f>
      </c>
      <c r="L844" s="115">
        <v>3.246</v>
      </c>
      <c r="M844" s="116"/>
      <c r="N844" s="117">
        <f>M844-L844</f>
      </c>
      <c r="O844" s="112"/>
      <c r="P844" s="118">
        <f>N844+O844</f>
      </c>
      <c r="Q844" s="94" t="s">
        <v>812</v>
      </c>
      <c r="R844" s="94" t="s">
        <v>63</v>
      </c>
      <c r="S844" s="120">
        <v>46344</v>
      </c>
      <c r="T844" s="120"/>
      <c r="U844" s="120">
        <v>46344</v>
      </c>
      <c r="V844" s="94"/>
      <c r="W844" s="94"/>
      <c r="X844" s="94"/>
      <c r="Y844" s="119">
        <v>46340</v>
      </c>
      <c r="Z844" s="94"/>
      <c r="AA844" s="120"/>
      <c r="AB844" s="120"/>
      <c r="AC844" s="120"/>
      <c r="AD844" s="120"/>
      <c r="AE844" s="120"/>
      <c r="AF844" s="120"/>
      <c r="AG844" s="94"/>
      <c r="AH844" s="120"/>
      <c r="AI844" s="94"/>
      <c r="AJ844" s="94" t="s">
        <v>812</v>
      </c>
      <c r="AK844" s="94" t="s">
        <v>327</v>
      </c>
      <c r="AL844" s="94">
        <v>140</v>
      </c>
      <c r="AM844" s="94" t="str">
        <f>TRIM(AJ844)&amp;TRIM(AL844)&amp;TRIM(AK844)</f>
      </c>
      <c r="AN844" s="116">
        <v>0</v>
      </c>
      <c r="AO844" s="116" t="inlineStr">
        <is>
          <t>#NA</t>
        </is>
      </c>
      <c r="AP844" s="116">
        <f>SUMIFS(M:M,AM:AM,AM844)+SUMIFS(O:O,AM:AM,AM844)</f>
      </c>
      <c r="AQ844" s="116">
        <f>SUMIFS(L:L,AM:AM,AM844)</f>
      </c>
      <c r="AR844" s="116">
        <f>AQ844-AP844</f>
      </c>
      <c r="AS844" s="94" t="str">
        <f>IF(AN844&gt;=AQ844,"ok","ck")</f>
      </c>
      <c r="AT844" s="116">
        <f>-P844</f>
      </c>
      <c r="AU844" s="115">
        <f>IF(SUMIFS(AT:AT,AM:AM,AM844)&gt;AO844,(SUMIFS(AT:AT,AM:AM,AM844)-AO844))</f>
      </c>
      <c r="AV844" s="116">
        <v>0</v>
      </c>
      <c r="AW844" s="121">
        <v>0</v>
      </c>
      <c r="AX844" s="115">
        <f>AN844-AP844</f>
      </c>
    </row>
    <row r="845" spans="1:50" ht="15" hidden="1" customHeight="1" x14ac:dyDescent="0.3">
      <c r="A845" s="94" t="s">
        <v>268</v>
      </c>
      <c r="B845" s="94"/>
      <c r="C845" s="94"/>
      <c r="D845" s="94"/>
      <c r="E845" s="94"/>
      <c r="F845" s="94"/>
      <c r="G845" s="112">
        <f>AU845</f>
      </c>
      <c r="H845" s="113"/>
      <c r="I845" s="94" t="s">
        <v>390</v>
      </c>
      <c r="J845" s="94" t="s">
        <v>333</v>
      </c>
      <c r="K845" s="114">
        <f>P845/3</f>
      </c>
      <c r="L845" s="115">
        <v>0.47099999999999997</v>
      </c>
      <c r="M845" s="116">
        <f>L845</f>
      </c>
      <c r="N845" s="117">
        <f>M845-L845</f>
      </c>
      <c r="O845" s="112"/>
      <c r="P845" s="118">
        <f>N845+O845</f>
      </c>
      <c r="Q845" s="94" t="s">
        <v>344</v>
      </c>
      <c r="R845" s="94" t="s">
        <v>63</v>
      </c>
      <c r="S845" s="120">
        <v>46320</v>
      </c>
      <c r="T845" s="120"/>
      <c r="U845" s="120">
        <v>46320</v>
      </c>
      <c r="V845" s="94"/>
      <c r="W845" s="94"/>
      <c r="X845" s="94"/>
      <c r="Y845" s="119">
        <v>46320</v>
      </c>
      <c r="Z845" s="94"/>
      <c r="AA845" s="120"/>
      <c r="AB845" s="120"/>
      <c r="AC845" s="120"/>
      <c r="AD845" s="120"/>
      <c r="AE845" s="120"/>
      <c r="AF845" s="120"/>
      <c r="AG845" s="94"/>
      <c r="AH845" s="120"/>
      <c r="AI845" s="94"/>
      <c r="AJ845" s="94" t="s">
        <v>344</v>
      </c>
      <c r="AK845" s="94" t="s">
        <v>334</v>
      </c>
      <c r="AL845" s="94">
        <v>140</v>
      </c>
      <c r="AM845" s="94" t="str">
        <f>TRIM(AJ845)&amp;TRIM(AL845)&amp;TRIM(AK845)</f>
      </c>
      <c r="AN845" s="116">
        <v>198</v>
      </c>
      <c r="AO845" s="116">
        <v>2</v>
      </c>
      <c r="AP845" s="116">
        <f>SUMIFS(M:M,AM:AM,AM845)+SUMIFS(O:O,AM:AM,AM845)</f>
      </c>
      <c r="AQ845" s="116">
        <f>SUMIFS(L:L,AM:AM,AM845)</f>
      </c>
      <c r="AR845" s="116">
        <f>AQ845-AP845</f>
      </c>
      <c r="AS845" s="94" t="str">
        <f>IF(AN845&gt;=AQ845,"ok","ck")</f>
      </c>
      <c r="AT845" s="116">
        <f>-P845</f>
      </c>
      <c r="AU845" s="115">
        <f>IF(SUMIFS(AT:AT,AM:AM,AM845)&gt;AO845,(SUMIFS(AT:AT,AM:AM,AM845)-AO845))</f>
      </c>
      <c r="AV845" s="116">
        <v>198</v>
      </c>
      <c r="AW845" s="121">
        <v>0.99</v>
      </c>
      <c r="AX845" s="115">
        <f>AN845-AP845</f>
      </c>
    </row>
    <row r="846" spans="1:50" ht="15" hidden="1" customHeight="1" x14ac:dyDescent="0.3">
      <c r="A846" s="94" t="s">
        <v>268</v>
      </c>
      <c r="B846" s="94"/>
      <c r="C846" s="94"/>
      <c r="D846" s="94"/>
      <c r="E846" s="94"/>
      <c r="F846" s="94"/>
      <c r="G846" s="112">
        <f>AU846</f>
      </c>
      <c r="H846" s="113"/>
      <c r="I846" s="94" t="s">
        <v>390</v>
      </c>
      <c r="J846" s="94" t="s">
        <v>273</v>
      </c>
      <c r="K846" s="114">
        <f>P846/3</f>
      </c>
      <c r="L846" s="115">
        <v>0.104</v>
      </c>
      <c r="M846" s="116">
        <v>0.104</v>
      </c>
      <c r="N846" s="117">
        <f>M846-L846</f>
      </c>
      <c r="O846" s="112"/>
      <c r="P846" s="118">
        <f>N846+O846</f>
      </c>
      <c r="Q846" s="94" t="s">
        <v>344</v>
      </c>
      <c r="R846" s="94" t="s">
        <v>63</v>
      </c>
      <c r="S846" s="119">
        <v>46320</v>
      </c>
      <c r="T846" s="119"/>
      <c r="U846" s="120">
        <v>46320</v>
      </c>
      <c r="V846" s="94"/>
      <c r="W846" s="94"/>
      <c r="X846" s="94"/>
      <c r="Y846" s="119">
        <v>46320</v>
      </c>
      <c r="Z846" s="94"/>
      <c r="AA846" s="120"/>
      <c r="AB846" s="120"/>
      <c r="AC846" s="120"/>
      <c r="AD846" s="120"/>
      <c r="AE846" s="120"/>
      <c r="AF846" s="120"/>
      <c r="AG846" s="94"/>
      <c r="AH846" s="120"/>
      <c r="AI846" s="94"/>
      <c r="AJ846" s="94" t="s">
        <v>344</v>
      </c>
      <c r="AK846" s="94" t="s">
        <v>274</v>
      </c>
      <c r="AL846" s="94">
        <v>140</v>
      </c>
      <c r="AM846" s="94" t="str">
        <f>TRIM(AJ846)&amp;TRIM(AL846)&amp;TRIM(AK846)</f>
      </c>
      <c r="AN846" s="116">
        <v>176.26</v>
      </c>
      <c r="AO846" s="116">
        <v>23.74</v>
      </c>
      <c r="AP846" s="116">
        <f>SUMIFS(M:M,AM:AM,AM846)+SUMIFS(O:O,AM:AM,AM846)</f>
      </c>
      <c r="AQ846" s="116">
        <f>SUMIFS(L:L,AM:AM,AM846)</f>
      </c>
      <c r="AR846" s="116">
        <f>AQ846-AP846</f>
      </c>
      <c r="AS846" s="94" t="str">
        <f>IF(AN846&gt;=AQ846,"ok","ck")</f>
      </c>
      <c r="AT846" s="116">
        <f>-P846</f>
      </c>
      <c r="AU846" s="115">
        <f>IF(SUMIFS(AT:AT,AM:AM,AM846)&gt;AO846,(SUMIFS(AT:AT,AM:AM,AM846)-AO846))</f>
      </c>
      <c r="AV846" s="116">
        <v>176.26</v>
      </c>
      <c r="AW846" s="121">
        <v>0.881</v>
      </c>
      <c r="AX846" s="115">
        <f>AN846-AP846</f>
      </c>
    </row>
    <row r="847" spans="1:50" ht="15" hidden="1" customHeight="1" x14ac:dyDescent="0.3">
      <c r="A847" s="94" t="s">
        <v>268</v>
      </c>
      <c r="B847" s="94"/>
      <c r="C847" s="94"/>
      <c r="D847" s="94"/>
      <c r="E847" s="94"/>
      <c r="F847" s="94"/>
      <c r="G847" s="112">
        <f>AU847</f>
      </c>
      <c r="H847" s="113"/>
      <c r="I847" s="94" t="s">
        <v>390</v>
      </c>
      <c r="J847" s="94" t="s">
        <v>273</v>
      </c>
      <c r="K847" s="114">
        <f>P847/3</f>
      </c>
      <c r="L847" s="115">
        <v>148.01900000000001</v>
      </c>
      <c r="M847" s="116">
        <v>125.102</v>
      </c>
      <c r="N847" s="117">
        <f>M847-L847</f>
      </c>
      <c r="O847" s="112"/>
      <c r="P847" s="118">
        <f>N847+O847</f>
      </c>
      <c r="Q847" s="94" t="s">
        <v>344</v>
      </c>
      <c r="R847" s="94" t="s">
        <v>63</v>
      </c>
      <c r="S847" s="119">
        <v>46320</v>
      </c>
      <c r="T847" s="119"/>
      <c r="U847" s="120">
        <v>46320</v>
      </c>
      <c r="V847" s="94"/>
      <c r="W847" s="94"/>
      <c r="X847" s="94"/>
      <c r="Y847" s="119">
        <v>46320</v>
      </c>
      <c r="Z847" s="94"/>
      <c r="AA847" s="120"/>
      <c r="AB847" s="120"/>
      <c r="AC847" s="120"/>
      <c r="AD847" s="120"/>
      <c r="AE847" s="120"/>
      <c r="AF847" s="120"/>
      <c r="AG847" s="94"/>
      <c r="AH847" s="120"/>
      <c r="AI847" s="94"/>
      <c r="AJ847" s="94" t="s">
        <v>344</v>
      </c>
      <c r="AK847" s="94" t="s">
        <v>274</v>
      </c>
      <c r="AL847" s="94">
        <v>140</v>
      </c>
      <c r="AM847" s="94" t="str">
        <f>TRIM(AJ847)&amp;TRIM(AL847)&amp;TRIM(AK847)</f>
      </c>
      <c r="AN847" s="116">
        <v>176.26</v>
      </c>
      <c r="AO847" s="116">
        <v>23.74</v>
      </c>
      <c r="AP847" s="116">
        <f>SUMIFS(M:M,AM:AM,AM847)+SUMIFS(O:O,AM:AM,AM847)</f>
      </c>
      <c r="AQ847" s="116">
        <f>SUMIFS(L:L,AM:AM,AM847)</f>
      </c>
      <c r="AR847" s="116">
        <f>AQ847-AP847</f>
      </c>
      <c r="AS847" s="94" t="str">
        <f>IF(AN847&gt;=AQ847,"ok","ck")</f>
      </c>
      <c r="AT847" s="116">
        <f>-P847</f>
      </c>
      <c r="AU847" s="115">
        <f>IF(SUMIFS(AT:AT,AM:AM,AM847)&gt;AO847,(SUMIFS(AT:AT,AM:AM,AM847)-AO847))</f>
      </c>
      <c r="AV847" s="116">
        <v>176.26</v>
      </c>
      <c r="AW847" s="121">
        <v>0.881</v>
      </c>
      <c r="AX847" s="115">
        <f>AN847-AP847</f>
      </c>
    </row>
    <row r="848" spans="1:50" ht="15" hidden="1" customHeight="1" x14ac:dyDescent="0.3">
      <c r="A848" s="94" t="s">
        <v>268</v>
      </c>
      <c r="B848" s="94"/>
      <c r="C848" s="94"/>
      <c r="D848" s="94"/>
      <c r="E848" s="94"/>
      <c r="F848" s="94"/>
      <c r="G848" s="112">
        <f>AU848</f>
      </c>
      <c r="H848" s="113"/>
      <c r="I848" s="94" t="s">
        <v>390</v>
      </c>
      <c r="J848" s="94" t="s">
        <v>273</v>
      </c>
      <c r="K848" s="114">
        <f>P848/3</f>
      </c>
      <c r="L848" s="115">
        <v>0.82299999999999995</v>
      </c>
      <c r="M848" s="116"/>
      <c r="N848" s="117">
        <f>M848-L848</f>
      </c>
      <c r="O848" s="112"/>
      <c r="P848" s="118">
        <f>N848+O848</f>
      </c>
      <c r="Q848" s="94" t="s">
        <v>344</v>
      </c>
      <c r="R848" s="94" t="s">
        <v>63</v>
      </c>
      <c r="S848" s="119">
        <v>46320</v>
      </c>
      <c r="T848" s="119"/>
      <c r="U848" s="120">
        <v>46320</v>
      </c>
      <c r="V848" s="94"/>
      <c r="W848" s="94"/>
      <c r="X848" s="94"/>
      <c r="Y848" s="119">
        <v>46320</v>
      </c>
      <c r="Z848" s="94"/>
      <c r="AA848" s="120"/>
      <c r="AB848" s="120"/>
      <c r="AC848" s="120"/>
      <c r="AD848" s="120"/>
      <c r="AE848" s="120"/>
      <c r="AF848" s="120"/>
      <c r="AG848" s="94"/>
      <c r="AH848" s="120"/>
      <c r="AI848" s="94"/>
      <c r="AJ848" s="94" t="s">
        <v>344</v>
      </c>
      <c r="AK848" s="94" t="s">
        <v>274</v>
      </c>
      <c r="AL848" s="94">
        <v>140</v>
      </c>
      <c r="AM848" s="94" t="str">
        <f>TRIM(AJ848)&amp;TRIM(AL848)&amp;TRIM(AK848)</f>
      </c>
      <c r="AN848" s="116">
        <v>176.26</v>
      </c>
      <c r="AO848" s="116">
        <v>23.74</v>
      </c>
      <c r="AP848" s="116">
        <f>SUMIFS(M:M,AM:AM,AM848)+SUMIFS(O:O,AM:AM,AM848)</f>
      </c>
      <c r="AQ848" s="116">
        <f>SUMIFS(L:L,AM:AM,AM848)</f>
      </c>
      <c r="AR848" s="116">
        <f>AQ848-AP848</f>
      </c>
      <c r="AS848" s="94" t="str">
        <f>IF(AN848&gt;=AQ848,"ok","ck")</f>
      </c>
      <c r="AT848" s="116">
        <f>-P848</f>
      </c>
      <c r="AU848" s="115">
        <f>IF(SUMIFS(AT:AT,AM:AM,AM848)&gt;AO848,(SUMIFS(AT:AT,AM:AM,AM848)-AO848))</f>
      </c>
      <c r="AV848" s="116">
        <v>176.26</v>
      </c>
      <c r="AW848" s="121">
        <v>0.881</v>
      </c>
      <c r="AX848" s="115">
        <f>AN848-AP848</f>
      </c>
    </row>
    <row r="849" spans="1:50" ht="15" hidden="1" customHeight="1" x14ac:dyDescent="0.3">
      <c r="A849" s="94" t="s">
        <v>268</v>
      </c>
      <c r="B849" s="94"/>
      <c r="C849" s="94"/>
      <c r="D849" s="94"/>
      <c r="E849" s="94"/>
      <c r="F849" s="94"/>
      <c r="G849" s="112">
        <f>AU849</f>
      </c>
      <c r="H849" s="113"/>
      <c r="I849" s="94" t="s">
        <v>390</v>
      </c>
      <c r="J849" s="94" t="s">
        <v>324</v>
      </c>
      <c r="K849" s="114">
        <f>P849/3</f>
      </c>
      <c r="L849" s="115">
        <v>1443.5540000000001</v>
      </c>
      <c r="M849" s="116"/>
      <c r="N849" s="117">
        <f>M849-L849</f>
      </c>
      <c r="O849" s="112"/>
      <c r="P849" s="118">
        <f>N849+O849</f>
      </c>
      <c r="Q849" s="94" t="s">
        <v>305</v>
      </c>
      <c r="R849" s="94" t="s">
        <v>63</v>
      </c>
      <c r="S849" s="119">
        <v>46336</v>
      </c>
      <c r="T849" s="119"/>
      <c r="U849" s="120" t="s">
        <v>634</v>
      </c>
      <c r="V849" s="94"/>
      <c r="W849" s="94"/>
      <c r="X849" s="94"/>
      <c r="Y849" s="119">
        <v>46321</v>
      </c>
      <c r="Z849" s="94"/>
      <c r="AA849" s="120"/>
      <c r="AB849" s="120"/>
      <c r="AC849" s="120"/>
      <c r="AD849" s="120"/>
      <c r="AE849" s="120"/>
      <c r="AF849" s="120"/>
      <c r="AG849" s="94"/>
      <c r="AH849" s="120"/>
      <c r="AI849" s="94"/>
      <c r="AJ849" s="94" t="s">
        <v>305</v>
      </c>
      <c r="AK849" s="94" t="s">
        <v>324</v>
      </c>
      <c r="AL849" s="94">
        <v>140</v>
      </c>
      <c r="AM849" s="94" t="str">
        <f>TRIM(AJ849)&amp;TRIM(AL849)&amp;TRIM(AK849)</f>
      </c>
      <c r="AN849" s="116">
        <v>0</v>
      </c>
      <c r="AO849" s="116" t="inlineStr">
        <is>
          <t>#NA</t>
        </is>
      </c>
      <c r="AP849" s="116">
        <f>SUMIFS(M:M,AM:AM,AM849)+SUMIFS(O:O,AM:AM,AM849)</f>
      </c>
      <c r="AQ849" s="116">
        <f>SUMIFS(L:L,AM:AM,AM849)</f>
      </c>
      <c r="AR849" s="116">
        <f>AQ849-AP849</f>
      </c>
      <c r="AS849" s="94" t="str">
        <f>IF(AN849&gt;=AQ849,"ok","ck")</f>
      </c>
      <c r="AT849" s="116">
        <f>-P849</f>
      </c>
      <c r="AU849" s="115">
        <f>IF(SUMIFS(AT:AT,AM:AM,AM849)&gt;AO849,(SUMIFS(AT:AT,AM:AM,AM849)-AO849))</f>
      </c>
      <c r="AV849" s="116">
        <v>0</v>
      </c>
      <c r="AW849" s="121">
        <v>0</v>
      </c>
      <c r="AX849" s="115">
        <f>AN849-AP849</f>
      </c>
    </row>
    <row r="850" spans="1:50" ht="15" hidden="1" customHeight="1" x14ac:dyDescent="0.3">
      <c r="A850" s="94" t="s">
        <v>268</v>
      </c>
      <c r="B850" s="94"/>
      <c r="C850" s="94"/>
      <c r="D850" s="94"/>
      <c r="E850" s="94"/>
      <c r="F850" s="94"/>
      <c r="G850" s="112">
        <f>AU850</f>
      </c>
      <c r="H850" s="113"/>
      <c r="I850" s="94" t="s">
        <v>278</v>
      </c>
      <c r="J850" s="94" t="s">
        <v>293</v>
      </c>
      <c r="K850" s="114">
        <f>P850/3</f>
      </c>
      <c r="L850" s="115">
        <v>3.0000000000000001E-3</v>
      </c>
      <c r="M850" s="116">
        <f>L850</f>
      </c>
      <c r="N850" s="117">
        <f>M850-L850</f>
      </c>
      <c r="O850" s="112"/>
      <c r="P850" s="118">
        <f>N850+O850</f>
      </c>
      <c r="Q850" s="94" t="s">
        <v>344</v>
      </c>
      <c r="R850" s="94" t="s">
        <v>63</v>
      </c>
      <c r="S850" s="119">
        <v>46320</v>
      </c>
      <c r="T850" s="119"/>
      <c r="U850" s="120">
        <v>46320</v>
      </c>
      <c r="V850" s="94"/>
      <c r="W850" s="94"/>
      <c r="X850" s="94"/>
      <c r="Y850" s="119">
        <v>46320</v>
      </c>
      <c r="Z850" s="94"/>
      <c r="AA850" s="120"/>
      <c r="AB850" s="120"/>
      <c r="AC850" s="120"/>
      <c r="AD850" s="120"/>
      <c r="AE850" s="120"/>
      <c r="AF850" s="120"/>
      <c r="AG850" s="94"/>
      <c r="AH850" s="120"/>
      <c r="AI850" s="94"/>
      <c r="AJ850" s="94" t="s">
        <v>344</v>
      </c>
      <c r="AK850" s="94" t="s">
        <v>294</v>
      </c>
      <c r="AL850" s="94">
        <v>120</v>
      </c>
      <c r="AM850" s="94" t="str">
        <f>TRIM(AJ850)&amp;TRIM(AL850)&amp;TRIM(AK850)</f>
      </c>
      <c r="AN850" s="116">
        <v>34.23</v>
      </c>
      <c r="AO850" s="116">
        <v>-4.23</v>
      </c>
      <c r="AP850" s="116">
        <f>SUMIFS(M:M,AM:AM,AM850)+SUMIFS(O:O,AM:AM,AM850)</f>
      </c>
      <c r="AQ850" s="116">
        <f>SUMIFS(L:L,AM:AM,AM850)</f>
      </c>
      <c r="AR850" s="116">
        <f>AQ850-AP850</f>
      </c>
      <c r="AS850" s="94" t="str">
        <f>IF(AN850&gt;=AQ850,"ok","ck")</f>
      </c>
      <c r="AT850" s="116">
        <f>-P850</f>
      </c>
      <c r="AU850" s="115">
        <f>IF(SUMIFS(AT:AT,AM:AM,AM850)&gt;AO850,(SUMIFS(AT:AT,AM:AM,AM850)-AO850))</f>
      </c>
      <c r="AV850" s="116">
        <v>34.23</v>
      </c>
      <c r="AW850" s="121">
        <v>1.141</v>
      </c>
      <c r="AX850" s="115">
        <f>AN850-AP850</f>
      </c>
    </row>
    <row r="851" spans="1:50" ht="15" hidden="1" customHeight="1" x14ac:dyDescent="0.3">
      <c r="A851" s="94" t="s">
        <v>268</v>
      </c>
      <c r="B851" s="94"/>
      <c r="C851" s="94"/>
      <c r="D851" s="94"/>
      <c r="E851" s="94"/>
      <c r="F851" s="94"/>
      <c r="G851" s="112">
        <f>AU851</f>
      </c>
      <c r="H851" s="113"/>
      <c r="I851" s="94" t="s">
        <v>278</v>
      </c>
      <c r="J851" s="94" t="s">
        <v>293</v>
      </c>
      <c r="K851" s="114">
        <f>P851/3</f>
      </c>
      <c r="L851" s="115">
        <v>0.17199999999999999</v>
      </c>
      <c r="M851" s="116">
        <f>L851</f>
      </c>
      <c r="N851" s="117">
        <f>M851-L851</f>
      </c>
      <c r="O851" s="112"/>
      <c r="P851" s="118">
        <f>N851+O851</f>
      </c>
      <c r="Q851" s="94" t="s">
        <v>344</v>
      </c>
      <c r="R851" s="94" t="s">
        <v>63</v>
      </c>
      <c r="S851" s="119">
        <v>46320</v>
      </c>
      <c r="T851" s="119"/>
      <c r="U851" s="120">
        <v>46320</v>
      </c>
      <c r="V851" s="94"/>
      <c r="W851" s="94"/>
      <c r="X851" s="94"/>
      <c r="Y851" s="119">
        <v>46320</v>
      </c>
      <c r="Z851" s="94"/>
      <c r="AA851" s="120"/>
      <c r="AB851" s="120"/>
      <c r="AC851" s="120"/>
      <c r="AD851" s="120"/>
      <c r="AE851" s="120"/>
      <c r="AF851" s="120"/>
      <c r="AG851" s="94"/>
      <c r="AH851" s="120"/>
      <c r="AI851" s="94"/>
      <c r="AJ851" s="94" t="s">
        <v>344</v>
      </c>
      <c r="AK851" s="94" t="s">
        <v>294</v>
      </c>
      <c r="AL851" s="94">
        <v>120</v>
      </c>
      <c r="AM851" s="94" t="str">
        <f>TRIM(AJ851)&amp;TRIM(AL851)&amp;TRIM(AK851)</f>
      </c>
      <c r="AN851" s="116">
        <v>34.23</v>
      </c>
      <c r="AO851" s="116">
        <v>-4.23</v>
      </c>
      <c r="AP851" s="116">
        <f>SUMIFS(M:M,AM:AM,AM851)+SUMIFS(O:O,AM:AM,AM851)</f>
      </c>
      <c r="AQ851" s="116">
        <f>SUMIFS(L:L,AM:AM,AM851)</f>
      </c>
      <c r="AR851" s="116">
        <f>AQ851-AP851</f>
      </c>
      <c r="AS851" s="94" t="str">
        <f>IF(AN851&gt;=AQ851,"ok","ck")</f>
      </c>
      <c r="AT851" s="116">
        <f>-P851</f>
      </c>
      <c r="AU851" s="115">
        <f>IF(SUMIFS(AT:AT,AM:AM,AM851)&gt;AO851,(SUMIFS(AT:AT,AM:AM,AM851)-AO851))</f>
      </c>
      <c r="AV851" s="116">
        <v>34.23</v>
      </c>
      <c r="AW851" s="121">
        <v>1.141</v>
      </c>
      <c r="AX851" s="115">
        <f>AN851-AP851</f>
      </c>
    </row>
    <row r="852" spans="1:50" ht="15" customHeight="1" x14ac:dyDescent="0.3">
      <c r="A852" s="94" t="s">
        <v>862</v>
      </c>
      <c r="B852" s="94"/>
      <c r="C852" s="94"/>
      <c r="D852" s="94"/>
      <c r="E852" s="94"/>
      <c r="F852" s="94"/>
      <c r="G852" s="112">
        <f>AU852</f>
      </c>
      <c r="H852" s="113"/>
      <c r="I852" s="94" t="s">
        <v>390</v>
      </c>
      <c r="J852" s="94" t="s">
        <v>267</v>
      </c>
      <c r="K852" s="114">
        <f>P852/3</f>
      </c>
      <c r="L852" s="115">
        <v>2299.143</v>
      </c>
      <c r="M852" s="116"/>
      <c r="N852" s="117">
        <f>M852-L852</f>
      </c>
      <c r="O852" s="112"/>
      <c r="P852" s="118">
        <f>N852+O852</f>
      </c>
      <c r="Q852" s="94"/>
      <c r="R852" s="94" t="s">
        <v>63</v>
      </c>
      <c r="S852" s="119">
        <v>46337</v>
      </c>
      <c r="T852" s="119"/>
      <c r="U852" s="119" t="s">
        <v>631</v>
      </c>
      <c r="V852" s="94"/>
      <c r="W852" s="94"/>
      <c r="X852" s="94"/>
      <c r="Y852" s="119">
        <v>46343</v>
      </c>
      <c r="Z852" s="94"/>
      <c r="AA852" s="120"/>
      <c r="AB852" s="120"/>
      <c r="AC852" s="120"/>
      <c r="AD852" s="120"/>
      <c r="AE852" s="120"/>
      <c r="AF852" s="120"/>
      <c r="AG852" s="94"/>
      <c r="AH852" s="120"/>
      <c r="AI852" s="94"/>
      <c r="AJ852" s="94"/>
      <c r="AK852" s="94"/>
      <c r="AL852" s="94">
        <v>140</v>
      </c>
      <c r="AM852" s="94" t="str">
        <f>TRIM(AJ852)&amp;TRIM(AL852)&amp;TRIM(AK852)</f>
      </c>
      <c r="AN852" s="116">
        <v>0</v>
      </c>
      <c r="AO852" s="116" t="inlineStr">
        <is>
          <t>#NA</t>
        </is>
      </c>
      <c r="AP852" s="116">
        <f>SUMIFS(M:M,AM:AM,AM852)+SUMIFS(O:O,AM:AM,AM852)</f>
      </c>
      <c r="AQ852" s="116">
        <f>SUMIFS(L:L,AM:AM,AM852)</f>
      </c>
      <c r="AR852" s="116">
        <f>AQ852-AP852</f>
      </c>
      <c r="AS852" s="94" t="str">
        <f>IF(AN852&gt;=AQ852,"ok","ck")</f>
      </c>
      <c r="AT852" s="116">
        <f>-P852</f>
      </c>
      <c r="AU852" s="115">
        <f>IF(SUMIFS(AT:AT,AM:AM,AM852)&gt;AO852,(SUMIFS(AT:AT,AM:AM,AM852)-AO852))</f>
      </c>
      <c r="AV852" s="116" t="e">
        <v>#N/A</v>
      </c>
      <c r="AW852" s="121" t="e">
        <v>#N/A</v>
      </c>
      <c r="AX852" s="115">
        <f>AN852-AP852</f>
      </c>
    </row>
    <row r="853" spans="1:50" ht="15" hidden="1" customHeight="1" x14ac:dyDescent="0.3">
      <c r="A853" s="94" t="s">
        <v>480</v>
      </c>
      <c r="B853" s="94"/>
      <c r="C853" s="94"/>
      <c r="D853" s="94"/>
      <c r="E853" s="94"/>
      <c r="F853" s="94"/>
      <c r="G853" s="112">
        <f>AU853</f>
      </c>
      <c r="H853" s="113"/>
      <c r="I853" s="94" t="s">
        <v>486</v>
      </c>
      <c r="J853" s="94" t="s">
        <v>515</v>
      </c>
      <c r="K853" s="114">
        <f>P853/3</f>
      </c>
      <c r="L853" s="115">
        <v>0.57899999999999996</v>
      </c>
      <c r="M853" s="116">
        <f>L853</f>
      </c>
      <c r="N853" s="117">
        <f>M853-L853</f>
      </c>
      <c r="O853" s="112"/>
      <c r="P853" s="118">
        <f>N853+O853</f>
      </c>
      <c r="Q853" s="94" t="s">
        <v>782</v>
      </c>
      <c r="R853" s="94" t="s">
        <v>63</v>
      </c>
      <c r="S853" s="119">
        <v>46332</v>
      </c>
      <c r="T853" s="119"/>
      <c r="U853" s="119">
        <v>46332</v>
      </c>
      <c r="V853" s="94"/>
      <c r="W853" s="94"/>
      <c r="X853" s="94"/>
      <c r="Y853" s="119">
        <v>46338</v>
      </c>
      <c r="Z853" s="94"/>
      <c r="AA853" s="120"/>
      <c r="AB853" s="120"/>
      <c r="AC853" s="120"/>
      <c r="AD853" s="120"/>
      <c r="AE853" s="120"/>
      <c r="AF853" s="120"/>
      <c r="AG853" s="94"/>
      <c r="AH853" s="120"/>
      <c r="AI853" s="94"/>
      <c r="AJ853" s="94" t="s">
        <v>782</v>
      </c>
      <c r="AK853" s="94" t="s">
        <v>71</v>
      </c>
      <c r="AL853" s="94">
        <v>165</v>
      </c>
      <c r="AM853" s="94" t="str">
        <f>TRIM(AJ853)&amp;TRIM(AL853)&amp;TRIM(AK853)</f>
      </c>
      <c r="AN853" s="116">
        <v>70.59</v>
      </c>
      <c r="AO853" s="116">
        <v>-4.59</v>
      </c>
      <c r="AP853" s="116">
        <f>SUMIFS(M:M,AM:AM,AM853)+SUMIFS(O:O,AM:AM,AM853)</f>
      </c>
      <c r="AQ853" s="116">
        <f>SUMIFS(L:L,AM:AM,AM853)</f>
      </c>
      <c r="AR853" s="116">
        <f>AQ853-AP853</f>
      </c>
      <c r="AS853" s="94" t="str">
        <f>IF(AN853&gt;=AQ853,"ok","ck")</f>
      </c>
      <c r="AT853" s="116">
        <f>-P853</f>
      </c>
      <c r="AU853" s="115">
        <f>IF(SUMIFS(AT:AT,AM:AM,AM853)&gt;AO853,(SUMIFS(AT:AT,AM:AM,AM853)-AO853))</f>
      </c>
      <c r="AV853" s="116">
        <v>70.59</v>
      </c>
      <c r="AW853" s="121">
        <v>1.07</v>
      </c>
      <c r="AX853" s="115">
        <f>AN853-AP853</f>
      </c>
    </row>
    <row r="854" spans="1:50" ht="15" hidden="1" customHeight="1" x14ac:dyDescent="0.3">
      <c r="A854" s="94" t="s">
        <v>480</v>
      </c>
      <c r="B854" s="94"/>
      <c r="C854" s="94"/>
      <c r="D854" s="94"/>
      <c r="E854" s="94"/>
      <c r="F854" s="94"/>
      <c r="G854" s="112">
        <f>AU854</f>
      </c>
      <c r="H854" s="113"/>
      <c r="I854" s="94" t="s">
        <v>486</v>
      </c>
      <c r="J854" s="94" t="s">
        <v>515</v>
      </c>
      <c r="K854" s="114">
        <f>P854/3</f>
      </c>
      <c r="L854" s="115">
        <v>0.13300000000000001</v>
      </c>
      <c r="M854" s="116">
        <f>L854</f>
      </c>
      <c r="N854" s="117">
        <f>M854-L854</f>
      </c>
      <c r="O854" s="112"/>
      <c r="P854" s="118">
        <f>N854+O854</f>
      </c>
      <c r="Q854" s="94" t="s">
        <v>782</v>
      </c>
      <c r="R854" s="94" t="s">
        <v>63</v>
      </c>
      <c r="S854" s="119">
        <v>46332</v>
      </c>
      <c r="T854" s="119"/>
      <c r="U854" s="120">
        <v>46332</v>
      </c>
      <c r="V854" s="94"/>
      <c r="W854" s="94"/>
      <c r="X854" s="94"/>
      <c r="Y854" s="119">
        <v>46338</v>
      </c>
      <c r="Z854" s="94"/>
      <c r="AA854" s="120"/>
      <c r="AB854" s="120"/>
      <c r="AC854" s="120"/>
      <c r="AD854" s="120"/>
      <c r="AE854" s="120"/>
      <c r="AF854" s="120"/>
      <c r="AG854" s="94"/>
      <c r="AH854" s="120"/>
      <c r="AI854" s="94"/>
      <c r="AJ854" s="94" t="s">
        <v>782</v>
      </c>
      <c r="AK854" s="94" t="s">
        <v>71</v>
      </c>
      <c r="AL854" s="94">
        <v>165</v>
      </c>
      <c r="AM854" s="94" t="str">
        <f>TRIM(AJ854)&amp;TRIM(AL854)&amp;TRIM(AK854)</f>
      </c>
      <c r="AN854" s="116">
        <v>70.59</v>
      </c>
      <c r="AO854" s="116">
        <v>-4.59</v>
      </c>
      <c r="AP854" s="116">
        <f>SUMIFS(M:M,AM:AM,AM854)+SUMIFS(O:O,AM:AM,AM854)</f>
      </c>
      <c r="AQ854" s="116">
        <f>SUMIFS(L:L,AM:AM,AM854)</f>
      </c>
      <c r="AR854" s="116">
        <f>AQ854-AP854</f>
      </c>
      <c r="AS854" s="94" t="str">
        <f>IF(AN854&gt;=AQ854,"ok","ck")</f>
      </c>
      <c r="AT854" s="116">
        <f>-P854</f>
      </c>
      <c r="AU854" s="115">
        <f>IF(SUMIFS(AT:AT,AM:AM,AM854)&gt;AO854,(SUMIFS(AT:AT,AM:AM,AM854)-AO854))</f>
      </c>
      <c r="AV854" s="116">
        <v>70.59</v>
      </c>
      <c r="AW854" s="121">
        <v>1.07</v>
      </c>
      <c r="AX854" s="115">
        <f>AN854-AP854</f>
      </c>
    </row>
    <row r="855" spans="1:50" ht="15" hidden="1" customHeight="1" x14ac:dyDescent="0.3">
      <c r="A855" s="94" t="s">
        <v>480</v>
      </c>
      <c r="B855" s="94"/>
      <c r="C855" s="94"/>
      <c r="D855" s="94"/>
      <c r="E855" s="94"/>
      <c r="F855" s="94"/>
      <c r="G855" s="112">
        <f>AU855</f>
      </c>
      <c r="H855" s="113"/>
      <c r="I855" s="94" t="s">
        <v>486</v>
      </c>
      <c r="J855" s="94" t="s">
        <v>515</v>
      </c>
      <c r="K855" s="114">
        <f>P855/3</f>
      </c>
      <c r="L855" s="115">
        <v>0.86099999999999999</v>
      </c>
      <c r="M855" s="116">
        <f>L855</f>
      </c>
      <c r="N855" s="117">
        <f>M855-L855</f>
      </c>
      <c r="O855" s="112"/>
      <c r="P855" s="118">
        <f>N855+O855</f>
      </c>
      <c r="Q855" s="94" t="s">
        <v>782</v>
      </c>
      <c r="R855" s="94" t="s">
        <v>63</v>
      </c>
      <c r="S855" s="119">
        <v>46332</v>
      </c>
      <c r="T855" s="119"/>
      <c r="U855" s="120">
        <v>46332</v>
      </c>
      <c r="V855" s="94"/>
      <c r="W855" s="94"/>
      <c r="X855" s="94"/>
      <c r="Y855" s="119">
        <v>46330</v>
      </c>
      <c r="Z855" s="94"/>
      <c r="AA855" s="120"/>
      <c r="AB855" s="120"/>
      <c r="AC855" s="120"/>
      <c r="AD855" s="120"/>
      <c r="AE855" s="120"/>
      <c r="AF855" s="120"/>
      <c r="AG855" s="94"/>
      <c r="AH855" s="120"/>
      <c r="AI855" s="94"/>
      <c r="AJ855" s="94" t="s">
        <v>782</v>
      </c>
      <c r="AK855" s="94" t="s">
        <v>71</v>
      </c>
      <c r="AL855" s="94">
        <v>165</v>
      </c>
      <c r="AM855" s="94" t="str">
        <f>TRIM(AJ855)&amp;TRIM(AL855)&amp;TRIM(AK855)</f>
      </c>
      <c r="AN855" s="116">
        <v>70.59</v>
      </c>
      <c r="AO855" s="116">
        <v>-4.59</v>
      </c>
      <c r="AP855" s="116">
        <f>SUMIFS(M:M,AM:AM,AM855)+SUMIFS(O:O,AM:AM,AM855)</f>
      </c>
      <c r="AQ855" s="116">
        <f>SUMIFS(L:L,AM:AM,AM855)</f>
      </c>
      <c r="AR855" s="116">
        <f>AQ855-AP855</f>
      </c>
      <c r="AS855" s="94" t="str">
        <f>IF(AN855&gt;=AQ855,"ok","ck")</f>
      </c>
      <c r="AT855" s="116">
        <f>-P855</f>
      </c>
      <c r="AU855" s="115">
        <f>IF(SUMIFS(AT:AT,AM:AM,AM855)&gt;AO855,(SUMIFS(AT:AT,AM:AM,AM855)-AO855))</f>
      </c>
      <c r="AV855" s="116">
        <v>70.59</v>
      </c>
      <c r="AW855" s="121">
        <v>1.07</v>
      </c>
      <c r="AX855" s="115">
        <f>AN855-AP855</f>
      </c>
    </row>
    <row r="856" spans="1:50" ht="15" hidden="1" customHeight="1" x14ac:dyDescent="0.3">
      <c r="A856" s="94" t="s">
        <v>480</v>
      </c>
      <c r="B856" s="94"/>
      <c r="C856" s="94"/>
      <c r="D856" s="94"/>
      <c r="E856" s="94"/>
      <c r="F856" s="94"/>
      <c r="G856" s="112">
        <f>AU856</f>
      </c>
      <c r="H856" s="113"/>
      <c r="I856" s="94" t="s">
        <v>486</v>
      </c>
      <c r="J856" s="94" t="s">
        <v>515</v>
      </c>
      <c r="K856" s="114">
        <f>P856/3</f>
      </c>
      <c r="L856" s="115">
        <v>0.14799999999999999</v>
      </c>
      <c r="M856" s="116">
        <f>L856</f>
      </c>
      <c r="N856" s="117">
        <f>M856-L856</f>
      </c>
      <c r="O856" s="112"/>
      <c r="P856" s="118">
        <f>N856+O856</f>
      </c>
      <c r="Q856" s="94" t="s">
        <v>782</v>
      </c>
      <c r="R856" s="94" t="s">
        <v>63</v>
      </c>
      <c r="S856" s="119">
        <v>46332</v>
      </c>
      <c r="T856" s="119"/>
      <c r="U856" s="120">
        <v>46332</v>
      </c>
      <c r="V856" s="94"/>
      <c r="W856" s="94"/>
      <c r="X856" s="94"/>
      <c r="Y856" s="119">
        <v>46330</v>
      </c>
      <c r="Z856" s="94"/>
      <c r="AA856" s="120"/>
      <c r="AB856" s="120"/>
      <c r="AC856" s="120"/>
      <c r="AD856" s="120"/>
      <c r="AE856" s="120"/>
      <c r="AF856" s="120"/>
      <c r="AG856" s="94"/>
      <c r="AH856" s="120"/>
      <c r="AI856" s="94"/>
      <c r="AJ856" s="94" t="s">
        <v>782</v>
      </c>
      <c r="AK856" s="94" t="s">
        <v>71</v>
      </c>
      <c r="AL856" s="94">
        <v>165</v>
      </c>
      <c r="AM856" s="94" t="str">
        <f>TRIM(AJ856)&amp;TRIM(AL856)&amp;TRIM(AK856)</f>
      </c>
      <c r="AN856" s="116">
        <v>70.59</v>
      </c>
      <c r="AO856" s="116">
        <v>-4.59</v>
      </c>
      <c r="AP856" s="116">
        <f>SUMIFS(M:M,AM:AM,AM856)+SUMIFS(O:O,AM:AM,AM856)</f>
      </c>
      <c r="AQ856" s="116">
        <f>SUMIFS(L:L,AM:AM,AM856)</f>
      </c>
      <c r="AR856" s="116">
        <f>AQ856-AP856</f>
      </c>
      <c r="AS856" s="94" t="str">
        <f>IF(AN856&gt;=AQ856,"ok","ck")</f>
      </c>
      <c r="AT856" s="116">
        <f>-P856</f>
      </c>
      <c r="AU856" s="115">
        <f>IF(SUMIFS(AT:AT,AM:AM,AM856)&gt;AO856,(SUMIFS(AT:AT,AM:AM,AM856)-AO856))</f>
      </c>
      <c r="AV856" s="116">
        <v>70.59</v>
      </c>
      <c r="AW856" s="121">
        <v>1.07</v>
      </c>
      <c r="AX856" s="115">
        <f>AN856-AP856</f>
      </c>
    </row>
    <row r="857" spans="1:50" ht="15" hidden="1" customHeight="1" x14ac:dyDescent="0.3">
      <c r="A857" s="94" t="s">
        <v>480</v>
      </c>
      <c r="B857" s="94"/>
      <c r="C857" s="94"/>
      <c r="D857" s="94"/>
      <c r="E857" s="94"/>
      <c r="F857" s="94"/>
      <c r="G857" s="112">
        <f>AU857</f>
      </c>
      <c r="H857" s="113"/>
      <c r="I857" s="94" t="s">
        <v>486</v>
      </c>
      <c r="J857" s="94" t="s">
        <v>515</v>
      </c>
      <c r="K857" s="114">
        <f>P857/3</f>
      </c>
      <c r="L857" s="115">
        <v>0.28100000000000003</v>
      </c>
      <c r="M857" s="116">
        <f>L857</f>
      </c>
      <c r="N857" s="117">
        <f>M857-L857</f>
      </c>
      <c r="O857" s="112"/>
      <c r="P857" s="118">
        <f>N857+O857</f>
      </c>
      <c r="Q857" s="94" t="s">
        <v>782</v>
      </c>
      <c r="R857" s="94" t="s">
        <v>63</v>
      </c>
      <c r="S857" s="119">
        <v>46332</v>
      </c>
      <c r="T857" s="119"/>
      <c r="U857" s="120">
        <v>46332</v>
      </c>
      <c r="V857" s="94"/>
      <c r="W857" s="94"/>
      <c r="X857" s="94"/>
      <c r="Y857" s="119">
        <v>46330</v>
      </c>
      <c r="Z857" s="94"/>
      <c r="AA857" s="120"/>
      <c r="AB857" s="120"/>
      <c r="AC857" s="120"/>
      <c r="AD857" s="120"/>
      <c r="AE857" s="120"/>
      <c r="AF857" s="120"/>
      <c r="AG857" s="94"/>
      <c r="AH857" s="120"/>
      <c r="AI857" s="94"/>
      <c r="AJ857" s="94" t="s">
        <v>782</v>
      </c>
      <c r="AK857" s="94" t="s">
        <v>71</v>
      </c>
      <c r="AL857" s="94">
        <v>165</v>
      </c>
      <c r="AM857" s="94" t="str">
        <f>TRIM(AJ857)&amp;TRIM(AL857)&amp;TRIM(AK857)</f>
      </c>
      <c r="AN857" s="116">
        <v>70.59</v>
      </c>
      <c r="AO857" s="116">
        <v>-4.59</v>
      </c>
      <c r="AP857" s="116">
        <f>SUMIFS(M:M,AM:AM,AM857)+SUMIFS(O:O,AM:AM,AM857)</f>
      </c>
      <c r="AQ857" s="116">
        <f>SUMIFS(L:L,AM:AM,AM857)</f>
      </c>
      <c r="AR857" s="116">
        <f>AQ857-AP857</f>
      </c>
      <c r="AS857" s="94" t="str">
        <f>IF(AN857&gt;=AQ857,"ok","ck")</f>
      </c>
      <c r="AT857" s="116">
        <f>-P857</f>
      </c>
      <c r="AU857" s="115">
        <f>IF(SUMIFS(AT:AT,AM:AM,AM857)&gt;AO857,(SUMIFS(AT:AT,AM:AM,AM857)-AO857))</f>
      </c>
      <c r="AV857" s="116">
        <v>70.59</v>
      </c>
      <c r="AW857" s="121">
        <v>1.07</v>
      </c>
      <c r="AX857" s="115">
        <f>AN857-AP857</f>
      </c>
    </row>
    <row r="858" spans="1:50" ht="15" hidden="1" customHeight="1" x14ac:dyDescent="0.3">
      <c r="A858" s="94" t="s">
        <v>480</v>
      </c>
      <c r="B858" s="94"/>
      <c r="C858" s="94"/>
      <c r="D858" s="94"/>
      <c r="E858" s="94"/>
      <c r="F858" s="94"/>
      <c r="G858" s="112">
        <f>AU858</f>
      </c>
      <c r="H858" s="113"/>
      <c r="I858" s="94" t="s">
        <v>486</v>
      </c>
      <c r="J858" s="94" t="s">
        <v>515</v>
      </c>
      <c r="K858" s="114">
        <f>P858/3</f>
      </c>
      <c r="L858" s="115">
        <v>0.114</v>
      </c>
      <c r="M858" s="116">
        <f>L858</f>
      </c>
      <c r="N858" s="117">
        <f>M858-L858</f>
      </c>
      <c r="O858" s="112"/>
      <c r="P858" s="118">
        <f>N858+O858</f>
      </c>
      <c r="Q858" s="94" t="s">
        <v>782</v>
      </c>
      <c r="R858" s="94" t="s">
        <v>63</v>
      </c>
      <c r="S858" s="119">
        <v>46332</v>
      </c>
      <c r="T858" s="119"/>
      <c r="U858" s="120">
        <v>46332</v>
      </c>
      <c r="V858" s="94"/>
      <c r="W858" s="94"/>
      <c r="X858" s="94"/>
      <c r="Y858" s="119">
        <v>46330</v>
      </c>
      <c r="Z858" s="94"/>
      <c r="AA858" s="120"/>
      <c r="AB858" s="120"/>
      <c r="AC858" s="120"/>
      <c r="AD858" s="120"/>
      <c r="AE858" s="120"/>
      <c r="AF858" s="120"/>
      <c r="AG858" s="94"/>
      <c r="AH858" s="120"/>
      <c r="AI858" s="94"/>
      <c r="AJ858" s="94" t="s">
        <v>782</v>
      </c>
      <c r="AK858" s="94" t="s">
        <v>71</v>
      </c>
      <c r="AL858" s="94">
        <v>165</v>
      </c>
      <c r="AM858" s="94" t="str">
        <f>TRIM(AJ858)&amp;TRIM(AL858)&amp;TRIM(AK858)</f>
      </c>
      <c r="AN858" s="116">
        <v>70.59</v>
      </c>
      <c r="AO858" s="116">
        <v>-4.59</v>
      </c>
      <c r="AP858" s="116">
        <f>SUMIFS(M:M,AM:AM,AM858)+SUMIFS(O:O,AM:AM,AM858)</f>
      </c>
      <c r="AQ858" s="116">
        <f>SUMIFS(L:L,AM:AM,AM858)</f>
      </c>
      <c r="AR858" s="116">
        <f>AQ858-AP858</f>
      </c>
      <c r="AS858" s="94" t="str">
        <f>IF(AN858&gt;=AQ858,"ok","ck")</f>
      </c>
      <c r="AT858" s="116">
        <f>-P858</f>
      </c>
      <c r="AU858" s="115">
        <f>IF(SUMIFS(AT:AT,AM:AM,AM858)&gt;AO858,(SUMIFS(AT:AT,AM:AM,AM858)-AO858))</f>
      </c>
      <c r="AV858" s="116">
        <v>70.59</v>
      </c>
      <c r="AW858" s="121">
        <v>1.07</v>
      </c>
      <c r="AX858" s="115">
        <f>AN858-AP858</f>
      </c>
    </row>
    <row r="859" spans="1:50" ht="15" hidden="1" customHeight="1" x14ac:dyDescent="0.3">
      <c r="A859" s="94" t="s">
        <v>480</v>
      </c>
      <c r="B859" s="94"/>
      <c r="C859" s="94"/>
      <c r="D859" s="94"/>
      <c r="E859" s="94"/>
      <c r="F859" s="94"/>
      <c r="G859" s="112">
        <f>AU859</f>
      </c>
      <c r="H859" s="113"/>
      <c r="I859" s="94" t="s">
        <v>486</v>
      </c>
      <c r="J859" s="94" t="s">
        <v>515</v>
      </c>
      <c r="K859" s="114">
        <f>P859/3</f>
      </c>
      <c r="L859" s="115">
        <v>0.47499999999999998</v>
      </c>
      <c r="M859" s="116">
        <f>L859</f>
      </c>
      <c r="N859" s="117">
        <f>M859-L859</f>
      </c>
      <c r="O859" s="112"/>
      <c r="P859" s="118">
        <f>N859+O859</f>
      </c>
      <c r="Q859" s="94" t="s">
        <v>782</v>
      </c>
      <c r="R859" s="94" t="s">
        <v>63</v>
      </c>
      <c r="S859" s="119">
        <v>46332</v>
      </c>
      <c r="T859" s="119"/>
      <c r="U859" s="120">
        <v>46332</v>
      </c>
      <c r="V859" s="94"/>
      <c r="W859" s="94"/>
      <c r="X859" s="94"/>
      <c r="Y859" s="119">
        <v>46338</v>
      </c>
      <c r="Z859" s="94"/>
      <c r="AA859" s="120"/>
      <c r="AB859" s="120"/>
      <c r="AC859" s="120"/>
      <c r="AD859" s="120"/>
      <c r="AE859" s="120"/>
      <c r="AF859" s="120"/>
      <c r="AG859" s="94"/>
      <c r="AH859" s="120"/>
      <c r="AI859" s="94"/>
      <c r="AJ859" s="94" t="s">
        <v>782</v>
      </c>
      <c r="AK859" s="94" t="s">
        <v>71</v>
      </c>
      <c r="AL859" s="94">
        <v>165</v>
      </c>
      <c r="AM859" s="94" t="str">
        <f>TRIM(AJ859)&amp;TRIM(AL859)&amp;TRIM(AK859)</f>
      </c>
      <c r="AN859" s="116">
        <v>70.59</v>
      </c>
      <c r="AO859" s="116">
        <v>-4.59</v>
      </c>
      <c r="AP859" s="116">
        <f>SUMIFS(M:M,AM:AM,AM859)+SUMIFS(O:O,AM:AM,AM859)</f>
      </c>
      <c r="AQ859" s="116">
        <f>SUMIFS(L:L,AM:AM,AM859)</f>
      </c>
      <c r="AR859" s="116">
        <f>AQ859-AP859</f>
      </c>
      <c r="AS859" s="94" t="str">
        <f>IF(AN859&gt;=AQ859,"ok","ck")</f>
      </c>
      <c r="AT859" s="116">
        <f>-P859</f>
      </c>
      <c r="AU859" s="115">
        <f>IF(SUMIFS(AT:AT,AM:AM,AM859)&gt;AO859,(SUMIFS(AT:AT,AM:AM,AM859)-AO859))</f>
      </c>
      <c r="AV859" s="116">
        <v>70.59</v>
      </c>
      <c r="AW859" s="121">
        <v>1.07</v>
      </c>
      <c r="AX859" s="115">
        <f>AN859-AP859</f>
      </c>
    </row>
    <row r="860" spans="1:50" ht="15" hidden="1" customHeight="1" x14ac:dyDescent="0.3">
      <c r="A860" s="94" t="s">
        <v>480</v>
      </c>
      <c r="B860" s="94"/>
      <c r="C860" s="94"/>
      <c r="D860" s="94"/>
      <c r="E860" s="94"/>
      <c r="F860" s="94"/>
      <c r="G860" s="112">
        <f>AU860</f>
      </c>
      <c r="H860" s="113"/>
      <c r="I860" s="94" t="s">
        <v>486</v>
      </c>
      <c r="J860" s="94" t="s">
        <v>515</v>
      </c>
      <c r="K860" s="114">
        <f>P860/3</f>
      </c>
      <c r="L860" s="115">
        <v>8.5999999999999993E-2</v>
      </c>
      <c r="M860" s="116">
        <f>L860</f>
      </c>
      <c r="N860" s="117">
        <f>M860-L860</f>
      </c>
      <c r="O860" s="112"/>
      <c r="P860" s="118">
        <f>N860+O860</f>
      </c>
      <c r="Q860" s="94" t="s">
        <v>782</v>
      </c>
      <c r="R860" s="94" t="s">
        <v>63</v>
      </c>
      <c r="S860" s="119">
        <v>46332</v>
      </c>
      <c r="T860" s="119"/>
      <c r="U860" s="120">
        <v>46332</v>
      </c>
      <c r="V860" s="94"/>
      <c r="W860" s="94"/>
      <c r="X860" s="94"/>
      <c r="Y860" s="119">
        <v>46338</v>
      </c>
      <c r="Z860" s="94"/>
      <c r="AA860" s="120"/>
      <c r="AB860" s="120"/>
      <c r="AC860" s="120"/>
      <c r="AD860" s="120"/>
      <c r="AE860" s="120"/>
      <c r="AF860" s="120"/>
      <c r="AG860" s="94"/>
      <c r="AH860" s="120"/>
      <c r="AI860" s="94"/>
      <c r="AJ860" s="94" t="s">
        <v>782</v>
      </c>
      <c r="AK860" s="94" t="s">
        <v>71</v>
      </c>
      <c r="AL860" s="94">
        <v>165</v>
      </c>
      <c r="AM860" s="94" t="str">
        <f>TRIM(AJ860)&amp;TRIM(AL860)&amp;TRIM(AK860)</f>
      </c>
      <c r="AN860" s="116">
        <v>70.59</v>
      </c>
      <c r="AO860" s="116">
        <v>-4.59</v>
      </c>
      <c r="AP860" s="116">
        <f>SUMIFS(M:M,AM:AM,AM860)+SUMIFS(O:O,AM:AM,AM860)</f>
      </c>
      <c r="AQ860" s="116">
        <f>SUMIFS(L:L,AM:AM,AM860)</f>
      </c>
      <c r="AR860" s="116">
        <f>AQ860-AP860</f>
      </c>
      <c r="AS860" s="94" t="str">
        <f>IF(AN860&gt;=AQ860,"ok","ck")</f>
      </c>
      <c r="AT860" s="116">
        <f>-P860</f>
      </c>
      <c r="AU860" s="115">
        <f>IF(SUMIFS(AT:AT,AM:AM,AM860)&gt;AO860,(SUMIFS(AT:AT,AM:AM,AM860)-AO860))</f>
      </c>
      <c r="AV860" s="116">
        <v>70.59</v>
      </c>
      <c r="AW860" s="121">
        <v>1.07</v>
      </c>
      <c r="AX860" s="115">
        <f>AN860-AP860</f>
      </c>
    </row>
    <row r="861" spans="1:50" ht="15" hidden="1" customHeight="1" x14ac:dyDescent="0.3">
      <c r="A861" s="94" t="s">
        <v>480</v>
      </c>
      <c r="B861" s="94"/>
      <c r="C861" s="94"/>
      <c r="D861" s="94"/>
      <c r="E861" s="94"/>
      <c r="F861" s="94"/>
      <c r="G861" s="112">
        <f>AU861</f>
      </c>
      <c r="H861" s="113"/>
      <c r="I861" s="94" t="s">
        <v>486</v>
      </c>
      <c r="J861" s="94" t="s">
        <v>515</v>
      </c>
      <c r="K861" s="114">
        <f>P861/3</f>
      </c>
      <c r="L861" s="115">
        <v>5.7160000000000002</v>
      </c>
      <c r="M861" s="116">
        <f>L861</f>
      </c>
      <c r="N861" s="117">
        <f>M861-L861</f>
      </c>
      <c r="O861" s="112"/>
      <c r="P861" s="118">
        <f>N861+O861</f>
      </c>
      <c r="Q861" s="94" t="s">
        <v>782</v>
      </c>
      <c r="R861" s="94" t="s">
        <v>63</v>
      </c>
      <c r="S861" s="119">
        <v>46332</v>
      </c>
      <c r="T861" s="119"/>
      <c r="U861" s="120">
        <v>46332</v>
      </c>
      <c r="V861" s="94"/>
      <c r="W861" s="94"/>
      <c r="X861" s="94"/>
      <c r="Y861" s="119">
        <v>46336</v>
      </c>
      <c r="Z861" s="94"/>
      <c r="AA861" s="120"/>
      <c r="AB861" s="120"/>
      <c r="AC861" s="120"/>
      <c r="AD861" s="120"/>
      <c r="AE861" s="120"/>
      <c r="AF861" s="120"/>
      <c r="AG861" s="94"/>
      <c r="AH861" s="120"/>
      <c r="AI861" s="94"/>
      <c r="AJ861" s="94" t="s">
        <v>782</v>
      </c>
      <c r="AK861" s="94" t="s">
        <v>71</v>
      </c>
      <c r="AL861" s="94">
        <v>165</v>
      </c>
      <c r="AM861" s="94" t="str">
        <f>TRIM(AJ861)&amp;TRIM(AL861)&amp;TRIM(AK861)</f>
      </c>
      <c r="AN861" s="116">
        <v>70.59</v>
      </c>
      <c r="AO861" s="116">
        <v>-4.59</v>
      </c>
      <c r="AP861" s="116">
        <f>SUMIFS(M:M,AM:AM,AM861)+SUMIFS(O:O,AM:AM,AM861)</f>
      </c>
      <c r="AQ861" s="116">
        <f>SUMIFS(L:L,AM:AM,AM861)</f>
      </c>
      <c r="AR861" s="116">
        <f>AQ861-AP861</f>
      </c>
      <c r="AS861" s="94" t="str">
        <f>IF(AN861&gt;=AQ861,"ok","ck")</f>
      </c>
      <c r="AT861" s="116">
        <f>-P861</f>
      </c>
      <c r="AU861" s="115">
        <f>IF(SUMIFS(AT:AT,AM:AM,AM861)&gt;AO861,(SUMIFS(AT:AT,AM:AM,AM861)-AO861))</f>
      </c>
      <c r="AV861" s="116">
        <v>70.59</v>
      </c>
      <c r="AW861" s="121">
        <v>1.07</v>
      </c>
      <c r="AX861" s="115">
        <f>AN861-AP861</f>
      </c>
    </row>
    <row r="862" spans="1:50" ht="15" hidden="1" customHeight="1" x14ac:dyDescent="0.3">
      <c r="A862" s="94" t="s">
        <v>480</v>
      </c>
      <c r="B862" s="94"/>
      <c r="C862" s="94"/>
      <c r="D862" s="94"/>
      <c r="E862" s="94"/>
      <c r="F862" s="94"/>
      <c r="G862" s="112">
        <f>AU862</f>
      </c>
      <c r="H862" s="113"/>
      <c r="I862" s="94" t="s">
        <v>486</v>
      </c>
      <c r="J862" s="94" t="s">
        <v>515</v>
      </c>
      <c r="K862" s="114">
        <f>P862/3</f>
      </c>
      <c r="L862" s="115">
        <v>0.84399999999999997</v>
      </c>
      <c r="M862" s="116">
        <f>L862</f>
      </c>
      <c r="N862" s="117">
        <f>M862-L862</f>
      </c>
      <c r="O862" s="112"/>
      <c r="P862" s="118">
        <f>N862+O862</f>
      </c>
      <c r="Q862" s="94" t="s">
        <v>782</v>
      </c>
      <c r="R862" s="94" t="s">
        <v>63</v>
      </c>
      <c r="S862" s="119">
        <v>46332</v>
      </c>
      <c r="T862" s="119"/>
      <c r="U862" s="120">
        <v>46332</v>
      </c>
      <c r="V862" s="94"/>
      <c r="W862" s="94"/>
      <c r="X862" s="94"/>
      <c r="Y862" s="119">
        <v>46337</v>
      </c>
      <c r="Z862" s="94"/>
      <c r="AA862" s="120"/>
      <c r="AB862" s="120"/>
      <c r="AC862" s="120"/>
      <c r="AD862" s="120"/>
      <c r="AE862" s="120"/>
      <c r="AF862" s="120"/>
      <c r="AG862" s="94"/>
      <c r="AH862" s="120"/>
      <c r="AI862" s="94"/>
      <c r="AJ862" s="94" t="s">
        <v>782</v>
      </c>
      <c r="AK862" s="94" t="s">
        <v>71</v>
      </c>
      <c r="AL862" s="94">
        <v>165</v>
      </c>
      <c r="AM862" s="94" t="str">
        <f>TRIM(AJ862)&amp;TRIM(AL862)&amp;TRIM(AK862)</f>
      </c>
      <c r="AN862" s="116">
        <v>70.59</v>
      </c>
      <c r="AO862" s="116">
        <v>-4.59</v>
      </c>
      <c r="AP862" s="116">
        <f>SUMIFS(M:M,AM:AM,AM862)+SUMIFS(O:O,AM:AM,AM862)</f>
      </c>
      <c r="AQ862" s="116">
        <f>SUMIFS(L:L,AM:AM,AM862)</f>
      </c>
      <c r="AR862" s="116">
        <f>AQ862-AP862</f>
      </c>
      <c r="AS862" s="94" t="str">
        <f>IF(AN862&gt;=AQ862,"ok","ck")</f>
      </c>
      <c r="AT862" s="116">
        <f>-P862</f>
      </c>
      <c r="AU862" s="115">
        <f>IF(SUMIFS(AT:AT,AM:AM,AM862)&gt;AO862,(SUMIFS(AT:AT,AM:AM,AM862)-AO862))</f>
      </c>
      <c r="AV862" s="116">
        <v>70.59</v>
      </c>
      <c r="AW862" s="121">
        <v>1.07</v>
      </c>
      <c r="AX862" s="115">
        <f>AN862-AP862</f>
      </c>
    </row>
    <row r="863" spans="1:50" ht="15" hidden="1" customHeight="1" x14ac:dyDescent="0.3">
      <c r="A863" s="94" t="s">
        <v>480</v>
      </c>
      <c r="B863" s="94"/>
      <c r="C863" s="94"/>
      <c r="D863" s="94"/>
      <c r="E863" s="94"/>
      <c r="F863" s="94"/>
      <c r="G863" s="112">
        <f>AU863</f>
      </c>
      <c r="H863" s="113"/>
      <c r="I863" s="94" t="s">
        <v>484</v>
      </c>
      <c r="J863" s="94" t="s">
        <v>543</v>
      </c>
      <c r="K863" s="114">
        <f>P863/3</f>
      </c>
      <c r="L863" s="115">
        <v>2.1680000000000001</v>
      </c>
      <c r="M863" s="116">
        <f>L863</f>
      </c>
      <c r="N863" s="117">
        <f>M863-L863</f>
      </c>
      <c r="O863" s="112"/>
      <c r="P863" s="118">
        <f>N863+O863</f>
      </c>
      <c r="Q863" s="94" t="s">
        <v>782</v>
      </c>
      <c r="R863" s="94" t="s">
        <v>63</v>
      </c>
      <c r="S863" s="120">
        <v>46332</v>
      </c>
      <c r="T863" s="120"/>
      <c r="U863" s="120">
        <v>46332</v>
      </c>
      <c r="V863" s="94"/>
      <c r="W863" s="94"/>
      <c r="X863" s="94"/>
      <c r="Y863" s="119">
        <v>46338</v>
      </c>
      <c r="Z863" s="94"/>
      <c r="AA863" s="120"/>
      <c r="AB863" s="120"/>
      <c r="AC863" s="120"/>
      <c r="AD863" s="120"/>
      <c r="AE863" s="120"/>
      <c r="AF863" s="120"/>
      <c r="AG863" s="94"/>
      <c r="AH863" s="120"/>
      <c r="AI863" s="94"/>
      <c r="AJ863" s="94" t="s">
        <v>782</v>
      </c>
      <c r="AK863" s="94" t="s">
        <v>696</v>
      </c>
      <c r="AL863" s="94">
        <v>200</v>
      </c>
      <c r="AM863" s="94" t="str">
        <f>TRIM(AJ863)&amp;TRIM(AL863)&amp;TRIM(AK863)</f>
      </c>
      <c r="AN863" s="116">
        <v>15.38</v>
      </c>
      <c r="AO863" s="116">
        <v>-7.38</v>
      </c>
      <c r="AP863" s="116">
        <f>SUMIFS(M:M,AM:AM,AM863)+SUMIFS(O:O,AM:AM,AM863)</f>
      </c>
      <c r="AQ863" s="116">
        <f>SUMIFS(L:L,AM:AM,AM863)</f>
      </c>
      <c r="AR863" s="116">
        <f>AQ863-AP863</f>
      </c>
      <c r="AS863" s="94" t="str">
        <f>IF(AN863&gt;=AQ863,"ok","ck")</f>
      </c>
      <c r="AT863" s="116">
        <f>-P863</f>
      </c>
      <c r="AU863" s="115">
        <f>IF(SUMIFS(AT:AT,AM:AM,AM863)&gt;AO863,(SUMIFS(AT:AT,AM:AM,AM863)-AO863))</f>
      </c>
      <c r="AV863" s="116">
        <v>15.38</v>
      </c>
      <c r="AW863" s="121">
        <v>1.923</v>
      </c>
      <c r="AX863" s="115">
        <f>AN863-AP863</f>
      </c>
    </row>
    <row r="864" spans="1:50" ht="15" hidden="1" customHeight="1" x14ac:dyDescent="0.3">
      <c r="A864" s="94" t="s">
        <v>480</v>
      </c>
      <c r="B864" s="94"/>
      <c r="C864" s="94"/>
      <c r="D864" s="94"/>
      <c r="E864" s="94"/>
      <c r="F864" s="94"/>
      <c r="G864" s="112">
        <f>AU864</f>
      </c>
      <c r="H864" s="113"/>
      <c r="I864" s="94" t="s">
        <v>484</v>
      </c>
      <c r="J864" s="94" t="s">
        <v>543</v>
      </c>
      <c r="K864" s="114">
        <f>P864/3</f>
      </c>
      <c r="L864" s="115">
        <v>0.5</v>
      </c>
      <c r="M864" s="116">
        <f>L864</f>
      </c>
      <c r="N864" s="117">
        <f>M864-L864</f>
      </c>
      <c r="O864" s="112"/>
      <c r="P864" s="118">
        <f>N864+O864</f>
      </c>
      <c r="Q864" s="94" t="s">
        <v>782</v>
      </c>
      <c r="R864" s="94" t="s">
        <v>63</v>
      </c>
      <c r="S864" s="119">
        <v>46332</v>
      </c>
      <c r="T864" s="119"/>
      <c r="U864" s="120">
        <v>46332</v>
      </c>
      <c r="V864" s="94"/>
      <c r="W864" s="94"/>
      <c r="X864" s="94"/>
      <c r="Y864" s="119">
        <v>46338</v>
      </c>
      <c r="Z864" s="94"/>
      <c r="AA864" s="120"/>
      <c r="AB864" s="120"/>
      <c r="AC864" s="120"/>
      <c r="AD864" s="120"/>
      <c r="AE864" s="120"/>
      <c r="AF864" s="120"/>
      <c r="AG864" s="94"/>
      <c r="AH864" s="120"/>
      <c r="AI864" s="94"/>
      <c r="AJ864" s="94" t="s">
        <v>782</v>
      </c>
      <c r="AK864" s="94" t="s">
        <v>696</v>
      </c>
      <c r="AL864" s="94">
        <v>200</v>
      </c>
      <c r="AM864" s="94" t="str">
        <f>TRIM(AJ864)&amp;TRIM(AL864)&amp;TRIM(AK864)</f>
      </c>
      <c r="AN864" s="116">
        <v>15.38</v>
      </c>
      <c r="AO864" s="116">
        <v>-7.38</v>
      </c>
      <c r="AP864" s="116">
        <f>SUMIFS(M:M,AM:AM,AM864)+SUMIFS(O:O,AM:AM,AM864)</f>
      </c>
      <c r="AQ864" s="116">
        <f>SUMIFS(L:L,AM:AM,AM864)</f>
      </c>
      <c r="AR864" s="116">
        <f>AQ864-AP864</f>
      </c>
      <c r="AS864" s="94" t="str">
        <f>IF(AN864&gt;=AQ864,"ok","ck")</f>
      </c>
      <c r="AT864" s="116">
        <f>-P864</f>
      </c>
      <c r="AU864" s="115">
        <f>IF(SUMIFS(AT:AT,AM:AM,AM864)&gt;AO864,(SUMIFS(AT:AT,AM:AM,AM864)-AO864))</f>
      </c>
      <c r="AV864" s="116">
        <v>15.38</v>
      </c>
      <c r="AW864" s="121">
        <v>1.923</v>
      </c>
      <c r="AX864" s="115">
        <f>AN864-AP864</f>
      </c>
    </row>
    <row r="865" spans="1:50" ht="15" hidden="1" customHeight="1" x14ac:dyDescent="0.3">
      <c r="A865" s="94" t="s">
        <v>480</v>
      </c>
      <c r="B865" s="94"/>
      <c r="C865" s="94"/>
      <c r="D865" s="94"/>
      <c r="E865" s="94"/>
      <c r="F865" s="94"/>
      <c r="G865" s="112">
        <f>AU865</f>
      </c>
      <c r="H865" s="113"/>
      <c r="I865" s="94" t="s">
        <v>484</v>
      </c>
      <c r="J865" s="94" t="s">
        <v>543</v>
      </c>
      <c r="K865" s="114">
        <f>P865/3</f>
      </c>
      <c r="L865" s="115">
        <v>4.3330000000000002</v>
      </c>
      <c r="M865" s="116">
        <f>L865</f>
      </c>
      <c r="N865" s="117">
        <f>M865-L865</f>
      </c>
      <c r="O865" s="112"/>
      <c r="P865" s="118">
        <f>N865+O865</f>
      </c>
      <c r="Q865" s="94" t="s">
        <v>782</v>
      </c>
      <c r="R865" s="94" t="s">
        <v>63</v>
      </c>
      <c r="S865" s="119">
        <v>46332</v>
      </c>
      <c r="T865" s="119"/>
      <c r="U865" s="120">
        <v>46332</v>
      </c>
      <c r="V865" s="94"/>
      <c r="W865" s="94"/>
      <c r="X865" s="94"/>
      <c r="Y865" s="119">
        <v>46338</v>
      </c>
      <c r="Z865" s="94"/>
      <c r="AA865" s="120"/>
      <c r="AB865" s="120"/>
      <c r="AC865" s="120"/>
      <c r="AD865" s="120"/>
      <c r="AE865" s="120"/>
      <c r="AF865" s="120"/>
      <c r="AG865" s="94"/>
      <c r="AH865" s="120"/>
      <c r="AI865" s="94"/>
      <c r="AJ865" s="94" t="s">
        <v>782</v>
      </c>
      <c r="AK865" s="94" t="s">
        <v>696</v>
      </c>
      <c r="AL865" s="94">
        <v>200</v>
      </c>
      <c r="AM865" s="94" t="str">
        <f>TRIM(AJ865)&amp;TRIM(AL865)&amp;TRIM(AK865)</f>
      </c>
      <c r="AN865" s="116">
        <v>15.38</v>
      </c>
      <c r="AO865" s="116">
        <v>-7.38</v>
      </c>
      <c r="AP865" s="116">
        <f>SUMIFS(M:M,AM:AM,AM865)+SUMIFS(O:O,AM:AM,AM865)</f>
      </c>
      <c r="AQ865" s="116">
        <f>SUMIFS(L:L,AM:AM,AM865)</f>
      </c>
      <c r="AR865" s="116">
        <f>AQ865-AP865</f>
      </c>
      <c r="AS865" s="94" t="str">
        <f>IF(AN865&gt;=AQ865,"ok","ck")</f>
      </c>
      <c r="AT865" s="116">
        <f>-P865</f>
      </c>
      <c r="AU865" s="115">
        <f>IF(SUMIFS(AT:AT,AM:AM,AM865)&gt;AO865,(SUMIFS(AT:AT,AM:AM,AM865)-AO865))</f>
      </c>
      <c r="AV865" s="116">
        <v>15.38</v>
      </c>
      <c r="AW865" s="121">
        <v>1.923</v>
      </c>
      <c r="AX865" s="115">
        <f>AN865-AP865</f>
      </c>
    </row>
    <row r="866" spans="1:50" ht="15" hidden="1" customHeight="1" x14ac:dyDescent="0.3">
      <c r="A866" s="94" t="s">
        <v>480</v>
      </c>
      <c r="B866" s="94"/>
      <c r="C866" s="94"/>
      <c r="D866" s="94"/>
      <c r="E866" s="94"/>
      <c r="F866" s="94"/>
      <c r="G866" s="112">
        <f>AU866</f>
      </c>
      <c r="H866" s="113"/>
      <c r="I866" s="94" t="s">
        <v>484</v>
      </c>
      <c r="J866" s="94" t="s">
        <v>543</v>
      </c>
      <c r="K866" s="114">
        <f>P866/3</f>
      </c>
      <c r="L866" s="115">
        <v>0.999</v>
      </c>
      <c r="M866" s="116">
        <f>L866</f>
      </c>
      <c r="N866" s="117">
        <f>M866-L866</f>
      </c>
      <c r="O866" s="112"/>
      <c r="P866" s="118">
        <f>N866+O866</f>
      </c>
      <c r="Q866" s="94" t="s">
        <v>782</v>
      </c>
      <c r="R866" s="94" t="s">
        <v>63</v>
      </c>
      <c r="S866" s="119">
        <v>46332</v>
      </c>
      <c r="T866" s="119"/>
      <c r="U866" s="120">
        <v>46332</v>
      </c>
      <c r="V866" s="94"/>
      <c r="W866" s="94"/>
      <c r="X866" s="94"/>
      <c r="Y866" s="119">
        <v>46338</v>
      </c>
      <c r="Z866" s="94"/>
      <c r="AA866" s="120"/>
      <c r="AB866" s="120"/>
      <c r="AC866" s="120"/>
      <c r="AD866" s="120"/>
      <c r="AE866" s="120"/>
      <c r="AF866" s="120"/>
      <c r="AG866" s="94"/>
      <c r="AH866" s="120"/>
      <c r="AI866" s="94"/>
      <c r="AJ866" s="94" t="s">
        <v>782</v>
      </c>
      <c r="AK866" s="94" t="s">
        <v>696</v>
      </c>
      <c r="AL866" s="94">
        <v>200</v>
      </c>
      <c r="AM866" s="94" t="str">
        <f>TRIM(AJ866)&amp;TRIM(AL866)&amp;TRIM(AK866)</f>
      </c>
      <c r="AN866" s="116">
        <v>15.38</v>
      </c>
      <c r="AO866" s="116">
        <v>-7.38</v>
      </c>
      <c r="AP866" s="116">
        <f>SUMIFS(M:M,AM:AM,AM866)+SUMIFS(O:O,AM:AM,AM866)</f>
      </c>
      <c r="AQ866" s="116">
        <f>SUMIFS(L:L,AM:AM,AM866)</f>
      </c>
      <c r="AR866" s="116">
        <f>AQ866-AP866</f>
      </c>
      <c r="AS866" s="94" t="str">
        <f>IF(AN866&gt;=AQ866,"ok","ck")</f>
      </c>
      <c r="AT866" s="116">
        <f>-P866</f>
      </c>
      <c r="AU866" s="115">
        <f>IF(SUMIFS(AT:AT,AM:AM,AM866)&gt;AO866,(SUMIFS(AT:AT,AM:AM,AM866)-AO866))</f>
      </c>
      <c r="AV866" s="116">
        <v>15.38</v>
      </c>
      <c r="AW866" s="121">
        <v>1.923</v>
      </c>
      <c r="AX866" s="115">
        <f>AN866-AP866</f>
      </c>
    </row>
    <row r="867" spans="1:50" ht="15" hidden="1" customHeight="1" x14ac:dyDescent="0.3">
      <c r="A867" s="94" t="s">
        <v>480</v>
      </c>
      <c r="B867" s="94"/>
      <c r="C867" s="94"/>
      <c r="D867" s="94"/>
      <c r="E867" s="94"/>
      <c r="F867" s="94"/>
      <c r="G867" s="112">
        <f>AU867</f>
      </c>
      <c r="H867" s="113"/>
      <c r="I867" s="94" t="s">
        <v>486</v>
      </c>
      <c r="J867" s="94" t="s">
        <v>513</v>
      </c>
      <c r="K867" s="114">
        <f>P867/3</f>
      </c>
      <c r="L867" s="115">
        <v>5.1559999999999997</v>
      </c>
      <c r="M867" s="116"/>
      <c r="N867" s="117">
        <f>M867-L867</f>
      </c>
      <c r="O867" s="112"/>
      <c r="P867" s="118">
        <f>N867+O867</f>
      </c>
      <c r="Q867" s="94" t="s">
        <v>782</v>
      </c>
      <c r="R867" s="94" t="s">
        <v>63</v>
      </c>
      <c r="S867" s="119">
        <v>46332</v>
      </c>
      <c r="T867" s="119"/>
      <c r="U867" s="120">
        <v>46332</v>
      </c>
      <c r="V867" s="94"/>
      <c r="W867" s="94"/>
      <c r="X867" s="94"/>
      <c r="Y867" s="119">
        <v>46330</v>
      </c>
      <c r="Z867" s="94"/>
      <c r="AA867" s="120"/>
      <c r="AB867" s="120"/>
      <c r="AC867" s="120"/>
      <c r="AD867" s="120"/>
      <c r="AE867" s="120"/>
      <c r="AF867" s="120"/>
      <c r="AG867" s="94"/>
      <c r="AH867" s="120"/>
      <c r="AI867" s="94"/>
      <c r="AJ867" s="94" t="s">
        <v>782</v>
      </c>
      <c r="AK867" s="94" t="s">
        <v>707</v>
      </c>
      <c r="AL867" s="94">
        <v>165</v>
      </c>
      <c r="AM867" s="94" t="str">
        <f>TRIM(AJ867)&amp;TRIM(AL867)&amp;TRIM(AK867)</f>
      </c>
      <c r="AN867" s="116">
        <v>0</v>
      </c>
      <c r="AO867" s="116" t="inlineStr">
        <is>
          <t>#NA</t>
        </is>
      </c>
      <c r="AP867" s="116">
        <f>SUMIFS(M:M,AM:AM,AM867)+SUMIFS(O:O,AM:AM,AM867)</f>
      </c>
      <c r="AQ867" s="116">
        <f>SUMIFS(L:L,AM:AM,AM867)</f>
      </c>
      <c r="AR867" s="116">
        <f>AQ867-AP867</f>
      </c>
      <c r="AS867" s="94" t="str">
        <f>IF(AN867&gt;=AQ867,"ok","ck")</f>
      </c>
      <c r="AT867" s="116">
        <f>-P867</f>
      </c>
      <c r="AU867" s="115">
        <f>IF(SUMIFS(AT:AT,AM:AM,AM867)&gt;AO867,(SUMIFS(AT:AT,AM:AM,AM867)-AO867))</f>
      </c>
      <c r="AV867" s="116">
        <v>0</v>
      </c>
      <c r="AW867" s="121">
        <v>0</v>
      </c>
      <c r="AX867" s="115">
        <f>AN867-AP867</f>
      </c>
    </row>
    <row r="868" spans="1:50" ht="15" hidden="1" customHeight="1" x14ac:dyDescent="0.3">
      <c r="A868" s="94" t="s">
        <v>268</v>
      </c>
      <c r="B868" s="94"/>
      <c r="C868" s="94"/>
      <c r="D868" s="94"/>
      <c r="E868" s="94"/>
      <c r="F868" s="94"/>
      <c r="G868" s="112">
        <f>AU868</f>
      </c>
      <c r="H868" s="113"/>
      <c r="I868" s="94" t="s">
        <v>278</v>
      </c>
      <c r="J868" s="94" t="s">
        <v>333</v>
      </c>
      <c r="K868" s="114">
        <f>P868/3</f>
      </c>
      <c r="L868" s="115">
        <v>0.16600000000000001</v>
      </c>
      <c r="M868" s="116"/>
      <c r="N868" s="117">
        <f>M868-L868</f>
      </c>
      <c r="O868" s="112"/>
      <c r="P868" s="118">
        <f>N868+O868</f>
      </c>
      <c r="Q868" s="94" t="s">
        <v>778</v>
      </c>
      <c r="R868" s="94" t="s">
        <v>63</v>
      </c>
      <c r="S868" s="119">
        <v>46341</v>
      </c>
      <c r="T868" s="119"/>
      <c r="U868" s="119">
        <v>46341</v>
      </c>
      <c r="V868" s="94"/>
      <c r="W868" s="94"/>
      <c r="X868" s="94"/>
      <c r="Y868" s="119">
        <v>46341</v>
      </c>
      <c r="Z868" s="94"/>
      <c r="AA868" s="120"/>
      <c r="AB868" s="120"/>
      <c r="AC868" s="120"/>
      <c r="AD868" s="120"/>
      <c r="AE868" s="120"/>
      <c r="AF868" s="120"/>
      <c r="AG868" s="94"/>
      <c r="AH868" s="120"/>
      <c r="AI868" s="94"/>
      <c r="AJ868" s="94" t="s">
        <v>778</v>
      </c>
      <c r="AK868" s="94" t="s">
        <v>338</v>
      </c>
      <c r="AL868" s="94">
        <v>120</v>
      </c>
      <c r="AM868" s="94" t="str">
        <f>TRIM(AJ868)&amp;TRIM(AL868)&amp;TRIM(AK868)</f>
      </c>
      <c r="AN868" s="116">
        <v>0</v>
      </c>
      <c r="AO868" s="116" t="inlineStr">
        <is>
          <t>#NA</t>
        </is>
      </c>
      <c r="AP868" s="116">
        <f>SUMIFS(M:M,AM:AM,AM868)+SUMIFS(O:O,AM:AM,AM868)</f>
      </c>
      <c r="AQ868" s="116">
        <f>SUMIFS(L:L,AM:AM,AM868)</f>
      </c>
      <c r="AR868" s="116">
        <f>AQ868-AP868</f>
      </c>
      <c r="AS868" s="94" t="str">
        <f>IF(AN868&gt;=AQ868,"ok","ck")</f>
      </c>
      <c r="AT868" s="116">
        <f>-P868</f>
      </c>
      <c r="AU868" s="115">
        <f>IF(SUMIFS(AT:AT,AM:AM,AM868)&gt;AO868,(SUMIFS(AT:AT,AM:AM,AM868)-AO868))</f>
      </c>
      <c r="AV868" s="116">
        <v>0</v>
      </c>
      <c r="AW868" s="121">
        <v>0</v>
      </c>
      <c r="AX868" s="115">
        <f>AN868-AP868</f>
      </c>
    </row>
    <row r="869" spans="1:50" ht="15" hidden="1" customHeight="1" x14ac:dyDescent="0.3">
      <c r="A869" s="94" t="s">
        <v>268</v>
      </c>
      <c r="B869" s="94"/>
      <c r="C869" s="94"/>
      <c r="D869" s="94"/>
      <c r="E869" s="94"/>
      <c r="F869" s="94"/>
      <c r="G869" s="112">
        <f>AU869</f>
      </c>
      <c r="H869" s="113"/>
      <c r="I869" s="94" t="s">
        <v>278</v>
      </c>
      <c r="J869" s="94" t="s">
        <v>322</v>
      </c>
      <c r="K869" s="114">
        <f>P869/3</f>
      </c>
      <c r="L869" s="115">
        <v>0.20200000000000001</v>
      </c>
      <c r="M869" s="116"/>
      <c r="N869" s="117">
        <f>M869-L869</f>
      </c>
      <c r="O869" s="112"/>
      <c r="P869" s="118">
        <f>N869+O869</f>
      </c>
      <c r="Q869" s="94" t="s">
        <v>778</v>
      </c>
      <c r="R869" s="94" t="s">
        <v>63</v>
      </c>
      <c r="S869" s="119">
        <v>46345</v>
      </c>
      <c r="T869" s="119"/>
      <c r="U869" s="119">
        <v>46345</v>
      </c>
      <c r="V869" s="94"/>
      <c r="W869" s="94"/>
      <c r="X869" s="94"/>
      <c r="Y869" s="119">
        <v>46345</v>
      </c>
      <c r="Z869" s="94"/>
      <c r="AA869" s="120"/>
      <c r="AB869" s="120"/>
      <c r="AC869" s="120"/>
      <c r="AD869" s="120"/>
      <c r="AE869" s="120"/>
      <c r="AF869" s="120"/>
      <c r="AG869" s="94"/>
      <c r="AH869" s="120"/>
      <c r="AI869" s="94"/>
      <c r="AJ869" s="94" t="s">
        <v>778</v>
      </c>
      <c r="AK869" s="94" t="s">
        <v>323</v>
      </c>
      <c r="AL869" s="94">
        <v>120</v>
      </c>
      <c r="AM869" s="94" t="str">
        <f>TRIM(AJ869)&amp;TRIM(AL869)&amp;TRIM(AK869)</f>
      </c>
      <c r="AN869" s="116">
        <v>0</v>
      </c>
      <c r="AO869" s="116" t="inlineStr">
        <is>
          <t>#NA</t>
        </is>
      </c>
      <c r="AP869" s="116">
        <f>SUMIFS(M:M,AM:AM,AM869)+SUMIFS(O:O,AM:AM,AM869)</f>
      </c>
      <c r="AQ869" s="116">
        <f>SUMIFS(L:L,AM:AM,AM869)</f>
      </c>
      <c r="AR869" s="116">
        <f>AQ869-AP869</f>
      </c>
      <c r="AS869" s="94" t="str">
        <f>IF(AN869&gt;=AQ869,"ok","ck")</f>
      </c>
      <c r="AT869" s="116">
        <f>-P869</f>
      </c>
      <c r="AU869" s="115">
        <f>IF(SUMIFS(AT:AT,AM:AM,AM869)&gt;AO869,(SUMIFS(AT:AT,AM:AM,AM869)-AO869))</f>
      </c>
      <c r="AV869" s="116">
        <v>0</v>
      </c>
      <c r="AW869" s="121">
        <v>0</v>
      </c>
      <c r="AX869" s="115">
        <f>AN869-AP869</f>
      </c>
    </row>
    <row r="870" spans="1:50" ht="15" hidden="1" customHeight="1" x14ac:dyDescent="0.3">
      <c r="A870" s="94" t="s">
        <v>268</v>
      </c>
      <c r="B870" s="94"/>
      <c r="C870" s="94"/>
      <c r="D870" s="94"/>
      <c r="E870" s="94"/>
      <c r="F870" s="94"/>
      <c r="G870" s="112">
        <f>AU870</f>
      </c>
      <c r="H870" s="113"/>
      <c r="I870" s="94" t="s">
        <v>278</v>
      </c>
      <c r="J870" s="94" t="s">
        <v>322</v>
      </c>
      <c r="K870" s="114">
        <f>P870/3</f>
      </c>
      <c r="L870" s="115">
        <v>34.44</v>
      </c>
      <c r="M870" s="116"/>
      <c r="N870" s="117">
        <f>M870-L870</f>
      </c>
      <c r="O870" s="112"/>
      <c r="P870" s="118">
        <f>N870+O870</f>
      </c>
      <c r="Q870" s="94" t="s">
        <v>778</v>
      </c>
      <c r="R870" s="94" t="s">
        <v>63</v>
      </c>
      <c r="S870" s="119">
        <v>46334</v>
      </c>
      <c r="T870" s="119"/>
      <c r="U870" s="119">
        <v>46334</v>
      </c>
      <c r="V870" s="94"/>
      <c r="W870" s="94"/>
      <c r="X870" s="94"/>
      <c r="Y870" s="119">
        <v>46337</v>
      </c>
      <c r="Z870" s="94"/>
      <c r="AA870" s="120"/>
      <c r="AB870" s="120"/>
      <c r="AC870" s="120"/>
      <c r="AD870" s="120"/>
      <c r="AE870" s="120"/>
      <c r="AF870" s="120"/>
      <c r="AG870" s="94"/>
      <c r="AH870" s="120"/>
      <c r="AI870" s="94"/>
      <c r="AJ870" s="94" t="s">
        <v>778</v>
      </c>
      <c r="AK870" s="94" t="s">
        <v>323</v>
      </c>
      <c r="AL870" s="94">
        <v>120</v>
      </c>
      <c r="AM870" s="94" t="str">
        <f>TRIM(AJ870)&amp;TRIM(AL870)&amp;TRIM(AK870)</f>
      </c>
      <c r="AN870" s="116">
        <v>0</v>
      </c>
      <c r="AO870" s="116" t="inlineStr">
        <is>
          <t>#NA</t>
        </is>
      </c>
      <c r="AP870" s="116">
        <f>SUMIFS(M:M,AM:AM,AM870)+SUMIFS(O:O,AM:AM,AM870)</f>
      </c>
      <c r="AQ870" s="116">
        <f>SUMIFS(L:L,AM:AM,AM870)</f>
      </c>
      <c r="AR870" s="116">
        <f>AQ870-AP870</f>
      </c>
      <c r="AS870" s="94" t="str">
        <f>IF(AN870&gt;=AQ870,"ok","ck")</f>
      </c>
      <c r="AT870" s="116">
        <f>-P870</f>
      </c>
      <c r="AU870" s="115">
        <f>IF(SUMIFS(AT:AT,AM:AM,AM870)&gt;AO870,(SUMIFS(AT:AT,AM:AM,AM870)-AO870))</f>
      </c>
      <c r="AV870" s="116">
        <v>0</v>
      </c>
      <c r="AW870" s="121">
        <v>0</v>
      </c>
      <c r="AX870" s="115">
        <f>AN870-AP870</f>
      </c>
    </row>
    <row r="871" spans="1:50" ht="15" hidden="1" customHeight="1" x14ac:dyDescent="0.3">
      <c r="A871" s="94" t="s">
        <v>268</v>
      </c>
      <c r="B871" s="94"/>
      <c r="C871" s="94"/>
      <c r="D871" s="94"/>
      <c r="E871" s="94"/>
      <c r="F871" s="94"/>
      <c r="G871" s="112">
        <f>AU871</f>
      </c>
      <c r="H871" s="113"/>
      <c r="I871" s="94" t="s">
        <v>278</v>
      </c>
      <c r="J871" s="94" t="s">
        <v>355</v>
      </c>
      <c r="K871" s="114">
        <f>P871/3</f>
      </c>
      <c r="L871" s="115">
        <v>2.1</v>
      </c>
      <c r="M871" s="116"/>
      <c r="N871" s="117">
        <f>M871-L871</f>
      </c>
      <c r="O871" s="112"/>
      <c r="P871" s="118">
        <f>N871+O871</f>
      </c>
      <c r="Q871" s="94" t="s">
        <v>778</v>
      </c>
      <c r="R871" s="94" t="s">
        <v>63</v>
      </c>
      <c r="S871" s="119">
        <v>46335</v>
      </c>
      <c r="T871" s="119"/>
      <c r="U871" s="119">
        <v>46335</v>
      </c>
      <c r="V871" s="94"/>
      <c r="W871" s="94"/>
      <c r="X871" s="94"/>
      <c r="Y871" s="119">
        <v>46337</v>
      </c>
      <c r="Z871" s="94"/>
      <c r="AA871" s="120"/>
      <c r="AB871" s="120"/>
      <c r="AC871" s="120"/>
      <c r="AD871" s="120"/>
      <c r="AE871" s="120"/>
      <c r="AF871" s="120"/>
      <c r="AG871" s="94"/>
      <c r="AH871" s="120"/>
      <c r="AI871" s="94"/>
      <c r="AJ871" s="94" t="s">
        <v>778</v>
      </c>
      <c r="AK871" s="94" t="s">
        <v>356</v>
      </c>
      <c r="AL871" s="94">
        <v>120</v>
      </c>
      <c r="AM871" s="94" t="str">
        <f>TRIM(AJ871)&amp;TRIM(AL871)&amp;TRIM(AK871)</f>
      </c>
      <c r="AN871" s="116">
        <v>0</v>
      </c>
      <c r="AO871" s="116" t="inlineStr">
        <is>
          <t>#NA</t>
        </is>
      </c>
      <c r="AP871" s="116">
        <f>SUMIFS(M:M,AM:AM,AM871)+SUMIFS(O:O,AM:AM,AM871)</f>
      </c>
      <c r="AQ871" s="116">
        <f>SUMIFS(L:L,AM:AM,AM871)</f>
      </c>
      <c r="AR871" s="116">
        <f>AQ871-AP871</f>
      </c>
      <c r="AS871" s="94" t="str">
        <f>IF(AN871&gt;=AQ871,"ok","ck")</f>
      </c>
      <c r="AT871" s="116">
        <f>-P871</f>
      </c>
      <c r="AU871" s="115">
        <f>IF(SUMIFS(AT:AT,AM:AM,AM871)&gt;AO871,(SUMIFS(AT:AT,AM:AM,AM871)-AO871))</f>
      </c>
      <c r="AV871" s="116">
        <v>0</v>
      </c>
      <c r="AW871" s="121">
        <v>0</v>
      </c>
      <c r="AX871" s="115">
        <f>AN871-AP871</f>
      </c>
    </row>
    <row r="872" spans="1:50" ht="15" hidden="1" customHeight="1" x14ac:dyDescent="0.3">
      <c r="A872" s="94" t="s">
        <v>268</v>
      </c>
      <c r="B872" s="94"/>
      <c r="C872" s="94"/>
      <c r="D872" s="94"/>
      <c r="E872" s="94"/>
      <c r="F872" s="94"/>
      <c r="G872" s="112">
        <f>AU872</f>
      </c>
      <c r="H872" s="113"/>
      <c r="I872" s="94" t="s">
        <v>278</v>
      </c>
      <c r="J872" s="94" t="s">
        <v>355</v>
      </c>
      <c r="K872" s="114">
        <f>P872/3</f>
      </c>
      <c r="L872" s="115">
        <v>13.28</v>
      </c>
      <c r="M872" s="116"/>
      <c r="N872" s="117">
        <f>M872-L872</f>
      </c>
      <c r="O872" s="112"/>
      <c r="P872" s="118">
        <f>N872+O872</f>
      </c>
      <c r="Q872" s="94" t="s">
        <v>778</v>
      </c>
      <c r="R872" s="94" t="s">
        <v>63</v>
      </c>
      <c r="S872" s="119">
        <v>46335</v>
      </c>
      <c r="T872" s="119"/>
      <c r="U872" s="119">
        <v>46335</v>
      </c>
      <c r="V872" s="94"/>
      <c r="W872" s="94"/>
      <c r="X872" s="94"/>
      <c r="Y872" s="119">
        <v>46335</v>
      </c>
      <c r="Z872" s="94"/>
      <c r="AA872" s="120"/>
      <c r="AB872" s="120"/>
      <c r="AC872" s="120"/>
      <c r="AD872" s="120"/>
      <c r="AE872" s="120"/>
      <c r="AF872" s="120"/>
      <c r="AG872" s="94"/>
      <c r="AH872" s="120"/>
      <c r="AI872" s="94"/>
      <c r="AJ872" s="94" t="s">
        <v>778</v>
      </c>
      <c r="AK872" s="94" t="s">
        <v>356</v>
      </c>
      <c r="AL872" s="94">
        <v>120</v>
      </c>
      <c r="AM872" s="94" t="str">
        <f>TRIM(AJ872)&amp;TRIM(AL872)&amp;TRIM(AK872)</f>
      </c>
      <c r="AN872" s="116">
        <v>0</v>
      </c>
      <c r="AO872" s="116" t="inlineStr">
        <is>
          <t>#NA</t>
        </is>
      </c>
      <c r="AP872" s="116">
        <f>SUMIFS(M:M,AM:AM,AM872)+SUMIFS(O:O,AM:AM,AM872)</f>
      </c>
      <c r="AQ872" s="116">
        <f>SUMIFS(L:L,AM:AM,AM872)</f>
      </c>
      <c r="AR872" s="116">
        <f>AQ872-AP872</f>
      </c>
      <c r="AS872" s="94" t="str">
        <f>IF(AN872&gt;=AQ872,"ok","ck")</f>
      </c>
      <c r="AT872" s="116">
        <f>-P872</f>
      </c>
      <c r="AU872" s="115">
        <f>IF(SUMIFS(AT:AT,AM:AM,AM872)&gt;AO872,(SUMIFS(AT:AT,AM:AM,AM872)-AO872))</f>
      </c>
      <c r="AV872" s="116">
        <v>0</v>
      </c>
      <c r="AW872" s="121">
        <v>0</v>
      </c>
      <c r="AX872" s="115">
        <f>AN872-AP872</f>
      </c>
    </row>
    <row r="873" spans="1:50" ht="15" hidden="1" customHeight="1" x14ac:dyDescent="0.3">
      <c r="A873" s="94" t="s">
        <v>253</v>
      </c>
      <c r="B873" s="94"/>
      <c r="C873" s="94"/>
      <c r="D873" s="94"/>
      <c r="E873" s="94"/>
      <c r="F873" s="94"/>
      <c r="G873" s="112">
        <f>AU873</f>
      </c>
      <c r="H873" s="113"/>
      <c r="I873" s="94" t="s">
        <v>254</v>
      </c>
      <c r="J873" s="94" t="s">
        <v>320</v>
      </c>
      <c r="K873" s="114">
        <f>P873/3</f>
      </c>
      <c r="L873" s="115">
        <v>0</v>
      </c>
      <c r="M873" s="116"/>
      <c r="N873" s="117">
        <f>M873-L873</f>
      </c>
      <c r="O873" s="112"/>
      <c r="P873" s="118">
        <f>N873+O873</f>
      </c>
      <c r="Q873" s="94" t="s">
        <v>330</v>
      </c>
      <c r="R873" s="94" t="s">
        <v>63</v>
      </c>
      <c r="S873" s="119">
        <v>46320</v>
      </c>
      <c r="T873" s="119"/>
      <c r="U873" s="119">
        <v>46320</v>
      </c>
      <c r="V873" s="94"/>
      <c r="W873" s="94"/>
      <c r="X873" s="94"/>
      <c r="Y873" s="119">
        <v>46320</v>
      </c>
      <c r="Z873" s="94"/>
      <c r="AA873" s="120"/>
      <c r="AB873" s="120"/>
      <c r="AC873" s="120"/>
      <c r="AD873" s="120"/>
      <c r="AE873" s="120"/>
      <c r="AF873" s="120"/>
      <c r="AG873" s="94"/>
      <c r="AH873" s="120"/>
      <c r="AI873" s="94"/>
      <c r="AJ873" s="94" t="s">
        <v>331</v>
      </c>
      <c r="AK873" s="94" t="s">
        <v>321</v>
      </c>
      <c r="AL873" s="94">
        <v>150</v>
      </c>
      <c r="AM873" s="94" t="str">
        <f>TRIM(AJ873)&amp;TRIM(AL873)&amp;TRIM(AK873)</f>
      </c>
      <c r="AN873" s="116">
        <v>4246</v>
      </c>
      <c r="AO873" s="116">
        <v>264.27</v>
      </c>
      <c r="AP873" s="116">
        <f>SUMIFS(M:M,AM:AM,AM873)+SUMIFS(O:O,AM:AM,AM873)</f>
      </c>
      <c r="AQ873" s="116">
        <f>SUMIFS(L:L,AM:AM,AM873)</f>
      </c>
      <c r="AR873" s="116">
        <f>AQ873-AP873</f>
      </c>
      <c r="AS873" s="94" t="str">
        <f>IF(AN873&gt;=AQ873,"ok","ck")</f>
      </c>
      <c r="AT873" s="116">
        <f>-P873</f>
      </c>
      <c r="AU873" s="115">
        <f>IF(SUMIFS(AT:AT,AM:AM,AM873)&gt;AO873,(SUMIFS(AT:AT,AM:AM,AM873)-AO873))</f>
      </c>
      <c r="AV873" s="116">
        <v>4246</v>
      </c>
      <c r="AW873" s="121">
        <v>0.941</v>
      </c>
      <c r="AX873" s="115">
        <f>AN873-AP873</f>
      </c>
    </row>
    <row r="874" spans="1:50" ht="15" hidden="1" customHeight="1" x14ac:dyDescent="0.3">
      <c r="A874" s="94" t="s">
        <v>268</v>
      </c>
      <c r="B874" s="94"/>
      <c r="C874" s="94"/>
      <c r="D874" s="94"/>
      <c r="E874" s="94"/>
      <c r="F874" s="94"/>
      <c r="G874" s="112">
        <f>AU874</f>
      </c>
      <c r="H874" s="113"/>
      <c r="I874" s="94" t="s">
        <v>278</v>
      </c>
      <c r="J874" s="94" t="s">
        <v>381</v>
      </c>
      <c r="K874" s="114">
        <f>P874/3</f>
      </c>
      <c r="L874" s="115">
        <v>0</v>
      </c>
      <c r="M874" s="116">
        <f>L874</f>
      </c>
      <c r="N874" s="117">
        <f>M874-L874</f>
      </c>
      <c r="O874" s="112"/>
      <c r="P874" s="118">
        <f>N874+O874</f>
      </c>
      <c r="Q874" s="94" t="s">
        <v>309</v>
      </c>
      <c r="R874" s="94" t="s">
        <v>63</v>
      </c>
      <c r="S874" s="119">
        <v>46320</v>
      </c>
      <c r="T874" s="119"/>
      <c r="U874" s="119">
        <v>46320</v>
      </c>
      <c r="V874" s="94"/>
      <c r="W874" s="94"/>
      <c r="X874" s="94"/>
      <c r="Y874" s="119">
        <v>46320</v>
      </c>
      <c r="Z874" s="94"/>
      <c r="AA874" s="120"/>
      <c r="AB874" s="120"/>
      <c r="AC874" s="120"/>
      <c r="AD874" s="120"/>
      <c r="AE874" s="120"/>
      <c r="AF874" s="120"/>
      <c r="AG874" s="94"/>
      <c r="AH874" s="120"/>
      <c r="AI874" s="94"/>
      <c r="AJ874" s="94" t="s">
        <v>309</v>
      </c>
      <c r="AK874" s="94" t="s">
        <v>381</v>
      </c>
      <c r="AL874" s="94">
        <v>120</v>
      </c>
      <c r="AM874" s="94" t="str">
        <f>TRIM(AJ874)&amp;TRIM(AL874)&amp;TRIM(AK874)</f>
      </c>
      <c r="AN874" s="116">
        <v>567</v>
      </c>
      <c r="AO874" s="116">
        <v>-23</v>
      </c>
      <c r="AP874" s="116">
        <f>SUMIFS(M:M,AM:AM,AM874)+SUMIFS(O:O,AM:AM,AM874)</f>
      </c>
      <c r="AQ874" s="116">
        <f>SUMIFS(L:L,AM:AM,AM874)</f>
      </c>
      <c r="AR874" s="116">
        <f>AQ874-AP874</f>
      </c>
      <c r="AS874" s="94" t="str">
        <f>IF(AN874&gt;=AQ874,"ok","ck")</f>
      </c>
      <c r="AT874" s="116">
        <f>-P874</f>
      </c>
      <c r="AU874" s="115">
        <f>IF(SUMIFS(AT:AT,AM:AM,AM874)&gt;AO874,(SUMIFS(AT:AT,AM:AM,AM874)-AO874))</f>
      </c>
      <c r="AV874" s="116">
        <v>567</v>
      </c>
      <c r="AW874" s="121">
        <v>1.042</v>
      </c>
      <c r="AX874" s="115">
        <f>AN874-AP874</f>
      </c>
    </row>
    <row r="875" spans="1:50" ht="15" hidden="1" customHeight="1" x14ac:dyDescent="0.3">
      <c r="A875" s="94" t="s">
        <v>311</v>
      </c>
      <c r="B875" s="94"/>
      <c r="C875" s="94"/>
      <c r="D875" s="94"/>
      <c r="E875" s="94"/>
      <c r="F875" s="94"/>
      <c r="G875" s="112">
        <f>AU875</f>
      </c>
      <c r="H875" s="113"/>
      <c r="I875" s="94" t="s">
        <v>312</v>
      </c>
      <c r="J875" s="94" t="s">
        <v>559</v>
      </c>
      <c r="K875" s="114">
        <f>P875/3</f>
      </c>
      <c r="L875" s="115">
        <v>-0.86199999999999999</v>
      </c>
      <c r="M875" s="116">
        <f>L875</f>
      </c>
      <c r="N875" s="117">
        <f>M875-L875</f>
      </c>
      <c r="O875" s="112"/>
      <c r="P875" s="118">
        <f>N875+O875</f>
      </c>
      <c r="Q875" s="94" t="s">
        <v>799</v>
      </c>
      <c r="R875" s="94" t="s">
        <v>63</v>
      </c>
      <c r="S875" s="119">
        <v>46326</v>
      </c>
      <c r="T875" s="119"/>
      <c r="U875" s="119">
        <v>46326</v>
      </c>
      <c r="V875" s="94"/>
      <c r="W875" s="94"/>
      <c r="X875" s="94"/>
      <c r="Y875" s="119">
        <v>46326</v>
      </c>
      <c r="Z875" s="94"/>
      <c r="AA875" s="120"/>
      <c r="AB875" s="120"/>
      <c r="AC875" s="120"/>
      <c r="AD875" s="120"/>
      <c r="AE875" s="120"/>
      <c r="AF875" s="120"/>
      <c r="AG875" s="94"/>
      <c r="AH875" s="120"/>
      <c r="AI875" s="94"/>
      <c r="AJ875" s="94" t="s">
        <v>799</v>
      </c>
      <c r="AK875" s="94" t="s">
        <v>733</v>
      </c>
      <c r="AL875" s="94">
        <v>150</v>
      </c>
      <c r="AM875" s="94" t="str">
        <f>TRIM(AJ875)&amp;TRIM(AL875)&amp;TRIM(AK875)</f>
      </c>
      <c r="AN875" s="116">
        <v>836</v>
      </c>
      <c r="AO875" s="116">
        <v>-2</v>
      </c>
      <c r="AP875" s="116">
        <f>SUMIFS(M:M,AM:AM,AM875)+SUMIFS(O:O,AM:AM,AM875)</f>
      </c>
      <c r="AQ875" s="116">
        <f>SUMIFS(L:L,AM:AM,AM875)</f>
      </c>
      <c r="AR875" s="116">
        <f>AQ875-AP875</f>
      </c>
      <c r="AS875" s="94" t="str">
        <f>IF(AN875&gt;=AQ875,"ok","ck")</f>
      </c>
      <c r="AT875" s="116">
        <f>-P875</f>
      </c>
      <c r="AU875" s="115">
        <f>IF(SUMIFS(AT:AT,AM:AM,AM875)&gt;AO875,(SUMIFS(AT:AT,AM:AM,AM875)-AO875))</f>
      </c>
      <c r="AV875" s="116">
        <v>836</v>
      </c>
      <c r="AW875" s="121">
        <v>1.002</v>
      </c>
      <c r="AX875" s="115">
        <f>AN875-AP875</f>
      </c>
    </row>
    <row r="876" spans="1:50" ht="15" hidden="1" customHeight="1" x14ac:dyDescent="0.3">
      <c r="A876" s="94" t="s">
        <v>82</v>
      </c>
      <c r="B876" s="94"/>
      <c r="C876" s="94"/>
      <c r="D876" s="94"/>
      <c r="E876" s="94"/>
      <c r="F876" s="94"/>
      <c r="G876" s="112">
        <f>AU876</f>
      </c>
      <c r="H876" s="113"/>
      <c r="I876" s="94" t="s">
        <v>240</v>
      </c>
      <c r="J876" s="94" t="s">
        <v>66</v>
      </c>
      <c r="K876" s="114">
        <f>P876/3</f>
      </c>
      <c r="L876" s="115">
        <v>0</v>
      </c>
      <c r="M876" s="116"/>
      <c r="N876" s="117">
        <f>M876-L876</f>
      </c>
      <c r="O876" s="112"/>
      <c r="P876" s="118">
        <f>N876+O876</f>
      </c>
      <c r="Q876" s="94" t="s">
        <v>242</v>
      </c>
      <c r="R876" s="94" t="s">
        <v>63</v>
      </c>
      <c r="S876" s="119">
        <v>46320</v>
      </c>
      <c r="T876" s="119"/>
      <c r="U876" s="119">
        <v>46320</v>
      </c>
      <c r="V876" s="94"/>
      <c r="W876" s="94"/>
      <c r="X876" s="94"/>
      <c r="Y876" s="119">
        <v>46320</v>
      </c>
      <c r="Z876" s="94"/>
      <c r="AA876" s="120"/>
      <c r="AB876" s="120"/>
      <c r="AC876" s="120"/>
      <c r="AD876" s="120"/>
      <c r="AE876" s="120"/>
      <c r="AF876" s="120"/>
      <c r="AG876" s="94"/>
      <c r="AH876" s="120"/>
      <c r="AI876" s="94"/>
      <c r="AJ876" s="94" t="s">
        <v>243</v>
      </c>
      <c r="AK876" s="94" t="s">
        <v>66</v>
      </c>
      <c r="AL876" s="94">
        <v>190</v>
      </c>
      <c r="AM876" s="94" t="str">
        <f>TRIM(AJ876)&amp;TRIM(AL876)&amp;TRIM(AK876)</f>
      </c>
      <c r="AN876" s="116">
        <v>77382.29</v>
      </c>
      <c r="AO876" s="116">
        <v>1396.71</v>
      </c>
      <c r="AP876" s="116">
        <f>SUMIFS(M:M,AM:AM,AM876)+SUMIFS(O:O,AM:AM,AM876)</f>
      </c>
      <c r="AQ876" s="116">
        <f>SUMIFS(L:L,AM:AM,AM876)</f>
      </c>
      <c r="AR876" s="116">
        <f>AQ876-AP876</f>
      </c>
      <c r="AS876" s="94" t="str">
        <f>IF(AN876&gt;=AQ876,"ok","ck")</f>
      </c>
      <c r="AT876" s="116">
        <f>-P876</f>
      </c>
      <c r="AU876" s="115">
        <f>IF(SUMIFS(AT:AT,AM:AM,AM876)&gt;AO876,(SUMIFS(AT:AT,AM:AM,AM876)-AO876))</f>
      </c>
      <c r="AV876" s="116">
        <v>9721.87</v>
      </c>
      <c r="AW876" s="121">
        <v>0.914</v>
      </c>
      <c r="AX876" s="115">
        <f>AN876-AP876</f>
      </c>
    </row>
    <row r="877" spans="1:50" ht="15" hidden="1" customHeight="1" x14ac:dyDescent="0.3">
      <c r="A877" s="94" t="s">
        <v>82</v>
      </c>
      <c r="B877" s="94"/>
      <c r="C877" s="94"/>
      <c r="D877" s="94"/>
      <c r="E877" s="94"/>
      <c r="F877" s="94"/>
      <c r="G877" s="112">
        <f>AU877</f>
      </c>
      <c r="H877" s="113"/>
      <c r="I877" s="94" t="s">
        <v>240</v>
      </c>
      <c r="J877" s="94" t="s">
        <v>66</v>
      </c>
      <c r="K877" s="114">
        <f>P877/3</f>
      </c>
      <c r="L877" s="115">
        <v>0</v>
      </c>
      <c r="M877" s="116"/>
      <c r="N877" s="117">
        <f>M877-L877</f>
      </c>
      <c r="O877" s="112"/>
      <c r="P877" s="118">
        <f>N877+O877</f>
      </c>
      <c r="Q877" s="94" t="s">
        <v>242</v>
      </c>
      <c r="R877" s="94" t="s">
        <v>63</v>
      </c>
      <c r="S877" s="119">
        <v>46320</v>
      </c>
      <c r="T877" s="119"/>
      <c r="U877" s="120">
        <v>46320</v>
      </c>
      <c r="V877" s="94"/>
      <c r="W877" s="94"/>
      <c r="X877" s="94"/>
      <c r="Y877" s="119">
        <v>46320</v>
      </c>
      <c r="Z877" s="94"/>
      <c r="AA877" s="120"/>
      <c r="AB877" s="120"/>
      <c r="AC877" s="120"/>
      <c r="AD877" s="120"/>
      <c r="AE877" s="120"/>
      <c r="AF877" s="120"/>
      <c r="AG877" s="94"/>
      <c r="AH877" s="120"/>
      <c r="AI877" s="94"/>
      <c r="AJ877" s="94" t="s">
        <v>243</v>
      </c>
      <c r="AK877" s="94" t="s">
        <v>66</v>
      </c>
      <c r="AL877" s="94">
        <v>190</v>
      </c>
      <c r="AM877" s="94" t="str">
        <f>TRIM(AJ877)&amp;TRIM(AL877)&amp;TRIM(AK877)</f>
      </c>
      <c r="AN877" s="116">
        <v>77382.29</v>
      </c>
      <c r="AO877" s="116">
        <v>1396.71</v>
      </c>
      <c r="AP877" s="116">
        <f>SUMIFS(M:M,AM:AM,AM877)+SUMIFS(O:O,AM:AM,AM877)</f>
      </c>
      <c r="AQ877" s="116">
        <f>SUMIFS(L:L,AM:AM,AM877)</f>
      </c>
      <c r="AR877" s="116">
        <f>AQ877-AP877</f>
      </c>
      <c r="AS877" s="94" t="str">
        <f>IF(AN877&gt;=AQ877,"ok","ck")</f>
      </c>
      <c r="AT877" s="116">
        <f>-P877</f>
      </c>
      <c r="AU877" s="115">
        <f>IF(SUMIFS(AT:AT,AM:AM,AM877)&gt;AO877,(SUMIFS(AT:AT,AM:AM,AM877)-AO877))</f>
      </c>
      <c r="AV877" s="116">
        <v>9721.87</v>
      </c>
      <c r="AW877" s="121">
        <v>0.914</v>
      </c>
      <c r="AX877" s="115">
        <f>AN877-AP877</f>
      </c>
    </row>
    <row r="878" spans="1:50" ht="15" hidden="1" customHeight="1" x14ac:dyDescent="0.3">
      <c r="A878" s="94" t="s">
        <v>82</v>
      </c>
      <c r="B878" s="94"/>
      <c r="C878" s="94"/>
      <c r="D878" s="94"/>
      <c r="E878" s="94"/>
      <c r="F878" s="94"/>
      <c r="G878" s="112">
        <f>AU878</f>
      </c>
      <c r="H878" s="113"/>
      <c r="I878" s="94" t="s">
        <v>240</v>
      </c>
      <c r="J878" s="94" t="s">
        <v>66</v>
      </c>
      <c r="K878" s="114">
        <f>P878/3</f>
      </c>
      <c r="L878" s="115">
        <v>0</v>
      </c>
      <c r="M878" s="116"/>
      <c r="N878" s="117">
        <f>M878-L878</f>
      </c>
      <c r="O878" s="112"/>
      <c r="P878" s="118">
        <f>N878+O878</f>
      </c>
      <c r="Q878" s="94" t="s">
        <v>242</v>
      </c>
      <c r="R878" s="94" t="s">
        <v>63</v>
      </c>
      <c r="S878" s="119">
        <v>46320</v>
      </c>
      <c r="T878" s="119"/>
      <c r="U878" s="120">
        <v>46320</v>
      </c>
      <c r="V878" s="94"/>
      <c r="W878" s="94"/>
      <c r="X878" s="94"/>
      <c r="Y878" s="119">
        <v>46320</v>
      </c>
      <c r="Z878" s="94"/>
      <c r="AA878" s="120"/>
      <c r="AB878" s="120"/>
      <c r="AC878" s="120"/>
      <c r="AD878" s="120"/>
      <c r="AE878" s="120"/>
      <c r="AF878" s="120"/>
      <c r="AG878" s="94"/>
      <c r="AH878" s="120"/>
      <c r="AI878" s="94"/>
      <c r="AJ878" s="94" t="s">
        <v>243</v>
      </c>
      <c r="AK878" s="94" t="s">
        <v>66</v>
      </c>
      <c r="AL878" s="94">
        <v>190</v>
      </c>
      <c r="AM878" s="94" t="str">
        <f>TRIM(AJ878)&amp;TRIM(AL878)&amp;TRIM(AK878)</f>
      </c>
      <c r="AN878" s="116">
        <v>77382.29</v>
      </c>
      <c r="AO878" s="116">
        <v>1396.71</v>
      </c>
      <c r="AP878" s="116">
        <f>SUMIFS(M:M,AM:AM,AM878)+SUMIFS(O:O,AM:AM,AM878)</f>
      </c>
      <c r="AQ878" s="116">
        <f>SUMIFS(L:L,AM:AM,AM878)</f>
      </c>
      <c r="AR878" s="116">
        <f>AQ878-AP878</f>
      </c>
      <c r="AS878" s="94" t="str">
        <f>IF(AN878&gt;=AQ878,"ok","ck")</f>
      </c>
      <c r="AT878" s="116">
        <f>-P878</f>
      </c>
      <c r="AU878" s="115">
        <f>IF(SUMIFS(AT:AT,AM:AM,AM878)&gt;AO878,(SUMIFS(AT:AT,AM:AM,AM878)-AO878))</f>
      </c>
      <c r="AV878" s="116">
        <v>9721.87</v>
      </c>
      <c r="AW878" s="121">
        <v>0.914</v>
      </c>
      <c r="AX878" s="115">
        <f>AN878-AP878</f>
      </c>
    </row>
    <row r="879" spans="1:50" ht="15" hidden="1" customHeight="1" x14ac:dyDescent="0.3">
      <c r="A879" s="94" t="s">
        <v>268</v>
      </c>
      <c r="B879" s="94"/>
      <c r="C879" s="94"/>
      <c r="D879" s="94"/>
      <c r="E879" s="94"/>
      <c r="F879" s="94"/>
      <c r="G879" s="112">
        <f>AU879</f>
      </c>
      <c r="H879" s="113"/>
      <c r="I879" s="94" t="s">
        <v>390</v>
      </c>
      <c r="J879" s="94" t="s">
        <v>333</v>
      </c>
      <c r="K879" s="114">
        <f>P879/3</f>
      </c>
      <c r="L879" s="115">
        <v>1.7999999999999999E-2</v>
      </c>
      <c r="M879" s="116">
        <f>L879</f>
      </c>
      <c r="N879" s="117">
        <f>M879-L879</f>
      </c>
      <c r="O879" s="112"/>
      <c r="P879" s="118">
        <f>N879+O879</f>
      </c>
      <c r="Q879" s="94" t="s">
        <v>344</v>
      </c>
      <c r="R879" s="94" t="s">
        <v>63</v>
      </c>
      <c r="S879" s="119">
        <v>46320</v>
      </c>
      <c r="T879" s="119"/>
      <c r="U879" s="119">
        <v>46320</v>
      </c>
      <c r="V879" s="94"/>
      <c r="W879" s="94"/>
      <c r="X879" s="94"/>
      <c r="Y879" s="119">
        <v>46320</v>
      </c>
      <c r="Z879" s="94"/>
      <c r="AA879" s="120"/>
      <c r="AB879" s="120"/>
      <c r="AC879" s="120"/>
      <c r="AD879" s="120"/>
      <c r="AE879" s="120"/>
      <c r="AF879" s="120"/>
      <c r="AG879" s="94"/>
      <c r="AH879" s="120"/>
      <c r="AI879" s="94"/>
      <c r="AJ879" s="94" t="s">
        <v>344</v>
      </c>
      <c r="AK879" s="94" t="s">
        <v>334</v>
      </c>
      <c r="AL879" s="94">
        <v>140</v>
      </c>
      <c r="AM879" s="94" t="str">
        <f>TRIM(AJ879)&amp;TRIM(AL879)&amp;TRIM(AK879)</f>
      </c>
      <c r="AN879" s="116">
        <v>198</v>
      </c>
      <c r="AO879" s="116">
        <v>2</v>
      </c>
      <c r="AP879" s="116">
        <f>SUMIFS(M:M,AM:AM,AM879)+SUMIFS(O:O,AM:AM,AM879)</f>
      </c>
      <c r="AQ879" s="116">
        <f>SUMIFS(L:L,AM:AM,AM879)</f>
      </c>
      <c r="AR879" s="116">
        <f>AQ879-AP879</f>
      </c>
      <c r="AS879" s="94" t="str">
        <f>IF(AN879&gt;=AQ879,"ok","ck")</f>
      </c>
      <c r="AT879" s="116">
        <f>-P879</f>
      </c>
      <c r="AU879" s="115">
        <f>IF(SUMIFS(AT:AT,AM:AM,AM879)&gt;AO879,(SUMIFS(AT:AT,AM:AM,AM879)-AO879))</f>
      </c>
      <c r="AV879" s="116">
        <v>198</v>
      </c>
      <c r="AW879" s="121">
        <v>0.99</v>
      </c>
      <c r="AX879" s="115">
        <f>AN879-AP879</f>
      </c>
    </row>
    <row r="880" spans="1:50" ht="15" hidden="1" customHeight="1" x14ac:dyDescent="0.3">
      <c r="A880" s="94" t="s">
        <v>268</v>
      </c>
      <c r="B880" s="94"/>
      <c r="C880" s="94"/>
      <c r="D880" s="94"/>
      <c r="E880" s="94"/>
      <c r="F880" s="94"/>
      <c r="G880" s="112">
        <f>AU880</f>
      </c>
      <c r="H880" s="113"/>
      <c r="I880" s="94" t="s">
        <v>390</v>
      </c>
      <c r="J880" s="94" t="s">
        <v>333</v>
      </c>
      <c r="K880" s="114">
        <f>P880/3</f>
      </c>
      <c r="L880" s="115">
        <v>5.5389999999999997</v>
      </c>
      <c r="M880" s="116">
        <f>L880</f>
      </c>
      <c r="N880" s="117">
        <f>M880-L880</f>
      </c>
      <c r="O880" s="112"/>
      <c r="P880" s="118">
        <f>N880+O880</f>
      </c>
      <c r="Q880" s="94" t="s">
        <v>344</v>
      </c>
      <c r="R880" s="94" t="s">
        <v>63</v>
      </c>
      <c r="S880" s="120">
        <v>46320</v>
      </c>
      <c r="T880" s="120"/>
      <c r="U880" s="120">
        <v>46320</v>
      </c>
      <c r="V880" s="94"/>
      <c r="W880" s="94"/>
      <c r="X880" s="94"/>
      <c r="Y880" s="119">
        <v>46320</v>
      </c>
      <c r="Z880" s="94"/>
      <c r="AA880" s="120"/>
      <c r="AB880" s="120"/>
      <c r="AC880" s="120"/>
      <c r="AD880" s="120"/>
      <c r="AE880" s="120"/>
      <c r="AF880" s="120"/>
      <c r="AG880" s="94"/>
      <c r="AH880" s="120"/>
      <c r="AI880" s="94"/>
      <c r="AJ880" s="94" t="s">
        <v>344</v>
      </c>
      <c r="AK880" s="94" t="s">
        <v>334</v>
      </c>
      <c r="AL880" s="94">
        <v>140</v>
      </c>
      <c r="AM880" s="94" t="str">
        <f>TRIM(AJ880)&amp;TRIM(AL880)&amp;TRIM(AK880)</f>
      </c>
      <c r="AN880" s="116">
        <v>198</v>
      </c>
      <c r="AO880" s="116">
        <v>2</v>
      </c>
      <c r="AP880" s="116">
        <f>SUMIFS(M:M,AM:AM,AM880)+SUMIFS(O:O,AM:AM,AM880)</f>
      </c>
      <c r="AQ880" s="116">
        <f>SUMIFS(L:L,AM:AM,AM880)</f>
      </c>
      <c r="AR880" s="116">
        <f>AQ880-AP880</f>
      </c>
      <c r="AS880" s="94" t="str">
        <f>IF(AN880&gt;=AQ880,"ok","ck")</f>
      </c>
      <c r="AT880" s="116">
        <f>-P880</f>
      </c>
      <c r="AU880" s="115">
        <f>IF(SUMIFS(AT:AT,AM:AM,AM880)&gt;AO880,(SUMIFS(AT:AT,AM:AM,AM880)-AO880))</f>
      </c>
      <c r="AV880" s="116">
        <v>198</v>
      </c>
      <c r="AW880" s="121">
        <v>0.99</v>
      </c>
      <c r="AX880" s="115">
        <f>AN880-AP880</f>
      </c>
    </row>
    <row r="881" spans="1:50" ht="15" hidden="1" customHeight="1" x14ac:dyDescent="0.3">
      <c r="A881" s="94" t="s">
        <v>60</v>
      </c>
      <c r="B881" s="94"/>
      <c r="C881" s="94"/>
      <c r="D881" s="94"/>
      <c r="E881" s="94"/>
      <c r="F881" s="94"/>
      <c r="G881" s="112">
        <f>AU881</f>
      </c>
      <c r="H881" s="113"/>
      <c r="I881" s="94" t="s">
        <v>65</v>
      </c>
      <c r="J881" s="94" t="s">
        <v>541</v>
      </c>
      <c r="K881" s="114">
        <f>P881/3</f>
      </c>
      <c r="L881" s="115">
        <v>0.39</v>
      </c>
      <c r="M881" s="116"/>
      <c r="N881" s="117">
        <f>M881-L881</f>
      </c>
      <c r="O881" s="112"/>
      <c r="P881" s="118">
        <f>N881+O881</f>
      </c>
      <c r="Q881" s="94" t="s">
        <v>785</v>
      </c>
      <c r="R881" s="94" t="s">
        <v>63</v>
      </c>
      <c r="S881" s="120">
        <v>46331</v>
      </c>
      <c r="T881" s="120"/>
      <c r="U881" s="120">
        <v>46331</v>
      </c>
      <c r="V881" s="94"/>
      <c r="W881" s="94"/>
      <c r="X881" s="94"/>
      <c r="Y881" s="119">
        <v>46331</v>
      </c>
      <c r="Z881" s="94"/>
      <c r="AA881" s="120"/>
      <c r="AB881" s="120"/>
      <c r="AC881" s="120"/>
      <c r="AD881" s="120"/>
      <c r="AE881" s="120"/>
      <c r="AF881" s="120"/>
      <c r="AG881" s="94"/>
      <c r="AH881" s="120"/>
      <c r="AI881" s="94"/>
      <c r="AJ881" s="94" t="s">
        <v>785</v>
      </c>
      <c r="AK881" s="94" t="s">
        <v>541</v>
      </c>
      <c r="AL881" s="94">
        <v>110</v>
      </c>
      <c r="AM881" s="94" t="str">
        <f>TRIM(AJ881)&amp;TRIM(AL881)&amp;TRIM(AK881)</f>
      </c>
      <c r="AN881" s="116">
        <v>47</v>
      </c>
      <c r="AO881" s="116">
        <v>1911</v>
      </c>
      <c r="AP881" s="116">
        <f>SUMIFS(M:M,AM:AM,AM881)+SUMIFS(O:O,AM:AM,AM881)</f>
      </c>
      <c r="AQ881" s="116">
        <f>SUMIFS(L:L,AM:AM,AM881)</f>
      </c>
      <c r="AR881" s="116">
        <f>AQ881-AP881</f>
      </c>
      <c r="AS881" s="94" t="str">
        <f>IF(AN881&gt;=AQ881,"ok","ck")</f>
      </c>
      <c r="AT881" s="116">
        <f>-P881</f>
      </c>
      <c r="AU881" s="115">
        <f>IF(SUMIFS(AT:AT,AM:AM,AM881)&gt;AO881,(SUMIFS(AT:AT,AM:AM,AM881)-AO881))</f>
      </c>
      <c r="AV881" s="116">
        <v>47</v>
      </c>
      <c r="AW881" s="121">
        <v>0.024</v>
      </c>
      <c r="AX881" s="115">
        <f>AN881-AP881</f>
      </c>
    </row>
    <row r="882" spans="1:50" ht="15" hidden="1" customHeight="1" x14ac:dyDescent="0.3">
      <c r="A882" s="94" t="s">
        <v>268</v>
      </c>
      <c r="B882" s="94"/>
      <c r="C882" s="94"/>
      <c r="D882" s="94"/>
      <c r="E882" s="94"/>
      <c r="F882" s="94"/>
      <c r="G882" s="112">
        <f>AU882</f>
      </c>
      <c r="H882" s="113"/>
      <c r="I882" s="94" t="s">
        <v>390</v>
      </c>
      <c r="J882" s="94" t="s">
        <v>326</v>
      </c>
      <c r="K882" s="114">
        <f>P882/3</f>
      </c>
      <c r="L882" s="115">
        <v>0</v>
      </c>
      <c r="M882" s="116">
        <f>L882</f>
      </c>
      <c r="N882" s="117">
        <f>M882-L882</f>
      </c>
      <c r="O882" s="112"/>
      <c r="P882" s="118">
        <f>N882+O882</f>
      </c>
      <c r="Q882" s="94" t="s">
        <v>344</v>
      </c>
      <c r="R882" s="94" t="s">
        <v>63</v>
      </c>
      <c r="S882" s="120">
        <v>46320</v>
      </c>
      <c r="T882" s="120"/>
      <c r="U882" s="120">
        <v>46320</v>
      </c>
      <c r="V882" s="94"/>
      <c r="W882" s="94"/>
      <c r="X882" s="94"/>
      <c r="Y882" s="119">
        <v>46320</v>
      </c>
      <c r="Z882" s="94"/>
      <c r="AA882" s="120"/>
      <c r="AB882" s="120"/>
      <c r="AC882" s="120"/>
      <c r="AD882" s="120"/>
      <c r="AE882" s="120"/>
      <c r="AF882" s="120"/>
      <c r="AG882" s="94"/>
      <c r="AH882" s="120"/>
      <c r="AI882" s="94"/>
      <c r="AJ882" s="94" t="s">
        <v>344</v>
      </c>
      <c r="AK882" s="94" t="s">
        <v>327</v>
      </c>
      <c r="AL882" s="94">
        <v>140</v>
      </c>
      <c r="AM882" s="94" t="str">
        <f>TRIM(AJ882)&amp;TRIM(AL882)&amp;TRIM(AK882)</f>
      </c>
      <c r="AN882" s="116">
        <v>195</v>
      </c>
      <c r="AO882" s="116">
        <v>5</v>
      </c>
      <c r="AP882" s="116">
        <f>SUMIFS(M:M,AM:AM,AM882)+SUMIFS(O:O,AM:AM,AM882)</f>
      </c>
      <c r="AQ882" s="116">
        <f>SUMIFS(L:L,AM:AM,AM882)</f>
      </c>
      <c r="AR882" s="116">
        <f>AQ882-AP882</f>
      </c>
      <c r="AS882" s="94" t="str">
        <f>IF(AN882&gt;=AQ882,"ok","ck")</f>
      </c>
      <c r="AT882" s="116">
        <f>-P882</f>
      </c>
      <c r="AU882" s="115">
        <f>IF(SUMIFS(AT:AT,AM:AM,AM882)&gt;AO882,(SUMIFS(AT:AT,AM:AM,AM882)-AO882))</f>
      </c>
      <c r="AV882" s="116">
        <v>195</v>
      </c>
      <c r="AW882" s="121">
        <v>0.975</v>
      </c>
      <c r="AX882" s="115">
        <f>AN882-AP882</f>
      </c>
    </row>
    <row r="883" spans="1:50" ht="15" hidden="1" customHeight="1" x14ac:dyDescent="0.3">
      <c r="A883" s="94" t="s">
        <v>480</v>
      </c>
      <c r="B883" s="94"/>
      <c r="C883" s="94"/>
      <c r="D883" s="94"/>
      <c r="E883" s="94"/>
      <c r="F883" s="94"/>
      <c r="G883" s="112">
        <f>AU883</f>
      </c>
      <c r="H883" s="113"/>
      <c r="I883" s="94" t="s">
        <v>486</v>
      </c>
      <c r="J883" s="94" t="s">
        <v>515</v>
      </c>
      <c r="K883" s="114">
        <f>P883/3</f>
      </c>
      <c r="L883" s="115">
        <v>6.6000000000000003E-2</v>
      </c>
      <c r="M883" s="116">
        <f>L883</f>
      </c>
      <c r="N883" s="117">
        <f>M883-L883</f>
      </c>
      <c r="O883" s="112"/>
      <c r="P883" s="118">
        <f>N883+O883</f>
      </c>
      <c r="Q883" s="94" t="s">
        <v>782</v>
      </c>
      <c r="R883" s="94" t="s">
        <v>63</v>
      </c>
      <c r="S883" s="119">
        <v>46332</v>
      </c>
      <c r="T883" s="119"/>
      <c r="U883" s="119">
        <v>46332</v>
      </c>
      <c r="V883" s="94"/>
      <c r="W883" s="94"/>
      <c r="X883" s="94"/>
      <c r="Y883" s="119">
        <v>46338</v>
      </c>
      <c r="Z883" s="94"/>
      <c r="AA883" s="120"/>
      <c r="AB883" s="120"/>
      <c r="AC883" s="120"/>
      <c r="AD883" s="120"/>
      <c r="AE883" s="120"/>
      <c r="AF883" s="120"/>
      <c r="AG883" s="94"/>
      <c r="AH883" s="120"/>
      <c r="AI883" s="94"/>
      <c r="AJ883" s="94" t="s">
        <v>782</v>
      </c>
      <c r="AK883" s="94" t="s">
        <v>71</v>
      </c>
      <c r="AL883" s="94">
        <v>165</v>
      </c>
      <c r="AM883" s="94" t="str">
        <f>TRIM(AJ883)&amp;TRIM(AL883)&amp;TRIM(AK883)</f>
      </c>
      <c r="AN883" s="116">
        <v>70.59</v>
      </c>
      <c r="AO883" s="116">
        <v>-4.59</v>
      </c>
      <c r="AP883" s="116">
        <f>SUMIFS(M:M,AM:AM,AM883)+SUMIFS(O:O,AM:AM,AM883)</f>
      </c>
      <c r="AQ883" s="116">
        <f>SUMIFS(L:L,AM:AM,AM883)</f>
      </c>
      <c r="AR883" s="116">
        <f>AQ883-AP883</f>
      </c>
      <c r="AS883" s="94" t="str">
        <f>IF(AN883&gt;=AQ883,"ok","ck")</f>
      </c>
      <c r="AT883" s="116">
        <f>-P883</f>
      </c>
      <c r="AU883" s="115">
        <f>IF(SUMIFS(AT:AT,AM:AM,AM883)&gt;AO883,(SUMIFS(AT:AT,AM:AM,AM883)-AO883))</f>
      </c>
      <c r="AV883" s="116">
        <v>70.59</v>
      </c>
      <c r="AW883" s="121">
        <v>1.07</v>
      </c>
      <c r="AX883" s="115">
        <f>AN883-AP883</f>
      </c>
    </row>
    <row r="884" spans="1:50" ht="15" hidden="1" customHeight="1" x14ac:dyDescent="0.3">
      <c r="A884" s="94" t="s">
        <v>263</v>
      </c>
      <c r="B884" s="94"/>
      <c r="C884" s="94"/>
      <c r="D884" s="94"/>
      <c r="E884" s="94"/>
      <c r="F884" s="94"/>
      <c r="G884" s="112">
        <f>AU884</f>
      </c>
      <c r="H884" s="113"/>
      <c r="I884" s="94" t="s">
        <v>264</v>
      </c>
      <c r="J884" s="94" t="s">
        <v>286</v>
      </c>
      <c r="K884" s="114">
        <f>P884/3</f>
      </c>
      <c r="L884" s="115">
        <v>-8.9809999999999999</v>
      </c>
      <c r="M884" s="116">
        <f>L884</f>
      </c>
      <c r="N884" s="117">
        <f>M884-L884</f>
      </c>
      <c r="O884" s="112"/>
      <c r="P884" s="118">
        <f>N884+O884</f>
      </c>
      <c r="Q884" s="94" t="s">
        <v>361</v>
      </c>
      <c r="R884" s="94" t="s">
        <v>63</v>
      </c>
      <c r="S884" s="119">
        <v>46320</v>
      </c>
      <c r="T884" s="119"/>
      <c r="U884" s="119">
        <v>46320</v>
      </c>
      <c r="V884" s="94"/>
      <c r="W884" s="94"/>
      <c r="X884" s="94"/>
      <c r="Y884" s="119">
        <v>46320</v>
      </c>
      <c r="Z884" s="94"/>
      <c r="AA884" s="120"/>
      <c r="AB884" s="120"/>
      <c r="AC884" s="120"/>
      <c r="AD884" s="120"/>
      <c r="AE884" s="120"/>
      <c r="AF884" s="120"/>
      <c r="AG884" s="94"/>
      <c r="AH884" s="120"/>
      <c r="AI884" s="94"/>
      <c r="AJ884" s="94" t="s">
        <v>361</v>
      </c>
      <c r="AK884" s="94" t="s">
        <v>281</v>
      </c>
      <c r="AL884" s="94">
        <v>120</v>
      </c>
      <c r="AM884" s="94" t="str">
        <f>TRIM(AJ884)&amp;TRIM(AL884)&amp;TRIM(AK884)</f>
      </c>
      <c r="AN884" s="116">
        <v>3441</v>
      </c>
      <c r="AO884" s="116">
        <v>-50</v>
      </c>
      <c r="AP884" s="116">
        <f>SUMIFS(M:M,AM:AM,AM884)+SUMIFS(O:O,AM:AM,AM884)</f>
      </c>
      <c r="AQ884" s="116">
        <f>SUMIFS(L:L,AM:AM,AM884)</f>
      </c>
      <c r="AR884" s="116">
        <f>AQ884-AP884</f>
      </c>
      <c r="AS884" s="94" t="str">
        <f>IF(AN884&gt;=AQ884,"ok","ck")</f>
      </c>
      <c r="AT884" s="116">
        <f>-P884</f>
      </c>
      <c r="AU884" s="115">
        <f>IF(SUMIFS(AT:AT,AM:AM,AM884)&gt;AO884,(SUMIFS(AT:AT,AM:AM,AM884)-AO884))</f>
      </c>
      <c r="AV884" s="116">
        <v>3441</v>
      </c>
      <c r="AW884" s="121">
        <v>1.015</v>
      </c>
      <c r="AX884" s="115">
        <f>AN884-AP884</f>
      </c>
    </row>
    <row r="885" spans="1:50" ht="15" hidden="1" customHeight="1" x14ac:dyDescent="0.3">
      <c r="A885" s="94" t="s">
        <v>268</v>
      </c>
      <c r="B885" s="94"/>
      <c r="C885" s="94"/>
      <c r="D885" s="94"/>
      <c r="E885" s="94"/>
      <c r="F885" s="94"/>
      <c r="G885" s="112">
        <f>AU885</f>
      </c>
      <c r="H885" s="113"/>
      <c r="I885" s="94" t="s">
        <v>390</v>
      </c>
      <c r="J885" s="94" t="s">
        <v>273</v>
      </c>
      <c r="K885" s="114">
        <f>P885/3</f>
      </c>
      <c r="L885" s="115">
        <v>-2.44</v>
      </c>
      <c r="M885" s="116">
        <f>L885</f>
      </c>
      <c r="N885" s="117">
        <f>M885-L885</f>
      </c>
      <c r="O885" s="112"/>
      <c r="P885" s="118">
        <f>N885+O885</f>
      </c>
      <c r="Q885" s="94" t="s">
        <v>287</v>
      </c>
      <c r="R885" s="94" t="s">
        <v>63</v>
      </c>
      <c r="S885" s="119">
        <v>46320</v>
      </c>
      <c r="T885" s="119"/>
      <c r="U885" s="119">
        <v>46320</v>
      </c>
      <c r="V885" s="94"/>
      <c r="W885" s="94"/>
      <c r="X885" s="94"/>
      <c r="Y885" s="119">
        <v>46320</v>
      </c>
      <c r="Z885" s="94"/>
      <c r="AA885" s="120"/>
      <c r="AB885" s="120"/>
      <c r="AC885" s="120"/>
      <c r="AD885" s="120"/>
      <c r="AE885" s="120"/>
      <c r="AF885" s="120"/>
      <c r="AG885" s="94"/>
      <c r="AH885" s="120"/>
      <c r="AI885" s="94"/>
      <c r="AJ885" s="94" t="s">
        <v>287</v>
      </c>
      <c r="AK885" s="94" t="s">
        <v>274</v>
      </c>
      <c r="AL885" s="94">
        <v>140</v>
      </c>
      <c r="AM885" s="94" t="str">
        <f>TRIM(AJ885)&amp;TRIM(AL885)&amp;TRIM(AK885)</f>
      </c>
      <c r="AN885" s="116">
        <v>5765</v>
      </c>
      <c r="AO885" s="116">
        <v>-277.93</v>
      </c>
      <c r="AP885" s="116">
        <f>SUMIFS(M:M,AM:AM,AM885)+SUMIFS(O:O,AM:AM,AM885)</f>
      </c>
      <c r="AQ885" s="116">
        <f>SUMIFS(L:L,AM:AM,AM885)</f>
      </c>
      <c r="AR885" s="116">
        <f>AQ885-AP885</f>
      </c>
      <c r="AS885" s="94" t="str">
        <f>IF(AN885&gt;=AQ885,"ok","ck")</f>
      </c>
      <c r="AT885" s="116">
        <f>-P885</f>
      </c>
      <c r="AU885" s="115">
        <f>IF(SUMIFS(AT:AT,AM:AM,AM885)&gt;AO885,(SUMIFS(AT:AT,AM:AM,AM885)-AO885))</f>
      </c>
      <c r="AV885" s="116">
        <v>5765</v>
      </c>
      <c r="AW885" s="121">
        <v>1.051</v>
      </c>
      <c r="AX885" s="115">
        <f>AN885-AP885</f>
      </c>
    </row>
    <row r="886" spans="1:50" ht="15" hidden="1" customHeight="1" x14ac:dyDescent="0.3">
      <c r="A886" s="94" t="s">
        <v>263</v>
      </c>
      <c r="B886" s="94"/>
      <c r="C886" s="94"/>
      <c r="D886" s="94"/>
      <c r="E886" s="94"/>
      <c r="F886" s="94"/>
      <c r="G886" s="112">
        <f>AU886</f>
      </c>
      <c r="H886" s="113"/>
      <c r="I886" s="94" t="s">
        <v>264</v>
      </c>
      <c r="J886" s="94" t="s">
        <v>281</v>
      </c>
      <c r="K886" s="114">
        <f>P886/3</f>
      </c>
      <c r="L886" s="115">
        <v>0</v>
      </c>
      <c r="M886" s="116">
        <f>L886</f>
      </c>
      <c r="N886" s="117">
        <f>M886-L886</f>
      </c>
      <c r="O886" s="112"/>
      <c r="P886" s="118">
        <f>N886+O886</f>
      </c>
      <c r="Q886" s="94" t="s">
        <v>788</v>
      </c>
      <c r="R886" s="94" t="s">
        <v>63</v>
      </c>
      <c r="S886" s="119">
        <v>46342</v>
      </c>
      <c r="T886" s="119"/>
      <c r="U886" s="119">
        <v>46342</v>
      </c>
      <c r="V886" s="94"/>
      <c r="W886" s="94"/>
      <c r="X886" s="94"/>
      <c r="Y886" s="119">
        <v>46342</v>
      </c>
      <c r="Z886" s="94"/>
      <c r="AA886" s="120"/>
      <c r="AB886" s="120"/>
      <c r="AC886" s="120"/>
      <c r="AD886" s="120"/>
      <c r="AE886" s="120"/>
      <c r="AF886" s="120"/>
      <c r="AG886" s="94"/>
      <c r="AH886" s="120"/>
      <c r="AI886" s="94"/>
      <c r="AJ886" s="94" t="s">
        <v>788</v>
      </c>
      <c r="AK886" s="94" t="s">
        <v>281</v>
      </c>
      <c r="AL886" s="94">
        <v>120</v>
      </c>
      <c r="AM886" s="94" t="str">
        <f>TRIM(AJ886)&amp;TRIM(AL886)&amp;TRIM(AK886)</f>
      </c>
      <c r="AN886" s="116">
        <v>984</v>
      </c>
      <c r="AO886" s="116">
        <v>-59</v>
      </c>
      <c r="AP886" s="116">
        <f>SUMIFS(M:M,AM:AM,AM886)+SUMIFS(O:O,AM:AM,AM886)</f>
      </c>
      <c r="AQ886" s="116">
        <f>SUMIFS(L:L,AM:AM,AM886)</f>
      </c>
      <c r="AR886" s="116">
        <f>AQ886-AP886</f>
      </c>
      <c r="AS886" s="94" t="str">
        <f>IF(AN886&gt;=AQ886,"ok","ck")</f>
      </c>
      <c r="AT886" s="116">
        <f>-P886</f>
      </c>
      <c r="AU886" s="115">
        <f>IF(SUMIFS(AT:AT,AM:AM,AM886)&gt;AO886,(SUMIFS(AT:AT,AM:AM,AM886)-AO886))</f>
      </c>
      <c r="AV886" s="116">
        <v>984</v>
      </c>
      <c r="AW886" s="121">
        <v>1.064</v>
      </c>
      <c r="AX886" s="115">
        <f>AN886-AP886</f>
      </c>
    </row>
    <row r="887" spans="1:50" ht="15" hidden="1" customHeight="1" x14ac:dyDescent="0.3">
      <c r="A887" s="94" t="s">
        <v>263</v>
      </c>
      <c r="B887" s="94"/>
      <c r="C887" s="94"/>
      <c r="D887" s="94"/>
      <c r="E887" s="94"/>
      <c r="F887" s="94"/>
      <c r="G887" s="112">
        <f>AU887</f>
      </c>
      <c r="H887" s="113"/>
      <c r="I887" s="94" t="s">
        <v>264</v>
      </c>
      <c r="J887" s="94" t="s">
        <v>281</v>
      </c>
      <c r="K887" s="114">
        <f>P887/3</f>
      </c>
      <c r="L887" s="115">
        <v>0</v>
      </c>
      <c r="M887" s="116">
        <f>L887</f>
      </c>
      <c r="N887" s="117">
        <f>M887-L887</f>
      </c>
      <c r="O887" s="112"/>
      <c r="P887" s="118">
        <f>N887+O887</f>
      </c>
      <c r="Q887" s="94" t="s">
        <v>788</v>
      </c>
      <c r="R887" s="94" t="s">
        <v>63</v>
      </c>
      <c r="S887" s="119">
        <v>46336</v>
      </c>
      <c r="T887" s="119"/>
      <c r="U887" s="119">
        <v>46336</v>
      </c>
      <c r="V887" s="94"/>
      <c r="W887" s="94"/>
      <c r="X887" s="94"/>
      <c r="Y887" s="119">
        <v>46336</v>
      </c>
      <c r="Z887" s="94"/>
      <c r="AA887" s="120"/>
      <c r="AB887" s="120"/>
      <c r="AC887" s="120"/>
      <c r="AD887" s="120"/>
      <c r="AE887" s="120"/>
      <c r="AF887" s="120"/>
      <c r="AG887" s="94"/>
      <c r="AH887" s="120"/>
      <c r="AI887" s="94"/>
      <c r="AJ887" s="94" t="s">
        <v>788</v>
      </c>
      <c r="AK887" s="94" t="s">
        <v>281</v>
      </c>
      <c r="AL887" s="94">
        <v>120</v>
      </c>
      <c r="AM887" s="94" t="str">
        <f>TRIM(AJ887)&amp;TRIM(AL887)&amp;TRIM(AK887)</f>
      </c>
      <c r="AN887" s="116">
        <v>984</v>
      </c>
      <c r="AO887" s="116">
        <v>-59</v>
      </c>
      <c r="AP887" s="116">
        <f>SUMIFS(M:M,AM:AM,AM887)+SUMIFS(O:O,AM:AM,AM887)</f>
      </c>
      <c r="AQ887" s="116">
        <f>SUMIFS(L:L,AM:AM,AM887)</f>
      </c>
      <c r="AR887" s="116">
        <f>AQ887-AP887</f>
      </c>
      <c r="AS887" s="94" t="str">
        <f>IF(AN887&gt;=AQ887,"ok","ck")</f>
      </c>
      <c r="AT887" s="116">
        <f>-P887</f>
      </c>
      <c r="AU887" s="115">
        <f>IF(SUMIFS(AT:AT,AM:AM,AM887)&gt;AO887,(SUMIFS(AT:AT,AM:AM,AM887)-AO887))</f>
      </c>
      <c r="AV887" s="116">
        <v>984</v>
      </c>
      <c r="AW887" s="121">
        <v>1.064</v>
      </c>
      <c r="AX887" s="115">
        <f>AN887-AP887</f>
      </c>
    </row>
    <row r="888" spans="1:50" ht="15" hidden="1" customHeight="1" x14ac:dyDescent="0.3">
      <c r="A888" s="94" t="s">
        <v>263</v>
      </c>
      <c r="B888" s="94"/>
      <c r="C888" s="94"/>
      <c r="D888" s="94"/>
      <c r="E888" s="94"/>
      <c r="F888" s="94"/>
      <c r="G888" s="112">
        <f>AU888</f>
      </c>
      <c r="H888" s="113"/>
      <c r="I888" s="94" t="s">
        <v>264</v>
      </c>
      <c r="J888" s="94" t="s">
        <v>281</v>
      </c>
      <c r="K888" s="114">
        <f>P888/3</f>
      </c>
      <c r="L888" s="115">
        <v>0</v>
      </c>
      <c r="M888" s="116">
        <f>L888</f>
      </c>
      <c r="N888" s="117">
        <f>M888-L888</f>
      </c>
      <c r="O888" s="112"/>
      <c r="P888" s="118">
        <f>N888+O888</f>
      </c>
      <c r="Q888" s="94" t="s">
        <v>788</v>
      </c>
      <c r="R888" s="94" t="s">
        <v>63</v>
      </c>
      <c r="S888" s="119">
        <v>46337</v>
      </c>
      <c r="T888" s="119"/>
      <c r="U888" s="119">
        <v>46337</v>
      </c>
      <c r="V888" s="94"/>
      <c r="W888" s="94"/>
      <c r="X888" s="94"/>
      <c r="Y888" s="119">
        <v>46337</v>
      </c>
      <c r="Z888" s="94"/>
      <c r="AA888" s="120"/>
      <c r="AB888" s="120"/>
      <c r="AC888" s="120"/>
      <c r="AD888" s="120"/>
      <c r="AE888" s="120"/>
      <c r="AF888" s="120"/>
      <c r="AG888" s="94"/>
      <c r="AH888" s="120"/>
      <c r="AI888" s="94"/>
      <c r="AJ888" s="94" t="s">
        <v>788</v>
      </c>
      <c r="AK888" s="94" t="s">
        <v>281</v>
      </c>
      <c r="AL888" s="94">
        <v>120</v>
      </c>
      <c r="AM888" s="94" t="str">
        <f>TRIM(AJ888)&amp;TRIM(AL888)&amp;TRIM(AK888)</f>
      </c>
      <c r="AN888" s="116">
        <v>984</v>
      </c>
      <c r="AO888" s="116">
        <v>-59</v>
      </c>
      <c r="AP888" s="116">
        <f>SUMIFS(M:M,AM:AM,AM888)+SUMIFS(O:O,AM:AM,AM888)</f>
      </c>
      <c r="AQ888" s="116">
        <f>SUMIFS(L:L,AM:AM,AM888)</f>
      </c>
      <c r="AR888" s="116">
        <f>AQ888-AP888</f>
      </c>
      <c r="AS888" s="94" t="str">
        <f>IF(AN888&gt;=AQ888,"ok","ck")</f>
      </c>
      <c r="AT888" s="116">
        <f>-P888</f>
      </c>
      <c r="AU888" s="115">
        <f>IF(SUMIFS(AT:AT,AM:AM,AM888)&gt;AO888,(SUMIFS(AT:AT,AM:AM,AM888)-AO888))</f>
      </c>
      <c r="AV888" s="116">
        <v>984</v>
      </c>
      <c r="AW888" s="121">
        <v>1.064</v>
      </c>
      <c r="AX888" s="115">
        <f>AN888-AP888</f>
      </c>
    </row>
    <row r="889" spans="1:50" ht="15" hidden="1" customHeight="1" x14ac:dyDescent="0.3">
      <c r="A889" s="94" t="s">
        <v>263</v>
      </c>
      <c r="B889" s="94"/>
      <c r="C889" s="94"/>
      <c r="D889" s="94"/>
      <c r="E889" s="94"/>
      <c r="F889" s="94"/>
      <c r="G889" s="112">
        <f>AU889</f>
      </c>
      <c r="H889" s="113"/>
      <c r="I889" s="94" t="s">
        <v>264</v>
      </c>
      <c r="J889" s="94" t="s">
        <v>265</v>
      </c>
      <c r="K889" s="114">
        <f>P889/3</f>
      </c>
      <c r="L889" s="115">
        <v>0</v>
      </c>
      <c r="M889" s="116">
        <f>L889</f>
      </c>
      <c r="N889" s="117">
        <f>M889-L889</f>
      </c>
      <c r="O889" s="112"/>
      <c r="P889" s="118">
        <f>N889+O889</f>
      </c>
      <c r="Q889" s="94" t="s">
        <v>373</v>
      </c>
      <c r="R889" s="94" t="s">
        <v>63</v>
      </c>
      <c r="S889" s="119">
        <v>46344</v>
      </c>
      <c r="T889" s="119"/>
      <c r="U889" s="119">
        <v>46344</v>
      </c>
      <c r="V889" s="94"/>
      <c r="W889" s="94"/>
      <c r="X889" s="94"/>
      <c r="Y889" s="119">
        <v>46344</v>
      </c>
      <c r="Z889" s="94"/>
      <c r="AA889" s="120"/>
      <c r="AB889" s="120"/>
      <c r="AC889" s="120"/>
      <c r="AD889" s="120"/>
      <c r="AE889" s="120"/>
      <c r="AF889" s="120"/>
      <c r="AG889" s="94"/>
      <c r="AH889" s="120"/>
      <c r="AI889" s="94"/>
      <c r="AJ889" s="94" t="s">
        <v>373</v>
      </c>
      <c r="AK889" s="94" t="s">
        <v>267</v>
      </c>
      <c r="AL889" s="94">
        <v>120</v>
      </c>
      <c r="AM889" s="94" t="str">
        <f>TRIM(AJ889)&amp;TRIM(AL889)&amp;TRIM(AK889)</f>
      </c>
      <c r="AN889" s="116">
        <v>546</v>
      </c>
      <c r="AO889" s="116">
        <v>-40</v>
      </c>
      <c r="AP889" s="116">
        <f>SUMIFS(M:M,AM:AM,AM889)+SUMIFS(O:O,AM:AM,AM889)</f>
      </c>
      <c r="AQ889" s="116">
        <f>SUMIFS(L:L,AM:AM,AM889)</f>
      </c>
      <c r="AR889" s="116">
        <f>AQ889-AP889</f>
      </c>
      <c r="AS889" s="94" t="str">
        <f>IF(AN889&gt;=AQ889,"ok","ck")</f>
      </c>
      <c r="AT889" s="116">
        <f>-P889</f>
      </c>
      <c r="AU889" s="115">
        <f>IF(SUMIFS(AT:AT,AM:AM,AM889)&gt;AO889,(SUMIFS(AT:AT,AM:AM,AM889)-AO889))</f>
      </c>
      <c r="AV889" s="116">
        <v>546</v>
      </c>
      <c r="AW889" s="121">
        <v>1.079</v>
      </c>
      <c r="AX889" s="115">
        <f>AN889-AP889</f>
      </c>
    </row>
    <row r="890" spans="1:50" ht="15" customHeight="1" x14ac:dyDescent="0.3">
      <c r="A890" s="94" t="s">
        <v>862</v>
      </c>
      <c r="B890" s="94"/>
      <c r="C890" s="94"/>
      <c r="D890" s="94"/>
      <c r="E890" s="94"/>
      <c r="F890" s="94"/>
      <c r="G890" s="112">
        <f>AU890</f>
      </c>
      <c r="H890" s="113"/>
      <c r="I890" s="94" t="s">
        <v>390</v>
      </c>
      <c r="J890" s="94" t="s">
        <v>267</v>
      </c>
      <c r="K890" s="114">
        <f>P890/3</f>
      </c>
      <c r="L890" s="115">
        <v>2299.143</v>
      </c>
      <c r="M890" s="116"/>
      <c r="N890" s="117">
        <f>M890-L890</f>
      </c>
      <c r="O890" s="112"/>
      <c r="P890" s="118">
        <f>N890+O890</f>
      </c>
      <c r="Q890" s="94"/>
      <c r="R890" s="94" t="s">
        <v>63</v>
      </c>
      <c r="S890" s="119">
        <v>46339</v>
      </c>
      <c r="T890" s="119"/>
      <c r="U890" s="119" t="s">
        <v>631</v>
      </c>
      <c r="V890" s="94"/>
      <c r="W890" s="94"/>
      <c r="X890" s="94"/>
      <c r="Y890" s="119">
        <v>46320</v>
      </c>
      <c r="Z890" s="94"/>
      <c r="AA890" s="120"/>
      <c r="AB890" s="120"/>
      <c r="AC890" s="120"/>
      <c r="AD890" s="120"/>
      <c r="AE890" s="120"/>
      <c r="AF890" s="120"/>
      <c r="AG890" s="94"/>
      <c r="AH890" s="120"/>
      <c r="AI890" s="94"/>
      <c r="AJ890" s="94"/>
      <c r="AK890" s="94"/>
      <c r="AL890" s="94">
        <v>140</v>
      </c>
      <c r="AM890" s="94" t="str">
        <f>TRIM(AJ890)&amp;TRIM(AL890)&amp;TRIM(AK890)</f>
      </c>
      <c r="AN890" s="116">
        <v>0</v>
      </c>
      <c r="AO890" s="116" t="inlineStr">
        <is>
          <t>#NA</t>
        </is>
      </c>
      <c r="AP890" s="116">
        <f>SUMIFS(M:M,AM:AM,AM890)+SUMIFS(O:O,AM:AM,AM890)</f>
      </c>
      <c r="AQ890" s="116">
        <f>SUMIFS(L:L,AM:AM,AM890)</f>
      </c>
      <c r="AR890" s="116">
        <f>AQ890-AP890</f>
      </c>
      <c r="AS890" s="94" t="str">
        <f>IF(AN890&gt;=AQ890,"ok","ck")</f>
      </c>
      <c r="AT890" s="116">
        <f>-P890</f>
      </c>
      <c r="AU890" s="115">
        <f>IF(SUMIFS(AT:AT,AM:AM,AM890)&gt;AO890,(SUMIFS(AT:AT,AM:AM,AM890)-AO890))</f>
      </c>
      <c r="AV890" s="116" t="e">
        <v>#N/A</v>
      </c>
      <c r="AW890" s="121" t="e">
        <v>#N/A</v>
      </c>
      <c r="AX890" s="115">
        <f>AN890-AP890</f>
      </c>
    </row>
    <row r="891" spans="1:50" ht="15" hidden="1" customHeight="1" x14ac:dyDescent="0.3">
      <c r="A891" s="94" t="s">
        <v>288</v>
      </c>
      <c r="B891" s="94"/>
      <c r="C891" s="94"/>
      <c r="D891" s="94"/>
      <c r="E891" s="94"/>
      <c r="F891" s="94"/>
      <c r="G891" s="112">
        <f>AU891</f>
      </c>
      <c r="H891" s="113"/>
      <c r="I891" s="94" t="s">
        <v>289</v>
      </c>
      <c r="J891" s="94" t="s">
        <v>290</v>
      </c>
      <c r="K891" s="114">
        <f>P891/3</f>
      </c>
      <c r="L891" s="115">
        <v>146.785</v>
      </c>
      <c r="M891" s="116"/>
      <c r="N891" s="117">
        <f>M891-L891</f>
      </c>
      <c r="O891" s="112"/>
      <c r="P891" s="118">
        <f>N891+O891</f>
      </c>
      <c r="Q891" s="94" t="s">
        <v>857</v>
      </c>
      <c r="R891" s="94" t="s">
        <v>63</v>
      </c>
      <c r="S891" s="119">
        <v>46341</v>
      </c>
      <c r="T891" s="119"/>
      <c r="U891" s="119">
        <v>46341</v>
      </c>
      <c r="V891" s="94"/>
      <c r="W891" s="94"/>
      <c r="X891" s="94"/>
      <c r="Y891" s="119">
        <v>46341</v>
      </c>
      <c r="Z891" s="94"/>
      <c r="AA891" s="120"/>
      <c r="AB891" s="120"/>
      <c r="AC891" s="120"/>
      <c r="AD891" s="120"/>
      <c r="AE891" s="120"/>
      <c r="AF891" s="120"/>
      <c r="AG891" s="94"/>
      <c r="AH891" s="120"/>
      <c r="AI891" s="94"/>
      <c r="AJ891" s="94" t="s">
        <v>813</v>
      </c>
      <c r="AK891" s="94" t="s">
        <v>267</v>
      </c>
      <c r="AL891" s="94">
        <v>235</v>
      </c>
      <c r="AM891" s="94" t="str">
        <f>TRIM(AJ891)&amp;TRIM(AL891)&amp;TRIM(AK891)</f>
      </c>
      <c r="AN891" s="116">
        <v>0</v>
      </c>
      <c r="AO891" s="116" t="inlineStr">
        <is>
          <t>#NA</t>
        </is>
      </c>
      <c r="AP891" s="116">
        <f>SUMIFS(M:M,AM:AM,AM891)+SUMIFS(O:O,AM:AM,AM891)</f>
      </c>
      <c r="AQ891" s="116">
        <f>SUMIFS(L:L,AM:AM,AM891)</f>
      </c>
      <c r="AR891" s="116">
        <f>AQ891-AP891</f>
      </c>
      <c r="AS891" s="94" t="str">
        <f>IF(AN891&gt;=AQ891,"ok","ck")</f>
      </c>
      <c r="AT891" s="116">
        <f>-P891</f>
      </c>
      <c r="AU891" s="115">
        <f>IF(SUMIFS(AT:AT,AM:AM,AM891)&gt;AO891,(SUMIFS(AT:AT,AM:AM,AM891)-AO891))</f>
      </c>
      <c r="AV891" s="116">
        <v>0</v>
      </c>
      <c r="AW891" s="121">
        <v>0</v>
      </c>
      <c r="AX891" s="115">
        <f>AN891-AP891</f>
      </c>
    </row>
    <row r="892" spans="1:50" ht="15" hidden="1" customHeight="1" x14ac:dyDescent="0.3">
      <c r="A892" s="94" t="s">
        <v>288</v>
      </c>
      <c r="B892" s="94"/>
      <c r="C892" s="94"/>
      <c r="D892" s="94"/>
      <c r="E892" s="94"/>
      <c r="F892" s="94"/>
      <c r="G892" s="112">
        <f>AU892</f>
      </c>
      <c r="H892" s="113"/>
      <c r="I892" s="94" t="s">
        <v>289</v>
      </c>
      <c r="J892" s="94" t="s">
        <v>286</v>
      </c>
      <c r="K892" s="114">
        <f>P892/3</f>
      </c>
      <c r="L892" s="115">
        <v>146.785</v>
      </c>
      <c r="M892" s="116"/>
      <c r="N892" s="117">
        <f>M892-L892</f>
      </c>
      <c r="O892" s="112"/>
      <c r="P892" s="118">
        <f>N892+O892</f>
      </c>
      <c r="Q892" s="94" t="s">
        <v>857</v>
      </c>
      <c r="R892" s="94" t="s">
        <v>63</v>
      </c>
      <c r="S892" s="119">
        <v>46341</v>
      </c>
      <c r="T892" s="119"/>
      <c r="U892" s="119">
        <v>46341</v>
      </c>
      <c r="V892" s="94"/>
      <c r="W892" s="94"/>
      <c r="X892" s="94"/>
      <c r="Y892" s="119">
        <v>46341</v>
      </c>
      <c r="Z892" s="94"/>
      <c r="AA892" s="120"/>
      <c r="AB892" s="120"/>
      <c r="AC892" s="120"/>
      <c r="AD892" s="120"/>
      <c r="AE892" s="120"/>
      <c r="AF892" s="120"/>
      <c r="AG892" s="94"/>
      <c r="AH892" s="120"/>
      <c r="AI892" s="94"/>
      <c r="AJ892" s="94" t="s">
        <v>813</v>
      </c>
      <c r="AK892" s="94" t="s">
        <v>281</v>
      </c>
      <c r="AL892" s="94">
        <v>235</v>
      </c>
      <c r="AM892" s="94" t="str">
        <f>TRIM(AJ892)&amp;TRIM(AL892)&amp;TRIM(AK892)</f>
      </c>
      <c r="AN892" s="116">
        <v>0</v>
      </c>
      <c r="AO892" s="116" t="inlineStr">
        <is>
          <t>#NA</t>
        </is>
      </c>
      <c r="AP892" s="116">
        <f>SUMIFS(M:M,AM:AM,AM892)+SUMIFS(O:O,AM:AM,AM892)</f>
      </c>
      <c r="AQ892" s="116">
        <f>SUMIFS(L:L,AM:AM,AM892)</f>
      </c>
      <c r="AR892" s="116">
        <f>AQ892-AP892</f>
      </c>
      <c r="AS892" s="94" t="str">
        <f>IF(AN892&gt;=AQ892,"ok","ck")</f>
      </c>
      <c r="AT892" s="116">
        <f>-P892</f>
      </c>
      <c r="AU892" s="115">
        <f>IF(SUMIFS(AT:AT,AM:AM,AM892)&gt;AO892,(SUMIFS(AT:AT,AM:AM,AM892)-AO892))</f>
      </c>
      <c r="AV892" s="116">
        <v>0</v>
      </c>
      <c r="AW892" s="121">
        <v>0</v>
      </c>
      <c r="AX892" s="115">
        <f>AN892-AP892</f>
      </c>
    </row>
    <row r="893" spans="1:50" ht="15" hidden="1" customHeight="1" x14ac:dyDescent="0.3">
      <c r="A893" s="94" t="s">
        <v>288</v>
      </c>
      <c r="B893" s="94"/>
      <c r="C893" s="94"/>
      <c r="D893" s="94"/>
      <c r="E893" s="94"/>
      <c r="F893" s="94"/>
      <c r="G893" s="112">
        <f>AU893</f>
      </c>
      <c r="H893" s="113"/>
      <c r="I893" s="94" t="s">
        <v>289</v>
      </c>
      <c r="J893" s="94" t="s">
        <v>357</v>
      </c>
      <c r="K893" s="114">
        <f>P893/3</f>
      </c>
      <c r="L893" s="115">
        <v>146.785</v>
      </c>
      <c r="M893" s="116"/>
      <c r="N893" s="117">
        <f>M893-L893</f>
      </c>
      <c r="O893" s="112"/>
      <c r="P893" s="118">
        <f>N893+O893</f>
      </c>
      <c r="Q893" s="94" t="s">
        <v>857</v>
      </c>
      <c r="R893" s="94" t="s">
        <v>63</v>
      </c>
      <c r="S893" s="119">
        <v>46341</v>
      </c>
      <c r="T893" s="119"/>
      <c r="U893" s="120">
        <v>46341</v>
      </c>
      <c r="V893" s="94"/>
      <c r="W893" s="94"/>
      <c r="X893" s="94"/>
      <c r="Y893" s="119">
        <v>46341</v>
      </c>
      <c r="Z893" s="94"/>
      <c r="AA893" s="120"/>
      <c r="AB893" s="120"/>
      <c r="AC893" s="120"/>
      <c r="AD893" s="120"/>
      <c r="AE893" s="120"/>
      <c r="AF893" s="120"/>
      <c r="AG893" s="94"/>
      <c r="AH893" s="120"/>
      <c r="AI893" s="94"/>
      <c r="AJ893" s="94" t="s">
        <v>813</v>
      </c>
      <c r="AK893" s="94" t="s">
        <v>357</v>
      </c>
      <c r="AL893" s="94">
        <v>235</v>
      </c>
      <c r="AM893" s="94" t="str">
        <f>TRIM(AJ893)&amp;TRIM(AL893)&amp;TRIM(AK893)</f>
      </c>
      <c r="AN893" s="116">
        <v>0</v>
      </c>
      <c r="AO893" s="116" t="inlineStr">
        <is>
          <t>#NA</t>
        </is>
      </c>
      <c r="AP893" s="116">
        <f>SUMIFS(M:M,AM:AM,AM893)+SUMIFS(O:O,AM:AM,AM893)</f>
      </c>
      <c r="AQ893" s="116">
        <f>SUMIFS(L:L,AM:AM,AM893)</f>
      </c>
      <c r="AR893" s="116">
        <f>AQ893-AP893</f>
      </c>
      <c r="AS893" s="94" t="str">
        <f>IF(AN893&gt;=AQ893,"ok","ck")</f>
      </c>
      <c r="AT893" s="116">
        <f>-P893</f>
      </c>
      <c r="AU893" s="115">
        <f>IF(SUMIFS(AT:AT,AM:AM,AM893)&gt;AO893,(SUMIFS(AT:AT,AM:AM,AM893)-AO893))</f>
      </c>
      <c r="AV893" s="116">
        <v>0</v>
      </c>
      <c r="AW893" s="121">
        <v>0</v>
      </c>
      <c r="AX893" s="115">
        <f>AN893-AP893</f>
      </c>
    </row>
    <row r="894" spans="1:50" ht="15" hidden="1" customHeight="1" x14ac:dyDescent="0.3">
      <c r="A894" s="94" t="s">
        <v>288</v>
      </c>
      <c r="B894" s="94"/>
      <c r="C894" s="94"/>
      <c r="D894" s="94"/>
      <c r="E894" s="94"/>
      <c r="F894" s="94"/>
      <c r="G894" s="112">
        <f>AU894</f>
      </c>
      <c r="H894" s="113"/>
      <c r="I894" s="94" t="s">
        <v>297</v>
      </c>
      <c r="J894" s="94" t="s">
        <v>290</v>
      </c>
      <c r="K894" s="114">
        <f>P894/3</f>
      </c>
      <c r="L894" s="115">
        <v>423.786</v>
      </c>
      <c r="M894" s="116"/>
      <c r="N894" s="117">
        <f>M894-L894</f>
      </c>
      <c r="O894" s="112"/>
      <c r="P894" s="118">
        <f>N894+O894</f>
      </c>
      <c r="Q894" s="94" t="s">
        <v>857</v>
      </c>
      <c r="R894" s="94" t="s">
        <v>63</v>
      </c>
      <c r="S894" s="119">
        <v>46341</v>
      </c>
      <c r="T894" s="119"/>
      <c r="U894" s="120">
        <v>46341</v>
      </c>
      <c r="V894" s="94"/>
      <c r="W894" s="94"/>
      <c r="X894" s="94"/>
      <c r="Y894" s="119">
        <v>46341</v>
      </c>
      <c r="Z894" s="94"/>
      <c r="AA894" s="120"/>
      <c r="AB894" s="120"/>
      <c r="AC894" s="120"/>
      <c r="AD894" s="120"/>
      <c r="AE894" s="120"/>
      <c r="AF894" s="120"/>
      <c r="AG894" s="94"/>
      <c r="AH894" s="120"/>
      <c r="AI894" s="94"/>
      <c r="AJ894" s="94" t="s">
        <v>813</v>
      </c>
      <c r="AK894" s="94" t="s">
        <v>267</v>
      </c>
      <c r="AL894" s="94">
        <v>190</v>
      </c>
      <c r="AM894" s="94" t="str">
        <f>TRIM(AJ894)&amp;TRIM(AL894)&amp;TRIM(AK894)</f>
      </c>
      <c r="AN894" s="116">
        <v>0</v>
      </c>
      <c r="AO894" s="116" t="inlineStr">
        <is>
          <t>#NA</t>
        </is>
      </c>
      <c r="AP894" s="116">
        <f>SUMIFS(M:M,AM:AM,AM894)+SUMIFS(O:O,AM:AM,AM894)</f>
      </c>
      <c r="AQ894" s="116">
        <f>SUMIFS(L:L,AM:AM,AM894)</f>
      </c>
      <c r="AR894" s="116">
        <f>AQ894-AP894</f>
      </c>
      <c r="AS894" s="94" t="str">
        <f>IF(AN894&gt;=AQ894,"ok","ck")</f>
      </c>
      <c r="AT894" s="116">
        <f>-P894</f>
      </c>
      <c r="AU894" s="115">
        <f>IF(SUMIFS(AT:AT,AM:AM,AM894)&gt;AO894,(SUMIFS(AT:AT,AM:AM,AM894)-AO894))</f>
      </c>
      <c r="AV894" s="116">
        <v>0</v>
      </c>
      <c r="AW894" s="121">
        <v>0</v>
      </c>
      <c r="AX894" s="115">
        <f>AN894-AP894</f>
      </c>
    </row>
    <row r="895" spans="1:50" ht="15" hidden="1" customHeight="1" x14ac:dyDescent="0.3">
      <c r="A895" s="94" t="s">
        <v>288</v>
      </c>
      <c r="B895" s="94"/>
      <c r="C895" s="94"/>
      <c r="D895" s="94"/>
      <c r="E895" s="94"/>
      <c r="F895" s="94"/>
      <c r="G895" s="112">
        <f>AU895</f>
      </c>
      <c r="H895" s="113"/>
      <c r="I895" s="94" t="s">
        <v>297</v>
      </c>
      <c r="J895" s="94" t="s">
        <v>286</v>
      </c>
      <c r="K895" s="114">
        <f>P895/3</f>
      </c>
      <c r="L895" s="115">
        <v>423.786</v>
      </c>
      <c r="M895" s="116"/>
      <c r="N895" s="117">
        <f>M895-L895</f>
      </c>
      <c r="O895" s="112"/>
      <c r="P895" s="118">
        <f>N895+O895</f>
      </c>
      <c r="Q895" s="94" t="s">
        <v>857</v>
      </c>
      <c r="R895" s="94" t="s">
        <v>63</v>
      </c>
      <c r="S895" s="119">
        <v>46341</v>
      </c>
      <c r="T895" s="119"/>
      <c r="U895" s="120">
        <v>46341</v>
      </c>
      <c r="V895" s="94"/>
      <c r="W895" s="94"/>
      <c r="X895" s="94"/>
      <c r="Y895" s="119">
        <v>46341</v>
      </c>
      <c r="Z895" s="94"/>
      <c r="AA895" s="120"/>
      <c r="AB895" s="120"/>
      <c r="AC895" s="120"/>
      <c r="AD895" s="120"/>
      <c r="AE895" s="120"/>
      <c r="AF895" s="120"/>
      <c r="AG895" s="94"/>
      <c r="AH895" s="120"/>
      <c r="AI895" s="94"/>
      <c r="AJ895" s="94" t="s">
        <v>813</v>
      </c>
      <c r="AK895" s="94" t="s">
        <v>281</v>
      </c>
      <c r="AL895" s="94">
        <v>190</v>
      </c>
      <c r="AM895" s="94" t="str">
        <f>TRIM(AJ895)&amp;TRIM(AL895)&amp;TRIM(AK895)</f>
      </c>
      <c r="AN895" s="116">
        <v>0</v>
      </c>
      <c r="AO895" s="116" t="inlineStr">
        <is>
          <t>#NA</t>
        </is>
      </c>
      <c r="AP895" s="116">
        <f>SUMIFS(M:M,AM:AM,AM895)+SUMIFS(O:O,AM:AM,AM895)</f>
      </c>
      <c r="AQ895" s="116">
        <f>SUMIFS(L:L,AM:AM,AM895)</f>
      </c>
      <c r="AR895" s="116">
        <f>AQ895-AP895</f>
      </c>
      <c r="AS895" s="94" t="str">
        <f>IF(AN895&gt;=AQ895,"ok","ck")</f>
      </c>
      <c r="AT895" s="116">
        <f>-P895</f>
      </c>
      <c r="AU895" s="115">
        <f>IF(SUMIFS(AT:AT,AM:AM,AM895)&gt;AO895,(SUMIFS(AT:AT,AM:AM,AM895)-AO895))</f>
      </c>
      <c r="AV895" s="116">
        <v>0</v>
      </c>
      <c r="AW895" s="121">
        <v>0</v>
      </c>
      <c r="AX895" s="115">
        <f>AN895-AP895</f>
      </c>
    </row>
    <row r="896" spans="1:50" ht="15" hidden="1" customHeight="1" x14ac:dyDescent="0.3">
      <c r="A896" s="94" t="s">
        <v>288</v>
      </c>
      <c r="B896" s="94"/>
      <c r="C896" s="94"/>
      <c r="D896" s="94"/>
      <c r="E896" s="94"/>
      <c r="F896" s="94"/>
      <c r="G896" s="112">
        <f>AU896</f>
      </c>
      <c r="H896" s="113"/>
      <c r="I896" s="94" t="s">
        <v>297</v>
      </c>
      <c r="J896" s="94" t="s">
        <v>357</v>
      </c>
      <c r="K896" s="114">
        <f>P896/3</f>
      </c>
      <c r="L896" s="115">
        <v>423.786</v>
      </c>
      <c r="M896" s="116"/>
      <c r="N896" s="117">
        <f>M896-L896</f>
      </c>
      <c r="O896" s="112"/>
      <c r="P896" s="118">
        <f>N896+O896</f>
      </c>
      <c r="Q896" s="94" t="s">
        <v>857</v>
      </c>
      <c r="R896" s="94" t="s">
        <v>63</v>
      </c>
      <c r="S896" s="120">
        <v>46341</v>
      </c>
      <c r="T896" s="120"/>
      <c r="U896" s="120">
        <v>46341</v>
      </c>
      <c r="V896" s="94"/>
      <c r="W896" s="94"/>
      <c r="X896" s="94"/>
      <c r="Y896" s="119">
        <v>46341</v>
      </c>
      <c r="Z896" s="94"/>
      <c r="AA896" s="120"/>
      <c r="AB896" s="120"/>
      <c r="AC896" s="120"/>
      <c r="AD896" s="120"/>
      <c r="AE896" s="120"/>
      <c r="AF896" s="120"/>
      <c r="AG896" s="94"/>
      <c r="AH896" s="120"/>
      <c r="AI896" s="94"/>
      <c r="AJ896" s="94" t="s">
        <v>813</v>
      </c>
      <c r="AK896" s="94" t="s">
        <v>357</v>
      </c>
      <c r="AL896" s="94">
        <v>190</v>
      </c>
      <c r="AM896" s="94" t="str">
        <f>TRIM(AJ896)&amp;TRIM(AL896)&amp;TRIM(AK896)</f>
      </c>
      <c r="AN896" s="116">
        <v>0</v>
      </c>
      <c r="AO896" s="116" t="inlineStr">
        <is>
          <t>#NA</t>
        </is>
      </c>
      <c r="AP896" s="116">
        <f>SUMIFS(M:M,AM:AM,AM896)+SUMIFS(O:O,AM:AM,AM896)</f>
      </c>
      <c r="AQ896" s="116">
        <f>SUMIFS(L:L,AM:AM,AM896)</f>
      </c>
      <c r="AR896" s="116">
        <f>AQ896-AP896</f>
      </c>
      <c r="AS896" s="94" t="str">
        <f>IF(AN896&gt;=AQ896,"ok","ck")</f>
      </c>
      <c r="AT896" s="116">
        <f>-P896</f>
      </c>
      <c r="AU896" s="115">
        <f>IF(SUMIFS(AT:AT,AM:AM,AM896)&gt;AO896,(SUMIFS(AT:AT,AM:AM,AM896)-AO896))</f>
      </c>
      <c r="AV896" s="116">
        <v>0</v>
      </c>
      <c r="AW896" s="121">
        <v>0</v>
      </c>
      <c r="AX896" s="115">
        <f>AN896-AP896</f>
      </c>
    </row>
    <row r="897" spans="1:50" ht="15" hidden="1" customHeight="1" x14ac:dyDescent="0.3">
      <c r="A897" s="94" t="s">
        <v>82</v>
      </c>
      <c r="B897" s="94"/>
      <c r="C897" s="94"/>
      <c r="D897" s="94"/>
      <c r="E897" s="94"/>
      <c r="F897" s="94"/>
      <c r="G897" s="112">
        <f>AU897</f>
      </c>
      <c r="H897" s="113"/>
      <c r="I897" s="94" t="s">
        <v>240</v>
      </c>
      <c r="J897" s="94" t="s">
        <v>247</v>
      </c>
      <c r="K897" s="114">
        <f>P897/3</f>
      </c>
      <c r="L897" s="115">
        <v>0</v>
      </c>
      <c r="M897" s="116"/>
      <c r="N897" s="117">
        <f>M897-L897</f>
      </c>
      <c r="O897" s="112"/>
      <c r="P897" s="118">
        <f>N897+O897</f>
      </c>
      <c r="Q897" s="94" t="s">
        <v>242</v>
      </c>
      <c r="R897" s="94" t="s">
        <v>63</v>
      </c>
      <c r="S897" s="120">
        <v>46320</v>
      </c>
      <c r="T897" s="120"/>
      <c r="U897" s="120">
        <v>46320</v>
      </c>
      <c r="V897" s="94"/>
      <c r="W897" s="94"/>
      <c r="X897" s="94"/>
      <c r="Y897" s="119">
        <v>46320</v>
      </c>
      <c r="Z897" s="94"/>
      <c r="AA897" s="120"/>
      <c r="AB897" s="120"/>
      <c r="AC897" s="120"/>
      <c r="AD897" s="120"/>
      <c r="AE897" s="120"/>
      <c r="AF897" s="120"/>
      <c r="AG897" s="94"/>
      <c r="AH897" s="120"/>
      <c r="AI897" s="94"/>
      <c r="AJ897" s="94" t="s">
        <v>243</v>
      </c>
      <c r="AK897" s="94" t="s">
        <v>248</v>
      </c>
      <c r="AL897" s="94">
        <v>190</v>
      </c>
      <c r="AM897" s="94" t="str">
        <f>TRIM(AJ897)&amp;TRIM(AL897)&amp;TRIM(AK897)</f>
      </c>
      <c r="AN897" s="116">
        <v>76136.79</v>
      </c>
      <c r="AO897" s="116">
        <v>2780.39</v>
      </c>
      <c r="AP897" s="116">
        <f>SUMIFS(M:M,AM:AM,AM897)+SUMIFS(O:O,AM:AM,AM897)</f>
      </c>
      <c r="AQ897" s="116">
        <f>SUMIFS(L:L,AM:AM,AM897)</f>
      </c>
      <c r="AR897" s="116">
        <f>AQ897-AP897</f>
      </c>
      <c r="AS897" s="94" t="str">
        <f>IF(AN897&gt;=AQ897,"ok","ck")</f>
      </c>
      <c r="AT897" s="116">
        <f>-P897</f>
      </c>
      <c r="AU897" s="115">
        <f>IF(SUMIFS(AT:AT,AM:AM,AM897)&gt;AO897,(SUMIFS(AT:AT,AM:AM,AM897)-AO897))</f>
      </c>
      <c r="AV897" s="116">
        <v>8022.21</v>
      </c>
      <c r="AW897" s="121">
        <v>0.898</v>
      </c>
      <c r="AX897" s="115">
        <f>AN897-AP897</f>
      </c>
    </row>
    <row r="898" spans="1:50" ht="15" hidden="1" customHeight="1" x14ac:dyDescent="0.3">
      <c r="A898" s="94" t="s">
        <v>82</v>
      </c>
      <c r="B898" s="94"/>
      <c r="C898" s="94"/>
      <c r="D898" s="94"/>
      <c r="E898" s="94"/>
      <c r="F898" s="94"/>
      <c r="G898" s="112">
        <f>AU898</f>
      </c>
      <c r="H898" s="113"/>
      <c r="I898" s="94" t="s">
        <v>240</v>
      </c>
      <c r="J898" s="94" t="s">
        <v>247</v>
      </c>
      <c r="K898" s="114">
        <f>P898/3</f>
      </c>
      <c r="L898" s="115">
        <v>0</v>
      </c>
      <c r="M898" s="116"/>
      <c r="N898" s="117">
        <f>M898-L898</f>
      </c>
      <c r="O898" s="112"/>
      <c r="P898" s="118">
        <f>N898+O898</f>
      </c>
      <c r="Q898" s="94" t="s">
        <v>242</v>
      </c>
      <c r="R898" s="94" t="s">
        <v>63</v>
      </c>
      <c r="S898" s="120">
        <v>46320</v>
      </c>
      <c r="T898" s="120"/>
      <c r="U898" s="120">
        <v>46320</v>
      </c>
      <c r="V898" s="94"/>
      <c r="W898" s="94"/>
      <c r="X898" s="94"/>
      <c r="Y898" s="119">
        <v>46320</v>
      </c>
      <c r="Z898" s="94"/>
      <c r="AA898" s="120"/>
      <c r="AB898" s="120"/>
      <c r="AC898" s="120"/>
      <c r="AD898" s="120"/>
      <c r="AE898" s="120"/>
      <c r="AF898" s="120"/>
      <c r="AG898" s="94"/>
      <c r="AH898" s="120"/>
      <c r="AI898" s="94"/>
      <c r="AJ898" s="94" t="s">
        <v>243</v>
      </c>
      <c r="AK898" s="94" t="s">
        <v>248</v>
      </c>
      <c r="AL898" s="94">
        <v>190</v>
      </c>
      <c r="AM898" s="94" t="str">
        <f>TRIM(AJ898)&amp;TRIM(AL898)&amp;TRIM(AK898)</f>
      </c>
      <c r="AN898" s="116">
        <v>76136.79</v>
      </c>
      <c r="AO898" s="116">
        <v>2780.39</v>
      </c>
      <c r="AP898" s="116">
        <f>SUMIFS(M:M,AM:AM,AM898)+SUMIFS(O:O,AM:AM,AM898)</f>
      </c>
      <c r="AQ898" s="116">
        <f>SUMIFS(L:L,AM:AM,AM898)</f>
      </c>
      <c r="AR898" s="116">
        <f>AQ898-AP898</f>
      </c>
      <c r="AS898" s="94" t="str">
        <f>IF(AN898&gt;=AQ898,"ok","ck")</f>
      </c>
      <c r="AT898" s="116">
        <f>-P898</f>
      </c>
      <c r="AU898" s="115">
        <f>IF(SUMIFS(AT:AT,AM:AM,AM898)&gt;AO898,(SUMIFS(AT:AT,AM:AM,AM898)-AO898))</f>
      </c>
      <c r="AV898" s="116">
        <v>8022.21</v>
      </c>
      <c r="AW898" s="121">
        <v>0.898</v>
      </c>
      <c r="AX898" s="115">
        <f>AN898-AP898</f>
      </c>
    </row>
    <row r="899" spans="1:50" ht="15" hidden="1" customHeight="1" x14ac:dyDescent="0.3">
      <c r="A899" s="94" t="s">
        <v>82</v>
      </c>
      <c r="B899" s="94"/>
      <c r="C899" s="94"/>
      <c r="D899" s="94"/>
      <c r="E899" s="94"/>
      <c r="F899" s="94"/>
      <c r="G899" s="112">
        <f>AU899</f>
      </c>
      <c r="H899" s="113"/>
      <c r="I899" s="94" t="s">
        <v>240</v>
      </c>
      <c r="J899" s="94" t="s">
        <v>247</v>
      </c>
      <c r="K899" s="114">
        <f>P899/3</f>
      </c>
      <c r="L899" s="115">
        <v>0</v>
      </c>
      <c r="M899" s="116"/>
      <c r="N899" s="117">
        <f>M899-L899</f>
      </c>
      <c r="O899" s="112"/>
      <c r="P899" s="118">
        <f>N899+O899</f>
      </c>
      <c r="Q899" s="94" t="s">
        <v>242</v>
      </c>
      <c r="R899" s="94" t="s">
        <v>63</v>
      </c>
      <c r="S899" s="120">
        <v>46320</v>
      </c>
      <c r="T899" s="120"/>
      <c r="U899" s="120">
        <v>46320</v>
      </c>
      <c r="V899" s="94"/>
      <c r="W899" s="94"/>
      <c r="X899" s="94"/>
      <c r="Y899" s="119">
        <v>46320</v>
      </c>
      <c r="Z899" s="94"/>
      <c r="AA899" s="120"/>
      <c r="AB899" s="120"/>
      <c r="AC899" s="120"/>
      <c r="AD899" s="120"/>
      <c r="AE899" s="120"/>
      <c r="AF899" s="120"/>
      <c r="AG899" s="94"/>
      <c r="AH899" s="120"/>
      <c r="AI899" s="94"/>
      <c r="AJ899" s="94" t="s">
        <v>243</v>
      </c>
      <c r="AK899" s="94" t="s">
        <v>248</v>
      </c>
      <c r="AL899" s="94">
        <v>190</v>
      </c>
      <c r="AM899" s="94" t="str">
        <f>TRIM(AJ899)&amp;TRIM(AL899)&amp;TRIM(AK899)</f>
      </c>
      <c r="AN899" s="116">
        <v>76136.79</v>
      </c>
      <c r="AO899" s="116">
        <v>2780.39</v>
      </c>
      <c r="AP899" s="116">
        <f>SUMIFS(M:M,AM:AM,AM899)+SUMIFS(O:O,AM:AM,AM899)</f>
      </c>
      <c r="AQ899" s="116">
        <f>SUMIFS(L:L,AM:AM,AM899)</f>
      </c>
      <c r="AR899" s="116">
        <f>AQ899-AP899</f>
      </c>
      <c r="AS899" s="94" t="str">
        <f>IF(AN899&gt;=AQ899,"ok","ck")</f>
      </c>
      <c r="AT899" s="116">
        <f>-P899</f>
      </c>
      <c r="AU899" s="115">
        <f>IF(SUMIFS(AT:AT,AM:AM,AM899)&gt;AO899,(SUMIFS(AT:AT,AM:AM,AM899)-AO899))</f>
      </c>
      <c r="AV899" s="116">
        <v>8022.21</v>
      </c>
      <c r="AW899" s="121">
        <v>0.898</v>
      </c>
      <c r="AX899" s="115">
        <f>AN899-AP899</f>
      </c>
    </row>
    <row r="900" spans="1:50" ht="15" hidden="1" customHeight="1" x14ac:dyDescent="0.3">
      <c r="A900" s="94" t="s">
        <v>82</v>
      </c>
      <c r="B900" s="94"/>
      <c r="C900" s="94"/>
      <c r="D900" s="94"/>
      <c r="E900" s="94"/>
      <c r="F900" s="94"/>
      <c r="G900" s="112">
        <f>AU900</f>
      </c>
      <c r="H900" s="113"/>
      <c r="I900" s="94" t="s">
        <v>240</v>
      </c>
      <c r="J900" s="94" t="s">
        <v>247</v>
      </c>
      <c r="K900" s="114">
        <f>P900/3</f>
      </c>
      <c r="L900" s="115">
        <v>0</v>
      </c>
      <c r="M900" s="116"/>
      <c r="N900" s="117">
        <f>M900-L900</f>
      </c>
      <c r="O900" s="112"/>
      <c r="P900" s="118">
        <f>N900+O900</f>
      </c>
      <c r="Q900" s="94" t="s">
        <v>242</v>
      </c>
      <c r="R900" s="94" t="s">
        <v>63</v>
      </c>
      <c r="S900" s="120">
        <v>46328</v>
      </c>
      <c r="T900" s="120"/>
      <c r="U900" s="120">
        <v>46328</v>
      </c>
      <c r="V900" s="94"/>
      <c r="W900" s="94"/>
      <c r="X900" s="94"/>
      <c r="Y900" s="119">
        <v>46328</v>
      </c>
      <c r="Z900" s="94"/>
      <c r="AA900" s="120"/>
      <c r="AB900" s="120"/>
      <c r="AC900" s="120"/>
      <c r="AD900" s="120"/>
      <c r="AE900" s="120"/>
      <c r="AF900" s="120"/>
      <c r="AG900" s="94"/>
      <c r="AH900" s="120"/>
      <c r="AI900" s="94"/>
      <c r="AJ900" s="94" t="s">
        <v>243</v>
      </c>
      <c r="AK900" s="94" t="s">
        <v>248</v>
      </c>
      <c r="AL900" s="94">
        <v>190</v>
      </c>
      <c r="AM900" s="94" t="str">
        <f>TRIM(AJ900)&amp;TRIM(AL900)&amp;TRIM(AK900)</f>
      </c>
      <c r="AN900" s="116">
        <v>76136.79</v>
      </c>
      <c r="AO900" s="116">
        <v>2780.39</v>
      </c>
      <c r="AP900" s="116">
        <f>SUMIFS(M:M,AM:AM,AM900)+SUMIFS(O:O,AM:AM,AM900)</f>
      </c>
      <c r="AQ900" s="116">
        <f>SUMIFS(L:L,AM:AM,AM900)</f>
      </c>
      <c r="AR900" s="116">
        <f>AQ900-AP900</f>
      </c>
      <c r="AS900" s="94" t="str">
        <f>IF(AN900&gt;=AQ900,"ok","ck")</f>
      </c>
      <c r="AT900" s="116">
        <f>-P900</f>
      </c>
      <c r="AU900" s="115">
        <f>IF(SUMIFS(AT:AT,AM:AM,AM900)&gt;AO900,(SUMIFS(AT:AT,AM:AM,AM900)-AO900))</f>
      </c>
      <c r="AV900" s="116">
        <v>8022.21</v>
      </c>
      <c r="AW900" s="121">
        <v>0.898</v>
      </c>
      <c r="AX900" s="115">
        <f>AN900-AP900</f>
      </c>
    </row>
    <row r="901" spans="1:50" ht="15" hidden="1" customHeight="1" x14ac:dyDescent="0.3">
      <c r="A901" s="94" t="s">
        <v>82</v>
      </c>
      <c r="B901" s="94"/>
      <c r="C901" s="94"/>
      <c r="D901" s="94"/>
      <c r="E901" s="94"/>
      <c r="F901" s="94"/>
      <c r="G901" s="112">
        <f>AU901</f>
      </c>
      <c r="H901" s="113"/>
      <c r="I901" s="94" t="s">
        <v>240</v>
      </c>
      <c r="J901" s="94" t="s">
        <v>247</v>
      </c>
      <c r="K901" s="114">
        <f>P901/3</f>
      </c>
      <c r="L901" s="115">
        <v>0</v>
      </c>
      <c r="M901" s="116"/>
      <c r="N901" s="117">
        <f>M901-L901</f>
      </c>
      <c r="O901" s="112"/>
      <c r="P901" s="118">
        <f>N901+O901</f>
      </c>
      <c r="Q901" s="94" t="s">
        <v>242</v>
      </c>
      <c r="R901" s="94" t="s">
        <v>63</v>
      </c>
      <c r="S901" s="120">
        <v>46331</v>
      </c>
      <c r="T901" s="120"/>
      <c r="U901" s="120">
        <v>46331</v>
      </c>
      <c r="V901" s="94"/>
      <c r="W901" s="94"/>
      <c r="X901" s="94"/>
      <c r="Y901" s="119">
        <v>46331</v>
      </c>
      <c r="Z901" s="94"/>
      <c r="AA901" s="120"/>
      <c r="AB901" s="120"/>
      <c r="AC901" s="120"/>
      <c r="AD901" s="120"/>
      <c r="AE901" s="120"/>
      <c r="AF901" s="120"/>
      <c r="AG901" s="94"/>
      <c r="AH901" s="120"/>
      <c r="AI901" s="94"/>
      <c r="AJ901" s="94" t="s">
        <v>243</v>
      </c>
      <c r="AK901" s="94" t="s">
        <v>248</v>
      </c>
      <c r="AL901" s="94">
        <v>190</v>
      </c>
      <c r="AM901" s="94" t="str">
        <f>TRIM(AJ901)&amp;TRIM(AL901)&amp;TRIM(AK901)</f>
      </c>
      <c r="AN901" s="116">
        <v>76136.79</v>
      </c>
      <c r="AO901" s="116">
        <v>2780.39</v>
      </c>
      <c r="AP901" s="116">
        <f>SUMIFS(M:M,AM:AM,AM901)+SUMIFS(O:O,AM:AM,AM901)</f>
      </c>
      <c r="AQ901" s="116">
        <f>SUMIFS(L:L,AM:AM,AM901)</f>
      </c>
      <c r="AR901" s="116">
        <f>AQ901-AP901</f>
      </c>
      <c r="AS901" s="94" t="str">
        <f>IF(AN901&gt;=AQ901,"ok","ck")</f>
      </c>
      <c r="AT901" s="116">
        <f>-P901</f>
      </c>
      <c r="AU901" s="115">
        <f>IF(SUMIFS(AT:AT,AM:AM,AM901)&gt;AO901,(SUMIFS(AT:AT,AM:AM,AM901)-AO901))</f>
      </c>
      <c r="AV901" s="116">
        <v>8022.21</v>
      </c>
      <c r="AW901" s="121">
        <v>0.898</v>
      </c>
      <c r="AX901" s="115">
        <f>AN901-AP901</f>
      </c>
    </row>
    <row r="902" spans="1:50" ht="15" hidden="1" customHeight="1" x14ac:dyDescent="0.3">
      <c r="A902" s="94" t="s">
        <v>82</v>
      </c>
      <c r="B902" s="94"/>
      <c r="C902" s="94"/>
      <c r="D902" s="94"/>
      <c r="E902" s="94"/>
      <c r="F902" s="94"/>
      <c r="G902" s="112">
        <f>AU902</f>
      </c>
      <c r="H902" s="113"/>
      <c r="I902" s="94" t="s">
        <v>240</v>
      </c>
      <c r="J902" s="94" t="s">
        <v>251</v>
      </c>
      <c r="K902" s="114">
        <f>P902/3</f>
      </c>
      <c r="L902" s="115">
        <v>0</v>
      </c>
      <c r="M902" s="116"/>
      <c r="N902" s="117">
        <f>M902-L902</f>
      </c>
      <c r="O902" s="112"/>
      <c r="P902" s="118">
        <f>N902+O902</f>
      </c>
      <c r="Q902" s="94" t="s">
        <v>242</v>
      </c>
      <c r="R902" s="94" t="s">
        <v>63</v>
      </c>
      <c r="S902" s="119">
        <v>46320</v>
      </c>
      <c r="T902" s="119"/>
      <c r="U902" s="120">
        <v>46320</v>
      </c>
      <c r="V902" s="94"/>
      <c r="W902" s="94"/>
      <c r="X902" s="94"/>
      <c r="Y902" s="119">
        <v>46320</v>
      </c>
      <c r="Z902" s="94"/>
      <c r="AA902" s="120"/>
      <c r="AB902" s="120"/>
      <c r="AC902" s="120"/>
      <c r="AD902" s="120"/>
      <c r="AE902" s="120"/>
      <c r="AF902" s="120"/>
      <c r="AG902" s="94"/>
      <c r="AH902" s="120"/>
      <c r="AI902" s="94"/>
      <c r="AJ902" s="94" t="s">
        <v>243</v>
      </c>
      <c r="AK902" s="94" t="s">
        <v>252</v>
      </c>
      <c r="AL902" s="94">
        <v>190</v>
      </c>
      <c r="AM902" s="94" t="str">
        <f>TRIM(AJ902)&amp;TRIM(AL902)&amp;TRIM(AK902)</f>
      </c>
      <c r="AN902" s="116">
        <v>69621.11</v>
      </c>
      <c r="AO902" s="116">
        <v>9428.16</v>
      </c>
      <c r="AP902" s="116">
        <f>SUMIFS(M:M,AM:AM,AM902)+SUMIFS(O:O,AM:AM,AM902)</f>
      </c>
      <c r="AQ902" s="116">
        <f>SUMIFS(L:L,AM:AM,AM902)</f>
      </c>
      <c r="AR902" s="116">
        <f>AQ902-AP902</f>
      </c>
      <c r="AS902" s="94" t="str">
        <f>IF(AN902&gt;=AQ902,"ok","ck")</f>
      </c>
      <c r="AT902" s="116">
        <f>-P902</f>
      </c>
      <c r="AU902" s="115">
        <f>IF(SUMIFS(AT:AT,AM:AM,AM902)&gt;AO902,(SUMIFS(AT:AT,AM:AM,AM902)-AO902))</f>
      </c>
      <c r="AV902" s="116">
        <v>43</v>
      </c>
      <c r="AW902" s="121">
        <v>0.159</v>
      </c>
      <c r="AX902" s="115">
        <f>AN902-AP902</f>
      </c>
    </row>
    <row r="903" spans="1:50" ht="15" hidden="1" customHeight="1" x14ac:dyDescent="0.3">
      <c r="A903" s="94" t="s">
        <v>82</v>
      </c>
      <c r="B903" s="94"/>
      <c r="C903" s="94"/>
      <c r="D903" s="94"/>
      <c r="E903" s="94"/>
      <c r="F903" s="94"/>
      <c r="G903" s="112">
        <f>AU903</f>
      </c>
      <c r="H903" s="113"/>
      <c r="I903" s="94" t="s">
        <v>240</v>
      </c>
      <c r="J903" s="94" t="s">
        <v>251</v>
      </c>
      <c r="K903" s="114">
        <f>P903/3</f>
      </c>
      <c r="L903" s="115">
        <v>0</v>
      </c>
      <c r="M903" s="116"/>
      <c r="N903" s="117">
        <f>M903-L903</f>
      </c>
      <c r="O903" s="112"/>
      <c r="P903" s="118">
        <f>N903+O903</f>
      </c>
      <c r="Q903" s="94" t="s">
        <v>242</v>
      </c>
      <c r="R903" s="94" t="s">
        <v>63</v>
      </c>
      <c r="S903" s="119">
        <v>46320</v>
      </c>
      <c r="T903" s="119"/>
      <c r="U903" s="120">
        <v>46320</v>
      </c>
      <c r="V903" s="94"/>
      <c r="W903" s="94"/>
      <c r="X903" s="94"/>
      <c r="Y903" s="119">
        <v>46320</v>
      </c>
      <c r="Z903" s="94"/>
      <c r="AA903" s="120"/>
      <c r="AB903" s="120"/>
      <c r="AC903" s="120"/>
      <c r="AD903" s="120"/>
      <c r="AE903" s="120"/>
      <c r="AF903" s="120"/>
      <c r="AG903" s="94"/>
      <c r="AH903" s="120"/>
      <c r="AI903" s="94"/>
      <c r="AJ903" s="94" t="s">
        <v>243</v>
      </c>
      <c r="AK903" s="94" t="s">
        <v>252</v>
      </c>
      <c r="AL903" s="94">
        <v>190</v>
      </c>
      <c r="AM903" s="94" t="str">
        <f>TRIM(AJ903)&amp;TRIM(AL903)&amp;TRIM(AK903)</f>
      </c>
      <c r="AN903" s="116">
        <v>69621.11</v>
      </c>
      <c r="AO903" s="116">
        <v>9428.16</v>
      </c>
      <c r="AP903" s="116">
        <f>SUMIFS(M:M,AM:AM,AM903)+SUMIFS(O:O,AM:AM,AM903)</f>
      </c>
      <c r="AQ903" s="116">
        <f>SUMIFS(L:L,AM:AM,AM903)</f>
      </c>
      <c r="AR903" s="116">
        <f>AQ903-AP903</f>
      </c>
      <c r="AS903" s="94" t="str">
        <f>IF(AN903&gt;=AQ903,"ok","ck")</f>
      </c>
      <c r="AT903" s="116">
        <f>-P903</f>
      </c>
      <c r="AU903" s="115">
        <f>IF(SUMIFS(AT:AT,AM:AM,AM903)&gt;AO903,(SUMIFS(AT:AT,AM:AM,AM903)-AO903))</f>
      </c>
      <c r="AV903" s="116">
        <v>43</v>
      </c>
      <c r="AW903" s="121">
        <v>0.159</v>
      </c>
      <c r="AX903" s="115">
        <f>AN903-AP903</f>
      </c>
    </row>
    <row r="904" spans="1:50" ht="15" hidden="1" customHeight="1" x14ac:dyDescent="0.3">
      <c r="A904" s="94" t="s">
        <v>268</v>
      </c>
      <c r="B904" s="94"/>
      <c r="C904" s="94"/>
      <c r="D904" s="94"/>
      <c r="E904" s="94"/>
      <c r="F904" s="94"/>
      <c r="G904" s="112">
        <f>AU904</f>
      </c>
      <c r="H904" s="113"/>
      <c r="I904" s="94" t="s">
        <v>278</v>
      </c>
      <c r="J904" s="94" t="s">
        <v>293</v>
      </c>
      <c r="K904" s="114">
        <f>P904/3</f>
      </c>
      <c r="L904" s="115">
        <v>2E-3</v>
      </c>
      <c r="M904" s="116">
        <f>L904</f>
      </c>
      <c r="N904" s="117">
        <f>M904-L904</f>
      </c>
      <c r="O904" s="112"/>
      <c r="P904" s="118">
        <f>N904+O904</f>
      </c>
      <c r="Q904" s="94" t="s">
        <v>344</v>
      </c>
      <c r="R904" s="94" t="s">
        <v>63</v>
      </c>
      <c r="S904" s="119">
        <v>46334</v>
      </c>
      <c r="T904" s="119"/>
      <c r="U904" s="120">
        <v>46334</v>
      </c>
      <c r="V904" s="94"/>
      <c r="W904" s="94"/>
      <c r="X904" s="94"/>
      <c r="Y904" s="119">
        <v>46334</v>
      </c>
      <c r="Z904" s="94"/>
      <c r="AA904" s="120"/>
      <c r="AB904" s="120"/>
      <c r="AC904" s="120"/>
      <c r="AD904" s="120"/>
      <c r="AE904" s="120"/>
      <c r="AF904" s="120"/>
      <c r="AG904" s="94"/>
      <c r="AH904" s="120"/>
      <c r="AI904" s="94"/>
      <c r="AJ904" s="94" t="s">
        <v>344</v>
      </c>
      <c r="AK904" s="94" t="s">
        <v>294</v>
      </c>
      <c r="AL904" s="94">
        <v>120</v>
      </c>
      <c r="AM904" s="94" t="str">
        <f>TRIM(AJ904)&amp;TRIM(AL904)&amp;TRIM(AK904)</f>
      </c>
      <c r="AN904" s="116">
        <v>34.23</v>
      </c>
      <c r="AO904" s="116">
        <v>-4.23</v>
      </c>
      <c r="AP904" s="116">
        <f>SUMIFS(M:M,AM:AM,AM904)+SUMIFS(O:O,AM:AM,AM904)</f>
      </c>
      <c r="AQ904" s="116">
        <f>SUMIFS(L:L,AM:AM,AM904)</f>
      </c>
      <c r="AR904" s="116">
        <f>AQ904-AP904</f>
      </c>
      <c r="AS904" s="94" t="str">
        <f>IF(AN904&gt;=AQ904,"ok","ck")</f>
      </c>
      <c r="AT904" s="116">
        <f>-P904</f>
      </c>
      <c r="AU904" s="115">
        <f>IF(SUMIFS(AT:AT,AM:AM,AM904)&gt;AO904,(SUMIFS(AT:AT,AM:AM,AM904)-AO904))</f>
      </c>
      <c r="AV904" s="116">
        <v>34.23</v>
      </c>
      <c r="AW904" s="121">
        <v>1.141</v>
      </c>
      <c r="AX904" s="115">
        <f>AN904-AP904</f>
      </c>
    </row>
    <row r="905" spans="1:50" ht="15" hidden="1" customHeight="1" x14ac:dyDescent="0.3">
      <c r="A905" s="94" t="s">
        <v>311</v>
      </c>
      <c r="B905" s="94"/>
      <c r="C905" s="94"/>
      <c r="D905" s="94"/>
      <c r="E905" s="94"/>
      <c r="F905" s="94"/>
      <c r="G905" s="112">
        <f>AU905</f>
      </c>
      <c r="H905" s="113"/>
      <c r="I905" s="94" t="s">
        <v>312</v>
      </c>
      <c r="J905" s="94" t="s">
        <v>368</v>
      </c>
      <c r="K905" s="114">
        <f>P905/3</f>
      </c>
      <c r="L905" s="115">
        <v>0</v>
      </c>
      <c r="M905" s="116"/>
      <c r="N905" s="117">
        <f>M905-L905</f>
      </c>
      <c r="O905" s="112"/>
      <c r="P905" s="118">
        <f>N905+O905</f>
      </c>
      <c r="Q905" s="94" t="s">
        <v>346</v>
      </c>
      <c r="R905" s="94" t="s">
        <v>63</v>
      </c>
      <c r="S905" s="119">
        <v>46320</v>
      </c>
      <c r="T905" s="119"/>
      <c r="U905" s="120">
        <v>46320</v>
      </c>
      <c r="V905" s="94"/>
      <c r="W905" s="94"/>
      <c r="X905" s="94"/>
      <c r="Y905" s="119">
        <v>46320</v>
      </c>
      <c r="Z905" s="94"/>
      <c r="AA905" s="120"/>
      <c r="AB905" s="120"/>
      <c r="AC905" s="120"/>
      <c r="AD905" s="120"/>
      <c r="AE905" s="120"/>
      <c r="AF905" s="120"/>
      <c r="AG905" s="94"/>
      <c r="AH905" s="120"/>
      <c r="AI905" s="94"/>
      <c r="AJ905" s="94" t="s">
        <v>346</v>
      </c>
      <c r="AK905" s="94" t="s">
        <v>389</v>
      </c>
      <c r="AL905" s="94">
        <v>150</v>
      </c>
      <c r="AM905" s="94" t="str">
        <f>TRIM(AJ905)&amp;TRIM(AL905)&amp;TRIM(AK905)</f>
      </c>
      <c r="AN905" s="116">
        <v>0</v>
      </c>
      <c r="AO905" s="116" t="inlineStr">
        <is>
          <t>#NA</t>
        </is>
      </c>
      <c r="AP905" s="116">
        <f>SUMIFS(M:M,AM:AM,AM905)+SUMIFS(O:O,AM:AM,AM905)</f>
      </c>
      <c r="AQ905" s="116">
        <f>SUMIFS(L:L,AM:AM,AM905)</f>
      </c>
      <c r="AR905" s="116">
        <f>AQ905-AP905</f>
      </c>
      <c r="AS905" s="94" t="str">
        <f>IF(AN905&gt;=AQ905,"ok","ck")</f>
      </c>
      <c r="AT905" s="116">
        <f>-P905</f>
      </c>
      <c r="AU905" s="115">
        <f>IF(SUMIFS(AT:AT,AM:AM,AM905)&gt;AO905,(SUMIFS(AT:AT,AM:AM,AM905)-AO905))</f>
      </c>
      <c r="AV905" s="116">
        <v>0</v>
      </c>
      <c r="AW905" s="121">
        <v>1.022</v>
      </c>
      <c r="AX905" s="115">
        <f>AN905-AP905</f>
      </c>
    </row>
    <row r="906" spans="1:50" ht="15" hidden="1" customHeight="1" x14ac:dyDescent="0.3">
      <c r="A906" s="94" t="s">
        <v>268</v>
      </c>
      <c r="B906" s="94"/>
      <c r="C906" s="94"/>
      <c r="D906" s="94"/>
      <c r="E906" s="94"/>
      <c r="F906" s="94"/>
      <c r="G906" s="112">
        <f>AU906</f>
      </c>
      <c r="H906" s="113"/>
      <c r="I906" s="94" t="s">
        <v>278</v>
      </c>
      <c r="J906" s="94" t="s">
        <v>317</v>
      </c>
      <c r="K906" s="114">
        <f>P906/3</f>
      </c>
      <c r="L906" s="115">
        <v>0</v>
      </c>
      <c r="M906" s="116">
        <f>L906</f>
      </c>
      <c r="N906" s="117">
        <f>M906-L906</f>
      </c>
      <c r="O906" s="112"/>
      <c r="P906" s="118">
        <f>N906+O906</f>
      </c>
      <c r="Q906" s="94" t="s">
        <v>305</v>
      </c>
      <c r="R906" s="94" t="s">
        <v>63</v>
      </c>
      <c r="S906" s="119">
        <v>46322</v>
      </c>
      <c r="T906" s="119"/>
      <c r="U906" s="120">
        <v>46322</v>
      </c>
      <c r="V906" s="94"/>
      <c r="W906" s="94"/>
      <c r="X906" s="94"/>
      <c r="Y906" s="119">
        <v>46322</v>
      </c>
      <c r="Z906" s="94"/>
      <c r="AA906" s="120"/>
      <c r="AB906" s="120"/>
      <c r="AC906" s="120"/>
      <c r="AD906" s="120"/>
      <c r="AE906" s="120"/>
      <c r="AF906" s="120"/>
      <c r="AG906" s="94"/>
      <c r="AH906" s="120"/>
      <c r="AI906" s="94"/>
      <c r="AJ906" s="94" t="s">
        <v>305</v>
      </c>
      <c r="AK906" s="94" t="s">
        <v>317</v>
      </c>
      <c r="AL906" s="94">
        <v>120</v>
      </c>
      <c r="AM906" s="94" t="str">
        <f>TRIM(AJ906)&amp;TRIM(AL906)&amp;TRIM(AK906)</f>
      </c>
      <c r="AN906" s="116">
        <v>921</v>
      </c>
      <c r="AO906" s="116">
        <v>-44</v>
      </c>
      <c r="AP906" s="116">
        <f>SUMIFS(M:M,AM:AM,AM906)+SUMIFS(O:O,AM:AM,AM906)</f>
      </c>
      <c r="AQ906" s="116">
        <f>SUMIFS(L:L,AM:AM,AM906)</f>
      </c>
      <c r="AR906" s="116">
        <f>AQ906-AP906</f>
      </c>
      <c r="AS906" s="94" t="str">
        <f>IF(AN906&gt;=AQ906,"ok","ck")</f>
      </c>
      <c r="AT906" s="116">
        <f>-P906</f>
      </c>
      <c r="AU906" s="115">
        <f>IF(SUMIFS(AT:AT,AM:AM,AM906)&gt;AO906,(SUMIFS(AT:AT,AM:AM,AM906)-AO906))</f>
      </c>
      <c r="AV906" s="116">
        <v>921</v>
      </c>
      <c r="AW906" s="121">
        <v>1.05</v>
      </c>
      <c r="AX906" s="115">
        <f>AN906-AP906</f>
      </c>
    </row>
    <row r="907" spans="1:50" ht="15" hidden="1" customHeight="1" x14ac:dyDescent="0.3">
      <c r="A907" s="94" t="s">
        <v>268</v>
      </c>
      <c r="B907" s="94"/>
      <c r="C907" s="94"/>
      <c r="D907" s="94"/>
      <c r="E907" s="94"/>
      <c r="F907" s="94"/>
      <c r="G907" s="112">
        <f>AU907</f>
      </c>
      <c r="H907" s="113"/>
      <c r="I907" s="94" t="s">
        <v>278</v>
      </c>
      <c r="J907" s="94" t="s">
        <v>381</v>
      </c>
      <c r="K907" s="114">
        <f>P907/3</f>
      </c>
      <c r="L907" s="115">
        <v>61.5</v>
      </c>
      <c r="M907" s="116"/>
      <c r="N907" s="117">
        <f>M907-L907</f>
      </c>
      <c r="O907" s="112"/>
      <c r="P907" s="118">
        <f>N907+O907</f>
      </c>
      <c r="Q907" s="94" t="s">
        <v>305</v>
      </c>
      <c r="R907" s="94" t="s">
        <v>63</v>
      </c>
      <c r="S907" s="119">
        <v>46335</v>
      </c>
      <c r="T907" s="119"/>
      <c r="U907" s="120">
        <v>46335</v>
      </c>
      <c r="V907" s="94"/>
      <c r="W907" s="94"/>
      <c r="X907" s="94"/>
      <c r="Y907" s="119">
        <v>46333</v>
      </c>
      <c r="Z907" s="94"/>
      <c r="AA907" s="120"/>
      <c r="AB907" s="120"/>
      <c r="AC907" s="120"/>
      <c r="AD907" s="120"/>
      <c r="AE907" s="120"/>
      <c r="AF907" s="120"/>
      <c r="AG907" s="94"/>
      <c r="AH907" s="120"/>
      <c r="AI907" s="94"/>
      <c r="AJ907" s="94" t="s">
        <v>305</v>
      </c>
      <c r="AK907" s="94" t="s">
        <v>381</v>
      </c>
      <c r="AL907" s="94">
        <v>120</v>
      </c>
      <c r="AM907" s="94" t="str">
        <f>TRIM(AJ907)&amp;TRIM(AL907)&amp;TRIM(AK907)</f>
      </c>
      <c r="AN907" s="116">
        <v>0</v>
      </c>
      <c r="AO907" s="116" t="inlineStr">
        <is>
          <t>#NA</t>
        </is>
      </c>
      <c r="AP907" s="116">
        <f>SUMIFS(M:M,AM:AM,AM907)+SUMIFS(O:O,AM:AM,AM907)</f>
      </c>
      <c r="AQ907" s="116">
        <f>SUMIFS(L:L,AM:AM,AM907)</f>
      </c>
      <c r="AR907" s="116">
        <f>AQ907-AP907</f>
      </c>
      <c r="AS907" s="94" t="str">
        <f>IF(AN907&gt;=AQ907,"ok","ck")</f>
      </c>
      <c r="AT907" s="116">
        <f>-P907</f>
      </c>
      <c r="AU907" s="115">
        <f>IF(SUMIFS(AT:AT,AM:AM,AM907)&gt;AO907,(SUMIFS(AT:AT,AM:AM,AM907)-AO907))</f>
      </c>
      <c r="AV907" s="116">
        <v>0</v>
      </c>
      <c r="AW907" s="121">
        <v>0</v>
      </c>
      <c r="AX907" s="115">
        <f>AN907-AP907</f>
      </c>
    </row>
    <row r="908" spans="1:50" ht="15" hidden="1" customHeight="1" x14ac:dyDescent="0.3">
      <c r="A908" s="94" t="s">
        <v>268</v>
      </c>
      <c r="B908" s="94"/>
      <c r="C908" s="94"/>
      <c r="D908" s="94"/>
      <c r="E908" s="94"/>
      <c r="F908" s="94"/>
      <c r="G908" s="112">
        <f>AU908</f>
      </c>
      <c r="H908" s="113"/>
      <c r="I908" s="94" t="s">
        <v>278</v>
      </c>
      <c r="J908" s="94" t="s">
        <v>550</v>
      </c>
      <c r="K908" s="114">
        <f>P908/3</f>
      </c>
      <c r="L908" s="115">
        <v>50.924999999999997</v>
      </c>
      <c r="M908" s="116"/>
      <c r="N908" s="117">
        <f>M908-L908</f>
      </c>
      <c r="O908" s="112"/>
      <c r="P908" s="118">
        <f>N908+O908</f>
      </c>
      <c r="Q908" s="94" t="s">
        <v>807</v>
      </c>
      <c r="R908" s="94" t="s">
        <v>63</v>
      </c>
      <c r="S908" s="119">
        <v>46345</v>
      </c>
      <c r="T908" s="119"/>
      <c r="U908" s="120">
        <v>46345</v>
      </c>
      <c r="V908" s="94"/>
      <c r="W908" s="94"/>
      <c r="X908" s="94"/>
      <c r="Y908" s="119">
        <v>46342</v>
      </c>
      <c r="Z908" s="94"/>
      <c r="AA908" s="120"/>
      <c r="AB908" s="120"/>
      <c r="AC908" s="120"/>
      <c r="AD908" s="120"/>
      <c r="AE908" s="120"/>
      <c r="AF908" s="120"/>
      <c r="AG908" s="94"/>
      <c r="AH908" s="120"/>
      <c r="AI908" s="94"/>
      <c r="AJ908" s="94" t="s">
        <v>807</v>
      </c>
      <c r="AK908" s="94" t="s">
        <v>725</v>
      </c>
      <c r="AL908" s="94">
        <v>120</v>
      </c>
      <c r="AM908" s="94" t="str">
        <f>TRIM(AJ908)&amp;TRIM(AL908)&amp;TRIM(AK908)</f>
      </c>
      <c r="AN908" s="116">
        <v>0</v>
      </c>
      <c r="AO908" s="116" t="inlineStr">
        <is>
          <t>#NA</t>
        </is>
      </c>
      <c r="AP908" s="116">
        <f>SUMIFS(M:M,AM:AM,AM908)+SUMIFS(O:O,AM:AM,AM908)</f>
      </c>
      <c r="AQ908" s="116">
        <f>SUMIFS(L:L,AM:AM,AM908)</f>
      </c>
      <c r="AR908" s="116">
        <f>AQ908-AP908</f>
      </c>
      <c r="AS908" s="94" t="str">
        <f>IF(AN908&gt;=AQ908,"ok","ck")</f>
      </c>
      <c r="AT908" s="116">
        <f>-P908</f>
      </c>
      <c r="AU908" s="115">
        <f>IF(SUMIFS(AT:AT,AM:AM,AM908)&gt;AO908,(SUMIFS(AT:AT,AM:AM,AM908)-AO908))</f>
      </c>
      <c r="AV908" s="116">
        <v>0</v>
      </c>
      <c r="AW908" s="121">
        <v>0</v>
      </c>
      <c r="AX908" s="115">
        <f>AN908-AP908</f>
      </c>
    </row>
    <row r="909" spans="1:50" ht="15" hidden="1" customHeight="1" x14ac:dyDescent="0.3">
      <c r="A909" s="94" t="s">
        <v>311</v>
      </c>
      <c r="B909" s="94"/>
      <c r="C909" s="94"/>
      <c r="D909" s="94"/>
      <c r="E909" s="94"/>
      <c r="F909" s="94"/>
      <c r="G909" s="112">
        <f>AU909</f>
      </c>
      <c r="H909" s="113"/>
      <c r="I909" s="94" t="s">
        <v>312</v>
      </c>
      <c r="J909" s="94" t="s">
        <v>71</v>
      </c>
      <c r="K909" s="114">
        <f>P909/3</f>
      </c>
      <c r="L909" s="115">
        <v>225.40700000000001</v>
      </c>
      <c r="M909" s="116"/>
      <c r="N909" s="117">
        <f>M909-L909</f>
      </c>
      <c r="O909" s="112"/>
      <c r="P909" s="118">
        <f>N909+O909</f>
      </c>
      <c r="Q909" s="94" t="s">
        <v>346</v>
      </c>
      <c r="R909" s="94" t="s">
        <v>63</v>
      </c>
      <c r="S909" s="119">
        <v>46329</v>
      </c>
      <c r="T909" s="119"/>
      <c r="U909" s="120" t="s">
        <v>644</v>
      </c>
      <c r="V909" s="94"/>
      <c r="W909" s="94"/>
      <c r="X909" s="94"/>
      <c r="Y909" s="119">
        <v>46320</v>
      </c>
      <c r="Z909" s="94"/>
      <c r="AA909" s="120"/>
      <c r="AB909" s="120"/>
      <c r="AC909" s="120"/>
      <c r="AD909" s="120"/>
      <c r="AE909" s="120"/>
      <c r="AF909" s="120"/>
      <c r="AG909" s="94"/>
      <c r="AH909" s="120"/>
      <c r="AI909" s="94"/>
      <c r="AJ909" s="94" t="s">
        <v>346</v>
      </c>
      <c r="AK909" s="94" t="s">
        <v>267</v>
      </c>
      <c r="AL909" s="94">
        <v>150</v>
      </c>
      <c r="AM909" s="94" t="str">
        <f>TRIM(AJ909)&amp;TRIM(AL909)&amp;TRIM(AK909)</f>
      </c>
      <c r="AN909" s="116">
        <v>0</v>
      </c>
      <c r="AO909" s="116" t="inlineStr">
        <is>
          <t>#NA</t>
        </is>
      </c>
      <c r="AP909" s="116">
        <f>SUMIFS(M:M,AM:AM,AM909)+SUMIFS(O:O,AM:AM,AM909)</f>
      </c>
      <c r="AQ909" s="116">
        <f>SUMIFS(L:L,AM:AM,AM909)</f>
      </c>
      <c r="AR909" s="116">
        <f>AQ909-AP909</f>
      </c>
      <c r="AS909" s="94" t="str">
        <f>IF(AN909&gt;=AQ909,"ok","ck")</f>
      </c>
      <c r="AT909" s="116">
        <f>-P909</f>
      </c>
      <c r="AU909" s="115">
        <f>IF(SUMIFS(AT:AT,AM:AM,AM909)&gt;AO909,(SUMIFS(AT:AT,AM:AM,AM909)-AO909))</f>
      </c>
      <c r="AV909" s="116">
        <v>0</v>
      </c>
      <c r="AW909" s="121">
        <v>0</v>
      </c>
      <c r="AX909" s="115">
        <f>AN909-AP909</f>
      </c>
    </row>
    <row r="910" spans="1:50" ht="15" hidden="1" customHeight="1" x14ac:dyDescent="0.3">
      <c r="A910" s="94" t="s">
        <v>268</v>
      </c>
      <c r="B910" s="94"/>
      <c r="C910" s="94"/>
      <c r="D910" s="94"/>
      <c r="E910" s="94"/>
      <c r="F910" s="94"/>
      <c r="G910" s="112">
        <f>AU910</f>
      </c>
      <c r="H910" s="113"/>
      <c r="I910" s="94" t="s">
        <v>278</v>
      </c>
      <c r="J910" s="94" t="s">
        <v>293</v>
      </c>
      <c r="K910" s="114">
        <f>P910/3</f>
      </c>
      <c r="L910" s="115">
        <v>123</v>
      </c>
      <c r="M910" s="116"/>
      <c r="N910" s="117">
        <f>M910-L910</f>
      </c>
      <c r="O910" s="112"/>
      <c r="P910" s="118">
        <f>N910+O910</f>
      </c>
      <c r="Q910" s="94" t="s">
        <v>305</v>
      </c>
      <c r="R910" s="94" t="s">
        <v>63</v>
      </c>
      <c r="S910" s="119">
        <v>46328</v>
      </c>
      <c r="T910" s="119"/>
      <c r="U910" s="120">
        <v>46328</v>
      </c>
      <c r="V910" s="94"/>
      <c r="W910" s="94"/>
      <c r="X910" s="94"/>
      <c r="Y910" s="119">
        <v>46327</v>
      </c>
      <c r="Z910" s="94"/>
      <c r="AA910" s="120"/>
      <c r="AB910" s="120"/>
      <c r="AC910" s="120"/>
      <c r="AD910" s="120"/>
      <c r="AE910" s="120"/>
      <c r="AF910" s="120"/>
      <c r="AG910" s="94"/>
      <c r="AH910" s="120"/>
      <c r="AI910" s="94"/>
      <c r="AJ910" s="94" t="s">
        <v>305</v>
      </c>
      <c r="AK910" s="94" t="s">
        <v>294</v>
      </c>
      <c r="AL910" s="94">
        <v>120</v>
      </c>
      <c r="AM910" s="94" t="str">
        <f>TRIM(AJ910)&amp;TRIM(AL910)&amp;TRIM(AK910)</f>
      </c>
      <c r="AN910" s="116">
        <v>0</v>
      </c>
      <c r="AO910" s="116" t="inlineStr">
        <is>
          <t>#NA</t>
        </is>
      </c>
      <c r="AP910" s="116">
        <f>SUMIFS(M:M,AM:AM,AM910)+SUMIFS(O:O,AM:AM,AM910)</f>
      </c>
      <c r="AQ910" s="116">
        <f>SUMIFS(L:L,AM:AM,AM910)</f>
      </c>
      <c r="AR910" s="116">
        <f>AQ910-AP910</f>
      </c>
      <c r="AS910" s="94" t="str">
        <f>IF(AN910&gt;=AQ910,"ok","ck")</f>
      </c>
      <c r="AT910" s="116">
        <f>-P910</f>
      </c>
      <c r="AU910" s="115">
        <f>IF(SUMIFS(AT:AT,AM:AM,AM910)&gt;AO910,(SUMIFS(AT:AT,AM:AM,AM910)-AO910))</f>
      </c>
      <c r="AV910" s="116">
        <v>0</v>
      </c>
      <c r="AW910" s="121">
        <v>0</v>
      </c>
      <c r="AX910" s="115">
        <f>AN910-AP910</f>
      </c>
    </row>
    <row r="911" spans="1:50" ht="15" hidden="1" customHeight="1" x14ac:dyDescent="0.3">
      <c r="A911" s="94" t="s">
        <v>268</v>
      </c>
      <c r="B911" s="94"/>
      <c r="C911" s="94"/>
      <c r="D911" s="94"/>
      <c r="E911" s="94"/>
      <c r="F911" s="94"/>
      <c r="G911" s="112">
        <f>AU911</f>
      </c>
      <c r="H911" s="113"/>
      <c r="I911" s="94" t="s">
        <v>278</v>
      </c>
      <c r="J911" s="94" t="s">
        <v>293</v>
      </c>
      <c r="K911" s="114">
        <f>P911/3</f>
      </c>
      <c r="L911" s="115">
        <v>98.4</v>
      </c>
      <c r="M911" s="116"/>
      <c r="N911" s="117">
        <f>M911-L911</f>
      </c>
      <c r="O911" s="112"/>
      <c r="P911" s="118">
        <f>N911+O911</f>
      </c>
      <c r="Q911" s="94" t="s">
        <v>305</v>
      </c>
      <c r="R911" s="94" t="s">
        <v>63</v>
      </c>
      <c r="S911" s="119">
        <v>46328</v>
      </c>
      <c r="T911" s="119"/>
      <c r="U911" s="120">
        <v>46328</v>
      </c>
      <c r="V911" s="94"/>
      <c r="W911" s="94"/>
      <c r="X911" s="94"/>
      <c r="Y911" s="119">
        <v>46345</v>
      </c>
      <c r="Z911" s="94"/>
      <c r="AA911" s="120"/>
      <c r="AB911" s="120"/>
      <c r="AC911" s="120"/>
      <c r="AD911" s="120"/>
      <c r="AE911" s="120"/>
      <c r="AF911" s="120"/>
      <c r="AG911" s="94"/>
      <c r="AH911" s="120"/>
      <c r="AI911" s="94"/>
      <c r="AJ911" s="94" t="s">
        <v>305</v>
      </c>
      <c r="AK911" s="94" t="s">
        <v>294</v>
      </c>
      <c r="AL911" s="94">
        <v>120</v>
      </c>
      <c r="AM911" s="94" t="str">
        <f>TRIM(AJ911)&amp;TRIM(AL911)&amp;TRIM(AK911)</f>
      </c>
      <c r="AN911" s="116">
        <v>0</v>
      </c>
      <c r="AO911" s="116" t="inlineStr">
        <is>
          <t>#NA</t>
        </is>
      </c>
      <c r="AP911" s="116">
        <f>SUMIFS(M:M,AM:AM,AM911)+SUMIFS(O:O,AM:AM,AM911)</f>
      </c>
      <c r="AQ911" s="116">
        <f>SUMIFS(L:L,AM:AM,AM911)</f>
      </c>
      <c r="AR911" s="116">
        <f>AQ911-AP911</f>
      </c>
      <c r="AS911" s="94" t="str">
        <f>IF(AN911&gt;=AQ911,"ok","ck")</f>
      </c>
      <c r="AT911" s="116">
        <f>-P911</f>
      </c>
      <c r="AU911" s="115">
        <f>IF(SUMIFS(AT:AT,AM:AM,AM911)&gt;AO911,(SUMIFS(AT:AT,AM:AM,AM911)-AO911))</f>
      </c>
      <c r="AV911" s="116">
        <v>0</v>
      </c>
      <c r="AW911" s="121">
        <v>0</v>
      </c>
      <c r="AX911" s="115">
        <f>AN911-AP911</f>
      </c>
    </row>
    <row r="912" spans="1:50" ht="15" hidden="1" customHeight="1" x14ac:dyDescent="0.3">
      <c r="A912" s="94" t="s">
        <v>263</v>
      </c>
      <c r="B912" s="94"/>
      <c r="C912" s="94"/>
      <c r="D912" s="94"/>
      <c r="E912" s="94"/>
      <c r="F912" s="94"/>
      <c r="G912" s="112">
        <f>AU912</f>
      </c>
      <c r="H912" s="113"/>
      <c r="I912" s="94" t="s">
        <v>264</v>
      </c>
      <c r="J912" s="94" t="s">
        <v>333</v>
      </c>
      <c r="K912" s="114">
        <f>P912/3</f>
      </c>
      <c r="L912" s="115">
        <v>0</v>
      </c>
      <c r="M912" s="116">
        <f>L912</f>
      </c>
      <c r="N912" s="117">
        <f>M912-L912</f>
      </c>
      <c r="O912" s="112"/>
      <c r="P912" s="118">
        <f>N912+O912</f>
      </c>
      <c r="Q912" s="94" t="s">
        <v>814</v>
      </c>
      <c r="R912" s="94" t="s">
        <v>63</v>
      </c>
      <c r="S912" s="119">
        <v>46320</v>
      </c>
      <c r="T912" s="119"/>
      <c r="U912" s="119">
        <v>46320</v>
      </c>
      <c r="V912" s="94"/>
      <c r="W912" s="94"/>
      <c r="X912" s="94"/>
      <c r="Y912" s="119">
        <v>46320</v>
      </c>
      <c r="Z912" s="94"/>
      <c r="AA912" s="120"/>
      <c r="AB912" s="120"/>
      <c r="AC912" s="120"/>
      <c r="AD912" s="120"/>
      <c r="AE912" s="120"/>
      <c r="AF912" s="120"/>
      <c r="AG912" s="94"/>
      <c r="AH912" s="120"/>
      <c r="AI912" s="94"/>
      <c r="AJ912" s="94" t="s">
        <v>814</v>
      </c>
      <c r="AK912" s="94" t="s">
        <v>338</v>
      </c>
      <c r="AL912" s="94">
        <v>120</v>
      </c>
      <c r="AM912" s="94" t="str">
        <f>TRIM(AJ912)&amp;TRIM(AL912)&amp;TRIM(AK912)</f>
      </c>
      <c r="AN912" s="116">
        <v>1924</v>
      </c>
      <c r="AO912" s="116">
        <v>-51.01</v>
      </c>
      <c r="AP912" s="116">
        <f>SUMIFS(M:M,AM:AM,AM912)+SUMIFS(O:O,AM:AM,AM912)</f>
      </c>
      <c r="AQ912" s="116">
        <f>SUMIFS(L:L,AM:AM,AM912)</f>
      </c>
      <c r="AR912" s="116">
        <f>AQ912-AP912</f>
      </c>
      <c r="AS912" s="94" t="str">
        <f>IF(AN912&gt;=AQ912,"ok","ck")</f>
      </c>
      <c r="AT912" s="116">
        <f>-P912</f>
      </c>
      <c r="AU912" s="115">
        <f>IF(SUMIFS(AT:AT,AM:AM,AM912)&gt;AO912,(SUMIFS(AT:AT,AM:AM,AM912)-AO912))</f>
      </c>
      <c r="AV912" s="116">
        <v>1924</v>
      </c>
      <c r="AW912" s="121">
        <v>1.027</v>
      </c>
      <c r="AX912" s="115">
        <f>AN912-AP912</f>
      </c>
    </row>
    <row r="913" spans="1:50" ht="15" hidden="1" customHeight="1" x14ac:dyDescent="0.3">
      <c r="A913" s="94" t="s">
        <v>82</v>
      </c>
      <c r="B913" s="94"/>
      <c r="C913" s="94"/>
      <c r="D913" s="94"/>
      <c r="E913" s="94"/>
      <c r="F913" s="94"/>
      <c r="G913" s="112">
        <f>AU913</f>
      </c>
      <c r="H913" s="113"/>
      <c r="I913" s="94" t="s">
        <v>240</v>
      </c>
      <c r="J913" s="94" t="s">
        <v>251</v>
      </c>
      <c r="K913" s="114">
        <f>P913/3</f>
      </c>
      <c r="L913" s="115">
        <v>0</v>
      </c>
      <c r="M913" s="116"/>
      <c r="N913" s="117">
        <f>M913-L913</f>
      </c>
      <c r="O913" s="112"/>
      <c r="P913" s="118">
        <f>N913+O913</f>
      </c>
      <c r="Q913" s="94" t="s">
        <v>242</v>
      </c>
      <c r="R913" s="94" t="s">
        <v>63</v>
      </c>
      <c r="S913" s="119">
        <v>46320</v>
      </c>
      <c r="T913" s="119"/>
      <c r="U913" s="119">
        <v>46320</v>
      </c>
      <c r="V913" s="94"/>
      <c r="W913" s="94"/>
      <c r="X913" s="94"/>
      <c r="Y913" s="119">
        <v>46320</v>
      </c>
      <c r="Z913" s="94"/>
      <c r="AA913" s="120"/>
      <c r="AB913" s="120"/>
      <c r="AC913" s="120"/>
      <c r="AD913" s="120"/>
      <c r="AE913" s="120"/>
      <c r="AF913" s="120"/>
      <c r="AG913" s="94"/>
      <c r="AH913" s="120"/>
      <c r="AI913" s="94"/>
      <c r="AJ913" s="94" t="s">
        <v>243</v>
      </c>
      <c r="AK913" s="94" t="s">
        <v>252</v>
      </c>
      <c r="AL913" s="94">
        <v>190</v>
      </c>
      <c r="AM913" s="94" t="str">
        <f>TRIM(AJ913)&amp;TRIM(AL913)&amp;TRIM(AK913)</f>
      </c>
      <c r="AN913" s="116">
        <v>69621.11</v>
      </c>
      <c r="AO913" s="116">
        <v>9428.16</v>
      </c>
      <c r="AP913" s="116">
        <f>SUMIFS(M:M,AM:AM,AM913)+SUMIFS(O:O,AM:AM,AM913)</f>
      </c>
      <c r="AQ913" s="116">
        <f>SUMIFS(L:L,AM:AM,AM913)</f>
      </c>
      <c r="AR913" s="116">
        <f>AQ913-AP913</f>
      </c>
      <c r="AS913" s="94" t="str">
        <f>IF(AN913&gt;=AQ913,"ok","ck")</f>
      </c>
      <c r="AT913" s="116">
        <f>-P913</f>
      </c>
      <c r="AU913" s="115">
        <f>IF(SUMIFS(AT:AT,AM:AM,AM913)&gt;AO913,(SUMIFS(AT:AT,AM:AM,AM913)-AO913))</f>
      </c>
      <c r="AV913" s="116">
        <v>43</v>
      </c>
      <c r="AW913" s="121">
        <v>0.159</v>
      </c>
      <c r="AX913" s="115">
        <f>AN913-AP913</f>
      </c>
    </row>
    <row r="914" spans="1:50" ht="15" hidden="1" customHeight="1" x14ac:dyDescent="0.3">
      <c r="A914" s="94" t="s">
        <v>82</v>
      </c>
      <c r="B914" s="94"/>
      <c r="C914" s="94"/>
      <c r="D914" s="94"/>
      <c r="E914" s="94"/>
      <c r="F914" s="94"/>
      <c r="G914" s="112">
        <f>AU914</f>
      </c>
      <c r="H914" s="113"/>
      <c r="I914" s="94" t="s">
        <v>83</v>
      </c>
      <c r="J914" s="94" t="s">
        <v>520</v>
      </c>
      <c r="K914" s="114">
        <f>P914/3</f>
      </c>
      <c r="L914" s="115">
        <v>2557.9929999999999</v>
      </c>
      <c r="M914" s="116"/>
      <c r="N914" s="117">
        <f>M914-L914</f>
      </c>
      <c r="O914" s="112"/>
      <c r="P914" s="118">
        <f>N914+O914</f>
      </c>
      <c r="Q914" s="94" t="s">
        <v>853</v>
      </c>
      <c r="R914" s="94" t="s">
        <v>63</v>
      </c>
      <c r="S914" s="119">
        <v>46330</v>
      </c>
      <c r="T914" s="119"/>
      <c r="U914" s="119">
        <v>46330</v>
      </c>
      <c r="V914" s="94"/>
      <c r="W914" s="94"/>
      <c r="X914" s="94"/>
      <c r="Y914" s="119">
        <v>46330</v>
      </c>
      <c r="Z914" s="94"/>
      <c r="AA914" s="120"/>
      <c r="AB914" s="120"/>
      <c r="AC914" s="120"/>
      <c r="AD914" s="120"/>
      <c r="AE914" s="120"/>
      <c r="AF914" s="120"/>
      <c r="AG914" s="94"/>
      <c r="AH914" s="120"/>
      <c r="AI914" s="94"/>
      <c r="AJ914" s="94" t="s">
        <v>798</v>
      </c>
      <c r="AK914" s="94" t="s">
        <v>710</v>
      </c>
      <c r="AL914" s="94">
        <v>160</v>
      </c>
      <c r="AM914" s="94" t="str">
        <f>TRIM(AJ914)&amp;TRIM(AL914)&amp;TRIM(AK914)</f>
      </c>
      <c r="AN914" s="116">
        <v>0</v>
      </c>
      <c r="AO914" s="116" t="inlineStr">
        <is>
          <t>#NA</t>
        </is>
      </c>
      <c r="AP914" s="116">
        <f>SUMIFS(M:M,AM:AM,AM914)+SUMIFS(O:O,AM:AM,AM914)</f>
      </c>
      <c r="AQ914" s="116">
        <f>SUMIFS(L:L,AM:AM,AM914)</f>
      </c>
      <c r="AR914" s="116">
        <f>AQ914-AP914</f>
      </c>
      <c r="AS914" s="94" t="str">
        <f>IF(AN914&gt;=AQ914,"ok","ck")</f>
      </c>
      <c r="AT914" s="116">
        <f>-P914</f>
      </c>
      <c r="AU914" s="115">
        <f>IF(SUMIFS(AT:AT,AM:AM,AM914)&gt;AO914,(SUMIFS(AT:AT,AM:AM,AM914)-AO914))</f>
      </c>
      <c r="AV914" s="116">
        <v>0</v>
      </c>
      <c r="AW914" s="121">
        <v>0</v>
      </c>
      <c r="AX914" s="115">
        <f>AN914-AP914</f>
      </c>
    </row>
    <row r="915" spans="1:50" ht="15" hidden="1" customHeight="1" x14ac:dyDescent="0.3">
      <c r="A915" s="94" t="s">
        <v>268</v>
      </c>
      <c r="B915" s="94"/>
      <c r="C915" s="94"/>
      <c r="D915" s="94"/>
      <c r="E915" s="94"/>
      <c r="F915" s="94"/>
      <c r="G915" s="112">
        <f>AU915</f>
      </c>
      <c r="H915" s="113"/>
      <c r="I915" s="94" t="s">
        <v>278</v>
      </c>
      <c r="J915" s="94" t="s">
        <v>503</v>
      </c>
      <c r="K915" s="114">
        <f>P915/3</f>
      </c>
      <c r="L915" s="115">
        <v>22.251999999999999</v>
      </c>
      <c r="M915" s="116"/>
      <c r="N915" s="117">
        <f>M915-L915</f>
      </c>
      <c r="O915" s="112"/>
      <c r="P915" s="118">
        <f>N915+O915</f>
      </c>
      <c r="Q915" s="94" t="s">
        <v>807</v>
      </c>
      <c r="R915" s="94" t="s">
        <v>63</v>
      </c>
      <c r="S915" s="119">
        <v>46346</v>
      </c>
      <c r="T915" s="119"/>
      <c r="U915" s="119">
        <v>46346</v>
      </c>
      <c r="V915" s="94"/>
      <c r="W915" s="94"/>
      <c r="X915" s="94"/>
      <c r="Y915" s="119">
        <v>46343</v>
      </c>
      <c r="Z915" s="94"/>
      <c r="AA915" s="120"/>
      <c r="AB915" s="120"/>
      <c r="AC915" s="120"/>
      <c r="AD915" s="120"/>
      <c r="AE915" s="120"/>
      <c r="AF915" s="120"/>
      <c r="AG915" s="94"/>
      <c r="AH915" s="120"/>
      <c r="AI915" s="94"/>
      <c r="AJ915" s="94" t="s">
        <v>807</v>
      </c>
      <c r="AK915" s="94" t="s">
        <v>697</v>
      </c>
      <c r="AL915" s="94">
        <v>120</v>
      </c>
      <c r="AM915" s="94" t="str">
        <f>TRIM(AJ915)&amp;TRIM(AL915)&amp;TRIM(AK915)</f>
      </c>
      <c r="AN915" s="116">
        <v>0</v>
      </c>
      <c r="AO915" s="116" t="inlineStr">
        <is>
          <t>#NA</t>
        </is>
      </c>
      <c r="AP915" s="116">
        <f>SUMIFS(M:M,AM:AM,AM915)+SUMIFS(O:O,AM:AM,AM915)</f>
      </c>
      <c r="AQ915" s="116">
        <f>SUMIFS(L:L,AM:AM,AM915)</f>
      </c>
      <c r="AR915" s="116">
        <f>AQ915-AP915</f>
      </c>
      <c r="AS915" s="94" t="str">
        <f>IF(AN915&gt;=AQ915,"ok","ck")</f>
      </c>
      <c r="AT915" s="116">
        <f>-P915</f>
      </c>
      <c r="AU915" s="115">
        <f>IF(SUMIFS(AT:AT,AM:AM,AM915)&gt;AO915,(SUMIFS(AT:AT,AM:AM,AM915)-AO915))</f>
      </c>
      <c r="AV915" s="116">
        <v>0</v>
      </c>
      <c r="AW915" s="121">
        <v>0</v>
      </c>
      <c r="AX915" s="115">
        <f>AN915-AP915</f>
      </c>
    </row>
    <row r="916" spans="1:50" ht="15" hidden="1" customHeight="1" x14ac:dyDescent="0.3">
      <c r="A916" s="94" t="s">
        <v>60</v>
      </c>
      <c r="B916" s="94"/>
      <c r="C916" s="94"/>
      <c r="D916" s="94"/>
      <c r="E916" s="94"/>
      <c r="F916" s="94"/>
      <c r="G916" s="112">
        <f>AU916</f>
      </c>
      <c r="H916" s="113"/>
      <c r="I916" s="94" t="s">
        <v>70</v>
      </c>
      <c r="J916" s="94" t="s">
        <v>66</v>
      </c>
      <c r="K916" s="114">
        <f>P916/3</f>
      </c>
      <c r="L916" s="115">
        <v>2709.462</v>
      </c>
      <c r="M916" s="116"/>
      <c r="N916" s="117">
        <f>M916-L916</f>
      </c>
      <c r="O916" s="112"/>
      <c r="P916" s="118">
        <f>N916+O916</f>
      </c>
      <c r="Q916" s="94" t="s">
        <v>80</v>
      </c>
      <c r="R916" s="94" t="s">
        <v>63</v>
      </c>
      <c r="S916" s="119">
        <v>46333</v>
      </c>
      <c r="T916" s="119"/>
      <c r="U916" s="119" t="s">
        <v>643</v>
      </c>
      <c r="V916" s="94"/>
      <c r="W916" s="94"/>
      <c r="X916" s="94"/>
      <c r="Y916" s="119">
        <v>46320</v>
      </c>
      <c r="Z916" s="94"/>
      <c r="AA916" s="120"/>
      <c r="AB916" s="120"/>
      <c r="AC916" s="120"/>
      <c r="AD916" s="120"/>
      <c r="AE916" s="120"/>
      <c r="AF916" s="120"/>
      <c r="AG916" s="94"/>
      <c r="AH916" s="120"/>
      <c r="AI916" s="94"/>
      <c r="AJ916" s="94" t="s">
        <v>80</v>
      </c>
      <c r="AK916" s="94" t="s">
        <v>66</v>
      </c>
      <c r="AL916" s="94">
        <v>140</v>
      </c>
      <c r="AM916" s="94" t="str">
        <f>TRIM(AJ916)&amp;TRIM(AL916)&amp;TRIM(AK916)</f>
      </c>
      <c r="AN916" s="116">
        <v>6679.63</v>
      </c>
      <c r="AO916" s="116">
        <v>13537.37</v>
      </c>
      <c r="AP916" s="116">
        <f>SUMIFS(M:M,AM:AM,AM916)+SUMIFS(O:O,AM:AM,AM916)</f>
      </c>
      <c r="AQ916" s="116">
        <f>SUMIFS(L:L,AM:AM,AM916)</f>
      </c>
      <c r="AR916" s="116">
        <f>AQ916-AP916</f>
      </c>
      <c r="AS916" s="94" t="str">
        <f>IF(AN916&gt;=AQ916,"ok","ck")</f>
      </c>
      <c r="AT916" s="116">
        <f>-P916</f>
      </c>
      <c r="AU916" s="115">
        <f>IF(SUMIFS(AT:AT,AM:AM,AM916)&gt;AO916,(SUMIFS(AT:AT,AM:AM,AM916)-AO916))</f>
      </c>
      <c r="AV916" s="116">
        <v>6679.63</v>
      </c>
      <c r="AW916" s="121">
        <v>0.33</v>
      </c>
      <c r="AX916" s="115">
        <f>AN916-AP916</f>
      </c>
    </row>
    <row r="917" spans="1:50" ht="15" hidden="1" customHeight="1" x14ac:dyDescent="0.3">
      <c r="A917" s="94" t="s">
        <v>60</v>
      </c>
      <c r="B917" s="94"/>
      <c r="C917" s="94"/>
      <c r="D917" s="94"/>
      <c r="E917" s="94"/>
      <c r="F917" s="94"/>
      <c r="G917" s="112">
        <f>AU917</f>
      </c>
      <c r="H917" s="113"/>
      <c r="I917" s="94" t="s">
        <v>70</v>
      </c>
      <c r="J917" s="94" t="s">
        <v>66</v>
      </c>
      <c r="K917" s="114">
        <f>P917/3</f>
      </c>
      <c r="L917" s="115">
        <v>2709.462</v>
      </c>
      <c r="M917" s="116"/>
      <c r="N917" s="117">
        <f>M917-L917</f>
      </c>
      <c r="O917" s="112"/>
      <c r="P917" s="118">
        <f>N917+O917</f>
      </c>
      <c r="Q917" s="94" t="s">
        <v>80</v>
      </c>
      <c r="R917" s="94" t="s">
        <v>63</v>
      </c>
      <c r="S917" s="119">
        <v>46334</v>
      </c>
      <c r="T917" s="119"/>
      <c r="U917" s="119" t="s">
        <v>643</v>
      </c>
      <c r="V917" s="94"/>
      <c r="W917" s="94"/>
      <c r="X917" s="94"/>
      <c r="Y917" s="119">
        <v>46320</v>
      </c>
      <c r="Z917" s="94"/>
      <c r="AA917" s="120"/>
      <c r="AB917" s="120"/>
      <c r="AC917" s="120"/>
      <c r="AD917" s="120"/>
      <c r="AE917" s="120"/>
      <c r="AF917" s="120"/>
      <c r="AG917" s="94"/>
      <c r="AH917" s="120"/>
      <c r="AI917" s="94"/>
      <c r="AJ917" s="94" t="s">
        <v>80</v>
      </c>
      <c r="AK917" s="94" t="s">
        <v>66</v>
      </c>
      <c r="AL917" s="94">
        <v>140</v>
      </c>
      <c r="AM917" s="94" t="str">
        <f>TRIM(AJ917)&amp;TRIM(AL917)&amp;TRIM(AK917)</f>
      </c>
      <c r="AN917" s="116">
        <v>6679.63</v>
      </c>
      <c r="AO917" s="116">
        <v>13537.37</v>
      </c>
      <c r="AP917" s="116">
        <f>SUMIFS(M:M,AM:AM,AM917)+SUMIFS(O:O,AM:AM,AM917)</f>
      </c>
      <c r="AQ917" s="116">
        <f>SUMIFS(L:L,AM:AM,AM917)</f>
      </c>
      <c r="AR917" s="116">
        <f>AQ917-AP917</f>
      </c>
      <c r="AS917" s="94" t="str">
        <f>IF(AN917&gt;=AQ917,"ok","ck")</f>
      </c>
      <c r="AT917" s="116">
        <f>-P917</f>
      </c>
      <c r="AU917" s="115">
        <f>IF(SUMIFS(AT:AT,AM:AM,AM917)&gt;AO917,(SUMIFS(AT:AT,AM:AM,AM917)-AO917))</f>
      </c>
      <c r="AV917" s="116">
        <v>6679.63</v>
      </c>
      <c r="AW917" s="121">
        <v>0.33</v>
      </c>
      <c r="AX917" s="115">
        <f>AN917-AP917</f>
      </c>
    </row>
    <row r="918" spans="1:50" ht="15" hidden="1" customHeight="1" x14ac:dyDescent="0.3">
      <c r="A918" s="94" t="s">
        <v>60</v>
      </c>
      <c r="B918" s="94"/>
      <c r="C918" s="94"/>
      <c r="D918" s="94"/>
      <c r="E918" s="94"/>
      <c r="F918" s="94"/>
      <c r="G918" s="112">
        <f>AU918</f>
      </c>
      <c r="H918" s="113"/>
      <c r="I918" s="94" t="s">
        <v>70</v>
      </c>
      <c r="J918" s="94" t="s">
        <v>66</v>
      </c>
      <c r="K918" s="114">
        <f>P918/3</f>
      </c>
      <c r="L918" s="115">
        <v>2709.462</v>
      </c>
      <c r="M918" s="116"/>
      <c r="N918" s="117">
        <f>M918-L918</f>
      </c>
      <c r="O918" s="112"/>
      <c r="P918" s="118">
        <f>N918+O918</f>
      </c>
      <c r="Q918" s="94" t="s">
        <v>80</v>
      </c>
      <c r="R918" s="94" t="s">
        <v>63</v>
      </c>
      <c r="S918" s="119">
        <v>46335</v>
      </c>
      <c r="T918" s="119"/>
      <c r="U918" s="119" t="s">
        <v>643</v>
      </c>
      <c r="V918" s="94"/>
      <c r="W918" s="94"/>
      <c r="X918" s="94"/>
      <c r="Y918" s="119">
        <v>46320</v>
      </c>
      <c r="Z918" s="94"/>
      <c r="AA918" s="120"/>
      <c r="AB918" s="120"/>
      <c r="AC918" s="120"/>
      <c r="AD918" s="120"/>
      <c r="AE918" s="120"/>
      <c r="AF918" s="120"/>
      <c r="AG918" s="94"/>
      <c r="AH918" s="120"/>
      <c r="AI918" s="94"/>
      <c r="AJ918" s="94" t="s">
        <v>80</v>
      </c>
      <c r="AK918" s="94" t="s">
        <v>66</v>
      </c>
      <c r="AL918" s="94">
        <v>140</v>
      </c>
      <c r="AM918" s="94" t="str">
        <f>TRIM(AJ918)&amp;TRIM(AL918)&amp;TRIM(AK918)</f>
      </c>
      <c r="AN918" s="116">
        <v>6679.63</v>
      </c>
      <c r="AO918" s="116">
        <v>13537.37</v>
      </c>
      <c r="AP918" s="116">
        <f>SUMIFS(M:M,AM:AM,AM918)+SUMIFS(O:O,AM:AM,AM918)</f>
      </c>
      <c r="AQ918" s="116">
        <f>SUMIFS(L:L,AM:AM,AM918)</f>
      </c>
      <c r="AR918" s="116">
        <f>AQ918-AP918</f>
      </c>
      <c r="AS918" s="94" t="str">
        <f>IF(AN918&gt;=AQ918,"ok","ck")</f>
      </c>
      <c r="AT918" s="116">
        <f>-P918</f>
      </c>
      <c r="AU918" s="115">
        <f>IF(SUMIFS(AT:AT,AM:AM,AM918)&gt;AO918,(SUMIFS(AT:AT,AM:AM,AM918)-AO918))</f>
      </c>
      <c r="AV918" s="116">
        <v>6679.63</v>
      </c>
      <c r="AW918" s="121">
        <v>0.33</v>
      </c>
      <c r="AX918" s="115">
        <f>AN918-AP918</f>
      </c>
    </row>
    <row r="919" spans="1:50" ht="15" hidden="1" customHeight="1" x14ac:dyDescent="0.3">
      <c r="A919" s="94" t="s">
        <v>60</v>
      </c>
      <c r="B919" s="94"/>
      <c r="C919" s="94"/>
      <c r="D919" s="94"/>
      <c r="E919" s="94"/>
      <c r="F919" s="94"/>
      <c r="G919" s="112">
        <f>AU919</f>
      </c>
      <c r="H919" s="113"/>
      <c r="I919" s="94" t="s">
        <v>70</v>
      </c>
      <c r="J919" s="94" t="s">
        <v>66</v>
      </c>
      <c r="K919" s="114">
        <f>P919/3</f>
      </c>
      <c r="L919" s="115">
        <v>2709.462</v>
      </c>
      <c r="M919" s="116"/>
      <c r="N919" s="117">
        <f>M919-L919</f>
      </c>
      <c r="O919" s="112"/>
      <c r="P919" s="118">
        <f>N919+O919</f>
      </c>
      <c r="Q919" s="94" t="s">
        <v>80</v>
      </c>
      <c r="R919" s="94" t="s">
        <v>63</v>
      </c>
      <c r="S919" s="119">
        <v>46336</v>
      </c>
      <c r="T919" s="119"/>
      <c r="U919" s="119" t="s">
        <v>643</v>
      </c>
      <c r="V919" s="94"/>
      <c r="W919" s="94"/>
      <c r="X919" s="94"/>
      <c r="Y919" s="119">
        <v>46329</v>
      </c>
      <c r="Z919" s="94"/>
      <c r="AA919" s="120"/>
      <c r="AB919" s="120"/>
      <c r="AC919" s="120"/>
      <c r="AD919" s="120"/>
      <c r="AE919" s="120"/>
      <c r="AF919" s="120"/>
      <c r="AG919" s="94"/>
      <c r="AH919" s="120"/>
      <c r="AI919" s="94"/>
      <c r="AJ919" s="94" t="s">
        <v>80</v>
      </c>
      <c r="AK919" s="94" t="s">
        <v>66</v>
      </c>
      <c r="AL919" s="94">
        <v>140</v>
      </c>
      <c r="AM919" s="94" t="str">
        <f>TRIM(AJ919)&amp;TRIM(AL919)&amp;TRIM(AK919)</f>
      </c>
      <c r="AN919" s="116">
        <v>6679.63</v>
      </c>
      <c r="AO919" s="116">
        <v>13537.37</v>
      </c>
      <c r="AP919" s="116">
        <f>SUMIFS(M:M,AM:AM,AM919)+SUMIFS(O:O,AM:AM,AM919)</f>
      </c>
      <c r="AQ919" s="116">
        <f>SUMIFS(L:L,AM:AM,AM919)</f>
      </c>
      <c r="AR919" s="116">
        <f>AQ919-AP919</f>
      </c>
      <c r="AS919" s="94" t="str">
        <f>IF(AN919&gt;=AQ919,"ok","ck")</f>
      </c>
      <c r="AT919" s="116">
        <f>-P919</f>
      </c>
      <c r="AU919" s="115">
        <f>IF(SUMIFS(AT:AT,AM:AM,AM919)&gt;AO919,(SUMIFS(AT:AT,AM:AM,AM919)-AO919))</f>
      </c>
      <c r="AV919" s="116">
        <v>6679.63</v>
      </c>
      <c r="AW919" s="121">
        <v>0.33</v>
      </c>
      <c r="AX919" s="115">
        <f>AN919-AP919</f>
      </c>
    </row>
    <row r="920" spans="1:50" ht="15" hidden="1" customHeight="1" x14ac:dyDescent="0.3">
      <c r="A920" s="94" t="s">
        <v>60</v>
      </c>
      <c r="B920" s="94"/>
      <c r="C920" s="94"/>
      <c r="D920" s="94"/>
      <c r="E920" s="94"/>
      <c r="F920" s="94"/>
      <c r="G920" s="112">
        <f>AU920</f>
      </c>
      <c r="H920" s="113"/>
      <c r="I920" s="94" t="s">
        <v>70</v>
      </c>
      <c r="J920" s="94" t="s">
        <v>66</v>
      </c>
      <c r="K920" s="114">
        <f>P920/3</f>
      </c>
      <c r="L920" s="115">
        <v>2363.1419999999998</v>
      </c>
      <c r="M920" s="116"/>
      <c r="N920" s="117">
        <f>M920-L920</f>
      </c>
      <c r="O920" s="112"/>
      <c r="P920" s="118">
        <f>N920+O920</f>
      </c>
      <c r="Q920" s="94" t="s">
        <v>80</v>
      </c>
      <c r="R920" s="94" t="s">
        <v>63</v>
      </c>
      <c r="S920" s="119">
        <v>46338</v>
      </c>
      <c r="T920" s="119"/>
      <c r="U920" s="119" t="s">
        <v>643</v>
      </c>
      <c r="V920" s="94"/>
      <c r="W920" s="94"/>
      <c r="X920" s="94"/>
      <c r="Y920" s="119">
        <v>46329</v>
      </c>
      <c r="Z920" s="94"/>
      <c r="AA920" s="120"/>
      <c r="AB920" s="120"/>
      <c r="AC920" s="120"/>
      <c r="AD920" s="120"/>
      <c r="AE920" s="120"/>
      <c r="AF920" s="120"/>
      <c r="AG920" s="94"/>
      <c r="AH920" s="120"/>
      <c r="AI920" s="94"/>
      <c r="AJ920" s="94" t="s">
        <v>80</v>
      </c>
      <c r="AK920" s="94" t="s">
        <v>66</v>
      </c>
      <c r="AL920" s="94">
        <v>140</v>
      </c>
      <c r="AM920" s="94" t="str">
        <f>TRIM(AJ920)&amp;TRIM(AL920)&amp;TRIM(AK920)</f>
      </c>
      <c r="AN920" s="116">
        <v>6679.63</v>
      </c>
      <c r="AO920" s="116">
        <v>13537.37</v>
      </c>
      <c r="AP920" s="116">
        <f>SUMIFS(M:M,AM:AM,AM920)+SUMIFS(O:O,AM:AM,AM920)</f>
      </c>
      <c r="AQ920" s="116">
        <f>SUMIFS(L:L,AM:AM,AM920)</f>
      </c>
      <c r="AR920" s="116">
        <f>AQ920-AP920</f>
      </c>
      <c r="AS920" s="94" t="str">
        <f>IF(AN920&gt;=AQ920,"ok","ck")</f>
      </c>
      <c r="AT920" s="116">
        <f>-P920</f>
      </c>
      <c r="AU920" s="115">
        <f>IF(SUMIFS(AT:AT,AM:AM,AM920)&gt;AO920,(SUMIFS(AT:AT,AM:AM,AM920)-AO920))</f>
      </c>
      <c r="AV920" s="116">
        <v>6679.63</v>
      </c>
      <c r="AW920" s="121">
        <v>0.33</v>
      </c>
      <c r="AX920" s="115">
        <f>AN920-AP920</f>
      </c>
    </row>
    <row r="921" spans="1:50" ht="15" hidden="1" customHeight="1" x14ac:dyDescent="0.3">
      <c r="A921" s="94" t="s">
        <v>82</v>
      </c>
      <c r="B921" s="94"/>
      <c r="C921" s="94"/>
      <c r="D921" s="94"/>
      <c r="E921" s="94"/>
      <c r="F921" s="94"/>
      <c r="G921" s="112">
        <f>AU921</f>
      </c>
      <c r="H921" s="113"/>
      <c r="I921" s="94" t="s">
        <v>240</v>
      </c>
      <c r="J921" s="94" t="s">
        <v>241</v>
      </c>
      <c r="K921" s="114">
        <f>P921/3</f>
      </c>
      <c r="L921" s="115">
        <v>0</v>
      </c>
      <c r="M921" s="116"/>
      <c r="N921" s="117">
        <f>M921-L921</f>
      </c>
      <c r="O921" s="112"/>
      <c r="P921" s="118">
        <f>N921+O921</f>
      </c>
      <c r="Q921" s="94" t="s">
        <v>242</v>
      </c>
      <c r="R921" s="94" t="s">
        <v>63</v>
      </c>
      <c r="S921" s="119">
        <v>46320</v>
      </c>
      <c r="T921" s="119"/>
      <c r="U921" s="119">
        <v>46320</v>
      </c>
      <c r="V921" s="94"/>
      <c r="W921" s="94"/>
      <c r="X921" s="94"/>
      <c r="Y921" s="119">
        <v>46320</v>
      </c>
      <c r="Z921" s="94"/>
      <c r="AA921" s="120"/>
      <c r="AB921" s="120"/>
      <c r="AC921" s="120"/>
      <c r="AD921" s="120"/>
      <c r="AE921" s="120"/>
      <c r="AF921" s="120"/>
      <c r="AG921" s="94"/>
      <c r="AH921" s="120"/>
      <c r="AI921" s="94"/>
      <c r="AJ921" s="94" t="s">
        <v>243</v>
      </c>
      <c r="AK921" s="94" t="s">
        <v>244</v>
      </c>
      <c r="AL921" s="94">
        <v>190</v>
      </c>
      <c r="AM921" s="94" t="str">
        <f>TRIM(AJ921)&amp;TRIM(AL921)&amp;TRIM(AK921)</f>
      </c>
      <c r="AN921" s="116">
        <v>55208.31</v>
      </c>
      <c r="AO921" s="116">
        <v>2394.85</v>
      </c>
      <c r="AP921" s="116">
        <f>SUMIFS(M:M,AM:AM,AM921)+SUMIFS(O:O,AM:AM,AM921)</f>
      </c>
      <c r="AQ921" s="116">
        <f>SUMIFS(L:L,AM:AM,AM921)</f>
      </c>
      <c r="AR921" s="116">
        <f>AQ921-AP921</f>
      </c>
      <c r="AS921" s="94" t="str">
        <f>IF(AN921&gt;=AQ921,"ok","ck")</f>
      </c>
      <c r="AT921" s="116">
        <f>-P921</f>
      </c>
      <c r="AU921" s="115">
        <f>IF(SUMIFS(AT:AT,AM:AM,AM921)&gt;AO921,(SUMIFS(AT:AT,AM:AM,AM921)-AO921))</f>
      </c>
      <c r="AV921" s="116">
        <v>204.2</v>
      </c>
      <c r="AW921" s="121">
        <v>1.133</v>
      </c>
      <c r="AX921" s="115">
        <f>AN921-AP921</f>
      </c>
    </row>
    <row r="922" spans="1:50" ht="15" hidden="1" customHeight="1" x14ac:dyDescent="0.3">
      <c r="A922" s="94" t="s">
        <v>82</v>
      </c>
      <c r="B922" s="94"/>
      <c r="C922" s="94"/>
      <c r="D922" s="94"/>
      <c r="E922" s="94"/>
      <c r="F922" s="94"/>
      <c r="G922" s="112">
        <f>AU922</f>
      </c>
      <c r="H922" s="113"/>
      <c r="I922" s="94" t="s">
        <v>240</v>
      </c>
      <c r="J922" s="94" t="s">
        <v>241</v>
      </c>
      <c r="K922" s="114">
        <f>P922/3</f>
      </c>
      <c r="L922" s="115">
        <v>0</v>
      </c>
      <c r="M922" s="116"/>
      <c r="N922" s="117">
        <f>M922-L922</f>
      </c>
      <c r="O922" s="112"/>
      <c r="P922" s="118">
        <f>N922+O922</f>
      </c>
      <c r="Q922" s="94" t="s">
        <v>242</v>
      </c>
      <c r="R922" s="94" t="s">
        <v>63</v>
      </c>
      <c r="S922" s="119">
        <v>46320</v>
      </c>
      <c r="T922" s="119"/>
      <c r="U922" s="119">
        <v>46320</v>
      </c>
      <c r="V922" s="94"/>
      <c r="W922" s="94"/>
      <c r="X922" s="94"/>
      <c r="Y922" s="119">
        <v>46320</v>
      </c>
      <c r="Z922" s="94"/>
      <c r="AA922" s="120"/>
      <c r="AB922" s="120"/>
      <c r="AC922" s="120"/>
      <c r="AD922" s="120"/>
      <c r="AE922" s="120"/>
      <c r="AF922" s="120"/>
      <c r="AG922" s="94"/>
      <c r="AH922" s="120"/>
      <c r="AI922" s="94"/>
      <c r="AJ922" s="94" t="s">
        <v>243</v>
      </c>
      <c r="AK922" s="94" t="s">
        <v>244</v>
      </c>
      <c r="AL922" s="94">
        <v>190</v>
      </c>
      <c r="AM922" s="94" t="str">
        <f>TRIM(AJ922)&amp;TRIM(AL922)&amp;TRIM(AK922)</f>
      </c>
      <c r="AN922" s="116">
        <v>55208.31</v>
      </c>
      <c r="AO922" s="116">
        <v>2394.85</v>
      </c>
      <c r="AP922" s="116">
        <f>SUMIFS(M:M,AM:AM,AM922)+SUMIFS(O:O,AM:AM,AM922)</f>
      </c>
      <c r="AQ922" s="116">
        <f>SUMIFS(L:L,AM:AM,AM922)</f>
      </c>
      <c r="AR922" s="116">
        <f>AQ922-AP922</f>
      </c>
      <c r="AS922" s="94" t="str">
        <f>IF(AN922&gt;=AQ922,"ok","ck")</f>
      </c>
      <c r="AT922" s="116">
        <f>-P922</f>
      </c>
      <c r="AU922" s="115">
        <f>IF(SUMIFS(AT:AT,AM:AM,AM922)&gt;AO922,(SUMIFS(AT:AT,AM:AM,AM922)-AO922))</f>
      </c>
      <c r="AV922" s="116">
        <v>204.2</v>
      </c>
      <c r="AW922" s="121">
        <v>1.133</v>
      </c>
      <c r="AX922" s="115">
        <f>AN922-AP922</f>
      </c>
    </row>
    <row r="923" spans="1:50" ht="15" hidden="1" customHeight="1" x14ac:dyDescent="0.3">
      <c r="A923" s="94" t="s">
        <v>82</v>
      </c>
      <c r="B923" s="94"/>
      <c r="C923" s="94"/>
      <c r="D923" s="94"/>
      <c r="E923" s="94"/>
      <c r="F923" s="94"/>
      <c r="G923" s="112">
        <f>AU923</f>
      </c>
      <c r="H923" s="113"/>
      <c r="I923" s="94" t="s">
        <v>240</v>
      </c>
      <c r="J923" s="94" t="s">
        <v>241</v>
      </c>
      <c r="K923" s="114">
        <f>P923/3</f>
      </c>
      <c r="L923" s="115">
        <v>0</v>
      </c>
      <c r="M923" s="116"/>
      <c r="N923" s="117">
        <f>M923-L923</f>
      </c>
      <c r="O923" s="112"/>
      <c r="P923" s="118">
        <f>N923+O923</f>
      </c>
      <c r="Q923" s="94" t="s">
        <v>242</v>
      </c>
      <c r="R923" s="94" t="s">
        <v>63</v>
      </c>
      <c r="S923" s="119">
        <v>46320</v>
      </c>
      <c r="T923" s="119"/>
      <c r="U923" s="119">
        <v>46320</v>
      </c>
      <c r="V923" s="94"/>
      <c r="W923" s="94"/>
      <c r="X923" s="94"/>
      <c r="Y923" s="119">
        <v>46320</v>
      </c>
      <c r="Z923" s="94"/>
      <c r="AA923" s="120"/>
      <c r="AB923" s="120"/>
      <c r="AC923" s="120"/>
      <c r="AD923" s="120"/>
      <c r="AE923" s="120"/>
      <c r="AF923" s="120"/>
      <c r="AG923" s="94"/>
      <c r="AH923" s="120"/>
      <c r="AI923" s="94"/>
      <c r="AJ923" s="94" t="s">
        <v>243</v>
      </c>
      <c r="AK923" s="94" t="s">
        <v>244</v>
      </c>
      <c r="AL923" s="94">
        <v>190</v>
      </c>
      <c r="AM923" s="94" t="str">
        <f>TRIM(AJ923)&amp;TRIM(AL923)&amp;TRIM(AK923)</f>
      </c>
      <c r="AN923" s="116">
        <v>55208.31</v>
      </c>
      <c r="AO923" s="116">
        <v>2394.85</v>
      </c>
      <c r="AP923" s="116">
        <f>SUMIFS(M:M,AM:AM,AM923)+SUMIFS(O:O,AM:AM,AM923)</f>
      </c>
      <c r="AQ923" s="116">
        <f>SUMIFS(L:L,AM:AM,AM923)</f>
      </c>
      <c r="AR923" s="116">
        <f>AQ923-AP923</f>
      </c>
      <c r="AS923" s="94" t="str">
        <f>IF(AN923&gt;=AQ923,"ok","ck")</f>
      </c>
      <c r="AT923" s="116">
        <f>-P923</f>
      </c>
      <c r="AU923" s="115">
        <f>IF(SUMIFS(AT:AT,AM:AM,AM923)&gt;AO923,(SUMIFS(AT:AT,AM:AM,AM923)-AO923))</f>
      </c>
      <c r="AV923" s="116">
        <v>204.2</v>
      </c>
      <c r="AW923" s="121">
        <v>1.133</v>
      </c>
      <c r="AX923" s="115">
        <f>AN923-AP923</f>
      </c>
    </row>
    <row r="924" spans="1:50" ht="15" hidden="1" customHeight="1" x14ac:dyDescent="0.3">
      <c r="A924" s="94" t="s">
        <v>82</v>
      </c>
      <c r="B924" s="94"/>
      <c r="C924" s="94"/>
      <c r="D924" s="94"/>
      <c r="E924" s="94"/>
      <c r="F924" s="94"/>
      <c r="G924" s="112">
        <f>AU924</f>
      </c>
      <c r="H924" s="113"/>
      <c r="I924" s="94" t="s">
        <v>240</v>
      </c>
      <c r="J924" s="94" t="s">
        <v>241</v>
      </c>
      <c r="K924" s="114">
        <f>P924/3</f>
      </c>
      <c r="L924" s="115">
        <v>0</v>
      </c>
      <c r="M924" s="116"/>
      <c r="N924" s="117">
        <f>M924-L924</f>
      </c>
      <c r="O924" s="112"/>
      <c r="P924" s="118">
        <f>N924+O924</f>
      </c>
      <c r="Q924" s="94" t="s">
        <v>242</v>
      </c>
      <c r="R924" s="94" t="s">
        <v>63</v>
      </c>
      <c r="S924" s="119">
        <v>46331</v>
      </c>
      <c r="T924" s="119"/>
      <c r="U924" s="119">
        <v>46331</v>
      </c>
      <c r="V924" s="94"/>
      <c r="W924" s="94"/>
      <c r="X924" s="94"/>
      <c r="Y924" s="119">
        <v>46331</v>
      </c>
      <c r="Z924" s="94"/>
      <c r="AA924" s="120"/>
      <c r="AB924" s="120"/>
      <c r="AC924" s="120"/>
      <c r="AD924" s="120"/>
      <c r="AE924" s="120"/>
      <c r="AF924" s="120"/>
      <c r="AG924" s="94"/>
      <c r="AH924" s="120"/>
      <c r="AI924" s="94"/>
      <c r="AJ924" s="94" t="s">
        <v>243</v>
      </c>
      <c r="AK924" s="94" t="s">
        <v>244</v>
      </c>
      <c r="AL924" s="94">
        <v>190</v>
      </c>
      <c r="AM924" s="94" t="str">
        <f>TRIM(AJ924)&amp;TRIM(AL924)&amp;TRIM(AK924)</f>
      </c>
      <c r="AN924" s="116">
        <v>55208.31</v>
      </c>
      <c r="AO924" s="116">
        <v>2394.85</v>
      </c>
      <c r="AP924" s="116">
        <f>SUMIFS(M:M,AM:AM,AM924)+SUMIFS(O:O,AM:AM,AM924)</f>
      </c>
      <c r="AQ924" s="116">
        <f>SUMIFS(L:L,AM:AM,AM924)</f>
      </c>
      <c r="AR924" s="116">
        <f>AQ924-AP924</f>
      </c>
      <c r="AS924" s="94" t="str">
        <f>IF(AN924&gt;=AQ924,"ok","ck")</f>
      </c>
      <c r="AT924" s="116">
        <f>-P924</f>
      </c>
      <c r="AU924" s="115">
        <f>IF(SUMIFS(AT:AT,AM:AM,AM924)&gt;AO924,(SUMIFS(AT:AT,AM:AM,AM924)-AO924))</f>
      </c>
      <c r="AV924" s="116">
        <v>204.2</v>
      </c>
      <c r="AW924" s="121">
        <v>1.133</v>
      </c>
      <c r="AX924" s="115">
        <f>AN924-AP924</f>
      </c>
    </row>
    <row r="925" spans="1:50" ht="15" hidden="1" customHeight="1" x14ac:dyDescent="0.3">
      <c r="A925" s="94" t="s">
        <v>82</v>
      </c>
      <c r="B925" s="94"/>
      <c r="C925" s="94"/>
      <c r="D925" s="94"/>
      <c r="E925" s="94"/>
      <c r="F925" s="94"/>
      <c r="G925" s="112">
        <f>AU925</f>
      </c>
      <c r="H925" s="113"/>
      <c r="I925" s="94" t="s">
        <v>240</v>
      </c>
      <c r="J925" s="94" t="s">
        <v>241</v>
      </c>
      <c r="K925" s="114">
        <f>P925/3</f>
      </c>
      <c r="L925" s="115">
        <v>0</v>
      </c>
      <c r="M925" s="116"/>
      <c r="N925" s="117">
        <f>M925-L925</f>
      </c>
      <c r="O925" s="112"/>
      <c r="P925" s="118">
        <f>N925+O925</f>
      </c>
      <c r="Q925" s="94" t="s">
        <v>242</v>
      </c>
      <c r="R925" s="94" t="s">
        <v>63</v>
      </c>
      <c r="S925" s="119">
        <v>46340</v>
      </c>
      <c r="T925" s="119"/>
      <c r="U925" s="120">
        <v>46340</v>
      </c>
      <c r="V925" s="94"/>
      <c r="W925" s="94"/>
      <c r="X925" s="94"/>
      <c r="Y925" s="119">
        <v>46340</v>
      </c>
      <c r="Z925" s="94"/>
      <c r="AA925" s="120"/>
      <c r="AB925" s="120"/>
      <c r="AC925" s="120"/>
      <c r="AD925" s="120"/>
      <c r="AE925" s="120"/>
      <c r="AF925" s="120"/>
      <c r="AG925" s="94"/>
      <c r="AH925" s="120"/>
      <c r="AI925" s="94"/>
      <c r="AJ925" s="94" t="s">
        <v>243</v>
      </c>
      <c r="AK925" s="94" t="s">
        <v>244</v>
      </c>
      <c r="AL925" s="94">
        <v>190</v>
      </c>
      <c r="AM925" s="94" t="str">
        <f>TRIM(AJ925)&amp;TRIM(AL925)&amp;TRIM(AK925)</f>
      </c>
      <c r="AN925" s="116">
        <v>55208.31</v>
      </c>
      <c r="AO925" s="116">
        <v>2394.85</v>
      </c>
      <c r="AP925" s="116">
        <f>SUMIFS(M:M,AM:AM,AM925)+SUMIFS(O:O,AM:AM,AM925)</f>
      </c>
      <c r="AQ925" s="116">
        <f>SUMIFS(L:L,AM:AM,AM925)</f>
      </c>
      <c r="AR925" s="116">
        <f>AQ925-AP925</f>
      </c>
      <c r="AS925" s="94" t="str">
        <f>IF(AN925&gt;=AQ925,"ok","ck")</f>
      </c>
      <c r="AT925" s="116">
        <f>-P925</f>
      </c>
      <c r="AU925" s="115">
        <f>IF(SUMIFS(AT:AT,AM:AM,AM925)&gt;AO925,(SUMIFS(AT:AT,AM:AM,AM925)-AO925))</f>
      </c>
      <c r="AV925" s="116">
        <v>204.2</v>
      </c>
      <c r="AW925" s="121">
        <v>1.133</v>
      </c>
      <c r="AX925" s="115">
        <f>AN925-AP925</f>
      </c>
    </row>
    <row r="926" spans="1:50" ht="15" hidden="1" customHeight="1" x14ac:dyDescent="0.3">
      <c r="A926" s="94" t="s">
        <v>480</v>
      </c>
      <c r="B926" s="94"/>
      <c r="C926" s="94"/>
      <c r="D926" s="94"/>
      <c r="E926" s="94"/>
      <c r="F926" s="94"/>
      <c r="G926" s="112">
        <f>AU926</f>
      </c>
      <c r="H926" s="113"/>
      <c r="I926" s="94" t="s">
        <v>486</v>
      </c>
      <c r="J926" s="94" t="s">
        <v>515</v>
      </c>
      <c r="K926" s="114">
        <f>P926/3</f>
      </c>
      <c r="L926" s="115">
        <v>1.07</v>
      </c>
      <c r="M926" s="116">
        <f>L926</f>
      </c>
      <c r="N926" s="117">
        <f>M926-L926</f>
      </c>
      <c r="O926" s="112"/>
      <c r="P926" s="118">
        <f>N926+O926</f>
      </c>
      <c r="Q926" s="94" t="s">
        <v>782</v>
      </c>
      <c r="R926" s="94" t="s">
        <v>63</v>
      </c>
      <c r="S926" s="119">
        <v>46332</v>
      </c>
      <c r="T926" s="119"/>
      <c r="U926" s="119">
        <v>46332</v>
      </c>
      <c r="V926" s="94"/>
      <c r="W926" s="94"/>
      <c r="X926" s="94"/>
      <c r="Y926" s="119">
        <v>46338</v>
      </c>
      <c r="Z926" s="94"/>
      <c r="AA926" s="120"/>
      <c r="AB926" s="120"/>
      <c r="AC926" s="120"/>
      <c r="AD926" s="120"/>
      <c r="AE926" s="120"/>
      <c r="AF926" s="120"/>
      <c r="AG926" s="94"/>
      <c r="AH926" s="120"/>
      <c r="AI926" s="94"/>
      <c r="AJ926" s="94" t="s">
        <v>782</v>
      </c>
      <c r="AK926" s="94" t="s">
        <v>71</v>
      </c>
      <c r="AL926" s="94">
        <v>165</v>
      </c>
      <c r="AM926" s="94" t="str">
        <f>TRIM(AJ926)&amp;TRIM(AL926)&amp;TRIM(AK926)</f>
      </c>
      <c r="AN926" s="116">
        <v>70.59</v>
      </c>
      <c r="AO926" s="116">
        <v>-4.59</v>
      </c>
      <c r="AP926" s="116">
        <f>SUMIFS(M:M,AM:AM,AM926)+SUMIFS(O:O,AM:AM,AM926)</f>
      </c>
      <c r="AQ926" s="116">
        <f>SUMIFS(L:L,AM:AM,AM926)</f>
      </c>
      <c r="AR926" s="116">
        <f>AQ926-AP926</f>
      </c>
      <c r="AS926" s="94" t="str">
        <f>IF(AN926&gt;=AQ926,"ok","ck")</f>
      </c>
      <c r="AT926" s="116">
        <f>-P926</f>
      </c>
      <c r="AU926" s="115">
        <f>IF(SUMIFS(AT:AT,AM:AM,AM926)&gt;AO926,(SUMIFS(AT:AT,AM:AM,AM926)-AO926))</f>
      </c>
      <c r="AV926" s="116">
        <v>70.59</v>
      </c>
      <c r="AW926" s="121">
        <v>1.07</v>
      </c>
      <c r="AX926" s="115">
        <f>AN926-AP926</f>
      </c>
    </row>
    <row r="927" spans="1:50" ht="15" hidden="1" customHeight="1" x14ac:dyDescent="0.3">
      <c r="A927" s="94" t="s">
        <v>480</v>
      </c>
      <c r="B927" s="94"/>
      <c r="C927" s="94"/>
      <c r="D927" s="94"/>
      <c r="E927" s="94"/>
      <c r="F927" s="94"/>
      <c r="G927" s="112">
        <f>AU927</f>
      </c>
      <c r="H927" s="113"/>
      <c r="I927" s="94" t="s">
        <v>486</v>
      </c>
      <c r="J927" s="94" t="s">
        <v>515</v>
      </c>
      <c r="K927" s="114">
        <f>P927/3</f>
      </c>
      <c r="L927" s="115">
        <v>2.339</v>
      </c>
      <c r="M927" s="116">
        <f>L927</f>
      </c>
      <c r="N927" s="117">
        <f>M927-L927</f>
      </c>
      <c r="O927" s="112"/>
      <c r="P927" s="118">
        <f>N927+O927</f>
      </c>
      <c r="Q927" s="94" t="s">
        <v>782</v>
      </c>
      <c r="R927" s="94" t="s">
        <v>63</v>
      </c>
      <c r="S927" s="119">
        <v>46332</v>
      </c>
      <c r="T927" s="119"/>
      <c r="U927" s="119">
        <v>46332</v>
      </c>
      <c r="V927" s="94"/>
      <c r="W927" s="94"/>
      <c r="X927" s="94"/>
      <c r="Y927" s="119">
        <v>46330</v>
      </c>
      <c r="Z927" s="94"/>
      <c r="AA927" s="120"/>
      <c r="AB927" s="120"/>
      <c r="AC927" s="120"/>
      <c r="AD927" s="120"/>
      <c r="AE927" s="120"/>
      <c r="AF927" s="120"/>
      <c r="AG927" s="94"/>
      <c r="AH927" s="120"/>
      <c r="AI927" s="94"/>
      <c r="AJ927" s="94" t="s">
        <v>782</v>
      </c>
      <c r="AK927" s="94" t="s">
        <v>71</v>
      </c>
      <c r="AL927" s="94">
        <v>165</v>
      </c>
      <c r="AM927" s="94" t="str">
        <f>TRIM(AJ927)&amp;TRIM(AL927)&amp;TRIM(AK927)</f>
      </c>
      <c r="AN927" s="116">
        <v>70.59</v>
      </c>
      <c r="AO927" s="116">
        <v>-4.59</v>
      </c>
      <c r="AP927" s="116">
        <f>SUMIFS(M:M,AM:AM,AM927)+SUMIFS(O:O,AM:AM,AM927)</f>
      </c>
      <c r="AQ927" s="116">
        <f>SUMIFS(L:L,AM:AM,AM927)</f>
      </c>
      <c r="AR927" s="116">
        <f>AQ927-AP927</f>
      </c>
      <c r="AS927" s="94" t="str">
        <f>IF(AN927&gt;=AQ927,"ok","ck")</f>
      </c>
      <c r="AT927" s="116">
        <f>-P927</f>
      </c>
      <c r="AU927" s="115">
        <f>IF(SUMIFS(AT:AT,AM:AM,AM927)&gt;AO927,(SUMIFS(AT:AT,AM:AM,AM927)-AO927))</f>
      </c>
      <c r="AV927" s="116">
        <v>70.59</v>
      </c>
      <c r="AW927" s="121">
        <v>1.07</v>
      </c>
      <c r="AX927" s="115">
        <f>AN927-AP927</f>
      </c>
    </row>
    <row r="928" spans="1:50" ht="15" hidden="1" customHeight="1" x14ac:dyDescent="0.3">
      <c r="A928" s="94" t="s">
        <v>480</v>
      </c>
      <c r="B928" s="94"/>
      <c r="C928" s="94"/>
      <c r="D928" s="94"/>
      <c r="E928" s="94"/>
      <c r="F928" s="94"/>
      <c r="G928" s="112">
        <f>AU928</f>
      </c>
      <c r="H928" s="113"/>
      <c r="I928" s="94" t="s">
        <v>486</v>
      </c>
      <c r="J928" s="94" t="s">
        <v>515</v>
      </c>
      <c r="K928" s="114">
        <f>P928/3</f>
      </c>
      <c r="L928" s="115">
        <v>0.40100000000000002</v>
      </c>
      <c r="M928" s="116">
        <f>L928</f>
      </c>
      <c r="N928" s="117">
        <f>M928-L928</f>
      </c>
      <c r="O928" s="112"/>
      <c r="P928" s="118">
        <f>N928+O928</f>
      </c>
      <c r="Q928" s="94" t="s">
        <v>782</v>
      </c>
      <c r="R928" s="94" t="s">
        <v>63</v>
      </c>
      <c r="S928" s="119">
        <v>46332</v>
      </c>
      <c r="T928" s="119"/>
      <c r="U928" s="120">
        <v>46332</v>
      </c>
      <c r="V928" s="94"/>
      <c r="W928" s="94"/>
      <c r="X928" s="94"/>
      <c r="Y928" s="119">
        <v>46330</v>
      </c>
      <c r="Z928" s="94"/>
      <c r="AA928" s="120"/>
      <c r="AB928" s="120"/>
      <c r="AC928" s="120"/>
      <c r="AD928" s="120"/>
      <c r="AE928" s="120"/>
      <c r="AF928" s="120"/>
      <c r="AG928" s="94"/>
      <c r="AH928" s="120"/>
      <c r="AI928" s="94"/>
      <c r="AJ928" s="94" t="s">
        <v>782</v>
      </c>
      <c r="AK928" s="94" t="s">
        <v>71</v>
      </c>
      <c r="AL928" s="94">
        <v>165</v>
      </c>
      <c r="AM928" s="94" t="str">
        <f>TRIM(AJ928)&amp;TRIM(AL928)&amp;TRIM(AK928)</f>
      </c>
      <c r="AN928" s="116">
        <v>70.59</v>
      </c>
      <c r="AO928" s="116">
        <v>-4.59</v>
      </c>
      <c r="AP928" s="116">
        <f>SUMIFS(M:M,AM:AM,AM928)+SUMIFS(O:O,AM:AM,AM928)</f>
      </c>
      <c r="AQ928" s="116">
        <f>SUMIFS(L:L,AM:AM,AM928)</f>
      </c>
      <c r="AR928" s="116">
        <f>AQ928-AP928</f>
      </c>
      <c r="AS928" s="94" t="str">
        <f>IF(AN928&gt;=AQ928,"ok","ck")</f>
      </c>
      <c r="AT928" s="116">
        <f>-P928</f>
      </c>
      <c r="AU928" s="115">
        <f>IF(SUMIFS(AT:AT,AM:AM,AM928)&gt;AO928,(SUMIFS(AT:AT,AM:AM,AM928)-AO928))</f>
      </c>
      <c r="AV928" s="116">
        <v>70.59</v>
      </c>
      <c r="AW928" s="121">
        <v>1.07</v>
      </c>
      <c r="AX928" s="115">
        <f>AN928-AP928</f>
      </c>
    </row>
    <row r="929" spans="1:50" ht="15" hidden="1" customHeight="1" x14ac:dyDescent="0.3">
      <c r="A929" s="94" t="s">
        <v>480</v>
      </c>
      <c r="B929" s="94"/>
      <c r="C929" s="94"/>
      <c r="D929" s="94"/>
      <c r="E929" s="94"/>
      <c r="F929" s="94"/>
      <c r="G929" s="112">
        <f>AU929</f>
      </c>
      <c r="H929" s="113"/>
      <c r="I929" s="94" t="s">
        <v>486</v>
      </c>
      <c r="J929" s="94" t="s">
        <v>515</v>
      </c>
      <c r="K929" s="114">
        <f>P929/3</f>
      </c>
      <c r="L929" s="115">
        <v>0.20100000000000001</v>
      </c>
      <c r="M929" s="116">
        <f>L929</f>
      </c>
      <c r="N929" s="117">
        <f>M929-L929</f>
      </c>
      <c r="O929" s="112"/>
      <c r="P929" s="118">
        <f>N929+O929</f>
      </c>
      <c r="Q929" s="94" t="s">
        <v>782</v>
      </c>
      <c r="R929" s="94" t="s">
        <v>63</v>
      </c>
      <c r="S929" s="119">
        <v>46332</v>
      </c>
      <c r="T929" s="119"/>
      <c r="U929" s="120">
        <v>46332</v>
      </c>
      <c r="V929" s="94"/>
      <c r="W929" s="94"/>
      <c r="X929" s="94"/>
      <c r="Y929" s="119">
        <v>46330</v>
      </c>
      <c r="Z929" s="94"/>
      <c r="AA929" s="120"/>
      <c r="AB929" s="120"/>
      <c r="AC929" s="120"/>
      <c r="AD929" s="120"/>
      <c r="AE929" s="120"/>
      <c r="AF929" s="120"/>
      <c r="AG929" s="94"/>
      <c r="AH929" s="120"/>
      <c r="AI929" s="94"/>
      <c r="AJ929" s="94" t="s">
        <v>782</v>
      </c>
      <c r="AK929" s="94" t="s">
        <v>71</v>
      </c>
      <c r="AL929" s="94">
        <v>165</v>
      </c>
      <c r="AM929" s="94" t="str">
        <f>TRIM(AJ929)&amp;TRIM(AL929)&amp;TRIM(AK929)</f>
      </c>
      <c r="AN929" s="116">
        <v>70.59</v>
      </c>
      <c r="AO929" s="116">
        <v>-4.59</v>
      </c>
      <c r="AP929" s="116">
        <f>SUMIFS(M:M,AM:AM,AM929)+SUMIFS(O:O,AM:AM,AM929)</f>
      </c>
      <c r="AQ929" s="116">
        <f>SUMIFS(L:L,AM:AM,AM929)</f>
      </c>
      <c r="AR929" s="116">
        <f>AQ929-AP929</f>
      </c>
      <c r="AS929" s="94" t="str">
        <f>IF(AN929&gt;=AQ929,"ok","ck")</f>
      </c>
      <c r="AT929" s="116">
        <f>-P929</f>
      </c>
      <c r="AU929" s="115">
        <f>IF(SUMIFS(AT:AT,AM:AM,AM929)&gt;AO929,(SUMIFS(AT:AT,AM:AM,AM929)-AO929))</f>
      </c>
      <c r="AV929" s="116">
        <v>70.59</v>
      </c>
      <c r="AW929" s="121">
        <v>1.07</v>
      </c>
      <c r="AX929" s="115">
        <f>AN929-AP929</f>
      </c>
    </row>
    <row r="930" spans="1:50" ht="15" hidden="1" customHeight="1" x14ac:dyDescent="0.3">
      <c r="A930" s="94" t="s">
        <v>480</v>
      </c>
      <c r="B930" s="94"/>
      <c r="C930" s="94"/>
      <c r="D930" s="94"/>
      <c r="E930" s="94"/>
      <c r="F930" s="94"/>
      <c r="G930" s="112">
        <f>AU930</f>
      </c>
      <c r="H930" s="113"/>
      <c r="I930" s="94" t="s">
        <v>486</v>
      </c>
      <c r="J930" s="94" t="s">
        <v>515</v>
      </c>
      <c r="K930" s="114">
        <f>P930/3</f>
      </c>
      <c r="L930" s="115">
        <v>0.13400000000000001</v>
      </c>
      <c r="M930" s="116">
        <f>L930</f>
      </c>
      <c r="N930" s="117">
        <f>M930-L930</f>
      </c>
      <c r="O930" s="112"/>
      <c r="P930" s="118">
        <f>N930+O930</f>
      </c>
      <c r="Q930" s="94" t="s">
        <v>782</v>
      </c>
      <c r="R930" s="94" t="s">
        <v>63</v>
      </c>
      <c r="S930" s="119">
        <v>46332</v>
      </c>
      <c r="T930" s="119"/>
      <c r="U930" s="120">
        <v>46332</v>
      </c>
      <c r="V930" s="94"/>
      <c r="W930" s="94"/>
      <c r="X930" s="94"/>
      <c r="Y930" s="119">
        <v>46330</v>
      </c>
      <c r="Z930" s="94"/>
      <c r="AA930" s="120"/>
      <c r="AB930" s="120"/>
      <c r="AC930" s="120"/>
      <c r="AD930" s="120"/>
      <c r="AE930" s="120"/>
      <c r="AF930" s="120"/>
      <c r="AG930" s="94"/>
      <c r="AH930" s="120"/>
      <c r="AI930" s="94"/>
      <c r="AJ930" s="94" t="s">
        <v>782</v>
      </c>
      <c r="AK930" s="94" t="s">
        <v>71</v>
      </c>
      <c r="AL930" s="94">
        <v>165</v>
      </c>
      <c r="AM930" s="94" t="str">
        <f>TRIM(AJ930)&amp;TRIM(AL930)&amp;TRIM(AK930)</f>
      </c>
      <c r="AN930" s="116">
        <v>70.59</v>
      </c>
      <c r="AO930" s="116">
        <v>-4.59</v>
      </c>
      <c r="AP930" s="116">
        <f>SUMIFS(M:M,AM:AM,AM930)+SUMIFS(O:O,AM:AM,AM930)</f>
      </c>
      <c r="AQ930" s="116">
        <f>SUMIFS(L:L,AM:AM,AM930)</f>
      </c>
      <c r="AR930" s="116">
        <f>AQ930-AP930</f>
      </c>
      <c r="AS930" s="94" t="str">
        <f>IF(AN930&gt;=AQ930,"ok","ck")</f>
      </c>
      <c r="AT930" s="116">
        <f>-P930</f>
      </c>
      <c r="AU930" s="115">
        <f>IF(SUMIFS(AT:AT,AM:AM,AM930)&gt;AO930,(SUMIFS(AT:AT,AM:AM,AM930)-AO930))</f>
      </c>
      <c r="AV930" s="116">
        <v>70.59</v>
      </c>
      <c r="AW930" s="121">
        <v>1.07</v>
      </c>
      <c r="AX930" s="115">
        <f>AN930-AP930</f>
      </c>
    </row>
    <row r="931" spans="1:50" ht="15" hidden="1" customHeight="1" x14ac:dyDescent="0.3">
      <c r="A931" s="94" t="s">
        <v>268</v>
      </c>
      <c r="B931" s="94"/>
      <c r="C931" s="94"/>
      <c r="D931" s="94"/>
      <c r="E931" s="94"/>
      <c r="F931" s="94"/>
      <c r="G931" s="112">
        <f>AU931</f>
      </c>
      <c r="H931" s="113"/>
      <c r="I931" s="94" t="s">
        <v>278</v>
      </c>
      <c r="J931" s="94" t="s">
        <v>293</v>
      </c>
      <c r="K931" s="114">
        <f>P931/3</f>
      </c>
      <c r="L931" s="115">
        <v>0.79800000000000004</v>
      </c>
      <c r="M931" s="116"/>
      <c r="N931" s="117">
        <f>M931-L931</f>
      </c>
      <c r="O931" s="112"/>
      <c r="P931" s="118">
        <f>N931+O931</f>
      </c>
      <c r="Q931" s="94" t="s">
        <v>812</v>
      </c>
      <c r="R931" s="94" t="s">
        <v>63</v>
      </c>
      <c r="S931" s="119">
        <v>46344</v>
      </c>
      <c r="T931" s="119"/>
      <c r="U931" s="120">
        <v>46344</v>
      </c>
      <c r="V931" s="94"/>
      <c r="W931" s="94"/>
      <c r="X931" s="94"/>
      <c r="Y931" s="119">
        <v>46340</v>
      </c>
      <c r="Z931" s="94"/>
      <c r="AA931" s="120"/>
      <c r="AB931" s="120"/>
      <c r="AC931" s="120"/>
      <c r="AD931" s="120"/>
      <c r="AE931" s="120"/>
      <c r="AF931" s="120"/>
      <c r="AG931" s="94"/>
      <c r="AH931" s="120"/>
      <c r="AI931" s="94"/>
      <c r="AJ931" s="94" t="s">
        <v>812</v>
      </c>
      <c r="AK931" s="94" t="s">
        <v>294</v>
      </c>
      <c r="AL931" s="94">
        <v>120</v>
      </c>
      <c r="AM931" s="94" t="str">
        <f>TRIM(AJ931)&amp;TRIM(AL931)&amp;TRIM(AK931)</f>
      </c>
      <c r="AN931" s="116">
        <v>0</v>
      </c>
      <c r="AO931" s="116" t="inlineStr">
        <is>
          <t>#NA</t>
        </is>
      </c>
      <c r="AP931" s="116">
        <f>SUMIFS(M:M,AM:AM,AM931)+SUMIFS(O:O,AM:AM,AM931)</f>
      </c>
      <c r="AQ931" s="116">
        <f>SUMIFS(L:L,AM:AM,AM931)</f>
      </c>
      <c r="AR931" s="116">
        <f>AQ931-AP931</f>
      </c>
      <c r="AS931" s="94" t="str">
        <f>IF(AN931&gt;=AQ931,"ok","ck")</f>
      </c>
      <c r="AT931" s="116">
        <f>-P931</f>
      </c>
      <c r="AU931" s="115">
        <f>IF(SUMIFS(AT:AT,AM:AM,AM931)&gt;AO931,(SUMIFS(AT:AT,AM:AM,AM931)-AO931))</f>
      </c>
      <c r="AV931" s="116">
        <v>0</v>
      </c>
      <c r="AW931" s="121">
        <v>0</v>
      </c>
      <c r="AX931" s="115">
        <f>AN931-AP931</f>
      </c>
    </row>
    <row r="932" spans="1:50" ht="15" hidden="1" customHeight="1" x14ac:dyDescent="0.3">
      <c r="A932" s="94" t="s">
        <v>263</v>
      </c>
      <c r="B932" s="94"/>
      <c r="C932" s="94"/>
      <c r="D932" s="94"/>
      <c r="E932" s="94"/>
      <c r="F932" s="94"/>
      <c r="G932" s="112">
        <f>AU932</f>
      </c>
      <c r="H932" s="113"/>
      <c r="I932" s="94" t="s">
        <v>264</v>
      </c>
      <c r="J932" s="94" t="s">
        <v>281</v>
      </c>
      <c r="K932" s="114">
        <f>P932/3</f>
      </c>
      <c r="L932" s="115">
        <v>17.103999999999999</v>
      </c>
      <c r="M932" s="116"/>
      <c r="N932" s="117">
        <f>M932-L932</f>
      </c>
      <c r="O932" s="112"/>
      <c r="P932" s="118">
        <f>N932+O932</f>
      </c>
      <c r="Q932" s="94" t="s">
        <v>815</v>
      </c>
      <c r="R932" s="94" t="s">
        <v>63</v>
      </c>
      <c r="S932" s="119">
        <v>46324</v>
      </c>
      <c r="T932" s="119"/>
      <c r="U932" s="120">
        <v>46324</v>
      </c>
      <c r="V932" s="94"/>
      <c r="W932" s="94"/>
      <c r="X932" s="94"/>
      <c r="Y932" s="119">
        <v>46324</v>
      </c>
      <c r="Z932" s="94"/>
      <c r="AA932" s="120"/>
      <c r="AB932" s="120"/>
      <c r="AC932" s="120"/>
      <c r="AD932" s="120"/>
      <c r="AE932" s="120"/>
      <c r="AF932" s="120"/>
      <c r="AG932" s="94"/>
      <c r="AH932" s="120"/>
      <c r="AI932" s="94"/>
      <c r="AJ932" s="94" t="s">
        <v>815</v>
      </c>
      <c r="AK932" s="94" t="s">
        <v>281</v>
      </c>
      <c r="AL932" s="94">
        <v>120</v>
      </c>
      <c r="AM932" s="94" t="str">
        <f>TRIM(AJ932)&amp;TRIM(AL932)&amp;TRIM(AK932)</f>
      </c>
      <c r="AN932" s="116">
        <v>0</v>
      </c>
      <c r="AO932" s="116" t="inlineStr">
        <is>
          <t>#NA</t>
        </is>
      </c>
      <c r="AP932" s="116">
        <f>SUMIFS(M:M,AM:AM,AM932)+SUMIFS(O:O,AM:AM,AM932)</f>
      </c>
      <c r="AQ932" s="116">
        <f>SUMIFS(L:L,AM:AM,AM932)</f>
      </c>
      <c r="AR932" s="116">
        <f>AQ932-AP932</f>
      </c>
      <c r="AS932" s="94" t="str">
        <f>IF(AN932&gt;=AQ932,"ok","ck")</f>
      </c>
      <c r="AT932" s="116">
        <f>-P932</f>
      </c>
      <c r="AU932" s="115">
        <f>IF(SUMIFS(AT:AT,AM:AM,AM932)&gt;AO932,(SUMIFS(AT:AT,AM:AM,AM932)-AO932))</f>
      </c>
      <c r="AV932" s="116">
        <v>0</v>
      </c>
      <c r="AW932" s="121">
        <v>0</v>
      </c>
      <c r="AX932" s="115">
        <f>AN932-AP932</f>
      </c>
    </row>
    <row r="933" spans="1:50" ht="15" hidden="1" customHeight="1" x14ac:dyDescent="0.3">
      <c r="A933" s="94" t="s">
        <v>263</v>
      </c>
      <c r="B933" s="94"/>
      <c r="C933" s="94"/>
      <c r="D933" s="94"/>
      <c r="E933" s="94"/>
      <c r="F933" s="94"/>
      <c r="G933" s="112">
        <f>AU933</f>
      </c>
      <c r="H933" s="113"/>
      <c r="I933" s="94" t="s">
        <v>264</v>
      </c>
      <c r="J933" s="94" t="s">
        <v>281</v>
      </c>
      <c r="K933" s="114">
        <f>P933/3</f>
      </c>
      <c r="L933" s="115">
        <v>3.0379999999999998</v>
      </c>
      <c r="M933" s="116"/>
      <c r="N933" s="117">
        <f>M933-L933</f>
      </c>
      <c r="O933" s="112"/>
      <c r="P933" s="118">
        <f>N933+O933</f>
      </c>
      <c r="Q933" s="94" t="s">
        <v>815</v>
      </c>
      <c r="R933" s="94" t="s">
        <v>63</v>
      </c>
      <c r="S933" s="120">
        <v>46328</v>
      </c>
      <c r="T933" s="120"/>
      <c r="U933" s="120">
        <v>46328</v>
      </c>
      <c r="V933" s="94"/>
      <c r="W933" s="94"/>
      <c r="X933" s="94"/>
      <c r="Y933" s="119">
        <v>46328</v>
      </c>
      <c r="Z933" s="94"/>
      <c r="AA933" s="120"/>
      <c r="AB933" s="120"/>
      <c r="AC933" s="120"/>
      <c r="AD933" s="120"/>
      <c r="AE933" s="120"/>
      <c r="AF933" s="120"/>
      <c r="AG933" s="94"/>
      <c r="AH933" s="120"/>
      <c r="AI933" s="94"/>
      <c r="AJ933" s="94" t="s">
        <v>815</v>
      </c>
      <c r="AK933" s="94" t="s">
        <v>281</v>
      </c>
      <c r="AL933" s="94">
        <v>120</v>
      </c>
      <c r="AM933" s="94" t="str">
        <f>TRIM(AJ933)&amp;TRIM(AL933)&amp;TRIM(AK933)</f>
      </c>
      <c r="AN933" s="116">
        <v>0</v>
      </c>
      <c r="AO933" s="116" t="inlineStr">
        <is>
          <t>#NA</t>
        </is>
      </c>
      <c r="AP933" s="116">
        <f>SUMIFS(M:M,AM:AM,AM933)+SUMIFS(O:O,AM:AM,AM933)</f>
      </c>
      <c r="AQ933" s="116">
        <f>SUMIFS(L:L,AM:AM,AM933)</f>
      </c>
      <c r="AR933" s="116">
        <f>AQ933-AP933</f>
      </c>
      <c r="AS933" s="94" t="str">
        <f>IF(AN933&gt;=AQ933,"ok","ck")</f>
      </c>
      <c r="AT933" s="116">
        <f>-P933</f>
      </c>
      <c r="AU933" s="115">
        <f>IF(SUMIFS(AT:AT,AM:AM,AM933)&gt;AO933,(SUMIFS(AT:AT,AM:AM,AM933)-AO933))</f>
      </c>
      <c r="AV933" s="116">
        <v>0</v>
      </c>
      <c r="AW933" s="121">
        <v>0</v>
      </c>
      <c r="AX933" s="115">
        <f>AN933-AP933</f>
      </c>
    </row>
    <row r="934" spans="1:50" ht="15" hidden="1" customHeight="1" x14ac:dyDescent="0.3">
      <c r="A934" s="94" t="s">
        <v>263</v>
      </c>
      <c r="B934" s="94"/>
      <c r="C934" s="94"/>
      <c r="D934" s="94"/>
      <c r="E934" s="94"/>
      <c r="F934" s="94"/>
      <c r="G934" s="112">
        <f>AU934</f>
      </c>
      <c r="H934" s="113"/>
      <c r="I934" s="94" t="s">
        <v>264</v>
      </c>
      <c r="J934" s="94" t="s">
        <v>281</v>
      </c>
      <c r="K934" s="114">
        <f>P934/3</f>
      </c>
      <c r="L934" s="115">
        <v>0</v>
      </c>
      <c r="M934" s="116"/>
      <c r="N934" s="117">
        <f>M934-L934</f>
      </c>
      <c r="O934" s="112"/>
      <c r="P934" s="118">
        <f>N934+O934</f>
      </c>
      <c r="Q934" s="94" t="s">
        <v>815</v>
      </c>
      <c r="R934" s="94" t="s">
        <v>63</v>
      </c>
      <c r="S934" s="120">
        <v>46328</v>
      </c>
      <c r="T934" s="120"/>
      <c r="U934" s="120">
        <v>46328</v>
      </c>
      <c r="V934" s="94"/>
      <c r="W934" s="94"/>
      <c r="X934" s="94"/>
      <c r="Y934" s="119">
        <v>46328</v>
      </c>
      <c r="Z934" s="94"/>
      <c r="AA934" s="120"/>
      <c r="AB934" s="120"/>
      <c r="AC934" s="120"/>
      <c r="AD934" s="120"/>
      <c r="AE934" s="120"/>
      <c r="AF934" s="120"/>
      <c r="AG934" s="94"/>
      <c r="AH934" s="120"/>
      <c r="AI934" s="94"/>
      <c r="AJ934" s="94" t="s">
        <v>815</v>
      </c>
      <c r="AK934" s="94" t="s">
        <v>281</v>
      </c>
      <c r="AL934" s="94">
        <v>120</v>
      </c>
      <c r="AM934" s="94" t="str">
        <f>TRIM(AJ934)&amp;TRIM(AL934)&amp;TRIM(AK934)</f>
      </c>
      <c r="AN934" s="116">
        <v>0</v>
      </c>
      <c r="AO934" s="116" t="inlineStr">
        <is>
          <t>#NA</t>
        </is>
      </c>
      <c r="AP934" s="116">
        <f>SUMIFS(M:M,AM:AM,AM934)+SUMIFS(O:O,AM:AM,AM934)</f>
      </c>
      <c r="AQ934" s="116">
        <f>SUMIFS(L:L,AM:AM,AM934)</f>
      </c>
      <c r="AR934" s="116">
        <f>AQ934-AP934</f>
      </c>
      <c r="AS934" s="94" t="str">
        <f>IF(AN934&gt;=AQ934,"ok","ck")</f>
      </c>
      <c r="AT934" s="116">
        <f>-P934</f>
      </c>
      <c r="AU934" s="115">
        <f>IF(SUMIFS(AT:AT,AM:AM,AM934)&gt;AO934,(SUMIFS(AT:AT,AM:AM,AM934)-AO934))</f>
      </c>
      <c r="AV934" s="116">
        <v>0</v>
      </c>
      <c r="AW934" s="121">
        <v>0</v>
      </c>
      <c r="AX934" s="115">
        <f>AN934-AP934</f>
      </c>
    </row>
    <row r="935" spans="1:50" ht="15" hidden="1" customHeight="1" x14ac:dyDescent="0.3">
      <c r="A935" s="94" t="s">
        <v>263</v>
      </c>
      <c r="B935" s="94"/>
      <c r="C935" s="94"/>
      <c r="D935" s="94"/>
      <c r="E935" s="94"/>
      <c r="F935" s="94"/>
      <c r="G935" s="112">
        <f>AU935</f>
      </c>
      <c r="H935" s="113"/>
      <c r="I935" s="94" t="s">
        <v>264</v>
      </c>
      <c r="J935" s="94" t="s">
        <v>281</v>
      </c>
      <c r="K935" s="114">
        <f>P935/3</f>
      </c>
      <c r="L935" s="115">
        <v>6.09</v>
      </c>
      <c r="M935" s="116"/>
      <c r="N935" s="117">
        <f>M935-L935</f>
      </c>
      <c r="O935" s="112"/>
      <c r="P935" s="118">
        <f>N935+O935</f>
      </c>
      <c r="Q935" s="94" t="s">
        <v>815</v>
      </c>
      <c r="R935" s="94" t="s">
        <v>63</v>
      </c>
      <c r="S935" s="120">
        <v>46343</v>
      </c>
      <c r="T935" s="120"/>
      <c r="U935" s="120">
        <v>46343</v>
      </c>
      <c r="V935" s="94"/>
      <c r="W935" s="94"/>
      <c r="X935" s="94"/>
      <c r="Y935" s="119">
        <v>46343</v>
      </c>
      <c r="Z935" s="94"/>
      <c r="AA935" s="120"/>
      <c r="AB935" s="120"/>
      <c r="AC935" s="120"/>
      <c r="AD935" s="120"/>
      <c r="AE935" s="120"/>
      <c r="AF935" s="120"/>
      <c r="AG935" s="94"/>
      <c r="AH935" s="120"/>
      <c r="AI935" s="94"/>
      <c r="AJ935" s="94" t="s">
        <v>815</v>
      </c>
      <c r="AK935" s="94" t="s">
        <v>281</v>
      </c>
      <c r="AL935" s="94">
        <v>120</v>
      </c>
      <c r="AM935" s="94" t="str">
        <f>TRIM(AJ935)&amp;TRIM(AL935)&amp;TRIM(AK935)</f>
      </c>
      <c r="AN935" s="116">
        <v>0</v>
      </c>
      <c r="AO935" s="116" t="inlineStr">
        <is>
          <t>#NA</t>
        </is>
      </c>
      <c r="AP935" s="116">
        <f>SUMIFS(M:M,AM:AM,AM935)+SUMIFS(O:O,AM:AM,AM935)</f>
      </c>
      <c r="AQ935" s="116">
        <f>SUMIFS(L:L,AM:AM,AM935)</f>
      </c>
      <c r="AR935" s="116">
        <f>AQ935-AP935</f>
      </c>
      <c r="AS935" s="94" t="str">
        <f>IF(AN935&gt;=AQ935,"ok","ck")</f>
      </c>
      <c r="AT935" s="116">
        <f>-P935</f>
      </c>
      <c r="AU935" s="115">
        <f>IF(SUMIFS(AT:AT,AM:AM,AM935)&gt;AO935,(SUMIFS(AT:AT,AM:AM,AM935)-AO935))</f>
      </c>
      <c r="AV935" s="116">
        <v>0</v>
      </c>
      <c r="AW935" s="121">
        <v>0</v>
      </c>
      <c r="AX935" s="115">
        <f>AN935-AP935</f>
      </c>
    </row>
    <row r="936" spans="1:50" ht="15" hidden="1" customHeight="1" x14ac:dyDescent="0.3">
      <c r="A936" s="94" t="s">
        <v>263</v>
      </c>
      <c r="B936" s="94"/>
      <c r="C936" s="94"/>
      <c r="D936" s="94"/>
      <c r="E936" s="94"/>
      <c r="F936" s="94"/>
      <c r="G936" s="112">
        <f>AU936</f>
      </c>
      <c r="H936" s="113"/>
      <c r="I936" s="94" t="s">
        <v>264</v>
      </c>
      <c r="J936" s="94" t="s">
        <v>281</v>
      </c>
      <c r="K936" s="114">
        <f>P936/3</f>
      </c>
      <c r="L936" s="115">
        <v>0</v>
      </c>
      <c r="M936" s="116"/>
      <c r="N936" s="117">
        <f>M936-L936</f>
      </c>
      <c r="O936" s="112"/>
      <c r="P936" s="118">
        <f>N936+O936</f>
      </c>
      <c r="Q936" s="94" t="s">
        <v>815</v>
      </c>
      <c r="R936" s="94" t="s">
        <v>63</v>
      </c>
      <c r="S936" s="120">
        <v>46343</v>
      </c>
      <c r="T936" s="120"/>
      <c r="U936" s="120">
        <v>46343</v>
      </c>
      <c r="V936" s="94"/>
      <c r="W936" s="94"/>
      <c r="X936" s="94"/>
      <c r="Y936" s="119">
        <v>46343</v>
      </c>
      <c r="Z936" s="94"/>
      <c r="AA936" s="120"/>
      <c r="AB936" s="120"/>
      <c r="AC936" s="120"/>
      <c r="AD936" s="120"/>
      <c r="AE936" s="120"/>
      <c r="AF936" s="120"/>
      <c r="AG936" s="94"/>
      <c r="AH936" s="120"/>
      <c r="AI936" s="94"/>
      <c r="AJ936" s="94" t="s">
        <v>815</v>
      </c>
      <c r="AK936" s="94" t="s">
        <v>281</v>
      </c>
      <c r="AL936" s="94">
        <v>120</v>
      </c>
      <c r="AM936" s="94" t="str">
        <f>TRIM(AJ936)&amp;TRIM(AL936)&amp;TRIM(AK936)</f>
      </c>
      <c r="AN936" s="116">
        <v>0</v>
      </c>
      <c r="AO936" s="116" t="inlineStr">
        <is>
          <t>#NA</t>
        </is>
      </c>
      <c r="AP936" s="116">
        <f>SUMIFS(M:M,AM:AM,AM936)+SUMIFS(O:O,AM:AM,AM936)</f>
      </c>
      <c r="AQ936" s="116">
        <f>SUMIFS(L:L,AM:AM,AM936)</f>
      </c>
      <c r="AR936" s="116">
        <f>AQ936-AP936</f>
      </c>
      <c r="AS936" s="94" t="str">
        <f>IF(AN936&gt;=AQ936,"ok","ck")</f>
      </c>
      <c r="AT936" s="116">
        <f>-P936</f>
      </c>
      <c r="AU936" s="115">
        <f>IF(SUMIFS(AT:AT,AM:AM,AM936)&gt;AO936,(SUMIFS(AT:AT,AM:AM,AM936)-AO936))</f>
      </c>
      <c r="AV936" s="116">
        <v>0</v>
      </c>
      <c r="AW936" s="121">
        <v>0</v>
      </c>
      <c r="AX936" s="115">
        <f>AN936-AP936</f>
      </c>
    </row>
    <row r="937" spans="1:50" ht="15" hidden="1" customHeight="1" x14ac:dyDescent="0.3">
      <c r="A937" s="94" t="s">
        <v>263</v>
      </c>
      <c r="B937" s="94"/>
      <c r="C937" s="94"/>
      <c r="D937" s="94"/>
      <c r="E937" s="94"/>
      <c r="F937" s="94"/>
      <c r="G937" s="112">
        <f>AU937</f>
      </c>
      <c r="H937" s="113"/>
      <c r="I937" s="94" t="s">
        <v>264</v>
      </c>
      <c r="J937" s="94" t="s">
        <v>265</v>
      </c>
      <c r="K937" s="114">
        <f>P937/3</f>
      </c>
      <c r="L937" s="115">
        <v>0</v>
      </c>
      <c r="M937" s="116">
        <f>L937</f>
      </c>
      <c r="N937" s="117">
        <f>M937-L937</f>
      </c>
      <c r="O937" s="112"/>
      <c r="P937" s="118">
        <f>N937+O937</f>
      </c>
      <c r="Q937" s="94" t="s">
        <v>815</v>
      </c>
      <c r="R937" s="94" t="s">
        <v>63</v>
      </c>
      <c r="S937" s="120">
        <v>46326</v>
      </c>
      <c r="T937" s="120"/>
      <c r="U937" s="120">
        <v>46326</v>
      </c>
      <c r="V937" s="94"/>
      <c r="W937" s="94"/>
      <c r="X937" s="94"/>
      <c r="Y937" s="119">
        <v>46326</v>
      </c>
      <c r="Z937" s="94"/>
      <c r="AA937" s="120"/>
      <c r="AB937" s="120"/>
      <c r="AC937" s="120"/>
      <c r="AD937" s="120"/>
      <c r="AE937" s="120"/>
      <c r="AF937" s="120"/>
      <c r="AG937" s="94"/>
      <c r="AH937" s="120"/>
      <c r="AI937" s="94"/>
      <c r="AJ937" s="94" t="s">
        <v>815</v>
      </c>
      <c r="AK937" s="94" t="s">
        <v>267</v>
      </c>
      <c r="AL937" s="94">
        <v>120</v>
      </c>
      <c r="AM937" s="94" t="str">
        <f>TRIM(AJ937)&amp;TRIM(AL937)&amp;TRIM(AK937)</f>
      </c>
      <c r="AN937" s="116">
        <v>54</v>
      </c>
      <c r="AO937" s="116">
        <v>-7</v>
      </c>
      <c r="AP937" s="116">
        <f>SUMIFS(M:M,AM:AM,AM937)+SUMIFS(O:O,AM:AM,AM937)</f>
      </c>
      <c r="AQ937" s="116">
        <f>SUMIFS(L:L,AM:AM,AM937)</f>
      </c>
      <c r="AR937" s="116">
        <f>AQ937-AP937</f>
      </c>
      <c r="AS937" s="94" t="str">
        <f>IF(AN937&gt;=AQ937,"ok","ck")</f>
      </c>
      <c r="AT937" s="116">
        <f>-P937</f>
      </c>
      <c r="AU937" s="115">
        <f>IF(SUMIFS(AT:AT,AM:AM,AM937)&gt;AO937,(SUMIFS(AT:AT,AM:AM,AM937)-AO937))</f>
      </c>
      <c r="AV937" s="116">
        <v>54</v>
      </c>
      <c r="AW937" s="121">
        <v>1.149</v>
      </c>
      <c r="AX937" s="115">
        <f>AN937-AP937</f>
      </c>
    </row>
    <row r="938" spans="1:50" ht="15" hidden="1" customHeight="1" x14ac:dyDescent="0.3">
      <c r="A938" s="94" t="s">
        <v>263</v>
      </c>
      <c r="B938" s="94"/>
      <c r="C938" s="94"/>
      <c r="D938" s="94"/>
      <c r="E938" s="94"/>
      <c r="F938" s="94"/>
      <c r="G938" s="112">
        <f>AU938</f>
      </c>
      <c r="H938" s="113"/>
      <c r="I938" s="94" t="s">
        <v>264</v>
      </c>
      <c r="J938" s="94" t="s">
        <v>265</v>
      </c>
      <c r="K938" s="114">
        <f>P938/3</f>
      </c>
      <c r="L938" s="115">
        <v>0</v>
      </c>
      <c r="M938" s="116">
        <f>L938</f>
      </c>
      <c r="N938" s="117">
        <f>M938-L938</f>
      </c>
      <c r="O938" s="112"/>
      <c r="P938" s="118">
        <f>N938+O938</f>
      </c>
      <c r="Q938" s="94" t="s">
        <v>815</v>
      </c>
      <c r="R938" s="94" t="s">
        <v>63</v>
      </c>
      <c r="S938" s="120">
        <v>46326</v>
      </c>
      <c r="T938" s="120"/>
      <c r="U938" s="120">
        <v>46326</v>
      </c>
      <c r="V938" s="94"/>
      <c r="W938" s="94"/>
      <c r="X938" s="94"/>
      <c r="Y938" s="119">
        <v>46326</v>
      </c>
      <c r="Z938" s="94"/>
      <c r="AA938" s="120"/>
      <c r="AB938" s="120"/>
      <c r="AC938" s="120"/>
      <c r="AD938" s="120"/>
      <c r="AE938" s="120"/>
      <c r="AF938" s="120"/>
      <c r="AG938" s="94"/>
      <c r="AH938" s="120"/>
      <c r="AI938" s="94"/>
      <c r="AJ938" s="94" t="s">
        <v>815</v>
      </c>
      <c r="AK938" s="94" t="s">
        <v>267</v>
      </c>
      <c r="AL938" s="94">
        <v>120</v>
      </c>
      <c r="AM938" s="94" t="str">
        <f>TRIM(AJ938)&amp;TRIM(AL938)&amp;TRIM(AK938)</f>
      </c>
      <c r="AN938" s="116">
        <v>54</v>
      </c>
      <c r="AO938" s="116">
        <v>-7</v>
      </c>
      <c r="AP938" s="116">
        <f>SUMIFS(M:M,AM:AM,AM938)+SUMIFS(O:O,AM:AM,AM938)</f>
      </c>
      <c r="AQ938" s="116">
        <f>SUMIFS(L:L,AM:AM,AM938)</f>
      </c>
      <c r="AR938" s="116">
        <f>AQ938-AP938</f>
      </c>
      <c r="AS938" s="94" t="str">
        <f>IF(AN938&gt;=AQ938,"ok","ck")</f>
      </c>
      <c r="AT938" s="116">
        <f>-P938</f>
      </c>
      <c r="AU938" s="115">
        <f>IF(SUMIFS(AT:AT,AM:AM,AM938)&gt;AO938,(SUMIFS(AT:AT,AM:AM,AM938)-AO938))</f>
      </c>
      <c r="AV938" s="116">
        <v>54</v>
      </c>
      <c r="AW938" s="121">
        <v>1.149</v>
      </c>
      <c r="AX938" s="115">
        <f>AN938-AP938</f>
      </c>
    </row>
    <row r="939" spans="1:50" ht="15" hidden="1" customHeight="1" x14ac:dyDescent="0.3">
      <c r="A939" s="94" t="s">
        <v>263</v>
      </c>
      <c r="B939" s="94"/>
      <c r="C939" s="94"/>
      <c r="D939" s="94"/>
      <c r="E939" s="94"/>
      <c r="F939" s="94"/>
      <c r="G939" s="112">
        <f>AU939</f>
      </c>
      <c r="H939" s="113"/>
      <c r="I939" s="94" t="s">
        <v>264</v>
      </c>
      <c r="J939" s="94" t="s">
        <v>265</v>
      </c>
      <c r="K939" s="114">
        <f>P939/3</f>
      </c>
      <c r="L939" s="115">
        <v>0</v>
      </c>
      <c r="M939" s="116">
        <f>L939</f>
      </c>
      <c r="N939" s="117">
        <f>M939-L939</f>
      </c>
      <c r="O939" s="112"/>
      <c r="P939" s="118">
        <f>N939+O939</f>
      </c>
      <c r="Q939" s="94" t="s">
        <v>815</v>
      </c>
      <c r="R939" s="94" t="s">
        <v>63</v>
      </c>
      <c r="S939" s="120">
        <v>46344</v>
      </c>
      <c r="T939" s="120"/>
      <c r="U939" s="120">
        <v>46344</v>
      </c>
      <c r="V939" s="94"/>
      <c r="W939" s="94"/>
      <c r="X939" s="94"/>
      <c r="Y939" s="119">
        <v>46344</v>
      </c>
      <c r="Z939" s="94"/>
      <c r="AA939" s="120"/>
      <c r="AB939" s="120"/>
      <c r="AC939" s="120"/>
      <c r="AD939" s="120"/>
      <c r="AE939" s="120"/>
      <c r="AF939" s="120"/>
      <c r="AG939" s="94"/>
      <c r="AH939" s="120"/>
      <c r="AI939" s="94"/>
      <c r="AJ939" s="94" t="s">
        <v>815</v>
      </c>
      <c r="AK939" s="94" t="s">
        <v>267</v>
      </c>
      <c r="AL939" s="94">
        <v>120</v>
      </c>
      <c r="AM939" s="94" t="str">
        <f>TRIM(AJ939)&amp;TRIM(AL939)&amp;TRIM(AK939)</f>
      </c>
      <c r="AN939" s="116">
        <v>54</v>
      </c>
      <c r="AO939" s="116">
        <v>-7</v>
      </c>
      <c r="AP939" s="116">
        <f>SUMIFS(M:M,AM:AM,AM939)+SUMIFS(O:O,AM:AM,AM939)</f>
      </c>
      <c r="AQ939" s="116">
        <f>SUMIFS(L:L,AM:AM,AM939)</f>
      </c>
      <c r="AR939" s="116">
        <f>AQ939-AP939</f>
      </c>
      <c r="AS939" s="94" t="str">
        <f>IF(AN939&gt;=AQ939,"ok","ck")</f>
      </c>
      <c r="AT939" s="116">
        <f>-P939</f>
      </c>
      <c r="AU939" s="115">
        <f>IF(SUMIFS(AT:AT,AM:AM,AM939)&gt;AO939,(SUMIFS(AT:AT,AM:AM,AM939)-AO939))</f>
      </c>
      <c r="AV939" s="116">
        <v>54</v>
      </c>
      <c r="AW939" s="121">
        <v>1.149</v>
      </c>
      <c r="AX939" s="115">
        <f>AN939-AP939</f>
      </c>
    </row>
    <row r="940" spans="1:50" ht="15" hidden="1" customHeight="1" x14ac:dyDescent="0.3">
      <c r="A940" s="94" t="s">
        <v>263</v>
      </c>
      <c r="B940" s="94"/>
      <c r="C940" s="94"/>
      <c r="D940" s="94"/>
      <c r="E940" s="94"/>
      <c r="F940" s="94"/>
      <c r="G940" s="112">
        <f>AU940</f>
      </c>
      <c r="H940" s="113"/>
      <c r="I940" s="94" t="s">
        <v>264</v>
      </c>
      <c r="J940" s="94" t="s">
        <v>265</v>
      </c>
      <c r="K940" s="114">
        <f>P940/3</f>
      </c>
      <c r="L940" s="115">
        <v>0</v>
      </c>
      <c r="M940" s="116">
        <f>L940</f>
      </c>
      <c r="N940" s="117">
        <f>M940-L940</f>
      </c>
      <c r="O940" s="112"/>
      <c r="P940" s="118">
        <f>N940+O940</f>
      </c>
      <c r="Q940" s="94" t="s">
        <v>815</v>
      </c>
      <c r="R940" s="94" t="s">
        <v>63</v>
      </c>
      <c r="S940" s="120">
        <v>46343</v>
      </c>
      <c r="T940" s="120"/>
      <c r="U940" s="120">
        <v>46343</v>
      </c>
      <c r="V940" s="94"/>
      <c r="W940" s="94"/>
      <c r="X940" s="94"/>
      <c r="Y940" s="119">
        <v>46343</v>
      </c>
      <c r="Z940" s="94"/>
      <c r="AA940" s="120"/>
      <c r="AB940" s="120"/>
      <c r="AC940" s="120"/>
      <c r="AD940" s="120"/>
      <c r="AE940" s="120"/>
      <c r="AF940" s="120"/>
      <c r="AG940" s="94"/>
      <c r="AH940" s="120"/>
      <c r="AI940" s="94"/>
      <c r="AJ940" s="94" t="s">
        <v>815</v>
      </c>
      <c r="AK940" s="94" t="s">
        <v>267</v>
      </c>
      <c r="AL940" s="94">
        <v>120</v>
      </c>
      <c r="AM940" s="94" t="str">
        <f>TRIM(AJ940)&amp;TRIM(AL940)&amp;TRIM(AK940)</f>
      </c>
      <c r="AN940" s="116">
        <v>54</v>
      </c>
      <c r="AO940" s="116">
        <v>-7</v>
      </c>
      <c r="AP940" s="116">
        <f>SUMIFS(M:M,AM:AM,AM940)+SUMIFS(O:O,AM:AM,AM940)</f>
      </c>
      <c r="AQ940" s="116">
        <f>SUMIFS(L:L,AM:AM,AM940)</f>
      </c>
      <c r="AR940" s="116">
        <f>AQ940-AP940</f>
      </c>
      <c r="AS940" s="94" t="str">
        <f>IF(AN940&gt;=AQ940,"ok","ck")</f>
      </c>
      <c r="AT940" s="116">
        <f>-P940</f>
      </c>
      <c r="AU940" s="115">
        <f>IF(SUMIFS(AT:AT,AM:AM,AM940)&gt;AO940,(SUMIFS(AT:AT,AM:AM,AM940)-AO940))</f>
      </c>
      <c r="AV940" s="116">
        <v>54</v>
      </c>
      <c r="AW940" s="121">
        <v>1.149</v>
      </c>
      <c r="AX940" s="115">
        <f>AN940-AP940</f>
      </c>
    </row>
    <row r="941" spans="1:50" ht="15" hidden="1" customHeight="1" x14ac:dyDescent="0.3">
      <c r="A941" s="94" t="s">
        <v>82</v>
      </c>
      <c r="B941" s="94"/>
      <c r="C941" s="94"/>
      <c r="D941" s="94"/>
      <c r="E941" s="94"/>
      <c r="F941" s="94"/>
      <c r="G941" s="112">
        <f>AU941</f>
      </c>
      <c r="H941" s="113"/>
      <c r="I941" s="94" t="s">
        <v>83</v>
      </c>
      <c r="J941" s="94" t="s">
        <v>549</v>
      </c>
      <c r="K941" s="114">
        <f>P941/3</f>
      </c>
      <c r="L941" s="115">
        <v>1500</v>
      </c>
      <c r="M941" s="116"/>
      <c r="N941" s="117">
        <f>M941-L941</f>
      </c>
      <c r="O941" s="112"/>
      <c r="P941" s="118">
        <f>N941+O941</f>
      </c>
      <c r="Q941" s="94" t="s">
        <v>856</v>
      </c>
      <c r="R941" s="94" t="s">
        <v>63</v>
      </c>
      <c r="S941" s="120">
        <v>46345</v>
      </c>
      <c r="T941" s="120"/>
      <c r="U941" s="120" t="s">
        <v>651</v>
      </c>
      <c r="V941" s="94"/>
      <c r="W941" s="94"/>
      <c r="X941" s="94"/>
      <c r="Y941" s="119">
        <v>46333</v>
      </c>
      <c r="Z941" s="94"/>
      <c r="AA941" s="120"/>
      <c r="AB941" s="120"/>
      <c r="AC941" s="120"/>
      <c r="AD941" s="120"/>
      <c r="AE941" s="120"/>
      <c r="AF941" s="120"/>
      <c r="AG941" s="94"/>
      <c r="AH941" s="120"/>
      <c r="AI941" s="94"/>
      <c r="AJ941" s="94" t="s">
        <v>808</v>
      </c>
      <c r="AK941" s="94" t="s">
        <v>89</v>
      </c>
      <c r="AL941" s="94">
        <v>160</v>
      </c>
      <c r="AM941" s="94" t="str">
        <f>TRIM(AJ941)&amp;TRIM(AL941)&amp;TRIM(AK941)</f>
      </c>
      <c r="AN941" s="116">
        <v>0</v>
      </c>
      <c r="AO941" s="116" t="inlineStr">
        <is>
          <t>#NA</t>
        </is>
      </c>
      <c r="AP941" s="116">
        <f>SUMIFS(M:M,AM:AM,AM941)+SUMIFS(O:O,AM:AM,AM941)</f>
      </c>
      <c r="AQ941" s="116">
        <f>SUMIFS(L:L,AM:AM,AM941)</f>
      </c>
      <c r="AR941" s="116">
        <f>AQ941-AP941</f>
      </c>
      <c r="AS941" s="94" t="str">
        <f>IF(AN941&gt;=AQ941,"ok","ck")</f>
      </c>
      <c r="AT941" s="116">
        <f>-P941</f>
      </c>
      <c r="AU941" s="115">
        <f>IF(SUMIFS(AT:AT,AM:AM,AM941)&gt;AO941,(SUMIFS(AT:AT,AM:AM,AM941)-AO941))</f>
      </c>
      <c r="AV941" s="116">
        <v>0</v>
      </c>
      <c r="AW941" s="121">
        <v>0</v>
      </c>
      <c r="AX941" s="115">
        <f>AN941-AP941</f>
      </c>
    </row>
    <row r="942" spans="1:50" ht="15" hidden="1" customHeight="1" x14ac:dyDescent="0.3">
      <c r="A942" s="94" t="s">
        <v>82</v>
      </c>
      <c r="B942" s="94"/>
      <c r="C942" s="94"/>
      <c r="D942" s="94"/>
      <c r="E942" s="94"/>
      <c r="F942" s="94"/>
      <c r="G942" s="112">
        <f>AU942</f>
      </c>
      <c r="H942" s="113"/>
      <c r="I942" s="94" t="s">
        <v>83</v>
      </c>
      <c r="J942" s="94" t="s">
        <v>549</v>
      </c>
      <c r="K942" s="114">
        <f>P942/3</f>
      </c>
      <c r="L942" s="115">
        <v>1500</v>
      </c>
      <c r="M942" s="116"/>
      <c r="N942" s="117">
        <f>M942-L942</f>
      </c>
      <c r="O942" s="112"/>
      <c r="P942" s="118">
        <f>N942+O942</f>
      </c>
      <c r="Q942" s="94" t="s">
        <v>856</v>
      </c>
      <c r="R942" s="94" t="s">
        <v>63</v>
      </c>
      <c r="S942" s="120">
        <v>46346</v>
      </c>
      <c r="T942" s="120"/>
      <c r="U942" s="120" t="s">
        <v>651</v>
      </c>
      <c r="V942" s="94"/>
      <c r="W942" s="94"/>
      <c r="X942" s="94"/>
      <c r="Y942" s="119">
        <v>46333</v>
      </c>
      <c r="Z942" s="94"/>
      <c r="AA942" s="120"/>
      <c r="AB942" s="120"/>
      <c r="AC942" s="120"/>
      <c r="AD942" s="120"/>
      <c r="AE942" s="120"/>
      <c r="AF942" s="120"/>
      <c r="AG942" s="94"/>
      <c r="AH942" s="120"/>
      <c r="AI942" s="94"/>
      <c r="AJ942" s="94" t="s">
        <v>808</v>
      </c>
      <c r="AK942" s="94" t="s">
        <v>89</v>
      </c>
      <c r="AL942" s="94">
        <v>160</v>
      </c>
      <c r="AM942" s="94" t="str">
        <f>TRIM(AJ942)&amp;TRIM(AL942)&amp;TRIM(AK942)</f>
      </c>
      <c r="AN942" s="116">
        <v>0</v>
      </c>
      <c r="AO942" s="116" t="inlineStr">
        <is>
          <t>#NA</t>
        </is>
      </c>
      <c r="AP942" s="116">
        <f>SUMIFS(M:M,AM:AM,AM942)+SUMIFS(O:O,AM:AM,AM942)</f>
      </c>
      <c r="AQ942" s="116">
        <f>SUMIFS(L:L,AM:AM,AM942)</f>
      </c>
      <c r="AR942" s="116">
        <f>AQ942-AP942</f>
      </c>
      <c r="AS942" s="94" t="str">
        <f>IF(AN942&gt;=AQ942,"ok","ck")</f>
      </c>
      <c r="AT942" s="116">
        <f>-P942</f>
      </c>
      <c r="AU942" s="115">
        <f>IF(SUMIFS(AT:AT,AM:AM,AM942)&gt;AO942,(SUMIFS(AT:AT,AM:AM,AM942)-AO942))</f>
      </c>
      <c r="AV942" s="116">
        <v>0</v>
      </c>
      <c r="AW942" s="121">
        <v>0</v>
      </c>
      <c r="AX942" s="115">
        <f>AN942-AP942</f>
      </c>
    </row>
    <row r="943" spans="1:50" ht="15" hidden="1" customHeight="1" x14ac:dyDescent="0.3">
      <c r="A943" s="94" t="s">
        <v>82</v>
      </c>
      <c r="B943" s="94"/>
      <c r="C943" s="94"/>
      <c r="D943" s="94"/>
      <c r="E943" s="94"/>
      <c r="F943" s="94"/>
      <c r="G943" s="112">
        <f>AU943</f>
      </c>
      <c r="H943" s="113"/>
      <c r="I943" s="94" t="s">
        <v>83</v>
      </c>
      <c r="J943" s="94" t="s">
        <v>549</v>
      </c>
      <c r="K943" s="114">
        <f>P943/3</f>
      </c>
      <c r="L943" s="115">
        <v>1500</v>
      </c>
      <c r="M943" s="116"/>
      <c r="N943" s="117">
        <f>M943-L943</f>
      </c>
      <c r="O943" s="112"/>
      <c r="P943" s="118">
        <f>N943+O943</f>
      </c>
      <c r="Q943" s="94" t="s">
        <v>856</v>
      </c>
      <c r="R943" s="94" t="s">
        <v>63</v>
      </c>
      <c r="S943" s="120">
        <v>46347</v>
      </c>
      <c r="T943" s="120"/>
      <c r="U943" s="120" t="s">
        <v>651</v>
      </c>
      <c r="V943" s="94"/>
      <c r="W943" s="94"/>
      <c r="X943" s="94"/>
      <c r="Y943" s="119">
        <v>46333</v>
      </c>
      <c r="Z943" s="94"/>
      <c r="AA943" s="120"/>
      <c r="AB943" s="120"/>
      <c r="AC943" s="120"/>
      <c r="AD943" s="120"/>
      <c r="AE943" s="120"/>
      <c r="AF943" s="120"/>
      <c r="AG943" s="94"/>
      <c r="AH943" s="120"/>
      <c r="AI943" s="94"/>
      <c r="AJ943" s="94" t="s">
        <v>808</v>
      </c>
      <c r="AK943" s="94" t="s">
        <v>89</v>
      </c>
      <c r="AL943" s="94">
        <v>160</v>
      </c>
      <c r="AM943" s="94" t="str">
        <f>TRIM(AJ943)&amp;TRIM(AL943)&amp;TRIM(AK943)</f>
      </c>
      <c r="AN943" s="116">
        <v>0</v>
      </c>
      <c r="AO943" s="116" t="inlineStr">
        <is>
          <t>#NA</t>
        </is>
      </c>
      <c r="AP943" s="116">
        <f>SUMIFS(M:M,AM:AM,AM943)+SUMIFS(O:O,AM:AM,AM943)</f>
      </c>
      <c r="AQ943" s="116">
        <f>SUMIFS(L:L,AM:AM,AM943)</f>
      </c>
      <c r="AR943" s="116">
        <f>AQ943-AP943</f>
      </c>
      <c r="AS943" s="94" t="str">
        <f>IF(AN943&gt;=AQ943,"ok","ck")</f>
      </c>
      <c r="AT943" s="116">
        <f>-P943</f>
      </c>
      <c r="AU943" s="115">
        <f>IF(SUMIFS(AT:AT,AM:AM,AM943)&gt;AO943,(SUMIFS(AT:AT,AM:AM,AM943)-AO943))</f>
      </c>
      <c r="AV943" s="116">
        <v>0</v>
      </c>
      <c r="AW943" s="121">
        <v>0</v>
      </c>
      <c r="AX943" s="115">
        <f>AN943-AP943</f>
      </c>
    </row>
    <row r="944" spans="1:50" ht="15" hidden="1" customHeight="1" x14ac:dyDescent="0.3">
      <c r="A944" s="94" t="s">
        <v>82</v>
      </c>
      <c r="B944" s="94"/>
      <c r="C944" s="94"/>
      <c r="D944" s="94"/>
      <c r="E944" s="94"/>
      <c r="F944" s="94"/>
      <c r="G944" s="112">
        <f>AU944</f>
      </c>
      <c r="H944" s="113"/>
      <c r="I944" s="94" t="s">
        <v>83</v>
      </c>
      <c r="J944" s="94" t="s">
        <v>549</v>
      </c>
      <c r="K944" s="114">
        <f>P944/3</f>
      </c>
      <c r="L944" s="115">
        <v>1500</v>
      </c>
      <c r="M944" s="116"/>
      <c r="N944" s="117">
        <f>M944-L944</f>
      </c>
      <c r="O944" s="112"/>
      <c r="P944" s="118">
        <f>N944+O944</f>
      </c>
      <c r="Q944" s="94" t="s">
        <v>856</v>
      </c>
      <c r="R944" s="94" t="s">
        <v>63</v>
      </c>
      <c r="S944" s="120">
        <v>46348</v>
      </c>
      <c r="T944" s="120"/>
      <c r="U944" s="120" t="s">
        <v>651</v>
      </c>
      <c r="V944" s="94"/>
      <c r="W944" s="94"/>
      <c r="X944" s="94"/>
      <c r="Y944" s="119">
        <v>46342</v>
      </c>
      <c r="Z944" s="94"/>
      <c r="AA944" s="120"/>
      <c r="AB944" s="120"/>
      <c r="AC944" s="120"/>
      <c r="AD944" s="120"/>
      <c r="AE944" s="120"/>
      <c r="AF944" s="120"/>
      <c r="AG944" s="94"/>
      <c r="AH944" s="120"/>
      <c r="AI944" s="94"/>
      <c r="AJ944" s="94" t="s">
        <v>808</v>
      </c>
      <c r="AK944" s="94" t="s">
        <v>89</v>
      </c>
      <c r="AL944" s="94">
        <v>160</v>
      </c>
      <c r="AM944" s="94" t="str">
        <f>TRIM(AJ944)&amp;TRIM(AL944)&amp;TRIM(AK944)</f>
      </c>
      <c r="AN944" s="116">
        <v>0</v>
      </c>
      <c r="AO944" s="116" t="inlineStr">
        <is>
          <t>#NA</t>
        </is>
      </c>
      <c r="AP944" s="116">
        <f>SUMIFS(M:M,AM:AM,AM944)+SUMIFS(O:O,AM:AM,AM944)</f>
      </c>
      <c r="AQ944" s="116">
        <f>SUMIFS(L:L,AM:AM,AM944)</f>
      </c>
      <c r="AR944" s="116">
        <f>AQ944-AP944</f>
      </c>
      <c r="AS944" s="94" t="str">
        <f>IF(AN944&gt;=AQ944,"ok","ck")</f>
      </c>
      <c r="AT944" s="116">
        <f>-P944</f>
      </c>
      <c r="AU944" s="115">
        <f>IF(SUMIFS(AT:AT,AM:AM,AM944)&gt;AO944,(SUMIFS(AT:AT,AM:AM,AM944)-AO944))</f>
      </c>
      <c r="AV944" s="116">
        <v>0</v>
      </c>
      <c r="AW944" s="121">
        <v>0</v>
      </c>
      <c r="AX944" s="115">
        <f>AN944-AP944</f>
      </c>
    </row>
    <row r="945" spans="1:50" ht="15" hidden="1" customHeight="1" x14ac:dyDescent="0.3">
      <c r="A945" s="94" t="s">
        <v>82</v>
      </c>
      <c r="B945" s="94"/>
      <c r="C945" s="94"/>
      <c r="D945" s="94"/>
      <c r="E945" s="94"/>
      <c r="F945" s="94"/>
      <c r="G945" s="112">
        <f>AU945</f>
      </c>
      <c r="H945" s="113"/>
      <c r="I945" s="94" t="s">
        <v>83</v>
      </c>
      <c r="J945" s="94" t="s">
        <v>549</v>
      </c>
      <c r="K945" s="114">
        <f>P945/3</f>
      </c>
      <c r="L945" s="115">
        <v>1500</v>
      </c>
      <c r="M945" s="116"/>
      <c r="N945" s="117">
        <f>M945-L945</f>
      </c>
      <c r="O945" s="112"/>
      <c r="P945" s="118">
        <f>N945+O945</f>
      </c>
      <c r="Q945" s="94" t="s">
        <v>856</v>
      </c>
      <c r="R945" s="94" t="s">
        <v>63</v>
      </c>
      <c r="S945" s="120">
        <v>46349</v>
      </c>
      <c r="T945" s="120"/>
      <c r="U945" s="120" t="s">
        <v>651</v>
      </c>
      <c r="V945" s="94"/>
      <c r="W945" s="94"/>
      <c r="X945" s="94"/>
      <c r="Y945" s="119">
        <v>46342</v>
      </c>
      <c r="Z945" s="94"/>
      <c r="AA945" s="120"/>
      <c r="AB945" s="120"/>
      <c r="AC945" s="120"/>
      <c r="AD945" s="120"/>
      <c r="AE945" s="120"/>
      <c r="AF945" s="120"/>
      <c r="AG945" s="94"/>
      <c r="AH945" s="120"/>
      <c r="AI945" s="94"/>
      <c r="AJ945" s="94" t="s">
        <v>808</v>
      </c>
      <c r="AK945" s="94" t="s">
        <v>89</v>
      </c>
      <c r="AL945" s="94">
        <v>160</v>
      </c>
      <c r="AM945" s="94" t="str">
        <f>TRIM(AJ945)&amp;TRIM(AL945)&amp;TRIM(AK945)</f>
      </c>
      <c r="AN945" s="116">
        <v>0</v>
      </c>
      <c r="AO945" s="116" t="inlineStr">
        <is>
          <t>#NA</t>
        </is>
      </c>
      <c r="AP945" s="116">
        <f>SUMIFS(M:M,AM:AM,AM945)+SUMIFS(O:O,AM:AM,AM945)</f>
      </c>
      <c r="AQ945" s="116">
        <f>SUMIFS(L:L,AM:AM,AM945)</f>
      </c>
      <c r="AR945" s="116">
        <f>AQ945-AP945</f>
      </c>
      <c r="AS945" s="94" t="str">
        <f>IF(AN945&gt;=AQ945,"ok","ck")</f>
      </c>
      <c r="AT945" s="116">
        <f>-P945</f>
      </c>
      <c r="AU945" s="115">
        <f>IF(SUMIFS(AT:AT,AM:AM,AM945)&gt;AO945,(SUMIFS(AT:AT,AM:AM,AM945)-AO945))</f>
      </c>
      <c r="AV945" s="116">
        <v>0</v>
      </c>
      <c r="AW945" s="121">
        <v>0</v>
      </c>
      <c r="AX945" s="115">
        <f>AN945-AP945</f>
      </c>
    </row>
    <row r="946" spans="1:50" ht="15" hidden="1" customHeight="1" x14ac:dyDescent="0.3">
      <c r="A946" s="94" t="s">
        <v>82</v>
      </c>
      <c r="B946" s="94"/>
      <c r="C946" s="94"/>
      <c r="D946" s="94"/>
      <c r="E946" s="94"/>
      <c r="F946" s="94"/>
      <c r="G946" s="112">
        <f>AU946</f>
      </c>
      <c r="H946" s="113"/>
      <c r="I946" s="94" t="s">
        <v>83</v>
      </c>
      <c r="J946" s="94" t="s">
        <v>549</v>
      </c>
      <c r="K946" s="114">
        <f>P946/3</f>
      </c>
      <c r="L946" s="115">
        <v>1500</v>
      </c>
      <c r="M946" s="116"/>
      <c r="N946" s="117">
        <f>M946-L946</f>
      </c>
      <c r="O946" s="112"/>
      <c r="P946" s="118">
        <f>N946+O946</f>
      </c>
      <c r="Q946" s="94" t="s">
        <v>856</v>
      </c>
      <c r="R946" s="94" t="s">
        <v>63</v>
      </c>
      <c r="S946" s="120">
        <v>46350</v>
      </c>
      <c r="T946" s="120"/>
      <c r="U946" s="120" t="s">
        <v>651</v>
      </c>
      <c r="V946" s="94"/>
      <c r="W946" s="94"/>
      <c r="X946" s="94"/>
      <c r="Y946" s="119">
        <v>46342</v>
      </c>
      <c r="Z946" s="94"/>
      <c r="AA946" s="120"/>
      <c r="AB946" s="120"/>
      <c r="AC946" s="120"/>
      <c r="AD946" s="120"/>
      <c r="AE946" s="120"/>
      <c r="AF946" s="120"/>
      <c r="AG946" s="94"/>
      <c r="AH946" s="120"/>
      <c r="AI946" s="94"/>
      <c r="AJ946" s="94" t="s">
        <v>808</v>
      </c>
      <c r="AK946" s="94" t="s">
        <v>89</v>
      </c>
      <c r="AL946" s="94">
        <v>160</v>
      </c>
      <c r="AM946" s="94" t="str">
        <f>TRIM(AJ946)&amp;TRIM(AL946)&amp;TRIM(AK946)</f>
      </c>
      <c r="AN946" s="116">
        <v>0</v>
      </c>
      <c r="AO946" s="116" t="inlineStr">
        <is>
          <t>#NA</t>
        </is>
      </c>
      <c r="AP946" s="116">
        <f>SUMIFS(M:M,AM:AM,AM946)+SUMIFS(O:O,AM:AM,AM946)</f>
      </c>
      <c r="AQ946" s="116">
        <f>SUMIFS(L:L,AM:AM,AM946)</f>
      </c>
      <c r="AR946" s="116">
        <f>AQ946-AP946</f>
      </c>
      <c r="AS946" s="94" t="str">
        <f>IF(AN946&gt;=AQ946,"ok","ck")</f>
      </c>
      <c r="AT946" s="116">
        <f>-P946</f>
      </c>
      <c r="AU946" s="115">
        <f>IF(SUMIFS(AT:AT,AM:AM,AM946)&gt;AO946,(SUMIFS(AT:AT,AM:AM,AM946)-AO946))</f>
      </c>
      <c r="AV946" s="116">
        <v>0</v>
      </c>
      <c r="AW946" s="121">
        <v>0</v>
      </c>
      <c r="AX946" s="115">
        <f>AN946-AP946</f>
      </c>
    </row>
    <row r="947" spans="1:50" ht="15" hidden="1" customHeight="1" x14ac:dyDescent="0.3">
      <c r="A947" s="94" t="s">
        <v>82</v>
      </c>
      <c r="B947" s="94"/>
      <c r="C947" s="94"/>
      <c r="D947" s="94"/>
      <c r="E947" s="94"/>
      <c r="F947" s="94"/>
      <c r="G947" s="112">
        <f>AU947</f>
      </c>
      <c r="H947" s="113"/>
      <c r="I947" s="94" t="s">
        <v>83</v>
      </c>
      <c r="J947" s="94" t="s">
        <v>549</v>
      </c>
      <c r="K947" s="114">
        <f>P947/3</f>
      </c>
      <c r="L947" s="115">
        <v>1500</v>
      </c>
      <c r="M947" s="116"/>
      <c r="N947" s="117">
        <f>M947-L947</f>
      </c>
      <c r="O947" s="112"/>
      <c r="P947" s="118">
        <f>N947+O947</f>
      </c>
      <c r="Q947" s="94" t="s">
        <v>856</v>
      </c>
      <c r="R947" s="94" t="s">
        <v>63</v>
      </c>
      <c r="S947" s="120">
        <v>46351</v>
      </c>
      <c r="T947" s="120"/>
      <c r="U947" s="120" t="s">
        <v>651</v>
      </c>
      <c r="V947" s="94"/>
      <c r="W947" s="94"/>
      <c r="X947" s="94"/>
      <c r="Y947" s="119">
        <v>46342</v>
      </c>
      <c r="Z947" s="94"/>
      <c r="AA947" s="120"/>
      <c r="AB947" s="120"/>
      <c r="AC947" s="120"/>
      <c r="AD947" s="120"/>
      <c r="AE947" s="120"/>
      <c r="AF947" s="120"/>
      <c r="AG947" s="94"/>
      <c r="AH947" s="120"/>
      <c r="AI947" s="94"/>
      <c r="AJ947" s="94" t="s">
        <v>808</v>
      </c>
      <c r="AK947" s="94" t="s">
        <v>89</v>
      </c>
      <c r="AL947" s="94">
        <v>160</v>
      </c>
      <c r="AM947" s="94" t="str">
        <f>TRIM(AJ947)&amp;TRIM(AL947)&amp;TRIM(AK947)</f>
      </c>
      <c r="AN947" s="116">
        <v>0</v>
      </c>
      <c r="AO947" s="116" t="inlineStr">
        <is>
          <t>#NA</t>
        </is>
      </c>
      <c r="AP947" s="116">
        <f>SUMIFS(M:M,AM:AM,AM947)+SUMIFS(O:O,AM:AM,AM947)</f>
      </c>
      <c r="AQ947" s="116">
        <f>SUMIFS(L:L,AM:AM,AM947)</f>
      </c>
      <c r="AR947" s="116">
        <f>AQ947-AP947</f>
      </c>
      <c r="AS947" s="94" t="str">
        <f>IF(AN947&gt;=AQ947,"ok","ck")</f>
      </c>
      <c r="AT947" s="116">
        <f>-P947</f>
      </c>
      <c r="AU947" s="115">
        <f>IF(SUMIFS(AT:AT,AM:AM,AM947)&gt;AO947,(SUMIFS(AT:AT,AM:AM,AM947)-AO947))</f>
      </c>
      <c r="AV947" s="116">
        <v>0</v>
      </c>
      <c r="AW947" s="121">
        <v>0</v>
      </c>
      <c r="AX947" s="115">
        <f>AN947-AP947</f>
      </c>
    </row>
    <row r="948" spans="1:50" ht="15" hidden="1" customHeight="1" x14ac:dyDescent="0.3">
      <c r="A948" s="94" t="s">
        <v>82</v>
      </c>
      <c r="B948" s="94"/>
      <c r="C948" s="94"/>
      <c r="D948" s="94"/>
      <c r="E948" s="94"/>
      <c r="F948" s="94"/>
      <c r="G948" s="112">
        <f>AU948</f>
      </c>
      <c r="H948" s="113"/>
      <c r="I948" s="94" t="s">
        <v>83</v>
      </c>
      <c r="J948" s="94" t="s">
        <v>549</v>
      </c>
      <c r="K948" s="114">
        <f>P948/3</f>
      </c>
      <c r="L948" s="115">
        <v>1500</v>
      </c>
      <c r="M948" s="116"/>
      <c r="N948" s="117">
        <f>M948-L948</f>
      </c>
      <c r="O948" s="112"/>
      <c r="P948" s="118">
        <f>N948+O948</f>
      </c>
      <c r="Q948" s="94" t="s">
        <v>856</v>
      </c>
      <c r="R948" s="94" t="s">
        <v>63</v>
      </c>
      <c r="S948" s="120">
        <v>46352</v>
      </c>
      <c r="T948" s="120"/>
      <c r="U948" s="120" t="s">
        <v>651</v>
      </c>
      <c r="V948" s="94"/>
      <c r="W948" s="94"/>
      <c r="X948" s="94"/>
      <c r="Y948" s="119">
        <v>46342</v>
      </c>
      <c r="Z948" s="94"/>
      <c r="AA948" s="120"/>
      <c r="AB948" s="120"/>
      <c r="AC948" s="120"/>
      <c r="AD948" s="120"/>
      <c r="AE948" s="120"/>
      <c r="AF948" s="120"/>
      <c r="AG948" s="94"/>
      <c r="AH948" s="120"/>
      <c r="AI948" s="94"/>
      <c r="AJ948" s="94" t="s">
        <v>808</v>
      </c>
      <c r="AK948" s="94" t="s">
        <v>89</v>
      </c>
      <c r="AL948" s="94">
        <v>160</v>
      </c>
      <c r="AM948" s="94" t="str">
        <f>TRIM(AJ948)&amp;TRIM(AL948)&amp;TRIM(AK948)</f>
      </c>
      <c r="AN948" s="116">
        <v>0</v>
      </c>
      <c r="AO948" s="116" t="inlineStr">
        <is>
          <t>#NA</t>
        </is>
      </c>
      <c r="AP948" s="116">
        <f>SUMIFS(M:M,AM:AM,AM948)+SUMIFS(O:O,AM:AM,AM948)</f>
      </c>
      <c r="AQ948" s="116">
        <f>SUMIFS(L:L,AM:AM,AM948)</f>
      </c>
      <c r="AR948" s="116">
        <f>AQ948-AP948</f>
      </c>
      <c r="AS948" s="94" t="str">
        <f>IF(AN948&gt;=AQ948,"ok","ck")</f>
      </c>
      <c r="AT948" s="116">
        <f>-P948</f>
      </c>
      <c r="AU948" s="115">
        <f>IF(SUMIFS(AT:AT,AM:AM,AM948)&gt;AO948,(SUMIFS(AT:AT,AM:AM,AM948)-AO948))</f>
      </c>
      <c r="AV948" s="116">
        <v>0</v>
      </c>
      <c r="AW948" s="121">
        <v>0</v>
      </c>
      <c r="AX948" s="115">
        <f>AN948-AP948</f>
      </c>
    </row>
    <row r="949" spans="1:50" ht="15" hidden="1" customHeight="1" x14ac:dyDescent="0.3">
      <c r="A949" s="94" t="s">
        <v>82</v>
      </c>
      <c r="B949" s="94"/>
      <c r="C949" s="94"/>
      <c r="D949" s="94"/>
      <c r="E949" s="94"/>
      <c r="F949" s="94"/>
      <c r="G949" s="112">
        <f>AU949</f>
      </c>
      <c r="H949" s="113"/>
      <c r="I949" s="94" t="s">
        <v>83</v>
      </c>
      <c r="J949" s="94" t="s">
        <v>549</v>
      </c>
      <c r="K949" s="114">
        <f>P949/3</f>
      </c>
      <c r="L949" s="115">
        <v>863.74699999999996</v>
      </c>
      <c r="M949" s="116"/>
      <c r="N949" s="117">
        <f>M949-L949</f>
      </c>
      <c r="O949" s="112"/>
      <c r="P949" s="118">
        <f>N949+O949</f>
      </c>
      <c r="Q949" s="94" t="s">
        <v>856</v>
      </c>
      <c r="R949" s="94" t="s">
        <v>63</v>
      </c>
      <c r="S949" s="120">
        <v>46353</v>
      </c>
      <c r="T949" s="120"/>
      <c r="U949" s="120" t="s">
        <v>651</v>
      </c>
      <c r="V949" s="94"/>
      <c r="W949" s="94"/>
      <c r="X949" s="94"/>
      <c r="Y949" s="119">
        <v>46342</v>
      </c>
      <c r="Z949" s="94"/>
      <c r="AA949" s="120"/>
      <c r="AB949" s="120"/>
      <c r="AC949" s="120"/>
      <c r="AD949" s="120"/>
      <c r="AE949" s="120"/>
      <c r="AF949" s="120"/>
      <c r="AG949" s="94"/>
      <c r="AH949" s="120"/>
      <c r="AI949" s="94"/>
      <c r="AJ949" s="94" t="s">
        <v>808</v>
      </c>
      <c r="AK949" s="94" t="s">
        <v>89</v>
      </c>
      <c r="AL949" s="94">
        <v>160</v>
      </c>
      <c r="AM949" s="94" t="str">
        <f>TRIM(AJ949)&amp;TRIM(AL949)&amp;TRIM(AK949)</f>
      </c>
      <c r="AN949" s="116">
        <v>0</v>
      </c>
      <c r="AO949" s="116" t="inlineStr">
        <is>
          <t>#NA</t>
        </is>
      </c>
      <c r="AP949" s="116">
        <f>SUMIFS(M:M,AM:AM,AM949)+SUMIFS(O:O,AM:AM,AM949)</f>
      </c>
      <c r="AQ949" s="116">
        <f>SUMIFS(L:L,AM:AM,AM949)</f>
      </c>
      <c r="AR949" s="116">
        <f>AQ949-AP949</f>
      </c>
      <c r="AS949" s="94" t="str">
        <f>IF(AN949&gt;=AQ949,"ok","ck")</f>
      </c>
      <c r="AT949" s="116">
        <f>-P949</f>
      </c>
      <c r="AU949" s="115">
        <f>IF(SUMIFS(AT:AT,AM:AM,AM949)&gt;AO949,(SUMIFS(AT:AT,AM:AM,AM949)-AO949))</f>
      </c>
      <c r="AV949" s="116">
        <v>0</v>
      </c>
      <c r="AW949" s="121">
        <v>0</v>
      </c>
      <c r="AX949" s="115">
        <f>AN949-AP949</f>
      </c>
    </row>
    <row r="950" spans="1:50" ht="15" hidden="1" customHeight="1" x14ac:dyDescent="0.3">
      <c r="A950" s="94" t="s">
        <v>263</v>
      </c>
      <c r="B950" s="94"/>
      <c r="C950" s="94"/>
      <c r="D950" s="94"/>
      <c r="E950" s="94"/>
      <c r="F950" s="94"/>
      <c r="G950" s="112">
        <f>AU950</f>
      </c>
      <c r="H950" s="113"/>
      <c r="I950" s="94" t="s">
        <v>264</v>
      </c>
      <c r="J950" s="94" t="s">
        <v>281</v>
      </c>
      <c r="K950" s="114">
        <f>P950/3</f>
      </c>
      <c r="L950" s="115">
        <v>0</v>
      </c>
      <c r="M950" s="116">
        <f>L950</f>
      </c>
      <c r="N950" s="117">
        <f>M950-L950</f>
      </c>
      <c r="O950" s="112"/>
      <c r="P950" s="118">
        <f>N950+O950</f>
      </c>
      <c r="Q950" s="94" t="s">
        <v>797</v>
      </c>
      <c r="R950" s="94" t="s">
        <v>63</v>
      </c>
      <c r="S950" s="120">
        <v>46320</v>
      </c>
      <c r="T950" s="120"/>
      <c r="U950" s="120">
        <v>46320</v>
      </c>
      <c r="V950" s="94"/>
      <c r="W950" s="94"/>
      <c r="X950" s="94"/>
      <c r="Y950" s="119">
        <v>46320</v>
      </c>
      <c r="Z950" s="94"/>
      <c r="AA950" s="120"/>
      <c r="AB950" s="120"/>
      <c r="AC950" s="120"/>
      <c r="AD950" s="120"/>
      <c r="AE950" s="120"/>
      <c r="AF950" s="120"/>
      <c r="AG950" s="94"/>
      <c r="AH950" s="120"/>
      <c r="AI950" s="94"/>
      <c r="AJ950" s="94" t="s">
        <v>797</v>
      </c>
      <c r="AK950" s="94" t="s">
        <v>281</v>
      </c>
      <c r="AL950" s="94">
        <v>120</v>
      </c>
      <c r="AM950" s="94" t="str">
        <f>TRIM(AJ950)&amp;TRIM(AL950)&amp;TRIM(AK950)</f>
      </c>
      <c r="AN950" s="116">
        <v>1834</v>
      </c>
      <c r="AO950" s="116">
        <v>-33</v>
      </c>
      <c r="AP950" s="116">
        <f>SUMIFS(M:M,AM:AM,AM950)+SUMIFS(O:O,AM:AM,AM950)</f>
      </c>
      <c r="AQ950" s="116">
        <f>SUMIFS(L:L,AM:AM,AM950)</f>
      </c>
      <c r="AR950" s="116">
        <f>AQ950-AP950</f>
      </c>
      <c r="AS950" s="94" t="str">
        <f>IF(AN950&gt;=AQ950,"ok","ck")</f>
      </c>
      <c r="AT950" s="116">
        <f>-P950</f>
      </c>
      <c r="AU950" s="115">
        <f>IF(SUMIFS(AT:AT,AM:AM,AM950)&gt;AO950,(SUMIFS(AT:AT,AM:AM,AM950)-AO950))</f>
      </c>
      <c r="AV950" s="116">
        <v>1834</v>
      </c>
      <c r="AW950" s="121">
        <v>1.018</v>
      </c>
      <c r="AX950" s="115">
        <f>AN950-AP950</f>
      </c>
    </row>
    <row r="951" spans="1:50" ht="15" hidden="1" customHeight="1" x14ac:dyDescent="0.3">
      <c r="A951" s="94" t="s">
        <v>263</v>
      </c>
      <c r="B951" s="94"/>
      <c r="C951" s="94"/>
      <c r="D951" s="94"/>
      <c r="E951" s="94"/>
      <c r="F951" s="94"/>
      <c r="G951" s="112">
        <f>AU951</f>
      </c>
      <c r="H951" s="113"/>
      <c r="I951" s="94" t="s">
        <v>264</v>
      </c>
      <c r="J951" s="94" t="s">
        <v>281</v>
      </c>
      <c r="K951" s="114">
        <f>P951/3</f>
      </c>
      <c r="L951" s="115">
        <v>0</v>
      </c>
      <c r="M951" s="116">
        <f>L951</f>
      </c>
      <c r="N951" s="117">
        <f>M951-L951</f>
      </c>
      <c r="O951" s="112"/>
      <c r="P951" s="118">
        <f>N951+O951</f>
      </c>
      <c r="Q951" s="94" t="s">
        <v>797</v>
      </c>
      <c r="R951" s="94" t="s">
        <v>63</v>
      </c>
      <c r="S951" s="120">
        <v>46320</v>
      </c>
      <c r="T951" s="120"/>
      <c r="U951" s="120">
        <v>46320</v>
      </c>
      <c r="V951" s="94"/>
      <c r="W951" s="94"/>
      <c r="X951" s="94"/>
      <c r="Y951" s="119">
        <v>46320</v>
      </c>
      <c r="Z951" s="94"/>
      <c r="AA951" s="120"/>
      <c r="AB951" s="120"/>
      <c r="AC951" s="120"/>
      <c r="AD951" s="120"/>
      <c r="AE951" s="120"/>
      <c r="AF951" s="120"/>
      <c r="AG951" s="94"/>
      <c r="AH951" s="120"/>
      <c r="AI951" s="94"/>
      <c r="AJ951" s="94" t="s">
        <v>797</v>
      </c>
      <c r="AK951" s="94" t="s">
        <v>281</v>
      </c>
      <c r="AL951" s="94">
        <v>120</v>
      </c>
      <c r="AM951" s="94" t="str">
        <f>TRIM(AJ951)&amp;TRIM(AL951)&amp;TRIM(AK951)</f>
      </c>
      <c r="AN951" s="116">
        <v>1834</v>
      </c>
      <c r="AO951" s="116">
        <v>-33</v>
      </c>
      <c r="AP951" s="116">
        <f>SUMIFS(M:M,AM:AM,AM951)+SUMIFS(O:O,AM:AM,AM951)</f>
      </c>
      <c r="AQ951" s="116">
        <f>SUMIFS(L:L,AM:AM,AM951)</f>
      </c>
      <c r="AR951" s="116">
        <f>AQ951-AP951</f>
      </c>
      <c r="AS951" s="94" t="str">
        <f>IF(AN951&gt;=AQ951,"ok","ck")</f>
      </c>
      <c r="AT951" s="116">
        <f>-P951</f>
      </c>
      <c r="AU951" s="115">
        <f>IF(SUMIFS(AT:AT,AM:AM,AM951)&gt;AO951,(SUMIFS(AT:AT,AM:AM,AM951)-AO951))</f>
      </c>
      <c r="AV951" s="116">
        <v>1834</v>
      </c>
      <c r="AW951" s="121">
        <v>1.018</v>
      </c>
      <c r="AX951" s="115">
        <f>AN951-AP951</f>
      </c>
    </row>
    <row r="952" spans="1:50" ht="15" hidden="1" customHeight="1" x14ac:dyDescent="0.3">
      <c r="A952" s="94" t="s">
        <v>268</v>
      </c>
      <c r="B952" s="94"/>
      <c r="C952" s="94"/>
      <c r="D952" s="94"/>
      <c r="E952" s="94"/>
      <c r="F952" s="94"/>
      <c r="G952" s="112">
        <f>AU952</f>
      </c>
      <c r="H952" s="113"/>
      <c r="I952" s="94" t="s">
        <v>278</v>
      </c>
      <c r="J952" s="94" t="s">
        <v>293</v>
      </c>
      <c r="K952" s="114">
        <f>P952/3</f>
      </c>
      <c r="L952" s="115">
        <v>13.566000000000001</v>
      </c>
      <c r="M952" s="116"/>
      <c r="N952" s="117">
        <f>M952-L952</f>
      </c>
      <c r="O952" s="112"/>
      <c r="P952" s="118">
        <f>N952+O952</f>
      </c>
      <c r="Q952" s="94" t="s">
        <v>778</v>
      </c>
      <c r="R952" s="94" t="s">
        <v>63</v>
      </c>
      <c r="S952" s="120">
        <v>46333</v>
      </c>
      <c r="T952" s="120"/>
      <c r="U952" s="120">
        <v>46333</v>
      </c>
      <c r="V952" s="94"/>
      <c r="W952" s="94"/>
      <c r="X952" s="94"/>
      <c r="Y952" s="119">
        <v>46338</v>
      </c>
      <c r="Z952" s="94"/>
      <c r="AA952" s="120"/>
      <c r="AB952" s="120"/>
      <c r="AC952" s="120"/>
      <c r="AD952" s="120"/>
      <c r="AE952" s="120"/>
      <c r="AF952" s="120"/>
      <c r="AG952" s="94"/>
      <c r="AH952" s="120"/>
      <c r="AI952" s="94"/>
      <c r="AJ952" s="94" t="s">
        <v>778</v>
      </c>
      <c r="AK952" s="94" t="s">
        <v>294</v>
      </c>
      <c r="AL952" s="94">
        <v>120</v>
      </c>
      <c r="AM952" s="94" t="str">
        <f>TRIM(AJ952)&amp;TRIM(AL952)&amp;TRIM(AK952)</f>
      </c>
      <c r="AN952" s="116">
        <v>0</v>
      </c>
      <c r="AO952" s="116" t="inlineStr">
        <is>
          <t>#NA</t>
        </is>
      </c>
      <c r="AP952" s="116">
        <f>SUMIFS(M:M,AM:AM,AM952)+SUMIFS(O:O,AM:AM,AM952)</f>
      </c>
      <c r="AQ952" s="116">
        <f>SUMIFS(L:L,AM:AM,AM952)</f>
      </c>
      <c r="AR952" s="116">
        <f>AQ952-AP952</f>
      </c>
      <c r="AS952" s="94" t="str">
        <f>IF(AN952&gt;=AQ952,"ok","ck")</f>
      </c>
      <c r="AT952" s="116">
        <f>-P952</f>
      </c>
      <c r="AU952" s="115">
        <f>IF(SUMIFS(AT:AT,AM:AM,AM952)&gt;AO952,(SUMIFS(AT:AT,AM:AM,AM952)-AO952))</f>
      </c>
      <c r="AV952" s="116">
        <v>0</v>
      </c>
      <c r="AW952" s="121">
        <v>0</v>
      </c>
      <c r="AX952" s="115">
        <f>AN952-AP952</f>
      </c>
    </row>
    <row r="953" spans="1:50" ht="15" hidden="1" customHeight="1" x14ac:dyDescent="0.3">
      <c r="A953" s="94" t="s">
        <v>268</v>
      </c>
      <c r="B953" s="94"/>
      <c r="C953" s="94"/>
      <c r="D953" s="94"/>
      <c r="E953" s="94"/>
      <c r="F953" s="94"/>
      <c r="G953" s="112">
        <f>AU953</f>
      </c>
      <c r="H953" s="113"/>
      <c r="I953" s="94" t="s">
        <v>278</v>
      </c>
      <c r="J953" s="94" t="s">
        <v>381</v>
      </c>
      <c r="K953" s="114">
        <f>P953/3</f>
      </c>
      <c r="L953" s="115">
        <v>52.5</v>
      </c>
      <c r="M953" s="116"/>
      <c r="N953" s="117">
        <f>M953-L953</f>
      </c>
      <c r="O953" s="112"/>
      <c r="P953" s="118">
        <f>N953+O953</f>
      </c>
      <c r="Q953" s="94" t="s">
        <v>305</v>
      </c>
      <c r="R953" s="94" t="s">
        <v>63</v>
      </c>
      <c r="S953" s="119">
        <v>46335</v>
      </c>
      <c r="T953" s="119"/>
      <c r="U953" s="120">
        <v>46335</v>
      </c>
      <c r="V953" s="94"/>
      <c r="W953" s="94"/>
      <c r="X953" s="94"/>
      <c r="Y953" s="119">
        <v>46333</v>
      </c>
      <c r="Z953" s="94"/>
      <c r="AA953" s="120"/>
      <c r="AB953" s="120"/>
      <c r="AC953" s="120"/>
      <c r="AD953" s="120"/>
      <c r="AE953" s="120"/>
      <c r="AF953" s="120"/>
      <c r="AG953" s="94"/>
      <c r="AH953" s="120"/>
      <c r="AI953" s="94"/>
      <c r="AJ953" s="94" t="s">
        <v>305</v>
      </c>
      <c r="AK953" s="94" t="s">
        <v>381</v>
      </c>
      <c r="AL953" s="94">
        <v>120</v>
      </c>
      <c r="AM953" s="94" t="str">
        <f>TRIM(AJ953)&amp;TRIM(AL953)&amp;TRIM(AK953)</f>
      </c>
      <c r="AN953" s="116">
        <v>0</v>
      </c>
      <c r="AO953" s="116" t="inlineStr">
        <is>
          <t>#NA</t>
        </is>
      </c>
      <c r="AP953" s="116">
        <f>SUMIFS(M:M,AM:AM,AM953)+SUMIFS(O:O,AM:AM,AM953)</f>
      </c>
      <c r="AQ953" s="116">
        <f>SUMIFS(L:L,AM:AM,AM953)</f>
      </c>
      <c r="AR953" s="116">
        <f>AQ953-AP953</f>
      </c>
      <c r="AS953" s="94" t="str">
        <f>IF(AN953&gt;=AQ953,"ok","ck")</f>
      </c>
      <c r="AT953" s="116">
        <f>-P953</f>
      </c>
      <c r="AU953" s="115">
        <f>IF(SUMIFS(AT:AT,AM:AM,AM953)&gt;AO953,(SUMIFS(AT:AT,AM:AM,AM953)-AO953))</f>
      </c>
      <c r="AV953" s="116">
        <v>0</v>
      </c>
      <c r="AW953" s="121">
        <v>0</v>
      </c>
      <c r="AX953" s="115">
        <f>AN953-AP953</f>
      </c>
    </row>
    <row r="954" spans="1:50" ht="15" hidden="1" customHeight="1" x14ac:dyDescent="0.3">
      <c r="A954" s="94" t="s">
        <v>268</v>
      </c>
      <c r="B954" s="94"/>
      <c r="C954" s="94"/>
      <c r="D954" s="94"/>
      <c r="E954" s="94"/>
      <c r="F954" s="94"/>
      <c r="G954" s="112">
        <f>AU954</f>
      </c>
      <c r="H954" s="113"/>
      <c r="I954" s="94" t="s">
        <v>390</v>
      </c>
      <c r="J954" s="94" t="s">
        <v>270</v>
      </c>
      <c r="K954" s="114">
        <f>P954/3</f>
      </c>
      <c r="L954" s="115">
        <v>300</v>
      </c>
      <c r="M954" s="116"/>
      <c r="N954" s="117">
        <f>M954-L954</f>
      </c>
      <c r="O954" s="112"/>
      <c r="P954" s="118">
        <f>N954+O954</f>
      </c>
      <c r="Q954" s="94" t="s">
        <v>793</v>
      </c>
      <c r="R954" s="94" t="s">
        <v>63</v>
      </c>
      <c r="S954" s="119">
        <v>46336</v>
      </c>
      <c r="T954" s="119"/>
      <c r="U954" s="120">
        <v>46336</v>
      </c>
      <c r="V954" s="94"/>
      <c r="W954" s="94"/>
      <c r="X954" s="94"/>
      <c r="Y954" s="119">
        <v>46320</v>
      </c>
      <c r="Z954" s="94"/>
      <c r="AA954" s="120"/>
      <c r="AB954" s="120"/>
      <c r="AC954" s="120"/>
      <c r="AD954" s="120"/>
      <c r="AE954" s="120"/>
      <c r="AF954" s="120"/>
      <c r="AG954" s="94"/>
      <c r="AH954" s="120"/>
      <c r="AI954" s="94"/>
      <c r="AJ954" s="94" t="s">
        <v>793</v>
      </c>
      <c r="AK954" s="94" t="s">
        <v>272</v>
      </c>
      <c r="AL954" s="94">
        <v>140</v>
      </c>
      <c r="AM954" s="94" t="str">
        <f>TRIM(AJ954)&amp;TRIM(AL954)&amp;TRIM(AK954)</f>
      </c>
      <c r="AN954" s="116">
        <v>0</v>
      </c>
      <c r="AO954" s="116" t="inlineStr">
        <is>
          <t>#NA</t>
        </is>
      </c>
      <c r="AP954" s="116">
        <f>SUMIFS(M:M,AM:AM,AM954)+SUMIFS(O:O,AM:AM,AM954)</f>
      </c>
      <c r="AQ954" s="116">
        <f>SUMIFS(L:L,AM:AM,AM954)</f>
      </c>
      <c r="AR954" s="116">
        <f>AQ954-AP954</f>
      </c>
      <c r="AS954" s="94" t="str">
        <f>IF(AN954&gt;=AQ954,"ok","ck")</f>
      </c>
      <c r="AT954" s="116">
        <f>-P954</f>
      </c>
      <c r="AU954" s="115">
        <f>IF(SUMIFS(AT:AT,AM:AM,AM954)&gt;AO954,(SUMIFS(AT:AT,AM:AM,AM954)-AO954))</f>
      </c>
      <c r="AV954" s="116">
        <v>0</v>
      </c>
      <c r="AW954" s="121">
        <v>0</v>
      </c>
      <c r="AX954" s="115">
        <f>AN954-AP954</f>
      </c>
    </row>
    <row r="955" spans="1:50" ht="15" hidden="1" customHeight="1" x14ac:dyDescent="0.3">
      <c r="A955" s="94" t="s">
        <v>268</v>
      </c>
      <c r="B955" s="94"/>
      <c r="C955" s="94"/>
      <c r="D955" s="94"/>
      <c r="E955" s="94"/>
      <c r="F955" s="94"/>
      <c r="G955" s="112">
        <f>AU955</f>
      </c>
      <c r="H955" s="113"/>
      <c r="I955" s="94" t="s">
        <v>390</v>
      </c>
      <c r="J955" s="94" t="s">
        <v>279</v>
      </c>
      <c r="K955" s="114">
        <f>P955/3</f>
      </c>
      <c r="L955" s="115">
        <v>280.14699999999999</v>
      </c>
      <c r="M955" s="116"/>
      <c r="N955" s="117">
        <f>M955-L955</f>
      </c>
      <c r="O955" s="112"/>
      <c r="P955" s="118">
        <f>N955+O955</f>
      </c>
      <c r="Q955" s="94" t="s">
        <v>793</v>
      </c>
      <c r="R955" s="94" t="s">
        <v>63</v>
      </c>
      <c r="S955" s="119">
        <v>46336</v>
      </c>
      <c r="T955" s="119"/>
      <c r="U955" s="120">
        <v>46336</v>
      </c>
      <c r="V955" s="94"/>
      <c r="W955" s="94"/>
      <c r="X955" s="94"/>
      <c r="Y955" s="119">
        <v>46320</v>
      </c>
      <c r="Z955" s="94"/>
      <c r="AA955" s="120"/>
      <c r="AB955" s="120"/>
      <c r="AC955" s="120"/>
      <c r="AD955" s="120"/>
      <c r="AE955" s="120"/>
      <c r="AF955" s="120"/>
      <c r="AG955" s="94"/>
      <c r="AH955" s="120"/>
      <c r="AI955" s="94"/>
      <c r="AJ955" s="94" t="s">
        <v>793</v>
      </c>
      <c r="AK955" s="94" t="s">
        <v>280</v>
      </c>
      <c r="AL955" s="94">
        <v>140</v>
      </c>
      <c r="AM955" s="94" t="str">
        <f>TRIM(AJ955)&amp;TRIM(AL955)&amp;TRIM(AK955)</f>
      </c>
      <c r="AN955" s="116">
        <v>0</v>
      </c>
      <c r="AO955" s="116" t="inlineStr">
        <is>
          <t>#NA</t>
        </is>
      </c>
      <c r="AP955" s="116">
        <f>SUMIFS(M:M,AM:AM,AM955)+SUMIFS(O:O,AM:AM,AM955)</f>
      </c>
      <c r="AQ955" s="116">
        <f>SUMIFS(L:L,AM:AM,AM955)</f>
      </c>
      <c r="AR955" s="116">
        <f>AQ955-AP955</f>
      </c>
      <c r="AS955" s="94" t="str">
        <f>IF(AN955&gt;=AQ955,"ok","ck")</f>
      </c>
      <c r="AT955" s="116">
        <f>-P955</f>
      </c>
      <c r="AU955" s="115">
        <f>IF(SUMIFS(AT:AT,AM:AM,AM955)&gt;AO955,(SUMIFS(AT:AT,AM:AM,AM955)-AO955))</f>
      </c>
      <c r="AV955" s="116">
        <v>0</v>
      </c>
      <c r="AW955" s="121">
        <v>0</v>
      </c>
      <c r="AX955" s="115">
        <f>AN955-AP955</f>
      </c>
    </row>
    <row r="956" spans="1:50" ht="15" hidden="1" customHeight="1" x14ac:dyDescent="0.3">
      <c r="A956" s="94" t="s">
        <v>480</v>
      </c>
      <c r="B956" s="94"/>
      <c r="C956" s="94"/>
      <c r="D956" s="94"/>
      <c r="E956" s="94"/>
      <c r="F956" s="94"/>
      <c r="G956" s="112">
        <f>AU956</f>
      </c>
      <c r="H956" s="113"/>
      <c r="I956" s="94" t="s">
        <v>483</v>
      </c>
      <c r="J956" s="94" t="s">
        <v>502</v>
      </c>
      <c r="K956" s="114">
        <f>P956/3</f>
      </c>
      <c r="L956" s="115">
        <v>13.839</v>
      </c>
      <c r="M956" s="116"/>
      <c r="N956" s="117">
        <f>M956-L956</f>
      </c>
      <c r="O956" s="112"/>
      <c r="P956" s="118">
        <f>N956+O956</f>
      </c>
      <c r="Q956" s="94" t="s">
        <v>782</v>
      </c>
      <c r="R956" s="94" t="s">
        <v>63</v>
      </c>
      <c r="S956" s="119">
        <v>46332</v>
      </c>
      <c r="T956" s="119"/>
      <c r="U956" s="120">
        <v>46332</v>
      </c>
      <c r="V956" s="94"/>
      <c r="W956" s="94"/>
      <c r="X956" s="94"/>
      <c r="Y956" s="119">
        <v>46326</v>
      </c>
      <c r="Z956" s="94"/>
      <c r="AA956" s="120"/>
      <c r="AB956" s="120"/>
      <c r="AC956" s="120"/>
      <c r="AD956" s="120"/>
      <c r="AE956" s="120"/>
      <c r="AF956" s="120"/>
      <c r="AG956" s="94"/>
      <c r="AH956" s="120"/>
      <c r="AI956" s="94"/>
      <c r="AJ956" s="94" t="s">
        <v>782</v>
      </c>
      <c r="AK956" s="94" t="s">
        <v>696</v>
      </c>
      <c r="AL956" s="94">
        <v>165</v>
      </c>
      <c r="AM956" s="94" t="str">
        <f>TRIM(AJ956)&amp;TRIM(AL956)&amp;TRIM(AK956)</f>
      </c>
      <c r="AN956" s="116">
        <v>0</v>
      </c>
      <c r="AO956" s="116" t="inlineStr">
        <is>
          <t>#NA</t>
        </is>
      </c>
      <c r="AP956" s="116">
        <f>SUMIFS(M:M,AM:AM,AM956)+SUMIFS(O:O,AM:AM,AM956)</f>
      </c>
      <c r="AQ956" s="116">
        <f>SUMIFS(L:L,AM:AM,AM956)</f>
      </c>
      <c r="AR956" s="116">
        <f>AQ956-AP956</f>
      </c>
      <c r="AS956" s="94" t="str">
        <f>IF(AN956&gt;=AQ956,"ok","ck")</f>
      </c>
      <c r="AT956" s="116">
        <f>-P956</f>
      </c>
      <c r="AU956" s="115">
        <f>IF(SUMIFS(AT:AT,AM:AM,AM956)&gt;AO956,(SUMIFS(AT:AT,AM:AM,AM956)-AO956))</f>
      </c>
      <c r="AV956" s="116">
        <v>0</v>
      </c>
      <c r="AW956" s="121">
        <v>0</v>
      </c>
      <c r="AX956" s="115">
        <f>AN956-AP956</f>
      </c>
    </row>
    <row r="957" spans="1:50" ht="15" hidden="1" customHeight="1" x14ac:dyDescent="0.3">
      <c r="A957" s="94" t="s">
        <v>60</v>
      </c>
      <c r="B957" s="94"/>
      <c r="C957" s="94"/>
      <c r="D957" s="94"/>
      <c r="E957" s="94"/>
      <c r="F957" s="94"/>
      <c r="G957" s="112">
        <f>AU957</f>
      </c>
      <c r="H957" s="113"/>
      <c r="I957" s="94" t="s">
        <v>65</v>
      </c>
      <c r="J957" s="94" t="s">
        <v>522</v>
      </c>
      <c r="K957" s="114">
        <f>P957/3</f>
      </c>
      <c r="L957" s="115">
        <v>-6.0999999999999999E-2</v>
      </c>
      <c r="M957" s="116">
        <f>L957</f>
      </c>
      <c r="N957" s="117">
        <f>M957-L957</f>
      </c>
      <c r="O957" s="112"/>
      <c r="P957" s="118">
        <f>N957+O957</f>
      </c>
      <c r="Q957" s="94" t="s">
        <v>116</v>
      </c>
      <c r="R957" s="94" t="s">
        <v>63</v>
      </c>
      <c r="S957" s="119">
        <v>46320</v>
      </c>
      <c r="T957" s="119"/>
      <c r="U957" s="120">
        <v>46320</v>
      </c>
      <c r="V957" s="94"/>
      <c r="W957" s="94"/>
      <c r="X957" s="94"/>
      <c r="Y957" s="119">
        <v>46320</v>
      </c>
      <c r="Z957" s="94"/>
      <c r="AA957" s="120"/>
      <c r="AB957" s="120"/>
      <c r="AC957" s="120"/>
      <c r="AD957" s="120"/>
      <c r="AE957" s="120"/>
      <c r="AF957" s="120"/>
      <c r="AG957" s="94"/>
      <c r="AH957" s="120"/>
      <c r="AI957" s="94"/>
      <c r="AJ957" s="94" t="s">
        <v>64</v>
      </c>
      <c r="AK957" s="94" t="s">
        <v>712</v>
      </c>
      <c r="AL957" s="94">
        <v>110</v>
      </c>
      <c r="AM957" s="94" t="str">
        <f>TRIM(AJ957)&amp;TRIM(AL957)&amp;TRIM(AK957)</f>
      </c>
      <c r="AN957" s="116">
        <v>546</v>
      </c>
      <c r="AO957" s="116">
        <v>-10</v>
      </c>
      <c r="AP957" s="116">
        <f>SUMIFS(M:M,AM:AM,AM957)+SUMIFS(O:O,AM:AM,AM957)</f>
      </c>
      <c r="AQ957" s="116">
        <f>SUMIFS(L:L,AM:AM,AM957)</f>
      </c>
      <c r="AR957" s="116">
        <f>AQ957-AP957</f>
      </c>
      <c r="AS957" s="94" t="str">
        <f>IF(AN957&gt;=AQ957,"ok","ck")</f>
      </c>
      <c r="AT957" s="116">
        <f>-P957</f>
      </c>
      <c r="AU957" s="115">
        <f>IF(SUMIFS(AT:AT,AM:AM,AM957)&gt;AO957,(SUMIFS(AT:AT,AM:AM,AM957)-AO957))</f>
      </c>
      <c r="AV957" s="116">
        <v>546</v>
      </c>
      <c r="AW957" s="121">
        <v>1.019</v>
      </c>
      <c r="AX957" s="115">
        <f>AN957-AP957</f>
      </c>
    </row>
    <row r="958" spans="1:50" ht="15" hidden="1" customHeight="1" x14ac:dyDescent="0.3">
      <c r="A958" s="94" t="s">
        <v>268</v>
      </c>
      <c r="B958" s="94"/>
      <c r="C958" s="94"/>
      <c r="D958" s="94"/>
      <c r="E958" s="94"/>
      <c r="F958" s="94"/>
      <c r="G958" s="112">
        <f>AU958</f>
      </c>
      <c r="H958" s="113"/>
      <c r="I958" s="94" t="s">
        <v>278</v>
      </c>
      <c r="J958" s="94" t="s">
        <v>550</v>
      </c>
      <c r="K958" s="114">
        <f>P958/3</f>
      </c>
      <c r="L958" s="115">
        <v>11.592000000000001</v>
      </c>
      <c r="M958" s="116"/>
      <c r="N958" s="117">
        <f>M958-L958</f>
      </c>
      <c r="O958" s="112"/>
      <c r="P958" s="118">
        <f>N958+O958</f>
      </c>
      <c r="Q958" s="94" t="s">
        <v>805</v>
      </c>
      <c r="R958" s="94" t="s">
        <v>63</v>
      </c>
      <c r="S958" s="119">
        <v>46345</v>
      </c>
      <c r="T958" s="119"/>
      <c r="U958" s="120">
        <v>46345</v>
      </c>
      <c r="V958" s="94"/>
      <c r="W958" s="94"/>
      <c r="X958" s="94"/>
      <c r="Y958" s="119">
        <v>46345</v>
      </c>
      <c r="Z958" s="94"/>
      <c r="AA958" s="120"/>
      <c r="AB958" s="120"/>
      <c r="AC958" s="120"/>
      <c r="AD958" s="120"/>
      <c r="AE958" s="120"/>
      <c r="AF958" s="120"/>
      <c r="AG958" s="94"/>
      <c r="AH958" s="120"/>
      <c r="AI958" s="94"/>
      <c r="AJ958" s="94" t="s">
        <v>805</v>
      </c>
      <c r="AK958" s="94" t="s">
        <v>725</v>
      </c>
      <c r="AL958" s="94">
        <v>120</v>
      </c>
      <c r="AM958" s="94" t="str">
        <f>TRIM(AJ958)&amp;TRIM(AL958)&amp;TRIM(AK958)</f>
      </c>
      <c r="AN958" s="116">
        <v>0</v>
      </c>
      <c r="AO958" s="116" t="inlineStr">
        <is>
          <t>#NA</t>
        </is>
      </c>
      <c r="AP958" s="116">
        <f>SUMIFS(M:M,AM:AM,AM958)+SUMIFS(O:O,AM:AM,AM958)</f>
      </c>
      <c r="AQ958" s="116">
        <f>SUMIFS(L:L,AM:AM,AM958)</f>
      </c>
      <c r="AR958" s="116">
        <f>AQ958-AP958</f>
      </c>
      <c r="AS958" s="94" t="str">
        <f>IF(AN958&gt;=AQ958,"ok","ck")</f>
      </c>
      <c r="AT958" s="116">
        <f>-P958</f>
      </c>
      <c r="AU958" s="115">
        <f>IF(SUMIFS(AT:AT,AM:AM,AM958)&gt;AO958,(SUMIFS(AT:AT,AM:AM,AM958)-AO958))</f>
      </c>
      <c r="AV958" s="116">
        <v>0</v>
      </c>
      <c r="AW958" s="121">
        <v>0</v>
      </c>
      <c r="AX958" s="115">
        <f>AN958-AP958</f>
      </c>
    </row>
    <row r="959" spans="1:50" ht="15" hidden="1" customHeight="1" x14ac:dyDescent="0.3">
      <c r="A959" s="94" t="s">
        <v>268</v>
      </c>
      <c r="B959" s="94"/>
      <c r="C959" s="94"/>
      <c r="D959" s="94"/>
      <c r="E959" s="94"/>
      <c r="F959" s="94"/>
      <c r="G959" s="112">
        <f>AU959</f>
      </c>
      <c r="H959" s="113"/>
      <c r="I959" s="94" t="s">
        <v>278</v>
      </c>
      <c r="J959" s="94" t="s">
        <v>381</v>
      </c>
      <c r="K959" s="114">
        <f>P959/3</f>
      </c>
      <c r="L959" s="115">
        <v>0.48599999999999999</v>
      </c>
      <c r="M959" s="116"/>
      <c r="N959" s="117">
        <f>M959-L959</f>
      </c>
      <c r="O959" s="112"/>
      <c r="P959" s="118">
        <f>N959+O959</f>
      </c>
      <c r="Q959" s="94" t="s">
        <v>773</v>
      </c>
      <c r="R959" s="94" t="s">
        <v>63</v>
      </c>
      <c r="S959" s="119">
        <v>46345</v>
      </c>
      <c r="T959" s="119"/>
      <c r="U959" s="120">
        <v>46345</v>
      </c>
      <c r="V959" s="94"/>
      <c r="W959" s="94"/>
      <c r="X959" s="94"/>
      <c r="Y959" s="119">
        <v>46345</v>
      </c>
      <c r="Z959" s="94"/>
      <c r="AA959" s="120"/>
      <c r="AB959" s="120"/>
      <c r="AC959" s="120"/>
      <c r="AD959" s="120"/>
      <c r="AE959" s="120"/>
      <c r="AF959" s="120"/>
      <c r="AG959" s="94"/>
      <c r="AH959" s="120"/>
      <c r="AI959" s="94"/>
      <c r="AJ959" s="94" t="s">
        <v>773</v>
      </c>
      <c r="AK959" s="94" t="s">
        <v>381</v>
      </c>
      <c r="AL959" s="94">
        <v>120</v>
      </c>
      <c r="AM959" s="94" t="str">
        <f>TRIM(AJ959)&amp;TRIM(AL959)&amp;TRIM(AK959)</f>
      </c>
      <c r="AN959" s="116">
        <v>0</v>
      </c>
      <c r="AO959" s="116" t="inlineStr">
        <is>
          <t>#NA</t>
        </is>
      </c>
      <c r="AP959" s="116">
        <f>SUMIFS(M:M,AM:AM,AM959)+SUMIFS(O:O,AM:AM,AM959)</f>
      </c>
      <c r="AQ959" s="116">
        <f>SUMIFS(L:L,AM:AM,AM959)</f>
      </c>
      <c r="AR959" s="116">
        <f>AQ959-AP959</f>
      </c>
      <c r="AS959" s="94" t="str">
        <f>IF(AN959&gt;=AQ959,"ok","ck")</f>
      </c>
      <c r="AT959" s="116">
        <f>-P959</f>
      </c>
      <c r="AU959" s="115">
        <f>IF(SUMIFS(AT:AT,AM:AM,AM959)&gt;AO959,(SUMIFS(AT:AT,AM:AM,AM959)-AO959))</f>
      </c>
      <c r="AV959" s="116">
        <v>0</v>
      </c>
      <c r="AW959" s="121">
        <v>0</v>
      </c>
      <c r="AX959" s="115">
        <f>AN959-AP959</f>
      </c>
    </row>
    <row r="960" spans="1:50" ht="15" hidden="1" customHeight="1" x14ac:dyDescent="0.3">
      <c r="A960" s="94" t="s">
        <v>268</v>
      </c>
      <c r="B960" s="94"/>
      <c r="C960" s="94"/>
      <c r="D960" s="94"/>
      <c r="E960" s="94"/>
      <c r="F960" s="94"/>
      <c r="G960" s="112">
        <f>AU960</f>
      </c>
      <c r="H960" s="113"/>
      <c r="I960" s="94" t="s">
        <v>269</v>
      </c>
      <c r="J960" s="94" t="s">
        <v>353</v>
      </c>
      <c r="K960" s="114">
        <f>P960/3</f>
      </c>
      <c r="L960" s="115">
        <v>802.548</v>
      </c>
      <c r="M960" s="116"/>
      <c r="N960" s="117">
        <f>M960-L960</f>
      </c>
      <c r="O960" s="112"/>
      <c r="P960" s="118">
        <f>N960+O960</f>
      </c>
      <c r="Q960" s="94" t="s">
        <v>773</v>
      </c>
      <c r="R960" s="94" t="s">
        <v>63</v>
      </c>
      <c r="S960" s="119">
        <v>46348</v>
      </c>
      <c r="T960" s="119"/>
      <c r="U960" s="120" t="s">
        <v>630</v>
      </c>
      <c r="V960" s="94"/>
      <c r="W960" s="94"/>
      <c r="X960" s="94"/>
      <c r="Y960" s="119">
        <v>46337</v>
      </c>
      <c r="Z960" s="94"/>
      <c r="AA960" s="120"/>
      <c r="AB960" s="120"/>
      <c r="AC960" s="120"/>
      <c r="AD960" s="120"/>
      <c r="AE960" s="120"/>
      <c r="AF960" s="120"/>
      <c r="AG960" s="94"/>
      <c r="AH960" s="120"/>
      <c r="AI960" s="94"/>
      <c r="AJ960" s="94" t="s">
        <v>773</v>
      </c>
      <c r="AK960" s="94" t="s">
        <v>381</v>
      </c>
      <c r="AL960" s="94">
        <v>140</v>
      </c>
      <c r="AM960" s="94" t="str">
        <f>TRIM(AJ960)&amp;TRIM(AL960)&amp;TRIM(AK960)</f>
      </c>
      <c r="AN960" s="116">
        <v>0</v>
      </c>
      <c r="AO960" s="116" t="inlineStr">
        <is>
          <t>#NA</t>
        </is>
      </c>
      <c r="AP960" s="116">
        <f>SUMIFS(M:M,AM:AM,AM960)+SUMIFS(O:O,AM:AM,AM960)</f>
      </c>
      <c r="AQ960" s="116">
        <f>SUMIFS(L:L,AM:AM,AM960)</f>
      </c>
      <c r="AR960" s="116">
        <f>AQ960-AP960</f>
      </c>
      <c r="AS960" s="94" t="str">
        <f>IF(AN960&gt;=AQ960,"ok","ck")</f>
      </c>
      <c r="AT960" s="116">
        <f>-P960</f>
      </c>
      <c r="AU960" s="115">
        <f>IF(SUMIFS(AT:AT,AM:AM,AM960)&gt;AO960,(SUMIFS(AT:AT,AM:AM,AM960)-AO960))</f>
      </c>
      <c r="AV960" s="116">
        <v>0</v>
      </c>
      <c r="AW960" s="121">
        <v>0</v>
      </c>
      <c r="AX960" s="115">
        <f>AN960-AP960</f>
      </c>
    </row>
    <row r="961" spans="1:50" ht="15" hidden="1" customHeight="1" x14ac:dyDescent="0.3">
      <c r="A961" s="94" t="s">
        <v>268</v>
      </c>
      <c r="B961" s="94"/>
      <c r="C961" s="94"/>
      <c r="D961" s="94"/>
      <c r="E961" s="94"/>
      <c r="F961" s="94"/>
      <c r="G961" s="112">
        <f>AU961</f>
      </c>
      <c r="H961" s="113"/>
      <c r="I961" s="94" t="s">
        <v>278</v>
      </c>
      <c r="J961" s="94" t="s">
        <v>503</v>
      </c>
      <c r="K961" s="114">
        <f>P961/3</f>
      </c>
      <c r="L961" s="115">
        <v>11.592000000000001</v>
      </c>
      <c r="M961" s="116"/>
      <c r="N961" s="117">
        <f>M961-L961</f>
      </c>
      <c r="O961" s="112"/>
      <c r="P961" s="118">
        <f>N961+O961</f>
      </c>
      <c r="Q961" s="94" t="s">
        <v>805</v>
      </c>
      <c r="R961" s="94" t="s">
        <v>63</v>
      </c>
      <c r="S961" s="119">
        <v>46345</v>
      </c>
      <c r="T961" s="119"/>
      <c r="U961" s="120">
        <v>46345</v>
      </c>
      <c r="V961" s="94"/>
      <c r="W961" s="94"/>
      <c r="X961" s="94"/>
      <c r="Y961" s="119">
        <v>46345</v>
      </c>
      <c r="Z961" s="94"/>
      <c r="AA961" s="120"/>
      <c r="AB961" s="120"/>
      <c r="AC961" s="120"/>
      <c r="AD961" s="120"/>
      <c r="AE961" s="120"/>
      <c r="AF961" s="120"/>
      <c r="AG961" s="94"/>
      <c r="AH961" s="120"/>
      <c r="AI961" s="94"/>
      <c r="AJ961" s="94" t="s">
        <v>805</v>
      </c>
      <c r="AK961" s="94" t="s">
        <v>697</v>
      </c>
      <c r="AL961" s="94">
        <v>120</v>
      </c>
      <c r="AM961" s="94" t="str">
        <f>TRIM(AJ961)&amp;TRIM(AL961)&amp;TRIM(AK961)</f>
      </c>
      <c r="AN961" s="116">
        <v>0</v>
      </c>
      <c r="AO961" s="116" t="inlineStr">
        <is>
          <t>#NA</t>
        </is>
      </c>
      <c r="AP961" s="116">
        <f>SUMIFS(M:M,AM:AM,AM961)+SUMIFS(O:O,AM:AM,AM961)</f>
      </c>
      <c r="AQ961" s="116">
        <f>SUMIFS(L:L,AM:AM,AM961)</f>
      </c>
      <c r="AR961" s="116">
        <f>AQ961-AP961</f>
      </c>
      <c r="AS961" s="94" t="str">
        <f>IF(AN961&gt;=AQ961,"ok","ck")</f>
      </c>
      <c r="AT961" s="116">
        <f>-P961</f>
      </c>
      <c r="AU961" s="115">
        <f>IF(SUMIFS(AT:AT,AM:AM,AM961)&gt;AO961,(SUMIFS(AT:AT,AM:AM,AM961)-AO961))</f>
      </c>
      <c r="AV961" s="116">
        <v>0</v>
      </c>
      <c r="AW961" s="121">
        <v>0</v>
      </c>
      <c r="AX961" s="115">
        <f>AN961-AP961</f>
      </c>
    </row>
    <row r="962" spans="1:50" ht="15" hidden="1" customHeight="1" x14ac:dyDescent="0.3">
      <c r="A962" s="94" t="s">
        <v>268</v>
      </c>
      <c r="B962" s="94"/>
      <c r="C962" s="94"/>
      <c r="D962" s="94"/>
      <c r="E962" s="94"/>
      <c r="F962" s="94"/>
      <c r="G962" s="112">
        <f>AU962</f>
      </c>
      <c r="H962" s="113"/>
      <c r="I962" s="94" t="s">
        <v>278</v>
      </c>
      <c r="J962" s="94" t="s">
        <v>509</v>
      </c>
      <c r="K962" s="114">
        <f>P962/3</f>
      </c>
      <c r="L962" s="115">
        <v>11.592000000000001</v>
      </c>
      <c r="M962" s="116"/>
      <c r="N962" s="117">
        <f>M962-L962</f>
      </c>
      <c r="O962" s="112"/>
      <c r="P962" s="118">
        <f>N962+O962</f>
      </c>
      <c r="Q962" s="94" t="s">
        <v>805</v>
      </c>
      <c r="R962" s="94" t="s">
        <v>63</v>
      </c>
      <c r="S962" s="119">
        <v>46345</v>
      </c>
      <c r="T962" s="119"/>
      <c r="U962" s="120">
        <v>46345</v>
      </c>
      <c r="V962" s="94"/>
      <c r="W962" s="94"/>
      <c r="X962" s="94"/>
      <c r="Y962" s="119">
        <v>46345</v>
      </c>
      <c r="Z962" s="94"/>
      <c r="AA962" s="120"/>
      <c r="AB962" s="120"/>
      <c r="AC962" s="120"/>
      <c r="AD962" s="120"/>
      <c r="AE962" s="120"/>
      <c r="AF962" s="120"/>
      <c r="AG962" s="94"/>
      <c r="AH962" s="120"/>
      <c r="AI962" s="94"/>
      <c r="AJ962" s="94" t="s">
        <v>805</v>
      </c>
      <c r="AK962" s="94" t="s">
        <v>703</v>
      </c>
      <c r="AL962" s="94">
        <v>120</v>
      </c>
      <c r="AM962" s="94" t="str">
        <f>TRIM(AJ962)&amp;TRIM(AL962)&amp;TRIM(AK962)</f>
      </c>
      <c r="AN962" s="116">
        <v>0</v>
      </c>
      <c r="AO962" s="116" t="inlineStr">
        <is>
          <t>#NA</t>
        </is>
      </c>
      <c r="AP962" s="116">
        <f>SUMIFS(M:M,AM:AM,AM962)+SUMIFS(O:O,AM:AM,AM962)</f>
      </c>
      <c r="AQ962" s="116">
        <f>SUMIFS(L:L,AM:AM,AM962)</f>
      </c>
      <c r="AR962" s="116">
        <f>AQ962-AP962</f>
      </c>
      <c r="AS962" s="94" t="str">
        <f>IF(AN962&gt;=AQ962,"ok","ck")</f>
      </c>
      <c r="AT962" s="116">
        <f>-P962</f>
      </c>
      <c r="AU962" s="115">
        <f>IF(SUMIFS(AT:AT,AM:AM,AM962)&gt;AO962,(SUMIFS(AT:AT,AM:AM,AM962)-AO962))</f>
      </c>
      <c r="AV962" s="116">
        <v>0</v>
      </c>
      <c r="AW962" s="121">
        <v>0</v>
      </c>
      <c r="AX962" s="115">
        <f>AN962-AP962</f>
      </c>
    </row>
    <row r="963" spans="1:50" ht="15" hidden="1" customHeight="1" x14ac:dyDescent="0.3">
      <c r="A963" s="94" t="s">
        <v>268</v>
      </c>
      <c r="B963" s="94"/>
      <c r="C963" s="94"/>
      <c r="D963" s="94"/>
      <c r="E963" s="94"/>
      <c r="F963" s="94"/>
      <c r="G963" s="112">
        <f>AU963</f>
      </c>
      <c r="H963" s="113"/>
      <c r="I963" s="94" t="s">
        <v>390</v>
      </c>
      <c r="J963" s="94" t="s">
        <v>273</v>
      </c>
      <c r="K963" s="114">
        <f>P963/3</f>
      </c>
      <c r="L963" s="115">
        <v>-4.2590000000000003</v>
      </c>
      <c r="M963" s="116">
        <f>L963</f>
      </c>
      <c r="N963" s="117">
        <f>M963-L963</f>
      </c>
      <c r="O963" s="112"/>
      <c r="P963" s="118">
        <f>N963+O963</f>
      </c>
      <c r="Q963" s="94" t="s">
        <v>271</v>
      </c>
      <c r="R963" s="94" t="s">
        <v>63</v>
      </c>
      <c r="S963" s="119">
        <v>46320</v>
      </c>
      <c r="T963" s="119"/>
      <c r="U963" s="120">
        <v>46320</v>
      </c>
      <c r="V963" s="94"/>
      <c r="W963" s="94"/>
      <c r="X963" s="94"/>
      <c r="Y963" s="119">
        <v>46320</v>
      </c>
      <c r="Z963" s="94"/>
      <c r="AA963" s="120"/>
      <c r="AB963" s="120"/>
      <c r="AC963" s="120"/>
      <c r="AD963" s="120"/>
      <c r="AE963" s="120"/>
      <c r="AF963" s="120"/>
      <c r="AG963" s="94"/>
      <c r="AH963" s="120"/>
      <c r="AI963" s="94"/>
      <c r="AJ963" s="94" t="s">
        <v>271</v>
      </c>
      <c r="AK963" s="94" t="s">
        <v>274</v>
      </c>
      <c r="AL963" s="94">
        <v>140</v>
      </c>
      <c r="AM963" s="94" t="str">
        <f>TRIM(AJ963)&amp;TRIM(AL963)&amp;TRIM(AK963)</f>
      </c>
      <c r="AN963" s="116">
        <v>2835.58</v>
      </c>
      <c r="AO963" s="116">
        <v>-57.58</v>
      </c>
      <c r="AP963" s="116">
        <f>SUMIFS(M:M,AM:AM,AM963)+SUMIFS(O:O,AM:AM,AM963)</f>
      </c>
      <c r="AQ963" s="116">
        <f>SUMIFS(L:L,AM:AM,AM963)</f>
      </c>
      <c r="AR963" s="116">
        <f>AQ963-AP963</f>
      </c>
      <c r="AS963" s="94" t="str">
        <f>IF(AN963&gt;=AQ963,"ok","ck")</f>
      </c>
      <c r="AT963" s="116">
        <f>-P963</f>
      </c>
      <c r="AU963" s="115">
        <f>IF(SUMIFS(AT:AT,AM:AM,AM963)&gt;AO963,(SUMIFS(AT:AT,AM:AM,AM963)-AO963))</f>
      </c>
      <c r="AV963" s="116">
        <v>2835.58</v>
      </c>
      <c r="AW963" s="121">
        <v>1.021</v>
      </c>
      <c r="AX963" s="115">
        <f>AN963-AP963</f>
      </c>
    </row>
    <row r="964" spans="1:50" ht="15" hidden="1" customHeight="1" x14ac:dyDescent="0.3">
      <c r="A964" s="94" t="s">
        <v>268</v>
      </c>
      <c r="B964" s="94"/>
      <c r="C964" s="94"/>
      <c r="D964" s="94"/>
      <c r="E964" s="94"/>
      <c r="F964" s="94"/>
      <c r="G964" s="112">
        <f>AU964</f>
      </c>
      <c r="H964" s="113"/>
      <c r="I964" s="94" t="s">
        <v>390</v>
      </c>
      <c r="J964" s="94" t="s">
        <v>273</v>
      </c>
      <c r="K964" s="114">
        <f>P964/3</f>
      </c>
      <c r="L964" s="115">
        <v>-4.2590000000000003</v>
      </c>
      <c r="M964" s="116">
        <f>L964</f>
      </c>
      <c r="N964" s="117">
        <f>M964-L964</f>
      </c>
      <c r="O964" s="112"/>
      <c r="P964" s="118">
        <f>N964+O964</f>
      </c>
      <c r="Q964" s="94" t="s">
        <v>271</v>
      </c>
      <c r="R964" s="94" t="s">
        <v>63</v>
      </c>
      <c r="S964" s="119">
        <v>46320</v>
      </c>
      <c r="T964" s="119"/>
      <c r="U964" s="120">
        <v>46320</v>
      </c>
      <c r="V964" s="94"/>
      <c r="W964" s="94"/>
      <c r="X964" s="94"/>
      <c r="Y964" s="119">
        <v>46320</v>
      </c>
      <c r="Z964" s="94"/>
      <c r="AA964" s="120"/>
      <c r="AB964" s="120"/>
      <c r="AC964" s="120"/>
      <c r="AD964" s="120"/>
      <c r="AE964" s="120"/>
      <c r="AF964" s="120"/>
      <c r="AG964" s="94"/>
      <c r="AH964" s="120"/>
      <c r="AI964" s="94"/>
      <c r="AJ964" s="94" t="s">
        <v>271</v>
      </c>
      <c r="AK964" s="94" t="s">
        <v>274</v>
      </c>
      <c r="AL964" s="94">
        <v>140</v>
      </c>
      <c r="AM964" s="94" t="str">
        <f>TRIM(AJ964)&amp;TRIM(AL964)&amp;TRIM(AK964)</f>
      </c>
      <c r="AN964" s="116">
        <v>2835.58</v>
      </c>
      <c r="AO964" s="116">
        <v>-57.58</v>
      </c>
      <c r="AP964" s="116">
        <f>SUMIFS(M:M,AM:AM,AM964)+SUMIFS(O:O,AM:AM,AM964)</f>
      </c>
      <c r="AQ964" s="116">
        <f>SUMIFS(L:L,AM:AM,AM964)</f>
      </c>
      <c r="AR964" s="116">
        <f>AQ964-AP964</f>
      </c>
      <c r="AS964" s="94" t="str">
        <f>IF(AN964&gt;=AQ964,"ok","ck")</f>
      </c>
      <c r="AT964" s="116">
        <f>-P964</f>
      </c>
      <c r="AU964" s="115">
        <f>IF(SUMIFS(AT:AT,AM:AM,AM964)&gt;AO964,(SUMIFS(AT:AT,AM:AM,AM964)-AO964))</f>
      </c>
      <c r="AV964" s="116">
        <v>2835.58</v>
      </c>
      <c r="AW964" s="121">
        <v>1.021</v>
      </c>
      <c r="AX964" s="115">
        <f>AN964-AP964</f>
      </c>
    </row>
    <row r="965" spans="1:50" ht="15" hidden="1" customHeight="1" x14ac:dyDescent="0.3">
      <c r="A965" s="94" t="s">
        <v>268</v>
      </c>
      <c r="B965" s="94"/>
      <c r="C965" s="94"/>
      <c r="D965" s="94"/>
      <c r="E965" s="94"/>
      <c r="F965" s="94"/>
      <c r="G965" s="112">
        <f>AU965</f>
      </c>
      <c r="H965" s="113"/>
      <c r="I965" s="94" t="s">
        <v>390</v>
      </c>
      <c r="J965" s="94" t="s">
        <v>273</v>
      </c>
      <c r="K965" s="114">
        <f>P965/3</f>
      </c>
      <c r="L965" s="115">
        <v>-4.2549999999999999</v>
      </c>
      <c r="M965" s="116">
        <f>L965</f>
      </c>
      <c r="N965" s="117">
        <f>M965-L965</f>
      </c>
      <c r="O965" s="112"/>
      <c r="P965" s="118">
        <f>N965+O965</f>
      </c>
      <c r="Q965" s="94" t="s">
        <v>271</v>
      </c>
      <c r="R965" s="94" t="s">
        <v>63</v>
      </c>
      <c r="S965" s="119">
        <v>46320</v>
      </c>
      <c r="T965" s="119"/>
      <c r="U965" s="120">
        <v>46320</v>
      </c>
      <c r="V965" s="94"/>
      <c r="W965" s="94"/>
      <c r="X965" s="94"/>
      <c r="Y965" s="119">
        <v>46320</v>
      </c>
      <c r="Z965" s="94"/>
      <c r="AA965" s="120"/>
      <c r="AB965" s="120"/>
      <c r="AC965" s="120"/>
      <c r="AD965" s="120"/>
      <c r="AE965" s="120"/>
      <c r="AF965" s="120"/>
      <c r="AG965" s="94"/>
      <c r="AH965" s="120"/>
      <c r="AI965" s="94"/>
      <c r="AJ965" s="94" t="s">
        <v>271</v>
      </c>
      <c r="AK965" s="94" t="s">
        <v>274</v>
      </c>
      <c r="AL965" s="94">
        <v>140</v>
      </c>
      <c r="AM965" s="94" t="str">
        <f>TRIM(AJ965)&amp;TRIM(AL965)&amp;TRIM(AK965)</f>
      </c>
      <c r="AN965" s="116">
        <v>2835.58</v>
      </c>
      <c r="AO965" s="116">
        <v>-57.58</v>
      </c>
      <c r="AP965" s="116">
        <f>SUMIFS(M:M,AM:AM,AM965)+SUMIFS(O:O,AM:AM,AM965)</f>
      </c>
      <c r="AQ965" s="116">
        <f>SUMIFS(L:L,AM:AM,AM965)</f>
      </c>
      <c r="AR965" s="116">
        <f>AQ965-AP965</f>
      </c>
      <c r="AS965" s="94" t="str">
        <f>IF(AN965&gt;=AQ965,"ok","ck")</f>
      </c>
      <c r="AT965" s="116">
        <f>-P965</f>
      </c>
      <c r="AU965" s="115">
        <f>IF(SUMIFS(AT:AT,AM:AM,AM965)&gt;AO965,(SUMIFS(AT:AT,AM:AM,AM965)-AO965))</f>
      </c>
      <c r="AV965" s="116">
        <v>2835.58</v>
      </c>
      <c r="AW965" s="121">
        <v>1.021</v>
      </c>
      <c r="AX965" s="115">
        <f>AN965-AP965</f>
      </c>
    </row>
    <row r="966" spans="1:50" ht="15" hidden="1" customHeight="1" x14ac:dyDescent="0.3">
      <c r="A966" s="94" t="s">
        <v>268</v>
      </c>
      <c r="B966" s="94"/>
      <c r="C966" s="94"/>
      <c r="D966" s="94"/>
      <c r="E966" s="94"/>
      <c r="F966" s="94"/>
      <c r="G966" s="112">
        <f>AU966</f>
      </c>
      <c r="H966" s="113"/>
      <c r="I966" s="94" t="s">
        <v>278</v>
      </c>
      <c r="J966" s="94" t="s">
        <v>510</v>
      </c>
      <c r="K966" s="114">
        <f>P966/3</f>
      </c>
      <c r="L966" s="115">
        <v>-0.10199999999999999</v>
      </c>
      <c r="M966" s="116">
        <f>L966</f>
      </c>
      <c r="N966" s="117">
        <f>M966-L966</f>
      </c>
      <c r="O966" s="112"/>
      <c r="P966" s="118">
        <f>N966+O966</f>
      </c>
      <c r="Q966" s="94" t="s">
        <v>316</v>
      </c>
      <c r="R966" s="94" t="s">
        <v>63</v>
      </c>
      <c r="S966" s="119">
        <v>46334</v>
      </c>
      <c r="T966" s="119"/>
      <c r="U966" s="120">
        <v>46334</v>
      </c>
      <c r="V966" s="94"/>
      <c r="W966" s="94"/>
      <c r="X966" s="94"/>
      <c r="Y966" s="119">
        <v>46334</v>
      </c>
      <c r="Z966" s="94"/>
      <c r="AA966" s="120"/>
      <c r="AB966" s="120"/>
      <c r="AC966" s="120"/>
      <c r="AD966" s="120"/>
      <c r="AE966" s="120"/>
      <c r="AF966" s="120"/>
      <c r="AG966" s="94"/>
      <c r="AH966" s="120"/>
      <c r="AI966" s="94"/>
      <c r="AJ966" s="94" t="s">
        <v>316</v>
      </c>
      <c r="AK966" s="94" t="s">
        <v>705</v>
      </c>
      <c r="AL966" s="94">
        <v>120</v>
      </c>
      <c r="AM966" s="94" t="str">
        <f>TRIM(AJ966)&amp;TRIM(AL966)&amp;TRIM(AK966)</f>
      </c>
      <c r="AN966" s="116">
        <v>90</v>
      </c>
      <c r="AO966" s="116">
        <v>-2</v>
      </c>
      <c r="AP966" s="116">
        <f>SUMIFS(M:M,AM:AM,AM966)+SUMIFS(O:O,AM:AM,AM966)</f>
      </c>
      <c r="AQ966" s="116">
        <f>SUMIFS(L:L,AM:AM,AM966)</f>
      </c>
      <c r="AR966" s="116">
        <f>AQ966-AP966</f>
      </c>
      <c r="AS966" s="94" t="str">
        <f>IF(AN966&gt;=AQ966,"ok","ck")</f>
      </c>
      <c r="AT966" s="116">
        <f>-P966</f>
      </c>
      <c r="AU966" s="115">
        <f>IF(SUMIFS(AT:AT,AM:AM,AM966)&gt;AO966,(SUMIFS(AT:AT,AM:AM,AM966)-AO966))</f>
      </c>
      <c r="AV966" s="116">
        <v>90</v>
      </c>
      <c r="AW966" s="121">
        <v>1.023</v>
      </c>
      <c r="AX966" s="115">
        <f>AN966-AP966</f>
      </c>
    </row>
    <row r="967" spans="1:50" ht="15" customHeight="1" x14ac:dyDescent="0.3">
      <c r="A967" s="94" t="s">
        <v>862</v>
      </c>
      <c r="B967" s="94"/>
      <c r="C967" s="94"/>
      <c r="D967" s="94"/>
      <c r="E967" s="94"/>
      <c r="F967" s="94"/>
      <c r="G967" s="112">
        <f>AU967</f>
      </c>
      <c r="H967" s="113"/>
      <c r="I967" s="94" t="s">
        <v>390</v>
      </c>
      <c r="J967" s="94" t="s">
        <v>281</v>
      </c>
      <c r="K967" s="114">
        <f>P967/3</f>
      </c>
      <c r="L967" s="115">
        <v>1843.529</v>
      </c>
      <c r="M967" s="116"/>
      <c r="N967" s="117">
        <f>M967-L967</f>
      </c>
      <c r="O967" s="112"/>
      <c r="P967" s="118">
        <f>N967+O967</f>
      </c>
      <c r="Q967" s="94"/>
      <c r="R967" s="94" t="s">
        <v>63</v>
      </c>
      <c r="S967" s="119">
        <v>46340</v>
      </c>
      <c r="T967" s="119"/>
      <c r="U967" s="120" t="s">
        <v>632</v>
      </c>
      <c r="V967" s="94"/>
      <c r="W967" s="94"/>
      <c r="X967" s="94"/>
      <c r="Y967" s="119">
        <v>46326</v>
      </c>
      <c r="Z967" s="94"/>
      <c r="AA967" s="120"/>
      <c r="AB967" s="120"/>
      <c r="AC967" s="120"/>
      <c r="AD967" s="120"/>
      <c r="AE967" s="120"/>
      <c r="AF967" s="120"/>
      <c r="AG967" s="94"/>
      <c r="AH967" s="120"/>
      <c r="AI967" s="94"/>
      <c r="AJ967" s="94"/>
      <c r="AK967" s="94"/>
      <c r="AL967" s="94">
        <v>140</v>
      </c>
      <c r="AM967" s="94" t="str">
        <f>TRIM(AJ967)&amp;TRIM(AL967)&amp;TRIM(AK967)</f>
      </c>
      <c r="AN967" s="116">
        <v>0</v>
      </c>
      <c r="AO967" s="116" t="inlineStr">
        <is>
          <t>#NA</t>
        </is>
      </c>
      <c r="AP967" s="116">
        <f>SUMIFS(M:M,AM:AM,AM967)+SUMIFS(O:O,AM:AM,AM967)</f>
      </c>
      <c r="AQ967" s="116">
        <f>SUMIFS(L:L,AM:AM,AM967)</f>
      </c>
      <c r="AR967" s="116">
        <f>AQ967-AP967</f>
      </c>
      <c r="AS967" s="94" t="str">
        <f>IF(AN967&gt;=AQ967,"ok","ck")</f>
      </c>
      <c r="AT967" s="116">
        <f>-P967</f>
      </c>
      <c r="AU967" s="115">
        <f>IF(SUMIFS(AT:AT,AM:AM,AM967)&gt;AO967,(SUMIFS(AT:AT,AM:AM,AM967)-AO967))</f>
      </c>
      <c r="AV967" s="116" t="e">
        <v>#N/A</v>
      </c>
      <c r="AW967" s="121" t="e">
        <v>#N/A</v>
      </c>
      <c r="AX967" s="115">
        <f>AN967-AP967</f>
      </c>
    </row>
    <row r="968" spans="1:50" ht="15" customHeight="1" x14ac:dyDescent="0.3">
      <c r="A968" s="94" t="s">
        <v>862</v>
      </c>
      <c r="B968" s="94"/>
      <c r="C968" s="94"/>
      <c r="D968" s="94"/>
      <c r="E968" s="94"/>
      <c r="F968" s="94"/>
      <c r="G968" s="112">
        <f>AU968</f>
      </c>
      <c r="H968" s="113"/>
      <c r="I968" s="94" t="s">
        <v>278</v>
      </c>
      <c r="J968" s="94" t="s">
        <v>267</v>
      </c>
      <c r="K968" s="114">
        <f>P968/3</f>
      </c>
      <c r="L968" s="115">
        <v>200.126</v>
      </c>
      <c r="M968" s="116"/>
      <c r="N968" s="117">
        <f>M968-L968</f>
      </c>
      <c r="O968" s="112"/>
      <c r="P968" s="118">
        <f>N968+O968</f>
      </c>
      <c r="Q968" s="94"/>
      <c r="R968" s="94" t="s">
        <v>63</v>
      </c>
      <c r="S968" s="119">
        <v>46339</v>
      </c>
      <c r="T968" s="119"/>
      <c r="U968" s="120" t="s">
        <v>631</v>
      </c>
      <c r="V968" s="94"/>
      <c r="W968" s="94"/>
      <c r="X968" s="94"/>
      <c r="Y968" s="119">
        <v>46320</v>
      </c>
      <c r="Z968" s="94"/>
      <c r="AA968" s="120"/>
      <c r="AB968" s="120"/>
      <c r="AC968" s="120"/>
      <c r="AD968" s="120"/>
      <c r="AE968" s="120"/>
      <c r="AF968" s="120"/>
      <c r="AG968" s="94"/>
      <c r="AH968" s="120"/>
      <c r="AI968" s="94"/>
      <c r="AJ968" s="94"/>
      <c r="AK968" s="94"/>
      <c r="AL968" s="94">
        <v>120</v>
      </c>
      <c r="AM968" s="94" t="str">
        <f>TRIM(AJ968)&amp;TRIM(AL968)&amp;TRIM(AK968)</f>
      </c>
      <c r="AN968" s="116">
        <v>0</v>
      </c>
      <c r="AO968" s="116" t="inlineStr">
        <is>
          <t>#NA</t>
        </is>
      </c>
      <c r="AP968" s="116">
        <f>SUMIFS(M:M,AM:AM,AM968)+SUMIFS(O:O,AM:AM,AM968)</f>
      </c>
      <c r="AQ968" s="116">
        <f>SUMIFS(L:L,AM:AM,AM968)</f>
      </c>
      <c r="AR968" s="116">
        <f>AQ968-AP968</f>
      </c>
      <c r="AS968" s="94" t="str">
        <f>IF(AN968&gt;=AQ968,"ok","ck")</f>
      </c>
      <c r="AT968" s="116">
        <f>-P968</f>
      </c>
      <c r="AU968" s="115">
        <f>IF(SUMIFS(AT:AT,AM:AM,AM968)&gt;AO968,(SUMIFS(AT:AT,AM:AM,AM968)-AO968))</f>
      </c>
      <c r="AV968" s="116" t="e">
        <v>#N/A</v>
      </c>
      <c r="AW968" s="121" t="e">
        <v>#N/A</v>
      </c>
      <c r="AX968" s="115">
        <f>AN968-AP968</f>
      </c>
    </row>
    <row r="969" spans="1:50" ht="15" customHeight="1" x14ac:dyDescent="0.3">
      <c r="A969" s="94" t="s">
        <v>862</v>
      </c>
      <c r="B969" s="94"/>
      <c r="C969" s="94"/>
      <c r="D969" s="94"/>
      <c r="E969" s="94"/>
      <c r="F969" s="94"/>
      <c r="G969" s="112">
        <f>AU969</f>
      </c>
      <c r="H969" s="113"/>
      <c r="I969" s="94" t="s">
        <v>278</v>
      </c>
      <c r="J969" s="94" t="s">
        <v>267</v>
      </c>
      <c r="K969" s="114">
        <f>P969/3</f>
      </c>
      <c r="L969" s="115">
        <v>200.857</v>
      </c>
      <c r="M969" s="116"/>
      <c r="N969" s="117">
        <f>M969-L969</f>
      </c>
      <c r="O969" s="112"/>
      <c r="P969" s="118">
        <f>N969+O969</f>
      </c>
      <c r="Q969" s="94"/>
      <c r="R969" s="94" t="s">
        <v>63</v>
      </c>
      <c r="S969" s="119">
        <v>46337</v>
      </c>
      <c r="T969" s="119"/>
      <c r="U969" s="120" t="s">
        <v>631</v>
      </c>
      <c r="V969" s="94"/>
      <c r="W969" s="94"/>
      <c r="X969" s="94"/>
      <c r="Y969" s="119">
        <v>46326</v>
      </c>
      <c r="Z969" s="94"/>
      <c r="AA969" s="120"/>
      <c r="AB969" s="120"/>
      <c r="AC969" s="120"/>
      <c r="AD969" s="120"/>
      <c r="AE969" s="120"/>
      <c r="AF969" s="120"/>
      <c r="AG969" s="94"/>
      <c r="AH969" s="120"/>
      <c r="AI969" s="94"/>
      <c r="AJ969" s="94"/>
      <c r="AK969" s="94"/>
      <c r="AL969" s="94">
        <v>120</v>
      </c>
      <c r="AM969" s="94" t="str">
        <f>TRIM(AJ969)&amp;TRIM(AL969)&amp;TRIM(AK969)</f>
      </c>
      <c r="AN969" s="116">
        <v>0</v>
      </c>
      <c r="AO969" s="116" t="inlineStr">
        <is>
          <t>#NA</t>
        </is>
      </c>
      <c r="AP969" s="116">
        <f>SUMIFS(M:M,AM:AM,AM969)+SUMIFS(O:O,AM:AM,AM969)</f>
      </c>
      <c r="AQ969" s="116">
        <f>SUMIFS(L:L,AM:AM,AM969)</f>
      </c>
      <c r="AR969" s="116">
        <f>AQ969-AP969</f>
      </c>
      <c r="AS969" s="94" t="str">
        <f>IF(AN969&gt;=AQ969,"ok","ck")</f>
      </c>
      <c r="AT969" s="116">
        <f>-P969</f>
      </c>
      <c r="AU969" s="115">
        <f>IF(SUMIFS(AT:AT,AM:AM,AM969)&gt;AO969,(SUMIFS(AT:AT,AM:AM,AM969)-AO969))</f>
      </c>
      <c r="AV969" s="116" t="e">
        <v>#N/A</v>
      </c>
      <c r="AW969" s="121" t="e">
        <v>#N/A</v>
      </c>
      <c r="AX969" s="115">
        <f>AN969-AP969</f>
      </c>
    </row>
    <row r="970" spans="1:50" ht="15" hidden="1" customHeight="1" x14ac:dyDescent="0.3">
      <c r="A970" s="94" t="s">
        <v>268</v>
      </c>
      <c r="B970" s="94"/>
      <c r="C970" s="94"/>
      <c r="D970" s="94"/>
      <c r="E970" s="94"/>
      <c r="F970" s="94"/>
      <c r="G970" s="112">
        <f>AU970</f>
      </c>
      <c r="H970" s="113"/>
      <c r="I970" s="94" t="s">
        <v>278</v>
      </c>
      <c r="J970" s="94" t="s">
        <v>293</v>
      </c>
      <c r="K970" s="114">
        <f>P970/3</f>
      </c>
      <c r="L970" s="115">
        <v>39.36</v>
      </c>
      <c r="M970" s="116"/>
      <c r="N970" s="117">
        <f>M970-L970</f>
      </c>
      <c r="O970" s="112"/>
      <c r="P970" s="118">
        <f>N970+O970</f>
      </c>
      <c r="Q970" s="94" t="s">
        <v>778</v>
      </c>
      <c r="R970" s="94" t="s">
        <v>63</v>
      </c>
      <c r="S970" s="119">
        <v>46333</v>
      </c>
      <c r="T970" s="119"/>
      <c r="U970" s="120">
        <v>46333</v>
      </c>
      <c r="V970" s="94"/>
      <c r="W970" s="94"/>
      <c r="X970" s="94"/>
      <c r="Y970" s="119">
        <v>46342</v>
      </c>
      <c r="Z970" s="94"/>
      <c r="AA970" s="120"/>
      <c r="AB970" s="120"/>
      <c r="AC970" s="120"/>
      <c r="AD970" s="120"/>
      <c r="AE970" s="120"/>
      <c r="AF970" s="120"/>
      <c r="AG970" s="94"/>
      <c r="AH970" s="120"/>
      <c r="AI970" s="94"/>
      <c r="AJ970" s="94" t="s">
        <v>778</v>
      </c>
      <c r="AK970" s="94" t="s">
        <v>294</v>
      </c>
      <c r="AL970" s="94">
        <v>120</v>
      </c>
      <c r="AM970" s="94" t="str">
        <f>TRIM(AJ970)&amp;TRIM(AL970)&amp;TRIM(AK970)</f>
      </c>
      <c r="AN970" s="116">
        <v>0</v>
      </c>
      <c r="AO970" s="116" t="inlineStr">
        <is>
          <t>#NA</t>
        </is>
      </c>
      <c r="AP970" s="116">
        <f>SUMIFS(M:M,AM:AM,AM970)+SUMIFS(O:O,AM:AM,AM970)</f>
      </c>
      <c r="AQ970" s="116">
        <f>SUMIFS(L:L,AM:AM,AM970)</f>
      </c>
      <c r="AR970" s="116">
        <f>AQ970-AP970</f>
      </c>
      <c r="AS970" s="94" t="str">
        <f>IF(AN970&gt;=AQ970,"ok","ck")</f>
      </c>
      <c r="AT970" s="116">
        <f>-P970</f>
      </c>
      <c r="AU970" s="115">
        <f>IF(SUMIFS(AT:AT,AM:AM,AM970)&gt;AO970,(SUMIFS(AT:AT,AM:AM,AM970)-AO970))</f>
      </c>
      <c r="AV970" s="116">
        <v>0</v>
      </c>
      <c r="AW970" s="121">
        <v>0</v>
      </c>
      <c r="AX970" s="115">
        <f>AN970-AP970</f>
      </c>
    </row>
    <row r="971" spans="1:50" ht="15" hidden="1" customHeight="1" x14ac:dyDescent="0.3">
      <c r="A971" s="94" t="s">
        <v>268</v>
      </c>
      <c r="B971" s="94"/>
      <c r="C971" s="94"/>
      <c r="D971" s="94"/>
      <c r="E971" s="94"/>
      <c r="F971" s="94"/>
      <c r="G971" s="112">
        <f>AU971</f>
      </c>
      <c r="H971" s="113"/>
      <c r="I971" s="94" t="s">
        <v>278</v>
      </c>
      <c r="J971" s="94" t="s">
        <v>293</v>
      </c>
      <c r="K971" s="114">
        <f>P971/3</f>
      </c>
      <c r="L971" s="115">
        <v>27.331</v>
      </c>
      <c r="M971" s="116"/>
      <c r="N971" s="117">
        <f>M971-L971</f>
      </c>
      <c r="O971" s="112"/>
      <c r="P971" s="118">
        <f>N971+O971</f>
      </c>
      <c r="Q971" s="94" t="s">
        <v>778</v>
      </c>
      <c r="R971" s="94" t="s">
        <v>63</v>
      </c>
      <c r="S971" s="119">
        <v>46333</v>
      </c>
      <c r="T971" s="119"/>
      <c r="U971" s="120">
        <v>46333</v>
      </c>
      <c r="V971" s="94"/>
      <c r="W971" s="94"/>
      <c r="X971" s="94"/>
      <c r="Y971" s="119">
        <v>46343</v>
      </c>
      <c r="Z971" s="94"/>
      <c r="AA971" s="120"/>
      <c r="AB971" s="120"/>
      <c r="AC971" s="120"/>
      <c r="AD971" s="120"/>
      <c r="AE971" s="120"/>
      <c r="AF971" s="120"/>
      <c r="AG971" s="94"/>
      <c r="AH971" s="120"/>
      <c r="AI971" s="94"/>
      <c r="AJ971" s="94" t="s">
        <v>778</v>
      </c>
      <c r="AK971" s="94" t="s">
        <v>294</v>
      </c>
      <c r="AL971" s="94">
        <v>120</v>
      </c>
      <c r="AM971" s="94" t="str">
        <f>TRIM(AJ971)&amp;TRIM(AL971)&amp;TRIM(AK971)</f>
      </c>
      <c r="AN971" s="116">
        <v>0</v>
      </c>
      <c r="AO971" s="116" t="inlineStr">
        <is>
          <t>#NA</t>
        </is>
      </c>
      <c r="AP971" s="116">
        <f>SUMIFS(M:M,AM:AM,AM971)+SUMIFS(O:O,AM:AM,AM971)</f>
      </c>
      <c r="AQ971" s="116">
        <f>SUMIFS(L:L,AM:AM,AM971)</f>
      </c>
      <c r="AR971" s="116">
        <f>AQ971-AP971</f>
      </c>
      <c r="AS971" s="94" t="str">
        <f>IF(AN971&gt;=AQ971,"ok","ck")</f>
      </c>
      <c r="AT971" s="116">
        <f>-P971</f>
      </c>
      <c r="AU971" s="115">
        <f>IF(SUMIFS(AT:AT,AM:AM,AM971)&gt;AO971,(SUMIFS(AT:AT,AM:AM,AM971)-AO971))</f>
      </c>
      <c r="AV971" s="116">
        <v>0</v>
      </c>
      <c r="AW971" s="121">
        <v>0</v>
      </c>
      <c r="AX971" s="115">
        <f>AN971-AP971</f>
      </c>
    </row>
    <row r="972" spans="1:50" ht="15" hidden="1" customHeight="1" x14ac:dyDescent="0.3">
      <c r="A972" s="94" t="s">
        <v>268</v>
      </c>
      <c r="B972" s="94"/>
      <c r="C972" s="94"/>
      <c r="D972" s="94"/>
      <c r="E972" s="94"/>
      <c r="F972" s="94"/>
      <c r="G972" s="112">
        <f>AU972</f>
      </c>
      <c r="H972" s="113"/>
      <c r="I972" s="94" t="s">
        <v>278</v>
      </c>
      <c r="J972" s="94" t="s">
        <v>293</v>
      </c>
      <c r="K972" s="114">
        <f>P972/3</f>
      </c>
      <c r="L972" s="115">
        <v>33.6</v>
      </c>
      <c r="M972" s="116"/>
      <c r="N972" s="117">
        <f>M972-L972</f>
      </c>
      <c r="O972" s="112"/>
      <c r="P972" s="118">
        <f>N972+O972</f>
      </c>
      <c r="Q972" s="94" t="s">
        <v>778</v>
      </c>
      <c r="R972" s="94" t="s">
        <v>63</v>
      </c>
      <c r="S972" s="119">
        <v>46333</v>
      </c>
      <c r="T972" s="119"/>
      <c r="U972" s="120">
        <v>46333</v>
      </c>
      <c r="V972" s="94"/>
      <c r="W972" s="94"/>
      <c r="X972" s="94"/>
      <c r="Y972" s="119">
        <v>46337</v>
      </c>
      <c r="Z972" s="94"/>
      <c r="AA972" s="120"/>
      <c r="AB972" s="120"/>
      <c r="AC972" s="120"/>
      <c r="AD972" s="120"/>
      <c r="AE972" s="120"/>
      <c r="AF972" s="120"/>
      <c r="AG972" s="94"/>
      <c r="AH972" s="120"/>
      <c r="AI972" s="94"/>
      <c r="AJ972" s="94" t="s">
        <v>778</v>
      </c>
      <c r="AK972" s="94" t="s">
        <v>294</v>
      </c>
      <c r="AL972" s="94">
        <v>120</v>
      </c>
      <c r="AM972" s="94" t="str">
        <f>TRIM(AJ972)&amp;TRIM(AL972)&amp;TRIM(AK972)</f>
      </c>
      <c r="AN972" s="116">
        <v>0</v>
      </c>
      <c r="AO972" s="116" t="inlineStr">
        <is>
          <t>#NA</t>
        </is>
      </c>
      <c r="AP972" s="116">
        <f>SUMIFS(M:M,AM:AM,AM972)+SUMIFS(O:O,AM:AM,AM972)</f>
      </c>
      <c r="AQ972" s="116">
        <f>SUMIFS(L:L,AM:AM,AM972)</f>
      </c>
      <c r="AR972" s="116">
        <f>AQ972-AP972</f>
      </c>
      <c r="AS972" s="94" t="str">
        <f>IF(AN972&gt;=AQ972,"ok","ck")</f>
      </c>
      <c r="AT972" s="116">
        <f>-P972</f>
      </c>
      <c r="AU972" s="115">
        <f>IF(SUMIFS(AT:AT,AM:AM,AM972)&gt;AO972,(SUMIFS(AT:AT,AM:AM,AM972)-AO972))</f>
      </c>
      <c r="AV972" s="116">
        <v>0</v>
      </c>
      <c r="AW972" s="121">
        <v>0</v>
      </c>
      <c r="AX972" s="115">
        <f>AN972-AP972</f>
      </c>
    </row>
    <row r="973" spans="1:50" ht="15" hidden="1" customHeight="1" x14ac:dyDescent="0.3">
      <c r="A973" s="94" t="s">
        <v>268</v>
      </c>
      <c r="B973" s="94"/>
      <c r="C973" s="94"/>
      <c r="D973" s="94"/>
      <c r="E973" s="94"/>
      <c r="F973" s="94"/>
      <c r="G973" s="112">
        <f>AU973</f>
      </c>
      <c r="H973" s="113"/>
      <c r="I973" s="94" t="s">
        <v>278</v>
      </c>
      <c r="J973" s="94" t="s">
        <v>293</v>
      </c>
      <c r="K973" s="114">
        <f>P973/3</f>
      </c>
      <c r="L973" s="115">
        <v>4.0739999999999998</v>
      </c>
      <c r="M973" s="116"/>
      <c r="N973" s="117">
        <f>M973-L973</f>
      </c>
      <c r="O973" s="112"/>
      <c r="P973" s="118">
        <f>N973+O973</f>
      </c>
      <c r="Q973" s="94" t="s">
        <v>778</v>
      </c>
      <c r="R973" s="94" t="s">
        <v>63</v>
      </c>
      <c r="S973" s="119">
        <v>46333</v>
      </c>
      <c r="T973" s="119"/>
      <c r="U973" s="120">
        <v>46333</v>
      </c>
      <c r="V973" s="94"/>
      <c r="W973" s="94"/>
      <c r="X973" s="94"/>
      <c r="Y973" s="119">
        <v>46340</v>
      </c>
      <c r="Z973" s="94"/>
      <c r="AA973" s="120"/>
      <c r="AB973" s="120"/>
      <c r="AC973" s="120"/>
      <c r="AD973" s="120"/>
      <c r="AE973" s="120"/>
      <c r="AF973" s="120"/>
      <c r="AG973" s="94"/>
      <c r="AH973" s="120"/>
      <c r="AI973" s="94"/>
      <c r="AJ973" s="94" t="s">
        <v>778</v>
      </c>
      <c r="AK973" s="94" t="s">
        <v>294</v>
      </c>
      <c r="AL973" s="94">
        <v>120</v>
      </c>
      <c r="AM973" s="94" t="str">
        <f>TRIM(AJ973)&amp;TRIM(AL973)&amp;TRIM(AK973)</f>
      </c>
      <c r="AN973" s="116">
        <v>0</v>
      </c>
      <c r="AO973" s="116" t="inlineStr">
        <is>
          <t>#NA</t>
        </is>
      </c>
      <c r="AP973" s="116">
        <f>SUMIFS(M:M,AM:AM,AM973)+SUMIFS(O:O,AM:AM,AM973)</f>
      </c>
      <c r="AQ973" s="116">
        <f>SUMIFS(L:L,AM:AM,AM973)</f>
      </c>
      <c r="AR973" s="116">
        <f>AQ973-AP973</f>
      </c>
      <c r="AS973" s="94" t="str">
        <f>IF(AN973&gt;=AQ973,"ok","ck")</f>
      </c>
      <c r="AT973" s="116">
        <f>-P973</f>
      </c>
      <c r="AU973" s="115">
        <f>IF(SUMIFS(AT:AT,AM:AM,AM973)&gt;AO973,(SUMIFS(AT:AT,AM:AM,AM973)-AO973))</f>
      </c>
      <c r="AV973" s="116">
        <v>0</v>
      </c>
      <c r="AW973" s="121">
        <v>0</v>
      </c>
      <c r="AX973" s="115">
        <f>AN973-AP973</f>
      </c>
    </row>
    <row r="974" spans="1:50" ht="15" hidden="1" customHeight="1" x14ac:dyDescent="0.3">
      <c r="A974" s="94" t="s">
        <v>268</v>
      </c>
      <c r="B974" s="94"/>
      <c r="C974" s="94"/>
      <c r="D974" s="94"/>
      <c r="E974" s="94"/>
      <c r="F974" s="94"/>
      <c r="G974" s="112">
        <f>AU974</f>
      </c>
      <c r="H974" s="113"/>
      <c r="I974" s="94" t="s">
        <v>269</v>
      </c>
      <c r="J974" s="94" t="s">
        <v>503</v>
      </c>
      <c r="K974" s="114">
        <f>P974/3</f>
      </c>
      <c r="L974" s="115">
        <v>1342</v>
      </c>
      <c r="M974" s="116"/>
      <c r="N974" s="117">
        <f>M974-L974</f>
      </c>
      <c r="O974" s="112"/>
      <c r="P974" s="118">
        <f>N974+O974</f>
      </c>
      <c r="Q974" s="94" t="s">
        <v>816</v>
      </c>
      <c r="R974" s="94" t="s">
        <v>63</v>
      </c>
      <c r="S974" s="119">
        <v>46345</v>
      </c>
      <c r="T974" s="119"/>
      <c r="U974" s="120">
        <v>46345</v>
      </c>
      <c r="V974" s="94"/>
      <c r="W974" s="94"/>
      <c r="X974" s="94"/>
      <c r="Y974" s="119">
        <v>46322</v>
      </c>
      <c r="Z974" s="94"/>
      <c r="AA974" s="120"/>
      <c r="AB974" s="120"/>
      <c r="AC974" s="120"/>
      <c r="AD974" s="120"/>
      <c r="AE974" s="120"/>
      <c r="AF974" s="120"/>
      <c r="AG974" s="94"/>
      <c r="AH974" s="120"/>
      <c r="AI974" s="94"/>
      <c r="AJ974" s="94" t="s">
        <v>816</v>
      </c>
      <c r="AK974" s="94" t="s">
        <v>697</v>
      </c>
      <c r="AL974" s="94">
        <v>140</v>
      </c>
      <c r="AM974" s="94" t="str">
        <f>TRIM(AJ974)&amp;TRIM(AL974)&amp;TRIM(AK974)</f>
      </c>
      <c r="AN974" s="116">
        <v>0</v>
      </c>
      <c r="AO974" s="116" t="inlineStr">
        <is>
          <t>#NA</t>
        </is>
      </c>
      <c r="AP974" s="116">
        <f>SUMIFS(M:M,AM:AM,AM974)+SUMIFS(O:O,AM:AM,AM974)</f>
      </c>
      <c r="AQ974" s="116">
        <f>SUMIFS(L:L,AM:AM,AM974)</f>
      </c>
      <c r="AR974" s="116">
        <f>AQ974-AP974</f>
      </c>
      <c r="AS974" s="94" t="str">
        <f>IF(AN974&gt;=AQ974,"ok","ck")</f>
      </c>
      <c r="AT974" s="116">
        <f>-P974</f>
      </c>
      <c r="AU974" s="115">
        <f>IF(SUMIFS(AT:AT,AM:AM,AM974)&gt;AO974,(SUMIFS(AT:AT,AM:AM,AM974)-AO974))</f>
      </c>
      <c r="AV974" s="116">
        <v>0</v>
      </c>
      <c r="AW974" s="121">
        <v>0</v>
      </c>
      <c r="AX974" s="115">
        <f>AN974-AP974</f>
      </c>
    </row>
    <row r="975" spans="1:50" ht="15" hidden="1" customHeight="1" x14ac:dyDescent="0.3">
      <c r="A975" s="94" t="s">
        <v>268</v>
      </c>
      <c r="B975" s="94"/>
      <c r="C975" s="94"/>
      <c r="D975" s="94"/>
      <c r="E975" s="94"/>
      <c r="F975" s="94"/>
      <c r="G975" s="112">
        <f>AU975</f>
      </c>
      <c r="H975" s="113"/>
      <c r="I975" s="94" t="s">
        <v>269</v>
      </c>
      <c r="J975" s="94" t="s">
        <v>550</v>
      </c>
      <c r="K975" s="114">
        <f>P975/3</f>
      </c>
      <c r="L975" s="115">
        <v>1.464</v>
      </c>
      <c r="M975" s="116"/>
      <c r="N975" s="117">
        <f>M975-L975</f>
      </c>
      <c r="O975" s="112"/>
      <c r="P975" s="118">
        <f>N975+O975</f>
      </c>
      <c r="Q975" s="94" t="s">
        <v>816</v>
      </c>
      <c r="R975" s="94" t="s">
        <v>63</v>
      </c>
      <c r="S975" s="119">
        <v>46343</v>
      </c>
      <c r="T975" s="119"/>
      <c r="U975" s="120">
        <v>46343</v>
      </c>
      <c r="V975" s="94"/>
      <c r="W975" s="94"/>
      <c r="X975" s="94"/>
      <c r="Y975" s="119">
        <v>46334</v>
      </c>
      <c r="Z975" s="94"/>
      <c r="AA975" s="120"/>
      <c r="AB975" s="120"/>
      <c r="AC975" s="120"/>
      <c r="AD975" s="120"/>
      <c r="AE975" s="120"/>
      <c r="AF975" s="120"/>
      <c r="AG975" s="94"/>
      <c r="AH975" s="120"/>
      <c r="AI975" s="94"/>
      <c r="AJ975" s="94" t="s">
        <v>816</v>
      </c>
      <c r="AK975" s="94" t="s">
        <v>725</v>
      </c>
      <c r="AL975" s="94">
        <v>140</v>
      </c>
      <c r="AM975" s="94" t="str">
        <f>TRIM(AJ975)&amp;TRIM(AL975)&amp;TRIM(AK975)</f>
      </c>
      <c r="AN975" s="116">
        <v>0</v>
      </c>
      <c r="AO975" s="116" t="inlineStr">
        <is>
          <t>#NA</t>
        </is>
      </c>
      <c r="AP975" s="116">
        <f>SUMIFS(M:M,AM:AM,AM975)+SUMIFS(O:O,AM:AM,AM975)</f>
      </c>
      <c r="AQ975" s="116">
        <f>SUMIFS(L:L,AM:AM,AM975)</f>
      </c>
      <c r="AR975" s="116">
        <f>AQ975-AP975</f>
      </c>
      <c r="AS975" s="94" t="str">
        <f>IF(AN975&gt;=AQ975,"ok","ck")</f>
      </c>
      <c r="AT975" s="116">
        <f>-P975</f>
      </c>
      <c r="AU975" s="115">
        <f>IF(SUMIFS(AT:AT,AM:AM,AM975)&gt;AO975,(SUMIFS(AT:AT,AM:AM,AM975)-AO975))</f>
      </c>
      <c r="AV975" s="116">
        <v>0</v>
      </c>
      <c r="AW975" s="121">
        <v>0</v>
      </c>
      <c r="AX975" s="115">
        <f>AN975-AP975</f>
      </c>
    </row>
    <row r="976" spans="1:50" ht="15" hidden="1" customHeight="1" x14ac:dyDescent="0.3">
      <c r="A976" s="94" t="s">
        <v>268</v>
      </c>
      <c r="B976" s="94"/>
      <c r="C976" s="94"/>
      <c r="D976" s="94"/>
      <c r="E976" s="94"/>
      <c r="F976" s="94"/>
      <c r="G976" s="112">
        <f>AU976</f>
      </c>
      <c r="H976" s="113"/>
      <c r="I976" s="94" t="s">
        <v>269</v>
      </c>
      <c r="J976" s="94" t="s">
        <v>550</v>
      </c>
      <c r="K976" s="114">
        <f>P976/3</f>
      </c>
      <c r="L976" s="115">
        <v>1342</v>
      </c>
      <c r="M976" s="116"/>
      <c r="N976" s="117">
        <f>M976-L976</f>
      </c>
      <c r="O976" s="112"/>
      <c r="P976" s="118">
        <f>N976+O976</f>
      </c>
      <c r="Q976" s="94" t="s">
        <v>816</v>
      </c>
      <c r="R976" s="94" t="s">
        <v>63</v>
      </c>
      <c r="S976" s="119">
        <v>46343</v>
      </c>
      <c r="T976" s="119"/>
      <c r="U976" s="120">
        <v>46343</v>
      </c>
      <c r="V976" s="94"/>
      <c r="W976" s="94"/>
      <c r="X976" s="94"/>
      <c r="Y976" s="119">
        <v>46322</v>
      </c>
      <c r="Z976" s="94"/>
      <c r="AA976" s="120"/>
      <c r="AB976" s="120"/>
      <c r="AC976" s="120"/>
      <c r="AD976" s="120"/>
      <c r="AE976" s="120"/>
      <c r="AF976" s="120"/>
      <c r="AG976" s="94"/>
      <c r="AH976" s="120"/>
      <c r="AI976" s="94"/>
      <c r="AJ976" s="94" t="s">
        <v>816</v>
      </c>
      <c r="AK976" s="94" t="s">
        <v>725</v>
      </c>
      <c r="AL976" s="94">
        <v>140</v>
      </c>
      <c r="AM976" s="94" t="str">
        <f>TRIM(AJ976)&amp;TRIM(AL976)&amp;TRIM(AK976)</f>
      </c>
      <c r="AN976" s="116">
        <v>0</v>
      </c>
      <c r="AO976" s="116" t="inlineStr">
        <is>
          <t>#NA</t>
        </is>
      </c>
      <c r="AP976" s="116">
        <f>SUMIFS(M:M,AM:AM,AM976)+SUMIFS(O:O,AM:AM,AM976)</f>
      </c>
      <c r="AQ976" s="116">
        <f>SUMIFS(L:L,AM:AM,AM976)</f>
      </c>
      <c r="AR976" s="116">
        <f>AQ976-AP976</f>
      </c>
      <c r="AS976" s="94" t="str">
        <f>IF(AN976&gt;=AQ976,"ok","ck")</f>
      </c>
      <c r="AT976" s="116">
        <f>-P976</f>
      </c>
      <c r="AU976" s="115">
        <f>IF(SUMIFS(AT:AT,AM:AM,AM976)&gt;AO976,(SUMIFS(AT:AT,AM:AM,AM976)-AO976))</f>
      </c>
      <c r="AV976" s="116">
        <v>0</v>
      </c>
      <c r="AW976" s="121">
        <v>0</v>
      </c>
      <c r="AX976" s="115">
        <f>AN976-AP976</f>
      </c>
    </row>
    <row r="977" spans="1:50" ht="15" hidden="1" customHeight="1" x14ac:dyDescent="0.3">
      <c r="A977" s="94" t="s">
        <v>268</v>
      </c>
      <c r="B977" s="94"/>
      <c r="C977" s="94"/>
      <c r="D977" s="94"/>
      <c r="E977" s="94"/>
      <c r="F977" s="94"/>
      <c r="G977" s="112">
        <f>AU977</f>
      </c>
      <c r="H977" s="113"/>
      <c r="I977" s="94" t="s">
        <v>269</v>
      </c>
      <c r="J977" s="94" t="s">
        <v>535</v>
      </c>
      <c r="K977" s="114">
        <f>P977/3</f>
      </c>
      <c r="L977" s="115">
        <v>1.464</v>
      </c>
      <c r="M977" s="116"/>
      <c r="N977" s="117">
        <f>M977-L977</f>
      </c>
      <c r="O977" s="112"/>
      <c r="P977" s="118">
        <f>N977+O977</f>
      </c>
      <c r="Q977" s="94" t="s">
        <v>816</v>
      </c>
      <c r="R977" s="94" t="s">
        <v>63</v>
      </c>
      <c r="S977" s="119">
        <v>46344</v>
      </c>
      <c r="T977" s="119"/>
      <c r="U977" s="120">
        <v>46344</v>
      </c>
      <c r="V977" s="94"/>
      <c r="W977" s="94"/>
      <c r="X977" s="94"/>
      <c r="Y977" s="119">
        <v>46334</v>
      </c>
      <c r="Z977" s="94"/>
      <c r="AA977" s="120"/>
      <c r="AB977" s="120"/>
      <c r="AC977" s="120"/>
      <c r="AD977" s="120"/>
      <c r="AE977" s="120"/>
      <c r="AF977" s="120"/>
      <c r="AG977" s="94"/>
      <c r="AH977" s="120"/>
      <c r="AI977" s="94"/>
      <c r="AJ977" s="94" t="s">
        <v>816</v>
      </c>
      <c r="AK977" s="94" t="s">
        <v>719</v>
      </c>
      <c r="AL977" s="94">
        <v>140</v>
      </c>
      <c r="AM977" s="94" t="str">
        <f>TRIM(AJ977)&amp;TRIM(AL977)&amp;TRIM(AK977)</f>
      </c>
      <c r="AN977" s="116">
        <v>0</v>
      </c>
      <c r="AO977" s="116" t="inlineStr">
        <is>
          <t>#NA</t>
        </is>
      </c>
      <c r="AP977" s="116">
        <f>SUMIFS(M:M,AM:AM,AM977)+SUMIFS(O:O,AM:AM,AM977)</f>
      </c>
      <c r="AQ977" s="116">
        <f>SUMIFS(L:L,AM:AM,AM977)</f>
      </c>
      <c r="AR977" s="116">
        <f>AQ977-AP977</f>
      </c>
      <c r="AS977" s="94" t="str">
        <f>IF(AN977&gt;=AQ977,"ok","ck")</f>
      </c>
      <c r="AT977" s="116">
        <f>-P977</f>
      </c>
      <c r="AU977" s="115">
        <f>IF(SUMIFS(AT:AT,AM:AM,AM977)&gt;AO977,(SUMIFS(AT:AT,AM:AM,AM977)-AO977))</f>
      </c>
      <c r="AV977" s="116">
        <v>0</v>
      </c>
      <c r="AW977" s="121">
        <v>0</v>
      </c>
      <c r="AX977" s="115">
        <f>AN977-AP977</f>
      </c>
    </row>
    <row r="978" spans="1:50" ht="15" hidden="1" customHeight="1" x14ac:dyDescent="0.3">
      <c r="A978" s="94" t="s">
        <v>268</v>
      </c>
      <c r="B978" s="94"/>
      <c r="C978" s="94"/>
      <c r="D978" s="94"/>
      <c r="E978" s="94"/>
      <c r="F978" s="94"/>
      <c r="G978" s="112">
        <f>AU978</f>
      </c>
      <c r="H978" s="113"/>
      <c r="I978" s="94" t="s">
        <v>269</v>
      </c>
      <c r="J978" s="94" t="s">
        <v>535</v>
      </c>
      <c r="K978" s="114">
        <f>P978/3</f>
      </c>
      <c r="L978" s="115">
        <v>1342</v>
      </c>
      <c r="M978" s="116"/>
      <c r="N978" s="117">
        <f>M978-L978</f>
      </c>
      <c r="O978" s="112"/>
      <c r="P978" s="118">
        <f>N978+O978</f>
      </c>
      <c r="Q978" s="94" t="s">
        <v>816</v>
      </c>
      <c r="R978" s="94" t="s">
        <v>63</v>
      </c>
      <c r="S978" s="119">
        <v>46344</v>
      </c>
      <c r="T978" s="119"/>
      <c r="U978" s="120">
        <v>46344</v>
      </c>
      <c r="V978" s="94"/>
      <c r="W978" s="94"/>
      <c r="X978" s="94"/>
      <c r="Y978" s="119">
        <v>46322</v>
      </c>
      <c r="Z978" s="94"/>
      <c r="AA978" s="120"/>
      <c r="AB978" s="120"/>
      <c r="AC978" s="120"/>
      <c r="AD978" s="120"/>
      <c r="AE978" s="120"/>
      <c r="AF978" s="120"/>
      <c r="AG978" s="94"/>
      <c r="AH978" s="120"/>
      <c r="AI978" s="94"/>
      <c r="AJ978" s="94" t="s">
        <v>816</v>
      </c>
      <c r="AK978" s="94" t="s">
        <v>719</v>
      </c>
      <c r="AL978" s="94">
        <v>140</v>
      </c>
      <c r="AM978" s="94" t="str">
        <f>TRIM(AJ978)&amp;TRIM(AL978)&amp;TRIM(AK978)</f>
      </c>
      <c r="AN978" s="116">
        <v>0</v>
      </c>
      <c r="AO978" s="116" t="inlineStr">
        <is>
          <t>#NA</t>
        </is>
      </c>
      <c r="AP978" s="116">
        <f>SUMIFS(M:M,AM:AM,AM978)+SUMIFS(O:O,AM:AM,AM978)</f>
      </c>
      <c r="AQ978" s="116">
        <f>SUMIFS(L:L,AM:AM,AM978)</f>
      </c>
      <c r="AR978" s="116">
        <f>AQ978-AP978</f>
      </c>
      <c r="AS978" s="94" t="str">
        <f>IF(AN978&gt;=AQ978,"ok","ck")</f>
      </c>
      <c r="AT978" s="116">
        <f>-P978</f>
      </c>
      <c r="AU978" s="115">
        <f>IF(SUMIFS(AT:AT,AM:AM,AM978)&gt;AO978,(SUMIFS(AT:AT,AM:AM,AM978)-AO978))</f>
      </c>
      <c r="AV978" s="116">
        <v>0</v>
      </c>
      <c r="AW978" s="121">
        <v>0</v>
      </c>
      <c r="AX978" s="115">
        <f>AN978-AP978</f>
      </c>
    </row>
    <row r="979" spans="1:50" ht="15" hidden="1" customHeight="1" x14ac:dyDescent="0.3">
      <c r="A979" s="94" t="s">
        <v>311</v>
      </c>
      <c r="B979" s="94"/>
      <c r="C979" s="94"/>
      <c r="D979" s="94"/>
      <c r="E979" s="94"/>
      <c r="F979" s="94"/>
      <c r="G979" s="112">
        <f>AU979</f>
      </c>
      <c r="H979" s="113"/>
      <c r="I979" s="94" t="s">
        <v>312</v>
      </c>
      <c r="J979" s="94" t="s">
        <v>560</v>
      </c>
      <c r="K979" s="114">
        <f>P979/3</f>
      </c>
      <c r="L979" s="115">
        <v>-2.0859999999999999</v>
      </c>
      <c r="M979" s="116">
        <f>L979</f>
      </c>
      <c r="N979" s="117">
        <f>M979-L979</f>
      </c>
      <c r="O979" s="112"/>
      <c r="P979" s="118">
        <f>N979+O979</f>
      </c>
      <c r="Q979" s="94" t="s">
        <v>799</v>
      </c>
      <c r="R979" s="94" t="s">
        <v>63</v>
      </c>
      <c r="S979" s="119">
        <v>46326</v>
      </c>
      <c r="T979" s="119"/>
      <c r="U979" s="120">
        <v>46326</v>
      </c>
      <c r="V979" s="94"/>
      <c r="W979" s="94"/>
      <c r="X979" s="94"/>
      <c r="Y979" s="119">
        <v>46326</v>
      </c>
      <c r="Z979" s="94"/>
      <c r="AA979" s="120"/>
      <c r="AB979" s="120"/>
      <c r="AC979" s="120"/>
      <c r="AD979" s="120"/>
      <c r="AE979" s="120"/>
      <c r="AF979" s="120"/>
      <c r="AG979" s="94"/>
      <c r="AH979" s="120"/>
      <c r="AI979" s="94"/>
      <c r="AJ979" s="94" t="s">
        <v>799</v>
      </c>
      <c r="AK979" s="94" t="s">
        <v>734</v>
      </c>
      <c r="AL979" s="94">
        <v>150</v>
      </c>
      <c r="AM979" s="94" t="str">
        <f>TRIM(AJ979)&amp;TRIM(AL979)&amp;TRIM(AK979)</f>
      </c>
      <c r="AN979" s="116">
        <v>840</v>
      </c>
      <c r="AO979" s="116">
        <v>-6</v>
      </c>
      <c r="AP979" s="116">
        <f>SUMIFS(M:M,AM:AM,AM979)+SUMIFS(O:O,AM:AM,AM979)</f>
      </c>
      <c r="AQ979" s="116">
        <f>SUMIFS(L:L,AM:AM,AM979)</f>
      </c>
      <c r="AR979" s="116">
        <f>AQ979-AP979</f>
      </c>
      <c r="AS979" s="94" t="str">
        <f>IF(AN979&gt;=AQ979,"ok","ck")</f>
      </c>
      <c r="AT979" s="116">
        <f>-P979</f>
      </c>
      <c r="AU979" s="115">
        <f>IF(SUMIFS(AT:AT,AM:AM,AM979)&gt;AO979,(SUMIFS(AT:AT,AM:AM,AM979)-AO979))</f>
      </c>
      <c r="AV979" s="116">
        <v>840</v>
      </c>
      <c r="AW979" s="121">
        <v>1.007</v>
      </c>
      <c r="AX979" s="115">
        <f>AN979-AP979</f>
      </c>
    </row>
    <row r="980" spans="1:50" ht="15" hidden="1" customHeight="1" x14ac:dyDescent="0.3">
      <c r="A980" s="94" t="s">
        <v>288</v>
      </c>
      <c r="B980" s="94"/>
      <c r="C980" s="94"/>
      <c r="D980" s="94"/>
      <c r="E980" s="94"/>
      <c r="F980" s="94"/>
      <c r="G980" s="112">
        <f>AU980</f>
      </c>
      <c r="H980" s="113"/>
      <c r="I980" s="94" t="s">
        <v>289</v>
      </c>
      <c r="J980" s="94" t="s">
        <v>286</v>
      </c>
      <c r="K980" s="114">
        <f>P980/3</f>
      </c>
      <c r="L980" s="115">
        <v>0</v>
      </c>
      <c r="M980" s="116">
        <f>L980</f>
      </c>
      <c r="N980" s="117">
        <f>M980-L980</f>
      </c>
      <c r="O980" s="112"/>
      <c r="P980" s="118">
        <f>N980+O980</f>
      </c>
      <c r="Q980" s="94" t="s">
        <v>296</v>
      </c>
      <c r="R980" s="94" t="s">
        <v>63</v>
      </c>
      <c r="S980" s="119">
        <v>46338</v>
      </c>
      <c r="T980" s="119"/>
      <c r="U980" s="120">
        <v>46338</v>
      </c>
      <c r="V980" s="94"/>
      <c r="W980" s="94"/>
      <c r="X980" s="94"/>
      <c r="Y980" s="119">
        <v>46338</v>
      </c>
      <c r="Z980" s="94"/>
      <c r="AA980" s="120"/>
      <c r="AB980" s="120"/>
      <c r="AC980" s="120"/>
      <c r="AD980" s="120"/>
      <c r="AE980" s="120"/>
      <c r="AF980" s="120"/>
      <c r="AG980" s="94"/>
      <c r="AH980" s="120"/>
      <c r="AI980" s="94"/>
      <c r="AJ980" s="94" t="s">
        <v>479</v>
      </c>
      <c r="AK980" s="94" t="s">
        <v>281</v>
      </c>
      <c r="AL980" s="94">
        <v>235</v>
      </c>
      <c r="AM980" s="94" t="str">
        <f>TRIM(AJ980)&amp;TRIM(AL980)&amp;TRIM(AK980)</f>
      </c>
      <c r="AN980" s="116">
        <v>1452</v>
      </c>
      <c r="AO980" s="116">
        <v>-19.61</v>
      </c>
      <c r="AP980" s="116">
        <f>SUMIFS(M:M,AM:AM,AM980)+SUMIFS(O:O,AM:AM,AM980)</f>
      </c>
      <c r="AQ980" s="116">
        <f>SUMIFS(L:L,AM:AM,AM980)</f>
      </c>
      <c r="AR980" s="116">
        <f>AQ980-AP980</f>
      </c>
      <c r="AS980" s="94" t="str">
        <f>IF(AN980&gt;=AQ980,"ok","ck")</f>
      </c>
      <c r="AT980" s="116">
        <f>-P980</f>
      </c>
      <c r="AU980" s="115">
        <f>IF(SUMIFS(AT:AT,AM:AM,AM980)&gt;AO980,(SUMIFS(AT:AT,AM:AM,AM980)-AO980))</f>
      </c>
      <c r="AV980" s="116">
        <v>1452</v>
      </c>
      <c r="AW980" s="121">
        <v>1.014</v>
      </c>
      <c r="AX980" s="115">
        <f>AN980-AP980</f>
      </c>
    </row>
    <row r="981" spans="1:50" ht="15" hidden="1" customHeight="1" x14ac:dyDescent="0.3">
      <c r="A981" s="94" t="s">
        <v>288</v>
      </c>
      <c r="B981" s="94"/>
      <c r="C981" s="94"/>
      <c r="D981" s="94"/>
      <c r="E981" s="94"/>
      <c r="F981" s="94"/>
      <c r="G981" s="112">
        <f>AU981</f>
      </c>
      <c r="H981" s="113"/>
      <c r="I981" s="94" t="s">
        <v>289</v>
      </c>
      <c r="J981" s="94" t="s">
        <v>358</v>
      </c>
      <c r="K981" s="114">
        <f>P981/3</f>
      </c>
      <c r="L981" s="115">
        <v>0</v>
      </c>
      <c r="M981" s="116">
        <f>L981</f>
      </c>
      <c r="N981" s="117">
        <f>M981-L981</f>
      </c>
      <c r="O981" s="112"/>
      <c r="P981" s="118">
        <f>N981+O981</f>
      </c>
      <c r="Q981" s="94" t="s">
        <v>296</v>
      </c>
      <c r="R981" s="94" t="s">
        <v>63</v>
      </c>
      <c r="S981" s="119">
        <v>46320</v>
      </c>
      <c r="T981" s="119"/>
      <c r="U981" s="120">
        <v>46320</v>
      </c>
      <c r="V981" s="94"/>
      <c r="W981" s="94"/>
      <c r="X981" s="94"/>
      <c r="Y981" s="119">
        <v>46320</v>
      </c>
      <c r="Z981" s="94"/>
      <c r="AA981" s="120"/>
      <c r="AB981" s="120"/>
      <c r="AC981" s="120"/>
      <c r="AD981" s="120"/>
      <c r="AE981" s="120"/>
      <c r="AF981" s="120"/>
      <c r="AG981" s="94"/>
      <c r="AH981" s="120"/>
      <c r="AI981" s="94"/>
      <c r="AJ981" s="94" t="s">
        <v>479</v>
      </c>
      <c r="AK981" s="94" t="s">
        <v>359</v>
      </c>
      <c r="AL981" s="94">
        <v>235</v>
      </c>
      <c r="AM981" s="94" t="str">
        <f>TRIM(AJ981)&amp;TRIM(AL981)&amp;TRIM(AK981)</f>
      </c>
      <c r="AN981" s="116">
        <v>810.99</v>
      </c>
      <c r="AO981" s="116">
        <v>19.03</v>
      </c>
      <c r="AP981" s="116">
        <f>SUMIFS(M:M,AM:AM,AM981)+SUMIFS(O:O,AM:AM,AM981)</f>
      </c>
      <c r="AQ981" s="116">
        <f>SUMIFS(L:L,AM:AM,AM981)</f>
      </c>
      <c r="AR981" s="116">
        <f>AQ981-AP981</f>
      </c>
      <c r="AS981" s="94" t="str">
        <f>IF(AN981&gt;=AQ981,"ok","ck")</f>
      </c>
      <c r="AT981" s="116">
        <f>-P981</f>
      </c>
      <c r="AU981" s="115">
        <f>IF(SUMIFS(AT:AT,AM:AM,AM981)&gt;AO981,(SUMIFS(AT:AT,AM:AM,AM981)-AO981))</f>
      </c>
      <c r="AV981" s="116">
        <v>810.99</v>
      </c>
      <c r="AW981" s="121">
        <v>0.977</v>
      </c>
      <c r="AX981" s="115">
        <f>AN981-AP981</f>
      </c>
    </row>
    <row r="982" spans="1:50" ht="15" hidden="1" customHeight="1" x14ac:dyDescent="0.3">
      <c r="A982" s="94" t="s">
        <v>288</v>
      </c>
      <c r="B982" s="94"/>
      <c r="C982" s="94"/>
      <c r="D982" s="94"/>
      <c r="E982" s="94"/>
      <c r="F982" s="94"/>
      <c r="G982" s="112">
        <f>AU982</f>
      </c>
      <c r="H982" s="113"/>
      <c r="I982" s="94" t="s">
        <v>289</v>
      </c>
      <c r="J982" s="94" t="s">
        <v>358</v>
      </c>
      <c r="K982" s="114">
        <f>P982/3</f>
      </c>
      <c r="L982" s="115">
        <v>0</v>
      </c>
      <c r="M982" s="116">
        <f>L982</f>
      </c>
      <c r="N982" s="117">
        <f>M982-L982</f>
      </c>
      <c r="O982" s="112"/>
      <c r="P982" s="118">
        <f>N982+O982</f>
      </c>
      <c r="Q982" s="94" t="s">
        <v>296</v>
      </c>
      <c r="R982" s="94" t="s">
        <v>63</v>
      </c>
      <c r="S982" s="120">
        <v>46322</v>
      </c>
      <c r="T982" s="120"/>
      <c r="U982" s="120">
        <v>46322</v>
      </c>
      <c r="V982" s="94"/>
      <c r="W982" s="94"/>
      <c r="X982" s="94"/>
      <c r="Y982" s="119">
        <v>46322</v>
      </c>
      <c r="Z982" s="94"/>
      <c r="AA982" s="120"/>
      <c r="AB982" s="120"/>
      <c r="AC982" s="120"/>
      <c r="AD982" s="120"/>
      <c r="AE982" s="120"/>
      <c r="AF982" s="120"/>
      <c r="AG982" s="94"/>
      <c r="AH982" s="120"/>
      <c r="AI982" s="94"/>
      <c r="AJ982" s="94" t="s">
        <v>479</v>
      </c>
      <c r="AK982" s="94" t="s">
        <v>359</v>
      </c>
      <c r="AL982" s="94">
        <v>235</v>
      </c>
      <c r="AM982" s="94" t="str">
        <f>TRIM(AJ982)&amp;TRIM(AL982)&amp;TRIM(AK982)</f>
      </c>
      <c r="AN982" s="116">
        <v>810.99</v>
      </c>
      <c r="AO982" s="116">
        <v>19.03</v>
      </c>
      <c r="AP982" s="116">
        <f>SUMIFS(M:M,AM:AM,AM982)+SUMIFS(O:O,AM:AM,AM982)</f>
      </c>
      <c r="AQ982" s="116">
        <f>SUMIFS(L:L,AM:AM,AM982)</f>
      </c>
      <c r="AR982" s="116">
        <f>AQ982-AP982</f>
      </c>
      <c r="AS982" s="94" t="str">
        <f>IF(AN982&gt;=AQ982,"ok","ck")</f>
      </c>
      <c r="AT982" s="116">
        <f>-P982</f>
      </c>
      <c r="AU982" s="115">
        <f>IF(SUMIFS(AT:AT,AM:AM,AM982)&gt;AO982,(SUMIFS(AT:AT,AM:AM,AM982)-AO982))</f>
      </c>
      <c r="AV982" s="116">
        <v>810.99</v>
      </c>
      <c r="AW982" s="121">
        <v>0.977</v>
      </c>
      <c r="AX982" s="115">
        <f>AN982-AP982</f>
      </c>
    </row>
    <row r="983" spans="1:50" ht="15" hidden="1" customHeight="1" x14ac:dyDescent="0.3">
      <c r="A983" s="94" t="s">
        <v>268</v>
      </c>
      <c r="B983" s="94"/>
      <c r="C983" s="94"/>
      <c r="D983" s="94"/>
      <c r="E983" s="94"/>
      <c r="F983" s="94"/>
      <c r="G983" s="112">
        <f>AU983</f>
      </c>
      <c r="H983" s="113"/>
      <c r="I983" s="94" t="s">
        <v>278</v>
      </c>
      <c r="J983" s="94" t="s">
        <v>506</v>
      </c>
      <c r="K983" s="114">
        <f>P983/3</f>
      </c>
      <c r="L983" s="115">
        <v>-2E-3</v>
      </c>
      <c r="M983" s="116">
        <f>L983</f>
      </c>
      <c r="N983" s="117">
        <f>M983-L983</f>
      </c>
      <c r="O983" s="112"/>
      <c r="P983" s="118">
        <f>N983+O983</f>
      </c>
      <c r="Q983" s="94" t="s">
        <v>287</v>
      </c>
      <c r="R983" s="94" t="s">
        <v>63</v>
      </c>
      <c r="S983" s="120">
        <v>46334</v>
      </c>
      <c r="T983" s="120"/>
      <c r="U983" s="120">
        <v>46334</v>
      </c>
      <c r="V983" s="94"/>
      <c r="W983" s="94"/>
      <c r="X983" s="94"/>
      <c r="Y983" s="119">
        <v>46334</v>
      </c>
      <c r="Z983" s="94"/>
      <c r="AA983" s="120"/>
      <c r="AB983" s="120"/>
      <c r="AC983" s="120"/>
      <c r="AD983" s="120"/>
      <c r="AE983" s="120"/>
      <c r="AF983" s="120"/>
      <c r="AG983" s="94"/>
      <c r="AH983" s="120"/>
      <c r="AI983" s="94"/>
      <c r="AJ983" s="94" t="s">
        <v>287</v>
      </c>
      <c r="AK983" s="94" t="s">
        <v>700</v>
      </c>
      <c r="AL983" s="94">
        <v>120</v>
      </c>
      <c r="AM983" s="94" t="str">
        <f>TRIM(AJ983)&amp;TRIM(AL983)&amp;TRIM(AK983)</f>
      </c>
      <c r="AN983" s="116">
        <v>119</v>
      </c>
      <c r="AO983" s="116">
        <v>-4.75</v>
      </c>
      <c r="AP983" s="116">
        <f>SUMIFS(M:M,AM:AM,AM983)+SUMIFS(O:O,AM:AM,AM983)</f>
      </c>
      <c r="AQ983" s="116">
        <f>SUMIFS(L:L,AM:AM,AM983)</f>
      </c>
      <c r="AR983" s="116">
        <f>AQ983-AP983</f>
      </c>
      <c r="AS983" s="94" t="str">
        <f>IF(AN983&gt;=AQ983,"ok","ck")</f>
      </c>
      <c r="AT983" s="116">
        <f>-P983</f>
      </c>
      <c r="AU983" s="115">
        <f>IF(SUMIFS(AT:AT,AM:AM,AM983)&gt;AO983,(SUMIFS(AT:AT,AM:AM,AM983)-AO983))</f>
      </c>
      <c r="AV983" s="116">
        <v>119</v>
      </c>
      <c r="AW983" s="121">
        <v>1.042</v>
      </c>
      <c r="AX983" s="115">
        <f>AN983-AP983</f>
      </c>
    </row>
    <row r="984" spans="1:50" ht="15" hidden="1" customHeight="1" x14ac:dyDescent="0.3">
      <c r="A984" s="94" t="s">
        <v>268</v>
      </c>
      <c r="B984" s="94"/>
      <c r="C984" s="94"/>
      <c r="D984" s="94"/>
      <c r="E984" s="94"/>
      <c r="F984" s="94"/>
      <c r="G984" s="112">
        <f>AU984</f>
      </c>
      <c r="H984" s="113"/>
      <c r="I984" s="94" t="s">
        <v>278</v>
      </c>
      <c r="J984" s="94" t="s">
        <v>506</v>
      </c>
      <c r="K984" s="114">
        <f>P984/3</f>
      </c>
      <c r="L984" s="115">
        <v>-0.85099999999999998</v>
      </c>
      <c r="M984" s="116">
        <f>L984</f>
      </c>
      <c r="N984" s="117">
        <f>M984-L984</f>
      </c>
      <c r="O984" s="112"/>
      <c r="P984" s="118">
        <f>N984+O984</f>
      </c>
      <c r="Q984" s="94" t="s">
        <v>287</v>
      </c>
      <c r="R984" s="94" t="s">
        <v>63</v>
      </c>
      <c r="S984" s="120">
        <v>46334</v>
      </c>
      <c r="T984" s="120"/>
      <c r="U984" s="120">
        <v>46334</v>
      </c>
      <c r="V984" s="94"/>
      <c r="W984" s="94"/>
      <c r="X984" s="94"/>
      <c r="Y984" s="119">
        <v>46334</v>
      </c>
      <c r="Z984" s="94"/>
      <c r="AA984" s="120"/>
      <c r="AB984" s="120"/>
      <c r="AC984" s="120"/>
      <c r="AD984" s="120"/>
      <c r="AE984" s="120"/>
      <c r="AF984" s="120"/>
      <c r="AG984" s="94"/>
      <c r="AH984" s="120"/>
      <c r="AI984" s="94"/>
      <c r="AJ984" s="94" t="s">
        <v>287</v>
      </c>
      <c r="AK984" s="94" t="s">
        <v>700</v>
      </c>
      <c r="AL984" s="94">
        <v>120</v>
      </c>
      <c r="AM984" s="94" t="str">
        <f>TRIM(AJ984)&amp;TRIM(AL984)&amp;TRIM(AK984)</f>
      </c>
      <c r="AN984" s="116">
        <v>119</v>
      </c>
      <c r="AO984" s="116">
        <v>-4.75</v>
      </c>
      <c r="AP984" s="116">
        <f>SUMIFS(M:M,AM:AM,AM984)+SUMIFS(O:O,AM:AM,AM984)</f>
      </c>
      <c r="AQ984" s="116">
        <f>SUMIFS(L:L,AM:AM,AM984)</f>
      </c>
      <c r="AR984" s="116">
        <f>AQ984-AP984</f>
      </c>
      <c r="AS984" s="94" t="str">
        <f>IF(AN984&gt;=AQ984,"ok","ck")</f>
      </c>
      <c r="AT984" s="116">
        <f>-P984</f>
      </c>
      <c r="AU984" s="115">
        <f>IF(SUMIFS(AT:AT,AM:AM,AM984)&gt;AO984,(SUMIFS(AT:AT,AM:AM,AM984)-AO984))</f>
      </c>
      <c r="AV984" s="116">
        <v>119</v>
      </c>
      <c r="AW984" s="121">
        <v>1.042</v>
      </c>
      <c r="AX984" s="115">
        <f>AN984-AP984</f>
      </c>
    </row>
    <row r="985" spans="1:50" ht="15" hidden="1" customHeight="1" x14ac:dyDescent="0.3">
      <c r="A985" s="94" t="s">
        <v>268</v>
      </c>
      <c r="B985" s="94"/>
      <c r="C985" s="94"/>
      <c r="D985" s="94"/>
      <c r="E985" s="94"/>
      <c r="F985" s="94"/>
      <c r="G985" s="112">
        <f>AU985</f>
      </c>
      <c r="H985" s="113"/>
      <c r="I985" s="94" t="s">
        <v>269</v>
      </c>
      <c r="J985" s="94" t="s">
        <v>503</v>
      </c>
      <c r="K985" s="114">
        <f>P985/3</f>
      </c>
      <c r="L985" s="115">
        <v>1.464</v>
      </c>
      <c r="M985" s="116"/>
      <c r="N985" s="117">
        <f>M985-L985</f>
      </c>
      <c r="O985" s="112"/>
      <c r="P985" s="118">
        <f>N985+O985</f>
      </c>
      <c r="Q985" s="94" t="s">
        <v>816</v>
      </c>
      <c r="R985" s="94" t="s">
        <v>63</v>
      </c>
      <c r="S985" s="120">
        <v>46345</v>
      </c>
      <c r="T985" s="120"/>
      <c r="U985" s="120">
        <v>46345</v>
      </c>
      <c r="V985" s="94"/>
      <c r="W985" s="94"/>
      <c r="X985" s="94"/>
      <c r="Y985" s="119">
        <v>46334</v>
      </c>
      <c r="Z985" s="94"/>
      <c r="AA985" s="120"/>
      <c r="AB985" s="120"/>
      <c r="AC985" s="120"/>
      <c r="AD985" s="120"/>
      <c r="AE985" s="120"/>
      <c r="AF985" s="120"/>
      <c r="AG985" s="94"/>
      <c r="AH985" s="120"/>
      <c r="AI985" s="94"/>
      <c r="AJ985" s="94" t="s">
        <v>816</v>
      </c>
      <c r="AK985" s="94" t="s">
        <v>697</v>
      </c>
      <c r="AL985" s="94">
        <v>140</v>
      </c>
      <c r="AM985" s="94" t="str">
        <f>TRIM(AJ985)&amp;TRIM(AL985)&amp;TRIM(AK985)</f>
      </c>
      <c r="AN985" s="116">
        <v>0</v>
      </c>
      <c r="AO985" s="116" t="inlineStr">
        <is>
          <t>#NA</t>
        </is>
      </c>
      <c r="AP985" s="116">
        <f>SUMIFS(M:M,AM:AM,AM985)+SUMIFS(O:O,AM:AM,AM985)</f>
      </c>
      <c r="AQ985" s="116">
        <f>SUMIFS(L:L,AM:AM,AM985)</f>
      </c>
      <c r="AR985" s="116">
        <f>AQ985-AP985</f>
      </c>
      <c r="AS985" s="94" t="str">
        <f>IF(AN985&gt;=AQ985,"ok","ck")</f>
      </c>
      <c r="AT985" s="116">
        <f>-P985</f>
      </c>
      <c r="AU985" s="115">
        <f>IF(SUMIFS(AT:AT,AM:AM,AM985)&gt;AO985,(SUMIFS(AT:AT,AM:AM,AM985)-AO985))</f>
      </c>
      <c r="AV985" s="116">
        <v>0</v>
      </c>
      <c r="AW985" s="121">
        <v>0</v>
      </c>
      <c r="AX985" s="115">
        <f>AN985-AP985</f>
      </c>
    </row>
    <row r="986" spans="1:50" ht="15" hidden="1" customHeight="1" x14ac:dyDescent="0.3">
      <c r="A986" s="94" t="s">
        <v>268</v>
      </c>
      <c r="B986" s="94"/>
      <c r="C986" s="94"/>
      <c r="D986" s="94"/>
      <c r="E986" s="94"/>
      <c r="F986" s="94"/>
      <c r="G986" s="112">
        <f>AU986</f>
      </c>
      <c r="H986" s="113"/>
      <c r="I986" s="94" t="s">
        <v>278</v>
      </c>
      <c r="J986" s="94" t="s">
        <v>273</v>
      </c>
      <c r="K986" s="114">
        <f>P986/3</f>
      </c>
      <c r="L986" s="115">
        <v>-0.19600000000000001</v>
      </c>
      <c r="M986" s="116">
        <f>L986</f>
      </c>
      <c r="N986" s="117">
        <f>M986-L986</f>
      </c>
      <c r="O986" s="112"/>
      <c r="P986" s="118">
        <f>N986+O986</f>
      </c>
      <c r="Q986" s="94" t="s">
        <v>271</v>
      </c>
      <c r="R986" s="94" t="s">
        <v>63</v>
      </c>
      <c r="S986" s="120">
        <v>46320</v>
      </c>
      <c r="T986" s="120"/>
      <c r="U986" s="120">
        <v>46320</v>
      </c>
      <c r="V986" s="94"/>
      <c r="W986" s="94"/>
      <c r="X986" s="94"/>
      <c r="Y986" s="119">
        <v>46320</v>
      </c>
      <c r="Z986" s="94"/>
      <c r="AA986" s="120"/>
      <c r="AB986" s="120"/>
      <c r="AC986" s="120"/>
      <c r="AD986" s="120"/>
      <c r="AE986" s="120"/>
      <c r="AF986" s="120"/>
      <c r="AG986" s="94"/>
      <c r="AH986" s="120"/>
      <c r="AI986" s="94"/>
      <c r="AJ986" s="94" t="s">
        <v>271</v>
      </c>
      <c r="AK986" s="94" t="s">
        <v>274</v>
      </c>
      <c r="AL986" s="94">
        <v>120</v>
      </c>
      <c r="AM986" s="94" t="str">
        <f>TRIM(AJ986)&amp;TRIM(AL986)&amp;TRIM(AK986)</f>
      </c>
      <c r="AN986" s="116">
        <v>340</v>
      </c>
      <c r="AO986" s="116">
        <v>-13</v>
      </c>
      <c r="AP986" s="116">
        <f>SUMIFS(M:M,AM:AM,AM986)+SUMIFS(O:O,AM:AM,AM986)</f>
      </c>
      <c r="AQ986" s="116">
        <f>SUMIFS(L:L,AM:AM,AM986)</f>
      </c>
      <c r="AR986" s="116">
        <f>AQ986-AP986</f>
      </c>
      <c r="AS986" s="94" t="str">
        <f>IF(AN986&gt;=AQ986,"ok","ck")</f>
      </c>
      <c r="AT986" s="116">
        <f>-P986</f>
      </c>
      <c r="AU986" s="115">
        <f>IF(SUMIFS(AT:AT,AM:AM,AM986)&gt;AO986,(SUMIFS(AT:AT,AM:AM,AM986)-AO986))</f>
      </c>
      <c r="AV986" s="116">
        <v>340</v>
      </c>
      <c r="AW986" s="121">
        <v>1.04</v>
      </c>
      <c r="AX986" s="115">
        <f>AN986-AP986</f>
      </c>
    </row>
    <row r="987" spans="1:50" ht="15" hidden="1" customHeight="1" x14ac:dyDescent="0.3">
      <c r="A987" s="94" t="s">
        <v>268</v>
      </c>
      <c r="B987" s="94"/>
      <c r="C987" s="94"/>
      <c r="D987" s="94"/>
      <c r="E987" s="94"/>
      <c r="F987" s="94"/>
      <c r="G987" s="112">
        <f>AU987</f>
      </c>
      <c r="H987" s="113"/>
      <c r="I987" s="94" t="s">
        <v>278</v>
      </c>
      <c r="J987" s="94" t="s">
        <v>273</v>
      </c>
      <c r="K987" s="114">
        <f>P987/3</f>
      </c>
      <c r="L987" s="115">
        <v>-0.19600000000000001</v>
      </c>
      <c r="M987" s="116">
        <f>L987</f>
      </c>
      <c r="N987" s="117">
        <f>M987-L987</f>
      </c>
      <c r="O987" s="112"/>
      <c r="P987" s="118">
        <f>N987+O987</f>
      </c>
      <c r="Q987" s="94" t="s">
        <v>271</v>
      </c>
      <c r="R987" s="94" t="s">
        <v>63</v>
      </c>
      <c r="S987" s="119">
        <v>46320</v>
      </c>
      <c r="T987" s="119"/>
      <c r="U987" s="119">
        <v>46320</v>
      </c>
      <c r="V987" s="94"/>
      <c r="W987" s="94"/>
      <c r="X987" s="94"/>
      <c r="Y987" s="119">
        <v>46320</v>
      </c>
      <c r="Z987" s="94"/>
      <c r="AA987" s="120"/>
      <c r="AB987" s="120"/>
      <c r="AC987" s="120"/>
      <c r="AD987" s="120"/>
      <c r="AE987" s="120"/>
      <c r="AF987" s="120"/>
      <c r="AG987" s="94"/>
      <c r="AH987" s="120"/>
      <c r="AI987" s="94"/>
      <c r="AJ987" s="94" t="s">
        <v>271</v>
      </c>
      <c r="AK987" s="94" t="s">
        <v>274</v>
      </c>
      <c r="AL987" s="94">
        <v>120</v>
      </c>
      <c r="AM987" s="94" t="str">
        <f>TRIM(AJ987)&amp;TRIM(AL987)&amp;TRIM(AK987)</f>
      </c>
      <c r="AN987" s="116">
        <v>340</v>
      </c>
      <c r="AO987" s="116">
        <v>-13</v>
      </c>
      <c r="AP987" s="116">
        <f>SUMIFS(M:M,AM:AM,AM987)+SUMIFS(O:O,AM:AM,AM987)</f>
      </c>
      <c r="AQ987" s="116">
        <f>SUMIFS(L:L,AM:AM,AM987)</f>
      </c>
      <c r="AR987" s="116">
        <f>AQ987-AP987</f>
      </c>
      <c r="AS987" s="94" t="str">
        <f>IF(AN987&gt;=AQ987,"ok","ck")</f>
      </c>
      <c r="AT987" s="116">
        <f>-P987</f>
      </c>
      <c r="AU987" s="115">
        <f>IF(SUMIFS(AT:AT,AM:AM,AM987)&gt;AO987,(SUMIFS(AT:AT,AM:AM,AM987)-AO987))</f>
      </c>
      <c r="AV987" s="116">
        <v>340</v>
      </c>
      <c r="AW987" s="121">
        <v>1.04</v>
      </c>
      <c r="AX987" s="115">
        <f>AN987-AP987</f>
      </c>
    </row>
    <row r="988" spans="1:50" ht="15" hidden="1" customHeight="1" x14ac:dyDescent="0.3">
      <c r="A988" s="94" t="s">
        <v>268</v>
      </c>
      <c r="B988" s="94"/>
      <c r="C988" s="94"/>
      <c r="D988" s="94"/>
      <c r="E988" s="94"/>
      <c r="F988" s="94"/>
      <c r="G988" s="112">
        <f>AU988</f>
      </c>
      <c r="H988" s="113"/>
      <c r="I988" s="94" t="s">
        <v>278</v>
      </c>
      <c r="J988" s="94" t="s">
        <v>333</v>
      </c>
      <c r="K988" s="114">
        <f>P988/3</f>
      </c>
      <c r="L988" s="115">
        <v>-0.17699999999999999</v>
      </c>
      <c r="M988" s="116">
        <f>L988</f>
      </c>
      <c r="N988" s="117">
        <f>M988-L988</f>
      </c>
      <c r="O988" s="112"/>
      <c r="P988" s="118">
        <f>N988+O988</f>
      </c>
      <c r="Q988" s="94" t="s">
        <v>271</v>
      </c>
      <c r="R988" s="94" t="s">
        <v>63</v>
      </c>
      <c r="S988" s="119">
        <v>46320</v>
      </c>
      <c r="T988" s="119"/>
      <c r="U988" s="119">
        <v>46320</v>
      </c>
      <c r="V988" s="94"/>
      <c r="W988" s="94"/>
      <c r="X988" s="94"/>
      <c r="Y988" s="119">
        <v>46320</v>
      </c>
      <c r="Z988" s="94"/>
      <c r="AA988" s="120"/>
      <c r="AB988" s="120"/>
      <c r="AC988" s="120"/>
      <c r="AD988" s="120"/>
      <c r="AE988" s="120"/>
      <c r="AF988" s="120"/>
      <c r="AG988" s="94"/>
      <c r="AH988" s="120"/>
      <c r="AI988" s="94"/>
      <c r="AJ988" s="94" t="s">
        <v>271</v>
      </c>
      <c r="AK988" s="94" t="s">
        <v>338</v>
      </c>
      <c r="AL988" s="94">
        <v>120</v>
      </c>
      <c r="AM988" s="94" t="str">
        <f>TRIM(AJ988)&amp;TRIM(AL988)&amp;TRIM(AK988)</f>
      </c>
      <c r="AN988" s="116">
        <v>329</v>
      </c>
      <c r="AO988" s="116">
        <v>-2</v>
      </c>
      <c r="AP988" s="116">
        <f>SUMIFS(M:M,AM:AM,AM988)+SUMIFS(O:O,AM:AM,AM988)</f>
      </c>
      <c r="AQ988" s="116">
        <f>SUMIFS(L:L,AM:AM,AM988)</f>
      </c>
      <c r="AR988" s="116">
        <f>AQ988-AP988</f>
      </c>
      <c r="AS988" s="94" t="str">
        <f>IF(AN988&gt;=AQ988,"ok","ck")</f>
      </c>
      <c r="AT988" s="116">
        <f>-P988</f>
      </c>
      <c r="AU988" s="115">
        <f>IF(SUMIFS(AT:AT,AM:AM,AM988)&gt;AO988,(SUMIFS(AT:AT,AM:AM,AM988)-AO988))</f>
      </c>
      <c r="AV988" s="116">
        <v>329</v>
      </c>
      <c r="AW988" s="121">
        <v>1.006</v>
      </c>
      <c r="AX988" s="115">
        <f>AN988-AP988</f>
      </c>
    </row>
    <row r="989" spans="1:50" ht="15" hidden="1" customHeight="1" x14ac:dyDescent="0.3">
      <c r="A989" s="94" t="s">
        <v>268</v>
      </c>
      <c r="B989" s="94"/>
      <c r="C989" s="94"/>
      <c r="D989" s="94"/>
      <c r="E989" s="94"/>
      <c r="F989" s="94"/>
      <c r="G989" s="112">
        <f>AU989</f>
      </c>
      <c r="H989" s="113"/>
      <c r="I989" s="94" t="s">
        <v>278</v>
      </c>
      <c r="J989" s="94" t="s">
        <v>333</v>
      </c>
      <c r="K989" s="114">
        <f>P989/3</f>
      </c>
      <c r="L989" s="115">
        <v>-0.17699999999999999</v>
      </c>
      <c r="M989" s="116">
        <f>L989</f>
      </c>
      <c r="N989" s="117">
        <f>M989-L989</f>
      </c>
      <c r="O989" s="112"/>
      <c r="P989" s="118">
        <f>N989+O989</f>
      </c>
      <c r="Q989" s="94" t="s">
        <v>271</v>
      </c>
      <c r="R989" s="94" t="s">
        <v>63</v>
      </c>
      <c r="S989" s="119">
        <v>46320</v>
      </c>
      <c r="T989" s="119"/>
      <c r="U989" s="119">
        <v>46320</v>
      </c>
      <c r="V989" s="94"/>
      <c r="W989" s="94"/>
      <c r="X989" s="94"/>
      <c r="Y989" s="119">
        <v>46320</v>
      </c>
      <c r="Z989" s="94"/>
      <c r="AA989" s="120"/>
      <c r="AB989" s="120"/>
      <c r="AC989" s="120"/>
      <c r="AD989" s="120"/>
      <c r="AE989" s="120"/>
      <c r="AF989" s="120"/>
      <c r="AG989" s="94"/>
      <c r="AH989" s="120"/>
      <c r="AI989" s="94"/>
      <c r="AJ989" s="94" t="s">
        <v>271</v>
      </c>
      <c r="AK989" s="94" t="s">
        <v>338</v>
      </c>
      <c r="AL989" s="94">
        <v>120</v>
      </c>
      <c r="AM989" s="94" t="str">
        <f>TRIM(AJ989)&amp;TRIM(AL989)&amp;TRIM(AK989)</f>
      </c>
      <c r="AN989" s="116">
        <v>329</v>
      </c>
      <c r="AO989" s="116">
        <v>-2</v>
      </c>
      <c r="AP989" s="116">
        <f>SUMIFS(M:M,AM:AM,AM989)+SUMIFS(O:O,AM:AM,AM989)</f>
      </c>
      <c r="AQ989" s="116">
        <f>SUMIFS(L:L,AM:AM,AM989)</f>
      </c>
      <c r="AR989" s="116">
        <f>AQ989-AP989</f>
      </c>
      <c r="AS989" s="94" t="str">
        <f>IF(AN989&gt;=AQ989,"ok","ck")</f>
      </c>
      <c r="AT989" s="116">
        <f>-P989</f>
      </c>
      <c r="AU989" s="115">
        <f>IF(SUMIFS(AT:AT,AM:AM,AM989)&gt;AO989,(SUMIFS(AT:AT,AM:AM,AM989)-AO989))</f>
      </c>
      <c r="AV989" s="116">
        <v>329</v>
      </c>
      <c r="AW989" s="121">
        <v>1.006</v>
      </c>
      <c r="AX989" s="115">
        <f>AN989-AP989</f>
      </c>
    </row>
    <row r="990" spans="1:50" ht="15" hidden="1" customHeight="1" x14ac:dyDescent="0.3">
      <c r="A990" s="94" t="s">
        <v>268</v>
      </c>
      <c r="B990" s="94"/>
      <c r="C990" s="94"/>
      <c r="D990" s="94"/>
      <c r="E990" s="94"/>
      <c r="F990" s="94"/>
      <c r="G990" s="112">
        <f>AU990</f>
      </c>
      <c r="H990" s="113"/>
      <c r="I990" s="94" t="s">
        <v>278</v>
      </c>
      <c r="J990" s="94" t="s">
        <v>333</v>
      </c>
      <c r="K990" s="114">
        <f>P990/3</f>
      </c>
      <c r="L990" s="115">
        <v>-0.17299999999999999</v>
      </c>
      <c r="M990" s="116">
        <f>L990</f>
      </c>
      <c r="N990" s="117">
        <f>M990-L990</f>
      </c>
      <c r="O990" s="112"/>
      <c r="P990" s="118">
        <f>N990+O990</f>
      </c>
      <c r="Q990" s="94" t="s">
        <v>271</v>
      </c>
      <c r="R990" s="94" t="s">
        <v>63</v>
      </c>
      <c r="S990" s="119">
        <v>46320</v>
      </c>
      <c r="T990" s="119"/>
      <c r="U990" s="119">
        <v>46320</v>
      </c>
      <c r="V990" s="94"/>
      <c r="W990" s="94"/>
      <c r="X990" s="94"/>
      <c r="Y990" s="119">
        <v>46320</v>
      </c>
      <c r="Z990" s="94"/>
      <c r="AA990" s="120"/>
      <c r="AB990" s="120"/>
      <c r="AC990" s="120"/>
      <c r="AD990" s="120"/>
      <c r="AE990" s="120"/>
      <c r="AF990" s="120"/>
      <c r="AG990" s="94"/>
      <c r="AH990" s="120"/>
      <c r="AI990" s="94"/>
      <c r="AJ990" s="94" t="s">
        <v>271</v>
      </c>
      <c r="AK990" s="94" t="s">
        <v>338</v>
      </c>
      <c r="AL990" s="94">
        <v>120</v>
      </c>
      <c r="AM990" s="94" t="str">
        <f>TRIM(AJ990)&amp;TRIM(AL990)&amp;TRIM(AK990)</f>
      </c>
      <c r="AN990" s="116">
        <v>329</v>
      </c>
      <c r="AO990" s="116">
        <v>-2</v>
      </c>
      <c r="AP990" s="116">
        <f>SUMIFS(M:M,AM:AM,AM990)+SUMIFS(O:O,AM:AM,AM990)</f>
      </c>
      <c r="AQ990" s="116">
        <f>SUMIFS(L:L,AM:AM,AM990)</f>
      </c>
      <c r="AR990" s="116">
        <f>AQ990-AP990</f>
      </c>
      <c r="AS990" s="94" t="str">
        <f>IF(AN990&gt;=AQ990,"ok","ck")</f>
      </c>
      <c r="AT990" s="116">
        <f>-P990</f>
      </c>
      <c r="AU990" s="115">
        <f>IF(SUMIFS(AT:AT,AM:AM,AM990)&gt;AO990,(SUMIFS(AT:AT,AM:AM,AM990)-AO990))</f>
      </c>
      <c r="AV990" s="116">
        <v>329</v>
      </c>
      <c r="AW990" s="121">
        <v>1.006</v>
      </c>
      <c r="AX990" s="115">
        <f>AN990-AP990</f>
      </c>
    </row>
    <row r="991" spans="1:50" ht="15" hidden="1" customHeight="1" x14ac:dyDescent="0.3">
      <c r="A991" s="94" t="s">
        <v>263</v>
      </c>
      <c r="B991" s="94"/>
      <c r="C991" s="94"/>
      <c r="D991" s="94"/>
      <c r="E991" s="94"/>
      <c r="F991" s="94"/>
      <c r="G991" s="112">
        <f>AU991</f>
      </c>
      <c r="H991" s="113"/>
      <c r="I991" s="94" t="s">
        <v>264</v>
      </c>
      <c r="J991" s="94" t="s">
        <v>265</v>
      </c>
      <c r="K991" s="114">
        <f>P991/3</f>
      </c>
      <c r="L991" s="115">
        <v>0</v>
      </c>
      <c r="M991" s="116">
        <f>L991</f>
      </c>
      <c r="N991" s="117">
        <f>M991-L991</f>
      </c>
      <c r="O991" s="112"/>
      <c r="P991" s="118">
        <f>N991+O991</f>
      </c>
      <c r="Q991" s="94" t="s">
        <v>266</v>
      </c>
      <c r="R991" s="94" t="s">
        <v>63</v>
      </c>
      <c r="S991" s="119">
        <v>46327</v>
      </c>
      <c r="T991" s="119"/>
      <c r="U991" s="119">
        <v>46327</v>
      </c>
      <c r="V991" s="94"/>
      <c r="W991" s="94"/>
      <c r="X991" s="94"/>
      <c r="Y991" s="119">
        <v>46327</v>
      </c>
      <c r="Z991" s="94"/>
      <c r="AA991" s="120"/>
      <c r="AB991" s="120"/>
      <c r="AC991" s="120"/>
      <c r="AD991" s="120"/>
      <c r="AE991" s="120"/>
      <c r="AF991" s="120"/>
      <c r="AG991" s="94"/>
      <c r="AH991" s="120"/>
      <c r="AI991" s="94"/>
      <c r="AJ991" s="94" t="s">
        <v>266</v>
      </c>
      <c r="AK991" s="94" t="s">
        <v>267</v>
      </c>
      <c r="AL991" s="94">
        <v>120</v>
      </c>
      <c r="AM991" s="94" t="str">
        <f>TRIM(AJ991)&amp;TRIM(AL991)&amp;TRIM(AK991)</f>
      </c>
      <c r="AN991" s="116">
        <v>43</v>
      </c>
      <c r="AO991" s="116">
        <v>0</v>
      </c>
      <c r="AP991" s="116">
        <f>SUMIFS(M:M,AM:AM,AM991)+SUMIFS(O:O,AM:AM,AM991)</f>
      </c>
      <c r="AQ991" s="116">
        <f>SUMIFS(L:L,AM:AM,AM991)</f>
      </c>
      <c r="AR991" s="116">
        <f>AQ991-AP991</f>
      </c>
      <c r="AS991" s="94" t="str">
        <f>IF(AN991&gt;=AQ991,"ok","ck")</f>
      </c>
      <c r="AT991" s="116">
        <f>-P991</f>
      </c>
      <c r="AU991" s="115">
        <f>IF(SUMIFS(AT:AT,AM:AM,AM991)&gt;AO991,(SUMIFS(AT:AT,AM:AM,AM991)-AO991))</f>
      </c>
      <c r="AV991" s="116">
        <v>43</v>
      </c>
      <c r="AW991" s="121">
        <v>1</v>
      </c>
      <c r="AX991" s="115">
        <f>AN991-AP991</f>
      </c>
    </row>
    <row r="992" spans="1:50" ht="15" hidden="1" customHeight="1" x14ac:dyDescent="0.3">
      <c r="A992" s="94" t="s">
        <v>350</v>
      </c>
      <c r="B992" s="94"/>
      <c r="C992" s="94"/>
      <c r="D992" s="94"/>
      <c r="E992" s="94"/>
      <c r="F992" s="94"/>
      <c r="G992" s="112">
        <f>AU992</f>
      </c>
      <c r="H992" s="113"/>
      <c r="I992" s="94" t="s">
        <v>264</v>
      </c>
      <c r="J992" s="94" t="s">
        <v>286</v>
      </c>
      <c r="K992" s="114">
        <f>P992/3</f>
      </c>
      <c r="L992" s="115">
        <v>0</v>
      </c>
      <c r="M992" s="116">
        <f>L992</f>
      </c>
      <c r="N992" s="117">
        <f>M992-L992</f>
      </c>
      <c r="O992" s="112"/>
      <c r="P992" s="118">
        <f>N992+O992</f>
      </c>
      <c r="Q992" s="94" t="s">
        <v>351</v>
      </c>
      <c r="R992" s="94" t="s">
        <v>63</v>
      </c>
      <c r="S992" s="119">
        <v>46326</v>
      </c>
      <c r="T992" s="119"/>
      <c r="U992" s="119">
        <v>46326</v>
      </c>
      <c r="V992" s="94"/>
      <c r="W992" s="94"/>
      <c r="X992" s="94"/>
      <c r="Y992" s="119">
        <v>46326</v>
      </c>
      <c r="Z992" s="94"/>
      <c r="AA992" s="120"/>
      <c r="AB992" s="120"/>
      <c r="AC992" s="120"/>
      <c r="AD992" s="120"/>
      <c r="AE992" s="120"/>
      <c r="AF992" s="120"/>
      <c r="AG992" s="94"/>
      <c r="AH992" s="120"/>
      <c r="AI992" s="94"/>
      <c r="AJ992" s="94" t="s">
        <v>351</v>
      </c>
      <c r="AK992" s="94" t="s">
        <v>281</v>
      </c>
      <c r="AL992" s="94">
        <v>120</v>
      </c>
      <c r="AM992" s="94" t="str">
        <f>TRIM(AJ992)&amp;TRIM(AL992)&amp;TRIM(AK992)</f>
      </c>
      <c r="AN992" s="116">
        <v>102</v>
      </c>
      <c r="AO992" s="116">
        <v>-4.56</v>
      </c>
      <c r="AP992" s="116">
        <f>SUMIFS(M:M,AM:AM,AM992)+SUMIFS(O:O,AM:AM,AM992)</f>
      </c>
      <c r="AQ992" s="116">
        <f>SUMIFS(L:L,AM:AM,AM992)</f>
      </c>
      <c r="AR992" s="116">
        <f>AQ992-AP992</f>
      </c>
      <c r="AS992" s="94" t="str">
        <f>IF(AN992&gt;=AQ992,"ok","ck")</f>
      </c>
      <c r="AT992" s="116">
        <f>-P992</f>
      </c>
      <c r="AU992" s="115">
        <f>IF(SUMIFS(AT:AT,AM:AM,AM992)&gt;AO992,(SUMIFS(AT:AT,AM:AM,AM992)-AO992))</f>
      </c>
      <c r="AV992" s="116">
        <v>102</v>
      </c>
      <c r="AW992" s="121">
        <v>1.047</v>
      </c>
      <c r="AX992" s="115">
        <f>AN992-AP992</f>
      </c>
    </row>
    <row r="993" spans="1:50" ht="15" hidden="1" customHeight="1" x14ac:dyDescent="0.3">
      <c r="A993" s="94" t="s">
        <v>60</v>
      </c>
      <c r="B993" s="94"/>
      <c r="C993" s="94"/>
      <c r="D993" s="94"/>
      <c r="E993" s="94"/>
      <c r="F993" s="94"/>
      <c r="G993" s="112">
        <f>AU993</f>
      </c>
      <c r="H993" s="113"/>
      <c r="I993" s="94" t="s">
        <v>482</v>
      </c>
      <c r="J993" s="94" t="s">
        <v>498</v>
      </c>
      <c r="K993" s="114">
        <f>P993/3</f>
      </c>
      <c r="L993" s="115">
        <v>13.5</v>
      </c>
      <c r="M993" s="116"/>
      <c r="N993" s="117">
        <f>M993-L993</f>
      </c>
      <c r="O993" s="112"/>
      <c r="P993" s="118">
        <f>N993+O993</f>
      </c>
      <c r="Q993" s="94" t="s">
        <v>790</v>
      </c>
      <c r="R993" s="94" t="s">
        <v>63</v>
      </c>
      <c r="S993" s="119">
        <v>46335</v>
      </c>
      <c r="T993" s="119"/>
      <c r="U993" s="119">
        <v>46335</v>
      </c>
      <c r="V993" s="94"/>
      <c r="W993" s="94"/>
      <c r="X993" s="94"/>
      <c r="Y993" s="119">
        <v>46337</v>
      </c>
      <c r="Z993" s="94"/>
      <c r="AA993" s="120"/>
      <c r="AB993" s="120"/>
      <c r="AC993" s="120"/>
      <c r="AD993" s="120"/>
      <c r="AE993" s="120"/>
      <c r="AF993" s="120"/>
      <c r="AG993" s="94"/>
      <c r="AH993" s="120"/>
      <c r="AI993" s="94"/>
      <c r="AJ993" s="94" t="s">
        <v>790</v>
      </c>
      <c r="AK993" s="94" t="s">
        <v>691</v>
      </c>
      <c r="AL993" s="94">
        <v>110</v>
      </c>
      <c r="AM993" s="94" t="str">
        <f>TRIM(AJ993)&amp;TRIM(AL993)&amp;TRIM(AK993)</f>
      </c>
      <c r="AN993" s="116">
        <v>0</v>
      </c>
      <c r="AO993" s="116" t="inlineStr">
        <is>
          <t>#NA</t>
        </is>
      </c>
      <c r="AP993" s="116">
        <f>SUMIFS(M:M,AM:AM,AM993)+SUMIFS(O:O,AM:AM,AM993)</f>
      </c>
      <c r="AQ993" s="116">
        <f>SUMIFS(L:L,AM:AM,AM993)</f>
      </c>
      <c r="AR993" s="116">
        <f>AQ993-AP993</f>
      </c>
      <c r="AS993" s="94" t="str">
        <f>IF(AN993&gt;=AQ993,"ok","ck")</f>
      </c>
      <c r="AT993" s="116">
        <f>-P993</f>
      </c>
      <c r="AU993" s="115">
        <f>IF(SUMIFS(AT:AT,AM:AM,AM993)&gt;AO993,(SUMIFS(AT:AT,AM:AM,AM993)-AO993))</f>
      </c>
      <c r="AV993" s="116">
        <v>0</v>
      </c>
      <c r="AW993" s="121">
        <v>0</v>
      </c>
      <c r="AX993" s="115">
        <f>AN993-AP993</f>
      </c>
    </row>
    <row r="994" spans="1:50" ht="15" hidden="1" customHeight="1" x14ac:dyDescent="0.3">
      <c r="A994" s="94" t="s">
        <v>60</v>
      </c>
      <c r="B994" s="94"/>
      <c r="C994" s="94"/>
      <c r="D994" s="94"/>
      <c r="E994" s="94"/>
      <c r="F994" s="94"/>
      <c r="G994" s="112">
        <f>AU994</f>
      </c>
      <c r="H994" s="113"/>
      <c r="I994" s="94" t="s">
        <v>65</v>
      </c>
      <c r="J994" s="94" t="s">
        <v>124</v>
      </c>
      <c r="K994" s="114">
        <f>P994/3</f>
      </c>
      <c r="L994" s="115">
        <v>8.5000000000000006E-2</v>
      </c>
      <c r="M994" s="116">
        <f>L994</f>
      </c>
      <c r="N994" s="117">
        <f>M994-L994</f>
      </c>
      <c r="O994" s="112"/>
      <c r="P994" s="118">
        <f>N994+O994</f>
      </c>
      <c r="Q994" s="94" t="s">
        <v>116</v>
      </c>
      <c r="R994" s="94" t="s">
        <v>63</v>
      </c>
      <c r="S994" s="119">
        <v>46320</v>
      </c>
      <c r="T994" s="119"/>
      <c r="U994" s="119">
        <v>46320</v>
      </c>
      <c r="V994" s="94"/>
      <c r="W994" s="94"/>
      <c r="X994" s="94"/>
      <c r="Y994" s="119">
        <v>46320</v>
      </c>
      <c r="Z994" s="94"/>
      <c r="AA994" s="120"/>
      <c r="AB994" s="120"/>
      <c r="AC994" s="120"/>
      <c r="AD994" s="120"/>
      <c r="AE994" s="120"/>
      <c r="AF994" s="120"/>
      <c r="AG994" s="94"/>
      <c r="AH994" s="120"/>
      <c r="AI994" s="94"/>
      <c r="AJ994" s="94" t="s">
        <v>64</v>
      </c>
      <c r="AK994" s="94" t="s">
        <v>124</v>
      </c>
      <c r="AL994" s="94">
        <v>110</v>
      </c>
      <c r="AM994" s="94" t="str">
        <f>TRIM(AJ994)&amp;TRIM(AL994)&amp;TRIM(AK994)</f>
      </c>
      <c r="AN994" s="116">
        <v>644</v>
      </c>
      <c r="AO994" s="116">
        <v>-97</v>
      </c>
      <c r="AP994" s="116">
        <f>SUMIFS(M:M,AM:AM,AM994)+SUMIFS(O:O,AM:AM,AM994)</f>
      </c>
      <c r="AQ994" s="116">
        <f>SUMIFS(L:L,AM:AM,AM994)</f>
      </c>
      <c r="AR994" s="116">
        <f>AQ994-AP994</f>
      </c>
      <c r="AS994" s="94" t="str">
        <f>IF(AN994&gt;=AQ994,"ok","ck")</f>
      </c>
      <c r="AT994" s="116">
        <f>-P994</f>
      </c>
      <c r="AU994" s="115">
        <f>IF(SUMIFS(AT:AT,AM:AM,AM994)&gt;AO994,(SUMIFS(AT:AT,AM:AM,AM994)-AO994))</f>
      </c>
      <c r="AV994" s="116">
        <v>644</v>
      </c>
      <c r="AW994" s="121">
        <v>1.177</v>
      </c>
      <c r="AX994" s="115">
        <f>AN994-AP994</f>
      </c>
    </row>
    <row r="995" spans="1:50" ht="15" hidden="1" customHeight="1" x14ac:dyDescent="0.3">
      <c r="A995" s="94" t="s">
        <v>288</v>
      </c>
      <c r="B995" s="94"/>
      <c r="C995" s="94"/>
      <c r="D995" s="94"/>
      <c r="E995" s="94"/>
      <c r="F995" s="94"/>
      <c r="G995" s="112">
        <f>AU995</f>
      </c>
      <c r="H995" s="113"/>
      <c r="I995" s="94" t="s">
        <v>289</v>
      </c>
      <c r="J995" s="94" t="s">
        <v>301</v>
      </c>
      <c r="K995" s="114">
        <f>P995/3</f>
      </c>
      <c r="L995" s="115">
        <v>-0.72299999999999998</v>
      </c>
      <c r="M995" s="116">
        <f>L995</f>
      </c>
      <c r="N995" s="117">
        <f>M995-L995</f>
      </c>
      <c r="O995" s="112"/>
      <c r="P995" s="118">
        <f>N995+O995</f>
      </c>
      <c r="Q995" s="94" t="s">
        <v>299</v>
      </c>
      <c r="R995" s="94" t="s">
        <v>63</v>
      </c>
      <c r="S995" s="119">
        <v>46320</v>
      </c>
      <c r="T995" s="119"/>
      <c r="U995" s="119">
        <v>46320</v>
      </c>
      <c r="V995" s="94"/>
      <c r="W995" s="94"/>
      <c r="X995" s="94"/>
      <c r="Y995" s="119">
        <v>46320</v>
      </c>
      <c r="Z995" s="94"/>
      <c r="AA995" s="120"/>
      <c r="AB995" s="120"/>
      <c r="AC995" s="120"/>
      <c r="AD995" s="120"/>
      <c r="AE995" s="120"/>
      <c r="AF995" s="120"/>
      <c r="AG995" s="94"/>
      <c r="AH995" s="120"/>
      <c r="AI995" s="94"/>
      <c r="AJ995" s="94" t="s">
        <v>478</v>
      </c>
      <c r="AK995" s="94" t="s">
        <v>302</v>
      </c>
      <c r="AL995" s="94">
        <v>235</v>
      </c>
      <c r="AM995" s="94" t="str">
        <f>TRIM(AJ995)&amp;TRIM(AL995)&amp;TRIM(AK995)</f>
      </c>
      <c r="AN995" s="116">
        <v>587</v>
      </c>
      <c r="AO995" s="116">
        <v>-15.36</v>
      </c>
      <c r="AP995" s="116">
        <f>SUMIFS(M:M,AM:AM,AM995)+SUMIFS(O:O,AM:AM,AM995)</f>
      </c>
      <c r="AQ995" s="116">
        <f>SUMIFS(L:L,AM:AM,AM995)</f>
      </c>
      <c r="AR995" s="116">
        <f>AQ995-AP995</f>
      </c>
      <c r="AS995" s="94" t="str">
        <f>IF(AN995&gt;=AQ995,"ok","ck")</f>
      </c>
      <c r="AT995" s="116">
        <f>-P995</f>
      </c>
      <c r="AU995" s="115">
        <f>IF(SUMIFS(AT:AT,AM:AM,AM995)&gt;AO995,(SUMIFS(AT:AT,AM:AM,AM995)-AO995))</f>
      </c>
      <c r="AV995" s="116">
        <v>587</v>
      </c>
      <c r="AW995" s="121">
        <v>1.027</v>
      </c>
      <c r="AX995" s="115">
        <f>AN995-AP995</f>
      </c>
    </row>
    <row r="996" spans="1:50" ht="15" hidden="1" customHeight="1" x14ac:dyDescent="0.3">
      <c r="A996" s="94" t="s">
        <v>288</v>
      </c>
      <c r="B996" s="94"/>
      <c r="C996" s="94"/>
      <c r="D996" s="94"/>
      <c r="E996" s="94"/>
      <c r="F996" s="94"/>
      <c r="G996" s="112">
        <f>AU996</f>
      </c>
      <c r="H996" s="113"/>
      <c r="I996" s="94" t="s">
        <v>289</v>
      </c>
      <c r="J996" s="94" t="s">
        <v>301</v>
      </c>
      <c r="K996" s="114">
        <f>P996/3</f>
      </c>
      <c r="L996" s="115">
        <v>-3.9009999999999998</v>
      </c>
      <c r="M996" s="116">
        <f>L996</f>
      </c>
      <c r="N996" s="117">
        <f>M996-L996</f>
      </c>
      <c r="O996" s="112"/>
      <c r="P996" s="118">
        <f>N996+O996</f>
      </c>
      <c r="Q996" s="94" t="s">
        <v>299</v>
      </c>
      <c r="R996" s="94" t="s">
        <v>63</v>
      </c>
      <c r="S996" s="119">
        <v>46322</v>
      </c>
      <c r="T996" s="119"/>
      <c r="U996" s="119">
        <v>46322</v>
      </c>
      <c r="V996" s="94"/>
      <c r="W996" s="94"/>
      <c r="X996" s="94"/>
      <c r="Y996" s="119">
        <v>46322</v>
      </c>
      <c r="Z996" s="94"/>
      <c r="AA996" s="120"/>
      <c r="AB996" s="120"/>
      <c r="AC996" s="120"/>
      <c r="AD996" s="120"/>
      <c r="AE996" s="120"/>
      <c r="AF996" s="120"/>
      <c r="AG996" s="94"/>
      <c r="AH996" s="120"/>
      <c r="AI996" s="94"/>
      <c r="AJ996" s="94" t="s">
        <v>478</v>
      </c>
      <c r="AK996" s="94" t="s">
        <v>302</v>
      </c>
      <c r="AL996" s="94">
        <v>235</v>
      </c>
      <c r="AM996" s="94" t="str">
        <f>TRIM(AJ996)&amp;TRIM(AL996)&amp;TRIM(AK996)</f>
      </c>
      <c r="AN996" s="116">
        <v>587</v>
      </c>
      <c r="AO996" s="116">
        <v>-15.36</v>
      </c>
      <c r="AP996" s="116">
        <f>SUMIFS(M:M,AM:AM,AM996)+SUMIFS(O:O,AM:AM,AM996)</f>
      </c>
      <c r="AQ996" s="116">
        <f>SUMIFS(L:L,AM:AM,AM996)</f>
      </c>
      <c r="AR996" s="116">
        <f>AQ996-AP996</f>
      </c>
      <c r="AS996" s="94" t="str">
        <f>IF(AN996&gt;=AQ996,"ok","ck")</f>
      </c>
      <c r="AT996" s="116">
        <f>-P996</f>
      </c>
      <c r="AU996" s="115">
        <f>IF(SUMIFS(AT:AT,AM:AM,AM996)&gt;AO996,(SUMIFS(AT:AT,AM:AM,AM996)-AO996))</f>
      </c>
      <c r="AV996" s="116">
        <v>587</v>
      </c>
      <c r="AW996" s="121">
        <v>1.027</v>
      </c>
      <c r="AX996" s="115">
        <f>AN996-AP996</f>
      </c>
    </row>
    <row r="997" spans="1:50" ht="15" hidden="1" customHeight="1" x14ac:dyDescent="0.3">
      <c r="A997" s="94" t="s">
        <v>288</v>
      </c>
      <c r="B997" s="94"/>
      <c r="C997" s="94"/>
      <c r="D997" s="94"/>
      <c r="E997" s="94"/>
      <c r="F997" s="94"/>
      <c r="G997" s="112">
        <f>AU997</f>
      </c>
      <c r="H997" s="113"/>
      <c r="I997" s="94" t="s">
        <v>295</v>
      </c>
      <c r="J997" s="94" t="s">
        <v>290</v>
      </c>
      <c r="K997" s="114">
        <f>P997/3</f>
      </c>
      <c r="L997" s="115">
        <v>0</v>
      </c>
      <c r="M997" s="116">
        <f>L997</f>
      </c>
      <c r="N997" s="117">
        <f>M997-L997</f>
      </c>
      <c r="O997" s="112"/>
      <c r="P997" s="118">
        <f>N997+O997</f>
      </c>
      <c r="Q997" s="94" t="s">
        <v>318</v>
      </c>
      <c r="R997" s="94" t="s">
        <v>63</v>
      </c>
      <c r="S997" s="119">
        <v>46320</v>
      </c>
      <c r="T997" s="119"/>
      <c r="U997" s="120">
        <v>46320</v>
      </c>
      <c r="V997" s="94"/>
      <c r="W997" s="94"/>
      <c r="X997" s="94"/>
      <c r="Y997" s="119">
        <v>46320</v>
      </c>
      <c r="Z997" s="94"/>
      <c r="AA997" s="120"/>
      <c r="AB997" s="120"/>
      <c r="AC997" s="120"/>
      <c r="AD997" s="120"/>
      <c r="AE997" s="120"/>
      <c r="AF997" s="120"/>
      <c r="AG997" s="94"/>
      <c r="AH997" s="120"/>
      <c r="AI997" s="94"/>
      <c r="AJ997" s="94" t="s">
        <v>319</v>
      </c>
      <c r="AK997" s="94" t="s">
        <v>267</v>
      </c>
      <c r="AL997" s="94">
        <v>180</v>
      </c>
      <c r="AM997" s="94" t="str">
        <f>TRIM(AJ997)&amp;TRIM(AL997)&amp;TRIM(AK997)</f>
      </c>
      <c r="AN997" s="116">
        <v>435</v>
      </c>
      <c r="AO997" s="116">
        <v>18.58</v>
      </c>
      <c r="AP997" s="116">
        <f>SUMIFS(M:M,AM:AM,AM997)+SUMIFS(O:O,AM:AM,AM997)</f>
      </c>
      <c r="AQ997" s="116">
        <f>SUMIFS(L:L,AM:AM,AM997)</f>
      </c>
      <c r="AR997" s="116">
        <f>AQ997-AP997</f>
      </c>
      <c r="AS997" s="94" t="str">
        <f>IF(AN997&gt;=AQ997,"ok","ck")</f>
      </c>
      <c r="AT997" s="116">
        <f>-P997</f>
      </c>
      <c r="AU997" s="115">
        <f>IF(SUMIFS(AT:AT,AM:AM,AM997)&gt;AO997,(SUMIFS(AT:AT,AM:AM,AM997)-AO997))</f>
      </c>
      <c r="AV997" s="116">
        <v>435</v>
      </c>
      <c r="AW997" s="121">
        <v>0.959</v>
      </c>
      <c r="AX997" s="115">
        <f>AN997-AP997</f>
      </c>
    </row>
    <row r="998" spans="1:50" ht="15" hidden="1" customHeight="1" x14ac:dyDescent="0.3">
      <c r="A998" s="94" t="s">
        <v>288</v>
      </c>
      <c r="B998" s="94"/>
      <c r="C998" s="94"/>
      <c r="D998" s="94"/>
      <c r="E998" s="94"/>
      <c r="F998" s="94"/>
      <c r="G998" s="112">
        <f>AU998</f>
      </c>
      <c r="H998" s="113"/>
      <c r="I998" s="94" t="s">
        <v>295</v>
      </c>
      <c r="J998" s="94" t="s">
        <v>290</v>
      </c>
      <c r="K998" s="114">
        <f>P998/3</f>
      </c>
      <c r="L998" s="115">
        <v>0</v>
      </c>
      <c r="M998" s="116">
        <f>L998</f>
      </c>
      <c r="N998" s="117">
        <f>M998-L998</f>
      </c>
      <c r="O998" s="112"/>
      <c r="P998" s="118">
        <f>N998+O998</f>
      </c>
      <c r="Q998" s="94" t="s">
        <v>318</v>
      </c>
      <c r="R998" s="94" t="s">
        <v>63</v>
      </c>
      <c r="S998" s="119">
        <v>46323</v>
      </c>
      <c r="T998" s="119"/>
      <c r="U998" s="120">
        <v>46323</v>
      </c>
      <c r="V998" s="94"/>
      <c r="W998" s="94"/>
      <c r="X998" s="94"/>
      <c r="Y998" s="119">
        <v>46323</v>
      </c>
      <c r="Z998" s="94"/>
      <c r="AA998" s="120"/>
      <c r="AB998" s="120"/>
      <c r="AC998" s="120"/>
      <c r="AD998" s="120"/>
      <c r="AE998" s="120"/>
      <c r="AF998" s="120"/>
      <c r="AG998" s="94"/>
      <c r="AH998" s="120"/>
      <c r="AI998" s="94"/>
      <c r="AJ998" s="94" t="s">
        <v>319</v>
      </c>
      <c r="AK998" s="94" t="s">
        <v>267</v>
      </c>
      <c r="AL998" s="94">
        <v>180</v>
      </c>
      <c r="AM998" s="94" t="str">
        <f>TRIM(AJ998)&amp;TRIM(AL998)&amp;TRIM(AK998)</f>
      </c>
      <c r="AN998" s="116">
        <v>435</v>
      </c>
      <c r="AO998" s="116">
        <v>18.58</v>
      </c>
      <c r="AP998" s="116">
        <f>SUMIFS(M:M,AM:AM,AM998)+SUMIFS(O:O,AM:AM,AM998)</f>
      </c>
      <c r="AQ998" s="116">
        <f>SUMIFS(L:L,AM:AM,AM998)</f>
      </c>
      <c r="AR998" s="116">
        <f>AQ998-AP998</f>
      </c>
      <c r="AS998" s="94" t="str">
        <f>IF(AN998&gt;=AQ998,"ok","ck")</f>
      </c>
      <c r="AT998" s="116">
        <f>-P998</f>
      </c>
      <c r="AU998" s="115">
        <f>IF(SUMIFS(AT:AT,AM:AM,AM998)&gt;AO998,(SUMIFS(AT:AT,AM:AM,AM998)-AO998))</f>
      </c>
      <c r="AV998" s="116">
        <v>435</v>
      </c>
      <c r="AW998" s="121">
        <v>0.959</v>
      </c>
      <c r="AX998" s="115">
        <f>AN998-AP998</f>
      </c>
    </row>
    <row r="999" spans="1:50" ht="15" hidden="1" customHeight="1" x14ac:dyDescent="0.3">
      <c r="A999" s="94" t="s">
        <v>288</v>
      </c>
      <c r="B999" s="94"/>
      <c r="C999" s="94"/>
      <c r="D999" s="94"/>
      <c r="E999" s="94"/>
      <c r="F999" s="94"/>
      <c r="G999" s="112">
        <f>AU999</f>
      </c>
      <c r="H999" s="113"/>
      <c r="I999" s="94" t="s">
        <v>295</v>
      </c>
      <c r="J999" s="94" t="s">
        <v>367</v>
      </c>
      <c r="K999" s="114">
        <f>P999/3</f>
      </c>
      <c r="L999" s="115">
        <v>128.404</v>
      </c>
      <c r="M999" s="116">
        <f>L999</f>
      </c>
      <c r="N999" s="117">
        <f>M999-L999</f>
      </c>
      <c r="O999" s="112"/>
      <c r="P999" s="118">
        <f>N999+O999</f>
      </c>
      <c r="Q999" s="94" t="s">
        <v>318</v>
      </c>
      <c r="R999" s="94" t="s">
        <v>63</v>
      </c>
      <c r="S999" s="119">
        <v>46298</v>
      </c>
      <c r="T999" s="119"/>
      <c r="U999" s="120">
        <v>46298</v>
      </c>
      <c r="V999" s="94"/>
      <c r="W999" s="94"/>
      <c r="X999" s="94"/>
      <c r="Y999" s="119">
        <v>46320</v>
      </c>
      <c r="Z999" s="94"/>
      <c r="AA999" s="120"/>
      <c r="AB999" s="120"/>
      <c r="AC999" s="120"/>
      <c r="AD999" s="120"/>
      <c r="AE999" s="120"/>
      <c r="AF999" s="120"/>
      <c r="AG999" s="94"/>
      <c r="AH999" s="120"/>
      <c r="AI999" s="94"/>
      <c r="AJ999" s="94" t="s">
        <v>319</v>
      </c>
      <c r="AK999" s="94" t="s">
        <v>281</v>
      </c>
      <c r="AL999" s="94">
        <v>180</v>
      </c>
      <c r="AM999" s="94" t="str">
        <f>TRIM(AJ999)&amp;TRIM(AL999)&amp;TRIM(AK999)</f>
      </c>
      <c r="AN999" s="116">
        <v>438.79</v>
      </c>
      <c r="AO999" s="116">
        <v>14.79</v>
      </c>
      <c r="AP999" s="116">
        <f>SUMIFS(M:M,AM:AM,AM999)+SUMIFS(O:O,AM:AM,AM999)</f>
      </c>
      <c r="AQ999" s="116">
        <f>SUMIFS(L:L,AM:AM,AM999)</f>
      </c>
      <c r="AR999" s="116">
        <f>AQ999-AP999</f>
      </c>
      <c r="AS999" s="94" t="str">
        <f>IF(AN999&gt;=AQ999,"ok","ck")</f>
      </c>
      <c r="AT999" s="116">
        <f>-P999</f>
      </c>
      <c r="AU999" s="115">
        <f>IF(SUMIFS(AT:AT,AM:AM,AM999)&gt;AO999,(SUMIFS(AT:AT,AM:AM,AM999)-AO999))</f>
      </c>
      <c r="AV999" s="116">
        <v>438.79</v>
      </c>
      <c r="AW999" s="121">
        <v>0.967</v>
      </c>
      <c r="AX999" s="115">
        <f>AN999-AP999</f>
      </c>
    </row>
    <row r="1000" spans="1:50" ht="15" hidden="1" customHeight="1" x14ac:dyDescent="0.3">
      <c r="A1000" s="94" t="s">
        <v>288</v>
      </c>
      <c r="B1000" s="94"/>
      <c r="C1000" s="94"/>
      <c r="D1000" s="94"/>
      <c r="E1000" s="94"/>
      <c r="F1000" s="94"/>
      <c r="G1000" s="112">
        <f>AU1000</f>
      </c>
      <c r="H1000" s="113"/>
      <c r="I1000" s="94" t="s">
        <v>295</v>
      </c>
      <c r="J1000" s="94" t="s">
        <v>367</v>
      </c>
      <c r="K1000" s="114">
        <f>P1000/3</f>
      </c>
      <c r="L1000" s="115">
        <v>64.201999999999998</v>
      </c>
      <c r="M1000" s="116">
        <f>L1000</f>
      </c>
      <c r="N1000" s="117">
        <f>M1000-L1000</f>
      </c>
      <c r="O1000" s="112"/>
      <c r="P1000" s="118">
        <f>N1000+O1000</f>
      </c>
      <c r="Q1000" s="94" t="s">
        <v>318</v>
      </c>
      <c r="R1000" s="94" t="s">
        <v>63</v>
      </c>
      <c r="S1000" s="119">
        <v>46298</v>
      </c>
      <c r="T1000" s="119"/>
      <c r="U1000" s="120">
        <v>46298</v>
      </c>
      <c r="V1000" s="94"/>
      <c r="W1000" s="94"/>
      <c r="X1000" s="94"/>
      <c r="Y1000" s="119">
        <v>46323</v>
      </c>
      <c r="Z1000" s="94"/>
      <c r="AA1000" s="120"/>
      <c r="AB1000" s="120"/>
      <c r="AC1000" s="120"/>
      <c r="AD1000" s="120"/>
      <c r="AE1000" s="120"/>
      <c r="AF1000" s="120"/>
      <c r="AG1000" s="94"/>
      <c r="AH1000" s="120"/>
      <c r="AI1000" s="94"/>
      <c r="AJ1000" s="94" t="s">
        <v>319</v>
      </c>
      <c r="AK1000" s="94" t="s">
        <v>281</v>
      </c>
      <c r="AL1000" s="94">
        <v>180</v>
      </c>
      <c r="AM1000" s="94" t="str">
        <f>TRIM(AJ1000)&amp;TRIM(AL1000)&amp;TRIM(AK1000)</f>
      </c>
      <c r="AN1000" s="116">
        <v>438.79</v>
      </c>
      <c r="AO1000" s="116">
        <v>14.79</v>
      </c>
      <c r="AP1000" s="116">
        <f>SUMIFS(M:M,AM:AM,AM1000)+SUMIFS(O:O,AM:AM,AM1000)</f>
      </c>
      <c r="AQ1000" s="116">
        <f>SUMIFS(L:L,AM:AM,AM1000)</f>
      </c>
      <c r="AR1000" s="116">
        <f>AQ1000-AP1000</f>
      </c>
      <c r="AS1000" s="94" t="str">
        <f>IF(AN1000&gt;=AQ1000,"ok","ck")</f>
      </c>
      <c r="AT1000" s="116">
        <f>-P1000</f>
      </c>
      <c r="AU1000" s="115">
        <f>IF(SUMIFS(AT:AT,AM:AM,AM1000)&gt;AO1000,(SUMIFS(AT:AT,AM:AM,AM1000)-AO1000))</f>
      </c>
      <c r="AV1000" s="116">
        <v>438.79</v>
      </c>
      <c r="AW1000" s="121">
        <v>0.967</v>
      </c>
      <c r="AX1000" s="115">
        <f>AN1000-AP1000</f>
      </c>
    </row>
    <row r="1001" spans="1:50" ht="15" hidden="1" customHeight="1" x14ac:dyDescent="0.3">
      <c r="A1001" s="94" t="s">
        <v>268</v>
      </c>
      <c r="B1001" s="94"/>
      <c r="C1001" s="94"/>
      <c r="D1001" s="94"/>
      <c r="E1001" s="94"/>
      <c r="F1001" s="94"/>
      <c r="G1001" s="112">
        <f>AU1001</f>
      </c>
      <c r="H1001" s="113"/>
      <c r="I1001" s="94" t="s">
        <v>390</v>
      </c>
      <c r="J1001" s="94" t="s">
        <v>273</v>
      </c>
      <c r="K1001" s="114">
        <f>P1001/3</f>
      </c>
      <c r="L1001" s="115">
        <v>-45.725000000000001</v>
      </c>
      <c r="M1001" s="116">
        <f>L1001</f>
      </c>
      <c r="N1001" s="117">
        <f>M1001-L1001</f>
      </c>
      <c r="O1001" s="112"/>
      <c r="P1001" s="118">
        <f>N1001+O1001</f>
      </c>
      <c r="Q1001" s="94" t="s">
        <v>316</v>
      </c>
      <c r="R1001" s="94" t="s">
        <v>63</v>
      </c>
      <c r="S1001" s="119">
        <v>46320</v>
      </c>
      <c r="T1001" s="119"/>
      <c r="U1001" s="120">
        <v>46320</v>
      </c>
      <c r="V1001" s="94"/>
      <c r="W1001" s="94"/>
      <c r="X1001" s="94"/>
      <c r="Y1001" s="119">
        <v>46320</v>
      </c>
      <c r="Z1001" s="94"/>
      <c r="AA1001" s="120"/>
      <c r="AB1001" s="120"/>
      <c r="AC1001" s="120"/>
      <c r="AD1001" s="120"/>
      <c r="AE1001" s="120"/>
      <c r="AF1001" s="120"/>
      <c r="AG1001" s="94"/>
      <c r="AH1001" s="120"/>
      <c r="AI1001" s="94"/>
      <c r="AJ1001" s="94" t="s">
        <v>316</v>
      </c>
      <c r="AK1001" s="94" t="s">
        <v>274</v>
      </c>
      <c r="AL1001" s="94">
        <v>140</v>
      </c>
      <c r="AM1001" s="94" t="str">
        <f>TRIM(AJ1001)&amp;TRIM(AL1001)&amp;TRIM(AK1001)</f>
      </c>
      <c r="AN1001" s="116">
        <v>2402.36</v>
      </c>
      <c r="AO1001" s="116">
        <v>-28.36</v>
      </c>
      <c r="AP1001" s="116">
        <f>SUMIFS(M:M,AM:AM,AM1001)+SUMIFS(O:O,AM:AM,AM1001)</f>
      </c>
      <c r="AQ1001" s="116">
        <f>SUMIFS(L:L,AM:AM,AM1001)</f>
      </c>
      <c r="AR1001" s="116">
        <f>AQ1001-AP1001</f>
      </c>
      <c r="AS1001" s="94" t="str">
        <f>IF(AN1001&gt;=AQ1001,"ok","ck")</f>
      </c>
      <c r="AT1001" s="116">
        <f>-P1001</f>
      </c>
      <c r="AU1001" s="115">
        <f>IF(SUMIFS(AT:AT,AM:AM,AM1001)&gt;AO1001,(SUMIFS(AT:AT,AM:AM,AM1001)-AO1001))</f>
      </c>
      <c r="AV1001" s="116">
        <v>2402.36</v>
      </c>
      <c r="AW1001" s="121">
        <v>1.012</v>
      </c>
      <c r="AX1001" s="115">
        <f>AN1001-AP1001</f>
      </c>
    </row>
    <row r="1002" spans="1:50" ht="15" hidden="1" customHeight="1" x14ac:dyDescent="0.3">
      <c r="A1002" s="94" t="s">
        <v>268</v>
      </c>
      <c r="B1002" s="94"/>
      <c r="C1002" s="94"/>
      <c r="D1002" s="94"/>
      <c r="E1002" s="94"/>
      <c r="F1002" s="94"/>
      <c r="G1002" s="112">
        <f>AU1002</f>
      </c>
      <c r="H1002" s="113"/>
      <c r="I1002" s="94" t="s">
        <v>278</v>
      </c>
      <c r="J1002" s="94" t="s">
        <v>535</v>
      </c>
      <c r="K1002" s="114">
        <f>P1002/3</f>
      </c>
      <c r="L1002" s="115">
        <v>50.924999999999997</v>
      </c>
      <c r="M1002" s="116"/>
      <c r="N1002" s="117">
        <f>M1002-L1002</f>
      </c>
      <c r="O1002" s="112"/>
      <c r="P1002" s="118">
        <f>N1002+O1002</f>
      </c>
      <c r="Q1002" s="94" t="s">
        <v>807</v>
      </c>
      <c r="R1002" s="94" t="s">
        <v>63</v>
      </c>
      <c r="S1002" s="119">
        <v>46346</v>
      </c>
      <c r="T1002" s="119"/>
      <c r="U1002" s="120">
        <v>46346</v>
      </c>
      <c r="V1002" s="94"/>
      <c r="W1002" s="94"/>
      <c r="X1002" s="94"/>
      <c r="Y1002" s="119">
        <v>46342</v>
      </c>
      <c r="Z1002" s="94"/>
      <c r="AA1002" s="120"/>
      <c r="AB1002" s="120"/>
      <c r="AC1002" s="120"/>
      <c r="AD1002" s="120"/>
      <c r="AE1002" s="120"/>
      <c r="AF1002" s="120"/>
      <c r="AG1002" s="94"/>
      <c r="AH1002" s="120"/>
      <c r="AI1002" s="94"/>
      <c r="AJ1002" s="94" t="s">
        <v>807</v>
      </c>
      <c r="AK1002" s="94" t="s">
        <v>719</v>
      </c>
      <c r="AL1002" s="94">
        <v>120</v>
      </c>
      <c r="AM1002" s="94" t="str">
        <f>TRIM(AJ1002)&amp;TRIM(AL1002)&amp;TRIM(AK1002)</f>
      </c>
      <c r="AN1002" s="116">
        <v>0</v>
      </c>
      <c r="AO1002" s="116" t="inlineStr">
        <is>
          <t>#NA</t>
        </is>
      </c>
      <c r="AP1002" s="116">
        <f>SUMIFS(M:M,AM:AM,AM1002)+SUMIFS(O:O,AM:AM,AM1002)</f>
      </c>
      <c r="AQ1002" s="116">
        <f>SUMIFS(L:L,AM:AM,AM1002)</f>
      </c>
      <c r="AR1002" s="116">
        <f>AQ1002-AP1002</f>
      </c>
      <c r="AS1002" s="94" t="str">
        <f>IF(AN1002&gt;=AQ1002,"ok","ck")</f>
      </c>
      <c r="AT1002" s="116">
        <f>-P1002</f>
      </c>
      <c r="AU1002" s="115">
        <f>IF(SUMIFS(AT:AT,AM:AM,AM1002)&gt;AO1002,(SUMIFS(AT:AT,AM:AM,AM1002)-AO1002))</f>
      </c>
      <c r="AV1002" s="116">
        <v>0</v>
      </c>
      <c r="AW1002" s="121">
        <v>0</v>
      </c>
      <c r="AX1002" s="115">
        <f>AN1002-AP1002</f>
      </c>
    </row>
    <row r="1003" spans="1:50" ht="15" hidden="1" customHeight="1" x14ac:dyDescent="0.3">
      <c r="A1003" s="94" t="s">
        <v>60</v>
      </c>
      <c r="B1003" s="94"/>
      <c r="C1003" s="94"/>
      <c r="D1003" s="94"/>
      <c r="E1003" s="94"/>
      <c r="F1003" s="94"/>
      <c r="G1003" s="112">
        <f>AU1003</f>
      </c>
      <c r="H1003" s="113"/>
      <c r="I1003" s="94" t="s">
        <v>70</v>
      </c>
      <c r="J1003" s="94" t="s">
        <v>71</v>
      </c>
      <c r="K1003" s="114">
        <f>P1003/3</f>
      </c>
      <c r="L1003" s="115">
        <v>276.69499999999999</v>
      </c>
      <c r="M1003" s="116">
        <v>228.71799999999999</v>
      </c>
      <c r="N1003" s="117">
        <f>M1003-L1003</f>
      </c>
      <c r="O1003" s="112"/>
      <c r="P1003" s="118">
        <f>N1003+O1003</f>
      </c>
      <c r="Q1003" s="94" t="s">
        <v>67</v>
      </c>
      <c r="R1003" s="94" t="s">
        <v>63</v>
      </c>
      <c r="S1003" s="119">
        <v>46337</v>
      </c>
      <c r="T1003" s="119"/>
      <c r="U1003" s="119">
        <v>46337</v>
      </c>
      <c r="V1003" s="94"/>
      <c r="W1003" s="94"/>
      <c r="X1003" s="94"/>
      <c r="Y1003" s="119">
        <v>46337</v>
      </c>
      <c r="Z1003" s="94"/>
      <c r="AA1003" s="120"/>
      <c r="AB1003" s="120"/>
      <c r="AC1003" s="120"/>
      <c r="AD1003" s="120"/>
      <c r="AE1003" s="120"/>
      <c r="AF1003" s="120"/>
      <c r="AG1003" s="94"/>
      <c r="AH1003" s="120"/>
      <c r="AI1003" s="94"/>
      <c r="AJ1003" s="94" t="s">
        <v>67</v>
      </c>
      <c r="AK1003" s="94" t="s">
        <v>71</v>
      </c>
      <c r="AL1003" s="94">
        <v>140</v>
      </c>
      <c r="AM1003" s="94" t="str">
        <f>TRIM(AJ1003)&amp;TRIM(AL1003)&amp;TRIM(AK1003)</f>
      </c>
      <c r="AN1003" s="116">
        <v>3696.9</v>
      </c>
      <c r="AO1003" s="116">
        <v>48.1</v>
      </c>
      <c r="AP1003" s="116">
        <f>SUMIFS(M:M,AM:AM,AM1003)+SUMIFS(O:O,AM:AM,AM1003)</f>
      </c>
      <c r="AQ1003" s="116">
        <f>SUMIFS(L:L,AM:AM,AM1003)</f>
      </c>
      <c r="AR1003" s="116">
        <f>AQ1003-AP1003</f>
      </c>
      <c r="AS1003" s="94" t="str">
        <f>IF(AN1003&gt;=AQ1003,"ok","ck")</f>
      </c>
      <c r="AT1003" s="116">
        <f>-P1003</f>
      </c>
      <c r="AU1003" s="115">
        <f>IF(SUMIFS(AT:AT,AM:AM,AM1003)&gt;AO1003,(SUMIFS(AT:AT,AM:AM,AM1003)-AO1003))</f>
      </c>
      <c r="AV1003" s="116">
        <v>3696.9</v>
      </c>
      <c r="AW1003" s="121">
        <v>0.987</v>
      </c>
      <c r="AX1003" s="115">
        <f>AN1003-AP1003</f>
      </c>
    </row>
    <row r="1004" spans="1:50" ht="15" hidden="1" customHeight="1" x14ac:dyDescent="0.3">
      <c r="A1004" s="94" t="s">
        <v>288</v>
      </c>
      <c r="B1004" s="94"/>
      <c r="C1004" s="94"/>
      <c r="D1004" s="94"/>
      <c r="E1004" s="94"/>
      <c r="F1004" s="94"/>
      <c r="G1004" s="112">
        <f>AU1004</f>
      </c>
      <c r="H1004" s="113"/>
      <c r="I1004" s="94" t="s">
        <v>295</v>
      </c>
      <c r="J1004" s="94" t="s">
        <v>367</v>
      </c>
      <c r="K1004" s="114">
        <f>P1004/3</f>
      </c>
      <c r="L1004" s="115">
        <v>64.201999999999998</v>
      </c>
      <c r="M1004" s="116">
        <f>L1004</f>
      </c>
      <c r="N1004" s="117">
        <f>M1004-L1004</f>
      </c>
      <c r="O1004" s="112"/>
      <c r="P1004" s="118">
        <f>N1004+O1004</f>
      </c>
      <c r="Q1004" s="94" t="s">
        <v>318</v>
      </c>
      <c r="R1004" s="94" t="s">
        <v>63</v>
      </c>
      <c r="S1004" s="119">
        <v>46298</v>
      </c>
      <c r="T1004" s="119"/>
      <c r="U1004" s="119">
        <v>46298</v>
      </c>
      <c r="V1004" s="94"/>
      <c r="W1004" s="94"/>
      <c r="X1004" s="94"/>
      <c r="Y1004" s="119">
        <v>46324</v>
      </c>
      <c r="Z1004" s="94"/>
      <c r="AA1004" s="120"/>
      <c r="AB1004" s="120"/>
      <c r="AC1004" s="120"/>
      <c r="AD1004" s="120"/>
      <c r="AE1004" s="120"/>
      <c r="AF1004" s="120"/>
      <c r="AG1004" s="94"/>
      <c r="AH1004" s="120"/>
      <c r="AI1004" s="94"/>
      <c r="AJ1004" s="94" t="s">
        <v>319</v>
      </c>
      <c r="AK1004" s="94" t="s">
        <v>281</v>
      </c>
      <c r="AL1004" s="94">
        <v>180</v>
      </c>
      <c r="AM1004" s="94" t="str">
        <f>TRIM(AJ1004)&amp;TRIM(AL1004)&amp;TRIM(AK1004)</f>
      </c>
      <c r="AN1004" s="116">
        <v>438.79</v>
      </c>
      <c r="AO1004" s="116">
        <v>14.79</v>
      </c>
      <c r="AP1004" s="116">
        <f>SUMIFS(M:M,AM:AM,AM1004)+SUMIFS(O:O,AM:AM,AM1004)</f>
      </c>
      <c r="AQ1004" s="116">
        <f>SUMIFS(L:L,AM:AM,AM1004)</f>
      </c>
      <c r="AR1004" s="116">
        <f>AQ1004-AP1004</f>
      </c>
      <c r="AS1004" s="94" t="str">
        <f>IF(AN1004&gt;=AQ1004,"ok","ck")</f>
      </c>
      <c r="AT1004" s="116">
        <f>-P1004</f>
      </c>
      <c r="AU1004" s="115">
        <f>IF(SUMIFS(AT:AT,AM:AM,AM1004)&gt;AO1004,(SUMIFS(AT:AT,AM:AM,AM1004)-AO1004))</f>
      </c>
      <c r="AV1004" s="116">
        <v>438.79</v>
      </c>
      <c r="AW1004" s="121">
        <v>0.967</v>
      </c>
      <c r="AX1004" s="115">
        <f>AN1004-AP1004</f>
      </c>
    </row>
    <row r="1005" spans="1:50" ht="15" hidden="1" customHeight="1" x14ac:dyDescent="0.3">
      <c r="A1005" s="94" t="s">
        <v>268</v>
      </c>
      <c r="B1005" s="94"/>
      <c r="C1005" s="94"/>
      <c r="D1005" s="94"/>
      <c r="E1005" s="94"/>
      <c r="F1005" s="94"/>
      <c r="G1005" s="112">
        <f>AU1005</f>
      </c>
      <c r="H1005" s="113"/>
      <c r="I1005" s="94" t="s">
        <v>390</v>
      </c>
      <c r="J1005" s="94" t="s">
        <v>527</v>
      </c>
      <c r="K1005" s="114">
        <f>P1005/3</f>
      </c>
      <c r="L1005" s="115">
        <v>-8.3219999999999992</v>
      </c>
      <c r="M1005" s="116">
        <f>L1005</f>
      </c>
      <c r="N1005" s="117">
        <f>M1005-L1005</f>
      </c>
      <c r="O1005" s="112"/>
      <c r="P1005" s="118">
        <f>N1005+O1005</f>
      </c>
      <c r="Q1005" s="94" t="s">
        <v>287</v>
      </c>
      <c r="R1005" s="94" t="s">
        <v>63</v>
      </c>
      <c r="S1005" s="119">
        <v>46334</v>
      </c>
      <c r="T1005" s="119"/>
      <c r="U1005" s="119">
        <v>46334</v>
      </c>
      <c r="V1005" s="94"/>
      <c r="W1005" s="94"/>
      <c r="X1005" s="94"/>
      <c r="Y1005" s="119">
        <v>46334</v>
      </c>
      <c r="Z1005" s="94"/>
      <c r="AA1005" s="120"/>
      <c r="AB1005" s="120"/>
      <c r="AC1005" s="120"/>
      <c r="AD1005" s="120"/>
      <c r="AE1005" s="120"/>
      <c r="AF1005" s="120"/>
      <c r="AG1005" s="94"/>
      <c r="AH1005" s="120"/>
      <c r="AI1005" s="94"/>
      <c r="AJ1005" s="94" t="s">
        <v>287</v>
      </c>
      <c r="AK1005" s="94" t="s">
        <v>715</v>
      </c>
      <c r="AL1005" s="94">
        <v>140</v>
      </c>
      <c r="AM1005" s="94" t="str">
        <f>TRIM(AJ1005)&amp;TRIM(AL1005)&amp;TRIM(AK1005)</f>
      </c>
      <c r="AN1005" s="116">
        <v>1190</v>
      </c>
      <c r="AO1005" s="116">
        <v>-22.5</v>
      </c>
      <c r="AP1005" s="116">
        <f>SUMIFS(M:M,AM:AM,AM1005)+SUMIFS(O:O,AM:AM,AM1005)</f>
      </c>
      <c r="AQ1005" s="116">
        <f>SUMIFS(L:L,AM:AM,AM1005)</f>
      </c>
      <c r="AR1005" s="116">
        <f>AQ1005-AP1005</f>
      </c>
      <c r="AS1005" s="94" t="str">
        <f>IF(AN1005&gt;=AQ1005,"ok","ck")</f>
      </c>
      <c r="AT1005" s="116">
        <f>-P1005</f>
      </c>
      <c r="AU1005" s="115">
        <f>IF(SUMIFS(AT:AT,AM:AM,AM1005)&gt;AO1005,(SUMIFS(AT:AT,AM:AM,AM1005)-AO1005))</f>
      </c>
      <c r="AV1005" s="116">
        <v>1190</v>
      </c>
      <c r="AW1005" s="121">
        <v>1.019</v>
      </c>
      <c r="AX1005" s="115">
        <f>AN1005-AP1005</f>
      </c>
    </row>
    <row r="1006" spans="1:50" ht="15" hidden="1" customHeight="1" x14ac:dyDescent="0.3">
      <c r="A1006" s="94" t="s">
        <v>268</v>
      </c>
      <c r="B1006" s="94"/>
      <c r="C1006" s="94"/>
      <c r="D1006" s="94"/>
      <c r="E1006" s="94"/>
      <c r="F1006" s="94"/>
      <c r="G1006" s="112">
        <f>AU1006</f>
      </c>
      <c r="H1006" s="113"/>
      <c r="I1006" s="94" t="s">
        <v>390</v>
      </c>
      <c r="J1006" s="94" t="s">
        <v>527</v>
      </c>
      <c r="K1006" s="114">
        <f>P1006/3</f>
      </c>
      <c r="L1006" s="115">
        <v>-6.0000000000000001E-3</v>
      </c>
      <c r="M1006" s="116">
        <f>L1006</f>
      </c>
      <c r="N1006" s="117">
        <f>M1006-L1006</f>
      </c>
      <c r="O1006" s="112"/>
      <c r="P1006" s="118">
        <f>N1006+O1006</f>
      </c>
      <c r="Q1006" s="94" t="s">
        <v>287</v>
      </c>
      <c r="R1006" s="94" t="s">
        <v>63</v>
      </c>
      <c r="S1006" s="119">
        <v>46334</v>
      </c>
      <c r="T1006" s="119"/>
      <c r="U1006" s="120">
        <v>46334</v>
      </c>
      <c r="V1006" s="94"/>
      <c r="W1006" s="94"/>
      <c r="X1006" s="94"/>
      <c r="Y1006" s="119">
        <v>46334</v>
      </c>
      <c r="Z1006" s="94"/>
      <c r="AA1006" s="120"/>
      <c r="AB1006" s="120"/>
      <c r="AC1006" s="120"/>
      <c r="AD1006" s="120"/>
      <c r="AE1006" s="120"/>
      <c r="AF1006" s="120"/>
      <c r="AG1006" s="94"/>
      <c r="AH1006" s="120"/>
      <c r="AI1006" s="94"/>
      <c r="AJ1006" s="94" t="s">
        <v>287</v>
      </c>
      <c r="AK1006" s="94" t="s">
        <v>715</v>
      </c>
      <c r="AL1006" s="94">
        <v>140</v>
      </c>
      <c r="AM1006" s="94" t="str">
        <f>TRIM(AJ1006)&amp;TRIM(AL1006)&amp;TRIM(AK1006)</f>
      </c>
      <c r="AN1006" s="116">
        <v>1190</v>
      </c>
      <c r="AO1006" s="116">
        <v>-22.5</v>
      </c>
      <c r="AP1006" s="116">
        <f>SUMIFS(M:M,AM:AM,AM1006)+SUMIFS(O:O,AM:AM,AM1006)</f>
      </c>
      <c r="AQ1006" s="116">
        <f>SUMIFS(L:L,AM:AM,AM1006)</f>
      </c>
      <c r="AR1006" s="116">
        <f>AQ1006-AP1006</f>
      </c>
      <c r="AS1006" s="94" t="str">
        <f>IF(AN1006&gt;=AQ1006,"ok","ck")</f>
      </c>
      <c r="AT1006" s="116">
        <f>-P1006</f>
      </c>
      <c r="AU1006" s="115">
        <f>IF(SUMIFS(AT:AT,AM:AM,AM1006)&gt;AO1006,(SUMIFS(AT:AT,AM:AM,AM1006)-AO1006))</f>
      </c>
      <c r="AV1006" s="116">
        <v>1190</v>
      </c>
      <c r="AW1006" s="121">
        <v>1.019</v>
      </c>
      <c r="AX1006" s="115">
        <f>AN1006-AP1006</f>
      </c>
    </row>
    <row r="1007" spans="1:50" ht="15" hidden="1" customHeight="1" x14ac:dyDescent="0.3">
      <c r="A1007" s="94" t="s">
        <v>288</v>
      </c>
      <c r="B1007" s="94"/>
      <c r="C1007" s="94"/>
      <c r="D1007" s="94"/>
      <c r="E1007" s="94"/>
      <c r="F1007" s="94"/>
      <c r="G1007" s="112">
        <f>AU1007</f>
      </c>
      <c r="H1007" s="113"/>
      <c r="I1007" s="94" t="s">
        <v>289</v>
      </c>
      <c r="J1007" s="94" t="s">
        <v>301</v>
      </c>
      <c r="K1007" s="114">
        <f>P1007/3</f>
      </c>
      <c r="L1007" s="115">
        <v>-1.02</v>
      </c>
      <c r="M1007" s="116">
        <f>L1007</f>
      </c>
      <c r="N1007" s="117">
        <f>M1007-L1007</f>
      </c>
      <c r="O1007" s="112"/>
      <c r="P1007" s="118">
        <f>N1007+O1007</f>
      </c>
      <c r="Q1007" s="94" t="s">
        <v>332</v>
      </c>
      <c r="R1007" s="94" t="s">
        <v>63</v>
      </c>
      <c r="S1007" s="119">
        <v>46320</v>
      </c>
      <c r="T1007" s="119"/>
      <c r="U1007" s="120">
        <v>46320</v>
      </c>
      <c r="V1007" s="94"/>
      <c r="W1007" s="94"/>
      <c r="X1007" s="94"/>
      <c r="Y1007" s="119">
        <v>46320</v>
      </c>
      <c r="Z1007" s="94"/>
      <c r="AA1007" s="120"/>
      <c r="AB1007" s="120"/>
      <c r="AC1007" s="120"/>
      <c r="AD1007" s="120"/>
      <c r="AE1007" s="120"/>
      <c r="AF1007" s="120"/>
      <c r="AG1007" s="94"/>
      <c r="AH1007" s="120"/>
      <c r="AI1007" s="94"/>
      <c r="AJ1007" s="94" t="s">
        <v>783</v>
      </c>
      <c r="AK1007" s="94" t="s">
        <v>302</v>
      </c>
      <c r="AL1007" s="94">
        <v>235</v>
      </c>
      <c r="AM1007" s="94" t="str">
        <f>TRIM(AJ1007)&amp;TRIM(AL1007)&amp;TRIM(AK1007)</f>
      </c>
      <c r="AN1007" s="116">
        <v>817.6</v>
      </c>
      <c r="AO1007" s="116">
        <v>-41.19</v>
      </c>
      <c r="AP1007" s="116">
        <f>SUMIFS(M:M,AM:AM,AM1007)+SUMIFS(O:O,AM:AM,AM1007)</f>
      </c>
      <c r="AQ1007" s="116">
        <f>SUMIFS(L:L,AM:AM,AM1007)</f>
      </c>
      <c r="AR1007" s="116">
        <f>AQ1007-AP1007</f>
      </c>
      <c r="AS1007" s="94" t="str">
        <f>IF(AN1007&gt;=AQ1007,"ok","ck")</f>
      </c>
      <c r="AT1007" s="116">
        <f>-P1007</f>
      </c>
      <c r="AU1007" s="115">
        <f>IF(SUMIFS(AT:AT,AM:AM,AM1007)&gt;AO1007,(SUMIFS(AT:AT,AM:AM,AM1007)-AO1007))</f>
      </c>
      <c r="AV1007" s="116">
        <v>817.6</v>
      </c>
      <c r="AW1007" s="121">
        <v>1.053</v>
      </c>
      <c r="AX1007" s="115">
        <f>AN1007-AP1007</f>
      </c>
    </row>
    <row r="1008" spans="1:50" ht="15" hidden="1" customHeight="1" x14ac:dyDescent="0.3">
      <c r="A1008" s="94" t="s">
        <v>350</v>
      </c>
      <c r="B1008" s="94"/>
      <c r="C1008" s="94"/>
      <c r="D1008" s="94"/>
      <c r="E1008" s="94"/>
      <c r="F1008" s="94"/>
      <c r="G1008" s="112">
        <f>AU1008</f>
      </c>
      <c r="H1008" s="113"/>
      <c r="I1008" s="94" t="s">
        <v>264</v>
      </c>
      <c r="J1008" s="94" t="s">
        <v>281</v>
      </c>
      <c r="K1008" s="114">
        <f>P1008/3</f>
      </c>
      <c r="L1008" s="115">
        <v>0</v>
      </c>
      <c r="M1008" s="116">
        <f>L1008</f>
      </c>
      <c r="N1008" s="117">
        <f>M1008-L1008</f>
      </c>
      <c r="O1008" s="112"/>
      <c r="P1008" s="118">
        <f>N1008+O1008</f>
      </c>
      <c r="Q1008" s="94" t="s">
        <v>802</v>
      </c>
      <c r="R1008" s="94" t="s">
        <v>63</v>
      </c>
      <c r="S1008" s="119">
        <v>46320</v>
      </c>
      <c r="T1008" s="119"/>
      <c r="U1008" s="120">
        <v>46320</v>
      </c>
      <c r="V1008" s="94"/>
      <c r="W1008" s="94"/>
      <c r="X1008" s="94"/>
      <c r="Y1008" s="119">
        <v>46320</v>
      </c>
      <c r="Z1008" s="94"/>
      <c r="AA1008" s="120"/>
      <c r="AB1008" s="120"/>
      <c r="AC1008" s="120"/>
      <c r="AD1008" s="120"/>
      <c r="AE1008" s="120"/>
      <c r="AF1008" s="120"/>
      <c r="AG1008" s="94"/>
      <c r="AH1008" s="120"/>
      <c r="AI1008" s="94"/>
      <c r="AJ1008" s="94" t="s">
        <v>802</v>
      </c>
      <c r="AK1008" s="94" t="s">
        <v>281</v>
      </c>
      <c r="AL1008" s="94">
        <v>120</v>
      </c>
      <c r="AM1008" s="94" t="str">
        <f>TRIM(AJ1008)&amp;TRIM(AL1008)&amp;TRIM(AK1008)</f>
      </c>
      <c r="AN1008" s="116">
        <v>152</v>
      </c>
      <c r="AO1008" s="116">
        <v>-3</v>
      </c>
      <c r="AP1008" s="116">
        <f>SUMIFS(M:M,AM:AM,AM1008)+SUMIFS(O:O,AM:AM,AM1008)</f>
      </c>
      <c r="AQ1008" s="116">
        <f>SUMIFS(L:L,AM:AM,AM1008)</f>
      </c>
      <c r="AR1008" s="116">
        <f>AQ1008-AP1008</f>
      </c>
      <c r="AS1008" s="94" t="str">
        <f>IF(AN1008&gt;=AQ1008,"ok","ck")</f>
      </c>
      <c r="AT1008" s="116">
        <f>-P1008</f>
      </c>
      <c r="AU1008" s="115">
        <f>IF(SUMIFS(AT:AT,AM:AM,AM1008)&gt;AO1008,(SUMIFS(AT:AT,AM:AM,AM1008)-AO1008))</f>
      </c>
      <c r="AV1008" s="116">
        <v>152</v>
      </c>
      <c r="AW1008" s="121">
        <v>1.02</v>
      </c>
      <c r="AX1008" s="115">
        <f>AN1008-AP1008</f>
      </c>
    </row>
    <row r="1009" spans="1:50" ht="15" hidden="1" customHeight="1" x14ac:dyDescent="0.3">
      <c r="A1009" s="94" t="s">
        <v>350</v>
      </c>
      <c r="B1009" s="94"/>
      <c r="C1009" s="94"/>
      <c r="D1009" s="94"/>
      <c r="E1009" s="94"/>
      <c r="F1009" s="94"/>
      <c r="G1009" s="112">
        <f>AU1009</f>
      </c>
      <c r="H1009" s="113"/>
      <c r="I1009" s="94" t="s">
        <v>264</v>
      </c>
      <c r="J1009" s="94" t="s">
        <v>281</v>
      </c>
      <c r="K1009" s="114">
        <f>P1009/3</f>
      </c>
      <c r="L1009" s="115">
        <v>0</v>
      </c>
      <c r="M1009" s="116">
        <f>L1009</f>
      </c>
      <c r="N1009" s="117">
        <f>M1009-L1009</f>
      </c>
      <c r="O1009" s="112"/>
      <c r="P1009" s="118">
        <f>N1009+O1009</f>
      </c>
      <c r="Q1009" s="94" t="s">
        <v>802</v>
      </c>
      <c r="R1009" s="94" t="s">
        <v>63</v>
      </c>
      <c r="S1009" s="119">
        <v>46320</v>
      </c>
      <c r="T1009" s="119"/>
      <c r="U1009" s="120">
        <v>46320</v>
      </c>
      <c r="V1009" s="94"/>
      <c r="W1009" s="94"/>
      <c r="X1009" s="94"/>
      <c r="Y1009" s="119">
        <v>46320</v>
      </c>
      <c r="Z1009" s="94"/>
      <c r="AA1009" s="120"/>
      <c r="AB1009" s="120"/>
      <c r="AC1009" s="120"/>
      <c r="AD1009" s="120"/>
      <c r="AE1009" s="120"/>
      <c r="AF1009" s="120"/>
      <c r="AG1009" s="94"/>
      <c r="AH1009" s="120"/>
      <c r="AI1009" s="94"/>
      <c r="AJ1009" s="94" t="s">
        <v>802</v>
      </c>
      <c r="AK1009" s="94" t="s">
        <v>281</v>
      </c>
      <c r="AL1009" s="94">
        <v>120</v>
      </c>
      <c r="AM1009" s="94" t="str">
        <f>TRIM(AJ1009)&amp;TRIM(AL1009)&amp;TRIM(AK1009)</f>
      </c>
      <c r="AN1009" s="116">
        <v>152</v>
      </c>
      <c r="AO1009" s="116">
        <v>-3</v>
      </c>
      <c r="AP1009" s="116">
        <f>SUMIFS(M:M,AM:AM,AM1009)+SUMIFS(O:O,AM:AM,AM1009)</f>
      </c>
      <c r="AQ1009" s="116">
        <f>SUMIFS(L:L,AM:AM,AM1009)</f>
      </c>
      <c r="AR1009" s="116">
        <f>AQ1009-AP1009</f>
      </c>
      <c r="AS1009" s="94" t="str">
        <f>IF(AN1009&gt;=AQ1009,"ok","ck")</f>
      </c>
      <c r="AT1009" s="116">
        <f>-P1009</f>
      </c>
      <c r="AU1009" s="115">
        <f>IF(SUMIFS(AT:AT,AM:AM,AM1009)&gt;AO1009,(SUMIFS(AT:AT,AM:AM,AM1009)-AO1009))</f>
      </c>
      <c r="AV1009" s="116">
        <v>152</v>
      </c>
      <c r="AW1009" s="121">
        <v>1.02</v>
      </c>
      <c r="AX1009" s="115">
        <f>AN1009-AP1009</f>
      </c>
    </row>
    <row r="1010" spans="1:50" ht="15" hidden="1" customHeight="1" x14ac:dyDescent="0.3">
      <c r="A1010" s="94" t="s">
        <v>350</v>
      </c>
      <c r="B1010" s="94"/>
      <c r="C1010" s="94"/>
      <c r="D1010" s="94"/>
      <c r="E1010" s="94"/>
      <c r="F1010" s="94"/>
      <c r="G1010" s="112">
        <f>AU1010</f>
      </c>
      <c r="H1010" s="113"/>
      <c r="I1010" s="94" t="s">
        <v>264</v>
      </c>
      <c r="J1010" s="94" t="s">
        <v>561</v>
      </c>
      <c r="K1010" s="114">
        <f>P1010/3</f>
      </c>
      <c r="L1010" s="115">
        <v>0</v>
      </c>
      <c r="M1010" s="116">
        <f>L1010</f>
      </c>
      <c r="N1010" s="117">
        <f>M1010-L1010</f>
      </c>
      <c r="O1010" s="112"/>
      <c r="P1010" s="118">
        <f>N1010+O1010</f>
      </c>
      <c r="Q1010" s="94" t="s">
        <v>802</v>
      </c>
      <c r="R1010" s="94" t="s">
        <v>63</v>
      </c>
      <c r="S1010" s="119">
        <v>46320</v>
      </c>
      <c r="T1010" s="119"/>
      <c r="U1010" s="120">
        <v>46320</v>
      </c>
      <c r="V1010" s="94"/>
      <c r="W1010" s="94"/>
      <c r="X1010" s="94"/>
      <c r="Y1010" s="119">
        <v>46320</v>
      </c>
      <c r="Z1010" s="94"/>
      <c r="AA1010" s="120"/>
      <c r="AB1010" s="120"/>
      <c r="AC1010" s="120"/>
      <c r="AD1010" s="120"/>
      <c r="AE1010" s="120"/>
      <c r="AF1010" s="120"/>
      <c r="AG1010" s="94"/>
      <c r="AH1010" s="120"/>
      <c r="AI1010" s="94"/>
      <c r="AJ1010" s="94" t="s">
        <v>802</v>
      </c>
      <c r="AK1010" s="94" t="s">
        <v>561</v>
      </c>
      <c r="AL1010" s="94">
        <v>120</v>
      </c>
      <c r="AM1010" s="94" t="str">
        <f>TRIM(AJ1010)&amp;TRIM(AL1010)&amp;TRIM(AK1010)</f>
      </c>
      <c r="AN1010" s="116">
        <v>131</v>
      </c>
      <c r="AO1010" s="116">
        <v>-2</v>
      </c>
      <c r="AP1010" s="116">
        <f>SUMIFS(M:M,AM:AM,AM1010)+SUMIFS(O:O,AM:AM,AM1010)</f>
      </c>
      <c r="AQ1010" s="116">
        <f>SUMIFS(L:L,AM:AM,AM1010)</f>
      </c>
      <c r="AR1010" s="116">
        <f>AQ1010-AP1010</f>
      </c>
      <c r="AS1010" s="94" t="str">
        <f>IF(AN1010&gt;=AQ1010,"ok","ck")</f>
      </c>
      <c r="AT1010" s="116">
        <f>-P1010</f>
      </c>
      <c r="AU1010" s="115">
        <f>IF(SUMIFS(AT:AT,AM:AM,AM1010)&gt;AO1010,(SUMIFS(AT:AT,AM:AM,AM1010)-AO1010))</f>
      </c>
      <c r="AV1010" s="116">
        <v>131</v>
      </c>
      <c r="AW1010" s="121">
        <v>1.016</v>
      </c>
      <c r="AX1010" s="115">
        <f>AN1010-AP1010</f>
      </c>
    </row>
    <row r="1011" spans="1:50" ht="15" hidden="1" customHeight="1" x14ac:dyDescent="0.3">
      <c r="A1011" s="94" t="s">
        <v>350</v>
      </c>
      <c r="B1011" s="94"/>
      <c r="C1011" s="94"/>
      <c r="D1011" s="94"/>
      <c r="E1011" s="94"/>
      <c r="F1011" s="94"/>
      <c r="G1011" s="112">
        <f>AU1011</f>
      </c>
      <c r="H1011" s="113"/>
      <c r="I1011" s="94" t="s">
        <v>264</v>
      </c>
      <c r="J1011" s="94" t="s">
        <v>561</v>
      </c>
      <c r="K1011" s="114">
        <f>P1011/3</f>
      </c>
      <c r="L1011" s="115">
        <v>0</v>
      </c>
      <c r="M1011" s="116">
        <f>L1011</f>
      </c>
      <c r="N1011" s="117">
        <f>M1011-L1011</f>
      </c>
      <c r="O1011" s="112"/>
      <c r="P1011" s="118">
        <f>N1011+O1011</f>
      </c>
      <c r="Q1011" s="94" t="s">
        <v>802</v>
      </c>
      <c r="R1011" s="94" t="s">
        <v>63</v>
      </c>
      <c r="S1011" s="119">
        <v>46320</v>
      </c>
      <c r="T1011" s="119"/>
      <c r="U1011" s="120">
        <v>46320</v>
      </c>
      <c r="V1011" s="94"/>
      <c r="W1011" s="94"/>
      <c r="X1011" s="94"/>
      <c r="Y1011" s="119">
        <v>46320</v>
      </c>
      <c r="Z1011" s="94"/>
      <c r="AA1011" s="120"/>
      <c r="AB1011" s="120"/>
      <c r="AC1011" s="120"/>
      <c r="AD1011" s="120"/>
      <c r="AE1011" s="120"/>
      <c r="AF1011" s="120"/>
      <c r="AG1011" s="94"/>
      <c r="AH1011" s="120"/>
      <c r="AI1011" s="94"/>
      <c r="AJ1011" s="94" t="s">
        <v>802</v>
      </c>
      <c r="AK1011" s="94" t="s">
        <v>561</v>
      </c>
      <c r="AL1011" s="94">
        <v>120</v>
      </c>
      <c r="AM1011" s="94" t="str">
        <f>TRIM(AJ1011)&amp;TRIM(AL1011)&amp;TRIM(AK1011)</f>
      </c>
      <c r="AN1011" s="116">
        <v>131</v>
      </c>
      <c r="AO1011" s="116">
        <v>-2</v>
      </c>
      <c r="AP1011" s="116">
        <f>SUMIFS(M:M,AM:AM,AM1011)+SUMIFS(O:O,AM:AM,AM1011)</f>
      </c>
      <c r="AQ1011" s="116">
        <f>SUMIFS(L:L,AM:AM,AM1011)</f>
      </c>
      <c r="AR1011" s="116">
        <f>AQ1011-AP1011</f>
      </c>
      <c r="AS1011" s="94" t="str">
        <f>IF(AN1011&gt;=AQ1011,"ok","ck")</f>
      </c>
      <c r="AT1011" s="116">
        <f>-P1011</f>
      </c>
      <c r="AU1011" s="115">
        <f>IF(SUMIFS(AT:AT,AM:AM,AM1011)&gt;AO1011,(SUMIFS(AT:AT,AM:AM,AM1011)-AO1011))</f>
      </c>
      <c r="AV1011" s="116">
        <v>131</v>
      </c>
      <c r="AW1011" s="121">
        <v>1.016</v>
      </c>
      <c r="AX1011" s="115">
        <f>AN1011-AP1011</f>
      </c>
    </row>
    <row r="1012" spans="1:50" ht="15" hidden="1" customHeight="1" x14ac:dyDescent="0.3">
      <c r="A1012" s="94" t="s">
        <v>350</v>
      </c>
      <c r="B1012" s="94"/>
      <c r="C1012" s="94"/>
      <c r="D1012" s="94"/>
      <c r="E1012" s="94"/>
      <c r="F1012" s="94"/>
      <c r="G1012" s="112">
        <f>AU1012</f>
      </c>
      <c r="H1012" s="113"/>
      <c r="I1012" s="94" t="s">
        <v>264</v>
      </c>
      <c r="J1012" s="94" t="s">
        <v>561</v>
      </c>
      <c r="K1012" s="114">
        <f>P1012/3</f>
      </c>
      <c r="L1012" s="115">
        <v>0</v>
      </c>
      <c r="M1012" s="116">
        <f>L1012</f>
      </c>
      <c r="N1012" s="117">
        <f>M1012-L1012</f>
      </c>
      <c r="O1012" s="112"/>
      <c r="P1012" s="118">
        <f>N1012+O1012</f>
      </c>
      <c r="Q1012" s="94" t="s">
        <v>802</v>
      </c>
      <c r="R1012" s="94" t="s">
        <v>63</v>
      </c>
      <c r="S1012" s="120">
        <v>46320</v>
      </c>
      <c r="T1012" s="120"/>
      <c r="U1012" s="120">
        <v>46320</v>
      </c>
      <c r="V1012" s="94"/>
      <c r="W1012" s="94"/>
      <c r="X1012" s="94"/>
      <c r="Y1012" s="119">
        <v>46320</v>
      </c>
      <c r="Z1012" s="94"/>
      <c r="AA1012" s="120"/>
      <c r="AB1012" s="120"/>
      <c r="AC1012" s="120"/>
      <c r="AD1012" s="120"/>
      <c r="AE1012" s="120"/>
      <c r="AF1012" s="120"/>
      <c r="AG1012" s="94"/>
      <c r="AH1012" s="120"/>
      <c r="AI1012" s="94"/>
      <c r="AJ1012" s="94" t="s">
        <v>802</v>
      </c>
      <c r="AK1012" s="94" t="s">
        <v>561</v>
      </c>
      <c r="AL1012" s="94">
        <v>120</v>
      </c>
      <c r="AM1012" s="94" t="str">
        <f>TRIM(AJ1012)&amp;TRIM(AL1012)&amp;TRIM(AK1012)</f>
      </c>
      <c r="AN1012" s="116">
        <v>131</v>
      </c>
      <c r="AO1012" s="116">
        <v>-2</v>
      </c>
      <c r="AP1012" s="116">
        <f>SUMIFS(M:M,AM:AM,AM1012)+SUMIFS(O:O,AM:AM,AM1012)</f>
      </c>
      <c r="AQ1012" s="116">
        <f>SUMIFS(L:L,AM:AM,AM1012)</f>
      </c>
      <c r="AR1012" s="116">
        <f>AQ1012-AP1012</f>
      </c>
      <c r="AS1012" s="94" t="str">
        <f>IF(AN1012&gt;=AQ1012,"ok","ck")</f>
      </c>
      <c r="AT1012" s="116">
        <f>-P1012</f>
      </c>
      <c r="AU1012" s="115">
        <f>IF(SUMIFS(AT:AT,AM:AM,AM1012)&gt;AO1012,(SUMIFS(AT:AT,AM:AM,AM1012)-AO1012))</f>
      </c>
      <c r="AV1012" s="116">
        <v>131</v>
      </c>
      <c r="AW1012" s="121">
        <v>1.016</v>
      </c>
      <c r="AX1012" s="115">
        <f>AN1012-AP1012</f>
      </c>
    </row>
    <row r="1013" spans="1:50" ht="15" hidden="1" customHeight="1" x14ac:dyDescent="0.3">
      <c r="A1013" s="94" t="s">
        <v>350</v>
      </c>
      <c r="B1013" s="94"/>
      <c r="C1013" s="94"/>
      <c r="D1013" s="94"/>
      <c r="E1013" s="94"/>
      <c r="F1013" s="94"/>
      <c r="G1013" s="112">
        <f>AU1013</f>
      </c>
      <c r="H1013" s="113"/>
      <c r="I1013" s="94" t="s">
        <v>264</v>
      </c>
      <c r="J1013" s="94" t="s">
        <v>561</v>
      </c>
      <c r="K1013" s="114">
        <f>P1013/3</f>
      </c>
      <c r="L1013" s="115">
        <v>0</v>
      </c>
      <c r="M1013" s="116">
        <f>L1013</f>
      </c>
      <c r="N1013" s="117">
        <f>M1013-L1013</f>
      </c>
      <c r="O1013" s="112"/>
      <c r="P1013" s="118">
        <f>N1013+O1013</f>
      </c>
      <c r="Q1013" s="94" t="s">
        <v>802</v>
      </c>
      <c r="R1013" s="94" t="s">
        <v>63</v>
      </c>
      <c r="S1013" s="120">
        <v>46320</v>
      </c>
      <c r="T1013" s="120"/>
      <c r="U1013" s="120">
        <v>46320</v>
      </c>
      <c r="V1013" s="94"/>
      <c r="W1013" s="94"/>
      <c r="X1013" s="94"/>
      <c r="Y1013" s="119">
        <v>46320</v>
      </c>
      <c r="Z1013" s="94"/>
      <c r="AA1013" s="120"/>
      <c r="AB1013" s="120"/>
      <c r="AC1013" s="120"/>
      <c r="AD1013" s="120"/>
      <c r="AE1013" s="120"/>
      <c r="AF1013" s="120"/>
      <c r="AG1013" s="94"/>
      <c r="AH1013" s="120"/>
      <c r="AI1013" s="94"/>
      <c r="AJ1013" s="94" t="s">
        <v>802</v>
      </c>
      <c r="AK1013" s="94" t="s">
        <v>561</v>
      </c>
      <c r="AL1013" s="94">
        <v>120</v>
      </c>
      <c r="AM1013" s="94" t="str">
        <f>TRIM(AJ1013)&amp;TRIM(AL1013)&amp;TRIM(AK1013)</f>
      </c>
      <c r="AN1013" s="116">
        <v>131</v>
      </c>
      <c r="AO1013" s="116">
        <v>-2</v>
      </c>
      <c r="AP1013" s="116">
        <f>SUMIFS(M:M,AM:AM,AM1013)+SUMIFS(O:O,AM:AM,AM1013)</f>
      </c>
      <c r="AQ1013" s="116">
        <f>SUMIFS(L:L,AM:AM,AM1013)</f>
      </c>
      <c r="AR1013" s="116">
        <f>AQ1013-AP1013</f>
      </c>
      <c r="AS1013" s="94" t="str">
        <f>IF(AN1013&gt;=AQ1013,"ok","ck")</f>
      </c>
      <c r="AT1013" s="116">
        <f>-P1013</f>
      </c>
      <c r="AU1013" s="115">
        <f>IF(SUMIFS(AT:AT,AM:AM,AM1013)&gt;AO1013,(SUMIFS(AT:AT,AM:AM,AM1013)-AO1013))</f>
      </c>
      <c r="AV1013" s="116">
        <v>131</v>
      </c>
      <c r="AW1013" s="121">
        <v>1.016</v>
      </c>
      <c r="AX1013" s="115">
        <f>AN1013-AP1013</f>
      </c>
    </row>
    <row r="1014" spans="1:50" ht="15" hidden="1" customHeight="1" x14ac:dyDescent="0.3">
      <c r="A1014" s="94" t="s">
        <v>350</v>
      </c>
      <c r="B1014" s="94"/>
      <c r="C1014" s="94"/>
      <c r="D1014" s="94"/>
      <c r="E1014" s="94"/>
      <c r="F1014" s="94"/>
      <c r="G1014" s="112">
        <f>AU1014</f>
      </c>
      <c r="H1014" s="113"/>
      <c r="I1014" s="94" t="s">
        <v>264</v>
      </c>
      <c r="J1014" s="94" t="s">
        <v>561</v>
      </c>
      <c r="K1014" s="114">
        <f>P1014/3</f>
      </c>
      <c r="L1014" s="115">
        <v>0</v>
      </c>
      <c r="M1014" s="116">
        <f>L1014</f>
      </c>
      <c r="N1014" s="117">
        <f>M1014-L1014</f>
      </c>
      <c r="O1014" s="112"/>
      <c r="P1014" s="118">
        <f>N1014+O1014</f>
      </c>
      <c r="Q1014" s="94" t="s">
        <v>802</v>
      </c>
      <c r="R1014" s="94" t="s">
        <v>63</v>
      </c>
      <c r="S1014" s="119">
        <v>46322</v>
      </c>
      <c r="T1014" s="119"/>
      <c r="U1014" s="120">
        <v>46322</v>
      </c>
      <c r="V1014" s="94"/>
      <c r="W1014" s="94"/>
      <c r="X1014" s="94"/>
      <c r="Y1014" s="119">
        <v>46322</v>
      </c>
      <c r="Z1014" s="94"/>
      <c r="AA1014" s="120"/>
      <c r="AB1014" s="120"/>
      <c r="AC1014" s="120"/>
      <c r="AD1014" s="120"/>
      <c r="AE1014" s="120"/>
      <c r="AF1014" s="120"/>
      <c r="AG1014" s="94"/>
      <c r="AH1014" s="120"/>
      <c r="AI1014" s="94"/>
      <c r="AJ1014" s="94" t="s">
        <v>802</v>
      </c>
      <c r="AK1014" s="94" t="s">
        <v>561</v>
      </c>
      <c r="AL1014" s="94">
        <v>120</v>
      </c>
      <c r="AM1014" s="94" t="str">
        <f>TRIM(AJ1014)&amp;TRIM(AL1014)&amp;TRIM(AK1014)</f>
      </c>
      <c r="AN1014" s="116">
        <v>131</v>
      </c>
      <c r="AO1014" s="116">
        <v>-2</v>
      </c>
      <c r="AP1014" s="116">
        <f>SUMIFS(M:M,AM:AM,AM1014)+SUMIFS(O:O,AM:AM,AM1014)</f>
      </c>
      <c r="AQ1014" s="116">
        <f>SUMIFS(L:L,AM:AM,AM1014)</f>
      </c>
      <c r="AR1014" s="116">
        <f>AQ1014-AP1014</f>
      </c>
      <c r="AS1014" s="94" t="str">
        <f>IF(AN1014&gt;=AQ1014,"ok","ck")</f>
      </c>
      <c r="AT1014" s="116">
        <f>-P1014</f>
      </c>
      <c r="AU1014" s="115">
        <f>IF(SUMIFS(AT:AT,AM:AM,AM1014)&gt;AO1014,(SUMIFS(AT:AT,AM:AM,AM1014)-AO1014))</f>
      </c>
      <c r="AV1014" s="116">
        <v>131</v>
      </c>
      <c r="AW1014" s="121">
        <v>1.016</v>
      </c>
      <c r="AX1014" s="115">
        <f>AN1014-AP1014</f>
      </c>
    </row>
    <row r="1015" spans="1:50" ht="15" hidden="1" customHeight="1" x14ac:dyDescent="0.3">
      <c r="A1015" s="94" t="s">
        <v>268</v>
      </c>
      <c r="B1015" s="94"/>
      <c r="C1015" s="94"/>
      <c r="D1015" s="94"/>
      <c r="E1015" s="94"/>
      <c r="F1015" s="94"/>
      <c r="G1015" s="112">
        <f>AU1015</f>
      </c>
      <c r="H1015" s="113"/>
      <c r="I1015" s="94" t="s">
        <v>278</v>
      </c>
      <c r="J1015" s="94" t="s">
        <v>333</v>
      </c>
      <c r="K1015" s="114">
        <f>P1015/3</f>
      </c>
      <c r="L1015" s="115">
        <v>-1E-3</v>
      </c>
      <c r="M1015" s="116">
        <f>L1015</f>
      </c>
      <c r="N1015" s="117">
        <f>M1015-L1015</f>
      </c>
      <c r="O1015" s="112"/>
      <c r="P1015" s="118">
        <f>N1015+O1015</f>
      </c>
      <c r="Q1015" s="94" t="s">
        <v>787</v>
      </c>
      <c r="R1015" s="94" t="s">
        <v>63</v>
      </c>
      <c r="S1015" s="119">
        <v>46320</v>
      </c>
      <c r="T1015" s="119"/>
      <c r="U1015" s="120">
        <v>46320</v>
      </c>
      <c r="V1015" s="94"/>
      <c r="W1015" s="94"/>
      <c r="X1015" s="94"/>
      <c r="Y1015" s="119">
        <v>46320</v>
      </c>
      <c r="Z1015" s="94"/>
      <c r="AA1015" s="120"/>
      <c r="AB1015" s="120"/>
      <c r="AC1015" s="120"/>
      <c r="AD1015" s="120"/>
      <c r="AE1015" s="120"/>
      <c r="AF1015" s="120"/>
      <c r="AG1015" s="94"/>
      <c r="AH1015" s="120"/>
      <c r="AI1015" s="94"/>
      <c r="AJ1015" s="94" t="s">
        <v>787</v>
      </c>
      <c r="AK1015" s="94" t="s">
        <v>334</v>
      </c>
      <c r="AL1015" s="94">
        <v>120</v>
      </c>
      <c r="AM1015" s="94" t="str">
        <f>TRIM(AJ1015)&amp;TRIM(AL1015)&amp;TRIM(AK1015)</f>
      </c>
      <c r="AN1015" s="116">
        <v>387</v>
      </c>
      <c r="AO1015" s="116">
        <v>-12</v>
      </c>
      <c r="AP1015" s="116">
        <f>SUMIFS(M:M,AM:AM,AM1015)+SUMIFS(O:O,AM:AM,AM1015)</f>
      </c>
      <c r="AQ1015" s="116">
        <f>SUMIFS(L:L,AM:AM,AM1015)</f>
      </c>
      <c r="AR1015" s="116">
        <f>AQ1015-AP1015</f>
      </c>
      <c r="AS1015" s="94" t="str">
        <f>IF(AN1015&gt;=AQ1015,"ok","ck")</f>
      </c>
      <c r="AT1015" s="116">
        <f>-P1015</f>
      </c>
      <c r="AU1015" s="115">
        <f>IF(SUMIFS(AT:AT,AM:AM,AM1015)&gt;AO1015,(SUMIFS(AT:AT,AM:AM,AM1015)-AO1015))</f>
      </c>
      <c r="AV1015" s="116">
        <v>387</v>
      </c>
      <c r="AW1015" s="121">
        <v>1.032</v>
      </c>
      <c r="AX1015" s="115">
        <f>AN1015-AP1015</f>
      </c>
    </row>
    <row r="1016" spans="1:50" ht="15" hidden="1" customHeight="1" x14ac:dyDescent="0.3">
      <c r="A1016" s="94" t="s">
        <v>268</v>
      </c>
      <c r="B1016" s="94"/>
      <c r="C1016" s="94"/>
      <c r="D1016" s="94"/>
      <c r="E1016" s="94"/>
      <c r="F1016" s="94"/>
      <c r="G1016" s="112">
        <f>AU1016</f>
      </c>
      <c r="H1016" s="113"/>
      <c r="I1016" s="94" t="s">
        <v>278</v>
      </c>
      <c r="J1016" s="94" t="s">
        <v>322</v>
      </c>
      <c r="K1016" s="114">
        <f>P1016/3</f>
      </c>
      <c r="L1016" s="115">
        <v>4.9720000000000004</v>
      </c>
      <c r="M1016" s="116"/>
      <c r="N1016" s="117">
        <f>M1016-L1016</f>
      </c>
      <c r="O1016" s="112"/>
      <c r="P1016" s="118">
        <f>N1016+O1016</f>
      </c>
      <c r="Q1016" s="94" t="s">
        <v>778</v>
      </c>
      <c r="R1016" s="94" t="s">
        <v>63</v>
      </c>
      <c r="S1016" s="119">
        <v>46334</v>
      </c>
      <c r="T1016" s="119"/>
      <c r="U1016" s="120">
        <v>46334</v>
      </c>
      <c r="V1016" s="94"/>
      <c r="W1016" s="94"/>
      <c r="X1016" s="94"/>
      <c r="Y1016" s="119">
        <v>46337</v>
      </c>
      <c r="Z1016" s="94"/>
      <c r="AA1016" s="120"/>
      <c r="AB1016" s="120"/>
      <c r="AC1016" s="120"/>
      <c r="AD1016" s="120"/>
      <c r="AE1016" s="120"/>
      <c r="AF1016" s="120"/>
      <c r="AG1016" s="94"/>
      <c r="AH1016" s="120"/>
      <c r="AI1016" s="94"/>
      <c r="AJ1016" s="94" t="s">
        <v>778</v>
      </c>
      <c r="AK1016" s="94" t="s">
        <v>323</v>
      </c>
      <c r="AL1016" s="94">
        <v>120</v>
      </c>
      <c r="AM1016" s="94" t="str">
        <f>TRIM(AJ1016)&amp;TRIM(AL1016)&amp;TRIM(AK1016)</f>
      </c>
      <c r="AN1016" s="116">
        <v>0</v>
      </c>
      <c r="AO1016" s="116" t="inlineStr">
        <is>
          <t>#NA</t>
        </is>
      </c>
      <c r="AP1016" s="116">
        <f>SUMIFS(M:M,AM:AM,AM1016)+SUMIFS(O:O,AM:AM,AM1016)</f>
      </c>
      <c r="AQ1016" s="116">
        <f>SUMIFS(L:L,AM:AM,AM1016)</f>
      </c>
      <c r="AR1016" s="116">
        <f>AQ1016-AP1016</f>
      </c>
      <c r="AS1016" s="94" t="str">
        <f>IF(AN1016&gt;=AQ1016,"ok","ck")</f>
      </c>
      <c r="AT1016" s="116">
        <f>-P1016</f>
      </c>
      <c r="AU1016" s="115">
        <f>IF(SUMIFS(AT:AT,AM:AM,AM1016)&gt;AO1016,(SUMIFS(AT:AT,AM:AM,AM1016)-AO1016))</f>
      </c>
      <c r="AV1016" s="116">
        <v>0</v>
      </c>
      <c r="AW1016" s="121">
        <v>0</v>
      </c>
      <c r="AX1016" s="115">
        <f>AN1016-AP1016</f>
      </c>
    </row>
    <row r="1017" spans="1:50" ht="15" hidden="1" customHeight="1" x14ac:dyDescent="0.3">
      <c r="A1017" s="94" t="s">
        <v>268</v>
      </c>
      <c r="B1017" s="94"/>
      <c r="C1017" s="94"/>
      <c r="D1017" s="94"/>
      <c r="E1017" s="94"/>
      <c r="F1017" s="94"/>
      <c r="G1017" s="112">
        <f>AU1017</f>
      </c>
      <c r="H1017" s="113"/>
      <c r="I1017" s="94" t="s">
        <v>278</v>
      </c>
      <c r="J1017" s="94" t="s">
        <v>322</v>
      </c>
      <c r="K1017" s="114">
        <f>P1017/3</f>
      </c>
      <c r="L1017" s="115">
        <v>0.1</v>
      </c>
      <c r="M1017" s="116"/>
      <c r="N1017" s="117">
        <f>M1017-L1017</f>
      </c>
      <c r="O1017" s="112"/>
      <c r="P1017" s="118">
        <f>N1017+O1017</f>
      </c>
      <c r="Q1017" s="94" t="s">
        <v>778</v>
      </c>
      <c r="R1017" s="94" t="s">
        <v>63</v>
      </c>
      <c r="S1017" s="119">
        <v>46337</v>
      </c>
      <c r="T1017" s="119"/>
      <c r="U1017" s="120">
        <v>46337</v>
      </c>
      <c r="V1017" s="94"/>
      <c r="W1017" s="94"/>
      <c r="X1017" s="94"/>
      <c r="Y1017" s="119">
        <v>46337</v>
      </c>
      <c r="Z1017" s="94"/>
      <c r="AA1017" s="120"/>
      <c r="AB1017" s="120"/>
      <c r="AC1017" s="120"/>
      <c r="AD1017" s="120"/>
      <c r="AE1017" s="120"/>
      <c r="AF1017" s="120"/>
      <c r="AG1017" s="94"/>
      <c r="AH1017" s="120"/>
      <c r="AI1017" s="94"/>
      <c r="AJ1017" s="94" t="s">
        <v>778</v>
      </c>
      <c r="AK1017" s="94" t="s">
        <v>323</v>
      </c>
      <c r="AL1017" s="94">
        <v>120</v>
      </c>
      <c r="AM1017" s="94" t="str">
        <f>TRIM(AJ1017)&amp;TRIM(AL1017)&amp;TRIM(AK1017)</f>
      </c>
      <c r="AN1017" s="116">
        <v>0</v>
      </c>
      <c r="AO1017" s="116" t="inlineStr">
        <is>
          <t>#NA</t>
        </is>
      </c>
      <c r="AP1017" s="116">
        <f>SUMIFS(M:M,AM:AM,AM1017)+SUMIFS(O:O,AM:AM,AM1017)</f>
      </c>
      <c r="AQ1017" s="116">
        <f>SUMIFS(L:L,AM:AM,AM1017)</f>
      </c>
      <c r="AR1017" s="116">
        <f>AQ1017-AP1017</f>
      </c>
      <c r="AS1017" s="94" t="str">
        <f>IF(AN1017&gt;=AQ1017,"ok","ck")</f>
      </c>
      <c r="AT1017" s="116">
        <f>-P1017</f>
      </c>
      <c r="AU1017" s="115">
        <f>IF(SUMIFS(AT:AT,AM:AM,AM1017)&gt;AO1017,(SUMIFS(AT:AT,AM:AM,AM1017)-AO1017))</f>
      </c>
      <c r="AV1017" s="116">
        <v>0</v>
      </c>
      <c r="AW1017" s="121">
        <v>0</v>
      </c>
      <c r="AX1017" s="115">
        <f>AN1017-AP1017</f>
      </c>
    </row>
    <row r="1018" spans="1:50" ht="15" hidden="1" customHeight="1" x14ac:dyDescent="0.3">
      <c r="A1018" s="94" t="s">
        <v>268</v>
      </c>
      <c r="B1018" s="94"/>
      <c r="C1018" s="94"/>
      <c r="D1018" s="94"/>
      <c r="E1018" s="94"/>
      <c r="F1018" s="94"/>
      <c r="G1018" s="112">
        <f>AU1018</f>
      </c>
      <c r="H1018" s="113"/>
      <c r="I1018" s="94" t="s">
        <v>278</v>
      </c>
      <c r="J1018" s="94" t="s">
        <v>322</v>
      </c>
      <c r="K1018" s="114">
        <f>P1018/3</f>
      </c>
      <c r="L1018" s="115">
        <v>24.42</v>
      </c>
      <c r="M1018" s="116"/>
      <c r="N1018" s="117">
        <f>M1018-L1018</f>
      </c>
      <c r="O1018" s="112"/>
      <c r="P1018" s="118">
        <f>N1018+O1018</f>
      </c>
      <c r="Q1018" s="94" t="s">
        <v>778</v>
      </c>
      <c r="R1018" s="94" t="s">
        <v>63</v>
      </c>
      <c r="S1018" s="119">
        <v>46334</v>
      </c>
      <c r="T1018" s="119"/>
      <c r="U1018" s="120">
        <v>46334</v>
      </c>
      <c r="V1018" s="94"/>
      <c r="W1018" s="94"/>
      <c r="X1018" s="94"/>
      <c r="Y1018" s="119">
        <v>46326</v>
      </c>
      <c r="Z1018" s="94"/>
      <c r="AA1018" s="120"/>
      <c r="AB1018" s="120"/>
      <c r="AC1018" s="120"/>
      <c r="AD1018" s="120"/>
      <c r="AE1018" s="120"/>
      <c r="AF1018" s="120"/>
      <c r="AG1018" s="94"/>
      <c r="AH1018" s="120"/>
      <c r="AI1018" s="94"/>
      <c r="AJ1018" s="94" t="s">
        <v>778</v>
      </c>
      <c r="AK1018" s="94" t="s">
        <v>323</v>
      </c>
      <c r="AL1018" s="94">
        <v>120</v>
      </c>
      <c r="AM1018" s="94" t="str">
        <f>TRIM(AJ1018)&amp;TRIM(AL1018)&amp;TRIM(AK1018)</f>
      </c>
      <c r="AN1018" s="116">
        <v>0</v>
      </c>
      <c r="AO1018" s="116" t="inlineStr">
        <is>
          <t>#NA</t>
        </is>
      </c>
      <c r="AP1018" s="116">
        <f>SUMIFS(M:M,AM:AM,AM1018)+SUMIFS(O:O,AM:AM,AM1018)</f>
      </c>
      <c r="AQ1018" s="116">
        <f>SUMIFS(L:L,AM:AM,AM1018)</f>
      </c>
      <c r="AR1018" s="116">
        <f>AQ1018-AP1018</f>
      </c>
      <c r="AS1018" s="94" t="str">
        <f>IF(AN1018&gt;=AQ1018,"ok","ck")</f>
      </c>
      <c r="AT1018" s="116">
        <f>-P1018</f>
      </c>
      <c r="AU1018" s="115">
        <f>IF(SUMIFS(AT:AT,AM:AM,AM1018)&gt;AO1018,(SUMIFS(AT:AT,AM:AM,AM1018)-AO1018))</f>
      </c>
      <c r="AV1018" s="116">
        <v>0</v>
      </c>
      <c r="AW1018" s="121">
        <v>0</v>
      </c>
      <c r="AX1018" s="115">
        <f>AN1018-AP1018</f>
      </c>
    </row>
    <row r="1019" spans="1:50" ht="15" hidden="1" customHeight="1" x14ac:dyDescent="0.3">
      <c r="A1019" s="94" t="s">
        <v>268</v>
      </c>
      <c r="B1019" s="94"/>
      <c r="C1019" s="94"/>
      <c r="D1019" s="94"/>
      <c r="E1019" s="94"/>
      <c r="F1019" s="94"/>
      <c r="G1019" s="112">
        <f>AU1019</f>
      </c>
      <c r="H1019" s="113"/>
      <c r="I1019" s="94" t="s">
        <v>278</v>
      </c>
      <c r="J1019" s="94" t="s">
        <v>322</v>
      </c>
      <c r="K1019" s="114">
        <f>P1019/3</f>
      </c>
      <c r="L1019" s="115">
        <v>6.4379999999999997</v>
      </c>
      <c r="M1019" s="116"/>
      <c r="N1019" s="117">
        <f>M1019-L1019</f>
      </c>
      <c r="O1019" s="112"/>
      <c r="P1019" s="118">
        <f>N1019+O1019</f>
      </c>
      <c r="Q1019" s="94" t="s">
        <v>778</v>
      </c>
      <c r="R1019" s="94" t="s">
        <v>63</v>
      </c>
      <c r="S1019" s="119">
        <v>46334</v>
      </c>
      <c r="T1019" s="119"/>
      <c r="U1019" s="120">
        <v>46334</v>
      </c>
      <c r="V1019" s="94"/>
      <c r="W1019" s="94"/>
      <c r="X1019" s="94"/>
      <c r="Y1019" s="119">
        <v>46329</v>
      </c>
      <c r="Z1019" s="94"/>
      <c r="AA1019" s="120"/>
      <c r="AB1019" s="120"/>
      <c r="AC1019" s="120"/>
      <c r="AD1019" s="120"/>
      <c r="AE1019" s="120"/>
      <c r="AF1019" s="120"/>
      <c r="AG1019" s="94"/>
      <c r="AH1019" s="120"/>
      <c r="AI1019" s="94"/>
      <c r="AJ1019" s="94" t="s">
        <v>778</v>
      </c>
      <c r="AK1019" s="94" t="s">
        <v>323</v>
      </c>
      <c r="AL1019" s="94">
        <v>120</v>
      </c>
      <c r="AM1019" s="94" t="str">
        <f>TRIM(AJ1019)&amp;TRIM(AL1019)&amp;TRIM(AK1019)</f>
      </c>
      <c r="AN1019" s="116">
        <v>0</v>
      </c>
      <c r="AO1019" s="116" t="inlineStr">
        <is>
          <t>#NA</t>
        </is>
      </c>
      <c r="AP1019" s="116">
        <f>SUMIFS(M:M,AM:AM,AM1019)+SUMIFS(O:O,AM:AM,AM1019)</f>
      </c>
      <c r="AQ1019" s="116">
        <f>SUMIFS(L:L,AM:AM,AM1019)</f>
      </c>
      <c r="AR1019" s="116">
        <f>AQ1019-AP1019</f>
      </c>
      <c r="AS1019" s="94" t="str">
        <f>IF(AN1019&gt;=AQ1019,"ok","ck")</f>
      </c>
      <c r="AT1019" s="116">
        <f>-P1019</f>
      </c>
      <c r="AU1019" s="115">
        <f>IF(SUMIFS(AT:AT,AM:AM,AM1019)&gt;AO1019,(SUMIFS(AT:AT,AM:AM,AM1019)-AO1019))</f>
      </c>
      <c r="AV1019" s="116">
        <v>0</v>
      </c>
      <c r="AW1019" s="121">
        <v>0</v>
      </c>
      <c r="AX1019" s="115">
        <f>AN1019-AP1019</f>
      </c>
    </row>
    <row r="1020" spans="1:50" ht="15" hidden="1" customHeight="1" x14ac:dyDescent="0.3">
      <c r="A1020" s="94" t="s">
        <v>268</v>
      </c>
      <c r="B1020" s="94"/>
      <c r="C1020" s="94"/>
      <c r="D1020" s="94"/>
      <c r="E1020" s="94"/>
      <c r="F1020" s="94"/>
      <c r="G1020" s="112">
        <f>AU1020</f>
      </c>
      <c r="H1020" s="113"/>
      <c r="I1020" s="94" t="s">
        <v>278</v>
      </c>
      <c r="J1020" s="94" t="s">
        <v>535</v>
      </c>
      <c r="K1020" s="114">
        <f>P1020/3</f>
      </c>
      <c r="L1020" s="115">
        <v>0</v>
      </c>
      <c r="M1020" s="116"/>
      <c r="N1020" s="117">
        <f>M1020-L1020</f>
      </c>
      <c r="O1020" s="112"/>
      <c r="P1020" s="118">
        <f>N1020+O1020</f>
      </c>
      <c r="Q1020" s="94" t="s">
        <v>778</v>
      </c>
      <c r="R1020" s="94" t="s">
        <v>63</v>
      </c>
      <c r="S1020" s="119">
        <v>46342</v>
      </c>
      <c r="T1020" s="119"/>
      <c r="U1020" s="120">
        <v>46342</v>
      </c>
      <c r="V1020" s="94"/>
      <c r="W1020" s="94"/>
      <c r="X1020" s="94"/>
      <c r="Y1020" s="119">
        <v>46342</v>
      </c>
      <c r="Z1020" s="94"/>
      <c r="AA1020" s="120"/>
      <c r="AB1020" s="120"/>
      <c r="AC1020" s="120"/>
      <c r="AD1020" s="120"/>
      <c r="AE1020" s="120"/>
      <c r="AF1020" s="120"/>
      <c r="AG1020" s="94"/>
      <c r="AH1020" s="120"/>
      <c r="AI1020" s="94"/>
      <c r="AJ1020" s="94" t="s">
        <v>778</v>
      </c>
      <c r="AK1020" s="94" t="s">
        <v>719</v>
      </c>
      <c r="AL1020" s="94">
        <v>120</v>
      </c>
      <c r="AM1020" s="94" t="str">
        <f>TRIM(AJ1020)&amp;TRIM(AL1020)&amp;TRIM(AK1020)</f>
      </c>
      <c r="AN1020" s="116">
        <v>0</v>
      </c>
      <c r="AO1020" s="116" t="inlineStr">
        <is>
          <t>#NA</t>
        </is>
      </c>
      <c r="AP1020" s="116">
        <f>SUMIFS(M:M,AM:AM,AM1020)+SUMIFS(O:O,AM:AM,AM1020)</f>
      </c>
      <c r="AQ1020" s="116">
        <f>SUMIFS(L:L,AM:AM,AM1020)</f>
      </c>
      <c r="AR1020" s="116">
        <f>AQ1020-AP1020</f>
      </c>
      <c r="AS1020" s="94" t="str">
        <f>IF(AN1020&gt;=AQ1020,"ok","ck")</f>
      </c>
      <c r="AT1020" s="116">
        <f>-P1020</f>
      </c>
      <c r="AU1020" s="115">
        <f>IF(SUMIFS(AT:AT,AM:AM,AM1020)&gt;AO1020,(SUMIFS(AT:AT,AM:AM,AM1020)-AO1020))</f>
      </c>
      <c r="AV1020" s="116">
        <v>0</v>
      </c>
      <c r="AW1020" s="121">
        <v>0</v>
      </c>
      <c r="AX1020" s="115">
        <f>AN1020-AP1020</f>
      </c>
    </row>
    <row r="1021" spans="1:50" ht="15" hidden="1" customHeight="1" x14ac:dyDescent="0.3">
      <c r="A1021" s="94" t="s">
        <v>268</v>
      </c>
      <c r="B1021" s="94"/>
      <c r="C1021" s="94"/>
      <c r="D1021" s="94"/>
      <c r="E1021" s="94"/>
      <c r="F1021" s="94"/>
      <c r="G1021" s="112">
        <f>AU1021</f>
      </c>
      <c r="H1021" s="113"/>
      <c r="I1021" s="94" t="s">
        <v>278</v>
      </c>
      <c r="J1021" s="94" t="s">
        <v>322</v>
      </c>
      <c r="K1021" s="114">
        <f>P1021/3</f>
      </c>
      <c r="L1021" s="115">
        <v>7.38</v>
      </c>
      <c r="M1021" s="116"/>
      <c r="N1021" s="117">
        <f>M1021-L1021</f>
      </c>
      <c r="O1021" s="112"/>
      <c r="P1021" s="118">
        <f>N1021+O1021</f>
      </c>
      <c r="Q1021" s="94" t="s">
        <v>778</v>
      </c>
      <c r="R1021" s="94" t="s">
        <v>63</v>
      </c>
      <c r="S1021" s="119">
        <v>46334</v>
      </c>
      <c r="T1021" s="119"/>
      <c r="U1021" s="119">
        <v>46334</v>
      </c>
      <c r="V1021" s="94"/>
      <c r="W1021" s="94"/>
      <c r="X1021" s="94"/>
      <c r="Y1021" s="119">
        <v>46341</v>
      </c>
      <c r="Z1021" s="94"/>
      <c r="AA1021" s="120"/>
      <c r="AB1021" s="120"/>
      <c r="AC1021" s="120"/>
      <c r="AD1021" s="120"/>
      <c r="AE1021" s="120"/>
      <c r="AF1021" s="120"/>
      <c r="AG1021" s="94"/>
      <c r="AH1021" s="120"/>
      <c r="AI1021" s="94"/>
      <c r="AJ1021" s="94" t="s">
        <v>778</v>
      </c>
      <c r="AK1021" s="94" t="s">
        <v>323</v>
      </c>
      <c r="AL1021" s="94">
        <v>120</v>
      </c>
      <c r="AM1021" s="94" t="str">
        <f>TRIM(AJ1021)&amp;TRIM(AL1021)&amp;TRIM(AK1021)</f>
      </c>
      <c r="AN1021" s="116">
        <v>0</v>
      </c>
      <c r="AO1021" s="116" t="inlineStr">
        <is>
          <t>#NA</t>
        </is>
      </c>
      <c r="AP1021" s="116">
        <f>SUMIFS(M:M,AM:AM,AM1021)+SUMIFS(O:O,AM:AM,AM1021)</f>
      </c>
      <c r="AQ1021" s="116">
        <f>SUMIFS(L:L,AM:AM,AM1021)</f>
      </c>
      <c r="AR1021" s="116">
        <f>AQ1021-AP1021</f>
      </c>
      <c r="AS1021" s="94" t="str">
        <f>IF(AN1021&gt;=AQ1021,"ok","ck")</f>
      </c>
      <c r="AT1021" s="116">
        <f>-P1021</f>
      </c>
      <c r="AU1021" s="115">
        <f>IF(SUMIFS(AT:AT,AM:AM,AM1021)&gt;AO1021,(SUMIFS(AT:AT,AM:AM,AM1021)-AO1021))</f>
      </c>
      <c r="AV1021" s="116">
        <v>0</v>
      </c>
      <c r="AW1021" s="121">
        <v>0</v>
      </c>
      <c r="AX1021" s="115">
        <f>AN1021-AP1021</f>
      </c>
    </row>
    <row r="1022" spans="1:50" ht="15" hidden="1" customHeight="1" x14ac:dyDescent="0.3">
      <c r="A1022" s="94" t="s">
        <v>268</v>
      </c>
      <c r="B1022" s="94"/>
      <c r="C1022" s="94"/>
      <c r="D1022" s="94"/>
      <c r="E1022" s="94"/>
      <c r="F1022" s="94"/>
      <c r="G1022" s="112">
        <f>AU1022</f>
      </c>
      <c r="H1022" s="113"/>
      <c r="I1022" s="94" t="s">
        <v>278</v>
      </c>
      <c r="J1022" s="94" t="s">
        <v>322</v>
      </c>
      <c r="K1022" s="114">
        <f>P1022/3</f>
      </c>
      <c r="L1022" s="115">
        <v>27.3</v>
      </c>
      <c r="M1022" s="116"/>
      <c r="N1022" s="117">
        <f>M1022-L1022</f>
      </c>
      <c r="O1022" s="112"/>
      <c r="P1022" s="118">
        <f>N1022+O1022</f>
      </c>
      <c r="Q1022" s="94" t="s">
        <v>778</v>
      </c>
      <c r="R1022" s="94" t="s">
        <v>63</v>
      </c>
      <c r="S1022" s="119">
        <v>46334</v>
      </c>
      <c r="T1022" s="119"/>
      <c r="U1022" s="119">
        <v>46334</v>
      </c>
      <c r="V1022" s="94"/>
      <c r="W1022" s="94"/>
      <c r="X1022" s="94"/>
      <c r="Y1022" s="119">
        <v>46334</v>
      </c>
      <c r="Z1022" s="94"/>
      <c r="AA1022" s="120"/>
      <c r="AB1022" s="120"/>
      <c r="AC1022" s="120"/>
      <c r="AD1022" s="120"/>
      <c r="AE1022" s="120"/>
      <c r="AF1022" s="120"/>
      <c r="AG1022" s="94"/>
      <c r="AH1022" s="120"/>
      <c r="AI1022" s="94"/>
      <c r="AJ1022" s="94" t="s">
        <v>778</v>
      </c>
      <c r="AK1022" s="94" t="s">
        <v>323</v>
      </c>
      <c r="AL1022" s="94">
        <v>120</v>
      </c>
      <c r="AM1022" s="94" t="str">
        <f>TRIM(AJ1022)&amp;TRIM(AL1022)&amp;TRIM(AK1022)</f>
      </c>
      <c r="AN1022" s="116">
        <v>0</v>
      </c>
      <c r="AO1022" s="116" t="inlineStr">
        <is>
          <t>#NA</t>
        </is>
      </c>
      <c r="AP1022" s="116">
        <f>SUMIFS(M:M,AM:AM,AM1022)+SUMIFS(O:O,AM:AM,AM1022)</f>
      </c>
      <c r="AQ1022" s="116">
        <f>SUMIFS(L:L,AM:AM,AM1022)</f>
      </c>
      <c r="AR1022" s="116">
        <f>AQ1022-AP1022</f>
      </c>
      <c r="AS1022" s="94" t="str">
        <f>IF(AN1022&gt;=AQ1022,"ok","ck")</f>
      </c>
      <c r="AT1022" s="116">
        <f>-P1022</f>
      </c>
      <c r="AU1022" s="115">
        <f>IF(SUMIFS(AT:AT,AM:AM,AM1022)&gt;AO1022,(SUMIFS(AT:AT,AM:AM,AM1022)-AO1022))</f>
      </c>
      <c r="AV1022" s="116">
        <v>0</v>
      </c>
      <c r="AW1022" s="121">
        <v>0</v>
      </c>
      <c r="AX1022" s="115">
        <f>AN1022-AP1022</f>
      </c>
    </row>
    <row r="1023" spans="1:50" ht="15" hidden="1" customHeight="1" x14ac:dyDescent="0.3">
      <c r="A1023" s="94" t="s">
        <v>268</v>
      </c>
      <c r="B1023" s="94"/>
      <c r="C1023" s="94"/>
      <c r="D1023" s="94"/>
      <c r="E1023" s="94"/>
      <c r="F1023" s="94"/>
      <c r="G1023" s="112">
        <f>AU1023</f>
      </c>
      <c r="H1023" s="113"/>
      <c r="I1023" s="94" t="s">
        <v>278</v>
      </c>
      <c r="J1023" s="94" t="s">
        <v>322</v>
      </c>
      <c r="K1023" s="114">
        <f>P1023/3</f>
      </c>
      <c r="L1023" s="115">
        <v>2.1</v>
      </c>
      <c r="M1023" s="116"/>
      <c r="N1023" s="117">
        <f>M1023-L1023</f>
      </c>
      <c r="O1023" s="112"/>
      <c r="P1023" s="118">
        <f>N1023+O1023</f>
      </c>
      <c r="Q1023" s="94" t="s">
        <v>778</v>
      </c>
      <c r="R1023" s="94" t="s">
        <v>63</v>
      </c>
      <c r="S1023" s="119">
        <v>46334</v>
      </c>
      <c r="T1023" s="119"/>
      <c r="U1023" s="119">
        <v>46334</v>
      </c>
      <c r="V1023" s="94"/>
      <c r="W1023" s="94"/>
      <c r="X1023" s="94"/>
      <c r="Y1023" s="119">
        <v>46337</v>
      </c>
      <c r="Z1023" s="94"/>
      <c r="AA1023" s="120"/>
      <c r="AB1023" s="120"/>
      <c r="AC1023" s="120"/>
      <c r="AD1023" s="120"/>
      <c r="AE1023" s="120"/>
      <c r="AF1023" s="120"/>
      <c r="AG1023" s="94"/>
      <c r="AH1023" s="120"/>
      <c r="AI1023" s="94"/>
      <c r="AJ1023" s="94" t="s">
        <v>778</v>
      </c>
      <c r="AK1023" s="94" t="s">
        <v>323</v>
      </c>
      <c r="AL1023" s="94">
        <v>120</v>
      </c>
      <c r="AM1023" s="94" t="str">
        <f>TRIM(AJ1023)&amp;TRIM(AL1023)&amp;TRIM(AK1023)</f>
      </c>
      <c r="AN1023" s="116">
        <v>0</v>
      </c>
      <c r="AO1023" s="116" t="inlineStr">
        <is>
          <t>#NA</t>
        </is>
      </c>
      <c r="AP1023" s="116">
        <f>SUMIFS(M:M,AM:AM,AM1023)+SUMIFS(O:O,AM:AM,AM1023)</f>
      </c>
      <c r="AQ1023" s="116">
        <f>SUMIFS(L:L,AM:AM,AM1023)</f>
      </c>
      <c r="AR1023" s="116">
        <f>AQ1023-AP1023</f>
      </c>
      <c r="AS1023" s="94" t="str">
        <f>IF(AN1023&gt;=AQ1023,"ok","ck")</f>
      </c>
      <c r="AT1023" s="116">
        <f>-P1023</f>
      </c>
      <c r="AU1023" s="115">
        <f>IF(SUMIFS(AT:AT,AM:AM,AM1023)&gt;AO1023,(SUMIFS(AT:AT,AM:AM,AM1023)-AO1023))</f>
      </c>
      <c r="AV1023" s="116">
        <v>0</v>
      </c>
      <c r="AW1023" s="121">
        <v>0</v>
      </c>
      <c r="AX1023" s="115">
        <f>AN1023-AP1023</f>
      </c>
    </row>
    <row r="1024" spans="1:50" ht="15" hidden="1" customHeight="1" x14ac:dyDescent="0.3">
      <c r="A1024" s="94" t="s">
        <v>60</v>
      </c>
      <c r="B1024" s="94"/>
      <c r="C1024" s="94"/>
      <c r="D1024" s="94"/>
      <c r="E1024" s="94"/>
      <c r="F1024" s="94"/>
      <c r="G1024" s="112">
        <f>AU1024</f>
      </c>
      <c r="H1024" s="113"/>
      <c r="I1024" s="94" t="s">
        <v>485</v>
      </c>
      <c r="J1024" s="94" t="s">
        <v>562</v>
      </c>
      <c r="K1024" s="114">
        <f>P1024/3</f>
      </c>
      <c r="L1024" s="115">
        <v>0</v>
      </c>
      <c r="M1024" s="116">
        <f>L1024</f>
      </c>
      <c r="N1024" s="117">
        <f>M1024-L1024</f>
      </c>
      <c r="O1024" s="112"/>
      <c r="P1024" s="118">
        <f>N1024+O1024</f>
      </c>
      <c r="Q1024" s="94" t="s">
        <v>810</v>
      </c>
      <c r="R1024" s="94" t="s">
        <v>63</v>
      </c>
      <c r="S1024" s="119">
        <v>46341</v>
      </c>
      <c r="T1024" s="119"/>
      <c r="U1024" s="119">
        <v>46341</v>
      </c>
      <c r="V1024" s="94"/>
      <c r="W1024" s="94"/>
      <c r="X1024" s="94"/>
      <c r="Y1024" s="119">
        <v>46341</v>
      </c>
      <c r="Z1024" s="94"/>
      <c r="AA1024" s="120"/>
      <c r="AB1024" s="120"/>
      <c r="AC1024" s="120"/>
      <c r="AD1024" s="120"/>
      <c r="AE1024" s="120"/>
      <c r="AF1024" s="120"/>
      <c r="AG1024" s="94"/>
      <c r="AH1024" s="120"/>
      <c r="AI1024" s="94"/>
      <c r="AJ1024" s="94" t="s">
        <v>810</v>
      </c>
      <c r="AK1024" s="94" t="s">
        <v>735</v>
      </c>
      <c r="AL1024" s="94">
        <v>140</v>
      </c>
      <c r="AM1024" s="94" t="str">
        <f>TRIM(AJ1024)&amp;TRIM(AL1024)&amp;TRIM(AK1024)</f>
      </c>
      <c r="AN1024" s="116">
        <v>155.88</v>
      </c>
      <c r="AO1024" s="116">
        <v>0.13</v>
      </c>
      <c r="AP1024" s="116">
        <f>SUMIFS(M:M,AM:AM,AM1024)+SUMIFS(O:O,AM:AM,AM1024)</f>
      </c>
      <c r="AQ1024" s="116">
        <f>SUMIFS(L:L,AM:AM,AM1024)</f>
      </c>
      <c r="AR1024" s="116">
        <f>AQ1024-AP1024</f>
      </c>
      <c r="AS1024" s="94" t="str">
        <f>IF(AN1024&gt;=AQ1024,"ok","ck")</f>
      </c>
      <c r="AT1024" s="116">
        <f>-P1024</f>
      </c>
      <c r="AU1024" s="115">
        <f>IF(SUMIFS(AT:AT,AM:AM,AM1024)&gt;AO1024,(SUMIFS(AT:AT,AM:AM,AM1024)-AO1024))</f>
      </c>
      <c r="AV1024" s="116">
        <v>155.88</v>
      </c>
      <c r="AW1024" s="121">
        <v>0.999</v>
      </c>
      <c r="AX1024" s="115">
        <f>AN1024-AP1024</f>
      </c>
    </row>
    <row r="1025" spans="1:50" ht="15" hidden="1" customHeight="1" x14ac:dyDescent="0.3">
      <c r="A1025" s="94" t="s">
        <v>60</v>
      </c>
      <c r="B1025" s="94"/>
      <c r="C1025" s="94"/>
      <c r="D1025" s="94"/>
      <c r="E1025" s="94"/>
      <c r="F1025" s="94"/>
      <c r="G1025" s="112">
        <f>AU1025</f>
      </c>
      <c r="H1025" s="113"/>
      <c r="I1025" s="94" t="s">
        <v>485</v>
      </c>
      <c r="J1025" s="94" t="s">
        <v>562</v>
      </c>
      <c r="K1025" s="114">
        <f>P1025/3</f>
      </c>
      <c r="L1025" s="115">
        <v>0</v>
      </c>
      <c r="M1025" s="116">
        <f>L1025</f>
      </c>
      <c r="N1025" s="117">
        <f>M1025-L1025</f>
      </c>
      <c r="O1025" s="112"/>
      <c r="P1025" s="118">
        <f>N1025+O1025</f>
      </c>
      <c r="Q1025" s="94" t="s">
        <v>810</v>
      </c>
      <c r="R1025" s="94" t="s">
        <v>63</v>
      </c>
      <c r="S1025" s="119">
        <v>46345</v>
      </c>
      <c r="T1025" s="119"/>
      <c r="U1025" s="119">
        <v>46345</v>
      </c>
      <c r="V1025" s="94"/>
      <c r="W1025" s="94"/>
      <c r="X1025" s="94"/>
      <c r="Y1025" s="119">
        <v>46345</v>
      </c>
      <c r="Z1025" s="94"/>
      <c r="AA1025" s="120"/>
      <c r="AB1025" s="120"/>
      <c r="AC1025" s="120"/>
      <c r="AD1025" s="120"/>
      <c r="AE1025" s="120"/>
      <c r="AF1025" s="120"/>
      <c r="AG1025" s="94"/>
      <c r="AH1025" s="120"/>
      <c r="AI1025" s="94"/>
      <c r="AJ1025" s="94" t="s">
        <v>810</v>
      </c>
      <c r="AK1025" s="94" t="s">
        <v>735</v>
      </c>
      <c r="AL1025" s="94">
        <v>140</v>
      </c>
      <c r="AM1025" s="94" t="str">
        <f>TRIM(AJ1025)&amp;TRIM(AL1025)&amp;TRIM(AK1025)</f>
      </c>
      <c r="AN1025" s="116">
        <v>155.88</v>
      </c>
      <c r="AO1025" s="116">
        <v>0.13</v>
      </c>
      <c r="AP1025" s="116">
        <f>SUMIFS(M:M,AM:AM,AM1025)+SUMIFS(O:O,AM:AM,AM1025)</f>
      </c>
      <c r="AQ1025" s="116">
        <f>SUMIFS(L:L,AM:AM,AM1025)</f>
      </c>
      <c r="AR1025" s="116">
        <f>AQ1025-AP1025</f>
      </c>
      <c r="AS1025" s="94" t="str">
        <f>IF(AN1025&gt;=AQ1025,"ok","ck")</f>
      </c>
      <c r="AT1025" s="116">
        <f>-P1025</f>
      </c>
      <c r="AU1025" s="115">
        <f>IF(SUMIFS(AT:AT,AM:AM,AM1025)&gt;AO1025,(SUMIFS(AT:AT,AM:AM,AM1025)-AO1025))</f>
      </c>
      <c r="AV1025" s="116">
        <v>155.88</v>
      </c>
      <c r="AW1025" s="121">
        <v>0.999</v>
      </c>
      <c r="AX1025" s="115">
        <f>AN1025-AP1025</f>
      </c>
    </row>
    <row r="1026" spans="1:50" ht="15" hidden="1" customHeight="1" x14ac:dyDescent="0.3">
      <c r="A1026" s="94" t="s">
        <v>268</v>
      </c>
      <c r="B1026" s="94"/>
      <c r="C1026" s="94"/>
      <c r="D1026" s="94"/>
      <c r="E1026" s="94"/>
      <c r="F1026" s="94"/>
      <c r="G1026" s="112">
        <f>AU1026</f>
      </c>
      <c r="H1026" s="113"/>
      <c r="I1026" s="94" t="s">
        <v>278</v>
      </c>
      <c r="J1026" s="94" t="s">
        <v>322</v>
      </c>
      <c r="K1026" s="114">
        <f>P1026/3</f>
      </c>
      <c r="L1026" s="115">
        <v>13.28</v>
      </c>
      <c r="M1026" s="116"/>
      <c r="N1026" s="117">
        <f>M1026-L1026</f>
      </c>
      <c r="O1026" s="112"/>
      <c r="P1026" s="118">
        <f>N1026+O1026</f>
      </c>
      <c r="Q1026" s="94" t="s">
        <v>778</v>
      </c>
      <c r="R1026" s="94" t="s">
        <v>63</v>
      </c>
      <c r="S1026" s="119">
        <v>46334</v>
      </c>
      <c r="T1026" s="119"/>
      <c r="U1026" s="119">
        <v>46334</v>
      </c>
      <c r="V1026" s="94"/>
      <c r="W1026" s="94"/>
      <c r="X1026" s="94"/>
      <c r="Y1026" s="119">
        <v>46335</v>
      </c>
      <c r="Z1026" s="94"/>
      <c r="AA1026" s="120"/>
      <c r="AB1026" s="120"/>
      <c r="AC1026" s="120"/>
      <c r="AD1026" s="120"/>
      <c r="AE1026" s="120"/>
      <c r="AF1026" s="120"/>
      <c r="AG1026" s="94"/>
      <c r="AH1026" s="120"/>
      <c r="AI1026" s="94"/>
      <c r="AJ1026" s="94" t="s">
        <v>778</v>
      </c>
      <c r="AK1026" s="94" t="s">
        <v>323</v>
      </c>
      <c r="AL1026" s="94">
        <v>120</v>
      </c>
      <c r="AM1026" s="94" t="str">
        <f>TRIM(AJ1026)&amp;TRIM(AL1026)&amp;TRIM(AK1026)</f>
      </c>
      <c r="AN1026" s="116">
        <v>0</v>
      </c>
      <c r="AO1026" s="116" t="inlineStr">
        <is>
          <t>#NA</t>
        </is>
      </c>
      <c r="AP1026" s="116">
        <f>SUMIFS(M:M,AM:AM,AM1026)+SUMIFS(O:O,AM:AM,AM1026)</f>
      </c>
      <c r="AQ1026" s="116">
        <f>SUMIFS(L:L,AM:AM,AM1026)</f>
      </c>
      <c r="AR1026" s="116">
        <f>AQ1026-AP1026</f>
      </c>
      <c r="AS1026" s="94" t="str">
        <f>IF(AN1026&gt;=AQ1026,"ok","ck")</f>
      </c>
      <c r="AT1026" s="116">
        <f>-P1026</f>
      </c>
      <c r="AU1026" s="115">
        <f>IF(SUMIFS(AT:AT,AM:AM,AM1026)&gt;AO1026,(SUMIFS(AT:AT,AM:AM,AM1026)-AO1026))</f>
      </c>
      <c r="AV1026" s="116">
        <v>0</v>
      </c>
      <c r="AW1026" s="121">
        <v>0</v>
      </c>
      <c r="AX1026" s="115">
        <f>AN1026-AP1026</f>
      </c>
    </row>
    <row r="1027" spans="1:50" ht="15" hidden="1" customHeight="1" x14ac:dyDescent="0.3">
      <c r="A1027" s="94" t="s">
        <v>268</v>
      </c>
      <c r="B1027" s="94"/>
      <c r="C1027" s="94"/>
      <c r="D1027" s="94"/>
      <c r="E1027" s="94"/>
      <c r="F1027" s="94"/>
      <c r="G1027" s="112">
        <f>AU1027</f>
      </c>
      <c r="H1027" s="113"/>
      <c r="I1027" s="94" t="s">
        <v>278</v>
      </c>
      <c r="J1027" s="94" t="s">
        <v>273</v>
      </c>
      <c r="K1027" s="114">
        <f>P1027/3</f>
      </c>
      <c r="L1027" s="115">
        <v>-1E-3</v>
      </c>
      <c r="M1027" s="116">
        <f>L1027</f>
      </c>
      <c r="N1027" s="117">
        <f>M1027-L1027</f>
      </c>
      <c r="O1027" s="112"/>
      <c r="P1027" s="118">
        <f>N1027+O1027</f>
      </c>
      <c r="Q1027" s="94" t="s">
        <v>787</v>
      </c>
      <c r="R1027" s="94" t="s">
        <v>63</v>
      </c>
      <c r="S1027" s="119">
        <v>46320</v>
      </c>
      <c r="T1027" s="119"/>
      <c r="U1027" s="119">
        <v>46320</v>
      </c>
      <c r="V1027" s="94"/>
      <c r="W1027" s="94"/>
      <c r="X1027" s="94"/>
      <c r="Y1027" s="119">
        <v>46320</v>
      </c>
      <c r="Z1027" s="94"/>
      <c r="AA1027" s="120"/>
      <c r="AB1027" s="120"/>
      <c r="AC1027" s="120"/>
      <c r="AD1027" s="120"/>
      <c r="AE1027" s="120"/>
      <c r="AF1027" s="120"/>
      <c r="AG1027" s="94"/>
      <c r="AH1027" s="120"/>
      <c r="AI1027" s="94"/>
      <c r="AJ1027" s="94" t="s">
        <v>787</v>
      </c>
      <c r="AK1027" s="94" t="s">
        <v>274</v>
      </c>
      <c r="AL1027" s="94">
        <v>120</v>
      </c>
      <c r="AM1027" s="94" t="str">
        <f>TRIM(AJ1027)&amp;TRIM(AL1027)&amp;TRIM(AK1027)</f>
      </c>
      <c r="AN1027" s="116">
        <v>487.98</v>
      </c>
      <c r="AO1027" s="116">
        <v>-112.98</v>
      </c>
      <c r="AP1027" s="116">
        <f>SUMIFS(M:M,AM:AM,AM1027)+SUMIFS(O:O,AM:AM,AM1027)</f>
      </c>
      <c r="AQ1027" s="116">
        <f>SUMIFS(L:L,AM:AM,AM1027)</f>
      </c>
      <c r="AR1027" s="116">
        <f>AQ1027-AP1027</f>
      </c>
      <c r="AS1027" s="94" t="str">
        <f>IF(AN1027&gt;=AQ1027,"ok","ck")</f>
      </c>
      <c r="AT1027" s="116">
        <f>-P1027</f>
      </c>
      <c r="AU1027" s="115">
        <f>IF(SUMIFS(AT:AT,AM:AM,AM1027)&gt;AO1027,(SUMIFS(AT:AT,AM:AM,AM1027)-AO1027))</f>
      </c>
      <c r="AV1027" s="116">
        <v>487.98</v>
      </c>
      <c r="AW1027" s="121">
        <v>1.301</v>
      </c>
      <c r="AX1027" s="115">
        <f>AN1027-AP1027</f>
      </c>
    </row>
    <row r="1028" spans="1:50" ht="15" hidden="1" customHeight="1" x14ac:dyDescent="0.3">
      <c r="A1028" s="94" t="s">
        <v>268</v>
      </c>
      <c r="B1028" s="94"/>
      <c r="C1028" s="94"/>
      <c r="D1028" s="94"/>
      <c r="E1028" s="94"/>
      <c r="F1028" s="94"/>
      <c r="G1028" s="112">
        <f>AU1028</f>
      </c>
      <c r="H1028" s="113"/>
      <c r="I1028" s="94" t="s">
        <v>390</v>
      </c>
      <c r="J1028" s="94" t="s">
        <v>273</v>
      </c>
      <c r="K1028" s="114">
        <f>P1028/3</f>
      </c>
      <c r="L1028" s="115">
        <v>71.317999999999998</v>
      </c>
      <c r="M1028" s="116"/>
      <c r="N1028" s="117">
        <f>M1028-L1028</f>
      </c>
      <c r="O1028" s="112"/>
      <c r="P1028" s="118">
        <f>N1028+O1028</f>
      </c>
      <c r="Q1028" s="94" t="s">
        <v>305</v>
      </c>
      <c r="R1028" s="94" t="s">
        <v>63</v>
      </c>
      <c r="S1028" s="119">
        <v>46340</v>
      </c>
      <c r="T1028" s="119"/>
      <c r="U1028" s="119" t="s">
        <v>649</v>
      </c>
      <c r="V1028" s="94"/>
      <c r="W1028" s="94"/>
      <c r="X1028" s="94"/>
      <c r="Y1028" s="119">
        <v>46324</v>
      </c>
      <c r="Z1028" s="94"/>
      <c r="AA1028" s="120"/>
      <c r="AB1028" s="120"/>
      <c r="AC1028" s="120"/>
      <c r="AD1028" s="120"/>
      <c r="AE1028" s="120"/>
      <c r="AF1028" s="120"/>
      <c r="AG1028" s="94"/>
      <c r="AH1028" s="120"/>
      <c r="AI1028" s="94"/>
      <c r="AJ1028" s="94" t="s">
        <v>305</v>
      </c>
      <c r="AK1028" s="94" t="s">
        <v>274</v>
      </c>
      <c r="AL1028" s="94">
        <v>140</v>
      </c>
      <c r="AM1028" s="94" t="str">
        <f>TRIM(AJ1028)&amp;TRIM(AL1028)&amp;TRIM(AK1028)</f>
      </c>
      <c r="AN1028" s="116">
        <v>0</v>
      </c>
      <c r="AO1028" s="116" t="inlineStr">
        <is>
          <t>#NA</t>
        </is>
      </c>
      <c r="AP1028" s="116">
        <f>SUMIFS(M:M,AM:AM,AM1028)+SUMIFS(O:O,AM:AM,AM1028)</f>
      </c>
      <c r="AQ1028" s="116">
        <f>SUMIFS(L:L,AM:AM,AM1028)</f>
      </c>
      <c r="AR1028" s="116">
        <f>AQ1028-AP1028</f>
      </c>
      <c r="AS1028" s="94" t="str">
        <f>IF(AN1028&gt;=AQ1028,"ok","ck")</f>
      </c>
      <c r="AT1028" s="116">
        <f>-P1028</f>
      </c>
      <c r="AU1028" s="115">
        <f>IF(SUMIFS(AT:AT,AM:AM,AM1028)&gt;AO1028,(SUMIFS(AT:AT,AM:AM,AM1028)-AO1028))</f>
      </c>
      <c r="AV1028" s="116">
        <v>0</v>
      </c>
      <c r="AW1028" s="121">
        <v>0</v>
      </c>
      <c r="AX1028" s="115">
        <f>AN1028-AP1028</f>
      </c>
    </row>
    <row r="1029" spans="1:50" ht="15" hidden="1" customHeight="1" x14ac:dyDescent="0.3">
      <c r="A1029" s="94" t="s">
        <v>268</v>
      </c>
      <c r="B1029" s="94"/>
      <c r="C1029" s="94"/>
      <c r="D1029" s="94"/>
      <c r="E1029" s="94"/>
      <c r="F1029" s="94"/>
      <c r="G1029" s="112">
        <f>AU1029</f>
      </c>
      <c r="H1029" s="113"/>
      <c r="I1029" s="94" t="s">
        <v>278</v>
      </c>
      <c r="J1029" s="94" t="s">
        <v>273</v>
      </c>
      <c r="K1029" s="114">
        <f>P1029/3</f>
      </c>
      <c r="L1029" s="115">
        <v>0.39900000000000002</v>
      </c>
      <c r="M1029" s="116"/>
      <c r="N1029" s="117">
        <f>M1029-L1029</f>
      </c>
      <c r="O1029" s="112"/>
      <c r="P1029" s="118">
        <f>N1029+O1029</f>
      </c>
      <c r="Q1029" s="94" t="s">
        <v>812</v>
      </c>
      <c r="R1029" s="94" t="s">
        <v>63</v>
      </c>
      <c r="S1029" s="119">
        <v>46340</v>
      </c>
      <c r="T1029" s="119"/>
      <c r="U1029" s="119">
        <v>46340</v>
      </c>
      <c r="V1029" s="94"/>
      <c r="W1029" s="94"/>
      <c r="X1029" s="94"/>
      <c r="Y1029" s="119">
        <v>46340</v>
      </c>
      <c r="Z1029" s="94"/>
      <c r="AA1029" s="120"/>
      <c r="AB1029" s="120"/>
      <c r="AC1029" s="120"/>
      <c r="AD1029" s="120"/>
      <c r="AE1029" s="120"/>
      <c r="AF1029" s="120"/>
      <c r="AG1029" s="94"/>
      <c r="AH1029" s="120"/>
      <c r="AI1029" s="94"/>
      <c r="AJ1029" s="94" t="s">
        <v>812</v>
      </c>
      <c r="AK1029" s="94" t="s">
        <v>274</v>
      </c>
      <c r="AL1029" s="94">
        <v>120</v>
      </c>
      <c r="AM1029" s="94" t="str">
        <f>TRIM(AJ1029)&amp;TRIM(AL1029)&amp;TRIM(AK1029)</f>
      </c>
      <c r="AN1029" s="116">
        <v>0</v>
      </c>
      <c r="AO1029" s="116" t="inlineStr">
        <is>
          <t>#NA</t>
        </is>
      </c>
      <c r="AP1029" s="116">
        <f>SUMIFS(M:M,AM:AM,AM1029)+SUMIFS(O:O,AM:AM,AM1029)</f>
      </c>
      <c r="AQ1029" s="116">
        <f>SUMIFS(L:L,AM:AM,AM1029)</f>
      </c>
      <c r="AR1029" s="116">
        <f>AQ1029-AP1029</f>
      </c>
      <c r="AS1029" s="94" t="str">
        <f>IF(AN1029&gt;=AQ1029,"ok","ck")</f>
      </c>
      <c r="AT1029" s="116">
        <f>-P1029</f>
      </c>
      <c r="AU1029" s="115">
        <f>IF(SUMIFS(AT:AT,AM:AM,AM1029)&gt;AO1029,(SUMIFS(AT:AT,AM:AM,AM1029)-AO1029))</f>
      </c>
      <c r="AV1029" s="116">
        <v>0</v>
      </c>
      <c r="AW1029" s="121">
        <v>0</v>
      </c>
      <c r="AX1029" s="115">
        <f>AN1029-AP1029</f>
      </c>
    </row>
    <row r="1030" spans="1:50" ht="15" hidden="1" customHeight="1" x14ac:dyDescent="0.3">
      <c r="A1030" s="94" t="s">
        <v>288</v>
      </c>
      <c r="B1030" s="94"/>
      <c r="C1030" s="94"/>
      <c r="D1030" s="94"/>
      <c r="E1030" s="94"/>
      <c r="F1030" s="94"/>
      <c r="G1030" s="112">
        <f>AU1030</f>
      </c>
      <c r="H1030" s="113"/>
      <c r="I1030" s="94" t="s">
        <v>289</v>
      </c>
      <c r="J1030" s="94" t="s">
        <v>383</v>
      </c>
      <c r="K1030" s="114">
        <f>P1030/3</f>
      </c>
      <c r="L1030" s="115">
        <v>-0.34899999999999998</v>
      </c>
      <c r="M1030" s="116">
        <f>L1030</f>
      </c>
      <c r="N1030" s="117">
        <f>M1030-L1030</f>
      </c>
      <c r="O1030" s="112"/>
      <c r="P1030" s="118">
        <f>N1030+O1030</f>
      </c>
      <c r="Q1030" s="94" t="s">
        <v>299</v>
      </c>
      <c r="R1030" s="94" t="s">
        <v>63</v>
      </c>
      <c r="S1030" s="119">
        <v>46334</v>
      </c>
      <c r="T1030" s="119"/>
      <c r="U1030" s="119">
        <v>46334</v>
      </c>
      <c r="V1030" s="94"/>
      <c r="W1030" s="94"/>
      <c r="X1030" s="94"/>
      <c r="Y1030" s="119">
        <v>46334</v>
      </c>
      <c r="Z1030" s="94"/>
      <c r="AA1030" s="120"/>
      <c r="AB1030" s="120"/>
      <c r="AC1030" s="120"/>
      <c r="AD1030" s="120"/>
      <c r="AE1030" s="120"/>
      <c r="AF1030" s="120"/>
      <c r="AG1030" s="94"/>
      <c r="AH1030" s="120"/>
      <c r="AI1030" s="94"/>
      <c r="AJ1030" s="94" t="s">
        <v>478</v>
      </c>
      <c r="AK1030" s="94" t="s">
        <v>384</v>
      </c>
      <c r="AL1030" s="94">
        <v>235</v>
      </c>
      <c r="AM1030" s="94" t="str">
        <f>TRIM(AJ1030)&amp;TRIM(AL1030)&amp;TRIM(AK1030)</f>
      </c>
      <c r="AN1030" s="116">
        <v>172</v>
      </c>
      <c r="AO1030" s="116">
        <v>-2.48</v>
      </c>
      <c r="AP1030" s="116">
        <f>SUMIFS(M:M,AM:AM,AM1030)+SUMIFS(O:O,AM:AM,AM1030)</f>
      </c>
      <c r="AQ1030" s="116">
        <f>SUMIFS(L:L,AM:AM,AM1030)</f>
      </c>
      <c r="AR1030" s="116">
        <f>AQ1030-AP1030</f>
      </c>
      <c r="AS1030" s="94" t="str">
        <f>IF(AN1030&gt;=AQ1030,"ok","ck")</f>
      </c>
      <c r="AT1030" s="116">
        <f>-P1030</f>
      </c>
      <c r="AU1030" s="115">
        <f>IF(SUMIFS(AT:AT,AM:AM,AM1030)&gt;AO1030,(SUMIFS(AT:AT,AM:AM,AM1030)-AO1030))</f>
      </c>
      <c r="AV1030" s="116">
        <v>172</v>
      </c>
      <c r="AW1030" s="121">
        <v>1.015</v>
      </c>
      <c r="AX1030" s="115">
        <f>AN1030-AP1030</f>
      </c>
    </row>
    <row r="1031" spans="1:50" ht="15" hidden="1" customHeight="1" x14ac:dyDescent="0.3">
      <c r="A1031" s="94" t="s">
        <v>288</v>
      </c>
      <c r="B1031" s="94"/>
      <c r="C1031" s="94"/>
      <c r="D1031" s="94"/>
      <c r="E1031" s="94"/>
      <c r="F1031" s="94"/>
      <c r="G1031" s="112">
        <f>AU1031</f>
      </c>
      <c r="H1031" s="113"/>
      <c r="I1031" s="94" t="s">
        <v>289</v>
      </c>
      <c r="J1031" s="94" t="s">
        <v>383</v>
      </c>
      <c r="K1031" s="114">
        <f>P1031/3</f>
      </c>
      <c r="L1031" s="115">
        <v>-2.46</v>
      </c>
      <c r="M1031" s="116">
        <f>L1031</f>
      </c>
      <c r="N1031" s="117">
        <f>M1031-L1031</f>
      </c>
      <c r="O1031" s="112"/>
      <c r="P1031" s="118">
        <f>N1031+O1031</f>
      </c>
      <c r="Q1031" s="94" t="s">
        <v>299</v>
      </c>
      <c r="R1031" s="94" t="s">
        <v>63</v>
      </c>
      <c r="S1031" s="119">
        <v>46320</v>
      </c>
      <c r="T1031" s="119"/>
      <c r="U1031" s="119">
        <v>46320</v>
      </c>
      <c r="V1031" s="94"/>
      <c r="W1031" s="94"/>
      <c r="X1031" s="94"/>
      <c r="Y1031" s="119">
        <v>46320</v>
      </c>
      <c r="Z1031" s="94"/>
      <c r="AA1031" s="120"/>
      <c r="AB1031" s="120"/>
      <c r="AC1031" s="120"/>
      <c r="AD1031" s="120"/>
      <c r="AE1031" s="120"/>
      <c r="AF1031" s="120"/>
      <c r="AG1031" s="94"/>
      <c r="AH1031" s="120"/>
      <c r="AI1031" s="94"/>
      <c r="AJ1031" s="94" t="s">
        <v>478</v>
      </c>
      <c r="AK1031" s="94" t="s">
        <v>384</v>
      </c>
      <c r="AL1031" s="94">
        <v>235</v>
      </c>
      <c r="AM1031" s="94" t="str">
        <f>TRIM(AJ1031)&amp;TRIM(AL1031)&amp;TRIM(AK1031)</f>
      </c>
      <c r="AN1031" s="116">
        <v>172</v>
      </c>
      <c r="AO1031" s="116">
        <v>-2.48</v>
      </c>
      <c r="AP1031" s="116">
        <f>SUMIFS(M:M,AM:AM,AM1031)+SUMIFS(O:O,AM:AM,AM1031)</f>
      </c>
      <c r="AQ1031" s="116">
        <f>SUMIFS(L:L,AM:AM,AM1031)</f>
      </c>
      <c r="AR1031" s="116">
        <f>AQ1031-AP1031</f>
      </c>
      <c r="AS1031" s="94" t="str">
        <f>IF(AN1031&gt;=AQ1031,"ok","ck")</f>
      </c>
      <c r="AT1031" s="116">
        <f>-P1031</f>
      </c>
      <c r="AU1031" s="115">
        <f>IF(SUMIFS(AT:AT,AM:AM,AM1031)&gt;AO1031,(SUMIFS(AT:AT,AM:AM,AM1031)-AO1031))</f>
      </c>
      <c r="AV1031" s="116">
        <v>172</v>
      </c>
      <c r="AW1031" s="121">
        <v>1.015</v>
      </c>
      <c r="AX1031" s="115">
        <f>AN1031-AP1031</f>
      </c>
    </row>
    <row r="1032" spans="1:50" ht="15" hidden="1" customHeight="1" x14ac:dyDescent="0.3">
      <c r="A1032" s="94" t="s">
        <v>288</v>
      </c>
      <c r="B1032" s="94"/>
      <c r="C1032" s="94"/>
      <c r="D1032" s="94"/>
      <c r="E1032" s="94"/>
      <c r="F1032" s="94"/>
      <c r="G1032" s="112">
        <f>AU1032</f>
      </c>
      <c r="H1032" s="113"/>
      <c r="I1032" s="94" t="s">
        <v>289</v>
      </c>
      <c r="J1032" s="94" t="s">
        <v>267</v>
      </c>
      <c r="K1032" s="114">
        <f>P1032/3</f>
      </c>
      <c r="L1032" s="115">
        <v>-5.3999999999999999E-2</v>
      </c>
      <c r="M1032" s="116">
        <f>L1032</f>
      </c>
      <c r="N1032" s="117">
        <f>M1032-L1032</f>
      </c>
      <c r="O1032" s="112"/>
      <c r="P1032" s="118">
        <f>N1032+O1032</f>
      </c>
      <c r="Q1032" s="94" t="s">
        <v>299</v>
      </c>
      <c r="R1032" s="94" t="s">
        <v>63</v>
      </c>
      <c r="S1032" s="119">
        <v>46320</v>
      </c>
      <c r="T1032" s="119"/>
      <c r="U1032" s="119">
        <v>46320</v>
      </c>
      <c r="V1032" s="94"/>
      <c r="W1032" s="94"/>
      <c r="X1032" s="94"/>
      <c r="Y1032" s="119">
        <v>46320</v>
      </c>
      <c r="Z1032" s="94"/>
      <c r="AA1032" s="120"/>
      <c r="AB1032" s="120"/>
      <c r="AC1032" s="120"/>
      <c r="AD1032" s="120"/>
      <c r="AE1032" s="120"/>
      <c r="AF1032" s="120"/>
      <c r="AG1032" s="94"/>
      <c r="AH1032" s="120"/>
      <c r="AI1032" s="94"/>
      <c r="AJ1032" s="94" t="s">
        <v>478</v>
      </c>
      <c r="AK1032" s="94" t="s">
        <v>267</v>
      </c>
      <c r="AL1032" s="94">
        <v>235</v>
      </c>
      <c r="AM1032" s="94" t="str">
        <f>TRIM(AJ1032)&amp;TRIM(AL1032)&amp;TRIM(AK1032)</f>
      </c>
      <c r="AN1032" s="116">
        <v>2522</v>
      </c>
      <c r="AO1032" s="116">
        <v>-15.24</v>
      </c>
      <c r="AP1032" s="116">
        <f>SUMIFS(M:M,AM:AM,AM1032)+SUMIFS(O:O,AM:AM,AM1032)</f>
      </c>
      <c r="AQ1032" s="116">
        <f>SUMIFS(L:L,AM:AM,AM1032)</f>
      </c>
      <c r="AR1032" s="116">
        <f>AQ1032-AP1032</f>
      </c>
      <c r="AS1032" s="94" t="str">
        <f>IF(AN1032&gt;=AQ1032,"ok","ck")</f>
      </c>
      <c r="AT1032" s="116">
        <f>-P1032</f>
      </c>
      <c r="AU1032" s="115">
        <f>IF(SUMIFS(AT:AT,AM:AM,AM1032)&gt;AO1032,(SUMIFS(AT:AT,AM:AM,AM1032)-AO1032))</f>
      </c>
      <c r="AV1032" s="116">
        <v>2522</v>
      </c>
      <c r="AW1032" s="121">
        <v>1.006</v>
      </c>
      <c r="AX1032" s="115">
        <f>AN1032-AP1032</f>
      </c>
    </row>
    <row r="1033" spans="1:50" ht="15" hidden="1" customHeight="1" x14ac:dyDescent="0.3">
      <c r="A1033" s="94" t="s">
        <v>288</v>
      </c>
      <c r="B1033" s="94"/>
      <c r="C1033" s="94"/>
      <c r="D1033" s="94"/>
      <c r="E1033" s="94"/>
      <c r="F1033" s="94"/>
      <c r="G1033" s="112">
        <f>AU1033</f>
      </c>
      <c r="H1033" s="113"/>
      <c r="I1033" s="94" t="s">
        <v>289</v>
      </c>
      <c r="J1033" s="94" t="s">
        <v>267</v>
      </c>
      <c r="K1033" s="114">
        <f>P1033/3</f>
      </c>
      <c r="L1033" s="115">
        <v>0</v>
      </c>
      <c r="M1033" s="116">
        <f>L1033</f>
      </c>
      <c r="N1033" s="117">
        <f>M1033-L1033</f>
      </c>
      <c r="O1033" s="112"/>
      <c r="P1033" s="118">
        <f>N1033+O1033</f>
      </c>
      <c r="Q1033" s="94" t="s">
        <v>299</v>
      </c>
      <c r="R1033" s="94" t="s">
        <v>63</v>
      </c>
      <c r="S1033" s="120">
        <v>46330</v>
      </c>
      <c r="T1033" s="120"/>
      <c r="U1033" s="120">
        <v>46330</v>
      </c>
      <c r="V1033" s="94"/>
      <c r="W1033" s="94"/>
      <c r="X1033" s="94"/>
      <c r="Y1033" s="119">
        <v>46330</v>
      </c>
      <c r="Z1033" s="94"/>
      <c r="AA1033" s="120"/>
      <c r="AB1033" s="120"/>
      <c r="AC1033" s="120"/>
      <c r="AD1033" s="120"/>
      <c r="AE1033" s="120"/>
      <c r="AF1033" s="120"/>
      <c r="AG1033" s="94"/>
      <c r="AH1033" s="120"/>
      <c r="AI1033" s="94"/>
      <c r="AJ1033" s="94" t="s">
        <v>478</v>
      </c>
      <c r="AK1033" s="94" t="s">
        <v>267</v>
      </c>
      <c r="AL1033" s="94">
        <v>235</v>
      </c>
      <c r="AM1033" s="94" t="str">
        <f>TRIM(AJ1033)&amp;TRIM(AL1033)&amp;TRIM(AK1033)</f>
      </c>
      <c r="AN1033" s="116">
        <v>2522</v>
      </c>
      <c r="AO1033" s="116">
        <v>-15.24</v>
      </c>
      <c r="AP1033" s="116">
        <f>SUMIFS(M:M,AM:AM,AM1033)+SUMIFS(O:O,AM:AM,AM1033)</f>
      </c>
      <c r="AQ1033" s="116">
        <f>SUMIFS(L:L,AM:AM,AM1033)</f>
      </c>
      <c r="AR1033" s="116">
        <f>AQ1033-AP1033</f>
      </c>
      <c r="AS1033" s="94" t="str">
        <f>IF(AN1033&gt;=AQ1033,"ok","ck")</f>
      </c>
      <c r="AT1033" s="116">
        <f>-P1033</f>
      </c>
      <c r="AU1033" s="115">
        <f>IF(SUMIFS(AT:AT,AM:AM,AM1033)&gt;AO1033,(SUMIFS(AT:AT,AM:AM,AM1033)-AO1033))</f>
      </c>
      <c r="AV1033" s="116">
        <v>2522</v>
      </c>
      <c r="AW1033" s="121">
        <v>1.006</v>
      </c>
      <c r="AX1033" s="115">
        <f>AN1033-AP1033</f>
      </c>
    </row>
    <row r="1034" spans="1:50" ht="15" hidden="1" customHeight="1" x14ac:dyDescent="0.3">
      <c r="A1034" s="94" t="s">
        <v>288</v>
      </c>
      <c r="B1034" s="94"/>
      <c r="C1034" s="94"/>
      <c r="D1034" s="94"/>
      <c r="E1034" s="94"/>
      <c r="F1034" s="94"/>
      <c r="G1034" s="112">
        <f>AU1034</f>
      </c>
      <c r="H1034" s="113"/>
      <c r="I1034" s="94" t="s">
        <v>289</v>
      </c>
      <c r="J1034" s="94" t="s">
        <v>267</v>
      </c>
      <c r="K1034" s="114">
        <f>P1034/3</f>
      </c>
      <c r="L1034" s="115">
        <v>-0.622</v>
      </c>
      <c r="M1034" s="116">
        <f>L1034</f>
      </c>
      <c r="N1034" s="117">
        <f>M1034-L1034</f>
      </c>
      <c r="O1034" s="112"/>
      <c r="P1034" s="118">
        <f>N1034+O1034</f>
      </c>
      <c r="Q1034" s="94" t="s">
        <v>299</v>
      </c>
      <c r="R1034" s="94" t="s">
        <v>63</v>
      </c>
      <c r="S1034" s="120">
        <v>46338</v>
      </c>
      <c r="T1034" s="120"/>
      <c r="U1034" s="120">
        <v>46338</v>
      </c>
      <c r="V1034" s="94"/>
      <c r="W1034" s="94"/>
      <c r="X1034" s="94"/>
      <c r="Y1034" s="119">
        <v>46338</v>
      </c>
      <c r="Z1034" s="94"/>
      <c r="AA1034" s="120"/>
      <c r="AB1034" s="120"/>
      <c r="AC1034" s="120"/>
      <c r="AD1034" s="120"/>
      <c r="AE1034" s="120"/>
      <c r="AF1034" s="120"/>
      <c r="AG1034" s="94"/>
      <c r="AH1034" s="120"/>
      <c r="AI1034" s="94"/>
      <c r="AJ1034" s="94" t="s">
        <v>478</v>
      </c>
      <c r="AK1034" s="94" t="s">
        <v>267</v>
      </c>
      <c r="AL1034" s="94">
        <v>235</v>
      </c>
      <c r="AM1034" s="94" t="str">
        <f>TRIM(AJ1034)&amp;TRIM(AL1034)&amp;TRIM(AK1034)</f>
      </c>
      <c r="AN1034" s="116">
        <v>2522</v>
      </c>
      <c r="AO1034" s="116">
        <v>-15.24</v>
      </c>
      <c r="AP1034" s="116">
        <f>SUMIFS(M:M,AM:AM,AM1034)+SUMIFS(O:O,AM:AM,AM1034)</f>
      </c>
      <c r="AQ1034" s="116">
        <f>SUMIFS(L:L,AM:AM,AM1034)</f>
      </c>
      <c r="AR1034" s="116">
        <f>AQ1034-AP1034</f>
      </c>
      <c r="AS1034" s="94" t="str">
        <f>IF(AN1034&gt;=AQ1034,"ok","ck")</f>
      </c>
      <c r="AT1034" s="116">
        <f>-P1034</f>
      </c>
      <c r="AU1034" s="115">
        <f>IF(SUMIFS(AT:AT,AM:AM,AM1034)&gt;AO1034,(SUMIFS(AT:AT,AM:AM,AM1034)-AO1034))</f>
      </c>
      <c r="AV1034" s="116">
        <v>2522</v>
      </c>
      <c r="AW1034" s="121">
        <v>1.006</v>
      </c>
      <c r="AX1034" s="115">
        <f>AN1034-AP1034</f>
      </c>
    </row>
    <row r="1035" spans="1:50" ht="15" hidden="1" customHeight="1" x14ac:dyDescent="0.3">
      <c r="A1035" s="94" t="s">
        <v>288</v>
      </c>
      <c r="B1035" s="94"/>
      <c r="C1035" s="94"/>
      <c r="D1035" s="94"/>
      <c r="E1035" s="94"/>
      <c r="F1035" s="94"/>
      <c r="G1035" s="112">
        <f>AU1035</f>
      </c>
      <c r="H1035" s="113"/>
      <c r="I1035" s="94" t="s">
        <v>295</v>
      </c>
      <c r="J1035" s="94" t="s">
        <v>290</v>
      </c>
      <c r="K1035" s="114">
        <f>P1035/3</f>
      </c>
      <c r="L1035" s="115">
        <v>0</v>
      </c>
      <c r="M1035" s="116">
        <f>L1035</f>
      </c>
      <c r="N1035" s="117">
        <f>M1035-L1035</f>
      </c>
      <c r="O1035" s="112"/>
      <c r="P1035" s="118">
        <f>N1035+O1035</f>
      </c>
      <c r="Q1035" s="94" t="s">
        <v>352</v>
      </c>
      <c r="R1035" s="94" t="s">
        <v>63</v>
      </c>
      <c r="S1035" s="120">
        <v>46330</v>
      </c>
      <c r="T1035" s="120"/>
      <c r="U1035" s="120">
        <v>46330</v>
      </c>
      <c r="V1035" s="94"/>
      <c r="W1035" s="94"/>
      <c r="X1035" s="94"/>
      <c r="Y1035" s="119">
        <v>46330</v>
      </c>
      <c r="Z1035" s="94"/>
      <c r="AA1035" s="120"/>
      <c r="AB1035" s="120"/>
      <c r="AC1035" s="120"/>
      <c r="AD1035" s="120"/>
      <c r="AE1035" s="120"/>
      <c r="AF1035" s="120"/>
      <c r="AG1035" s="94"/>
      <c r="AH1035" s="120"/>
      <c r="AI1035" s="94"/>
      <c r="AJ1035" s="94" t="s">
        <v>477</v>
      </c>
      <c r="AK1035" s="94" t="s">
        <v>267</v>
      </c>
      <c r="AL1035" s="94">
        <v>180</v>
      </c>
      <c r="AM1035" s="94" t="str">
        <f>TRIM(AJ1035)&amp;TRIM(AL1035)&amp;TRIM(AK1035)</f>
      </c>
      <c r="AN1035" s="116">
        <v>344</v>
      </c>
      <c r="AO1035" s="116">
        <v>-14.59</v>
      </c>
      <c r="AP1035" s="116">
        <f>SUMIFS(M:M,AM:AM,AM1035)+SUMIFS(O:O,AM:AM,AM1035)</f>
      </c>
      <c r="AQ1035" s="116">
        <f>SUMIFS(L:L,AM:AM,AM1035)</f>
      </c>
      <c r="AR1035" s="116">
        <f>AQ1035-AP1035</f>
      </c>
      <c r="AS1035" s="94" t="str">
        <f>IF(AN1035&gt;=AQ1035,"ok","ck")</f>
      </c>
      <c r="AT1035" s="116">
        <f>-P1035</f>
      </c>
      <c r="AU1035" s="115">
        <f>IF(SUMIFS(AT:AT,AM:AM,AM1035)&gt;AO1035,(SUMIFS(AT:AT,AM:AM,AM1035)-AO1035))</f>
      </c>
      <c r="AV1035" s="116">
        <v>344</v>
      </c>
      <c r="AW1035" s="121">
        <v>1.044</v>
      </c>
      <c r="AX1035" s="115">
        <f>AN1035-AP1035</f>
      </c>
    </row>
    <row r="1036" spans="1:50" ht="15" hidden="1" customHeight="1" x14ac:dyDescent="0.3">
      <c r="A1036" s="94" t="s">
        <v>288</v>
      </c>
      <c r="B1036" s="94"/>
      <c r="C1036" s="94"/>
      <c r="D1036" s="94"/>
      <c r="E1036" s="94"/>
      <c r="F1036" s="94"/>
      <c r="G1036" s="112">
        <f>AU1036</f>
      </c>
      <c r="H1036" s="113"/>
      <c r="I1036" s="94" t="s">
        <v>295</v>
      </c>
      <c r="J1036" s="94" t="s">
        <v>290</v>
      </c>
      <c r="K1036" s="114">
        <f>P1036/3</f>
      </c>
      <c r="L1036" s="115">
        <v>-1.3</v>
      </c>
      <c r="M1036" s="116">
        <f>L1036</f>
      </c>
      <c r="N1036" s="117">
        <f>M1036-L1036</f>
      </c>
      <c r="O1036" s="112"/>
      <c r="P1036" s="118">
        <f>N1036+O1036</f>
      </c>
      <c r="Q1036" s="94" t="s">
        <v>352</v>
      </c>
      <c r="R1036" s="94" t="s">
        <v>63</v>
      </c>
      <c r="S1036" s="120">
        <v>46335</v>
      </c>
      <c r="T1036" s="120"/>
      <c r="U1036" s="120">
        <v>46335</v>
      </c>
      <c r="V1036" s="94"/>
      <c r="W1036" s="94"/>
      <c r="X1036" s="94"/>
      <c r="Y1036" s="119">
        <v>46335</v>
      </c>
      <c r="Z1036" s="94"/>
      <c r="AA1036" s="120"/>
      <c r="AB1036" s="120"/>
      <c r="AC1036" s="120"/>
      <c r="AD1036" s="120"/>
      <c r="AE1036" s="120"/>
      <c r="AF1036" s="120"/>
      <c r="AG1036" s="94"/>
      <c r="AH1036" s="120"/>
      <c r="AI1036" s="94"/>
      <c r="AJ1036" s="94" t="s">
        <v>477</v>
      </c>
      <c r="AK1036" s="94" t="s">
        <v>267</v>
      </c>
      <c r="AL1036" s="94">
        <v>180</v>
      </c>
      <c r="AM1036" s="94" t="str">
        <f>TRIM(AJ1036)&amp;TRIM(AL1036)&amp;TRIM(AK1036)</f>
      </c>
      <c r="AN1036" s="116">
        <v>344</v>
      </c>
      <c r="AO1036" s="116">
        <v>-14.59</v>
      </c>
      <c r="AP1036" s="116">
        <f>SUMIFS(M:M,AM:AM,AM1036)+SUMIFS(O:O,AM:AM,AM1036)</f>
      </c>
      <c r="AQ1036" s="116">
        <f>SUMIFS(L:L,AM:AM,AM1036)</f>
      </c>
      <c r="AR1036" s="116">
        <f>AQ1036-AP1036</f>
      </c>
      <c r="AS1036" s="94" t="str">
        <f>IF(AN1036&gt;=AQ1036,"ok","ck")</f>
      </c>
      <c r="AT1036" s="116">
        <f>-P1036</f>
      </c>
      <c r="AU1036" s="115">
        <f>IF(SUMIFS(AT:AT,AM:AM,AM1036)&gt;AO1036,(SUMIFS(AT:AT,AM:AM,AM1036)-AO1036))</f>
      </c>
      <c r="AV1036" s="116">
        <v>344</v>
      </c>
      <c r="AW1036" s="121">
        <v>1.044</v>
      </c>
      <c r="AX1036" s="115">
        <f>AN1036-AP1036</f>
      </c>
    </row>
    <row r="1037" spans="1:50" ht="15" hidden="1" customHeight="1" x14ac:dyDescent="0.3">
      <c r="A1037" s="94" t="s">
        <v>288</v>
      </c>
      <c r="B1037" s="94"/>
      <c r="C1037" s="94"/>
      <c r="D1037" s="94"/>
      <c r="E1037" s="94"/>
      <c r="F1037" s="94"/>
      <c r="G1037" s="112">
        <f>AU1037</f>
      </c>
      <c r="H1037" s="113"/>
      <c r="I1037" s="94" t="s">
        <v>295</v>
      </c>
      <c r="J1037" s="94" t="s">
        <v>290</v>
      </c>
      <c r="K1037" s="114">
        <f>P1037/3</f>
      </c>
      <c r="L1037" s="115">
        <v>-2.3679999999999999</v>
      </c>
      <c r="M1037" s="116">
        <f>L1037</f>
      </c>
      <c r="N1037" s="117">
        <f>M1037-L1037</f>
      </c>
      <c r="O1037" s="112"/>
      <c r="P1037" s="118">
        <f>N1037+O1037</f>
      </c>
      <c r="Q1037" s="94" t="s">
        <v>352</v>
      </c>
      <c r="R1037" s="94" t="s">
        <v>63</v>
      </c>
      <c r="S1037" s="119">
        <v>46336</v>
      </c>
      <c r="T1037" s="119"/>
      <c r="U1037" s="120">
        <v>46336</v>
      </c>
      <c r="V1037" s="94"/>
      <c r="W1037" s="94"/>
      <c r="X1037" s="94"/>
      <c r="Y1037" s="119">
        <v>46336</v>
      </c>
      <c r="Z1037" s="94"/>
      <c r="AA1037" s="120"/>
      <c r="AB1037" s="120"/>
      <c r="AC1037" s="120"/>
      <c r="AD1037" s="120"/>
      <c r="AE1037" s="120"/>
      <c r="AF1037" s="120"/>
      <c r="AG1037" s="94"/>
      <c r="AH1037" s="120"/>
      <c r="AI1037" s="94"/>
      <c r="AJ1037" s="94" t="s">
        <v>477</v>
      </c>
      <c r="AK1037" s="94" t="s">
        <v>267</v>
      </c>
      <c r="AL1037" s="94">
        <v>180</v>
      </c>
      <c r="AM1037" s="94" t="str">
        <f>TRIM(AJ1037)&amp;TRIM(AL1037)&amp;TRIM(AK1037)</f>
      </c>
      <c r="AN1037" s="116">
        <v>344</v>
      </c>
      <c r="AO1037" s="116">
        <v>-14.59</v>
      </c>
      <c r="AP1037" s="116">
        <f>SUMIFS(M:M,AM:AM,AM1037)+SUMIFS(O:O,AM:AM,AM1037)</f>
      </c>
      <c r="AQ1037" s="116">
        <f>SUMIFS(L:L,AM:AM,AM1037)</f>
      </c>
      <c r="AR1037" s="116">
        <f>AQ1037-AP1037</f>
      </c>
      <c r="AS1037" s="94" t="str">
        <f>IF(AN1037&gt;=AQ1037,"ok","ck")</f>
      </c>
      <c r="AT1037" s="116">
        <f>-P1037</f>
      </c>
      <c r="AU1037" s="115">
        <f>IF(SUMIFS(AT:AT,AM:AM,AM1037)&gt;AO1037,(SUMIFS(AT:AT,AM:AM,AM1037)-AO1037))</f>
      </c>
      <c r="AV1037" s="116">
        <v>344</v>
      </c>
      <c r="AW1037" s="121">
        <v>1.044</v>
      </c>
      <c r="AX1037" s="115">
        <f>AN1037-AP1037</f>
      </c>
    </row>
    <row r="1038" spans="1:50" ht="15" hidden="1" customHeight="1" x14ac:dyDescent="0.3">
      <c r="A1038" s="94" t="s">
        <v>288</v>
      </c>
      <c r="B1038" s="94"/>
      <c r="C1038" s="94"/>
      <c r="D1038" s="94"/>
      <c r="E1038" s="94"/>
      <c r="F1038" s="94"/>
      <c r="G1038" s="112">
        <f>AU1038</f>
      </c>
      <c r="H1038" s="113"/>
      <c r="I1038" s="94" t="s">
        <v>295</v>
      </c>
      <c r="J1038" s="94" t="s">
        <v>286</v>
      </c>
      <c r="K1038" s="114">
        <f>P1038/3</f>
      </c>
      <c r="L1038" s="115">
        <v>-6.1520000000000001</v>
      </c>
      <c r="M1038" s="116">
        <f>L1038</f>
      </c>
      <c r="N1038" s="117">
        <f>M1038-L1038</f>
      </c>
      <c r="O1038" s="112"/>
      <c r="P1038" s="118">
        <f>N1038+O1038</f>
      </c>
      <c r="Q1038" s="94" t="s">
        <v>352</v>
      </c>
      <c r="R1038" s="94" t="s">
        <v>63</v>
      </c>
      <c r="S1038" s="119">
        <v>46334</v>
      </c>
      <c r="T1038" s="119"/>
      <c r="U1038" s="119">
        <v>46334</v>
      </c>
      <c r="V1038" s="94"/>
      <c r="W1038" s="94"/>
      <c r="X1038" s="94"/>
      <c r="Y1038" s="119">
        <v>46334</v>
      </c>
      <c r="Z1038" s="94"/>
      <c r="AA1038" s="120"/>
      <c r="AB1038" s="120"/>
      <c r="AC1038" s="120"/>
      <c r="AD1038" s="120"/>
      <c r="AE1038" s="120"/>
      <c r="AF1038" s="120"/>
      <c r="AG1038" s="94"/>
      <c r="AH1038" s="120"/>
      <c r="AI1038" s="94"/>
      <c r="AJ1038" s="94" t="s">
        <v>477</v>
      </c>
      <c r="AK1038" s="94" t="s">
        <v>281</v>
      </c>
      <c r="AL1038" s="94">
        <v>180</v>
      </c>
      <c r="AM1038" s="94" t="str">
        <f>TRIM(AJ1038)&amp;TRIM(AL1038)&amp;TRIM(AK1038)</f>
      </c>
      <c r="AN1038" s="116">
        <v>303</v>
      </c>
      <c r="AO1038" s="116">
        <v>-11.34</v>
      </c>
      <c r="AP1038" s="116">
        <f>SUMIFS(M:M,AM:AM,AM1038)+SUMIFS(O:O,AM:AM,AM1038)</f>
      </c>
      <c r="AQ1038" s="116">
        <f>SUMIFS(L:L,AM:AM,AM1038)</f>
      </c>
      <c r="AR1038" s="116">
        <f>AQ1038-AP1038</f>
      </c>
      <c r="AS1038" s="94" t="str">
        <f>IF(AN1038&gt;=AQ1038,"ok","ck")</f>
      </c>
      <c r="AT1038" s="116">
        <f>-P1038</f>
      </c>
      <c r="AU1038" s="115">
        <f>IF(SUMIFS(AT:AT,AM:AM,AM1038)&gt;AO1038,(SUMIFS(AT:AT,AM:AM,AM1038)-AO1038))</f>
      </c>
      <c r="AV1038" s="116">
        <v>303</v>
      </c>
      <c r="AW1038" s="121">
        <v>1.039</v>
      </c>
      <c r="AX1038" s="115">
        <f>AN1038-AP1038</f>
      </c>
    </row>
    <row r="1039" spans="1:50" ht="15" hidden="1" customHeight="1" x14ac:dyDescent="0.3">
      <c r="A1039" s="94" t="s">
        <v>288</v>
      </c>
      <c r="B1039" s="94"/>
      <c r="C1039" s="94"/>
      <c r="D1039" s="94"/>
      <c r="E1039" s="94"/>
      <c r="F1039" s="94"/>
      <c r="G1039" s="112">
        <f>AU1039</f>
      </c>
      <c r="H1039" s="113"/>
      <c r="I1039" s="94" t="s">
        <v>295</v>
      </c>
      <c r="J1039" s="94" t="s">
        <v>384</v>
      </c>
      <c r="K1039" s="114">
        <f>P1039/3</f>
      </c>
      <c r="L1039" s="115">
        <v>-0.66800000000000004</v>
      </c>
      <c r="M1039" s="116">
        <f>L1039</f>
      </c>
      <c r="N1039" s="117">
        <f>M1039-L1039</f>
      </c>
      <c r="O1039" s="112"/>
      <c r="P1039" s="118">
        <f>N1039+O1039</f>
      </c>
      <c r="Q1039" s="94" t="s">
        <v>352</v>
      </c>
      <c r="R1039" s="94" t="s">
        <v>63</v>
      </c>
      <c r="S1039" s="119">
        <v>46334</v>
      </c>
      <c r="T1039" s="119"/>
      <c r="U1039" s="119">
        <v>46334</v>
      </c>
      <c r="V1039" s="94"/>
      <c r="W1039" s="94"/>
      <c r="X1039" s="94"/>
      <c r="Y1039" s="119">
        <v>46334</v>
      </c>
      <c r="Z1039" s="94"/>
      <c r="AA1039" s="120"/>
      <c r="AB1039" s="120"/>
      <c r="AC1039" s="120"/>
      <c r="AD1039" s="120"/>
      <c r="AE1039" s="120"/>
      <c r="AF1039" s="120"/>
      <c r="AG1039" s="94"/>
      <c r="AH1039" s="120"/>
      <c r="AI1039" s="94"/>
      <c r="AJ1039" s="94" t="s">
        <v>477</v>
      </c>
      <c r="AK1039" s="94" t="s">
        <v>384</v>
      </c>
      <c r="AL1039" s="94">
        <v>180</v>
      </c>
      <c r="AM1039" s="94" t="str">
        <f>TRIM(AJ1039)&amp;TRIM(AL1039)&amp;TRIM(AK1039)</f>
      </c>
      <c r="AN1039" s="116">
        <v>323</v>
      </c>
      <c r="AO1039" s="116">
        <v>-31.34</v>
      </c>
      <c r="AP1039" s="116">
        <f>SUMIFS(M:M,AM:AM,AM1039)+SUMIFS(O:O,AM:AM,AM1039)</f>
      </c>
      <c r="AQ1039" s="116">
        <f>SUMIFS(L:L,AM:AM,AM1039)</f>
      </c>
      <c r="AR1039" s="116">
        <f>AQ1039-AP1039</f>
      </c>
      <c r="AS1039" s="94" t="str">
        <f>IF(AN1039&gt;=AQ1039,"ok","ck")</f>
      </c>
      <c r="AT1039" s="116">
        <f>-P1039</f>
      </c>
      <c r="AU1039" s="115">
        <f>IF(SUMIFS(AT:AT,AM:AM,AM1039)&gt;AO1039,(SUMIFS(AT:AT,AM:AM,AM1039)-AO1039))</f>
      </c>
      <c r="AV1039" s="116">
        <v>323</v>
      </c>
      <c r="AW1039" s="121">
        <v>1.107</v>
      </c>
      <c r="AX1039" s="115">
        <f>AN1039-AP1039</f>
      </c>
    </row>
    <row r="1040" spans="1:50" ht="15" hidden="1" customHeight="1" x14ac:dyDescent="0.3">
      <c r="A1040" s="94" t="s">
        <v>268</v>
      </c>
      <c r="B1040" s="94"/>
      <c r="C1040" s="94"/>
      <c r="D1040" s="94"/>
      <c r="E1040" s="94"/>
      <c r="F1040" s="94"/>
      <c r="G1040" s="112">
        <f>AU1040</f>
      </c>
      <c r="H1040" s="113"/>
      <c r="I1040" s="94" t="s">
        <v>390</v>
      </c>
      <c r="J1040" s="94" t="s">
        <v>503</v>
      </c>
      <c r="K1040" s="114">
        <f>P1040/3</f>
      </c>
      <c r="L1040" s="115">
        <v>884.83900000000006</v>
      </c>
      <c r="M1040" s="116"/>
      <c r="N1040" s="117">
        <f>M1040-L1040</f>
      </c>
      <c r="O1040" s="112"/>
      <c r="P1040" s="118">
        <f>N1040+O1040</f>
      </c>
      <c r="Q1040" s="94" t="s">
        <v>778</v>
      </c>
      <c r="R1040" s="94" t="s">
        <v>63</v>
      </c>
      <c r="S1040" s="120">
        <v>46331</v>
      </c>
      <c r="T1040" s="120"/>
      <c r="U1040" s="120" t="s">
        <v>633</v>
      </c>
      <c r="V1040" s="94"/>
      <c r="W1040" s="94"/>
      <c r="X1040" s="94"/>
      <c r="Y1040" s="119">
        <v>46341</v>
      </c>
      <c r="Z1040" s="94"/>
      <c r="AA1040" s="120"/>
      <c r="AB1040" s="120"/>
      <c r="AC1040" s="120"/>
      <c r="AD1040" s="120"/>
      <c r="AE1040" s="120"/>
      <c r="AF1040" s="120"/>
      <c r="AG1040" s="94"/>
      <c r="AH1040" s="120"/>
      <c r="AI1040" s="94"/>
      <c r="AJ1040" s="94" t="s">
        <v>778</v>
      </c>
      <c r="AK1040" s="94" t="s">
        <v>697</v>
      </c>
      <c r="AL1040" s="94">
        <v>140</v>
      </c>
      <c r="AM1040" s="94" t="str">
        <f>TRIM(AJ1040)&amp;TRIM(AL1040)&amp;TRIM(AK1040)</f>
      </c>
      <c r="AN1040" s="116">
        <v>0</v>
      </c>
      <c r="AO1040" s="116" t="inlineStr">
        <is>
          <t>#NA</t>
        </is>
      </c>
      <c r="AP1040" s="116">
        <f>SUMIFS(M:M,AM:AM,AM1040)+SUMIFS(O:O,AM:AM,AM1040)</f>
      </c>
      <c r="AQ1040" s="116">
        <f>SUMIFS(L:L,AM:AM,AM1040)</f>
      </c>
      <c r="AR1040" s="116">
        <f>AQ1040-AP1040</f>
      </c>
      <c r="AS1040" s="94" t="str">
        <f>IF(AN1040&gt;=AQ1040,"ok","ck")</f>
      </c>
      <c r="AT1040" s="116">
        <f>-P1040</f>
      </c>
      <c r="AU1040" s="115">
        <f>IF(SUMIFS(AT:AT,AM:AM,AM1040)&gt;AO1040,(SUMIFS(AT:AT,AM:AM,AM1040)-AO1040))</f>
      </c>
      <c r="AV1040" s="116">
        <v>0</v>
      </c>
      <c r="AW1040" s="121">
        <v>0</v>
      </c>
      <c r="AX1040" s="115">
        <f>AN1040-AP1040</f>
      </c>
    </row>
    <row r="1041" spans="1:50" ht="15" hidden="1" customHeight="1" x14ac:dyDescent="0.3">
      <c r="A1041" s="94" t="s">
        <v>268</v>
      </c>
      <c r="B1041" s="94"/>
      <c r="C1041" s="94"/>
      <c r="D1041" s="94"/>
      <c r="E1041" s="94"/>
      <c r="F1041" s="94"/>
      <c r="G1041" s="112">
        <f>AU1041</f>
      </c>
      <c r="H1041" s="113"/>
      <c r="I1041" s="94" t="s">
        <v>390</v>
      </c>
      <c r="J1041" s="94" t="s">
        <v>503</v>
      </c>
      <c r="K1041" s="114">
        <f>P1041/3</f>
      </c>
      <c r="L1041" s="115">
        <v>2655.3989999999999</v>
      </c>
      <c r="M1041" s="116"/>
      <c r="N1041" s="117">
        <f>M1041-L1041</f>
      </c>
      <c r="O1041" s="112"/>
      <c r="P1041" s="118">
        <f>N1041+O1041</f>
      </c>
      <c r="Q1041" s="94" t="s">
        <v>778</v>
      </c>
      <c r="R1041" s="94" t="s">
        <v>63</v>
      </c>
      <c r="S1041" s="120">
        <v>46345</v>
      </c>
      <c r="T1041" s="120"/>
      <c r="U1041" s="120" t="s">
        <v>633</v>
      </c>
      <c r="V1041" s="94"/>
      <c r="W1041" s="94"/>
      <c r="X1041" s="94"/>
      <c r="Y1041" s="119">
        <v>46327</v>
      </c>
      <c r="Z1041" s="94"/>
      <c r="AA1041" s="120"/>
      <c r="AB1041" s="120"/>
      <c r="AC1041" s="120"/>
      <c r="AD1041" s="120"/>
      <c r="AE1041" s="120"/>
      <c r="AF1041" s="120"/>
      <c r="AG1041" s="94"/>
      <c r="AH1041" s="120"/>
      <c r="AI1041" s="94"/>
      <c r="AJ1041" s="94" t="s">
        <v>778</v>
      </c>
      <c r="AK1041" s="94" t="s">
        <v>697</v>
      </c>
      <c r="AL1041" s="94">
        <v>140</v>
      </c>
      <c r="AM1041" s="94" t="str">
        <f>TRIM(AJ1041)&amp;TRIM(AL1041)&amp;TRIM(AK1041)</f>
      </c>
      <c r="AN1041" s="116">
        <v>0</v>
      </c>
      <c r="AO1041" s="116" t="inlineStr">
        <is>
          <t>#NA</t>
        </is>
      </c>
      <c r="AP1041" s="116">
        <f>SUMIFS(M:M,AM:AM,AM1041)+SUMIFS(O:O,AM:AM,AM1041)</f>
      </c>
      <c r="AQ1041" s="116">
        <f>SUMIFS(L:L,AM:AM,AM1041)</f>
      </c>
      <c r="AR1041" s="116">
        <f>AQ1041-AP1041</f>
      </c>
      <c r="AS1041" s="94" t="str">
        <f>IF(AN1041&gt;=AQ1041,"ok","ck")</f>
      </c>
      <c r="AT1041" s="116">
        <f>-P1041</f>
      </c>
      <c r="AU1041" s="115">
        <f>IF(SUMIFS(AT:AT,AM:AM,AM1041)&gt;AO1041,(SUMIFS(AT:AT,AM:AM,AM1041)-AO1041))</f>
      </c>
      <c r="AV1041" s="116">
        <v>0</v>
      </c>
      <c r="AW1041" s="121">
        <v>0</v>
      </c>
      <c r="AX1041" s="115">
        <f>AN1041-AP1041</f>
      </c>
    </row>
    <row r="1042" spans="1:50" ht="15" hidden="1" customHeight="1" x14ac:dyDescent="0.3">
      <c r="A1042" s="94" t="s">
        <v>268</v>
      </c>
      <c r="B1042" s="94"/>
      <c r="C1042" s="94"/>
      <c r="D1042" s="94"/>
      <c r="E1042" s="94"/>
      <c r="F1042" s="94"/>
      <c r="G1042" s="112">
        <f>AU1042</f>
      </c>
      <c r="H1042" s="113"/>
      <c r="I1042" s="94" t="s">
        <v>390</v>
      </c>
      <c r="J1042" s="94" t="s">
        <v>326</v>
      </c>
      <c r="K1042" s="114">
        <f>P1042/3</f>
      </c>
      <c r="L1042" s="115">
        <v>157.94200000000001</v>
      </c>
      <c r="M1042" s="116"/>
      <c r="N1042" s="117">
        <f>M1042-L1042</f>
      </c>
      <c r="O1042" s="112"/>
      <c r="P1042" s="118">
        <f>N1042+O1042</f>
      </c>
      <c r="Q1042" s="94" t="s">
        <v>778</v>
      </c>
      <c r="R1042" s="94" t="s">
        <v>63</v>
      </c>
      <c r="S1042" s="120">
        <v>46337</v>
      </c>
      <c r="T1042" s="120"/>
      <c r="U1042" s="120" t="s">
        <v>639</v>
      </c>
      <c r="V1042" s="94"/>
      <c r="W1042" s="94"/>
      <c r="X1042" s="94"/>
      <c r="Y1042" s="119">
        <v>46342</v>
      </c>
      <c r="Z1042" s="94"/>
      <c r="AA1042" s="120"/>
      <c r="AB1042" s="120"/>
      <c r="AC1042" s="120"/>
      <c r="AD1042" s="120"/>
      <c r="AE1042" s="120"/>
      <c r="AF1042" s="120"/>
      <c r="AG1042" s="94"/>
      <c r="AH1042" s="120"/>
      <c r="AI1042" s="94"/>
      <c r="AJ1042" s="94" t="s">
        <v>778</v>
      </c>
      <c r="AK1042" s="94" t="s">
        <v>327</v>
      </c>
      <c r="AL1042" s="94">
        <v>140</v>
      </c>
      <c r="AM1042" s="94" t="str">
        <f>TRIM(AJ1042)&amp;TRIM(AL1042)&amp;TRIM(AK1042)</f>
      </c>
      <c r="AN1042" s="116">
        <v>0</v>
      </c>
      <c r="AO1042" s="116" t="inlineStr">
        <is>
          <t>#NA</t>
        </is>
      </c>
      <c r="AP1042" s="116">
        <f>SUMIFS(M:M,AM:AM,AM1042)+SUMIFS(O:O,AM:AM,AM1042)</f>
      </c>
      <c r="AQ1042" s="116">
        <f>SUMIFS(L:L,AM:AM,AM1042)</f>
      </c>
      <c r="AR1042" s="116">
        <f>AQ1042-AP1042</f>
      </c>
      <c r="AS1042" s="94" t="str">
        <f>IF(AN1042&gt;=AQ1042,"ok","ck")</f>
      </c>
      <c r="AT1042" s="116">
        <f>-P1042</f>
      </c>
      <c r="AU1042" s="115">
        <f>IF(SUMIFS(AT:AT,AM:AM,AM1042)&gt;AO1042,(SUMIFS(AT:AT,AM:AM,AM1042)-AO1042))</f>
      </c>
      <c r="AV1042" s="116">
        <v>0</v>
      </c>
      <c r="AW1042" s="121">
        <v>0</v>
      </c>
      <c r="AX1042" s="115">
        <f>AN1042-AP1042</f>
      </c>
    </row>
    <row r="1043" spans="1:50" ht="15" hidden="1" customHeight="1" x14ac:dyDescent="0.3">
      <c r="A1043" s="94" t="s">
        <v>60</v>
      </c>
      <c r="B1043" s="94"/>
      <c r="C1043" s="94"/>
      <c r="D1043" s="94"/>
      <c r="E1043" s="94"/>
      <c r="F1043" s="94"/>
      <c r="G1043" s="112">
        <f>AU1043</f>
      </c>
      <c r="H1043" s="113"/>
      <c r="I1043" s="94" t="s">
        <v>482</v>
      </c>
      <c r="J1043" s="94" t="s">
        <v>122</v>
      </c>
      <c r="K1043" s="114">
        <f>P1043/3</f>
      </c>
      <c r="L1043" s="115">
        <v>9.4E-2</v>
      </c>
      <c r="M1043" s="116"/>
      <c r="N1043" s="117">
        <f>M1043-L1043</f>
      </c>
      <c r="O1043" s="112"/>
      <c r="P1043" s="118">
        <f>N1043+O1043</f>
      </c>
      <c r="Q1043" s="94" t="s">
        <v>781</v>
      </c>
      <c r="R1043" s="94" t="s">
        <v>63</v>
      </c>
      <c r="S1043" s="119">
        <v>46340</v>
      </c>
      <c r="T1043" s="119"/>
      <c r="U1043" s="119">
        <v>46340</v>
      </c>
      <c r="V1043" s="94"/>
      <c r="W1043" s="94"/>
      <c r="X1043" s="94"/>
      <c r="Y1043" s="119">
        <v>46340</v>
      </c>
      <c r="Z1043" s="94"/>
      <c r="AA1043" s="120"/>
      <c r="AB1043" s="120"/>
      <c r="AC1043" s="120"/>
      <c r="AD1043" s="120"/>
      <c r="AE1043" s="120"/>
      <c r="AF1043" s="120"/>
      <c r="AG1043" s="94"/>
      <c r="AH1043" s="120"/>
      <c r="AI1043" s="94"/>
      <c r="AJ1043" s="94" t="s">
        <v>781</v>
      </c>
      <c r="AK1043" s="94" t="s">
        <v>692</v>
      </c>
      <c r="AL1043" s="94">
        <v>110</v>
      </c>
      <c r="AM1043" s="94" t="str">
        <f>TRIM(AJ1043)&amp;TRIM(AL1043)&amp;TRIM(AK1043)</f>
      </c>
      <c r="AN1043" s="116">
        <v>0</v>
      </c>
      <c r="AO1043" s="116" t="inlineStr">
        <is>
          <t>#NA</t>
        </is>
      </c>
      <c r="AP1043" s="116">
        <f>SUMIFS(M:M,AM:AM,AM1043)+SUMIFS(O:O,AM:AM,AM1043)</f>
      </c>
      <c r="AQ1043" s="116">
        <f>SUMIFS(L:L,AM:AM,AM1043)</f>
      </c>
      <c r="AR1043" s="116">
        <f>AQ1043-AP1043</f>
      </c>
      <c r="AS1043" s="94" t="str">
        <f>IF(AN1043&gt;=AQ1043,"ok","ck")</f>
      </c>
      <c r="AT1043" s="116">
        <f>-P1043</f>
      </c>
      <c r="AU1043" s="115">
        <f>IF(SUMIFS(AT:AT,AM:AM,AM1043)&gt;AO1043,(SUMIFS(AT:AT,AM:AM,AM1043)-AO1043))</f>
      </c>
      <c r="AV1043" s="116">
        <v>0</v>
      </c>
      <c r="AW1043" s="121">
        <v>0</v>
      </c>
      <c r="AX1043" s="115">
        <f>AN1043-AP1043</f>
      </c>
    </row>
    <row r="1044" spans="1:50" ht="15" hidden="1" customHeight="1" x14ac:dyDescent="0.3">
      <c r="A1044" s="94" t="s">
        <v>268</v>
      </c>
      <c r="B1044" s="94"/>
      <c r="C1044" s="94"/>
      <c r="D1044" s="94"/>
      <c r="E1044" s="94"/>
      <c r="F1044" s="94"/>
      <c r="G1044" s="112">
        <f>AU1044</f>
      </c>
      <c r="H1044" s="113"/>
      <c r="I1044" s="94" t="s">
        <v>390</v>
      </c>
      <c r="J1044" s="94" t="s">
        <v>308</v>
      </c>
      <c r="K1044" s="114">
        <f>P1044/3</f>
      </c>
      <c r="L1044" s="115">
        <v>0</v>
      </c>
      <c r="M1044" s="116">
        <f>L1044</f>
      </c>
      <c r="N1044" s="117">
        <f>M1044-L1044</f>
      </c>
      <c r="O1044" s="112"/>
      <c r="P1044" s="118">
        <f>N1044+O1044</f>
      </c>
      <c r="Q1044" s="94" t="s">
        <v>309</v>
      </c>
      <c r="R1044" s="94" t="s">
        <v>63</v>
      </c>
      <c r="S1044" s="119">
        <v>46320</v>
      </c>
      <c r="T1044" s="119"/>
      <c r="U1044" s="120">
        <v>46320</v>
      </c>
      <c r="V1044" s="94"/>
      <c r="W1044" s="94"/>
      <c r="X1044" s="94"/>
      <c r="Y1044" s="119">
        <v>46320</v>
      </c>
      <c r="Z1044" s="94"/>
      <c r="AA1044" s="120"/>
      <c r="AB1044" s="120"/>
      <c r="AC1044" s="120"/>
      <c r="AD1044" s="120"/>
      <c r="AE1044" s="120"/>
      <c r="AF1044" s="120"/>
      <c r="AG1044" s="94"/>
      <c r="AH1044" s="120"/>
      <c r="AI1044" s="94"/>
      <c r="AJ1044" s="94" t="s">
        <v>309</v>
      </c>
      <c r="AK1044" s="94" t="s">
        <v>310</v>
      </c>
      <c r="AL1044" s="94">
        <v>140</v>
      </c>
      <c r="AM1044" s="94" t="str">
        <f>TRIM(AJ1044)&amp;TRIM(AL1044)&amp;TRIM(AK1044)</f>
      </c>
      <c r="AN1044" s="116">
        <v>3678.27</v>
      </c>
      <c r="AO1044" s="116">
        <v>-204.27</v>
      </c>
      <c r="AP1044" s="116">
        <f>SUMIFS(M:M,AM:AM,AM1044)+SUMIFS(O:O,AM:AM,AM1044)</f>
      </c>
      <c r="AQ1044" s="116">
        <f>SUMIFS(L:L,AM:AM,AM1044)</f>
      </c>
      <c r="AR1044" s="116">
        <f>AQ1044-AP1044</f>
      </c>
      <c r="AS1044" s="94" t="str">
        <f>IF(AN1044&gt;=AQ1044,"ok","ck")</f>
      </c>
      <c r="AT1044" s="116">
        <f>-P1044</f>
      </c>
      <c r="AU1044" s="115">
        <f>IF(SUMIFS(AT:AT,AM:AM,AM1044)&gt;AO1044,(SUMIFS(AT:AT,AM:AM,AM1044)-AO1044))</f>
      </c>
      <c r="AV1044" s="116">
        <v>3678.27</v>
      </c>
      <c r="AW1044" s="121">
        <v>1.059</v>
      </c>
      <c r="AX1044" s="115">
        <f>AN1044-AP1044</f>
      </c>
    </row>
    <row r="1045" spans="1:50" ht="15" hidden="1" customHeight="1" x14ac:dyDescent="0.3">
      <c r="A1045" s="94" t="s">
        <v>268</v>
      </c>
      <c r="B1045" s="94"/>
      <c r="C1045" s="94"/>
      <c r="D1045" s="94"/>
      <c r="E1045" s="94"/>
      <c r="F1045" s="94"/>
      <c r="G1045" s="112">
        <f>AU1045</f>
      </c>
      <c r="H1045" s="113"/>
      <c r="I1045" s="94" t="s">
        <v>390</v>
      </c>
      <c r="J1045" s="94" t="s">
        <v>308</v>
      </c>
      <c r="K1045" s="114">
        <f>P1045/3</f>
      </c>
      <c r="L1045" s="115">
        <v>116.6</v>
      </c>
      <c r="M1045" s="116">
        <f>L1045</f>
      </c>
      <c r="N1045" s="117">
        <f>M1045-L1045</f>
      </c>
      <c r="O1045" s="112"/>
      <c r="P1045" s="118">
        <f>N1045+O1045</f>
      </c>
      <c r="Q1045" s="94" t="s">
        <v>309</v>
      </c>
      <c r="R1045" s="94" t="s">
        <v>63</v>
      </c>
      <c r="S1045" s="119">
        <v>46321</v>
      </c>
      <c r="T1045" s="119"/>
      <c r="U1045" s="120">
        <v>46321</v>
      </c>
      <c r="V1045" s="94"/>
      <c r="W1045" s="94"/>
      <c r="X1045" s="94"/>
      <c r="Y1045" s="119">
        <v>46321</v>
      </c>
      <c r="Z1045" s="94"/>
      <c r="AA1045" s="120"/>
      <c r="AB1045" s="120"/>
      <c r="AC1045" s="120"/>
      <c r="AD1045" s="120"/>
      <c r="AE1045" s="120"/>
      <c r="AF1045" s="120"/>
      <c r="AG1045" s="94"/>
      <c r="AH1045" s="120"/>
      <c r="AI1045" s="94"/>
      <c r="AJ1045" s="94" t="s">
        <v>309</v>
      </c>
      <c r="AK1045" s="94" t="s">
        <v>310</v>
      </c>
      <c r="AL1045" s="94">
        <v>140</v>
      </c>
      <c r="AM1045" s="94" t="str">
        <f>TRIM(AJ1045)&amp;TRIM(AL1045)&amp;TRIM(AK1045)</f>
      </c>
      <c r="AN1045" s="116">
        <v>3678.27</v>
      </c>
      <c r="AO1045" s="116">
        <v>-204.27</v>
      </c>
      <c r="AP1045" s="116">
        <f>SUMIFS(M:M,AM:AM,AM1045)+SUMIFS(O:O,AM:AM,AM1045)</f>
      </c>
      <c r="AQ1045" s="116">
        <f>SUMIFS(L:L,AM:AM,AM1045)</f>
      </c>
      <c r="AR1045" s="116">
        <f>AQ1045-AP1045</f>
      </c>
      <c r="AS1045" s="94" t="str">
        <f>IF(AN1045&gt;=AQ1045,"ok","ck")</f>
      </c>
      <c r="AT1045" s="116">
        <f>-P1045</f>
      </c>
      <c r="AU1045" s="115">
        <f>IF(SUMIFS(AT:AT,AM:AM,AM1045)&gt;AO1045,(SUMIFS(AT:AT,AM:AM,AM1045)-AO1045))</f>
      </c>
      <c r="AV1045" s="116">
        <v>3678.27</v>
      </c>
      <c r="AW1045" s="121">
        <v>1.059</v>
      </c>
      <c r="AX1045" s="115">
        <f>AN1045-AP1045</f>
      </c>
    </row>
    <row r="1046" spans="1:50" ht="15" hidden="1" customHeight="1" x14ac:dyDescent="0.3">
      <c r="A1046" s="94" t="s">
        <v>268</v>
      </c>
      <c r="B1046" s="94"/>
      <c r="C1046" s="94"/>
      <c r="D1046" s="94"/>
      <c r="E1046" s="94"/>
      <c r="F1046" s="94"/>
      <c r="G1046" s="112">
        <f>AU1046</f>
      </c>
      <c r="H1046" s="113"/>
      <c r="I1046" s="94" t="s">
        <v>390</v>
      </c>
      <c r="J1046" s="94" t="s">
        <v>381</v>
      </c>
      <c r="K1046" s="114">
        <f>P1046/3</f>
      </c>
      <c r="L1046" s="115">
        <v>-3.1E-2</v>
      </c>
      <c r="M1046" s="116">
        <f>L1046</f>
      </c>
      <c r="N1046" s="117">
        <f>M1046-L1046</f>
      </c>
      <c r="O1046" s="112"/>
      <c r="P1046" s="118">
        <f>N1046+O1046</f>
      </c>
      <c r="Q1046" s="94" t="s">
        <v>309</v>
      </c>
      <c r="R1046" s="94" t="s">
        <v>63</v>
      </c>
      <c r="S1046" s="119">
        <v>46323</v>
      </c>
      <c r="T1046" s="119"/>
      <c r="U1046" s="120">
        <v>46323</v>
      </c>
      <c r="V1046" s="94"/>
      <c r="W1046" s="94"/>
      <c r="X1046" s="94"/>
      <c r="Y1046" s="119">
        <v>46323</v>
      </c>
      <c r="Z1046" s="94"/>
      <c r="AA1046" s="120"/>
      <c r="AB1046" s="120"/>
      <c r="AC1046" s="120"/>
      <c r="AD1046" s="120"/>
      <c r="AE1046" s="120"/>
      <c r="AF1046" s="120"/>
      <c r="AG1046" s="94"/>
      <c r="AH1046" s="120"/>
      <c r="AI1046" s="94"/>
      <c r="AJ1046" s="94" t="s">
        <v>309</v>
      </c>
      <c r="AK1046" s="94" t="s">
        <v>381</v>
      </c>
      <c r="AL1046" s="94">
        <v>140</v>
      </c>
      <c r="AM1046" s="94" t="str">
        <f>TRIM(AJ1046)&amp;TRIM(AL1046)&amp;TRIM(AK1046)</f>
      </c>
      <c r="AN1046" s="116">
        <v>3845.67</v>
      </c>
      <c r="AO1046" s="116">
        <v>-63.67</v>
      </c>
      <c r="AP1046" s="116">
        <f>SUMIFS(M:M,AM:AM,AM1046)+SUMIFS(O:O,AM:AM,AM1046)</f>
      </c>
      <c r="AQ1046" s="116">
        <f>SUMIFS(L:L,AM:AM,AM1046)</f>
      </c>
      <c r="AR1046" s="116">
        <f>AQ1046-AP1046</f>
      </c>
      <c r="AS1046" s="94" t="str">
        <f>IF(AN1046&gt;=AQ1046,"ok","ck")</f>
      </c>
      <c r="AT1046" s="116">
        <f>-P1046</f>
      </c>
      <c r="AU1046" s="115">
        <f>IF(SUMIFS(AT:AT,AM:AM,AM1046)&gt;AO1046,(SUMIFS(AT:AT,AM:AM,AM1046)-AO1046))</f>
      </c>
      <c r="AV1046" s="116">
        <v>3845.67</v>
      </c>
      <c r="AW1046" s="121">
        <v>1.017</v>
      </c>
      <c r="AX1046" s="115">
        <f>AN1046-AP1046</f>
      </c>
    </row>
    <row r="1047" spans="1:50" ht="15" hidden="1" customHeight="1" x14ac:dyDescent="0.3">
      <c r="A1047" s="94" t="s">
        <v>60</v>
      </c>
      <c r="B1047" s="94"/>
      <c r="C1047" s="94"/>
      <c r="D1047" s="94"/>
      <c r="E1047" s="94"/>
      <c r="F1047" s="94"/>
      <c r="G1047" s="112">
        <f>AU1047</f>
      </c>
      <c r="H1047" s="113"/>
      <c r="I1047" s="94" t="s">
        <v>61</v>
      </c>
      <c r="J1047" s="94" t="s">
        <v>541</v>
      </c>
      <c r="K1047" s="114">
        <f>P1047/3</f>
      </c>
      <c r="L1047" s="115">
        <v>0</v>
      </c>
      <c r="M1047" s="116"/>
      <c r="N1047" s="117">
        <f>M1047-L1047</f>
      </c>
      <c r="O1047" s="112"/>
      <c r="P1047" s="118">
        <f>N1047+O1047</f>
      </c>
      <c r="Q1047" s="94" t="s">
        <v>785</v>
      </c>
      <c r="R1047" s="94" t="s">
        <v>63</v>
      </c>
      <c r="S1047" s="119">
        <v>46331</v>
      </c>
      <c r="T1047" s="119"/>
      <c r="U1047" s="120">
        <v>46331</v>
      </c>
      <c r="V1047" s="94"/>
      <c r="W1047" s="94"/>
      <c r="X1047" s="94"/>
      <c r="Y1047" s="119">
        <v>46331</v>
      </c>
      <c r="Z1047" s="94"/>
      <c r="AA1047" s="120"/>
      <c r="AB1047" s="120"/>
      <c r="AC1047" s="120"/>
      <c r="AD1047" s="120"/>
      <c r="AE1047" s="120"/>
      <c r="AF1047" s="120"/>
      <c r="AG1047" s="94"/>
      <c r="AH1047" s="120"/>
      <c r="AI1047" s="94"/>
      <c r="AJ1047" s="94" t="s">
        <v>785</v>
      </c>
      <c r="AK1047" s="94" t="s">
        <v>541</v>
      </c>
      <c r="AL1047" s="94">
        <v>140</v>
      </c>
      <c r="AM1047" s="94" t="str">
        <f>TRIM(AJ1047)&amp;TRIM(AL1047)&amp;TRIM(AK1047)</f>
      </c>
      <c r="AN1047" s="116">
        <v>190</v>
      </c>
      <c r="AO1047" s="116">
        <v>8389</v>
      </c>
      <c r="AP1047" s="116">
        <f>SUMIFS(M:M,AM:AM,AM1047)+SUMIFS(O:O,AM:AM,AM1047)</f>
      </c>
      <c r="AQ1047" s="116">
        <f>SUMIFS(L:L,AM:AM,AM1047)</f>
      </c>
      <c r="AR1047" s="116">
        <f>AQ1047-AP1047</f>
      </c>
      <c r="AS1047" s="94" t="str">
        <f>IF(AN1047&gt;=AQ1047,"ok","ck")</f>
      </c>
      <c r="AT1047" s="116">
        <f>-P1047</f>
      </c>
      <c r="AU1047" s="115">
        <f>IF(SUMIFS(AT:AT,AM:AM,AM1047)&gt;AO1047,(SUMIFS(AT:AT,AM:AM,AM1047)-AO1047))</f>
      </c>
      <c r="AV1047" s="116">
        <v>190</v>
      </c>
      <c r="AW1047" s="121">
        <v>0.022</v>
      </c>
      <c r="AX1047" s="115">
        <f>AN1047-AP1047</f>
      </c>
    </row>
    <row r="1048" spans="1:50" ht="15" hidden="1" customHeight="1" x14ac:dyDescent="0.3">
      <c r="A1048" s="94" t="s">
        <v>60</v>
      </c>
      <c r="B1048" s="94"/>
      <c r="C1048" s="94"/>
      <c r="D1048" s="94"/>
      <c r="E1048" s="94"/>
      <c r="F1048" s="94"/>
      <c r="G1048" s="112">
        <f>AU1048</f>
      </c>
      <c r="H1048" s="113"/>
      <c r="I1048" s="94" t="s">
        <v>61</v>
      </c>
      <c r="J1048" s="94" t="s">
        <v>541</v>
      </c>
      <c r="K1048" s="114">
        <f>P1048/3</f>
      </c>
      <c r="L1048" s="115">
        <v>902.78899999999999</v>
      </c>
      <c r="M1048" s="116"/>
      <c r="N1048" s="117">
        <f>M1048-L1048</f>
      </c>
      <c r="O1048" s="112"/>
      <c r="P1048" s="118">
        <f>N1048+O1048</f>
      </c>
      <c r="Q1048" s="94" t="s">
        <v>785</v>
      </c>
      <c r="R1048" s="94" t="s">
        <v>63</v>
      </c>
      <c r="S1048" s="119">
        <v>46335</v>
      </c>
      <c r="T1048" s="119"/>
      <c r="U1048" s="120">
        <v>46335</v>
      </c>
      <c r="V1048" s="94"/>
      <c r="W1048" s="94"/>
      <c r="X1048" s="94"/>
      <c r="Y1048" s="119">
        <v>46330</v>
      </c>
      <c r="Z1048" s="94"/>
      <c r="AA1048" s="120"/>
      <c r="AB1048" s="120"/>
      <c r="AC1048" s="120"/>
      <c r="AD1048" s="120"/>
      <c r="AE1048" s="120"/>
      <c r="AF1048" s="120"/>
      <c r="AG1048" s="94"/>
      <c r="AH1048" s="120"/>
      <c r="AI1048" s="94"/>
      <c r="AJ1048" s="94" t="s">
        <v>785</v>
      </c>
      <c r="AK1048" s="94" t="s">
        <v>541</v>
      </c>
      <c r="AL1048" s="94">
        <v>140</v>
      </c>
      <c r="AM1048" s="94" t="str">
        <f>TRIM(AJ1048)&amp;TRIM(AL1048)&amp;TRIM(AK1048)</f>
      </c>
      <c r="AN1048" s="116">
        <v>190</v>
      </c>
      <c r="AO1048" s="116">
        <v>8389</v>
      </c>
      <c r="AP1048" s="116">
        <f>SUMIFS(M:M,AM:AM,AM1048)+SUMIFS(O:O,AM:AM,AM1048)</f>
      </c>
      <c r="AQ1048" s="116">
        <f>SUMIFS(L:L,AM:AM,AM1048)</f>
      </c>
      <c r="AR1048" s="116">
        <f>AQ1048-AP1048</f>
      </c>
      <c r="AS1048" s="94" t="str">
        <f>IF(AN1048&gt;=AQ1048,"ok","ck")</f>
      </c>
      <c r="AT1048" s="116">
        <f>-P1048</f>
      </c>
      <c r="AU1048" s="115">
        <f>IF(SUMIFS(AT:AT,AM:AM,AM1048)&gt;AO1048,(SUMIFS(AT:AT,AM:AM,AM1048)-AO1048))</f>
      </c>
      <c r="AV1048" s="116">
        <v>190</v>
      </c>
      <c r="AW1048" s="121">
        <v>0.022</v>
      </c>
      <c r="AX1048" s="115">
        <f>AN1048-AP1048</f>
      </c>
    </row>
    <row r="1049" spans="1:50" ht="15" hidden="1" customHeight="1" x14ac:dyDescent="0.3">
      <c r="A1049" s="94" t="s">
        <v>60</v>
      </c>
      <c r="B1049" s="94"/>
      <c r="C1049" s="94"/>
      <c r="D1049" s="94"/>
      <c r="E1049" s="94"/>
      <c r="F1049" s="94"/>
      <c r="G1049" s="112">
        <f>AU1049</f>
      </c>
      <c r="H1049" s="113"/>
      <c r="I1049" s="94" t="s">
        <v>61</v>
      </c>
      <c r="J1049" s="94" t="s">
        <v>537</v>
      </c>
      <c r="K1049" s="114">
        <f>P1049/3</f>
      </c>
      <c r="L1049" s="115">
        <v>-3.5999999999999997E-2</v>
      </c>
      <c r="M1049" s="116">
        <f>L1049</f>
      </c>
      <c r="N1049" s="117">
        <f>M1049-L1049</f>
      </c>
      <c r="O1049" s="112"/>
      <c r="P1049" s="118">
        <f>N1049+O1049</f>
      </c>
      <c r="Q1049" s="94" t="s">
        <v>785</v>
      </c>
      <c r="R1049" s="94" t="s">
        <v>63</v>
      </c>
      <c r="S1049" s="120">
        <v>46328</v>
      </c>
      <c r="T1049" s="120"/>
      <c r="U1049" s="120">
        <v>46328</v>
      </c>
      <c r="V1049" s="94"/>
      <c r="W1049" s="94"/>
      <c r="X1049" s="94"/>
      <c r="Y1049" s="119">
        <v>46328</v>
      </c>
      <c r="Z1049" s="94"/>
      <c r="AA1049" s="120"/>
      <c r="AB1049" s="120"/>
      <c r="AC1049" s="120"/>
      <c r="AD1049" s="120"/>
      <c r="AE1049" s="120"/>
      <c r="AF1049" s="120"/>
      <c r="AG1049" s="94"/>
      <c r="AH1049" s="120"/>
      <c r="AI1049" s="94"/>
      <c r="AJ1049" s="94" t="s">
        <v>785</v>
      </c>
      <c r="AK1049" s="94" t="s">
        <v>537</v>
      </c>
      <c r="AL1049" s="94">
        <v>140</v>
      </c>
      <c r="AM1049" s="94" t="str">
        <f>TRIM(AJ1049)&amp;TRIM(AL1049)&amp;TRIM(AK1049)</f>
      </c>
      <c r="AN1049" s="116">
        <v>1171</v>
      </c>
      <c r="AO1049" s="116">
        <v>-29</v>
      </c>
      <c r="AP1049" s="116">
        <f>SUMIFS(M:M,AM:AM,AM1049)+SUMIFS(O:O,AM:AM,AM1049)</f>
      </c>
      <c r="AQ1049" s="116">
        <f>SUMIFS(L:L,AM:AM,AM1049)</f>
      </c>
      <c r="AR1049" s="116">
        <f>AQ1049-AP1049</f>
      </c>
      <c r="AS1049" s="94" t="str">
        <f>IF(AN1049&gt;=AQ1049,"ok","ck")</f>
      </c>
      <c r="AT1049" s="116">
        <f>-P1049</f>
      </c>
      <c r="AU1049" s="115">
        <f>IF(SUMIFS(AT:AT,AM:AM,AM1049)&gt;AO1049,(SUMIFS(AT:AT,AM:AM,AM1049)-AO1049))</f>
      </c>
      <c r="AV1049" s="116">
        <v>1171</v>
      </c>
      <c r="AW1049" s="121">
        <v>1.025</v>
      </c>
      <c r="AX1049" s="115">
        <f>AN1049-AP1049</f>
      </c>
    </row>
    <row r="1050" spans="1:50" ht="15" hidden="1" customHeight="1" x14ac:dyDescent="0.3">
      <c r="A1050" s="94" t="s">
        <v>60</v>
      </c>
      <c r="B1050" s="94"/>
      <c r="C1050" s="94"/>
      <c r="D1050" s="94"/>
      <c r="E1050" s="94"/>
      <c r="F1050" s="94"/>
      <c r="G1050" s="112">
        <f>AU1050</f>
      </c>
      <c r="H1050" s="113"/>
      <c r="I1050" s="94" t="s">
        <v>61</v>
      </c>
      <c r="J1050" s="94" t="s">
        <v>537</v>
      </c>
      <c r="K1050" s="114">
        <f>P1050/3</f>
      </c>
      <c r="L1050" s="115">
        <v>-7.2229999999999999</v>
      </c>
      <c r="M1050" s="116">
        <f>L1050</f>
      </c>
      <c r="N1050" s="117">
        <f>M1050-L1050</f>
      </c>
      <c r="O1050" s="112"/>
      <c r="P1050" s="118">
        <f>N1050+O1050</f>
      </c>
      <c r="Q1050" s="94" t="s">
        <v>785</v>
      </c>
      <c r="R1050" s="94" t="s">
        <v>63</v>
      </c>
      <c r="S1050" s="120">
        <v>46326</v>
      </c>
      <c r="T1050" s="120"/>
      <c r="U1050" s="120">
        <v>46326</v>
      </c>
      <c r="V1050" s="94"/>
      <c r="W1050" s="94"/>
      <c r="X1050" s="94"/>
      <c r="Y1050" s="119">
        <v>46326</v>
      </c>
      <c r="Z1050" s="94"/>
      <c r="AA1050" s="120"/>
      <c r="AB1050" s="120"/>
      <c r="AC1050" s="120"/>
      <c r="AD1050" s="120"/>
      <c r="AE1050" s="120"/>
      <c r="AF1050" s="120"/>
      <c r="AG1050" s="94"/>
      <c r="AH1050" s="120"/>
      <c r="AI1050" s="94"/>
      <c r="AJ1050" s="94" t="s">
        <v>785</v>
      </c>
      <c r="AK1050" s="94" t="s">
        <v>537</v>
      </c>
      <c r="AL1050" s="94">
        <v>140</v>
      </c>
      <c r="AM1050" s="94" t="str">
        <f>TRIM(AJ1050)&amp;TRIM(AL1050)&amp;TRIM(AK1050)</f>
      </c>
      <c r="AN1050" s="116">
        <v>1171</v>
      </c>
      <c r="AO1050" s="116">
        <v>-29</v>
      </c>
      <c r="AP1050" s="116">
        <f>SUMIFS(M:M,AM:AM,AM1050)+SUMIFS(O:O,AM:AM,AM1050)</f>
      </c>
      <c r="AQ1050" s="116">
        <f>SUMIFS(L:L,AM:AM,AM1050)</f>
      </c>
      <c r="AR1050" s="116">
        <f>AQ1050-AP1050</f>
      </c>
      <c r="AS1050" s="94" t="str">
        <f>IF(AN1050&gt;=AQ1050,"ok","ck")</f>
      </c>
      <c r="AT1050" s="116">
        <f>-P1050</f>
      </c>
      <c r="AU1050" s="115">
        <f>IF(SUMIFS(AT:AT,AM:AM,AM1050)&gt;AO1050,(SUMIFS(AT:AT,AM:AM,AM1050)-AO1050))</f>
      </c>
      <c r="AV1050" s="116">
        <v>1171</v>
      </c>
      <c r="AW1050" s="121">
        <v>1.025</v>
      </c>
      <c r="AX1050" s="115">
        <f>AN1050-AP1050</f>
      </c>
    </row>
    <row r="1051" spans="1:50" ht="15" hidden="1" customHeight="1" x14ac:dyDescent="0.3">
      <c r="A1051" s="94" t="s">
        <v>60</v>
      </c>
      <c r="B1051" s="94"/>
      <c r="C1051" s="94"/>
      <c r="D1051" s="94"/>
      <c r="E1051" s="94"/>
      <c r="F1051" s="94"/>
      <c r="G1051" s="112">
        <f>AU1051</f>
      </c>
      <c r="H1051" s="113"/>
      <c r="I1051" s="94" t="s">
        <v>61</v>
      </c>
      <c r="J1051" s="94" t="s">
        <v>537</v>
      </c>
      <c r="K1051" s="114">
        <f>P1051/3</f>
      </c>
      <c r="L1051" s="115">
        <v>-1.9950000000000001</v>
      </c>
      <c r="M1051" s="116">
        <f>L1051</f>
      </c>
      <c r="N1051" s="117">
        <f>M1051-L1051</f>
      </c>
      <c r="O1051" s="112"/>
      <c r="P1051" s="118">
        <f>N1051+O1051</f>
      </c>
      <c r="Q1051" s="94" t="s">
        <v>785</v>
      </c>
      <c r="R1051" s="94" t="s">
        <v>63</v>
      </c>
      <c r="S1051" s="120">
        <v>46328</v>
      </c>
      <c r="T1051" s="120"/>
      <c r="U1051" s="120">
        <v>46328</v>
      </c>
      <c r="V1051" s="94"/>
      <c r="W1051" s="94"/>
      <c r="X1051" s="94"/>
      <c r="Y1051" s="119">
        <v>46328</v>
      </c>
      <c r="Z1051" s="94"/>
      <c r="AA1051" s="120"/>
      <c r="AB1051" s="120"/>
      <c r="AC1051" s="120"/>
      <c r="AD1051" s="120"/>
      <c r="AE1051" s="120"/>
      <c r="AF1051" s="120"/>
      <c r="AG1051" s="94"/>
      <c r="AH1051" s="120"/>
      <c r="AI1051" s="94"/>
      <c r="AJ1051" s="94" t="s">
        <v>785</v>
      </c>
      <c r="AK1051" s="94" t="s">
        <v>537</v>
      </c>
      <c r="AL1051" s="94">
        <v>140</v>
      </c>
      <c r="AM1051" s="94" t="str">
        <f>TRIM(AJ1051)&amp;TRIM(AL1051)&amp;TRIM(AK1051)</f>
      </c>
      <c r="AN1051" s="116">
        <v>1171</v>
      </c>
      <c r="AO1051" s="116">
        <v>-29</v>
      </c>
      <c r="AP1051" s="116">
        <f>SUMIFS(M:M,AM:AM,AM1051)+SUMIFS(O:O,AM:AM,AM1051)</f>
      </c>
      <c r="AQ1051" s="116">
        <f>SUMIFS(L:L,AM:AM,AM1051)</f>
      </c>
      <c r="AR1051" s="116">
        <f>AQ1051-AP1051</f>
      </c>
      <c r="AS1051" s="94" t="str">
        <f>IF(AN1051&gt;=AQ1051,"ok","ck")</f>
      </c>
      <c r="AT1051" s="116">
        <f>-P1051</f>
      </c>
      <c r="AU1051" s="115">
        <f>IF(SUMIFS(AT:AT,AM:AM,AM1051)&gt;AO1051,(SUMIFS(AT:AT,AM:AM,AM1051)-AO1051))</f>
      </c>
      <c r="AV1051" s="116">
        <v>1171</v>
      </c>
      <c r="AW1051" s="121">
        <v>1.025</v>
      </c>
      <c r="AX1051" s="115">
        <f>AN1051-AP1051</f>
      </c>
    </row>
    <row r="1052" spans="1:50" ht="15" hidden="1" customHeight="1" x14ac:dyDescent="0.3">
      <c r="A1052" s="94" t="s">
        <v>288</v>
      </c>
      <c r="B1052" s="94"/>
      <c r="C1052" s="94"/>
      <c r="D1052" s="94"/>
      <c r="E1052" s="94"/>
      <c r="F1052" s="94"/>
      <c r="G1052" s="112">
        <f>AU1052</f>
      </c>
      <c r="H1052" s="113"/>
      <c r="I1052" s="94" t="s">
        <v>295</v>
      </c>
      <c r="J1052" s="94" t="s">
        <v>290</v>
      </c>
      <c r="K1052" s="114">
        <f>P1052/3</f>
      </c>
      <c r="L1052" s="115">
        <v>0</v>
      </c>
      <c r="M1052" s="116">
        <f>L1052</f>
      </c>
      <c r="N1052" s="117">
        <f>M1052-L1052</f>
      </c>
      <c r="O1052" s="112"/>
      <c r="P1052" s="118">
        <f>N1052+O1052</f>
      </c>
      <c r="Q1052" s="94" t="s">
        <v>318</v>
      </c>
      <c r="R1052" s="94" t="s">
        <v>63</v>
      </c>
      <c r="S1052" s="120">
        <v>46324</v>
      </c>
      <c r="T1052" s="120"/>
      <c r="U1052" s="120">
        <v>46324</v>
      </c>
      <c r="V1052" s="94"/>
      <c r="W1052" s="94"/>
      <c r="X1052" s="94"/>
      <c r="Y1052" s="119">
        <v>46324</v>
      </c>
      <c r="Z1052" s="94"/>
      <c r="AA1052" s="120"/>
      <c r="AB1052" s="120"/>
      <c r="AC1052" s="120"/>
      <c r="AD1052" s="120"/>
      <c r="AE1052" s="120"/>
      <c r="AF1052" s="120"/>
      <c r="AG1052" s="94"/>
      <c r="AH1052" s="120"/>
      <c r="AI1052" s="94"/>
      <c r="AJ1052" s="94" t="s">
        <v>319</v>
      </c>
      <c r="AK1052" s="94" t="s">
        <v>267</v>
      </c>
      <c r="AL1052" s="94">
        <v>180</v>
      </c>
      <c r="AM1052" s="94" t="str">
        <f>TRIM(AJ1052)&amp;TRIM(AL1052)&amp;TRIM(AK1052)</f>
      </c>
      <c r="AN1052" s="116">
        <v>435</v>
      </c>
      <c r="AO1052" s="116">
        <v>18.58</v>
      </c>
      <c r="AP1052" s="116">
        <f>SUMIFS(M:M,AM:AM,AM1052)+SUMIFS(O:O,AM:AM,AM1052)</f>
      </c>
      <c r="AQ1052" s="116">
        <f>SUMIFS(L:L,AM:AM,AM1052)</f>
      </c>
      <c r="AR1052" s="116">
        <f>AQ1052-AP1052</f>
      </c>
      <c r="AS1052" s="94" t="str">
        <f>IF(AN1052&gt;=AQ1052,"ok","ck")</f>
      </c>
      <c r="AT1052" s="116">
        <f>-P1052</f>
      </c>
      <c r="AU1052" s="115">
        <f>IF(SUMIFS(AT:AT,AM:AM,AM1052)&gt;AO1052,(SUMIFS(AT:AT,AM:AM,AM1052)-AO1052))</f>
      </c>
      <c r="AV1052" s="116">
        <v>435</v>
      </c>
      <c r="AW1052" s="121">
        <v>0.959</v>
      </c>
      <c r="AX1052" s="115">
        <f>AN1052-AP1052</f>
      </c>
    </row>
    <row r="1053" spans="1:50" ht="15" hidden="1" customHeight="1" x14ac:dyDescent="0.3">
      <c r="A1053" s="94" t="s">
        <v>60</v>
      </c>
      <c r="B1053" s="94"/>
      <c r="C1053" s="94"/>
      <c r="D1053" s="94"/>
      <c r="E1053" s="94"/>
      <c r="F1053" s="94"/>
      <c r="G1053" s="112">
        <f>AU1053</f>
      </c>
      <c r="H1053" s="113"/>
      <c r="I1053" s="94" t="s">
        <v>65</v>
      </c>
      <c r="J1053" s="94" t="s">
        <v>525</v>
      </c>
      <c r="K1053" s="114">
        <f>P1053/3</f>
      </c>
      <c r="L1053" s="115">
        <v>0</v>
      </c>
      <c r="M1053" s="116"/>
      <c r="N1053" s="117">
        <f>M1053-L1053</f>
      </c>
      <c r="O1053" s="112"/>
      <c r="P1053" s="118">
        <f>N1053+O1053</f>
      </c>
      <c r="Q1053" s="94" t="s">
        <v>785</v>
      </c>
      <c r="R1053" s="94" t="s">
        <v>63</v>
      </c>
      <c r="S1053" s="119">
        <v>46331</v>
      </c>
      <c r="T1053" s="119"/>
      <c r="U1053" s="120">
        <v>46331</v>
      </c>
      <c r="V1053" s="94"/>
      <c r="W1053" s="94"/>
      <c r="X1053" s="94"/>
      <c r="Y1053" s="119">
        <v>46331</v>
      </c>
      <c r="Z1053" s="94"/>
      <c r="AA1053" s="120"/>
      <c r="AB1053" s="120"/>
      <c r="AC1053" s="120"/>
      <c r="AD1053" s="120"/>
      <c r="AE1053" s="120"/>
      <c r="AF1053" s="120"/>
      <c r="AG1053" s="94"/>
      <c r="AH1053" s="120"/>
      <c r="AI1053" s="94"/>
      <c r="AJ1053" s="94" t="s">
        <v>785</v>
      </c>
      <c r="AK1053" s="94" t="s">
        <v>525</v>
      </c>
      <c r="AL1053" s="94">
        <v>110</v>
      </c>
      <c r="AM1053" s="94" t="str">
        <f>TRIM(AJ1053)&amp;TRIM(AL1053)&amp;TRIM(AK1053)</f>
      </c>
      <c r="AN1053" s="116">
        <v>34</v>
      </c>
      <c r="AO1053" s="116">
        <v>619</v>
      </c>
      <c r="AP1053" s="116">
        <f>SUMIFS(M:M,AM:AM,AM1053)+SUMIFS(O:O,AM:AM,AM1053)</f>
      </c>
      <c r="AQ1053" s="116">
        <f>SUMIFS(L:L,AM:AM,AM1053)</f>
      </c>
      <c r="AR1053" s="116">
        <f>AQ1053-AP1053</f>
      </c>
      <c r="AS1053" s="94" t="str">
        <f>IF(AN1053&gt;=AQ1053,"ok","ck")</f>
      </c>
      <c r="AT1053" s="116">
        <f>-P1053</f>
      </c>
      <c r="AU1053" s="115">
        <f>IF(SUMIFS(AT:AT,AM:AM,AM1053)&gt;AO1053,(SUMIFS(AT:AT,AM:AM,AM1053)-AO1053))</f>
      </c>
      <c r="AV1053" s="116">
        <v>34</v>
      </c>
      <c r="AW1053" s="121">
        <v>0.052</v>
      </c>
      <c r="AX1053" s="115">
        <f>AN1053-AP1053</f>
      </c>
    </row>
    <row r="1054" spans="1:50" ht="15" hidden="1" customHeight="1" x14ac:dyDescent="0.3">
      <c r="A1054" s="94" t="s">
        <v>60</v>
      </c>
      <c r="B1054" s="94"/>
      <c r="C1054" s="94"/>
      <c r="D1054" s="94"/>
      <c r="E1054" s="94"/>
      <c r="F1054" s="94"/>
      <c r="G1054" s="112">
        <f>AU1054</f>
      </c>
      <c r="H1054" s="113"/>
      <c r="I1054" s="94" t="s">
        <v>65</v>
      </c>
      <c r="J1054" s="94" t="s">
        <v>525</v>
      </c>
      <c r="K1054" s="114">
        <f>P1054/3</f>
      </c>
      <c r="L1054" s="115">
        <v>64.569000000000003</v>
      </c>
      <c r="M1054" s="116"/>
      <c r="N1054" s="117">
        <f>M1054-L1054</f>
      </c>
      <c r="O1054" s="112"/>
      <c r="P1054" s="118">
        <f>N1054+O1054</f>
      </c>
      <c r="Q1054" s="94" t="s">
        <v>785</v>
      </c>
      <c r="R1054" s="94" t="s">
        <v>63</v>
      </c>
      <c r="S1054" s="119">
        <v>46330</v>
      </c>
      <c r="T1054" s="119"/>
      <c r="U1054" s="120">
        <v>46330</v>
      </c>
      <c r="V1054" s="94"/>
      <c r="W1054" s="94"/>
      <c r="X1054" s="94"/>
      <c r="Y1054" s="119">
        <v>46330</v>
      </c>
      <c r="Z1054" s="94"/>
      <c r="AA1054" s="120"/>
      <c r="AB1054" s="120"/>
      <c r="AC1054" s="120"/>
      <c r="AD1054" s="120"/>
      <c r="AE1054" s="120"/>
      <c r="AF1054" s="120"/>
      <c r="AG1054" s="94"/>
      <c r="AH1054" s="120"/>
      <c r="AI1054" s="94"/>
      <c r="AJ1054" s="94" t="s">
        <v>785</v>
      </c>
      <c r="AK1054" s="94" t="s">
        <v>525</v>
      </c>
      <c r="AL1054" s="94">
        <v>110</v>
      </c>
      <c r="AM1054" s="94" t="str">
        <f>TRIM(AJ1054)&amp;TRIM(AL1054)&amp;TRIM(AK1054)</f>
      </c>
      <c r="AN1054" s="116">
        <v>34</v>
      </c>
      <c r="AO1054" s="116">
        <v>619</v>
      </c>
      <c r="AP1054" s="116">
        <f>SUMIFS(M:M,AM:AM,AM1054)+SUMIFS(O:O,AM:AM,AM1054)</f>
      </c>
      <c r="AQ1054" s="116">
        <f>SUMIFS(L:L,AM:AM,AM1054)</f>
      </c>
      <c r="AR1054" s="116">
        <f>AQ1054-AP1054</f>
      </c>
      <c r="AS1054" s="94" t="str">
        <f>IF(AN1054&gt;=AQ1054,"ok","ck")</f>
      </c>
      <c r="AT1054" s="116">
        <f>-P1054</f>
      </c>
      <c r="AU1054" s="115">
        <f>IF(SUMIFS(AT:AT,AM:AM,AM1054)&gt;AO1054,(SUMIFS(AT:AT,AM:AM,AM1054)-AO1054))</f>
      </c>
      <c r="AV1054" s="116">
        <v>34</v>
      </c>
      <c r="AW1054" s="121">
        <v>0.052</v>
      </c>
      <c r="AX1054" s="115">
        <f>AN1054-AP1054</f>
      </c>
    </row>
    <row r="1055" spans="1:50" ht="15" hidden="1" customHeight="1" x14ac:dyDescent="0.3">
      <c r="A1055" s="94" t="s">
        <v>60</v>
      </c>
      <c r="B1055" s="94"/>
      <c r="C1055" s="94"/>
      <c r="D1055" s="94"/>
      <c r="E1055" s="94"/>
      <c r="F1055" s="94"/>
      <c r="G1055" s="112">
        <f>AU1055</f>
      </c>
      <c r="H1055" s="113"/>
      <c r="I1055" s="94" t="s">
        <v>65</v>
      </c>
      <c r="J1055" s="94" t="s">
        <v>563</v>
      </c>
      <c r="K1055" s="114">
        <f>P1055/3</f>
      </c>
      <c r="L1055" s="115">
        <v>0.184</v>
      </c>
      <c r="M1055" s="116"/>
      <c r="N1055" s="117">
        <f>M1055-L1055</f>
      </c>
      <c r="O1055" s="112"/>
      <c r="P1055" s="118">
        <f>N1055+O1055</f>
      </c>
      <c r="Q1055" s="94" t="s">
        <v>785</v>
      </c>
      <c r="R1055" s="94" t="s">
        <v>63</v>
      </c>
      <c r="S1055" s="119">
        <v>46328</v>
      </c>
      <c r="T1055" s="119"/>
      <c r="U1055" s="120">
        <v>46328</v>
      </c>
      <c r="V1055" s="94"/>
      <c r="W1055" s="94"/>
      <c r="X1055" s="94"/>
      <c r="Y1055" s="119">
        <v>46328</v>
      </c>
      <c r="Z1055" s="94"/>
      <c r="AA1055" s="120"/>
      <c r="AB1055" s="120"/>
      <c r="AC1055" s="120"/>
      <c r="AD1055" s="120"/>
      <c r="AE1055" s="120"/>
      <c r="AF1055" s="120"/>
      <c r="AG1055" s="94"/>
      <c r="AH1055" s="120"/>
      <c r="AI1055" s="94"/>
      <c r="AJ1055" s="94" t="s">
        <v>785</v>
      </c>
      <c r="AK1055" s="94" t="s">
        <v>736</v>
      </c>
      <c r="AL1055" s="94">
        <v>110</v>
      </c>
      <c r="AM1055" s="94" t="str">
        <f>TRIM(AJ1055)&amp;TRIM(AL1055)&amp;TRIM(AK1055)</f>
      </c>
      <c r="AN1055" s="116">
        <v>0</v>
      </c>
      <c r="AO1055" s="116" t="inlineStr">
        <is>
          <t>#NA</t>
        </is>
      </c>
      <c r="AP1055" s="116">
        <f>SUMIFS(M:M,AM:AM,AM1055)+SUMIFS(O:O,AM:AM,AM1055)</f>
      </c>
      <c r="AQ1055" s="116">
        <f>SUMIFS(L:L,AM:AM,AM1055)</f>
      </c>
      <c r="AR1055" s="116">
        <f>AQ1055-AP1055</f>
      </c>
      <c r="AS1055" s="94" t="str">
        <f>IF(AN1055&gt;=AQ1055,"ok","ck")</f>
      </c>
      <c r="AT1055" s="116">
        <f>-P1055</f>
      </c>
      <c r="AU1055" s="115">
        <f>IF(SUMIFS(AT:AT,AM:AM,AM1055)&gt;AO1055,(SUMIFS(AT:AT,AM:AM,AM1055)-AO1055))</f>
      </c>
      <c r="AV1055" s="116">
        <v>0</v>
      </c>
      <c r="AW1055" s="121">
        <v>0</v>
      </c>
      <c r="AX1055" s="115">
        <f>AN1055-AP1055</f>
      </c>
    </row>
    <row r="1056" spans="1:50" ht="15" hidden="1" customHeight="1" x14ac:dyDescent="0.3">
      <c r="A1056" s="94" t="s">
        <v>60</v>
      </c>
      <c r="B1056" s="94"/>
      <c r="C1056" s="94"/>
      <c r="D1056" s="94"/>
      <c r="E1056" s="94"/>
      <c r="F1056" s="94"/>
      <c r="G1056" s="112">
        <f>AU1056</f>
      </c>
      <c r="H1056" s="113"/>
      <c r="I1056" s="94" t="s">
        <v>65</v>
      </c>
      <c r="J1056" s="94" t="s">
        <v>563</v>
      </c>
      <c r="K1056" s="114">
        <f>P1056/3</f>
      </c>
      <c r="L1056" s="115">
        <v>35.473999999999997</v>
      </c>
      <c r="M1056" s="116"/>
      <c r="N1056" s="117">
        <f>M1056-L1056</f>
      </c>
      <c r="O1056" s="112"/>
      <c r="P1056" s="118">
        <f>N1056+O1056</f>
      </c>
      <c r="Q1056" s="94" t="s">
        <v>785</v>
      </c>
      <c r="R1056" s="94" t="s">
        <v>63</v>
      </c>
      <c r="S1056" s="119">
        <v>46332</v>
      </c>
      <c r="T1056" s="119"/>
      <c r="U1056" s="120">
        <v>46332</v>
      </c>
      <c r="V1056" s="94"/>
      <c r="W1056" s="94"/>
      <c r="X1056" s="94"/>
      <c r="Y1056" s="119">
        <v>46326</v>
      </c>
      <c r="Z1056" s="94"/>
      <c r="AA1056" s="120"/>
      <c r="AB1056" s="120"/>
      <c r="AC1056" s="120"/>
      <c r="AD1056" s="120"/>
      <c r="AE1056" s="120"/>
      <c r="AF1056" s="120"/>
      <c r="AG1056" s="94"/>
      <c r="AH1056" s="120"/>
      <c r="AI1056" s="94"/>
      <c r="AJ1056" s="94" t="s">
        <v>785</v>
      </c>
      <c r="AK1056" s="94" t="s">
        <v>736</v>
      </c>
      <c r="AL1056" s="94">
        <v>110</v>
      </c>
      <c r="AM1056" s="94" t="str">
        <f>TRIM(AJ1056)&amp;TRIM(AL1056)&amp;TRIM(AK1056)</f>
      </c>
      <c r="AN1056" s="116">
        <v>0</v>
      </c>
      <c r="AO1056" s="116" t="inlineStr">
        <is>
          <t>#NA</t>
        </is>
      </c>
      <c r="AP1056" s="116">
        <f>SUMIFS(M:M,AM:AM,AM1056)+SUMIFS(O:O,AM:AM,AM1056)</f>
      </c>
      <c r="AQ1056" s="116">
        <f>SUMIFS(L:L,AM:AM,AM1056)</f>
      </c>
      <c r="AR1056" s="116">
        <f>AQ1056-AP1056</f>
      </c>
      <c r="AS1056" s="94" t="str">
        <f>IF(AN1056&gt;=AQ1056,"ok","ck")</f>
      </c>
      <c r="AT1056" s="116">
        <f>-P1056</f>
      </c>
      <c r="AU1056" s="115">
        <f>IF(SUMIFS(AT:AT,AM:AM,AM1056)&gt;AO1056,(SUMIFS(AT:AT,AM:AM,AM1056)-AO1056))</f>
      </c>
      <c r="AV1056" s="116">
        <v>0</v>
      </c>
      <c r="AW1056" s="121">
        <v>0</v>
      </c>
      <c r="AX1056" s="115">
        <f>AN1056-AP1056</f>
      </c>
    </row>
    <row r="1057" spans="1:50" ht="15" hidden="1" customHeight="1" x14ac:dyDescent="0.3">
      <c r="A1057" s="94" t="s">
        <v>60</v>
      </c>
      <c r="B1057" s="94"/>
      <c r="C1057" s="94"/>
      <c r="D1057" s="94"/>
      <c r="E1057" s="94"/>
      <c r="F1057" s="94"/>
      <c r="G1057" s="112">
        <f>AU1057</f>
      </c>
      <c r="H1057" s="113"/>
      <c r="I1057" s="94" t="s">
        <v>65</v>
      </c>
      <c r="J1057" s="94" t="s">
        <v>563</v>
      </c>
      <c r="K1057" s="114">
        <f>P1057/3</f>
      </c>
      <c r="L1057" s="115">
        <v>9.7989999999999995</v>
      </c>
      <c r="M1057" s="116"/>
      <c r="N1057" s="117">
        <f>M1057-L1057</f>
      </c>
      <c r="O1057" s="112"/>
      <c r="P1057" s="118">
        <f>N1057+O1057</f>
      </c>
      <c r="Q1057" s="94" t="s">
        <v>785</v>
      </c>
      <c r="R1057" s="94" t="s">
        <v>63</v>
      </c>
      <c r="S1057" s="119">
        <v>46332</v>
      </c>
      <c r="T1057" s="119"/>
      <c r="U1057" s="120">
        <v>46332</v>
      </c>
      <c r="V1057" s="94"/>
      <c r="W1057" s="94"/>
      <c r="X1057" s="94"/>
      <c r="Y1057" s="119">
        <v>46328</v>
      </c>
      <c r="Z1057" s="94"/>
      <c r="AA1057" s="120"/>
      <c r="AB1057" s="120"/>
      <c r="AC1057" s="120"/>
      <c r="AD1057" s="120"/>
      <c r="AE1057" s="120"/>
      <c r="AF1057" s="120"/>
      <c r="AG1057" s="94"/>
      <c r="AH1057" s="120"/>
      <c r="AI1057" s="94"/>
      <c r="AJ1057" s="94" t="s">
        <v>785</v>
      </c>
      <c r="AK1057" s="94" t="s">
        <v>736</v>
      </c>
      <c r="AL1057" s="94">
        <v>110</v>
      </c>
      <c r="AM1057" s="94" t="str">
        <f>TRIM(AJ1057)&amp;TRIM(AL1057)&amp;TRIM(AK1057)</f>
      </c>
      <c r="AN1057" s="116">
        <v>0</v>
      </c>
      <c r="AO1057" s="116" t="inlineStr">
        <is>
          <t>#NA</t>
        </is>
      </c>
      <c r="AP1057" s="116">
        <f>SUMIFS(M:M,AM:AM,AM1057)+SUMIFS(O:O,AM:AM,AM1057)</f>
      </c>
      <c r="AQ1057" s="116">
        <f>SUMIFS(L:L,AM:AM,AM1057)</f>
      </c>
      <c r="AR1057" s="116">
        <f>AQ1057-AP1057</f>
      </c>
      <c r="AS1057" s="94" t="str">
        <f>IF(AN1057&gt;=AQ1057,"ok","ck")</f>
      </c>
      <c r="AT1057" s="116">
        <f>-P1057</f>
      </c>
      <c r="AU1057" s="115">
        <f>IF(SUMIFS(AT:AT,AM:AM,AM1057)&gt;AO1057,(SUMIFS(AT:AT,AM:AM,AM1057)-AO1057))</f>
      </c>
      <c r="AV1057" s="116">
        <v>0</v>
      </c>
      <c r="AW1057" s="121">
        <v>0</v>
      </c>
      <c r="AX1057" s="115">
        <f>AN1057-AP1057</f>
      </c>
    </row>
    <row r="1058" spans="1:50" ht="15" hidden="1" customHeight="1" x14ac:dyDescent="0.3">
      <c r="A1058" s="94" t="s">
        <v>60</v>
      </c>
      <c r="B1058" s="94"/>
      <c r="C1058" s="94"/>
      <c r="D1058" s="94"/>
      <c r="E1058" s="94"/>
      <c r="F1058" s="94"/>
      <c r="G1058" s="112">
        <f>AU1058</f>
      </c>
      <c r="H1058" s="113"/>
      <c r="I1058" s="94" t="s">
        <v>65</v>
      </c>
      <c r="J1058" s="94" t="s">
        <v>504</v>
      </c>
      <c r="K1058" s="114">
        <f>P1058/3</f>
      </c>
      <c r="L1058" s="115">
        <v>15.62</v>
      </c>
      <c r="M1058" s="116"/>
      <c r="N1058" s="117">
        <f>M1058-L1058</f>
      </c>
      <c r="O1058" s="112"/>
      <c r="P1058" s="118">
        <f>N1058+O1058</f>
      </c>
      <c r="Q1058" s="94" t="s">
        <v>785</v>
      </c>
      <c r="R1058" s="94" t="s">
        <v>63</v>
      </c>
      <c r="S1058" s="119">
        <v>46337</v>
      </c>
      <c r="T1058" s="119"/>
      <c r="U1058" s="120">
        <v>46337</v>
      </c>
      <c r="V1058" s="94"/>
      <c r="W1058" s="94"/>
      <c r="X1058" s="94"/>
      <c r="Y1058" s="119">
        <v>46342</v>
      </c>
      <c r="Z1058" s="94"/>
      <c r="AA1058" s="120"/>
      <c r="AB1058" s="120"/>
      <c r="AC1058" s="120"/>
      <c r="AD1058" s="120"/>
      <c r="AE1058" s="120"/>
      <c r="AF1058" s="120"/>
      <c r="AG1058" s="94"/>
      <c r="AH1058" s="120"/>
      <c r="AI1058" s="94"/>
      <c r="AJ1058" s="94" t="s">
        <v>785</v>
      </c>
      <c r="AK1058" s="94" t="s">
        <v>698</v>
      </c>
      <c r="AL1058" s="94">
        <v>110</v>
      </c>
      <c r="AM1058" s="94" t="str">
        <f>TRIM(AJ1058)&amp;TRIM(AL1058)&amp;TRIM(AK1058)</f>
      </c>
      <c r="AN1058" s="116">
        <v>0</v>
      </c>
      <c r="AO1058" s="116" t="inlineStr">
        <is>
          <t>#NA</t>
        </is>
      </c>
      <c r="AP1058" s="116">
        <f>SUMIFS(M:M,AM:AM,AM1058)+SUMIFS(O:O,AM:AM,AM1058)</f>
      </c>
      <c r="AQ1058" s="116">
        <f>SUMIFS(L:L,AM:AM,AM1058)</f>
      </c>
      <c r="AR1058" s="116">
        <f>AQ1058-AP1058</f>
      </c>
      <c r="AS1058" s="94" t="str">
        <f>IF(AN1058&gt;=AQ1058,"ok","ck")</f>
      </c>
      <c r="AT1058" s="116">
        <f>-P1058</f>
      </c>
      <c r="AU1058" s="115">
        <f>IF(SUMIFS(AT:AT,AM:AM,AM1058)&gt;AO1058,(SUMIFS(AT:AT,AM:AM,AM1058)-AO1058))</f>
      </c>
      <c r="AV1058" s="116">
        <v>0</v>
      </c>
      <c r="AW1058" s="121">
        <v>0</v>
      </c>
      <c r="AX1058" s="115">
        <f>AN1058-AP1058</f>
      </c>
    </row>
    <row r="1059" spans="1:50" ht="15" hidden="1" customHeight="1" x14ac:dyDescent="0.3">
      <c r="A1059" s="94" t="s">
        <v>288</v>
      </c>
      <c r="B1059" s="94"/>
      <c r="C1059" s="94"/>
      <c r="D1059" s="94"/>
      <c r="E1059" s="94"/>
      <c r="F1059" s="94"/>
      <c r="G1059" s="112">
        <f>AU1059</f>
      </c>
      <c r="H1059" s="113"/>
      <c r="I1059" s="94" t="s">
        <v>289</v>
      </c>
      <c r="J1059" s="94" t="s">
        <v>286</v>
      </c>
      <c r="K1059" s="114">
        <f>P1059/3</f>
      </c>
      <c r="L1059" s="115">
        <v>0</v>
      </c>
      <c r="M1059" s="116">
        <f>L1059</f>
      </c>
      <c r="N1059" s="117">
        <f>M1059-L1059</f>
      </c>
      <c r="O1059" s="112"/>
      <c r="P1059" s="118">
        <f>N1059+O1059</f>
      </c>
      <c r="Q1059" s="94" t="s">
        <v>299</v>
      </c>
      <c r="R1059" s="94" t="s">
        <v>63</v>
      </c>
      <c r="S1059" s="119">
        <v>46320</v>
      </c>
      <c r="T1059" s="119"/>
      <c r="U1059" s="120">
        <v>46320</v>
      </c>
      <c r="V1059" s="94"/>
      <c r="W1059" s="94"/>
      <c r="X1059" s="94"/>
      <c r="Y1059" s="119">
        <v>46320</v>
      </c>
      <c r="Z1059" s="94"/>
      <c r="AA1059" s="120"/>
      <c r="AB1059" s="120"/>
      <c r="AC1059" s="120"/>
      <c r="AD1059" s="120"/>
      <c r="AE1059" s="120"/>
      <c r="AF1059" s="120"/>
      <c r="AG1059" s="94"/>
      <c r="AH1059" s="120"/>
      <c r="AI1059" s="94"/>
      <c r="AJ1059" s="94" t="s">
        <v>478</v>
      </c>
      <c r="AK1059" s="94" t="s">
        <v>281</v>
      </c>
      <c r="AL1059" s="94">
        <v>235</v>
      </c>
      <c r="AM1059" s="94" t="str">
        <f>TRIM(AJ1059)&amp;TRIM(AL1059)&amp;TRIM(AK1059)</f>
      </c>
      <c r="AN1059" s="116">
        <v>2382.77</v>
      </c>
      <c r="AO1059" s="116">
        <v>-45.53</v>
      </c>
      <c r="AP1059" s="116">
        <f>SUMIFS(M:M,AM:AM,AM1059)+SUMIFS(O:O,AM:AM,AM1059)</f>
      </c>
      <c r="AQ1059" s="116">
        <f>SUMIFS(L:L,AM:AM,AM1059)</f>
      </c>
      <c r="AR1059" s="116">
        <f>AQ1059-AP1059</f>
      </c>
      <c r="AS1059" s="94" t="str">
        <f>IF(AN1059&gt;=AQ1059,"ok","ck")</f>
      </c>
      <c r="AT1059" s="116">
        <f>-P1059</f>
      </c>
      <c r="AU1059" s="115">
        <f>IF(SUMIFS(AT:AT,AM:AM,AM1059)&gt;AO1059,(SUMIFS(AT:AT,AM:AM,AM1059)-AO1059))</f>
      </c>
      <c r="AV1059" s="116">
        <v>2382.77</v>
      </c>
      <c r="AW1059" s="121">
        <v>1.019</v>
      </c>
      <c r="AX1059" s="115">
        <f>AN1059-AP1059</f>
      </c>
    </row>
    <row r="1060" spans="1:50" ht="15" hidden="1" customHeight="1" x14ac:dyDescent="0.3">
      <c r="A1060" s="94" t="s">
        <v>288</v>
      </c>
      <c r="B1060" s="94"/>
      <c r="C1060" s="94"/>
      <c r="D1060" s="94"/>
      <c r="E1060" s="94"/>
      <c r="F1060" s="94"/>
      <c r="G1060" s="112">
        <f>AU1060</f>
      </c>
      <c r="H1060" s="113"/>
      <c r="I1060" s="94" t="s">
        <v>289</v>
      </c>
      <c r="J1060" s="94" t="s">
        <v>286</v>
      </c>
      <c r="K1060" s="114">
        <f>P1060/3</f>
      </c>
      <c r="L1060" s="115">
        <v>0</v>
      </c>
      <c r="M1060" s="116">
        <f>L1060</f>
      </c>
      <c r="N1060" s="117">
        <f>M1060-L1060</f>
      </c>
      <c r="O1060" s="112"/>
      <c r="P1060" s="118">
        <f>N1060+O1060</f>
      </c>
      <c r="Q1060" s="94" t="s">
        <v>299</v>
      </c>
      <c r="R1060" s="94" t="s">
        <v>63</v>
      </c>
      <c r="S1060" s="119">
        <v>46324</v>
      </c>
      <c r="T1060" s="119"/>
      <c r="U1060" s="120">
        <v>46324</v>
      </c>
      <c r="V1060" s="94"/>
      <c r="W1060" s="94"/>
      <c r="X1060" s="94"/>
      <c r="Y1060" s="119">
        <v>46324</v>
      </c>
      <c r="Z1060" s="94"/>
      <c r="AA1060" s="120"/>
      <c r="AB1060" s="120"/>
      <c r="AC1060" s="120"/>
      <c r="AD1060" s="120"/>
      <c r="AE1060" s="120"/>
      <c r="AF1060" s="120"/>
      <c r="AG1060" s="94"/>
      <c r="AH1060" s="120"/>
      <c r="AI1060" s="94"/>
      <c r="AJ1060" s="94" t="s">
        <v>478</v>
      </c>
      <c r="AK1060" s="94" t="s">
        <v>281</v>
      </c>
      <c r="AL1060" s="94">
        <v>235</v>
      </c>
      <c r="AM1060" s="94" t="str">
        <f>TRIM(AJ1060)&amp;TRIM(AL1060)&amp;TRIM(AK1060)</f>
      </c>
      <c r="AN1060" s="116">
        <v>2382.77</v>
      </c>
      <c r="AO1060" s="116">
        <v>-45.53</v>
      </c>
      <c r="AP1060" s="116">
        <f>SUMIFS(M:M,AM:AM,AM1060)+SUMIFS(O:O,AM:AM,AM1060)</f>
      </c>
      <c r="AQ1060" s="116">
        <f>SUMIFS(L:L,AM:AM,AM1060)</f>
      </c>
      <c r="AR1060" s="116">
        <f>AQ1060-AP1060</f>
      </c>
      <c r="AS1060" s="94" t="str">
        <f>IF(AN1060&gt;=AQ1060,"ok","ck")</f>
      </c>
      <c r="AT1060" s="116">
        <f>-P1060</f>
      </c>
      <c r="AU1060" s="115">
        <f>IF(SUMIFS(AT:AT,AM:AM,AM1060)&gt;AO1060,(SUMIFS(AT:AT,AM:AM,AM1060)-AO1060))</f>
      </c>
      <c r="AV1060" s="116">
        <v>2382.77</v>
      </c>
      <c r="AW1060" s="121">
        <v>1.019</v>
      </c>
      <c r="AX1060" s="115">
        <f>AN1060-AP1060</f>
      </c>
    </row>
    <row r="1061" spans="1:50" ht="15" hidden="1" customHeight="1" x14ac:dyDescent="0.3">
      <c r="A1061" s="94" t="s">
        <v>263</v>
      </c>
      <c r="B1061" s="94"/>
      <c r="C1061" s="94"/>
      <c r="D1061" s="94"/>
      <c r="E1061" s="94"/>
      <c r="F1061" s="94"/>
      <c r="G1061" s="112">
        <f>AU1061</f>
      </c>
      <c r="H1061" s="113"/>
      <c r="I1061" s="94" t="s">
        <v>264</v>
      </c>
      <c r="J1061" s="94" t="s">
        <v>265</v>
      </c>
      <c r="K1061" s="114">
        <f>P1061/3</f>
      </c>
      <c r="L1061" s="115">
        <v>0</v>
      </c>
      <c r="M1061" s="116">
        <f>L1061</f>
      </c>
      <c r="N1061" s="117">
        <f>M1061-L1061</f>
      </c>
      <c r="O1061" s="112"/>
      <c r="P1061" s="118">
        <f>N1061+O1061</f>
      </c>
      <c r="Q1061" s="94" t="s">
        <v>266</v>
      </c>
      <c r="R1061" s="94" t="s">
        <v>63</v>
      </c>
      <c r="S1061" s="119">
        <v>46327</v>
      </c>
      <c r="T1061" s="119"/>
      <c r="U1061" s="120">
        <v>46327</v>
      </c>
      <c r="V1061" s="94"/>
      <c r="W1061" s="94"/>
      <c r="X1061" s="94"/>
      <c r="Y1061" s="119">
        <v>46327</v>
      </c>
      <c r="Z1061" s="94"/>
      <c r="AA1061" s="120"/>
      <c r="AB1061" s="120"/>
      <c r="AC1061" s="120"/>
      <c r="AD1061" s="120"/>
      <c r="AE1061" s="120"/>
      <c r="AF1061" s="120"/>
      <c r="AG1061" s="94"/>
      <c r="AH1061" s="120"/>
      <c r="AI1061" s="94"/>
      <c r="AJ1061" s="94" t="s">
        <v>266</v>
      </c>
      <c r="AK1061" s="94" t="s">
        <v>267</v>
      </c>
      <c r="AL1061" s="94">
        <v>120</v>
      </c>
      <c r="AM1061" s="94" t="str">
        <f>TRIM(AJ1061)&amp;TRIM(AL1061)&amp;TRIM(AK1061)</f>
      </c>
      <c r="AN1061" s="116">
        <v>43</v>
      </c>
      <c r="AO1061" s="116">
        <v>0</v>
      </c>
      <c r="AP1061" s="116">
        <f>SUMIFS(M:M,AM:AM,AM1061)+SUMIFS(O:O,AM:AM,AM1061)</f>
      </c>
      <c r="AQ1061" s="116">
        <f>SUMIFS(L:L,AM:AM,AM1061)</f>
      </c>
      <c r="AR1061" s="116">
        <f>AQ1061-AP1061</f>
      </c>
      <c r="AS1061" s="94" t="str">
        <f>IF(AN1061&gt;=AQ1061,"ok","ck")</f>
      </c>
      <c r="AT1061" s="116">
        <f>-P1061</f>
      </c>
      <c r="AU1061" s="115">
        <f>IF(SUMIFS(AT:AT,AM:AM,AM1061)&gt;AO1061,(SUMIFS(AT:AT,AM:AM,AM1061)-AO1061))</f>
      </c>
      <c r="AV1061" s="116">
        <v>43</v>
      </c>
      <c r="AW1061" s="121">
        <v>1</v>
      </c>
      <c r="AX1061" s="115">
        <f>AN1061-AP1061</f>
      </c>
    </row>
    <row r="1062" spans="1:50" ht="15" hidden="1" customHeight="1" x14ac:dyDescent="0.3">
      <c r="A1062" s="94" t="s">
        <v>263</v>
      </c>
      <c r="B1062" s="94"/>
      <c r="C1062" s="94"/>
      <c r="D1062" s="94"/>
      <c r="E1062" s="94"/>
      <c r="F1062" s="94"/>
      <c r="G1062" s="112">
        <f>AU1062</f>
      </c>
      <c r="H1062" s="113"/>
      <c r="I1062" s="94" t="s">
        <v>264</v>
      </c>
      <c r="J1062" s="94" t="s">
        <v>265</v>
      </c>
      <c r="K1062" s="114">
        <f>P1062/3</f>
      </c>
      <c r="L1062" s="115">
        <v>0</v>
      </c>
      <c r="M1062" s="116">
        <f>L1062</f>
      </c>
      <c r="N1062" s="117">
        <f>M1062-L1062</f>
      </c>
      <c r="O1062" s="112"/>
      <c r="P1062" s="118">
        <f>N1062+O1062</f>
      </c>
      <c r="Q1062" s="94" t="s">
        <v>266</v>
      </c>
      <c r="R1062" s="94" t="s">
        <v>63</v>
      </c>
      <c r="S1062" s="119">
        <v>46327</v>
      </c>
      <c r="T1062" s="119"/>
      <c r="U1062" s="120">
        <v>46327</v>
      </c>
      <c r="V1062" s="94"/>
      <c r="W1062" s="94"/>
      <c r="X1062" s="94"/>
      <c r="Y1062" s="119">
        <v>46327</v>
      </c>
      <c r="Z1062" s="94"/>
      <c r="AA1062" s="120"/>
      <c r="AB1062" s="120"/>
      <c r="AC1062" s="120"/>
      <c r="AD1062" s="120"/>
      <c r="AE1062" s="120"/>
      <c r="AF1062" s="120"/>
      <c r="AG1062" s="94"/>
      <c r="AH1062" s="120"/>
      <c r="AI1062" s="94"/>
      <c r="AJ1062" s="94" t="s">
        <v>266</v>
      </c>
      <c r="AK1062" s="94" t="s">
        <v>267</v>
      </c>
      <c r="AL1062" s="94">
        <v>120</v>
      </c>
      <c r="AM1062" s="94" t="str">
        <f>TRIM(AJ1062)&amp;TRIM(AL1062)&amp;TRIM(AK1062)</f>
      </c>
      <c r="AN1062" s="116">
        <v>43</v>
      </c>
      <c r="AO1062" s="116">
        <v>0</v>
      </c>
      <c r="AP1062" s="116">
        <f>SUMIFS(M:M,AM:AM,AM1062)+SUMIFS(O:O,AM:AM,AM1062)</f>
      </c>
      <c r="AQ1062" s="116">
        <f>SUMIFS(L:L,AM:AM,AM1062)</f>
      </c>
      <c r="AR1062" s="116">
        <f>AQ1062-AP1062</f>
      </c>
      <c r="AS1062" s="94" t="str">
        <f>IF(AN1062&gt;=AQ1062,"ok","ck")</f>
      </c>
      <c r="AT1062" s="116">
        <f>-P1062</f>
      </c>
      <c r="AU1062" s="115">
        <f>IF(SUMIFS(AT:AT,AM:AM,AM1062)&gt;AO1062,(SUMIFS(AT:AT,AM:AM,AM1062)-AO1062))</f>
      </c>
      <c r="AV1062" s="116">
        <v>43</v>
      </c>
      <c r="AW1062" s="121">
        <v>1</v>
      </c>
      <c r="AX1062" s="115">
        <f>AN1062-AP1062</f>
      </c>
    </row>
    <row r="1063" spans="1:50" ht="15" hidden="1" customHeight="1" x14ac:dyDescent="0.3">
      <c r="A1063" s="94" t="s">
        <v>60</v>
      </c>
      <c r="B1063" s="94"/>
      <c r="C1063" s="94"/>
      <c r="D1063" s="94"/>
      <c r="E1063" s="94"/>
      <c r="F1063" s="94"/>
      <c r="G1063" s="112">
        <f>AU1063</f>
      </c>
      <c r="H1063" s="113"/>
      <c r="I1063" s="94" t="s">
        <v>65</v>
      </c>
      <c r="J1063" s="94" t="s">
        <v>519</v>
      </c>
      <c r="K1063" s="114">
        <f>P1063/3</f>
      </c>
      <c r="L1063" s="115">
        <v>0</v>
      </c>
      <c r="M1063" s="116">
        <f>L1063</f>
      </c>
      <c r="N1063" s="117">
        <f>M1063-L1063</f>
      </c>
      <c r="O1063" s="112"/>
      <c r="P1063" s="118">
        <f>N1063+O1063</f>
      </c>
      <c r="Q1063" s="94" t="s">
        <v>792</v>
      </c>
      <c r="R1063" s="94" t="s">
        <v>63</v>
      </c>
      <c r="S1063" s="119">
        <v>46337</v>
      </c>
      <c r="T1063" s="119"/>
      <c r="U1063" s="120">
        <v>46337</v>
      </c>
      <c r="V1063" s="94"/>
      <c r="W1063" s="94"/>
      <c r="X1063" s="94"/>
      <c r="Y1063" s="119">
        <v>46336</v>
      </c>
      <c r="Z1063" s="94"/>
      <c r="AA1063" s="120"/>
      <c r="AB1063" s="120"/>
      <c r="AC1063" s="120"/>
      <c r="AD1063" s="120"/>
      <c r="AE1063" s="120"/>
      <c r="AF1063" s="120"/>
      <c r="AG1063" s="94"/>
      <c r="AH1063" s="120"/>
      <c r="AI1063" s="94"/>
      <c r="AJ1063" s="94" t="s">
        <v>792</v>
      </c>
      <c r="AK1063" s="94" t="s">
        <v>540</v>
      </c>
      <c r="AL1063" s="94">
        <v>110</v>
      </c>
      <c r="AM1063" s="94" t="str">
        <f>TRIM(AJ1063)&amp;TRIM(AL1063)&amp;TRIM(AK1063)</f>
      </c>
      <c r="AN1063" s="116">
        <v>465.86</v>
      </c>
      <c r="AO1063" s="116">
        <v>-29.86</v>
      </c>
      <c r="AP1063" s="116">
        <f>SUMIFS(M:M,AM:AM,AM1063)+SUMIFS(O:O,AM:AM,AM1063)</f>
      </c>
      <c r="AQ1063" s="116">
        <f>SUMIFS(L:L,AM:AM,AM1063)</f>
      </c>
      <c r="AR1063" s="116">
        <f>AQ1063-AP1063</f>
      </c>
      <c r="AS1063" s="94" t="str">
        <f>IF(AN1063&gt;=AQ1063,"ok","ck")</f>
      </c>
      <c r="AT1063" s="116">
        <f>-P1063</f>
      </c>
      <c r="AU1063" s="115">
        <f>IF(SUMIFS(AT:AT,AM:AM,AM1063)&gt;AO1063,(SUMIFS(AT:AT,AM:AM,AM1063)-AO1063))</f>
      </c>
      <c r="AV1063" s="116">
        <v>465.86</v>
      </c>
      <c r="AW1063" s="121">
        <v>1.068</v>
      </c>
      <c r="AX1063" s="115">
        <f>AN1063-AP1063</f>
      </c>
    </row>
    <row r="1064" spans="1:50" ht="15" hidden="1" customHeight="1" x14ac:dyDescent="0.3">
      <c r="A1064" s="94" t="s">
        <v>82</v>
      </c>
      <c r="B1064" s="94"/>
      <c r="C1064" s="94"/>
      <c r="D1064" s="94"/>
      <c r="E1064" s="94"/>
      <c r="F1064" s="94"/>
      <c r="G1064" s="112">
        <f>AU1064</f>
      </c>
      <c r="H1064" s="113"/>
      <c r="I1064" s="94" t="s">
        <v>83</v>
      </c>
      <c r="J1064" s="94" t="s">
        <v>71</v>
      </c>
      <c r="K1064" s="114">
        <f>P1064/3</f>
      </c>
      <c r="L1064" s="115">
        <v>0</v>
      </c>
      <c r="M1064" s="116"/>
      <c r="N1064" s="117">
        <f>M1064-L1064</f>
      </c>
      <c r="O1064" s="112"/>
      <c r="P1064" s="118">
        <f>N1064+O1064</f>
      </c>
      <c r="Q1064" s="94" t="s">
        <v>848</v>
      </c>
      <c r="R1064" s="94" t="s">
        <v>63</v>
      </c>
      <c r="S1064" s="119">
        <v>46320</v>
      </c>
      <c r="T1064" s="119"/>
      <c r="U1064" s="120">
        <v>46320</v>
      </c>
      <c r="V1064" s="94"/>
      <c r="W1064" s="94"/>
      <c r="X1064" s="94"/>
      <c r="Y1064" s="119">
        <v>46320</v>
      </c>
      <c r="Z1064" s="94"/>
      <c r="AA1064" s="120"/>
      <c r="AB1064" s="120"/>
      <c r="AC1064" s="120"/>
      <c r="AD1064" s="120"/>
      <c r="AE1064" s="120"/>
      <c r="AF1064" s="120"/>
      <c r="AG1064" s="94"/>
      <c r="AH1064" s="120"/>
      <c r="AI1064" s="94"/>
      <c r="AJ1064" s="94" t="s">
        <v>775</v>
      </c>
      <c r="AK1064" s="94" t="s">
        <v>71</v>
      </c>
      <c r="AL1064" s="94">
        <v>160</v>
      </c>
      <c r="AM1064" s="94" t="str">
        <f>TRIM(AJ1064)&amp;TRIM(AL1064)&amp;TRIM(AK1064)</f>
      </c>
      <c r="AN1064" s="116">
        <v>2683</v>
      </c>
      <c r="AO1064" s="116">
        <v>56</v>
      </c>
      <c r="AP1064" s="116">
        <f>SUMIFS(M:M,AM:AM,AM1064)+SUMIFS(O:O,AM:AM,AM1064)</f>
      </c>
      <c r="AQ1064" s="116">
        <f>SUMIFS(L:L,AM:AM,AM1064)</f>
      </c>
      <c r="AR1064" s="116">
        <f>AQ1064-AP1064</f>
      </c>
      <c r="AS1064" s="94" t="str">
        <f>IF(AN1064&gt;=AQ1064,"ok","ck")</f>
      </c>
      <c r="AT1064" s="116">
        <f>-P1064</f>
      </c>
      <c r="AU1064" s="115">
        <f>IF(SUMIFS(AT:AT,AM:AM,AM1064)&gt;AO1064,(SUMIFS(AT:AT,AM:AM,AM1064)-AO1064))</f>
      </c>
      <c r="AV1064" s="116">
        <v>2683</v>
      </c>
      <c r="AW1064" s="121">
        <v>0.98</v>
      </c>
      <c r="AX1064" s="115">
        <f>AN1064-AP1064</f>
      </c>
    </row>
    <row r="1065" spans="1:50" ht="15" hidden="1" customHeight="1" x14ac:dyDescent="0.3">
      <c r="A1065" s="94" t="s">
        <v>82</v>
      </c>
      <c r="B1065" s="94"/>
      <c r="C1065" s="94"/>
      <c r="D1065" s="94"/>
      <c r="E1065" s="94"/>
      <c r="F1065" s="94"/>
      <c r="G1065" s="112">
        <f>AU1065</f>
      </c>
      <c r="H1065" s="113"/>
      <c r="I1065" s="94" t="s">
        <v>83</v>
      </c>
      <c r="J1065" s="94" t="s">
        <v>71</v>
      </c>
      <c r="K1065" s="114">
        <f>P1065/3</f>
      </c>
      <c r="L1065" s="115">
        <v>0</v>
      </c>
      <c r="M1065" s="116"/>
      <c r="N1065" s="117">
        <f>M1065-L1065</f>
      </c>
      <c r="O1065" s="112"/>
      <c r="P1065" s="118">
        <f>N1065+O1065</f>
      </c>
      <c r="Q1065" s="94" t="s">
        <v>848</v>
      </c>
      <c r="R1065" s="94" t="s">
        <v>63</v>
      </c>
      <c r="S1065" s="119">
        <v>46324</v>
      </c>
      <c r="T1065" s="119"/>
      <c r="U1065" s="120">
        <v>46324</v>
      </c>
      <c r="V1065" s="94"/>
      <c r="W1065" s="94"/>
      <c r="X1065" s="94"/>
      <c r="Y1065" s="119">
        <v>46324</v>
      </c>
      <c r="Z1065" s="94"/>
      <c r="AA1065" s="120"/>
      <c r="AB1065" s="120"/>
      <c r="AC1065" s="120"/>
      <c r="AD1065" s="120"/>
      <c r="AE1065" s="120"/>
      <c r="AF1065" s="120"/>
      <c r="AG1065" s="94"/>
      <c r="AH1065" s="120"/>
      <c r="AI1065" s="94"/>
      <c r="AJ1065" s="94" t="s">
        <v>775</v>
      </c>
      <c r="AK1065" s="94" t="s">
        <v>71</v>
      </c>
      <c r="AL1065" s="94">
        <v>160</v>
      </c>
      <c r="AM1065" s="94" t="str">
        <f>TRIM(AJ1065)&amp;TRIM(AL1065)&amp;TRIM(AK1065)</f>
      </c>
      <c r="AN1065" s="116">
        <v>2683</v>
      </c>
      <c r="AO1065" s="116">
        <v>56</v>
      </c>
      <c r="AP1065" s="116">
        <f>SUMIFS(M:M,AM:AM,AM1065)+SUMIFS(O:O,AM:AM,AM1065)</f>
      </c>
      <c r="AQ1065" s="116">
        <f>SUMIFS(L:L,AM:AM,AM1065)</f>
      </c>
      <c r="AR1065" s="116">
        <f>AQ1065-AP1065</f>
      </c>
      <c r="AS1065" s="94" t="str">
        <f>IF(AN1065&gt;=AQ1065,"ok","ck")</f>
      </c>
      <c r="AT1065" s="116">
        <f>-P1065</f>
      </c>
      <c r="AU1065" s="115">
        <f>IF(SUMIFS(AT:AT,AM:AM,AM1065)&gt;AO1065,(SUMIFS(AT:AT,AM:AM,AM1065)-AO1065))</f>
      </c>
      <c r="AV1065" s="116">
        <v>2683</v>
      </c>
      <c r="AW1065" s="121">
        <v>0.98</v>
      </c>
      <c r="AX1065" s="115">
        <f>AN1065-AP1065</f>
      </c>
    </row>
    <row r="1066" spans="1:50" ht="15" hidden="1" customHeight="1" x14ac:dyDescent="0.3">
      <c r="A1066" s="94" t="s">
        <v>311</v>
      </c>
      <c r="B1066" s="94"/>
      <c r="C1066" s="94"/>
      <c r="D1066" s="94"/>
      <c r="E1066" s="94"/>
      <c r="F1066" s="94"/>
      <c r="G1066" s="112">
        <f>AU1066</f>
      </c>
      <c r="H1066" s="113"/>
      <c r="I1066" s="94" t="s">
        <v>369</v>
      </c>
      <c r="J1066" s="94" t="s">
        <v>370</v>
      </c>
      <c r="K1066" s="114">
        <f>P1066/3</f>
      </c>
      <c r="L1066" s="115">
        <v>106.27200000000001</v>
      </c>
      <c r="M1066" s="116">
        <f>L1066</f>
      </c>
      <c r="N1066" s="117">
        <f>M1066-L1066</f>
      </c>
      <c r="O1066" s="112"/>
      <c r="P1066" s="118">
        <f>N1066+O1066</f>
      </c>
      <c r="Q1066" s="94" t="s">
        <v>314</v>
      </c>
      <c r="R1066" s="94" t="s">
        <v>63</v>
      </c>
      <c r="S1066" s="119">
        <v>46320</v>
      </c>
      <c r="T1066" s="119"/>
      <c r="U1066" s="120">
        <v>46320</v>
      </c>
      <c r="V1066" s="94"/>
      <c r="W1066" s="94"/>
      <c r="X1066" s="94"/>
      <c r="Y1066" s="119">
        <v>46320</v>
      </c>
      <c r="Z1066" s="94"/>
      <c r="AA1066" s="120"/>
      <c r="AB1066" s="120"/>
      <c r="AC1066" s="120"/>
      <c r="AD1066" s="120"/>
      <c r="AE1066" s="120"/>
      <c r="AF1066" s="120"/>
      <c r="AG1066" s="94"/>
      <c r="AH1066" s="120"/>
      <c r="AI1066" s="94"/>
      <c r="AJ1066" s="94" t="s">
        <v>314</v>
      </c>
      <c r="AK1066" s="94" t="s">
        <v>371</v>
      </c>
      <c r="AL1066" s="94">
        <v>150</v>
      </c>
      <c r="AM1066" s="94" t="str">
        <f>TRIM(AJ1066)&amp;TRIM(AL1066)&amp;TRIM(AK1066)</f>
      </c>
      <c r="AN1066" s="116">
        <v>540.11</v>
      </c>
      <c r="AO1066" s="116">
        <v>-4.11</v>
      </c>
      <c r="AP1066" s="116">
        <f>SUMIFS(M:M,AM:AM,AM1066)+SUMIFS(O:O,AM:AM,AM1066)</f>
      </c>
      <c r="AQ1066" s="116">
        <f>SUMIFS(L:L,AM:AM,AM1066)</f>
      </c>
      <c r="AR1066" s="116">
        <f>AQ1066-AP1066</f>
      </c>
      <c r="AS1066" s="94" t="str">
        <f>IF(AN1066&gt;=AQ1066,"ok","ck")</f>
      </c>
      <c r="AT1066" s="116">
        <f>-P1066</f>
      </c>
      <c r="AU1066" s="115">
        <f>IF(SUMIFS(AT:AT,AM:AM,AM1066)&gt;AO1066,(SUMIFS(AT:AT,AM:AM,AM1066)-AO1066))</f>
      </c>
      <c r="AV1066" s="116">
        <v>540.11</v>
      </c>
      <c r="AW1066" s="121">
        <v>1.008</v>
      </c>
      <c r="AX1066" s="115">
        <f>AN1066-AP1066</f>
      </c>
    </row>
    <row r="1067" spans="1:50" ht="15" hidden="1" customHeight="1" x14ac:dyDescent="0.3">
      <c r="A1067" s="94" t="s">
        <v>268</v>
      </c>
      <c r="B1067" s="94"/>
      <c r="C1067" s="94"/>
      <c r="D1067" s="94"/>
      <c r="E1067" s="94"/>
      <c r="F1067" s="94"/>
      <c r="G1067" s="112">
        <f>AU1067</f>
      </c>
      <c r="H1067" s="113"/>
      <c r="I1067" s="94" t="s">
        <v>390</v>
      </c>
      <c r="J1067" s="94" t="s">
        <v>326</v>
      </c>
      <c r="K1067" s="114">
        <f>P1067/3</f>
      </c>
      <c r="L1067" s="115">
        <v>4.76</v>
      </c>
      <c r="M1067" s="116">
        <f>L1067</f>
      </c>
      <c r="N1067" s="117">
        <f>M1067-L1067</f>
      </c>
      <c r="O1067" s="112"/>
      <c r="P1067" s="118">
        <f>N1067+O1067</f>
      </c>
      <c r="Q1067" s="94" t="s">
        <v>344</v>
      </c>
      <c r="R1067" s="94" t="s">
        <v>63</v>
      </c>
      <c r="S1067" s="119">
        <v>46320</v>
      </c>
      <c r="T1067" s="119"/>
      <c r="U1067" s="120">
        <v>46320</v>
      </c>
      <c r="V1067" s="94"/>
      <c r="W1067" s="94"/>
      <c r="X1067" s="94"/>
      <c r="Y1067" s="119">
        <v>46320</v>
      </c>
      <c r="Z1067" s="94"/>
      <c r="AA1067" s="120"/>
      <c r="AB1067" s="120"/>
      <c r="AC1067" s="120"/>
      <c r="AD1067" s="120"/>
      <c r="AE1067" s="120"/>
      <c r="AF1067" s="120"/>
      <c r="AG1067" s="94"/>
      <c r="AH1067" s="120"/>
      <c r="AI1067" s="94"/>
      <c r="AJ1067" s="94" t="s">
        <v>344</v>
      </c>
      <c r="AK1067" s="94" t="s">
        <v>327</v>
      </c>
      <c r="AL1067" s="94">
        <v>140</v>
      </c>
      <c r="AM1067" s="94" t="str">
        <f>TRIM(AJ1067)&amp;TRIM(AL1067)&amp;TRIM(AK1067)</f>
      </c>
      <c r="AN1067" s="116">
        <v>195</v>
      </c>
      <c r="AO1067" s="116">
        <v>5</v>
      </c>
      <c r="AP1067" s="116">
        <f>SUMIFS(M:M,AM:AM,AM1067)+SUMIFS(O:O,AM:AM,AM1067)</f>
      </c>
      <c r="AQ1067" s="116">
        <f>SUMIFS(L:L,AM:AM,AM1067)</f>
      </c>
      <c r="AR1067" s="116">
        <f>AQ1067-AP1067</f>
      </c>
      <c r="AS1067" s="94" t="str">
        <f>IF(AN1067&gt;=AQ1067,"ok","ck")</f>
      </c>
      <c r="AT1067" s="116">
        <f>-P1067</f>
      </c>
      <c r="AU1067" s="115">
        <f>IF(SUMIFS(AT:AT,AM:AM,AM1067)&gt;AO1067,(SUMIFS(AT:AT,AM:AM,AM1067)-AO1067))</f>
      </c>
      <c r="AV1067" s="116">
        <v>195</v>
      </c>
      <c r="AW1067" s="121">
        <v>0.975</v>
      </c>
      <c r="AX1067" s="115">
        <f>AN1067-AP1067</f>
      </c>
    </row>
    <row r="1068" spans="1:50" ht="15" hidden="1" customHeight="1" x14ac:dyDescent="0.3">
      <c r="A1068" s="94" t="s">
        <v>82</v>
      </c>
      <c r="B1068" s="94"/>
      <c r="C1068" s="94"/>
      <c r="D1068" s="94"/>
      <c r="E1068" s="94"/>
      <c r="F1068" s="94"/>
      <c r="G1068" s="112">
        <f>AU1068</f>
      </c>
      <c r="H1068" s="113"/>
      <c r="I1068" s="94" t="s">
        <v>83</v>
      </c>
      <c r="J1068" s="94" t="s">
        <v>71</v>
      </c>
      <c r="K1068" s="114">
        <f>P1068/3</f>
      </c>
      <c r="L1068" s="115">
        <v>196.85</v>
      </c>
      <c r="M1068" s="116">
        <v>140.85</v>
      </c>
      <c r="N1068" s="117">
        <f>M1068-L1068</f>
      </c>
      <c r="O1068" s="112"/>
      <c r="P1068" s="118">
        <f>N1068+O1068</f>
      </c>
      <c r="Q1068" s="94" t="s">
        <v>848</v>
      </c>
      <c r="R1068" s="94" t="s">
        <v>63</v>
      </c>
      <c r="S1068" s="119">
        <v>46327</v>
      </c>
      <c r="T1068" s="119"/>
      <c r="U1068" s="119">
        <v>46327</v>
      </c>
      <c r="V1068" s="94"/>
      <c r="W1068" s="94"/>
      <c r="X1068" s="94"/>
      <c r="Y1068" s="119">
        <v>46320</v>
      </c>
      <c r="Z1068" s="94"/>
      <c r="AA1068" s="120"/>
      <c r="AB1068" s="120"/>
      <c r="AC1068" s="120"/>
      <c r="AD1068" s="120"/>
      <c r="AE1068" s="120"/>
      <c r="AF1068" s="120"/>
      <c r="AG1068" s="94"/>
      <c r="AH1068" s="120"/>
      <c r="AI1068" s="94"/>
      <c r="AJ1068" s="94" t="s">
        <v>775</v>
      </c>
      <c r="AK1068" s="94" t="s">
        <v>71</v>
      </c>
      <c r="AL1068" s="94">
        <v>160</v>
      </c>
      <c r="AM1068" s="94" t="str">
        <f>TRIM(AJ1068)&amp;TRIM(AL1068)&amp;TRIM(AK1068)</f>
      </c>
      <c r="AN1068" s="116">
        <v>2683</v>
      </c>
      <c r="AO1068" s="116">
        <v>56</v>
      </c>
      <c r="AP1068" s="116">
        <f>SUMIFS(M:M,AM:AM,AM1068)+SUMIFS(O:O,AM:AM,AM1068)</f>
      </c>
      <c r="AQ1068" s="116">
        <f>SUMIFS(L:L,AM:AM,AM1068)</f>
      </c>
      <c r="AR1068" s="116">
        <f>AQ1068-AP1068</f>
      </c>
      <c r="AS1068" s="94" t="str">
        <f>IF(AN1068&gt;=AQ1068,"ok","ck")</f>
      </c>
      <c r="AT1068" s="116">
        <f>-P1068</f>
      </c>
      <c r="AU1068" s="115">
        <f>IF(SUMIFS(AT:AT,AM:AM,AM1068)&gt;AO1068,(SUMIFS(AT:AT,AM:AM,AM1068)-AO1068))</f>
      </c>
      <c r="AV1068" s="116">
        <v>2683</v>
      </c>
      <c r="AW1068" s="121">
        <v>0.98</v>
      </c>
      <c r="AX1068" s="115">
        <f>AN1068-AP1068</f>
      </c>
    </row>
    <row r="1069" spans="1:50" ht="15" hidden="1" customHeight="1" x14ac:dyDescent="0.3">
      <c r="A1069" s="94" t="s">
        <v>268</v>
      </c>
      <c r="B1069" s="94"/>
      <c r="C1069" s="94"/>
      <c r="D1069" s="94"/>
      <c r="E1069" s="94"/>
      <c r="F1069" s="94"/>
      <c r="G1069" s="112">
        <f>AU1069</f>
      </c>
      <c r="H1069" s="113"/>
      <c r="I1069" s="94" t="s">
        <v>278</v>
      </c>
      <c r="J1069" s="94" t="s">
        <v>564</v>
      </c>
      <c r="K1069" s="114">
        <f>P1069/3</f>
      </c>
      <c r="L1069" s="115">
        <v>-0.41799999999999998</v>
      </c>
      <c r="M1069" s="116">
        <f>L1069</f>
      </c>
      <c r="N1069" s="117">
        <f>M1069-L1069</f>
      </c>
      <c r="O1069" s="112"/>
      <c r="P1069" s="118">
        <f>N1069+O1069</f>
      </c>
      <c r="Q1069" s="94" t="s">
        <v>309</v>
      </c>
      <c r="R1069" s="94" t="s">
        <v>63</v>
      </c>
      <c r="S1069" s="119">
        <v>46320</v>
      </c>
      <c r="T1069" s="119"/>
      <c r="U1069" s="119">
        <v>46320</v>
      </c>
      <c r="V1069" s="94"/>
      <c r="W1069" s="94"/>
      <c r="X1069" s="94"/>
      <c r="Y1069" s="119">
        <v>46320</v>
      </c>
      <c r="Z1069" s="94"/>
      <c r="AA1069" s="120"/>
      <c r="AB1069" s="120"/>
      <c r="AC1069" s="120"/>
      <c r="AD1069" s="120"/>
      <c r="AE1069" s="120"/>
      <c r="AF1069" s="120"/>
      <c r="AG1069" s="94"/>
      <c r="AH1069" s="120"/>
      <c r="AI1069" s="94"/>
      <c r="AJ1069" s="94" t="s">
        <v>309</v>
      </c>
      <c r="AK1069" s="94" t="s">
        <v>737</v>
      </c>
      <c r="AL1069" s="94">
        <v>120</v>
      </c>
      <c r="AM1069" s="94" t="str">
        <f>TRIM(AJ1069)&amp;TRIM(AL1069)&amp;TRIM(AK1069)</f>
      </c>
      <c r="AN1069" s="116">
        <v>429</v>
      </c>
      <c r="AO1069" s="116">
        <v>-7</v>
      </c>
      <c r="AP1069" s="116">
        <f>SUMIFS(M:M,AM:AM,AM1069)+SUMIFS(O:O,AM:AM,AM1069)</f>
      </c>
      <c r="AQ1069" s="116">
        <f>SUMIFS(L:L,AM:AM,AM1069)</f>
      </c>
      <c r="AR1069" s="116">
        <f>AQ1069-AP1069</f>
      </c>
      <c r="AS1069" s="94" t="str">
        <f>IF(AN1069&gt;=AQ1069,"ok","ck")</f>
      </c>
      <c r="AT1069" s="116">
        <f>-P1069</f>
      </c>
      <c r="AU1069" s="115">
        <f>IF(SUMIFS(AT:AT,AM:AM,AM1069)&gt;AO1069,(SUMIFS(AT:AT,AM:AM,AM1069)-AO1069))</f>
      </c>
      <c r="AV1069" s="116">
        <v>429</v>
      </c>
      <c r="AW1069" s="121">
        <v>1.017</v>
      </c>
      <c r="AX1069" s="115">
        <f>AN1069-AP1069</f>
      </c>
    </row>
    <row r="1070" spans="1:50" ht="15" hidden="1" customHeight="1" x14ac:dyDescent="0.3">
      <c r="A1070" s="94" t="s">
        <v>268</v>
      </c>
      <c r="B1070" s="94"/>
      <c r="C1070" s="94"/>
      <c r="D1070" s="94"/>
      <c r="E1070" s="94"/>
      <c r="F1070" s="94"/>
      <c r="G1070" s="112">
        <f>AU1070</f>
      </c>
      <c r="H1070" s="113"/>
      <c r="I1070" s="94" t="s">
        <v>278</v>
      </c>
      <c r="J1070" s="94" t="s">
        <v>564</v>
      </c>
      <c r="K1070" s="114">
        <f>P1070/3</f>
      </c>
      <c r="L1070" s="115">
        <v>-0.41799999999999998</v>
      </c>
      <c r="M1070" s="116">
        <f>L1070</f>
      </c>
      <c r="N1070" s="117">
        <f>M1070-L1070</f>
      </c>
      <c r="O1070" s="112"/>
      <c r="P1070" s="118">
        <f>N1070+O1070</f>
      </c>
      <c r="Q1070" s="94" t="s">
        <v>309</v>
      </c>
      <c r="R1070" s="94" t="s">
        <v>63</v>
      </c>
      <c r="S1070" s="119">
        <v>46321</v>
      </c>
      <c r="T1070" s="119"/>
      <c r="U1070" s="119">
        <v>46321</v>
      </c>
      <c r="V1070" s="94"/>
      <c r="W1070" s="94"/>
      <c r="X1070" s="94"/>
      <c r="Y1070" s="119">
        <v>46321</v>
      </c>
      <c r="Z1070" s="94"/>
      <c r="AA1070" s="120"/>
      <c r="AB1070" s="120"/>
      <c r="AC1070" s="120"/>
      <c r="AD1070" s="120"/>
      <c r="AE1070" s="120"/>
      <c r="AF1070" s="120"/>
      <c r="AG1070" s="94"/>
      <c r="AH1070" s="120"/>
      <c r="AI1070" s="94"/>
      <c r="AJ1070" s="94" t="s">
        <v>309</v>
      </c>
      <c r="AK1070" s="94" t="s">
        <v>737</v>
      </c>
      <c r="AL1070" s="94">
        <v>120</v>
      </c>
      <c r="AM1070" s="94" t="str">
        <f>TRIM(AJ1070)&amp;TRIM(AL1070)&amp;TRIM(AK1070)</f>
      </c>
      <c r="AN1070" s="116">
        <v>429</v>
      </c>
      <c r="AO1070" s="116">
        <v>-7</v>
      </c>
      <c r="AP1070" s="116">
        <f>SUMIFS(M:M,AM:AM,AM1070)+SUMIFS(O:O,AM:AM,AM1070)</f>
      </c>
      <c r="AQ1070" s="116">
        <f>SUMIFS(L:L,AM:AM,AM1070)</f>
      </c>
      <c r="AR1070" s="116">
        <f>AQ1070-AP1070</f>
      </c>
      <c r="AS1070" s="94" t="str">
        <f>IF(AN1070&gt;=AQ1070,"ok","ck")</f>
      </c>
      <c r="AT1070" s="116">
        <f>-P1070</f>
      </c>
      <c r="AU1070" s="115">
        <f>IF(SUMIFS(AT:AT,AM:AM,AM1070)&gt;AO1070,(SUMIFS(AT:AT,AM:AM,AM1070)-AO1070))</f>
      </c>
      <c r="AV1070" s="116">
        <v>429</v>
      </c>
      <c r="AW1070" s="121">
        <v>1.017</v>
      </c>
      <c r="AX1070" s="115">
        <f>AN1070-AP1070</f>
      </c>
    </row>
    <row r="1071" spans="1:50" ht="15" hidden="1" customHeight="1" x14ac:dyDescent="0.3">
      <c r="A1071" s="94" t="s">
        <v>60</v>
      </c>
      <c r="B1071" s="94"/>
      <c r="C1071" s="94"/>
      <c r="D1071" s="94"/>
      <c r="E1071" s="94"/>
      <c r="F1071" s="94"/>
      <c r="G1071" s="112">
        <f>AU1071</f>
      </c>
      <c r="H1071" s="113"/>
      <c r="I1071" s="94" t="s">
        <v>70</v>
      </c>
      <c r="J1071" s="94" t="s">
        <v>118</v>
      </c>
      <c r="K1071" s="114">
        <f>P1071/3</f>
      </c>
      <c r="L1071" s="115">
        <v>-76.13</v>
      </c>
      <c r="M1071" s="116">
        <f>L1071</f>
      </c>
      <c r="N1071" s="117">
        <f>M1071-L1071</f>
      </c>
      <c r="O1071" s="112"/>
      <c r="P1071" s="118">
        <f>N1071+O1071</f>
      </c>
      <c r="Q1071" s="94" t="s">
        <v>117</v>
      </c>
      <c r="R1071" s="94" t="s">
        <v>63</v>
      </c>
      <c r="S1071" s="119">
        <v>46337</v>
      </c>
      <c r="T1071" s="119"/>
      <c r="U1071" s="119">
        <v>46337</v>
      </c>
      <c r="V1071" s="94"/>
      <c r="W1071" s="94"/>
      <c r="X1071" s="94"/>
      <c r="Y1071" s="119">
        <v>46326</v>
      </c>
      <c r="Z1071" s="94"/>
      <c r="AA1071" s="120"/>
      <c r="AB1071" s="120"/>
      <c r="AC1071" s="120"/>
      <c r="AD1071" s="120"/>
      <c r="AE1071" s="120"/>
      <c r="AF1071" s="120"/>
      <c r="AG1071" s="94"/>
      <c r="AH1071" s="120"/>
      <c r="AI1071" s="94"/>
      <c r="AJ1071" s="94" t="s">
        <v>117</v>
      </c>
      <c r="AK1071" s="94" t="s">
        <v>738</v>
      </c>
      <c r="AL1071" s="94">
        <v>140</v>
      </c>
      <c r="AM1071" s="94" t="str">
        <f>TRIM(AJ1071)&amp;TRIM(AL1071)&amp;TRIM(AK1071)</f>
      </c>
      <c r="AN1071" s="116">
        <v>3898</v>
      </c>
      <c r="AO1071" s="116">
        <v>-77</v>
      </c>
      <c r="AP1071" s="116">
        <f>SUMIFS(M:M,AM:AM,AM1071)+SUMIFS(O:O,AM:AM,AM1071)</f>
      </c>
      <c r="AQ1071" s="116">
        <f>SUMIFS(L:L,AM:AM,AM1071)</f>
      </c>
      <c r="AR1071" s="116">
        <f>AQ1071-AP1071</f>
      </c>
      <c r="AS1071" s="94" t="str">
        <f>IF(AN1071&gt;=AQ1071,"ok","ck")</f>
      </c>
      <c r="AT1071" s="116">
        <f>-P1071</f>
      </c>
      <c r="AU1071" s="115">
        <f>IF(SUMIFS(AT:AT,AM:AM,AM1071)&gt;AO1071,(SUMIFS(AT:AT,AM:AM,AM1071)-AO1071))</f>
      </c>
      <c r="AV1071" s="116">
        <v>3898</v>
      </c>
      <c r="AW1071" s="121">
        <v>1.02</v>
      </c>
      <c r="AX1071" s="115">
        <f>AN1071-AP1071</f>
      </c>
    </row>
    <row r="1072" spans="1:50" ht="15" hidden="1" customHeight="1" x14ac:dyDescent="0.3">
      <c r="A1072" s="94" t="s">
        <v>288</v>
      </c>
      <c r="B1072" s="94"/>
      <c r="C1072" s="94"/>
      <c r="D1072" s="94"/>
      <c r="E1072" s="94"/>
      <c r="F1072" s="94"/>
      <c r="G1072" s="112">
        <f>AU1072</f>
      </c>
      <c r="H1072" s="113"/>
      <c r="I1072" s="94" t="s">
        <v>297</v>
      </c>
      <c r="J1072" s="94" t="s">
        <v>358</v>
      </c>
      <c r="K1072" s="114">
        <f>P1072/3</f>
      </c>
      <c r="L1072" s="115">
        <v>0</v>
      </c>
      <c r="M1072" s="116"/>
      <c r="N1072" s="117">
        <f>M1072-L1072</f>
      </c>
      <c r="O1072" s="112"/>
      <c r="P1072" s="118">
        <f>N1072+O1072</f>
      </c>
      <c r="Q1072" s="94" t="s">
        <v>296</v>
      </c>
      <c r="R1072" s="94" t="s">
        <v>63</v>
      </c>
      <c r="S1072" s="119">
        <v>46320</v>
      </c>
      <c r="T1072" s="119"/>
      <c r="U1072" s="119">
        <v>46320</v>
      </c>
      <c r="V1072" s="94"/>
      <c r="W1072" s="94"/>
      <c r="X1072" s="94"/>
      <c r="Y1072" s="119">
        <v>46320</v>
      </c>
      <c r="Z1072" s="94"/>
      <c r="AA1072" s="120"/>
      <c r="AB1072" s="120"/>
      <c r="AC1072" s="120"/>
      <c r="AD1072" s="120"/>
      <c r="AE1072" s="120"/>
      <c r="AF1072" s="120"/>
      <c r="AG1072" s="94"/>
      <c r="AH1072" s="120"/>
      <c r="AI1072" s="94"/>
      <c r="AJ1072" s="94" t="s">
        <v>479</v>
      </c>
      <c r="AK1072" s="94" t="s">
        <v>359</v>
      </c>
      <c r="AL1072" s="94">
        <v>190</v>
      </c>
      <c r="AM1072" s="94" t="str">
        <f>TRIM(AJ1072)&amp;TRIM(AL1072)&amp;TRIM(AK1072)</f>
      </c>
      <c r="AN1072" s="116">
        <v>1822.8</v>
      </c>
      <c r="AO1072" s="116">
        <v>28.79</v>
      </c>
      <c r="AP1072" s="116">
        <f>SUMIFS(M:M,AM:AM,AM1072)+SUMIFS(O:O,AM:AM,AM1072)</f>
      </c>
      <c r="AQ1072" s="116">
        <f>SUMIFS(L:L,AM:AM,AM1072)</f>
      </c>
      <c r="AR1072" s="116">
        <f>AQ1072-AP1072</f>
      </c>
      <c r="AS1072" s="94" t="str">
        <f>IF(AN1072&gt;=AQ1072,"ok","ck")</f>
      </c>
      <c r="AT1072" s="116">
        <f>-P1072</f>
      </c>
      <c r="AU1072" s="115">
        <f>IF(SUMIFS(AT:AT,AM:AM,AM1072)&gt;AO1072,(SUMIFS(AT:AT,AM:AM,AM1072)-AO1072))</f>
      </c>
      <c r="AV1072" s="116">
        <v>1822.8</v>
      </c>
      <c r="AW1072" s="121">
        <v>0.984</v>
      </c>
      <c r="AX1072" s="115">
        <f>AN1072-AP1072</f>
      </c>
    </row>
    <row r="1073" spans="1:50" ht="15" hidden="1" customHeight="1" x14ac:dyDescent="0.3">
      <c r="A1073" s="94" t="s">
        <v>288</v>
      </c>
      <c r="B1073" s="94"/>
      <c r="C1073" s="94"/>
      <c r="D1073" s="94"/>
      <c r="E1073" s="94"/>
      <c r="F1073" s="94"/>
      <c r="G1073" s="112">
        <f>AU1073</f>
      </c>
      <c r="H1073" s="113"/>
      <c r="I1073" s="94" t="s">
        <v>297</v>
      </c>
      <c r="J1073" s="94" t="s">
        <v>358</v>
      </c>
      <c r="K1073" s="114">
        <f>P1073/3</f>
      </c>
      <c r="L1073" s="115">
        <v>0</v>
      </c>
      <c r="M1073" s="116"/>
      <c r="N1073" s="117">
        <f>M1073-L1073</f>
      </c>
      <c r="O1073" s="112"/>
      <c r="P1073" s="118">
        <f>N1073+O1073</f>
      </c>
      <c r="Q1073" s="94" t="s">
        <v>296</v>
      </c>
      <c r="R1073" s="94" t="s">
        <v>63</v>
      </c>
      <c r="S1073" s="119">
        <v>46322</v>
      </c>
      <c r="T1073" s="119"/>
      <c r="U1073" s="119">
        <v>46322</v>
      </c>
      <c r="V1073" s="94"/>
      <c r="W1073" s="94"/>
      <c r="X1073" s="94"/>
      <c r="Y1073" s="119">
        <v>46322</v>
      </c>
      <c r="Z1073" s="94"/>
      <c r="AA1073" s="120"/>
      <c r="AB1073" s="120"/>
      <c r="AC1073" s="120"/>
      <c r="AD1073" s="120"/>
      <c r="AE1073" s="120"/>
      <c r="AF1073" s="120"/>
      <c r="AG1073" s="94"/>
      <c r="AH1073" s="120"/>
      <c r="AI1073" s="94"/>
      <c r="AJ1073" s="94" t="s">
        <v>479</v>
      </c>
      <c r="AK1073" s="94" t="s">
        <v>359</v>
      </c>
      <c r="AL1073" s="94">
        <v>190</v>
      </c>
      <c r="AM1073" s="94" t="str">
        <f>TRIM(AJ1073)&amp;TRIM(AL1073)&amp;TRIM(AK1073)</f>
      </c>
      <c r="AN1073" s="116">
        <v>1822.8</v>
      </c>
      <c r="AO1073" s="116">
        <v>28.79</v>
      </c>
      <c r="AP1073" s="116">
        <f>SUMIFS(M:M,AM:AM,AM1073)+SUMIFS(O:O,AM:AM,AM1073)</f>
      </c>
      <c r="AQ1073" s="116">
        <f>SUMIFS(L:L,AM:AM,AM1073)</f>
      </c>
      <c r="AR1073" s="116">
        <f>AQ1073-AP1073</f>
      </c>
      <c r="AS1073" s="94" t="str">
        <f>IF(AN1073&gt;=AQ1073,"ok","ck")</f>
      </c>
      <c r="AT1073" s="116">
        <f>-P1073</f>
      </c>
      <c r="AU1073" s="115">
        <f>IF(SUMIFS(AT:AT,AM:AM,AM1073)&gt;AO1073,(SUMIFS(AT:AT,AM:AM,AM1073)-AO1073))</f>
      </c>
      <c r="AV1073" s="116">
        <v>1822.8</v>
      </c>
      <c r="AW1073" s="121">
        <v>0.984</v>
      </c>
      <c r="AX1073" s="115">
        <f>AN1073-AP1073</f>
      </c>
    </row>
    <row r="1074" spans="1:50" ht="15" hidden="1" customHeight="1" x14ac:dyDescent="0.3">
      <c r="A1074" s="94" t="s">
        <v>288</v>
      </c>
      <c r="B1074" s="94"/>
      <c r="C1074" s="94"/>
      <c r="D1074" s="94"/>
      <c r="E1074" s="94"/>
      <c r="F1074" s="94"/>
      <c r="G1074" s="112">
        <f>AU1074</f>
      </c>
      <c r="H1074" s="113"/>
      <c r="I1074" s="94" t="s">
        <v>297</v>
      </c>
      <c r="J1074" s="94" t="s">
        <v>358</v>
      </c>
      <c r="K1074" s="114">
        <f>P1074/3</f>
      </c>
      <c r="L1074" s="115">
        <v>0</v>
      </c>
      <c r="M1074" s="116"/>
      <c r="N1074" s="117">
        <f>M1074-L1074</f>
      </c>
      <c r="O1074" s="112"/>
      <c r="P1074" s="118">
        <f>N1074+O1074</f>
      </c>
      <c r="Q1074" s="94" t="s">
        <v>296</v>
      </c>
      <c r="R1074" s="94" t="s">
        <v>63</v>
      </c>
      <c r="S1074" s="119">
        <v>46331</v>
      </c>
      <c r="T1074" s="119"/>
      <c r="U1074" s="119">
        <v>46331</v>
      </c>
      <c r="V1074" s="94"/>
      <c r="W1074" s="94"/>
      <c r="X1074" s="94"/>
      <c r="Y1074" s="119">
        <v>46331</v>
      </c>
      <c r="Z1074" s="94"/>
      <c r="AA1074" s="120"/>
      <c r="AB1074" s="120"/>
      <c r="AC1074" s="120"/>
      <c r="AD1074" s="120"/>
      <c r="AE1074" s="120"/>
      <c r="AF1074" s="120"/>
      <c r="AG1074" s="94"/>
      <c r="AH1074" s="120"/>
      <c r="AI1074" s="94"/>
      <c r="AJ1074" s="94" t="s">
        <v>479</v>
      </c>
      <c r="AK1074" s="94" t="s">
        <v>359</v>
      </c>
      <c r="AL1074" s="94">
        <v>190</v>
      </c>
      <c r="AM1074" s="94" t="str">
        <f>TRIM(AJ1074)&amp;TRIM(AL1074)&amp;TRIM(AK1074)</f>
      </c>
      <c r="AN1074" s="116">
        <v>1822.8</v>
      </c>
      <c r="AO1074" s="116">
        <v>28.79</v>
      </c>
      <c r="AP1074" s="116">
        <f>SUMIFS(M:M,AM:AM,AM1074)+SUMIFS(O:O,AM:AM,AM1074)</f>
      </c>
      <c r="AQ1074" s="116">
        <f>SUMIFS(L:L,AM:AM,AM1074)</f>
      </c>
      <c r="AR1074" s="116">
        <f>AQ1074-AP1074</f>
      </c>
      <c r="AS1074" s="94" t="str">
        <f>IF(AN1074&gt;=AQ1074,"ok","ck")</f>
      </c>
      <c r="AT1074" s="116">
        <f>-P1074</f>
      </c>
      <c r="AU1074" s="115">
        <f>IF(SUMIFS(AT:AT,AM:AM,AM1074)&gt;AO1074,(SUMIFS(AT:AT,AM:AM,AM1074)-AO1074))</f>
      </c>
      <c r="AV1074" s="116">
        <v>1822.8</v>
      </c>
      <c r="AW1074" s="121">
        <v>0.984</v>
      </c>
      <c r="AX1074" s="115">
        <f>AN1074-AP1074</f>
      </c>
    </row>
    <row r="1075" spans="1:50" ht="15" hidden="1" customHeight="1" x14ac:dyDescent="0.3">
      <c r="A1075" s="94" t="s">
        <v>288</v>
      </c>
      <c r="B1075" s="94"/>
      <c r="C1075" s="94"/>
      <c r="D1075" s="94"/>
      <c r="E1075" s="94"/>
      <c r="F1075" s="94"/>
      <c r="G1075" s="112">
        <f>AU1075</f>
      </c>
      <c r="H1075" s="113"/>
      <c r="I1075" s="94" t="s">
        <v>297</v>
      </c>
      <c r="J1075" s="94" t="s">
        <v>358</v>
      </c>
      <c r="K1075" s="114">
        <f>P1075/3</f>
      </c>
      <c r="L1075" s="115">
        <v>0</v>
      </c>
      <c r="M1075" s="116"/>
      <c r="N1075" s="117">
        <f>M1075-L1075</f>
      </c>
      <c r="O1075" s="112"/>
      <c r="P1075" s="118">
        <f>N1075+O1075</f>
      </c>
      <c r="Q1075" s="94" t="s">
        <v>296</v>
      </c>
      <c r="R1075" s="94" t="s">
        <v>63</v>
      </c>
      <c r="S1075" s="119">
        <v>46343</v>
      </c>
      <c r="T1075" s="119"/>
      <c r="U1075" s="119">
        <v>46343</v>
      </c>
      <c r="V1075" s="94"/>
      <c r="W1075" s="94"/>
      <c r="X1075" s="94"/>
      <c r="Y1075" s="119">
        <v>46343</v>
      </c>
      <c r="Z1075" s="94"/>
      <c r="AA1075" s="120"/>
      <c r="AB1075" s="120"/>
      <c r="AC1075" s="120"/>
      <c r="AD1075" s="120"/>
      <c r="AE1075" s="120"/>
      <c r="AF1075" s="120"/>
      <c r="AG1075" s="94"/>
      <c r="AH1075" s="120"/>
      <c r="AI1075" s="94"/>
      <c r="AJ1075" s="94" t="s">
        <v>479</v>
      </c>
      <c r="AK1075" s="94" t="s">
        <v>359</v>
      </c>
      <c r="AL1075" s="94">
        <v>190</v>
      </c>
      <c r="AM1075" s="94" t="str">
        <f>TRIM(AJ1075)&amp;TRIM(AL1075)&amp;TRIM(AK1075)</f>
      </c>
      <c r="AN1075" s="116">
        <v>1822.8</v>
      </c>
      <c r="AO1075" s="116">
        <v>28.79</v>
      </c>
      <c r="AP1075" s="116">
        <f>SUMIFS(M:M,AM:AM,AM1075)+SUMIFS(O:O,AM:AM,AM1075)</f>
      </c>
      <c r="AQ1075" s="116">
        <f>SUMIFS(L:L,AM:AM,AM1075)</f>
      </c>
      <c r="AR1075" s="116">
        <f>AQ1075-AP1075</f>
      </c>
      <c r="AS1075" s="94" t="str">
        <f>IF(AN1075&gt;=AQ1075,"ok","ck")</f>
      </c>
      <c r="AT1075" s="116">
        <f>-P1075</f>
      </c>
      <c r="AU1075" s="115">
        <f>IF(SUMIFS(AT:AT,AM:AM,AM1075)&gt;AO1075,(SUMIFS(AT:AT,AM:AM,AM1075)-AO1075))</f>
      </c>
      <c r="AV1075" s="116">
        <v>1822.8</v>
      </c>
      <c r="AW1075" s="121">
        <v>0.984</v>
      </c>
      <c r="AX1075" s="115">
        <f>AN1075-AP1075</f>
      </c>
    </row>
    <row r="1076" spans="1:50" ht="15" hidden="1" customHeight="1" x14ac:dyDescent="0.3">
      <c r="A1076" s="94" t="s">
        <v>288</v>
      </c>
      <c r="B1076" s="94"/>
      <c r="C1076" s="94"/>
      <c r="D1076" s="94"/>
      <c r="E1076" s="94"/>
      <c r="F1076" s="94"/>
      <c r="G1076" s="112">
        <f>AU1076</f>
      </c>
      <c r="H1076" s="113"/>
      <c r="I1076" s="94" t="s">
        <v>297</v>
      </c>
      <c r="J1076" s="94" t="s">
        <v>301</v>
      </c>
      <c r="K1076" s="114">
        <f>P1076/3</f>
      </c>
      <c r="L1076" s="115">
        <v>0</v>
      </c>
      <c r="M1076" s="116"/>
      <c r="N1076" s="117">
        <f>M1076-L1076</f>
      </c>
      <c r="O1076" s="112"/>
      <c r="P1076" s="118">
        <f>N1076+O1076</f>
      </c>
      <c r="Q1076" s="94" t="s">
        <v>296</v>
      </c>
      <c r="R1076" s="94" t="s">
        <v>63</v>
      </c>
      <c r="S1076" s="119">
        <v>46340</v>
      </c>
      <c r="T1076" s="119"/>
      <c r="U1076" s="119">
        <v>46340</v>
      </c>
      <c r="V1076" s="94"/>
      <c r="W1076" s="94"/>
      <c r="X1076" s="94"/>
      <c r="Y1076" s="119">
        <v>46340</v>
      </c>
      <c r="Z1076" s="94"/>
      <c r="AA1076" s="120"/>
      <c r="AB1076" s="120"/>
      <c r="AC1076" s="120"/>
      <c r="AD1076" s="120"/>
      <c r="AE1076" s="120"/>
      <c r="AF1076" s="120"/>
      <c r="AG1076" s="94"/>
      <c r="AH1076" s="120"/>
      <c r="AI1076" s="94"/>
      <c r="AJ1076" s="94" t="s">
        <v>479</v>
      </c>
      <c r="AK1076" s="94" t="s">
        <v>302</v>
      </c>
      <c r="AL1076" s="94">
        <v>190</v>
      </c>
      <c r="AM1076" s="94" t="str">
        <f>TRIM(AJ1076)&amp;TRIM(AL1076)&amp;TRIM(AK1076)</f>
      </c>
      <c r="AN1076" s="116">
        <v>1657.82</v>
      </c>
      <c r="AO1076" s="116">
        <v>193.77</v>
      </c>
      <c r="AP1076" s="116">
        <f>SUMIFS(M:M,AM:AM,AM1076)+SUMIFS(O:O,AM:AM,AM1076)</f>
      </c>
      <c r="AQ1076" s="116">
        <f>SUMIFS(L:L,AM:AM,AM1076)</f>
      </c>
      <c r="AR1076" s="116">
        <f>AQ1076-AP1076</f>
      </c>
      <c r="AS1076" s="94" t="str">
        <f>IF(AN1076&gt;=AQ1076,"ok","ck")</f>
      </c>
      <c r="AT1076" s="116">
        <f>-P1076</f>
      </c>
      <c r="AU1076" s="115">
        <f>IF(SUMIFS(AT:AT,AM:AM,AM1076)&gt;AO1076,(SUMIFS(AT:AT,AM:AM,AM1076)-AO1076))</f>
      </c>
      <c r="AV1076" s="116">
        <v>1657.82</v>
      </c>
      <c r="AW1076" s="121">
        <v>0.895</v>
      </c>
      <c r="AX1076" s="115">
        <f>AN1076-AP1076</f>
      </c>
    </row>
    <row r="1077" spans="1:50" ht="15" hidden="1" customHeight="1" x14ac:dyDescent="0.3">
      <c r="A1077" s="94" t="s">
        <v>288</v>
      </c>
      <c r="B1077" s="94"/>
      <c r="C1077" s="94"/>
      <c r="D1077" s="94"/>
      <c r="E1077" s="94"/>
      <c r="F1077" s="94"/>
      <c r="G1077" s="112">
        <f>AU1077</f>
      </c>
      <c r="H1077" s="113"/>
      <c r="I1077" s="94" t="s">
        <v>289</v>
      </c>
      <c r="J1077" s="94" t="s">
        <v>380</v>
      </c>
      <c r="K1077" s="114">
        <f>P1077/3</f>
      </c>
      <c r="L1077" s="115">
        <v>-3.6110000000000002</v>
      </c>
      <c r="M1077" s="116">
        <f>L1077</f>
      </c>
      <c r="N1077" s="117">
        <f>M1077-L1077</f>
      </c>
      <c r="O1077" s="112"/>
      <c r="P1077" s="118">
        <f>N1077+O1077</f>
      </c>
      <c r="Q1077" s="94" t="s">
        <v>299</v>
      </c>
      <c r="R1077" s="94" t="s">
        <v>63</v>
      </c>
      <c r="S1077" s="119">
        <v>46320</v>
      </c>
      <c r="T1077" s="119"/>
      <c r="U1077" s="119">
        <v>46320</v>
      </c>
      <c r="V1077" s="94"/>
      <c r="W1077" s="94"/>
      <c r="X1077" s="94"/>
      <c r="Y1077" s="119">
        <v>46320</v>
      </c>
      <c r="Z1077" s="94"/>
      <c r="AA1077" s="120"/>
      <c r="AB1077" s="120"/>
      <c r="AC1077" s="120"/>
      <c r="AD1077" s="120"/>
      <c r="AE1077" s="120"/>
      <c r="AF1077" s="120"/>
      <c r="AG1077" s="94"/>
      <c r="AH1077" s="120"/>
      <c r="AI1077" s="94"/>
      <c r="AJ1077" s="94" t="s">
        <v>478</v>
      </c>
      <c r="AK1077" s="94" t="s">
        <v>357</v>
      </c>
      <c r="AL1077" s="94">
        <v>235</v>
      </c>
      <c r="AM1077" s="94" t="str">
        <f>TRIM(AJ1077)&amp;TRIM(AL1077)&amp;TRIM(AK1077)</f>
      </c>
      <c r="AN1077" s="116">
        <v>2376</v>
      </c>
      <c r="AO1077" s="116">
        <v>-38.76</v>
      </c>
      <c r="AP1077" s="116">
        <f>SUMIFS(M:M,AM:AM,AM1077)+SUMIFS(O:O,AM:AM,AM1077)</f>
      </c>
      <c r="AQ1077" s="116">
        <f>SUMIFS(L:L,AM:AM,AM1077)</f>
      </c>
      <c r="AR1077" s="116">
        <f>AQ1077-AP1077</f>
      </c>
      <c r="AS1077" s="94" t="str">
        <f>IF(AN1077&gt;=AQ1077,"ok","ck")</f>
      </c>
      <c r="AT1077" s="116">
        <f>-P1077</f>
      </c>
      <c r="AU1077" s="115">
        <f>IF(SUMIFS(AT:AT,AM:AM,AM1077)&gt;AO1077,(SUMIFS(AT:AT,AM:AM,AM1077)-AO1077))</f>
      </c>
      <c r="AV1077" s="116">
        <v>2376</v>
      </c>
      <c r="AW1077" s="121">
        <v>1.017</v>
      </c>
      <c r="AX1077" s="115">
        <f>AN1077-AP1077</f>
      </c>
    </row>
    <row r="1078" spans="1:50" ht="15" hidden="1" customHeight="1" x14ac:dyDescent="0.3">
      <c r="A1078" s="94" t="s">
        <v>288</v>
      </c>
      <c r="B1078" s="94"/>
      <c r="C1078" s="94"/>
      <c r="D1078" s="94"/>
      <c r="E1078" s="94"/>
      <c r="F1078" s="94"/>
      <c r="G1078" s="112">
        <f>AU1078</f>
      </c>
      <c r="H1078" s="113"/>
      <c r="I1078" s="94" t="s">
        <v>289</v>
      </c>
      <c r="J1078" s="94" t="s">
        <v>380</v>
      </c>
      <c r="K1078" s="114">
        <f>P1078/3</f>
      </c>
      <c r="L1078" s="115">
        <v>-3.07</v>
      </c>
      <c r="M1078" s="116">
        <f>L1078</f>
      </c>
      <c r="N1078" s="117">
        <f>M1078-L1078</f>
      </c>
      <c r="O1078" s="112"/>
      <c r="P1078" s="118">
        <f>N1078+O1078</f>
      </c>
      <c r="Q1078" s="94" t="s">
        <v>299</v>
      </c>
      <c r="R1078" s="94" t="s">
        <v>63</v>
      </c>
      <c r="S1078" s="119">
        <v>46320</v>
      </c>
      <c r="T1078" s="119"/>
      <c r="U1078" s="119">
        <v>46320</v>
      </c>
      <c r="V1078" s="94"/>
      <c r="W1078" s="94"/>
      <c r="X1078" s="94"/>
      <c r="Y1078" s="119">
        <v>46320</v>
      </c>
      <c r="Z1078" s="94"/>
      <c r="AA1078" s="120"/>
      <c r="AB1078" s="120"/>
      <c r="AC1078" s="120"/>
      <c r="AD1078" s="120"/>
      <c r="AE1078" s="120"/>
      <c r="AF1078" s="120"/>
      <c r="AG1078" s="94"/>
      <c r="AH1078" s="120"/>
      <c r="AI1078" s="94"/>
      <c r="AJ1078" s="94" t="s">
        <v>478</v>
      </c>
      <c r="AK1078" s="94" t="s">
        <v>357</v>
      </c>
      <c r="AL1078" s="94">
        <v>235</v>
      </c>
      <c r="AM1078" s="94" t="str">
        <f>TRIM(AJ1078)&amp;TRIM(AL1078)&amp;TRIM(AK1078)</f>
      </c>
      <c r="AN1078" s="116">
        <v>2376</v>
      </c>
      <c r="AO1078" s="116">
        <v>-38.76</v>
      </c>
      <c r="AP1078" s="116">
        <f>SUMIFS(M:M,AM:AM,AM1078)+SUMIFS(O:O,AM:AM,AM1078)</f>
      </c>
      <c r="AQ1078" s="116">
        <f>SUMIFS(L:L,AM:AM,AM1078)</f>
      </c>
      <c r="AR1078" s="116">
        <f>AQ1078-AP1078</f>
      </c>
      <c r="AS1078" s="94" t="str">
        <f>IF(AN1078&gt;=AQ1078,"ok","ck")</f>
      </c>
      <c r="AT1078" s="116">
        <f>-P1078</f>
      </c>
      <c r="AU1078" s="115">
        <f>IF(SUMIFS(AT:AT,AM:AM,AM1078)&gt;AO1078,(SUMIFS(AT:AT,AM:AM,AM1078)-AO1078))</f>
      </c>
      <c r="AV1078" s="116">
        <v>2376</v>
      </c>
      <c r="AW1078" s="121">
        <v>1.017</v>
      </c>
      <c r="AX1078" s="115">
        <f>AN1078-AP1078</f>
      </c>
    </row>
    <row r="1079" spans="1:50" ht="15" hidden="1" customHeight="1" x14ac:dyDescent="0.3">
      <c r="A1079" s="94" t="s">
        <v>288</v>
      </c>
      <c r="B1079" s="94"/>
      <c r="C1079" s="94"/>
      <c r="D1079" s="94"/>
      <c r="E1079" s="94"/>
      <c r="F1079" s="94"/>
      <c r="G1079" s="112">
        <f>AU1079</f>
      </c>
      <c r="H1079" s="113"/>
      <c r="I1079" s="94" t="s">
        <v>289</v>
      </c>
      <c r="J1079" s="94" t="s">
        <v>380</v>
      </c>
      <c r="K1079" s="114">
        <f>P1079/3</f>
      </c>
      <c r="L1079" s="115">
        <v>-2.528</v>
      </c>
      <c r="M1079" s="116">
        <f>L1079</f>
      </c>
      <c r="N1079" s="117">
        <f>M1079-L1079</f>
      </c>
      <c r="O1079" s="112"/>
      <c r="P1079" s="118">
        <f>N1079+O1079</f>
      </c>
      <c r="Q1079" s="94" t="s">
        <v>299</v>
      </c>
      <c r="R1079" s="94" t="s">
        <v>63</v>
      </c>
      <c r="S1079" s="119">
        <v>46324</v>
      </c>
      <c r="T1079" s="119"/>
      <c r="U1079" s="119">
        <v>46324</v>
      </c>
      <c r="V1079" s="94"/>
      <c r="W1079" s="94"/>
      <c r="X1079" s="94"/>
      <c r="Y1079" s="119">
        <v>46324</v>
      </c>
      <c r="Z1079" s="94"/>
      <c r="AA1079" s="120"/>
      <c r="AB1079" s="120"/>
      <c r="AC1079" s="120"/>
      <c r="AD1079" s="120"/>
      <c r="AE1079" s="120"/>
      <c r="AF1079" s="120"/>
      <c r="AG1079" s="94"/>
      <c r="AH1079" s="120"/>
      <c r="AI1079" s="94"/>
      <c r="AJ1079" s="94" t="s">
        <v>478</v>
      </c>
      <c r="AK1079" s="94" t="s">
        <v>357</v>
      </c>
      <c r="AL1079" s="94">
        <v>235</v>
      </c>
      <c r="AM1079" s="94" t="str">
        <f>TRIM(AJ1079)&amp;TRIM(AL1079)&amp;TRIM(AK1079)</f>
      </c>
      <c r="AN1079" s="116">
        <v>2376</v>
      </c>
      <c r="AO1079" s="116">
        <v>-38.76</v>
      </c>
      <c r="AP1079" s="116">
        <f>SUMIFS(M:M,AM:AM,AM1079)+SUMIFS(O:O,AM:AM,AM1079)</f>
      </c>
      <c r="AQ1079" s="116">
        <f>SUMIFS(L:L,AM:AM,AM1079)</f>
      </c>
      <c r="AR1079" s="116">
        <f>AQ1079-AP1079</f>
      </c>
      <c r="AS1079" s="94" t="str">
        <f>IF(AN1079&gt;=AQ1079,"ok","ck")</f>
      </c>
      <c r="AT1079" s="116">
        <f>-P1079</f>
      </c>
      <c r="AU1079" s="115">
        <f>IF(SUMIFS(AT:AT,AM:AM,AM1079)&gt;AO1079,(SUMIFS(AT:AT,AM:AM,AM1079)-AO1079))</f>
      </c>
      <c r="AV1079" s="116">
        <v>2376</v>
      </c>
      <c r="AW1079" s="121">
        <v>1.017</v>
      </c>
      <c r="AX1079" s="115">
        <f>AN1079-AP1079</f>
      </c>
    </row>
    <row r="1080" spans="1:50" ht="15" hidden="1" customHeight="1" x14ac:dyDescent="0.3">
      <c r="A1080" s="94" t="s">
        <v>288</v>
      </c>
      <c r="B1080" s="94"/>
      <c r="C1080" s="94"/>
      <c r="D1080" s="94"/>
      <c r="E1080" s="94"/>
      <c r="F1080" s="94"/>
      <c r="G1080" s="112">
        <f>AU1080</f>
      </c>
      <c r="H1080" s="113"/>
      <c r="I1080" s="94" t="s">
        <v>289</v>
      </c>
      <c r="J1080" s="94" t="s">
        <v>303</v>
      </c>
      <c r="K1080" s="114">
        <f>P1080/3</f>
      </c>
      <c r="L1080" s="115">
        <v>-0.32700000000000001</v>
      </c>
      <c r="M1080" s="116">
        <f>L1080</f>
      </c>
      <c r="N1080" s="117">
        <f>M1080-L1080</f>
      </c>
      <c r="O1080" s="112"/>
      <c r="P1080" s="118">
        <f>N1080+O1080</f>
      </c>
      <c r="Q1080" s="94" t="s">
        <v>299</v>
      </c>
      <c r="R1080" s="94" t="s">
        <v>63</v>
      </c>
      <c r="S1080" s="119">
        <v>46334</v>
      </c>
      <c r="T1080" s="119"/>
      <c r="U1080" s="119">
        <v>46334</v>
      </c>
      <c r="V1080" s="94"/>
      <c r="W1080" s="94"/>
      <c r="X1080" s="94"/>
      <c r="Y1080" s="119">
        <v>46334</v>
      </c>
      <c r="Z1080" s="94"/>
      <c r="AA1080" s="120"/>
      <c r="AB1080" s="120"/>
      <c r="AC1080" s="120"/>
      <c r="AD1080" s="120"/>
      <c r="AE1080" s="120"/>
      <c r="AF1080" s="120"/>
      <c r="AG1080" s="94"/>
      <c r="AH1080" s="120"/>
      <c r="AI1080" s="94"/>
      <c r="AJ1080" s="94" t="s">
        <v>478</v>
      </c>
      <c r="AK1080" s="94" t="s">
        <v>304</v>
      </c>
      <c r="AL1080" s="94">
        <v>235</v>
      </c>
      <c r="AM1080" s="94" t="str">
        <f>TRIM(AJ1080)&amp;TRIM(AL1080)&amp;TRIM(AK1080)</f>
      </c>
      <c r="AN1080" s="116">
        <v>179.69</v>
      </c>
      <c r="AO1080" s="116">
        <v>-10.17</v>
      </c>
      <c r="AP1080" s="116">
        <f>SUMIFS(M:M,AM:AM,AM1080)+SUMIFS(O:O,AM:AM,AM1080)</f>
      </c>
      <c r="AQ1080" s="116">
        <f>SUMIFS(L:L,AM:AM,AM1080)</f>
      </c>
      <c r="AR1080" s="116">
        <f>AQ1080-AP1080</f>
      </c>
      <c r="AS1080" s="94" t="str">
        <f>IF(AN1080&gt;=AQ1080,"ok","ck")</f>
      </c>
      <c r="AT1080" s="116">
        <f>-P1080</f>
      </c>
      <c r="AU1080" s="115">
        <f>IF(SUMIFS(AT:AT,AM:AM,AM1080)&gt;AO1080,(SUMIFS(AT:AT,AM:AM,AM1080)-AO1080))</f>
      </c>
      <c r="AV1080" s="116">
        <v>179.69</v>
      </c>
      <c r="AW1080" s="121">
        <v>1.06</v>
      </c>
      <c r="AX1080" s="115">
        <f>AN1080-AP1080</f>
      </c>
    </row>
    <row r="1081" spans="1:50" ht="15" hidden="1" customHeight="1" x14ac:dyDescent="0.3">
      <c r="A1081" s="94" t="s">
        <v>288</v>
      </c>
      <c r="B1081" s="94"/>
      <c r="C1081" s="94"/>
      <c r="D1081" s="94"/>
      <c r="E1081" s="94"/>
      <c r="F1081" s="94"/>
      <c r="G1081" s="112">
        <f>AU1081</f>
      </c>
      <c r="H1081" s="113"/>
      <c r="I1081" s="94" t="s">
        <v>289</v>
      </c>
      <c r="J1081" s="94" t="s">
        <v>303</v>
      </c>
      <c r="K1081" s="114">
        <f>P1081/3</f>
      </c>
      <c r="L1081" s="115">
        <v>-2.3039999999999998</v>
      </c>
      <c r="M1081" s="116">
        <f>L1081</f>
      </c>
      <c r="N1081" s="117">
        <f>M1081-L1081</f>
      </c>
      <c r="O1081" s="112"/>
      <c r="P1081" s="118">
        <f>N1081+O1081</f>
      </c>
      <c r="Q1081" s="94" t="s">
        <v>299</v>
      </c>
      <c r="R1081" s="94" t="s">
        <v>63</v>
      </c>
      <c r="S1081" s="119">
        <v>46320</v>
      </c>
      <c r="T1081" s="119"/>
      <c r="U1081" s="119">
        <v>46320</v>
      </c>
      <c r="V1081" s="94"/>
      <c r="W1081" s="94"/>
      <c r="X1081" s="94"/>
      <c r="Y1081" s="119">
        <v>46320</v>
      </c>
      <c r="Z1081" s="94"/>
      <c r="AA1081" s="120"/>
      <c r="AB1081" s="120"/>
      <c r="AC1081" s="120"/>
      <c r="AD1081" s="120"/>
      <c r="AE1081" s="120"/>
      <c r="AF1081" s="120"/>
      <c r="AG1081" s="94"/>
      <c r="AH1081" s="120"/>
      <c r="AI1081" s="94"/>
      <c r="AJ1081" s="94" t="s">
        <v>478</v>
      </c>
      <c r="AK1081" s="94" t="s">
        <v>304</v>
      </c>
      <c r="AL1081" s="94">
        <v>235</v>
      </c>
      <c r="AM1081" s="94" t="str">
        <f>TRIM(AJ1081)&amp;TRIM(AL1081)&amp;TRIM(AK1081)</f>
      </c>
      <c r="AN1081" s="116">
        <v>179.69</v>
      </c>
      <c r="AO1081" s="116">
        <v>-10.17</v>
      </c>
      <c r="AP1081" s="116">
        <f>SUMIFS(M:M,AM:AM,AM1081)+SUMIFS(O:O,AM:AM,AM1081)</f>
      </c>
      <c r="AQ1081" s="116">
        <f>SUMIFS(L:L,AM:AM,AM1081)</f>
      </c>
      <c r="AR1081" s="116">
        <f>AQ1081-AP1081</f>
      </c>
      <c r="AS1081" s="94" t="str">
        <f>IF(AN1081&gt;=AQ1081,"ok","ck")</f>
      </c>
      <c r="AT1081" s="116">
        <f>-P1081</f>
      </c>
      <c r="AU1081" s="115">
        <f>IF(SUMIFS(AT:AT,AM:AM,AM1081)&gt;AO1081,(SUMIFS(AT:AT,AM:AM,AM1081)-AO1081))</f>
      </c>
      <c r="AV1081" s="116">
        <v>179.69</v>
      </c>
      <c r="AW1081" s="121">
        <v>1.06</v>
      </c>
      <c r="AX1081" s="115">
        <f>AN1081-AP1081</f>
      </c>
    </row>
    <row r="1082" spans="1:50" ht="15" hidden="1" customHeight="1" x14ac:dyDescent="0.3">
      <c r="A1082" s="94" t="s">
        <v>60</v>
      </c>
      <c r="B1082" s="94"/>
      <c r="C1082" s="94"/>
      <c r="D1082" s="94"/>
      <c r="E1082" s="94"/>
      <c r="F1082" s="94"/>
      <c r="G1082" s="112">
        <f>AU1082</f>
      </c>
      <c r="H1082" s="113"/>
      <c r="I1082" s="94" t="s">
        <v>65</v>
      </c>
      <c r="J1082" s="94" t="s">
        <v>565</v>
      </c>
      <c r="K1082" s="114">
        <f>P1082/3</f>
      </c>
      <c r="L1082" s="115">
        <v>0</v>
      </c>
      <c r="M1082" s="116">
        <f>L1082</f>
      </c>
      <c r="N1082" s="117">
        <f>M1082-L1082</f>
      </c>
      <c r="O1082" s="112"/>
      <c r="P1082" s="118">
        <f>N1082+O1082</f>
      </c>
      <c r="Q1082" s="94" t="s">
        <v>791</v>
      </c>
      <c r="R1082" s="94" t="s">
        <v>63</v>
      </c>
      <c r="S1082" s="119">
        <v>46337</v>
      </c>
      <c r="T1082" s="119"/>
      <c r="U1082" s="119">
        <v>46337</v>
      </c>
      <c r="V1082" s="94"/>
      <c r="W1082" s="94"/>
      <c r="X1082" s="94"/>
      <c r="Y1082" s="119">
        <v>46335</v>
      </c>
      <c r="Z1082" s="94"/>
      <c r="AA1082" s="120"/>
      <c r="AB1082" s="120"/>
      <c r="AC1082" s="120"/>
      <c r="AD1082" s="120"/>
      <c r="AE1082" s="120"/>
      <c r="AF1082" s="120"/>
      <c r="AG1082" s="94"/>
      <c r="AH1082" s="120"/>
      <c r="AI1082" s="94"/>
      <c r="AJ1082" s="94" t="s">
        <v>791</v>
      </c>
      <c r="AK1082" s="94" t="s">
        <v>538</v>
      </c>
      <c r="AL1082" s="94">
        <v>110</v>
      </c>
      <c r="AM1082" s="94" t="str">
        <f>TRIM(AJ1082)&amp;TRIM(AL1082)&amp;TRIM(AK1082)</f>
      </c>
      <c r="AN1082" s="116">
        <v>280</v>
      </c>
      <c r="AO1082" s="116">
        <v>2.12</v>
      </c>
      <c r="AP1082" s="116">
        <f>SUMIFS(M:M,AM:AM,AM1082)+SUMIFS(O:O,AM:AM,AM1082)</f>
      </c>
      <c r="AQ1082" s="116">
        <f>SUMIFS(L:L,AM:AM,AM1082)</f>
      </c>
      <c r="AR1082" s="116">
        <f>AQ1082-AP1082</f>
      </c>
      <c r="AS1082" s="94" t="str">
        <f>IF(AN1082&gt;=AQ1082,"ok","ck")</f>
      </c>
      <c r="AT1082" s="116">
        <f>-P1082</f>
      </c>
      <c r="AU1082" s="115">
        <f>IF(SUMIFS(AT:AT,AM:AM,AM1082)&gt;AO1082,(SUMIFS(AT:AT,AM:AM,AM1082)-AO1082))</f>
      </c>
      <c r="AV1082" s="116">
        <v>280</v>
      </c>
      <c r="AW1082" s="121">
        <v>0.992</v>
      </c>
      <c r="AX1082" s="115">
        <f>AN1082-AP1082</f>
      </c>
    </row>
    <row r="1083" spans="1:50" ht="15" hidden="1" customHeight="1" x14ac:dyDescent="0.3">
      <c r="A1083" s="94" t="s">
        <v>60</v>
      </c>
      <c r="B1083" s="94"/>
      <c r="C1083" s="94"/>
      <c r="D1083" s="94"/>
      <c r="E1083" s="94"/>
      <c r="F1083" s="94"/>
      <c r="G1083" s="112">
        <f>AU1083</f>
      </c>
      <c r="H1083" s="113"/>
      <c r="I1083" s="94" t="s">
        <v>65</v>
      </c>
      <c r="J1083" s="94" t="s">
        <v>565</v>
      </c>
      <c r="K1083" s="114">
        <f>P1083/3</f>
      </c>
      <c r="L1083" s="115">
        <v>0</v>
      </c>
      <c r="M1083" s="116">
        <f>L1083</f>
      </c>
      <c r="N1083" s="117">
        <f>M1083-L1083</f>
      </c>
      <c r="O1083" s="112"/>
      <c r="P1083" s="118">
        <f>N1083+O1083</f>
      </c>
      <c r="Q1083" s="94" t="s">
        <v>791</v>
      </c>
      <c r="R1083" s="94" t="s">
        <v>63</v>
      </c>
      <c r="S1083" s="119">
        <v>46337</v>
      </c>
      <c r="T1083" s="119"/>
      <c r="U1083" s="119">
        <v>46337</v>
      </c>
      <c r="V1083" s="94"/>
      <c r="W1083" s="94"/>
      <c r="X1083" s="94"/>
      <c r="Y1083" s="119">
        <v>46327</v>
      </c>
      <c r="Z1083" s="94"/>
      <c r="AA1083" s="120"/>
      <c r="AB1083" s="120"/>
      <c r="AC1083" s="120"/>
      <c r="AD1083" s="120"/>
      <c r="AE1083" s="120"/>
      <c r="AF1083" s="120"/>
      <c r="AG1083" s="94"/>
      <c r="AH1083" s="120"/>
      <c r="AI1083" s="94"/>
      <c r="AJ1083" s="94" t="s">
        <v>791</v>
      </c>
      <c r="AK1083" s="94" t="s">
        <v>538</v>
      </c>
      <c r="AL1083" s="94">
        <v>110</v>
      </c>
      <c r="AM1083" s="94" t="str">
        <f>TRIM(AJ1083)&amp;TRIM(AL1083)&amp;TRIM(AK1083)</f>
      </c>
      <c r="AN1083" s="116">
        <v>280</v>
      </c>
      <c r="AO1083" s="116">
        <v>2.12</v>
      </c>
      <c r="AP1083" s="116">
        <f>SUMIFS(M:M,AM:AM,AM1083)+SUMIFS(O:O,AM:AM,AM1083)</f>
      </c>
      <c r="AQ1083" s="116">
        <f>SUMIFS(L:L,AM:AM,AM1083)</f>
      </c>
      <c r="AR1083" s="116">
        <f>AQ1083-AP1083</f>
      </c>
      <c r="AS1083" s="94" t="str">
        <f>IF(AN1083&gt;=AQ1083,"ok","ck")</f>
      </c>
      <c r="AT1083" s="116">
        <f>-P1083</f>
      </c>
      <c r="AU1083" s="115">
        <f>IF(SUMIFS(AT:AT,AM:AM,AM1083)&gt;AO1083,(SUMIFS(AT:AT,AM:AM,AM1083)-AO1083))</f>
      </c>
      <c r="AV1083" s="116">
        <v>280</v>
      </c>
      <c r="AW1083" s="121">
        <v>0.992</v>
      </c>
      <c r="AX1083" s="115">
        <f>AN1083-AP1083</f>
      </c>
    </row>
    <row r="1084" spans="1:50" ht="15" hidden="1" customHeight="1" x14ac:dyDescent="0.3">
      <c r="A1084" s="94" t="s">
        <v>60</v>
      </c>
      <c r="B1084" s="94"/>
      <c r="C1084" s="94"/>
      <c r="D1084" s="94"/>
      <c r="E1084" s="94"/>
      <c r="F1084" s="94"/>
      <c r="G1084" s="112">
        <f>AU1084</f>
      </c>
      <c r="H1084" s="113"/>
      <c r="I1084" s="94" t="s">
        <v>65</v>
      </c>
      <c r="J1084" s="94" t="s">
        <v>565</v>
      </c>
      <c r="K1084" s="114">
        <f>P1084/3</f>
      </c>
      <c r="L1084" s="115">
        <v>0</v>
      </c>
      <c r="M1084" s="116">
        <f>L1084</f>
      </c>
      <c r="N1084" s="117">
        <f>M1084-L1084</f>
      </c>
      <c r="O1084" s="112"/>
      <c r="P1084" s="118">
        <f>N1084+O1084</f>
      </c>
      <c r="Q1084" s="94" t="s">
        <v>791</v>
      </c>
      <c r="R1084" s="94" t="s">
        <v>63</v>
      </c>
      <c r="S1084" s="119">
        <v>46337</v>
      </c>
      <c r="T1084" s="119"/>
      <c r="U1084" s="119">
        <v>46337</v>
      </c>
      <c r="V1084" s="94"/>
      <c r="W1084" s="94"/>
      <c r="X1084" s="94"/>
      <c r="Y1084" s="119">
        <v>46331</v>
      </c>
      <c r="Z1084" s="94"/>
      <c r="AA1084" s="120"/>
      <c r="AB1084" s="120"/>
      <c r="AC1084" s="120"/>
      <c r="AD1084" s="120"/>
      <c r="AE1084" s="120"/>
      <c r="AF1084" s="120"/>
      <c r="AG1084" s="94"/>
      <c r="AH1084" s="120"/>
      <c r="AI1084" s="94"/>
      <c r="AJ1084" s="94" t="s">
        <v>791</v>
      </c>
      <c r="AK1084" s="94" t="s">
        <v>538</v>
      </c>
      <c r="AL1084" s="94">
        <v>110</v>
      </c>
      <c r="AM1084" s="94" t="str">
        <f>TRIM(AJ1084)&amp;TRIM(AL1084)&amp;TRIM(AK1084)</f>
      </c>
      <c r="AN1084" s="116">
        <v>280</v>
      </c>
      <c r="AO1084" s="116">
        <v>2.12</v>
      </c>
      <c r="AP1084" s="116">
        <f>SUMIFS(M:M,AM:AM,AM1084)+SUMIFS(O:O,AM:AM,AM1084)</f>
      </c>
      <c r="AQ1084" s="116">
        <f>SUMIFS(L:L,AM:AM,AM1084)</f>
      </c>
      <c r="AR1084" s="116">
        <f>AQ1084-AP1084</f>
      </c>
      <c r="AS1084" s="94" t="str">
        <f>IF(AN1084&gt;=AQ1084,"ok","ck")</f>
      </c>
      <c r="AT1084" s="116">
        <f>-P1084</f>
      </c>
      <c r="AU1084" s="115">
        <f>IF(SUMIFS(AT:AT,AM:AM,AM1084)&gt;AO1084,(SUMIFS(AT:AT,AM:AM,AM1084)-AO1084))</f>
      </c>
      <c r="AV1084" s="116">
        <v>280</v>
      </c>
      <c r="AW1084" s="121">
        <v>0.992</v>
      </c>
      <c r="AX1084" s="115">
        <f>AN1084-AP1084</f>
      </c>
    </row>
    <row r="1085" spans="1:50" ht="15" hidden="1" customHeight="1" x14ac:dyDescent="0.3">
      <c r="A1085" s="94" t="s">
        <v>60</v>
      </c>
      <c r="B1085" s="94"/>
      <c r="C1085" s="94"/>
      <c r="D1085" s="94"/>
      <c r="E1085" s="94"/>
      <c r="F1085" s="94"/>
      <c r="G1085" s="112">
        <f>AU1085</f>
      </c>
      <c r="H1085" s="113"/>
      <c r="I1085" s="94" t="s">
        <v>65</v>
      </c>
      <c r="J1085" s="94" t="s">
        <v>539</v>
      </c>
      <c r="K1085" s="114">
        <f>P1085/3</f>
      </c>
      <c r="L1085" s="115">
        <v>0.24</v>
      </c>
      <c r="M1085" s="116"/>
      <c r="N1085" s="117">
        <f>M1085-L1085</f>
      </c>
      <c r="O1085" s="112"/>
      <c r="P1085" s="118">
        <f>N1085+O1085</f>
      </c>
      <c r="Q1085" s="94" t="s">
        <v>791</v>
      </c>
      <c r="R1085" s="94" t="s">
        <v>63</v>
      </c>
      <c r="S1085" s="119">
        <v>46337</v>
      </c>
      <c r="T1085" s="119"/>
      <c r="U1085" s="119">
        <v>46337</v>
      </c>
      <c r="V1085" s="94"/>
      <c r="W1085" s="94"/>
      <c r="X1085" s="94"/>
      <c r="Y1085" s="119">
        <v>46335</v>
      </c>
      <c r="Z1085" s="94"/>
      <c r="AA1085" s="120"/>
      <c r="AB1085" s="120"/>
      <c r="AC1085" s="120"/>
      <c r="AD1085" s="120"/>
      <c r="AE1085" s="120"/>
      <c r="AF1085" s="120"/>
      <c r="AG1085" s="94"/>
      <c r="AH1085" s="120"/>
      <c r="AI1085" s="94"/>
      <c r="AJ1085" s="94" t="s">
        <v>791</v>
      </c>
      <c r="AK1085" s="94" t="s">
        <v>539</v>
      </c>
      <c r="AL1085" s="94">
        <v>110</v>
      </c>
      <c r="AM1085" s="94" t="str">
        <f>TRIM(AJ1085)&amp;TRIM(AL1085)&amp;TRIM(AK1085)</f>
      </c>
      <c r="AN1085" s="116">
        <v>234</v>
      </c>
      <c r="AO1085" s="116">
        <v>48.12</v>
      </c>
      <c r="AP1085" s="116">
        <f>SUMIFS(M:M,AM:AM,AM1085)+SUMIFS(O:O,AM:AM,AM1085)</f>
      </c>
      <c r="AQ1085" s="116">
        <f>SUMIFS(L:L,AM:AM,AM1085)</f>
      </c>
      <c r="AR1085" s="116">
        <f>AQ1085-AP1085</f>
      </c>
      <c r="AS1085" s="94" t="str">
        <f>IF(AN1085&gt;=AQ1085,"ok","ck")</f>
      </c>
      <c r="AT1085" s="116">
        <f>-P1085</f>
      </c>
      <c r="AU1085" s="115">
        <f>IF(SUMIFS(AT:AT,AM:AM,AM1085)&gt;AO1085,(SUMIFS(AT:AT,AM:AM,AM1085)-AO1085))</f>
      </c>
      <c r="AV1085" s="116">
        <v>234</v>
      </c>
      <c r="AW1085" s="121">
        <v>0.829</v>
      </c>
      <c r="AX1085" s="115">
        <f>AN1085-AP1085</f>
      </c>
    </row>
    <row r="1086" spans="1:50" ht="15" hidden="1" customHeight="1" x14ac:dyDescent="0.3">
      <c r="A1086" s="94" t="s">
        <v>288</v>
      </c>
      <c r="B1086" s="94"/>
      <c r="C1086" s="94"/>
      <c r="D1086" s="94"/>
      <c r="E1086" s="94"/>
      <c r="F1086" s="94"/>
      <c r="G1086" s="112">
        <f>AU1086</f>
      </c>
      <c r="H1086" s="113"/>
      <c r="I1086" s="94" t="s">
        <v>297</v>
      </c>
      <c r="J1086" s="94" t="s">
        <v>290</v>
      </c>
      <c r="K1086" s="114">
        <f>P1086/3</f>
      </c>
      <c r="L1086" s="115">
        <v>470.26400000000001</v>
      </c>
      <c r="M1086" s="116"/>
      <c r="N1086" s="117">
        <f>M1086-L1086</f>
      </c>
      <c r="O1086" s="112"/>
      <c r="P1086" s="118">
        <f>N1086+O1086</f>
      </c>
      <c r="Q1086" s="94" t="s">
        <v>852</v>
      </c>
      <c r="R1086" s="94" t="s">
        <v>63</v>
      </c>
      <c r="S1086" s="119">
        <v>46343</v>
      </c>
      <c r="T1086" s="119"/>
      <c r="U1086" s="119">
        <v>46343</v>
      </c>
      <c r="V1086" s="94"/>
      <c r="W1086" s="94"/>
      <c r="X1086" s="94"/>
      <c r="Y1086" s="119">
        <v>46343</v>
      </c>
      <c r="Z1086" s="94"/>
      <c r="AA1086" s="120"/>
      <c r="AB1086" s="120"/>
      <c r="AC1086" s="120"/>
      <c r="AD1086" s="120"/>
      <c r="AE1086" s="120"/>
      <c r="AF1086" s="120"/>
      <c r="AG1086" s="94"/>
      <c r="AH1086" s="120"/>
      <c r="AI1086" s="94"/>
      <c r="AJ1086" s="94" t="s">
        <v>794</v>
      </c>
      <c r="AK1086" s="94" t="s">
        <v>267</v>
      </c>
      <c r="AL1086" s="94">
        <v>190</v>
      </c>
      <c r="AM1086" s="94" t="str">
        <f>TRIM(AJ1086)&amp;TRIM(AL1086)&amp;TRIM(AK1086)</f>
      </c>
      <c r="AN1086" s="116">
        <v>0</v>
      </c>
      <c r="AO1086" s="116" t="inlineStr">
        <is>
          <t>#NA</t>
        </is>
      </c>
      <c r="AP1086" s="116">
        <f>SUMIFS(M:M,AM:AM,AM1086)+SUMIFS(O:O,AM:AM,AM1086)</f>
      </c>
      <c r="AQ1086" s="116">
        <f>SUMIFS(L:L,AM:AM,AM1086)</f>
      </c>
      <c r="AR1086" s="116">
        <f>AQ1086-AP1086</f>
      </c>
      <c r="AS1086" s="94" t="str">
        <f>IF(AN1086&gt;=AQ1086,"ok","ck")</f>
      </c>
      <c r="AT1086" s="116">
        <f>-P1086</f>
      </c>
      <c r="AU1086" s="115">
        <f>IF(SUMIFS(AT:AT,AM:AM,AM1086)&gt;AO1086,(SUMIFS(AT:AT,AM:AM,AM1086)-AO1086))</f>
      </c>
      <c r="AV1086" s="116">
        <v>0</v>
      </c>
      <c r="AW1086" s="121">
        <v>0</v>
      </c>
      <c r="AX1086" s="115">
        <f>AN1086-AP1086</f>
      </c>
    </row>
    <row r="1087" spans="1:50" ht="15" hidden="1" customHeight="1" x14ac:dyDescent="0.3">
      <c r="A1087" s="94" t="s">
        <v>288</v>
      </c>
      <c r="B1087" s="94"/>
      <c r="C1087" s="94"/>
      <c r="D1087" s="94"/>
      <c r="E1087" s="94"/>
      <c r="F1087" s="94"/>
      <c r="G1087" s="112">
        <f>AU1087</f>
      </c>
      <c r="H1087" s="113"/>
      <c r="I1087" s="94" t="s">
        <v>297</v>
      </c>
      <c r="J1087" s="94" t="s">
        <v>286</v>
      </c>
      <c r="K1087" s="114">
        <f>P1087/3</f>
      </c>
      <c r="L1087" s="115">
        <v>470.26400000000001</v>
      </c>
      <c r="M1087" s="116"/>
      <c r="N1087" s="117">
        <f>M1087-L1087</f>
      </c>
      <c r="O1087" s="112"/>
      <c r="P1087" s="118">
        <f>N1087+O1087</f>
      </c>
      <c r="Q1087" s="94" t="s">
        <v>852</v>
      </c>
      <c r="R1087" s="94" t="s">
        <v>63</v>
      </c>
      <c r="S1087" s="119">
        <v>46343</v>
      </c>
      <c r="T1087" s="119"/>
      <c r="U1087" s="119">
        <v>46343</v>
      </c>
      <c r="V1087" s="94"/>
      <c r="W1087" s="94"/>
      <c r="X1087" s="94"/>
      <c r="Y1087" s="119">
        <v>46343</v>
      </c>
      <c r="Z1087" s="94"/>
      <c r="AA1087" s="120"/>
      <c r="AB1087" s="120"/>
      <c r="AC1087" s="120"/>
      <c r="AD1087" s="120"/>
      <c r="AE1087" s="120"/>
      <c r="AF1087" s="120"/>
      <c r="AG1087" s="94"/>
      <c r="AH1087" s="120"/>
      <c r="AI1087" s="94"/>
      <c r="AJ1087" s="94" t="s">
        <v>794</v>
      </c>
      <c r="AK1087" s="94" t="s">
        <v>281</v>
      </c>
      <c r="AL1087" s="94">
        <v>190</v>
      </c>
      <c r="AM1087" s="94" t="str">
        <f>TRIM(AJ1087)&amp;TRIM(AL1087)&amp;TRIM(AK1087)</f>
      </c>
      <c r="AN1087" s="116">
        <v>0</v>
      </c>
      <c r="AO1087" s="116" t="inlineStr">
        <is>
          <t>#NA</t>
        </is>
      </c>
      <c r="AP1087" s="116">
        <f>SUMIFS(M:M,AM:AM,AM1087)+SUMIFS(O:O,AM:AM,AM1087)</f>
      </c>
      <c r="AQ1087" s="116">
        <f>SUMIFS(L:L,AM:AM,AM1087)</f>
      </c>
      <c r="AR1087" s="116">
        <f>AQ1087-AP1087</f>
      </c>
      <c r="AS1087" s="94" t="str">
        <f>IF(AN1087&gt;=AQ1087,"ok","ck")</f>
      </c>
      <c r="AT1087" s="116">
        <f>-P1087</f>
      </c>
      <c r="AU1087" s="115">
        <f>IF(SUMIFS(AT:AT,AM:AM,AM1087)&gt;AO1087,(SUMIFS(AT:AT,AM:AM,AM1087)-AO1087))</f>
      </c>
      <c r="AV1087" s="116">
        <v>0</v>
      </c>
      <c r="AW1087" s="121">
        <v>0</v>
      </c>
      <c r="AX1087" s="115">
        <f>AN1087-AP1087</f>
      </c>
    </row>
    <row r="1088" spans="1:50" ht="15" hidden="1" customHeight="1" x14ac:dyDescent="0.3">
      <c r="A1088" s="94" t="s">
        <v>288</v>
      </c>
      <c r="B1088" s="94"/>
      <c r="C1088" s="94"/>
      <c r="D1088" s="94"/>
      <c r="E1088" s="94"/>
      <c r="F1088" s="94"/>
      <c r="G1088" s="112">
        <f>AU1088</f>
      </c>
      <c r="H1088" s="113"/>
      <c r="I1088" s="94" t="s">
        <v>297</v>
      </c>
      <c r="J1088" s="94" t="s">
        <v>357</v>
      </c>
      <c r="K1088" s="114">
        <f>P1088/3</f>
      </c>
      <c r="L1088" s="115">
        <v>470.26400000000001</v>
      </c>
      <c r="M1088" s="116"/>
      <c r="N1088" s="117">
        <f>M1088-L1088</f>
      </c>
      <c r="O1088" s="112"/>
      <c r="P1088" s="118">
        <f>N1088+O1088</f>
      </c>
      <c r="Q1088" s="94" t="s">
        <v>852</v>
      </c>
      <c r="R1088" s="94" t="s">
        <v>63</v>
      </c>
      <c r="S1088" s="119">
        <v>46343</v>
      </c>
      <c r="T1088" s="119"/>
      <c r="U1088" s="119">
        <v>46343</v>
      </c>
      <c r="V1088" s="94"/>
      <c r="W1088" s="94"/>
      <c r="X1088" s="94"/>
      <c r="Y1088" s="119">
        <v>46343</v>
      </c>
      <c r="Z1088" s="94"/>
      <c r="AA1088" s="120"/>
      <c r="AB1088" s="120"/>
      <c r="AC1088" s="120"/>
      <c r="AD1088" s="120"/>
      <c r="AE1088" s="120"/>
      <c r="AF1088" s="120"/>
      <c r="AG1088" s="94"/>
      <c r="AH1088" s="120"/>
      <c r="AI1088" s="94"/>
      <c r="AJ1088" s="94" t="s">
        <v>794</v>
      </c>
      <c r="AK1088" s="94" t="s">
        <v>357</v>
      </c>
      <c r="AL1088" s="94">
        <v>190</v>
      </c>
      <c r="AM1088" s="94" t="str">
        <f>TRIM(AJ1088)&amp;TRIM(AL1088)&amp;TRIM(AK1088)</f>
      </c>
      <c r="AN1088" s="116">
        <v>0</v>
      </c>
      <c r="AO1088" s="116" t="inlineStr">
        <is>
          <t>#NA</t>
        </is>
      </c>
      <c r="AP1088" s="116">
        <f>SUMIFS(M:M,AM:AM,AM1088)+SUMIFS(O:O,AM:AM,AM1088)</f>
      </c>
      <c r="AQ1088" s="116">
        <f>SUMIFS(L:L,AM:AM,AM1088)</f>
      </c>
      <c r="AR1088" s="116">
        <f>AQ1088-AP1088</f>
      </c>
      <c r="AS1088" s="94" t="str">
        <f>IF(AN1088&gt;=AQ1088,"ok","ck")</f>
      </c>
      <c r="AT1088" s="116">
        <f>-P1088</f>
      </c>
      <c r="AU1088" s="115">
        <f>IF(SUMIFS(AT:AT,AM:AM,AM1088)&gt;AO1088,(SUMIFS(AT:AT,AM:AM,AM1088)-AO1088))</f>
      </c>
      <c r="AV1088" s="116">
        <v>0</v>
      </c>
      <c r="AW1088" s="121">
        <v>0</v>
      </c>
      <c r="AX1088" s="115">
        <f>AN1088-AP1088</f>
      </c>
    </row>
    <row r="1089" spans="1:50" ht="15" hidden="1" customHeight="1" x14ac:dyDescent="0.3">
      <c r="A1089" s="94" t="s">
        <v>253</v>
      </c>
      <c r="B1089" s="94"/>
      <c r="C1089" s="94"/>
      <c r="D1089" s="94"/>
      <c r="E1089" s="94"/>
      <c r="F1089" s="94"/>
      <c r="G1089" s="112">
        <f>AU1089</f>
      </c>
      <c r="H1089" s="113"/>
      <c r="I1089" s="94" t="s">
        <v>254</v>
      </c>
      <c r="J1089" s="94" t="s">
        <v>259</v>
      </c>
      <c r="K1089" s="114">
        <f>P1089/3</f>
      </c>
      <c r="L1089" s="115">
        <v>-17.97</v>
      </c>
      <c r="M1089" s="116">
        <f>L1089</f>
      </c>
      <c r="N1089" s="117">
        <f>M1089-L1089</f>
      </c>
      <c r="O1089" s="112"/>
      <c r="P1089" s="118">
        <f>N1089+O1089</f>
      </c>
      <c r="Q1089" s="94" t="s">
        <v>256</v>
      </c>
      <c r="R1089" s="94" t="s">
        <v>63</v>
      </c>
      <c r="S1089" s="119">
        <v>46320</v>
      </c>
      <c r="T1089" s="119"/>
      <c r="U1089" s="119">
        <v>46320</v>
      </c>
      <c r="V1089" s="94"/>
      <c r="W1089" s="94"/>
      <c r="X1089" s="94"/>
      <c r="Y1089" s="119">
        <v>46320</v>
      </c>
      <c r="Z1089" s="94"/>
      <c r="AA1089" s="120"/>
      <c r="AB1089" s="120"/>
      <c r="AC1089" s="120"/>
      <c r="AD1089" s="120"/>
      <c r="AE1089" s="120"/>
      <c r="AF1089" s="120"/>
      <c r="AG1089" s="94"/>
      <c r="AH1089" s="120"/>
      <c r="AI1089" s="94"/>
      <c r="AJ1089" s="94" t="s">
        <v>257</v>
      </c>
      <c r="AK1089" s="94" t="s">
        <v>260</v>
      </c>
      <c r="AL1089" s="94">
        <v>150</v>
      </c>
      <c r="AM1089" s="94" t="str">
        <f>TRIM(AJ1089)&amp;TRIM(AL1089)&amp;TRIM(AK1089)</f>
      </c>
      <c r="AN1089" s="116">
        <v>921.37</v>
      </c>
      <c r="AO1089" s="116">
        <v>-17.87</v>
      </c>
      <c r="AP1089" s="116">
        <f>SUMIFS(M:M,AM:AM,AM1089)+SUMIFS(O:O,AM:AM,AM1089)</f>
      </c>
      <c r="AQ1089" s="116">
        <f>SUMIFS(L:L,AM:AM,AM1089)</f>
      </c>
      <c r="AR1089" s="116">
        <f>AQ1089-AP1089</f>
      </c>
      <c r="AS1089" s="94" t="str">
        <f>IF(AN1089&gt;=AQ1089,"ok","ck")</f>
      </c>
      <c r="AT1089" s="116">
        <f>-P1089</f>
      </c>
      <c r="AU1089" s="115">
        <f>IF(SUMIFS(AT:AT,AM:AM,AM1089)&gt;AO1089,(SUMIFS(AT:AT,AM:AM,AM1089)-AO1089))</f>
      </c>
      <c r="AV1089" s="116">
        <v>921.37</v>
      </c>
      <c r="AW1089" s="121">
        <v>1.02</v>
      </c>
      <c r="AX1089" s="115">
        <f>AN1089-AP1089</f>
      </c>
    </row>
    <row r="1090" spans="1:50" ht="15" hidden="1" customHeight="1" x14ac:dyDescent="0.3">
      <c r="A1090" s="94" t="s">
        <v>253</v>
      </c>
      <c r="B1090" s="94"/>
      <c r="C1090" s="94"/>
      <c r="D1090" s="94"/>
      <c r="E1090" s="94"/>
      <c r="F1090" s="94"/>
      <c r="G1090" s="112">
        <f>AU1090</f>
      </c>
      <c r="H1090" s="113"/>
      <c r="I1090" s="94" t="s">
        <v>254</v>
      </c>
      <c r="J1090" s="94" t="s">
        <v>261</v>
      </c>
      <c r="K1090" s="114">
        <f>P1090/3</f>
      </c>
      <c r="L1090" s="115">
        <v>0</v>
      </c>
      <c r="M1090" s="116">
        <f>L1090</f>
      </c>
      <c r="N1090" s="117">
        <f>M1090-L1090</f>
      </c>
      <c r="O1090" s="112"/>
      <c r="P1090" s="118">
        <f>N1090+O1090</f>
      </c>
      <c r="Q1090" s="94" t="s">
        <v>256</v>
      </c>
      <c r="R1090" s="94" t="s">
        <v>63</v>
      </c>
      <c r="S1090" s="119">
        <v>46320</v>
      </c>
      <c r="T1090" s="119"/>
      <c r="U1090" s="119">
        <v>46320</v>
      </c>
      <c r="V1090" s="94"/>
      <c r="W1090" s="94"/>
      <c r="X1090" s="94"/>
      <c r="Y1090" s="119">
        <v>46320</v>
      </c>
      <c r="Z1090" s="94"/>
      <c r="AA1090" s="120"/>
      <c r="AB1090" s="120"/>
      <c r="AC1090" s="120"/>
      <c r="AD1090" s="120"/>
      <c r="AE1090" s="120"/>
      <c r="AF1090" s="120"/>
      <c r="AG1090" s="94"/>
      <c r="AH1090" s="120"/>
      <c r="AI1090" s="94"/>
      <c r="AJ1090" s="94" t="s">
        <v>257</v>
      </c>
      <c r="AK1090" s="94" t="s">
        <v>262</v>
      </c>
      <c r="AL1090" s="94">
        <v>150</v>
      </c>
      <c r="AM1090" s="94" t="str">
        <f>TRIM(AJ1090)&amp;TRIM(AL1090)&amp;TRIM(AK1090)</f>
      </c>
      <c r="AN1090" s="116">
        <v>898</v>
      </c>
      <c r="AO1090" s="116">
        <v>5.5</v>
      </c>
      <c r="AP1090" s="116">
        <f>SUMIFS(M:M,AM:AM,AM1090)+SUMIFS(O:O,AM:AM,AM1090)</f>
      </c>
      <c r="AQ1090" s="116">
        <f>SUMIFS(L:L,AM:AM,AM1090)</f>
      </c>
      <c r="AR1090" s="116">
        <f>AQ1090-AP1090</f>
      </c>
      <c r="AS1090" s="94" t="str">
        <f>IF(AN1090&gt;=AQ1090,"ok","ck")</f>
      </c>
      <c r="AT1090" s="116">
        <f>-P1090</f>
      </c>
      <c r="AU1090" s="115">
        <f>IF(SUMIFS(AT:AT,AM:AM,AM1090)&gt;AO1090,(SUMIFS(AT:AT,AM:AM,AM1090)-AO1090))</f>
      </c>
      <c r="AV1090" s="116">
        <v>898</v>
      </c>
      <c r="AW1090" s="121">
        <v>0.994</v>
      </c>
      <c r="AX1090" s="115">
        <f>AN1090-AP1090</f>
      </c>
    </row>
    <row r="1091" spans="1:50" ht="15" customHeight="1" x14ac:dyDescent="0.3">
      <c r="A1091" s="94" t="s">
        <v>862</v>
      </c>
      <c r="B1091" s="94"/>
      <c r="C1091" s="94"/>
      <c r="D1091" s="94"/>
      <c r="E1091" s="94"/>
      <c r="F1091" s="94"/>
      <c r="G1091" s="112">
        <f>AU1091</f>
      </c>
      <c r="H1091" s="113"/>
      <c r="I1091" s="94" t="s">
        <v>278</v>
      </c>
      <c r="J1091" s="94" t="s">
        <v>267</v>
      </c>
      <c r="K1091" s="114">
        <f>P1091/3</f>
      </c>
      <c r="L1091" s="115">
        <v>200.857</v>
      </c>
      <c r="M1091" s="116"/>
      <c r="N1091" s="117">
        <f>M1091-L1091</f>
      </c>
      <c r="O1091" s="112"/>
      <c r="P1091" s="118">
        <f>N1091+O1091</f>
      </c>
      <c r="Q1091" s="94"/>
      <c r="R1091" s="94" t="s">
        <v>63</v>
      </c>
      <c r="S1091" s="119">
        <v>46338</v>
      </c>
      <c r="T1091" s="119"/>
      <c r="U1091" s="119" t="s">
        <v>631</v>
      </c>
      <c r="V1091" s="94"/>
      <c r="W1091" s="94"/>
      <c r="X1091" s="94"/>
      <c r="Y1091" s="119">
        <v>46320</v>
      </c>
      <c r="Z1091" s="94"/>
      <c r="AA1091" s="120"/>
      <c r="AB1091" s="120"/>
      <c r="AC1091" s="120"/>
      <c r="AD1091" s="120"/>
      <c r="AE1091" s="120"/>
      <c r="AF1091" s="120"/>
      <c r="AG1091" s="94"/>
      <c r="AH1091" s="120"/>
      <c r="AI1091" s="94"/>
      <c r="AJ1091" s="94"/>
      <c r="AK1091" s="94"/>
      <c r="AL1091" s="94">
        <v>120</v>
      </c>
      <c r="AM1091" s="94" t="str">
        <f>TRIM(AJ1091)&amp;TRIM(AL1091)&amp;TRIM(AK1091)</f>
      </c>
      <c r="AN1091" s="116">
        <v>0</v>
      </c>
      <c r="AO1091" s="116" t="inlineStr">
        <is>
          <t>#NA</t>
        </is>
      </c>
      <c r="AP1091" s="116">
        <f>SUMIFS(M:M,AM:AM,AM1091)+SUMIFS(O:O,AM:AM,AM1091)</f>
      </c>
      <c r="AQ1091" s="116">
        <f>SUMIFS(L:L,AM:AM,AM1091)</f>
      </c>
      <c r="AR1091" s="116">
        <f>AQ1091-AP1091</f>
      </c>
      <c r="AS1091" s="94" t="str">
        <f>IF(AN1091&gt;=AQ1091,"ok","ck")</f>
      </c>
      <c r="AT1091" s="116">
        <f>-P1091</f>
      </c>
      <c r="AU1091" s="115">
        <f>IF(SUMIFS(AT:AT,AM:AM,AM1091)&gt;AO1091,(SUMIFS(AT:AT,AM:AM,AM1091)-AO1091))</f>
      </c>
      <c r="AV1091" s="116" t="e">
        <v>#N/A</v>
      </c>
      <c r="AW1091" s="121" t="e">
        <v>#N/A</v>
      </c>
      <c r="AX1091" s="115">
        <f>AN1091-AP1091</f>
      </c>
    </row>
    <row r="1092" spans="1:50" ht="15" customHeight="1" x14ac:dyDescent="0.3">
      <c r="A1092" s="94" t="s">
        <v>862</v>
      </c>
      <c r="B1092" s="94"/>
      <c r="C1092" s="94"/>
      <c r="D1092" s="94"/>
      <c r="E1092" s="94"/>
      <c r="F1092" s="94"/>
      <c r="G1092" s="112">
        <f>AU1092</f>
      </c>
      <c r="H1092" s="113"/>
      <c r="I1092" s="94" t="s">
        <v>278</v>
      </c>
      <c r="J1092" s="94" t="s">
        <v>267</v>
      </c>
      <c r="K1092" s="114">
        <f>P1092/3</f>
      </c>
      <c r="L1092" s="115">
        <v>200.857</v>
      </c>
      <c r="M1092" s="116"/>
      <c r="N1092" s="117">
        <f>M1092-L1092</f>
      </c>
      <c r="O1092" s="112"/>
      <c r="P1092" s="118">
        <f>N1092+O1092</f>
      </c>
      <c r="Q1092" s="94"/>
      <c r="R1092" s="94" t="s">
        <v>63</v>
      </c>
      <c r="S1092" s="119">
        <v>46340</v>
      </c>
      <c r="T1092" s="119"/>
      <c r="U1092" s="119" t="s">
        <v>631</v>
      </c>
      <c r="V1092" s="94"/>
      <c r="W1092" s="94"/>
      <c r="X1092" s="94"/>
      <c r="Y1092" s="119">
        <v>46320</v>
      </c>
      <c r="Z1092" s="94"/>
      <c r="AA1092" s="120"/>
      <c r="AB1092" s="120"/>
      <c r="AC1092" s="120"/>
      <c r="AD1092" s="120"/>
      <c r="AE1092" s="120"/>
      <c r="AF1092" s="120"/>
      <c r="AG1092" s="94"/>
      <c r="AH1092" s="120"/>
      <c r="AI1092" s="94"/>
      <c r="AJ1092" s="94"/>
      <c r="AK1092" s="94"/>
      <c r="AL1092" s="94">
        <v>120</v>
      </c>
      <c r="AM1092" s="94" t="str">
        <f>TRIM(AJ1092)&amp;TRIM(AL1092)&amp;TRIM(AK1092)</f>
      </c>
      <c r="AN1092" s="116">
        <v>0</v>
      </c>
      <c r="AO1092" s="116" t="inlineStr">
        <is>
          <t>#NA</t>
        </is>
      </c>
      <c r="AP1092" s="116">
        <f>SUMIFS(M:M,AM:AM,AM1092)+SUMIFS(O:O,AM:AM,AM1092)</f>
      </c>
      <c r="AQ1092" s="116">
        <f>SUMIFS(L:L,AM:AM,AM1092)</f>
      </c>
      <c r="AR1092" s="116">
        <f>AQ1092-AP1092</f>
      </c>
      <c r="AS1092" s="94" t="str">
        <f>IF(AN1092&gt;=AQ1092,"ok","ck")</f>
      </c>
      <c r="AT1092" s="116">
        <f>-P1092</f>
      </c>
      <c r="AU1092" s="115">
        <f>IF(SUMIFS(AT:AT,AM:AM,AM1092)&gt;AO1092,(SUMIFS(AT:AT,AM:AM,AM1092)-AO1092))</f>
      </c>
      <c r="AV1092" s="116" t="e">
        <v>#N/A</v>
      </c>
      <c r="AW1092" s="121" t="e">
        <v>#N/A</v>
      </c>
      <c r="AX1092" s="115">
        <f>AN1092-AP1092</f>
      </c>
    </row>
    <row r="1093" spans="1:50" ht="15" hidden="1" customHeight="1" x14ac:dyDescent="0.3">
      <c r="A1093" s="94" t="s">
        <v>263</v>
      </c>
      <c r="B1093" s="94"/>
      <c r="C1093" s="94"/>
      <c r="D1093" s="94"/>
      <c r="E1093" s="94"/>
      <c r="F1093" s="94"/>
      <c r="G1093" s="112">
        <f>AU1093</f>
      </c>
      <c r="H1093" s="113"/>
      <c r="I1093" s="94" t="s">
        <v>264</v>
      </c>
      <c r="J1093" s="94" t="s">
        <v>281</v>
      </c>
      <c r="K1093" s="114">
        <f>P1093/3</f>
      </c>
      <c r="L1093" s="115">
        <v>0</v>
      </c>
      <c r="M1093" s="116">
        <f>L1093</f>
      </c>
      <c r="N1093" s="117">
        <f>M1093-L1093</f>
      </c>
      <c r="O1093" s="112"/>
      <c r="P1093" s="118">
        <f>N1093+O1093</f>
      </c>
      <c r="Q1093" s="94" t="s">
        <v>364</v>
      </c>
      <c r="R1093" s="94" t="s">
        <v>63</v>
      </c>
      <c r="S1093" s="119">
        <v>46320</v>
      </c>
      <c r="T1093" s="119"/>
      <c r="U1093" s="119">
        <v>46320</v>
      </c>
      <c r="V1093" s="94"/>
      <c r="W1093" s="94"/>
      <c r="X1093" s="94"/>
      <c r="Y1093" s="119">
        <v>46320</v>
      </c>
      <c r="Z1093" s="94"/>
      <c r="AA1093" s="120"/>
      <c r="AB1093" s="120"/>
      <c r="AC1093" s="120"/>
      <c r="AD1093" s="120"/>
      <c r="AE1093" s="120"/>
      <c r="AF1093" s="120"/>
      <c r="AG1093" s="94"/>
      <c r="AH1093" s="120"/>
      <c r="AI1093" s="94"/>
      <c r="AJ1093" s="94" t="s">
        <v>364</v>
      </c>
      <c r="AK1093" s="94" t="s">
        <v>281</v>
      </c>
      <c r="AL1093" s="94">
        <v>120</v>
      </c>
      <c r="AM1093" s="94" t="str">
        <f>TRIM(AJ1093)&amp;TRIM(AL1093)&amp;TRIM(AK1093)</f>
      </c>
      <c r="AN1093" s="116">
        <v>1504</v>
      </c>
      <c r="AO1093" s="116">
        <v>-29</v>
      </c>
      <c r="AP1093" s="116">
        <f>SUMIFS(M:M,AM:AM,AM1093)+SUMIFS(O:O,AM:AM,AM1093)</f>
      </c>
      <c r="AQ1093" s="116">
        <f>SUMIFS(L:L,AM:AM,AM1093)</f>
      </c>
      <c r="AR1093" s="116">
        <f>AQ1093-AP1093</f>
      </c>
      <c r="AS1093" s="94" t="str">
        <f>IF(AN1093&gt;=AQ1093,"ok","ck")</f>
      </c>
      <c r="AT1093" s="116">
        <f>-P1093</f>
      </c>
      <c r="AU1093" s="115">
        <f>IF(SUMIFS(AT:AT,AM:AM,AM1093)&gt;AO1093,(SUMIFS(AT:AT,AM:AM,AM1093)-AO1093))</f>
      </c>
      <c r="AV1093" s="116">
        <v>1504</v>
      </c>
      <c r="AW1093" s="121">
        <v>1.02</v>
      </c>
      <c r="AX1093" s="115">
        <f>AN1093-AP1093</f>
      </c>
    </row>
    <row r="1094" spans="1:50" ht="15" hidden="1" customHeight="1" x14ac:dyDescent="0.3">
      <c r="A1094" s="94" t="s">
        <v>263</v>
      </c>
      <c r="B1094" s="94"/>
      <c r="C1094" s="94"/>
      <c r="D1094" s="94"/>
      <c r="E1094" s="94"/>
      <c r="F1094" s="94"/>
      <c r="G1094" s="112">
        <f>AU1094</f>
      </c>
      <c r="H1094" s="113"/>
      <c r="I1094" s="94" t="s">
        <v>264</v>
      </c>
      <c r="J1094" s="94" t="s">
        <v>281</v>
      </c>
      <c r="K1094" s="114">
        <f>P1094/3</f>
      </c>
      <c r="L1094" s="115">
        <v>0</v>
      </c>
      <c r="M1094" s="116">
        <f>L1094</f>
      </c>
      <c r="N1094" s="117">
        <f>M1094-L1094</f>
      </c>
      <c r="O1094" s="112"/>
      <c r="P1094" s="118">
        <f>N1094+O1094</f>
      </c>
      <c r="Q1094" s="94" t="s">
        <v>364</v>
      </c>
      <c r="R1094" s="94" t="s">
        <v>63</v>
      </c>
      <c r="S1094" s="119">
        <v>46330</v>
      </c>
      <c r="T1094" s="119"/>
      <c r="U1094" s="119">
        <v>46330</v>
      </c>
      <c r="V1094" s="94"/>
      <c r="W1094" s="94"/>
      <c r="X1094" s="94"/>
      <c r="Y1094" s="119">
        <v>46330</v>
      </c>
      <c r="Z1094" s="94"/>
      <c r="AA1094" s="120"/>
      <c r="AB1094" s="120"/>
      <c r="AC1094" s="120"/>
      <c r="AD1094" s="120"/>
      <c r="AE1094" s="120"/>
      <c r="AF1094" s="120"/>
      <c r="AG1094" s="94"/>
      <c r="AH1094" s="120"/>
      <c r="AI1094" s="94"/>
      <c r="AJ1094" s="94" t="s">
        <v>364</v>
      </c>
      <c r="AK1094" s="94" t="s">
        <v>281</v>
      </c>
      <c r="AL1094" s="94">
        <v>120</v>
      </c>
      <c r="AM1094" s="94" t="str">
        <f>TRIM(AJ1094)&amp;TRIM(AL1094)&amp;TRIM(AK1094)</f>
      </c>
      <c r="AN1094" s="116">
        <v>1504</v>
      </c>
      <c r="AO1094" s="116">
        <v>-29</v>
      </c>
      <c r="AP1094" s="116">
        <f>SUMIFS(M:M,AM:AM,AM1094)+SUMIFS(O:O,AM:AM,AM1094)</f>
      </c>
      <c r="AQ1094" s="116">
        <f>SUMIFS(L:L,AM:AM,AM1094)</f>
      </c>
      <c r="AR1094" s="116">
        <f>AQ1094-AP1094</f>
      </c>
      <c r="AS1094" s="94" t="str">
        <f>IF(AN1094&gt;=AQ1094,"ok","ck")</f>
      </c>
      <c r="AT1094" s="116">
        <f>-P1094</f>
      </c>
      <c r="AU1094" s="115">
        <f>IF(SUMIFS(AT:AT,AM:AM,AM1094)&gt;AO1094,(SUMIFS(AT:AT,AM:AM,AM1094)-AO1094))</f>
      </c>
      <c r="AV1094" s="116">
        <v>1504</v>
      </c>
      <c r="AW1094" s="121">
        <v>1.02</v>
      </c>
      <c r="AX1094" s="115">
        <f>AN1094-AP1094</f>
      </c>
    </row>
    <row r="1095" spans="1:50" ht="15" hidden="1" customHeight="1" x14ac:dyDescent="0.3">
      <c r="A1095" s="94" t="s">
        <v>263</v>
      </c>
      <c r="B1095" s="94"/>
      <c r="C1095" s="94"/>
      <c r="D1095" s="94"/>
      <c r="E1095" s="94"/>
      <c r="F1095" s="94"/>
      <c r="G1095" s="112">
        <f>AU1095</f>
      </c>
      <c r="H1095" s="113"/>
      <c r="I1095" s="94" t="s">
        <v>264</v>
      </c>
      <c r="J1095" s="94" t="s">
        <v>281</v>
      </c>
      <c r="K1095" s="114">
        <f>P1095/3</f>
      </c>
      <c r="L1095" s="115">
        <v>0</v>
      </c>
      <c r="M1095" s="116">
        <f>L1095</f>
      </c>
      <c r="N1095" s="117">
        <f>M1095-L1095</f>
      </c>
      <c r="O1095" s="112"/>
      <c r="P1095" s="118">
        <f>N1095+O1095</f>
      </c>
      <c r="Q1095" s="94" t="s">
        <v>364</v>
      </c>
      <c r="R1095" s="94" t="s">
        <v>63</v>
      </c>
      <c r="S1095" s="119">
        <v>46337</v>
      </c>
      <c r="T1095" s="119"/>
      <c r="U1095" s="119">
        <v>46337</v>
      </c>
      <c r="V1095" s="94"/>
      <c r="W1095" s="94"/>
      <c r="X1095" s="94"/>
      <c r="Y1095" s="119">
        <v>46337</v>
      </c>
      <c r="Z1095" s="94"/>
      <c r="AA1095" s="120"/>
      <c r="AB1095" s="120"/>
      <c r="AC1095" s="120"/>
      <c r="AD1095" s="120"/>
      <c r="AE1095" s="120"/>
      <c r="AF1095" s="120"/>
      <c r="AG1095" s="94"/>
      <c r="AH1095" s="120"/>
      <c r="AI1095" s="94"/>
      <c r="AJ1095" s="94" t="s">
        <v>364</v>
      </c>
      <c r="AK1095" s="94" t="s">
        <v>281</v>
      </c>
      <c r="AL1095" s="94">
        <v>120</v>
      </c>
      <c r="AM1095" s="94" t="str">
        <f>TRIM(AJ1095)&amp;TRIM(AL1095)&amp;TRIM(AK1095)</f>
      </c>
      <c r="AN1095" s="116">
        <v>1504</v>
      </c>
      <c r="AO1095" s="116">
        <v>-29</v>
      </c>
      <c r="AP1095" s="116">
        <f>SUMIFS(M:M,AM:AM,AM1095)+SUMIFS(O:O,AM:AM,AM1095)</f>
      </c>
      <c r="AQ1095" s="116">
        <f>SUMIFS(L:L,AM:AM,AM1095)</f>
      </c>
      <c r="AR1095" s="116">
        <f>AQ1095-AP1095</f>
      </c>
      <c r="AS1095" s="94" t="str">
        <f>IF(AN1095&gt;=AQ1095,"ok","ck")</f>
      </c>
      <c r="AT1095" s="116">
        <f>-P1095</f>
      </c>
      <c r="AU1095" s="115">
        <f>IF(SUMIFS(AT:AT,AM:AM,AM1095)&gt;AO1095,(SUMIFS(AT:AT,AM:AM,AM1095)-AO1095))</f>
      </c>
      <c r="AV1095" s="116">
        <v>1504</v>
      </c>
      <c r="AW1095" s="121">
        <v>1.02</v>
      </c>
      <c r="AX1095" s="115">
        <f>AN1095-AP1095</f>
      </c>
    </row>
    <row r="1096" spans="1:50" ht="15" hidden="1" customHeight="1" x14ac:dyDescent="0.3">
      <c r="A1096" s="94" t="s">
        <v>82</v>
      </c>
      <c r="B1096" s="94"/>
      <c r="C1096" s="94"/>
      <c r="D1096" s="94"/>
      <c r="E1096" s="94"/>
      <c r="F1096" s="94"/>
      <c r="G1096" s="112">
        <f>AU1096</f>
      </c>
      <c r="H1096" s="113"/>
      <c r="I1096" s="94" t="s">
        <v>83</v>
      </c>
      <c r="J1096" s="94" t="s">
        <v>281</v>
      </c>
      <c r="K1096" s="114">
        <f>P1096/3</f>
      </c>
      <c r="L1096" s="115">
        <v>2044.258</v>
      </c>
      <c r="M1096" s="116"/>
      <c r="N1096" s="117">
        <f>M1096-L1096</f>
      </c>
      <c r="O1096" s="112"/>
      <c r="P1096" s="118">
        <f>N1096+O1096</f>
      </c>
      <c r="Q1096" s="94" t="s">
        <v>853</v>
      </c>
      <c r="R1096" s="94" t="s">
        <v>63</v>
      </c>
      <c r="S1096" s="120">
        <v>46334</v>
      </c>
      <c r="T1096" s="120"/>
      <c r="U1096" s="120">
        <v>46334</v>
      </c>
      <c r="V1096" s="94"/>
      <c r="W1096" s="94"/>
      <c r="X1096" s="94"/>
      <c r="Y1096" s="119">
        <v>46334</v>
      </c>
      <c r="Z1096" s="94"/>
      <c r="AA1096" s="120"/>
      <c r="AB1096" s="120"/>
      <c r="AC1096" s="120"/>
      <c r="AD1096" s="120"/>
      <c r="AE1096" s="120"/>
      <c r="AF1096" s="120"/>
      <c r="AG1096" s="94"/>
      <c r="AH1096" s="120"/>
      <c r="AI1096" s="94"/>
      <c r="AJ1096" s="94" t="s">
        <v>798</v>
      </c>
      <c r="AK1096" s="94" t="s">
        <v>66</v>
      </c>
      <c r="AL1096" s="94">
        <v>160</v>
      </c>
      <c r="AM1096" s="94" t="str">
        <f>TRIM(AJ1096)&amp;TRIM(AL1096)&amp;TRIM(AK1096)</f>
      </c>
      <c r="AN1096" s="116">
        <v>2811</v>
      </c>
      <c r="AO1096" s="116">
        <v>7773</v>
      </c>
      <c r="AP1096" s="116">
        <f>SUMIFS(M:M,AM:AM,AM1096)+SUMIFS(O:O,AM:AM,AM1096)</f>
      </c>
      <c r="AQ1096" s="116">
        <f>SUMIFS(L:L,AM:AM,AM1096)</f>
      </c>
      <c r="AR1096" s="116">
        <f>AQ1096-AP1096</f>
      </c>
      <c r="AS1096" s="94" t="str">
        <f>IF(AN1096&gt;=AQ1096,"ok","ck")</f>
      </c>
      <c r="AT1096" s="116">
        <f>-P1096</f>
      </c>
      <c r="AU1096" s="115">
        <f>IF(SUMIFS(AT:AT,AM:AM,AM1096)&gt;AO1096,(SUMIFS(AT:AT,AM:AM,AM1096)-AO1096))</f>
      </c>
      <c r="AV1096" s="116">
        <v>0</v>
      </c>
      <c r="AW1096" s="121" t="e">
        <v>#DIV/0!</v>
      </c>
      <c r="AX1096" s="115">
        <f>AN1096-AP1096</f>
      </c>
    </row>
    <row r="1097" spans="1:50" ht="15" hidden="1" customHeight="1" x14ac:dyDescent="0.3">
      <c r="A1097" s="94" t="s">
        <v>82</v>
      </c>
      <c r="B1097" s="94"/>
      <c r="C1097" s="94"/>
      <c r="D1097" s="94"/>
      <c r="E1097" s="94"/>
      <c r="F1097" s="94"/>
      <c r="G1097" s="112">
        <f>AU1097</f>
      </c>
      <c r="H1097" s="113"/>
      <c r="I1097" s="94" t="s">
        <v>83</v>
      </c>
      <c r="J1097" s="94" t="s">
        <v>281</v>
      </c>
      <c r="K1097" s="114">
        <f>P1097/3</f>
      </c>
      <c r="L1097" s="115">
        <v>20.669</v>
      </c>
      <c r="M1097" s="116"/>
      <c r="N1097" s="117">
        <f>M1097-L1097</f>
      </c>
      <c r="O1097" s="112"/>
      <c r="P1097" s="118">
        <f>N1097+O1097</f>
      </c>
      <c r="Q1097" s="94" t="s">
        <v>853</v>
      </c>
      <c r="R1097" s="94" t="s">
        <v>63</v>
      </c>
      <c r="S1097" s="120">
        <v>46336</v>
      </c>
      <c r="T1097" s="120"/>
      <c r="U1097" s="120">
        <v>46336</v>
      </c>
      <c r="V1097" s="94"/>
      <c r="W1097" s="94"/>
      <c r="X1097" s="94"/>
      <c r="Y1097" s="119">
        <v>46336</v>
      </c>
      <c r="Z1097" s="94"/>
      <c r="AA1097" s="120"/>
      <c r="AB1097" s="120"/>
      <c r="AC1097" s="120"/>
      <c r="AD1097" s="120"/>
      <c r="AE1097" s="120"/>
      <c r="AF1097" s="120"/>
      <c r="AG1097" s="94"/>
      <c r="AH1097" s="120"/>
      <c r="AI1097" s="94"/>
      <c r="AJ1097" s="94" t="s">
        <v>798</v>
      </c>
      <c r="AK1097" s="94" t="s">
        <v>66</v>
      </c>
      <c r="AL1097" s="94">
        <v>160</v>
      </c>
      <c r="AM1097" s="94" t="str">
        <f>TRIM(AJ1097)&amp;TRIM(AL1097)&amp;TRIM(AK1097)</f>
      </c>
      <c r="AN1097" s="116">
        <v>2811</v>
      </c>
      <c r="AO1097" s="116">
        <v>7773</v>
      </c>
      <c r="AP1097" s="116">
        <f>SUMIFS(M:M,AM:AM,AM1097)+SUMIFS(O:O,AM:AM,AM1097)</f>
      </c>
      <c r="AQ1097" s="116">
        <f>SUMIFS(L:L,AM:AM,AM1097)</f>
      </c>
      <c r="AR1097" s="116">
        <f>AQ1097-AP1097</f>
      </c>
      <c r="AS1097" s="94" t="str">
        <f>IF(AN1097&gt;=AQ1097,"ok","ck")</f>
      </c>
      <c r="AT1097" s="116">
        <f>-P1097</f>
      </c>
      <c r="AU1097" s="115">
        <f>IF(SUMIFS(AT:AT,AM:AM,AM1097)&gt;AO1097,(SUMIFS(AT:AT,AM:AM,AM1097)-AO1097))</f>
      </c>
      <c r="AV1097" s="116">
        <v>0</v>
      </c>
      <c r="AW1097" s="121" t="e">
        <v>#DIV/0!</v>
      </c>
      <c r="AX1097" s="115">
        <f>AN1097-AP1097</f>
      </c>
    </row>
    <row r="1098" spans="1:50" ht="15" hidden="1" customHeight="1" x14ac:dyDescent="0.3">
      <c r="A1098" s="94" t="s">
        <v>268</v>
      </c>
      <c r="B1098" s="94"/>
      <c r="C1098" s="94"/>
      <c r="D1098" s="94"/>
      <c r="E1098" s="94"/>
      <c r="F1098" s="94"/>
      <c r="G1098" s="112">
        <f>AU1098</f>
      </c>
      <c r="H1098" s="113"/>
      <c r="I1098" s="94" t="s">
        <v>278</v>
      </c>
      <c r="J1098" s="94" t="s">
        <v>273</v>
      </c>
      <c r="K1098" s="114">
        <f>P1098/3</f>
      </c>
      <c r="L1098" s="115">
        <v>13.3</v>
      </c>
      <c r="M1098" s="116">
        <f>L1098</f>
      </c>
      <c r="N1098" s="117">
        <f>M1098-L1098</f>
      </c>
      <c r="O1098" s="112"/>
      <c r="P1098" s="118">
        <f>N1098+O1098</f>
      </c>
      <c r="Q1098" s="94" t="s">
        <v>344</v>
      </c>
      <c r="R1098" s="94" t="s">
        <v>63</v>
      </c>
      <c r="S1098" s="120">
        <v>46320</v>
      </c>
      <c r="T1098" s="120"/>
      <c r="U1098" s="120">
        <v>46320</v>
      </c>
      <c r="V1098" s="94"/>
      <c r="W1098" s="94"/>
      <c r="X1098" s="94"/>
      <c r="Y1098" s="119">
        <v>46320</v>
      </c>
      <c r="Z1098" s="94"/>
      <c r="AA1098" s="120"/>
      <c r="AB1098" s="120"/>
      <c r="AC1098" s="120"/>
      <c r="AD1098" s="120"/>
      <c r="AE1098" s="120"/>
      <c r="AF1098" s="120"/>
      <c r="AG1098" s="94"/>
      <c r="AH1098" s="120"/>
      <c r="AI1098" s="94"/>
      <c r="AJ1098" s="94" t="s">
        <v>344</v>
      </c>
      <c r="AK1098" s="94" t="s">
        <v>274</v>
      </c>
      <c r="AL1098" s="94">
        <v>120</v>
      </c>
      <c r="AM1098" s="94" t="str">
        <f>TRIM(AJ1098)&amp;TRIM(AL1098)&amp;TRIM(AK1098)</f>
      </c>
      <c r="AN1098" s="116">
        <v>35</v>
      </c>
      <c r="AO1098" s="116">
        <v>-5</v>
      </c>
      <c r="AP1098" s="116">
        <f>SUMIFS(M:M,AM:AM,AM1098)+SUMIFS(O:O,AM:AM,AM1098)</f>
      </c>
      <c r="AQ1098" s="116">
        <f>SUMIFS(L:L,AM:AM,AM1098)</f>
      </c>
      <c r="AR1098" s="116">
        <f>AQ1098-AP1098</f>
      </c>
      <c r="AS1098" s="94" t="str">
        <f>IF(AN1098&gt;=AQ1098,"ok","ck")</f>
      </c>
      <c r="AT1098" s="116">
        <f>-P1098</f>
      </c>
      <c r="AU1098" s="115">
        <f>IF(SUMIFS(AT:AT,AM:AM,AM1098)&gt;AO1098,(SUMIFS(AT:AT,AM:AM,AM1098)-AO1098))</f>
      </c>
      <c r="AV1098" s="116">
        <v>35</v>
      </c>
      <c r="AW1098" s="121">
        <v>1.167</v>
      </c>
      <c r="AX1098" s="115">
        <f>AN1098-AP1098</f>
      </c>
    </row>
    <row r="1099" spans="1:50" ht="15" hidden="1" customHeight="1" x14ac:dyDescent="0.3">
      <c r="A1099" s="94" t="s">
        <v>268</v>
      </c>
      <c r="B1099" s="94"/>
      <c r="C1099" s="94"/>
      <c r="D1099" s="94"/>
      <c r="E1099" s="94"/>
      <c r="F1099" s="94"/>
      <c r="G1099" s="112">
        <f>AU1099</f>
      </c>
      <c r="H1099" s="113"/>
      <c r="I1099" s="94" t="s">
        <v>278</v>
      </c>
      <c r="J1099" s="94" t="s">
        <v>293</v>
      </c>
      <c r="K1099" s="114">
        <f>P1099/3</f>
      </c>
      <c r="L1099" s="115">
        <v>4.0000000000000001E-3</v>
      </c>
      <c r="M1099" s="116">
        <f>L1099</f>
      </c>
      <c r="N1099" s="117">
        <f>M1099-L1099</f>
      </c>
      <c r="O1099" s="112"/>
      <c r="P1099" s="118">
        <f>N1099+O1099</f>
      </c>
      <c r="Q1099" s="94" t="s">
        <v>344</v>
      </c>
      <c r="R1099" s="94" t="s">
        <v>63</v>
      </c>
      <c r="S1099" s="120">
        <v>46320</v>
      </c>
      <c r="T1099" s="120"/>
      <c r="U1099" s="120">
        <v>46320</v>
      </c>
      <c r="V1099" s="94"/>
      <c r="W1099" s="94"/>
      <c r="X1099" s="94"/>
      <c r="Y1099" s="119">
        <v>46320</v>
      </c>
      <c r="Z1099" s="94"/>
      <c r="AA1099" s="120"/>
      <c r="AB1099" s="120"/>
      <c r="AC1099" s="120"/>
      <c r="AD1099" s="120"/>
      <c r="AE1099" s="120"/>
      <c r="AF1099" s="120"/>
      <c r="AG1099" s="94"/>
      <c r="AH1099" s="120"/>
      <c r="AI1099" s="94"/>
      <c r="AJ1099" s="94" t="s">
        <v>344</v>
      </c>
      <c r="AK1099" s="94" t="s">
        <v>294</v>
      </c>
      <c r="AL1099" s="94">
        <v>120</v>
      </c>
      <c r="AM1099" s="94" t="str">
        <f>TRIM(AJ1099)&amp;TRIM(AL1099)&amp;TRIM(AK1099)</f>
      </c>
      <c r="AN1099" s="116">
        <v>34.23</v>
      </c>
      <c r="AO1099" s="116">
        <v>-4.23</v>
      </c>
      <c r="AP1099" s="116">
        <f>SUMIFS(M:M,AM:AM,AM1099)+SUMIFS(O:O,AM:AM,AM1099)</f>
      </c>
      <c r="AQ1099" s="116">
        <f>SUMIFS(L:L,AM:AM,AM1099)</f>
      </c>
      <c r="AR1099" s="116">
        <f>AQ1099-AP1099</f>
      </c>
      <c r="AS1099" s="94" t="str">
        <f>IF(AN1099&gt;=AQ1099,"ok","ck")</f>
      </c>
      <c r="AT1099" s="116">
        <f>-P1099</f>
      </c>
      <c r="AU1099" s="115">
        <f>IF(SUMIFS(AT:AT,AM:AM,AM1099)&gt;AO1099,(SUMIFS(AT:AT,AM:AM,AM1099)-AO1099))</f>
      </c>
      <c r="AV1099" s="116">
        <v>34.23</v>
      </c>
      <c r="AW1099" s="121">
        <v>1.141</v>
      </c>
      <c r="AX1099" s="115">
        <f>AN1099-AP1099</f>
      </c>
    </row>
    <row r="1100" spans="1:50" ht="15" hidden="1" customHeight="1" x14ac:dyDescent="0.3">
      <c r="A1100" s="94" t="s">
        <v>268</v>
      </c>
      <c r="B1100" s="94"/>
      <c r="C1100" s="94"/>
      <c r="D1100" s="94"/>
      <c r="E1100" s="94"/>
      <c r="F1100" s="94"/>
      <c r="G1100" s="112">
        <f>AU1100</f>
      </c>
      <c r="H1100" s="113"/>
      <c r="I1100" s="94" t="s">
        <v>278</v>
      </c>
      <c r="J1100" s="94" t="s">
        <v>550</v>
      </c>
      <c r="K1100" s="114">
        <f>P1100/3</f>
      </c>
      <c r="L1100" s="115">
        <v>117.80800000000001</v>
      </c>
      <c r="M1100" s="116"/>
      <c r="N1100" s="117">
        <f>M1100-L1100</f>
      </c>
      <c r="O1100" s="112"/>
      <c r="P1100" s="118">
        <f>N1100+O1100</f>
      </c>
      <c r="Q1100" s="94" t="s">
        <v>778</v>
      </c>
      <c r="R1100" s="94" t="s">
        <v>63</v>
      </c>
      <c r="S1100" s="120">
        <v>46333</v>
      </c>
      <c r="T1100" s="120"/>
      <c r="U1100" s="120" t="s">
        <v>655</v>
      </c>
      <c r="V1100" s="94"/>
      <c r="W1100" s="94"/>
      <c r="X1100" s="94"/>
      <c r="Y1100" s="119">
        <v>46328</v>
      </c>
      <c r="Z1100" s="94"/>
      <c r="AA1100" s="120"/>
      <c r="AB1100" s="120"/>
      <c r="AC1100" s="120"/>
      <c r="AD1100" s="120"/>
      <c r="AE1100" s="120"/>
      <c r="AF1100" s="120"/>
      <c r="AG1100" s="94"/>
      <c r="AH1100" s="120"/>
      <c r="AI1100" s="94"/>
      <c r="AJ1100" s="94" t="s">
        <v>778</v>
      </c>
      <c r="AK1100" s="94" t="s">
        <v>725</v>
      </c>
      <c r="AL1100" s="94">
        <v>120</v>
      </c>
      <c r="AM1100" s="94" t="str">
        <f>TRIM(AJ1100)&amp;TRIM(AL1100)&amp;TRIM(AK1100)</f>
      </c>
      <c r="AN1100" s="116">
        <v>0</v>
      </c>
      <c r="AO1100" s="116" t="inlineStr">
        <is>
          <t>#NA</t>
        </is>
      </c>
      <c r="AP1100" s="116">
        <f>SUMIFS(M:M,AM:AM,AM1100)+SUMIFS(O:O,AM:AM,AM1100)</f>
      </c>
      <c r="AQ1100" s="116">
        <f>SUMIFS(L:L,AM:AM,AM1100)</f>
      </c>
      <c r="AR1100" s="116">
        <f>AQ1100-AP1100</f>
      </c>
      <c r="AS1100" s="94" t="str">
        <f>IF(AN1100&gt;=AQ1100,"ok","ck")</f>
      </c>
      <c r="AT1100" s="116">
        <f>-P1100</f>
      </c>
      <c r="AU1100" s="115">
        <f>IF(SUMIFS(AT:AT,AM:AM,AM1100)&gt;AO1100,(SUMIFS(AT:AT,AM:AM,AM1100)-AO1100))</f>
      </c>
      <c r="AV1100" s="116">
        <v>0</v>
      </c>
      <c r="AW1100" s="121">
        <v>0</v>
      </c>
      <c r="AX1100" s="115">
        <f>AN1100-AP1100</f>
      </c>
    </row>
    <row r="1101" spans="1:50" ht="15" hidden="1" customHeight="1" x14ac:dyDescent="0.3">
      <c r="A1101" s="94" t="s">
        <v>268</v>
      </c>
      <c r="B1101" s="94"/>
      <c r="C1101" s="94"/>
      <c r="D1101" s="94"/>
      <c r="E1101" s="94"/>
      <c r="F1101" s="94"/>
      <c r="G1101" s="112">
        <f>AU1101</f>
      </c>
      <c r="H1101" s="113"/>
      <c r="I1101" s="94" t="s">
        <v>278</v>
      </c>
      <c r="J1101" s="94" t="s">
        <v>550</v>
      </c>
      <c r="K1101" s="114">
        <f>P1101/3</f>
      </c>
      <c r="L1101" s="115">
        <v>144.785</v>
      </c>
      <c r="M1101" s="116"/>
      <c r="N1101" s="117">
        <f>M1101-L1101</f>
      </c>
      <c r="O1101" s="112"/>
      <c r="P1101" s="118">
        <f>N1101+O1101</f>
      </c>
      <c r="Q1101" s="94" t="s">
        <v>778</v>
      </c>
      <c r="R1101" s="94" t="s">
        <v>63</v>
      </c>
      <c r="S1101" s="120">
        <v>46346</v>
      </c>
      <c r="T1101" s="120"/>
      <c r="U1101" s="120" t="s">
        <v>655</v>
      </c>
      <c r="V1101" s="94"/>
      <c r="W1101" s="94"/>
      <c r="X1101" s="94"/>
      <c r="Y1101" s="119">
        <v>46328</v>
      </c>
      <c r="Z1101" s="94"/>
      <c r="AA1101" s="120"/>
      <c r="AB1101" s="120"/>
      <c r="AC1101" s="120"/>
      <c r="AD1101" s="120"/>
      <c r="AE1101" s="120"/>
      <c r="AF1101" s="120"/>
      <c r="AG1101" s="94"/>
      <c r="AH1101" s="120"/>
      <c r="AI1101" s="94"/>
      <c r="AJ1101" s="94" t="s">
        <v>778</v>
      </c>
      <c r="AK1101" s="94" t="s">
        <v>725</v>
      </c>
      <c r="AL1101" s="94">
        <v>120</v>
      </c>
      <c r="AM1101" s="94" t="str">
        <f>TRIM(AJ1101)&amp;TRIM(AL1101)&amp;TRIM(AK1101)</f>
      </c>
      <c r="AN1101" s="116">
        <v>0</v>
      </c>
      <c r="AO1101" s="116" t="inlineStr">
        <is>
          <t>#NA</t>
        </is>
      </c>
      <c r="AP1101" s="116">
        <f>SUMIFS(M:M,AM:AM,AM1101)+SUMIFS(O:O,AM:AM,AM1101)</f>
      </c>
      <c r="AQ1101" s="116">
        <f>SUMIFS(L:L,AM:AM,AM1101)</f>
      </c>
      <c r="AR1101" s="116">
        <f>AQ1101-AP1101</f>
      </c>
      <c r="AS1101" s="94" t="str">
        <f>IF(AN1101&gt;=AQ1101,"ok","ck")</f>
      </c>
      <c r="AT1101" s="116">
        <f>-P1101</f>
      </c>
      <c r="AU1101" s="115">
        <f>IF(SUMIFS(AT:AT,AM:AM,AM1101)&gt;AO1101,(SUMIFS(AT:AT,AM:AM,AM1101)-AO1101))</f>
      </c>
      <c r="AV1101" s="116">
        <v>0</v>
      </c>
      <c r="AW1101" s="121">
        <v>0</v>
      </c>
      <c r="AX1101" s="115">
        <f>AN1101-AP1101</f>
      </c>
    </row>
    <row r="1102" spans="1:50" ht="15" hidden="1" customHeight="1" x14ac:dyDescent="0.3">
      <c r="A1102" s="94" t="s">
        <v>268</v>
      </c>
      <c r="B1102" s="94"/>
      <c r="C1102" s="94"/>
      <c r="D1102" s="94"/>
      <c r="E1102" s="94"/>
      <c r="F1102" s="94"/>
      <c r="G1102" s="112">
        <f>AU1102</f>
      </c>
      <c r="H1102" s="113"/>
      <c r="I1102" s="94" t="s">
        <v>278</v>
      </c>
      <c r="J1102" s="94" t="s">
        <v>550</v>
      </c>
      <c r="K1102" s="114">
        <f>P1102/3</f>
      </c>
      <c r="L1102" s="115">
        <v>0</v>
      </c>
      <c r="M1102" s="116"/>
      <c r="N1102" s="117">
        <f>M1102-L1102</f>
      </c>
      <c r="O1102" s="112"/>
      <c r="P1102" s="118">
        <f>N1102+O1102</f>
      </c>
      <c r="Q1102" s="94" t="s">
        <v>778</v>
      </c>
      <c r="R1102" s="94" t="s">
        <v>63</v>
      </c>
      <c r="S1102" s="119">
        <v>46343</v>
      </c>
      <c r="T1102" s="119"/>
      <c r="U1102" s="120">
        <v>46343</v>
      </c>
      <c r="V1102" s="94"/>
      <c r="W1102" s="94"/>
      <c r="X1102" s="94"/>
      <c r="Y1102" s="119">
        <v>46343</v>
      </c>
      <c r="Z1102" s="94"/>
      <c r="AA1102" s="120"/>
      <c r="AB1102" s="120"/>
      <c r="AC1102" s="120"/>
      <c r="AD1102" s="120"/>
      <c r="AE1102" s="120"/>
      <c r="AF1102" s="120"/>
      <c r="AG1102" s="94"/>
      <c r="AH1102" s="120"/>
      <c r="AI1102" s="94"/>
      <c r="AJ1102" s="94" t="s">
        <v>778</v>
      </c>
      <c r="AK1102" s="94" t="s">
        <v>725</v>
      </c>
      <c r="AL1102" s="94">
        <v>120</v>
      </c>
      <c r="AM1102" s="94" t="str">
        <f>TRIM(AJ1102)&amp;TRIM(AL1102)&amp;TRIM(AK1102)</f>
      </c>
      <c r="AN1102" s="116">
        <v>0</v>
      </c>
      <c r="AO1102" s="116" t="inlineStr">
        <is>
          <t>#NA</t>
        </is>
      </c>
      <c r="AP1102" s="116">
        <f>SUMIFS(M:M,AM:AM,AM1102)+SUMIFS(O:O,AM:AM,AM1102)</f>
      </c>
      <c r="AQ1102" s="116">
        <f>SUMIFS(L:L,AM:AM,AM1102)</f>
      </c>
      <c r="AR1102" s="116">
        <f>AQ1102-AP1102</f>
      </c>
      <c r="AS1102" s="94" t="str">
        <f>IF(AN1102&gt;=AQ1102,"ok","ck")</f>
      </c>
      <c r="AT1102" s="116">
        <f>-P1102</f>
      </c>
      <c r="AU1102" s="115">
        <f>IF(SUMIFS(AT:AT,AM:AM,AM1102)&gt;AO1102,(SUMIFS(AT:AT,AM:AM,AM1102)-AO1102))</f>
      </c>
      <c r="AV1102" s="116">
        <v>0</v>
      </c>
      <c r="AW1102" s="121">
        <v>0</v>
      </c>
      <c r="AX1102" s="115">
        <f>AN1102-AP1102</f>
      </c>
    </row>
    <row r="1103" spans="1:50" ht="15" hidden="1" customHeight="1" x14ac:dyDescent="0.3">
      <c r="A1103" s="94" t="s">
        <v>268</v>
      </c>
      <c r="B1103" s="94"/>
      <c r="C1103" s="94"/>
      <c r="D1103" s="94"/>
      <c r="E1103" s="94"/>
      <c r="F1103" s="94"/>
      <c r="G1103" s="112">
        <f>AU1103</f>
      </c>
      <c r="H1103" s="113"/>
      <c r="I1103" s="94" t="s">
        <v>278</v>
      </c>
      <c r="J1103" s="94" t="s">
        <v>550</v>
      </c>
      <c r="K1103" s="114">
        <f>P1103/3</f>
      </c>
      <c r="L1103" s="115">
        <v>0.14399999999999999</v>
      </c>
      <c r="M1103" s="116"/>
      <c r="N1103" s="117">
        <f>M1103-L1103</f>
      </c>
      <c r="O1103" s="112"/>
      <c r="P1103" s="118">
        <f>N1103+O1103</f>
      </c>
      <c r="Q1103" s="94" t="s">
        <v>778</v>
      </c>
      <c r="R1103" s="94" t="s">
        <v>63</v>
      </c>
      <c r="S1103" s="120">
        <v>46334</v>
      </c>
      <c r="T1103" s="120"/>
      <c r="U1103" s="120">
        <v>46334</v>
      </c>
      <c r="V1103" s="94"/>
      <c r="W1103" s="94"/>
      <c r="X1103" s="94"/>
      <c r="Y1103" s="119">
        <v>46334</v>
      </c>
      <c r="Z1103" s="94"/>
      <c r="AA1103" s="120"/>
      <c r="AB1103" s="120"/>
      <c r="AC1103" s="120"/>
      <c r="AD1103" s="120"/>
      <c r="AE1103" s="120"/>
      <c r="AF1103" s="120"/>
      <c r="AG1103" s="94"/>
      <c r="AH1103" s="120"/>
      <c r="AI1103" s="94"/>
      <c r="AJ1103" s="94" t="s">
        <v>778</v>
      </c>
      <c r="AK1103" s="94" t="s">
        <v>725</v>
      </c>
      <c r="AL1103" s="94">
        <v>120</v>
      </c>
      <c r="AM1103" s="94" t="str">
        <f>TRIM(AJ1103)&amp;TRIM(AL1103)&amp;TRIM(AK1103)</f>
      </c>
      <c r="AN1103" s="116">
        <v>0</v>
      </c>
      <c r="AO1103" s="116" t="inlineStr">
        <is>
          <t>#NA</t>
        </is>
      </c>
      <c r="AP1103" s="116">
        <f>SUMIFS(M:M,AM:AM,AM1103)+SUMIFS(O:O,AM:AM,AM1103)</f>
      </c>
      <c r="AQ1103" s="116">
        <f>SUMIFS(L:L,AM:AM,AM1103)</f>
      </c>
      <c r="AR1103" s="116">
        <f>AQ1103-AP1103</f>
      </c>
      <c r="AS1103" s="94" t="str">
        <f>IF(AN1103&gt;=AQ1103,"ok","ck")</f>
      </c>
      <c r="AT1103" s="116">
        <f>-P1103</f>
      </c>
      <c r="AU1103" s="115">
        <f>IF(SUMIFS(AT:AT,AM:AM,AM1103)&gt;AO1103,(SUMIFS(AT:AT,AM:AM,AM1103)-AO1103))</f>
      </c>
      <c r="AV1103" s="116">
        <v>0</v>
      </c>
      <c r="AW1103" s="121">
        <v>0</v>
      </c>
      <c r="AX1103" s="115">
        <f>AN1103-AP1103</f>
      </c>
    </row>
    <row r="1104" spans="1:50" ht="15" hidden="1" customHeight="1" x14ac:dyDescent="0.3">
      <c r="A1104" s="94" t="s">
        <v>268</v>
      </c>
      <c r="B1104" s="94"/>
      <c r="C1104" s="94"/>
      <c r="D1104" s="94"/>
      <c r="E1104" s="94"/>
      <c r="F1104" s="94"/>
      <c r="G1104" s="112">
        <f>AU1104</f>
      </c>
      <c r="H1104" s="113"/>
      <c r="I1104" s="94" t="s">
        <v>278</v>
      </c>
      <c r="J1104" s="94" t="s">
        <v>550</v>
      </c>
      <c r="K1104" s="114">
        <f>P1104/3</f>
      </c>
      <c r="L1104" s="115">
        <v>0.13400000000000001</v>
      </c>
      <c r="M1104" s="116"/>
      <c r="N1104" s="117">
        <f>M1104-L1104</f>
      </c>
      <c r="O1104" s="112"/>
      <c r="P1104" s="118">
        <f>N1104+O1104</f>
      </c>
      <c r="Q1104" s="94" t="s">
        <v>778</v>
      </c>
      <c r="R1104" s="94" t="s">
        <v>63</v>
      </c>
      <c r="S1104" s="120">
        <v>46341</v>
      </c>
      <c r="T1104" s="120"/>
      <c r="U1104" s="120">
        <v>46341</v>
      </c>
      <c r="V1104" s="94"/>
      <c r="W1104" s="94"/>
      <c r="X1104" s="94"/>
      <c r="Y1104" s="119">
        <v>46341</v>
      </c>
      <c r="Z1104" s="94"/>
      <c r="AA1104" s="120"/>
      <c r="AB1104" s="120"/>
      <c r="AC1104" s="120"/>
      <c r="AD1104" s="120"/>
      <c r="AE1104" s="120"/>
      <c r="AF1104" s="120"/>
      <c r="AG1104" s="94"/>
      <c r="AH1104" s="120"/>
      <c r="AI1104" s="94"/>
      <c r="AJ1104" s="94" t="s">
        <v>778</v>
      </c>
      <c r="AK1104" s="94" t="s">
        <v>725</v>
      </c>
      <c r="AL1104" s="94">
        <v>120</v>
      </c>
      <c r="AM1104" s="94" t="str">
        <f>TRIM(AJ1104)&amp;TRIM(AL1104)&amp;TRIM(AK1104)</f>
      </c>
      <c r="AN1104" s="116">
        <v>0</v>
      </c>
      <c r="AO1104" s="116" t="inlineStr">
        <is>
          <t>#NA</t>
        </is>
      </c>
      <c r="AP1104" s="116">
        <f>SUMIFS(M:M,AM:AM,AM1104)+SUMIFS(O:O,AM:AM,AM1104)</f>
      </c>
      <c r="AQ1104" s="116">
        <f>SUMIFS(L:L,AM:AM,AM1104)</f>
      </c>
      <c r="AR1104" s="116">
        <f>AQ1104-AP1104</f>
      </c>
      <c r="AS1104" s="94" t="str">
        <f>IF(AN1104&gt;=AQ1104,"ok","ck")</f>
      </c>
      <c r="AT1104" s="116">
        <f>-P1104</f>
      </c>
      <c r="AU1104" s="115">
        <f>IF(SUMIFS(AT:AT,AM:AM,AM1104)&gt;AO1104,(SUMIFS(AT:AT,AM:AM,AM1104)-AO1104))</f>
      </c>
      <c r="AV1104" s="116">
        <v>0</v>
      </c>
      <c r="AW1104" s="121">
        <v>0</v>
      </c>
      <c r="AX1104" s="115">
        <f>AN1104-AP1104</f>
      </c>
    </row>
    <row r="1105" spans="1:50" ht="15" hidden="1" customHeight="1" x14ac:dyDescent="0.3">
      <c r="A1105" s="94" t="s">
        <v>268</v>
      </c>
      <c r="B1105" s="94"/>
      <c r="C1105" s="94"/>
      <c r="D1105" s="94"/>
      <c r="E1105" s="94"/>
      <c r="F1105" s="94"/>
      <c r="G1105" s="112">
        <f>AU1105</f>
      </c>
      <c r="H1105" s="113"/>
      <c r="I1105" s="94" t="s">
        <v>278</v>
      </c>
      <c r="J1105" s="94" t="s">
        <v>550</v>
      </c>
      <c r="K1105" s="114">
        <f>P1105/3</f>
      </c>
      <c r="L1105" s="115">
        <v>236.71100000000001</v>
      </c>
      <c r="M1105" s="116"/>
      <c r="N1105" s="117">
        <f>M1105-L1105</f>
      </c>
      <c r="O1105" s="112"/>
      <c r="P1105" s="118">
        <f>N1105+O1105</f>
      </c>
      <c r="Q1105" s="94" t="s">
        <v>778</v>
      </c>
      <c r="R1105" s="94" t="s">
        <v>63</v>
      </c>
      <c r="S1105" s="120">
        <v>46348</v>
      </c>
      <c r="T1105" s="120"/>
      <c r="U1105" s="120" t="s">
        <v>655</v>
      </c>
      <c r="V1105" s="94"/>
      <c r="W1105" s="94"/>
      <c r="X1105" s="94"/>
      <c r="Y1105" s="119">
        <v>46330</v>
      </c>
      <c r="Z1105" s="94"/>
      <c r="AA1105" s="120"/>
      <c r="AB1105" s="120"/>
      <c r="AC1105" s="120"/>
      <c r="AD1105" s="120"/>
      <c r="AE1105" s="120"/>
      <c r="AF1105" s="120"/>
      <c r="AG1105" s="94"/>
      <c r="AH1105" s="120"/>
      <c r="AI1105" s="94"/>
      <c r="AJ1105" s="94" t="s">
        <v>778</v>
      </c>
      <c r="AK1105" s="94" t="s">
        <v>725</v>
      </c>
      <c r="AL1105" s="94">
        <v>120</v>
      </c>
      <c r="AM1105" s="94" t="str">
        <f>TRIM(AJ1105)&amp;TRIM(AL1105)&amp;TRIM(AK1105)</f>
      </c>
      <c r="AN1105" s="116">
        <v>0</v>
      </c>
      <c r="AO1105" s="116" t="inlineStr">
        <is>
          <t>#NA</t>
        </is>
      </c>
      <c r="AP1105" s="116">
        <f>SUMIFS(M:M,AM:AM,AM1105)+SUMIFS(O:O,AM:AM,AM1105)</f>
      </c>
      <c r="AQ1105" s="116">
        <f>SUMIFS(L:L,AM:AM,AM1105)</f>
      </c>
      <c r="AR1105" s="116">
        <f>AQ1105-AP1105</f>
      </c>
      <c r="AS1105" s="94" t="str">
        <f>IF(AN1105&gt;=AQ1105,"ok","ck")</f>
      </c>
      <c r="AT1105" s="116">
        <f>-P1105</f>
      </c>
      <c r="AU1105" s="115">
        <f>IF(SUMIFS(AT:AT,AM:AM,AM1105)&gt;AO1105,(SUMIFS(AT:AT,AM:AM,AM1105)-AO1105))</f>
      </c>
      <c r="AV1105" s="116">
        <v>0</v>
      </c>
      <c r="AW1105" s="121">
        <v>0</v>
      </c>
      <c r="AX1105" s="115">
        <f>AN1105-AP1105</f>
      </c>
    </row>
    <row r="1106" spans="1:50" ht="15" hidden="1" customHeight="1" x14ac:dyDescent="0.3">
      <c r="A1106" s="94" t="s">
        <v>268</v>
      </c>
      <c r="B1106" s="94"/>
      <c r="C1106" s="94"/>
      <c r="D1106" s="94"/>
      <c r="E1106" s="94"/>
      <c r="F1106" s="94"/>
      <c r="G1106" s="112">
        <f>AU1106</f>
      </c>
      <c r="H1106" s="113"/>
      <c r="I1106" s="94" t="s">
        <v>278</v>
      </c>
      <c r="J1106" s="94" t="s">
        <v>550</v>
      </c>
      <c r="K1106" s="114">
        <f>P1106/3</f>
      </c>
      <c r="L1106" s="115">
        <v>0.14399999999999999</v>
      </c>
      <c r="M1106" s="116"/>
      <c r="N1106" s="117">
        <f>M1106-L1106</f>
      </c>
      <c r="O1106" s="112"/>
      <c r="P1106" s="118">
        <f>N1106+O1106</f>
      </c>
      <c r="Q1106" s="94" t="s">
        <v>778</v>
      </c>
      <c r="R1106" s="94" t="s">
        <v>63</v>
      </c>
      <c r="S1106" s="120">
        <v>46342</v>
      </c>
      <c r="T1106" s="120"/>
      <c r="U1106" s="120">
        <v>46342</v>
      </c>
      <c r="V1106" s="94"/>
      <c r="W1106" s="94"/>
      <c r="X1106" s="94"/>
      <c r="Y1106" s="119">
        <v>46342</v>
      </c>
      <c r="Z1106" s="94"/>
      <c r="AA1106" s="120"/>
      <c r="AB1106" s="120"/>
      <c r="AC1106" s="120"/>
      <c r="AD1106" s="120"/>
      <c r="AE1106" s="120"/>
      <c r="AF1106" s="120"/>
      <c r="AG1106" s="94"/>
      <c r="AH1106" s="120"/>
      <c r="AI1106" s="94"/>
      <c r="AJ1106" s="94" t="s">
        <v>778</v>
      </c>
      <c r="AK1106" s="94" t="s">
        <v>725</v>
      </c>
      <c r="AL1106" s="94">
        <v>120</v>
      </c>
      <c r="AM1106" s="94" t="str">
        <f>TRIM(AJ1106)&amp;TRIM(AL1106)&amp;TRIM(AK1106)</f>
      </c>
      <c r="AN1106" s="116">
        <v>0</v>
      </c>
      <c r="AO1106" s="116" t="inlineStr">
        <is>
          <t>#NA</t>
        </is>
      </c>
      <c r="AP1106" s="116">
        <f>SUMIFS(M:M,AM:AM,AM1106)+SUMIFS(O:O,AM:AM,AM1106)</f>
      </c>
      <c r="AQ1106" s="116">
        <f>SUMIFS(L:L,AM:AM,AM1106)</f>
      </c>
      <c r="AR1106" s="116">
        <f>AQ1106-AP1106</f>
      </c>
      <c r="AS1106" s="94" t="str">
        <f>IF(AN1106&gt;=AQ1106,"ok","ck")</f>
      </c>
      <c r="AT1106" s="116">
        <f>-P1106</f>
      </c>
      <c r="AU1106" s="115">
        <f>IF(SUMIFS(AT:AT,AM:AM,AM1106)&gt;AO1106,(SUMIFS(AT:AT,AM:AM,AM1106)-AO1106))</f>
      </c>
      <c r="AV1106" s="116">
        <v>0</v>
      </c>
      <c r="AW1106" s="121">
        <v>0</v>
      </c>
      <c r="AX1106" s="115">
        <f>AN1106-AP1106</f>
      </c>
    </row>
    <row r="1107" spans="1:50" ht="15" hidden="1" customHeight="1" x14ac:dyDescent="0.3">
      <c r="A1107" s="94" t="s">
        <v>268</v>
      </c>
      <c r="B1107" s="94"/>
      <c r="C1107" s="94"/>
      <c r="D1107" s="94"/>
      <c r="E1107" s="94"/>
      <c r="F1107" s="94"/>
      <c r="G1107" s="112">
        <f>AU1107</f>
      </c>
      <c r="H1107" s="113"/>
      <c r="I1107" s="94" t="s">
        <v>278</v>
      </c>
      <c r="J1107" s="94" t="s">
        <v>550</v>
      </c>
      <c r="K1107" s="114">
        <f>P1107/3</f>
      </c>
      <c r="L1107" s="115">
        <v>0.14799999999999999</v>
      </c>
      <c r="M1107" s="116"/>
      <c r="N1107" s="117">
        <f>M1107-L1107</f>
      </c>
      <c r="O1107" s="112"/>
      <c r="P1107" s="118">
        <f>N1107+O1107</f>
      </c>
      <c r="Q1107" s="94" t="s">
        <v>778</v>
      </c>
      <c r="R1107" s="94" t="s">
        <v>63</v>
      </c>
      <c r="S1107" s="120">
        <v>46334</v>
      </c>
      <c r="T1107" s="120"/>
      <c r="U1107" s="120">
        <v>46334</v>
      </c>
      <c r="V1107" s="94"/>
      <c r="W1107" s="94"/>
      <c r="X1107" s="94"/>
      <c r="Y1107" s="119">
        <v>46334</v>
      </c>
      <c r="Z1107" s="94"/>
      <c r="AA1107" s="120"/>
      <c r="AB1107" s="120"/>
      <c r="AC1107" s="120"/>
      <c r="AD1107" s="120"/>
      <c r="AE1107" s="120"/>
      <c r="AF1107" s="120"/>
      <c r="AG1107" s="94"/>
      <c r="AH1107" s="120"/>
      <c r="AI1107" s="94"/>
      <c r="AJ1107" s="94" t="s">
        <v>778</v>
      </c>
      <c r="AK1107" s="94" t="s">
        <v>725</v>
      </c>
      <c r="AL1107" s="94">
        <v>120</v>
      </c>
      <c r="AM1107" s="94" t="str">
        <f>TRIM(AJ1107)&amp;TRIM(AL1107)&amp;TRIM(AK1107)</f>
      </c>
      <c r="AN1107" s="116">
        <v>0</v>
      </c>
      <c r="AO1107" s="116" t="inlineStr">
        <is>
          <t>#NA</t>
        </is>
      </c>
      <c r="AP1107" s="116">
        <f>SUMIFS(M:M,AM:AM,AM1107)+SUMIFS(O:O,AM:AM,AM1107)</f>
      </c>
      <c r="AQ1107" s="116">
        <f>SUMIFS(L:L,AM:AM,AM1107)</f>
      </c>
      <c r="AR1107" s="116">
        <f>AQ1107-AP1107</f>
      </c>
      <c r="AS1107" s="94" t="str">
        <f>IF(AN1107&gt;=AQ1107,"ok","ck")</f>
      </c>
      <c r="AT1107" s="116">
        <f>-P1107</f>
      </c>
      <c r="AU1107" s="115">
        <f>IF(SUMIFS(AT:AT,AM:AM,AM1107)&gt;AO1107,(SUMIFS(AT:AT,AM:AM,AM1107)-AO1107))</f>
      </c>
      <c r="AV1107" s="116">
        <v>0</v>
      </c>
      <c r="AW1107" s="121">
        <v>0</v>
      </c>
      <c r="AX1107" s="115">
        <f>AN1107-AP1107</f>
      </c>
    </row>
    <row r="1108" spans="1:50" ht="15" hidden="1" customHeight="1" x14ac:dyDescent="0.3">
      <c r="A1108" s="94" t="s">
        <v>268</v>
      </c>
      <c r="B1108" s="94"/>
      <c r="C1108" s="94"/>
      <c r="D1108" s="94"/>
      <c r="E1108" s="94"/>
      <c r="F1108" s="94"/>
      <c r="G1108" s="112">
        <f>AU1108</f>
      </c>
      <c r="H1108" s="113"/>
      <c r="I1108" s="94" t="s">
        <v>278</v>
      </c>
      <c r="J1108" s="94" t="s">
        <v>507</v>
      </c>
      <c r="K1108" s="114">
        <f>P1108/3</f>
      </c>
      <c r="L1108" s="115">
        <v>0.126</v>
      </c>
      <c r="M1108" s="116"/>
      <c r="N1108" s="117">
        <f>M1108-L1108</f>
      </c>
      <c r="O1108" s="112"/>
      <c r="P1108" s="118">
        <f>N1108+O1108</f>
      </c>
      <c r="Q1108" s="94" t="s">
        <v>778</v>
      </c>
      <c r="R1108" s="94" t="s">
        <v>63</v>
      </c>
      <c r="S1108" s="120">
        <v>46328</v>
      </c>
      <c r="T1108" s="120"/>
      <c r="U1108" s="120">
        <v>46328</v>
      </c>
      <c r="V1108" s="94"/>
      <c r="W1108" s="94"/>
      <c r="X1108" s="94"/>
      <c r="Y1108" s="119">
        <v>46328</v>
      </c>
      <c r="Z1108" s="94"/>
      <c r="AA1108" s="120"/>
      <c r="AB1108" s="120"/>
      <c r="AC1108" s="120"/>
      <c r="AD1108" s="120"/>
      <c r="AE1108" s="120"/>
      <c r="AF1108" s="120"/>
      <c r="AG1108" s="94"/>
      <c r="AH1108" s="120"/>
      <c r="AI1108" s="94"/>
      <c r="AJ1108" s="94" t="s">
        <v>778</v>
      </c>
      <c r="AK1108" s="94" t="s">
        <v>701</v>
      </c>
      <c r="AL1108" s="94">
        <v>120</v>
      </c>
      <c r="AM1108" s="94" t="str">
        <f>TRIM(AJ1108)&amp;TRIM(AL1108)&amp;TRIM(AK1108)</f>
      </c>
      <c r="AN1108" s="116">
        <v>0</v>
      </c>
      <c r="AO1108" s="116" t="inlineStr">
        <is>
          <t>#NA</t>
        </is>
      </c>
      <c r="AP1108" s="116">
        <f>SUMIFS(M:M,AM:AM,AM1108)+SUMIFS(O:O,AM:AM,AM1108)</f>
      </c>
      <c r="AQ1108" s="116">
        <f>SUMIFS(L:L,AM:AM,AM1108)</f>
      </c>
      <c r="AR1108" s="116">
        <f>AQ1108-AP1108</f>
      </c>
      <c r="AS1108" s="94" t="str">
        <f>IF(AN1108&gt;=AQ1108,"ok","ck")</f>
      </c>
      <c r="AT1108" s="116">
        <f>-P1108</f>
      </c>
      <c r="AU1108" s="115">
        <f>IF(SUMIFS(AT:AT,AM:AM,AM1108)&gt;AO1108,(SUMIFS(AT:AT,AM:AM,AM1108)-AO1108))</f>
      </c>
      <c r="AV1108" s="116">
        <v>0</v>
      </c>
      <c r="AW1108" s="121">
        <v>0</v>
      </c>
      <c r="AX1108" s="115">
        <f>AN1108-AP1108</f>
      </c>
    </row>
    <row r="1109" spans="1:50" ht="15" hidden="1" customHeight="1" x14ac:dyDescent="0.3">
      <c r="A1109" s="94" t="s">
        <v>288</v>
      </c>
      <c r="B1109" s="94"/>
      <c r="C1109" s="94"/>
      <c r="D1109" s="94"/>
      <c r="E1109" s="94"/>
      <c r="F1109" s="94"/>
      <c r="G1109" s="112">
        <f>AU1109</f>
      </c>
      <c r="H1109" s="113"/>
      <c r="I1109" s="94" t="s">
        <v>297</v>
      </c>
      <c r="J1109" s="94" t="s">
        <v>301</v>
      </c>
      <c r="K1109" s="114">
        <f>P1109/3</f>
      </c>
      <c r="L1109" s="115">
        <v>0</v>
      </c>
      <c r="M1109" s="116"/>
      <c r="N1109" s="117">
        <f>M1109-L1109</f>
      </c>
      <c r="O1109" s="112"/>
      <c r="P1109" s="118">
        <f>N1109+O1109</f>
      </c>
      <c r="Q1109" s="94" t="s">
        <v>296</v>
      </c>
      <c r="R1109" s="94" t="s">
        <v>63</v>
      </c>
      <c r="S1109" s="120">
        <v>46331</v>
      </c>
      <c r="T1109" s="120"/>
      <c r="U1109" s="120">
        <v>46331</v>
      </c>
      <c r="V1109" s="94"/>
      <c r="W1109" s="94"/>
      <c r="X1109" s="94"/>
      <c r="Y1109" s="119">
        <v>46331</v>
      </c>
      <c r="Z1109" s="94"/>
      <c r="AA1109" s="120"/>
      <c r="AB1109" s="120"/>
      <c r="AC1109" s="120"/>
      <c r="AD1109" s="120"/>
      <c r="AE1109" s="120"/>
      <c r="AF1109" s="120"/>
      <c r="AG1109" s="94"/>
      <c r="AH1109" s="120"/>
      <c r="AI1109" s="94"/>
      <c r="AJ1109" s="94" t="s">
        <v>479</v>
      </c>
      <c r="AK1109" s="94" t="s">
        <v>302</v>
      </c>
      <c r="AL1109" s="94">
        <v>190</v>
      </c>
      <c r="AM1109" s="94" t="str">
        <f>TRIM(AJ1109)&amp;TRIM(AL1109)&amp;TRIM(AK1109)</f>
      </c>
      <c r="AN1109" s="116">
        <v>1657.82</v>
      </c>
      <c r="AO1109" s="116">
        <v>193.77</v>
      </c>
      <c r="AP1109" s="116">
        <f>SUMIFS(M:M,AM:AM,AM1109)+SUMIFS(O:O,AM:AM,AM1109)</f>
      </c>
      <c r="AQ1109" s="116">
        <f>SUMIFS(L:L,AM:AM,AM1109)</f>
      </c>
      <c r="AR1109" s="116">
        <f>AQ1109-AP1109</f>
      </c>
      <c r="AS1109" s="94" t="str">
        <f>IF(AN1109&gt;=AQ1109,"ok","ck")</f>
      </c>
      <c r="AT1109" s="116">
        <f>-P1109</f>
      </c>
      <c r="AU1109" s="115">
        <f>IF(SUMIFS(AT:AT,AM:AM,AM1109)&gt;AO1109,(SUMIFS(AT:AT,AM:AM,AM1109)-AO1109))</f>
      </c>
      <c r="AV1109" s="116">
        <v>1657.82</v>
      </c>
      <c r="AW1109" s="121">
        <v>0.895</v>
      </c>
      <c r="AX1109" s="115">
        <f>AN1109-AP1109</f>
      </c>
    </row>
    <row r="1110" spans="1:50" ht="15" hidden="1" customHeight="1" x14ac:dyDescent="0.3">
      <c r="A1110" s="94" t="s">
        <v>288</v>
      </c>
      <c r="B1110" s="94"/>
      <c r="C1110" s="94"/>
      <c r="D1110" s="94"/>
      <c r="E1110" s="94"/>
      <c r="F1110" s="94"/>
      <c r="G1110" s="112">
        <f>AU1110</f>
      </c>
      <c r="H1110" s="113"/>
      <c r="I1110" s="94" t="s">
        <v>297</v>
      </c>
      <c r="J1110" s="94" t="s">
        <v>301</v>
      </c>
      <c r="K1110" s="114">
        <f>P1110/3</f>
      </c>
      <c r="L1110" s="115">
        <v>0</v>
      </c>
      <c r="M1110" s="116"/>
      <c r="N1110" s="117">
        <f>M1110-L1110</f>
      </c>
      <c r="O1110" s="112"/>
      <c r="P1110" s="118">
        <f>N1110+O1110</f>
      </c>
      <c r="Q1110" s="94" t="s">
        <v>296</v>
      </c>
      <c r="R1110" s="94" t="s">
        <v>63</v>
      </c>
      <c r="S1110" s="120">
        <v>46343</v>
      </c>
      <c r="T1110" s="120"/>
      <c r="U1110" s="120">
        <v>46343</v>
      </c>
      <c r="V1110" s="94"/>
      <c r="W1110" s="94"/>
      <c r="X1110" s="94"/>
      <c r="Y1110" s="119">
        <v>46343</v>
      </c>
      <c r="Z1110" s="94"/>
      <c r="AA1110" s="120"/>
      <c r="AB1110" s="120"/>
      <c r="AC1110" s="120"/>
      <c r="AD1110" s="120"/>
      <c r="AE1110" s="120"/>
      <c r="AF1110" s="120"/>
      <c r="AG1110" s="94"/>
      <c r="AH1110" s="120"/>
      <c r="AI1110" s="94"/>
      <c r="AJ1110" s="94" t="s">
        <v>479</v>
      </c>
      <c r="AK1110" s="94" t="s">
        <v>302</v>
      </c>
      <c r="AL1110" s="94">
        <v>190</v>
      </c>
      <c r="AM1110" s="94" t="str">
        <f>TRIM(AJ1110)&amp;TRIM(AL1110)&amp;TRIM(AK1110)</f>
      </c>
      <c r="AN1110" s="116">
        <v>1657.82</v>
      </c>
      <c r="AO1110" s="116">
        <v>193.77</v>
      </c>
      <c r="AP1110" s="116">
        <f>SUMIFS(M:M,AM:AM,AM1110)+SUMIFS(O:O,AM:AM,AM1110)</f>
      </c>
      <c r="AQ1110" s="116">
        <f>SUMIFS(L:L,AM:AM,AM1110)</f>
      </c>
      <c r="AR1110" s="116">
        <f>AQ1110-AP1110</f>
      </c>
      <c r="AS1110" s="94" t="str">
        <f>IF(AN1110&gt;=AQ1110,"ok","ck")</f>
      </c>
      <c r="AT1110" s="116">
        <f>-P1110</f>
      </c>
      <c r="AU1110" s="115">
        <f>IF(SUMIFS(AT:AT,AM:AM,AM1110)&gt;AO1110,(SUMIFS(AT:AT,AM:AM,AM1110)-AO1110))</f>
      </c>
      <c r="AV1110" s="116">
        <v>1657.82</v>
      </c>
      <c r="AW1110" s="121">
        <v>0.895</v>
      </c>
      <c r="AX1110" s="115">
        <f>AN1110-AP1110</f>
      </c>
    </row>
    <row r="1111" spans="1:50" ht="15" hidden="1" customHeight="1" x14ac:dyDescent="0.3">
      <c r="A1111" s="94" t="s">
        <v>268</v>
      </c>
      <c r="B1111" s="94"/>
      <c r="C1111" s="94"/>
      <c r="D1111" s="94"/>
      <c r="E1111" s="94"/>
      <c r="F1111" s="94"/>
      <c r="G1111" s="112">
        <f>AU1111</f>
      </c>
      <c r="H1111" s="113"/>
      <c r="I1111" s="94" t="s">
        <v>278</v>
      </c>
      <c r="J1111" s="94" t="s">
        <v>322</v>
      </c>
      <c r="K1111" s="114">
        <f>P1111/3</f>
      </c>
      <c r="L1111" s="115">
        <v>18.675000000000001</v>
      </c>
      <c r="M1111" s="116">
        <f>L1111</f>
      </c>
      <c r="N1111" s="117">
        <f>M1111-L1111</f>
      </c>
      <c r="O1111" s="112"/>
      <c r="P1111" s="118">
        <f>N1111+O1111</f>
      </c>
      <c r="Q1111" s="94" t="s">
        <v>305</v>
      </c>
      <c r="R1111" s="94" t="s">
        <v>63</v>
      </c>
      <c r="S1111" s="120">
        <v>46331</v>
      </c>
      <c r="T1111" s="120"/>
      <c r="U1111" s="120">
        <v>46331</v>
      </c>
      <c r="V1111" s="94"/>
      <c r="W1111" s="94"/>
      <c r="X1111" s="94"/>
      <c r="Y1111" s="119">
        <v>46331</v>
      </c>
      <c r="Z1111" s="94"/>
      <c r="AA1111" s="120"/>
      <c r="AB1111" s="120"/>
      <c r="AC1111" s="120"/>
      <c r="AD1111" s="120"/>
      <c r="AE1111" s="120"/>
      <c r="AF1111" s="120"/>
      <c r="AG1111" s="94"/>
      <c r="AH1111" s="120"/>
      <c r="AI1111" s="94"/>
      <c r="AJ1111" s="94" t="s">
        <v>305</v>
      </c>
      <c r="AK1111" s="94" t="s">
        <v>323</v>
      </c>
      <c r="AL1111" s="94">
        <v>120</v>
      </c>
      <c r="AM1111" s="94" t="str">
        <f>TRIM(AJ1111)&amp;TRIM(AL1111)&amp;TRIM(AK1111)</f>
      </c>
      <c r="AN1111" s="116">
        <v>647.67</v>
      </c>
      <c r="AO1111" s="116">
        <v>7.33</v>
      </c>
      <c r="AP1111" s="116">
        <f>SUMIFS(M:M,AM:AM,AM1111)+SUMIFS(O:O,AM:AM,AM1111)</f>
      </c>
      <c r="AQ1111" s="116">
        <f>SUMIFS(L:L,AM:AM,AM1111)</f>
      </c>
      <c r="AR1111" s="116">
        <f>AQ1111-AP1111</f>
      </c>
      <c r="AS1111" s="94" t="str">
        <f>IF(AN1111&gt;=AQ1111,"ok","ck")</f>
      </c>
      <c r="AT1111" s="116">
        <f>-P1111</f>
      </c>
      <c r="AU1111" s="115">
        <f>IF(SUMIFS(AT:AT,AM:AM,AM1111)&gt;AO1111,(SUMIFS(AT:AT,AM:AM,AM1111)-AO1111))</f>
      </c>
      <c r="AV1111" s="116">
        <v>647.67</v>
      </c>
      <c r="AW1111" s="121">
        <v>0.989</v>
      </c>
      <c r="AX1111" s="115">
        <f>AN1111-AP1111</f>
      </c>
    </row>
    <row r="1112" spans="1:50" ht="15" hidden="1" customHeight="1" x14ac:dyDescent="0.3">
      <c r="A1112" s="94" t="s">
        <v>268</v>
      </c>
      <c r="B1112" s="94"/>
      <c r="C1112" s="94"/>
      <c r="D1112" s="94"/>
      <c r="E1112" s="94"/>
      <c r="F1112" s="94"/>
      <c r="G1112" s="112">
        <f>AU1112</f>
      </c>
      <c r="H1112" s="113"/>
      <c r="I1112" s="94" t="s">
        <v>278</v>
      </c>
      <c r="J1112" s="94" t="s">
        <v>322</v>
      </c>
      <c r="K1112" s="114">
        <f>P1112/3</f>
      </c>
      <c r="L1112" s="115">
        <v>0.13400000000000001</v>
      </c>
      <c r="M1112" s="116">
        <f>L1112</f>
      </c>
      <c r="N1112" s="117">
        <f>M1112-L1112</f>
      </c>
      <c r="O1112" s="112"/>
      <c r="P1112" s="118">
        <f>N1112+O1112</f>
      </c>
      <c r="Q1112" s="94" t="s">
        <v>305</v>
      </c>
      <c r="R1112" s="94" t="s">
        <v>63</v>
      </c>
      <c r="S1112" s="120">
        <v>46323</v>
      </c>
      <c r="T1112" s="120"/>
      <c r="U1112" s="120">
        <v>46323</v>
      </c>
      <c r="V1112" s="94"/>
      <c r="W1112" s="94"/>
      <c r="X1112" s="94"/>
      <c r="Y1112" s="119">
        <v>46323</v>
      </c>
      <c r="Z1112" s="94"/>
      <c r="AA1112" s="120"/>
      <c r="AB1112" s="120"/>
      <c r="AC1112" s="120"/>
      <c r="AD1112" s="120"/>
      <c r="AE1112" s="120"/>
      <c r="AF1112" s="120"/>
      <c r="AG1112" s="94"/>
      <c r="AH1112" s="120"/>
      <c r="AI1112" s="94"/>
      <c r="AJ1112" s="94" t="s">
        <v>305</v>
      </c>
      <c r="AK1112" s="94" t="s">
        <v>323</v>
      </c>
      <c r="AL1112" s="94">
        <v>120</v>
      </c>
      <c r="AM1112" s="94" t="str">
        <f>TRIM(AJ1112)&amp;TRIM(AL1112)&amp;TRIM(AK1112)</f>
      </c>
      <c r="AN1112" s="116">
        <v>647.67</v>
      </c>
      <c r="AO1112" s="116">
        <v>7.33</v>
      </c>
      <c r="AP1112" s="116">
        <f>SUMIFS(M:M,AM:AM,AM1112)+SUMIFS(O:O,AM:AM,AM1112)</f>
      </c>
      <c r="AQ1112" s="116">
        <f>SUMIFS(L:L,AM:AM,AM1112)</f>
      </c>
      <c r="AR1112" s="116">
        <f>AQ1112-AP1112</f>
      </c>
      <c r="AS1112" s="94" t="str">
        <f>IF(AN1112&gt;=AQ1112,"ok","ck")</f>
      </c>
      <c r="AT1112" s="116">
        <f>-P1112</f>
      </c>
      <c r="AU1112" s="115">
        <f>IF(SUMIFS(AT:AT,AM:AM,AM1112)&gt;AO1112,(SUMIFS(AT:AT,AM:AM,AM1112)-AO1112))</f>
      </c>
      <c r="AV1112" s="116">
        <v>647.67</v>
      </c>
      <c r="AW1112" s="121">
        <v>0.989</v>
      </c>
      <c r="AX1112" s="115">
        <f>AN1112-AP1112</f>
      </c>
    </row>
    <row r="1113" spans="1:50" ht="15" hidden="1" customHeight="1" x14ac:dyDescent="0.3">
      <c r="A1113" s="94" t="s">
        <v>268</v>
      </c>
      <c r="B1113" s="94"/>
      <c r="C1113" s="94"/>
      <c r="D1113" s="94"/>
      <c r="E1113" s="94"/>
      <c r="F1113" s="94"/>
      <c r="G1113" s="112">
        <f>AU1113</f>
      </c>
      <c r="H1113" s="113"/>
      <c r="I1113" s="94" t="s">
        <v>278</v>
      </c>
      <c r="J1113" s="94" t="s">
        <v>322</v>
      </c>
      <c r="K1113" s="114">
        <f>P1113/3</f>
      </c>
      <c r="L1113" s="115">
        <v>44.4</v>
      </c>
      <c r="M1113" s="116">
        <f>L1113</f>
      </c>
      <c r="N1113" s="117">
        <f>M1113-L1113</f>
      </c>
      <c r="O1113" s="112"/>
      <c r="P1113" s="118">
        <f>N1113+O1113</f>
      </c>
      <c r="Q1113" s="94" t="s">
        <v>305</v>
      </c>
      <c r="R1113" s="94" t="s">
        <v>63</v>
      </c>
      <c r="S1113" s="120">
        <v>46326</v>
      </c>
      <c r="T1113" s="120"/>
      <c r="U1113" s="120">
        <v>46326</v>
      </c>
      <c r="V1113" s="94"/>
      <c r="W1113" s="94"/>
      <c r="X1113" s="94"/>
      <c r="Y1113" s="119">
        <v>46326</v>
      </c>
      <c r="Z1113" s="94"/>
      <c r="AA1113" s="120"/>
      <c r="AB1113" s="120"/>
      <c r="AC1113" s="120"/>
      <c r="AD1113" s="120"/>
      <c r="AE1113" s="120"/>
      <c r="AF1113" s="120"/>
      <c r="AG1113" s="94"/>
      <c r="AH1113" s="120"/>
      <c r="AI1113" s="94"/>
      <c r="AJ1113" s="94" t="s">
        <v>305</v>
      </c>
      <c r="AK1113" s="94" t="s">
        <v>323</v>
      </c>
      <c r="AL1113" s="94">
        <v>120</v>
      </c>
      <c r="AM1113" s="94" t="str">
        <f>TRIM(AJ1113)&amp;TRIM(AL1113)&amp;TRIM(AK1113)</f>
      </c>
      <c r="AN1113" s="116">
        <v>647.67</v>
      </c>
      <c r="AO1113" s="116">
        <v>7.33</v>
      </c>
      <c r="AP1113" s="116">
        <f>SUMIFS(M:M,AM:AM,AM1113)+SUMIFS(O:O,AM:AM,AM1113)</f>
      </c>
      <c r="AQ1113" s="116">
        <f>SUMIFS(L:L,AM:AM,AM1113)</f>
      </c>
      <c r="AR1113" s="116">
        <f>AQ1113-AP1113</f>
      </c>
      <c r="AS1113" s="94" t="str">
        <f>IF(AN1113&gt;=AQ1113,"ok","ck")</f>
      </c>
      <c r="AT1113" s="116">
        <f>-P1113</f>
      </c>
      <c r="AU1113" s="115">
        <f>IF(SUMIFS(AT:AT,AM:AM,AM1113)&gt;AO1113,(SUMIFS(AT:AT,AM:AM,AM1113)-AO1113))</f>
      </c>
      <c r="AV1113" s="116">
        <v>647.67</v>
      </c>
      <c r="AW1113" s="121">
        <v>0.989</v>
      </c>
      <c r="AX1113" s="115">
        <f>AN1113-AP1113</f>
      </c>
    </row>
    <row r="1114" spans="1:50" ht="15" hidden="1" customHeight="1" x14ac:dyDescent="0.3">
      <c r="A1114" s="94" t="s">
        <v>311</v>
      </c>
      <c r="B1114" s="94"/>
      <c r="C1114" s="94"/>
      <c r="D1114" s="94"/>
      <c r="E1114" s="94"/>
      <c r="F1114" s="94"/>
      <c r="G1114" s="112">
        <f>AU1114</f>
      </c>
      <c r="H1114" s="113"/>
      <c r="I1114" s="94" t="s">
        <v>369</v>
      </c>
      <c r="J1114" s="94" t="s">
        <v>374</v>
      </c>
      <c r="K1114" s="114">
        <f>P1114/3</f>
      </c>
      <c r="L1114" s="115">
        <v>212.54499999999999</v>
      </c>
      <c r="M1114" s="116">
        <f>L1114</f>
      </c>
      <c r="N1114" s="117">
        <f>M1114-L1114</f>
      </c>
      <c r="O1114" s="112"/>
      <c r="P1114" s="118">
        <f>N1114+O1114</f>
      </c>
      <c r="Q1114" s="94" t="s">
        <v>314</v>
      </c>
      <c r="R1114" s="94" t="s">
        <v>63</v>
      </c>
      <c r="S1114" s="119">
        <v>46320</v>
      </c>
      <c r="T1114" s="119"/>
      <c r="U1114" s="119">
        <v>46320</v>
      </c>
      <c r="V1114" s="94"/>
      <c r="W1114" s="94"/>
      <c r="X1114" s="94"/>
      <c r="Y1114" s="119">
        <v>46320</v>
      </c>
      <c r="Z1114" s="94"/>
      <c r="AA1114" s="120"/>
      <c r="AB1114" s="120"/>
      <c r="AC1114" s="120"/>
      <c r="AD1114" s="120"/>
      <c r="AE1114" s="120"/>
      <c r="AF1114" s="120"/>
      <c r="AG1114" s="94"/>
      <c r="AH1114" s="120"/>
      <c r="AI1114" s="94"/>
      <c r="AJ1114" s="94" t="s">
        <v>314</v>
      </c>
      <c r="AK1114" s="94" t="s">
        <v>375</v>
      </c>
      <c r="AL1114" s="94">
        <v>150</v>
      </c>
      <c r="AM1114" s="94" t="str">
        <f>TRIM(AJ1114)&amp;TRIM(AL1114)&amp;TRIM(AK1114)</f>
      </c>
      <c r="AN1114" s="116">
        <v>1093</v>
      </c>
      <c r="AO1114" s="116">
        <v>-21</v>
      </c>
      <c r="AP1114" s="116">
        <f>SUMIFS(M:M,AM:AM,AM1114)+SUMIFS(O:O,AM:AM,AM1114)</f>
      </c>
      <c r="AQ1114" s="116">
        <f>SUMIFS(L:L,AM:AM,AM1114)</f>
      </c>
      <c r="AR1114" s="116">
        <f>AQ1114-AP1114</f>
      </c>
      <c r="AS1114" s="94" t="str">
        <f>IF(AN1114&gt;=AQ1114,"ok","ck")</f>
      </c>
      <c r="AT1114" s="116">
        <f>-P1114</f>
      </c>
      <c r="AU1114" s="115">
        <f>IF(SUMIFS(AT:AT,AM:AM,AM1114)&gt;AO1114,(SUMIFS(AT:AT,AM:AM,AM1114)-AO1114))</f>
      </c>
      <c r="AV1114" s="116">
        <v>1093</v>
      </c>
      <c r="AW1114" s="121">
        <v>1.02</v>
      </c>
      <c r="AX1114" s="115">
        <f>AN1114-AP1114</f>
      </c>
    </row>
    <row r="1115" spans="1:50" ht="15" hidden="1" customHeight="1" x14ac:dyDescent="0.3">
      <c r="A1115" s="94" t="s">
        <v>311</v>
      </c>
      <c r="B1115" s="94"/>
      <c r="C1115" s="94"/>
      <c r="D1115" s="94"/>
      <c r="E1115" s="94"/>
      <c r="F1115" s="94"/>
      <c r="G1115" s="112">
        <f>AU1115</f>
      </c>
      <c r="H1115" s="113"/>
      <c r="I1115" s="94" t="s">
        <v>369</v>
      </c>
      <c r="J1115" s="94" t="s">
        <v>374</v>
      </c>
      <c r="K1115" s="114">
        <f>P1115/3</f>
      </c>
      <c r="L1115" s="115">
        <v>213</v>
      </c>
      <c r="M1115" s="116">
        <f>L1115</f>
      </c>
      <c r="N1115" s="117">
        <f>M1115-L1115</f>
      </c>
      <c r="O1115" s="112"/>
      <c r="P1115" s="118">
        <f>N1115+O1115</f>
      </c>
      <c r="Q1115" s="94" t="s">
        <v>314</v>
      </c>
      <c r="R1115" s="94" t="s">
        <v>63</v>
      </c>
      <c r="S1115" s="119">
        <v>46323</v>
      </c>
      <c r="T1115" s="119"/>
      <c r="U1115" s="119">
        <v>46323</v>
      </c>
      <c r="V1115" s="94"/>
      <c r="W1115" s="94"/>
      <c r="X1115" s="94"/>
      <c r="Y1115" s="119">
        <v>46323</v>
      </c>
      <c r="Z1115" s="94"/>
      <c r="AA1115" s="120"/>
      <c r="AB1115" s="120"/>
      <c r="AC1115" s="120"/>
      <c r="AD1115" s="120"/>
      <c r="AE1115" s="120"/>
      <c r="AF1115" s="120"/>
      <c r="AG1115" s="94"/>
      <c r="AH1115" s="120"/>
      <c r="AI1115" s="94"/>
      <c r="AJ1115" s="94" t="s">
        <v>314</v>
      </c>
      <c r="AK1115" s="94" t="s">
        <v>375</v>
      </c>
      <c r="AL1115" s="94">
        <v>150</v>
      </c>
      <c r="AM1115" s="94" t="str">
        <f>TRIM(AJ1115)&amp;TRIM(AL1115)&amp;TRIM(AK1115)</f>
      </c>
      <c r="AN1115" s="116">
        <v>1093</v>
      </c>
      <c r="AO1115" s="116">
        <v>-21</v>
      </c>
      <c r="AP1115" s="116">
        <f>SUMIFS(M:M,AM:AM,AM1115)+SUMIFS(O:O,AM:AM,AM1115)</f>
      </c>
      <c r="AQ1115" s="116">
        <f>SUMIFS(L:L,AM:AM,AM1115)</f>
      </c>
      <c r="AR1115" s="116">
        <f>AQ1115-AP1115</f>
      </c>
      <c r="AS1115" s="94" t="str">
        <f>IF(AN1115&gt;=AQ1115,"ok","ck")</f>
      </c>
      <c r="AT1115" s="116">
        <f>-P1115</f>
      </c>
      <c r="AU1115" s="115">
        <f>IF(SUMIFS(AT:AT,AM:AM,AM1115)&gt;AO1115,(SUMIFS(AT:AT,AM:AM,AM1115)-AO1115))</f>
      </c>
      <c r="AV1115" s="116">
        <v>1093</v>
      </c>
      <c r="AW1115" s="121">
        <v>1.02</v>
      </c>
      <c r="AX1115" s="115">
        <f>AN1115-AP1115</f>
      </c>
    </row>
    <row r="1116" spans="1:50" ht="15" hidden="1" customHeight="1" x14ac:dyDescent="0.3">
      <c r="A1116" s="94" t="s">
        <v>60</v>
      </c>
      <c r="B1116" s="94"/>
      <c r="C1116" s="94"/>
      <c r="D1116" s="94"/>
      <c r="E1116" s="94"/>
      <c r="F1116" s="94"/>
      <c r="G1116" s="112">
        <f>AU1116</f>
      </c>
      <c r="H1116" s="113"/>
      <c r="I1116" s="94" t="s">
        <v>482</v>
      </c>
      <c r="J1116" s="94" t="s">
        <v>566</v>
      </c>
      <c r="K1116" s="114">
        <f>P1116/3</f>
      </c>
      <c r="L1116" s="115">
        <v>-3.9E-2</v>
      </c>
      <c r="M1116" s="116">
        <f>L1116</f>
      </c>
      <c r="N1116" s="117">
        <f>M1116-L1116</f>
      </c>
      <c r="O1116" s="112"/>
      <c r="P1116" s="118">
        <f>N1116+O1116</f>
      </c>
      <c r="Q1116" s="94" t="s">
        <v>786</v>
      </c>
      <c r="R1116" s="94" t="s">
        <v>63</v>
      </c>
      <c r="S1116" s="119">
        <v>46337</v>
      </c>
      <c r="T1116" s="119"/>
      <c r="U1116" s="119">
        <v>46337</v>
      </c>
      <c r="V1116" s="94"/>
      <c r="W1116" s="94"/>
      <c r="X1116" s="94"/>
      <c r="Y1116" s="119">
        <v>46345</v>
      </c>
      <c r="Z1116" s="94"/>
      <c r="AA1116" s="120"/>
      <c r="AB1116" s="120"/>
      <c r="AC1116" s="120"/>
      <c r="AD1116" s="120"/>
      <c r="AE1116" s="120"/>
      <c r="AF1116" s="120"/>
      <c r="AG1116" s="94"/>
      <c r="AH1116" s="120"/>
      <c r="AI1116" s="94"/>
      <c r="AJ1116" s="94" t="s">
        <v>786</v>
      </c>
      <c r="AK1116" s="94" t="s">
        <v>739</v>
      </c>
      <c r="AL1116" s="94">
        <v>110</v>
      </c>
      <c r="AM1116" s="94" t="str">
        <f>TRIM(AJ1116)&amp;TRIM(AL1116)&amp;TRIM(AK1116)</f>
      </c>
      <c r="AN1116" s="116">
        <v>525</v>
      </c>
      <c r="AO1116" s="116">
        <v>-41</v>
      </c>
      <c r="AP1116" s="116">
        <f>SUMIFS(M:M,AM:AM,AM1116)+SUMIFS(O:O,AM:AM,AM1116)</f>
      </c>
      <c r="AQ1116" s="116">
        <f>SUMIFS(L:L,AM:AM,AM1116)</f>
      </c>
      <c r="AR1116" s="116">
        <f>AQ1116-AP1116</f>
      </c>
      <c r="AS1116" s="94" t="str">
        <f>IF(AN1116&gt;=AQ1116,"ok","ck")</f>
      </c>
      <c r="AT1116" s="116">
        <f>-P1116</f>
      </c>
      <c r="AU1116" s="115">
        <f>IF(SUMIFS(AT:AT,AM:AM,AM1116)&gt;AO1116,(SUMIFS(AT:AT,AM:AM,AM1116)-AO1116))</f>
      </c>
      <c r="AV1116" s="116">
        <v>525</v>
      </c>
      <c r="AW1116" s="121">
        <v>1.085</v>
      </c>
      <c r="AX1116" s="115">
        <f>AN1116-AP1116</f>
      </c>
    </row>
    <row r="1117" spans="1:50" ht="15" hidden="1" customHeight="1" x14ac:dyDescent="0.3">
      <c r="A1117" s="94" t="s">
        <v>60</v>
      </c>
      <c r="B1117" s="94"/>
      <c r="C1117" s="94"/>
      <c r="D1117" s="94"/>
      <c r="E1117" s="94"/>
      <c r="F1117" s="94"/>
      <c r="G1117" s="112">
        <f>AU1117</f>
      </c>
      <c r="H1117" s="113"/>
      <c r="I1117" s="94" t="s">
        <v>482</v>
      </c>
      <c r="J1117" s="94" t="s">
        <v>566</v>
      </c>
      <c r="K1117" s="114">
        <f>P1117/3</f>
      </c>
      <c r="L1117" s="115">
        <v>-1.661</v>
      </c>
      <c r="M1117" s="116">
        <f>L1117</f>
      </c>
      <c r="N1117" s="117">
        <f>M1117-L1117</f>
      </c>
      <c r="O1117" s="112"/>
      <c r="P1117" s="118">
        <f>N1117+O1117</f>
      </c>
      <c r="Q1117" s="94" t="s">
        <v>786</v>
      </c>
      <c r="R1117" s="94" t="s">
        <v>63</v>
      </c>
      <c r="S1117" s="119">
        <v>46337</v>
      </c>
      <c r="T1117" s="119"/>
      <c r="U1117" s="119">
        <v>46337</v>
      </c>
      <c r="V1117" s="94"/>
      <c r="W1117" s="94"/>
      <c r="X1117" s="94"/>
      <c r="Y1117" s="119">
        <v>46342</v>
      </c>
      <c r="Z1117" s="94"/>
      <c r="AA1117" s="120"/>
      <c r="AB1117" s="120"/>
      <c r="AC1117" s="120"/>
      <c r="AD1117" s="120"/>
      <c r="AE1117" s="120"/>
      <c r="AF1117" s="120"/>
      <c r="AG1117" s="94"/>
      <c r="AH1117" s="120"/>
      <c r="AI1117" s="94"/>
      <c r="AJ1117" s="94" t="s">
        <v>786</v>
      </c>
      <c r="AK1117" s="94" t="s">
        <v>739</v>
      </c>
      <c r="AL1117" s="94">
        <v>110</v>
      </c>
      <c r="AM1117" s="94" t="str">
        <f>TRIM(AJ1117)&amp;TRIM(AL1117)&amp;TRIM(AK1117)</f>
      </c>
      <c r="AN1117" s="116">
        <v>525</v>
      </c>
      <c r="AO1117" s="116">
        <v>-41</v>
      </c>
      <c r="AP1117" s="116">
        <f>SUMIFS(M:M,AM:AM,AM1117)+SUMIFS(O:O,AM:AM,AM1117)</f>
      </c>
      <c r="AQ1117" s="116">
        <f>SUMIFS(L:L,AM:AM,AM1117)</f>
      </c>
      <c r="AR1117" s="116">
        <f>AQ1117-AP1117</f>
      </c>
      <c r="AS1117" s="94" t="str">
        <f>IF(AN1117&gt;=AQ1117,"ok","ck")</f>
      </c>
      <c r="AT1117" s="116">
        <f>-P1117</f>
      </c>
      <c r="AU1117" s="115">
        <f>IF(SUMIFS(AT:AT,AM:AM,AM1117)&gt;AO1117,(SUMIFS(AT:AT,AM:AM,AM1117)-AO1117))</f>
      </c>
      <c r="AV1117" s="116">
        <v>525</v>
      </c>
      <c r="AW1117" s="121">
        <v>1.085</v>
      </c>
      <c r="AX1117" s="115">
        <f>AN1117-AP1117</f>
      </c>
    </row>
    <row r="1118" spans="1:50" ht="15" hidden="1" customHeight="1" x14ac:dyDescent="0.3">
      <c r="A1118" s="94" t="s">
        <v>60</v>
      </c>
      <c r="B1118" s="94"/>
      <c r="C1118" s="94"/>
      <c r="D1118" s="94"/>
      <c r="E1118" s="94"/>
      <c r="F1118" s="94"/>
      <c r="G1118" s="112">
        <f>AU1118</f>
      </c>
      <c r="H1118" s="113"/>
      <c r="I1118" s="94" t="s">
        <v>482</v>
      </c>
      <c r="J1118" s="94" t="s">
        <v>566</v>
      </c>
      <c r="K1118" s="114">
        <f>P1118/3</f>
      </c>
      <c r="L1118" s="115">
        <v>-1.228</v>
      </c>
      <c r="M1118" s="116">
        <f>L1118</f>
      </c>
      <c r="N1118" s="117">
        <f>M1118-L1118</f>
      </c>
      <c r="O1118" s="112"/>
      <c r="P1118" s="118">
        <f>N1118+O1118</f>
      </c>
      <c r="Q1118" s="94" t="s">
        <v>786</v>
      </c>
      <c r="R1118" s="94" t="s">
        <v>63</v>
      </c>
      <c r="S1118" s="119">
        <v>46337</v>
      </c>
      <c r="T1118" s="119"/>
      <c r="U1118" s="119">
        <v>46337</v>
      </c>
      <c r="V1118" s="94"/>
      <c r="W1118" s="94"/>
      <c r="X1118" s="94"/>
      <c r="Y1118" s="119">
        <v>46345</v>
      </c>
      <c r="Z1118" s="94"/>
      <c r="AA1118" s="120"/>
      <c r="AB1118" s="120"/>
      <c r="AC1118" s="120"/>
      <c r="AD1118" s="120"/>
      <c r="AE1118" s="120"/>
      <c r="AF1118" s="120"/>
      <c r="AG1118" s="94"/>
      <c r="AH1118" s="120"/>
      <c r="AI1118" s="94"/>
      <c r="AJ1118" s="94" t="s">
        <v>786</v>
      </c>
      <c r="AK1118" s="94" t="s">
        <v>739</v>
      </c>
      <c r="AL1118" s="94">
        <v>110</v>
      </c>
      <c r="AM1118" s="94" t="str">
        <f>TRIM(AJ1118)&amp;TRIM(AL1118)&amp;TRIM(AK1118)</f>
      </c>
      <c r="AN1118" s="116">
        <v>525</v>
      </c>
      <c r="AO1118" s="116">
        <v>-41</v>
      </c>
      <c r="AP1118" s="116">
        <f>SUMIFS(M:M,AM:AM,AM1118)+SUMIFS(O:O,AM:AM,AM1118)</f>
      </c>
      <c r="AQ1118" s="116">
        <f>SUMIFS(L:L,AM:AM,AM1118)</f>
      </c>
      <c r="AR1118" s="116">
        <f>AQ1118-AP1118</f>
      </c>
      <c r="AS1118" s="94" t="str">
        <f>IF(AN1118&gt;=AQ1118,"ok","ck")</f>
      </c>
      <c r="AT1118" s="116">
        <f>-P1118</f>
      </c>
      <c r="AU1118" s="115">
        <f>IF(SUMIFS(AT:AT,AM:AM,AM1118)&gt;AO1118,(SUMIFS(AT:AT,AM:AM,AM1118)-AO1118))</f>
      </c>
      <c r="AV1118" s="116">
        <v>525</v>
      </c>
      <c r="AW1118" s="121">
        <v>1.085</v>
      </c>
      <c r="AX1118" s="115">
        <f>AN1118-AP1118</f>
      </c>
    </row>
    <row r="1119" spans="1:50" ht="15" hidden="1" customHeight="1" x14ac:dyDescent="0.3">
      <c r="A1119" s="94" t="s">
        <v>60</v>
      </c>
      <c r="B1119" s="94"/>
      <c r="C1119" s="94"/>
      <c r="D1119" s="94"/>
      <c r="E1119" s="94"/>
      <c r="F1119" s="94"/>
      <c r="G1119" s="112">
        <f>AU1119</f>
      </c>
      <c r="H1119" s="113"/>
      <c r="I1119" s="94" t="s">
        <v>482</v>
      </c>
      <c r="J1119" s="94" t="s">
        <v>566</v>
      </c>
      <c r="K1119" s="114">
        <f>P1119/3</f>
      </c>
      <c r="L1119" s="115">
        <v>-3.3000000000000002E-2</v>
      </c>
      <c r="M1119" s="116">
        <f>L1119</f>
      </c>
      <c r="N1119" s="117">
        <f>M1119-L1119</f>
      </c>
      <c r="O1119" s="112"/>
      <c r="P1119" s="118">
        <f>N1119+O1119</f>
      </c>
      <c r="Q1119" s="94" t="s">
        <v>786</v>
      </c>
      <c r="R1119" s="94" t="s">
        <v>63</v>
      </c>
      <c r="S1119" s="119">
        <v>46331</v>
      </c>
      <c r="T1119" s="119"/>
      <c r="U1119" s="119">
        <v>46331</v>
      </c>
      <c r="V1119" s="94"/>
      <c r="W1119" s="94"/>
      <c r="X1119" s="94"/>
      <c r="Y1119" s="119">
        <v>46331</v>
      </c>
      <c r="Z1119" s="94"/>
      <c r="AA1119" s="120"/>
      <c r="AB1119" s="120"/>
      <c r="AC1119" s="120"/>
      <c r="AD1119" s="120"/>
      <c r="AE1119" s="120"/>
      <c r="AF1119" s="120"/>
      <c r="AG1119" s="94"/>
      <c r="AH1119" s="120"/>
      <c r="AI1119" s="94"/>
      <c r="AJ1119" s="94" t="s">
        <v>786</v>
      </c>
      <c r="AK1119" s="94" t="s">
        <v>739</v>
      </c>
      <c r="AL1119" s="94">
        <v>110</v>
      </c>
      <c r="AM1119" s="94" t="str">
        <f>TRIM(AJ1119)&amp;TRIM(AL1119)&amp;TRIM(AK1119)</f>
      </c>
      <c r="AN1119" s="116">
        <v>525</v>
      </c>
      <c r="AO1119" s="116">
        <v>-41</v>
      </c>
      <c r="AP1119" s="116">
        <f>SUMIFS(M:M,AM:AM,AM1119)+SUMIFS(O:O,AM:AM,AM1119)</f>
      </c>
      <c r="AQ1119" s="116">
        <f>SUMIFS(L:L,AM:AM,AM1119)</f>
      </c>
      <c r="AR1119" s="116">
        <f>AQ1119-AP1119</f>
      </c>
      <c r="AS1119" s="94" t="str">
        <f>IF(AN1119&gt;=AQ1119,"ok","ck")</f>
      </c>
      <c r="AT1119" s="116">
        <f>-P1119</f>
      </c>
      <c r="AU1119" s="115">
        <f>IF(SUMIFS(AT:AT,AM:AM,AM1119)&gt;AO1119,(SUMIFS(AT:AT,AM:AM,AM1119)-AO1119))</f>
      </c>
      <c r="AV1119" s="116">
        <v>525</v>
      </c>
      <c r="AW1119" s="121">
        <v>1.085</v>
      </c>
      <c r="AX1119" s="115">
        <f>AN1119-AP1119</f>
      </c>
    </row>
    <row r="1120" spans="1:50" ht="15" hidden="1" customHeight="1" x14ac:dyDescent="0.3">
      <c r="A1120" s="94" t="s">
        <v>60</v>
      </c>
      <c r="B1120" s="94"/>
      <c r="C1120" s="94"/>
      <c r="D1120" s="94"/>
      <c r="E1120" s="94"/>
      <c r="F1120" s="94"/>
      <c r="G1120" s="112">
        <f>AU1120</f>
      </c>
      <c r="H1120" s="113"/>
      <c r="I1120" s="94" t="s">
        <v>482</v>
      </c>
      <c r="J1120" s="94" t="s">
        <v>566</v>
      </c>
      <c r="K1120" s="114">
        <f>P1120/3</f>
      </c>
      <c r="L1120" s="115">
        <v>-1.4039999999999999</v>
      </c>
      <c r="M1120" s="116">
        <f>L1120</f>
      </c>
      <c r="N1120" s="117">
        <f>M1120-L1120</f>
      </c>
      <c r="O1120" s="112"/>
      <c r="P1120" s="118">
        <f>N1120+O1120</f>
      </c>
      <c r="Q1120" s="94" t="s">
        <v>786</v>
      </c>
      <c r="R1120" s="94" t="s">
        <v>63</v>
      </c>
      <c r="S1120" s="119">
        <v>46328</v>
      </c>
      <c r="T1120" s="119"/>
      <c r="U1120" s="119">
        <v>46328</v>
      </c>
      <c r="V1120" s="94"/>
      <c r="W1120" s="94"/>
      <c r="X1120" s="94"/>
      <c r="Y1120" s="119">
        <v>46328</v>
      </c>
      <c r="Z1120" s="94"/>
      <c r="AA1120" s="120"/>
      <c r="AB1120" s="120"/>
      <c r="AC1120" s="120"/>
      <c r="AD1120" s="120"/>
      <c r="AE1120" s="120"/>
      <c r="AF1120" s="120"/>
      <c r="AG1120" s="94"/>
      <c r="AH1120" s="120"/>
      <c r="AI1120" s="94"/>
      <c r="AJ1120" s="94" t="s">
        <v>786</v>
      </c>
      <c r="AK1120" s="94" t="s">
        <v>739</v>
      </c>
      <c r="AL1120" s="94">
        <v>110</v>
      </c>
      <c r="AM1120" s="94" t="str">
        <f>TRIM(AJ1120)&amp;TRIM(AL1120)&amp;TRIM(AK1120)</f>
      </c>
      <c r="AN1120" s="116">
        <v>525</v>
      </c>
      <c r="AO1120" s="116">
        <v>-41</v>
      </c>
      <c r="AP1120" s="116">
        <f>SUMIFS(M:M,AM:AM,AM1120)+SUMIFS(O:O,AM:AM,AM1120)</f>
      </c>
      <c r="AQ1120" s="116">
        <f>SUMIFS(L:L,AM:AM,AM1120)</f>
      </c>
      <c r="AR1120" s="116">
        <f>AQ1120-AP1120</f>
      </c>
      <c r="AS1120" s="94" t="str">
        <f>IF(AN1120&gt;=AQ1120,"ok","ck")</f>
      </c>
      <c r="AT1120" s="116">
        <f>-P1120</f>
      </c>
      <c r="AU1120" s="115">
        <f>IF(SUMIFS(AT:AT,AM:AM,AM1120)&gt;AO1120,(SUMIFS(AT:AT,AM:AM,AM1120)-AO1120))</f>
      </c>
      <c r="AV1120" s="116">
        <v>525</v>
      </c>
      <c r="AW1120" s="121">
        <v>1.085</v>
      </c>
      <c r="AX1120" s="115">
        <f>AN1120-AP1120</f>
      </c>
    </row>
    <row r="1121" spans="1:50" ht="15" hidden="1" customHeight="1" x14ac:dyDescent="0.3">
      <c r="A1121" s="94" t="s">
        <v>60</v>
      </c>
      <c r="B1121" s="94"/>
      <c r="C1121" s="94"/>
      <c r="D1121" s="94"/>
      <c r="E1121" s="94"/>
      <c r="F1121" s="94"/>
      <c r="G1121" s="112">
        <f>AU1121</f>
      </c>
      <c r="H1121" s="113"/>
      <c r="I1121" s="94" t="s">
        <v>482</v>
      </c>
      <c r="J1121" s="94" t="s">
        <v>566</v>
      </c>
      <c r="K1121" s="114">
        <f>P1121/3</f>
      </c>
      <c r="L1121" s="115">
        <v>-0.69399999999999995</v>
      </c>
      <c r="M1121" s="116">
        <f>L1121</f>
      </c>
      <c r="N1121" s="117">
        <f>M1121-L1121</f>
      </c>
      <c r="O1121" s="112"/>
      <c r="P1121" s="118">
        <f>N1121+O1121</f>
      </c>
      <c r="Q1121" s="94" t="s">
        <v>786</v>
      </c>
      <c r="R1121" s="94" t="s">
        <v>63</v>
      </c>
      <c r="S1121" s="119">
        <v>46331</v>
      </c>
      <c r="T1121" s="119"/>
      <c r="U1121" s="119">
        <v>46331</v>
      </c>
      <c r="V1121" s="94"/>
      <c r="W1121" s="94"/>
      <c r="X1121" s="94"/>
      <c r="Y1121" s="119">
        <v>46331</v>
      </c>
      <c r="Z1121" s="94"/>
      <c r="AA1121" s="120"/>
      <c r="AB1121" s="120"/>
      <c r="AC1121" s="120"/>
      <c r="AD1121" s="120"/>
      <c r="AE1121" s="120"/>
      <c r="AF1121" s="120"/>
      <c r="AG1121" s="94"/>
      <c r="AH1121" s="120"/>
      <c r="AI1121" s="94"/>
      <c r="AJ1121" s="94" t="s">
        <v>786</v>
      </c>
      <c r="AK1121" s="94" t="s">
        <v>739</v>
      </c>
      <c r="AL1121" s="94">
        <v>110</v>
      </c>
      <c r="AM1121" s="94" t="str">
        <f>TRIM(AJ1121)&amp;TRIM(AL1121)&amp;TRIM(AK1121)</f>
      </c>
      <c r="AN1121" s="116">
        <v>525</v>
      </c>
      <c r="AO1121" s="116">
        <v>-41</v>
      </c>
      <c r="AP1121" s="116">
        <f>SUMIFS(M:M,AM:AM,AM1121)+SUMIFS(O:O,AM:AM,AM1121)</f>
      </c>
      <c r="AQ1121" s="116">
        <f>SUMIFS(L:L,AM:AM,AM1121)</f>
      </c>
      <c r="AR1121" s="116">
        <f>AQ1121-AP1121</f>
      </c>
      <c r="AS1121" s="94" t="str">
        <f>IF(AN1121&gt;=AQ1121,"ok","ck")</f>
      </c>
      <c r="AT1121" s="116">
        <f>-P1121</f>
      </c>
      <c r="AU1121" s="115">
        <f>IF(SUMIFS(AT:AT,AM:AM,AM1121)&gt;AO1121,(SUMIFS(AT:AT,AM:AM,AM1121)-AO1121))</f>
      </c>
      <c r="AV1121" s="116">
        <v>525</v>
      </c>
      <c r="AW1121" s="121">
        <v>1.085</v>
      </c>
      <c r="AX1121" s="115">
        <f>AN1121-AP1121</f>
      </c>
    </row>
    <row r="1122" spans="1:50" ht="15" hidden="1" customHeight="1" x14ac:dyDescent="0.3">
      <c r="A1122" s="94" t="s">
        <v>268</v>
      </c>
      <c r="B1122" s="94"/>
      <c r="C1122" s="94"/>
      <c r="D1122" s="94"/>
      <c r="E1122" s="94"/>
      <c r="F1122" s="94"/>
      <c r="G1122" s="112">
        <f>AU1122</f>
      </c>
      <c r="H1122" s="113"/>
      <c r="I1122" s="94" t="s">
        <v>390</v>
      </c>
      <c r="J1122" s="94" t="s">
        <v>326</v>
      </c>
      <c r="K1122" s="114">
        <f>P1122/3</f>
      </c>
      <c r="L1122" s="115">
        <v>67.731999999999999</v>
      </c>
      <c r="M1122" s="116"/>
      <c r="N1122" s="117">
        <f>M1122-L1122</f>
      </c>
      <c r="O1122" s="112"/>
      <c r="P1122" s="118">
        <f>N1122+O1122</f>
      </c>
      <c r="Q1122" s="94" t="s">
        <v>305</v>
      </c>
      <c r="R1122" s="94" t="s">
        <v>63</v>
      </c>
      <c r="S1122" s="119">
        <v>46342</v>
      </c>
      <c r="T1122" s="119"/>
      <c r="U1122" s="119" t="s">
        <v>635</v>
      </c>
      <c r="V1122" s="94"/>
      <c r="W1122" s="94"/>
      <c r="X1122" s="94"/>
      <c r="Y1122" s="119">
        <v>46345</v>
      </c>
      <c r="Z1122" s="94"/>
      <c r="AA1122" s="120"/>
      <c r="AB1122" s="120"/>
      <c r="AC1122" s="120"/>
      <c r="AD1122" s="120"/>
      <c r="AE1122" s="120"/>
      <c r="AF1122" s="120"/>
      <c r="AG1122" s="94"/>
      <c r="AH1122" s="120"/>
      <c r="AI1122" s="94"/>
      <c r="AJ1122" s="94" t="s">
        <v>305</v>
      </c>
      <c r="AK1122" s="94" t="s">
        <v>327</v>
      </c>
      <c r="AL1122" s="94">
        <v>140</v>
      </c>
      <c r="AM1122" s="94" t="str">
        <f>TRIM(AJ1122)&amp;TRIM(AL1122)&amp;TRIM(AK1122)</f>
      </c>
      <c r="AN1122" s="116">
        <v>0</v>
      </c>
      <c r="AO1122" s="116" t="inlineStr">
        <is>
          <t>#NA</t>
        </is>
      </c>
      <c r="AP1122" s="116">
        <f>SUMIFS(M:M,AM:AM,AM1122)+SUMIFS(O:O,AM:AM,AM1122)</f>
      </c>
      <c r="AQ1122" s="116">
        <f>SUMIFS(L:L,AM:AM,AM1122)</f>
      </c>
      <c r="AR1122" s="116">
        <f>AQ1122-AP1122</f>
      </c>
      <c r="AS1122" s="94" t="str">
        <f>IF(AN1122&gt;=AQ1122,"ok","ck")</f>
      </c>
      <c r="AT1122" s="116">
        <f>-P1122</f>
      </c>
      <c r="AU1122" s="115">
        <f>IF(SUMIFS(AT:AT,AM:AM,AM1122)&gt;AO1122,(SUMIFS(AT:AT,AM:AM,AM1122)-AO1122))</f>
      </c>
      <c r="AV1122" s="116">
        <v>0</v>
      </c>
      <c r="AW1122" s="121">
        <v>0</v>
      </c>
      <c r="AX1122" s="115">
        <f>AN1122-AP1122</f>
      </c>
    </row>
    <row r="1123" spans="1:50" ht="15" hidden="1" customHeight="1" x14ac:dyDescent="0.3">
      <c r="A1123" s="94" t="s">
        <v>268</v>
      </c>
      <c r="B1123" s="94"/>
      <c r="C1123" s="94"/>
      <c r="D1123" s="94"/>
      <c r="E1123" s="94"/>
      <c r="F1123" s="94"/>
      <c r="G1123" s="112">
        <f>AU1123</f>
      </c>
      <c r="H1123" s="113"/>
      <c r="I1123" s="94" t="s">
        <v>278</v>
      </c>
      <c r="J1123" s="94" t="s">
        <v>326</v>
      </c>
      <c r="K1123" s="114">
        <f>P1123/3</f>
      </c>
      <c r="L1123" s="115">
        <v>0</v>
      </c>
      <c r="M1123" s="116">
        <f>L1123</f>
      </c>
      <c r="N1123" s="117">
        <f>M1123-L1123</f>
      </c>
      <c r="O1123" s="112"/>
      <c r="P1123" s="118">
        <f>N1123+O1123</f>
      </c>
      <c r="Q1123" s="94" t="s">
        <v>344</v>
      </c>
      <c r="R1123" s="94" t="s">
        <v>63</v>
      </c>
      <c r="S1123" s="119">
        <v>46320</v>
      </c>
      <c r="T1123" s="119"/>
      <c r="U1123" s="119">
        <v>46320</v>
      </c>
      <c r="V1123" s="94"/>
      <c r="W1123" s="94"/>
      <c r="X1123" s="94"/>
      <c r="Y1123" s="119">
        <v>46320</v>
      </c>
      <c r="Z1123" s="94"/>
      <c r="AA1123" s="120"/>
      <c r="AB1123" s="120"/>
      <c r="AC1123" s="120"/>
      <c r="AD1123" s="120"/>
      <c r="AE1123" s="120"/>
      <c r="AF1123" s="120"/>
      <c r="AG1123" s="94"/>
      <c r="AH1123" s="120"/>
      <c r="AI1123" s="94"/>
      <c r="AJ1123" s="94" t="s">
        <v>344</v>
      </c>
      <c r="AK1123" s="94" t="s">
        <v>327</v>
      </c>
      <c r="AL1123" s="94">
        <v>120</v>
      </c>
      <c r="AM1123" s="94" t="str">
        <f>TRIM(AJ1123)&amp;TRIM(AL1123)&amp;TRIM(AK1123)</f>
      </c>
      <c r="AN1123" s="116">
        <v>32</v>
      </c>
      <c r="AO1123" s="116">
        <v>-2</v>
      </c>
      <c r="AP1123" s="116">
        <f>SUMIFS(M:M,AM:AM,AM1123)+SUMIFS(O:O,AM:AM,AM1123)</f>
      </c>
      <c r="AQ1123" s="116">
        <f>SUMIFS(L:L,AM:AM,AM1123)</f>
      </c>
      <c r="AR1123" s="116">
        <f>AQ1123-AP1123</f>
      </c>
      <c r="AS1123" s="94" t="str">
        <f>IF(AN1123&gt;=AQ1123,"ok","ck")</f>
      </c>
      <c r="AT1123" s="116">
        <f>-P1123</f>
      </c>
      <c r="AU1123" s="115">
        <f>IF(SUMIFS(AT:AT,AM:AM,AM1123)&gt;AO1123,(SUMIFS(AT:AT,AM:AM,AM1123)-AO1123))</f>
      </c>
      <c r="AV1123" s="116">
        <v>32</v>
      </c>
      <c r="AW1123" s="121">
        <v>1.067</v>
      </c>
      <c r="AX1123" s="115">
        <f>AN1123-AP1123</f>
      </c>
    </row>
    <row r="1124" spans="1:50" ht="15" hidden="1" customHeight="1" x14ac:dyDescent="0.3">
      <c r="A1124" s="94" t="s">
        <v>60</v>
      </c>
      <c r="B1124" s="94"/>
      <c r="C1124" s="94"/>
      <c r="D1124" s="94"/>
      <c r="E1124" s="94"/>
      <c r="F1124" s="94"/>
      <c r="G1124" s="112">
        <f>AU1124</f>
      </c>
      <c r="H1124" s="113"/>
      <c r="I1124" s="94" t="s">
        <v>70</v>
      </c>
      <c r="J1124" s="94" t="s">
        <v>518</v>
      </c>
      <c r="K1124" s="114">
        <f>P1124/3</f>
      </c>
      <c r="L1124" s="115">
        <v>0</v>
      </c>
      <c r="M1124" s="116"/>
      <c r="N1124" s="117">
        <f>M1124-L1124</f>
      </c>
      <c r="O1124" s="112"/>
      <c r="P1124" s="118">
        <f>N1124+O1124</f>
      </c>
      <c r="Q1124" s="94" t="s">
        <v>792</v>
      </c>
      <c r="R1124" s="94" t="s">
        <v>63</v>
      </c>
      <c r="S1124" s="119">
        <v>46336</v>
      </c>
      <c r="T1124" s="119"/>
      <c r="U1124" s="119">
        <v>46336</v>
      </c>
      <c r="V1124" s="94"/>
      <c r="W1124" s="94"/>
      <c r="X1124" s="94"/>
      <c r="Y1124" s="119">
        <v>46336</v>
      </c>
      <c r="Z1124" s="94"/>
      <c r="AA1124" s="120"/>
      <c r="AB1124" s="120"/>
      <c r="AC1124" s="120"/>
      <c r="AD1124" s="120"/>
      <c r="AE1124" s="120"/>
      <c r="AF1124" s="120"/>
      <c r="AG1124" s="94"/>
      <c r="AH1124" s="120"/>
      <c r="AI1124" s="94"/>
      <c r="AJ1124" s="94" t="s">
        <v>792</v>
      </c>
      <c r="AK1124" s="94" t="s">
        <v>518</v>
      </c>
      <c r="AL1124" s="94">
        <v>140</v>
      </c>
      <c r="AM1124" s="94" t="str">
        <f>TRIM(AJ1124)&amp;TRIM(AL1124)&amp;TRIM(AK1124)</f>
      </c>
      <c r="AN1124" s="116">
        <v>3187.08</v>
      </c>
      <c r="AO1124" s="116">
        <v>344.92</v>
      </c>
      <c r="AP1124" s="116">
        <f>SUMIFS(M:M,AM:AM,AM1124)+SUMIFS(O:O,AM:AM,AM1124)</f>
      </c>
      <c r="AQ1124" s="116">
        <f>SUMIFS(L:L,AM:AM,AM1124)</f>
      </c>
      <c r="AR1124" s="116">
        <f>AQ1124-AP1124</f>
      </c>
      <c r="AS1124" s="94" t="str">
        <f>IF(AN1124&gt;=AQ1124,"ok","ck")</f>
      </c>
      <c r="AT1124" s="116">
        <f>-P1124</f>
      </c>
      <c r="AU1124" s="115">
        <f>IF(SUMIFS(AT:AT,AM:AM,AM1124)&gt;AO1124,(SUMIFS(AT:AT,AM:AM,AM1124)-AO1124))</f>
      </c>
      <c r="AV1124" s="116">
        <v>3187.08</v>
      </c>
      <c r="AW1124" s="121">
        <v>0.902</v>
      </c>
      <c r="AX1124" s="115">
        <f>AN1124-AP1124</f>
      </c>
    </row>
    <row r="1125" spans="1:50" ht="15" hidden="1" customHeight="1" x14ac:dyDescent="0.3">
      <c r="A1125" s="94" t="s">
        <v>60</v>
      </c>
      <c r="B1125" s="94"/>
      <c r="C1125" s="94"/>
      <c r="D1125" s="94"/>
      <c r="E1125" s="94"/>
      <c r="F1125" s="94"/>
      <c r="G1125" s="112">
        <f>AU1125</f>
      </c>
      <c r="H1125" s="113"/>
      <c r="I1125" s="94" t="s">
        <v>70</v>
      </c>
      <c r="J1125" s="94" t="s">
        <v>540</v>
      </c>
      <c r="K1125" s="114">
        <f>P1125/3</f>
      </c>
      <c r="L1125" s="115">
        <v>0</v>
      </c>
      <c r="M1125" s="116"/>
      <c r="N1125" s="117">
        <f>M1125-L1125</f>
      </c>
      <c r="O1125" s="112"/>
      <c r="P1125" s="118">
        <f>N1125+O1125</f>
      </c>
      <c r="Q1125" s="94" t="s">
        <v>792</v>
      </c>
      <c r="R1125" s="94" t="s">
        <v>63</v>
      </c>
      <c r="S1125" s="119">
        <v>46336</v>
      </c>
      <c r="T1125" s="119"/>
      <c r="U1125" s="119">
        <v>46336</v>
      </c>
      <c r="V1125" s="94"/>
      <c r="W1125" s="94"/>
      <c r="X1125" s="94"/>
      <c r="Y1125" s="119">
        <v>46336</v>
      </c>
      <c r="Z1125" s="94"/>
      <c r="AA1125" s="120"/>
      <c r="AB1125" s="120"/>
      <c r="AC1125" s="120"/>
      <c r="AD1125" s="120"/>
      <c r="AE1125" s="120"/>
      <c r="AF1125" s="120"/>
      <c r="AG1125" s="94"/>
      <c r="AH1125" s="120"/>
      <c r="AI1125" s="94"/>
      <c r="AJ1125" s="94" t="s">
        <v>792</v>
      </c>
      <c r="AK1125" s="94" t="s">
        <v>540</v>
      </c>
      <c r="AL1125" s="94">
        <v>140</v>
      </c>
      <c r="AM1125" s="94" t="str">
        <f>TRIM(AJ1125)&amp;TRIM(AL1125)&amp;TRIM(AK1125)</f>
      </c>
      <c r="AN1125" s="116">
        <v>3469.56</v>
      </c>
      <c r="AO1125" s="116">
        <v>63.19</v>
      </c>
      <c r="AP1125" s="116">
        <f>SUMIFS(M:M,AM:AM,AM1125)+SUMIFS(O:O,AM:AM,AM1125)</f>
      </c>
      <c r="AQ1125" s="116">
        <f>SUMIFS(L:L,AM:AM,AM1125)</f>
      </c>
      <c r="AR1125" s="116">
        <f>AQ1125-AP1125</f>
      </c>
      <c r="AS1125" s="94" t="str">
        <f>IF(AN1125&gt;=AQ1125,"ok","ck")</f>
      </c>
      <c r="AT1125" s="116">
        <f>-P1125</f>
      </c>
      <c r="AU1125" s="115">
        <f>IF(SUMIFS(AT:AT,AM:AM,AM1125)&gt;AO1125,(SUMIFS(AT:AT,AM:AM,AM1125)-AO1125))</f>
      </c>
      <c r="AV1125" s="116">
        <v>3469.56</v>
      </c>
      <c r="AW1125" s="121">
        <v>0.982</v>
      </c>
      <c r="AX1125" s="115">
        <f>AN1125-AP1125</f>
      </c>
    </row>
    <row r="1126" spans="1:50" ht="15" hidden="1" customHeight="1" x14ac:dyDescent="0.3">
      <c r="A1126" s="94" t="s">
        <v>268</v>
      </c>
      <c r="B1126" s="94"/>
      <c r="C1126" s="94"/>
      <c r="D1126" s="94"/>
      <c r="E1126" s="94"/>
      <c r="F1126" s="94"/>
      <c r="G1126" s="112">
        <f>AU1126</f>
      </c>
      <c r="H1126" s="113"/>
      <c r="I1126" s="94" t="s">
        <v>390</v>
      </c>
      <c r="J1126" s="94" t="s">
        <v>333</v>
      </c>
      <c r="K1126" s="114">
        <f>P1126/3</f>
      </c>
      <c r="L1126" s="115">
        <v>67.731999999999999</v>
      </c>
      <c r="M1126" s="116"/>
      <c r="N1126" s="117">
        <f>M1126-L1126</f>
      </c>
      <c r="O1126" s="112"/>
      <c r="P1126" s="118">
        <f>N1126+O1126</f>
      </c>
      <c r="Q1126" s="94" t="s">
        <v>305</v>
      </c>
      <c r="R1126" s="94" t="s">
        <v>63</v>
      </c>
      <c r="S1126" s="119">
        <v>46340</v>
      </c>
      <c r="T1126" s="119"/>
      <c r="U1126" s="119" t="s">
        <v>648</v>
      </c>
      <c r="V1126" s="94"/>
      <c r="W1126" s="94"/>
      <c r="X1126" s="94"/>
      <c r="Y1126" s="119">
        <v>46324</v>
      </c>
      <c r="Z1126" s="94"/>
      <c r="AA1126" s="120"/>
      <c r="AB1126" s="120"/>
      <c r="AC1126" s="120"/>
      <c r="AD1126" s="120"/>
      <c r="AE1126" s="120"/>
      <c r="AF1126" s="120"/>
      <c r="AG1126" s="94"/>
      <c r="AH1126" s="120"/>
      <c r="AI1126" s="94"/>
      <c r="AJ1126" s="94" t="s">
        <v>305</v>
      </c>
      <c r="AK1126" s="94" t="s">
        <v>334</v>
      </c>
      <c r="AL1126" s="94">
        <v>140</v>
      </c>
      <c r="AM1126" s="94" t="str">
        <f>TRIM(AJ1126)&amp;TRIM(AL1126)&amp;TRIM(AK1126)</f>
      </c>
      <c r="AN1126" s="116">
        <v>0</v>
      </c>
      <c r="AO1126" s="116" t="inlineStr">
        <is>
          <t>#NA</t>
        </is>
      </c>
      <c r="AP1126" s="116">
        <f>SUMIFS(M:M,AM:AM,AM1126)+SUMIFS(O:O,AM:AM,AM1126)</f>
      </c>
      <c r="AQ1126" s="116">
        <f>SUMIFS(L:L,AM:AM,AM1126)</f>
      </c>
      <c r="AR1126" s="116">
        <f>AQ1126-AP1126</f>
      </c>
      <c r="AS1126" s="94" t="str">
        <f>IF(AN1126&gt;=AQ1126,"ok","ck")</f>
      </c>
      <c r="AT1126" s="116">
        <f>-P1126</f>
      </c>
      <c r="AU1126" s="115">
        <f>IF(SUMIFS(AT:AT,AM:AM,AM1126)&gt;AO1126,(SUMIFS(AT:AT,AM:AM,AM1126)-AO1126))</f>
      </c>
      <c r="AV1126" s="116">
        <v>0</v>
      </c>
      <c r="AW1126" s="121">
        <v>0</v>
      </c>
      <c r="AX1126" s="115">
        <f>AN1126-AP1126</f>
      </c>
    </row>
    <row r="1127" spans="1:50" ht="15" hidden="1" customHeight="1" x14ac:dyDescent="0.3">
      <c r="A1127" s="94" t="s">
        <v>268</v>
      </c>
      <c r="B1127" s="94"/>
      <c r="C1127" s="94"/>
      <c r="D1127" s="94"/>
      <c r="E1127" s="94"/>
      <c r="F1127" s="94"/>
      <c r="G1127" s="112">
        <f>AU1127</f>
      </c>
      <c r="H1127" s="113"/>
      <c r="I1127" s="94" t="s">
        <v>390</v>
      </c>
      <c r="J1127" s="94" t="s">
        <v>503</v>
      </c>
      <c r="K1127" s="114">
        <f>P1127/3</f>
      </c>
      <c r="L1127" s="115">
        <v>112.82899999999999</v>
      </c>
      <c r="M1127" s="116"/>
      <c r="N1127" s="117">
        <f>M1127-L1127</f>
      </c>
      <c r="O1127" s="112"/>
      <c r="P1127" s="118">
        <f>N1127+O1127</f>
      </c>
      <c r="Q1127" s="94" t="s">
        <v>805</v>
      </c>
      <c r="R1127" s="94" t="s">
        <v>63</v>
      </c>
      <c r="S1127" s="119">
        <v>46345</v>
      </c>
      <c r="T1127" s="119"/>
      <c r="U1127" s="119">
        <v>46345</v>
      </c>
      <c r="V1127" s="94"/>
      <c r="W1127" s="94"/>
      <c r="X1127" s="94"/>
      <c r="Y1127" s="119">
        <v>46345</v>
      </c>
      <c r="Z1127" s="94"/>
      <c r="AA1127" s="120"/>
      <c r="AB1127" s="120"/>
      <c r="AC1127" s="120"/>
      <c r="AD1127" s="120"/>
      <c r="AE1127" s="120"/>
      <c r="AF1127" s="120"/>
      <c r="AG1127" s="94"/>
      <c r="AH1127" s="120"/>
      <c r="AI1127" s="94"/>
      <c r="AJ1127" s="94" t="s">
        <v>805</v>
      </c>
      <c r="AK1127" s="94" t="s">
        <v>697</v>
      </c>
      <c r="AL1127" s="94">
        <v>140</v>
      </c>
      <c r="AM1127" s="94" t="str">
        <f>TRIM(AJ1127)&amp;TRIM(AL1127)&amp;TRIM(AK1127)</f>
      </c>
      <c r="AN1127" s="116">
        <v>0</v>
      </c>
      <c r="AO1127" s="116" t="inlineStr">
        <is>
          <t>#NA</t>
        </is>
      </c>
      <c r="AP1127" s="116">
        <f>SUMIFS(M:M,AM:AM,AM1127)+SUMIFS(O:O,AM:AM,AM1127)</f>
      </c>
      <c r="AQ1127" s="116">
        <f>SUMIFS(L:L,AM:AM,AM1127)</f>
      </c>
      <c r="AR1127" s="116">
        <f>AQ1127-AP1127</f>
      </c>
      <c r="AS1127" s="94" t="str">
        <f>IF(AN1127&gt;=AQ1127,"ok","ck")</f>
      </c>
      <c r="AT1127" s="116">
        <f>-P1127</f>
      </c>
      <c r="AU1127" s="115">
        <f>IF(SUMIFS(AT:AT,AM:AM,AM1127)&gt;AO1127,(SUMIFS(AT:AT,AM:AM,AM1127)-AO1127))</f>
      </c>
      <c r="AV1127" s="116">
        <v>0</v>
      </c>
      <c r="AW1127" s="121">
        <v>0</v>
      </c>
      <c r="AX1127" s="115">
        <f>AN1127-AP1127</f>
      </c>
    </row>
    <row r="1128" spans="1:50" ht="15" hidden="1" customHeight="1" x14ac:dyDescent="0.3">
      <c r="A1128" s="94" t="s">
        <v>268</v>
      </c>
      <c r="B1128" s="94"/>
      <c r="C1128" s="94"/>
      <c r="D1128" s="94"/>
      <c r="E1128" s="94"/>
      <c r="F1128" s="94"/>
      <c r="G1128" s="112">
        <f>AU1128</f>
      </c>
      <c r="H1128" s="113"/>
      <c r="I1128" s="94" t="s">
        <v>278</v>
      </c>
      <c r="J1128" s="94" t="s">
        <v>333</v>
      </c>
      <c r="K1128" s="114">
        <f>P1128/3</f>
      </c>
      <c r="L1128" s="115">
        <v>315.78399999999999</v>
      </c>
      <c r="M1128" s="116"/>
      <c r="N1128" s="117">
        <f>M1128-L1128</f>
      </c>
      <c r="O1128" s="112"/>
      <c r="P1128" s="118">
        <f>N1128+O1128</f>
      </c>
      <c r="Q1128" s="94" t="s">
        <v>305</v>
      </c>
      <c r="R1128" s="94" t="s">
        <v>63</v>
      </c>
      <c r="S1128" s="120">
        <v>46339</v>
      </c>
      <c r="T1128" s="120"/>
      <c r="U1128" s="120" t="s">
        <v>648</v>
      </c>
      <c r="V1128" s="94"/>
      <c r="W1128" s="94"/>
      <c r="X1128" s="94"/>
      <c r="Y1128" s="119">
        <v>46327</v>
      </c>
      <c r="Z1128" s="94"/>
      <c r="AA1128" s="120"/>
      <c r="AB1128" s="120"/>
      <c r="AC1128" s="120"/>
      <c r="AD1128" s="120"/>
      <c r="AE1128" s="120"/>
      <c r="AF1128" s="120"/>
      <c r="AG1128" s="94"/>
      <c r="AH1128" s="120"/>
      <c r="AI1128" s="94"/>
      <c r="AJ1128" s="94" t="s">
        <v>305</v>
      </c>
      <c r="AK1128" s="94" t="s">
        <v>334</v>
      </c>
      <c r="AL1128" s="94">
        <v>120</v>
      </c>
      <c r="AM1128" s="94" t="str">
        <f>TRIM(AJ1128)&amp;TRIM(AL1128)&amp;TRIM(AK1128)</f>
      </c>
      <c r="AN1128" s="116">
        <v>0</v>
      </c>
      <c r="AO1128" s="116" t="inlineStr">
        <is>
          <t>#NA</t>
        </is>
      </c>
      <c r="AP1128" s="116">
        <f>SUMIFS(M:M,AM:AM,AM1128)+SUMIFS(O:O,AM:AM,AM1128)</f>
      </c>
      <c r="AQ1128" s="116">
        <f>SUMIFS(L:L,AM:AM,AM1128)</f>
      </c>
      <c r="AR1128" s="116">
        <f>AQ1128-AP1128</f>
      </c>
      <c r="AS1128" s="94" t="str">
        <f>IF(AN1128&gt;=AQ1128,"ok","ck")</f>
      </c>
      <c r="AT1128" s="116">
        <f>-P1128</f>
      </c>
      <c r="AU1128" s="115">
        <f>IF(SUMIFS(AT:AT,AM:AM,AM1128)&gt;AO1128,(SUMIFS(AT:AT,AM:AM,AM1128)-AO1128))</f>
      </c>
      <c r="AV1128" s="116">
        <v>0</v>
      </c>
      <c r="AW1128" s="121">
        <v>0</v>
      </c>
      <c r="AX1128" s="115">
        <f>AN1128-AP1128</f>
      </c>
    </row>
    <row r="1129" spans="1:50" ht="15" hidden="1" customHeight="1" x14ac:dyDescent="0.3">
      <c r="A1129" s="94" t="s">
        <v>268</v>
      </c>
      <c r="B1129" s="94"/>
      <c r="C1129" s="94"/>
      <c r="D1129" s="94"/>
      <c r="E1129" s="94"/>
      <c r="F1129" s="94"/>
      <c r="G1129" s="112">
        <f>AU1129</f>
      </c>
      <c r="H1129" s="113"/>
      <c r="I1129" s="94" t="s">
        <v>390</v>
      </c>
      <c r="J1129" s="94" t="s">
        <v>328</v>
      </c>
      <c r="K1129" s="114">
        <f>P1129/3</f>
      </c>
      <c r="L1129" s="115">
        <v>97.92</v>
      </c>
      <c r="M1129" s="116"/>
      <c r="N1129" s="117">
        <f>M1129-L1129</f>
      </c>
      <c r="O1129" s="112"/>
      <c r="P1129" s="118">
        <f>N1129+O1129</f>
      </c>
      <c r="Q1129" s="94" t="s">
        <v>778</v>
      </c>
      <c r="R1129" s="94" t="s">
        <v>63</v>
      </c>
      <c r="S1129" s="120">
        <v>46340</v>
      </c>
      <c r="T1129" s="120"/>
      <c r="U1129" s="120">
        <v>46340</v>
      </c>
      <c r="V1129" s="94"/>
      <c r="W1129" s="94"/>
      <c r="X1129" s="94"/>
      <c r="Y1129" s="119">
        <v>46335</v>
      </c>
      <c r="Z1129" s="94"/>
      <c r="AA1129" s="120"/>
      <c r="AB1129" s="120"/>
      <c r="AC1129" s="120"/>
      <c r="AD1129" s="120"/>
      <c r="AE1129" s="120"/>
      <c r="AF1129" s="120"/>
      <c r="AG1129" s="94"/>
      <c r="AH1129" s="120"/>
      <c r="AI1129" s="94"/>
      <c r="AJ1129" s="94" t="s">
        <v>778</v>
      </c>
      <c r="AK1129" s="94" t="s">
        <v>329</v>
      </c>
      <c r="AL1129" s="94">
        <v>140</v>
      </c>
      <c r="AM1129" s="94" t="str">
        <f>TRIM(AJ1129)&amp;TRIM(AL1129)&amp;TRIM(AK1129)</f>
      </c>
      <c r="AN1129" s="116">
        <v>0</v>
      </c>
      <c r="AO1129" s="116" t="inlineStr">
        <is>
          <t>#NA</t>
        </is>
      </c>
      <c r="AP1129" s="116">
        <f>SUMIFS(M:M,AM:AM,AM1129)+SUMIFS(O:O,AM:AM,AM1129)</f>
      </c>
      <c r="AQ1129" s="116">
        <f>SUMIFS(L:L,AM:AM,AM1129)</f>
      </c>
      <c r="AR1129" s="116">
        <f>AQ1129-AP1129</f>
      </c>
      <c r="AS1129" s="94" t="str">
        <f>IF(AN1129&gt;=AQ1129,"ok","ck")</f>
      </c>
      <c r="AT1129" s="116">
        <f>-P1129</f>
      </c>
      <c r="AU1129" s="115">
        <f>IF(SUMIFS(AT:AT,AM:AM,AM1129)&gt;AO1129,(SUMIFS(AT:AT,AM:AM,AM1129)-AO1129))</f>
      </c>
      <c r="AV1129" s="116">
        <v>0</v>
      </c>
      <c r="AW1129" s="121">
        <v>0</v>
      </c>
      <c r="AX1129" s="115">
        <f>AN1129-AP1129</f>
      </c>
    </row>
    <row r="1130" spans="1:50" ht="15" hidden="1" customHeight="1" x14ac:dyDescent="0.3">
      <c r="A1130" s="94" t="s">
        <v>268</v>
      </c>
      <c r="B1130" s="94"/>
      <c r="C1130" s="94"/>
      <c r="D1130" s="94"/>
      <c r="E1130" s="94"/>
      <c r="F1130" s="94"/>
      <c r="G1130" s="112">
        <f>AU1130</f>
      </c>
      <c r="H1130" s="113"/>
      <c r="I1130" s="94" t="s">
        <v>390</v>
      </c>
      <c r="J1130" s="94" t="s">
        <v>328</v>
      </c>
      <c r="K1130" s="114">
        <f>P1130/3</f>
      </c>
      <c r="L1130" s="115">
        <v>36.658999999999999</v>
      </c>
      <c r="M1130" s="116"/>
      <c r="N1130" s="117">
        <f>M1130-L1130</f>
      </c>
      <c r="O1130" s="112"/>
      <c r="P1130" s="118">
        <f>N1130+O1130</f>
      </c>
      <c r="Q1130" s="94" t="s">
        <v>778</v>
      </c>
      <c r="R1130" s="94" t="s">
        <v>63</v>
      </c>
      <c r="S1130" s="120">
        <v>46340</v>
      </c>
      <c r="T1130" s="120"/>
      <c r="U1130" s="120">
        <v>46340</v>
      </c>
      <c r="V1130" s="94"/>
      <c r="W1130" s="94"/>
      <c r="X1130" s="94"/>
      <c r="Y1130" s="119">
        <v>46337</v>
      </c>
      <c r="Z1130" s="94"/>
      <c r="AA1130" s="120"/>
      <c r="AB1130" s="120"/>
      <c r="AC1130" s="120"/>
      <c r="AD1130" s="120"/>
      <c r="AE1130" s="120"/>
      <c r="AF1130" s="120"/>
      <c r="AG1130" s="94"/>
      <c r="AH1130" s="120"/>
      <c r="AI1130" s="94"/>
      <c r="AJ1130" s="94" t="s">
        <v>778</v>
      </c>
      <c r="AK1130" s="94" t="s">
        <v>329</v>
      </c>
      <c r="AL1130" s="94">
        <v>140</v>
      </c>
      <c r="AM1130" s="94" t="str">
        <f>TRIM(AJ1130)&amp;TRIM(AL1130)&amp;TRIM(AK1130)</f>
      </c>
      <c r="AN1130" s="116">
        <v>0</v>
      </c>
      <c r="AO1130" s="116" t="inlineStr">
        <is>
          <t>#NA</t>
        </is>
      </c>
      <c r="AP1130" s="116">
        <f>SUMIFS(M:M,AM:AM,AM1130)+SUMIFS(O:O,AM:AM,AM1130)</f>
      </c>
      <c r="AQ1130" s="116">
        <f>SUMIFS(L:L,AM:AM,AM1130)</f>
      </c>
      <c r="AR1130" s="116">
        <f>AQ1130-AP1130</f>
      </c>
      <c r="AS1130" s="94" t="str">
        <f>IF(AN1130&gt;=AQ1130,"ok","ck")</f>
      </c>
      <c r="AT1130" s="116">
        <f>-P1130</f>
      </c>
      <c r="AU1130" s="115">
        <f>IF(SUMIFS(AT:AT,AM:AM,AM1130)&gt;AO1130,(SUMIFS(AT:AT,AM:AM,AM1130)-AO1130))</f>
      </c>
      <c r="AV1130" s="116">
        <v>0</v>
      </c>
      <c r="AW1130" s="121">
        <v>0</v>
      </c>
      <c r="AX1130" s="115">
        <f>AN1130-AP1130</f>
      </c>
    </row>
    <row r="1131" spans="1:50" ht="15" hidden="1" customHeight="1" x14ac:dyDescent="0.3">
      <c r="A1131" s="94" t="s">
        <v>268</v>
      </c>
      <c r="B1131" s="94"/>
      <c r="C1131" s="94"/>
      <c r="D1131" s="94"/>
      <c r="E1131" s="94"/>
      <c r="F1131" s="94"/>
      <c r="G1131" s="112">
        <f>AU1131</f>
      </c>
      <c r="H1131" s="113"/>
      <c r="I1131" s="94" t="s">
        <v>390</v>
      </c>
      <c r="J1131" s="94" t="s">
        <v>328</v>
      </c>
      <c r="K1131" s="114">
        <f>P1131/3</f>
      </c>
      <c r="L1131" s="115">
        <v>0.73499999999999999</v>
      </c>
      <c r="M1131" s="116"/>
      <c r="N1131" s="117">
        <f>M1131-L1131</f>
      </c>
      <c r="O1131" s="112"/>
      <c r="P1131" s="118">
        <f>N1131+O1131</f>
      </c>
      <c r="Q1131" s="94" t="s">
        <v>778</v>
      </c>
      <c r="R1131" s="94" t="s">
        <v>63</v>
      </c>
      <c r="S1131" s="120">
        <v>46340</v>
      </c>
      <c r="T1131" s="120"/>
      <c r="U1131" s="120">
        <v>46340</v>
      </c>
      <c r="V1131" s="94"/>
      <c r="W1131" s="94"/>
      <c r="X1131" s="94"/>
      <c r="Y1131" s="119">
        <v>46337</v>
      </c>
      <c r="Z1131" s="94"/>
      <c r="AA1131" s="120"/>
      <c r="AB1131" s="120"/>
      <c r="AC1131" s="120"/>
      <c r="AD1131" s="120"/>
      <c r="AE1131" s="120"/>
      <c r="AF1131" s="120"/>
      <c r="AG1131" s="94"/>
      <c r="AH1131" s="120"/>
      <c r="AI1131" s="94"/>
      <c r="AJ1131" s="94" t="s">
        <v>778</v>
      </c>
      <c r="AK1131" s="94" t="s">
        <v>329</v>
      </c>
      <c r="AL1131" s="94">
        <v>140</v>
      </c>
      <c r="AM1131" s="94" t="str">
        <f>TRIM(AJ1131)&amp;TRIM(AL1131)&amp;TRIM(AK1131)</f>
      </c>
      <c r="AN1131" s="116">
        <v>0</v>
      </c>
      <c r="AO1131" s="116" t="inlineStr">
        <is>
          <t>#NA</t>
        </is>
      </c>
      <c r="AP1131" s="116">
        <f>SUMIFS(M:M,AM:AM,AM1131)+SUMIFS(O:O,AM:AM,AM1131)</f>
      </c>
      <c r="AQ1131" s="116">
        <f>SUMIFS(L:L,AM:AM,AM1131)</f>
      </c>
      <c r="AR1131" s="116">
        <f>AQ1131-AP1131</f>
      </c>
      <c r="AS1131" s="94" t="str">
        <f>IF(AN1131&gt;=AQ1131,"ok","ck")</f>
      </c>
      <c r="AT1131" s="116">
        <f>-P1131</f>
      </c>
      <c r="AU1131" s="115">
        <f>IF(SUMIFS(AT:AT,AM:AM,AM1131)&gt;AO1131,(SUMIFS(AT:AT,AM:AM,AM1131)-AO1131))</f>
      </c>
      <c r="AV1131" s="116">
        <v>0</v>
      </c>
      <c r="AW1131" s="121">
        <v>0</v>
      </c>
      <c r="AX1131" s="115">
        <f>AN1131-AP1131</f>
      </c>
    </row>
    <row r="1132" spans="1:50" ht="15" hidden="1" customHeight="1" x14ac:dyDescent="0.3">
      <c r="A1132" s="94" t="s">
        <v>268</v>
      </c>
      <c r="B1132" s="94"/>
      <c r="C1132" s="94"/>
      <c r="D1132" s="94"/>
      <c r="E1132" s="94"/>
      <c r="F1132" s="94"/>
      <c r="G1132" s="112">
        <f>AU1132</f>
      </c>
      <c r="H1132" s="113"/>
      <c r="I1132" s="94" t="s">
        <v>390</v>
      </c>
      <c r="J1132" s="94" t="s">
        <v>328</v>
      </c>
      <c r="K1132" s="114">
        <f>P1132/3</f>
      </c>
      <c r="L1132" s="115">
        <v>128.26</v>
      </c>
      <c r="M1132" s="116"/>
      <c r="N1132" s="117">
        <f>M1132-L1132</f>
      </c>
      <c r="O1132" s="112"/>
      <c r="P1132" s="118">
        <f>N1132+O1132</f>
      </c>
      <c r="Q1132" s="94" t="s">
        <v>778</v>
      </c>
      <c r="R1132" s="94" t="s">
        <v>63</v>
      </c>
      <c r="S1132" s="120">
        <v>46340</v>
      </c>
      <c r="T1132" s="120"/>
      <c r="U1132" s="120">
        <v>46340</v>
      </c>
      <c r="V1132" s="94"/>
      <c r="W1132" s="94"/>
      <c r="X1132" s="94"/>
      <c r="Y1132" s="119">
        <v>46326</v>
      </c>
      <c r="Z1132" s="94"/>
      <c r="AA1132" s="120"/>
      <c r="AB1132" s="120"/>
      <c r="AC1132" s="120"/>
      <c r="AD1132" s="120"/>
      <c r="AE1132" s="120"/>
      <c r="AF1132" s="120"/>
      <c r="AG1132" s="94"/>
      <c r="AH1132" s="120"/>
      <c r="AI1132" s="94"/>
      <c r="AJ1132" s="94" t="s">
        <v>778</v>
      </c>
      <c r="AK1132" s="94" t="s">
        <v>329</v>
      </c>
      <c r="AL1132" s="94">
        <v>140</v>
      </c>
      <c r="AM1132" s="94" t="str">
        <f>TRIM(AJ1132)&amp;TRIM(AL1132)&amp;TRIM(AK1132)</f>
      </c>
      <c r="AN1132" s="116">
        <v>0</v>
      </c>
      <c r="AO1132" s="116" t="inlineStr">
        <is>
          <t>#NA</t>
        </is>
      </c>
      <c r="AP1132" s="116">
        <f>SUMIFS(M:M,AM:AM,AM1132)+SUMIFS(O:O,AM:AM,AM1132)</f>
      </c>
      <c r="AQ1132" s="116">
        <f>SUMIFS(L:L,AM:AM,AM1132)</f>
      </c>
      <c r="AR1132" s="116">
        <f>AQ1132-AP1132</f>
      </c>
      <c r="AS1132" s="94" t="str">
        <f>IF(AN1132&gt;=AQ1132,"ok","ck")</f>
      </c>
      <c r="AT1132" s="116">
        <f>-P1132</f>
      </c>
      <c r="AU1132" s="115">
        <f>IF(SUMIFS(AT:AT,AM:AM,AM1132)&gt;AO1132,(SUMIFS(AT:AT,AM:AM,AM1132)-AO1132))</f>
      </c>
      <c r="AV1132" s="116">
        <v>0</v>
      </c>
      <c r="AW1132" s="121">
        <v>0</v>
      </c>
      <c r="AX1132" s="115">
        <f>AN1132-AP1132</f>
      </c>
    </row>
    <row r="1133" spans="1:50" ht="15" hidden="1" customHeight="1" x14ac:dyDescent="0.3">
      <c r="A1133" s="94" t="s">
        <v>268</v>
      </c>
      <c r="B1133" s="94"/>
      <c r="C1133" s="94"/>
      <c r="D1133" s="94"/>
      <c r="E1133" s="94"/>
      <c r="F1133" s="94"/>
      <c r="G1133" s="112">
        <f>AU1133</f>
      </c>
      <c r="H1133" s="113"/>
      <c r="I1133" s="94" t="s">
        <v>390</v>
      </c>
      <c r="J1133" s="94" t="s">
        <v>328</v>
      </c>
      <c r="K1133" s="114">
        <f>P1133/3</f>
      </c>
      <c r="L1133" s="115">
        <v>33.814</v>
      </c>
      <c r="M1133" s="116"/>
      <c r="N1133" s="117">
        <f>M1133-L1133</f>
      </c>
      <c r="O1133" s="112"/>
      <c r="P1133" s="118">
        <f>N1133+O1133</f>
      </c>
      <c r="Q1133" s="94" t="s">
        <v>778</v>
      </c>
      <c r="R1133" s="94" t="s">
        <v>63</v>
      </c>
      <c r="S1133" s="120">
        <v>46340</v>
      </c>
      <c r="T1133" s="120"/>
      <c r="U1133" s="120">
        <v>46340</v>
      </c>
      <c r="V1133" s="94"/>
      <c r="W1133" s="94"/>
      <c r="X1133" s="94"/>
      <c r="Y1133" s="119">
        <v>46329</v>
      </c>
      <c r="Z1133" s="94"/>
      <c r="AA1133" s="120"/>
      <c r="AB1133" s="120"/>
      <c r="AC1133" s="120"/>
      <c r="AD1133" s="120"/>
      <c r="AE1133" s="120"/>
      <c r="AF1133" s="120"/>
      <c r="AG1133" s="94"/>
      <c r="AH1133" s="120"/>
      <c r="AI1133" s="94"/>
      <c r="AJ1133" s="94" t="s">
        <v>778</v>
      </c>
      <c r="AK1133" s="94" t="s">
        <v>329</v>
      </c>
      <c r="AL1133" s="94">
        <v>140</v>
      </c>
      <c r="AM1133" s="94" t="str">
        <f>TRIM(AJ1133)&amp;TRIM(AL1133)&amp;TRIM(AK1133)</f>
      </c>
      <c r="AN1133" s="116">
        <v>0</v>
      </c>
      <c r="AO1133" s="116" t="inlineStr">
        <is>
          <t>#NA</t>
        </is>
      </c>
      <c r="AP1133" s="116">
        <f>SUMIFS(M:M,AM:AM,AM1133)+SUMIFS(O:O,AM:AM,AM1133)</f>
      </c>
      <c r="AQ1133" s="116">
        <f>SUMIFS(L:L,AM:AM,AM1133)</f>
      </c>
      <c r="AR1133" s="116">
        <f>AQ1133-AP1133</f>
      </c>
      <c r="AS1133" s="94" t="str">
        <f>IF(AN1133&gt;=AQ1133,"ok","ck")</f>
      </c>
      <c r="AT1133" s="116">
        <f>-P1133</f>
      </c>
      <c r="AU1133" s="115">
        <f>IF(SUMIFS(AT:AT,AM:AM,AM1133)&gt;AO1133,(SUMIFS(AT:AT,AM:AM,AM1133)-AO1133))</f>
      </c>
      <c r="AV1133" s="116">
        <v>0</v>
      </c>
      <c r="AW1133" s="121">
        <v>0</v>
      </c>
      <c r="AX1133" s="115">
        <f>AN1133-AP1133</f>
      </c>
    </row>
    <row r="1134" spans="1:50" ht="15" hidden="1" customHeight="1" x14ac:dyDescent="0.3">
      <c r="A1134" s="94" t="s">
        <v>268</v>
      </c>
      <c r="B1134" s="94"/>
      <c r="C1134" s="94"/>
      <c r="D1134" s="94"/>
      <c r="E1134" s="94"/>
      <c r="F1134" s="94"/>
      <c r="G1134" s="112">
        <f>AU1134</f>
      </c>
      <c r="H1134" s="113"/>
      <c r="I1134" s="94" t="s">
        <v>278</v>
      </c>
      <c r="J1134" s="94" t="s">
        <v>550</v>
      </c>
      <c r="K1134" s="114">
        <f>P1134/3</f>
      </c>
      <c r="L1134" s="115">
        <v>0</v>
      </c>
      <c r="M1134" s="116"/>
      <c r="N1134" s="117">
        <f>M1134-L1134</f>
      </c>
      <c r="O1134" s="112"/>
      <c r="P1134" s="118">
        <f>N1134+O1134</f>
      </c>
      <c r="Q1134" s="94" t="s">
        <v>778</v>
      </c>
      <c r="R1134" s="94" t="s">
        <v>63</v>
      </c>
      <c r="S1134" s="120">
        <v>46342</v>
      </c>
      <c r="T1134" s="120"/>
      <c r="U1134" s="120">
        <v>46342</v>
      </c>
      <c r="V1134" s="94"/>
      <c r="W1134" s="94"/>
      <c r="X1134" s="94"/>
      <c r="Y1134" s="119">
        <v>46342</v>
      </c>
      <c r="Z1134" s="94"/>
      <c r="AA1134" s="120"/>
      <c r="AB1134" s="120"/>
      <c r="AC1134" s="120"/>
      <c r="AD1134" s="120"/>
      <c r="AE1134" s="120"/>
      <c r="AF1134" s="120"/>
      <c r="AG1134" s="94"/>
      <c r="AH1134" s="120"/>
      <c r="AI1134" s="94"/>
      <c r="AJ1134" s="94" t="s">
        <v>778</v>
      </c>
      <c r="AK1134" s="94" t="s">
        <v>725</v>
      </c>
      <c r="AL1134" s="94">
        <v>120</v>
      </c>
      <c r="AM1134" s="94" t="str">
        <f>TRIM(AJ1134)&amp;TRIM(AL1134)&amp;TRIM(AK1134)</f>
      </c>
      <c r="AN1134" s="116">
        <v>0</v>
      </c>
      <c r="AO1134" s="116" t="inlineStr">
        <is>
          <t>#NA</t>
        </is>
      </c>
      <c r="AP1134" s="116">
        <f>SUMIFS(M:M,AM:AM,AM1134)+SUMIFS(O:O,AM:AM,AM1134)</f>
      </c>
      <c r="AQ1134" s="116">
        <f>SUMIFS(L:L,AM:AM,AM1134)</f>
      </c>
      <c r="AR1134" s="116">
        <f>AQ1134-AP1134</f>
      </c>
      <c r="AS1134" s="94" t="str">
        <f>IF(AN1134&gt;=AQ1134,"ok","ck")</f>
      </c>
      <c r="AT1134" s="116">
        <f>-P1134</f>
      </c>
      <c r="AU1134" s="115">
        <f>IF(SUMIFS(AT:AT,AM:AM,AM1134)&gt;AO1134,(SUMIFS(AT:AT,AM:AM,AM1134)-AO1134))</f>
      </c>
      <c r="AV1134" s="116">
        <v>0</v>
      </c>
      <c r="AW1134" s="121">
        <v>0</v>
      </c>
      <c r="AX1134" s="115">
        <f>AN1134-AP1134</f>
      </c>
    </row>
    <row r="1135" spans="1:50" ht="15" hidden="1" customHeight="1" x14ac:dyDescent="0.3">
      <c r="A1135" s="94" t="s">
        <v>268</v>
      </c>
      <c r="B1135" s="94"/>
      <c r="C1135" s="94"/>
      <c r="D1135" s="94"/>
      <c r="E1135" s="94"/>
      <c r="F1135" s="94"/>
      <c r="G1135" s="112">
        <f>AU1135</f>
      </c>
      <c r="H1135" s="113"/>
      <c r="I1135" s="94" t="s">
        <v>278</v>
      </c>
      <c r="J1135" s="94" t="s">
        <v>550</v>
      </c>
      <c r="K1135" s="114">
        <f>P1135/3</f>
      </c>
      <c r="L1135" s="115">
        <v>0.126</v>
      </c>
      <c r="M1135" s="116"/>
      <c r="N1135" s="117">
        <f>M1135-L1135</f>
      </c>
      <c r="O1135" s="112"/>
      <c r="P1135" s="118">
        <f>N1135+O1135</f>
      </c>
      <c r="Q1135" s="94" t="s">
        <v>778</v>
      </c>
      <c r="R1135" s="94" t="s">
        <v>63</v>
      </c>
      <c r="S1135" s="120">
        <v>46328</v>
      </c>
      <c r="T1135" s="120"/>
      <c r="U1135" s="120">
        <v>46328</v>
      </c>
      <c r="V1135" s="94"/>
      <c r="W1135" s="94"/>
      <c r="X1135" s="94"/>
      <c r="Y1135" s="119">
        <v>46328</v>
      </c>
      <c r="Z1135" s="94"/>
      <c r="AA1135" s="120"/>
      <c r="AB1135" s="120"/>
      <c r="AC1135" s="120"/>
      <c r="AD1135" s="120"/>
      <c r="AE1135" s="120"/>
      <c r="AF1135" s="120"/>
      <c r="AG1135" s="94"/>
      <c r="AH1135" s="120"/>
      <c r="AI1135" s="94"/>
      <c r="AJ1135" s="94" t="s">
        <v>778</v>
      </c>
      <c r="AK1135" s="94" t="s">
        <v>725</v>
      </c>
      <c r="AL1135" s="94">
        <v>120</v>
      </c>
      <c r="AM1135" s="94" t="str">
        <f>TRIM(AJ1135)&amp;TRIM(AL1135)&amp;TRIM(AK1135)</f>
      </c>
      <c r="AN1135" s="116">
        <v>0</v>
      </c>
      <c r="AO1135" s="116" t="inlineStr">
        <is>
          <t>#NA</t>
        </is>
      </c>
      <c r="AP1135" s="116">
        <f>SUMIFS(M:M,AM:AM,AM1135)+SUMIFS(O:O,AM:AM,AM1135)</f>
      </c>
      <c r="AQ1135" s="116">
        <f>SUMIFS(L:L,AM:AM,AM1135)</f>
      </c>
      <c r="AR1135" s="116">
        <f>AQ1135-AP1135</f>
      </c>
      <c r="AS1135" s="94" t="str">
        <f>IF(AN1135&gt;=AQ1135,"ok","ck")</f>
      </c>
      <c r="AT1135" s="116">
        <f>-P1135</f>
      </c>
      <c r="AU1135" s="115">
        <f>IF(SUMIFS(AT:AT,AM:AM,AM1135)&gt;AO1135,(SUMIFS(AT:AT,AM:AM,AM1135)-AO1135))</f>
      </c>
      <c r="AV1135" s="116">
        <v>0</v>
      </c>
      <c r="AW1135" s="121">
        <v>0</v>
      </c>
      <c r="AX1135" s="115">
        <f>AN1135-AP1135</f>
      </c>
    </row>
    <row r="1136" spans="1:50" ht="15" hidden="1" customHeight="1" x14ac:dyDescent="0.3">
      <c r="A1136" s="94" t="s">
        <v>268</v>
      </c>
      <c r="B1136" s="94"/>
      <c r="C1136" s="94"/>
      <c r="D1136" s="94"/>
      <c r="E1136" s="94"/>
      <c r="F1136" s="94"/>
      <c r="G1136" s="112">
        <f>AU1136</f>
      </c>
      <c r="H1136" s="113"/>
      <c r="I1136" s="94" t="s">
        <v>278</v>
      </c>
      <c r="J1136" s="94" t="s">
        <v>326</v>
      </c>
      <c r="K1136" s="114">
        <f>P1136/3</f>
      </c>
      <c r="L1136" s="115">
        <v>0.1</v>
      </c>
      <c r="M1136" s="116"/>
      <c r="N1136" s="117">
        <f>M1136-L1136</f>
      </c>
      <c r="O1136" s="112"/>
      <c r="P1136" s="118">
        <f>N1136+O1136</f>
      </c>
      <c r="Q1136" s="94" t="s">
        <v>778</v>
      </c>
      <c r="R1136" s="94" t="s">
        <v>63</v>
      </c>
      <c r="S1136" s="120">
        <v>46335</v>
      </c>
      <c r="T1136" s="120"/>
      <c r="U1136" s="120">
        <v>46335</v>
      </c>
      <c r="V1136" s="94"/>
      <c r="W1136" s="94"/>
      <c r="X1136" s="94"/>
      <c r="Y1136" s="119">
        <v>46335</v>
      </c>
      <c r="Z1136" s="94"/>
      <c r="AA1136" s="120"/>
      <c r="AB1136" s="120"/>
      <c r="AC1136" s="120"/>
      <c r="AD1136" s="120"/>
      <c r="AE1136" s="120"/>
      <c r="AF1136" s="120"/>
      <c r="AG1136" s="94"/>
      <c r="AH1136" s="120"/>
      <c r="AI1136" s="94"/>
      <c r="AJ1136" s="94" t="s">
        <v>778</v>
      </c>
      <c r="AK1136" s="94" t="s">
        <v>327</v>
      </c>
      <c r="AL1136" s="94">
        <v>120</v>
      </c>
      <c r="AM1136" s="94" t="str">
        <f>TRIM(AJ1136)&amp;TRIM(AL1136)&amp;TRIM(AK1136)</f>
      </c>
      <c r="AN1136" s="116">
        <v>0</v>
      </c>
      <c r="AO1136" s="116" t="inlineStr">
        <is>
          <t>#NA</t>
        </is>
      </c>
      <c r="AP1136" s="116">
        <f>SUMIFS(M:M,AM:AM,AM1136)+SUMIFS(O:O,AM:AM,AM1136)</f>
      </c>
      <c r="AQ1136" s="116">
        <f>SUMIFS(L:L,AM:AM,AM1136)</f>
      </c>
      <c r="AR1136" s="116">
        <f>AQ1136-AP1136</f>
      </c>
      <c r="AS1136" s="94" t="str">
        <f>IF(AN1136&gt;=AQ1136,"ok","ck")</f>
      </c>
      <c r="AT1136" s="116">
        <f>-P1136</f>
      </c>
      <c r="AU1136" s="115">
        <f>IF(SUMIFS(AT:AT,AM:AM,AM1136)&gt;AO1136,(SUMIFS(AT:AT,AM:AM,AM1136)-AO1136))</f>
      </c>
      <c r="AV1136" s="116">
        <v>0</v>
      </c>
      <c r="AW1136" s="121">
        <v>0</v>
      </c>
      <c r="AX1136" s="115">
        <f>AN1136-AP1136</f>
      </c>
    </row>
    <row r="1137" spans="1:50" ht="15" hidden="1" customHeight="1" x14ac:dyDescent="0.3">
      <c r="A1137" s="94" t="s">
        <v>268</v>
      </c>
      <c r="B1137" s="94"/>
      <c r="C1137" s="94"/>
      <c r="D1137" s="94"/>
      <c r="E1137" s="94"/>
      <c r="F1137" s="94"/>
      <c r="G1137" s="112">
        <f>AU1137</f>
      </c>
      <c r="H1137" s="113"/>
      <c r="I1137" s="94" t="s">
        <v>278</v>
      </c>
      <c r="J1137" s="94" t="s">
        <v>326</v>
      </c>
      <c r="K1137" s="114">
        <f>P1137/3</f>
      </c>
      <c r="L1137" s="115">
        <v>19.024000000000001</v>
      </c>
      <c r="M1137" s="116"/>
      <c r="N1137" s="117">
        <f>M1137-L1137</f>
      </c>
      <c r="O1137" s="112"/>
      <c r="P1137" s="118">
        <f>N1137+O1137</f>
      </c>
      <c r="Q1137" s="94" t="s">
        <v>778</v>
      </c>
      <c r="R1137" s="94" t="s">
        <v>63</v>
      </c>
      <c r="S1137" s="120">
        <v>46337</v>
      </c>
      <c r="T1137" s="120"/>
      <c r="U1137" s="120" t="s">
        <v>639</v>
      </c>
      <c r="V1137" s="94"/>
      <c r="W1137" s="94"/>
      <c r="X1137" s="94"/>
      <c r="Y1137" s="119">
        <v>46334</v>
      </c>
      <c r="Z1137" s="94"/>
      <c r="AA1137" s="120"/>
      <c r="AB1137" s="120"/>
      <c r="AC1137" s="120"/>
      <c r="AD1137" s="120"/>
      <c r="AE1137" s="120"/>
      <c r="AF1137" s="120"/>
      <c r="AG1137" s="94"/>
      <c r="AH1137" s="120"/>
      <c r="AI1137" s="94"/>
      <c r="AJ1137" s="94" t="s">
        <v>778</v>
      </c>
      <c r="AK1137" s="94" t="s">
        <v>327</v>
      </c>
      <c r="AL1137" s="94">
        <v>120</v>
      </c>
      <c r="AM1137" s="94" t="str">
        <f>TRIM(AJ1137)&amp;TRIM(AL1137)&amp;TRIM(AK1137)</f>
      </c>
      <c r="AN1137" s="116">
        <v>0</v>
      </c>
      <c r="AO1137" s="116" t="inlineStr">
        <is>
          <t>#NA</t>
        </is>
      </c>
      <c r="AP1137" s="116">
        <f>SUMIFS(M:M,AM:AM,AM1137)+SUMIFS(O:O,AM:AM,AM1137)</f>
      </c>
      <c r="AQ1137" s="116">
        <f>SUMIFS(L:L,AM:AM,AM1137)</f>
      </c>
      <c r="AR1137" s="116">
        <f>AQ1137-AP1137</f>
      </c>
      <c r="AS1137" s="94" t="str">
        <f>IF(AN1137&gt;=AQ1137,"ok","ck")</f>
      </c>
      <c r="AT1137" s="116">
        <f>-P1137</f>
      </c>
      <c r="AU1137" s="115">
        <f>IF(SUMIFS(AT:AT,AM:AM,AM1137)&gt;AO1137,(SUMIFS(AT:AT,AM:AM,AM1137)-AO1137))</f>
      </c>
      <c r="AV1137" s="116">
        <v>0</v>
      </c>
      <c r="AW1137" s="121">
        <v>0</v>
      </c>
      <c r="AX1137" s="115">
        <f>AN1137-AP1137</f>
      </c>
    </row>
    <row r="1138" spans="1:50" ht="15" hidden="1" customHeight="1" x14ac:dyDescent="0.3">
      <c r="A1138" s="94" t="s">
        <v>268</v>
      </c>
      <c r="B1138" s="94"/>
      <c r="C1138" s="94"/>
      <c r="D1138" s="94"/>
      <c r="E1138" s="94"/>
      <c r="F1138" s="94"/>
      <c r="G1138" s="112">
        <f>AU1138</f>
      </c>
      <c r="H1138" s="113"/>
      <c r="I1138" s="94" t="s">
        <v>278</v>
      </c>
      <c r="J1138" s="94" t="s">
        <v>333</v>
      </c>
      <c r="K1138" s="114">
        <f>P1138/3</f>
      </c>
      <c r="L1138" s="115">
        <v>19.024000000000001</v>
      </c>
      <c r="M1138" s="116"/>
      <c r="N1138" s="117">
        <f>M1138-L1138</f>
      </c>
      <c r="O1138" s="112"/>
      <c r="P1138" s="118">
        <f>N1138+O1138</f>
      </c>
      <c r="Q1138" s="94" t="s">
        <v>778</v>
      </c>
      <c r="R1138" s="94" t="s">
        <v>63</v>
      </c>
      <c r="S1138" s="120">
        <v>46344</v>
      </c>
      <c r="T1138" s="120"/>
      <c r="U1138" s="120" t="s">
        <v>641</v>
      </c>
      <c r="V1138" s="94"/>
      <c r="W1138" s="94"/>
      <c r="X1138" s="94"/>
      <c r="Y1138" s="119">
        <v>46342</v>
      </c>
      <c r="Z1138" s="94"/>
      <c r="AA1138" s="120"/>
      <c r="AB1138" s="120"/>
      <c r="AC1138" s="120"/>
      <c r="AD1138" s="120"/>
      <c r="AE1138" s="120"/>
      <c r="AF1138" s="120"/>
      <c r="AG1138" s="94"/>
      <c r="AH1138" s="120"/>
      <c r="AI1138" s="94"/>
      <c r="AJ1138" s="94" t="s">
        <v>778</v>
      </c>
      <c r="AK1138" s="94" t="s">
        <v>338</v>
      </c>
      <c r="AL1138" s="94">
        <v>120</v>
      </c>
      <c r="AM1138" s="94" t="str">
        <f>TRIM(AJ1138)&amp;TRIM(AL1138)&amp;TRIM(AK1138)</f>
      </c>
      <c r="AN1138" s="116">
        <v>0</v>
      </c>
      <c r="AO1138" s="116" t="inlineStr">
        <is>
          <t>#NA</t>
        </is>
      </c>
      <c r="AP1138" s="116">
        <f>SUMIFS(M:M,AM:AM,AM1138)+SUMIFS(O:O,AM:AM,AM1138)</f>
      </c>
      <c r="AQ1138" s="116">
        <f>SUMIFS(L:L,AM:AM,AM1138)</f>
      </c>
      <c r="AR1138" s="116">
        <f>AQ1138-AP1138</f>
      </c>
      <c r="AS1138" s="94" t="str">
        <f>IF(AN1138&gt;=AQ1138,"ok","ck")</f>
      </c>
      <c r="AT1138" s="116">
        <f>-P1138</f>
      </c>
      <c r="AU1138" s="115">
        <f>IF(SUMIFS(AT:AT,AM:AM,AM1138)&gt;AO1138,(SUMIFS(AT:AT,AM:AM,AM1138)-AO1138))</f>
      </c>
      <c r="AV1138" s="116">
        <v>0</v>
      </c>
      <c r="AW1138" s="121">
        <v>0</v>
      </c>
      <c r="AX1138" s="115">
        <f>AN1138-AP1138</f>
      </c>
    </row>
    <row r="1139" spans="1:50" ht="15" hidden="1" customHeight="1" x14ac:dyDescent="0.3">
      <c r="A1139" s="94" t="s">
        <v>60</v>
      </c>
      <c r="B1139" s="94"/>
      <c r="C1139" s="94"/>
      <c r="D1139" s="94"/>
      <c r="E1139" s="94"/>
      <c r="F1139" s="94"/>
      <c r="G1139" s="112">
        <f>AU1139</f>
      </c>
      <c r="H1139" s="113"/>
      <c r="I1139" s="94" t="s">
        <v>487</v>
      </c>
      <c r="J1139" s="94" t="s">
        <v>567</v>
      </c>
      <c r="K1139" s="114">
        <f>P1139/3</f>
      </c>
      <c r="L1139" s="115">
        <v>3.0750000000000002</v>
      </c>
      <c r="M1139" s="116"/>
      <c r="N1139" s="117">
        <f>M1139-L1139</f>
      </c>
      <c r="O1139" s="112"/>
      <c r="P1139" s="118">
        <f>N1139+O1139</f>
      </c>
      <c r="Q1139" s="94" t="s">
        <v>795</v>
      </c>
      <c r="R1139" s="94" t="s">
        <v>63</v>
      </c>
      <c r="S1139" s="120">
        <v>46341</v>
      </c>
      <c r="T1139" s="120"/>
      <c r="U1139" s="120">
        <v>46341</v>
      </c>
      <c r="V1139" s="94"/>
      <c r="W1139" s="94"/>
      <c r="X1139" s="94"/>
      <c r="Y1139" s="119">
        <v>46334</v>
      </c>
      <c r="Z1139" s="94"/>
      <c r="AA1139" s="120"/>
      <c r="AB1139" s="120"/>
      <c r="AC1139" s="120"/>
      <c r="AD1139" s="120"/>
      <c r="AE1139" s="120"/>
      <c r="AF1139" s="120"/>
      <c r="AG1139" s="94"/>
      <c r="AH1139" s="120"/>
      <c r="AI1139" s="94"/>
      <c r="AJ1139" s="94" t="s">
        <v>795</v>
      </c>
      <c r="AK1139" s="94" t="s">
        <v>524</v>
      </c>
      <c r="AL1139" s="94">
        <v>160</v>
      </c>
      <c r="AM1139" s="94" t="str">
        <f>TRIM(AJ1139)&amp;TRIM(AL1139)&amp;TRIM(AK1139)</f>
      </c>
      <c r="AN1139" s="116">
        <v>0</v>
      </c>
      <c r="AO1139" s="116" t="inlineStr">
        <is>
          <t>#NA</t>
        </is>
      </c>
      <c r="AP1139" s="116">
        <f>SUMIFS(M:M,AM:AM,AM1139)+SUMIFS(O:O,AM:AM,AM1139)</f>
      </c>
      <c r="AQ1139" s="116">
        <f>SUMIFS(L:L,AM:AM,AM1139)</f>
      </c>
      <c r="AR1139" s="116">
        <f>AQ1139-AP1139</f>
      </c>
      <c r="AS1139" s="94" t="str">
        <f>IF(AN1139&gt;=AQ1139,"ok","ck")</f>
      </c>
      <c r="AT1139" s="116">
        <f>-P1139</f>
      </c>
      <c r="AU1139" s="115">
        <f>IF(SUMIFS(AT:AT,AM:AM,AM1139)&gt;AO1139,(SUMIFS(AT:AT,AM:AM,AM1139)-AO1139))</f>
      </c>
      <c r="AV1139" s="116">
        <v>0</v>
      </c>
      <c r="AW1139" s="121">
        <v>0</v>
      </c>
      <c r="AX1139" s="115">
        <f>AN1139-AP1139</f>
      </c>
    </row>
    <row r="1140" spans="1:50" ht="15" hidden="1" customHeight="1" x14ac:dyDescent="0.3">
      <c r="A1140" s="94" t="s">
        <v>60</v>
      </c>
      <c r="B1140" s="94"/>
      <c r="C1140" s="94"/>
      <c r="D1140" s="94"/>
      <c r="E1140" s="94"/>
      <c r="F1140" s="94"/>
      <c r="G1140" s="112">
        <f>AU1140</f>
      </c>
      <c r="H1140" s="113"/>
      <c r="I1140" s="94" t="s">
        <v>487</v>
      </c>
      <c r="J1140" s="94" t="s">
        <v>558</v>
      </c>
      <c r="K1140" s="114">
        <f>P1140/3</f>
      </c>
      <c r="L1140" s="115">
        <v>615</v>
      </c>
      <c r="M1140" s="116"/>
      <c r="N1140" s="117">
        <f>M1140-L1140</f>
      </c>
      <c r="O1140" s="112"/>
      <c r="P1140" s="118">
        <f>N1140+O1140</f>
      </c>
      <c r="Q1140" s="94" t="s">
        <v>795</v>
      </c>
      <c r="R1140" s="94" t="s">
        <v>63</v>
      </c>
      <c r="S1140" s="120">
        <v>46341</v>
      </c>
      <c r="T1140" s="120"/>
      <c r="U1140" s="120">
        <v>46341</v>
      </c>
      <c r="V1140" s="94"/>
      <c r="W1140" s="94"/>
      <c r="X1140" s="94"/>
      <c r="Y1140" s="119">
        <v>46327</v>
      </c>
      <c r="Z1140" s="94"/>
      <c r="AA1140" s="120"/>
      <c r="AB1140" s="120"/>
      <c r="AC1140" s="120"/>
      <c r="AD1140" s="120"/>
      <c r="AE1140" s="120"/>
      <c r="AF1140" s="120"/>
      <c r="AG1140" s="94"/>
      <c r="AH1140" s="120"/>
      <c r="AI1140" s="94"/>
      <c r="AJ1140" s="94" t="s">
        <v>795</v>
      </c>
      <c r="AK1140" s="94" t="s">
        <v>732</v>
      </c>
      <c r="AL1140" s="94">
        <v>160</v>
      </c>
      <c r="AM1140" s="94" t="str">
        <f>TRIM(AJ1140)&amp;TRIM(AL1140)&amp;TRIM(AK1140)</f>
      </c>
      <c r="AN1140" s="116">
        <v>0</v>
      </c>
      <c r="AO1140" s="116" t="inlineStr">
        <is>
          <t>#NA</t>
        </is>
      </c>
      <c r="AP1140" s="116">
        <f>SUMIFS(M:M,AM:AM,AM1140)+SUMIFS(O:O,AM:AM,AM1140)</f>
      </c>
      <c r="AQ1140" s="116">
        <f>SUMIFS(L:L,AM:AM,AM1140)</f>
      </c>
      <c r="AR1140" s="116">
        <f>AQ1140-AP1140</f>
      </c>
      <c r="AS1140" s="94" t="str">
        <f>IF(AN1140&gt;=AQ1140,"ok","ck")</f>
      </c>
      <c r="AT1140" s="116">
        <f>-P1140</f>
      </c>
      <c r="AU1140" s="115">
        <f>IF(SUMIFS(AT:AT,AM:AM,AM1140)&gt;AO1140,(SUMIFS(AT:AT,AM:AM,AM1140)-AO1140))</f>
      </c>
      <c r="AV1140" s="116">
        <v>0</v>
      </c>
      <c r="AW1140" s="121">
        <v>0</v>
      </c>
      <c r="AX1140" s="115">
        <f>AN1140-AP1140</f>
      </c>
    </row>
    <row r="1141" spans="1:50" ht="15" hidden="1" customHeight="1" x14ac:dyDescent="0.3">
      <c r="A1141" s="94" t="s">
        <v>60</v>
      </c>
      <c r="B1141" s="94"/>
      <c r="C1141" s="94"/>
      <c r="D1141" s="94"/>
      <c r="E1141" s="94"/>
      <c r="F1141" s="94"/>
      <c r="G1141" s="112">
        <f>AU1141</f>
      </c>
      <c r="H1141" s="113"/>
      <c r="I1141" s="94" t="s">
        <v>487</v>
      </c>
      <c r="J1141" s="94" t="s">
        <v>558</v>
      </c>
      <c r="K1141" s="114">
        <f>P1141/3</f>
      </c>
      <c r="L1141" s="115">
        <v>3.0750000000000002</v>
      </c>
      <c r="M1141" s="116"/>
      <c r="N1141" s="117">
        <f>M1141-L1141</f>
      </c>
      <c r="O1141" s="112"/>
      <c r="P1141" s="118">
        <f>N1141+O1141</f>
      </c>
      <c r="Q1141" s="94" t="s">
        <v>795</v>
      </c>
      <c r="R1141" s="94" t="s">
        <v>63</v>
      </c>
      <c r="S1141" s="120">
        <v>46341</v>
      </c>
      <c r="T1141" s="120"/>
      <c r="U1141" s="120">
        <v>46341</v>
      </c>
      <c r="V1141" s="94"/>
      <c r="W1141" s="94"/>
      <c r="X1141" s="94"/>
      <c r="Y1141" s="119">
        <v>46334</v>
      </c>
      <c r="Z1141" s="94"/>
      <c r="AA1141" s="120"/>
      <c r="AB1141" s="120"/>
      <c r="AC1141" s="120"/>
      <c r="AD1141" s="120"/>
      <c r="AE1141" s="120"/>
      <c r="AF1141" s="120"/>
      <c r="AG1141" s="94"/>
      <c r="AH1141" s="120"/>
      <c r="AI1141" s="94"/>
      <c r="AJ1141" s="94" t="s">
        <v>795</v>
      </c>
      <c r="AK1141" s="94" t="s">
        <v>732</v>
      </c>
      <c r="AL1141" s="94">
        <v>160</v>
      </c>
      <c r="AM1141" s="94" t="str">
        <f>TRIM(AJ1141)&amp;TRIM(AL1141)&amp;TRIM(AK1141)</f>
      </c>
      <c r="AN1141" s="116">
        <v>0</v>
      </c>
      <c r="AO1141" s="116" t="inlineStr">
        <is>
          <t>#NA</t>
        </is>
      </c>
      <c r="AP1141" s="116">
        <f>SUMIFS(M:M,AM:AM,AM1141)+SUMIFS(O:O,AM:AM,AM1141)</f>
      </c>
      <c r="AQ1141" s="116">
        <f>SUMIFS(L:L,AM:AM,AM1141)</f>
      </c>
      <c r="AR1141" s="116">
        <f>AQ1141-AP1141</f>
      </c>
      <c r="AS1141" s="94" t="str">
        <f>IF(AN1141&gt;=AQ1141,"ok","ck")</f>
      </c>
      <c r="AT1141" s="116">
        <f>-P1141</f>
      </c>
      <c r="AU1141" s="115">
        <f>IF(SUMIFS(AT:AT,AM:AM,AM1141)&gt;AO1141,(SUMIFS(AT:AT,AM:AM,AM1141)-AO1141))</f>
      </c>
      <c r="AV1141" s="116">
        <v>0</v>
      </c>
      <c r="AW1141" s="121">
        <v>0</v>
      </c>
      <c r="AX1141" s="115">
        <f>AN1141-AP1141</f>
      </c>
    </row>
    <row r="1142" spans="1:50" ht="15" hidden="1" customHeight="1" x14ac:dyDescent="0.3">
      <c r="A1142" s="94" t="s">
        <v>60</v>
      </c>
      <c r="B1142" s="94"/>
      <c r="C1142" s="94"/>
      <c r="D1142" s="94"/>
      <c r="E1142" s="94"/>
      <c r="F1142" s="94"/>
      <c r="G1142" s="112">
        <f>AU1142</f>
      </c>
      <c r="H1142" s="113"/>
      <c r="I1142" s="94" t="s">
        <v>487</v>
      </c>
      <c r="J1142" s="94" t="s">
        <v>556</v>
      </c>
      <c r="K1142" s="114">
        <f>P1142/3</f>
      </c>
      <c r="L1142" s="115">
        <v>615</v>
      </c>
      <c r="M1142" s="116"/>
      <c r="N1142" s="117">
        <f>M1142-L1142</f>
      </c>
      <c r="O1142" s="112"/>
      <c r="P1142" s="118">
        <f>N1142+O1142</f>
      </c>
      <c r="Q1142" s="94" t="s">
        <v>795</v>
      </c>
      <c r="R1142" s="94" t="s">
        <v>63</v>
      </c>
      <c r="S1142" s="120">
        <v>46302</v>
      </c>
      <c r="T1142" s="120"/>
      <c r="U1142" s="120">
        <v>46302</v>
      </c>
      <c r="V1142" s="94"/>
      <c r="W1142" s="94"/>
      <c r="X1142" s="94"/>
      <c r="Y1142" s="119">
        <v>46327</v>
      </c>
      <c r="Z1142" s="94"/>
      <c r="AA1142" s="120"/>
      <c r="AB1142" s="120"/>
      <c r="AC1142" s="120"/>
      <c r="AD1142" s="120"/>
      <c r="AE1142" s="120"/>
      <c r="AF1142" s="120"/>
      <c r="AG1142" s="94"/>
      <c r="AH1142" s="120"/>
      <c r="AI1142" s="94"/>
      <c r="AJ1142" s="94" t="s">
        <v>795</v>
      </c>
      <c r="AK1142" s="94" t="s">
        <v>556</v>
      </c>
      <c r="AL1142" s="94">
        <v>160</v>
      </c>
      <c r="AM1142" s="94" t="str">
        <f>TRIM(AJ1142)&amp;TRIM(AL1142)&amp;TRIM(AK1142)</f>
      </c>
      <c r="AN1142" s="116">
        <v>0</v>
      </c>
      <c r="AO1142" s="116" t="inlineStr">
        <is>
          <t>#NA</t>
        </is>
      </c>
      <c r="AP1142" s="116">
        <f>SUMIFS(M:M,AM:AM,AM1142)+SUMIFS(O:O,AM:AM,AM1142)</f>
      </c>
      <c r="AQ1142" s="116">
        <f>SUMIFS(L:L,AM:AM,AM1142)</f>
      </c>
      <c r="AR1142" s="116">
        <f>AQ1142-AP1142</f>
      </c>
      <c r="AS1142" s="94" t="str">
        <f>IF(AN1142&gt;=AQ1142,"ok","ck")</f>
      </c>
      <c r="AT1142" s="116">
        <f>-P1142</f>
      </c>
      <c r="AU1142" s="115">
        <f>IF(SUMIFS(AT:AT,AM:AM,AM1142)&gt;AO1142,(SUMIFS(AT:AT,AM:AM,AM1142)-AO1142))</f>
      </c>
      <c r="AV1142" s="116">
        <v>0</v>
      </c>
      <c r="AW1142" s="121">
        <v>0</v>
      </c>
      <c r="AX1142" s="115">
        <f>AN1142-AP1142</f>
      </c>
    </row>
    <row r="1143" spans="1:50" ht="15" hidden="1" customHeight="1" x14ac:dyDescent="0.3">
      <c r="A1143" s="94" t="s">
        <v>60</v>
      </c>
      <c r="B1143" s="94"/>
      <c r="C1143" s="94"/>
      <c r="D1143" s="94"/>
      <c r="E1143" s="94"/>
      <c r="F1143" s="94"/>
      <c r="G1143" s="112">
        <f>AU1143</f>
      </c>
      <c r="H1143" s="113"/>
      <c r="I1143" s="94" t="s">
        <v>487</v>
      </c>
      <c r="J1143" s="94" t="s">
        <v>556</v>
      </c>
      <c r="K1143" s="114">
        <f>P1143/3</f>
      </c>
      <c r="L1143" s="115">
        <v>3.0750000000000002</v>
      </c>
      <c r="M1143" s="116"/>
      <c r="N1143" s="117">
        <f>M1143-L1143</f>
      </c>
      <c r="O1143" s="112"/>
      <c r="P1143" s="118">
        <f>N1143+O1143</f>
      </c>
      <c r="Q1143" s="94" t="s">
        <v>795</v>
      </c>
      <c r="R1143" s="94" t="s">
        <v>63</v>
      </c>
      <c r="S1143" s="120">
        <v>46302</v>
      </c>
      <c r="T1143" s="120"/>
      <c r="U1143" s="120">
        <v>46302</v>
      </c>
      <c r="V1143" s="94"/>
      <c r="W1143" s="94"/>
      <c r="X1143" s="94"/>
      <c r="Y1143" s="119">
        <v>46334</v>
      </c>
      <c r="Z1143" s="94"/>
      <c r="AA1143" s="120"/>
      <c r="AB1143" s="120"/>
      <c r="AC1143" s="120"/>
      <c r="AD1143" s="120"/>
      <c r="AE1143" s="120"/>
      <c r="AF1143" s="120"/>
      <c r="AG1143" s="94"/>
      <c r="AH1143" s="120"/>
      <c r="AI1143" s="94"/>
      <c r="AJ1143" s="94" t="s">
        <v>795</v>
      </c>
      <c r="AK1143" s="94" t="s">
        <v>556</v>
      </c>
      <c r="AL1143" s="94">
        <v>160</v>
      </c>
      <c r="AM1143" s="94" t="str">
        <f>TRIM(AJ1143)&amp;TRIM(AL1143)&amp;TRIM(AK1143)</f>
      </c>
      <c r="AN1143" s="116">
        <v>0</v>
      </c>
      <c r="AO1143" s="116" t="inlineStr">
        <is>
          <t>#NA</t>
        </is>
      </c>
      <c r="AP1143" s="116">
        <f>SUMIFS(M:M,AM:AM,AM1143)+SUMIFS(O:O,AM:AM,AM1143)</f>
      </c>
      <c r="AQ1143" s="116">
        <f>SUMIFS(L:L,AM:AM,AM1143)</f>
      </c>
      <c r="AR1143" s="116">
        <f>AQ1143-AP1143</f>
      </c>
      <c r="AS1143" s="94" t="str">
        <f>IF(AN1143&gt;=AQ1143,"ok","ck")</f>
      </c>
      <c r="AT1143" s="116">
        <f>-P1143</f>
      </c>
      <c r="AU1143" s="115">
        <f>IF(SUMIFS(AT:AT,AM:AM,AM1143)&gt;AO1143,(SUMIFS(AT:AT,AM:AM,AM1143)-AO1143))</f>
      </c>
      <c r="AV1143" s="116">
        <v>0</v>
      </c>
      <c r="AW1143" s="121">
        <v>0</v>
      </c>
      <c r="AX1143" s="115">
        <f>AN1143-AP1143</f>
      </c>
    </row>
    <row r="1144" spans="1:50" ht="15" hidden="1" customHeight="1" x14ac:dyDescent="0.3">
      <c r="A1144" s="94" t="s">
        <v>60</v>
      </c>
      <c r="B1144" s="94"/>
      <c r="C1144" s="94"/>
      <c r="D1144" s="94"/>
      <c r="E1144" s="94"/>
      <c r="F1144" s="94"/>
      <c r="G1144" s="112">
        <f>AU1144</f>
      </c>
      <c r="H1144" s="113"/>
      <c r="I1144" s="94" t="s">
        <v>487</v>
      </c>
      <c r="J1144" s="94" t="s">
        <v>511</v>
      </c>
      <c r="K1144" s="114">
        <f>P1144/3</f>
      </c>
      <c r="L1144" s="115">
        <v>615</v>
      </c>
      <c r="M1144" s="116"/>
      <c r="N1144" s="117">
        <f>M1144-L1144</f>
      </c>
      <c r="O1144" s="112"/>
      <c r="P1144" s="118">
        <f>N1144+O1144</f>
      </c>
      <c r="Q1144" s="94" t="s">
        <v>795</v>
      </c>
      <c r="R1144" s="94" t="s">
        <v>63</v>
      </c>
      <c r="S1144" s="119">
        <v>46341</v>
      </c>
      <c r="T1144" s="119"/>
      <c r="U1144" s="120">
        <v>46341</v>
      </c>
      <c r="V1144" s="94"/>
      <c r="W1144" s="94"/>
      <c r="X1144" s="94"/>
      <c r="Y1144" s="119">
        <v>46327</v>
      </c>
      <c r="Z1144" s="94"/>
      <c r="AA1144" s="120"/>
      <c r="AB1144" s="120"/>
      <c r="AC1144" s="120"/>
      <c r="AD1144" s="120"/>
      <c r="AE1144" s="120"/>
      <c r="AF1144" s="120"/>
      <c r="AG1144" s="94"/>
      <c r="AH1144" s="120"/>
      <c r="AI1144" s="94"/>
      <c r="AJ1144" s="94" t="s">
        <v>795</v>
      </c>
      <c r="AK1144" s="94" t="s">
        <v>511</v>
      </c>
      <c r="AL1144" s="94">
        <v>160</v>
      </c>
      <c r="AM1144" s="94" t="str">
        <f>TRIM(AJ1144)&amp;TRIM(AL1144)&amp;TRIM(AK1144)</f>
      </c>
      <c r="AN1144" s="116">
        <v>0</v>
      </c>
      <c r="AO1144" s="116" t="inlineStr">
        <is>
          <t>#NA</t>
        </is>
      </c>
      <c r="AP1144" s="116">
        <f>SUMIFS(M:M,AM:AM,AM1144)+SUMIFS(O:O,AM:AM,AM1144)</f>
      </c>
      <c r="AQ1144" s="116">
        <f>SUMIFS(L:L,AM:AM,AM1144)</f>
      </c>
      <c r="AR1144" s="116">
        <f>AQ1144-AP1144</f>
      </c>
      <c r="AS1144" s="94" t="str">
        <f>IF(AN1144&gt;=AQ1144,"ok","ck")</f>
      </c>
      <c r="AT1144" s="116">
        <f>-P1144</f>
      </c>
      <c r="AU1144" s="115">
        <f>IF(SUMIFS(AT:AT,AM:AM,AM1144)&gt;AO1144,(SUMIFS(AT:AT,AM:AM,AM1144)-AO1144))</f>
      </c>
      <c r="AV1144" s="116">
        <v>0</v>
      </c>
      <c r="AW1144" s="121">
        <v>0</v>
      </c>
      <c r="AX1144" s="115">
        <f>AN1144-AP1144</f>
      </c>
    </row>
    <row r="1145" spans="1:50" ht="15" hidden="1" customHeight="1" x14ac:dyDescent="0.3">
      <c r="A1145" s="94" t="s">
        <v>268</v>
      </c>
      <c r="B1145" s="94"/>
      <c r="C1145" s="94"/>
      <c r="D1145" s="94"/>
      <c r="E1145" s="94"/>
      <c r="F1145" s="94"/>
      <c r="G1145" s="112">
        <f>AU1145</f>
      </c>
      <c r="H1145" s="113"/>
      <c r="I1145" s="94" t="s">
        <v>278</v>
      </c>
      <c r="J1145" s="94" t="s">
        <v>326</v>
      </c>
      <c r="K1145" s="114">
        <f>P1145/3</f>
      </c>
      <c r="L1145" s="115">
        <v>0.14099999999999999</v>
      </c>
      <c r="M1145" s="116"/>
      <c r="N1145" s="117">
        <f>M1145-L1145</f>
      </c>
      <c r="O1145" s="112"/>
      <c r="P1145" s="118">
        <f>N1145+O1145</f>
      </c>
      <c r="Q1145" s="94" t="s">
        <v>305</v>
      </c>
      <c r="R1145" s="94" t="s">
        <v>63</v>
      </c>
      <c r="S1145" s="119">
        <v>46329</v>
      </c>
      <c r="T1145" s="119"/>
      <c r="U1145" s="120">
        <v>46329</v>
      </c>
      <c r="V1145" s="94"/>
      <c r="W1145" s="94"/>
      <c r="X1145" s="94"/>
      <c r="Y1145" s="119">
        <v>46329</v>
      </c>
      <c r="Z1145" s="94"/>
      <c r="AA1145" s="120"/>
      <c r="AB1145" s="120"/>
      <c r="AC1145" s="120"/>
      <c r="AD1145" s="120"/>
      <c r="AE1145" s="120"/>
      <c r="AF1145" s="120"/>
      <c r="AG1145" s="94"/>
      <c r="AH1145" s="120"/>
      <c r="AI1145" s="94"/>
      <c r="AJ1145" s="94" t="s">
        <v>305</v>
      </c>
      <c r="AK1145" s="94" t="s">
        <v>327</v>
      </c>
      <c r="AL1145" s="94">
        <v>120</v>
      </c>
      <c r="AM1145" s="94" t="str">
        <f>TRIM(AJ1145)&amp;TRIM(AL1145)&amp;TRIM(AK1145)</f>
      </c>
      <c r="AN1145" s="116">
        <v>0</v>
      </c>
      <c r="AO1145" s="116" t="inlineStr">
        <is>
          <t>#NA</t>
        </is>
      </c>
      <c r="AP1145" s="116">
        <f>SUMIFS(M:M,AM:AM,AM1145)+SUMIFS(O:O,AM:AM,AM1145)</f>
      </c>
      <c r="AQ1145" s="116">
        <f>SUMIFS(L:L,AM:AM,AM1145)</f>
      </c>
      <c r="AR1145" s="116">
        <f>AQ1145-AP1145</f>
      </c>
      <c r="AS1145" s="94" t="str">
        <f>IF(AN1145&gt;=AQ1145,"ok","ck")</f>
      </c>
      <c r="AT1145" s="116">
        <f>-P1145</f>
      </c>
      <c r="AU1145" s="115">
        <f>IF(SUMIFS(AT:AT,AM:AM,AM1145)&gt;AO1145,(SUMIFS(AT:AT,AM:AM,AM1145)-AO1145))</f>
      </c>
      <c r="AV1145" s="116">
        <v>0</v>
      </c>
      <c r="AW1145" s="121">
        <v>0</v>
      </c>
      <c r="AX1145" s="115">
        <f>AN1145-AP1145</f>
      </c>
    </row>
    <row r="1146" spans="1:50" ht="15" hidden="1" customHeight="1" x14ac:dyDescent="0.3">
      <c r="A1146" s="94" t="s">
        <v>60</v>
      </c>
      <c r="B1146" s="94"/>
      <c r="C1146" s="94"/>
      <c r="D1146" s="94"/>
      <c r="E1146" s="94"/>
      <c r="F1146" s="94"/>
      <c r="G1146" s="112">
        <f>AU1146</f>
      </c>
      <c r="H1146" s="113"/>
      <c r="I1146" s="94" t="s">
        <v>487</v>
      </c>
      <c r="J1146" s="94" t="s">
        <v>568</v>
      </c>
      <c r="K1146" s="114">
        <f>P1146/3</f>
      </c>
      <c r="L1146" s="115">
        <v>615</v>
      </c>
      <c r="M1146" s="116"/>
      <c r="N1146" s="117">
        <f>M1146-L1146</f>
      </c>
      <c r="O1146" s="112"/>
      <c r="P1146" s="118">
        <f>N1146+O1146</f>
      </c>
      <c r="Q1146" s="94" t="s">
        <v>795</v>
      </c>
      <c r="R1146" s="94" t="s">
        <v>63</v>
      </c>
      <c r="S1146" s="119">
        <v>46341</v>
      </c>
      <c r="T1146" s="119"/>
      <c r="U1146" s="119">
        <v>46341</v>
      </c>
      <c r="V1146" s="94"/>
      <c r="W1146" s="94"/>
      <c r="X1146" s="94"/>
      <c r="Y1146" s="119">
        <v>46327</v>
      </c>
      <c r="Z1146" s="94"/>
      <c r="AA1146" s="120"/>
      <c r="AB1146" s="120"/>
      <c r="AC1146" s="120"/>
      <c r="AD1146" s="120"/>
      <c r="AE1146" s="120"/>
      <c r="AF1146" s="120"/>
      <c r="AG1146" s="94"/>
      <c r="AH1146" s="120"/>
      <c r="AI1146" s="94"/>
      <c r="AJ1146" s="94" t="s">
        <v>795</v>
      </c>
      <c r="AK1146" s="94" t="s">
        <v>103</v>
      </c>
      <c r="AL1146" s="94">
        <v>160</v>
      </c>
      <c r="AM1146" s="94" t="str">
        <f>TRIM(AJ1146)&amp;TRIM(AL1146)&amp;TRIM(AK1146)</f>
      </c>
      <c r="AN1146" s="116">
        <v>0</v>
      </c>
      <c r="AO1146" s="116" t="inlineStr">
        <is>
          <t>#NA</t>
        </is>
      </c>
      <c r="AP1146" s="116">
        <f>SUMIFS(M:M,AM:AM,AM1146)+SUMIFS(O:O,AM:AM,AM1146)</f>
      </c>
      <c r="AQ1146" s="116">
        <f>SUMIFS(L:L,AM:AM,AM1146)</f>
      </c>
      <c r="AR1146" s="116">
        <f>AQ1146-AP1146</f>
      </c>
      <c r="AS1146" s="94" t="str">
        <f>IF(AN1146&gt;=AQ1146,"ok","ck")</f>
      </c>
      <c r="AT1146" s="116">
        <f>-P1146</f>
      </c>
      <c r="AU1146" s="115">
        <f>IF(SUMIFS(AT:AT,AM:AM,AM1146)&gt;AO1146,(SUMIFS(AT:AT,AM:AM,AM1146)-AO1146))</f>
      </c>
      <c r="AV1146" s="116">
        <v>0</v>
      </c>
      <c r="AW1146" s="121">
        <v>0</v>
      </c>
      <c r="AX1146" s="115">
        <f>AN1146-AP1146</f>
      </c>
    </row>
    <row r="1147" spans="1:50" ht="15" hidden="1" customHeight="1" x14ac:dyDescent="0.3">
      <c r="A1147" s="94" t="s">
        <v>60</v>
      </c>
      <c r="B1147" s="94"/>
      <c r="C1147" s="94"/>
      <c r="D1147" s="94"/>
      <c r="E1147" s="94"/>
      <c r="F1147" s="94"/>
      <c r="G1147" s="112">
        <f>AU1147</f>
      </c>
      <c r="H1147" s="113"/>
      <c r="I1147" s="94" t="s">
        <v>487</v>
      </c>
      <c r="J1147" s="94" t="s">
        <v>568</v>
      </c>
      <c r="K1147" s="114">
        <f>P1147/3</f>
      </c>
      <c r="L1147" s="115">
        <v>3.0750000000000002</v>
      </c>
      <c r="M1147" s="116"/>
      <c r="N1147" s="117">
        <f>M1147-L1147</f>
      </c>
      <c r="O1147" s="112"/>
      <c r="P1147" s="118">
        <f>N1147+O1147</f>
      </c>
      <c r="Q1147" s="94" t="s">
        <v>795</v>
      </c>
      <c r="R1147" s="94" t="s">
        <v>63</v>
      </c>
      <c r="S1147" s="119">
        <v>46332</v>
      </c>
      <c r="T1147" s="119"/>
      <c r="U1147" s="119">
        <v>46332</v>
      </c>
      <c r="V1147" s="94"/>
      <c r="W1147" s="94"/>
      <c r="X1147" s="94"/>
      <c r="Y1147" s="119">
        <v>46334</v>
      </c>
      <c r="Z1147" s="94"/>
      <c r="AA1147" s="120"/>
      <c r="AB1147" s="120"/>
      <c r="AC1147" s="120"/>
      <c r="AD1147" s="120"/>
      <c r="AE1147" s="120"/>
      <c r="AF1147" s="120"/>
      <c r="AG1147" s="94"/>
      <c r="AH1147" s="120"/>
      <c r="AI1147" s="94"/>
      <c r="AJ1147" s="94" t="s">
        <v>795</v>
      </c>
      <c r="AK1147" s="94" t="s">
        <v>103</v>
      </c>
      <c r="AL1147" s="94">
        <v>160</v>
      </c>
      <c r="AM1147" s="94" t="str">
        <f>TRIM(AJ1147)&amp;TRIM(AL1147)&amp;TRIM(AK1147)</f>
      </c>
      <c r="AN1147" s="116">
        <v>0</v>
      </c>
      <c r="AO1147" s="116" t="inlineStr">
        <is>
          <t>#NA</t>
        </is>
      </c>
      <c r="AP1147" s="116">
        <f>SUMIFS(M:M,AM:AM,AM1147)+SUMIFS(O:O,AM:AM,AM1147)</f>
      </c>
      <c r="AQ1147" s="116">
        <f>SUMIFS(L:L,AM:AM,AM1147)</f>
      </c>
      <c r="AR1147" s="116">
        <f>AQ1147-AP1147</f>
      </c>
      <c r="AS1147" s="94" t="str">
        <f>IF(AN1147&gt;=AQ1147,"ok","ck")</f>
      </c>
      <c r="AT1147" s="116">
        <f>-P1147</f>
      </c>
      <c r="AU1147" s="115">
        <f>IF(SUMIFS(AT:AT,AM:AM,AM1147)&gt;AO1147,(SUMIFS(AT:AT,AM:AM,AM1147)-AO1147))</f>
      </c>
      <c r="AV1147" s="116">
        <v>0</v>
      </c>
      <c r="AW1147" s="121">
        <v>0</v>
      </c>
      <c r="AX1147" s="115">
        <f>AN1147-AP1147</f>
      </c>
    </row>
    <row r="1148" spans="1:50" ht="15" hidden="1" customHeight="1" x14ac:dyDescent="0.3">
      <c r="A1148" s="94" t="s">
        <v>268</v>
      </c>
      <c r="B1148" s="94"/>
      <c r="C1148" s="94"/>
      <c r="D1148" s="94"/>
      <c r="E1148" s="94"/>
      <c r="F1148" s="94"/>
      <c r="G1148" s="112">
        <f>AU1148</f>
      </c>
      <c r="H1148" s="113"/>
      <c r="I1148" s="94" t="s">
        <v>278</v>
      </c>
      <c r="J1148" s="94" t="s">
        <v>527</v>
      </c>
      <c r="K1148" s="114">
        <f>P1148/3</f>
      </c>
      <c r="L1148" s="115">
        <v>-1E-3</v>
      </c>
      <c r="M1148" s="116">
        <f>L1148</f>
      </c>
      <c r="N1148" s="117">
        <f>M1148-L1148</f>
      </c>
      <c r="O1148" s="112"/>
      <c r="P1148" s="118">
        <f>N1148+O1148</f>
      </c>
      <c r="Q1148" s="94" t="s">
        <v>287</v>
      </c>
      <c r="R1148" s="94" t="s">
        <v>63</v>
      </c>
      <c r="S1148" s="119">
        <v>46334</v>
      </c>
      <c r="T1148" s="119"/>
      <c r="U1148" s="119">
        <v>46334</v>
      </c>
      <c r="V1148" s="94"/>
      <c r="W1148" s="94"/>
      <c r="X1148" s="94"/>
      <c r="Y1148" s="119">
        <v>46334</v>
      </c>
      <c r="Z1148" s="94"/>
      <c r="AA1148" s="120"/>
      <c r="AB1148" s="120"/>
      <c r="AC1148" s="120"/>
      <c r="AD1148" s="120"/>
      <c r="AE1148" s="120"/>
      <c r="AF1148" s="120"/>
      <c r="AG1148" s="94"/>
      <c r="AH1148" s="120"/>
      <c r="AI1148" s="94"/>
      <c r="AJ1148" s="94" t="s">
        <v>287</v>
      </c>
      <c r="AK1148" s="94" t="s">
        <v>715</v>
      </c>
      <c r="AL1148" s="94">
        <v>120</v>
      </c>
      <c r="AM1148" s="94" t="str">
        <f>TRIM(AJ1148)&amp;TRIM(AL1148)&amp;TRIM(AK1148)</f>
      </c>
      <c r="AN1148" s="116">
        <v>115</v>
      </c>
      <c r="AO1148" s="116">
        <v>-0.73</v>
      </c>
      <c r="AP1148" s="116">
        <f>SUMIFS(M:M,AM:AM,AM1148)+SUMIFS(O:O,AM:AM,AM1148)</f>
      </c>
      <c r="AQ1148" s="116">
        <f>SUMIFS(L:L,AM:AM,AM1148)</f>
      </c>
      <c r="AR1148" s="116">
        <f>AQ1148-AP1148</f>
      </c>
      <c r="AS1148" s="94" t="str">
        <f>IF(AN1148&gt;=AQ1148,"ok","ck")</f>
      </c>
      <c r="AT1148" s="116">
        <f>-P1148</f>
      </c>
      <c r="AU1148" s="115">
        <f>IF(SUMIFS(AT:AT,AM:AM,AM1148)&gt;AO1148,(SUMIFS(AT:AT,AM:AM,AM1148)-AO1148))</f>
      </c>
      <c r="AV1148" s="116">
        <v>115</v>
      </c>
      <c r="AW1148" s="121">
        <v>1.006</v>
      </c>
      <c r="AX1148" s="115">
        <f>AN1148-AP1148</f>
      </c>
    </row>
    <row r="1149" spans="1:50" ht="15" hidden="1" customHeight="1" x14ac:dyDescent="0.3">
      <c r="A1149" s="94" t="s">
        <v>268</v>
      </c>
      <c r="B1149" s="94"/>
      <c r="C1149" s="94"/>
      <c r="D1149" s="94"/>
      <c r="E1149" s="94"/>
      <c r="F1149" s="94"/>
      <c r="G1149" s="112">
        <f>AU1149</f>
      </c>
      <c r="H1149" s="113"/>
      <c r="I1149" s="94" t="s">
        <v>278</v>
      </c>
      <c r="J1149" s="94" t="s">
        <v>333</v>
      </c>
      <c r="K1149" s="114">
        <f>P1149/3</f>
      </c>
      <c r="L1149" s="115">
        <v>0.14099999999999999</v>
      </c>
      <c r="M1149" s="116"/>
      <c r="N1149" s="117">
        <f>M1149-L1149</f>
      </c>
      <c r="O1149" s="112"/>
      <c r="P1149" s="118">
        <f>N1149+O1149</f>
      </c>
      <c r="Q1149" s="94" t="s">
        <v>305</v>
      </c>
      <c r="R1149" s="94" t="s">
        <v>63</v>
      </c>
      <c r="S1149" s="119">
        <v>46329</v>
      </c>
      <c r="T1149" s="119"/>
      <c r="U1149" s="119">
        <v>46329</v>
      </c>
      <c r="V1149" s="94"/>
      <c r="W1149" s="94"/>
      <c r="X1149" s="94"/>
      <c r="Y1149" s="119">
        <v>46329</v>
      </c>
      <c r="Z1149" s="94"/>
      <c r="AA1149" s="120"/>
      <c r="AB1149" s="120"/>
      <c r="AC1149" s="120"/>
      <c r="AD1149" s="120"/>
      <c r="AE1149" s="120"/>
      <c r="AF1149" s="120"/>
      <c r="AG1149" s="94"/>
      <c r="AH1149" s="120"/>
      <c r="AI1149" s="94"/>
      <c r="AJ1149" s="94" t="s">
        <v>305</v>
      </c>
      <c r="AK1149" s="94" t="s">
        <v>334</v>
      </c>
      <c r="AL1149" s="94">
        <v>120</v>
      </c>
      <c r="AM1149" s="94" t="str">
        <f>TRIM(AJ1149)&amp;TRIM(AL1149)&amp;TRIM(AK1149)</f>
      </c>
      <c r="AN1149" s="116">
        <v>0</v>
      </c>
      <c r="AO1149" s="116" t="inlineStr">
        <is>
          <t>#NA</t>
        </is>
      </c>
      <c r="AP1149" s="116">
        <f>SUMIFS(M:M,AM:AM,AM1149)+SUMIFS(O:O,AM:AM,AM1149)</f>
      </c>
      <c r="AQ1149" s="116">
        <f>SUMIFS(L:L,AM:AM,AM1149)</f>
      </c>
      <c r="AR1149" s="116">
        <f>AQ1149-AP1149</f>
      </c>
      <c r="AS1149" s="94" t="str">
        <f>IF(AN1149&gt;=AQ1149,"ok","ck")</f>
      </c>
      <c r="AT1149" s="116">
        <f>-P1149</f>
      </c>
      <c r="AU1149" s="115">
        <f>IF(SUMIFS(AT:AT,AM:AM,AM1149)&gt;AO1149,(SUMIFS(AT:AT,AM:AM,AM1149)-AO1149))</f>
      </c>
      <c r="AV1149" s="116">
        <v>0</v>
      </c>
      <c r="AW1149" s="121">
        <v>0</v>
      </c>
      <c r="AX1149" s="115">
        <f>AN1149-AP1149</f>
      </c>
    </row>
    <row r="1150" spans="1:50" ht="15" hidden="1" customHeight="1" x14ac:dyDescent="0.3">
      <c r="A1150" s="94" t="s">
        <v>268</v>
      </c>
      <c r="B1150" s="94"/>
      <c r="C1150" s="94"/>
      <c r="D1150" s="94"/>
      <c r="E1150" s="94"/>
      <c r="F1150" s="94"/>
      <c r="G1150" s="112">
        <f>AU1150</f>
      </c>
      <c r="H1150" s="113"/>
      <c r="I1150" s="94" t="s">
        <v>278</v>
      </c>
      <c r="J1150" s="94" t="s">
        <v>333</v>
      </c>
      <c r="K1150" s="114">
        <f>P1150/3</f>
      </c>
      <c r="L1150" s="115">
        <v>7.8170000000000002</v>
      </c>
      <c r="M1150" s="116"/>
      <c r="N1150" s="117">
        <f>M1150-L1150</f>
      </c>
      <c r="O1150" s="112"/>
      <c r="P1150" s="118">
        <f>N1150+O1150</f>
      </c>
      <c r="Q1150" s="94" t="s">
        <v>305</v>
      </c>
      <c r="R1150" s="94" t="s">
        <v>63</v>
      </c>
      <c r="S1150" s="119">
        <v>46340</v>
      </c>
      <c r="T1150" s="119"/>
      <c r="U1150" s="119" t="s">
        <v>648</v>
      </c>
      <c r="V1150" s="94"/>
      <c r="W1150" s="94"/>
      <c r="X1150" s="94"/>
      <c r="Y1150" s="119">
        <v>46337</v>
      </c>
      <c r="Z1150" s="94"/>
      <c r="AA1150" s="120"/>
      <c r="AB1150" s="120"/>
      <c r="AC1150" s="120"/>
      <c r="AD1150" s="120"/>
      <c r="AE1150" s="120"/>
      <c r="AF1150" s="120"/>
      <c r="AG1150" s="94"/>
      <c r="AH1150" s="120"/>
      <c r="AI1150" s="94"/>
      <c r="AJ1150" s="94" t="s">
        <v>305</v>
      </c>
      <c r="AK1150" s="94" t="s">
        <v>334</v>
      </c>
      <c r="AL1150" s="94">
        <v>120</v>
      </c>
      <c r="AM1150" s="94" t="str">
        <f>TRIM(AJ1150)&amp;TRIM(AL1150)&amp;TRIM(AK1150)</f>
      </c>
      <c r="AN1150" s="116">
        <v>0</v>
      </c>
      <c r="AO1150" s="116" t="inlineStr">
        <is>
          <t>#NA</t>
        </is>
      </c>
      <c r="AP1150" s="116">
        <f>SUMIFS(M:M,AM:AM,AM1150)+SUMIFS(O:O,AM:AM,AM1150)</f>
      </c>
      <c r="AQ1150" s="116">
        <f>SUMIFS(L:L,AM:AM,AM1150)</f>
      </c>
      <c r="AR1150" s="116">
        <f>AQ1150-AP1150</f>
      </c>
      <c r="AS1150" s="94" t="str">
        <f>IF(AN1150&gt;=AQ1150,"ok","ck")</f>
      </c>
      <c r="AT1150" s="116">
        <f>-P1150</f>
      </c>
      <c r="AU1150" s="115">
        <f>IF(SUMIFS(AT:AT,AM:AM,AM1150)&gt;AO1150,(SUMIFS(AT:AT,AM:AM,AM1150)-AO1150))</f>
      </c>
      <c r="AV1150" s="116">
        <v>0</v>
      </c>
      <c r="AW1150" s="121">
        <v>0</v>
      </c>
      <c r="AX1150" s="115">
        <f>AN1150-AP1150</f>
      </c>
    </row>
    <row r="1151" spans="1:50" ht="15" hidden="1" customHeight="1" x14ac:dyDescent="0.3">
      <c r="A1151" s="94" t="s">
        <v>268</v>
      </c>
      <c r="B1151" s="94"/>
      <c r="C1151" s="94"/>
      <c r="D1151" s="94"/>
      <c r="E1151" s="94"/>
      <c r="F1151" s="94"/>
      <c r="G1151" s="112">
        <f>AU1151</f>
      </c>
      <c r="H1151" s="113"/>
      <c r="I1151" s="94" t="s">
        <v>278</v>
      </c>
      <c r="J1151" s="94" t="s">
        <v>273</v>
      </c>
      <c r="K1151" s="114">
        <f>P1151/3</f>
      </c>
      <c r="L1151" s="115">
        <v>8.2309999999999999</v>
      </c>
      <c r="M1151" s="116"/>
      <c r="N1151" s="117">
        <f>M1151-L1151</f>
      </c>
      <c r="O1151" s="112"/>
      <c r="P1151" s="118">
        <f>N1151+O1151</f>
      </c>
      <c r="Q1151" s="94" t="s">
        <v>305</v>
      </c>
      <c r="R1151" s="94" t="s">
        <v>63</v>
      </c>
      <c r="S1151" s="119">
        <v>46340</v>
      </c>
      <c r="T1151" s="119"/>
      <c r="U1151" s="119" t="s">
        <v>649</v>
      </c>
      <c r="V1151" s="94"/>
      <c r="W1151" s="94"/>
      <c r="X1151" s="94"/>
      <c r="Y1151" s="119">
        <v>46324</v>
      </c>
      <c r="Z1151" s="94"/>
      <c r="AA1151" s="120"/>
      <c r="AB1151" s="120"/>
      <c r="AC1151" s="120"/>
      <c r="AD1151" s="120"/>
      <c r="AE1151" s="120"/>
      <c r="AF1151" s="120"/>
      <c r="AG1151" s="94"/>
      <c r="AH1151" s="120"/>
      <c r="AI1151" s="94"/>
      <c r="AJ1151" s="94" t="s">
        <v>305</v>
      </c>
      <c r="AK1151" s="94" t="s">
        <v>274</v>
      </c>
      <c r="AL1151" s="94">
        <v>120</v>
      </c>
      <c r="AM1151" s="94" t="str">
        <f>TRIM(AJ1151)&amp;TRIM(AL1151)&amp;TRIM(AK1151)</f>
      </c>
      <c r="AN1151" s="116">
        <v>0</v>
      </c>
      <c r="AO1151" s="116" t="inlineStr">
        <is>
          <t>#NA</t>
        </is>
      </c>
      <c r="AP1151" s="116">
        <f>SUMIFS(M:M,AM:AM,AM1151)+SUMIFS(O:O,AM:AM,AM1151)</f>
      </c>
      <c r="AQ1151" s="116">
        <f>SUMIFS(L:L,AM:AM,AM1151)</f>
      </c>
      <c r="AR1151" s="116">
        <f>AQ1151-AP1151</f>
      </c>
      <c r="AS1151" s="94" t="str">
        <f>IF(AN1151&gt;=AQ1151,"ok","ck")</f>
      </c>
      <c r="AT1151" s="116">
        <f>-P1151</f>
      </c>
      <c r="AU1151" s="115">
        <f>IF(SUMIFS(AT:AT,AM:AM,AM1151)&gt;AO1151,(SUMIFS(AT:AT,AM:AM,AM1151)-AO1151))</f>
      </c>
      <c r="AV1151" s="116">
        <v>0</v>
      </c>
      <c r="AW1151" s="121">
        <v>0</v>
      </c>
      <c r="AX1151" s="115">
        <f>AN1151-AP1151</f>
      </c>
    </row>
    <row r="1152" spans="1:50" ht="15" hidden="1" customHeight="1" x14ac:dyDescent="0.3">
      <c r="A1152" s="94" t="s">
        <v>60</v>
      </c>
      <c r="B1152" s="94"/>
      <c r="C1152" s="94"/>
      <c r="D1152" s="94"/>
      <c r="E1152" s="94"/>
      <c r="F1152" s="94"/>
      <c r="G1152" s="112">
        <f>AU1152</f>
      </c>
      <c r="H1152" s="113"/>
      <c r="I1152" s="94" t="s">
        <v>487</v>
      </c>
      <c r="J1152" s="94" t="s">
        <v>567</v>
      </c>
      <c r="K1152" s="114">
        <f>P1152/3</f>
      </c>
      <c r="L1152" s="115">
        <v>615</v>
      </c>
      <c r="M1152" s="116"/>
      <c r="N1152" s="117">
        <f>M1152-L1152</f>
      </c>
      <c r="O1152" s="112"/>
      <c r="P1152" s="118">
        <f>N1152+O1152</f>
      </c>
      <c r="Q1152" s="94" t="s">
        <v>795</v>
      </c>
      <c r="R1152" s="94" t="s">
        <v>63</v>
      </c>
      <c r="S1152" s="119">
        <v>46341</v>
      </c>
      <c r="T1152" s="119"/>
      <c r="U1152" s="119">
        <v>46341</v>
      </c>
      <c r="V1152" s="94"/>
      <c r="W1152" s="94"/>
      <c r="X1152" s="94"/>
      <c r="Y1152" s="119">
        <v>46327</v>
      </c>
      <c r="Z1152" s="94"/>
      <c r="AA1152" s="120"/>
      <c r="AB1152" s="120"/>
      <c r="AC1152" s="120"/>
      <c r="AD1152" s="120"/>
      <c r="AE1152" s="120"/>
      <c r="AF1152" s="120"/>
      <c r="AG1152" s="94"/>
      <c r="AH1152" s="120"/>
      <c r="AI1152" s="94"/>
      <c r="AJ1152" s="94" t="s">
        <v>795</v>
      </c>
      <c r="AK1152" s="94" t="s">
        <v>524</v>
      </c>
      <c r="AL1152" s="94">
        <v>160</v>
      </c>
      <c r="AM1152" s="94" t="str">
        <f>TRIM(AJ1152)&amp;TRIM(AL1152)&amp;TRIM(AK1152)</f>
      </c>
      <c r="AN1152" s="116">
        <v>0</v>
      </c>
      <c r="AO1152" s="116" t="inlineStr">
        <is>
          <t>#NA</t>
        </is>
      </c>
      <c r="AP1152" s="116">
        <f>SUMIFS(M:M,AM:AM,AM1152)+SUMIFS(O:O,AM:AM,AM1152)</f>
      </c>
      <c r="AQ1152" s="116">
        <f>SUMIFS(L:L,AM:AM,AM1152)</f>
      </c>
      <c r="AR1152" s="116">
        <f>AQ1152-AP1152</f>
      </c>
      <c r="AS1152" s="94" t="str">
        <f>IF(AN1152&gt;=AQ1152,"ok","ck")</f>
      </c>
      <c r="AT1152" s="116">
        <f>-P1152</f>
      </c>
      <c r="AU1152" s="115">
        <f>IF(SUMIFS(AT:AT,AM:AM,AM1152)&gt;AO1152,(SUMIFS(AT:AT,AM:AM,AM1152)-AO1152))</f>
      </c>
      <c r="AV1152" s="116">
        <v>0</v>
      </c>
      <c r="AW1152" s="121">
        <v>0</v>
      </c>
      <c r="AX1152" s="115">
        <f>AN1152-AP1152</f>
      </c>
    </row>
    <row r="1153" spans="1:50" ht="15" hidden="1" customHeight="1" x14ac:dyDescent="0.3">
      <c r="A1153" s="94" t="s">
        <v>268</v>
      </c>
      <c r="B1153" s="94"/>
      <c r="C1153" s="94"/>
      <c r="D1153" s="94"/>
      <c r="E1153" s="94"/>
      <c r="F1153" s="94"/>
      <c r="G1153" s="112">
        <f>AU1153</f>
      </c>
      <c r="H1153" s="113"/>
      <c r="I1153" s="94" t="s">
        <v>278</v>
      </c>
      <c r="J1153" s="94" t="s">
        <v>273</v>
      </c>
      <c r="K1153" s="114">
        <f>P1153/3</f>
      </c>
      <c r="L1153" s="115">
        <v>8.0000000000000002E-3</v>
      </c>
      <c r="M1153" s="116">
        <f>L1153</f>
      </c>
      <c r="N1153" s="117">
        <f>M1153-L1153</f>
      </c>
      <c r="O1153" s="112"/>
      <c r="P1153" s="118">
        <f>N1153+O1153</f>
      </c>
      <c r="Q1153" s="94" t="s">
        <v>344</v>
      </c>
      <c r="R1153" s="94" t="s">
        <v>63</v>
      </c>
      <c r="S1153" s="119">
        <v>46320</v>
      </c>
      <c r="T1153" s="119"/>
      <c r="U1153" s="119">
        <v>46320</v>
      </c>
      <c r="V1153" s="94"/>
      <c r="W1153" s="94"/>
      <c r="X1153" s="94"/>
      <c r="Y1153" s="119">
        <v>46320</v>
      </c>
      <c r="Z1153" s="94"/>
      <c r="AA1153" s="120"/>
      <c r="AB1153" s="120"/>
      <c r="AC1153" s="120"/>
      <c r="AD1153" s="120"/>
      <c r="AE1153" s="120"/>
      <c r="AF1153" s="120"/>
      <c r="AG1153" s="94"/>
      <c r="AH1153" s="120"/>
      <c r="AI1153" s="94"/>
      <c r="AJ1153" s="94" t="s">
        <v>344</v>
      </c>
      <c r="AK1153" s="94" t="s">
        <v>274</v>
      </c>
      <c r="AL1153" s="94">
        <v>120</v>
      </c>
      <c r="AM1153" s="94" t="str">
        <f>TRIM(AJ1153)&amp;TRIM(AL1153)&amp;TRIM(AK1153)</f>
      </c>
      <c r="AN1153" s="116">
        <v>35</v>
      </c>
      <c r="AO1153" s="116">
        <v>-5</v>
      </c>
      <c r="AP1153" s="116">
        <f>SUMIFS(M:M,AM:AM,AM1153)+SUMIFS(O:O,AM:AM,AM1153)</f>
      </c>
      <c r="AQ1153" s="116">
        <f>SUMIFS(L:L,AM:AM,AM1153)</f>
      </c>
      <c r="AR1153" s="116">
        <f>AQ1153-AP1153</f>
      </c>
      <c r="AS1153" s="94" t="str">
        <f>IF(AN1153&gt;=AQ1153,"ok","ck")</f>
      </c>
      <c r="AT1153" s="116">
        <f>-P1153</f>
      </c>
      <c r="AU1153" s="115">
        <f>IF(SUMIFS(AT:AT,AM:AM,AM1153)&gt;AO1153,(SUMIFS(AT:AT,AM:AM,AM1153)-AO1153))</f>
      </c>
      <c r="AV1153" s="116">
        <v>35</v>
      </c>
      <c r="AW1153" s="121">
        <v>1.167</v>
      </c>
      <c r="AX1153" s="115">
        <f>AN1153-AP1153</f>
      </c>
    </row>
    <row r="1154" spans="1:50" ht="15" hidden="1" customHeight="1" x14ac:dyDescent="0.3">
      <c r="A1154" s="94" t="s">
        <v>268</v>
      </c>
      <c r="B1154" s="94"/>
      <c r="C1154" s="94"/>
      <c r="D1154" s="94"/>
      <c r="E1154" s="94"/>
      <c r="F1154" s="94"/>
      <c r="G1154" s="112">
        <f>AU1154</f>
      </c>
      <c r="H1154" s="113"/>
      <c r="I1154" s="94" t="s">
        <v>278</v>
      </c>
      <c r="J1154" s="94" t="s">
        <v>273</v>
      </c>
      <c r="K1154" s="114">
        <f>P1154/3</f>
      </c>
      <c r="L1154" s="115">
        <v>3.0000000000000001E-3</v>
      </c>
      <c r="M1154" s="116">
        <f>L1154</f>
      </c>
      <c r="N1154" s="117">
        <f>M1154-L1154</f>
      </c>
      <c r="O1154" s="112"/>
      <c r="P1154" s="118">
        <f>N1154+O1154</f>
      </c>
      <c r="Q1154" s="94" t="s">
        <v>344</v>
      </c>
      <c r="R1154" s="94" t="s">
        <v>63</v>
      </c>
      <c r="S1154" s="119">
        <v>46320</v>
      </c>
      <c r="T1154" s="119"/>
      <c r="U1154" s="119">
        <v>46320</v>
      </c>
      <c r="V1154" s="94"/>
      <c r="W1154" s="94"/>
      <c r="X1154" s="94"/>
      <c r="Y1154" s="119">
        <v>46320</v>
      </c>
      <c r="Z1154" s="94"/>
      <c r="AA1154" s="120"/>
      <c r="AB1154" s="120"/>
      <c r="AC1154" s="120"/>
      <c r="AD1154" s="120"/>
      <c r="AE1154" s="120"/>
      <c r="AF1154" s="120"/>
      <c r="AG1154" s="94"/>
      <c r="AH1154" s="120"/>
      <c r="AI1154" s="94"/>
      <c r="AJ1154" s="94" t="s">
        <v>344</v>
      </c>
      <c r="AK1154" s="94" t="s">
        <v>274</v>
      </c>
      <c r="AL1154" s="94">
        <v>120</v>
      </c>
      <c r="AM1154" s="94" t="str">
        <f>TRIM(AJ1154)&amp;TRIM(AL1154)&amp;TRIM(AK1154)</f>
      </c>
      <c r="AN1154" s="116">
        <v>35</v>
      </c>
      <c r="AO1154" s="116">
        <v>-5</v>
      </c>
      <c r="AP1154" s="116">
        <f>SUMIFS(M:M,AM:AM,AM1154)+SUMIFS(O:O,AM:AM,AM1154)</f>
      </c>
      <c r="AQ1154" s="116">
        <f>SUMIFS(L:L,AM:AM,AM1154)</f>
      </c>
      <c r="AR1154" s="116">
        <f>AQ1154-AP1154</f>
      </c>
      <c r="AS1154" s="94" t="str">
        <f>IF(AN1154&gt;=AQ1154,"ok","ck")</f>
      </c>
      <c r="AT1154" s="116">
        <f>-P1154</f>
      </c>
      <c r="AU1154" s="115">
        <f>IF(SUMIFS(AT:AT,AM:AM,AM1154)&gt;AO1154,(SUMIFS(AT:AT,AM:AM,AM1154)-AO1154))</f>
      </c>
      <c r="AV1154" s="116">
        <v>35</v>
      </c>
      <c r="AW1154" s="121">
        <v>1.167</v>
      </c>
      <c r="AX1154" s="115">
        <f>AN1154-AP1154</f>
      </c>
    </row>
    <row r="1155" spans="1:50" ht="15" hidden="1" customHeight="1" x14ac:dyDescent="0.3">
      <c r="A1155" s="94" t="s">
        <v>268</v>
      </c>
      <c r="B1155" s="94"/>
      <c r="C1155" s="94"/>
      <c r="D1155" s="94"/>
      <c r="E1155" s="94"/>
      <c r="F1155" s="94"/>
      <c r="G1155" s="112">
        <f>AU1155</f>
      </c>
      <c r="H1155" s="113"/>
      <c r="I1155" s="94" t="s">
        <v>278</v>
      </c>
      <c r="J1155" s="94" t="s">
        <v>273</v>
      </c>
      <c r="K1155" s="114">
        <f>P1155/3</f>
      </c>
      <c r="L1155" s="115">
        <v>5.8999999999999997E-2</v>
      </c>
      <c r="M1155" s="116">
        <f>L1155</f>
      </c>
      <c r="N1155" s="117">
        <f>M1155-L1155</f>
      </c>
      <c r="O1155" s="112"/>
      <c r="P1155" s="118">
        <f>N1155+O1155</f>
      </c>
      <c r="Q1155" s="94" t="s">
        <v>344</v>
      </c>
      <c r="R1155" s="94" t="s">
        <v>63</v>
      </c>
      <c r="S1155" s="119">
        <v>46320</v>
      </c>
      <c r="T1155" s="119"/>
      <c r="U1155" s="119">
        <v>46320</v>
      </c>
      <c r="V1155" s="94"/>
      <c r="W1155" s="94"/>
      <c r="X1155" s="94"/>
      <c r="Y1155" s="119">
        <v>46320</v>
      </c>
      <c r="Z1155" s="94"/>
      <c r="AA1155" s="120"/>
      <c r="AB1155" s="120"/>
      <c r="AC1155" s="120"/>
      <c r="AD1155" s="120"/>
      <c r="AE1155" s="120"/>
      <c r="AF1155" s="120"/>
      <c r="AG1155" s="94"/>
      <c r="AH1155" s="120"/>
      <c r="AI1155" s="94"/>
      <c r="AJ1155" s="94" t="s">
        <v>344</v>
      </c>
      <c r="AK1155" s="94" t="s">
        <v>274</v>
      </c>
      <c r="AL1155" s="94">
        <v>120</v>
      </c>
      <c r="AM1155" s="94" t="str">
        <f>TRIM(AJ1155)&amp;TRIM(AL1155)&amp;TRIM(AK1155)</f>
      </c>
      <c r="AN1155" s="116">
        <v>35</v>
      </c>
      <c r="AO1155" s="116">
        <v>-5</v>
      </c>
      <c r="AP1155" s="116">
        <f>SUMIFS(M:M,AM:AM,AM1155)+SUMIFS(O:O,AM:AM,AM1155)</f>
      </c>
      <c r="AQ1155" s="116">
        <f>SUMIFS(L:L,AM:AM,AM1155)</f>
      </c>
      <c r="AR1155" s="116">
        <f>AQ1155-AP1155</f>
      </c>
      <c r="AS1155" s="94" t="str">
        <f>IF(AN1155&gt;=AQ1155,"ok","ck")</f>
      </c>
      <c r="AT1155" s="116">
        <f>-P1155</f>
      </c>
      <c r="AU1155" s="115">
        <f>IF(SUMIFS(AT:AT,AM:AM,AM1155)&gt;AO1155,(SUMIFS(AT:AT,AM:AM,AM1155)-AO1155))</f>
      </c>
      <c r="AV1155" s="116">
        <v>35</v>
      </c>
      <c r="AW1155" s="121">
        <v>1.167</v>
      </c>
      <c r="AX1155" s="115">
        <f>AN1155-AP1155</f>
      </c>
    </row>
    <row r="1156" spans="1:50" ht="15" hidden="1" customHeight="1" x14ac:dyDescent="0.3">
      <c r="A1156" s="94" t="s">
        <v>263</v>
      </c>
      <c r="B1156" s="94"/>
      <c r="C1156" s="94"/>
      <c r="D1156" s="94"/>
      <c r="E1156" s="94"/>
      <c r="F1156" s="94"/>
      <c r="G1156" s="112">
        <f>AU1156</f>
      </c>
      <c r="H1156" s="113"/>
      <c r="I1156" s="94" t="s">
        <v>264</v>
      </c>
      <c r="J1156" s="94" t="s">
        <v>333</v>
      </c>
      <c r="K1156" s="114">
        <f>P1156/3</f>
      </c>
      <c r="L1156" s="115">
        <v>21.884</v>
      </c>
      <c r="M1156" s="116">
        <f>L1156</f>
      </c>
      <c r="N1156" s="117">
        <f>M1156-L1156</f>
      </c>
      <c r="O1156" s="112"/>
      <c r="P1156" s="118">
        <f>N1156+O1156</f>
      </c>
      <c r="Q1156" s="94" t="s">
        <v>815</v>
      </c>
      <c r="R1156" s="94" t="s">
        <v>63</v>
      </c>
      <c r="S1156" s="119">
        <v>46324</v>
      </c>
      <c r="T1156" s="119"/>
      <c r="U1156" s="119">
        <v>46324</v>
      </c>
      <c r="V1156" s="94"/>
      <c r="W1156" s="94"/>
      <c r="X1156" s="94"/>
      <c r="Y1156" s="119">
        <v>46324</v>
      </c>
      <c r="Z1156" s="94"/>
      <c r="AA1156" s="120"/>
      <c r="AB1156" s="120"/>
      <c r="AC1156" s="120"/>
      <c r="AD1156" s="120"/>
      <c r="AE1156" s="120"/>
      <c r="AF1156" s="120"/>
      <c r="AG1156" s="94"/>
      <c r="AH1156" s="120"/>
      <c r="AI1156" s="94"/>
      <c r="AJ1156" s="94" t="s">
        <v>815</v>
      </c>
      <c r="AK1156" s="94" t="s">
        <v>334</v>
      </c>
      <c r="AL1156" s="94">
        <v>120</v>
      </c>
      <c r="AM1156" s="94" t="str">
        <f>TRIM(AJ1156)&amp;TRIM(AL1156)&amp;TRIM(AK1156)</f>
      </c>
      <c r="AN1156" s="116">
        <v>26.66</v>
      </c>
      <c r="AO1156" s="116">
        <v>3.34</v>
      </c>
      <c r="AP1156" s="116">
        <f>SUMIFS(M:M,AM:AM,AM1156)+SUMIFS(O:O,AM:AM,AM1156)</f>
      </c>
      <c r="AQ1156" s="116">
        <f>SUMIFS(L:L,AM:AM,AM1156)</f>
      </c>
      <c r="AR1156" s="116">
        <f>AQ1156-AP1156</f>
      </c>
      <c r="AS1156" s="94" t="str">
        <f>IF(AN1156&gt;=AQ1156,"ok","ck")</f>
      </c>
      <c r="AT1156" s="116">
        <f>-P1156</f>
      </c>
      <c r="AU1156" s="115">
        <f>IF(SUMIFS(AT:AT,AM:AM,AM1156)&gt;AO1156,(SUMIFS(AT:AT,AM:AM,AM1156)-AO1156))</f>
      </c>
      <c r="AV1156" s="116">
        <v>26.66</v>
      </c>
      <c r="AW1156" s="121">
        <v>0.889</v>
      </c>
      <c r="AX1156" s="115">
        <f>AN1156-AP1156</f>
      </c>
    </row>
    <row r="1157" spans="1:50" ht="15" hidden="1" customHeight="1" x14ac:dyDescent="0.3">
      <c r="A1157" s="94" t="s">
        <v>263</v>
      </c>
      <c r="B1157" s="94"/>
      <c r="C1157" s="94"/>
      <c r="D1157" s="94"/>
      <c r="E1157" s="94"/>
      <c r="F1157" s="94"/>
      <c r="G1157" s="112">
        <f>AU1157</f>
      </c>
      <c r="H1157" s="113"/>
      <c r="I1157" s="94" t="s">
        <v>264</v>
      </c>
      <c r="J1157" s="94" t="s">
        <v>333</v>
      </c>
      <c r="K1157" s="114">
        <f>P1157/3</f>
      </c>
      <c r="L1157" s="115">
        <v>2.5019999999999998</v>
      </c>
      <c r="M1157" s="116">
        <f>L1157</f>
      </c>
      <c r="N1157" s="117">
        <f>M1157-L1157</f>
      </c>
      <c r="O1157" s="112"/>
      <c r="P1157" s="118">
        <f>N1157+O1157</f>
      </c>
      <c r="Q1157" s="94" t="s">
        <v>815</v>
      </c>
      <c r="R1157" s="94" t="s">
        <v>63</v>
      </c>
      <c r="S1157" s="119">
        <v>46324</v>
      </c>
      <c r="T1157" s="119"/>
      <c r="U1157" s="119">
        <v>46324</v>
      </c>
      <c r="V1157" s="94"/>
      <c r="W1157" s="94"/>
      <c r="X1157" s="94"/>
      <c r="Y1157" s="119">
        <v>46324</v>
      </c>
      <c r="Z1157" s="94"/>
      <c r="AA1157" s="120"/>
      <c r="AB1157" s="120"/>
      <c r="AC1157" s="120"/>
      <c r="AD1157" s="120"/>
      <c r="AE1157" s="120"/>
      <c r="AF1157" s="120"/>
      <c r="AG1157" s="94"/>
      <c r="AH1157" s="120"/>
      <c r="AI1157" s="94"/>
      <c r="AJ1157" s="94" t="s">
        <v>815</v>
      </c>
      <c r="AK1157" s="94" t="s">
        <v>334</v>
      </c>
      <c r="AL1157" s="94">
        <v>120</v>
      </c>
      <c r="AM1157" s="94" t="str">
        <f>TRIM(AJ1157)&amp;TRIM(AL1157)&amp;TRIM(AK1157)</f>
      </c>
      <c r="AN1157" s="116">
        <v>26.66</v>
      </c>
      <c r="AO1157" s="116">
        <v>3.34</v>
      </c>
      <c r="AP1157" s="116">
        <f>SUMIFS(M:M,AM:AM,AM1157)+SUMIFS(O:O,AM:AM,AM1157)</f>
      </c>
      <c r="AQ1157" s="116">
        <f>SUMIFS(L:L,AM:AM,AM1157)</f>
      </c>
      <c r="AR1157" s="116">
        <f>AQ1157-AP1157</f>
      </c>
      <c r="AS1157" s="94" t="str">
        <f>IF(AN1157&gt;=AQ1157,"ok","ck")</f>
      </c>
      <c r="AT1157" s="116">
        <f>-P1157</f>
      </c>
      <c r="AU1157" s="115">
        <f>IF(SUMIFS(AT:AT,AM:AM,AM1157)&gt;AO1157,(SUMIFS(AT:AT,AM:AM,AM1157)-AO1157))</f>
      </c>
      <c r="AV1157" s="116">
        <v>26.66</v>
      </c>
      <c r="AW1157" s="121">
        <v>0.889</v>
      </c>
      <c r="AX1157" s="115">
        <f>AN1157-AP1157</f>
      </c>
    </row>
    <row r="1158" spans="1:50" ht="15" hidden="1" customHeight="1" x14ac:dyDescent="0.3">
      <c r="A1158" s="94" t="s">
        <v>263</v>
      </c>
      <c r="B1158" s="94"/>
      <c r="C1158" s="94"/>
      <c r="D1158" s="94"/>
      <c r="E1158" s="94"/>
      <c r="F1158" s="94"/>
      <c r="G1158" s="112">
        <f>AU1158</f>
      </c>
      <c r="H1158" s="113"/>
      <c r="I1158" s="94" t="s">
        <v>264</v>
      </c>
      <c r="J1158" s="94" t="s">
        <v>333</v>
      </c>
      <c r="K1158" s="114">
        <f>P1158/3</f>
      </c>
      <c r="L1158" s="115">
        <v>2.2200000000000002</v>
      </c>
      <c r="M1158" s="116">
        <f>L1158</f>
      </c>
      <c r="N1158" s="117">
        <f>M1158-L1158</f>
      </c>
      <c r="O1158" s="112"/>
      <c r="P1158" s="118">
        <f>N1158+O1158</f>
      </c>
      <c r="Q1158" s="94" t="s">
        <v>815</v>
      </c>
      <c r="R1158" s="94" t="s">
        <v>63</v>
      </c>
      <c r="S1158" s="119">
        <v>46324</v>
      </c>
      <c r="T1158" s="119"/>
      <c r="U1158" s="119">
        <v>46324</v>
      </c>
      <c r="V1158" s="94"/>
      <c r="W1158" s="94"/>
      <c r="X1158" s="94"/>
      <c r="Y1158" s="119">
        <v>46324</v>
      </c>
      <c r="Z1158" s="94"/>
      <c r="AA1158" s="120"/>
      <c r="AB1158" s="120"/>
      <c r="AC1158" s="120"/>
      <c r="AD1158" s="120"/>
      <c r="AE1158" s="120"/>
      <c r="AF1158" s="120"/>
      <c r="AG1158" s="94"/>
      <c r="AH1158" s="120"/>
      <c r="AI1158" s="94"/>
      <c r="AJ1158" s="94" t="s">
        <v>815</v>
      </c>
      <c r="AK1158" s="94" t="s">
        <v>334</v>
      </c>
      <c r="AL1158" s="94">
        <v>120</v>
      </c>
      <c r="AM1158" s="94" t="str">
        <f>TRIM(AJ1158)&amp;TRIM(AL1158)&amp;TRIM(AK1158)</f>
      </c>
      <c r="AN1158" s="116">
        <v>26.66</v>
      </c>
      <c r="AO1158" s="116">
        <v>3.34</v>
      </c>
      <c r="AP1158" s="116">
        <f>SUMIFS(M:M,AM:AM,AM1158)+SUMIFS(O:O,AM:AM,AM1158)</f>
      </c>
      <c r="AQ1158" s="116">
        <f>SUMIFS(L:L,AM:AM,AM1158)</f>
      </c>
      <c r="AR1158" s="116">
        <f>AQ1158-AP1158</f>
      </c>
      <c r="AS1158" s="94" t="str">
        <f>IF(AN1158&gt;=AQ1158,"ok","ck")</f>
      </c>
      <c r="AT1158" s="116">
        <f>-P1158</f>
      </c>
      <c r="AU1158" s="115">
        <f>IF(SUMIFS(AT:AT,AM:AM,AM1158)&gt;AO1158,(SUMIFS(AT:AT,AM:AM,AM1158)-AO1158))</f>
      </c>
      <c r="AV1158" s="116">
        <v>26.66</v>
      </c>
      <c r="AW1158" s="121">
        <v>0.889</v>
      </c>
      <c r="AX1158" s="115">
        <f>AN1158-AP1158</f>
      </c>
    </row>
    <row r="1159" spans="1:50" ht="15" hidden="1" customHeight="1" x14ac:dyDescent="0.3">
      <c r="A1159" s="94" t="s">
        <v>263</v>
      </c>
      <c r="B1159" s="94"/>
      <c r="C1159" s="94"/>
      <c r="D1159" s="94"/>
      <c r="E1159" s="94"/>
      <c r="F1159" s="94"/>
      <c r="G1159" s="112">
        <f>AU1159</f>
      </c>
      <c r="H1159" s="113"/>
      <c r="I1159" s="94" t="s">
        <v>264</v>
      </c>
      <c r="J1159" s="94" t="s">
        <v>333</v>
      </c>
      <c r="K1159" s="114">
        <f>P1159/3</f>
      </c>
      <c r="L1159" s="115">
        <v>2.089</v>
      </c>
      <c r="M1159" s="116">
        <f>L1159</f>
      </c>
      <c r="N1159" s="117">
        <f>M1159-L1159</f>
      </c>
      <c r="O1159" s="112"/>
      <c r="P1159" s="118">
        <f>N1159+O1159</f>
      </c>
      <c r="Q1159" s="94" t="s">
        <v>815</v>
      </c>
      <c r="R1159" s="94" t="s">
        <v>63</v>
      </c>
      <c r="S1159" s="119">
        <v>46324</v>
      </c>
      <c r="T1159" s="119"/>
      <c r="U1159" s="119">
        <v>46324</v>
      </c>
      <c r="V1159" s="94"/>
      <c r="W1159" s="94"/>
      <c r="X1159" s="94"/>
      <c r="Y1159" s="119">
        <v>46324</v>
      </c>
      <c r="Z1159" s="94"/>
      <c r="AA1159" s="120"/>
      <c r="AB1159" s="120"/>
      <c r="AC1159" s="120"/>
      <c r="AD1159" s="120"/>
      <c r="AE1159" s="120"/>
      <c r="AF1159" s="120"/>
      <c r="AG1159" s="94"/>
      <c r="AH1159" s="120"/>
      <c r="AI1159" s="94"/>
      <c r="AJ1159" s="94" t="s">
        <v>815</v>
      </c>
      <c r="AK1159" s="94" t="s">
        <v>334</v>
      </c>
      <c r="AL1159" s="94">
        <v>120</v>
      </c>
      <c r="AM1159" s="94" t="str">
        <f>TRIM(AJ1159)&amp;TRIM(AL1159)&amp;TRIM(AK1159)</f>
      </c>
      <c r="AN1159" s="116">
        <v>26.66</v>
      </c>
      <c r="AO1159" s="116">
        <v>3.34</v>
      </c>
      <c r="AP1159" s="116">
        <f>SUMIFS(M:M,AM:AM,AM1159)+SUMIFS(O:O,AM:AM,AM1159)</f>
      </c>
      <c r="AQ1159" s="116">
        <f>SUMIFS(L:L,AM:AM,AM1159)</f>
      </c>
      <c r="AR1159" s="116">
        <f>AQ1159-AP1159</f>
      </c>
      <c r="AS1159" s="94" t="str">
        <f>IF(AN1159&gt;=AQ1159,"ok","ck")</f>
      </c>
      <c r="AT1159" s="116">
        <f>-P1159</f>
      </c>
      <c r="AU1159" s="115">
        <f>IF(SUMIFS(AT:AT,AM:AM,AM1159)&gt;AO1159,(SUMIFS(AT:AT,AM:AM,AM1159)-AO1159))</f>
      </c>
      <c r="AV1159" s="116">
        <v>26.66</v>
      </c>
      <c r="AW1159" s="121">
        <v>0.889</v>
      </c>
      <c r="AX1159" s="115">
        <f>AN1159-AP1159</f>
      </c>
    </row>
    <row r="1160" spans="1:50" ht="15" hidden="1" customHeight="1" x14ac:dyDescent="0.3">
      <c r="A1160" s="94" t="s">
        <v>263</v>
      </c>
      <c r="B1160" s="94"/>
      <c r="C1160" s="94"/>
      <c r="D1160" s="94"/>
      <c r="E1160" s="94"/>
      <c r="F1160" s="94"/>
      <c r="G1160" s="112">
        <f>AU1160</f>
      </c>
      <c r="H1160" s="113"/>
      <c r="I1160" s="94" t="s">
        <v>264</v>
      </c>
      <c r="J1160" s="94" t="s">
        <v>281</v>
      </c>
      <c r="K1160" s="114">
        <f>P1160/3</f>
      </c>
      <c r="L1160" s="115">
        <v>1.091</v>
      </c>
      <c r="M1160" s="116"/>
      <c r="N1160" s="117">
        <f>M1160-L1160</f>
      </c>
      <c r="O1160" s="112"/>
      <c r="P1160" s="118">
        <f>N1160+O1160</f>
      </c>
      <c r="Q1160" s="94" t="s">
        <v>815</v>
      </c>
      <c r="R1160" s="94" t="s">
        <v>63</v>
      </c>
      <c r="S1160" s="119">
        <v>46324</v>
      </c>
      <c r="T1160" s="119"/>
      <c r="U1160" s="119">
        <v>46324</v>
      </c>
      <c r="V1160" s="94"/>
      <c r="W1160" s="94"/>
      <c r="X1160" s="94"/>
      <c r="Y1160" s="119">
        <v>46324</v>
      </c>
      <c r="Z1160" s="94"/>
      <c r="AA1160" s="120"/>
      <c r="AB1160" s="120"/>
      <c r="AC1160" s="120"/>
      <c r="AD1160" s="120"/>
      <c r="AE1160" s="120"/>
      <c r="AF1160" s="120"/>
      <c r="AG1160" s="94"/>
      <c r="AH1160" s="120"/>
      <c r="AI1160" s="94"/>
      <c r="AJ1160" s="94" t="s">
        <v>815</v>
      </c>
      <c r="AK1160" s="94" t="s">
        <v>281</v>
      </c>
      <c r="AL1160" s="94">
        <v>120</v>
      </c>
      <c r="AM1160" s="94" t="str">
        <f>TRIM(AJ1160)&amp;TRIM(AL1160)&amp;TRIM(AK1160)</f>
      </c>
      <c r="AN1160" s="116">
        <v>0</v>
      </c>
      <c r="AO1160" s="116" t="inlineStr">
        <is>
          <t>#NA</t>
        </is>
      </c>
      <c r="AP1160" s="116">
        <f>SUMIFS(M:M,AM:AM,AM1160)+SUMIFS(O:O,AM:AM,AM1160)</f>
      </c>
      <c r="AQ1160" s="116">
        <f>SUMIFS(L:L,AM:AM,AM1160)</f>
      </c>
      <c r="AR1160" s="116">
        <f>AQ1160-AP1160</f>
      </c>
      <c r="AS1160" s="94" t="str">
        <f>IF(AN1160&gt;=AQ1160,"ok","ck")</f>
      </c>
      <c r="AT1160" s="116">
        <f>-P1160</f>
      </c>
      <c r="AU1160" s="115">
        <f>IF(SUMIFS(AT:AT,AM:AM,AM1160)&gt;AO1160,(SUMIFS(AT:AT,AM:AM,AM1160)-AO1160))</f>
      </c>
      <c r="AV1160" s="116">
        <v>0</v>
      </c>
      <c r="AW1160" s="121">
        <v>0</v>
      </c>
      <c r="AX1160" s="115">
        <f>AN1160-AP1160</f>
      </c>
    </row>
    <row r="1161" spans="1:50" ht="15" hidden="1" customHeight="1" x14ac:dyDescent="0.3">
      <c r="A1161" s="94" t="s">
        <v>263</v>
      </c>
      <c r="B1161" s="94"/>
      <c r="C1161" s="94"/>
      <c r="D1161" s="94"/>
      <c r="E1161" s="94"/>
      <c r="F1161" s="94"/>
      <c r="G1161" s="112">
        <f>AU1161</f>
      </c>
      <c r="H1161" s="113"/>
      <c r="I1161" s="94" t="s">
        <v>264</v>
      </c>
      <c r="J1161" s="94" t="s">
        <v>281</v>
      </c>
      <c r="K1161" s="114">
        <f>P1161/3</f>
      </c>
      <c r="L1161" s="115">
        <v>27.733000000000001</v>
      </c>
      <c r="M1161" s="116"/>
      <c r="N1161" s="117">
        <f>M1161-L1161</f>
      </c>
      <c r="O1161" s="112"/>
      <c r="P1161" s="118">
        <f>N1161+O1161</f>
      </c>
      <c r="Q1161" s="94" t="s">
        <v>815</v>
      </c>
      <c r="R1161" s="94" t="s">
        <v>63</v>
      </c>
      <c r="S1161" s="119">
        <v>46323</v>
      </c>
      <c r="T1161" s="119"/>
      <c r="U1161" s="119">
        <v>46323</v>
      </c>
      <c r="V1161" s="94"/>
      <c r="W1161" s="94"/>
      <c r="X1161" s="94"/>
      <c r="Y1161" s="119">
        <v>46323</v>
      </c>
      <c r="Z1161" s="94"/>
      <c r="AA1161" s="120"/>
      <c r="AB1161" s="120"/>
      <c r="AC1161" s="120"/>
      <c r="AD1161" s="120"/>
      <c r="AE1161" s="120"/>
      <c r="AF1161" s="120"/>
      <c r="AG1161" s="94"/>
      <c r="AH1161" s="120"/>
      <c r="AI1161" s="94"/>
      <c r="AJ1161" s="94" t="s">
        <v>815</v>
      </c>
      <c r="AK1161" s="94" t="s">
        <v>281</v>
      </c>
      <c r="AL1161" s="94">
        <v>120</v>
      </c>
      <c r="AM1161" s="94" t="str">
        <f>TRIM(AJ1161)&amp;TRIM(AL1161)&amp;TRIM(AK1161)</f>
      </c>
      <c r="AN1161" s="116">
        <v>0</v>
      </c>
      <c r="AO1161" s="116" t="inlineStr">
        <is>
          <t>#NA</t>
        </is>
      </c>
      <c r="AP1161" s="116">
        <f>SUMIFS(M:M,AM:AM,AM1161)+SUMIFS(O:O,AM:AM,AM1161)</f>
      </c>
      <c r="AQ1161" s="116">
        <f>SUMIFS(L:L,AM:AM,AM1161)</f>
      </c>
      <c r="AR1161" s="116">
        <f>AQ1161-AP1161</f>
      </c>
      <c r="AS1161" s="94" t="str">
        <f>IF(AN1161&gt;=AQ1161,"ok","ck")</f>
      </c>
      <c r="AT1161" s="116">
        <f>-P1161</f>
      </c>
      <c r="AU1161" s="115">
        <f>IF(SUMIFS(AT:AT,AM:AM,AM1161)&gt;AO1161,(SUMIFS(AT:AT,AM:AM,AM1161)-AO1161))</f>
      </c>
      <c r="AV1161" s="116">
        <v>0</v>
      </c>
      <c r="AW1161" s="121">
        <v>0</v>
      </c>
      <c r="AX1161" s="115">
        <f>AN1161-AP1161</f>
      </c>
    </row>
    <row r="1162" spans="1:50" ht="15" hidden="1" customHeight="1" x14ac:dyDescent="0.3">
      <c r="A1162" s="94" t="s">
        <v>268</v>
      </c>
      <c r="B1162" s="94"/>
      <c r="C1162" s="94"/>
      <c r="D1162" s="94"/>
      <c r="E1162" s="94"/>
      <c r="F1162" s="94"/>
      <c r="G1162" s="112">
        <f>AU1162</f>
      </c>
      <c r="H1162" s="113"/>
      <c r="I1162" s="94" t="s">
        <v>278</v>
      </c>
      <c r="J1162" s="94" t="s">
        <v>355</v>
      </c>
      <c r="K1162" s="114">
        <f>P1162/3</f>
      </c>
      <c r="L1162" s="115">
        <v>43.05</v>
      </c>
      <c r="M1162" s="116">
        <f>L1162</f>
      </c>
      <c r="N1162" s="117">
        <f>M1162-L1162</f>
      </c>
      <c r="O1162" s="112"/>
      <c r="P1162" s="118">
        <f>N1162+O1162</f>
      </c>
      <c r="Q1162" s="94" t="s">
        <v>305</v>
      </c>
      <c r="R1162" s="94" t="s">
        <v>63</v>
      </c>
      <c r="S1162" s="119">
        <v>46333</v>
      </c>
      <c r="T1162" s="119"/>
      <c r="U1162" s="119">
        <v>46333</v>
      </c>
      <c r="V1162" s="94"/>
      <c r="W1162" s="94"/>
      <c r="X1162" s="94"/>
      <c r="Y1162" s="119">
        <v>46323</v>
      </c>
      <c r="Z1162" s="94"/>
      <c r="AA1162" s="120"/>
      <c r="AB1162" s="120"/>
      <c r="AC1162" s="120"/>
      <c r="AD1162" s="120"/>
      <c r="AE1162" s="120"/>
      <c r="AF1162" s="120"/>
      <c r="AG1162" s="94"/>
      <c r="AH1162" s="120"/>
      <c r="AI1162" s="94"/>
      <c r="AJ1162" s="94" t="s">
        <v>305</v>
      </c>
      <c r="AK1162" s="94" t="s">
        <v>356</v>
      </c>
      <c r="AL1162" s="94">
        <v>120</v>
      </c>
      <c r="AM1162" s="94" t="str">
        <f>TRIM(AJ1162)&amp;TRIM(AL1162)&amp;TRIM(AK1162)</f>
      </c>
      <c r="AN1162" s="116">
        <v>897.23</v>
      </c>
      <c r="AO1162" s="116">
        <v>-20.23</v>
      </c>
      <c r="AP1162" s="116">
        <f>SUMIFS(M:M,AM:AM,AM1162)+SUMIFS(O:O,AM:AM,AM1162)</f>
      </c>
      <c r="AQ1162" s="116">
        <f>SUMIFS(L:L,AM:AM,AM1162)</f>
      </c>
      <c r="AR1162" s="116">
        <f>AQ1162-AP1162</f>
      </c>
      <c r="AS1162" s="94" t="str">
        <f>IF(AN1162&gt;=AQ1162,"ok","ck")</f>
      </c>
      <c r="AT1162" s="116">
        <f>-P1162</f>
      </c>
      <c r="AU1162" s="115">
        <f>IF(SUMIFS(AT:AT,AM:AM,AM1162)&gt;AO1162,(SUMIFS(AT:AT,AM:AM,AM1162)-AO1162))</f>
      </c>
      <c r="AV1162" s="116">
        <v>897.23</v>
      </c>
      <c r="AW1162" s="121">
        <v>1.023</v>
      </c>
      <c r="AX1162" s="115">
        <f>AN1162-AP1162</f>
      </c>
    </row>
    <row r="1163" spans="1:50" ht="15" hidden="1" customHeight="1" x14ac:dyDescent="0.3">
      <c r="A1163" s="94" t="s">
        <v>268</v>
      </c>
      <c r="B1163" s="94"/>
      <c r="C1163" s="94"/>
      <c r="D1163" s="94"/>
      <c r="E1163" s="94"/>
      <c r="F1163" s="94"/>
      <c r="G1163" s="112">
        <f>AU1163</f>
      </c>
      <c r="H1163" s="113"/>
      <c r="I1163" s="94" t="s">
        <v>278</v>
      </c>
      <c r="J1163" s="94" t="s">
        <v>355</v>
      </c>
      <c r="K1163" s="114">
        <f>P1163/3</f>
      </c>
      <c r="L1163" s="115">
        <v>43.05</v>
      </c>
      <c r="M1163" s="116">
        <f>L1163</f>
      </c>
      <c r="N1163" s="117">
        <f>M1163-L1163</f>
      </c>
      <c r="O1163" s="112"/>
      <c r="P1163" s="118">
        <f>N1163+O1163</f>
      </c>
      <c r="Q1163" s="94" t="s">
        <v>305</v>
      </c>
      <c r="R1163" s="94" t="s">
        <v>63</v>
      </c>
      <c r="S1163" s="119">
        <v>46333</v>
      </c>
      <c r="T1163" s="119"/>
      <c r="U1163" s="119">
        <v>46333</v>
      </c>
      <c r="V1163" s="94"/>
      <c r="W1163" s="94"/>
      <c r="X1163" s="94"/>
      <c r="Y1163" s="119">
        <v>46342</v>
      </c>
      <c r="Z1163" s="94"/>
      <c r="AA1163" s="120"/>
      <c r="AB1163" s="120"/>
      <c r="AC1163" s="120"/>
      <c r="AD1163" s="120"/>
      <c r="AE1163" s="120"/>
      <c r="AF1163" s="120"/>
      <c r="AG1163" s="94"/>
      <c r="AH1163" s="120"/>
      <c r="AI1163" s="94"/>
      <c r="AJ1163" s="94" t="s">
        <v>305</v>
      </c>
      <c r="AK1163" s="94" t="s">
        <v>356</v>
      </c>
      <c r="AL1163" s="94">
        <v>120</v>
      </c>
      <c r="AM1163" s="94" t="str">
        <f>TRIM(AJ1163)&amp;TRIM(AL1163)&amp;TRIM(AK1163)</f>
      </c>
      <c r="AN1163" s="116">
        <v>897.23</v>
      </c>
      <c r="AO1163" s="116">
        <v>-20.23</v>
      </c>
      <c r="AP1163" s="116">
        <f>SUMIFS(M:M,AM:AM,AM1163)+SUMIFS(O:O,AM:AM,AM1163)</f>
      </c>
      <c r="AQ1163" s="116">
        <f>SUMIFS(L:L,AM:AM,AM1163)</f>
      </c>
      <c r="AR1163" s="116">
        <f>AQ1163-AP1163</f>
      </c>
      <c r="AS1163" s="94" t="str">
        <f>IF(AN1163&gt;=AQ1163,"ok","ck")</f>
      </c>
      <c r="AT1163" s="116">
        <f>-P1163</f>
      </c>
      <c r="AU1163" s="115">
        <f>IF(SUMIFS(AT:AT,AM:AM,AM1163)&gt;AO1163,(SUMIFS(AT:AT,AM:AM,AM1163)-AO1163))</f>
      </c>
      <c r="AV1163" s="116">
        <v>897.23</v>
      </c>
      <c r="AW1163" s="121">
        <v>1.023</v>
      </c>
      <c r="AX1163" s="115">
        <f>AN1163-AP1163</f>
      </c>
    </row>
    <row r="1164" spans="1:50" ht="15" hidden="1" customHeight="1" x14ac:dyDescent="0.3">
      <c r="A1164" s="94" t="s">
        <v>268</v>
      </c>
      <c r="B1164" s="94"/>
      <c r="C1164" s="94"/>
      <c r="D1164" s="94"/>
      <c r="E1164" s="94"/>
      <c r="F1164" s="94"/>
      <c r="G1164" s="112">
        <f>AU1164</f>
      </c>
      <c r="H1164" s="113"/>
      <c r="I1164" s="94" t="s">
        <v>278</v>
      </c>
      <c r="J1164" s="94" t="s">
        <v>355</v>
      </c>
      <c r="K1164" s="114">
        <f>P1164/3</f>
      </c>
      <c r="L1164" s="115">
        <v>123</v>
      </c>
      <c r="M1164" s="116">
        <f>L1164</f>
      </c>
      <c r="N1164" s="117">
        <f>M1164-L1164</f>
      </c>
      <c r="O1164" s="112"/>
      <c r="P1164" s="118">
        <f>N1164+O1164</f>
      </c>
      <c r="Q1164" s="94" t="s">
        <v>305</v>
      </c>
      <c r="R1164" s="94" t="s">
        <v>63</v>
      </c>
      <c r="S1164" s="119">
        <v>46333</v>
      </c>
      <c r="T1164" s="119"/>
      <c r="U1164" s="119">
        <v>46333</v>
      </c>
      <c r="V1164" s="94"/>
      <c r="W1164" s="94"/>
      <c r="X1164" s="94"/>
      <c r="Y1164" s="119">
        <v>46344</v>
      </c>
      <c r="Z1164" s="94"/>
      <c r="AA1164" s="120"/>
      <c r="AB1164" s="120"/>
      <c r="AC1164" s="120"/>
      <c r="AD1164" s="120"/>
      <c r="AE1164" s="120"/>
      <c r="AF1164" s="120"/>
      <c r="AG1164" s="94"/>
      <c r="AH1164" s="120"/>
      <c r="AI1164" s="94"/>
      <c r="AJ1164" s="94" t="s">
        <v>305</v>
      </c>
      <c r="AK1164" s="94" t="s">
        <v>356</v>
      </c>
      <c r="AL1164" s="94">
        <v>120</v>
      </c>
      <c r="AM1164" s="94" t="str">
        <f>TRIM(AJ1164)&amp;TRIM(AL1164)&amp;TRIM(AK1164)</f>
      </c>
      <c r="AN1164" s="116">
        <v>897.23</v>
      </c>
      <c r="AO1164" s="116">
        <v>-20.23</v>
      </c>
      <c r="AP1164" s="116">
        <f>SUMIFS(M:M,AM:AM,AM1164)+SUMIFS(O:O,AM:AM,AM1164)</f>
      </c>
      <c r="AQ1164" s="116">
        <f>SUMIFS(L:L,AM:AM,AM1164)</f>
      </c>
      <c r="AR1164" s="116">
        <f>AQ1164-AP1164</f>
      </c>
      <c r="AS1164" s="94" t="str">
        <f>IF(AN1164&gt;=AQ1164,"ok","ck")</f>
      </c>
      <c r="AT1164" s="116">
        <f>-P1164</f>
      </c>
      <c r="AU1164" s="115">
        <f>IF(SUMIFS(AT:AT,AM:AM,AM1164)&gt;AO1164,(SUMIFS(AT:AT,AM:AM,AM1164)-AO1164))</f>
      </c>
      <c r="AV1164" s="116">
        <v>897.23</v>
      </c>
      <c r="AW1164" s="121">
        <v>1.023</v>
      </c>
      <c r="AX1164" s="115">
        <f>AN1164-AP1164</f>
      </c>
    </row>
    <row r="1165" spans="1:50" ht="15" hidden="1" customHeight="1" x14ac:dyDescent="0.3">
      <c r="A1165" s="94" t="s">
        <v>268</v>
      </c>
      <c r="B1165" s="94"/>
      <c r="C1165" s="94"/>
      <c r="D1165" s="94"/>
      <c r="E1165" s="94"/>
      <c r="F1165" s="94"/>
      <c r="G1165" s="112">
        <f>AU1165</f>
      </c>
      <c r="H1165" s="113"/>
      <c r="I1165" s="94" t="s">
        <v>278</v>
      </c>
      <c r="J1165" s="94" t="s">
        <v>355</v>
      </c>
      <c r="K1165" s="114">
        <f>P1165/3</f>
      </c>
      <c r="L1165" s="115">
        <v>20.75</v>
      </c>
      <c r="M1165" s="116">
        <f>L1165</f>
      </c>
      <c r="N1165" s="117">
        <f>M1165-L1165</f>
      </c>
      <c r="O1165" s="112"/>
      <c r="P1165" s="118">
        <f>N1165+O1165</f>
      </c>
      <c r="Q1165" s="94" t="s">
        <v>305</v>
      </c>
      <c r="R1165" s="94" t="s">
        <v>63</v>
      </c>
      <c r="S1165" s="119">
        <v>46333</v>
      </c>
      <c r="T1165" s="119"/>
      <c r="U1165" s="119">
        <v>46333</v>
      </c>
      <c r="V1165" s="94"/>
      <c r="W1165" s="94"/>
      <c r="X1165" s="94"/>
      <c r="Y1165" s="119">
        <v>46321</v>
      </c>
      <c r="Z1165" s="94"/>
      <c r="AA1165" s="120"/>
      <c r="AB1165" s="120"/>
      <c r="AC1165" s="120"/>
      <c r="AD1165" s="120"/>
      <c r="AE1165" s="120"/>
      <c r="AF1165" s="120"/>
      <c r="AG1165" s="94"/>
      <c r="AH1165" s="120"/>
      <c r="AI1165" s="94"/>
      <c r="AJ1165" s="94" t="s">
        <v>305</v>
      </c>
      <c r="AK1165" s="94" t="s">
        <v>356</v>
      </c>
      <c r="AL1165" s="94">
        <v>120</v>
      </c>
      <c r="AM1165" s="94" t="str">
        <f>TRIM(AJ1165)&amp;TRIM(AL1165)&amp;TRIM(AK1165)</f>
      </c>
      <c r="AN1165" s="116">
        <v>897.23</v>
      </c>
      <c r="AO1165" s="116">
        <v>-20.23</v>
      </c>
      <c r="AP1165" s="116">
        <f>SUMIFS(M:M,AM:AM,AM1165)+SUMIFS(O:O,AM:AM,AM1165)</f>
      </c>
      <c r="AQ1165" s="116">
        <f>SUMIFS(L:L,AM:AM,AM1165)</f>
      </c>
      <c r="AR1165" s="116">
        <f>AQ1165-AP1165</f>
      </c>
      <c r="AS1165" s="94" t="str">
        <f>IF(AN1165&gt;=AQ1165,"ok","ck")</f>
      </c>
      <c r="AT1165" s="116">
        <f>-P1165</f>
      </c>
      <c r="AU1165" s="115">
        <f>IF(SUMIFS(AT:AT,AM:AM,AM1165)&gt;AO1165,(SUMIFS(AT:AT,AM:AM,AM1165)-AO1165))</f>
      </c>
      <c r="AV1165" s="116">
        <v>897.23</v>
      </c>
      <c r="AW1165" s="121">
        <v>1.023</v>
      </c>
      <c r="AX1165" s="115">
        <f>AN1165-AP1165</f>
      </c>
    </row>
    <row r="1166" spans="1:50" ht="15" hidden="1" customHeight="1" x14ac:dyDescent="0.3">
      <c r="A1166" s="94" t="s">
        <v>268</v>
      </c>
      <c r="B1166" s="94"/>
      <c r="C1166" s="94"/>
      <c r="D1166" s="94"/>
      <c r="E1166" s="94"/>
      <c r="F1166" s="94"/>
      <c r="G1166" s="112">
        <f>AU1166</f>
      </c>
      <c r="H1166" s="113"/>
      <c r="I1166" s="94" t="s">
        <v>278</v>
      </c>
      <c r="J1166" s="94" t="s">
        <v>355</v>
      </c>
      <c r="K1166" s="114">
        <f>P1166/3</f>
      </c>
      <c r="L1166" s="115">
        <v>18.675000000000001</v>
      </c>
      <c r="M1166" s="116">
        <f>L1166</f>
      </c>
      <c r="N1166" s="117">
        <f>M1166-L1166</f>
      </c>
      <c r="O1166" s="112"/>
      <c r="P1166" s="118">
        <f>N1166+O1166</f>
      </c>
      <c r="Q1166" s="94" t="s">
        <v>305</v>
      </c>
      <c r="R1166" s="94" t="s">
        <v>63</v>
      </c>
      <c r="S1166" s="119">
        <v>46333</v>
      </c>
      <c r="T1166" s="119"/>
      <c r="U1166" s="119">
        <v>46333</v>
      </c>
      <c r="V1166" s="94"/>
      <c r="W1166" s="94"/>
      <c r="X1166" s="94"/>
      <c r="Y1166" s="119">
        <v>46331</v>
      </c>
      <c r="Z1166" s="94"/>
      <c r="AA1166" s="120"/>
      <c r="AB1166" s="120"/>
      <c r="AC1166" s="120"/>
      <c r="AD1166" s="120"/>
      <c r="AE1166" s="120"/>
      <c r="AF1166" s="120"/>
      <c r="AG1166" s="94"/>
      <c r="AH1166" s="120"/>
      <c r="AI1166" s="94"/>
      <c r="AJ1166" s="94" t="s">
        <v>305</v>
      </c>
      <c r="AK1166" s="94" t="s">
        <v>356</v>
      </c>
      <c r="AL1166" s="94">
        <v>120</v>
      </c>
      <c r="AM1166" s="94" t="str">
        <f>TRIM(AJ1166)&amp;TRIM(AL1166)&amp;TRIM(AK1166)</f>
      </c>
      <c r="AN1166" s="116">
        <v>897.23</v>
      </c>
      <c r="AO1166" s="116">
        <v>-20.23</v>
      </c>
      <c r="AP1166" s="116">
        <f>SUMIFS(M:M,AM:AM,AM1166)+SUMIFS(O:O,AM:AM,AM1166)</f>
      </c>
      <c r="AQ1166" s="116">
        <f>SUMIFS(L:L,AM:AM,AM1166)</f>
      </c>
      <c r="AR1166" s="116">
        <f>AQ1166-AP1166</f>
      </c>
      <c r="AS1166" s="94" t="str">
        <f>IF(AN1166&gt;=AQ1166,"ok","ck")</f>
      </c>
      <c r="AT1166" s="116">
        <f>-P1166</f>
      </c>
      <c r="AU1166" s="115">
        <f>IF(SUMIFS(AT:AT,AM:AM,AM1166)&gt;AO1166,(SUMIFS(AT:AT,AM:AM,AM1166)-AO1166))</f>
      </c>
      <c r="AV1166" s="116">
        <v>897.23</v>
      </c>
      <c r="AW1166" s="121">
        <v>1.023</v>
      </c>
      <c r="AX1166" s="115">
        <f>AN1166-AP1166</f>
      </c>
    </row>
    <row r="1167" spans="1:50" ht="15" hidden="1" customHeight="1" x14ac:dyDescent="0.3">
      <c r="A1167" s="94" t="s">
        <v>268</v>
      </c>
      <c r="B1167" s="94"/>
      <c r="C1167" s="94"/>
      <c r="D1167" s="94"/>
      <c r="E1167" s="94"/>
      <c r="F1167" s="94"/>
      <c r="G1167" s="112">
        <f>AU1167</f>
      </c>
      <c r="H1167" s="113"/>
      <c r="I1167" s="94" t="s">
        <v>278</v>
      </c>
      <c r="J1167" s="94" t="s">
        <v>355</v>
      </c>
      <c r="K1167" s="114">
        <f>P1167/3</f>
      </c>
      <c r="L1167" s="115">
        <v>0.13400000000000001</v>
      </c>
      <c r="M1167" s="116">
        <f>L1167</f>
      </c>
      <c r="N1167" s="117">
        <f>M1167-L1167</f>
      </c>
      <c r="O1167" s="112"/>
      <c r="P1167" s="118">
        <f>N1167+O1167</f>
      </c>
      <c r="Q1167" s="94" t="s">
        <v>305</v>
      </c>
      <c r="R1167" s="94" t="s">
        <v>63</v>
      </c>
      <c r="S1167" s="119">
        <v>46323</v>
      </c>
      <c r="T1167" s="119"/>
      <c r="U1167" s="120">
        <v>46323</v>
      </c>
      <c r="V1167" s="94"/>
      <c r="W1167" s="94"/>
      <c r="X1167" s="94"/>
      <c r="Y1167" s="119">
        <v>46323</v>
      </c>
      <c r="Z1167" s="94"/>
      <c r="AA1167" s="120"/>
      <c r="AB1167" s="120"/>
      <c r="AC1167" s="120"/>
      <c r="AD1167" s="120"/>
      <c r="AE1167" s="120"/>
      <c r="AF1167" s="120"/>
      <c r="AG1167" s="94"/>
      <c r="AH1167" s="120"/>
      <c r="AI1167" s="94"/>
      <c r="AJ1167" s="94" t="s">
        <v>305</v>
      </c>
      <c r="AK1167" s="94" t="s">
        <v>356</v>
      </c>
      <c r="AL1167" s="94">
        <v>120</v>
      </c>
      <c r="AM1167" s="94" t="str">
        <f>TRIM(AJ1167)&amp;TRIM(AL1167)&amp;TRIM(AK1167)</f>
      </c>
      <c r="AN1167" s="116">
        <v>897.23</v>
      </c>
      <c r="AO1167" s="116">
        <v>-20.23</v>
      </c>
      <c r="AP1167" s="116">
        <f>SUMIFS(M:M,AM:AM,AM1167)+SUMIFS(O:O,AM:AM,AM1167)</f>
      </c>
      <c r="AQ1167" s="116">
        <f>SUMIFS(L:L,AM:AM,AM1167)</f>
      </c>
      <c r="AR1167" s="116">
        <f>AQ1167-AP1167</f>
      </c>
      <c r="AS1167" s="94" t="str">
        <f>IF(AN1167&gt;=AQ1167,"ok","ck")</f>
      </c>
      <c r="AT1167" s="116">
        <f>-P1167</f>
      </c>
      <c r="AU1167" s="115">
        <f>IF(SUMIFS(AT:AT,AM:AM,AM1167)&gt;AO1167,(SUMIFS(AT:AT,AM:AM,AM1167)-AO1167))</f>
      </c>
      <c r="AV1167" s="116">
        <v>897.23</v>
      </c>
      <c r="AW1167" s="121">
        <v>1.023</v>
      </c>
      <c r="AX1167" s="115">
        <f>AN1167-AP1167</f>
      </c>
    </row>
    <row r="1168" spans="1:50" ht="15" hidden="1" customHeight="1" x14ac:dyDescent="0.3">
      <c r="A1168" s="94" t="s">
        <v>268</v>
      </c>
      <c r="B1168" s="94"/>
      <c r="C1168" s="94"/>
      <c r="D1168" s="94"/>
      <c r="E1168" s="94"/>
      <c r="F1168" s="94"/>
      <c r="G1168" s="112">
        <f>AU1168</f>
      </c>
      <c r="H1168" s="113"/>
      <c r="I1168" s="94" t="s">
        <v>278</v>
      </c>
      <c r="J1168" s="94" t="s">
        <v>355</v>
      </c>
      <c r="K1168" s="114">
        <f>P1168/3</f>
      </c>
      <c r="L1168" s="115">
        <v>44.4</v>
      </c>
      <c r="M1168" s="116">
        <f>L1168</f>
      </c>
      <c r="N1168" s="117">
        <f>M1168-L1168</f>
      </c>
      <c r="O1168" s="112"/>
      <c r="P1168" s="118">
        <f>N1168+O1168</f>
      </c>
      <c r="Q1168" s="94" t="s">
        <v>305</v>
      </c>
      <c r="R1168" s="94" t="s">
        <v>63</v>
      </c>
      <c r="S1168" s="119">
        <v>46333</v>
      </c>
      <c r="T1168" s="119"/>
      <c r="U1168" s="120">
        <v>46333</v>
      </c>
      <c r="V1168" s="94"/>
      <c r="W1168" s="94"/>
      <c r="X1168" s="94"/>
      <c r="Y1168" s="119">
        <v>46326</v>
      </c>
      <c r="Z1168" s="94"/>
      <c r="AA1168" s="120"/>
      <c r="AB1168" s="120"/>
      <c r="AC1168" s="120"/>
      <c r="AD1168" s="120"/>
      <c r="AE1168" s="120"/>
      <c r="AF1168" s="120"/>
      <c r="AG1168" s="94"/>
      <c r="AH1168" s="120"/>
      <c r="AI1168" s="94"/>
      <c r="AJ1168" s="94" t="s">
        <v>305</v>
      </c>
      <c r="AK1168" s="94" t="s">
        <v>356</v>
      </c>
      <c r="AL1168" s="94">
        <v>120</v>
      </c>
      <c r="AM1168" s="94" t="str">
        <f>TRIM(AJ1168)&amp;TRIM(AL1168)&amp;TRIM(AK1168)</f>
      </c>
      <c r="AN1168" s="116">
        <v>897.23</v>
      </c>
      <c r="AO1168" s="116">
        <v>-20.23</v>
      </c>
      <c r="AP1168" s="116">
        <f>SUMIFS(M:M,AM:AM,AM1168)+SUMIFS(O:O,AM:AM,AM1168)</f>
      </c>
      <c r="AQ1168" s="116">
        <f>SUMIFS(L:L,AM:AM,AM1168)</f>
      </c>
      <c r="AR1168" s="116">
        <f>AQ1168-AP1168</f>
      </c>
      <c r="AS1168" s="94" t="str">
        <f>IF(AN1168&gt;=AQ1168,"ok","ck")</f>
      </c>
      <c r="AT1168" s="116">
        <f>-P1168</f>
      </c>
      <c r="AU1168" s="115">
        <f>IF(SUMIFS(AT:AT,AM:AM,AM1168)&gt;AO1168,(SUMIFS(AT:AT,AM:AM,AM1168)-AO1168))</f>
      </c>
      <c r="AV1168" s="116">
        <v>897.23</v>
      </c>
      <c r="AW1168" s="121">
        <v>1.023</v>
      </c>
      <c r="AX1168" s="115">
        <f>AN1168-AP1168</f>
      </c>
    </row>
    <row r="1169" spans="1:50" ht="15" hidden="1" customHeight="1" x14ac:dyDescent="0.3">
      <c r="A1169" s="94" t="s">
        <v>268</v>
      </c>
      <c r="B1169" s="94"/>
      <c r="C1169" s="94"/>
      <c r="D1169" s="94"/>
      <c r="E1169" s="94"/>
      <c r="F1169" s="94"/>
      <c r="G1169" s="112">
        <f>AU1169</f>
      </c>
      <c r="H1169" s="113"/>
      <c r="I1169" s="94" t="s">
        <v>278</v>
      </c>
      <c r="J1169" s="94" t="s">
        <v>355</v>
      </c>
      <c r="K1169" s="114">
        <f>P1169/3</f>
      </c>
      <c r="L1169" s="115">
        <v>33.299999999999997</v>
      </c>
      <c r="M1169" s="116">
        <f>L1169</f>
      </c>
      <c r="N1169" s="117">
        <f>M1169-L1169</f>
      </c>
      <c r="O1169" s="112"/>
      <c r="P1169" s="118">
        <f>N1169+O1169</f>
      </c>
      <c r="Q1169" s="94" t="s">
        <v>305</v>
      </c>
      <c r="R1169" s="94" t="s">
        <v>63</v>
      </c>
      <c r="S1169" s="119">
        <v>46333</v>
      </c>
      <c r="T1169" s="119"/>
      <c r="U1169" s="120">
        <v>46333</v>
      </c>
      <c r="V1169" s="94"/>
      <c r="W1169" s="94"/>
      <c r="X1169" s="94"/>
      <c r="Y1169" s="119">
        <v>46334</v>
      </c>
      <c r="Z1169" s="94"/>
      <c r="AA1169" s="120"/>
      <c r="AB1169" s="120"/>
      <c r="AC1169" s="120"/>
      <c r="AD1169" s="120"/>
      <c r="AE1169" s="120"/>
      <c r="AF1169" s="120"/>
      <c r="AG1169" s="94"/>
      <c r="AH1169" s="120"/>
      <c r="AI1169" s="94"/>
      <c r="AJ1169" s="94" t="s">
        <v>305</v>
      </c>
      <c r="AK1169" s="94" t="s">
        <v>356</v>
      </c>
      <c r="AL1169" s="94">
        <v>120</v>
      </c>
      <c r="AM1169" s="94" t="str">
        <f>TRIM(AJ1169)&amp;TRIM(AL1169)&amp;TRIM(AK1169)</f>
      </c>
      <c r="AN1169" s="116">
        <v>897.23</v>
      </c>
      <c r="AO1169" s="116">
        <v>-20.23</v>
      </c>
      <c r="AP1169" s="116">
        <f>SUMIFS(M:M,AM:AM,AM1169)+SUMIFS(O:O,AM:AM,AM1169)</f>
      </c>
      <c r="AQ1169" s="116">
        <f>SUMIFS(L:L,AM:AM,AM1169)</f>
      </c>
      <c r="AR1169" s="116">
        <f>AQ1169-AP1169</f>
      </c>
      <c r="AS1169" s="94" t="str">
        <f>IF(AN1169&gt;=AQ1169,"ok","ck")</f>
      </c>
      <c r="AT1169" s="116">
        <f>-P1169</f>
      </c>
      <c r="AU1169" s="115">
        <f>IF(SUMIFS(AT:AT,AM:AM,AM1169)&gt;AO1169,(SUMIFS(AT:AT,AM:AM,AM1169)-AO1169))</f>
      </c>
      <c r="AV1169" s="116">
        <v>897.23</v>
      </c>
      <c r="AW1169" s="121">
        <v>1.023</v>
      </c>
      <c r="AX1169" s="115">
        <f>AN1169-AP1169</f>
      </c>
    </row>
    <row r="1170" spans="1:50" ht="15" hidden="1" customHeight="1" x14ac:dyDescent="0.3">
      <c r="A1170" s="94" t="s">
        <v>268</v>
      </c>
      <c r="B1170" s="94"/>
      <c r="C1170" s="94"/>
      <c r="D1170" s="94"/>
      <c r="E1170" s="94"/>
      <c r="F1170" s="94"/>
      <c r="G1170" s="112">
        <f>AU1170</f>
      </c>
      <c r="H1170" s="113"/>
      <c r="I1170" s="94" t="s">
        <v>278</v>
      </c>
      <c r="J1170" s="94" t="s">
        <v>355</v>
      </c>
      <c r="K1170" s="114">
        <f>P1170/3</f>
      </c>
      <c r="L1170" s="115">
        <v>84</v>
      </c>
      <c r="M1170" s="116">
        <f>L1170</f>
      </c>
      <c r="N1170" s="117">
        <f>M1170-L1170</f>
      </c>
      <c r="O1170" s="112"/>
      <c r="P1170" s="118">
        <f>N1170+O1170</f>
      </c>
      <c r="Q1170" s="94" t="s">
        <v>305</v>
      </c>
      <c r="R1170" s="94" t="s">
        <v>63</v>
      </c>
      <c r="S1170" s="120">
        <v>46333</v>
      </c>
      <c r="T1170" s="120"/>
      <c r="U1170" s="120">
        <v>46333</v>
      </c>
      <c r="V1170" s="94"/>
      <c r="W1170" s="94"/>
      <c r="X1170" s="94"/>
      <c r="Y1170" s="119">
        <v>46320</v>
      </c>
      <c r="Z1170" s="94"/>
      <c r="AA1170" s="120"/>
      <c r="AB1170" s="120"/>
      <c r="AC1170" s="120"/>
      <c r="AD1170" s="120"/>
      <c r="AE1170" s="120"/>
      <c r="AF1170" s="120"/>
      <c r="AG1170" s="94"/>
      <c r="AH1170" s="120"/>
      <c r="AI1170" s="94"/>
      <c r="AJ1170" s="94" t="s">
        <v>305</v>
      </c>
      <c r="AK1170" s="94" t="s">
        <v>356</v>
      </c>
      <c r="AL1170" s="94">
        <v>120</v>
      </c>
      <c r="AM1170" s="94" t="str">
        <f>TRIM(AJ1170)&amp;TRIM(AL1170)&amp;TRIM(AK1170)</f>
      </c>
      <c r="AN1170" s="116">
        <v>897.23</v>
      </c>
      <c r="AO1170" s="116">
        <v>-20.23</v>
      </c>
      <c r="AP1170" s="116">
        <f>SUMIFS(M:M,AM:AM,AM1170)+SUMIFS(O:O,AM:AM,AM1170)</f>
      </c>
      <c r="AQ1170" s="116">
        <f>SUMIFS(L:L,AM:AM,AM1170)</f>
      </c>
      <c r="AR1170" s="116">
        <f>AQ1170-AP1170</f>
      </c>
      <c r="AS1170" s="94" t="str">
        <f>IF(AN1170&gt;=AQ1170,"ok","ck")</f>
      </c>
      <c r="AT1170" s="116">
        <f>-P1170</f>
      </c>
      <c r="AU1170" s="115">
        <f>IF(SUMIFS(AT:AT,AM:AM,AM1170)&gt;AO1170,(SUMIFS(AT:AT,AM:AM,AM1170)-AO1170))</f>
      </c>
      <c r="AV1170" s="116">
        <v>897.23</v>
      </c>
      <c r="AW1170" s="121">
        <v>1.023</v>
      </c>
      <c r="AX1170" s="115">
        <f>AN1170-AP1170</f>
      </c>
    </row>
    <row r="1171" spans="1:50" ht="15" hidden="1" customHeight="1" x14ac:dyDescent="0.3">
      <c r="A1171" s="94" t="s">
        <v>268</v>
      </c>
      <c r="B1171" s="94"/>
      <c r="C1171" s="94"/>
      <c r="D1171" s="94"/>
      <c r="E1171" s="94"/>
      <c r="F1171" s="94"/>
      <c r="G1171" s="112">
        <f>AU1171</f>
      </c>
      <c r="H1171" s="113"/>
      <c r="I1171" s="94" t="s">
        <v>278</v>
      </c>
      <c r="J1171" s="94" t="s">
        <v>355</v>
      </c>
      <c r="K1171" s="114">
        <f>P1171/3</f>
      </c>
      <c r="L1171" s="115">
        <v>36.75</v>
      </c>
      <c r="M1171" s="116">
        <f>L1171</f>
      </c>
      <c r="N1171" s="117">
        <f>M1171-L1171</f>
      </c>
      <c r="O1171" s="112"/>
      <c r="P1171" s="118">
        <f>N1171+O1171</f>
      </c>
      <c r="Q1171" s="94" t="s">
        <v>305</v>
      </c>
      <c r="R1171" s="94" t="s">
        <v>63</v>
      </c>
      <c r="S1171" s="120">
        <v>46333</v>
      </c>
      <c r="T1171" s="120"/>
      <c r="U1171" s="120">
        <v>46333</v>
      </c>
      <c r="V1171" s="94"/>
      <c r="W1171" s="94"/>
      <c r="X1171" s="94"/>
      <c r="Y1171" s="119">
        <v>46321</v>
      </c>
      <c r="Z1171" s="94"/>
      <c r="AA1171" s="120"/>
      <c r="AB1171" s="120"/>
      <c r="AC1171" s="120"/>
      <c r="AD1171" s="120"/>
      <c r="AE1171" s="120"/>
      <c r="AF1171" s="120"/>
      <c r="AG1171" s="94"/>
      <c r="AH1171" s="120"/>
      <c r="AI1171" s="94"/>
      <c r="AJ1171" s="94" t="s">
        <v>305</v>
      </c>
      <c r="AK1171" s="94" t="s">
        <v>356</v>
      </c>
      <c r="AL1171" s="94">
        <v>120</v>
      </c>
      <c r="AM1171" s="94" t="str">
        <f>TRIM(AJ1171)&amp;TRIM(AL1171)&amp;TRIM(AK1171)</f>
      </c>
      <c r="AN1171" s="116">
        <v>897.23</v>
      </c>
      <c r="AO1171" s="116">
        <v>-20.23</v>
      </c>
      <c r="AP1171" s="116">
        <f>SUMIFS(M:M,AM:AM,AM1171)+SUMIFS(O:O,AM:AM,AM1171)</f>
      </c>
      <c r="AQ1171" s="116">
        <f>SUMIFS(L:L,AM:AM,AM1171)</f>
      </c>
      <c r="AR1171" s="116">
        <f>AQ1171-AP1171</f>
      </c>
      <c r="AS1171" s="94" t="str">
        <f>IF(AN1171&gt;=AQ1171,"ok","ck")</f>
      </c>
      <c r="AT1171" s="116">
        <f>-P1171</f>
      </c>
      <c r="AU1171" s="115">
        <f>IF(SUMIFS(AT:AT,AM:AM,AM1171)&gt;AO1171,(SUMIFS(AT:AT,AM:AM,AM1171)-AO1171))</f>
      </c>
      <c r="AV1171" s="116">
        <v>897.23</v>
      </c>
      <c r="AW1171" s="121">
        <v>1.023</v>
      </c>
      <c r="AX1171" s="115">
        <f>AN1171-AP1171</f>
      </c>
    </row>
    <row r="1172" spans="1:50" ht="15" hidden="1" customHeight="1" x14ac:dyDescent="0.3">
      <c r="A1172" s="94" t="s">
        <v>263</v>
      </c>
      <c r="B1172" s="94"/>
      <c r="C1172" s="94"/>
      <c r="D1172" s="94"/>
      <c r="E1172" s="94"/>
      <c r="F1172" s="94"/>
      <c r="G1172" s="112">
        <f>AU1172</f>
      </c>
      <c r="H1172" s="113"/>
      <c r="I1172" s="94" t="s">
        <v>360</v>
      </c>
      <c r="J1172" s="94" t="s">
        <v>286</v>
      </c>
      <c r="K1172" s="114">
        <f>P1172/3</f>
      </c>
      <c r="L1172" s="115">
        <v>-5.7530000000000001</v>
      </c>
      <c r="M1172" s="116">
        <f>L1172</f>
      </c>
      <c r="N1172" s="117">
        <f>M1172-L1172</f>
      </c>
      <c r="O1172" s="112"/>
      <c r="P1172" s="118">
        <f>N1172+O1172</f>
      </c>
      <c r="Q1172" s="94" t="s">
        <v>361</v>
      </c>
      <c r="R1172" s="94" t="s">
        <v>63</v>
      </c>
      <c r="S1172" s="120">
        <v>46320</v>
      </c>
      <c r="T1172" s="120"/>
      <c r="U1172" s="120">
        <v>46320</v>
      </c>
      <c r="V1172" s="94"/>
      <c r="W1172" s="94"/>
      <c r="X1172" s="94"/>
      <c r="Y1172" s="119">
        <v>46320</v>
      </c>
      <c r="Z1172" s="94"/>
      <c r="AA1172" s="120"/>
      <c r="AB1172" s="120"/>
      <c r="AC1172" s="120"/>
      <c r="AD1172" s="120"/>
      <c r="AE1172" s="120"/>
      <c r="AF1172" s="120"/>
      <c r="AG1172" s="94"/>
      <c r="AH1172" s="120"/>
      <c r="AI1172" s="94"/>
      <c r="AJ1172" s="94" t="s">
        <v>361</v>
      </c>
      <c r="AK1172" s="94" t="s">
        <v>362</v>
      </c>
      <c r="AL1172" s="94">
        <v>245</v>
      </c>
      <c r="AM1172" s="94" t="str">
        <f>TRIM(AJ1172)&amp;TRIM(AL1172)&amp;TRIM(AK1172)</f>
      </c>
      <c r="AN1172" s="116">
        <v>9549</v>
      </c>
      <c r="AO1172" s="116">
        <v>-179</v>
      </c>
      <c r="AP1172" s="116">
        <f>SUMIFS(M:M,AM:AM,AM1172)+SUMIFS(O:O,AM:AM,AM1172)</f>
      </c>
      <c r="AQ1172" s="116">
        <f>SUMIFS(L:L,AM:AM,AM1172)</f>
      </c>
      <c r="AR1172" s="116">
        <f>AQ1172-AP1172</f>
      </c>
      <c r="AS1172" s="94" t="str">
        <f>IF(AN1172&gt;=AQ1172,"ok","ck")</f>
      </c>
      <c r="AT1172" s="116">
        <f>-P1172</f>
      </c>
      <c r="AU1172" s="115">
        <f>IF(SUMIFS(AT:AT,AM:AM,AM1172)&gt;AO1172,(SUMIFS(AT:AT,AM:AM,AM1172)-AO1172))</f>
      </c>
      <c r="AV1172" s="116">
        <v>9549</v>
      </c>
      <c r="AW1172" s="121">
        <v>1.019</v>
      </c>
      <c r="AX1172" s="115">
        <f>AN1172-AP1172</f>
      </c>
    </row>
    <row r="1173" spans="1:50" ht="15" hidden="1" customHeight="1" x14ac:dyDescent="0.3">
      <c r="A1173" s="94" t="s">
        <v>263</v>
      </c>
      <c r="B1173" s="94"/>
      <c r="C1173" s="94"/>
      <c r="D1173" s="94"/>
      <c r="E1173" s="94"/>
      <c r="F1173" s="94"/>
      <c r="G1173" s="112">
        <f>AU1173</f>
      </c>
      <c r="H1173" s="113"/>
      <c r="I1173" s="94" t="s">
        <v>360</v>
      </c>
      <c r="J1173" s="94" t="s">
        <v>286</v>
      </c>
      <c r="K1173" s="114">
        <f>P1173/3</f>
      </c>
      <c r="L1173" s="115">
        <v>-33.139000000000003</v>
      </c>
      <c r="M1173" s="116">
        <f>L1173</f>
      </c>
      <c r="N1173" s="117">
        <f>M1173-L1173</f>
      </c>
      <c r="O1173" s="112"/>
      <c r="P1173" s="118">
        <f>N1173+O1173</f>
      </c>
      <c r="Q1173" s="94" t="s">
        <v>361</v>
      </c>
      <c r="R1173" s="94" t="s">
        <v>63</v>
      </c>
      <c r="S1173" s="120">
        <v>46320</v>
      </c>
      <c r="T1173" s="120"/>
      <c r="U1173" s="120">
        <v>46320</v>
      </c>
      <c r="V1173" s="94"/>
      <c r="W1173" s="94"/>
      <c r="X1173" s="94"/>
      <c r="Y1173" s="119">
        <v>46320</v>
      </c>
      <c r="Z1173" s="94"/>
      <c r="AA1173" s="120"/>
      <c r="AB1173" s="120"/>
      <c r="AC1173" s="120"/>
      <c r="AD1173" s="120"/>
      <c r="AE1173" s="120"/>
      <c r="AF1173" s="120"/>
      <c r="AG1173" s="94"/>
      <c r="AH1173" s="120"/>
      <c r="AI1173" s="94"/>
      <c r="AJ1173" s="94" t="s">
        <v>361</v>
      </c>
      <c r="AK1173" s="94" t="s">
        <v>362</v>
      </c>
      <c r="AL1173" s="94">
        <v>245</v>
      </c>
      <c r="AM1173" s="94" t="str">
        <f>TRIM(AJ1173)&amp;TRIM(AL1173)&amp;TRIM(AK1173)</f>
      </c>
      <c r="AN1173" s="116">
        <v>9549</v>
      </c>
      <c r="AO1173" s="116">
        <v>-179</v>
      </c>
      <c r="AP1173" s="116">
        <f>SUMIFS(M:M,AM:AM,AM1173)+SUMIFS(O:O,AM:AM,AM1173)</f>
      </c>
      <c r="AQ1173" s="116">
        <f>SUMIFS(L:L,AM:AM,AM1173)</f>
      </c>
      <c r="AR1173" s="116">
        <f>AQ1173-AP1173</f>
      </c>
      <c r="AS1173" s="94" t="str">
        <f>IF(AN1173&gt;=AQ1173,"ok","ck")</f>
      </c>
      <c r="AT1173" s="116">
        <f>-P1173</f>
      </c>
      <c r="AU1173" s="115">
        <f>IF(SUMIFS(AT:AT,AM:AM,AM1173)&gt;AO1173,(SUMIFS(AT:AT,AM:AM,AM1173)-AO1173))</f>
      </c>
      <c r="AV1173" s="116">
        <v>9549</v>
      </c>
      <c r="AW1173" s="121">
        <v>1.019</v>
      </c>
      <c r="AX1173" s="115">
        <f>AN1173-AP1173</f>
      </c>
    </row>
    <row r="1174" spans="1:50" ht="15" hidden="1" customHeight="1" x14ac:dyDescent="0.3">
      <c r="A1174" s="94" t="s">
        <v>263</v>
      </c>
      <c r="B1174" s="94"/>
      <c r="C1174" s="94"/>
      <c r="D1174" s="94"/>
      <c r="E1174" s="94"/>
      <c r="F1174" s="94"/>
      <c r="G1174" s="112">
        <f>AU1174</f>
      </c>
      <c r="H1174" s="113"/>
      <c r="I1174" s="94" t="s">
        <v>360</v>
      </c>
      <c r="J1174" s="94" t="s">
        <v>381</v>
      </c>
      <c r="K1174" s="114">
        <f>P1174/3</f>
      </c>
      <c r="L1174" s="115">
        <v>176.55</v>
      </c>
      <c r="M1174" s="116">
        <f>L1174</f>
      </c>
      <c r="N1174" s="117">
        <f>M1174-L1174</f>
      </c>
      <c r="O1174" s="112"/>
      <c r="P1174" s="118">
        <f>N1174+O1174</f>
      </c>
      <c r="Q1174" s="94" t="s">
        <v>361</v>
      </c>
      <c r="R1174" s="94" t="s">
        <v>63</v>
      </c>
      <c r="S1174" s="120">
        <v>46320</v>
      </c>
      <c r="T1174" s="120"/>
      <c r="U1174" s="120">
        <v>46320</v>
      </c>
      <c r="V1174" s="94"/>
      <c r="W1174" s="94"/>
      <c r="X1174" s="94"/>
      <c r="Y1174" s="119">
        <v>46320</v>
      </c>
      <c r="Z1174" s="94"/>
      <c r="AA1174" s="120"/>
      <c r="AB1174" s="120"/>
      <c r="AC1174" s="120"/>
      <c r="AD1174" s="120"/>
      <c r="AE1174" s="120"/>
      <c r="AF1174" s="120"/>
      <c r="AG1174" s="94"/>
      <c r="AH1174" s="120"/>
      <c r="AI1174" s="94"/>
      <c r="AJ1174" s="94" t="s">
        <v>361</v>
      </c>
      <c r="AK1174" s="94" t="s">
        <v>382</v>
      </c>
      <c r="AL1174" s="94">
        <v>245</v>
      </c>
      <c r="AM1174" s="94" t="str">
        <f>TRIM(AJ1174)&amp;TRIM(AL1174)&amp;TRIM(AK1174)</f>
      </c>
      <c r="AN1174" s="116">
        <v>5339</v>
      </c>
      <c r="AO1174" s="116">
        <v>-88</v>
      </c>
      <c r="AP1174" s="116">
        <f>SUMIFS(M:M,AM:AM,AM1174)+SUMIFS(O:O,AM:AM,AM1174)</f>
      </c>
      <c r="AQ1174" s="116">
        <f>SUMIFS(L:L,AM:AM,AM1174)</f>
      </c>
      <c r="AR1174" s="116">
        <f>AQ1174-AP1174</f>
      </c>
      <c r="AS1174" s="94" t="str">
        <f>IF(AN1174&gt;=AQ1174,"ok","ck")</f>
      </c>
      <c r="AT1174" s="116">
        <f>-P1174</f>
      </c>
      <c r="AU1174" s="115">
        <f>IF(SUMIFS(AT:AT,AM:AM,AM1174)&gt;AO1174,(SUMIFS(AT:AT,AM:AM,AM1174)-AO1174))</f>
      </c>
      <c r="AV1174" s="116">
        <v>5339</v>
      </c>
      <c r="AW1174" s="121">
        <v>1.017</v>
      </c>
      <c r="AX1174" s="115">
        <f>AN1174-AP1174</f>
      </c>
    </row>
    <row r="1175" spans="1:50" ht="15" hidden="1" customHeight="1" x14ac:dyDescent="0.3">
      <c r="A1175" s="94" t="s">
        <v>311</v>
      </c>
      <c r="B1175" s="94"/>
      <c r="C1175" s="94"/>
      <c r="D1175" s="94"/>
      <c r="E1175" s="94"/>
      <c r="F1175" s="94"/>
      <c r="G1175" s="112">
        <f>AU1175</f>
      </c>
      <c r="H1175" s="113"/>
      <c r="I1175" s="94" t="s">
        <v>369</v>
      </c>
      <c r="J1175" s="94" t="s">
        <v>370</v>
      </c>
      <c r="K1175" s="114">
        <f>P1175/3</f>
      </c>
      <c r="L1175" s="115">
        <v>106.5</v>
      </c>
      <c r="M1175" s="116">
        <f>L1175</f>
      </c>
      <c r="N1175" s="117">
        <f>M1175-L1175</f>
      </c>
      <c r="O1175" s="112"/>
      <c r="P1175" s="118">
        <f>N1175+O1175</f>
      </c>
      <c r="Q1175" s="94" t="s">
        <v>314</v>
      </c>
      <c r="R1175" s="94" t="s">
        <v>63</v>
      </c>
      <c r="S1175" s="119">
        <v>46323</v>
      </c>
      <c r="T1175" s="119"/>
      <c r="U1175" s="119">
        <v>46323</v>
      </c>
      <c r="V1175" s="94"/>
      <c r="W1175" s="94"/>
      <c r="X1175" s="94"/>
      <c r="Y1175" s="119">
        <v>46323</v>
      </c>
      <c r="Z1175" s="94"/>
      <c r="AA1175" s="120"/>
      <c r="AB1175" s="120"/>
      <c r="AC1175" s="120"/>
      <c r="AD1175" s="120"/>
      <c r="AE1175" s="120"/>
      <c r="AF1175" s="120"/>
      <c r="AG1175" s="94"/>
      <c r="AH1175" s="120"/>
      <c r="AI1175" s="94"/>
      <c r="AJ1175" s="94" t="s">
        <v>314</v>
      </c>
      <c r="AK1175" s="94" t="s">
        <v>371</v>
      </c>
      <c r="AL1175" s="94">
        <v>150</v>
      </c>
      <c r="AM1175" s="94" t="str">
        <f>TRIM(AJ1175)&amp;TRIM(AL1175)&amp;TRIM(AK1175)</f>
      </c>
      <c r="AN1175" s="116">
        <v>540.11</v>
      </c>
      <c r="AO1175" s="116">
        <v>-4.11</v>
      </c>
      <c r="AP1175" s="116">
        <f>SUMIFS(M:M,AM:AM,AM1175)+SUMIFS(O:O,AM:AM,AM1175)</f>
      </c>
      <c r="AQ1175" s="116">
        <f>SUMIFS(L:L,AM:AM,AM1175)</f>
      </c>
      <c r="AR1175" s="116">
        <f>AQ1175-AP1175</f>
      </c>
      <c r="AS1175" s="94" t="str">
        <f>IF(AN1175&gt;=AQ1175,"ok","ck")</f>
      </c>
      <c r="AT1175" s="116">
        <f>-P1175</f>
      </c>
      <c r="AU1175" s="115">
        <f>IF(SUMIFS(AT:AT,AM:AM,AM1175)&gt;AO1175,(SUMIFS(AT:AT,AM:AM,AM1175)-AO1175))</f>
      </c>
      <c r="AV1175" s="116">
        <v>540.11</v>
      </c>
      <c r="AW1175" s="121">
        <v>1.008</v>
      </c>
      <c r="AX1175" s="115">
        <f>AN1175-AP1175</f>
      </c>
    </row>
    <row r="1176" spans="1:50" ht="15" hidden="1" customHeight="1" x14ac:dyDescent="0.3">
      <c r="A1176" s="94" t="s">
        <v>60</v>
      </c>
      <c r="B1176" s="94"/>
      <c r="C1176" s="94"/>
      <c r="D1176" s="94"/>
      <c r="E1176" s="94"/>
      <c r="F1176" s="94"/>
      <c r="G1176" s="112">
        <f>AU1176</f>
      </c>
      <c r="H1176" s="113"/>
      <c r="I1176" s="94" t="s">
        <v>65</v>
      </c>
      <c r="J1176" s="94" t="s">
        <v>569</v>
      </c>
      <c r="K1176" s="114">
        <f>P1176/3</f>
      </c>
      <c r="L1176" s="115">
        <v>0.24</v>
      </c>
      <c r="M1176" s="116"/>
      <c r="N1176" s="117">
        <f>M1176-L1176</f>
      </c>
      <c r="O1176" s="112"/>
      <c r="P1176" s="118">
        <f>N1176+O1176</f>
      </c>
      <c r="Q1176" s="94" t="s">
        <v>811</v>
      </c>
      <c r="R1176" s="94" t="s">
        <v>63</v>
      </c>
      <c r="S1176" s="119">
        <v>46345</v>
      </c>
      <c r="T1176" s="119"/>
      <c r="U1176" s="119">
        <v>46345</v>
      </c>
      <c r="V1176" s="94"/>
      <c r="W1176" s="94"/>
      <c r="X1176" s="94"/>
      <c r="Y1176" s="119">
        <v>46337</v>
      </c>
      <c r="Z1176" s="94"/>
      <c r="AA1176" s="120"/>
      <c r="AB1176" s="120"/>
      <c r="AC1176" s="120"/>
      <c r="AD1176" s="120"/>
      <c r="AE1176" s="120"/>
      <c r="AF1176" s="120"/>
      <c r="AG1176" s="94"/>
      <c r="AH1176" s="120"/>
      <c r="AI1176" s="94"/>
      <c r="AJ1176" s="94" t="s">
        <v>811</v>
      </c>
      <c r="AK1176" s="94" t="s">
        <v>569</v>
      </c>
      <c r="AL1176" s="94">
        <v>110</v>
      </c>
      <c r="AM1176" s="94" t="str">
        <f>TRIM(AJ1176)&amp;TRIM(AL1176)&amp;TRIM(AK1176)</f>
      </c>
      <c r="AN1176" s="116">
        <v>0</v>
      </c>
      <c r="AO1176" s="116" t="inlineStr">
        <is>
          <t>#NA</t>
        </is>
      </c>
      <c r="AP1176" s="116">
        <f>SUMIFS(M:M,AM:AM,AM1176)+SUMIFS(O:O,AM:AM,AM1176)</f>
      </c>
      <c r="AQ1176" s="116">
        <f>SUMIFS(L:L,AM:AM,AM1176)</f>
      </c>
      <c r="AR1176" s="116">
        <f>AQ1176-AP1176</f>
      </c>
      <c r="AS1176" s="94" t="str">
        <f>IF(AN1176&gt;=AQ1176,"ok","ck")</f>
      </c>
      <c r="AT1176" s="116">
        <f>-P1176</f>
      </c>
      <c r="AU1176" s="115">
        <f>IF(SUMIFS(AT:AT,AM:AM,AM1176)&gt;AO1176,(SUMIFS(AT:AT,AM:AM,AM1176)-AO1176))</f>
      </c>
      <c r="AV1176" s="116">
        <v>0</v>
      </c>
      <c r="AW1176" s="121">
        <v>0</v>
      </c>
      <c r="AX1176" s="115">
        <f>AN1176-AP1176</f>
      </c>
    </row>
    <row r="1177" spans="1:50" ht="15" hidden="1" customHeight="1" x14ac:dyDescent="0.3">
      <c r="A1177" s="94" t="s">
        <v>60</v>
      </c>
      <c r="B1177" s="94"/>
      <c r="C1177" s="94"/>
      <c r="D1177" s="94"/>
      <c r="E1177" s="94"/>
      <c r="F1177" s="94"/>
      <c r="G1177" s="112">
        <f>AU1177</f>
      </c>
      <c r="H1177" s="113"/>
      <c r="I1177" s="94" t="s">
        <v>65</v>
      </c>
      <c r="J1177" s="94" t="s">
        <v>569</v>
      </c>
      <c r="K1177" s="114">
        <f>P1177/3</f>
      </c>
      <c r="L1177" s="115">
        <v>41.28</v>
      </c>
      <c r="M1177" s="116"/>
      <c r="N1177" s="117">
        <f>M1177-L1177</f>
      </c>
      <c r="O1177" s="112"/>
      <c r="P1177" s="118">
        <f>N1177+O1177</f>
      </c>
      <c r="Q1177" s="94" t="s">
        <v>811</v>
      </c>
      <c r="R1177" s="94" t="s">
        <v>63</v>
      </c>
      <c r="S1177" s="119">
        <v>46345</v>
      </c>
      <c r="T1177" s="119"/>
      <c r="U1177" s="119">
        <v>46345</v>
      </c>
      <c r="V1177" s="94"/>
      <c r="W1177" s="94"/>
      <c r="X1177" s="94"/>
      <c r="Y1177" s="119">
        <v>46336</v>
      </c>
      <c r="Z1177" s="94"/>
      <c r="AA1177" s="120"/>
      <c r="AB1177" s="120"/>
      <c r="AC1177" s="120"/>
      <c r="AD1177" s="120"/>
      <c r="AE1177" s="120"/>
      <c r="AF1177" s="120"/>
      <c r="AG1177" s="94"/>
      <c r="AH1177" s="120"/>
      <c r="AI1177" s="94"/>
      <c r="AJ1177" s="94" t="s">
        <v>811</v>
      </c>
      <c r="AK1177" s="94" t="s">
        <v>569</v>
      </c>
      <c r="AL1177" s="94">
        <v>110</v>
      </c>
      <c r="AM1177" s="94" t="str">
        <f>TRIM(AJ1177)&amp;TRIM(AL1177)&amp;TRIM(AK1177)</f>
      </c>
      <c r="AN1177" s="116">
        <v>0</v>
      </c>
      <c r="AO1177" s="116" t="inlineStr">
        <is>
          <t>#NA</t>
        </is>
      </c>
      <c r="AP1177" s="116">
        <f>SUMIFS(M:M,AM:AM,AM1177)+SUMIFS(O:O,AM:AM,AM1177)</f>
      </c>
      <c r="AQ1177" s="116">
        <f>SUMIFS(L:L,AM:AM,AM1177)</f>
      </c>
      <c r="AR1177" s="116">
        <f>AQ1177-AP1177</f>
      </c>
      <c r="AS1177" s="94" t="str">
        <f>IF(AN1177&gt;=AQ1177,"ok","ck")</f>
      </c>
      <c r="AT1177" s="116">
        <f>-P1177</f>
      </c>
      <c r="AU1177" s="115">
        <f>IF(SUMIFS(AT:AT,AM:AM,AM1177)&gt;AO1177,(SUMIFS(AT:AT,AM:AM,AM1177)-AO1177))</f>
      </c>
      <c r="AV1177" s="116">
        <v>0</v>
      </c>
      <c r="AW1177" s="121">
        <v>0</v>
      </c>
      <c r="AX1177" s="115">
        <f>AN1177-AP1177</f>
      </c>
    </row>
    <row r="1178" spans="1:50" ht="15" hidden="1" customHeight="1" x14ac:dyDescent="0.3">
      <c r="A1178" s="94" t="s">
        <v>60</v>
      </c>
      <c r="B1178" s="94"/>
      <c r="C1178" s="94"/>
      <c r="D1178" s="94"/>
      <c r="E1178" s="94"/>
      <c r="F1178" s="94"/>
      <c r="G1178" s="112">
        <f>AU1178</f>
      </c>
      <c r="H1178" s="113"/>
      <c r="I1178" s="94" t="s">
        <v>65</v>
      </c>
      <c r="J1178" s="94" t="s">
        <v>570</v>
      </c>
      <c r="K1178" s="114">
        <f>P1178/3</f>
      </c>
      <c r="L1178" s="115">
        <v>0.12</v>
      </c>
      <c r="M1178" s="116"/>
      <c r="N1178" s="117">
        <f>M1178-L1178</f>
      </c>
      <c r="O1178" s="112"/>
      <c r="P1178" s="118">
        <f>N1178+O1178</f>
      </c>
      <c r="Q1178" s="94" t="s">
        <v>811</v>
      </c>
      <c r="R1178" s="94" t="s">
        <v>63</v>
      </c>
      <c r="S1178" s="119">
        <v>46345</v>
      </c>
      <c r="T1178" s="119"/>
      <c r="U1178" s="119">
        <v>46345</v>
      </c>
      <c r="V1178" s="94"/>
      <c r="W1178" s="94"/>
      <c r="X1178" s="94"/>
      <c r="Y1178" s="119">
        <v>46337</v>
      </c>
      <c r="Z1178" s="94"/>
      <c r="AA1178" s="120"/>
      <c r="AB1178" s="120"/>
      <c r="AC1178" s="120"/>
      <c r="AD1178" s="120"/>
      <c r="AE1178" s="120"/>
      <c r="AF1178" s="120"/>
      <c r="AG1178" s="94"/>
      <c r="AH1178" s="120"/>
      <c r="AI1178" s="94"/>
      <c r="AJ1178" s="94" t="s">
        <v>811</v>
      </c>
      <c r="AK1178" s="94" t="s">
        <v>740</v>
      </c>
      <c r="AL1178" s="94">
        <v>110</v>
      </c>
      <c r="AM1178" s="94" t="str">
        <f>TRIM(AJ1178)&amp;TRIM(AL1178)&amp;TRIM(AK1178)</f>
      </c>
      <c r="AN1178" s="116">
        <v>0</v>
      </c>
      <c r="AO1178" s="116" t="inlineStr">
        <is>
          <t>#NA</t>
        </is>
      </c>
      <c r="AP1178" s="116">
        <f>SUMIFS(M:M,AM:AM,AM1178)+SUMIFS(O:O,AM:AM,AM1178)</f>
      </c>
      <c r="AQ1178" s="116">
        <f>SUMIFS(L:L,AM:AM,AM1178)</f>
      </c>
      <c r="AR1178" s="116">
        <f>AQ1178-AP1178</f>
      </c>
      <c r="AS1178" s="94" t="str">
        <f>IF(AN1178&gt;=AQ1178,"ok","ck")</f>
      </c>
      <c r="AT1178" s="116">
        <f>-P1178</f>
      </c>
      <c r="AU1178" s="115">
        <f>IF(SUMIFS(AT:AT,AM:AM,AM1178)&gt;AO1178,(SUMIFS(AT:AT,AM:AM,AM1178)-AO1178))</f>
      </c>
      <c r="AV1178" s="116">
        <v>0</v>
      </c>
      <c r="AW1178" s="121">
        <v>0</v>
      </c>
      <c r="AX1178" s="115">
        <f>AN1178-AP1178</f>
      </c>
    </row>
    <row r="1179" spans="1:50" ht="15" hidden="1" customHeight="1" x14ac:dyDescent="0.3">
      <c r="A1179" s="94" t="s">
        <v>253</v>
      </c>
      <c r="B1179" s="94"/>
      <c r="C1179" s="94"/>
      <c r="D1179" s="94"/>
      <c r="E1179" s="94"/>
      <c r="F1179" s="94"/>
      <c r="G1179" s="112">
        <f>AU1179</f>
      </c>
      <c r="H1179" s="113"/>
      <c r="I1179" s="94" t="s">
        <v>254</v>
      </c>
      <c r="J1179" s="94" t="s">
        <v>259</v>
      </c>
      <c r="K1179" s="114">
        <f>P1179/3</f>
      </c>
      <c r="L1179" s="115">
        <v>136.61000000000001</v>
      </c>
      <c r="M1179" s="116"/>
      <c r="N1179" s="117">
        <f>M1179-L1179</f>
      </c>
      <c r="O1179" s="112"/>
      <c r="P1179" s="118">
        <f>N1179+O1179</f>
      </c>
      <c r="Q1179" s="94" t="s">
        <v>330</v>
      </c>
      <c r="R1179" s="94" t="s">
        <v>63</v>
      </c>
      <c r="S1179" s="119">
        <v>46329</v>
      </c>
      <c r="T1179" s="119"/>
      <c r="U1179" s="119">
        <v>46329</v>
      </c>
      <c r="V1179" s="94"/>
      <c r="W1179" s="94"/>
      <c r="X1179" s="94"/>
      <c r="Y1179" s="119">
        <v>46320</v>
      </c>
      <c r="Z1179" s="94"/>
      <c r="AA1179" s="120"/>
      <c r="AB1179" s="120"/>
      <c r="AC1179" s="120"/>
      <c r="AD1179" s="120"/>
      <c r="AE1179" s="120"/>
      <c r="AF1179" s="120"/>
      <c r="AG1179" s="94"/>
      <c r="AH1179" s="120"/>
      <c r="AI1179" s="94"/>
      <c r="AJ1179" s="94" t="s">
        <v>331</v>
      </c>
      <c r="AK1179" s="94" t="s">
        <v>260</v>
      </c>
      <c r="AL1179" s="94">
        <v>150</v>
      </c>
      <c r="AM1179" s="94" t="str">
        <f>TRIM(AJ1179)&amp;TRIM(AL1179)&amp;TRIM(AK1179)</f>
      </c>
      <c r="AN1179" s="116">
        <v>2151</v>
      </c>
      <c r="AO1179" s="116">
        <v>324.59</v>
      </c>
      <c r="AP1179" s="116">
        <f>SUMIFS(M:M,AM:AM,AM1179)+SUMIFS(O:O,AM:AM,AM1179)</f>
      </c>
      <c r="AQ1179" s="116">
        <f>SUMIFS(L:L,AM:AM,AM1179)</f>
      </c>
      <c r="AR1179" s="116">
        <f>AQ1179-AP1179</f>
      </c>
      <c r="AS1179" s="94" t="str">
        <f>IF(AN1179&gt;=AQ1179,"ok","ck")</f>
      </c>
      <c r="AT1179" s="116">
        <f>-P1179</f>
      </c>
      <c r="AU1179" s="115">
        <f>IF(SUMIFS(AT:AT,AM:AM,AM1179)&gt;AO1179,(SUMIFS(AT:AT,AM:AM,AM1179)-AO1179))</f>
      </c>
      <c r="AV1179" s="116">
        <v>2151</v>
      </c>
      <c r="AW1179" s="121">
        <v>0.869</v>
      </c>
      <c r="AX1179" s="115">
        <f>AN1179-AP1179</f>
      </c>
    </row>
    <row r="1180" spans="1:50" ht="15" hidden="1" customHeight="1" x14ac:dyDescent="0.3">
      <c r="A1180" s="94" t="s">
        <v>82</v>
      </c>
      <c r="B1180" s="94"/>
      <c r="C1180" s="94"/>
      <c r="D1180" s="94"/>
      <c r="E1180" s="94"/>
      <c r="F1180" s="94"/>
      <c r="G1180" s="112">
        <f>AU1180</f>
      </c>
      <c r="H1180" s="113"/>
      <c r="I1180" s="94" t="s">
        <v>83</v>
      </c>
      <c r="J1180" s="94" t="s">
        <v>520</v>
      </c>
      <c r="K1180" s="114">
        <f>P1180/3</f>
      </c>
      <c r="L1180" s="115">
        <v>2044.258</v>
      </c>
      <c r="M1180" s="116"/>
      <c r="N1180" s="117">
        <f>M1180-L1180</f>
      </c>
      <c r="O1180" s="112"/>
      <c r="P1180" s="118">
        <f>N1180+O1180</f>
      </c>
      <c r="Q1180" s="94" t="s">
        <v>853</v>
      </c>
      <c r="R1180" s="94" t="s">
        <v>63</v>
      </c>
      <c r="S1180" s="119">
        <v>46334</v>
      </c>
      <c r="T1180" s="119"/>
      <c r="U1180" s="119">
        <v>46334</v>
      </c>
      <c r="V1180" s="94"/>
      <c r="W1180" s="94"/>
      <c r="X1180" s="94"/>
      <c r="Y1180" s="119">
        <v>46334</v>
      </c>
      <c r="Z1180" s="94"/>
      <c r="AA1180" s="120"/>
      <c r="AB1180" s="120"/>
      <c r="AC1180" s="120"/>
      <c r="AD1180" s="120"/>
      <c r="AE1180" s="120"/>
      <c r="AF1180" s="120"/>
      <c r="AG1180" s="94"/>
      <c r="AH1180" s="120"/>
      <c r="AI1180" s="94"/>
      <c r="AJ1180" s="94" t="s">
        <v>798</v>
      </c>
      <c r="AK1180" s="94" t="s">
        <v>710</v>
      </c>
      <c r="AL1180" s="94">
        <v>160</v>
      </c>
      <c r="AM1180" s="94" t="str">
        <f>TRIM(AJ1180)&amp;TRIM(AL1180)&amp;TRIM(AK1180)</f>
      </c>
      <c r="AN1180" s="116">
        <v>0</v>
      </c>
      <c r="AO1180" s="116" t="inlineStr">
        <is>
          <t>#NA</t>
        </is>
      </c>
      <c r="AP1180" s="116">
        <f>SUMIFS(M:M,AM:AM,AM1180)+SUMIFS(O:O,AM:AM,AM1180)</f>
      </c>
      <c r="AQ1180" s="116">
        <f>SUMIFS(L:L,AM:AM,AM1180)</f>
      </c>
      <c r="AR1180" s="116">
        <f>AQ1180-AP1180</f>
      </c>
      <c r="AS1180" s="94" t="str">
        <f>IF(AN1180&gt;=AQ1180,"ok","ck")</f>
      </c>
      <c r="AT1180" s="116">
        <f>-P1180</f>
      </c>
      <c r="AU1180" s="115">
        <f>IF(SUMIFS(AT:AT,AM:AM,AM1180)&gt;AO1180,(SUMIFS(AT:AT,AM:AM,AM1180)-AO1180))</f>
      </c>
      <c r="AV1180" s="116">
        <v>0</v>
      </c>
      <c r="AW1180" s="121">
        <v>0</v>
      </c>
      <c r="AX1180" s="115">
        <f>AN1180-AP1180</f>
      </c>
    </row>
    <row r="1181" spans="1:50" ht="15" hidden="1" customHeight="1" x14ac:dyDescent="0.3">
      <c r="A1181" s="94" t="s">
        <v>82</v>
      </c>
      <c r="B1181" s="94"/>
      <c r="C1181" s="94"/>
      <c r="D1181" s="94"/>
      <c r="E1181" s="94"/>
      <c r="F1181" s="94"/>
      <c r="G1181" s="112">
        <f>AU1181</f>
      </c>
      <c r="H1181" s="113"/>
      <c r="I1181" s="94" t="s">
        <v>83</v>
      </c>
      <c r="J1181" s="94" t="s">
        <v>520</v>
      </c>
      <c r="K1181" s="114">
        <f>P1181/3</f>
      </c>
      <c r="L1181" s="115">
        <v>20.669</v>
      </c>
      <c r="M1181" s="116"/>
      <c r="N1181" s="117">
        <f>M1181-L1181</f>
      </c>
      <c r="O1181" s="112"/>
      <c r="P1181" s="118">
        <f>N1181+O1181</f>
      </c>
      <c r="Q1181" s="94" t="s">
        <v>853</v>
      </c>
      <c r="R1181" s="94" t="s">
        <v>63</v>
      </c>
      <c r="S1181" s="119">
        <v>46336</v>
      </c>
      <c r="T1181" s="119"/>
      <c r="U1181" s="119">
        <v>46336</v>
      </c>
      <c r="V1181" s="94"/>
      <c r="W1181" s="94"/>
      <c r="X1181" s="94"/>
      <c r="Y1181" s="119">
        <v>46336</v>
      </c>
      <c r="Z1181" s="94"/>
      <c r="AA1181" s="120"/>
      <c r="AB1181" s="120"/>
      <c r="AC1181" s="120"/>
      <c r="AD1181" s="120"/>
      <c r="AE1181" s="120"/>
      <c r="AF1181" s="120"/>
      <c r="AG1181" s="94"/>
      <c r="AH1181" s="120"/>
      <c r="AI1181" s="94"/>
      <c r="AJ1181" s="94" t="s">
        <v>798</v>
      </c>
      <c r="AK1181" s="94" t="s">
        <v>710</v>
      </c>
      <c r="AL1181" s="94">
        <v>160</v>
      </c>
      <c r="AM1181" s="94" t="str">
        <f>TRIM(AJ1181)&amp;TRIM(AL1181)&amp;TRIM(AK1181)</f>
      </c>
      <c r="AN1181" s="116">
        <v>0</v>
      </c>
      <c r="AO1181" s="116" t="inlineStr">
        <is>
          <t>#NA</t>
        </is>
      </c>
      <c r="AP1181" s="116">
        <f>SUMIFS(M:M,AM:AM,AM1181)+SUMIFS(O:O,AM:AM,AM1181)</f>
      </c>
      <c r="AQ1181" s="116">
        <f>SUMIFS(L:L,AM:AM,AM1181)</f>
      </c>
      <c r="AR1181" s="116">
        <f>AQ1181-AP1181</f>
      </c>
      <c r="AS1181" s="94" t="str">
        <f>IF(AN1181&gt;=AQ1181,"ok","ck")</f>
      </c>
      <c r="AT1181" s="116">
        <f>-P1181</f>
      </c>
      <c r="AU1181" s="115">
        <f>IF(SUMIFS(AT:AT,AM:AM,AM1181)&gt;AO1181,(SUMIFS(AT:AT,AM:AM,AM1181)-AO1181))</f>
      </c>
      <c r="AV1181" s="116">
        <v>0</v>
      </c>
      <c r="AW1181" s="121">
        <v>0</v>
      </c>
      <c r="AX1181" s="115">
        <f>AN1181-AP1181</f>
      </c>
    </row>
    <row r="1182" spans="1:50" ht="15" hidden="1" customHeight="1" x14ac:dyDescent="0.3">
      <c r="A1182" s="94" t="s">
        <v>268</v>
      </c>
      <c r="B1182" s="94"/>
      <c r="C1182" s="94"/>
      <c r="D1182" s="94"/>
      <c r="E1182" s="94"/>
      <c r="F1182" s="94"/>
      <c r="G1182" s="112">
        <f>AU1182</f>
      </c>
      <c r="H1182" s="113"/>
      <c r="I1182" s="94" t="s">
        <v>278</v>
      </c>
      <c r="J1182" s="94" t="s">
        <v>328</v>
      </c>
      <c r="K1182" s="114">
        <f>P1182/3</f>
      </c>
      <c r="L1182" s="115">
        <v>0</v>
      </c>
      <c r="M1182" s="116"/>
      <c r="N1182" s="117">
        <f>M1182-L1182</f>
      </c>
      <c r="O1182" s="112"/>
      <c r="P1182" s="118">
        <f>N1182+O1182</f>
      </c>
      <c r="Q1182" s="94" t="s">
        <v>305</v>
      </c>
      <c r="R1182" s="94" t="s">
        <v>63</v>
      </c>
      <c r="S1182" s="119">
        <v>46322</v>
      </c>
      <c r="T1182" s="119"/>
      <c r="U1182" s="119">
        <v>46322</v>
      </c>
      <c r="V1182" s="94"/>
      <c r="W1182" s="94"/>
      <c r="X1182" s="94"/>
      <c r="Y1182" s="119">
        <v>46322</v>
      </c>
      <c r="Z1182" s="94"/>
      <c r="AA1182" s="120"/>
      <c r="AB1182" s="120"/>
      <c r="AC1182" s="120"/>
      <c r="AD1182" s="120"/>
      <c r="AE1182" s="120"/>
      <c r="AF1182" s="120"/>
      <c r="AG1182" s="94"/>
      <c r="AH1182" s="120"/>
      <c r="AI1182" s="94"/>
      <c r="AJ1182" s="94" t="s">
        <v>305</v>
      </c>
      <c r="AK1182" s="94" t="s">
        <v>329</v>
      </c>
      <c r="AL1182" s="94">
        <v>120</v>
      </c>
      <c r="AM1182" s="94" t="str">
        <f>TRIM(AJ1182)&amp;TRIM(AL1182)&amp;TRIM(AK1182)</f>
      </c>
      <c r="AN1182" s="116">
        <v>0</v>
      </c>
      <c r="AO1182" s="116" t="inlineStr">
        <is>
          <t>#NA</t>
        </is>
      </c>
      <c r="AP1182" s="116">
        <f>SUMIFS(M:M,AM:AM,AM1182)+SUMIFS(O:O,AM:AM,AM1182)</f>
      </c>
      <c r="AQ1182" s="116">
        <f>SUMIFS(L:L,AM:AM,AM1182)</f>
      </c>
      <c r="AR1182" s="116">
        <f>AQ1182-AP1182</f>
      </c>
      <c r="AS1182" s="94" t="str">
        <f>IF(AN1182&gt;=AQ1182,"ok","ck")</f>
      </c>
      <c r="AT1182" s="116">
        <f>-P1182</f>
      </c>
      <c r="AU1182" s="115">
        <f>IF(SUMIFS(AT:AT,AM:AM,AM1182)&gt;AO1182,(SUMIFS(AT:AT,AM:AM,AM1182)-AO1182))</f>
      </c>
      <c r="AV1182" s="116">
        <v>0</v>
      </c>
      <c r="AW1182" s="121">
        <v>0</v>
      </c>
      <c r="AX1182" s="115">
        <f>AN1182-AP1182</f>
      </c>
    </row>
    <row r="1183" spans="1:50" ht="15" hidden="1" customHeight="1" x14ac:dyDescent="0.3">
      <c r="A1183" s="94" t="s">
        <v>268</v>
      </c>
      <c r="B1183" s="94"/>
      <c r="C1183" s="94"/>
      <c r="D1183" s="94"/>
      <c r="E1183" s="94"/>
      <c r="F1183" s="94"/>
      <c r="G1183" s="112">
        <f>AU1183</f>
      </c>
      <c r="H1183" s="113"/>
      <c r="I1183" s="94" t="s">
        <v>278</v>
      </c>
      <c r="J1183" s="94" t="s">
        <v>326</v>
      </c>
      <c r="K1183" s="114">
        <f>P1183/3</f>
      </c>
      <c r="L1183" s="115">
        <v>7.8170000000000002</v>
      </c>
      <c r="M1183" s="116"/>
      <c r="N1183" s="117">
        <f>M1183-L1183</f>
      </c>
      <c r="O1183" s="112"/>
      <c r="P1183" s="118">
        <f>N1183+O1183</f>
      </c>
      <c r="Q1183" s="94" t="s">
        <v>305</v>
      </c>
      <c r="R1183" s="94" t="s">
        <v>63</v>
      </c>
      <c r="S1183" s="119">
        <v>46342</v>
      </c>
      <c r="T1183" s="119"/>
      <c r="U1183" s="119" t="s">
        <v>635</v>
      </c>
      <c r="V1183" s="94"/>
      <c r="W1183" s="94"/>
      <c r="X1183" s="94"/>
      <c r="Y1183" s="119">
        <v>46327</v>
      </c>
      <c r="Z1183" s="94"/>
      <c r="AA1183" s="120"/>
      <c r="AB1183" s="120"/>
      <c r="AC1183" s="120"/>
      <c r="AD1183" s="120"/>
      <c r="AE1183" s="120"/>
      <c r="AF1183" s="120"/>
      <c r="AG1183" s="94"/>
      <c r="AH1183" s="120"/>
      <c r="AI1183" s="94"/>
      <c r="AJ1183" s="94" t="s">
        <v>305</v>
      </c>
      <c r="AK1183" s="94" t="s">
        <v>327</v>
      </c>
      <c r="AL1183" s="94">
        <v>120</v>
      </c>
      <c r="AM1183" s="94" t="str">
        <f>TRIM(AJ1183)&amp;TRIM(AL1183)&amp;TRIM(AK1183)</f>
      </c>
      <c r="AN1183" s="116">
        <v>0</v>
      </c>
      <c r="AO1183" s="116" t="inlineStr">
        <is>
          <t>#NA</t>
        </is>
      </c>
      <c r="AP1183" s="116">
        <f>SUMIFS(M:M,AM:AM,AM1183)+SUMIFS(O:O,AM:AM,AM1183)</f>
      </c>
      <c r="AQ1183" s="116">
        <f>SUMIFS(L:L,AM:AM,AM1183)</f>
      </c>
      <c r="AR1183" s="116">
        <f>AQ1183-AP1183</f>
      </c>
      <c r="AS1183" s="94" t="str">
        <f>IF(AN1183&gt;=AQ1183,"ok","ck")</f>
      </c>
      <c r="AT1183" s="116">
        <f>-P1183</f>
      </c>
      <c r="AU1183" s="115">
        <f>IF(SUMIFS(AT:AT,AM:AM,AM1183)&gt;AO1183,(SUMIFS(AT:AT,AM:AM,AM1183)-AO1183))</f>
      </c>
      <c r="AV1183" s="116">
        <v>0</v>
      </c>
      <c r="AW1183" s="121">
        <v>0</v>
      </c>
      <c r="AX1183" s="115">
        <f>AN1183-AP1183</f>
      </c>
    </row>
    <row r="1184" spans="1:50" ht="15" customHeight="1" x14ac:dyDescent="0.3">
      <c r="A1184" s="94" t="s">
        <v>862</v>
      </c>
      <c r="B1184" s="94"/>
      <c r="C1184" s="94"/>
      <c r="D1184" s="94"/>
      <c r="E1184" s="94"/>
      <c r="F1184" s="94"/>
      <c r="G1184" s="112">
        <f>AU1184</f>
      </c>
      <c r="H1184" s="113"/>
      <c r="I1184" s="94" t="s">
        <v>390</v>
      </c>
      <c r="J1184" s="94" t="s">
        <v>267</v>
      </c>
      <c r="K1184" s="114">
        <f>P1184/3</f>
      </c>
      <c r="L1184" s="115">
        <v>2299.143</v>
      </c>
      <c r="M1184" s="116"/>
      <c r="N1184" s="117">
        <f>M1184-L1184</f>
      </c>
      <c r="O1184" s="112"/>
      <c r="P1184" s="118">
        <f>N1184+O1184</f>
      </c>
      <c r="Q1184" s="94"/>
      <c r="R1184" s="94" t="s">
        <v>63</v>
      </c>
      <c r="S1184" s="119">
        <v>46338</v>
      </c>
      <c r="T1184" s="119"/>
      <c r="U1184" s="119" t="s">
        <v>631</v>
      </c>
      <c r="V1184" s="94"/>
      <c r="W1184" s="94"/>
      <c r="X1184" s="94"/>
      <c r="Y1184" s="119">
        <v>46320</v>
      </c>
      <c r="Z1184" s="94"/>
      <c r="AA1184" s="120"/>
      <c r="AB1184" s="120"/>
      <c r="AC1184" s="120"/>
      <c r="AD1184" s="120"/>
      <c r="AE1184" s="120"/>
      <c r="AF1184" s="120"/>
      <c r="AG1184" s="94"/>
      <c r="AH1184" s="120"/>
      <c r="AI1184" s="94"/>
      <c r="AJ1184" s="94"/>
      <c r="AK1184" s="94"/>
      <c r="AL1184" s="94">
        <v>140</v>
      </c>
      <c r="AM1184" s="94" t="str">
        <f>TRIM(AJ1184)&amp;TRIM(AL1184)&amp;TRIM(AK1184)</f>
      </c>
      <c r="AN1184" s="116">
        <v>0</v>
      </c>
      <c r="AO1184" s="116" t="inlineStr">
        <is>
          <t>#NA</t>
        </is>
      </c>
      <c r="AP1184" s="116">
        <f>SUMIFS(M:M,AM:AM,AM1184)+SUMIFS(O:O,AM:AM,AM1184)</f>
      </c>
      <c r="AQ1184" s="116">
        <f>SUMIFS(L:L,AM:AM,AM1184)</f>
      </c>
      <c r="AR1184" s="116">
        <f>AQ1184-AP1184</f>
      </c>
      <c r="AS1184" s="94" t="str">
        <f>IF(AN1184&gt;=AQ1184,"ok","ck")</f>
      </c>
      <c r="AT1184" s="116">
        <f>-P1184</f>
      </c>
      <c r="AU1184" s="115">
        <f>IF(SUMIFS(AT:AT,AM:AM,AM1184)&gt;AO1184,(SUMIFS(AT:AT,AM:AM,AM1184)-AO1184))</f>
      </c>
      <c r="AV1184" s="116" t="e">
        <v>#N/A</v>
      </c>
      <c r="AW1184" s="121" t="e">
        <v>#N/A</v>
      </c>
      <c r="AX1184" s="115">
        <f>AN1184-AP1184</f>
      </c>
    </row>
    <row r="1185" spans="1:50" ht="15" customHeight="1" x14ac:dyDescent="0.3">
      <c r="A1185" s="94" t="s">
        <v>862</v>
      </c>
      <c r="B1185" s="94"/>
      <c r="C1185" s="94"/>
      <c r="D1185" s="94"/>
      <c r="E1185" s="94"/>
      <c r="F1185" s="94"/>
      <c r="G1185" s="112">
        <f>AU1185</f>
      </c>
      <c r="H1185" s="113"/>
      <c r="I1185" s="94" t="s">
        <v>390</v>
      </c>
      <c r="J1185" s="94" t="s">
        <v>267</v>
      </c>
      <c r="K1185" s="114">
        <f>P1185/3</f>
      </c>
      <c r="L1185" s="115">
        <v>2299.143</v>
      </c>
      <c r="M1185" s="116"/>
      <c r="N1185" s="117">
        <f>M1185-L1185</f>
      </c>
      <c r="O1185" s="112"/>
      <c r="P1185" s="118">
        <f>N1185+O1185</f>
      </c>
      <c r="Q1185" s="94"/>
      <c r="R1185" s="94" t="s">
        <v>63</v>
      </c>
      <c r="S1185" s="119">
        <v>46340</v>
      </c>
      <c r="T1185" s="119"/>
      <c r="U1185" s="119" t="s">
        <v>631</v>
      </c>
      <c r="V1185" s="94"/>
      <c r="W1185" s="94"/>
      <c r="X1185" s="94"/>
      <c r="Y1185" s="119">
        <v>46320</v>
      </c>
      <c r="Z1185" s="94"/>
      <c r="AA1185" s="120"/>
      <c r="AB1185" s="120"/>
      <c r="AC1185" s="120"/>
      <c r="AD1185" s="120"/>
      <c r="AE1185" s="120"/>
      <c r="AF1185" s="120"/>
      <c r="AG1185" s="94"/>
      <c r="AH1185" s="120"/>
      <c r="AI1185" s="94"/>
      <c r="AJ1185" s="94"/>
      <c r="AK1185" s="94"/>
      <c r="AL1185" s="94">
        <v>140</v>
      </c>
      <c r="AM1185" s="94" t="str">
        <f>TRIM(AJ1185)&amp;TRIM(AL1185)&amp;TRIM(AK1185)</f>
      </c>
      <c r="AN1185" s="116">
        <v>0</v>
      </c>
      <c r="AO1185" s="116" t="inlineStr">
        <is>
          <t>#NA</t>
        </is>
      </c>
      <c r="AP1185" s="116">
        <f>SUMIFS(M:M,AM:AM,AM1185)+SUMIFS(O:O,AM:AM,AM1185)</f>
      </c>
      <c r="AQ1185" s="116">
        <f>SUMIFS(L:L,AM:AM,AM1185)</f>
      </c>
      <c r="AR1185" s="116">
        <f>AQ1185-AP1185</f>
      </c>
      <c r="AS1185" s="94" t="str">
        <f>IF(AN1185&gt;=AQ1185,"ok","ck")</f>
      </c>
      <c r="AT1185" s="116">
        <f>-P1185</f>
      </c>
      <c r="AU1185" s="115">
        <f>IF(SUMIFS(AT:AT,AM:AM,AM1185)&gt;AO1185,(SUMIFS(AT:AT,AM:AM,AM1185)-AO1185))</f>
      </c>
      <c r="AV1185" s="116" t="e">
        <v>#N/A</v>
      </c>
      <c r="AW1185" s="121" t="e">
        <v>#N/A</v>
      </c>
      <c r="AX1185" s="115">
        <f>AN1185-AP1185</f>
      </c>
    </row>
    <row r="1186" spans="1:50" ht="15" hidden="1" customHeight="1" x14ac:dyDescent="0.3">
      <c r="A1186" s="94" t="s">
        <v>268</v>
      </c>
      <c r="B1186" s="94"/>
      <c r="C1186" s="94"/>
      <c r="D1186" s="94"/>
      <c r="E1186" s="94"/>
      <c r="F1186" s="94"/>
      <c r="G1186" s="112">
        <f>AU1186</f>
      </c>
      <c r="H1186" s="113"/>
      <c r="I1186" s="94" t="s">
        <v>278</v>
      </c>
      <c r="J1186" s="94" t="s">
        <v>355</v>
      </c>
      <c r="K1186" s="114">
        <f>P1186/3</f>
      </c>
      <c r="L1186" s="115">
        <v>1</v>
      </c>
      <c r="M1186" s="116">
        <f>L1186</f>
      </c>
      <c r="N1186" s="117">
        <f>M1186-L1186</f>
      </c>
      <c r="O1186" s="112"/>
      <c r="P1186" s="118">
        <f>N1186+O1186</f>
      </c>
      <c r="Q1186" s="94" t="s">
        <v>316</v>
      </c>
      <c r="R1186" s="94" t="s">
        <v>63</v>
      </c>
      <c r="S1186" s="119">
        <v>46320</v>
      </c>
      <c r="T1186" s="119"/>
      <c r="U1186" s="120">
        <v>46320</v>
      </c>
      <c r="V1186" s="94"/>
      <c r="W1186" s="94"/>
      <c r="X1186" s="94"/>
      <c r="Y1186" s="119">
        <v>46320</v>
      </c>
      <c r="Z1186" s="94"/>
      <c r="AA1186" s="120"/>
      <c r="AB1186" s="120"/>
      <c r="AC1186" s="120"/>
      <c r="AD1186" s="120"/>
      <c r="AE1186" s="120"/>
      <c r="AF1186" s="120"/>
      <c r="AG1186" s="94"/>
      <c r="AH1186" s="120"/>
      <c r="AI1186" s="94"/>
      <c r="AJ1186" s="94" t="s">
        <v>316</v>
      </c>
      <c r="AK1186" s="94" t="s">
        <v>356</v>
      </c>
      <c r="AL1186" s="94">
        <v>120</v>
      </c>
      <c r="AM1186" s="94" t="str">
        <f>TRIM(AJ1186)&amp;TRIM(AL1186)&amp;TRIM(AK1186)</f>
      </c>
      <c r="AN1186" s="116">
        <v>660</v>
      </c>
      <c r="AO1186" s="116">
        <v>-4.39</v>
      </c>
      <c r="AP1186" s="116">
        <f>SUMIFS(M:M,AM:AM,AM1186)+SUMIFS(O:O,AM:AM,AM1186)</f>
      </c>
      <c r="AQ1186" s="116">
        <f>SUMIFS(L:L,AM:AM,AM1186)</f>
      </c>
      <c r="AR1186" s="116">
        <f>AQ1186-AP1186</f>
      </c>
      <c r="AS1186" s="94" t="str">
        <f>IF(AN1186&gt;=AQ1186,"ok","ck")</f>
      </c>
      <c r="AT1186" s="116">
        <f>-P1186</f>
      </c>
      <c r="AU1186" s="115">
        <f>IF(SUMIFS(AT:AT,AM:AM,AM1186)&gt;AO1186,(SUMIFS(AT:AT,AM:AM,AM1186)-AO1186))</f>
      </c>
      <c r="AV1186" s="116">
        <v>655</v>
      </c>
      <c r="AW1186" s="121">
        <v>1.004</v>
      </c>
      <c r="AX1186" s="115">
        <f>AN1186-AP1186</f>
      </c>
    </row>
    <row r="1187" spans="1:50" ht="15" customHeight="1" x14ac:dyDescent="0.3">
      <c r="A1187" s="94" t="s">
        <v>862</v>
      </c>
      <c r="B1187" s="94"/>
      <c r="C1187" s="94"/>
      <c r="D1187" s="94"/>
      <c r="E1187" s="94"/>
      <c r="F1187" s="94"/>
      <c r="G1187" s="112">
        <f>AU1187</f>
      </c>
      <c r="H1187" s="113"/>
      <c r="I1187" s="94" t="s">
        <v>278</v>
      </c>
      <c r="J1187" s="94" t="s">
        <v>281</v>
      </c>
      <c r="K1187" s="114">
        <f>P1187/3</f>
      </c>
      <c r="L1187" s="115">
        <v>156.471</v>
      </c>
      <c r="M1187" s="116"/>
      <c r="N1187" s="117">
        <f>M1187-L1187</f>
      </c>
      <c r="O1187" s="112"/>
      <c r="P1187" s="118">
        <f>N1187+O1187</f>
      </c>
      <c r="Q1187" s="94"/>
      <c r="R1187" s="94" t="s">
        <v>63</v>
      </c>
      <c r="S1187" s="119">
        <v>46341</v>
      </c>
      <c r="T1187" s="119"/>
      <c r="U1187" s="120" t="s">
        <v>632</v>
      </c>
      <c r="V1187" s="94"/>
      <c r="W1187" s="94"/>
      <c r="X1187" s="94"/>
      <c r="Y1187" s="119">
        <v>46324</v>
      </c>
      <c r="Z1187" s="94"/>
      <c r="AA1187" s="120"/>
      <c r="AB1187" s="120"/>
      <c r="AC1187" s="120"/>
      <c r="AD1187" s="120"/>
      <c r="AE1187" s="120"/>
      <c r="AF1187" s="120"/>
      <c r="AG1187" s="94"/>
      <c r="AH1187" s="120"/>
      <c r="AI1187" s="94"/>
      <c r="AJ1187" s="94"/>
      <c r="AK1187" s="94"/>
      <c r="AL1187" s="94">
        <v>120</v>
      </c>
      <c r="AM1187" s="94" t="str">
        <f>TRIM(AJ1187)&amp;TRIM(AL1187)&amp;TRIM(AK1187)</f>
      </c>
      <c r="AN1187" s="116">
        <v>0</v>
      </c>
      <c r="AO1187" s="116" t="inlineStr">
        <is>
          <t>#NA</t>
        </is>
      </c>
      <c r="AP1187" s="116">
        <f>SUMIFS(M:M,AM:AM,AM1187)+SUMIFS(O:O,AM:AM,AM1187)</f>
      </c>
      <c r="AQ1187" s="116">
        <f>SUMIFS(L:L,AM:AM,AM1187)</f>
      </c>
      <c r="AR1187" s="116">
        <f>AQ1187-AP1187</f>
      </c>
      <c r="AS1187" s="94" t="str">
        <f>IF(AN1187&gt;=AQ1187,"ok","ck")</f>
      </c>
      <c r="AT1187" s="116">
        <f>-P1187</f>
      </c>
      <c r="AU1187" s="115">
        <f>IF(SUMIFS(AT:AT,AM:AM,AM1187)&gt;AO1187,(SUMIFS(AT:AT,AM:AM,AM1187)-AO1187))</f>
      </c>
      <c r="AV1187" s="116" t="e">
        <v>#N/A</v>
      </c>
      <c r="AW1187" s="121" t="e">
        <v>#N/A</v>
      </c>
      <c r="AX1187" s="115">
        <f>AN1187-AP1187</f>
      </c>
    </row>
    <row r="1188" spans="1:50" ht="15" hidden="1" customHeight="1" x14ac:dyDescent="0.3">
      <c r="A1188" s="94" t="s">
        <v>60</v>
      </c>
      <c r="B1188" s="94"/>
      <c r="C1188" s="94"/>
      <c r="D1188" s="94"/>
      <c r="E1188" s="94"/>
      <c r="F1188" s="94"/>
      <c r="G1188" s="112">
        <f>AU1188</f>
      </c>
      <c r="H1188" s="113"/>
      <c r="I1188" s="94" t="s">
        <v>65</v>
      </c>
      <c r="J1188" s="94" t="s">
        <v>122</v>
      </c>
      <c r="K1188" s="114">
        <f>P1188/3</f>
      </c>
      <c r="L1188" s="115">
        <v>-4.9550000000000001</v>
      </c>
      <c r="M1188" s="116">
        <f>L1188</f>
      </c>
      <c r="N1188" s="117">
        <f>M1188-L1188</f>
      </c>
      <c r="O1188" s="112"/>
      <c r="P1188" s="118">
        <f>N1188+O1188</f>
      </c>
      <c r="Q1188" s="94" t="s">
        <v>792</v>
      </c>
      <c r="R1188" s="94" t="s">
        <v>63</v>
      </c>
      <c r="S1188" s="119">
        <v>46336</v>
      </c>
      <c r="T1188" s="119"/>
      <c r="U1188" s="120">
        <v>46336</v>
      </c>
      <c r="V1188" s="94"/>
      <c r="W1188" s="94"/>
      <c r="X1188" s="94"/>
      <c r="Y1188" s="119">
        <v>46336</v>
      </c>
      <c r="Z1188" s="94"/>
      <c r="AA1188" s="120"/>
      <c r="AB1188" s="120"/>
      <c r="AC1188" s="120"/>
      <c r="AD1188" s="120"/>
      <c r="AE1188" s="120"/>
      <c r="AF1188" s="120"/>
      <c r="AG1188" s="94"/>
      <c r="AH1188" s="120"/>
      <c r="AI1188" s="94"/>
      <c r="AJ1188" s="94" t="s">
        <v>792</v>
      </c>
      <c r="AK1188" s="94" t="s">
        <v>741</v>
      </c>
      <c r="AL1188" s="94">
        <v>110</v>
      </c>
      <c r="AM1188" s="94" t="str">
        <f>TRIM(AJ1188)&amp;TRIM(AL1188)&amp;TRIM(AK1188)</f>
      </c>
      <c r="AN1188" s="116">
        <v>1339</v>
      </c>
      <c r="AO1188" s="116">
        <v>-29.01</v>
      </c>
      <c r="AP1188" s="116">
        <f>SUMIFS(M:M,AM:AM,AM1188)+SUMIFS(O:O,AM:AM,AM1188)</f>
      </c>
      <c r="AQ1188" s="116">
        <f>SUMIFS(L:L,AM:AM,AM1188)</f>
      </c>
      <c r="AR1188" s="116">
        <f>AQ1188-AP1188</f>
      </c>
      <c r="AS1188" s="94" t="str">
        <f>IF(AN1188&gt;=AQ1188,"ok","ck")</f>
      </c>
      <c r="AT1188" s="116">
        <f>-P1188</f>
      </c>
      <c r="AU1188" s="115">
        <f>IF(SUMIFS(AT:AT,AM:AM,AM1188)&gt;AO1188,(SUMIFS(AT:AT,AM:AM,AM1188)-AO1188))</f>
      </c>
      <c r="AV1188" s="116">
        <v>617</v>
      </c>
      <c r="AW1188" s="121">
        <v>1.031</v>
      </c>
      <c r="AX1188" s="115">
        <f>AN1188-AP1188</f>
      </c>
    </row>
    <row r="1189" spans="1:50" ht="15" hidden="1" customHeight="1" x14ac:dyDescent="0.3">
      <c r="A1189" s="94" t="s">
        <v>60</v>
      </c>
      <c r="B1189" s="94"/>
      <c r="C1189" s="94"/>
      <c r="D1189" s="94"/>
      <c r="E1189" s="94"/>
      <c r="F1189" s="94"/>
      <c r="G1189" s="112">
        <f>AU1189</f>
      </c>
      <c r="H1189" s="113"/>
      <c r="I1189" s="94" t="s">
        <v>65</v>
      </c>
      <c r="J1189" s="94" t="s">
        <v>122</v>
      </c>
      <c r="K1189" s="114">
        <f>P1189/3</f>
      </c>
      <c r="L1189" s="115">
        <v>-10.589</v>
      </c>
      <c r="M1189" s="116">
        <f>L1189</f>
      </c>
      <c r="N1189" s="117">
        <f>M1189-L1189</f>
      </c>
      <c r="O1189" s="112"/>
      <c r="P1189" s="118">
        <f>N1189+O1189</f>
      </c>
      <c r="Q1189" s="94" t="s">
        <v>792</v>
      </c>
      <c r="R1189" s="94" t="s">
        <v>63</v>
      </c>
      <c r="S1189" s="119">
        <v>46331</v>
      </c>
      <c r="T1189" s="119"/>
      <c r="U1189" s="120">
        <v>46331</v>
      </c>
      <c r="V1189" s="94"/>
      <c r="W1189" s="94"/>
      <c r="X1189" s="94"/>
      <c r="Y1189" s="119">
        <v>46331</v>
      </c>
      <c r="Z1189" s="94"/>
      <c r="AA1189" s="120"/>
      <c r="AB1189" s="120"/>
      <c r="AC1189" s="120"/>
      <c r="AD1189" s="120"/>
      <c r="AE1189" s="120"/>
      <c r="AF1189" s="120"/>
      <c r="AG1189" s="94"/>
      <c r="AH1189" s="120"/>
      <c r="AI1189" s="94"/>
      <c r="AJ1189" s="94" t="s">
        <v>792</v>
      </c>
      <c r="AK1189" s="94" t="s">
        <v>741</v>
      </c>
      <c r="AL1189" s="94">
        <v>110</v>
      </c>
      <c r="AM1189" s="94" t="str">
        <f>TRIM(AJ1189)&amp;TRIM(AL1189)&amp;TRIM(AK1189)</f>
      </c>
      <c r="AN1189" s="116">
        <v>1339</v>
      </c>
      <c r="AO1189" s="116">
        <v>-29.01</v>
      </c>
      <c r="AP1189" s="116">
        <f>SUMIFS(M:M,AM:AM,AM1189)+SUMIFS(O:O,AM:AM,AM1189)</f>
      </c>
      <c r="AQ1189" s="116">
        <f>SUMIFS(L:L,AM:AM,AM1189)</f>
      </c>
      <c r="AR1189" s="116">
        <f>AQ1189-AP1189</f>
      </c>
      <c r="AS1189" s="94" t="str">
        <f>IF(AN1189&gt;=AQ1189,"ok","ck")</f>
      </c>
      <c r="AT1189" s="116">
        <f>-P1189</f>
      </c>
      <c r="AU1189" s="115">
        <f>IF(SUMIFS(AT:AT,AM:AM,AM1189)&gt;AO1189,(SUMIFS(AT:AT,AM:AM,AM1189)-AO1189))</f>
      </c>
      <c r="AV1189" s="116">
        <v>617</v>
      </c>
      <c r="AW1189" s="121">
        <v>1.031</v>
      </c>
      <c r="AX1189" s="115">
        <f>AN1189-AP1189</f>
      </c>
    </row>
    <row r="1190" spans="1:50" ht="15" hidden="1" customHeight="1" x14ac:dyDescent="0.3">
      <c r="A1190" s="94" t="s">
        <v>60</v>
      </c>
      <c r="B1190" s="94"/>
      <c r="C1190" s="94"/>
      <c r="D1190" s="94"/>
      <c r="E1190" s="94"/>
      <c r="F1190" s="94"/>
      <c r="G1190" s="112">
        <f>AU1190</f>
      </c>
      <c r="H1190" s="113"/>
      <c r="I1190" s="94" t="s">
        <v>65</v>
      </c>
      <c r="J1190" s="94" t="s">
        <v>122</v>
      </c>
      <c r="K1190" s="114">
        <f>P1190/3</f>
      </c>
      <c r="L1190" s="115">
        <v>-1.4999999999999999E-2</v>
      </c>
      <c r="M1190" s="116">
        <f>L1190</f>
      </c>
      <c r="N1190" s="117">
        <f>M1190-L1190</f>
      </c>
      <c r="O1190" s="112"/>
      <c r="P1190" s="118">
        <f>N1190+O1190</f>
      </c>
      <c r="Q1190" s="94" t="s">
        <v>792</v>
      </c>
      <c r="R1190" s="94" t="s">
        <v>63</v>
      </c>
      <c r="S1190" s="120">
        <v>46336</v>
      </c>
      <c r="T1190" s="120"/>
      <c r="U1190" s="120">
        <v>46336</v>
      </c>
      <c r="V1190" s="94"/>
      <c r="W1190" s="94"/>
      <c r="X1190" s="94"/>
      <c r="Y1190" s="119">
        <v>46336</v>
      </c>
      <c r="Z1190" s="94"/>
      <c r="AA1190" s="120"/>
      <c r="AB1190" s="120"/>
      <c r="AC1190" s="120"/>
      <c r="AD1190" s="120"/>
      <c r="AE1190" s="120"/>
      <c r="AF1190" s="120"/>
      <c r="AG1190" s="94"/>
      <c r="AH1190" s="120"/>
      <c r="AI1190" s="94"/>
      <c r="AJ1190" s="94" t="s">
        <v>792</v>
      </c>
      <c r="AK1190" s="94" t="s">
        <v>741</v>
      </c>
      <c r="AL1190" s="94">
        <v>110</v>
      </c>
      <c r="AM1190" s="94" t="str">
        <f>TRIM(AJ1190)&amp;TRIM(AL1190)&amp;TRIM(AK1190)</f>
      </c>
      <c r="AN1190" s="116">
        <v>1339</v>
      </c>
      <c r="AO1190" s="116">
        <v>-29.01</v>
      </c>
      <c r="AP1190" s="116">
        <f>SUMIFS(M:M,AM:AM,AM1190)+SUMIFS(O:O,AM:AM,AM1190)</f>
      </c>
      <c r="AQ1190" s="116">
        <f>SUMIFS(L:L,AM:AM,AM1190)</f>
      </c>
      <c r="AR1190" s="116">
        <f>AQ1190-AP1190</f>
      </c>
      <c r="AS1190" s="94" t="str">
        <f>IF(AN1190&gt;=AQ1190,"ok","ck")</f>
      </c>
      <c r="AT1190" s="116">
        <f>-P1190</f>
      </c>
      <c r="AU1190" s="115">
        <f>IF(SUMIFS(AT:AT,AM:AM,AM1190)&gt;AO1190,(SUMIFS(AT:AT,AM:AM,AM1190)-AO1190))</f>
      </c>
      <c r="AV1190" s="116">
        <v>617</v>
      </c>
      <c r="AW1190" s="121">
        <v>1.031</v>
      </c>
      <c r="AX1190" s="115">
        <f>AN1190-AP1190</f>
      </c>
    </row>
    <row r="1191" spans="1:50" ht="15" hidden="1" customHeight="1" x14ac:dyDescent="0.3">
      <c r="A1191" s="94" t="s">
        <v>60</v>
      </c>
      <c r="B1191" s="94"/>
      <c r="C1191" s="94"/>
      <c r="D1191" s="94"/>
      <c r="E1191" s="94"/>
      <c r="F1191" s="94"/>
      <c r="G1191" s="112">
        <f>AU1191</f>
      </c>
      <c r="H1191" s="113"/>
      <c r="I1191" s="94" t="s">
        <v>70</v>
      </c>
      <c r="J1191" s="94" t="s">
        <v>518</v>
      </c>
      <c r="K1191" s="114">
        <f>P1191/3</f>
      </c>
      <c r="L1191" s="115">
        <v>0</v>
      </c>
      <c r="M1191" s="116"/>
      <c r="N1191" s="117">
        <f>M1191-L1191</f>
      </c>
      <c r="O1191" s="112"/>
      <c r="P1191" s="118">
        <f>N1191+O1191</f>
      </c>
      <c r="Q1191" s="94" t="s">
        <v>792</v>
      </c>
      <c r="R1191" s="94" t="s">
        <v>63</v>
      </c>
      <c r="S1191" s="120">
        <v>46336</v>
      </c>
      <c r="T1191" s="120"/>
      <c r="U1191" s="120">
        <v>46336</v>
      </c>
      <c r="V1191" s="94"/>
      <c r="W1191" s="94"/>
      <c r="X1191" s="94"/>
      <c r="Y1191" s="119">
        <v>46336</v>
      </c>
      <c r="Z1191" s="94"/>
      <c r="AA1191" s="120"/>
      <c r="AB1191" s="120"/>
      <c r="AC1191" s="120"/>
      <c r="AD1191" s="120"/>
      <c r="AE1191" s="120"/>
      <c r="AF1191" s="120"/>
      <c r="AG1191" s="94"/>
      <c r="AH1191" s="120"/>
      <c r="AI1191" s="94"/>
      <c r="AJ1191" s="94" t="s">
        <v>792</v>
      </c>
      <c r="AK1191" s="94" t="s">
        <v>518</v>
      </c>
      <c r="AL1191" s="94">
        <v>140</v>
      </c>
      <c r="AM1191" s="94" t="str">
        <f>TRIM(AJ1191)&amp;TRIM(AL1191)&amp;TRIM(AK1191)</f>
      </c>
      <c r="AN1191" s="116">
        <v>3187.08</v>
      </c>
      <c r="AO1191" s="116">
        <v>344.92</v>
      </c>
      <c r="AP1191" s="116">
        <f>SUMIFS(M:M,AM:AM,AM1191)+SUMIFS(O:O,AM:AM,AM1191)</f>
      </c>
      <c r="AQ1191" s="116">
        <f>SUMIFS(L:L,AM:AM,AM1191)</f>
      </c>
      <c r="AR1191" s="116">
        <f>AQ1191-AP1191</f>
      </c>
      <c r="AS1191" s="94" t="str">
        <f>IF(AN1191&gt;=AQ1191,"ok","ck")</f>
      </c>
      <c r="AT1191" s="116">
        <f>-P1191</f>
      </c>
      <c r="AU1191" s="115">
        <f>IF(SUMIFS(AT:AT,AM:AM,AM1191)&gt;AO1191,(SUMIFS(AT:AT,AM:AM,AM1191)-AO1191))</f>
      </c>
      <c r="AV1191" s="116">
        <v>3187.08</v>
      </c>
      <c r="AW1191" s="121">
        <v>0.902</v>
      </c>
      <c r="AX1191" s="115">
        <f>AN1191-AP1191</f>
      </c>
    </row>
    <row r="1192" spans="1:50" ht="15" hidden="1" customHeight="1" x14ac:dyDescent="0.3">
      <c r="A1192" s="94" t="s">
        <v>60</v>
      </c>
      <c r="B1192" s="94"/>
      <c r="C1192" s="94"/>
      <c r="D1192" s="94"/>
      <c r="E1192" s="94"/>
      <c r="F1192" s="94"/>
      <c r="G1192" s="112">
        <f>AU1192</f>
      </c>
      <c r="H1192" s="113"/>
      <c r="I1192" s="94" t="s">
        <v>70</v>
      </c>
      <c r="J1192" s="94" t="s">
        <v>518</v>
      </c>
      <c r="K1192" s="114">
        <f>P1192/3</f>
      </c>
      <c r="L1192" s="115">
        <v>0</v>
      </c>
      <c r="M1192" s="116"/>
      <c r="N1192" s="117">
        <f>M1192-L1192</f>
      </c>
      <c r="O1192" s="112"/>
      <c r="P1192" s="118">
        <f>N1192+O1192</f>
      </c>
      <c r="Q1192" s="94" t="s">
        <v>792</v>
      </c>
      <c r="R1192" s="94" t="s">
        <v>63</v>
      </c>
      <c r="S1192" s="120">
        <v>46331</v>
      </c>
      <c r="T1192" s="120"/>
      <c r="U1192" s="120">
        <v>46331</v>
      </c>
      <c r="V1192" s="94"/>
      <c r="W1192" s="94"/>
      <c r="X1192" s="94"/>
      <c r="Y1192" s="119">
        <v>46331</v>
      </c>
      <c r="Z1192" s="94"/>
      <c r="AA1192" s="120"/>
      <c r="AB1192" s="120"/>
      <c r="AC1192" s="120"/>
      <c r="AD1192" s="120"/>
      <c r="AE1192" s="120"/>
      <c r="AF1192" s="120"/>
      <c r="AG1192" s="94"/>
      <c r="AH1192" s="120"/>
      <c r="AI1192" s="94"/>
      <c r="AJ1192" s="94" t="s">
        <v>792</v>
      </c>
      <c r="AK1192" s="94" t="s">
        <v>518</v>
      </c>
      <c r="AL1192" s="94">
        <v>140</v>
      </c>
      <c r="AM1192" s="94" t="str">
        <f>TRIM(AJ1192)&amp;TRIM(AL1192)&amp;TRIM(AK1192)</f>
      </c>
      <c r="AN1192" s="116">
        <v>3187.08</v>
      </c>
      <c r="AO1192" s="116">
        <v>344.92</v>
      </c>
      <c r="AP1192" s="116">
        <f>SUMIFS(M:M,AM:AM,AM1192)+SUMIFS(O:O,AM:AM,AM1192)</f>
      </c>
      <c r="AQ1192" s="116">
        <f>SUMIFS(L:L,AM:AM,AM1192)</f>
      </c>
      <c r="AR1192" s="116">
        <f>AQ1192-AP1192</f>
      </c>
      <c r="AS1192" s="94" t="str">
        <f>IF(AN1192&gt;=AQ1192,"ok","ck")</f>
      </c>
      <c r="AT1192" s="116">
        <f>-P1192</f>
      </c>
      <c r="AU1192" s="115">
        <f>IF(SUMIFS(AT:AT,AM:AM,AM1192)&gt;AO1192,(SUMIFS(AT:AT,AM:AM,AM1192)-AO1192))</f>
      </c>
      <c r="AV1192" s="116">
        <v>3187.08</v>
      </c>
      <c r="AW1192" s="121">
        <v>0.902</v>
      </c>
      <c r="AX1192" s="115">
        <f>AN1192-AP1192</f>
      </c>
    </row>
    <row r="1193" spans="1:50" ht="15" hidden="1" customHeight="1" x14ac:dyDescent="0.3">
      <c r="A1193" s="94" t="s">
        <v>82</v>
      </c>
      <c r="B1193" s="94"/>
      <c r="C1193" s="94"/>
      <c r="D1193" s="94"/>
      <c r="E1193" s="94"/>
      <c r="F1193" s="94"/>
      <c r="G1193" s="112">
        <f>AU1193</f>
      </c>
      <c r="H1193" s="113"/>
      <c r="I1193" s="94" t="s">
        <v>83</v>
      </c>
      <c r="J1193" s="94" t="s">
        <v>521</v>
      </c>
      <c r="K1193" s="114">
        <f>P1193/3</f>
      </c>
      <c r="L1193" s="115">
        <v>1622.92</v>
      </c>
      <c r="M1193" s="116"/>
      <c r="N1193" s="117">
        <f>M1193-L1193</f>
      </c>
      <c r="O1193" s="112"/>
      <c r="P1193" s="118">
        <f>N1193+O1193</f>
      </c>
      <c r="Q1193" s="94" t="s">
        <v>853</v>
      </c>
      <c r="R1193" s="94" t="s">
        <v>63</v>
      </c>
      <c r="S1193" s="120">
        <v>46348</v>
      </c>
      <c r="T1193" s="120"/>
      <c r="U1193" s="120" t="s">
        <v>642</v>
      </c>
      <c r="V1193" s="94"/>
      <c r="W1193" s="94"/>
      <c r="X1193" s="94"/>
      <c r="Y1193" s="119">
        <v>46334</v>
      </c>
      <c r="Z1193" s="94"/>
      <c r="AA1193" s="120"/>
      <c r="AB1193" s="120"/>
      <c r="AC1193" s="120"/>
      <c r="AD1193" s="120"/>
      <c r="AE1193" s="120"/>
      <c r="AF1193" s="120"/>
      <c r="AG1193" s="94"/>
      <c r="AH1193" s="120"/>
      <c r="AI1193" s="94"/>
      <c r="AJ1193" s="94" t="s">
        <v>798</v>
      </c>
      <c r="AK1193" s="94" t="s">
        <v>711</v>
      </c>
      <c r="AL1193" s="94">
        <v>160</v>
      </c>
      <c r="AM1193" s="94" t="str">
        <f>TRIM(AJ1193)&amp;TRIM(AL1193)&amp;TRIM(AK1193)</f>
      </c>
      <c r="AN1193" s="116">
        <v>0</v>
      </c>
      <c r="AO1193" s="116" t="inlineStr">
        <is>
          <t>#NA</t>
        </is>
      </c>
      <c r="AP1193" s="116">
        <f>SUMIFS(M:M,AM:AM,AM1193)+SUMIFS(O:O,AM:AM,AM1193)</f>
      </c>
      <c r="AQ1193" s="116">
        <f>SUMIFS(L:L,AM:AM,AM1193)</f>
      </c>
      <c r="AR1193" s="116">
        <f>AQ1193-AP1193</f>
      </c>
      <c r="AS1193" s="94" t="str">
        <f>IF(AN1193&gt;=AQ1193,"ok","ck")</f>
      </c>
      <c r="AT1193" s="116">
        <f>-P1193</f>
      </c>
      <c r="AU1193" s="115">
        <f>IF(SUMIFS(AT:AT,AM:AM,AM1193)&gt;AO1193,(SUMIFS(AT:AT,AM:AM,AM1193)-AO1193))</f>
      </c>
      <c r="AV1193" s="116">
        <v>0</v>
      </c>
      <c r="AW1193" s="121">
        <v>0</v>
      </c>
      <c r="AX1193" s="115">
        <f>AN1193-AP1193</f>
      </c>
    </row>
    <row r="1194" spans="1:50" ht="15" hidden="1" customHeight="1" x14ac:dyDescent="0.3">
      <c r="A1194" s="94" t="s">
        <v>82</v>
      </c>
      <c r="B1194" s="94"/>
      <c r="C1194" s="94"/>
      <c r="D1194" s="94"/>
      <c r="E1194" s="94"/>
      <c r="F1194" s="94"/>
      <c r="G1194" s="112">
        <f>AU1194</f>
      </c>
      <c r="H1194" s="113"/>
      <c r="I1194" s="94" t="s">
        <v>83</v>
      </c>
      <c r="J1194" s="94" t="s">
        <v>571</v>
      </c>
      <c r="K1194" s="114">
        <f>P1194/3</f>
      </c>
      <c r="L1194" s="115">
        <v>2300</v>
      </c>
      <c r="M1194" s="116"/>
      <c r="N1194" s="117">
        <f>M1194-L1194</f>
      </c>
      <c r="O1194" s="112"/>
      <c r="P1194" s="118">
        <f>N1194+O1194</f>
      </c>
      <c r="Q1194" s="94" t="s">
        <v>853</v>
      </c>
      <c r="R1194" s="94" t="s">
        <v>63</v>
      </c>
      <c r="S1194" s="120">
        <v>46347</v>
      </c>
      <c r="T1194" s="120"/>
      <c r="U1194" s="120" t="s">
        <v>656</v>
      </c>
      <c r="V1194" s="94"/>
      <c r="W1194" s="94"/>
      <c r="X1194" s="94"/>
      <c r="Y1194" s="119">
        <v>46341</v>
      </c>
      <c r="Z1194" s="94"/>
      <c r="AA1194" s="120"/>
      <c r="AB1194" s="120"/>
      <c r="AC1194" s="120"/>
      <c r="AD1194" s="120"/>
      <c r="AE1194" s="120"/>
      <c r="AF1194" s="120"/>
      <c r="AG1194" s="94"/>
      <c r="AH1194" s="120"/>
      <c r="AI1194" s="94"/>
      <c r="AJ1194" s="94" t="s">
        <v>798</v>
      </c>
      <c r="AK1194" s="94" t="s">
        <v>742</v>
      </c>
      <c r="AL1194" s="94">
        <v>160</v>
      </c>
      <c r="AM1194" s="94" t="str">
        <f>TRIM(AJ1194)&amp;TRIM(AL1194)&amp;TRIM(AK1194)</f>
      </c>
      <c r="AN1194" s="116">
        <v>3437.73</v>
      </c>
      <c r="AO1194" s="116">
        <v>29378.27</v>
      </c>
      <c r="AP1194" s="116">
        <f>SUMIFS(M:M,AM:AM,AM1194)+SUMIFS(O:O,AM:AM,AM1194)</f>
      </c>
      <c r="AQ1194" s="116">
        <f>SUMIFS(L:L,AM:AM,AM1194)</f>
      </c>
      <c r="AR1194" s="116">
        <f>AQ1194-AP1194</f>
      </c>
      <c r="AS1194" s="94" t="str">
        <f>IF(AN1194&gt;=AQ1194,"ok","ck")</f>
      </c>
      <c r="AT1194" s="116">
        <f>-P1194</f>
      </c>
      <c r="AU1194" s="115">
        <f>IF(SUMIFS(AT:AT,AM:AM,AM1194)&gt;AO1194,(SUMIFS(AT:AT,AM:AM,AM1194)-AO1194))</f>
      </c>
      <c r="AV1194" s="116">
        <v>3437.73</v>
      </c>
      <c r="AW1194" s="121">
        <v>0.105</v>
      </c>
      <c r="AX1194" s="115">
        <f>AN1194-AP1194</f>
      </c>
    </row>
    <row r="1195" spans="1:50" ht="15" hidden="1" customHeight="1" x14ac:dyDescent="0.3">
      <c r="A1195" s="94" t="s">
        <v>82</v>
      </c>
      <c r="B1195" s="94"/>
      <c r="C1195" s="94"/>
      <c r="D1195" s="94"/>
      <c r="E1195" s="94"/>
      <c r="F1195" s="94"/>
      <c r="G1195" s="112">
        <f>AU1195</f>
      </c>
      <c r="H1195" s="113"/>
      <c r="I1195" s="94" t="s">
        <v>83</v>
      </c>
      <c r="J1195" s="94" t="s">
        <v>571</v>
      </c>
      <c r="K1195" s="114">
        <f>P1195/3</f>
      </c>
      <c r="L1195" s="115">
        <v>2300</v>
      </c>
      <c r="M1195" s="116"/>
      <c r="N1195" s="117">
        <f>M1195-L1195</f>
      </c>
      <c r="O1195" s="112"/>
      <c r="P1195" s="118">
        <f>N1195+O1195</f>
      </c>
      <c r="Q1195" s="94" t="s">
        <v>853</v>
      </c>
      <c r="R1195" s="94" t="s">
        <v>63</v>
      </c>
      <c r="S1195" s="120">
        <v>46349</v>
      </c>
      <c r="T1195" s="120"/>
      <c r="U1195" s="120" t="s">
        <v>656</v>
      </c>
      <c r="V1195" s="94"/>
      <c r="W1195" s="94"/>
      <c r="X1195" s="94"/>
      <c r="Y1195" s="119">
        <v>46341</v>
      </c>
      <c r="Z1195" s="94"/>
      <c r="AA1195" s="120"/>
      <c r="AB1195" s="120"/>
      <c r="AC1195" s="120"/>
      <c r="AD1195" s="120"/>
      <c r="AE1195" s="120"/>
      <c r="AF1195" s="120"/>
      <c r="AG1195" s="94"/>
      <c r="AH1195" s="120"/>
      <c r="AI1195" s="94"/>
      <c r="AJ1195" s="94" t="s">
        <v>798</v>
      </c>
      <c r="AK1195" s="94" t="s">
        <v>742</v>
      </c>
      <c r="AL1195" s="94">
        <v>160</v>
      </c>
      <c r="AM1195" s="94" t="str">
        <f>TRIM(AJ1195)&amp;TRIM(AL1195)&amp;TRIM(AK1195)</f>
      </c>
      <c r="AN1195" s="116">
        <v>3437.73</v>
      </c>
      <c r="AO1195" s="116">
        <v>29378.27</v>
      </c>
      <c r="AP1195" s="116">
        <f>SUMIFS(M:M,AM:AM,AM1195)+SUMIFS(O:O,AM:AM,AM1195)</f>
      </c>
      <c r="AQ1195" s="116">
        <f>SUMIFS(L:L,AM:AM,AM1195)</f>
      </c>
      <c r="AR1195" s="116">
        <f>AQ1195-AP1195</f>
      </c>
      <c r="AS1195" s="94" t="str">
        <f>IF(AN1195&gt;=AQ1195,"ok","ck")</f>
      </c>
      <c r="AT1195" s="116">
        <f>-P1195</f>
      </c>
      <c r="AU1195" s="115">
        <f>IF(SUMIFS(AT:AT,AM:AM,AM1195)&gt;AO1195,(SUMIFS(AT:AT,AM:AM,AM1195)-AO1195))</f>
      </c>
      <c r="AV1195" s="116">
        <v>3437.73</v>
      </c>
      <c r="AW1195" s="121">
        <v>0.105</v>
      </c>
      <c r="AX1195" s="115">
        <f>AN1195-AP1195</f>
      </c>
    </row>
    <row r="1196" spans="1:50" ht="15" hidden="1" customHeight="1" x14ac:dyDescent="0.3">
      <c r="A1196" s="94" t="s">
        <v>82</v>
      </c>
      <c r="B1196" s="94"/>
      <c r="C1196" s="94"/>
      <c r="D1196" s="94"/>
      <c r="E1196" s="94"/>
      <c r="F1196" s="94"/>
      <c r="G1196" s="112">
        <f>AU1196</f>
      </c>
      <c r="H1196" s="113"/>
      <c r="I1196" s="94" t="s">
        <v>83</v>
      </c>
      <c r="J1196" s="94" t="s">
        <v>571</v>
      </c>
      <c r="K1196" s="114">
        <f>P1196/3</f>
      </c>
      <c r="L1196" s="115">
        <v>2300</v>
      </c>
      <c r="M1196" s="116"/>
      <c r="N1196" s="117">
        <f>M1196-L1196</f>
      </c>
      <c r="O1196" s="112"/>
      <c r="P1196" s="118">
        <f>N1196+O1196</f>
      </c>
      <c r="Q1196" s="94" t="s">
        <v>853</v>
      </c>
      <c r="R1196" s="94" t="s">
        <v>63</v>
      </c>
      <c r="S1196" s="119">
        <v>46351</v>
      </c>
      <c r="T1196" s="119"/>
      <c r="U1196" s="120" t="s">
        <v>656</v>
      </c>
      <c r="V1196" s="94"/>
      <c r="W1196" s="94"/>
      <c r="X1196" s="94"/>
      <c r="Y1196" s="119">
        <v>46341</v>
      </c>
      <c r="Z1196" s="94"/>
      <c r="AA1196" s="120"/>
      <c r="AB1196" s="120"/>
      <c r="AC1196" s="120"/>
      <c r="AD1196" s="120"/>
      <c r="AE1196" s="120"/>
      <c r="AF1196" s="120"/>
      <c r="AG1196" s="94"/>
      <c r="AH1196" s="120"/>
      <c r="AI1196" s="94"/>
      <c r="AJ1196" s="94" t="s">
        <v>798</v>
      </c>
      <c r="AK1196" s="94" t="s">
        <v>742</v>
      </c>
      <c r="AL1196" s="94">
        <v>160</v>
      </c>
      <c r="AM1196" s="94" t="str">
        <f>TRIM(AJ1196)&amp;TRIM(AL1196)&amp;TRIM(AK1196)</f>
      </c>
      <c r="AN1196" s="116">
        <v>3437.73</v>
      </c>
      <c r="AO1196" s="116">
        <v>29378.27</v>
      </c>
      <c r="AP1196" s="116">
        <f>SUMIFS(M:M,AM:AM,AM1196)+SUMIFS(O:O,AM:AM,AM1196)</f>
      </c>
      <c r="AQ1196" s="116">
        <f>SUMIFS(L:L,AM:AM,AM1196)</f>
      </c>
      <c r="AR1196" s="116">
        <f>AQ1196-AP1196</f>
      </c>
      <c r="AS1196" s="94" t="str">
        <f>IF(AN1196&gt;=AQ1196,"ok","ck")</f>
      </c>
      <c r="AT1196" s="116">
        <f>-P1196</f>
      </c>
      <c r="AU1196" s="115">
        <f>IF(SUMIFS(AT:AT,AM:AM,AM1196)&gt;AO1196,(SUMIFS(AT:AT,AM:AM,AM1196)-AO1196))</f>
      </c>
      <c r="AV1196" s="116">
        <v>3437.73</v>
      </c>
      <c r="AW1196" s="121">
        <v>0.105</v>
      </c>
      <c r="AX1196" s="115">
        <f>AN1196-AP1196</f>
      </c>
    </row>
    <row r="1197" spans="1:50" ht="15" hidden="1" customHeight="1" x14ac:dyDescent="0.3">
      <c r="A1197" s="94" t="s">
        <v>82</v>
      </c>
      <c r="B1197" s="94"/>
      <c r="C1197" s="94"/>
      <c r="D1197" s="94"/>
      <c r="E1197" s="94"/>
      <c r="F1197" s="94"/>
      <c r="G1197" s="112">
        <f>AU1197</f>
      </c>
      <c r="H1197" s="113"/>
      <c r="I1197" s="94" t="s">
        <v>83</v>
      </c>
      <c r="J1197" s="94" t="s">
        <v>571</v>
      </c>
      <c r="K1197" s="114">
        <f>P1197/3</f>
      </c>
      <c r="L1197" s="115">
        <v>2300</v>
      </c>
      <c r="M1197" s="116"/>
      <c r="N1197" s="117">
        <f>M1197-L1197</f>
      </c>
      <c r="O1197" s="112"/>
      <c r="P1197" s="118">
        <f>N1197+O1197</f>
      </c>
      <c r="Q1197" s="94" t="s">
        <v>853</v>
      </c>
      <c r="R1197" s="94" t="s">
        <v>63</v>
      </c>
      <c r="S1197" s="120">
        <v>46353</v>
      </c>
      <c r="T1197" s="120"/>
      <c r="U1197" s="120" t="s">
        <v>656</v>
      </c>
      <c r="V1197" s="94"/>
      <c r="W1197" s="94"/>
      <c r="X1197" s="94"/>
      <c r="Y1197" s="119">
        <v>46341</v>
      </c>
      <c r="Z1197" s="94"/>
      <c r="AA1197" s="120"/>
      <c r="AB1197" s="120"/>
      <c r="AC1197" s="120"/>
      <c r="AD1197" s="120"/>
      <c r="AE1197" s="120"/>
      <c r="AF1197" s="120"/>
      <c r="AG1197" s="94"/>
      <c r="AH1197" s="120"/>
      <c r="AI1197" s="94"/>
      <c r="AJ1197" s="94" t="s">
        <v>798</v>
      </c>
      <c r="AK1197" s="94" t="s">
        <v>742</v>
      </c>
      <c r="AL1197" s="94">
        <v>160</v>
      </c>
      <c r="AM1197" s="94" t="str">
        <f>TRIM(AJ1197)&amp;TRIM(AL1197)&amp;TRIM(AK1197)</f>
      </c>
      <c r="AN1197" s="116">
        <v>3437.73</v>
      </c>
      <c r="AO1197" s="116">
        <v>29378.27</v>
      </c>
      <c r="AP1197" s="116">
        <f>SUMIFS(M:M,AM:AM,AM1197)+SUMIFS(O:O,AM:AM,AM1197)</f>
      </c>
      <c r="AQ1197" s="116">
        <f>SUMIFS(L:L,AM:AM,AM1197)</f>
      </c>
      <c r="AR1197" s="116">
        <f>AQ1197-AP1197</f>
      </c>
      <c r="AS1197" s="94" t="str">
        <f>IF(AN1197&gt;=AQ1197,"ok","ck")</f>
      </c>
      <c r="AT1197" s="116">
        <f>-P1197</f>
      </c>
      <c r="AU1197" s="115">
        <f>IF(SUMIFS(AT:AT,AM:AM,AM1197)&gt;AO1197,(SUMIFS(AT:AT,AM:AM,AM1197)-AO1197))</f>
      </c>
      <c r="AV1197" s="116">
        <v>3437.73</v>
      </c>
      <c r="AW1197" s="121">
        <v>0.105</v>
      </c>
      <c r="AX1197" s="115">
        <f>AN1197-AP1197</f>
      </c>
    </row>
    <row r="1198" spans="1:50" ht="15" hidden="1" customHeight="1" x14ac:dyDescent="0.3">
      <c r="A1198" s="94" t="s">
        <v>82</v>
      </c>
      <c r="B1198" s="94"/>
      <c r="C1198" s="94"/>
      <c r="D1198" s="94"/>
      <c r="E1198" s="94"/>
      <c r="F1198" s="94"/>
      <c r="G1198" s="112">
        <f>AU1198</f>
      </c>
      <c r="H1198" s="113"/>
      <c r="I1198" s="94" t="s">
        <v>83</v>
      </c>
      <c r="J1198" s="94" t="s">
        <v>571</v>
      </c>
      <c r="K1198" s="114">
        <f>P1198/3</f>
      </c>
      <c r="L1198" s="115">
        <v>2300</v>
      </c>
      <c r="M1198" s="116"/>
      <c r="N1198" s="117">
        <f>M1198-L1198</f>
      </c>
      <c r="O1198" s="112"/>
      <c r="P1198" s="118">
        <f>N1198+O1198</f>
      </c>
      <c r="Q1198" s="94" t="s">
        <v>853</v>
      </c>
      <c r="R1198" s="94" t="s">
        <v>63</v>
      </c>
      <c r="S1198" s="120">
        <v>46355</v>
      </c>
      <c r="T1198" s="120"/>
      <c r="U1198" s="120" t="s">
        <v>656</v>
      </c>
      <c r="V1198" s="94"/>
      <c r="W1198" s="94"/>
      <c r="X1198" s="94"/>
      <c r="Y1198" s="119">
        <v>46328</v>
      </c>
      <c r="Z1198" s="94"/>
      <c r="AA1198" s="120"/>
      <c r="AB1198" s="120"/>
      <c r="AC1198" s="120"/>
      <c r="AD1198" s="120"/>
      <c r="AE1198" s="120"/>
      <c r="AF1198" s="120"/>
      <c r="AG1198" s="94"/>
      <c r="AH1198" s="120"/>
      <c r="AI1198" s="94"/>
      <c r="AJ1198" s="94" t="s">
        <v>798</v>
      </c>
      <c r="AK1198" s="94" t="s">
        <v>742</v>
      </c>
      <c r="AL1198" s="94">
        <v>160</v>
      </c>
      <c r="AM1198" s="94" t="str">
        <f>TRIM(AJ1198)&amp;TRIM(AL1198)&amp;TRIM(AK1198)</f>
      </c>
      <c r="AN1198" s="116">
        <v>3437.73</v>
      </c>
      <c r="AO1198" s="116">
        <v>29378.27</v>
      </c>
      <c r="AP1198" s="116">
        <f>SUMIFS(M:M,AM:AM,AM1198)+SUMIFS(O:O,AM:AM,AM1198)</f>
      </c>
      <c r="AQ1198" s="116">
        <f>SUMIFS(L:L,AM:AM,AM1198)</f>
      </c>
      <c r="AR1198" s="116">
        <f>AQ1198-AP1198</f>
      </c>
      <c r="AS1198" s="94" t="str">
        <f>IF(AN1198&gt;=AQ1198,"ok","ck")</f>
      </c>
      <c r="AT1198" s="116">
        <f>-P1198</f>
      </c>
      <c r="AU1198" s="115">
        <f>IF(SUMIFS(AT:AT,AM:AM,AM1198)&gt;AO1198,(SUMIFS(AT:AT,AM:AM,AM1198)-AO1198))</f>
      </c>
      <c r="AV1198" s="116">
        <v>3437.73</v>
      </c>
      <c r="AW1198" s="121">
        <v>0.105</v>
      </c>
      <c r="AX1198" s="115">
        <f>AN1198-AP1198</f>
      </c>
    </row>
    <row r="1199" spans="1:50" ht="15" hidden="1" customHeight="1" x14ac:dyDescent="0.3">
      <c r="A1199" s="94" t="s">
        <v>82</v>
      </c>
      <c r="B1199" s="94"/>
      <c r="C1199" s="94"/>
      <c r="D1199" s="94"/>
      <c r="E1199" s="94"/>
      <c r="F1199" s="94"/>
      <c r="G1199" s="112">
        <f>AU1199</f>
      </c>
      <c r="H1199" s="113"/>
      <c r="I1199" s="94" t="s">
        <v>83</v>
      </c>
      <c r="J1199" s="94" t="s">
        <v>571</v>
      </c>
      <c r="K1199" s="114">
        <f>P1199/3</f>
      </c>
      <c r="L1199" s="115">
        <v>2300</v>
      </c>
      <c r="M1199" s="116"/>
      <c r="N1199" s="117">
        <f>M1199-L1199</f>
      </c>
      <c r="O1199" s="112"/>
      <c r="P1199" s="118">
        <f>N1199+O1199</f>
      </c>
      <c r="Q1199" s="94" t="s">
        <v>853</v>
      </c>
      <c r="R1199" s="94" t="s">
        <v>63</v>
      </c>
      <c r="S1199" s="120">
        <v>46357</v>
      </c>
      <c r="T1199" s="120"/>
      <c r="U1199" s="120" t="s">
        <v>656</v>
      </c>
      <c r="V1199" s="94"/>
      <c r="W1199" s="94"/>
      <c r="X1199" s="94"/>
      <c r="Y1199" s="119">
        <v>46328</v>
      </c>
      <c r="Z1199" s="94"/>
      <c r="AA1199" s="120"/>
      <c r="AB1199" s="120"/>
      <c r="AC1199" s="120"/>
      <c r="AD1199" s="120"/>
      <c r="AE1199" s="120"/>
      <c r="AF1199" s="120"/>
      <c r="AG1199" s="94"/>
      <c r="AH1199" s="120"/>
      <c r="AI1199" s="94"/>
      <c r="AJ1199" s="94" t="s">
        <v>798</v>
      </c>
      <c r="AK1199" s="94" t="s">
        <v>742</v>
      </c>
      <c r="AL1199" s="94">
        <v>160</v>
      </c>
      <c r="AM1199" s="94" t="str">
        <f>TRIM(AJ1199)&amp;TRIM(AL1199)&amp;TRIM(AK1199)</f>
      </c>
      <c r="AN1199" s="116">
        <v>3437.73</v>
      </c>
      <c r="AO1199" s="116">
        <v>29378.27</v>
      </c>
      <c r="AP1199" s="116">
        <f>SUMIFS(M:M,AM:AM,AM1199)+SUMIFS(O:O,AM:AM,AM1199)</f>
      </c>
      <c r="AQ1199" s="116">
        <f>SUMIFS(L:L,AM:AM,AM1199)</f>
      </c>
      <c r="AR1199" s="116">
        <f>AQ1199-AP1199</f>
      </c>
      <c r="AS1199" s="94" t="str">
        <f>IF(AN1199&gt;=AQ1199,"ok","ck")</f>
      </c>
      <c r="AT1199" s="116">
        <f>-P1199</f>
      </c>
      <c r="AU1199" s="115">
        <f>IF(SUMIFS(AT:AT,AM:AM,AM1199)&gt;AO1199,(SUMIFS(AT:AT,AM:AM,AM1199)-AO1199))</f>
      </c>
      <c r="AV1199" s="116">
        <v>3437.73</v>
      </c>
      <c r="AW1199" s="121">
        <v>0.105</v>
      </c>
      <c r="AX1199" s="115">
        <f>AN1199-AP1199</f>
      </c>
    </row>
    <row r="1200" spans="1:50" ht="15" hidden="1" customHeight="1" x14ac:dyDescent="0.3">
      <c r="A1200" s="94" t="s">
        <v>82</v>
      </c>
      <c r="B1200" s="94"/>
      <c r="C1200" s="94"/>
      <c r="D1200" s="94"/>
      <c r="E1200" s="94"/>
      <c r="F1200" s="94"/>
      <c r="G1200" s="112">
        <f>AU1200</f>
      </c>
      <c r="H1200" s="113"/>
      <c r="I1200" s="94" t="s">
        <v>83</v>
      </c>
      <c r="J1200" s="94" t="s">
        <v>571</v>
      </c>
      <c r="K1200" s="114">
        <f>P1200/3</f>
      </c>
      <c r="L1200" s="115">
        <v>10753.505999999999</v>
      </c>
      <c r="M1200" s="116"/>
      <c r="N1200" s="117">
        <f>M1200-L1200</f>
      </c>
      <c r="O1200" s="112"/>
      <c r="P1200" s="118">
        <f>N1200+O1200</f>
      </c>
      <c r="Q1200" s="94" t="s">
        <v>853</v>
      </c>
      <c r="R1200" s="94" t="s">
        <v>63</v>
      </c>
      <c r="S1200" s="120">
        <v>46359</v>
      </c>
      <c r="T1200" s="120"/>
      <c r="U1200" s="120" t="s">
        <v>656</v>
      </c>
      <c r="V1200" s="94"/>
      <c r="W1200" s="94"/>
      <c r="X1200" s="94"/>
      <c r="Y1200" s="119">
        <v>46328</v>
      </c>
      <c r="Z1200" s="94"/>
      <c r="AA1200" s="120"/>
      <c r="AB1200" s="120"/>
      <c r="AC1200" s="120"/>
      <c r="AD1200" s="120"/>
      <c r="AE1200" s="120"/>
      <c r="AF1200" s="120"/>
      <c r="AG1200" s="94"/>
      <c r="AH1200" s="120"/>
      <c r="AI1200" s="94"/>
      <c r="AJ1200" s="94" t="s">
        <v>798</v>
      </c>
      <c r="AK1200" s="94" t="s">
        <v>742</v>
      </c>
      <c r="AL1200" s="94">
        <v>160</v>
      </c>
      <c r="AM1200" s="94" t="str">
        <f>TRIM(AJ1200)&amp;TRIM(AL1200)&amp;TRIM(AK1200)</f>
      </c>
      <c r="AN1200" s="116">
        <v>3437.73</v>
      </c>
      <c r="AO1200" s="116">
        <v>29378.27</v>
      </c>
      <c r="AP1200" s="116">
        <f>SUMIFS(M:M,AM:AM,AM1200)+SUMIFS(O:O,AM:AM,AM1200)</f>
      </c>
      <c r="AQ1200" s="116">
        <f>SUMIFS(L:L,AM:AM,AM1200)</f>
      </c>
      <c r="AR1200" s="116">
        <f>AQ1200-AP1200</f>
      </c>
      <c r="AS1200" s="94" t="str">
        <f>IF(AN1200&gt;=AQ1200,"ok","ck")</f>
      </c>
      <c r="AT1200" s="116">
        <f>-P1200</f>
      </c>
      <c r="AU1200" s="115">
        <f>IF(SUMIFS(AT:AT,AM:AM,AM1200)&gt;AO1200,(SUMIFS(AT:AT,AM:AM,AM1200)-AO1200))</f>
      </c>
      <c r="AV1200" s="116">
        <v>3437.73</v>
      </c>
      <c r="AW1200" s="121">
        <v>0.105</v>
      </c>
      <c r="AX1200" s="115">
        <f>AN1200-AP1200</f>
      </c>
    </row>
    <row r="1201" spans="1:50" ht="15" hidden="1" customHeight="1" x14ac:dyDescent="0.3">
      <c r="A1201" s="94" t="s">
        <v>82</v>
      </c>
      <c r="B1201" s="94"/>
      <c r="C1201" s="94"/>
      <c r="D1201" s="94"/>
      <c r="E1201" s="94"/>
      <c r="F1201" s="94"/>
      <c r="G1201" s="112">
        <f>AU1201</f>
      </c>
      <c r="H1201" s="113"/>
      <c r="I1201" s="94" t="s">
        <v>83</v>
      </c>
      <c r="J1201" s="94" t="s">
        <v>281</v>
      </c>
      <c r="K1201" s="114">
        <f>P1201/3</f>
      </c>
      <c r="L1201" s="115">
        <v>2557.9929999999999</v>
      </c>
      <c r="M1201" s="116"/>
      <c r="N1201" s="117">
        <f>M1201-L1201</f>
      </c>
      <c r="O1201" s="112"/>
      <c r="P1201" s="118">
        <f>N1201+O1201</f>
      </c>
      <c r="Q1201" s="94" t="s">
        <v>853</v>
      </c>
      <c r="R1201" s="94" t="s">
        <v>63</v>
      </c>
      <c r="S1201" s="120">
        <v>46330</v>
      </c>
      <c r="T1201" s="120"/>
      <c r="U1201" s="120">
        <v>46330</v>
      </c>
      <c r="V1201" s="94"/>
      <c r="W1201" s="94"/>
      <c r="X1201" s="94"/>
      <c r="Y1201" s="119">
        <v>46330</v>
      </c>
      <c r="Z1201" s="94"/>
      <c r="AA1201" s="120"/>
      <c r="AB1201" s="120"/>
      <c r="AC1201" s="120"/>
      <c r="AD1201" s="120"/>
      <c r="AE1201" s="120"/>
      <c r="AF1201" s="120"/>
      <c r="AG1201" s="94"/>
      <c r="AH1201" s="120"/>
      <c r="AI1201" s="94"/>
      <c r="AJ1201" s="94" t="s">
        <v>798</v>
      </c>
      <c r="AK1201" s="94" t="s">
        <v>66</v>
      </c>
      <c r="AL1201" s="94">
        <v>160</v>
      </c>
      <c r="AM1201" s="94" t="str">
        <f>TRIM(AJ1201)&amp;TRIM(AL1201)&amp;TRIM(AK1201)</f>
      </c>
      <c r="AN1201" s="116">
        <v>2811</v>
      </c>
      <c r="AO1201" s="116">
        <v>7773</v>
      </c>
      <c r="AP1201" s="116">
        <f>SUMIFS(M:M,AM:AM,AM1201)+SUMIFS(O:O,AM:AM,AM1201)</f>
      </c>
      <c r="AQ1201" s="116">
        <f>SUMIFS(L:L,AM:AM,AM1201)</f>
      </c>
      <c r="AR1201" s="116">
        <f>AQ1201-AP1201</f>
      </c>
      <c r="AS1201" s="94" t="str">
        <f>IF(AN1201&gt;=AQ1201,"ok","ck")</f>
      </c>
      <c r="AT1201" s="116">
        <f>-P1201</f>
      </c>
      <c r="AU1201" s="115">
        <f>IF(SUMIFS(AT:AT,AM:AM,AM1201)&gt;AO1201,(SUMIFS(AT:AT,AM:AM,AM1201)-AO1201))</f>
      </c>
      <c r="AV1201" s="116">
        <v>0</v>
      </c>
      <c r="AW1201" s="121" t="e">
        <v>#DIV/0!</v>
      </c>
      <c r="AX1201" s="115">
        <f>AN1201-AP1201</f>
      </c>
    </row>
    <row r="1202" spans="1:50" ht="15" hidden="1" customHeight="1" x14ac:dyDescent="0.3">
      <c r="A1202" s="94" t="s">
        <v>288</v>
      </c>
      <c r="B1202" s="94"/>
      <c r="C1202" s="94"/>
      <c r="D1202" s="94"/>
      <c r="E1202" s="94"/>
      <c r="F1202" s="94"/>
      <c r="G1202" s="112">
        <f>AU1202</f>
      </c>
      <c r="H1202" s="113"/>
      <c r="I1202" s="94" t="s">
        <v>297</v>
      </c>
      <c r="J1202" s="94" t="s">
        <v>380</v>
      </c>
      <c r="K1202" s="114">
        <f>P1202/3</f>
      </c>
      <c r="L1202" s="115">
        <v>0</v>
      </c>
      <c r="M1202" s="116">
        <f>L1202</f>
      </c>
      <c r="N1202" s="117">
        <f>M1202-L1202</f>
      </c>
      <c r="O1202" s="112"/>
      <c r="P1202" s="118">
        <f>N1202+O1202</f>
      </c>
      <c r="Q1202" s="94" t="s">
        <v>299</v>
      </c>
      <c r="R1202" s="94" t="s">
        <v>63</v>
      </c>
      <c r="S1202" s="120">
        <v>46320</v>
      </c>
      <c r="T1202" s="120"/>
      <c r="U1202" s="120">
        <v>46320</v>
      </c>
      <c r="V1202" s="94"/>
      <c r="W1202" s="94"/>
      <c r="X1202" s="94"/>
      <c r="Y1202" s="119">
        <v>46320</v>
      </c>
      <c r="Z1202" s="94"/>
      <c r="AA1202" s="120"/>
      <c r="AB1202" s="120"/>
      <c r="AC1202" s="120"/>
      <c r="AD1202" s="120"/>
      <c r="AE1202" s="120"/>
      <c r="AF1202" s="120"/>
      <c r="AG1202" s="94"/>
      <c r="AH1202" s="120"/>
      <c r="AI1202" s="94"/>
      <c r="AJ1202" s="94" t="s">
        <v>478</v>
      </c>
      <c r="AK1202" s="94" t="s">
        <v>357</v>
      </c>
      <c r="AL1202" s="94">
        <v>190</v>
      </c>
      <c r="AM1202" s="94" t="str">
        <f>TRIM(AJ1202)&amp;TRIM(AL1202)&amp;TRIM(AK1202)</f>
      </c>
      <c r="AN1202" s="116">
        <v>6420</v>
      </c>
      <c r="AO1202" s="116">
        <v>-113.85</v>
      </c>
      <c r="AP1202" s="116">
        <f>SUMIFS(M:M,AM:AM,AM1202)+SUMIFS(O:O,AM:AM,AM1202)</f>
      </c>
      <c r="AQ1202" s="116">
        <f>SUMIFS(L:L,AM:AM,AM1202)</f>
      </c>
      <c r="AR1202" s="116">
        <f>AQ1202-AP1202</f>
      </c>
      <c r="AS1202" s="94" t="str">
        <f>IF(AN1202&gt;=AQ1202,"ok","ck")</f>
      </c>
      <c r="AT1202" s="116">
        <f>-P1202</f>
      </c>
      <c r="AU1202" s="115">
        <f>IF(SUMIFS(AT:AT,AM:AM,AM1202)&gt;AO1202,(SUMIFS(AT:AT,AM:AM,AM1202)-AO1202))</f>
      </c>
      <c r="AV1202" s="116">
        <v>6420</v>
      </c>
      <c r="AW1202" s="121">
        <v>1.018</v>
      </c>
      <c r="AX1202" s="115">
        <f>AN1202-AP1202</f>
      </c>
    </row>
    <row r="1203" spans="1:50" ht="15" hidden="1" customHeight="1" x14ac:dyDescent="0.3">
      <c r="A1203" s="94" t="s">
        <v>288</v>
      </c>
      <c r="B1203" s="94"/>
      <c r="C1203" s="94"/>
      <c r="D1203" s="94"/>
      <c r="E1203" s="94"/>
      <c r="F1203" s="94"/>
      <c r="G1203" s="112">
        <f>AU1203</f>
      </c>
      <c r="H1203" s="113"/>
      <c r="I1203" s="94" t="s">
        <v>297</v>
      </c>
      <c r="J1203" s="94" t="s">
        <v>303</v>
      </c>
      <c r="K1203" s="114">
        <f>P1203/3</f>
      </c>
      <c r="L1203" s="115">
        <v>-1.0029999999999999</v>
      </c>
      <c r="M1203" s="116">
        <f>L1203</f>
      </c>
      <c r="N1203" s="117">
        <f>M1203-L1203</f>
      </c>
      <c r="O1203" s="112"/>
      <c r="P1203" s="118">
        <f>N1203+O1203</f>
      </c>
      <c r="Q1203" s="94" t="s">
        <v>299</v>
      </c>
      <c r="R1203" s="94" t="s">
        <v>63</v>
      </c>
      <c r="S1203" s="120">
        <v>46334</v>
      </c>
      <c r="T1203" s="120"/>
      <c r="U1203" s="120">
        <v>46334</v>
      </c>
      <c r="V1203" s="94"/>
      <c r="W1203" s="94"/>
      <c r="X1203" s="94"/>
      <c r="Y1203" s="119">
        <v>46334</v>
      </c>
      <c r="Z1203" s="94"/>
      <c r="AA1203" s="120"/>
      <c r="AB1203" s="120"/>
      <c r="AC1203" s="120"/>
      <c r="AD1203" s="120"/>
      <c r="AE1203" s="120"/>
      <c r="AF1203" s="120"/>
      <c r="AG1203" s="94"/>
      <c r="AH1203" s="120"/>
      <c r="AI1203" s="94"/>
      <c r="AJ1203" s="94" t="s">
        <v>478</v>
      </c>
      <c r="AK1203" s="94" t="s">
        <v>304</v>
      </c>
      <c r="AL1203" s="94">
        <v>190</v>
      </c>
      <c r="AM1203" s="94" t="str">
        <f>TRIM(AJ1203)&amp;TRIM(AL1203)&amp;TRIM(AK1203)</f>
      </c>
      <c r="AN1203" s="116">
        <v>470.68</v>
      </c>
      <c r="AO1203" s="116">
        <v>-11.02</v>
      </c>
      <c r="AP1203" s="116">
        <f>SUMIFS(M:M,AM:AM,AM1203)+SUMIFS(O:O,AM:AM,AM1203)</f>
      </c>
      <c r="AQ1203" s="116">
        <f>SUMIFS(L:L,AM:AM,AM1203)</f>
      </c>
      <c r="AR1203" s="116">
        <f>AQ1203-AP1203</f>
      </c>
      <c r="AS1203" s="94" t="str">
        <f>IF(AN1203&gt;=AQ1203,"ok","ck")</f>
      </c>
      <c r="AT1203" s="116">
        <f>-P1203</f>
      </c>
      <c r="AU1203" s="115">
        <f>IF(SUMIFS(AT:AT,AM:AM,AM1203)&gt;AO1203,(SUMIFS(AT:AT,AM:AM,AM1203)-AO1203))</f>
      </c>
      <c r="AV1203" s="116">
        <v>470.68</v>
      </c>
      <c r="AW1203" s="121">
        <v>1.024</v>
      </c>
      <c r="AX1203" s="115">
        <f>AN1203-AP1203</f>
      </c>
    </row>
    <row r="1204" spans="1:50" ht="15" hidden="1" customHeight="1" x14ac:dyDescent="0.3">
      <c r="A1204" s="94" t="s">
        <v>288</v>
      </c>
      <c r="B1204" s="94"/>
      <c r="C1204" s="94"/>
      <c r="D1204" s="94"/>
      <c r="E1204" s="94"/>
      <c r="F1204" s="94"/>
      <c r="G1204" s="112">
        <f>AU1204</f>
      </c>
      <c r="H1204" s="113"/>
      <c r="I1204" s="94" t="s">
        <v>297</v>
      </c>
      <c r="J1204" s="94" t="s">
        <v>303</v>
      </c>
      <c r="K1204" s="114">
        <f>P1204/3</f>
      </c>
      <c r="L1204" s="115">
        <v>-7.0670000000000002</v>
      </c>
      <c r="M1204" s="116">
        <f>L1204</f>
      </c>
      <c r="N1204" s="117">
        <f>M1204-L1204</f>
      </c>
      <c r="O1204" s="112"/>
      <c r="P1204" s="118">
        <f>N1204+O1204</f>
      </c>
      <c r="Q1204" s="94" t="s">
        <v>299</v>
      </c>
      <c r="R1204" s="94" t="s">
        <v>63</v>
      </c>
      <c r="S1204" s="120">
        <v>46320</v>
      </c>
      <c r="T1204" s="120"/>
      <c r="U1204" s="120">
        <v>46320</v>
      </c>
      <c r="V1204" s="94"/>
      <c r="W1204" s="94"/>
      <c r="X1204" s="94"/>
      <c r="Y1204" s="119">
        <v>46320</v>
      </c>
      <c r="Z1204" s="94"/>
      <c r="AA1204" s="120"/>
      <c r="AB1204" s="120"/>
      <c r="AC1204" s="120"/>
      <c r="AD1204" s="120"/>
      <c r="AE1204" s="120"/>
      <c r="AF1204" s="120"/>
      <c r="AG1204" s="94"/>
      <c r="AH1204" s="120"/>
      <c r="AI1204" s="94"/>
      <c r="AJ1204" s="94" t="s">
        <v>478</v>
      </c>
      <c r="AK1204" s="94" t="s">
        <v>304</v>
      </c>
      <c r="AL1204" s="94">
        <v>190</v>
      </c>
      <c r="AM1204" s="94" t="str">
        <f>TRIM(AJ1204)&amp;TRIM(AL1204)&amp;TRIM(AK1204)</f>
      </c>
      <c r="AN1204" s="116">
        <v>470.68</v>
      </c>
      <c r="AO1204" s="116">
        <v>-11.02</v>
      </c>
      <c r="AP1204" s="116">
        <f>SUMIFS(M:M,AM:AM,AM1204)+SUMIFS(O:O,AM:AM,AM1204)</f>
      </c>
      <c r="AQ1204" s="116">
        <f>SUMIFS(L:L,AM:AM,AM1204)</f>
      </c>
      <c r="AR1204" s="116">
        <f>AQ1204-AP1204</f>
      </c>
      <c r="AS1204" s="94" t="str">
        <f>IF(AN1204&gt;=AQ1204,"ok","ck")</f>
      </c>
      <c r="AT1204" s="116">
        <f>-P1204</f>
      </c>
      <c r="AU1204" s="115">
        <f>IF(SUMIFS(AT:AT,AM:AM,AM1204)&gt;AO1204,(SUMIFS(AT:AT,AM:AM,AM1204)-AO1204))</f>
      </c>
      <c r="AV1204" s="116">
        <v>470.68</v>
      </c>
      <c r="AW1204" s="121">
        <v>1.024</v>
      </c>
      <c r="AX1204" s="115">
        <f>AN1204-AP1204</f>
      </c>
    </row>
    <row r="1205" spans="1:50" ht="15" hidden="1" customHeight="1" x14ac:dyDescent="0.3">
      <c r="A1205" s="94" t="s">
        <v>288</v>
      </c>
      <c r="B1205" s="94"/>
      <c r="C1205" s="94"/>
      <c r="D1205" s="94"/>
      <c r="E1205" s="94"/>
      <c r="F1205" s="94"/>
      <c r="G1205" s="112">
        <f>AU1205</f>
      </c>
      <c r="H1205" s="113"/>
      <c r="I1205" s="94" t="s">
        <v>297</v>
      </c>
      <c r="J1205" s="94" t="s">
        <v>298</v>
      </c>
      <c r="K1205" s="114">
        <f>P1205/3</f>
      </c>
      <c r="L1205" s="115">
        <v>98.15</v>
      </c>
      <c r="M1205" s="116">
        <f>L1205</f>
      </c>
      <c r="N1205" s="117">
        <f>M1205-L1205</f>
      </c>
      <c r="O1205" s="112"/>
      <c r="P1205" s="118">
        <f>N1205+O1205</f>
      </c>
      <c r="Q1205" s="94" t="s">
        <v>299</v>
      </c>
      <c r="R1205" s="94" t="s">
        <v>63</v>
      </c>
      <c r="S1205" s="120">
        <v>46320</v>
      </c>
      <c r="T1205" s="120"/>
      <c r="U1205" s="120">
        <v>46320</v>
      </c>
      <c r="V1205" s="94"/>
      <c r="W1205" s="94"/>
      <c r="X1205" s="94"/>
      <c r="Y1205" s="119">
        <v>46320</v>
      </c>
      <c r="Z1205" s="94"/>
      <c r="AA1205" s="120"/>
      <c r="AB1205" s="120"/>
      <c r="AC1205" s="120"/>
      <c r="AD1205" s="120"/>
      <c r="AE1205" s="120"/>
      <c r="AF1205" s="120"/>
      <c r="AG1205" s="94"/>
      <c r="AH1205" s="120"/>
      <c r="AI1205" s="94"/>
      <c r="AJ1205" s="94" t="s">
        <v>478</v>
      </c>
      <c r="AK1205" s="94" t="s">
        <v>300</v>
      </c>
      <c r="AL1205" s="94">
        <v>190</v>
      </c>
      <c r="AM1205" s="94" t="str">
        <f>TRIM(AJ1205)&amp;TRIM(AL1205)&amp;TRIM(AK1205)</f>
      </c>
      <c r="AN1205" s="116">
        <v>2032.33</v>
      </c>
      <c r="AO1205" s="116">
        <v>-490.93</v>
      </c>
      <c r="AP1205" s="116">
        <f>SUMIFS(M:M,AM:AM,AM1205)+SUMIFS(O:O,AM:AM,AM1205)</f>
      </c>
      <c r="AQ1205" s="116">
        <f>SUMIFS(L:L,AM:AM,AM1205)</f>
      </c>
      <c r="AR1205" s="116">
        <f>AQ1205-AP1205</f>
      </c>
      <c r="AS1205" s="94" t="str">
        <f>IF(AN1205&gt;=AQ1205,"ok","ck")</f>
      </c>
      <c r="AT1205" s="116">
        <f>-P1205</f>
      </c>
      <c r="AU1205" s="115">
        <f>IF(SUMIFS(AT:AT,AM:AM,AM1205)&gt;AO1205,(SUMIFS(AT:AT,AM:AM,AM1205)-AO1205))</f>
      </c>
      <c r="AV1205" s="116">
        <v>2032.33</v>
      </c>
      <c r="AW1205" s="121">
        <v>1.318</v>
      </c>
      <c r="AX1205" s="115">
        <f>AN1205-AP1205</f>
      </c>
    </row>
    <row r="1206" spans="1:50" ht="15" hidden="1" customHeight="1" x14ac:dyDescent="0.3">
      <c r="A1206" s="94" t="s">
        <v>288</v>
      </c>
      <c r="B1206" s="94"/>
      <c r="C1206" s="94"/>
      <c r="D1206" s="94"/>
      <c r="E1206" s="94"/>
      <c r="F1206" s="94"/>
      <c r="G1206" s="112">
        <f>AU1206</f>
      </c>
      <c r="H1206" s="113"/>
      <c r="I1206" s="94" t="s">
        <v>297</v>
      </c>
      <c r="J1206" s="94" t="s">
        <v>298</v>
      </c>
      <c r="K1206" s="114">
        <f>P1206/3</f>
      </c>
      <c r="L1206" s="115">
        <v>529.10400000000004</v>
      </c>
      <c r="M1206" s="116">
        <f>L1206</f>
      </c>
      <c r="N1206" s="117">
        <f>M1206-L1206</f>
      </c>
      <c r="O1206" s="112"/>
      <c r="P1206" s="118">
        <f>N1206+O1206</f>
      </c>
      <c r="Q1206" s="94" t="s">
        <v>299</v>
      </c>
      <c r="R1206" s="94" t="s">
        <v>63</v>
      </c>
      <c r="S1206" s="120">
        <v>46322</v>
      </c>
      <c r="T1206" s="120"/>
      <c r="U1206" s="120">
        <v>46322</v>
      </c>
      <c r="V1206" s="94"/>
      <c r="W1206" s="94"/>
      <c r="X1206" s="94"/>
      <c r="Y1206" s="119">
        <v>46322</v>
      </c>
      <c r="Z1206" s="94"/>
      <c r="AA1206" s="120"/>
      <c r="AB1206" s="120"/>
      <c r="AC1206" s="120"/>
      <c r="AD1206" s="120"/>
      <c r="AE1206" s="120"/>
      <c r="AF1206" s="120"/>
      <c r="AG1206" s="94"/>
      <c r="AH1206" s="120"/>
      <c r="AI1206" s="94"/>
      <c r="AJ1206" s="94" t="s">
        <v>478</v>
      </c>
      <c r="AK1206" s="94" t="s">
        <v>300</v>
      </c>
      <c r="AL1206" s="94">
        <v>190</v>
      </c>
      <c r="AM1206" s="94" t="str">
        <f>TRIM(AJ1206)&amp;TRIM(AL1206)&amp;TRIM(AK1206)</f>
      </c>
      <c r="AN1206" s="116">
        <v>2032.33</v>
      </c>
      <c r="AO1206" s="116">
        <v>-490.93</v>
      </c>
      <c r="AP1206" s="116">
        <f>SUMIFS(M:M,AM:AM,AM1206)+SUMIFS(O:O,AM:AM,AM1206)</f>
      </c>
      <c r="AQ1206" s="116">
        <f>SUMIFS(L:L,AM:AM,AM1206)</f>
      </c>
      <c r="AR1206" s="116">
        <f>AQ1206-AP1206</f>
      </c>
      <c r="AS1206" s="94" t="str">
        <f>IF(AN1206&gt;=AQ1206,"ok","ck")</f>
      </c>
      <c r="AT1206" s="116">
        <f>-P1206</f>
      </c>
      <c r="AU1206" s="115">
        <f>IF(SUMIFS(AT:AT,AM:AM,AM1206)&gt;AO1206,(SUMIFS(AT:AT,AM:AM,AM1206)-AO1206))</f>
      </c>
      <c r="AV1206" s="116">
        <v>2032.33</v>
      </c>
      <c r="AW1206" s="121">
        <v>1.318</v>
      </c>
      <c r="AX1206" s="115">
        <f>AN1206-AP1206</f>
      </c>
    </row>
    <row r="1207" spans="1:50" ht="15" hidden="1" customHeight="1" x14ac:dyDescent="0.3">
      <c r="A1207" s="94" t="s">
        <v>480</v>
      </c>
      <c r="B1207" s="94"/>
      <c r="C1207" s="94"/>
      <c r="D1207" s="94"/>
      <c r="E1207" s="94"/>
      <c r="F1207" s="94"/>
      <c r="G1207" s="112">
        <f>AU1207</f>
      </c>
      <c r="H1207" s="113"/>
      <c r="I1207" s="94" t="s">
        <v>486</v>
      </c>
      <c r="J1207" s="94" t="s">
        <v>543</v>
      </c>
      <c r="K1207" s="114">
        <f>P1207/3</f>
      </c>
      <c r="L1207" s="115">
        <v>6.7350000000000003</v>
      </c>
      <c r="M1207" s="116"/>
      <c r="N1207" s="117">
        <f>M1207-L1207</f>
      </c>
      <c r="O1207" s="112"/>
      <c r="P1207" s="118">
        <f>N1207+O1207</f>
      </c>
      <c r="Q1207" s="94" t="s">
        <v>782</v>
      </c>
      <c r="R1207" s="94" t="s">
        <v>63</v>
      </c>
      <c r="S1207" s="120">
        <v>46332</v>
      </c>
      <c r="T1207" s="120"/>
      <c r="U1207" s="120">
        <v>46332</v>
      </c>
      <c r="V1207" s="94"/>
      <c r="W1207" s="94"/>
      <c r="X1207" s="94"/>
      <c r="Y1207" s="119">
        <v>46338</v>
      </c>
      <c r="Z1207" s="94"/>
      <c r="AA1207" s="120"/>
      <c r="AB1207" s="120"/>
      <c r="AC1207" s="120"/>
      <c r="AD1207" s="120"/>
      <c r="AE1207" s="120"/>
      <c r="AF1207" s="120"/>
      <c r="AG1207" s="94"/>
      <c r="AH1207" s="120"/>
      <c r="AI1207" s="94"/>
      <c r="AJ1207" s="94" t="s">
        <v>782</v>
      </c>
      <c r="AK1207" s="94" t="s">
        <v>696</v>
      </c>
      <c r="AL1207" s="94">
        <v>165</v>
      </c>
      <c r="AM1207" s="94" t="str">
        <f>TRIM(AJ1207)&amp;TRIM(AL1207)&amp;TRIM(AK1207)</f>
      </c>
      <c r="AN1207" s="116">
        <v>0</v>
      </c>
      <c r="AO1207" s="116" t="inlineStr">
        <is>
          <t>#NA</t>
        </is>
      </c>
      <c r="AP1207" s="116">
        <f>SUMIFS(M:M,AM:AM,AM1207)+SUMIFS(O:O,AM:AM,AM1207)</f>
      </c>
      <c r="AQ1207" s="116">
        <f>SUMIFS(L:L,AM:AM,AM1207)</f>
      </c>
      <c r="AR1207" s="116">
        <f>AQ1207-AP1207</f>
      </c>
      <c r="AS1207" s="94" t="str">
        <f>IF(AN1207&gt;=AQ1207,"ok","ck")</f>
      </c>
      <c r="AT1207" s="116">
        <f>-P1207</f>
      </c>
      <c r="AU1207" s="115">
        <f>IF(SUMIFS(AT:AT,AM:AM,AM1207)&gt;AO1207,(SUMIFS(AT:AT,AM:AM,AM1207)-AO1207))</f>
      </c>
      <c r="AV1207" s="116">
        <v>0</v>
      </c>
      <c r="AW1207" s="121">
        <v>0</v>
      </c>
      <c r="AX1207" s="115">
        <f>AN1207-AP1207</f>
      </c>
    </row>
    <row r="1208" spans="1:50" ht="15" hidden="1" customHeight="1" x14ac:dyDescent="0.3">
      <c r="A1208" s="94" t="s">
        <v>268</v>
      </c>
      <c r="B1208" s="94"/>
      <c r="C1208" s="94"/>
      <c r="D1208" s="94"/>
      <c r="E1208" s="94"/>
      <c r="F1208" s="94"/>
      <c r="G1208" s="112">
        <f>AU1208</f>
      </c>
      <c r="H1208" s="113"/>
      <c r="I1208" s="94" t="s">
        <v>278</v>
      </c>
      <c r="J1208" s="94" t="s">
        <v>293</v>
      </c>
      <c r="K1208" s="114">
        <f>P1208/3</f>
      </c>
      <c r="L1208" s="115">
        <v>31.08</v>
      </c>
      <c r="M1208" s="116"/>
      <c r="N1208" s="117">
        <f>M1208-L1208</f>
      </c>
      <c r="O1208" s="112"/>
      <c r="P1208" s="118">
        <f>N1208+O1208</f>
      </c>
      <c r="Q1208" s="94" t="s">
        <v>778</v>
      </c>
      <c r="R1208" s="94" t="s">
        <v>63</v>
      </c>
      <c r="S1208" s="120">
        <v>46333</v>
      </c>
      <c r="T1208" s="120"/>
      <c r="U1208" s="120">
        <v>46333</v>
      </c>
      <c r="V1208" s="94"/>
      <c r="W1208" s="94"/>
      <c r="X1208" s="94"/>
      <c r="Y1208" s="119">
        <v>46333</v>
      </c>
      <c r="Z1208" s="94"/>
      <c r="AA1208" s="120"/>
      <c r="AB1208" s="120"/>
      <c r="AC1208" s="120"/>
      <c r="AD1208" s="120"/>
      <c r="AE1208" s="120"/>
      <c r="AF1208" s="120"/>
      <c r="AG1208" s="94"/>
      <c r="AH1208" s="120"/>
      <c r="AI1208" s="94"/>
      <c r="AJ1208" s="94" t="s">
        <v>778</v>
      </c>
      <c r="AK1208" s="94" t="s">
        <v>294</v>
      </c>
      <c r="AL1208" s="94">
        <v>120</v>
      </c>
      <c r="AM1208" s="94" t="str">
        <f>TRIM(AJ1208)&amp;TRIM(AL1208)&amp;TRIM(AK1208)</f>
      </c>
      <c r="AN1208" s="116">
        <v>0</v>
      </c>
      <c r="AO1208" s="116" t="inlineStr">
        <is>
          <t>#NA</t>
        </is>
      </c>
      <c r="AP1208" s="116">
        <f>SUMIFS(M:M,AM:AM,AM1208)+SUMIFS(O:O,AM:AM,AM1208)</f>
      </c>
      <c r="AQ1208" s="116">
        <f>SUMIFS(L:L,AM:AM,AM1208)</f>
      </c>
      <c r="AR1208" s="116">
        <f>AQ1208-AP1208</f>
      </c>
      <c r="AS1208" s="94" t="str">
        <f>IF(AN1208&gt;=AQ1208,"ok","ck")</f>
      </c>
      <c r="AT1208" s="116">
        <f>-P1208</f>
      </c>
      <c r="AU1208" s="115">
        <f>IF(SUMIFS(AT:AT,AM:AM,AM1208)&gt;AO1208,(SUMIFS(AT:AT,AM:AM,AM1208)-AO1208))</f>
      </c>
      <c r="AV1208" s="116">
        <v>0</v>
      </c>
      <c r="AW1208" s="121">
        <v>0</v>
      </c>
      <c r="AX1208" s="115">
        <f>AN1208-AP1208</f>
      </c>
    </row>
    <row r="1209" spans="1:50" ht="15" hidden="1" customHeight="1" x14ac:dyDescent="0.3">
      <c r="A1209" s="94" t="s">
        <v>268</v>
      </c>
      <c r="B1209" s="94"/>
      <c r="C1209" s="94"/>
      <c r="D1209" s="94"/>
      <c r="E1209" s="94"/>
      <c r="F1209" s="94"/>
      <c r="G1209" s="112">
        <f>AU1209</f>
      </c>
      <c r="H1209" s="113"/>
      <c r="I1209" s="94" t="s">
        <v>278</v>
      </c>
      <c r="J1209" s="94" t="s">
        <v>293</v>
      </c>
      <c r="K1209" s="114">
        <f>P1209/3</f>
      </c>
      <c r="L1209" s="115">
        <v>22.134</v>
      </c>
      <c r="M1209" s="116"/>
      <c r="N1209" s="117">
        <f>M1209-L1209</f>
      </c>
      <c r="O1209" s="112"/>
      <c r="P1209" s="118">
        <f>N1209+O1209</f>
      </c>
      <c r="Q1209" s="94" t="s">
        <v>778</v>
      </c>
      <c r="R1209" s="94" t="s">
        <v>63</v>
      </c>
      <c r="S1209" s="120">
        <v>46333</v>
      </c>
      <c r="T1209" s="120"/>
      <c r="U1209" s="120">
        <v>46333</v>
      </c>
      <c r="V1209" s="94"/>
      <c r="W1209" s="94"/>
      <c r="X1209" s="94"/>
      <c r="Y1209" s="119">
        <v>46335</v>
      </c>
      <c r="Z1209" s="94"/>
      <c r="AA1209" s="120"/>
      <c r="AB1209" s="120"/>
      <c r="AC1209" s="120"/>
      <c r="AD1209" s="120"/>
      <c r="AE1209" s="120"/>
      <c r="AF1209" s="120"/>
      <c r="AG1209" s="94"/>
      <c r="AH1209" s="120"/>
      <c r="AI1209" s="94"/>
      <c r="AJ1209" s="94" t="s">
        <v>778</v>
      </c>
      <c r="AK1209" s="94" t="s">
        <v>294</v>
      </c>
      <c r="AL1209" s="94">
        <v>120</v>
      </c>
      <c r="AM1209" s="94" t="str">
        <f>TRIM(AJ1209)&amp;TRIM(AL1209)&amp;TRIM(AK1209)</f>
      </c>
      <c r="AN1209" s="116">
        <v>0</v>
      </c>
      <c r="AO1209" s="116" t="inlineStr">
        <is>
          <t>#NA</t>
        </is>
      </c>
      <c r="AP1209" s="116">
        <f>SUMIFS(M:M,AM:AM,AM1209)+SUMIFS(O:O,AM:AM,AM1209)</f>
      </c>
      <c r="AQ1209" s="116">
        <f>SUMIFS(L:L,AM:AM,AM1209)</f>
      </c>
      <c r="AR1209" s="116">
        <f>AQ1209-AP1209</f>
      </c>
      <c r="AS1209" s="94" t="str">
        <f>IF(AN1209&gt;=AQ1209,"ok","ck")</f>
      </c>
      <c r="AT1209" s="116">
        <f>-P1209</f>
      </c>
      <c r="AU1209" s="115">
        <f>IF(SUMIFS(AT:AT,AM:AM,AM1209)&gt;AO1209,(SUMIFS(AT:AT,AM:AM,AM1209)-AO1209))</f>
      </c>
      <c r="AV1209" s="116">
        <v>0</v>
      </c>
      <c r="AW1209" s="121">
        <v>0</v>
      </c>
      <c r="AX1209" s="115">
        <f>AN1209-AP1209</f>
      </c>
    </row>
    <row r="1210" spans="1:50" ht="15" hidden="1" customHeight="1" x14ac:dyDescent="0.3">
      <c r="A1210" s="94" t="s">
        <v>268</v>
      </c>
      <c r="B1210" s="94"/>
      <c r="C1210" s="94"/>
      <c r="D1210" s="94"/>
      <c r="E1210" s="94"/>
      <c r="F1210" s="94"/>
      <c r="G1210" s="112">
        <f>AU1210</f>
      </c>
      <c r="H1210" s="113"/>
      <c r="I1210" s="94" t="s">
        <v>278</v>
      </c>
      <c r="J1210" s="94" t="s">
        <v>293</v>
      </c>
      <c r="K1210" s="114">
        <f>P1210/3</f>
      </c>
      <c r="L1210" s="115">
        <v>0.33200000000000002</v>
      </c>
      <c r="M1210" s="116"/>
      <c r="N1210" s="117">
        <f>M1210-L1210</f>
      </c>
      <c r="O1210" s="112"/>
      <c r="P1210" s="118">
        <f>N1210+O1210</f>
      </c>
      <c r="Q1210" s="94" t="s">
        <v>778</v>
      </c>
      <c r="R1210" s="94" t="s">
        <v>63</v>
      </c>
      <c r="S1210" s="120">
        <v>46341</v>
      </c>
      <c r="T1210" s="120"/>
      <c r="U1210" s="120">
        <v>46341</v>
      </c>
      <c r="V1210" s="94"/>
      <c r="W1210" s="94"/>
      <c r="X1210" s="94"/>
      <c r="Y1210" s="119">
        <v>46341</v>
      </c>
      <c r="Z1210" s="94"/>
      <c r="AA1210" s="120"/>
      <c r="AB1210" s="120"/>
      <c r="AC1210" s="120"/>
      <c r="AD1210" s="120"/>
      <c r="AE1210" s="120"/>
      <c r="AF1210" s="120"/>
      <c r="AG1210" s="94"/>
      <c r="AH1210" s="120"/>
      <c r="AI1210" s="94"/>
      <c r="AJ1210" s="94" t="s">
        <v>778</v>
      </c>
      <c r="AK1210" s="94" t="s">
        <v>294</v>
      </c>
      <c r="AL1210" s="94">
        <v>120</v>
      </c>
      <c r="AM1210" s="94" t="str">
        <f>TRIM(AJ1210)&amp;TRIM(AL1210)&amp;TRIM(AK1210)</f>
      </c>
      <c r="AN1210" s="116">
        <v>0</v>
      </c>
      <c r="AO1210" s="116" t="inlineStr">
        <is>
          <t>#NA</t>
        </is>
      </c>
      <c r="AP1210" s="116">
        <f>SUMIFS(M:M,AM:AM,AM1210)+SUMIFS(O:O,AM:AM,AM1210)</f>
      </c>
      <c r="AQ1210" s="116">
        <f>SUMIFS(L:L,AM:AM,AM1210)</f>
      </c>
      <c r="AR1210" s="116">
        <f>AQ1210-AP1210</f>
      </c>
      <c r="AS1210" s="94" t="str">
        <f>IF(AN1210&gt;=AQ1210,"ok","ck")</f>
      </c>
      <c r="AT1210" s="116">
        <f>-P1210</f>
      </c>
      <c r="AU1210" s="115">
        <f>IF(SUMIFS(AT:AT,AM:AM,AM1210)&gt;AO1210,(SUMIFS(AT:AT,AM:AM,AM1210)-AO1210))</f>
      </c>
      <c r="AV1210" s="116">
        <v>0</v>
      </c>
      <c r="AW1210" s="121">
        <v>0</v>
      </c>
      <c r="AX1210" s="115">
        <f>AN1210-AP1210</f>
      </c>
    </row>
    <row r="1211" spans="1:50" ht="15" hidden="1" customHeight="1" x14ac:dyDescent="0.3">
      <c r="A1211" s="94" t="s">
        <v>268</v>
      </c>
      <c r="B1211" s="94"/>
      <c r="C1211" s="94"/>
      <c r="D1211" s="94"/>
      <c r="E1211" s="94"/>
      <c r="F1211" s="94"/>
      <c r="G1211" s="112">
        <f>AU1211</f>
      </c>
      <c r="H1211" s="113"/>
      <c r="I1211" s="94" t="s">
        <v>278</v>
      </c>
      <c r="J1211" s="94" t="s">
        <v>293</v>
      </c>
      <c r="K1211" s="114">
        <f>P1211/3</f>
      </c>
      <c r="L1211" s="115">
        <v>20.584</v>
      </c>
      <c r="M1211" s="116"/>
      <c r="N1211" s="117">
        <f>M1211-L1211</f>
      </c>
      <c r="O1211" s="112"/>
      <c r="P1211" s="118">
        <f>N1211+O1211</f>
      </c>
      <c r="Q1211" s="94" t="s">
        <v>778</v>
      </c>
      <c r="R1211" s="94" t="s">
        <v>63</v>
      </c>
      <c r="S1211" s="120">
        <v>46333</v>
      </c>
      <c r="T1211" s="120"/>
      <c r="U1211" s="120">
        <v>46333</v>
      </c>
      <c r="V1211" s="94"/>
      <c r="W1211" s="94"/>
      <c r="X1211" s="94"/>
      <c r="Y1211" s="119">
        <v>46329</v>
      </c>
      <c r="Z1211" s="94"/>
      <c r="AA1211" s="120"/>
      <c r="AB1211" s="120"/>
      <c r="AC1211" s="120"/>
      <c r="AD1211" s="120"/>
      <c r="AE1211" s="120"/>
      <c r="AF1211" s="120"/>
      <c r="AG1211" s="94"/>
      <c r="AH1211" s="120"/>
      <c r="AI1211" s="94"/>
      <c r="AJ1211" s="94" t="s">
        <v>778</v>
      </c>
      <c r="AK1211" s="94" t="s">
        <v>294</v>
      </c>
      <c r="AL1211" s="94">
        <v>120</v>
      </c>
      <c r="AM1211" s="94" t="str">
        <f>TRIM(AJ1211)&amp;TRIM(AL1211)&amp;TRIM(AK1211)</f>
      </c>
      <c r="AN1211" s="116">
        <v>0</v>
      </c>
      <c r="AO1211" s="116" t="inlineStr">
        <is>
          <t>#NA</t>
        </is>
      </c>
      <c r="AP1211" s="116">
        <f>SUMIFS(M:M,AM:AM,AM1211)+SUMIFS(O:O,AM:AM,AM1211)</f>
      </c>
      <c r="AQ1211" s="116">
        <f>SUMIFS(L:L,AM:AM,AM1211)</f>
      </c>
      <c r="AR1211" s="116">
        <f>AQ1211-AP1211</f>
      </c>
      <c r="AS1211" s="94" t="str">
        <f>IF(AN1211&gt;=AQ1211,"ok","ck")</f>
      </c>
      <c r="AT1211" s="116">
        <f>-P1211</f>
      </c>
      <c r="AU1211" s="115">
        <f>IF(SUMIFS(AT:AT,AM:AM,AM1211)&gt;AO1211,(SUMIFS(AT:AT,AM:AM,AM1211)-AO1211))</f>
      </c>
      <c r="AV1211" s="116">
        <v>0</v>
      </c>
      <c r="AW1211" s="121">
        <v>0</v>
      </c>
      <c r="AX1211" s="115">
        <f>AN1211-AP1211</f>
      </c>
    </row>
    <row r="1212" spans="1:50" ht="15" hidden="1" customHeight="1" x14ac:dyDescent="0.3">
      <c r="A1212" s="94" t="s">
        <v>288</v>
      </c>
      <c r="B1212" s="94"/>
      <c r="C1212" s="94"/>
      <c r="D1212" s="94"/>
      <c r="E1212" s="94"/>
      <c r="F1212" s="94"/>
      <c r="G1212" s="112">
        <f>AU1212</f>
      </c>
      <c r="H1212" s="113"/>
      <c r="I1212" s="94" t="s">
        <v>297</v>
      </c>
      <c r="J1212" s="94" t="s">
        <v>380</v>
      </c>
      <c r="K1212" s="114">
        <f>P1212/3</f>
      </c>
      <c r="L1212" s="115">
        <v>0</v>
      </c>
      <c r="M1212" s="116">
        <f>L1212</f>
      </c>
      <c r="N1212" s="117">
        <f>M1212-L1212</f>
      </c>
      <c r="O1212" s="112"/>
      <c r="P1212" s="118">
        <f>N1212+O1212</f>
      </c>
      <c r="Q1212" s="94" t="s">
        <v>299</v>
      </c>
      <c r="R1212" s="94" t="s">
        <v>63</v>
      </c>
      <c r="S1212" s="120">
        <v>46320</v>
      </c>
      <c r="T1212" s="120"/>
      <c r="U1212" s="120">
        <v>46320</v>
      </c>
      <c r="V1212" s="94"/>
      <c r="W1212" s="94"/>
      <c r="X1212" s="94"/>
      <c r="Y1212" s="119">
        <v>46320</v>
      </c>
      <c r="Z1212" s="94"/>
      <c r="AA1212" s="120"/>
      <c r="AB1212" s="120"/>
      <c r="AC1212" s="120"/>
      <c r="AD1212" s="120"/>
      <c r="AE1212" s="120"/>
      <c r="AF1212" s="120"/>
      <c r="AG1212" s="94"/>
      <c r="AH1212" s="120"/>
      <c r="AI1212" s="94"/>
      <c r="AJ1212" s="94" t="s">
        <v>478</v>
      </c>
      <c r="AK1212" s="94" t="s">
        <v>357</v>
      </c>
      <c r="AL1212" s="94">
        <v>190</v>
      </c>
      <c r="AM1212" s="94" t="str">
        <f>TRIM(AJ1212)&amp;TRIM(AL1212)&amp;TRIM(AK1212)</f>
      </c>
      <c r="AN1212" s="116">
        <v>6420</v>
      </c>
      <c r="AO1212" s="116">
        <v>-113.85</v>
      </c>
      <c r="AP1212" s="116">
        <f>SUMIFS(M:M,AM:AM,AM1212)+SUMIFS(O:O,AM:AM,AM1212)</f>
      </c>
      <c r="AQ1212" s="116">
        <f>SUMIFS(L:L,AM:AM,AM1212)</f>
      </c>
      <c r="AR1212" s="116">
        <f>AQ1212-AP1212</f>
      </c>
      <c r="AS1212" s="94" t="str">
        <f>IF(AN1212&gt;=AQ1212,"ok","ck")</f>
      </c>
      <c r="AT1212" s="116">
        <f>-P1212</f>
      </c>
      <c r="AU1212" s="115">
        <f>IF(SUMIFS(AT:AT,AM:AM,AM1212)&gt;AO1212,(SUMIFS(AT:AT,AM:AM,AM1212)-AO1212))</f>
      </c>
      <c r="AV1212" s="116">
        <v>6420</v>
      </c>
      <c r="AW1212" s="121">
        <v>1.018</v>
      </c>
      <c r="AX1212" s="115">
        <f>AN1212-AP1212</f>
      </c>
    </row>
    <row r="1213" spans="1:50" ht="15" hidden="1" customHeight="1" x14ac:dyDescent="0.3">
      <c r="A1213" s="94" t="s">
        <v>288</v>
      </c>
      <c r="B1213" s="94"/>
      <c r="C1213" s="94"/>
      <c r="D1213" s="94"/>
      <c r="E1213" s="94"/>
      <c r="F1213" s="94"/>
      <c r="G1213" s="112">
        <f>AU1213</f>
      </c>
      <c r="H1213" s="113"/>
      <c r="I1213" s="94" t="s">
        <v>297</v>
      </c>
      <c r="J1213" s="94" t="s">
        <v>380</v>
      </c>
      <c r="K1213" s="114">
        <f>P1213/3</f>
      </c>
      <c r="L1213" s="115">
        <v>0</v>
      </c>
      <c r="M1213" s="116">
        <f>L1213</f>
      </c>
      <c r="N1213" s="117">
        <f>M1213-L1213</f>
      </c>
      <c r="O1213" s="112"/>
      <c r="P1213" s="118">
        <f>N1213+O1213</f>
      </c>
      <c r="Q1213" s="94" t="s">
        <v>299</v>
      </c>
      <c r="R1213" s="94" t="s">
        <v>63</v>
      </c>
      <c r="S1213" s="119">
        <v>46324</v>
      </c>
      <c r="T1213" s="119"/>
      <c r="U1213" s="120">
        <v>46324</v>
      </c>
      <c r="V1213" s="94"/>
      <c r="W1213" s="94"/>
      <c r="X1213" s="94"/>
      <c r="Y1213" s="119">
        <v>46324</v>
      </c>
      <c r="Z1213" s="94"/>
      <c r="AA1213" s="120"/>
      <c r="AB1213" s="120"/>
      <c r="AC1213" s="120"/>
      <c r="AD1213" s="120"/>
      <c r="AE1213" s="120"/>
      <c r="AF1213" s="120"/>
      <c r="AG1213" s="94"/>
      <c r="AH1213" s="120"/>
      <c r="AI1213" s="94"/>
      <c r="AJ1213" s="94" t="s">
        <v>478</v>
      </c>
      <c r="AK1213" s="94" t="s">
        <v>357</v>
      </c>
      <c r="AL1213" s="94">
        <v>190</v>
      </c>
      <c r="AM1213" s="94" t="str">
        <f>TRIM(AJ1213)&amp;TRIM(AL1213)&amp;TRIM(AK1213)</f>
      </c>
      <c r="AN1213" s="116">
        <v>6420</v>
      </c>
      <c r="AO1213" s="116">
        <v>-113.85</v>
      </c>
      <c r="AP1213" s="116">
        <f>SUMIFS(M:M,AM:AM,AM1213)+SUMIFS(O:O,AM:AM,AM1213)</f>
      </c>
      <c r="AQ1213" s="116">
        <f>SUMIFS(L:L,AM:AM,AM1213)</f>
      </c>
      <c r="AR1213" s="116">
        <f>AQ1213-AP1213</f>
      </c>
      <c r="AS1213" s="94" t="str">
        <f>IF(AN1213&gt;=AQ1213,"ok","ck")</f>
      </c>
      <c r="AT1213" s="116">
        <f>-P1213</f>
      </c>
      <c r="AU1213" s="115">
        <f>IF(SUMIFS(AT:AT,AM:AM,AM1213)&gt;AO1213,(SUMIFS(AT:AT,AM:AM,AM1213)-AO1213))</f>
      </c>
      <c r="AV1213" s="116">
        <v>6420</v>
      </c>
      <c r="AW1213" s="121">
        <v>1.018</v>
      </c>
      <c r="AX1213" s="115">
        <f>AN1213-AP1213</f>
      </c>
    </row>
    <row r="1214" spans="1:50" ht="15" hidden="1" customHeight="1" x14ac:dyDescent="0.3">
      <c r="A1214" s="94" t="s">
        <v>268</v>
      </c>
      <c r="B1214" s="94"/>
      <c r="C1214" s="94"/>
      <c r="D1214" s="94"/>
      <c r="E1214" s="94"/>
      <c r="F1214" s="94"/>
      <c r="G1214" s="112">
        <f>AU1214</f>
      </c>
      <c r="H1214" s="113"/>
      <c r="I1214" s="94" t="s">
        <v>390</v>
      </c>
      <c r="J1214" s="94" t="s">
        <v>550</v>
      </c>
      <c r="K1214" s="114">
        <f>P1214/3</f>
      </c>
      <c r="L1214" s="115">
        <v>112.82899999999999</v>
      </c>
      <c r="M1214" s="116"/>
      <c r="N1214" s="117">
        <f>M1214-L1214</f>
      </c>
      <c r="O1214" s="112"/>
      <c r="P1214" s="118">
        <f>N1214+O1214</f>
      </c>
      <c r="Q1214" s="94" t="s">
        <v>805</v>
      </c>
      <c r="R1214" s="94" t="s">
        <v>63</v>
      </c>
      <c r="S1214" s="119">
        <v>46345</v>
      </c>
      <c r="T1214" s="119"/>
      <c r="U1214" s="120">
        <v>46345</v>
      </c>
      <c r="V1214" s="94"/>
      <c r="W1214" s="94"/>
      <c r="X1214" s="94"/>
      <c r="Y1214" s="119">
        <v>46345</v>
      </c>
      <c r="Z1214" s="94"/>
      <c r="AA1214" s="120"/>
      <c r="AB1214" s="120"/>
      <c r="AC1214" s="120"/>
      <c r="AD1214" s="120"/>
      <c r="AE1214" s="120"/>
      <c r="AF1214" s="120"/>
      <c r="AG1214" s="94"/>
      <c r="AH1214" s="120"/>
      <c r="AI1214" s="94"/>
      <c r="AJ1214" s="94" t="s">
        <v>805</v>
      </c>
      <c r="AK1214" s="94" t="s">
        <v>725</v>
      </c>
      <c r="AL1214" s="94">
        <v>140</v>
      </c>
      <c r="AM1214" s="94" t="str">
        <f>TRIM(AJ1214)&amp;TRIM(AL1214)&amp;TRIM(AK1214)</f>
      </c>
      <c r="AN1214" s="116">
        <v>0</v>
      </c>
      <c r="AO1214" s="116" t="inlineStr">
        <is>
          <t>#NA</t>
        </is>
      </c>
      <c r="AP1214" s="116">
        <f>SUMIFS(M:M,AM:AM,AM1214)+SUMIFS(O:O,AM:AM,AM1214)</f>
      </c>
      <c r="AQ1214" s="116">
        <f>SUMIFS(L:L,AM:AM,AM1214)</f>
      </c>
      <c r="AR1214" s="116">
        <f>AQ1214-AP1214</f>
      </c>
      <c r="AS1214" s="94" t="str">
        <f>IF(AN1214&gt;=AQ1214,"ok","ck")</f>
      </c>
      <c r="AT1214" s="116">
        <f>-P1214</f>
      </c>
      <c r="AU1214" s="115">
        <f>IF(SUMIFS(AT:AT,AM:AM,AM1214)&gt;AO1214,(SUMIFS(AT:AT,AM:AM,AM1214)-AO1214))</f>
      </c>
      <c r="AV1214" s="116">
        <v>0</v>
      </c>
      <c r="AW1214" s="121">
        <v>0</v>
      </c>
      <c r="AX1214" s="115">
        <f>AN1214-AP1214</f>
      </c>
    </row>
    <row r="1215" spans="1:50" ht="15" hidden="1" customHeight="1" x14ac:dyDescent="0.3">
      <c r="A1215" s="94" t="s">
        <v>60</v>
      </c>
      <c r="B1215" s="94"/>
      <c r="C1215" s="94"/>
      <c r="D1215" s="94"/>
      <c r="E1215" s="94"/>
      <c r="F1215" s="94"/>
      <c r="G1215" s="112">
        <f>AU1215</f>
      </c>
      <c r="H1215" s="113"/>
      <c r="I1215" s="94" t="s">
        <v>70</v>
      </c>
      <c r="J1215" s="94" t="s">
        <v>68</v>
      </c>
      <c r="K1215" s="114">
        <f>P1215/3</f>
      </c>
      <c r="L1215" s="115">
        <v>1828.856</v>
      </c>
      <c r="M1215" s="116">
        <v>878.24800000000005</v>
      </c>
      <c r="N1215" s="117">
        <f>M1215-L1215</f>
      </c>
      <c r="O1215" s="112"/>
      <c r="P1215" s="118">
        <f>N1215+O1215</f>
      </c>
      <c r="Q1215" s="94" t="s">
        <v>80</v>
      </c>
      <c r="R1215" s="94" t="s">
        <v>63</v>
      </c>
      <c r="S1215" s="119">
        <v>46329</v>
      </c>
      <c r="T1215" s="119"/>
      <c r="U1215" s="120" t="s">
        <v>636</v>
      </c>
      <c r="V1215" s="94"/>
      <c r="W1215" s="94"/>
      <c r="X1215" s="94"/>
      <c r="Y1215" s="119">
        <v>46337</v>
      </c>
      <c r="Z1215" s="94"/>
      <c r="AA1215" s="120"/>
      <c r="AB1215" s="120"/>
      <c r="AC1215" s="120"/>
      <c r="AD1215" s="120"/>
      <c r="AE1215" s="120"/>
      <c r="AF1215" s="120"/>
      <c r="AG1215" s="94"/>
      <c r="AH1215" s="120"/>
      <c r="AI1215" s="94"/>
      <c r="AJ1215" s="94" t="s">
        <v>80</v>
      </c>
      <c r="AK1215" s="94" t="s">
        <v>69</v>
      </c>
      <c r="AL1215" s="94">
        <v>140</v>
      </c>
      <c r="AM1215" s="94" t="str">
        <f>TRIM(AJ1215)&amp;TRIM(AL1215)&amp;TRIM(AK1215)</f>
      </c>
      <c r="AN1215" s="116">
        <v>2519</v>
      </c>
      <c r="AO1215" s="116">
        <v>1523</v>
      </c>
      <c r="AP1215" s="116">
        <f>SUMIFS(M:M,AM:AM,AM1215)+SUMIFS(O:O,AM:AM,AM1215)</f>
      </c>
      <c r="AQ1215" s="116">
        <f>SUMIFS(L:L,AM:AM,AM1215)</f>
      </c>
      <c r="AR1215" s="116">
        <f>AQ1215-AP1215</f>
      </c>
      <c r="AS1215" s="94" t="str">
        <f>IF(AN1215&gt;=AQ1215,"ok","ck")</f>
      </c>
      <c r="AT1215" s="116">
        <f>-P1215</f>
      </c>
      <c r="AU1215" s="115">
        <f>IF(SUMIFS(AT:AT,AM:AM,AM1215)&gt;AO1215,(SUMIFS(AT:AT,AM:AM,AM1215)-AO1215))</f>
      </c>
      <c r="AV1215" s="116">
        <v>2519</v>
      </c>
      <c r="AW1215" s="121">
        <v>0.623</v>
      </c>
      <c r="AX1215" s="115">
        <f>AN1215-AP1215</f>
      </c>
    </row>
    <row r="1216" spans="1:50" ht="15" hidden="1" customHeight="1" x14ac:dyDescent="0.3">
      <c r="A1216" s="94" t="s">
        <v>60</v>
      </c>
      <c r="B1216" s="94"/>
      <c r="C1216" s="94"/>
      <c r="D1216" s="94"/>
      <c r="E1216" s="94"/>
      <c r="F1216" s="94"/>
      <c r="G1216" s="112">
        <f>AU1216</f>
      </c>
      <c r="H1216" s="113"/>
      <c r="I1216" s="94" t="s">
        <v>70</v>
      </c>
      <c r="J1216" s="94" t="s">
        <v>68</v>
      </c>
      <c r="K1216" s="114">
        <f>P1216/3</f>
      </c>
      <c r="L1216" s="115">
        <v>572.39200000000005</v>
      </c>
      <c r="M1216" s="116"/>
      <c r="N1216" s="117">
        <f>M1216-L1216</f>
      </c>
      <c r="O1216" s="112"/>
      <c r="P1216" s="118">
        <f>N1216+O1216</f>
      </c>
      <c r="Q1216" s="94" t="s">
        <v>80</v>
      </c>
      <c r="R1216" s="94" t="s">
        <v>63</v>
      </c>
      <c r="S1216" s="119">
        <v>46332</v>
      </c>
      <c r="T1216" s="119"/>
      <c r="U1216" s="120" t="s">
        <v>636</v>
      </c>
      <c r="V1216" s="94"/>
      <c r="W1216" s="94"/>
      <c r="X1216" s="94"/>
      <c r="Y1216" s="119">
        <v>46320</v>
      </c>
      <c r="Z1216" s="94"/>
      <c r="AA1216" s="120"/>
      <c r="AB1216" s="120"/>
      <c r="AC1216" s="120"/>
      <c r="AD1216" s="120"/>
      <c r="AE1216" s="120"/>
      <c r="AF1216" s="120"/>
      <c r="AG1216" s="94"/>
      <c r="AH1216" s="120"/>
      <c r="AI1216" s="94"/>
      <c r="AJ1216" s="94" t="s">
        <v>80</v>
      </c>
      <c r="AK1216" s="94" t="s">
        <v>69</v>
      </c>
      <c r="AL1216" s="94">
        <v>140</v>
      </c>
      <c r="AM1216" s="94" t="str">
        <f>TRIM(AJ1216)&amp;TRIM(AL1216)&amp;TRIM(AK1216)</f>
      </c>
      <c r="AN1216" s="116">
        <v>2519</v>
      </c>
      <c r="AO1216" s="116">
        <v>1523</v>
      </c>
      <c r="AP1216" s="116">
        <f>SUMIFS(M:M,AM:AM,AM1216)+SUMIFS(O:O,AM:AM,AM1216)</f>
      </c>
      <c r="AQ1216" s="116">
        <f>SUMIFS(L:L,AM:AM,AM1216)</f>
      </c>
      <c r="AR1216" s="116">
        <f>AQ1216-AP1216</f>
      </c>
      <c r="AS1216" s="94" t="str">
        <f>IF(AN1216&gt;=AQ1216,"ok","ck")</f>
      </c>
      <c r="AT1216" s="116">
        <f>-P1216</f>
      </c>
      <c r="AU1216" s="115">
        <f>IF(SUMIFS(AT:AT,AM:AM,AM1216)&gt;AO1216,(SUMIFS(AT:AT,AM:AM,AM1216)-AO1216))</f>
      </c>
      <c r="AV1216" s="116">
        <v>2519</v>
      </c>
      <c r="AW1216" s="121">
        <v>0.623</v>
      </c>
      <c r="AX1216" s="115">
        <f>AN1216-AP1216</f>
      </c>
    </row>
    <row r="1217" spans="1:50" ht="15" hidden="1" customHeight="1" x14ac:dyDescent="0.3">
      <c r="A1217" s="94" t="s">
        <v>60</v>
      </c>
      <c r="B1217" s="94"/>
      <c r="C1217" s="94"/>
      <c r="D1217" s="94"/>
      <c r="E1217" s="94"/>
      <c r="F1217" s="94"/>
      <c r="G1217" s="112">
        <f>AU1217</f>
      </c>
      <c r="H1217" s="113"/>
      <c r="I1217" s="94" t="s">
        <v>70</v>
      </c>
      <c r="J1217" s="94" t="s">
        <v>71</v>
      </c>
      <c r="K1217" s="114">
        <f>P1217/3</f>
      </c>
      <c r="L1217" s="115">
        <v>3602.2049999999999</v>
      </c>
      <c r="M1217" s="116"/>
      <c r="N1217" s="117">
        <f>M1217-L1217</f>
      </c>
      <c r="O1217" s="112"/>
      <c r="P1217" s="118">
        <f>N1217+O1217</f>
      </c>
      <c r="Q1217" s="94" t="s">
        <v>80</v>
      </c>
      <c r="R1217" s="94" t="s">
        <v>63</v>
      </c>
      <c r="S1217" s="120">
        <v>46329</v>
      </c>
      <c r="T1217" s="120"/>
      <c r="U1217" s="120" t="s">
        <v>657</v>
      </c>
      <c r="V1217" s="94"/>
      <c r="W1217" s="94"/>
      <c r="X1217" s="94"/>
      <c r="Y1217" s="119">
        <v>46320</v>
      </c>
      <c r="Z1217" s="94"/>
      <c r="AA1217" s="120"/>
      <c r="AB1217" s="120"/>
      <c r="AC1217" s="120"/>
      <c r="AD1217" s="120"/>
      <c r="AE1217" s="120"/>
      <c r="AF1217" s="120"/>
      <c r="AG1217" s="94"/>
      <c r="AH1217" s="120"/>
      <c r="AI1217" s="94"/>
      <c r="AJ1217" s="94" t="s">
        <v>80</v>
      </c>
      <c r="AK1217" s="94" t="s">
        <v>71</v>
      </c>
      <c r="AL1217" s="94">
        <v>140</v>
      </c>
      <c r="AM1217" s="94" t="str">
        <f>TRIM(AJ1217)&amp;TRIM(AL1217)&amp;TRIM(AK1217)</f>
      </c>
      <c r="AN1217" s="116">
        <v>4994.17</v>
      </c>
      <c r="AO1217" s="116">
        <v>4705.83</v>
      </c>
      <c r="AP1217" s="116">
        <f>SUMIFS(M:M,AM:AM,AM1217)+SUMIFS(O:O,AM:AM,AM1217)</f>
      </c>
      <c r="AQ1217" s="116">
        <f>SUMIFS(L:L,AM:AM,AM1217)</f>
      </c>
      <c r="AR1217" s="116">
        <f>AQ1217-AP1217</f>
      </c>
      <c r="AS1217" s="94" t="str">
        <f>IF(AN1217&gt;=AQ1217,"ok","ck")</f>
      </c>
      <c r="AT1217" s="116">
        <f>-P1217</f>
      </c>
      <c r="AU1217" s="115">
        <f>IF(SUMIFS(AT:AT,AM:AM,AM1217)&gt;AO1217,(SUMIFS(AT:AT,AM:AM,AM1217)-AO1217))</f>
      </c>
      <c r="AV1217" s="116">
        <v>4994.17</v>
      </c>
      <c r="AW1217" s="121">
        <v>0.515</v>
      </c>
      <c r="AX1217" s="115">
        <f>AN1217-AP1217</f>
      </c>
    </row>
    <row r="1218" spans="1:50" ht="15" hidden="1" customHeight="1" x14ac:dyDescent="0.3">
      <c r="A1218" s="94" t="s">
        <v>60</v>
      </c>
      <c r="B1218" s="94"/>
      <c r="C1218" s="94"/>
      <c r="D1218" s="94"/>
      <c r="E1218" s="94"/>
      <c r="F1218" s="94"/>
      <c r="G1218" s="112">
        <f>AU1218</f>
      </c>
      <c r="H1218" s="113"/>
      <c r="I1218" s="94" t="s">
        <v>65</v>
      </c>
      <c r="J1218" s="94" t="s">
        <v>71</v>
      </c>
      <c r="K1218" s="114">
        <f>P1218/3</f>
      </c>
      <c r="L1218" s="115">
        <v>0.24</v>
      </c>
      <c r="M1218" s="116"/>
      <c r="N1218" s="117">
        <f>M1218-L1218</f>
      </c>
      <c r="O1218" s="112"/>
      <c r="P1218" s="118">
        <f>N1218+O1218</f>
      </c>
      <c r="Q1218" s="94" t="s">
        <v>811</v>
      </c>
      <c r="R1218" s="94" t="s">
        <v>63</v>
      </c>
      <c r="S1218" s="120">
        <v>46345</v>
      </c>
      <c r="T1218" s="120"/>
      <c r="U1218" s="120">
        <v>46345</v>
      </c>
      <c r="V1218" s="94"/>
      <c r="W1218" s="94"/>
      <c r="X1218" s="94"/>
      <c r="Y1218" s="119">
        <v>46337</v>
      </c>
      <c r="Z1218" s="94"/>
      <c r="AA1218" s="120"/>
      <c r="AB1218" s="120"/>
      <c r="AC1218" s="120"/>
      <c r="AD1218" s="120"/>
      <c r="AE1218" s="120"/>
      <c r="AF1218" s="120"/>
      <c r="AG1218" s="94"/>
      <c r="AH1218" s="120"/>
      <c r="AI1218" s="94"/>
      <c r="AJ1218" s="94" t="s">
        <v>811</v>
      </c>
      <c r="AK1218" s="94" t="s">
        <v>71</v>
      </c>
      <c r="AL1218" s="94">
        <v>110</v>
      </c>
      <c r="AM1218" s="94" t="str">
        <f>TRIM(AJ1218)&amp;TRIM(AL1218)&amp;TRIM(AK1218)</f>
      </c>
      <c r="AN1218" s="116">
        <v>0</v>
      </c>
      <c r="AO1218" s="116" t="inlineStr">
        <is>
          <t>#NA</t>
        </is>
      </c>
      <c r="AP1218" s="116">
        <f>SUMIFS(M:M,AM:AM,AM1218)+SUMIFS(O:O,AM:AM,AM1218)</f>
      </c>
      <c r="AQ1218" s="116">
        <f>SUMIFS(L:L,AM:AM,AM1218)</f>
      </c>
      <c r="AR1218" s="116">
        <f>AQ1218-AP1218</f>
      </c>
      <c r="AS1218" s="94" t="str">
        <f>IF(AN1218&gt;=AQ1218,"ok","ck")</f>
      </c>
      <c r="AT1218" s="116">
        <f>-P1218</f>
      </c>
      <c r="AU1218" s="115">
        <f>IF(SUMIFS(AT:AT,AM:AM,AM1218)&gt;AO1218,(SUMIFS(AT:AT,AM:AM,AM1218)-AO1218))</f>
      </c>
      <c r="AV1218" s="116">
        <v>0</v>
      </c>
      <c r="AW1218" s="121">
        <v>0</v>
      </c>
      <c r="AX1218" s="115">
        <f>AN1218-AP1218</f>
      </c>
    </row>
    <row r="1219" spans="1:50" ht="15" hidden="1" customHeight="1" x14ac:dyDescent="0.3">
      <c r="A1219" s="94" t="s">
        <v>60</v>
      </c>
      <c r="B1219" s="94"/>
      <c r="C1219" s="94"/>
      <c r="D1219" s="94"/>
      <c r="E1219" s="94"/>
      <c r="F1219" s="94"/>
      <c r="G1219" s="112">
        <f>AU1219</f>
      </c>
      <c r="H1219" s="113"/>
      <c r="I1219" s="94" t="s">
        <v>65</v>
      </c>
      <c r="J1219" s="94" t="s">
        <v>71</v>
      </c>
      <c r="K1219" s="114">
        <f>P1219/3</f>
      </c>
      <c r="L1219" s="115">
        <v>41.28</v>
      </c>
      <c r="M1219" s="116"/>
      <c r="N1219" s="117">
        <f>M1219-L1219</f>
      </c>
      <c r="O1219" s="112"/>
      <c r="P1219" s="118">
        <f>N1219+O1219</f>
      </c>
      <c r="Q1219" s="94" t="s">
        <v>811</v>
      </c>
      <c r="R1219" s="94" t="s">
        <v>63</v>
      </c>
      <c r="S1219" s="120">
        <v>46345</v>
      </c>
      <c r="T1219" s="120"/>
      <c r="U1219" s="120">
        <v>46345</v>
      </c>
      <c r="V1219" s="94"/>
      <c r="W1219" s="94"/>
      <c r="X1219" s="94"/>
      <c r="Y1219" s="119">
        <v>46336</v>
      </c>
      <c r="Z1219" s="94"/>
      <c r="AA1219" s="120"/>
      <c r="AB1219" s="120"/>
      <c r="AC1219" s="120"/>
      <c r="AD1219" s="120"/>
      <c r="AE1219" s="120"/>
      <c r="AF1219" s="120"/>
      <c r="AG1219" s="94"/>
      <c r="AH1219" s="120"/>
      <c r="AI1219" s="94"/>
      <c r="AJ1219" s="94" t="s">
        <v>811</v>
      </c>
      <c r="AK1219" s="94" t="s">
        <v>71</v>
      </c>
      <c r="AL1219" s="94">
        <v>110</v>
      </c>
      <c r="AM1219" s="94" t="str">
        <f>TRIM(AJ1219)&amp;TRIM(AL1219)&amp;TRIM(AK1219)</f>
      </c>
      <c r="AN1219" s="116">
        <v>0</v>
      </c>
      <c r="AO1219" s="116" t="inlineStr">
        <is>
          <t>#NA</t>
        </is>
      </c>
      <c r="AP1219" s="116">
        <f>SUMIFS(M:M,AM:AM,AM1219)+SUMIFS(O:O,AM:AM,AM1219)</f>
      </c>
      <c r="AQ1219" s="116">
        <f>SUMIFS(L:L,AM:AM,AM1219)</f>
      </c>
      <c r="AR1219" s="116">
        <f>AQ1219-AP1219</f>
      </c>
      <c r="AS1219" s="94" t="str">
        <f>IF(AN1219&gt;=AQ1219,"ok","ck")</f>
      </c>
      <c r="AT1219" s="116">
        <f>-P1219</f>
      </c>
      <c r="AU1219" s="115">
        <f>IF(SUMIFS(AT:AT,AM:AM,AM1219)&gt;AO1219,(SUMIFS(AT:AT,AM:AM,AM1219)-AO1219))</f>
      </c>
      <c r="AV1219" s="116">
        <v>0</v>
      </c>
      <c r="AW1219" s="121">
        <v>0</v>
      </c>
      <c r="AX1219" s="115">
        <f>AN1219-AP1219</f>
      </c>
    </row>
    <row r="1220" spans="1:50" ht="15" hidden="1" customHeight="1" x14ac:dyDescent="0.3">
      <c r="A1220" s="94" t="s">
        <v>60</v>
      </c>
      <c r="B1220" s="94"/>
      <c r="C1220" s="94"/>
      <c r="D1220" s="94"/>
      <c r="E1220" s="94"/>
      <c r="F1220" s="94"/>
      <c r="G1220" s="112">
        <f>AU1220</f>
      </c>
      <c r="H1220" s="113"/>
      <c r="I1220" s="94" t="s">
        <v>70</v>
      </c>
      <c r="J1220" s="94" t="s">
        <v>572</v>
      </c>
      <c r="K1220" s="114">
        <f>P1220/3</f>
      </c>
      <c r="L1220" s="115">
        <v>0.9</v>
      </c>
      <c r="M1220" s="116"/>
      <c r="N1220" s="117">
        <f>M1220-L1220</f>
      </c>
      <c r="O1220" s="112"/>
      <c r="P1220" s="118">
        <f>N1220+O1220</f>
      </c>
      <c r="Q1220" s="94" t="s">
        <v>811</v>
      </c>
      <c r="R1220" s="94" t="s">
        <v>63</v>
      </c>
      <c r="S1220" s="120">
        <v>46345</v>
      </c>
      <c r="T1220" s="120"/>
      <c r="U1220" s="120">
        <v>46345</v>
      </c>
      <c r="V1220" s="94"/>
      <c r="W1220" s="94"/>
      <c r="X1220" s="94"/>
      <c r="Y1220" s="119">
        <v>46337</v>
      </c>
      <c r="Z1220" s="94"/>
      <c r="AA1220" s="120"/>
      <c r="AB1220" s="120"/>
      <c r="AC1220" s="120"/>
      <c r="AD1220" s="120"/>
      <c r="AE1220" s="120"/>
      <c r="AF1220" s="120"/>
      <c r="AG1220" s="94"/>
      <c r="AH1220" s="120"/>
      <c r="AI1220" s="94"/>
      <c r="AJ1220" s="94" t="s">
        <v>811</v>
      </c>
      <c r="AK1220" s="94" t="s">
        <v>572</v>
      </c>
      <c r="AL1220" s="94">
        <v>140</v>
      </c>
      <c r="AM1220" s="94" t="str">
        <f>TRIM(AJ1220)&amp;TRIM(AL1220)&amp;TRIM(AK1220)</f>
      </c>
      <c r="AN1220" s="116">
        <v>0</v>
      </c>
      <c r="AO1220" s="116" t="inlineStr">
        <is>
          <t>#NA</t>
        </is>
      </c>
      <c r="AP1220" s="116">
        <f>SUMIFS(M:M,AM:AM,AM1220)+SUMIFS(O:O,AM:AM,AM1220)</f>
      </c>
      <c r="AQ1220" s="116">
        <f>SUMIFS(L:L,AM:AM,AM1220)</f>
      </c>
      <c r="AR1220" s="116">
        <f>AQ1220-AP1220</f>
      </c>
      <c r="AS1220" s="94" t="str">
        <f>IF(AN1220&gt;=AQ1220,"ok","ck")</f>
      </c>
      <c r="AT1220" s="116">
        <f>-P1220</f>
      </c>
      <c r="AU1220" s="115">
        <f>IF(SUMIFS(AT:AT,AM:AM,AM1220)&gt;AO1220,(SUMIFS(AT:AT,AM:AM,AM1220)-AO1220))</f>
      </c>
      <c r="AV1220" s="116">
        <v>0</v>
      </c>
      <c r="AW1220" s="121">
        <v>0</v>
      </c>
      <c r="AX1220" s="115">
        <f>AN1220-AP1220</f>
      </c>
    </row>
    <row r="1221" spans="1:50" ht="15" hidden="1" customHeight="1" x14ac:dyDescent="0.3">
      <c r="A1221" s="94" t="s">
        <v>60</v>
      </c>
      <c r="B1221" s="94"/>
      <c r="C1221" s="94"/>
      <c r="D1221" s="94"/>
      <c r="E1221" s="94"/>
      <c r="F1221" s="94"/>
      <c r="G1221" s="112">
        <f>AU1221</f>
      </c>
      <c r="H1221" s="113"/>
      <c r="I1221" s="94" t="s">
        <v>70</v>
      </c>
      <c r="J1221" s="94" t="s">
        <v>572</v>
      </c>
      <c r="K1221" s="114">
        <f>P1221/3</f>
      </c>
      <c r="L1221" s="115">
        <v>154.80000000000001</v>
      </c>
      <c r="M1221" s="116"/>
      <c r="N1221" s="117">
        <f>M1221-L1221</f>
      </c>
      <c r="O1221" s="112"/>
      <c r="P1221" s="118">
        <f>N1221+O1221</f>
      </c>
      <c r="Q1221" s="94" t="s">
        <v>811</v>
      </c>
      <c r="R1221" s="94" t="s">
        <v>63</v>
      </c>
      <c r="S1221" s="120">
        <v>46345</v>
      </c>
      <c r="T1221" s="120"/>
      <c r="U1221" s="120">
        <v>46345</v>
      </c>
      <c r="V1221" s="94"/>
      <c r="W1221" s="94"/>
      <c r="X1221" s="94"/>
      <c r="Y1221" s="119">
        <v>46336</v>
      </c>
      <c r="Z1221" s="94"/>
      <c r="AA1221" s="120"/>
      <c r="AB1221" s="120"/>
      <c r="AC1221" s="120"/>
      <c r="AD1221" s="120"/>
      <c r="AE1221" s="120"/>
      <c r="AF1221" s="120"/>
      <c r="AG1221" s="94"/>
      <c r="AH1221" s="120"/>
      <c r="AI1221" s="94"/>
      <c r="AJ1221" s="94" t="s">
        <v>811</v>
      </c>
      <c r="AK1221" s="94" t="s">
        <v>572</v>
      </c>
      <c r="AL1221" s="94">
        <v>140</v>
      </c>
      <c r="AM1221" s="94" t="str">
        <f>TRIM(AJ1221)&amp;TRIM(AL1221)&amp;TRIM(AK1221)</f>
      </c>
      <c r="AN1221" s="116">
        <v>0</v>
      </c>
      <c r="AO1221" s="116" t="inlineStr">
        <is>
          <t>#NA</t>
        </is>
      </c>
      <c r="AP1221" s="116">
        <f>SUMIFS(M:M,AM:AM,AM1221)+SUMIFS(O:O,AM:AM,AM1221)</f>
      </c>
      <c r="AQ1221" s="116">
        <f>SUMIFS(L:L,AM:AM,AM1221)</f>
      </c>
      <c r="AR1221" s="116">
        <f>AQ1221-AP1221</f>
      </c>
      <c r="AS1221" s="94" t="str">
        <f>IF(AN1221&gt;=AQ1221,"ok","ck")</f>
      </c>
      <c r="AT1221" s="116">
        <f>-P1221</f>
      </c>
      <c r="AU1221" s="115">
        <f>IF(SUMIFS(AT:AT,AM:AM,AM1221)&gt;AO1221,(SUMIFS(AT:AT,AM:AM,AM1221)-AO1221))</f>
      </c>
      <c r="AV1221" s="116">
        <v>0</v>
      </c>
      <c r="AW1221" s="121">
        <v>0</v>
      </c>
      <c r="AX1221" s="115">
        <f>AN1221-AP1221</f>
      </c>
    </row>
    <row r="1222" spans="1:50" ht="15" hidden="1" customHeight="1" x14ac:dyDescent="0.3">
      <c r="A1222" s="94" t="s">
        <v>60</v>
      </c>
      <c r="B1222" s="94"/>
      <c r="C1222" s="94"/>
      <c r="D1222" s="94"/>
      <c r="E1222" s="94"/>
      <c r="F1222" s="94"/>
      <c r="G1222" s="112">
        <f>AU1222</f>
      </c>
      <c r="H1222" s="113"/>
      <c r="I1222" s="94" t="s">
        <v>65</v>
      </c>
      <c r="J1222" s="94" t="s">
        <v>570</v>
      </c>
      <c r="K1222" s="114">
        <f>P1222/3</f>
      </c>
      <c r="L1222" s="115">
        <v>20.64</v>
      </c>
      <c r="M1222" s="116"/>
      <c r="N1222" s="117">
        <f>M1222-L1222</f>
      </c>
      <c r="O1222" s="112"/>
      <c r="P1222" s="118">
        <f>N1222+O1222</f>
      </c>
      <c r="Q1222" s="94" t="s">
        <v>811</v>
      </c>
      <c r="R1222" s="94" t="s">
        <v>63</v>
      </c>
      <c r="S1222" s="120">
        <v>46345</v>
      </c>
      <c r="T1222" s="120"/>
      <c r="U1222" s="120">
        <v>46345</v>
      </c>
      <c r="V1222" s="94"/>
      <c r="W1222" s="94"/>
      <c r="X1222" s="94"/>
      <c r="Y1222" s="119">
        <v>46336</v>
      </c>
      <c r="Z1222" s="94"/>
      <c r="AA1222" s="120"/>
      <c r="AB1222" s="120"/>
      <c r="AC1222" s="120"/>
      <c r="AD1222" s="120"/>
      <c r="AE1222" s="120"/>
      <c r="AF1222" s="120"/>
      <c r="AG1222" s="94"/>
      <c r="AH1222" s="120"/>
      <c r="AI1222" s="94"/>
      <c r="AJ1222" s="94" t="s">
        <v>811</v>
      </c>
      <c r="AK1222" s="94" t="s">
        <v>740</v>
      </c>
      <c r="AL1222" s="94">
        <v>110</v>
      </c>
      <c r="AM1222" s="94" t="str">
        <f>TRIM(AJ1222)&amp;TRIM(AL1222)&amp;TRIM(AK1222)</f>
      </c>
      <c r="AN1222" s="116">
        <v>0</v>
      </c>
      <c r="AO1222" s="116" t="inlineStr">
        <is>
          <t>#NA</t>
        </is>
      </c>
      <c r="AP1222" s="116">
        <f>SUMIFS(M:M,AM:AM,AM1222)+SUMIFS(O:O,AM:AM,AM1222)</f>
      </c>
      <c r="AQ1222" s="116">
        <f>SUMIFS(L:L,AM:AM,AM1222)</f>
      </c>
      <c r="AR1222" s="116">
        <f>AQ1222-AP1222</f>
      </c>
      <c r="AS1222" s="94" t="str">
        <f>IF(AN1222&gt;=AQ1222,"ok","ck")</f>
      </c>
      <c r="AT1222" s="116">
        <f>-P1222</f>
      </c>
      <c r="AU1222" s="115">
        <f>IF(SUMIFS(AT:AT,AM:AM,AM1222)&gt;AO1222,(SUMIFS(AT:AT,AM:AM,AM1222)-AO1222))</f>
      </c>
      <c r="AV1222" s="116">
        <v>0</v>
      </c>
      <c r="AW1222" s="121">
        <v>0</v>
      </c>
      <c r="AX1222" s="115">
        <f>AN1222-AP1222</f>
      </c>
    </row>
    <row r="1223" spans="1:50" ht="15" hidden="1" customHeight="1" x14ac:dyDescent="0.3">
      <c r="A1223" s="94" t="s">
        <v>60</v>
      </c>
      <c r="B1223" s="94"/>
      <c r="C1223" s="94"/>
      <c r="D1223" s="94"/>
      <c r="E1223" s="94"/>
      <c r="F1223" s="94"/>
      <c r="G1223" s="112">
        <f>AU1223</f>
      </c>
      <c r="H1223" s="113"/>
      <c r="I1223" s="94" t="s">
        <v>65</v>
      </c>
      <c r="J1223" s="94" t="s">
        <v>547</v>
      </c>
      <c r="K1223" s="114">
        <f>P1223/3</f>
      </c>
      <c r="L1223" s="115">
        <v>-3.0000000000000001E-3</v>
      </c>
      <c r="M1223" s="116">
        <f>L1223</f>
      </c>
      <c r="N1223" s="117">
        <f>M1223-L1223</f>
      </c>
      <c r="O1223" s="112"/>
      <c r="P1223" s="118">
        <f>N1223+O1223</f>
      </c>
      <c r="Q1223" s="94" t="s">
        <v>785</v>
      </c>
      <c r="R1223" s="94" t="s">
        <v>63</v>
      </c>
      <c r="S1223" s="120">
        <v>46328</v>
      </c>
      <c r="T1223" s="120"/>
      <c r="U1223" s="120">
        <v>46328</v>
      </c>
      <c r="V1223" s="94"/>
      <c r="W1223" s="94"/>
      <c r="X1223" s="94"/>
      <c r="Y1223" s="119">
        <v>46328</v>
      </c>
      <c r="Z1223" s="94"/>
      <c r="AA1223" s="120"/>
      <c r="AB1223" s="120"/>
      <c r="AC1223" s="120"/>
      <c r="AD1223" s="120"/>
      <c r="AE1223" s="120"/>
      <c r="AF1223" s="120"/>
      <c r="AG1223" s="94"/>
      <c r="AH1223" s="120"/>
      <c r="AI1223" s="94"/>
      <c r="AJ1223" s="94" t="s">
        <v>785</v>
      </c>
      <c r="AK1223" s="94" t="s">
        <v>723</v>
      </c>
      <c r="AL1223" s="94">
        <v>110</v>
      </c>
      <c r="AM1223" s="94" t="str">
        <f>TRIM(AJ1223)&amp;TRIM(AL1223)&amp;TRIM(AK1223)</f>
      </c>
      <c r="AN1223" s="116">
        <v>116.09</v>
      </c>
      <c r="AO1223" s="116">
        <v>-4.09</v>
      </c>
      <c r="AP1223" s="116">
        <f>SUMIFS(M:M,AM:AM,AM1223)+SUMIFS(O:O,AM:AM,AM1223)</f>
      </c>
      <c r="AQ1223" s="116">
        <f>SUMIFS(L:L,AM:AM,AM1223)</f>
      </c>
      <c r="AR1223" s="116">
        <f>AQ1223-AP1223</f>
      </c>
      <c r="AS1223" s="94" t="str">
        <f>IF(AN1223&gt;=AQ1223,"ok","ck")</f>
      </c>
      <c r="AT1223" s="116">
        <f>-P1223</f>
      </c>
      <c r="AU1223" s="115">
        <f>IF(SUMIFS(AT:AT,AM:AM,AM1223)&gt;AO1223,(SUMIFS(AT:AT,AM:AM,AM1223)-AO1223))</f>
      </c>
      <c r="AV1223" s="116">
        <v>116.09</v>
      </c>
      <c r="AW1223" s="121">
        <v>1.037</v>
      </c>
      <c r="AX1223" s="115">
        <f>AN1223-AP1223</f>
      </c>
    </row>
    <row r="1224" spans="1:50" ht="15" hidden="1" customHeight="1" x14ac:dyDescent="0.3">
      <c r="A1224" s="94" t="s">
        <v>60</v>
      </c>
      <c r="B1224" s="94"/>
      <c r="C1224" s="94"/>
      <c r="D1224" s="94"/>
      <c r="E1224" s="94"/>
      <c r="F1224" s="94"/>
      <c r="G1224" s="112">
        <f>AU1224</f>
      </c>
      <c r="H1224" s="113"/>
      <c r="I1224" s="94" t="s">
        <v>65</v>
      </c>
      <c r="J1224" s="94" t="s">
        <v>547</v>
      </c>
      <c r="K1224" s="114">
        <f>P1224/3</f>
      </c>
      <c r="L1224" s="115">
        <v>-0.63400000000000001</v>
      </c>
      <c r="M1224" s="116">
        <f>L1224</f>
      </c>
      <c r="N1224" s="117">
        <f>M1224-L1224</f>
      </c>
      <c r="O1224" s="112"/>
      <c r="P1224" s="118">
        <f>N1224+O1224</f>
      </c>
      <c r="Q1224" s="94" t="s">
        <v>785</v>
      </c>
      <c r="R1224" s="94" t="s">
        <v>63</v>
      </c>
      <c r="S1224" s="119">
        <v>46326</v>
      </c>
      <c r="T1224" s="119"/>
      <c r="U1224" s="120">
        <v>46326</v>
      </c>
      <c r="V1224" s="94"/>
      <c r="W1224" s="94"/>
      <c r="X1224" s="94"/>
      <c r="Y1224" s="119">
        <v>46326</v>
      </c>
      <c r="Z1224" s="94"/>
      <c r="AA1224" s="120"/>
      <c r="AB1224" s="120"/>
      <c r="AC1224" s="120"/>
      <c r="AD1224" s="120"/>
      <c r="AE1224" s="120"/>
      <c r="AF1224" s="120"/>
      <c r="AG1224" s="94"/>
      <c r="AH1224" s="120"/>
      <c r="AI1224" s="94"/>
      <c r="AJ1224" s="94" t="s">
        <v>785</v>
      </c>
      <c r="AK1224" s="94" t="s">
        <v>723</v>
      </c>
      <c r="AL1224" s="94">
        <v>110</v>
      </c>
      <c r="AM1224" s="94" t="str">
        <f>TRIM(AJ1224)&amp;TRIM(AL1224)&amp;TRIM(AK1224)</f>
      </c>
      <c r="AN1224" s="116">
        <v>116.09</v>
      </c>
      <c r="AO1224" s="116">
        <v>-4.09</v>
      </c>
      <c r="AP1224" s="116">
        <f>SUMIFS(M:M,AM:AM,AM1224)+SUMIFS(O:O,AM:AM,AM1224)</f>
      </c>
      <c r="AQ1224" s="116">
        <f>SUMIFS(L:L,AM:AM,AM1224)</f>
      </c>
      <c r="AR1224" s="116">
        <f>AQ1224-AP1224</f>
      </c>
      <c r="AS1224" s="94" t="str">
        <f>IF(AN1224&gt;=AQ1224,"ok","ck")</f>
      </c>
      <c r="AT1224" s="116">
        <f>-P1224</f>
      </c>
      <c r="AU1224" s="115">
        <f>IF(SUMIFS(AT:AT,AM:AM,AM1224)&gt;AO1224,(SUMIFS(AT:AT,AM:AM,AM1224)-AO1224))</f>
      </c>
      <c r="AV1224" s="116">
        <v>116.09</v>
      </c>
      <c r="AW1224" s="121">
        <v>1.037</v>
      </c>
      <c r="AX1224" s="115">
        <f>AN1224-AP1224</f>
      </c>
    </row>
    <row r="1225" spans="1:50" ht="15" hidden="1" customHeight="1" x14ac:dyDescent="0.3">
      <c r="A1225" s="94" t="s">
        <v>60</v>
      </c>
      <c r="B1225" s="94"/>
      <c r="C1225" s="94"/>
      <c r="D1225" s="94"/>
      <c r="E1225" s="94"/>
      <c r="F1225" s="94"/>
      <c r="G1225" s="112">
        <f>AU1225</f>
      </c>
      <c r="H1225" s="113"/>
      <c r="I1225" s="94" t="s">
        <v>65</v>
      </c>
      <c r="J1225" s="94" t="s">
        <v>547</v>
      </c>
      <c r="K1225" s="114">
        <f>P1225/3</f>
      </c>
      <c r="L1225" s="115">
        <v>-0.17499999999999999</v>
      </c>
      <c r="M1225" s="116">
        <f>L1225</f>
      </c>
      <c r="N1225" s="117">
        <f>M1225-L1225</f>
      </c>
      <c r="O1225" s="112"/>
      <c r="P1225" s="118">
        <f>N1225+O1225</f>
      </c>
      <c r="Q1225" s="94" t="s">
        <v>785</v>
      </c>
      <c r="R1225" s="94" t="s">
        <v>63</v>
      </c>
      <c r="S1225" s="119">
        <v>46328</v>
      </c>
      <c r="T1225" s="119"/>
      <c r="U1225" s="120">
        <v>46328</v>
      </c>
      <c r="V1225" s="94"/>
      <c r="W1225" s="94"/>
      <c r="X1225" s="94"/>
      <c r="Y1225" s="119">
        <v>46328</v>
      </c>
      <c r="Z1225" s="94"/>
      <c r="AA1225" s="120"/>
      <c r="AB1225" s="120"/>
      <c r="AC1225" s="120"/>
      <c r="AD1225" s="120"/>
      <c r="AE1225" s="120"/>
      <c r="AF1225" s="120"/>
      <c r="AG1225" s="94"/>
      <c r="AH1225" s="120"/>
      <c r="AI1225" s="94"/>
      <c r="AJ1225" s="94" t="s">
        <v>785</v>
      </c>
      <c r="AK1225" s="94" t="s">
        <v>723</v>
      </c>
      <c r="AL1225" s="94">
        <v>110</v>
      </c>
      <c r="AM1225" s="94" t="str">
        <f>TRIM(AJ1225)&amp;TRIM(AL1225)&amp;TRIM(AK1225)</f>
      </c>
      <c r="AN1225" s="116">
        <v>116.09</v>
      </c>
      <c r="AO1225" s="116">
        <v>-4.09</v>
      </c>
      <c r="AP1225" s="116">
        <f>SUMIFS(M:M,AM:AM,AM1225)+SUMIFS(O:O,AM:AM,AM1225)</f>
      </c>
      <c r="AQ1225" s="116">
        <f>SUMIFS(L:L,AM:AM,AM1225)</f>
      </c>
      <c r="AR1225" s="116">
        <f>AQ1225-AP1225</f>
      </c>
      <c r="AS1225" s="94" t="str">
        <f>IF(AN1225&gt;=AQ1225,"ok","ck")</f>
      </c>
      <c r="AT1225" s="116">
        <f>-P1225</f>
      </c>
      <c r="AU1225" s="115">
        <f>IF(SUMIFS(AT:AT,AM:AM,AM1225)&gt;AO1225,(SUMIFS(AT:AT,AM:AM,AM1225)-AO1225))</f>
      </c>
      <c r="AV1225" s="116">
        <v>116.09</v>
      </c>
      <c r="AW1225" s="121">
        <v>1.037</v>
      </c>
      <c r="AX1225" s="115">
        <f>AN1225-AP1225</f>
      </c>
    </row>
    <row r="1226" spans="1:50" ht="15" hidden="1" customHeight="1" x14ac:dyDescent="0.3">
      <c r="A1226" s="94" t="s">
        <v>60</v>
      </c>
      <c r="B1226" s="94"/>
      <c r="C1226" s="94"/>
      <c r="D1226" s="94"/>
      <c r="E1226" s="94"/>
      <c r="F1226" s="94"/>
      <c r="G1226" s="112">
        <f>AU1226</f>
      </c>
      <c r="H1226" s="113"/>
      <c r="I1226" s="94" t="s">
        <v>65</v>
      </c>
      <c r="J1226" s="94" t="s">
        <v>541</v>
      </c>
      <c r="K1226" s="114">
        <f>P1226/3</f>
      </c>
      <c r="L1226" s="115">
        <v>0</v>
      </c>
      <c r="M1226" s="116"/>
      <c r="N1226" s="117">
        <f>M1226-L1226</f>
      </c>
      <c r="O1226" s="112"/>
      <c r="P1226" s="118">
        <f>N1226+O1226</f>
      </c>
      <c r="Q1226" s="94" t="s">
        <v>785</v>
      </c>
      <c r="R1226" s="94" t="s">
        <v>63</v>
      </c>
      <c r="S1226" s="119">
        <v>46342</v>
      </c>
      <c r="T1226" s="119"/>
      <c r="U1226" s="120">
        <v>46342</v>
      </c>
      <c r="V1226" s="94"/>
      <c r="W1226" s="94"/>
      <c r="X1226" s="94"/>
      <c r="Y1226" s="119">
        <v>46342</v>
      </c>
      <c r="Z1226" s="94"/>
      <c r="AA1226" s="120"/>
      <c r="AB1226" s="120"/>
      <c r="AC1226" s="120"/>
      <c r="AD1226" s="120"/>
      <c r="AE1226" s="120"/>
      <c r="AF1226" s="120"/>
      <c r="AG1226" s="94"/>
      <c r="AH1226" s="120"/>
      <c r="AI1226" s="94"/>
      <c r="AJ1226" s="94" t="s">
        <v>785</v>
      </c>
      <c r="AK1226" s="94" t="s">
        <v>541</v>
      </c>
      <c r="AL1226" s="94">
        <v>110</v>
      </c>
      <c r="AM1226" s="94" t="str">
        <f>TRIM(AJ1226)&amp;TRIM(AL1226)&amp;TRIM(AK1226)</f>
      </c>
      <c r="AN1226" s="116">
        <v>47</v>
      </c>
      <c r="AO1226" s="116">
        <v>1911</v>
      </c>
      <c r="AP1226" s="116">
        <f>SUMIFS(M:M,AM:AM,AM1226)+SUMIFS(O:O,AM:AM,AM1226)</f>
      </c>
      <c r="AQ1226" s="116">
        <f>SUMIFS(L:L,AM:AM,AM1226)</f>
      </c>
      <c r="AR1226" s="116">
        <f>AQ1226-AP1226</f>
      </c>
      <c r="AS1226" s="94" t="str">
        <f>IF(AN1226&gt;=AQ1226,"ok","ck")</f>
      </c>
      <c r="AT1226" s="116">
        <f>-P1226</f>
      </c>
      <c r="AU1226" s="115">
        <f>IF(SUMIFS(AT:AT,AM:AM,AM1226)&gt;AO1226,(SUMIFS(AT:AT,AM:AM,AM1226)-AO1226))</f>
      </c>
      <c r="AV1226" s="116">
        <v>47</v>
      </c>
      <c r="AW1226" s="121">
        <v>0.024</v>
      </c>
      <c r="AX1226" s="115">
        <f>AN1226-AP1226</f>
      </c>
    </row>
    <row r="1227" spans="1:50" ht="15" hidden="1" customHeight="1" x14ac:dyDescent="0.3">
      <c r="A1227" s="94" t="s">
        <v>268</v>
      </c>
      <c r="B1227" s="94"/>
      <c r="C1227" s="94"/>
      <c r="D1227" s="94"/>
      <c r="E1227" s="94"/>
      <c r="F1227" s="94"/>
      <c r="G1227" s="112">
        <f>AU1227</f>
      </c>
      <c r="H1227" s="113"/>
      <c r="I1227" s="94" t="s">
        <v>488</v>
      </c>
      <c r="J1227" s="94" t="s">
        <v>573</v>
      </c>
      <c r="K1227" s="114">
        <f>P1227/3</f>
      </c>
      <c r="L1227" s="115">
        <v>-37.350999999999999</v>
      </c>
      <c r="M1227" s="116">
        <f>L1227</f>
      </c>
      <c r="N1227" s="117">
        <f>M1227-L1227</f>
      </c>
      <c r="O1227" s="112"/>
      <c r="P1227" s="118">
        <f>N1227+O1227</f>
      </c>
      <c r="Q1227" s="94" t="s">
        <v>287</v>
      </c>
      <c r="R1227" s="94" t="s">
        <v>63</v>
      </c>
      <c r="S1227" s="119">
        <v>46334</v>
      </c>
      <c r="T1227" s="119"/>
      <c r="U1227" s="120">
        <v>46334</v>
      </c>
      <c r="V1227" s="94"/>
      <c r="W1227" s="94"/>
      <c r="X1227" s="94"/>
      <c r="Y1227" s="119">
        <v>46334</v>
      </c>
      <c r="Z1227" s="94"/>
      <c r="AA1227" s="120"/>
      <c r="AB1227" s="120"/>
      <c r="AC1227" s="120"/>
      <c r="AD1227" s="120"/>
      <c r="AE1227" s="120"/>
      <c r="AF1227" s="120"/>
      <c r="AG1227" s="94"/>
      <c r="AH1227" s="120"/>
      <c r="AI1227" s="94"/>
      <c r="AJ1227" s="94" t="s">
        <v>287</v>
      </c>
      <c r="AK1227" s="94" t="s">
        <v>573</v>
      </c>
      <c r="AL1227" s="94">
        <v>140</v>
      </c>
      <c r="AM1227" s="94" t="str">
        <f>TRIM(AJ1227)&amp;TRIM(AL1227)&amp;TRIM(AK1227)</f>
      </c>
      <c r="AN1227" s="116">
        <v>1734</v>
      </c>
      <c r="AO1227" s="116">
        <v>-34</v>
      </c>
      <c r="AP1227" s="116">
        <f>SUMIFS(M:M,AM:AM,AM1227)+SUMIFS(O:O,AM:AM,AM1227)</f>
      </c>
      <c r="AQ1227" s="116">
        <f>SUMIFS(L:L,AM:AM,AM1227)</f>
      </c>
      <c r="AR1227" s="116">
        <f>AQ1227-AP1227</f>
      </c>
      <c r="AS1227" s="94" t="str">
        <f>IF(AN1227&gt;=AQ1227,"ok","ck")</f>
      </c>
      <c r="AT1227" s="116">
        <f>-P1227</f>
      </c>
      <c r="AU1227" s="115">
        <f>IF(SUMIFS(AT:AT,AM:AM,AM1227)&gt;AO1227,(SUMIFS(AT:AT,AM:AM,AM1227)-AO1227))</f>
      </c>
      <c r="AV1227" s="116">
        <v>1734</v>
      </c>
      <c r="AW1227" s="121">
        <v>1.02</v>
      </c>
      <c r="AX1227" s="115">
        <f>AN1227-AP1227</f>
      </c>
    </row>
    <row r="1228" spans="1:50" ht="15" hidden="1" customHeight="1" x14ac:dyDescent="0.3">
      <c r="A1228" s="94" t="s">
        <v>268</v>
      </c>
      <c r="B1228" s="94"/>
      <c r="C1228" s="94"/>
      <c r="D1228" s="94"/>
      <c r="E1228" s="94"/>
      <c r="F1228" s="94"/>
      <c r="G1228" s="112">
        <f>AU1228</f>
      </c>
      <c r="H1228" s="113"/>
      <c r="I1228" s="94" t="s">
        <v>488</v>
      </c>
      <c r="J1228" s="94" t="s">
        <v>573</v>
      </c>
      <c r="K1228" s="114">
        <f>P1228/3</f>
      </c>
      <c r="L1228" s="115">
        <v>0.40200000000000002</v>
      </c>
      <c r="M1228" s="116">
        <f>L1228</f>
      </c>
      <c r="N1228" s="117">
        <f>M1228-L1228</f>
      </c>
      <c r="O1228" s="112"/>
      <c r="P1228" s="118">
        <f>N1228+O1228</f>
      </c>
      <c r="Q1228" s="94" t="s">
        <v>287</v>
      </c>
      <c r="R1228" s="94" t="s">
        <v>63</v>
      </c>
      <c r="S1228" s="119">
        <v>46334</v>
      </c>
      <c r="T1228" s="119"/>
      <c r="U1228" s="120">
        <v>46334</v>
      </c>
      <c r="V1228" s="94"/>
      <c r="W1228" s="94"/>
      <c r="X1228" s="94"/>
      <c r="Y1228" s="119">
        <v>46334</v>
      </c>
      <c r="Z1228" s="94"/>
      <c r="AA1228" s="120"/>
      <c r="AB1228" s="120"/>
      <c r="AC1228" s="120"/>
      <c r="AD1228" s="120"/>
      <c r="AE1228" s="120"/>
      <c r="AF1228" s="120"/>
      <c r="AG1228" s="94"/>
      <c r="AH1228" s="120"/>
      <c r="AI1228" s="94"/>
      <c r="AJ1228" s="94" t="s">
        <v>287</v>
      </c>
      <c r="AK1228" s="94" t="s">
        <v>573</v>
      </c>
      <c r="AL1228" s="94">
        <v>140</v>
      </c>
      <c r="AM1228" s="94" t="str">
        <f>TRIM(AJ1228)&amp;TRIM(AL1228)&amp;TRIM(AK1228)</f>
      </c>
      <c r="AN1228" s="116">
        <v>1734</v>
      </c>
      <c r="AO1228" s="116">
        <v>-34</v>
      </c>
      <c r="AP1228" s="116">
        <f>SUMIFS(M:M,AM:AM,AM1228)+SUMIFS(O:O,AM:AM,AM1228)</f>
      </c>
      <c r="AQ1228" s="116">
        <f>SUMIFS(L:L,AM:AM,AM1228)</f>
      </c>
      <c r="AR1228" s="116">
        <f>AQ1228-AP1228</f>
      </c>
      <c r="AS1228" s="94" t="str">
        <f>IF(AN1228&gt;=AQ1228,"ok","ck")</f>
      </c>
      <c r="AT1228" s="116">
        <f>-P1228</f>
      </c>
      <c r="AU1228" s="115">
        <f>IF(SUMIFS(AT:AT,AM:AM,AM1228)&gt;AO1228,(SUMIFS(AT:AT,AM:AM,AM1228)-AO1228))</f>
      </c>
      <c r="AV1228" s="116">
        <v>1734</v>
      </c>
      <c r="AW1228" s="121">
        <v>1.02</v>
      </c>
      <c r="AX1228" s="115">
        <f>AN1228-AP1228</f>
      </c>
    </row>
    <row r="1229" spans="1:50" ht="15" hidden="1" customHeight="1" x14ac:dyDescent="0.3">
      <c r="A1229" s="94" t="s">
        <v>480</v>
      </c>
      <c r="B1229" s="94"/>
      <c r="C1229" s="94"/>
      <c r="D1229" s="94"/>
      <c r="E1229" s="94"/>
      <c r="F1229" s="94"/>
      <c r="G1229" s="112">
        <f>AU1229</f>
      </c>
      <c r="H1229" s="113"/>
      <c r="I1229" s="94" t="s">
        <v>486</v>
      </c>
      <c r="J1229" s="94" t="s">
        <v>545</v>
      </c>
      <c r="K1229" s="114">
        <f>P1229/3</f>
      </c>
      <c r="L1229" s="115">
        <v>0.76400000000000001</v>
      </c>
      <c r="M1229" s="116"/>
      <c r="N1229" s="117">
        <f>M1229-L1229</f>
      </c>
      <c r="O1229" s="112"/>
      <c r="P1229" s="118">
        <f>N1229+O1229</f>
      </c>
      <c r="Q1229" s="94" t="s">
        <v>782</v>
      </c>
      <c r="R1229" s="94" t="s">
        <v>63</v>
      </c>
      <c r="S1229" s="119">
        <v>46332</v>
      </c>
      <c r="T1229" s="119"/>
      <c r="U1229" s="120">
        <v>46332</v>
      </c>
      <c r="V1229" s="94"/>
      <c r="W1229" s="94"/>
      <c r="X1229" s="94"/>
      <c r="Y1229" s="119">
        <v>46327</v>
      </c>
      <c r="Z1229" s="94"/>
      <c r="AA1229" s="120"/>
      <c r="AB1229" s="120"/>
      <c r="AC1229" s="120"/>
      <c r="AD1229" s="120"/>
      <c r="AE1229" s="120"/>
      <c r="AF1229" s="120"/>
      <c r="AG1229" s="94"/>
      <c r="AH1229" s="120"/>
      <c r="AI1229" s="94"/>
      <c r="AJ1229" s="94" t="s">
        <v>782</v>
      </c>
      <c r="AK1229" s="94" t="s">
        <v>721</v>
      </c>
      <c r="AL1229" s="94">
        <v>165</v>
      </c>
      <c r="AM1229" s="94" t="str">
        <f>TRIM(AJ1229)&amp;TRIM(AL1229)&amp;TRIM(AK1229)</f>
      </c>
      <c r="AN1229" s="116">
        <v>0</v>
      </c>
      <c r="AO1229" s="116" t="inlineStr">
        <is>
          <t>#NA</t>
        </is>
      </c>
      <c r="AP1229" s="116">
        <f>SUMIFS(M:M,AM:AM,AM1229)+SUMIFS(O:O,AM:AM,AM1229)</f>
      </c>
      <c r="AQ1229" s="116">
        <f>SUMIFS(L:L,AM:AM,AM1229)</f>
      </c>
      <c r="AR1229" s="116">
        <f>AQ1229-AP1229</f>
      </c>
      <c r="AS1229" s="94" t="str">
        <f>IF(AN1229&gt;=AQ1229,"ok","ck")</f>
      </c>
      <c r="AT1229" s="116">
        <f>-P1229</f>
      </c>
      <c r="AU1229" s="115">
        <f>IF(SUMIFS(AT:AT,AM:AM,AM1229)&gt;AO1229,(SUMIFS(AT:AT,AM:AM,AM1229)-AO1229))</f>
      </c>
      <c r="AV1229" s="116">
        <v>0</v>
      </c>
      <c r="AW1229" s="121">
        <v>0</v>
      </c>
      <c r="AX1229" s="115">
        <f>AN1229-AP1229</f>
      </c>
    </row>
    <row r="1230" spans="1:50" ht="15" hidden="1" customHeight="1" x14ac:dyDescent="0.3">
      <c r="A1230" s="94" t="s">
        <v>480</v>
      </c>
      <c r="B1230" s="94"/>
      <c r="C1230" s="94"/>
      <c r="D1230" s="94"/>
      <c r="E1230" s="94"/>
      <c r="F1230" s="94"/>
      <c r="G1230" s="112">
        <f>AU1230</f>
      </c>
      <c r="H1230" s="113"/>
      <c r="I1230" s="94" t="s">
        <v>486</v>
      </c>
      <c r="J1230" s="94" t="s">
        <v>545</v>
      </c>
      <c r="K1230" s="114">
        <f>P1230/3</f>
      </c>
      <c r="L1230" s="115">
        <v>0.13</v>
      </c>
      <c r="M1230" s="116"/>
      <c r="N1230" s="117">
        <f>M1230-L1230</f>
      </c>
      <c r="O1230" s="112"/>
      <c r="P1230" s="118">
        <f>N1230+O1230</f>
      </c>
      <c r="Q1230" s="94" t="s">
        <v>782</v>
      </c>
      <c r="R1230" s="94" t="s">
        <v>63</v>
      </c>
      <c r="S1230" s="119">
        <v>46332</v>
      </c>
      <c r="T1230" s="119"/>
      <c r="U1230" s="120">
        <v>46332</v>
      </c>
      <c r="V1230" s="94"/>
      <c r="W1230" s="94"/>
      <c r="X1230" s="94"/>
      <c r="Y1230" s="119">
        <v>46327</v>
      </c>
      <c r="Z1230" s="94"/>
      <c r="AA1230" s="120"/>
      <c r="AB1230" s="120"/>
      <c r="AC1230" s="120"/>
      <c r="AD1230" s="120"/>
      <c r="AE1230" s="120"/>
      <c r="AF1230" s="120"/>
      <c r="AG1230" s="94"/>
      <c r="AH1230" s="120"/>
      <c r="AI1230" s="94"/>
      <c r="AJ1230" s="94" t="s">
        <v>782</v>
      </c>
      <c r="AK1230" s="94" t="s">
        <v>721</v>
      </c>
      <c r="AL1230" s="94">
        <v>165</v>
      </c>
      <c r="AM1230" s="94" t="str">
        <f>TRIM(AJ1230)&amp;TRIM(AL1230)&amp;TRIM(AK1230)</f>
      </c>
      <c r="AN1230" s="116">
        <v>0</v>
      </c>
      <c r="AO1230" s="116" t="inlineStr">
        <is>
          <t>#NA</t>
        </is>
      </c>
      <c r="AP1230" s="116">
        <f>SUMIFS(M:M,AM:AM,AM1230)+SUMIFS(O:O,AM:AM,AM1230)</f>
      </c>
      <c r="AQ1230" s="116">
        <f>SUMIFS(L:L,AM:AM,AM1230)</f>
      </c>
      <c r="AR1230" s="116">
        <f>AQ1230-AP1230</f>
      </c>
      <c r="AS1230" s="94" t="str">
        <f>IF(AN1230&gt;=AQ1230,"ok","ck")</f>
      </c>
      <c r="AT1230" s="116">
        <f>-P1230</f>
      </c>
      <c r="AU1230" s="115">
        <f>IF(SUMIFS(AT:AT,AM:AM,AM1230)&gt;AO1230,(SUMIFS(AT:AT,AM:AM,AM1230)-AO1230))</f>
      </c>
      <c r="AV1230" s="116">
        <v>0</v>
      </c>
      <c r="AW1230" s="121">
        <v>0</v>
      </c>
      <c r="AX1230" s="115">
        <f>AN1230-AP1230</f>
      </c>
    </row>
    <row r="1231" spans="1:50" ht="15" hidden="1" customHeight="1" x14ac:dyDescent="0.3">
      <c r="A1231" s="94" t="s">
        <v>480</v>
      </c>
      <c r="B1231" s="94"/>
      <c r="C1231" s="94"/>
      <c r="D1231" s="94"/>
      <c r="E1231" s="94"/>
      <c r="F1231" s="94"/>
      <c r="G1231" s="112">
        <f>AU1231</f>
      </c>
      <c r="H1231" s="113"/>
      <c r="I1231" s="94" t="s">
        <v>486</v>
      </c>
      <c r="J1231" s="94" t="s">
        <v>513</v>
      </c>
      <c r="K1231" s="114">
        <f>P1231/3</f>
      </c>
      <c r="L1231" s="115">
        <v>53.679000000000002</v>
      </c>
      <c r="M1231" s="116"/>
      <c r="N1231" s="117">
        <f>M1231-L1231</f>
      </c>
      <c r="O1231" s="112"/>
      <c r="P1231" s="118">
        <f>N1231+O1231</f>
      </c>
      <c r="Q1231" s="94" t="s">
        <v>782</v>
      </c>
      <c r="R1231" s="94" t="s">
        <v>63</v>
      </c>
      <c r="S1231" s="119">
        <v>46332</v>
      </c>
      <c r="T1231" s="119"/>
      <c r="U1231" s="120">
        <v>46332</v>
      </c>
      <c r="V1231" s="94"/>
      <c r="W1231" s="94"/>
      <c r="X1231" s="94"/>
      <c r="Y1231" s="119">
        <v>46330</v>
      </c>
      <c r="Z1231" s="94"/>
      <c r="AA1231" s="120"/>
      <c r="AB1231" s="120"/>
      <c r="AC1231" s="120"/>
      <c r="AD1231" s="120"/>
      <c r="AE1231" s="120"/>
      <c r="AF1231" s="120"/>
      <c r="AG1231" s="94"/>
      <c r="AH1231" s="120"/>
      <c r="AI1231" s="94"/>
      <c r="AJ1231" s="94" t="s">
        <v>782</v>
      </c>
      <c r="AK1231" s="94" t="s">
        <v>707</v>
      </c>
      <c r="AL1231" s="94">
        <v>165</v>
      </c>
      <c r="AM1231" s="94" t="str">
        <f>TRIM(AJ1231)&amp;TRIM(AL1231)&amp;TRIM(AK1231)</f>
      </c>
      <c r="AN1231" s="116">
        <v>0</v>
      </c>
      <c r="AO1231" s="116" t="inlineStr">
        <is>
          <t>#NA</t>
        </is>
      </c>
      <c r="AP1231" s="116">
        <f>SUMIFS(M:M,AM:AM,AM1231)+SUMIFS(O:O,AM:AM,AM1231)</f>
      </c>
      <c r="AQ1231" s="116">
        <f>SUMIFS(L:L,AM:AM,AM1231)</f>
      </c>
      <c r="AR1231" s="116">
        <f>AQ1231-AP1231</f>
      </c>
      <c r="AS1231" s="94" t="str">
        <f>IF(AN1231&gt;=AQ1231,"ok","ck")</f>
      </c>
      <c r="AT1231" s="116">
        <f>-P1231</f>
      </c>
      <c r="AU1231" s="115">
        <f>IF(SUMIFS(AT:AT,AM:AM,AM1231)&gt;AO1231,(SUMIFS(AT:AT,AM:AM,AM1231)-AO1231))</f>
      </c>
      <c r="AV1231" s="116">
        <v>0</v>
      </c>
      <c r="AW1231" s="121">
        <v>0</v>
      </c>
      <c r="AX1231" s="115">
        <f>AN1231-AP1231</f>
      </c>
    </row>
    <row r="1232" spans="1:50" ht="15" hidden="1" customHeight="1" x14ac:dyDescent="0.3">
      <c r="A1232" s="94" t="s">
        <v>480</v>
      </c>
      <c r="B1232" s="94"/>
      <c r="C1232" s="94"/>
      <c r="D1232" s="94"/>
      <c r="E1232" s="94"/>
      <c r="F1232" s="94"/>
      <c r="G1232" s="112">
        <f>AU1232</f>
      </c>
      <c r="H1232" s="113"/>
      <c r="I1232" s="94" t="s">
        <v>486</v>
      </c>
      <c r="J1232" s="94" t="s">
        <v>513</v>
      </c>
      <c r="K1232" s="114">
        <f>P1232/3</f>
      </c>
      <c r="L1232" s="115">
        <v>7.6689999999999996</v>
      </c>
      <c r="M1232" s="116"/>
      <c r="N1232" s="117">
        <f>M1232-L1232</f>
      </c>
      <c r="O1232" s="112"/>
      <c r="P1232" s="118">
        <f>N1232+O1232</f>
      </c>
      <c r="Q1232" s="94" t="s">
        <v>782</v>
      </c>
      <c r="R1232" s="94" t="s">
        <v>63</v>
      </c>
      <c r="S1232" s="119">
        <v>46332</v>
      </c>
      <c r="T1232" s="119"/>
      <c r="U1232" s="120">
        <v>46332</v>
      </c>
      <c r="V1232" s="94"/>
      <c r="W1232" s="94"/>
      <c r="X1232" s="94"/>
      <c r="Y1232" s="119">
        <v>46330</v>
      </c>
      <c r="Z1232" s="94"/>
      <c r="AA1232" s="120"/>
      <c r="AB1232" s="120"/>
      <c r="AC1232" s="120"/>
      <c r="AD1232" s="120"/>
      <c r="AE1232" s="120"/>
      <c r="AF1232" s="120"/>
      <c r="AG1232" s="94"/>
      <c r="AH1232" s="120"/>
      <c r="AI1232" s="94"/>
      <c r="AJ1232" s="94" t="s">
        <v>782</v>
      </c>
      <c r="AK1232" s="94" t="s">
        <v>707</v>
      </c>
      <c r="AL1232" s="94">
        <v>165</v>
      </c>
      <c r="AM1232" s="94" t="str">
        <f>TRIM(AJ1232)&amp;TRIM(AL1232)&amp;TRIM(AK1232)</f>
      </c>
      <c r="AN1232" s="116">
        <v>0</v>
      </c>
      <c r="AO1232" s="116" t="inlineStr">
        <is>
          <t>#NA</t>
        </is>
      </c>
      <c r="AP1232" s="116">
        <f>SUMIFS(M:M,AM:AM,AM1232)+SUMIFS(O:O,AM:AM,AM1232)</f>
      </c>
      <c r="AQ1232" s="116">
        <f>SUMIFS(L:L,AM:AM,AM1232)</f>
      </c>
      <c r="AR1232" s="116">
        <f>AQ1232-AP1232</f>
      </c>
      <c r="AS1232" s="94" t="str">
        <f>IF(AN1232&gt;=AQ1232,"ok","ck")</f>
      </c>
      <c r="AT1232" s="116">
        <f>-P1232</f>
      </c>
      <c r="AU1232" s="115">
        <f>IF(SUMIFS(AT:AT,AM:AM,AM1232)&gt;AO1232,(SUMIFS(AT:AT,AM:AM,AM1232)-AO1232))</f>
      </c>
      <c r="AV1232" s="116">
        <v>0</v>
      </c>
      <c r="AW1232" s="121">
        <v>0</v>
      </c>
      <c r="AX1232" s="115">
        <f>AN1232-AP1232</f>
      </c>
    </row>
    <row r="1233" spans="1:50" ht="15" hidden="1" customHeight="1" x14ac:dyDescent="0.3">
      <c r="A1233" s="94" t="s">
        <v>480</v>
      </c>
      <c r="B1233" s="94"/>
      <c r="C1233" s="94"/>
      <c r="D1233" s="94"/>
      <c r="E1233" s="94"/>
      <c r="F1233" s="94"/>
      <c r="G1233" s="112">
        <f>AU1233</f>
      </c>
      <c r="H1233" s="113"/>
      <c r="I1233" s="94" t="s">
        <v>486</v>
      </c>
      <c r="J1233" s="94" t="s">
        <v>513</v>
      </c>
      <c r="K1233" s="114">
        <f>P1233/3</f>
      </c>
      <c r="L1233" s="115">
        <v>28.846</v>
      </c>
      <c r="M1233" s="116"/>
      <c r="N1233" s="117">
        <f>M1233-L1233</f>
      </c>
      <c r="O1233" s="112"/>
      <c r="P1233" s="118">
        <f>N1233+O1233</f>
      </c>
      <c r="Q1233" s="94" t="s">
        <v>782</v>
      </c>
      <c r="R1233" s="94" t="s">
        <v>63</v>
      </c>
      <c r="S1233" s="119">
        <v>46332</v>
      </c>
      <c r="T1233" s="119"/>
      <c r="U1233" s="120">
        <v>46332</v>
      </c>
      <c r="V1233" s="94"/>
      <c r="W1233" s="94"/>
      <c r="X1233" s="94"/>
      <c r="Y1233" s="119">
        <v>46330</v>
      </c>
      <c r="Z1233" s="94"/>
      <c r="AA1233" s="120"/>
      <c r="AB1233" s="120"/>
      <c r="AC1233" s="120"/>
      <c r="AD1233" s="120"/>
      <c r="AE1233" s="120"/>
      <c r="AF1233" s="120"/>
      <c r="AG1233" s="94"/>
      <c r="AH1233" s="120"/>
      <c r="AI1233" s="94"/>
      <c r="AJ1233" s="94" t="s">
        <v>782</v>
      </c>
      <c r="AK1233" s="94" t="s">
        <v>707</v>
      </c>
      <c r="AL1233" s="94">
        <v>165</v>
      </c>
      <c r="AM1233" s="94" t="str">
        <f>TRIM(AJ1233)&amp;TRIM(AL1233)&amp;TRIM(AK1233)</f>
      </c>
      <c r="AN1233" s="116">
        <v>0</v>
      </c>
      <c r="AO1233" s="116" t="inlineStr">
        <is>
          <t>#NA</t>
        </is>
      </c>
      <c r="AP1233" s="116">
        <f>SUMIFS(M:M,AM:AM,AM1233)+SUMIFS(O:O,AM:AM,AM1233)</f>
      </c>
      <c r="AQ1233" s="116">
        <f>SUMIFS(L:L,AM:AM,AM1233)</f>
      </c>
      <c r="AR1233" s="116">
        <f>AQ1233-AP1233</f>
      </c>
      <c r="AS1233" s="94" t="str">
        <f>IF(AN1233&gt;=AQ1233,"ok","ck")</f>
      </c>
      <c r="AT1233" s="116">
        <f>-P1233</f>
      </c>
      <c r="AU1233" s="115">
        <f>IF(SUMIFS(AT:AT,AM:AM,AM1233)&gt;AO1233,(SUMIFS(AT:AT,AM:AM,AM1233)-AO1233))</f>
      </c>
      <c r="AV1233" s="116">
        <v>0</v>
      </c>
      <c r="AW1233" s="121">
        <v>0</v>
      </c>
      <c r="AX1233" s="115">
        <f>AN1233-AP1233</f>
      </c>
    </row>
    <row r="1234" spans="1:50" ht="15" hidden="1" customHeight="1" x14ac:dyDescent="0.3">
      <c r="A1234" s="94" t="s">
        <v>480</v>
      </c>
      <c r="B1234" s="94"/>
      <c r="C1234" s="94"/>
      <c r="D1234" s="94"/>
      <c r="E1234" s="94"/>
      <c r="F1234" s="94"/>
      <c r="G1234" s="112">
        <f>AU1234</f>
      </c>
      <c r="H1234" s="113"/>
      <c r="I1234" s="94" t="s">
        <v>486</v>
      </c>
      <c r="J1234" s="94" t="s">
        <v>513</v>
      </c>
      <c r="K1234" s="114">
        <f>P1234/3</f>
      </c>
      <c r="L1234" s="115">
        <v>2.5449999999999999</v>
      </c>
      <c r="M1234" s="116"/>
      <c r="N1234" s="117">
        <f>M1234-L1234</f>
      </c>
      <c r="O1234" s="112"/>
      <c r="P1234" s="118">
        <f>N1234+O1234</f>
      </c>
      <c r="Q1234" s="94" t="s">
        <v>782</v>
      </c>
      <c r="R1234" s="94" t="s">
        <v>63</v>
      </c>
      <c r="S1234" s="119">
        <v>46332</v>
      </c>
      <c r="T1234" s="119"/>
      <c r="U1234" s="119">
        <v>46332</v>
      </c>
      <c r="V1234" s="94"/>
      <c r="W1234" s="94"/>
      <c r="X1234" s="94"/>
      <c r="Y1234" s="119">
        <v>46330</v>
      </c>
      <c r="Z1234" s="94"/>
      <c r="AA1234" s="120"/>
      <c r="AB1234" s="120"/>
      <c r="AC1234" s="120"/>
      <c r="AD1234" s="120"/>
      <c r="AE1234" s="120"/>
      <c r="AF1234" s="120"/>
      <c r="AG1234" s="94"/>
      <c r="AH1234" s="120"/>
      <c r="AI1234" s="94"/>
      <c r="AJ1234" s="94" t="s">
        <v>782</v>
      </c>
      <c r="AK1234" s="94" t="s">
        <v>707</v>
      </c>
      <c r="AL1234" s="94">
        <v>165</v>
      </c>
      <c r="AM1234" s="94" t="str">
        <f>TRIM(AJ1234)&amp;TRIM(AL1234)&amp;TRIM(AK1234)</f>
      </c>
      <c r="AN1234" s="116">
        <v>0</v>
      </c>
      <c r="AO1234" s="116" t="inlineStr">
        <is>
          <t>#NA</t>
        </is>
      </c>
      <c r="AP1234" s="116">
        <f>SUMIFS(M:M,AM:AM,AM1234)+SUMIFS(O:O,AM:AM,AM1234)</f>
      </c>
      <c r="AQ1234" s="116">
        <f>SUMIFS(L:L,AM:AM,AM1234)</f>
      </c>
      <c r="AR1234" s="116">
        <f>AQ1234-AP1234</f>
      </c>
      <c r="AS1234" s="94" t="str">
        <f>IF(AN1234&gt;=AQ1234,"ok","ck")</f>
      </c>
      <c r="AT1234" s="116">
        <f>-P1234</f>
      </c>
      <c r="AU1234" s="115">
        <f>IF(SUMIFS(AT:AT,AM:AM,AM1234)&gt;AO1234,(SUMIFS(AT:AT,AM:AM,AM1234)-AO1234))</f>
      </c>
      <c r="AV1234" s="116">
        <v>0</v>
      </c>
      <c r="AW1234" s="121">
        <v>0</v>
      </c>
      <c r="AX1234" s="115">
        <f>AN1234-AP1234</f>
      </c>
    </row>
    <row r="1235" spans="1:50" ht="15" hidden="1" customHeight="1" x14ac:dyDescent="0.3">
      <c r="A1235" s="94" t="s">
        <v>480</v>
      </c>
      <c r="B1235" s="94"/>
      <c r="C1235" s="94"/>
      <c r="D1235" s="94"/>
      <c r="E1235" s="94"/>
      <c r="F1235" s="94"/>
      <c r="G1235" s="112">
        <f>AU1235</f>
      </c>
      <c r="H1235" s="113"/>
      <c r="I1235" s="94" t="s">
        <v>486</v>
      </c>
      <c r="J1235" s="94" t="s">
        <v>513</v>
      </c>
      <c r="K1235" s="114">
        <f>P1235/3</f>
      </c>
      <c r="L1235" s="115">
        <v>18.675000000000001</v>
      </c>
      <c r="M1235" s="116"/>
      <c r="N1235" s="117">
        <f>M1235-L1235</f>
      </c>
      <c r="O1235" s="112"/>
      <c r="P1235" s="118">
        <f>N1235+O1235</f>
      </c>
      <c r="Q1235" s="94" t="s">
        <v>782</v>
      </c>
      <c r="R1235" s="94" t="s">
        <v>63</v>
      </c>
      <c r="S1235" s="120">
        <v>46332</v>
      </c>
      <c r="T1235" s="120"/>
      <c r="U1235" s="120">
        <v>46332</v>
      </c>
      <c r="V1235" s="94"/>
      <c r="W1235" s="94"/>
      <c r="X1235" s="94"/>
      <c r="Y1235" s="119">
        <v>46330</v>
      </c>
      <c r="Z1235" s="94"/>
      <c r="AA1235" s="120"/>
      <c r="AB1235" s="120"/>
      <c r="AC1235" s="120"/>
      <c r="AD1235" s="120"/>
      <c r="AE1235" s="120"/>
      <c r="AF1235" s="120"/>
      <c r="AG1235" s="94"/>
      <c r="AH1235" s="120"/>
      <c r="AI1235" s="94"/>
      <c r="AJ1235" s="94" t="s">
        <v>782</v>
      </c>
      <c r="AK1235" s="94" t="s">
        <v>707</v>
      </c>
      <c r="AL1235" s="94">
        <v>165</v>
      </c>
      <c r="AM1235" s="94" t="str">
        <f>TRIM(AJ1235)&amp;TRIM(AL1235)&amp;TRIM(AK1235)</f>
      </c>
      <c r="AN1235" s="116">
        <v>0</v>
      </c>
      <c r="AO1235" s="116" t="inlineStr">
        <is>
          <t>#NA</t>
        </is>
      </c>
      <c r="AP1235" s="116">
        <f>SUMIFS(M:M,AM:AM,AM1235)+SUMIFS(O:O,AM:AM,AM1235)</f>
      </c>
      <c r="AQ1235" s="116">
        <f>SUMIFS(L:L,AM:AM,AM1235)</f>
      </c>
      <c r="AR1235" s="116">
        <f>AQ1235-AP1235</f>
      </c>
      <c r="AS1235" s="94" t="str">
        <f>IF(AN1235&gt;=AQ1235,"ok","ck")</f>
      </c>
      <c r="AT1235" s="116">
        <f>-P1235</f>
      </c>
      <c r="AU1235" s="115">
        <f>IF(SUMIFS(AT:AT,AM:AM,AM1235)&gt;AO1235,(SUMIFS(AT:AT,AM:AM,AM1235)-AO1235))</f>
      </c>
      <c r="AV1235" s="116">
        <v>0</v>
      </c>
      <c r="AW1235" s="121">
        <v>0</v>
      </c>
      <c r="AX1235" s="115">
        <f>AN1235-AP1235</f>
      </c>
    </row>
    <row r="1236" spans="1:50" ht="15" hidden="1" customHeight="1" x14ac:dyDescent="0.3">
      <c r="A1236" s="94" t="s">
        <v>480</v>
      </c>
      <c r="B1236" s="94"/>
      <c r="C1236" s="94"/>
      <c r="D1236" s="94"/>
      <c r="E1236" s="94"/>
      <c r="F1236" s="94"/>
      <c r="G1236" s="112">
        <f>AU1236</f>
      </c>
      <c r="H1236" s="113"/>
      <c r="I1236" s="94" t="s">
        <v>486</v>
      </c>
      <c r="J1236" s="94" t="s">
        <v>513</v>
      </c>
      <c r="K1236" s="114">
        <f>P1236/3</f>
      </c>
      <c r="L1236" s="115">
        <v>3.7349999999999999</v>
      </c>
      <c r="M1236" s="116"/>
      <c r="N1236" s="117">
        <f>M1236-L1236</f>
      </c>
      <c r="O1236" s="112"/>
      <c r="P1236" s="118">
        <f>N1236+O1236</f>
      </c>
      <c r="Q1236" s="94" t="s">
        <v>782</v>
      </c>
      <c r="R1236" s="94" t="s">
        <v>63</v>
      </c>
      <c r="S1236" s="120">
        <v>46332</v>
      </c>
      <c r="T1236" s="120"/>
      <c r="U1236" s="120">
        <v>46332</v>
      </c>
      <c r="V1236" s="94"/>
      <c r="W1236" s="94"/>
      <c r="X1236" s="94"/>
      <c r="Y1236" s="119">
        <v>46330</v>
      </c>
      <c r="Z1236" s="94"/>
      <c r="AA1236" s="120"/>
      <c r="AB1236" s="120"/>
      <c r="AC1236" s="120"/>
      <c r="AD1236" s="120"/>
      <c r="AE1236" s="120"/>
      <c r="AF1236" s="120"/>
      <c r="AG1236" s="94"/>
      <c r="AH1236" s="120"/>
      <c r="AI1236" s="94"/>
      <c r="AJ1236" s="94" t="s">
        <v>782</v>
      </c>
      <c r="AK1236" s="94" t="s">
        <v>707</v>
      </c>
      <c r="AL1236" s="94">
        <v>165</v>
      </c>
      <c r="AM1236" s="94" t="str">
        <f>TRIM(AJ1236)&amp;TRIM(AL1236)&amp;TRIM(AK1236)</f>
      </c>
      <c r="AN1236" s="116">
        <v>0</v>
      </c>
      <c r="AO1236" s="116" t="inlineStr">
        <is>
          <t>#NA</t>
        </is>
      </c>
      <c r="AP1236" s="116">
        <f>SUMIFS(M:M,AM:AM,AM1236)+SUMIFS(O:O,AM:AM,AM1236)</f>
      </c>
      <c r="AQ1236" s="116">
        <f>SUMIFS(L:L,AM:AM,AM1236)</f>
      </c>
      <c r="AR1236" s="116">
        <f>AQ1236-AP1236</f>
      </c>
      <c r="AS1236" s="94" t="str">
        <f>IF(AN1236&gt;=AQ1236,"ok","ck")</f>
      </c>
      <c r="AT1236" s="116">
        <f>-P1236</f>
      </c>
      <c r="AU1236" s="115">
        <f>IF(SUMIFS(AT:AT,AM:AM,AM1236)&gt;AO1236,(SUMIFS(AT:AT,AM:AM,AM1236)-AO1236))</f>
      </c>
      <c r="AV1236" s="116">
        <v>0</v>
      </c>
      <c r="AW1236" s="121">
        <v>0</v>
      </c>
      <c r="AX1236" s="115">
        <f>AN1236-AP1236</f>
      </c>
    </row>
    <row r="1237" spans="1:50" ht="15" hidden="1" customHeight="1" x14ac:dyDescent="0.3">
      <c r="A1237" s="94" t="s">
        <v>480</v>
      </c>
      <c r="B1237" s="94"/>
      <c r="C1237" s="94"/>
      <c r="D1237" s="94"/>
      <c r="E1237" s="94"/>
      <c r="F1237" s="94"/>
      <c r="G1237" s="112">
        <f>AU1237</f>
      </c>
      <c r="H1237" s="113"/>
      <c r="I1237" s="94" t="s">
        <v>486</v>
      </c>
      <c r="J1237" s="94" t="s">
        <v>513</v>
      </c>
      <c r="K1237" s="114">
        <f>P1237/3</f>
      </c>
      <c r="L1237" s="115">
        <v>72.188000000000002</v>
      </c>
      <c r="M1237" s="116"/>
      <c r="N1237" s="117">
        <f>M1237-L1237</f>
      </c>
      <c r="O1237" s="112"/>
      <c r="P1237" s="118">
        <f>N1237+O1237</f>
      </c>
      <c r="Q1237" s="94" t="s">
        <v>782</v>
      </c>
      <c r="R1237" s="94" t="s">
        <v>63</v>
      </c>
      <c r="S1237" s="120">
        <v>46332</v>
      </c>
      <c r="T1237" s="120"/>
      <c r="U1237" s="120">
        <v>46332</v>
      </c>
      <c r="V1237" s="94"/>
      <c r="W1237" s="94"/>
      <c r="X1237" s="94"/>
      <c r="Y1237" s="119">
        <v>46330</v>
      </c>
      <c r="Z1237" s="94"/>
      <c r="AA1237" s="120"/>
      <c r="AB1237" s="120"/>
      <c r="AC1237" s="120"/>
      <c r="AD1237" s="120"/>
      <c r="AE1237" s="120"/>
      <c r="AF1237" s="120"/>
      <c r="AG1237" s="94"/>
      <c r="AH1237" s="120"/>
      <c r="AI1237" s="94"/>
      <c r="AJ1237" s="94" t="s">
        <v>782</v>
      </c>
      <c r="AK1237" s="94" t="s">
        <v>707</v>
      </c>
      <c r="AL1237" s="94">
        <v>165</v>
      </c>
      <c r="AM1237" s="94" t="str">
        <f>TRIM(AJ1237)&amp;TRIM(AL1237)&amp;TRIM(AK1237)</f>
      </c>
      <c r="AN1237" s="116">
        <v>0</v>
      </c>
      <c r="AO1237" s="116" t="inlineStr">
        <is>
          <t>#NA</t>
        </is>
      </c>
      <c r="AP1237" s="116">
        <f>SUMIFS(M:M,AM:AM,AM1237)+SUMIFS(O:O,AM:AM,AM1237)</f>
      </c>
      <c r="AQ1237" s="116">
        <f>SUMIFS(L:L,AM:AM,AM1237)</f>
      </c>
      <c r="AR1237" s="116">
        <f>AQ1237-AP1237</f>
      </c>
      <c r="AS1237" s="94" t="str">
        <f>IF(AN1237&gt;=AQ1237,"ok","ck")</f>
      </c>
      <c r="AT1237" s="116">
        <f>-P1237</f>
      </c>
      <c r="AU1237" s="115">
        <f>IF(SUMIFS(AT:AT,AM:AM,AM1237)&gt;AO1237,(SUMIFS(AT:AT,AM:AM,AM1237)-AO1237))</f>
      </c>
      <c r="AV1237" s="116">
        <v>0</v>
      </c>
      <c r="AW1237" s="121">
        <v>0</v>
      </c>
      <c r="AX1237" s="115">
        <f>AN1237-AP1237</f>
      </c>
    </row>
    <row r="1238" spans="1:50" ht="15" hidden="1" customHeight="1" x14ac:dyDescent="0.3">
      <c r="A1238" s="94" t="s">
        <v>268</v>
      </c>
      <c r="B1238" s="94"/>
      <c r="C1238" s="94"/>
      <c r="D1238" s="94"/>
      <c r="E1238" s="94"/>
      <c r="F1238" s="94"/>
      <c r="G1238" s="112">
        <f>AU1238</f>
      </c>
      <c r="H1238" s="113"/>
      <c r="I1238" s="94" t="s">
        <v>278</v>
      </c>
      <c r="J1238" s="94" t="s">
        <v>535</v>
      </c>
      <c r="K1238" s="114">
        <f>P1238/3</f>
      </c>
      <c r="L1238" s="115">
        <v>4.3819999999999997</v>
      </c>
      <c r="M1238" s="116"/>
      <c r="N1238" s="117">
        <f>M1238-L1238</f>
      </c>
      <c r="O1238" s="112"/>
      <c r="P1238" s="118">
        <f>N1238+O1238</f>
      </c>
      <c r="Q1238" s="94" t="s">
        <v>807</v>
      </c>
      <c r="R1238" s="94" t="s">
        <v>63</v>
      </c>
      <c r="S1238" s="120">
        <v>46346</v>
      </c>
      <c r="T1238" s="120"/>
      <c r="U1238" s="120">
        <v>46346</v>
      </c>
      <c r="V1238" s="94"/>
      <c r="W1238" s="94"/>
      <c r="X1238" s="94"/>
      <c r="Y1238" s="119">
        <v>46328</v>
      </c>
      <c r="Z1238" s="94"/>
      <c r="AA1238" s="120"/>
      <c r="AB1238" s="120"/>
      <c r="AC1238" s="120"/>
      <c r="AD1238" s="120"/>
      <c r="AE1238" s="120"/>
      <c r="AF1238" s="120"/>
      <c r="AG1238" s="94"/>
      <c r="AH1238" s="120"/>
      <c r="AI1238" s="94"/>
      <c r="AJ1238" s="94" t="s">
        <v>807</v>
      </c>
      <c r="AK1238" s="94" t="s">
        <v>719</v>
      </c>
      <c r="AL1238" s="94">
        <v>120</v>
      </c>
      <c r="AM1238" s="94" t="str">
        <f>TRIM(AJ1238)&amp;TRIM(AL1238)&amp;TRIM(AK1238)</f>
      </c>
      <c r="AN1238" s="116">
        <v>0</v>
      </c>
      <c r="AO1238" s="116" t="inlineStr">
        <is>
          <t>#NA</t>
        </is>
      </c>
      <c r="AP1238" s="116">
        <f>SUMIFS(M:M,AM:AM,AM1238)+SUMIFS(O:O,AM:AM,AM1238)</f>
      </c>
      <c r="AQ1238" s="116">
        <f>SUMIFS(L:L,AM:AM,AM1238)</f>
      </c>
      <c r="AR1238" s="116">
        <f>AQ1238-AP1238</f>
      </c>
      <c r="AS1238" s="94" t="str">
        <f>IF(AN1238&gt;=AQ1238,"ok","ck")</f>
      </c>
      <c r="AT1238" s="116">
        <f>-P1238</f>
      </c>
      <c r="AU1238" s="115">
        <f>IF(SUMIFS(AT:AT,AM:AM,AM1238)&gt;AO1238,(SUMIFS(AT:AT,AM:AM,AM1238)-AO1238))</f>
      </c>
      <c r="AV1238" s="116">
        <v>0</v>
      </c>
      <c r="AW1238" s="121">
        <v>0</v>
      </c>
      <c r="AX1238" s="115">
        <f>AN1238-AP1238</f>
      </c>
    </row>
    <row r="1239" spans="1:50" ht="15" hidden="1" customHeight="1" x14ac:dyDescent="0.3">
      <c r="A1239" s="94" t="s">
        <v>268</v>
      </c>
      <c r="B1239" s="94"/>
      <c r="C1239" s="94"/>
      <c r="D1239" s="94"/>
      <c r="E1239" s="94"/>
      <c r="F1239" s="94"/>
      <c r="G1239" s="112">
        <f>AU1239</f>
      </c>
      <c r="H1239" s="113"/>
      <c r="I1239" s="94" t="s">
        <v>278</v>
      </c>
      <c r="J1239" s="94" t="s">
        <v>535</v>
      </c>
      <c r="K1239" s="114">
        <f>P1239/3</f>
      </c>
      <c r="L1239" s="115">
        <v>22.251999999999999</v>
      </c>
      <c r="M1239" s="116"/>
      <c r="N1239" s="117">
        <f>M1239-L1239</f>
      </c>
      <c r="O1239" s="112"/>
      <c r="P1239" s="118">
        <f>N1239+O1239</f>
      </c>
      <c r="Q1239" s="94" t="s">
        <v>807</v>
      </c>
      <c r="R1239" s="94" t="s">
        <v>63</v>
      </c>
      <c r="S1239" s="120">
        <v>46346</v>
      </c>
      <c r="T1239" s="120"/>
      <c r="U1239" s="120">
        <v>46346</v>
      </c>
      <c r="V1239" s="94"/>
      <c r="W1239" s="94"/>
      <c r="X1239" s="94"/>
      <c r="Y1239" s="119">
        <v>46343</v>
      </c>
      <c r="Z1239" s="94"/>
      <c r="AA1239" s="120"/>
      <c r="AB1239" s="120"/>
      <c r="AC1239" s="120"/>
      <c r="AD1239" s="120"/>
      <c r="AE1239" s="120"/>
      <c r="AF1239" s="120"/>
      <c r="AG1239" s="94"/>
      <c r="AH1239" s="120"/>
      <c r="AI1239" s="94"/>
      <c r="AJ1239" s="94" t="s">
        <v>807</v>
      </c>
      <c r="AK1239" s="94" t="s">
        <v>719</v>
      </c>
      <c r="AL1239" s="94">
        <v>120</v>
      </c>
      <c r="AM1239" s="94" t="str">
        <f>TRIM(AJ1239)&amp;TRIM(AL1239)&amp;TRIM(AK1239)</f>
      </c>
      <c r="AN1239" s="116">
        <v>0</v>
      </c>
      <c r="AO1239" s="116" t="inlineStr">
        <is>
          <t>#NA</t>
        </is>
      </c>
      <c r="AP1239" s="116">
        <f>SUMIFS(M:M,AM:AM,AM1239)+SUMIFS(O:O,AM:AM,AM1239)</f>
      </c>
      <c r="AQ1239" s="116">
        <f>SUMIFS(L:L,AM:AM,AM1239)</f>
      </c>
      <c r="AR1239" s="116">
        <f>AQ1239-AP1239</f>
      </c>
      <c r="AS1239" s="94" t="str">
        <f>IF(AN1239&gt;=AQ1239,"ok","ck")</f>
      </c>
      <c r="AT1239" s="116">
        <f>-P1239</f>
      </c>
      <c r="AU1239" s="115">
        <f>IF(SUMIFS(AT:AT,AM:AM,AM1239)&gt;AO1239,(SUMIFS(AT:AT,AM:AM,AM1239)-AO1239))</f>
      </c>
      <c r="AV1239" s="116">
        <v>0</v>
      </c>
      <c r="AW1239" s="121">
        <v>0</v>
      </c>
      <c r="AX1239" s="115">
        <f>AN1239-AP1239</f>
      </c>
    </row>
    <row r="1240" spans="1:50" ht="15" hidden="1" customHeight="1" x14ac:dyDescent="0.3">
      <c r="A1240" s="94" t="s">
        <v>480</v>
      </c>
      <c r="B1240" s="94"/>
      <c r="C1240" s="94"/>
      <c r="D1240" s="94"/>
      <c r="E1240" s="94"/>
      <c r="F1240" s="94"/>
      <c r="G1240" s="112">
        <f>AU1240</f>
      </c>
      <c r="H1240" s="113"/>
      <c r="I1240" s="94" t="s">
        <v>486</v>
      </c>
      <c r="J1240" s="94" t="s">
        <v>543</v>
      </c>
      <c r="K1240" s="114">
        <f>P1240/3</f>
      </c>
      <c r="L1240" s="115">
        <v>29.661000000000001</v>
      </c>
      <c r="M1240" s="116"/>
      <c r="N1240" s="117">
        <f>M1240-L1240</f>
      </c>
      <c r="O1240" s="112"/>
      <c r="P1240" s="118">
        <f>N1240+O1240</f>
      </c>
      <c r="Q1240" s="94" t="s">
        <v>782</v>
      </c>
      <c r="R1240" s="94" t="s">
        <v>63</v>
      </c>
      <c r="S1240" s="120">
        <v>46332</v>
      </c>
      <c r="T1240" s="120"/>
      <c r="U1240" s="120">
        <v>46332</v>
      </c>
      <c r="V1240" s="94"/>
      <c r="W1240" s="94"/>
      <c r="X1240" s="94"/>
      <c r="Y1240" s="119">
        <v>46337</v>
      </c>
      <c r="Z1240" s="94"/>
      <c r="AA1240" s="120"/>
      <c r="AB1240" s="120"/>
      <c r="AC1240" s="120"/>
      <c r="AD1240" s="120"/>
      <c r="AE1240" s="120"/>
      <c r="AF1240" s="120"/>
      <c r="AG1240" s="94"/>
      <c r="AH1240" s="120"/>
      <c r="AI1240" s="94"/>
      <c r="AJ1240" s="94" t="s">
        <v>782</v>
      </c>
      <c r="AK1240" s="94" t="s">
        <v>696</v>
      </c>
      <c r="AL1240" s="94">
        <v>165</v>
      </c>
      <c r="AM1240" s="94" t="str">
        <f>TRIM(AJ1240)&amp;TRIM(AL1240)&amp;TRIM(AK1240)</f>
      </c>
      <c r="AN1240" s="116">
        <v>0</v>
      </c>
      <c r="AO1240" s="116" t="inlineStr">
        <is>
          <t>#NA</t>
        </is>
      </c>
      <c r="AP1240" s="116">
        <f>SUMIFS(M:M,AM:AM,AM1240)+SUMIFS(O:O,AM:AM,AM1240)</f>
      </c>
      <c r="AQ1240" s="116">
        <f>SUMIFS(L:L,AM:AM,AM1240)</f>
      </c>
      <c r="AR1240" s="116">
        <f>AQ1240-AP1240</f>
      </c>
      <c r="AS1240" s="94" t="str">
        <f>IF(AN1240&gt;=AQ1240,"ok","ck")</f>
      </c>
      <c r="AT1240" s="116">
        <f>-P1240</f>
      </c>
      <c r="AU1240" s="115">
        <f>IF(SUMIFS(AT:AT,AM:AM,AM1240)&gt;AO1240,(SUMIFS(AT:AT,AM:AM,AM1240)-AO1240))</f>
      </c>
      <c r="AV1240" s="116">
        <v>0</v>
      </c>
      <c r="AW1240" s="121">
        <v>0</v>
      </c>
      <c r="AX1240" s="115">
        <f>AN1240-AP1240</f>
      </c>
    </row>
    <row r="1241" spans="1:50" ht="15" hidden="1" customHeight="1" x14ac:dyDescent="0.3">
      <c r="A1241" s="94" t="s">
        <v>480</v>
      </c>
      <c r="B1241" s="94"/>
      <c r="C1241" s="94"/>
      <c r="D1241" s="94"/>
      <c r="E1241" s="94"/>
      <c r="F1241" s="94"/>
      <c r="G1241" s="112">
        <f>AU1241</f>
      </c>
      <c r="H1241" s="113"/>
      <c r="I1241" s="94" t="s">
        <v>486</v>
      </c>
      <c r="J1241" s="94" t="s">
        <v>543</v>
      </c>
      <c r="K1241" s="114">
        <f>P1241/3</f>
      </c>
      <c r="L1241" s="115">
        <v>2.5419999999999998</v>
      </c>
      <c r="M1241" s="116"/>
      <c r="N1241" s="117">
        <f>M1241-L1241</f>
      </c>
      <c r="O1241" s="112"/>
      <c r="P1241" s="118">
        <f>N1241+O1241</f>
      </c>
      <c r="Q1241" s="94" t="s">
        <v>782</v>
      </c>
      <c r="R1241" s="94" t="s">
        <v>63</v>
      </c>
      <c r="S1241" s="120">
        <v>46332</v>
      </c>
      <c r="T1241" s="120"/>
      <c r="U1241" s="120">
        <v>46332</v>
      </c>
      <c r="V1241" s="94"/>
      <c r="W1241" s="94"/>
      <c r="X1241" s="94"/>
      <c r="Y1241" s="119">
        <v>46337</v>
      </c>
      <c r="Z1241" s="94"/>
      <c r="AA1241" s="120"/>
      <c r="AB1241" s="120"/>
      <c r="AC1241" s="120"/>
      <c r="AD1241" s="120"/>
      <c r="AE1241" s="120"/>
      <c r="AF1241" s="120"/>
      <c r="AG1241" s="94"/>
      <c r="AH1241" s="120"/>
      <c r="AI1241" s="94"/>
      <c r="AJ1241" s="94" t="s">
        <v>782</v>
      </c>
      <c r="AK1241" s="94" t="s">
        <v>696</v>
      </c>
      <c r="AL1241" s="94">
        <v>165</v>
      </c>
      <c r="AM1241" s="94" t="str">
        <f>TRIM(AJ1241)&amp;TRIM(AL1241)&amp;TRIM(AK1241)</f>
      </c>
      <c r="AN1241" s="116">
        <v>0</v>
      </c>
      <c r="AO1241" s="116" t="inlineStr">
        <is>
          <t>#NA</t>
        </is>
      </c>
      <c r="AP1241" s="116">
        <f>SUMIFS(M:M,AM:AM,AM1241)+SUMIFS(O:O,AM:AM,AM1241)</f>
      </c>
      <c r="AQ1241" s="116">
        <f>SUMIFS(L:L,AM:AM,AM1241)</f>
      </c>
      <c r="AR1241" s="116">
        <f>AQ1241-AP1241</f>
      </c>
      <c r="AS1241" s="94" t="str">
        <f>IF(AN1241&gt;=AQ1241,"ok","ck")</f>
      </c>
      <c r="AT1241" s="116">
        <f>-P1241</f>
      </c>
      <c r="AU1241" s="115">
        <f>IF(SUMIFS(AT:AT,AM:AM,AM1241)&gt;AO1241,(SUMIFS(AT:AT,AM:AM,AM1241)-AO1241))</f>
      </c>
      <c r="AV1241" s="116">
        <v>0</v>
      </c>
      <c r="AW1241" s="121">
        <v>0</v>
      </c>
      <c r="AX1241" s="115">
        <f>AN1241-AP1241</f>
      </c>
    </row>
    <row r="1242" spans="1:50" ht="15" hidden="1" customHeight="1" x14ac:dyDescent="0.3">
      <c r="A1242" s="94" t="s">
        <v>480</v>
      </c>
      <c r="B1242" s="94"/>
      <c r="C1242" s="94"/>
      <c r="D1242" s="94"/>
      <c r="E1242" s="94"/>
      <c r="F1242" s="94"/>
      <c r="G1242" s="112">
        <f>AU1242</f>
      </c>
      <c r="H1242" s="113"/>
      <c r="I1242" s="94" t="s">
        <v>486</v>
      </c>
      <c r="J1242" s="94" t="s">
        <v>543</v>
      </c>
      <c r="K1242" s="114">
        <f>P1242/3</f>
      </c>
      <c r="L1242" s="115">
        <v>7.1529999999999996</v>
      </c>
      <c r="M1242" s="116"/>
      <c r="N1242" s="117">
        <f>M1242-L1242</f>
      </c>
      <c r="O1242" s="112"/>
      <c r="P1242" s="118">
        <f>N1242+O1242</f>
      </c>
      <c r="Q1242" s="94" t="s">
        <v>782</v>
      </c>
      <c r="R1242" s="94" t="s">
        <v>63</v>
      </c>
      <c r="S1242" s="120">
        <v>46332</v>
      </c>
      <c r="T1242" s="120"/>
      <c r="U1242" s="120">
        <v>46332</v>
      </c>
      <c r="V1242" s="94"/>
      <c r="W1242" s="94"/>
      <c r="X1242" s="94"/>
      <c r="Y1242" s="119">
        <v>46338</v>
      </c>
      <c r="Z1242" s="94"/>
      <c r="AA1242" s="120"/>
      <c r="AB1242" s="120"/>
      <c r="AC1242" s="120"/>
      <c r="AD1242" s="120"/>
      <c r="AE1242" s="120"/>
      <c r="AF1242" s="120"/>
      <c r="AG1242" s="94"/>
      <c r="AH1242" s="120"/>
      <c r="AI1242" s="94"/>
      <c r="AJ1242" s="94" t="s">
        <v>782</v>
      </c>
      <c r="AK1242" s="94" t="s">
        <v>696</v>
      </c>
      <c r="AL1242" s="94">
        <v>165</v>
      </c>
      <c r="AM1242" s="94" t="str">
        <f>TRIM(AJ1242)&amp;TRIM(AL1242)&amp;TRIM(AK1242)</f>
      </c>
      <c r="AN1242" s="116">
        <v>0</v>
      </c>
      <c r="AO1242" s="116" t="inlineStr">
        <is>
          <t>#NA</t>
        </is>
      </c>
      <c r="AP1242" s="116">
        <f>SUMIFS(M:M,AM:AM,AM1242)+SUMIFS(O:O,AM:AM,AM1242)</f>
      </c>
      <c r="AQ1242" s="116">
        <f>SUMIFS(L:L,AM:AM,AM1242)</f>
      </c>
      <c r="AR1242" s="116">
        <f>AQ1242-AP1242</f>
      </c>
      <c r="AS1242" s="94" t="str">
        <f>IF(AN1242&gt;=AQ1242,"ok","ck")</f>
      </c>
      <c r="AT1242" s="116">
        <f>-P1242</f>
      </c>
      <c r="AU1242" s="115">
        <f>IF(SUMIFS(AT:AT,AM:AM,AM1242)&gt;AO1242,(SUMIFS(AT:AT,AM:AM,AM1242)-AO1242))</f>
      </c>
      <c r="AV1242" s="116">
        <v>0</v>
      </c>
      <c r="AW1242" s="121">
        <v>0</v>
      </c>
      <c r="AX1242" s="115">
        <f>AN1242-AP1242</f>
      </c>
    </row>
    <row r="1243" spans="1:50" ht="15" hidden="1" customHeight="1" x14ac:dyDescent="0.3">
      <c r="A1243" s="94" t="s">
        <v>480</v>
      </c>
      <c r="B1243" s="94"/>
      <c r="C1243" s="94"/>
      <c r="D1243" s="94"/>
      <c r="E1243" s="94"/>
      <c r="F1243" s="94"/>
      <c r="G1243" s="112">
        <f>AU1243</f>
      </c>
      <c r="H1243" s="113"/>
      <c r="I1243" s="94" t="s">
        <v>486</v>
      </c>
      <c r="J1243" s="94" t="s">
        <v>543</v>
      </c>
      <c r="K1243" s="114">
        <f>P1243/3</f>
      </c>
      <c r="L1243" s="115">
        <v>0.82499999999999996</v>
      </c>
      <c r="M1243" s="116"/>
      <c r="N1243" s="117">
        <f>M1243-L1243</f>
      </c>
      <c r="O1243" s="112"/>
      <c r="P1243" s="118">
        <f>N1243+O1243</f>
      </c>
      <c r="Q1243" s="94" t="s">
        <v>782</v>
      </c>
      <c r="R1243" s="94" t="s">
        <v>63</v>
      </c>
      <c r="S1243" s="120">
        <v>46332</v>
      </c>
      <c r="T1243" s="120"/>
      <c r="U1243" s="120">
        <v>46332</v>
      </c>
      <c r="V1243" s="94"/>
      <c r="W1243" s="94"/>
      <c r="X1243" s="94"/>
      <c r="Y1243" s="119">
        <v>46338</v>
      </c>
      <c r="Z1243" s="94"/>
      <c r="AA1243" s="120"/>
      <c r="AB1243" s="120"/>
      <c r="AC1243" s="120"/>
      <c r="AD1243" s="120"/>
      <c r="AE1243" s="120"/>
      <c r="AF1243" s="120"/>
      <c r="AG1243" s="94"/>
      <c r="AH1243" s="120"/>
      <c r="AI1243" s="94"/>
      <c r="AJ1243" s="94" t="s">
        <v>782</v>
      </c>
      <c r="AK1243" s="94" t="s">
        <v>696</v>
      </c>
      <c r="AL1243" s="94">
        <v>165</v>
      </c>
      <c r="AM1243" s="94" t="str">
        <f>TRIM(AJ1243)&amp;TRIM(AL1243)&amp;TRIM(AK1243)</f>
      </c>
      <c r="AN1243" s="116">
        <v>0</v>
      </c>
      <c r="AO1243" s="116" t="inlineStr">
        <is>
          <t>#NA</t>
        </is>
      </c>
      <c r="AP1243" s="116">
        <f>SUMIFS(M:M,AM:AM,AM1243)+SUMIFS(O:O,AM:AM,AM1243)</f>
      </c>
      <c r="AQ1243" s="116">
        <f>SUMIFS(L:L,AM:AM,AM1243)</f>
      </c>
      <c r="AR1243" s="116">
        <f>AQ1243-AP1243</f>
      </c>
      <c r="AS1243" s="94" t="str">
        <f>IF(AN1243&gt;=AQ1243,"ok","ck")</f>
      </c>
      <c r="AT1243" s="116">
        <f>-P1243</f>
      </c>
      <c r="AU1243" s="115">
        <f>IF(SUMIFS(AT:AT,AM:AM,AM1243)&gt;AO1243,(SUMIFS(AT:AT,AM:AM,AM1243)-AO1243))</f>
      </c>
      <c r="AV1243" s="116">
        <v>0</v>
      </c>
      <c r="AW1243" s="121">
        <v>0</v>
      </c>
      <c r="AX1243" s="115">
        <f>AN1243-AP1243</f>
      </c>
    </row>
    <row r="1244" spans="1:50" ht="15" hidden="1" customHeight="1" x14ac:dyDescent="0.3">
      <c r="A1244" s="94" t="s">
        <v>480</v>
      </c>
      <c r="B1244" s="94"/>
      <c r="C1244" s="94"/>
      <c r="D1244" s="94"/>
      <c r="E1244" s="94"/>
      <c r="F1244" s="94"/>
      <c r="G1244" s="112">
        <f>AU1244</f>
      </c>
      <c r="H1244" s="113"/>
      <c r="I1244" s="94" t="s">
        <v>486</v>
      </c>
      <c r="J1244" s="94" t="s">
        <v>543</v>
      </c>
      <c r="K1244" s="114">
        <f>P1244/3</f>
      </c>
      <c r="L1244" s="115">
        <v>13.161</v>
      </c>
      <c r="M1244" s="116"/>
      <c r="N1244" s="117">
        <f>M1244-L1244</f>
      </c>
      <c r="O1244" s="112"/>
      <c r="P1244" s="118">
        <f>N1244+O1244</f>
      </c>
      <c r="Q1244" s="94" t="s">
        <v>782</v>
      </c>
      <c r="R1244" s="94" t="s">
        <v>63</v>
      </c>
      <c r="S1244" s="120">
        <v>46332</v>
      </c>
      <c r="T1244" s="120"/>
      <c r="U1244" s="120">
        <v>46332</v>
      </c>
      <c r="V1244" s="94"/>
      <c r="W1244" s="94"/>
      <c r="X1244" s="94"/>
      <c r="Y1244" s="119">
        <v>46338</v>
      </c>
      <c r="Z1244" s="94"/>
      <c r="AA1244" s="120"/>
      <c r="AB1244" s="120"/>
      <c r="AC1244" s="120"/>
      <c r="AD1244" s="120"/>
      <c r="AE1244" s="120"/>
      <c r="AF1244" s="120"/>
      <c r="AG1244" s="94"/>
      <c r="AH1244" s="120"/>
      <c r="AI1244" s="94"/>
      <c r="AJ1244" s="94" t="s">
        <v>782</v>
      </c>
      <c r="AK1244" s="94" t="s">
        <v>696</v>
      </c>
      <c r="AL1244" s="94">
        <v>165</v>
      </c>
      <c r="AM1244" s="94" t="str">
        <f>TRIM(AJ1244)&amp;TRIM(AL1244)&amp;TRIM(AK1244)</f>
      </c>
      <c r="AN1244" s="116">
        <v>0</v>
      </c>
      <c r="AO1244" s="116" t="inlineStr">
        <is>
          <t>#NA</t>
        </is>
      </c>
      <c r="AP1244" s="116">
        <f>SUMIFS(M:M,AM:AM,AM1244)+SUMIFS(O:O,AM:AM,AM1244)</f>
      </c>
      <c r="AQ1244" s="116">
        <f>SUMIFS(L:L,AM:AM,AM1244)</f>
      </c>
      <c r="AR1244" s="116">
        <f>AQ1244-AP1244</f>
      </c>
      <c r="AS1244" s="94" t="str">
        <f>IF(AN1244&gt;=AQ1244,"ok","ck")</f>
      </c>
      <c r="AT1244" s="116">
        <f>-P1244</f>
      </c>
      <c r="AU1244" s="115">
        <f>IF(SUMIFS(AT:AT,AM:AM,AM1244)&gt;AO1244,(SUMIFS(AT:AT,AM:AM,AM1244)-AO1244))</f>
      </c>
      <c r="AV1244" s="116">
        <v>0</v>
      </c>
      <c r="AW1244" s="121">
        <v>0</v>
      </c>
      <c r="AX1244" s="115">
        <f>AN1244-AP1244</f>
      </c>
    </row>
    <row r="1245" spans="1:50" ht="15" hidden="1" customHeight="1" x14ac:dyDescent="0.3">
      <c r="A1245" s="94" t="s">
        <v>480</v>
      </c>
      <c r="B1245" s="94"/>
      <c r="C1245" s="94"/>
      <c r="D1245" s="94"/>
      <c r="E1245" s="94"/>
      <c r="F1245" s="94"/>
      <c r="G1245" s="112">
        <f>AU1245</f>
      </c>
      <c r="H1245" s="113"/>
      <c r="I1245" s="94" t="s">
        <v>486</v>
      </c>
      <c r="J1245" s="94" t="s">
        <v>543</v>
      </c>
      <c r="K1245" s="114">
        <f>P1245/3</f>
      </c>
      <c r="L1245" s="115">
        <v>3.0369999999999999</v>
      </c>
      <c r="M1245" s="116"/>
      <c r="N1245" s="117">
        <f>M1245-L1245</f>
      </c>
      <c r="O1245" s="112"/>
      <c r="P1245" s="118">
        <f>N1245+O1245</f>
      </c>
      <c r="Q1245" s="94" t="s">
        <v>782</v>
      </c>
      <c r="R1245" s="94" t="s">
        <v>63</v>
      </c>
      <c r="S1245" s="120">
        <v>46332</v>
      </c>
      <c r="T1245" s="120"/>
      <c r="U1245" s="120">
        <v>46332</v>
      </c>
      <c r="V1245" s="94"/>
      <c r="W1245" s="94"/>
      <c r="X1245" s="94"/>
      <c r="Y1245" s="119">
        <v>46338</v>
      </c>
      <c r="Z1245" s="94"/>
      <c r="AA1245" s="120"/>
      <c r="AB1245" s="120"/>
      <c r="AC1245" s="120"/>
      <c r="AD1245" s="120"/>
      <c r="AE1245" s="120"/>
      <c r="AF1245" s="120"/>
      <c r="AG1245" s="94"/>
      <c r="AH1245" s="120"/>
      <c r="AI1245" s="94"/>
      <c r="AJ1245" s="94" t="s">
        <v>782</v>
      </c>
      <c r="AK1245" s="94" t="s">
        <v>696</v>
      </c>
      <c r="AL1245" s="94">
        <v>165</v>
      </c>
      <c r="AM1245" s="94" t="str">
        <f>TRIM(AJ1245)&amp;TRIM(AL1245)&amp;TRIM(AK1245)</f>
      </c>
      <c r="AN1245" s="116">
        <v>0</v>
      </c>
      <c r="AO1245" s="116" t="inlineStr">
        <is>
          <t>#NA</t>
        </is>
      </c>
      <c r="AP1245" s="116">
        <f>SUMIFS(M:M,AM:AM,AM1245)+SUMIFS(O:O,AM:AM,AM1245)</f>
      </c>
      <c r="AQ1245" s="116">
        <f>SUMIFS(L:L,AM:AM,AM1245)</f>
      </c>
      <c r="AR1245" s="116">
        <f>AQ1245-AP1245</f>
      </c>
      <c r="AS1245" s="94" t="str">
        <f>IF(AN1245&gt;=AQ1245,"ok","ck")</f>
      </c>
      <c r="AT1245" s="116">
        <f>-P1245</f>
      </c>
      <c r="AU1245" s="115">
        <f>IF(SUMIFS(AT:AT,AM:AM,AM1245)&gt;AO1245,(SUMIFS(AT:AT,AM:AM,AM1245)-AO1245))</f>
      </c>
      <c r="AV1245" s="116">
        <v>0</v>
      </c>
      <c r="AW1245" s="121">
        <v>0</v>
      </c>
      <c r="AX1245" s="115">
        <f>AN1245-AP1245</f>
      </c>
    </row>
    <row r="1246" spans="1:50" ht="15" hidden="1" customHeight="1" x14ac:dyDescent="0.3">
      <c r="A1246" s="94" t="s">
        <v>480</v>
      </c>
      <c r="B1246" s="94"/>
      <c r="C1246" s="94"/>
      <c r="D1246" s="94"/>
      <c r="E1246" s="94"/>
      <c r="F1246" s="94"/>
      <c r="G1246" s="112">
        <f>AU1246</f>
      </c>
      <c r="H1246" s="113"/>
      <c r="I1246" s="94" t="s">
        <v>486</v>
      </c>
      <c r="J1246" s="94" t="s">
        <v>543</v>
      </c>
      <c r="K1246" s="114">
        <f>P1246/3</f>
      </c>
      <c r="L1246" s="115">
        <v>19.927</v>
      </c>
      <c r="M1246" s="116"/>
      <c r="N1246" s="117">
        <f>M1246-L1246</f>
      </c>
      <c r="O1246" s="112"/>
      <c r="P1246" s="118">
        <f>N1246+O1246</f>
      </c>
      <c r="Q1246" s="94" t="s">
        <v>782</v>
      </c>
      <c r="R1246" s="94" t="s">
        <v>63</v>
      </c>
      <c r="S1246" s="120">
        <v>46332</v>
      </c>
      <c r="T1246" s="120"/>
      <c r="U1246" s="120">
        <v>46332</v>
      </c>
      <c r="V1246" s="94"/>
      <c r="W1246" s="94"/>
      <c r="X1246" s="94"/>
      <c r="Y1246" s="119">
        <v>46338</v>
      </c>
      <c r="Z1246" s="94"/>
      <c r="AA1246" s="120"/>
      <c r="AB1246" s="120"/>
      <c r="AC1246" s="120"/>
      <c r="AD1246" s="120"/>
      <c r="AE1246" s="120"/>
      <c r="AF1246" s="120"/>
      <c r="AG1246" s="94"/>
      <c r="AH1246" s="120"/>
      <c r="AI1246" s="94"/>
      <c r="AJ1246" s="94" t="s">
        <v>782</v>
      </c>
      <c r="AK1246" s="94" t="s">
        <v>696</v>
      </c>
      <c r="AL1246" s="94">
        <v>165</v>
      </c>
      <c r="AM1246" s="94" t="str">
        <f>TRIM(AJ1246)&amp;TRIM(AL1246)&amp;TRIM(AK1246)</f>
      </c>
      <c r="AN1246" s="116">
        <v>0</v>
      </c>
      <c r="AO1246" s="116" t="inlineStr">
        <is>
          <t>#NA</t>
        </is>
      </c>
      <c r="AP1246" s="116">
        <f>SUMIFS(M:M,AM:AM,AM1246)+SUMIFS(O:O,AM:AM,AM1246)</f>
      </c>
      <c r="AQ1246" s="116">
        <f>SUMIFS(L:L,AM:AM,AM1246)</f>
      </c>
      <c r="AR1246" s="116">
        <f>AQ1246-AP1246</f>
      </c>
      <c r="AS1246" s="94" t="str">
        <f>IF(AN1246&gt;=AQ1246,"ok","ck")</f>
      </c>
      <c r="AT1246" s="116">
        <f>-P1246</f>
      </c>
      <c r="AU1246" s="115">
        <f>IF(SUMIFS(AT:AT,AM:AM,AM1246)&gt;AO1246,(SUMIFS(AT:AT,AM:AM,AM1246)-AO1246))</f>
      </c>
      <c r="AV1246" s="116">
        <v>0</v>
      </c>
      <c r="AW1246" s="121">
        <v>0</v>
      </c>
      <c r="AX1246" s="115">
        <f>AN1246-AP1246</f>
      </c>
    </row>
    <row r="1247" spans="1:50" ht="15" hidden="1" customHeight="1" x14ac:dyDescent="0.3">
      <c r="A1247" s="94" t="s">
        <v>480</v>
      </c>
      <c r="B1247" s="94"/>
      <c r="C1247" s="94"/>
      <c r="D1247" s="94"/>
      <c r="E1247" s="94"/>
      <c r="F1247" s="94"/>
      <c r="G1247" s="112">
        <f>AU1247</f>
      </c>
      <c r="H1247" s="113"/>
      <c r="I1247" s="94" t="s">
        <v>486</v>
      </c>
      <c r="J1247" s="94" t="s">
        <v>543</v>
      </c>
      <c r="K1247" s="114">
        <f>P1247/3</f>
      </c>
      <c r="L1247" s="115">
        <v>3.5179999999999998</v>
      </c>
      <c r="M1247" s="116"/>
      <c r="N1247" s="117">
        <f>M1247-L1247</f>
      </c>
      <c r="O1247" s="112"/>
      <c r="P1247" s="118">
        <f>N1247+O1247</f>
      </c>
      <c r="Q1247" s="94" t="s">
        <v>782</v>
      </c>
      <c r="R1247" s="94" t="s">
        <v>63</v>
      </c>
      <c r="S1247" s="119">
        <v>46332</v>
      </c>
      <c r="T1247" s="119"/>
      <c r="U1247" s="120">
        <v>46332</v>
      </c>
      <c r="V1247" s="94"/>
      <c r="W1247" s="94"/>
      <c r="X1247" s="94"/>
      <c r="Y1247" s="119">
        <v>46338</v>
      </c>
      <c r="Z1247" s="94"/>
      <c r="AA1247" s="120"/>
      <c r="AB1247" s="120"/>
      <c r="AC1247" s="120"/>
      <c r="AD1247" s="120"/>
      <c r="AE1247" s="120"/>
      <c r="AF1247" s="120"/>
      <c r="AG1247" s="94"/>
      <c r="AH1247" s="120"/>
      <c r="AI1247" s="94"/>
      <c r="AJ1247" s="94" t="s">
        <v>782</v>
      </c>
      <c r="AK1247" s="94" t="s">
        <v>696</v>
      </c>
      <c r="AL1247" s="94">
        <v>165</v>
      </c>
      <c r="AM1247" s="94" t="str">
        <f>TRIM(AJ1247)&amp;TRIM(AL1247)&amp;TRIM(AK1247)</f>
      </c>
      <c r="AN1247" s="116">
        <v>0</v>
      </c>
      <c r="AO1247" s="116" t="inlineStr">
        <is>
          <t>#NA</t>
        </is>
      </c>
      <c r="AP1247" s="116">
        <f>SUMIFS(M:M,AM:AM,AM1247)+SUMIFS(O:O,AM:AM,AM1247)</f>
      </c>
      <c r="AQ1247" s="116">
        <f>SUMIFS(L:L,AM:AM,AM1247)</f>
      </c>
      <c r="AR1247" s="116">
        <f>AQ1247-AP1247</f>
      </c>
      <c r="AS1247" s="94" t="str">
        <f>IF(AN1247&gt;=AQ1247,"ok","ck")</f>
      </c>
      <c r="AT1247" s="116">
        <f>-P1247</f>
      </c>
      <c r="AU1247" s="115">
        <f>IF(SUMIFS(AT:AT,AM:AM,AM1247)&gt;AO1247,(SUMIFS(AT:AT,AM:AM,AM1247)-AO1247))</f>
      </c>
      <c r="AV1247" s="116">
        <v>0</v>
      </c>
      <c r="AW1247" s="121">
        <v>0</v>
      </c>
      <c r="AX1247" s="115">
        <f>AN1247-AP1247</f>
      </c>
    </row>
    <row r="1248" spans="1:50" ht="15" hidden="1" customHeight="1" x14ac:dyDescent="0.3">
      <c r="A1248" s="94" t="s">
        <v>480</v>
      </c>
      <c r="B1248" s="94"/>
      <c r="C1248" s="94"/>
      <c r="D1248" s="94"/>
      <c r="E1248" s="94"/>
      <c r="F1248" s="94"/>
      <c r="G1248" s="112">
        <f>AU1248</f>
      </c>
      <c r="H1248" s="113"/>
      <c r="I1248" s="94" t="s">
        <v>486</v>
      </c>
      <c r="J1248" s="94" t="s">
        <v>545</v>
      </c>
      <c r="K1248" s="114">
        <f>P1248/3</f>
      </c>
      <c r="L1248" s="115">
        <v>0.85099999999999998</v>
      </c>
      <c r="M1248" s="116"/>
      <c r="N1248" s="117">
        <f>M1248-L1248</f>
      </c>
      <c r="O1248" s="112"/>
      <c r="P1248" s="118">
        <f>N1248+O1248</f>
      </c>
      <c r="Q1248" s="94" t="s">
        <v>782</v>
      </c>
      <c r="R1248" s="94" t="s">
        <v>63</v>
      </c>
      <c r="S1248" s="119">
        <v>46332</v>
      </c>
      <c r="T1248" s="119"/>
      <c r="U1248" s="120">
        <v>46332</v>
      </c>
      <c r="V1248" s="94"/>
      <c r="W1248" s="94"/>
      <c r="X1248" s="94"/>
      <c r="Y1248" s="119">
        <v>46326</v>
      </c>
      <c r="Z1248" s="94"/>
      <c r="AA1248" s="120"/>
      <c r="AB1248" s="120"/>
      <c r="AC1248" s="120"/>
      <c r="AD1248" s="120"/>
      <c r="AE1248" s="120"/>
      <c r="AF1248" s="120"/>
      <c r="AG1248" s="94"/>
      <c r="AH1248" s="120"/>
      <c r="AI1248" s="94"/>
      <c r="AJ1248" s="94" t="s">
        <v>782</v>
      </c>
      <c r="AK1248" s="94" t="s">
        <v>721</v>
      </c>
      <c r="AL1248" s="94">
        <v>165</v>
      </c>
      <c r="AM1248" s="94" t="str">
        <f>TRIM(AJ1248)&amp;TRIM(AL1248)&amp;TRIM(AK1248)</f>
      </c>
      <c r="AN1248" s="116">
        <v>0</v>
      </c>
      <c r="AO1248" s="116" t="inlineStr">
        <is>
          <t>#NA</t>
        </is>
      </c>
      <c r="AP1248" s="116">
        <f>SUMIFS(M:M,AM:AM,AM1248)+SUMIFS(O:O,AM:AM,AM1248)</f>
      </c>
      <c r="AQ1248" s="116">
        <f>SUMIFS(L:L,AM:AM,AM1248)</f>
      </c>
      <c r="AR1248" s="116">
        <f>AQ1248-AP1248</f>
      </c>
      <c r="AS1248" s="94" t="str">
        <f>IF(AN1248&gt;=AQ1248,"ok","ck")</f>
      </c>
      <c r="AT1248" s="116">
        <f>-P1248</f>
      </c>
      <c r="AU1248" s="115">
        <f>IF(SUMIFS(AT:AT,AM:AM,AM1248)&gt;AO1248,(SUMIFS(AT:AT,AM:AM,AM1248)-AO1248))</f>
      </c>
      <c r="AV1248" s="116">
        <v>0</v>
      </c>
      <c r="AW1248" s="121">
        <v>0</v>
      </c>
      <c r="AX1248" s="115">
        <f>AN1248-AP1248</f>
      </c>
    </row>
    <row r="1249" spans="1:50" ht="15" hidden="1" customHeight="1" x14ac:dyDescent="0.3">
      <c r="A1249" s="94" t="s">
        <v>480</v>
      </c>
      <c r="B1249" s="94"/>
      <c r="C1249" s="94"/>
      <c r="D1249" s="94"/>
      <c r="E1249" s="94"/>
      <c r="F1249" s="94"/>
      <c r="G1249" s="112">
        <f>AU1249</f>
      </c>
      <c r="H1249" s="113"/>
      <c r="I1249" s="94" t="s">
        <v>486</v>
      </c>
      <c r="J1249" s="94" t="s">
        <v>545</v>
      </c>
      <c r="K1249" s="114">
        <f>P1249/3</f>
      </c>
      <c r="L1249" s="115">
        <v>0.17199999999999999</v>
      </c>
      <c r="M1249" s="116"/>
      <c r="N1249" s="117">
        <f>M1249-L1249</f>
      </c>
      <c r="O1249" s="112"/>
      <c r="P1249" s="118">
        <f>N1249+O1249</f>
      </c>
      <c r="Q1249" s="94" t="s">
        <v>782</v>
      </c>
      <c r="R1249" s="94" t="s">
        <v>63</v>
      </c>
      <c r="S1249" s="119">
        <v>46332</v>
      </c>
      <c r="T1249" s="119"/>
      <c r="U1249" s="119">
        <v>46332</v>
      </c>
      <c r="V1249" s="94"/>
      <c r="W1249" s="94"/>
      <c r="X1249" s="94"/>
      <c r="Y1249" s="119">
        <v>46326</v>
      </c>
      <c r="Z1249" s="94"/>
      <c r="AA1249" s="120"/>
      <c r="AB1249" s="120"/>
      <c r="AC1249" s="120"/>
      <c r="AD1249" s="120"/>
      <c r="AE1249" s="120"/>
      <c r="AF1249" s="120"/>
      <c r="AG1249" s="94"/>
      <c r="AH1249" s="120"/>
      <c r="AI1249" s="94"/>
      <c r="AJ1249" s="94" t="s">
        <v>782</v>
      </c>
      <c r="AK1249" s="94" t="s">
        <v>721</v>
      </c>
      <c r="AL1249" s="94">
        <v>165</v>
      </c>
      <c r="AM1249" s="94" t="str">
        <f>TRIM(AJ1249)&amp;TRIM(AL1249)&amp;TRIM(AK1249)</f>
      </c>
      <c r="AN1249" s="116">
        <v>0</v>
      </c>
      <c r="AO1249" s="116" t="inlineStr">
        <is>
          <t>#NA</t>
        </is>
      </c>
      <c r="AP1249" s="116">
        <f>SUMIFS(M:M,AM:AM,AM1249)+SUMIFS(O:O,AM:AM,AM1249)</f>
      </c>
      <c r="AQ1249" s="116">
        <f>SUMIFS(L:L,AM:AM,AM1249)</f>
      </c>
      <c r="AR1249" s="116">
        <f>AQ1249-AP1249</f>
      </c>
      <c r="AS1249" s="94" t="str">
        <f>IF(AN1249&gt;=AQ1249,"ok","ck")</f>
      </c>
      <c r="AT1249" s="116">
        <f>-P1249</f>
      </c>
      <c r="AU1249" s="115">
        <f>IF(SUMIFS(AT:AT,AM:AM,AM1249)&gt;AO1249,(SUMIFS(AT:AT,AM:AM,AM1249)-AO1249))</f>
      </c>
      <c r="AV1249" s="116">
        <v>0</v>
      </c>
      <c r="AW1249" s="121">
        <v>0</v>
      </c>
      <c r="AX1249" s="115">
        <f>AN1249-AP1249</f>
      </c>
    </row>
    <row r="1250" spans="1:50" ht="15" hidden="1" customHeight="1" x14ac:dyDescent="0.3">
      <c r="A1250" s="94" t="s">
        <v>480</v>
      </c>
      <c r="B1250" s="94"/>
      <c r="C1250" s="94"/>
      <c r="D1250" s="94"/>
      <c r="E1250" s="94"/>
      <c r="F1250" s="94"/>
      <c r="G1250" s="112">
        <f>AU1250</f>
      </c>
      <c r="H1250" s="113"/>
      <c r="I1250" s="94" t="s">
        <v>486</v>
      </c>
      <c r="J1250" s="94" t="s">
        <v>545</v>
      </c>
      <c r="K1250" s="114">
        <f>P1250/3</f>
      </c>
      <c r="L1250" s="115">
        <v>4.3999999999999997E-2</v>
      </c>
      <c r="M1250" s="116"/>
      <c r="N1250" s="117">
        <f>M1250-L1250</f>
      </c>
      <c r="O1250" s="112"/>
      <c r="P1250" s="118">
        <f>N1250+O1250</f>
      </c>
      <c r="Q1250" s="94" t="s">
        <v>782</v>
      </c>
      <c r="R1250" s="94" t="s">
        <v>63</v>
      </c>
      <c r="S1250" s="119">
        <v>46332</v>
      </c>
      <c r="T1250" s="119"/>
      <c r="U1250" s="119">
        <v>46332</v>
      </c>
      <c r="V1250" s="94"/>
      <c r="W1250" s="94"/>
      <c r="X1250" s="94"/>
      <c r="Y1250" s="119">
        <v>46327</v>
      </c>
      <c r="Z1250" s="94"/>
      <c r="AA1250" s="120"/>
      <c r="AB1250" s="120"/>
      <c r="AC1250" s="120"/>
      <c r="AD1250" s="120"/>
      <c r="AE1250" s="120"/>
      <c r="AF1250" s="120"/>
      <c r="AG1250" s="94"/>
      <c r="AH1250" s="120"/>
      <c r="AI1250" s="94"/>
      <c r="AJ1250" s="94" t="s">
        <v>782</v>
      </c>
      <c r="AK1250" s="94" t="s">
        <v>721</v>
      </c>
      <c r="AL1250" s="94">
        <v>165</v>
      </c>
      <c r="AM1250" s="94" t="str">
        <f>TRIM(AJ1250)&amp;TRIM(AL1250)&amp;TRIM(AK1250)</f>
      </c>
      <c r="AN1250" s="116">
        <v>0</v>
      </c>
      <c r="AO1250" s="116" t="inlineStr">
        <is>
          <t>#NA</t>
        </is>
      </c>
      <c r="AP1250" s="116">
        <f>SUMIFS(M:M,AM:AM,AM1250)+SUMIFS(O:O,AM:AM,AM1250)</f>
      </c>
      <c r="AQ1250" s="116">
        <f>SUMIFS(L:L,AM:AM,AM1250)</f>
      </c>
      <c r="AR1250" s="116">
        <f>AQ1250-AP1250</f>
      </c>
      <c r="AS1250" s="94" t="str">
        <f>IF(AN1250&gt;=AQ1250,"ok","ck")</f>
      </c>
      <c r="AT1250" s="116">
        <f>-P1250</f>
      </c>
      <c r="AU1250" s="115">
        <f>IF(SUMIFS(AT:AT,AM:AM,AM1250)&gt;AO1250,(SUMIFS(AT:AT,AM:AM,AM1250)-AO1250))</f>
      </c>
      <c r="AV1250" s="116">
        <v>0</v>
      </c>
      <c r="AW1250" s="121">
        <v>0</v>
      </c>
      <c r="AX1250" s="115">
        <f>AN1250-AP1250</f>
      </c>
    </row>
    <row r="1251" spans="1:50" ht="15" hidden="1" customHeight="1" x14ac:dyDescent="0.3">
      <c r="A1251" s="94" t="s">
        <v>480</v>
      </c>
      <c r="B1251" s="94"/>
      <c r="C1251" s="94"/>
      <c r="D1251" s="94"/>
      <c r="E1251" s="94"/>
      <c r="F1251" s="94"/>
      <c r="G1251" s="112">
        <f>AU1251</f>
      </c>
      <c r="H1251" s="113"/>
      <c r="I1251" s="94" t="s">
        <v>486</v>
      </c>
      <c r="J1251" s="94" t="s">
        <v>545</v>
      </c>
      <c r="K1251" s="114">
        <f>P1251/3</f>
      </c>
      <c r="L1251" s="115">
        <v>4.3999999999999997E-2</v>
      </c>
      <c r="M1251" s="116"/>
      <c r="N1251" s="117">
        <f>M1251-L1251</f>
      </c>
      <c r="O1251" s="112"/>
      <c r="P1251" s="118">
        <f>N1251+O1251</f>
      </c>
      <c r="Q1251" s="94" t="s">
        <v>782</v>
      </c>
      <c r="R1251" s="94" t="s">
        <v>63</v>
      </c>
      <c r="S1251" s="119">
        <v>46332</v>
      </c>
      <c r="T1251" s="119"/>
      <c r="U1251" s="119">
        <v>46332</v>
      </c>
      <c r="V1251" s="94"/>
      <c r="W1251" s="94"/>
      <c r="X1251" s="94"/>
      <c r="Y1251" s="119">
        <v>46327</v>
      </c>
      <c r="Z1251" s="94"/>
      <c r="AA1251" s="120"/>
      <c r="AB1251" s="120"/>
      <c r="AC1251" s="120"/>
      <c r="AD1251" s="120"/>
      <c r="AE1251" s="120"/>
      <c r="AF1251" s="120"/>
      <c r="AG1251" s="94"/>
      <c r="AH1251" s="120"/>
      <c r="AI1251" s="94"/>
      <c r="AJ1251" s="94" t="s">
        <v>782</v>
      </c>
      <c r="AK1251" s="94" t="s">
        <v>721</v>
      </c>
      <c r="AL1251" s="94">
        <v>165</v>
      </c>
      <c r="AM1251" s="94" t="str">
        <f>TRIM(AJ1251)&amp;TRIM(AL1251)&amp;TRIM(AK1251)</f>
      </c>
      <c r="AN1251" s="116">
        <v>0</v>
      </c>
      <c r="AO1251" s="116" t="inlineStr">
        <is>
          <t>#NA</t>
        </is>
      </c>
      <c r="AP1251" s="116">
        <f>SUMIFS(M:M,AM:AM,AM1251)+SUMIFS(O:O,AM:AM,AM1251)</f>
      </c>
      <c r="AQ1251" s="116">
        <f>SUMIFS(L:L,AM:AM,AM1251)</f>
      </c>
      <c r="AR1251" s="116">
        <f>AQ1251-AP1251</f>
      </c>
      <c r="AS1251" s="94" t="str">
        <f>IF(AN1251&gt;=AQ1251,"ok","ck")</f>
      </c>
      <c r="AT1251" s="116">
        <f>-P1251</f>
      </c>
      <c r="AU1251" s="115">
        <f>IF(SUMIFS(AT:AT,AM:AM,AM1251)&gt;AO1251,(SUMIFS(AT:AT,AM:AM,AM1251)-AO1251))</f>
      </c>
      <c r="AV1251" s="116">
        <v>0</v>
      </c>
      <c r="AW1251" s="121">
        <v>0</v>
      </c>
      <c r="AX1251" s="115">
        <f>AN1251-AP1251</f>
      </c>
    </row>
    <row r="1252" spans="1:50" ht="15" hidden="1" customHeight="1" x14ac:dyDescent="0.3">
      <c r="A1252" s="94" t="s">
        <v>480</v>
      </c>
      <c r="B1252" s="94"/>
      <c r="C1252" s="94"/>
      <c r="D1252" s="94"/>
      <c r="E1252" s="94"/>
      <c r="F1252" s="94"/>
      <c r="G1252" s="112">
        <f>AU1252</f>
      </c>
      <c r="H1252" s="113"/>
      <c r="I1252" s="94" t="s">
        <v>486</v>
      </c>
      <c r="J1252" s="94" t="s">
        <v>545</v>
      </c>
      <c r="K1252" s="114">
        <f>P1252/3</f>
      </c>
      <c r="L1252" s="115">
        <v>2.3050000000000002</v>
      </c>
      <c r="M1252" s="116"/>
      <c r="N1252" s="117">
        <f>M1252-L1252</f>
      </c>
      <c r="O1252" s="112"/>
      <c r="P1252" s="118">
        <f>N1252+O1252</f>
      </c>
      <c r="Q1252" s="94" t="s">
        <v>782</v>
      </c>
      <c r="R1252" s="94" t="s">
        <v>63</v>
      </c>
      <c r="S1252" s="119">
        <v>46332</v>
      </c>
      <c r="T1252" s="119"/>
      <c r="U1252" s="119">
        <v>46332</v>
      </c>
      <c r="V1252" s="94"/>
      <c r="W1252" s="94"/>
      <c r="X1252" s="94"/>
      <c r="Y1252" s="119">
        <v>46326</v>
      </c>
      <c r="Z1252" s="94"/>
      <c r="AA1252" s="120"/>
      <c r="AB1252" s="120"/>
      <c r="AC1252" s="120"/>
      <c r="AD1252" s="120"/>
      <c r="AE1252" s="120"/>
      <c r="AF1252" s="120"/>
      <c r="AG1252" s="94"/>
      <c r="AH1252" s="120"/>
      <c r="AI1252" s="94"/>
      <c r="AJ1252" s="94" t="s">
        <v>782</v>
      </c>
      <c r="AK1252" s="94" t="s">
        <v>721</v>
      </c>
      <c r="AL1252" s="94">
        <v>165</v>
      </c>
      <c r="AM1252" s="94" t="str">
        <f>TRIM(AJ1252)&amp;TRIM(AL1252)&amp;TRIM(AK1252)</f>
      </c>
      <c r="AN1252" s="116">
        <v>0</v>
      </c>
      <c r="AO1252" s="116" t="inlineStr">
        <is>
          <t>#NA</t>
        </is>
      </c>
      <c r="AP1252" s="116">
        <f>SUMIFS(M:M,AM:AM,AM1252)+SUMIFS(O:O,AM:AM,AM1252)</f>
      </c>
      <c r="AQ1252" s="116">
        <f>SUMIFS(L:L,AM:AM,AM1252)</f>
      </c>
      <c r="AR1252" s="116">
        <f>AQ1252-AP1252</f>
      </c>
      <c r="AS1252" s="94" t="str">
        <f>IF(AN1252&gt;=AQ1252,"ok","ck")</f>
      </c>
      <c r="AT1252" s="116">
        <f>-P1252</f>
      </c>
      <c r="AU1252" s="115">
        <f>IF(SUMIFS(AT:AT,AM:AM,AM1252)&gt;AO1252,(SUMIFS(AT:AT,AM:AM,AM1252)-AO1252))</f>
      </c>
      <c r="AV1252" s="116">
        <v>0</v>
      </c>
      <c r="AW1252" s="121">
        <v>0</v>
      </c>
      <c r="AX1252" s="115">
        <f>AN1252-AP1252</f>
      </c>
    </row>
    <row r="1253" spans="1:50" ht="15" hidden="1" customHeight="1" x14ac:dyDescent="0.3">
      <c r="A1253" s="94" t="s">
        <v>480</v>
      </c>
      <c r="B1253" s="94"/>
      <c r="C1253" s="94"/>
      <c r="D1253" s="94"/>
      <c r="E1253" s="94"/>
      <c r="F1253" s="94"/>
      <c r="G1253" s="112">
        <f>AU1253</f>
      </c>
      <c r="H1253" s="113"/>
      <c r="I1253" s="94" t="s">
        <v>486</v>
      </c>
      <c r="J1253" s="94" t="s">
        <v>545</v>
      </c>
      <c r="K1253" s="114">
        <f>P1253/3</f>
      </c>
      <c r="L1253" s="115">
        <v>0.46</v>
      </c>
      <c r="M1253" s="116"/>
      <c r="N1253" s="117">
        <f>M1253-L1253</f>
      </c>
      <c r="O1253" s="112"/>
      <c r="P1253" s="118">
        <f>N1253+O1253</f>
      </c>
      <c r="Q1253" s="94" t="s">
        <v>782</v>
      </c>
      <c r="R1253" s="94" t="s">
        <v>63</v>
      </c>
      <c r="S1253" s="119">
        <v>46332</v>
      </c>
      <c r="T1253" s="119"/>
      <c r="U1253" s="119">
        <v>46332</v>
      </c>
      <c r="V1253" s="94"/>
      <c r="W1253" s="94"/>
      <c r="X1253" s="94"/>
      <c r="Y1253" s="119">
        <v>46326</v>
      </c>
      <c r="Z1253" s="94"/>
      <c r="AA1253" s="120"/>
      <c r="AB1253" s="120"/>
      <c r="AC1253" s="120"/>
      <c r="AD1253" s="120"/>
      <c r="AE1253" s="120"/>
      <c r="AF1253" s="120"/>
      <c r="AG1253" s="94"/>
      <c r="AH1253" s="120"/>
      <c r="AI1253" s="94"/>
      <c r="AJ1253" s="94" t="s">
        <v>782</v>
      </c>
      <c r="AK1253" s="94" t="s">
        <v>721</v>
      </c>
      <c r="AL1253" s="94">
        <v>165</v>
      </c>
      <c r="AM1253" s="94" t="str">
        <f>TRIM(AJ1253)&amp;TRIM(AL1253)&amp;TRIM(AK1253)</f>
      </c>
      <c r="AN1253" s="116">
        <v>0</v>
      </c>
      <c r="AO1253" s="116" t="inlineStr">
        <is>
          <t>#NA</t>
        </is>
      </c>
      <c r="AP1253" s="116">
        <f>SUMIFS(M:M,AM:AM,AM1253)+SUMIFS(O:O,AM:AM,AM1253)</f>
      </c>
      <c r="AQ1253" s="116">
        <f>SUMIFS(L:L,AM:AM,AM1253)</f>
      </c>
      <c r="AR1253" s="116">
        <f>AQ1253-AP1253</f>
      </c>
      <c r="AS1253" s="94" t="str">
        <f>IF(AN1253&gt;=AQ1253,"ok","ck")</f>
      </c>
      <c r="AT1253" s="116">
        <f>-P1253</f>
      </c>
      <c r="AU1253" s="115">
        <f>IF(SUMIFS(AT:AT,AM:AM,AM1253)&gt;AO1253,(SUMIFS(AT:AT,AM:AM,AM1253)-AO1253))</f>
      </c>
      <c r="AV1253" s="116">
        <v>0</v>
      </c>
      <c r="AW1253" s="121">
        <v>0</v>
      </c>
      <c r="AX1253" s="115">
        <f>AN1253-AP1253</f>
      </c>
    </row>
    <row r="1254" spans="1:50" ht="15" hidden="1" customHeight="1" x14ac:dyDescent="0.3">
      <c r="A1254" s="94" t="s">
        <v>268</v>
      </c>
      <c r="B1254" s="94"/>
      <c r="C1254" s="94"/>
      <c r="D1254" s="94"/>
      <c r="E1254" s="94"/>
      <c r="F1254" s="94"/>
      <c r="G1254" s="112">
        <f>AU1254</f>
      </c>
      <c r="H1254" s="113"/>
      <c r="I1254" s="94" t="s">
        <v>278</v>
      </c>
      <c r="J1254" s="94" t="s">
        <v>326</v>
      </c>
      <c r="K1254" s="114">
        <f>P1254/3</f>
      </c>
      <c r="L1254" s="115">
        <v>0.39900000000000002</v>
      </c>
      <c r="M1254" s="116"/>
      <c r="N1254" s="117">
        <f>M1254-L1254</f>
      </c>
      <c r="O1254" s="112"/>
      <c r="P1254" s="118">
        <f>N1254+O1254</f>
      </c>
      <c r="Q1254" s="94" t="s">
        <v>812</v>
      </c>
      <c r="R1254" s="94" t="s">
        <v>63</v>
      </c>
      <c r="S1254" s="120">
        <v>46340</v>
      </c>
      <c r="T1254" s="120"/>
      <c r="U1254" s="120">
        <v>46340</v>
      </c>
      <c r="V1254" s="94"/>
      <c r="W1254" s="94"/>
      <c r="X1254" s="94"/>
      <c r="Y1254" s="119">
        <v>46340</v>
      </c>
      <c r="Z1254" s="94"/>
      <c r="AA1254" s="120"/>
      <c r="AB1254" s="120"/>
      <c r="AC1254" s="120"/>
      <c r="AD1254" s="120"/>
      <c r="AE1254" s="120"/>
      <c r="AF1254" s="120"/>
      <c r="AG1254" s="94"/>
      <c r="AH1254" s="120"/>
      <c r="AI1254" s="94"/>
      <c r="AJ1254" s="94" t="s">
        <v>812</v>
      </c>
      <c r="AK1254" s="94" t="s">
        <v>327</v>
      </c>
      <c r="AL1254" s="94">
        <v>120</v>
      </c>
      <c r="AM1254" s="94" t="str">
        <f>TRIM(AJ1254)&amp;TRIM(AL1254)&amp;TRIM(AK1254)</f>
      </c>
      <c r="AN1254" s="116">
        <v>0</v>
      </c>
      <c r="AO1254" s="116" t="inlineStr">
        <is>
          <t>#NA</t>
        </is>
      </c>
      <c r="AP1254" s="116">
        <f>SUMIFS(M:M,AM:AM,AM1254)+SUMIFS(O:O,AM:AM,AM1254)</f>
      </c>
      <c r="AQ1254" s="116">
        <f>SUMIFS(L:L,AM:AM,AM1254)</f>
      </c>
      <c r="AR1254" s="116">
        <f>AQ1254-AP1254</f>
      </c>
      <c r="AS1254" s="94" t="str">
        <f>IF(AN1254&gt;=AQ1254,"ok","ck")</f>
      </c>
      <c r="AT1254" s="116">
        <f>-P1254</f>
      </c>
      <c r="AU1254" s="115">
        <f>IF(SUMIFS(AT:AT,AM:AM,AM1254)&gt;AO1254,(SUMIFS(AT:AT,AM:AM,AM1254)-AO1254))</f>
      </c>
      <c r="AV1254" s="116">
        <v>0</v>
      </c>
      <c r="AW1254" s="121">
        <v>0</v>
      </c>
      <c r="AX1254" s="115">
        <f>AN1254-AP1254</f>
      </c>
    </row>
    <row r="1255" spans="1:50" ht="15" hidden="1" customHeight="1" x14ac:dyDescent="0.3">
      <c r="A1255" s="94" t="s">
        <v>268</v>
      </c>
      <c r="B1255" s="94"/>
      <c r="C1255" s="94"/>
      <c r="D1255" s="94"/>
      <c r="E1255" s="94"/>
      <c r="F1255" s="94"/>
      <c r="G1255" s="112">
        <f>AU1255</f>
      </c>
      <c r="H1255" s="113"/>
      <c r="I1255" s="94" t="s">
        <v>278</v>
      </c>
      <c r="J1255" s="94" t="s">
        <v>333</v>
      </c>
      <c r="K1255" s="114">
        <f>P1255/3</f>
      </c>
      <c r="L1255" s="115">
        <v>0.39900000000000002</v>
      </c>
      <c r="M1255" s="116"/>
      <c r="N1255" s="117">
        <f>M1255-L1255</f>
      </c>
      <c r="O1255" s="112"/>
      <c r="P1255" s="118">
        <f>N1255+O1255</f>
      </c>
      <c r="Q1255" s="94" t="s">
        <v>812</v>
      </c>
      <c r="R1255" s="94" t="s">
        <v>63</v>
      </c>
      <c r="S1255" s="119">
        <v>46340</v>
      </c>
      <c r="T1255" s="119"/>
      <c r="U1255" s="119">
        <v>46340</v>
      </c>
      <c r="V1255" s="94"/>
      <c r="W1255" s="94"/>
      <c r="X1255" s="94"/>
      <c r="Y1255" s="119">
        <v>46340</v>
      </c>
      <c r="Z1255" s="94"/>
      <c r="AA1255" s="120"/>
      <c r="AB1255" s="120"/>
      <c r="AC1255" s="120"/>
      <c r="AD1255" s="120"/>
      <c r="AE1255" s="120"/>
      <c r="AF1255" s="120"/>
      <c r="AG1255" s="94"/>
      <c r="AH1255" s="120"/>
      <c r="AI1255" s="94"/>
      <c r="AJ1255" s="94" t="s">
        <v>812</v>
      </c>
      <c r="AK1255" s="94" t="s">
        <v>338</v>
      </c>
      <c r="AL1255" s="94">
        <v>120</v>
      </c>
      <c r="AM1255" s="94" t="str">
        <f>TRIM(AJ1255)&amp;TRIM(AL1255)&amp;TRIM(AK1255)</f>
      </c>
      <c r="AN1255" s="116">
        <v>0</v>
      </c>
      <c r="AO1255" s="116" t="inlineStr">
        <is>
          <t>#NA</t>
        </is>
      </c>
      <c r="AP1255" s="116">
        <f>SUMIFS(M:M,AM:AM,AM1255)+SUMIFS(O:O,AM:AM,AM1255)</f>
      </c>
      <c r="AQ1255" s="116">
        <f>SUMIFS(L:L,AM:AM,AM1255)</f>
      </c>
      <c r="AR1255" s="116">
        <f>AQ1255-AP1255</f>
      </c>
      <c r="AS1255" s="94" t="str">
        <f>IF(AN1255&gt;=AQ1255,"ok","ck")</f>
      </c>
      <c r="AT1255" s="116">
        <f>-P1255</f>
      </c>
      <c r="AU1255" s="115">
        <f>IF(SUMIFS(AT:AT,AM:AM,AM1255)&gt;AO1255,(SUMIFS(AT:AT,AM:AM,AM1255)-AO1255))</f>
      </c>
      <c r="AV1255" s="116">
        <v>0</v>
      </c>
      <c r="AW1255" s="121">
        <v>0</v>
      </c>
      <c r="AX1255" s="115">
        <f>AN1255-AP1255</f>
      </c>
    </row>
    <row r="1256" spans="1:50" ht="15" hidden="1" customHeight="1" x14ac:dyDescent="0.3">
      <c r="A1256" s="94" t="s">
        <v>480</v>
      </c>
      <c r="B1256" s="94"/>
      <c r="C1256" s="94"/>
      <c r="D1256" s="94"/>
      <c r="E1256" s="94"/>
      <c r="F1256" s="94"/>
      <c r="G1256" s="112">
        <f>AU1256</f>
      </c>
      <c r="H1256" s="113"/>
      <c r="I1256" s="94" t="s">
        <v>486</v>
      </c>
      <c r="J1256" s="94" t="s">
        <v>574</v>
      </c>
      <c r="K1256" s="114">
        <f>P1256/3</f>
      </c>
      <c r="L1256" s="115">
        <v>0.50600000000000001</v>
      </c>
      <c r="M1256" s="116">
        <f>L1256</f>
      </c>
      <c r="N1256" s="117">
        <f>M1256-L1256</f>
      </c>
      <c r="O1256" s="112"/>
      <c r="P1256" s="118">
        <f>N1256+O1256</f>
      </c>
      <c r="Q1256" s="94" t="s">
        <v>782</v>
      </c>
      <c r="R1256" s="94" t="s">
        <v>63</v>
      </c>
      <c r="S1256" s="119">
        <v>46329</v>
      </c>
      <c r="T1256" s="119"/>
      <c r="U1256" s="119">
        <v>46329</v>
      </c>
      <c r="V1256" s="94"/>
      <c r="W1256" s="94"/>
      <c r="X1256" s="94"/>
      <c r="Y1256" s="119">
        <v>46327</v>
      </c>
      <c r="Z1256" s="94"/>
      <c r="AA1256" s="120"/>
      <c r="AB1256" s="120"/>
      <c r="AC1256" s="120"/>
      <c r="AD1256" s="120"/>
      <c r="AE1256" s="120"/>
      <c r="AF1256" s="120"/>
      <c r="AG1256" s="94"/>
      <c r="AH1256" s="120"/>
      <c r="AI1256" s="94"/>
      <c r="AJ1256" s="94" t="s">
        <v>782</v>
      </c>
      <c r="AK1256" s="94" t="s">
        <v>574</v>
      </c>
      <c r="AL1256" s="94">
        <v>165</v>
      </c>
      <c r="AM1256" s="94" t="str">
        <f>TRIM(AJ1256)&amp;TRIM(AL1256)&amp;TRIM(AK1256)</f>
      </c>
      <c r="AN1256" s="116">
        <v>25.9</v>
      </c>
      <c r="AO1256" s="116">
        <v>-8.9</v>
      </c>
      <c r="AP1256" s="116">
        <f>SUMIFS(M:M,AM:AM,AM1256)+SUMIFS(O:O,AM:AM,AM1256)</f>
      </c>
      <c r="AQ1256" s="116">
        <f>SUMIFS(L:L,AM:AM,AM1256)</f>
      </c>
      <c r="AR1256" s="116">
        <f>AQ1256-AP1256</f>
      </c>
      <c r="AS1256" s="94" t="str">
        <f>IF(AN1256&gt;=AQ1256,"ok","ck")</f>
      </c>
      <c r="AT1256" s="116">
        <f>-P1256</f>
      </c>
      <c r="AU1256" s="115">
        <f>IF(SUMIFS(AT:AT,AM:AM,AM1256)&gt;AO1256,(SUMIFS(AT:AT,AM:AM,AM1256)-AO1256))</f>
      </c>
      <c r="AV1256" s="116">
        <v>25.9</v>
      </c>
      <c r="AW1256" s="121">
        <v>1.524</v>
      </c>
      <c r="AX1256" s="115">
        <f>AN1256-AP1256</f>
      </c>
    </row>
    <row r="1257" spans="1:50" ht="15" hidden="1" customHeight="1" x14ac:dyDescent="0.3">
      <c r="A1257" s="94" t="s">
        <v>480</v>
      </c>
      <c r="B1257" s="94"/>
      <c r="C1257" s="94"/>
      <c r="D1257" s="94"/>
      <c r="E1257" s="94"/>
      <c r="F1257" s="94"/>
      <c r="G1257" s="112">
        <f>AU1257</f>
      </c>
      <c r="H1257" s="113"/>
      <c r="I1257" s="94" t="s">
        <v>486</v>
      </c>
      <c r="J1257" s="94" t="s">
        <v>574</v>
      </c>
      <c r="K1257" s="114">
        <f>P1257/3</f>
      </c>
      <c r="L1257" s="115">
        <v>0.30299999999999999</v>
      </c>
      <c r="M1257" s="116">
        <f>L1257</f>
      </c>
      <c r="N1257" s="117">
        <f>M1257-L1257</f>
      </c>
      <c r="O1257" s="112"/>
      <c r="P1257" s="118">
        <f>N1257+O1257</f>
      </c>
      <c r="Q1257" s="94" t="s">
        <v>782</v>
      </c>
      <c r="R1257" s="94" t="s">
        <v>63</v>
      </c>
      <c r="S1257" s="119">
        <v>46329</v>
      </c>
      <c r="T1257" s="119"/>
      <c r="U1257" s="119">
        <v>46329</v>
      </c>
      <c r="V1257" s="94"/>
      <c r="W1257" s="94"/>
      <c r="X1257" s="94"/>
      <c r="Y1257" s="119">
        <v>46327</v>
      </c>
      <c r="Z1257" s="94"/>
      <c r="AA1257" s="120"/>
      <c r="AB1257" s="120"/>
      <c r="AC1257" s="120"/>
      <c r="AD1257" s="120"/>
      <c r="AE1257" s="120"/>
      <c r="AF1257" s="120"/>
      <c r="AG1257" s="94"/>
      <c r="AH1257" s="120"/>
      <c r="AI1257" s="94"/>
      <c r="AJ1257" s="94" t="s">
        <v>782</v>
      </c>
      <c r="AK1257" s="94" t="s">
        <v>574</v>
      </c>
      <c r="AL1257" s="94">
        <v>165</v>
      </c>
      <c r="AM1257" s="94" t="str">
        <f>TRIM(AJ1257)&amp;TRIM(AL1257)&amp;TRIM(AK1257)</f>
      </c>
      <c r="AN1257" s="116">
        <v>25.9</v>
      </c>
      <c r="AO1257" s="116">
        <v>-8.9</v>
      </c>
      <c r="AP1257" s="116">
        <f>SUMIFS(M:M,AM:AM,AM1257)+SUMIFS(O:O,AM:AM,AM1257)</f>
      </c>
      <c r="AQ1257" s="116">
        <f>SUMIFS(L:L,AM:AM,AM1257)</f>
      </c>
      <c r="AR1257" s="116">
        <f>AQ1257-AP1257</f>
      </c>
      <c r="AS1257" s="94" t="str">
        <f>IF(AN1257&gt;=AQ1257,"ok","ck")</f>
      </c>
      <c r="AT1257" s="116">
        <f>-P1257</f>
      </c>
      <c r="AU1257" s="115">
        <f>IF(SUMIFS(AT:AT,AM:AM,AM1257)&gt;AO1257,(SUMIFS(AT:AT,AM:AM,AM1257)-AO1257))</f>
      </c>
      <c r="AV1257" s="116">
        <v>25.9</v>
      </c>
      <c r="AW1257" s="121">
        <v>1.524</v>
      </c>
      <c r="AX1257" s="115">
        <f>AN1257-AP1257</f>
      </c>
    </row>
    <row r="1258" spans="1:50" ht="15" hidden="1" customHeight="1" x14ac:dyDescent="0.3">
      <c r="A1258" s="94" t="s">
        <v>480</v>
      </c>
      <c r="B1258" s="94"/>
      <c r="C1258" s="94"/>
      <c r="D1258" s="94"/>
      <c r="E1258" s="94"/>
      <c r="F1258" s="94"/>
      <c r="G1258" s="112">
        <f>AU1258</f>
      </c>
      <c r="H1258" s="113"/>
      <c r="I1258" s="94" t="s">
        <v>486</v>
      </c>
      <c r="J1258" s="94" t="s">
        <v>574</v>
      </c>
      <c r="K1258" s="114">
        <f>P1258/3</f>
      </c>
      <c r="L1258" s="115">
        <v>1.7949999999999999</v>
      </c>
      <c r="M1258" s="116">
        <f>L1258</f>
      </c>
      <c r="N1258" s="117">
        <f>M1258-L1258</f>
      </c>
      <c r="O1258" s="112"/>
      <c r="P1258" s="118">
        <f>N1258+O1258</f>
      </c>
      <c r="Q1258" s="94" t="s">
        <v>782</v>
      </c>
      <c r="R1258" s="94" t="s">
        <v>63</v>
      </c>
      <c r="S1258" s="120">
        <v>46329</v>
      </c>
      <c r="T1258" s="120"/>
      <c r="U1258" s="120">
        <v>46329</v>
      </c>
      <c r="V1258" s="94"/>
      <c r="W1258" s="94"/>
      <c r="X1258" s="94"/>
      <c r="Y1258" s="119">
        <v>46327</v>
      </c>
      <c r="Z1258" s="94"/>
      <c r="AA1258" s="120"/>
      <c r="AB1258" s="120"/>
      <c r="AC1258" s="120"/>
      <c r="AD1258" s="120"/>
      <c r="AE1258" s="120"/>
      <c r="AF1258" s="120"/>
      <c r="AG1258" s="94"/>
      <c r="AH1258" s="120"/>
      <c r="AI1258" s="94"/>
      <c r="AJ1258" s="94" t="s">
        <v>782</v>
      </c>
      <c r="AK1258" s="94" t="s">
        <v>574</v>
      </c>
      <c r="AL1258" s="94">
        <v>165</v>
      </c>
      <c r="AM1258" s="94" t="str">
        <f>TRIM(AJ1258)&amp;TRIM(AL1258)&amp;TRIM(AK1258)</f>
      </c>
      <c r="AN1258" s="116">
        <v>25.9</v>
      </c>
      <c r="AO1258" s="116">
        <v>-8.9</v>
      </c>
      <c r="AP1258" s="116">
        <f>SUMIFS(M:M,AM:AM,AM1258)+SUMIFS(O:O,AM:AM,AM1258)</f>
      </c>
      <c r="AQ1258" s="116">
        <f>SUMIFS(L:L,AM:AM,AM1258)</f>
      </c>
      <c r="AR1258" s="116">
        <f>AQ1258-AP1258</f>
      </c>
      <c r="AS1258" s="94" t="str">
        <f>IF(AN1258&gt;=AQ1258,"ok","ck")</f>
      </c>
      <c r="AT1258" s="116">
        <f>-P1258</f>
      </c>
      <c r="AU1258" s="115">
        <f>IF(SUMIFS(AT:AT,AM:AM,AM1258)&gt;AO1258,(SUMIFS(AT:AT,AM:AM,AM1258)-AO1258))</f>
      </c>
      <c r="AV1258" s="116">
        <v>25.9</v>
      </c>
      <c r="AW1258" s="121">
        <v>1.524</v>
      </c>
      <c r="AX1258" s="115">
        <f>AN1258-AP1258</f>
      </c>
    </row>
    <row r="1259" spans="1:50" ht="15" hidden="1" customHeight="1" x14ac:dyDescent="0.3">
      <c r="A1259" s="94" t="s">
        <v>480</v>
      </c>
      <c r="B1259" s="94"/>
      <c r="C1259" s="94"/>
      <c r="D1259" s="94"/>
      <c r="E1259" s="94"/>
      <c r="F1259" s="94"/>
      <c r="G1259" s="112">
        <f>AU1259</f>
      </c>
      <c r="H1259" s="113"/>
      <c r="I1259" s="94" t="s">
        <v>486</v>
      </c>
      <c r="J1259" s="94" t="s">
        <v>574</v>
      </c>
      <c r="K1259" s="114">
        <f>P1259/3</f>
      </c>
      <c r="L1259" s="115">
        <v>1.077</v>
      </c>
      <c r="M1259" s="116">
        <f>L1259</f>
      </c>
      <c r="N1259" s="117">
        <f>M1259-L1259</f>
      </c>
      <c r="O1259" s="112"/>
      <c r="P1259" s="118">
        <f>N1259+O1259</f>
      </c>
      <c r="Q1259" s="94" t="s">
        <v>782</v>
      </c>
      <c r="R1259" s="94" t="s">
        <v>63</v>
      </c>
      <c r="S1259" s="119">
        <v>46329</v>
      </c>
      <c r="T1259" s="119"/>
      <c r="U1259" s="119">
        <v>46329</v>
      </c>
      <c r="V1259" s="94"/>
      <c r="W1259" s="94"/>
      <c r="X1259" s="94"/>
      <c r="Y1259" s="119">
        <v>46327</v>
      </c>
      <c r="Z1259" s="94"/>
      <c r="AA1259" s="120"/>
      <c r="AB1259" s="120"/>
      <c r="AC1259" s="120"/>
      <c r="AD1259" s="120"/>
      <c r="AE1259" s="120"/>
      <c r="AF1259" s="120"/>
      <c r="AG1259" s="94"/>
      <c r="AH1259" s="120"/>
      <c r="AI1259" s="94"/>
      <c r="AJ1259" s="94" t="s">
        <v>782</v>
      </c>
      <c r="AK1259" s="94" t="s">
        <v>574</v>
      </c>
      <c r="AL1259" s="94">
        <v>165</v>
      </c>
      <c r="AM1259" s="94" t="str">
        <f>TRIM(AJ1259)&amp;TRIM(AL1259)&amp;TRIM(AK1259)</f>
      </c>
      <c r="AN1259" s="116">
        <v>25.9</v>
      </c>
      <c r="AO1259" s="116">
        <v>-8.9</v>
      </c>
      <c r="AP1259" s="116">
        <f>SUMIFS(M:M,AM:AM,AM1259)+SUMIFS(O:O,AM:AM,AM1259)</f>
      </c>
      <c r="AQ1259" s="116">
        <f>SUMIFS(L:L,AM:AM,AM1259)</f>
      </c>
      <c r="AR1259" s="116">
        <f>AQ1259-AP1259</f>
      </c>
      <c r="AS1259" s="94" t="str">
        <f>IF(AN1259&gt;=AQ1259,"ok","ck")</f>
      </c>
      <c r="AT1259" s="116">
        <f>-P1259</f>
      </c>
      <c r="AU1259" s="115">
        <f>IF(SUMIFS(AT:AT,AM:AM,AM1259)&gt;AO1259,(SUMIFS(AT:AT,AM:AM,AM1259)-AO1259))</f>
      </c>
      <c r="AV1259" s="116">
        <v>25.9</v>
      </c>
      <c r="AW1259" s="121">
        <v>1.524</v>
      </c>
      <c r="AX1259" s="115">
        <f>AN1259-AP1259</f>
      </c>
    </row>
    <row r="1260" spans="1:50" ht="15" hidden="1" customHeight="1" x14ac:dyDescent="0.3">
      <c r="A1260" s="94" t="s">
        <v>480</v>
      </c>
      <c r="B1260" s="94"/>
      <c r="C1260" s="94"/>
      <c r="D1260" s="94"/>
      <c r="E1260" s="94"/>
      <c r="F1260" s="94"/>
      <c r="G1260" s="112">
        <f>AU1260</f>
      </c>
      <c r="H1260" s="113"/>
      <c r="I1260" s="94" t="s">
        <v>486</v>
      </c>
      <c r="J1260" s="94" t="s">
        <v>574</v>
      </c>
      <c r="K1260" s="114">
        <f>P1260/3</f>
      </c>
      <c r="L1260" s="115">
        <v>1.4590000000000001</v>
      </c>
      <c r="M1260" s="116">
        <f>L1260</f>
      </c>
      <c r="N1260" s="117">
        <f>M1260-L1260</f>
      </c>
      <c r="O1260" s="112"/>
      <c r="P1260" s="118">
        <f>N1260+O1260</f>
      </c>
      <c r="Q1260" s="94" t="s">
        <v>782</v>
      </c>
      <c r="R1260" s="94" t="s">
        <v>63</v>
      </c>
      <c r="S1260" s="119">
        <v>46329</v>
      </c>
      <c r="T1260" s="119"/>
      <c r="U1260" s="119">
        <v>46329</v>
      </c>
      <c r="V1260" s="94"/>
      <c r="W1260" s="94"/>
      <c r="X1260" s="94"/>
      <c r="Y1260" s="119">
        <v>46326</v>
      </c>
      <c r="Z1260" s="94"/>
      <c r="AA1260" s="120"/>
      <c r="AB1260" s="120"/>
      <c r="AC1260" s="120"/>
      <c r="AD1260" s="120"/>
      <c r="AE1260" s="120"/>
      <c r="AF1260" s="120"/>
      <c r="AG1260" s="94"/>
      <c r="AH1260" s="120"/>
      <c r="AI1260" s="94"/>
      <c r="AJ1260" s="94" t="s">
        <v>782</v>
      </c>
      <c r="AK1260" s="94" t="s">
        <v>574</v>
      </c>
      <c r="AL1260" s="94">
        <v>165</v>
      </c>
      <c r="AM1260" s="94" t="str">
        <f>TRIM(AJ1260)&amp;TRIM(AL1260)&amp;TRIM(AK1260)</f>
      </c>
      <c r="AN1260" s="116">
        <v>25.9</v>
      </c>
      <c r="AO1260" s="116">
        <v>-8.9</v>
      </c>
      <c r="AP1260" s="116">
        <f>SUMIFS(M:M,AM:AM,AM1260)+SUMIFS(O:O,AM:AM,AM1260)</f>
      </c>
      <c r="AQ1260" s="116">
        <f>SUMIFS(L:L,AM:AM,AM1260)</f>
      </c>
      <c r="AR1260" s="116">
        <f>AQ1260-AP1260</f>
      </c>
      <c r="AS1260" s="94" t="str">
        <f>IF(AN1260&gt;=AQ1260,"ok","ck")</f>
      </c>
      <c r="AT1260" s="116">
        <f>-P1260</f>
      </c>
      <c r="AU1260" s="115">
        <f>IF(SUMIFS(AT:AT,AM:AM,AM1260)&gt;AO1260,(SUMIFS(AT:AT,AM:AM,AM1260)-AO1260))</f>
      </c>
      <c r="AV1260" s="116">
        <v>25.9</v>
      </c>
      <c r="AW1260" s="121">
        <v>1.524</v>
      </c>
      <c r="AX1260" s="115">
        <f>AN1260-AP1260</f>
      </c>
    </row>
    <row r="1261" spans="1:50" ht="15" hidden="1" customHeight="1" x14ac:dyDescent="0.3">
      <c r="A1261" s="94" t="s">
        <v>480</v>
      </c>
      <c r="B1261" s="94"/>
      <c r="C1261" s="94"/>
      <c r="D1261" s="94"/>
      <c r="E1261" s="94"/>
      <c r="F1261" s="94"/>
      <c r="G1261" s="112">
        <f>AU1261</f>
      </c>
      <c r="H1261" s="113"/>
      <c r="I1261" s="94" t="s">
        <v>486</v>
      </c>
      <c r="J1261" s="94" t="s">
        <v>574</v>
      </c>
      <c r="K1261" s="114">
        <f>P1261/3</f>
      </c>
      <c r="L1261" s="115">
        <v>0.2</v>
      </c>
      <c r="M1261" s="116">
        <f>L1261</f>
      </c>
      <c r="N1261" s="117">
        <f>M1261-L1261</f>
      </c>
      <c r="O1261" s="112"/>
      <c r="P1261" s="118">
        <f>N1261+O1261</f>
      </c>
      <c r="Q1261" s="94" t="s">
        <v>782</v>
      </c>
      <c r="R1261" s="94" t="s">
        <v>63</v>
      </c>
      <c r="S1261" s="119">
        <v>46329</v>
      </c>
      <c r="T1261" s="119"/>
      <c r="U1261" s="119">
        <v>46329</v>
      </c>
      <c r="V1261" s="94"/>
      <c r="W1261" s="94"/>
      <c r="X1261" s="94"/>
      <c r="Y1261" s="119">
        <v>46326</v>
      </c>
      <c r="Z1261" s="94"/>
      <c r="AA1261" s="120"/>
      <c r="AB1261" s="120"/>
      <c r="AC1261" s="120"/>
      <c r="AD1261" s="120"/>
      <c r="AE1261" s="120"/>
      <c r="AF1261" s="120"/>
      <c r="AG1261" s="94"/>
      <c r="AH1261" s="120"/>
      <c r="AI1261" s="94"/>
      <c r="AJ1261" s="94" t="s">
        <v>782</v>
      </c>
      <c r="AK1261" s="94" t="s">
        <v>574</v>
      </c>
      <c r="AL1261" s="94">
        <v>165</v>
      </c>
      <c r="AM1261" s="94" t="str">
        <f>TRIM(AJ1261)&amp;TRIM(AL1261)&amp;TRIM(AK1261)</f>
      </c>
      <c r="AN1261" s="116">
        <v>25.9</v>
      </c>
      <c r="AO1261" s="116">
        <v>-8.9</v>
      </c>
      <c r="AP1261" s="116">
        <f>SUMIFS(M:M,AM:AM,AM1261)+SUMIFS(O:O,AM:AM,AM1261)</f>
      </c>
      <c r="AQ1261" s="116">
        <f>SUMIFS(L:L,AM:AM,AM1261)</f>
      </c>
      <c r="AR1261" s="116">
        <f>AQ1261-AP1261</f>
      </c>
      <c r="AS1261" s="94" t="str">
        <f>IF(AN1261&gt;=AQ1261,"ok","ck")</f>
      </c>
      <c r="AT1261" s="116">
        <f>-P1261</f>
      </c>
      <c r="AU1261" s="115">
        <f>IF(SUMIFS(AT:AT,AM:AM,AM1261)&gt;AO1261,(SUMIFS(AT:AT,AM:AM,AM1261)-AO1261))</f>
      </c>
      <c r="AV1261" s="116">
        <v>25.9</v>
      </c>
      <c r="AW1261" s="121">
        <v>1.524</v>
      </c>
      <c r="AX1261" s="115">
        <f>AN1261-AP1261</f>
      </c>
    </row>
    <row r="1262" spans="1:50" ht="15" hidden="1" customHeight="1" x14ac:dyDescent="0.3">
      <c r="A1262" s="94" t="s">
        <v>480</v>
      </c>
      <c r="B1262" s="94"/>
      <c r="C1262" s="94"/>
      <c r="D1262" s="94"/>
      <c r="E1262" s="94"/>
      <c r="F1262" s="94"/>
      <c r="G1262" s="112">
        <f>AU1262</f>
      </c>
      <c r="H1262" s="113"/>
      <c r="I1262" s="94" t="s">
        <v>486</v>
      </c>
      <c r="J1262" s="94" t="s">
        <v>574</v>
      </c>
      <c r="K1262" s="114">
        <f>P1262/3</f>
      </c>
      <c r="L1262" s="115">
        <v>0.76900000000000002</v>
      </c>
      <c r="M1262" s="116">
        <f>L1262</f>
      </c>
      <c r="N1262" s="117">
        <f>M1262-L1262</f>
      </c>
      <c r="O1262" s="112"/>
      <c r="P1262" s="118">
        <f>N1262+O1262</f>
      </c>
      <c r="Q1262" s="94" t="s">
        <v>782</v>
      </c>
      <c r="R1262" s="94" t="s">
        <v>63</v>
      </c>
      <c r="S1262" s="119">
        <v>46329</v>
      </c>
      <c r="T1262" s="119"/>
      <c r="U1262" s="119">
        <v>46329</v>
      </c>
      <c r="V1262" s="94"/>
      <c r="W1262" s="94"/>
      <c r="X1262" s="94"/>
      <c r="Y1262" s="119">
        <v>46328</v>
      </c>
      <c r="Z1262" s="94"/>
      <c r="AA1262" s="120"/>
      <c r="AB1262" s="120"/>
      <c r="AC1262" s="120"/>
      <c r="AD1262" s="120"/>
      <c r="AE1262" s="120"/>
      <c r="AF1262" s="120"/>
      <c r="AG1262" s="94"/>
      <c r="AH1262" s="120"/>
      <c r="AI1262" s="94"/>
      <c r="AJ1262" s="94" t="s">
        <v>782</v>
      </c>
      <c r="AK1262" s="94" t="s">
        <v>574</v>
      </c>
      <c r="AL1262" s="94">
        <v>165</v>
      </c>
      <c r="AM1262" s="94" t="str">
        <f>TRIM(AJ1262)&amp;TRIM(AL1262)&amp;TRIM(AK1262)</f>
      </c>
      <c r="AN1262" s="116">
        <v>25.9</v>
      </c>
      <c r="AO1262" s="116">
        <v>-8.9</v>
      </c>
      <c r="AP1262" s="116">
        <f>SUMIFS(M:M,AM:AM,AM1262)+SUMIFS(O:O,AM:AM,AM1262)</f>
      </c>
      <c r="AQ1262" s="116">
        <f>SUMIFS(L:L,AM:AM,AM1262)</f>
      </c>
      <c r="AR1262" s="116">
        <f>AQ1262-AP1262</f>
      </c>
      <c r="AS1262" s="94" t="str">
        <f>IF(AN1262&gt;=AQ1262,"ok","ck")</f>
      </c>
      <c r="AT1262" s="116">
        <f>-P1262</f>
      </c>
      <c r="AU1262" s="115">
        <f>IF(SUMIFS(AT:AT,AM:AM,AM1262)&gt;AO1262,(SUMIFS(AT:AT,AM:AM,AM1262)-AO1262))</f>
      </c>
      <c r="AV1262" s="116">
        <v>25.9</v>
      </c>
      <c r="AW1262" s="121">
        <v>1.524</v>
      </c>
      <c r="AX1262" s="115">
        <f>AN1262-AP1262</f>
      </c>
    </row>
    <row r="1263" spans="1:50" ht="15" hidden="1" customHeight="1" x14ac:dyDescent="0.3">
      <c r="A1263" s="94" t="s">
        <v>480</v>
      </c>
      <c r="B1263" s="94"/>
      <c r="C1263" s="94"/>
      <c r="D1263" s="94"/>
      <c r="E1263" s="94"/>
      <c r="F1263" s="94"/>
      <c r="G1263" s="112">
        <f>AU1263</f>
      </c>
      <c r="H1263" s="113"/>
      <c r="I1263" s="94" t="s">
        <v>486</v>
      </c>
      <c r="J1263" s="94" t="s">
        <v>574</v>
      </c>
      <c r="K1263" s="114">
        <f>P1263/3</f>
      </c>
      <c r="L1263" s="115">
        <v>0.14899999999999999</v>
      </c>
      <c r="M1263" s="116">
        <f>L1263</f>
      </c>
      <c r="N1263" s="117">
        <f>M1263-L1263</f>
      </c>
      <c r="O1263" s="112"/>
      <c r="P1263" s="118">
        <f>N1263+O1263</f>
      </c>
      <c r="Q1263" s="94" t="s">
        <v>782</v>
      </c>
      <c r="R1263" s="94" t="s">
        <v>63</v>
      </c>
      <c r="S1263" s="119">
        <v>46329</v>
      </c>
      <c r="T1263" s="119"/>
      <c r="U1263" s="119">
        <v>46329</v>
      </c>
      <c r="V1263" s="94"/>
      <c r="W1263" s="94"/>
      <c r="X1263" s="94"/>
      <c r="Y1263" s="119">
        <v>46328</v>
      </c>
      <c r="Z1263" s="94"/>
      <c r="AA1263" s="120"/>
      <c r="AB1263" s="120"/>
      <c r="AC1263" s="120"/>
      <c r="AD1263" s="120"/>
      <c r="AE1263" s="120"/>
      <c r="AF1263" s="120"/>
      <c r="AG1263" s="94"/>
      <c r="AH1263" s="120"/>
      <c r="AI1263" s="94"/>
      <c r="AJ1263" s="94" t="s">
        <v>782</v>
      </c>
      <c r="AK1263" s="94" t="s">
        <v>574</v>
      </c>
      <c r="AL1263" s="94">
        <v>165</v>
      </c>
      <c r="AM1263" s="94" t="str">
        <f>TRIM(AJ1263)&amp;TRIM(AL1263)&amp;TRIM(AK1263)</f>
      </c>
      <c r="AN1263" s="116">
        <v>25.9</v>
      </c>
      <c r="AO1263" s="116">
        <v>-8.9</v>
      </c>
      <c r="AP1263" s="116">
        <f>SUMIFS(M:M,AM:AM,AM1263)+SUMIFS(O:O,AM:AM,AM1263)</f>
      </c>
      <c r="AQ1263" s="116">
        <f>SUMIFS(L:L,AM:AM,AM1263)</f>
      </c>
      <c r="AR1263" s="116">
        <f>AQ1263-AP1263</f>
      </c>
      <c r="AS1263" s="94" t="str">
        <f>IF(AN1263&gt;=AQ1263,"ok","ck")</f>
      </c>
      <c r="AT1263" s="116">
        <f>-P1263</f>
      </c>
      <c r="AU1263" s="115">
        <f>IF(SUMIFS(AT:AT,AM:AM,AM1263)&gt;AO1263,(SUMIFS(AT:AT,AM:AM,AM1263)-AO1263))</f>
      </c>
      <c r="AV1263" s="116">
        <v>25.9</v>
      </c>
      <c r="AW1263" s="121">
        <v>1.524</v>
      </c>
      <c r="AX1263" s="115">
        <f>AN1263-AP1263</f>
      </c>
    </row>
    <row r="1264" spans="1:50" ht="15" hidden="1" customHeight="1" x14ac:dyDescent="0.3">
      <c r="A1264" s="94" t="s">
        <v>480</v>
      </c>
      <c r="B1264" s="94"/>
      <c r="C1264" s="94"/>
      <c r="D1264" s="94"/>
      <c r="E1264" s="94"/>
      <c r="F1264" s="94"/>
      <c r="G1264" s="112">
        <f>AU1264</f>
      </c>
      <c r="H1264" s="113"/>
      <c r="I1264" s="94" t="s">
        <v>486</v>
      </c>
      <c r="J1264" s="94" t="s">
        <v>574</v>
      </c>
      <c r="K1264" s="114">
        <f>P1264/3</f>
      </c>
      <c r="L1264" s="115">
        <v>0.90500000000000003</v>
      </c>
      <c r="M1264" s="116">
        <f>L1264</f>
      </c>
      <c r="N1264" s="117">
        <f>M1264-L1264</f>
      </c>
      <c r="O1264" s="112"/>
      <c r="P1264" s="118">
        <f>N1264+O1264</f>
      </c>
      <c r="Q1264" s="94" t="s">
        <v>782</v>
      </c>
      <c r="R1264" s="94" t="s">
        <v>63</v>
      </c>
      <c r="S1264" s="120">
        <v>46329</v>
      </c>
      <c r="T1264" s="120"/>
      <c r="U1264" s="120">
        <v>46329</v>
      </c>
      <c r="V1264" s="94"/>
      <c r="W1264" s="94"/>
      <c r="X1264" s="94"/>
      <c r="Y1264" s="119">
        <v>46326</v>
      </c>
      <c r="Z1264" s="94"/>
      <c r="AA1264" s="120"/>
      <c r="AB1264" s="120"/>
      <c r="AC1264" s="120"/>
      <c r="AD1264" s="120"/>
      <c r="AE1264" s="120"/>
      <c r="AF1264" s="120"/>
      <c r="AG1264" s="94"/>
      <c r="AH1264" s="120"/>
      <c r="AI1264" s="94"/>
      <c r="AJ1264" s="94" t="s">
        <v>782</v>
      </c>
      <c r="AK1264" s="94" t="s">
        <v>574</v>
      </c>
      <c r="AL1264" s="94">
        <v>165</v>
      </c>
      <c r="AM1264" s="94" t="str">
        <f>TRIM(AJ1264)&amp;TRIM(AL1264)&amp;TRIM(AK1264)</f>
      </c>
      <c r="AN1264" s="116">
        <v>25.9</v>
      </c>
      <c r="AO1264" s="116">
        <v>-8.9</v>
      </c>
      <c r="AP1264" s="116">
        <f>SUMIFS(M:M,AM:AM,AM1264)+SUMIFS(O:O,AM:AM,AM1264)</f>
      </c>
      <c r="AQ1264" s="116">
        <f>SUMIFS(L:L,AM:AM,AM1264)</f>
      </c>
      <c r="AR1264" s="116">
        <f>AQ1264-AP1264</f>
      </c>
      <c r="AS1264" s="94" t="str">
        <f>IF(AN1264&gt;=AQ1264,"ok","ck")</f>
      </c>
      <c r="AT1264" s="116">
        <f>-P1264</f>
      </c>
      <c r="AU1264" s="115">
        <f>IF(SUMIFS(AT:AT,AM:AM,AM1264)&gt;AO1264,(SUMIFS(AT:AT,AM:AM,AM1264)-AO1264))</f>
      </c>
      <c r="AV1264" s="116">
        <v>25.9</v>
      </c>
      <c r="AW1264" s="121">
        <v>1.524</v>
      </c>
      <c r="AX1264" s="115">
        <f>AN1264-AP1264</f>
      </c>
    </row>
    <row r="1265" spans="1:50" ht="15" hidden="1" customHeight="1" x14ac:dyDescent="0.3">
      <c r="A1265" s="94" t="s">
        <v>480</v>
      </c>
      <c r="B1265" s="94"/>
      <c r="C1265" s="94"/>
      <c r="D1265" s="94"/>
      <c r="E1265" s="94"/>
      <c r="F1265" s="94"/>
      <c r="G1265" s="112">
        <f>AU1265</f>
      </c>
      <c r="H1265" s="113"/>
      <c r="I1265" s="94" t="s">
        <v>486</v>
      </c>
      <c r="J1265" s="94" t="s">
        <v>574</v>
      </c>
      <c r="K1265" s="114">
        <f>P1265/3</f>
      </c>
      <c r="L1265" s="115">
        <v>0.23499999999999999</v>
      </c>
      <c r="M1265" s="116">
        <f>L1265</f>
      </c>
      <c r="N1265" s="117">
        <f>M1265-L1265</f>
      </c>
      <c r="O1265" s="112"/>
      <c r="P1265" s="118">
        <f>N1265+O1265</f>
      </c>
      <c r="Q1265" s="94" t="s">
        <v>782</v>
      </c>
      <c r="R1265" s="94" t="s">
        <v>63</v>
      </c>
      <c r="S1265" s="120">
        <v>46329</v>
      </c>
      <c r="T1265" s="120"/>
      <c r="U1265" s="120">
        <v>46329</v>
      </c>
      <c r="V1265" s="94"/>
      <c r="W1265" s="94"/>
      <c r="X1265" s="94"/>
      <c r="Y1265" s="119">
        <v>46327</v>
      </c>
      <c r="Z1265" s="94"/>
      <c r="AA1265" s="120"/>
      <c r="AB1265" s="120"/>
      <c r="AC1265" s="120"/>
      <c r="AD1265" s="120"/>
      <c r="AE1265" s="120"/>
      <c r="AF1265" s="120"/>
      <c r="AG1265" s="94"/>
      <c r="AH1265" s="120"/>
      <c r="AI1265" s="94"/>
      <c r="AJ1265" s="94" t="s">
        <v>782</v>
      </c>
      <c r="AK1265" s="94" t="s">
        <v>574</v>
      </c>
      <c r="AL1265" s="94">
        <v>165</v>
      </c>
      <c r="AM1265" s="94" t="str">
        <f>TRIM(AJ1265)&amp;TRIM(AL1265)&amp;TRIM(AK1265)</f>
      </c>
      <c r="AN1265" s="116">
        <v>25.9</v>
      </c>
      <c r="AO1265" s="116">
        <v>-8.9</v>
      </c>
      <c r="AP1265" s="116">
        <f>SUMIFS(M:M,AM:AM,AM1265)+SUMIFS(O:O,AM:AM,AM1265)</f>
      </c>
      <c r="AQ1265" s="116">
        <f>SUMIFS(L:L,AM:AM,AM1265)</f>
      </c>
      <c r="AR1265" s="116">
        <f>AQ1265-AP1265</f>
      </c>
      <c r="AS1265" s="94" t="str">
        <f>IF(AN1265&gt;=AQ1265,"ok","ck")</f>
      </c>
      <c r="AT1265" s="116">
        <f>-P1265</f>
      </c>
      <c r="AU1265" s="115">
        <f>IF(SUMIFS(AT:AT,AM:AM,AM1265)&gt;AO1265,(SUMIFS(AT:AT,AM:AM,AM1265)-AO1265))</f>
      </c>
      <c r="AV1265" s="116">
        <v>25.9</v>
      </c>
      <c r="AW1265" s="121">
        <v>1.524</v>
      </c>
      <c r="AX1265" s="115">
        <f>AN1265-AP1265</f>
      </c>
    </row>
    <row r="1266" spans="1:50" ht="15" hidden="1" customHeight="1" x14ac:dyDescent="0.3">
      <c r="A1266" s="94" t="s">
        <v>480</v>
      </c>
      <c r="B1266" s="94"/>
      <c r="C1266" s="94"/>
      <c r="D1266" s="94"/>
      <c r="E1266" s="94"/>
      <c r="F1266" s="94"/>
      <c r="G1266" s="112">
        <f>AU1266</f>
      </c>
      <c r="H1266" s="113"/>
      <c r="I1266" s="94" t="s">
        <v>486</v>
      </c>
      <c r="J1266" s="94" t="s">
        <v>574</v>
      </c>
      <c r="K1266" s="114">
        <f>P1266/3</f>
      </c>
      <c r="L1266" s="115">
        <v>0.224</v>
      </c>
      <c r="M1266" s="116">
        <f>L1266</f>
      </c>
      <c r="N1266" s="117">
        <f>M1266-L1266</f>
      </c>
      <c r="O1266" s="112"/>
      <c r="P1266" s="118">
        <f>N1266+O1266</f>
      </c>
      <c r="Q1266" s="94" t="s">
        <v>782</v>
      </c>
      <c r="R1266" s="94" t="s">
        <v>63</v>
      </c>
      <c r="S1266" s="120">
        <v>46329</v>
      </c>
      <c r="T1266" s="120"/>
      <c r="U1266" s="120">
        <v>46329</v>
      </c>
      <c r="V1266" s="94"/>
      <c r="W1266" s="94"/>
      <c r="X1266" s="94"/>
      <c r="Y1266" s="119">
        <v>46327</v>
      </c>
      <c r="Z1266" s="94"/>
      <c r="AA1266" s="120"/>
      <c r="AB1266" s="120"/>
      <c r="AC1266" s="120"/>
      <c r="AD1266" s="120"/>
      <c r="AE1266" s="120"/>
      <c r="AF1266" s="120"/>
      <c r="AG1266" s="94"/>
      <c r="AH1266" s="120"/>
      <c r="AI1266" s="94"/>
      <c r="AJ1266" s="94" t="s">
        <v>782</v>
      </c>
      <c r="AK1266" s="94" t="s">
        <v>574</v>
      </c>
      <c r="AL1266" s="94">
        <v>165</v>
      </c>
      <c r="AM1266" s="94" t="str">
        <f>TRIM(AJ1266)&amp;TRIM(AL1266)&amp;TRIM(AK1266)</f>
      </c>
      <c r="AN1266" s="116">
        <v>25.9</v>
      </c>
      <c r="AO1266" s="116">
        <v>-8.9</v>
      </c>
      <c r="AP1266" s="116">
        <f>SUMIFS(M:M,AM:AM,AM1266)+SUMIFS(O:O,AM:AM,AM1266)</f>
      </c>
      <c r="AQ1266" s="116">
        <f>SUMIFS(L:L,AM:AM,AM1266)</f>
      </c>
      <c r="AR1266" s="116">
        <f>AQ1266-AP1266</f>
      </c>
      <c r="AS1266" s="94" t="str">
        <f>IF(AN1266&gt;=AQ1266,"ok","ck")</f>
      </c>
      <c r="AT1266" s="116">
        <f>-P1266</f>
      </c>
      <c r="AU1266" s="115">
        <f>IF(SUMIFS(AT:AT,AM:AM,AM1266)&gt;AO1266,(SUMIFS(AT:AT,AM:AM,AM1266)-AO1266))</f>
      </c>
      <c r="AV1266" s="116">
        <v>25.9</v>
      </c>
      <c r="AW1266" s="121">
        <v>1.524</v>
      </c>
      <c r="AX1266" s="115">
        <f>AN1266-AP1266</f>
      </c>
    </row>
    <row r="1267" spans="1:50" ht="15" hidden="1" customHeight="1" x14ac:dyDescent="0.3">
      <c r="A1267" s="94" t="s">
        <v>480</v>
      </c>
      <c r="B1267" s="94"/>
      <c r="C1267" s="94"/>
      <c r="D1267" s="94"/>
      <c r="E1267" s="94"/>
      <c r="F1267" s="94"/>
      <c r="G1267" s="112">
        <f>AU1267</f>
      </c>
      <c r="H1267" s="113"/>
      <c r="I1267" s="94" t="s">
        <v>486</v>
      </c>
      <c r="J1267" s="94" t="s">
        <v>574</v>
      </c>
      <c r="K1267" s="114">
        <f>P1267/3</f>
      </c>
      <c r="L1267" s="115">
        <v>0.13400000000000001</v>
      </c>
      <c r="M1267" s="116">
        <f>L1267</f>
      </c>
      <c r="N1267" s="117">
        <f>M1267-L1267</f>
      </c>
      <c r="O1267" s="112"/>
      <c r="P1267" s="118">
        <f>N1267+O1267</f>
      </c>
      <c r="Q1267" s="94" t="s">
        <v>782</v>
      </c>
      <c r="R1267" s="94" t="s">
        <v>63</v>
      </c>
      <c r="S1267" s="120">
        <v>46329</v>
      </c>
      <c r="T1267" s="120"/>
      <c r="U1267" s="120">
        <v>46329</v>
      </c>
      <c r="V1267" s="94"/>
      <c r="W1267" s="94"/>
      <c r="X1267" s="94"/>
      <c r="Y1267" s="119">
        <v>46327</v>
      </c>
      <c r="Z1267" s="94"/>
      <c r="AA1267" s="120"/>
      <c r="AB1267" s="120"/>
      <c r="AC1267" s="120"/>
      <c r="AD1267" s="120"/>
      <c r="AE1267" s="120"/>
      <c r="AF1267" s="120"/>
      <c r="AG1267" s="94"/>
      <c r="AH1267" s="120"/>
      <c r="AI1267" s="94"/>
      <c r="AJ1267" s="94" t="s">
        <v>782</v>
      </c>
      <c r="AK1267" s="94" t="s">
        <v>574</v>
      </c>
      <c r="AL1267" s="94">
        <v>165</v>
      </c>
      <c r="AM1267" s="94" t="str">
        <f>TRIM(AJ1267)&amp;TRIM(AL1267)&amp;TRIM(AK1267)</f>
      </c>
      <c r="AN1267" s="116">
        <v>25.9</v>
      </c>
      <c r="AO1267" s="116">
        <v>-8.9</v>
      </c>
      <c r="AP1267" s="116">
        <f>SUMIFS(M:M,AM:AM,AM1267)+SUMIFS(O:O,AM:AM,AM1267)</f>
      </c>
      <c r="AQ1267" s="116">
        <f>SUMIFS(L:L,AM:AM,AM1267)</f>
      </c>
      <c r="AR1267" s="116">
        <f>AQ1267-AP1267</f>
      </c>
      <c r="AS1267" s="94" t="str">
        <f>IF(AN1267&gt;=AQ1267,"ok","ck")</f>
      </c>
      <c r="AT1267" s="116">
        <f>-P1267</f>
      </c>
      <c r="AU1267" s="115">
        <f>IF(SUMIFS(AT:AT,AM:AM,AM1267)&gt;AO1267,(SUMIFS(AT:AT,AM:AM,AM1267)-AO1267))</f>
      </c>
      <c r="AV1267" s="116">
        <v>25.9</v>
      </c>
      <c r="AW1267" s="121">
        <v>1.524</v>
      </c>
      <c r="AX1267" s="115">
        <f>AN1267-AP1267</f>
      </c>
    </row>
    <row r="1268" spans="1:50" ht="15" hidden="1" customHeight="1" x14ac:dyDescent="0.3">
      <c r="A1268" s="94" t="s">
        <v>480</v>
      </c>
      <c r="B1268" s="94"/>
      <c r="C1268" s="94"/>
      <c r="D1268" s="94"/>
      <c r="E1268" s="94"/>
      <c r="F1268" s="94"/>
      <c r="G1268" s="112">
        <f>AU1268</f>
      </c>
      <c r="H1268" s="113"/>
      <c r="I1268" s="94" t="s">
        <v>486</v>
      </c>
      <c r="J1268" s="94" t="s">
        <v>574</v>
      </c>
      <c r="K1268" s="114">
        <f>P1268/3</f>
      </c>
      <c r="L1268" s="115">
        <v>0.224</v>
      </c>
      <c r="M1268" s="116">
        <f>L1268</f>
      </c>
      <c r="N1268" s="117">
        <f>M1268-L1268</f>
      </c>
      <c r="O1268" s="112"/>
      <c r="P1268" s="118">
        <f>N1268+O1268</f>
      </c>
      <c r="Q1268" s="94" t="s">
        <v>782</v>
      </c>
      <c r="R1268" s="94" t="s">
        <v>63</v>
      </c>
      <c r="S1268" s="120">
        <v>46329</v>
      </c>
      <c r="T1268" s="120"/>
      <c r="U1268" s="120">
        <v>46329</v>
      </c>
      <c r="V1268" s="94"/>
      <c r="W1268" s="94"/>
      <c r="X1268" s="94"/>
      <c r="Y1268" s="119">
        <v>46327</v>
      </c>
      <c r="Z1268" s="94"/>
      <c r="AA1268" s="120"/>
      <c r="AB1268" s="120"/>
      <c r="AC1268" s="120"/>
      <c r="AD1268" s="120"/>
      <c r="AE1268" s="120"/>
      <c r="AF1268" s="120"/>
      <c r="AG1268" s="94"/>
      <c r="AH1268" s="120"/>
      <c r="AI1268" s="94"/>
      <c r="AJ1268" s="94" t="s">
        <v>782</v>
      </c>
      <c r="AK1268" s="94" t="s">
        <v>574</v>
      </c>
      <c r="AL1268" s="94">
        <v>165</v>
      </c>
      <c r="AM1268" s="94" t="str">
        <f>TRIM(AJ1268)&amp;TRIM(AL1268)&amp;TRIM(AK1268)</f>
      </c>
      <c r="AN1268" s="116">
        <v>25.9</v>
      </c>
      <c r="AO1268" s="116">
        <v>-8.9</v>
      </c>
      <c r="AP1268" s="116">
        <f>SUMIFS(M:M,AM:AM,AM1268)+SUMIFS(O:O,AM:AM,AM1268)</f>
      </c>
      <c r="AQ1268" s="116">
        <f>SUMIFS(L:L,AM:AM,AM1268)</f>
      </c>
      <c r="AR1268" s="116">
        <f>AQ1268-AP1268</f>
      </c>
      <c r="AS1268" s="94" t="str">
        <f>IF(AN1268&gt;=AQ1268,"ok","ck")</f>
      </c>
      <c r="AT1268" s="116">
        <f>-P1268</f>
      </c>
      <c r="AU1268" s="115">
        <f>IF(SUMIFS(AT:AT,AM:AM,AM1268)&gt;AO1268,(SUMIFS(AT:AT,AM:AM,AM1268)-AO1268))</f>
      </c>
      <c r="AV1268" s="116">
        <v>25.9</v>
      </c>
      <c r="AW1268" s="121">
        <v>1.524</v>
      </c>
      <c r="AX1268" s="115">
        <f>AN1268-AP1268</f>
      </c>
    </row>
    <row r="1269" spans="1:50" ht="15" hidden="1" customHeight="1" x14ac:dyDescent="0.3">
      <c r="A1269" s="94" t="s">
        <v>480</v>
      </c>
      <c r="B1269" s="94"/>
      <c r="C1269" s="94"/>
      <c r="D1269" s="94"/>
      <c r="E1269" s="94"/>
      <c r="F1269" s="94"/>
      <c r="G1269" s="112">
        <f>AU1269</f>
      </c>
      <c r="H1269" s="113"/>
      <c r="I1269" s="94" t="s">
        <v>486</v>
      </c>
      <c r="J1269" s="94" t="s">
        <v>574</v>
      </c>
      <c r="K1269" s="114">
        <f>P1269/3</f>
      </c>
      <c r="L1269" s="115">
        <v>0.13400000000000001</v>
      </c>
      <c r="M1269" s="116">
        <f>L1269</f>
      </c>
      <c r="N1269" s="117">
        <f>M1269-L1269</f>
      </c>
      <c r="O1269" s="112"/>
      <c r="P1269" s="118">
        <f>N1269+O1269</f>
      </c>
      <c r="Q1269" s="94" t="s">
        <v>782</v>
      </c>
      <c r="R1269" s="94" t="s">
        <v>63</v>
      </c>
      <c r="S1269" s="119">
        <v>46329</v>
      </c>
      <c r="T1269" s="119"/>
      <c r="U1269" s="119">
        <v>46329</v>
      </c>
      <c r="V1269" s="94"/>
      <c r="W1269" s="94"/>
      <c r="X1269" s="94"/>
      <c r="Y1269" s="119">
        <v>46327</v>
      </c>
      <c r="Z1269" s="94"/>
      <c r="AA1269" s="120"/>
      <c r="AB1269" s="120"/>
      <c r="AC1269" s="120"/>
      <c r="AD1269" s="120"/>
      <c r="AE1269" s="120"/>
      <c r="AF1269" s="120"/>
      <c r="AG1269" s="94"/>
      <c r="AH1269" s="120"/>
      <c r="AI1269" s="94"/>
      <c r="AJ1269" s="94" t="s">
        <v>782</v>
      </c>
      <c r="AK1269" s="94" t="s">
        <v>574</v>
      </c>
      <c r="AL1269" s="94">
        <v>165</v>
      </c>
      <c r="AM1269" s="94" t="str">
        <f>TRIM(AJ1269)&amp;TRIM(AL1269)&amp;TRIM(AK1269)</f>
      </c>
      <c r="AN1269" s="116">
        <v>25.9</v>
      </c>
      <c r="AO1269" s="116">
        <v>-8.9</v>
      </c>
      <c r="AP1269" s="116">
        <f>SUMIFS(M:M,AM:AM,AM1269)+SUMIFS(O:O,AM:AM,AM1269)</f>
      </c>
      <c r="AQ1269" s="116">
        <f>SUMIFS(L:L,AM:AM,AM1269)</f>
      </c>
      <c r="AR1269" s="116">
        <f>AQ1269-AP1269</f>
      </c>
      <c r="AS1269" s="94" t="str">
        <f>IF(AN1269&gt;=AQ1269,"ok","ck")</f>
      </c>
      <c r="AT1269" s="116">
        <f>-P1269</f>
      </c>
      <c r="AU1269" s="115">
        <f>IF(SUMIFS(AT:AT,AM:AM,AM1269)&gt;AO1269,(SUMIFS(AT:AT,AM:AM,AM1269)-AO1269))</f>
      </c>
      <c r="AV1269" s="116">
        <v>25.9</v>
      </c>
      <c r="AW1269" s="121">
        <v>1.524</v>
      </c>
      <c r="AX1269" s="115">
        <f>AN1269-AP1269</f>
      </c>
    </row>
    <row r="1270" spans="1:50" ht="15" hidden="1" customHeight="1" x14ac:dyDescent="0.3">
      <c r="A1270" s="94" t="s">
        <v>60</v>
      </c>
      <c r="B1270" s="94"/>
      <c r="C1270" s="94"/>
      <c r="D1270" s="94"/>
      <c r="E1270" s="94"/>
      <c r="F1270" s="94"/>
      <c r="G1270" s="112">
        <f>AU1270</f>
      </c>
      <c r="H1270" s="113"/>
      <c r="I1270" s="94" t="s">
        <v>482</v>
      </c>
      <c r="J1270" s="94" t="s">
        <v>122</v>
      </c>
      <c r="K1270" s="114">
        <f>P1270/3</f>
      </c>
      <c r="L1270" s="115">
        <v>16.643999999999998</v>
      </c>
      <c r="M1270" s="116"/>
      <c r="N1270" s="117">
        <f>M1270-L1270</f>
      </c>
      <c r="O1270" s="112"/>
      <c r="P1270" s="118">
        <f>N1270+O1270</f>
      </c>
      <c r="Q1270" s="94" t="s">
        <v>781</v>
      </c>
      <c r="R1270" s="94" t="s">
        <v>63</v>
      </c>
      <c r="S1270" s="119">
        <v>46333</v>
      </c>
      <c r="T1270" s="119"/>
      <c r="U1270" s="119">
        <v>46333</v>
      </c>
      <c r="V1270" s="94"/>
      <c r="W1270" s="94"/>
      <c r="X1270" s="94"/>
      <c r="Y1270" s="119">
        <v>46333</v>
      </c>
      <c r="Z1270" s="94"/>
      <c r="AA1270" s="120"/>
      <c r="AB1270" s="120"/>
      <c r="AC1270" s="120"/>
      <c r="AD1270" s="120"/>
      <c r="AE1270" s="120"/>
      <c r="AF1270" s="120"/>
      <c r="AG1270" s="94"/>
      <c r="AH1270" s="120"/>
      <c r="AI1270" s="94"/>
      <c r="AJ1270" s="94" t="s">
        <v>781</v>
      </c>
      <c r="AK1270" s="94" t="s">
        <v>692</v>
      </c>
      <c r="AL1270" s="94">
        <v>110</v>
      </c>
      <c r="AM1270" s="94" t="str">
        <f>TRIM(AJ1270)&amp;TRIM(AL1270)&amp;TRIM(AK1270)</f>
      </c>
      <c r="AN1270" s="116">
        <v>0</v>
      </c>
      <c r="AO1270" s="116" t="inlineStr">
        <is>
          <t>#NA</t>
        </is>
      </c>
      <c r="AP1270" s="116">
        <f>SUMIFS(M:M,AM:AM,AM1270)+SUMIFS(O:O,AM:AM,AM1270)</f>
      </c>
      <c r="AQ1270" s="116">
        <f>SUMIFS(L:L,AM:AM,AM1270)</f>
      </c>
      <c r="AR1270" s="116">
        <f>AQ1270-AP1270</f>
      </c>
      <c r="AS1270" s="94" t="str">
        <f>IF(AN1270&gt;=AQ1270,"ok","ck")</f>
      </c>
      <c r="AT1270" s="116">
        <f>-P1270</f>
      </c>
      <c r="AU1270" s="115">
        <f>IF(SUMIFS(AT:AT,AM:AM,AM1270)&gt;AO1270,(SUMIFS(AT:AT,AM:AM,AM1270)-AO1270))</f>
      </c>
      <c r="AV1270" s="116">
        <v>0</v>
      </c>
      <c r="AW1270" s="121">
        <v>0</v>
      </c>
      <c r="AX1270" s="115">
        <f>AN1270-AP1270</f>
      </c>
    </row>
    <row r="1271" spans="1:50" ht="15" hidden="1" customHeight="1" x14ac:dyDescent="0.3">
      <c r="A1271" s="94" t="s">
        <v>263</v>
      </c>
      <c r="B1271" s="94"/>
      <c r="C1271" s="94"/>
      <c r="D1271" s="94"/>
      <c r="E1271" s="94"/>
      <c r="F1271" s="94"/>
      <c r="G1271" s="112">
        <f>AU1271</f>
      </c>
      <c r="H1271" s="113"/>
      <c r="I1271" s="94" t="s">
        <v>264</v>
      </c>
      <c r="J1271" s="94" t="s">
        <v>265</v>
      </c>
      <c r="K1271" s="114">
        <f>P1271/3</f>
      </c>
      <c r="L1271" s="115">
        <v>0</v>
      </c>
      <c r="M1271" s="116">
        <f>L1271</f>
      </c>
      <c r="N1271" s="117">
        <f>M1271-L1271</f>
      </c>
      <c r="O1271" s="112"/>
      <c r="P1271" s="118">
        <f>N1271+O1271</f>
      </c>
      <c r="Q1271" s="94" t="s">
        <v>364</v>
      </c>
      <c r="R1271" s="94" t="s">
        <v>63</v>
      </c>
      <c r="S1271" s="119">
        <v>46329</v>
      </c>
      <c r="T1271" s="119"/>
      <c r="U1271" s="119">
        <v>46329</v>
      </c>
      <c r="V1271" s="94"/>
      <c r="W1271" s="94"/>
      <c r="X1271" s="94"/>
      <c r="Y1271" s="119">
        <v>46329</v>
      </c>
      <c r="Z1271" s="94"/>
      <c r="AA1271" s="120"/>
      <c r="AB1271" s="120"/>
      <c r="AC1271" s="120"/>
      <c r="AD1271" s="120"/>
      <c r="AE1271" s="120"/>
      <c r="AF1271" s="120"/>
      <c r="AG1271" s="94"/>
      <c r="AH1271" s="120"/>
      <c r="AI1271" s="94"/>
      <c r="AJ1271" s="94" t="s">
        <v>364</v>
      </c>
      <c r="AK1271" s="94" t="s">
        <v>267</v>
      </c>
      <c r="AL1271" s="94">
        <v>120</v>
      </c>
      <c r="AM1271" s="94" t="str">
        <f>TRIM(AJ1271)&amp;TRIM(AL1271)&amp;TRIM(AK1271)</f>
      </c>
      <c r="AN1271" s="116">
        <v>1326</v>
      </c>
      <c r="AO1271" s="116">
        <v>-28</v>
      </c>
      <c r="AP1271" s="116">
        <f>SUMIFS(M:M,AM:AM,AM1271)+SUMIFS(O:O,AM:AM,AM1271)</f>
      </c>
      <c r="AQ1271" s="116">
        <f>SUMIFS(L:L,AM:AM,AM1271)</f>
      </c>
      <c r="AR1271" s="116">
        <f>AQ1271-AP1271</f>
      </c>
      <c r="AS1271" s="94" t="str">
        <f>IF(AN1271&gt;=AQ1271,"ok","ck")</f>
      </c>
      <c r="AT1271" s="116">
        <f>-P1271</f>
      </c>
      <c r="AU1271" s="115">
        <f>IF(SUMIFS(AT:AT,AM:AM,AM1271)&gt;AO1271,(SUMIFS(AT:AT,AM:AM,AM1271)-AO1271))</f>
      </c>
      <c r="AV1271" s="116">
        <v>1326</v>
      </c>
      <c r="AW1271" s="121">
        <v>1.022</v>
      </c>
      <c r="AX1271" s="115">
        <f>AN1271-AP1271</f>
      </c>
    </row>
    <row r="1272" spans="1:50" ht="15" hidden="1" customHeight="1" x14ac:dyDescent="0.3">
      <c r="A1272" s="94" t="s">
        <v>263</v>
      </c>
      <c r="B1272" s="94"/>
      <c r="C1272" s="94"/>
      <c r="D1272" s="94"/>
      <c r="E1272" s="94"/>
      <c r="F1272" s="94"/>
      <c r="G1272" s="112">
        <f>AU1272</f>
      </c>
      <c r="H1272" s="113"/>
      <c r="I1272" s="94" t="s">
        <v>264</v>
      </c>
      <c r="J1272" s="94" t="s">
        <v>265</v>
      </c>
      <c r="K1272" s="114">
        <f>P1272/3</f>
      </c>
      <c r="L1272" s="115">
        <v>0</v>
      </c>
      <c r="M1272" s="116">
        <f>L1272</f>
      </c>
      <c r="N1272" s="117">
        <f>M1272-L1272</f>
      </c>
      <c r="O1272" s="112"/>
      <c r="P1272" s="118">
        <f>N1272+O1272</f>
      </c>
      <c r="Q1272" s="94" t="s">
        <v>364</v>
      </c>
      <c r="R1272" s="94" t="s">
        <v>63</v>
      </c>
      <c r="S1272" s="119">
        <v>46333</v>
      </c>
      <c r="T1272" s="119"/>
      <c r="U1272" s="119">
        <v>46333</v>
      </c>
      <c r="V1272" s="94"/>
      <c r="W1272" s="94"/>
      <c r="X1272" s="94"/>
      <c r="Y1272" s="119">
        <v>46333</v>
      </c>
      <c r="Z1272" s="94"/>
      <c r="AA1272" s="120"/>
      <c r="AB1272" s="120"/>
      <c r="AC1272" s="120"/>
      <c r="AD1272" s="120"/>
      <c r="AE1272" s="120"/>
      <c r="AF1272" s="120"/>
      <c r="AG1272" s="94"/>
      <c r="AH1272" s="120"/>
      <c r="AI1272" s="94"/>
      <c r="AJ1272" s="94" t="s">
        <v>364</v>
      </c>
      <c r="AK1272" s="94" t="s">
        <v>267</v>
      </c>
      <c r="AL1272" s="94">
        <v>120</v>
      </c>
      <c r="AM1272" s="94" t="str">
        <f>TRIM(AJ1272)&amp;TRIM(AL1272)&amp;TRIM(AK1272)</f>
      </c>
      <c r="AN1272" s="116">
        <v>1326</v>
      </c>
      <c r="AO1272" s="116">
        <v>-28</v>
      </c>
      <c r="AP1272" s="116">
        <f>SUMIFS(M:M,AM:AM,AM1272)+SUMIFS(O:O,AM:AM,AM1272)</f>
      </c>
      <c r="AQ1272" s="116">
        <f>SUMIFS(L:L,AM:AM,AM1272)</f>
      </c>
      <c r="AR1272" s="116">
        <f>AQ1272-AP1272</f>
      </c>
      <c r="AS1272" s="94" t="str">
        <f>IF(AN1272&gt;=AQ1272,"ok","ck")</f>
      </c>
      <c r="AT1272" s="116">
        <f>-P1272</f>
      </c>
      <c r="AU1272" s="115">
        <f>IF(SUMIFS(AT:AT,AM:AM,AM1272)&gt;AO1272,(SUMIFS(AT:AT,AM:AM,AM1272)-AO1272))</f>
      </c>
      <c r="AV1272" s="116">
        <v>1326</v>
      </c>
      <c r="AW1272" s="121">
        <v>1.022</v>
      </c>
      <c r="AX1272" s="115">
        <f>AN1272-AP1272</f>
      </c>
    </row>
    <row r="1273" spans="1:50" ht="15" hidden="1" customHeight="1" x14ac:dyDescent="0.3">
      <c r="A1273" s="94" t="s">
        <v>288</v>
      </c>
      <c r="B1273" s="94"/>
      <c r="C1273" s="94"/>
      <c r="D1273" s="94"/>
      <c r="E1273" s="94"/>
      <c r="F1273" s="94"/>
      <c r="G1273" s="112">
        <f>AU1273</f>
      </c>
      <c r="H1273" s="113"/>
      <c r="I1273" s="94" t="s">
        <v>297</v>
      </c>
      <c r="J1273" s="94" t="s">
        <v>286</v>
      </c>
      <c r="K1273" s="114">
        <f>P1273/3</f>
      </c>
      <c r="L1273" s="115">
        <v>-1.7070000000000001</v>
      </c>
      <c r="M1273" s="116">
        <f>L1273</f>
      </c>
      <c r="N1273" s="117">
        <f>M1273-L1273</f>
      </c>
      <c r="O1273" s="112"/>
      <c r="P1273" s="118">
        <f>N1273+O1273</f>
      </c>
      <c r="Q1273" s="94" t="s">
        <v>296</v>
      </c>
      <c r="R1273" s="94" t="s">
        <v>63</v>
      </c>
      <c r="S1273" s="119">
        <v>46338</v>
      </c>
      <c r="T1273" s="119"/>
      <c r="U1273" s="119">
        <v>46338</v>
      </c>
      <c r="V1273" s="94"/>
      <c r="W1273" s="94"/>
      <c r="X1273" s="94"/>
      <c r="Y1273" s="119">
        <v>46338</v>
      </c>
      <c r="Z1273" s="94"/>
      <c r="AA1273" s="120"/>
      <c r="AB1273" s="120"/>
      <c r="AC1273" s="120"/>
      <c r="AD1273" s="120"/>
      <c r="AE1273" s="120"/>
      <c r="AF1273" s="120"/>
      <c r="AG1273" s="94"/>
      <c r="AH1273" s="120"/>
      <c r="AI1273" s="94"/>
      <c r="AJ1273" s="94" t="s">
        <v>479</v>
      </c>
      <c r="AK1273" s="94" t="s">
        <v>281</v>
      </c>
      <c r="AL1273" s="94">
        <v>190</v>
      </c>
      <c r="AM1273" s="94" t="str">
        <f>TRIM(AJ1273)&amp;TRIM(AL1273)&amp;TRIM(AK1273)</f>
      </c>
      <c r="AN1273" s="116">
        <v>3216.03</v>
      </c>
      <c r="AO1273" s="116">
        <v>-20.7</v>
      </c>
      <c r="AP1273" s="116">
        <f>SUMIFS(M:M,AM:AM,AM1273)+SUMIFS(O:O,AM:AM,AM1273)</f>
      </c>
      <c r="AQ1273" s="116">
        <f>SUMIFS(L:L,AM:AM,AM1273)</f>
      </c>
      <c r="AR1273" s="116">
        <f>AQ1273-AP1273</f>
      </c>
      <c r="AS1273" s="94" t="str">
        <f>IF(AN1273&gt;=AQ1273,"ok","ck")</f>
      </c>
      <c r="AT1273" s="116">
        <f>-P1273</f>
      </c>
      <c r="AU1273" s="115">
        <f>IF(SUMIFS(AT:AT,AM:AM,AM1273)&gt;AO1273,(SUMIFS(AT:AT,AM:AM,AM1273)-AO1273))</f>
      </c>
      <c r="AV1273" s="116">
        <v>3216.03</v>
      </c>
      <c r="AW1273" s="121">
        <v>1.006</v>
      </c>
      <c r="AX1273" s="115">
        <f>AN1273-AP1273</f>
      </c>
    </row>
    <row r="1274" spans="1:50" ht="15" hidden="1" customHeight="1" x14ac:dyDescent="0.3">
      <c r="A1274" s="94" t="s">
        <v>268</v>
      </c>
      <c r="B1274" s="94"/>
      <c r="C1274" s="94"/>
      <c r="D1274" s="94"/>
      <c r="E1274" s="94"/>
      <c r="F1274" s="94"/>
      <c r="G1274" s="112">
        <f>AU1274</f>
      </c>
      <c r="H1274" s="113"/>
      <c r="I1274" s="94" t="s">
        <v>390</v>
      </c>
      <c r="J1274" s="94" t="s">
        <v>328</v>
      </c>
      <c r="K1274" s="114">
        <f>P1274/3</f>
      </c>
      <c r="L1274" s="115">
        <v>222.04</v>
      </c>
      <c r="M1274" s="116"/>
      <c r="N1274" s="117">
        <f>M1274-L1274</f>
      </c>
      <c r="O1274" s="112"/>
      <c r="P1274" s="118">
        <f>N1274+O1274</f>
      </c>
      <c r="Q1274" s="94" t="s">
        <v>778</v>
      </c>
      <c r="R1274" s="94" t="s">
        <v>63</v>
      </c>
      <c r="S1274" s="119">
        <v>46340</v>
      </c>
      <c r="T1274" s="119"/>
      <c r="U1274" s="119">
        <v>46340</v>
      </c>
      <c r="V1274" s="94"/>
      <c r="W1274" s="94"/>
      <c r="X1274" s="94"/>
      <c r="Y1274" s="119">
        <v>46334</v>
      </c>
      <c r="Z1274" s="94"/>
      <c r="AA1274" s="120"/>
      <c r="AB1274" s="120"/>
      <c r="AC1274" s="120"/>
      <c r="AD1274" s="120"/>
      <c r="AE1274" s="120"/>
      <c r="AF1274" s="120"/>
      <c r="AG1274" s="94"/>
      <c r="AH1274" s="120"/>
      <c r="AI1274" s="94"/>
      <c r="AJ1274" s="94" t="s">
        <v>778</v>
      </c>
      <c r="AK1274" s="94" t="s">
        <v>329</v>
      </c>
      <c r="AL1274" s="94">
        <v>140</v>
      </c>
      <c r="AM1274" s="94" t="str">
        <f>TRIM(AJ1274)&amp;TRIM(AL1274)&amp;TRIM(AK1274)</f>
      </c>
      <c r="AN1274" s="116">
        <v>0</v>
      </c>
      <c r="AO1274" s="116" t="inlineStr">
        <is>
          <t>#NA</t>
        </is>
      </c>
      <c r="AP1274" s="116">
        <f>SUMIFS(M:M,AM:AM,AM1274)+SUMIFS(O:O,AM:AM,AM1274)</f>
      </c>
      <c r="AQ1274" s="116">
        <f>SUMIFS(L:L,AM:AM,AM1274)</f>
      </c>
      <c r="AR1274" s="116">
        <f>AQ1274-AP1274</f>
      </c>
      <c r="AS1274" s="94" t="str">
        <f>IF(AN1274&gt;=AQ1274,"ok","ck")</f>
      </c>
      <c r="AT1274" s="116">
        <f>-P1274</f>
      </c>
      <c r="AU1274" s="115">
        <f>IF(SUMIFS(AT:AT,AM:AM,AM1274)&gt;AO1274,(SUMIFS(AT:AT,AM:AM,AM1274)-AO1274))</f>
      </c>
      <c r="AV1274" s="116">
        <v>0</v>
      </c>
      <c r="AW1274" s="121">
        <v>0</v>
      </c>
      <c r="AX1274" s="115">
        <f>AN1274-AP1274</f>
      </c>
    </row>
    <row r="1275" spans="1:50" ht="15" hidden="1" customHeight="1" x14ac:dyDescent="0.3">
      <c r="A1275" s="94" t="s">
        <v>480</v>
      </c>
      <c r="B1275" s="94"/>
      <c r="C1275" s="94"/>
      <c r="D1275" s="94"/>
      <c r="E1275" s="94"/>
      <c r="F1275" s="94"/>
      <c r="G1275" s="112">
        <f>AU1275</f>
      </c>
      <c r="H1275" s="113"/>
      <c r="I1275" s="94" t="s">
        <v>486</v>
      </c>
      <c r="J1275" s="94" t="s">
        <v>574</v>
      </c>
      <c r="K1275" s="114">
        <f>P1275/3</f>
      </c>
      <c r="L1275" s="115">
        <v>1.4810000000000001</v>
      </c>
      <c r="M1275" s="116">
        <f>L1275</f>
      </c>
      <c r="N1275" s="117">
        <f>M1275-L1275</f>
      </c>
      <c r="O1275" s="112"/>
      <c r="P1275" s="118">
        <f>N1275+O1275</f>
      </c>
      <c r="Q1275" s="94" t="s">
        <v>782</v>
      </c>
      <c r="R1275" s="94" t="s">
        <v>63</v>
      </c>
      <c r="S1275" s="119">
        <v>46329</v>
      </c>
      <c r="T1275" s="119"/>
      <c r="U1275" s="119">
        <v>46329</v>
      </c>
      <c r="V1275" s="94"/>
      <c r="W1275" s="94"/>
      <c r="X1275" s="94"/>
      <c r="Y1275" s="119">
        <v>46326</v>
      </c>
      <c r="Z1275" s="94"/>
      <c r="AA1275" s="120"/>
      <c r="AB1275" s="120"/>
      <c r="AC1275" s="120"/>
      <c r="AD1275" s="120"/>
      <c r="AE1275" s="120"/>
      <c r="AF1275" s="120"/>
      <c r="AG1275" s="94"/>
      <c r="AH1275" s="120"/>
      <c r="AI1275" s="94"/>
      <c r="AJ1275" s="94" t="s">
        <v>782</v>
      </c>
      <c r="AK1275" s="94" t="s">
        <v>574</v>
      </c>
      <c r="AL1275" s="94">
        <v>165</v>
      </c>
      <c r="AM1275" s="94" t="str">
        <f>TRIM(AJ1275)&amp;TRIM(AL1275)&amp;TRIM(AK1275)</f>
      </c>
      <c r="AN1275" s="116">
        <v>25.9</v>
      </c>
      <c r="AO1275" s="116">
        <v>-8.9</v>
      </c>
      <c r="AP1275" s="116">
        <f>SUMIFS(M:M,AM:AM,AM1275)+SUMIFS(O:O,AM:AM,AM1275)</f>
      </c>
      <c r="AQ1275" s="116">
        <f>SUMIFS(L:L,AM:AM,AM1275)</f>
      </c>
      <c r="AR1275" s="116">
        <f>AQ1275-AP1275</f>
      </c>
      <c r="AS1275" s="94" t="str">
        <f>IF(AN1275&gt;=AQ1275,"ok","ck")</f>
      </c>
      <c r="AT1275" s="116">
        <f>-P1275</f>
      </c>
      <c r="AU1275" s="115">
        <f>IF(SUMIFS(AT:AT,AM:AM,AM1275)&gt;AO1275,(SUMIFS(AT:AT,AM:AM,AM1275)-AO1275))</f>
      </c>
      <c r="AV1275" s="116">
        <v>25.9</v>
      </c>
      <c r="AW1275" s="121">
        <v>1.524</v>
      </c>
      <c r="AX1275" s="115">
        <f>AN1275-AP1275</f>
      </c>
    </row>
    <row r="1276" spans="1:50" ht="15" hidden="1" customHeight="1" x14ac:dyDescent="0.3">
      <c r="A1276" s="94" t="s">
        <v>480</v>
      </c>
      <c r="B1276" s="94"/>
      <c r="C1276" s="94"/>
      <c r="D1276" s="94"/>
      <c r="E1276" s="94"/>
      <c r="F1276" s="94"/>
      <c r="G1276" s="112">
        <f>AU1276</f>
      </c>
      <c r="H1276" s="113"/>
      <c r="I1276" s="94" t="s">
        <v>486</v>
      </c>
      <c r="J1276" s="94" t="s">
        <v>574</v>
      </c>
      <c r="K1276" s="114">
        <f>P1276/3</f>
      </c>
      <c r="L1276" s="115">
        <v>0.40400000000000003</v>
      </c>
      <c r="M1276" s="116">
        <f>L1276</f>
      </c>
      <c r="N1276" s="117">
        <f>M1276-L1276</f>
      </c>
      <c r="O1276" s="112"/>
      <c r="P1276" s="118">
        <f>N1276+O1276</f>
      </c>
      <c r="Q1276" s="94" t="s">
        <v>782</v>
      </c>
      <c r="R1276" s="94" t="s">
        <v>63</v>
      </c>
      <c r="S1276" s="119">
        <v>46329</v>
      </c>
      <c r="T1276" s="119"/>
      <c r="U1276" s="119">
        <v>46329</v>
      </c>
      <c r="V1276" s="94"/>
      <c r="W1276" s="94"/>
      <c r="X1276" s="94"/>
      <c r="Y1276" s="119">
        <v>46326</v>
      </c>
      <c r="Z1276" s="94"/>
      <c r="AA1276" s="120"/>
      <c r="AB1276" s="120"/>
      <c r="AC1276" s="120"/>
      <c r="AD1276" s="120"/>
      <c r="AE1276" s="120"/>
      <c r="AF1276" s="120"/>
      <c r="AG1276" s="94"/>
      <c r="AH1276" s="120"/>
      <c r="AI1276" s="94"/>
      <c r="AJ1276" s="94" t="s">
        <v>782</v>
      </c>
      <c r="AK1276" s="94" t="s">
        <v>574</v>
      </c>
      <c r="AL1276" s="94">
        <v>165</v>
      </c>
      <c r="AM1276" s="94" t="str">
        <f>TRIM(AJ1276)&amp;TRIM(AL1276)&amp;TRIM(AK1276)</f>
      </c>
      <c r="AN1276" s="116">
        <v>25.9</v>
      </c>
      <c r="AO1276" s="116">
        <v>-8.9</v>
      </c>
      <c r="AP1276" s="116">
        <f>SUMIFS(M:M,AM:AM,AM1276)+SUMIFS(O:O,AM:AM,AM1276)</f>
      </c>
      <c r="AQ1276" s="116">
        <f>SUMIFS(L:L,AM:AM,AM1276)</f>
      </c>
      <c r="AR1276" s="116">
        <f>AQ1276-AP1276</f>
      </c>
      <c r="AS1276" s="94" t="str">
        <f>IF(AN1276&gt;=AQ1276,"ok","ck")</f>
      </c>
      <c r="AT1276" s="116">
        <f>-P1276</f>
      </c>
      <c r="AU1276" s="115">
        <f>IF(SUMIFS(AT:AT,AM:AM,AM1276)&gt;AO1276,(SUMIFS(AT:AT,AM:AM,AM1276)-AO1276))</f>
      </c>
      <c r="AV1276" s="116">
        <v>25.9</v>
      </c>
      <c r="AW1276" s="121">
        <v>1.524</v>
      </c>
      <c r="AX1276" s="115">
        <f>AN1276-AP1276</f>
      </c>
    </row>
    <row r="1277" spans="1:50" ht="15" hidden="1" customHeight="1" x14ac:dyDescent="0.3">
      <c r="A1277" s="94" t="s">
        <v>480</v>
      </c>
      <c r="B1277" s="94"/>
      <c r="C1277" s="94"/>
      <c r="D1277" s="94"/>
      <c r="E1277" s="94"/>
      <c r="F1277" s="94"/>
      <c r="G1277" s="112">
        <f>AU1277</f>
      </c>
      <c r="H1277" s="113"/>
      <c r="I1277" s="94" t="s">
        <v>486</v>
      </c>
      <c r="J1277" s="94" t="s">
        <v>574</v>
      </c>
      <c r="K1277" s="114">
        <f>P1277/3</f>
      </c>
      <c r="L1277" s="115">
        <v>3.9710000000000001</v>
      </c>
      <c r="M1277" s="116">
        <f>L1277</f>
      </c>
      <c r="N1277" s="117">
        <f>M1277-L1277</f>
      </c>
      <c r="O1277" s="112"/>
      <c r="P1277" s="118">
        <f>N1277+O1277</f>
      </c>
      <c r="Q1277" s="94" t="s">
        <v>782</v>
      </c>
      <c r="R1277" s="94" t="s">
        <v>63</v>
      </c>
      <c r="S1277" s="119">
        <v>46329</v>
      </c>
      <c r="T1277" s="119"/>
      <c r="U1277" s="119">
        <v>46329</v>
      </c>
      <c r="V1277" s="94"/>
      <c r="W1277" s="94"/>
      <c r="X1277" s="94"/>
      <c r="Y1277" s="119">
        <v>46324</v>
      </c>
      <c r="Z1277" s="94"/>
      <c r="AA1277" s="120"/>
      <c r="AB1277" s="120"/>
      <c r="AC1277" s="120"/>
      <c r="AD1277" s="120"/>
      <c r="AE1277" s="120"/>
      <c r="AF1277" s="120"/>
      <c r="AG1277" s="94"/>
      <c r="AH1277" s="120"/>
      <c r="AI1277" s="94"/>
      <c r="AJ1277" s="94" t="s">
        <v>782</v>
      </c>
      <c r="AK1277" s="94" t="s">
        <v>574</v>
      </c>
      <c r="AL1277" s="94">
        <v>165</v>
      </c>
      <c r="AM1277" s="94" t="str">
        <f>TRIM(AJ1277)&amp;TRIM(AL1277)&amp;TRIM(AK1277)</f>
      </c>
      <c r="AN1277" s="116">
        <v>25.9</v>
      </c>
      <c r="AO1277" s="116">
        <v>-8.9</v>
      </c>
      <c r="AP1277" s="116">
        <f>SUMIFS(M:M,AM:AM,AM1277)+SUMIFS(O:O,AM:AM,AM1277)</f>
      </c>
      <c r="AQ1277" s="116">
        <f>SUMIFS(L:L,AM:AM,AM1277)</f>
      </c>
      <c r="AR1277" s="116">
        <f>AQ1277-AP1277</f>
      </c>
      <c r="AS1277" s="94" t="str">
        <f>IF(AN1277&gt;=AQ1277,"ok","ck")</f>
      </c>
      <c r="AT1277" s="116">
        <f>-P1277</f>
      </c>
      <c r="AU1277" s="115">
        <f>IF(SUMIFS(AT:AT,AM:AM,AM1277)&gt;AO1277,(SUMIFS(AT:AT,AM:AM,AM1277)-AO1277))</f>
      </c>
      <c r="AV1277" s="116">
        <v>25.9</v>
      </c>
      <c r="AW1277" s="121">
        <v>1.524</v>
      </c>
      <c r="AX1277" s="115">
        <f>AN1277-AP1277</f>
      </c>
    </row>
    <row r="1278" spans="1:50" ht="15" hidden="1" customHeight="1" x14ac:dyDescent="0.3">
      <c r="A1278" s="94" t="s">
        <v>480</v>
      </c>
      <c r="B1278" s="94"/>
      <c r="C1278" s="94"/>
      <c r="D1278" s="94"/>
      <c r="E1278" s="94"/>
      <c r="F1278" s="94"/>
      <c r="G1278" s="112">
        <f>AU1278</f>
      </c>
      <c r="H1278" s="113"/>
      <c r="I1278" s="94" t="s">
        <v>486</v>
      </c>
      <c r="J1278" s="94" t="s">
        <v>574</v>
      </c>
      <c r="K1278" s="114">
        <f>P1278/3</f>
      </c>
      <c r="L1278" s="115">
        <v>0.53900000000000003</v>
      </c>
      <c r="M1278" s="116">
        <f>L1278</f>
      </c>
      <c r="N1278" s="117">
        <f>M1278-L1278</f>
      </c>
      <c r="O1278" s="112"/>
      <c r="P1278" s="118">
        <f>N1278+O1278</f>
      </c>
      <c r="Q1278" s="94" t="s">
        <v>782</v>
      </c>
      <c r="R1278" s="94" t="s">
        <v>63</v>
      </c>
      <c r="S1278" s="119">
        <v>46329</v>
      </c>
      <c r="T1278" s="119"/>
      <c r="U1278" s="119">
        <v>46329</v>
      </c>
      <c r="V1278" s="94"/>
      <c r="W1278" s="94"/>
      <c r="X1278" s="94"/>
      <c r="Y1278" s="119">
        <v>46326</v>
      </c>
      <c r="Z1278" s="94"/>
      <c r="AA1278" s="120"/>
      <c r="AB1278" s="120"/>
      <c r="AC1278" s="120"/>
      <c r="AD1278" s="120"/>
      <c r="AE1278" s="120"/>
      <c r="AF1278" s="120"/>
      <c r="AG1278" s="94"/>
      <c r="AH1278" s="120"/>
      <c r="AI1278" s="94"/>
      <c r="AJ1278" s="94" t="s">
        <v>782</v>
      </c>
      <c r="AK1278" s="94" t="s">
        <v>574</v>
      </c>
      <c r="AL1278" s="94">
        <v>165</v>
      </c>
      <c r="AM1278" s="94" t="str">
        <f>TRIM(AJ1278)&amp;TRIM(AL1278)&amp;TRIM(AK1278)</f>
      </c>
      <c r="AN1278" s="116">
        <v>25.9</v>
      </c>
      <c r="AO1278" s="116">
        <v>-8.9</v>
      </c>
      <c r="AP1278" s="116">
        <f>SUMIFS(M:M,AM:AM,AM1278)+SUMIFS(O:O,AM:AM,AM1278)</f>
      </c>
      <c r="AQ1278" s="116">
        <f>SUMIFS(L:L,AM:AM,AM1278)</f>
      </c>
      <c r="AR1278" s="116">
        <f>AQ1278-AP1278</f>
      </c>
      <c r="AS1278" s="94" t="str">
        <f>IF(AN1278&gt;=AQ1278,"ok","ck")</f>
      </c>
      <c r="AT1278" s="116">
        <f>-P1278</f>
      </c>
      <c r="AU1278" s="115">
        <f>IF(SUMIFS(AT:AT,AM:AM,AM1278)&gt;AO1278,(SUMIFS(AT:AT,AM:AM,AM1278)-AO1278))</f>
      </c>
      <c r="AV1278" s="116">
        <v>25.9</v>
      </c>
      <c r="AW1278" s="121">
        <v>1.524</v>
      </c>
      <c r="AX1278" s="115">
        <f>AN1278-AP1278</f>
      </c>
    </row>
    <row r="1279" spans="1:50" ht="15" hidden="1" customHeight="1" x14ac:dyDescent="0.3">
      <c r="A1279" s="94" t="s">
        <v>480</v>
      </c>
      <c r="B1279" s="94"/>
      <c r="C1279" s="94"/>
      <c r="D1279" s="94"/>
      <c r="E1279" s="94"/>
      <c r="F1279" s="94"/>
      <c r="G1279" s="112">
        <f>AU1279</f>
      </c>
      <c r="H1279" s="113"/>
      <c r="I1279" s="94" t="s">
        <v>486</v>
      </c>
      <c r="J1279" s="94" t="s">
        <v>574</v>
      </c>
      <c r="K1279" s="114">
        <f>P1279/3</f>
      </c>
      <c r="L1279" s="115">
        <v>2.0870000000000002</v>
      </c>
      <c r="M1279" s="116">
        <f>L1279</f>
      </c>
      <c r="N1279" s="117">
        <f>M1279-L1279</f>
      </c>
      <c r="O1279" s="112"/>
      <c r="P1279" s="118">
        <f>N1279+O1279</f>
      </c>
      <c r="Q1279" s="94" t="s">
        <v>782</v>
      </c>
      <c r="R1279" s="94" t="s">
        <v>63</v>
      </c>
      <c r="S1279" s="119">
        <v>46329</v>
      </c>
      <c r="T1279" s="119"/>
      <c r="U1279" s="119">
        <v>46329</v>
      </c>
      <c r="V1279" s="94"/>
      <c r="W1279" s="94"/>
      <c r="X1279" s="94"/>
      <c r="Y1279" s="119">
        <v>46327</v>
      </c>
      <c r="Z1279" s="94"/>
      <c r="AA1279" s="120"/>
      <c r="AB1279" s="120"/>
      <c r="AC1279" s="120"/>
      <c r="AD1279" s="120"/>
      <c r="AE1279" s="120"/>
      <c r="AF1279" s="120"/>
      <c r="AG1279" s="94"/>
      <c r="AH1279" s="120"/>
      <c r="AI1279" s="94"/>
      <c r="AJ1279" s="94" t="s">
        <v>782</v>
      </c>
      <c r="AK1279" s="94" t="s">
        <v>574</v>
      </c>
      <c r="AL1279" s="94">
        <v>165</v>
      </c>
      <c r="AM1279" s="94" t="str">
        <f>TRIM(AJ1279)&amp;TRIM(AL1279)&amp;TRIM(AK1279)</f>
      </c>
      <c r="AN1279" s="116">
        <v>25.9</v>
      </c>
      <c r="AO1279" s="116">
        <v>-8.9</v>
      </c>
      <c r="AP1279" s="116">
        <f>SUMIFS(M:M,AM:AM,AM1279)+SUMIFS(O:O,AM:AM,AM1279)</f>
      </c>
      <c r="AQ1279" s="116">
        <f>SUMIFS(L:L,AM:AM,AM1279)</f>
      </c>
      <c r="AR1279" s="116">
        <f>AQ1279-AP1279</f>
      </c>
      <c r="AS1279" s="94" t="str">
        <f>IF(AN1279&gt;=AQ1279,"ok","ck")</f>
      </c>
      <c r="AT1279" s="116">
        <f>-P1279</f>
      </c>
      <c r="AU1279" s="115">
        <f>IF(SUMIFS(AT:AT,AM:AM,AM1279)&gt;AO1279,(SUMIFS(AT:AT,AM:AM,AM1279)-AO1279))</f>
      </c>
      <c r="AV1279" s="116">
        <v>25.9</v>
      </c>
      <c r="AW1279" s="121">
        <v>1.524</v>
      </c>
      <c r="AX1279" s="115">
        <f>AN1279-AP1279</f>
      </c>
    </row>
    <row r="1280" spans="1:50" ht="15" hidden="1" customHeight="1" x14ac:dyDescent="0.3">
      <c r="A1280" s="94" t="s">
        <v>480</v>
      </c>
      <c r="B1280" s="94"/>
      <c r="C1280" s="94"/>
      <c r="D1280" s="94"/>
      <c r="E1280" s="94"/>
      <c r="F1280" s="94"/>
      <c r="G1280" s="112">
        <f>AU1280</f>
      </c>
      <c r="H1280" s="113"/>
      <c r="I1280" s="94" t="s">
        <v>486</v>
      </c>
      <c r="J1280" s="94" t="s">
        <v>574</v>
      </c>
      <c r="K1280" s="114">
        <f>P1280/3</f>
      </c>
      <c r="L1280" s="115">
        <v>0.40400000000000003</v>
      </c>
      <c r="M1280" s="116">
        <f>L1280</f>
      </c>
      <c r="N1280" s="117">
        <f>M1280-L1280</f>
      </c>
      <c r="O1280" s="112"/>
      <c r="P1280" s="118">
        <f>N1280+O1280</f>
      </c>
      <c r="Q1280" s="94" t="s">
        <v>782</v>
      </c>
      <c r="R1280" s="94" t="s">
        <v>63</v>
      </c>
      <c r="S1280" s="119">
        <v>46329</v>
      </c>
      <c r="T1280" s="119"/>
      <c r="U1280" s="119">
        <v>46329</v>
      </c>
      <c r="V1280" s="94"/>
      <c r="W1280" s="94"/>
      <c r="X1280" s="94"/>
      <c r="Y1280" s="119">
        <v>46328</v>
      </c>
      <c r="Z1280" s="94"/>
      <c r="AA1280" s="120"/>
      <c r="AB1280" s="120"/>
      <c r="AC1280" s="120"/>
      <c r="AD1280" s="120"/>
      <c r="AE1280" s="120"/>
      <c r="AF1280" s="120"/>
      <c r="AG1280" s="94"/>
      <c r="AH1280" s="120"/>
      <c r="AI1280" s="94"/>
      <c r="AJ1280" s="94" t="s">
        <v>782</v>
      </c>
      <c r="AK1280" s="94" t="s">
        <v>574</v>
      </c>
      <c r="AL1280" s="94">
        <v>165</v>
      </c>
      <c r="AM1280" s="94" t="str">
        <f>TRIM(AJ1280)&amp;TRIM(AL1280)&amp;TRIM(AK1280)</f>
      </c>
      <c r="AN1280" s="116">
        <v>25.9</v>
      </c>
      <c r="AO1280" s="116">
        <v>-8.9</v>
      </c>
      <c r="AP1280" s="116">
        <f>SUMIFS(M:M,AM:AM,AM1280)+SUMIFS(O:O,AM:AM,AM1280)</f>
      </c>
      <c r="AQ1280" s="116">
        <f>SUMIFS(L:L,AM:AM,AM1280)</f>
      </c>
      <c r="AR1280" s="116">
        <f>AQ1280-AP1280</f>
      </c>
      <c r="AS1280" s="94" t="str">
        <f>IF(AN1280&gt;=AQ1280,"ok","ck")</f>
      </c>
      <c r="AT1280" s="116">
        <f>-P1280</f>
      </c>
      <c r="AU1280" s="115">
        <f>IF(SUMIFS(AT:AT,AM:AM,AM1280)&gt;AO1280,(SUMIFS(AT:AT,AM:AM,AM1280)-AO1280))</f>
      </c>
      <c r="AV1280" s="116">
        <v>25.9</v>
      </c>
      <c r="AW1280" s="121">
        <v>1.524</v>
      </c>
      <c r="AX1280" s="115">
        <f>AN1280-AP1280</f>
      </c>
    </row>
    <row r="1281" spans="1:50" ht="15" hidden="1" customHeight="1" x14ac:dyDescent="0.3">
      <c r="A1281" s="94" t="s">
        <v>268</v>
      </c>
      <c r="B1281" s="94"/>
      <c r="C1281" s="94"/>
      <c r="D1281" s="94"/>
      <c r="E1281" s="94"/>
      <c r="F1281" s="94"/>
      <c r="G1281" s="112">
        <f>AU1281</f>
      </c>
      <c r="H1281" s="113"/>
      <c r="I1281" s="94" t="s">
        <v>278</v>
      </c>
      <c r="J1281" s="94" t="s">
        <v>381</v>
      </c>
      <c r="K1281" s="114">
        <f>P1281/3</f>
      </c>
      <c r="L1281" s="115">
        <v>0.30599999999999999</v>
      </c>
      <c r="M1281" s="116"/>
      <c r="N1281" s="117">
        <f>M1281-L1281</f>
      </c>
      <c r="O1281" s="112"/>
      <c r="P1281" s="118">
        <f>N1281+O1281</f>
      </c>
      <c r="Q1281" s="94" t="s">
        <v>773</v>
      </c>
      <c r="R1281" s="94" t="s">
        <v>63</v>
      </c>
      <c r="S1281" s="119">
        <v>46342</v>
      </c>
      <c r="T1281" s="119"/>
      <c r="U1281" s="119">
        <v>46342</v>
      </c>
      <c r="V1281" s="94"/>
      <c r="W1281" s="94"/>
      <c r="X1281" s="94"/>
      <c r="Y1281" s="119">
        <v>46342</v>
      </c>
      <c r="Z1281" s="94"/>
      <c r="AA1281" s="120"/>
      <c r="AB1281" s="120"/>
      <c r="AC1281" s="120"/>
      <c r="AD1281" s="120"/>
      <c r="AE1281" s="120"/>
      <c r="AF1281" s="120"/>
      <c r="AG1281" s="94"/>
      <c r="AH1281" s="120"/>
      <c r="AI1281" s="94"/>
      <c r="AJ1281" s="94" t="s">
        <v>773</v>
      </c>
      <c r="AK1281" s="94" t="s">
        <v>381</v>
      </c>
      <c r="AL1281" s="94">
        <v>120</v>
      </c>
      <c r="AM1281" s="94" t="str">
        <f>TRIM(AJ1281)&amp;TRIM(AL1281)&amp;TRIM(AK1281)</f>
      </c>
      <c r="AN1281" s="116">
        <v>0</v>
      </c>
      <c r="AO1281" s="116" t="inlineStr">
        <is>
          <t>#NA</t>
        </is>
      </c>
      <c r="AP1281" s="116">
        <f>SUMIFS(M:M,AM:AM,AM1281)+SUMIFS(O:O,AM:AM,AM1281)</f>
      </c>
      <c r="AQ1281" s="116">
        <f>SUMIFS(L:L,AM:AM,AM1281)</f>
      </c>
      <c r="AR1281" s="116">
        <f>AQ1281-AP1281</f>
      </c>
      <c r="AS1281" s="94" t="str">
        <f>IF(AN1281&gt;=AQ1281,"ok","ck")</f>
      </c>
      <c r="AT1281" s="116">
        <f>-P1281</f>
      </c>
      <c r="AU1281" s="115">
        <f>IF(SUMIFS(AT:AT,AM:AM,AM1281)&gt;AO1281,(SUMIFS(AT:AT,AM:AM,AM1281)-AO1281))</f>
      </c>
      <c r="AV1281" s="116">
        <v>0</v>
      </c>
      <c r="AW1281" s="121">
        <v>0</v>
      </c>
      <c r="AX1281" s="115">
        <f>AN1281-AP1281</f>
      </c>
    </row>
    <row r="1282" spans="1:50" ht="15" hidden="1" customHeight="1" x14ac:dyDescent="0.3">
      <c r="A1282" s="94" t="s">
        <v>60</v>
      </c>
      <c r="B1282" s="94"/>
      <c r="C1282" s="94"/>
      <c r="D1282" s="94"/>
      <c r="E1282" s="94"/>
      <c r="F1282" s="94"/>
      <c r="G1282" s="112">
        <f>AU1282</f>
      </c>
      <c r="H1282" s="113"/>
      <c r="I1282" s="94" t="s">
        <v>65</v>
      </c>
      <c r="J1282" s="94" t="s">
        <v>121</v>
      </c>
      <c r="K1282" s="114">
        <f>P1282/3</f>
      </c>
      <c r="L1282" s="115">
        <v>250.125</v>
      </c>
      <c r="M1282" s="116"/>
      <c r="N1282" s="117">
        <f>M1282-L1282</f>
      </c>
      <c r="O1282" s="112"/>
      <c r="P1282" s="118">
        <f>N1282+O1282</f>
      </c>
      <c r="Q1282" s="94" t="s">
        <v>817</v>
      </c>
      <c r="R1282" s="94" t="s">
        <v>63</v>
      </c>
      <c r="S1282" s="119">
        <v>46343</v>
      </c>
      <c r="T1282" s="119"/>
      <c r="U1282" s="119">
        <v>46343</v>
      </c>
      <c r="V1282" s="94"/>
      <c r="W1282" s="94"/>
      <c r="X1282" s="94"/>
      <c r="Y1282" s="119">
        <v>46343</v>
      </c>
      <c r="Z1282" s="94"/>
      <c r="AA1282" s="120"/>
      <c r="AB1282" s="120"/>
      <c r="AC1282" s="120"/>
      <c r="AD1282" s="120"/>
      <c r="AE1282" s="120"/>
      <c r="AF1282" s="120"/>
      <c r="AG1282" s="94"/>
      <c r="AH1282" s="120"/>
      <c r="AI1282" s="94"/>
      <c r="AJ1282" s="94" t="s">
        <v>817</v>
      </c>
      <c r="AK1282" s="94" t="s">
        <v>66</v>
      </c>
      <c r="AL1282" s="94">
        <v>110</v>
      </c>
      <c r="AM1282" s="94" t="str">
        <f>TRIM(AJ1282)&amp;TRIM(AL1282)&amp;TRIM(AK1282)</f>
      </c>
      <c r="AN1282" s="116">
        <v>0</v>
      </c>
      <c r="AO1282" s="116" t="inlineStr">
        <is>
          <t>#NA</t>
        </is>
      </c>
      <c r="AP1282" s="116">
        <f>SUMIFS(M:M,AM:AM,AM1282)+SUMIFS(O:O,AM:AM,AM1282)</f>
      </c>
      <c r="AQ1282" s="116">
        <f>SUMIFS(L:L,AM:AM,AM1282)</f>
      </c>
      <c r="AR1282" s="116">
        <f>AQ1282-AP1282</f>
      </c>
      <c r="AS1282" s="94" t="str">
        <f>IF(AN1282&gt;=AQ1282,"ok","ck")</f>
      </c>
      <c r="AT1282" s="116">
        <f>-P1282</f>
      </c>
      <c r="AU1282" s="115">
        <f>IF(SUMIFS(AT:AT,AM:AM,AM1282)&gt;AO1282,(SUMIFS(AT:AT,AM:AM,AM1282)-AO1282))</f>
      </c>
      <c r="AV1282" s="116">
        <v>0</v>
      </c>
      <c r="AW1282" s="121">
        <v>0</v>
      </c>
      <c r="AX1282" s="115">
        <f>AN1282-AP1282</f>
      </c>
    </row>
    <row r="1283" spans="1:50" ht="15" hidden="1" customHeight="1" x14ac:dyDescent="0.3">
      <c r="A1283" s="94" t="s">
        <v>60</v>
      </c>
      <c r="B1283" s="94"/>
      <c r="C1283" s="94"/>
      <c r="D1283" s="94"/>
      <c r="E1283" s="94"/>
      <c r="F1283" s="94"/>
      <c r="G1283" s="112">
        <f>AU1283</f>
      </c>
      <c r="H1283" s="113"/>
      <c r="I1283" s="94" t="s">
        <v>70</v>
      </c>
      <c r="J1283" s="94" t="s">
        <v>121</v>
      </c>
      <c r="K1283" s="114">
        <f>P1283/3</f>
      </c>
      <c r="L1283" s="115">
        <v>3256.576</v>
      </c>
      <c r="M1283" s="116"/>
      <c r="N1283" s="117">
        <f>M1283-L1283</f>
      </c>
      <c r="O1283" s="112"/>
      <c r="P1283" s="118">
        <f>N1283+O1283</f>
      </c>
      <c r="Q1283" s="94" t="s">
        <v>817</v>
      </c>
      <c r="R1283" s="94" t="s">
        <v>63</v>
      </c>
      <c r="S1283" s="119">
        <v>46343</v>
      </c>
      <c r="T1283" s="119"/>
      <c r="U1283" s="119">
        <v>46343</v>
      </c>
      <c r="V1283" s="94"/>
      <c r="W1283" s="94"/>
      <c r="X1283" s="94"/>
      <c r="Y1283" s="119">
        <v>46343</v>
      </c>
      <c r="Z1283" s="94"/>
      <c r="AA1283" s="120"/>
      <c r="AB1283" s="120"/>
      <c r="AC1283" s="120"/>
      <c r="AD1283" s="120"/>
      <c r="AE1283" s="120"/>
      <c r="AF1283" s="120"/>
      <c r="AG1283" s="94"/>
      <c r="AH1283" s="120"/>
      <c r="AI1283" s="94"/>
      <c r="AJ1283" s="94" t="s">
        <v>817</v>
      </c>
      <c r="AK1283" s="94" t="s">
        <v>66</v>
      </c>
      <c r="AL1283" s="94">
        <v>140</v>
      </c>
      <c r="AM1283" s="94" t="str">
        <f>TRIM(AJ1283)&amp;TRIM(AL1283)&amp;TRIM(AK1283)</f>
      </c>
      <c r="AN1283" s="116">
        <v>0</v>
      </c>
      <c r="AO1283" s="116" t="inlineStr">
        <is>
          <t>#NA</t>
        </is>
      </c>
      <c r="AP1283" s="116">
        <f>SUMIFS(M:M,AM:AM,AM1283)+SUMIFS(O:O,AM:AM,AM1283)</f>
      </c>
      <c r="AQ1283" s="116">
        <f>SUMIFS(L:L,AM:AM,AM1283)</f>
      </c>
      <c r="AR1283" s="116">
        <f>AQ1283-AP1283</f>
      </c>
      <c r="AS1283" s="94" t="str">
        <f>IF(AN1283&gt;=AQ1283,"ok","ck")</f>
      </c>
      <c r="AT1283" s="116">
        <f>-P1283</f>
      </c>
      <c r="AU1283" s="115">
        <f>IF(SUMIFS(AT:AT,AM:AM,AM1283)&gt;AO1283,(SUMIFS(AT:AT,AM:AM,AM1283)-AO1283))</f>
      </c>
      <c r="AV1283" s="116">
        <v>0</v>
      </c>
      <c r="AW1283" s="121">
        <v>0</v>
      </c>
      <c r="AX1283" s="115">
        <f>AN1283-AP1283</f>
      </c>
    </row>
    <row r="1284" spans="1:50" ht="15" hidden="1" customHeight="1" x14ac:dyDescent="0.3">
      <c r="A1284" s="94" t="s">
        <v>268</v>
      </c>
      <c r="B1284" s="94"/>
      <c r="C1284" s="94"/>
      <c r="D1284" s="94"/>
      <c r="E1284" s="94"/>
      <c r="F1284" s="94"/>
      <c r="G1284" s="112">
        <f>AU1284</f>
      </c>
      <c r="H1284" s="113"/>
      <c r="I1284" s="94" t="s">
        <v>278</v>
      </c>
      <c r="J1284" s="94" t="s">
        <v>293</v>
      </c>
      <c r="K1284" s="114">
        <f>P1284/3</f>
      </c>
      <c r="L1284" s="115">
        <v>42.12</v>
      </c>
      <c r="M1284" s="116"/>
      <c r="N1284" s="117">
        <f>M1284-L1284</f>
      </c>
      <c r="O1284" s="112"/>
      <c r="P1284" s="118">
        <f>N1284+O1284</f>
      </c>
      <c r="Q1284" s="94" t="s">
        <v>778</v>
      </c>
      <c r="R1284" s="94" t="s">
        <v>63</v>
      </c>
      <c r="S1284" s="119">
        <v>46333</v>
      </c>
      <c r="T1284" s="119"/>
      <c r="U1284" s="119">
        <v>46333</v>
      </c>
      <c r="V1284" s="94"/>
      <c r="W1284" s="94"/>
      <c r="X1284" s="94"/>
      <c r="Y1284" s="119">
        <v>46334</v>
      </c>
      <c r="Z1284" s="94"/>
      <c r="AA1284" s="120"/>
      <c r="AB1284" s="120"/>
      <c r="AC1284" s="120"/>
      <c r="AD1284" s="120"/>
      <c r="AE1284" s="120"/>
      <c r="AF1284" s="120"/>
      <c r="AG1284" s="94"/>
      <c r="AH1284" s="120"/>
      <c r="AI1284" s="94"/>
      <c r="AJ1284" s="94" t="s">
        <v>778</v>
      </c>
      <c r="AK1284" s="94" t="s">
        <v>294</v>
      </c>
      <c r="AL1284" s="94">
        <v>120</v>
      </c>
      <c r="AM1284" s="94" t="str">
        <f>TRIM(AJ1284)&amp;TRIM(AL1284)&amp;TRIM(AK1284)</f>
      </c>
      <c r="AN1284" s="116">
        <v>0</v>
      </c>
      <c r="AO1284" s="116" t="inlineStr">
        <is>
          <t>#NA</t>
        </is>
      </c>
      <c r="AP1284" s="116">
        <f>SUMIFS(M:M,AM:AM,AM1284)+SUMIFS(O:O,AM:AM,AM1284)</f>
      </c>
      <c r="AQ1284" s="116">
        <f>SUMIFS(L:L,AM:AM,AM1284)</f>
      </c>
      <c r="AR1284" s="116">
        <f>AQ1284-AP1284</f>
      </c>
      <c r="AS1284" s="94" t="str">
        <f>IF(AN1284&gt;=AQ1284,"ok","ck")</f>
      </c>
      <c r="AT1284" s="116">
        <f>-P1284</f>
      </c>
      <c r="AU1284" s="115">
        <f>IF(SUMIFS(AT:AT,AM:AM,AM1284)&gt;AO1284,(SUMIFS(AT:AT,AM:AM,AM1284)-AO1284))</f>
      </c>
      <c r="AV1284" s="116">
        <v>0</v>
      </c>
      <c r="AW1284" s="121">
        <v>0</v>
      </c>
      <c r="AX1284" s="115">
        <f>AN1284-AP1284</f>
      </c>
    </row>
    <row r="1285" spans="1:50" ht="15" hidden="1" customHeight="1" x14ac:dyDescent="0.3">
      <c r="A1285" s="94" t="s">
        <v>268</v>
      </c>
      <c r="B1285" s="94"/>
      <c r="C1285" s="94"/>
      <c r="D1285" s="94"/>
      <c r="E1285" s="94"/>
      <c r="F1285" s="94"/>
      <c r="G1285" s="112">
        <f>AU1285</f>
      </c>
      <c r="H1285" s="113"/>
      <c r="I1285" s="94" t="s">
        <v>278</v>
      </c>
      <c r="J1285" s="94" t="s">
        <v>293</v>
      </c>
      <c r="K1285" s="114">
        <f>P1285/3</f>
      </c>
      <c r="L1285" s="115">
        <v>14.04</v>
      </c>
      <c r="M1285" s="116"/>
      <c r="N1285" s="117">
        <f>M1285-L1285</f>
      </c>
      <c r="O1285" s="112"/>
      <c r="P1285" s="118">
        <f>N1285+O1285</f>
      </c>
      <c r="Q1285" s="94" t="s">
        <v>778</v>
      </c>
      <c r="R1285" s="94" t="s">
        <v>63</v>
      </c>
      <c r="S1285" s="119">
        <v>46333</v>
      </c>
      <c r="T1285" s="119"/>
      <c r="U1285" s="119">
        <v>46333</v>
      </c>
      <c r="V1285" s="94"/>
      <c r="W1285" s="94"/>
      <c r="X1285" s="94"/>
      <c r="Y1285" s="119">
        <v>46337</v>
      </c>
      <c r="Z1285" s="94"/>
      <c r="AA1285" s="120"/>
      <c r="AB1285" s="120"/>
      <c r="AC1285" s="120"/>
      <c r="AD1285" s="120"/>
      <c r="AE1285" s="120"/>
      <c r="AF1285" s="120"/>
      <c r="AG1285" s="94"/>
      <c r="AH1285" s="120"/>
      <c r="AI1285" s="94"/>
      <c r="AJ1285" s="94" t="s">
        <v>778</v>
      </c>
      <c r="AK1285" s="94" t="s">
        <v>294</v>
      </c>
      <c r="AL1285" s="94">
        <v>120</v>
      </c>
      <c r="AM1285" s="94" t="str">
        <f>TRIM(AJ1285)&amp;TRIM(AL1285)&amp;TRIM(AK1285)</f>
      </c>
      <c r="AN1285" s="116">
        <v>0</v>
      </c>
      <c r="AO1285" s="116" t="inlineStr">
        <is>
          <t>#NA</t>
        </is>
      </c>
      <c r="AP1285" s="116">
        <f>SUMIFS(M:M,AM:AM,AM1285)+SUMIFS(O:O,AM:AM,AM1285)</f>
      </c>
      <c r="AQ1285" s="116">
        <f>SUMIFS(L:L,AM:AM,AM1285)</f>
      </c>
      <c r="AR1285" s="116">
        <f>AQ1285-AP1285</f>
      </c>
      <c r="AS1285" s="94" t="str">
        <f>IF(AN1285&gt;=AQ1285,"ok","ck")</f>
      </c>
      <c r="AT1285" s="116">
        <f>-P1285</f>
      </c>
      <c r="AU1285" s="115">
        <f>IF(SUMIFS(AT:AT,AM:AM,AM1285)&gt;AO1285,(SUMIFS(AT:AT,AM:AM,AM1285)-AO1285))</f>
      </c>
      <c r="AV1285" s="116">
        <v>0</v>
      </c>
      <c r="AW1285" s="121">
        <v>0</v>
      </c>
      <c r="AX1285" s="115">
        <f>AN1285-AP1285</f>
      </c>
    </row>
    <row r="1286" spans="1:50" ht="15" customHeight="1" x14ac:dyDescent="0.3">
      <c r="A1286" s="94" t="s">
        <v>862</v>
      </c>
      <c r="B1286" s="94"/>
      <c r="C1286" s="94"/>
      <c r="D1286" s="94"/>
      <c r="E1286" s="94"/>
      <c r="F1286" s="94"/>
      <c r="G1286" s="112">
        <f>AU1286</f>
      </c>
      <c r="H1286" s="113"/>
      <c r="I1286" s="94" t="s">
        <v>390</v>
      </c>
      <c r="J1286" s="94" t="s">
        <v>281</v>
      </c>
      <c r="K1286" s="114">
        <f>P1286/3</f>
      </c>
      <c r="L1286" s="115">
        <v>1843.529</v>
      </c>
      <c r="M1286" s="116"/>
      <c r="N1286" s="117">
        <f>M1286-L1286</f>
      </c>
      <c r="O1286" s="112"/>
      <c r="P1286" s="118">
        <f>N1286+O1286</f>
      </c>
      <c r="Q1286" s="94"/>
      <c r="R1286" s="94" t="s">
        <v>63</v>
      </c>
      <c r="S1286" s="119">
        <v>46341</v>
      </c>
      <c r="T1286" s="119"/>
      <c r="U1286" s="119" t="s">
        <v>632</v>
      </c>
      <c r="V1286" s="94"/>
      <c r="W1286" s="94"/>
      <c r="X1286" s="94"/>
      <c r="Y1286" s="119">
        <v>46338</v>
      </c>
      <c r="Z1286" s="94"/>
      <c r="AA1286" s="120"/>
      <c r="AB1286" s="120"/>
      <c r="AC1286" s="120"/>
      <c r="AD1286" s="120"/>
      <c r="AE1286" s="120"/>
      <c r="AF1286" s="120"/>
      <c r="AG1286" s="94"/>
      <c r="AH1286" s="120"/>
      <c r="AI1286" s="94"/>
      <c r="AJ1286" s="94"/>
      <c r="AK1286" s="94"/>
      <c r="AL1286" s="94">
        <v>140</v>
      </c>
      <c r="AM1286" s="94" t="str">
        <f>TRIM(AJ1286)&amp;TRIM(AL1286)&amp;TRIM(AK1286)</f>
      </c>
      <c r="AN1286" s="116">
        <v>0</v>
      </c>
      <c r="AO1286" s="116" t="inlineStr">
        <is>
          <t>#NA</t>
        </is>
      </c>
      <c r="AP1286" s="116">
        <f>SUMIFS(M:M,AM:AM,AM1286)+SUMIFS(O:O,AM:AM,AM1286)</f>
      </c>
      <c r="AQ1286" s="116">
        <f>SUMIFS(L:L,AM:AM,AM1286)</f>
      </c>
      <c r="AR1286" s="116">
        <f>AQ1286-AP1286</f>
      </c>
      <c r="AS1286" s="94" t="str">
        <f>IF(AN1286&gt;=AQ1286,"ok","ck")</f>
      </c>
      <c r="AT1286" s="116">
        <f>-P1286</f>
      </c>
      <c r="AU1286" s="115">
        <f>IF(SUMIFS(AT:AT,AM:AM,AM1286)&gt;AO1286,(SUMIFS(AT:AT,AM:AM,AM1286)-AO1286))</f>
      </c>
      <c r="AV1286" s="116" t="e">
        <v>#N/A</v>
      </c>
      <c r="AW1286" s="121" t="e">
        <v>#N/A</v>
      </c>
      <c r="AX1286" s="115">
        <f>AN1286-AP1286</f>
      </c>
    </row>
    <row r="1287" spans="1:50" ht="15" customHeight="1" x14ac:dyDescent="0.3">
      <c r="A1287" s="94" t="s">
        <v>862</v>
      </c>
      <c r="B1287" s="94"/>
      <c r="C1287" s="94"/>
      <c r="D1287" s="94"/>
      <c r="E1287" s="94"/>
      <c r="F1287" s="94"/>
      <c r="G1287" s="112">
        <f>AU1287</f>
      </c>
      <c r="H1287" s="113"/>
      <c r="I1287" s="94" t="s">
        <v>390</v>
      </c>
      <c r="J1287" s="94" t="s">
        <v>281</v>
      </c>
      <c r="K1287" s="114">
        <f>P1287/3</f>
      </c>
      <c r="L1287" s="115">
        <v>1843.529</v>
      </c>
      <c r="M1287" s="116"/>
      <c r="N1287" s="117">
        <f>M1287-L1287</f>
      </c>
      <c r="O1287" s="112"/>
      <c r="P1287" s="118">
        <f>N1287+O1287</f>
      </c>
      <c r="Q1287" s="94"/>
      <c r="R1287" s="94" t="s">
        <v>63</v>
      </c>
      <c r="S1287" s="119">
        <v>46342</v>
      </c>
      <c r="T1287" s="119"/>
      <c r="U1287" s="119" t="s">
        <v>632</v>
      </c>
      <c r="V1287" s="94"/>
      <c r="W1287" s="94"/>
      <c r="X1287" s="94"/>
      <c r="Y1287" s="119">
        <v>46340</v>
      </c>
      <c r="Z1287" s="94"/>
      <c r="AA1287" s="120"/>
      <c r="AB1287" s="120"/>
      <c r="AC1287" s="120"/>
      <c r="AD1287" s="120"/>
      <c r="AE1287" s="120"/>
      <c r="AF1287" s="120"/>
      <c r="AG1287" s="94"/>
      <c r="AH1287" s="120"/>
      <c r="AI1287" s="94"/>
      <c r="AJ1287" s="94"/>
      <c r="AK1287" s="94"/>
      <c r="AL1287" s="94">
        <v>140</v>
      </c>
      <c r="AM1287" s="94" t="str">
        <f>TRIM(AJ1287)&amp;TRIM(AL1287)&amp;TRIM(AK1287)</f>
      </c>
      <c r="AN1287" s="116">
        <v>0</v>
      </c>
      <c r="AO1287" s="116" t="inlineStr">
        <is>
          <t>#NA</t>
        </is>
      </c>
      <c r="AP1287" s="116">
        <f>SUMIFS(M:M,AM:AM,AM1287)+SUMIFS(O:O,AM:AM,AM1287)</f>
      </c>
      <c r="AQ1287" s="116">
        <f>SUMIFS(L:L,AM:AM,AM1287)</f>
      </c>
      <c r="AR1287" s="116">
        <f>AQ1287-AP1287</f>
      </c>
      <c r="AS1287" s="94" t="str">
        <f>IF(AN1287&gt;=AQ1287,"ok","ck")</f>
      </c>
      <c r="AT1287" s="116">
        <f>-P1287</f>
      </c>
      <c r="AU1287" s="115">
        <f>IF(SUMIFS(AT:AT,AM:AM,AM1287)&gt;AO1287,(SUMIFS(AT:AT,AM:AM,AM1287)-AO1287))</f>
      </c>
      <c r="AV1287" s="116" t="e">
        <v>#N/A</v>
      </c>
      <c r="AW1287" s="121" t="e">
        <v>#N/A</v>
      </c>
      <c r="AX1287" s="115">
        <f>AN1287-AP1287</f>
      </c>
    </row>
    <row r="1288" spans="1:50" ht="15" hidden="1" customHeight="1" x14ac:dyDescent="0.3">
      <c r="A1288" s="94" t="s">
        <v>268</v>
      </c>
      <c r="B1288" s="94"/>
      <c r="C1288" s="94"/>
      <c r="D1288" s="94"/>
      <c r="E1288" s="94"/>
      <c r="F1288" s="94"/>
      <c r="G1288" s="112">
        <f>AU1288</f>
      </c>
      <c r="H1288" s="113"/>
      <c r="I1288" s="94" t="s">
        <v>278</v>
      </c>
      <c r="J1288" s="94" t="s">
        <v>293</v>
      </c>
      <c r="K1288" s="114">
        <f>P1288/3</f>
      </c>
      <c r="L1288" s="115">
        <v>0.2</v>
      </c>
      <c r="M1288" s="116"/>
      <c r="N1288" s="117">
        <f>M1288-L1288</f>
      </c>
      <c r="O1288" s="112"/>
      <c r="P1288" s="118">
        <f>N1288+O1288</f>
      </c>
      <c r="Q1288" s="94" t="s">
        <v>778</v>
      </c>
      <c r="R1288" s="94" t="s">
        <v>63</v>
      </c>
      <c r="S1288" s="119">
        <v>46335</v>
      </c>
      <c r="T1288" s="119"/>
      <c r="U1288" s="119">
        <v>46335</v>
      </c>
      <c r="V1288" s="94"/>
      <c r="W1288" s="94"/>
      <c r="X1288" s="94"/>
      <c r="Y1288" s="119">
        <v>46335</v>
      </c>
      <c r="Z1288" s="94"/>
      <c r="AA1288" s="120"/>
      <c r="AB1288" s="120"/>
      <c r="AC1288" s="120"/>
      <c r="AD1288" s="120"/>
      <c r="AE1288" s="120"/>
      <c r="AF1288" s="120"/>
      <c r="AG1288" s="94"/>
      <c r="AH1288" s="120"/>
      <c r="AI1288" s="94"/>
      <c r="AJ1288" s="94" t="s">
        <v>778</v>
      </c>
      <c r="AK1288" s="94" t="s">
        <v>294</v>
      </c>
      <c r="AL1288" s="94">
        <v>120</v>
      </c>
      <c r="AM1288" s="94" t="str">
        <f>TRIM(AJ1288)&amp;TRIM(AL1288)&amp;TRIM(AK1288)</f>
      </c>
      <c r="AN1288" s="116">
        <v>0</v>
      </c>
      <c r="AO1288" s="116" t="inlineStr">
        <is>
          <t>#NA</t>
        </is>
      </c>
      <c r="AP1288" s="116">
        <f>SUMIFS(M:M,AM:AM,AM1288)+SUMIFS(O:O,AM:AM,AM1288)</f>
      </c>
      <c r="AQ1288" s="116">
        <f>SUMIFS(L:L,AM:AM,AM1288)</f>
      </c>
      <c r="AR1288" s="116">
        <f>AQ1288-AP1288</f>
      </c>
      <c r="AS1288" s="94" t="str">
        <f>IF(AN1288&gt;=AQ1288,"ok","ck")</f>
      </c>
      <c r="AT1288" s="116">
        <f>-P1288</f>
      </c>
      <c r="AU1288" s="115">
        <f>IF(SUMIFS(AT:AT,AM:AM,AM1288)&gt;AO1288,(SUMIFS(AT:AT,AM:AM,AM1288)-AO1288))</f>
      </c>
      <c r="AV1288" s="116">
        <v>0</v>
      </c>
      <c r="AW1288" s="121">
        <v>0</v>
      </c>
      <c r="AX1288" s="115">
        <f>AN1288-AP1288</f>
      </c>
    </row>
    <row r="1289" spans="1:50" ht="15" hidden="1" customHeight="1" x14ac:dyDescent="0.3">
      <c r="A1289" s="94" t="s">
        <v>288</v>
      </c>
      <c r="B1289" s="94"/>
      <c r="C1289" s="94"/>
      <c r="D1289" s="94"/>
      <c r="E1289" s="94"/>
      <c r="F1289" s="94"/>
      <c r="G1289" s="112">
        <f>AU1289</f>
      </c>
      <c r="H1289" s="113"/>
      <c r="I1289" s="94" t="s">
        <v>297</v>
      </c>
      <c r="J1289" s="94" t="s">
        <v>380</v>
      </c>
      <c r="K1289" s="114">
        <f>P1289/3</f>
      </c>
      <c r="L1289" s="115">
        <v>0</v>
      </c>
      <c r="M1289" s="116">
        <f>L1289</f>
      </c>
      <c r="N1289" s="117">
        <f>M1289-L1289</f>
      </c>
      <c r="O1289" s="112"/>
      <c r="P1289" s="118">
        <f>N1289+O1289</f>
      </c>
      <c r="Q1289" s="94" t="s">
        <v>299</v>
      </c>
      <c r="R1289" s="94" t="s">
        <v>63</v>
      </c>
      <c r="S1289" s="119">
        <v>46320</v>
      </c>
      <c r="T1289" s="119"/>
      <c r="U1289" s="120">
        <v>46320</v>
      </c>
      <c r="V1289" s="94"/>
      <c r="W1289" s="94"/>
      <c r="X1289" s="94"/>
      <c r="Y1289" s="119">
        <v>46320</v>
      </c>
      <c r="Z1289" s="94"/>
      <c r="AA1289" s="120"/>
      <c r="AB1289" s="120"/>
      <c r="AC1289" s="120"/>
      <c r="AD1289" s="120"/>
      <c r="AE1289" s="120"/>
      <c r="AF1289" s="120"/>
      <c r="AG1289" s="94"/>
      <c r="AH1289" s="120"/>
      <c r="AI1289" s="94"/>
      <c r="AJ1289" s="94" t="s">
        <v>478</v>
      </c>
      <c r="AK1289" s="94" t="s">
        <v>357</v>
      </c>
      <c r="AL1289" s="94">
        <v>190</v>
      </c>
      <c r="AM1289" s="94" t="str">
        <f>TRIM(AJ1289)&amp;TRIM(AL1289)&amp;TRIM(AK1289)</f>
      </c>
      <c r="AN1289" s="116">
        <v>6420</v>
      </c>
      <c r="AO1289" s="116">
        <v>-113.85</v>
      </c>
      <c r="AP1289" s="116">
        <f>SUMIFS(M:M,AM:AM,AM1289)+SUMIFS(O:O,AM:AM,AM1289)</f>
      </c>
      <c r="AQ1289" s="116">
        <f>SUMIFS(L:L,AM:AM,AM1289)</f>
      </c>
      <c r="AR1289" s="116">
        <f>AQ1289-AP1289</f>
      </c>
      <c r="AS1289" s="94" t="str">
        <f>IF(AN1289&gt;=AQ1289,"ok","ck")</f>
      </c>
      <c r="AT1289" s="116">
        <f>-P1289</f>
      </c>
      <c r="AU1289" s="115">
        <f>IF(SUMIFS(AT:AT,AM:AM,AM1289)&gt;AO1289,(SUMIFS(AT:AT,AM:AM,AM1289)-AO1289))</f>
      </c>
      <c r="AV1289" s="116">
        <v>6420</v>
      </c>
      <c r="AW1289" s="121">
        <v>1.018</v>
      </c>
      <c r="AX1289" s="115">
        <f>AN1289-AP1289</f>
      </c>
    </row>
    <row r="1290" spans="1:50" ht="15" hidden="1" customHeight="1" x14ac:dyDescent="0.3">
      <c r="A1290" s="94" t="s">
        <v>288</v>
      </c>
      <c r="B1290" s="94"/>
      <c r="C1290" s="94"/>
      <c r="D1290" s="94"/>
      <c r="E1290" s="94"/>
      <c r="F1290" s="94"/>
      <c r="G1290" s="112">
        <f>AU1290</f>
      </c>
      <c r="H1290" s="113"/>
      <c r="I1290" s="94" t="s">
        <v>297</v>
      </c>
      <c r="J1290" s="94" t="s">
        <v>380</v>
      </c>
      <c r="K1290" s="114">
        <f>P1290/3</f>
      </c>
      <c r="L1290" s="115">
        <v>0</v>
      </c>
      <c r="M1290" s="116">
        <f>L1290</f>
      </c>
      <c r="N1290" s="117">
        <f>M1290-L1290</f>
      </c>
      <c r="O1290" s="112"/>
      <c r="P1290" s="118">
        <f>N1290+O1290</f>
      </c>
      <c r="Q1290" s="94" t="s">
        <v>299</v>
      </c>
      <c r="R1290" s="94" t="s">
        <v>63</v>
      </c>
      <c r="S1290" s="119">
        <v>46330</v>
      </c>
      <c r="T1290" s="119"/>
      <c r="U1290" s="120">
        <v>46330</v>
      </c>
      <c r="V1290" s="94"/>
      <c r="W1290" s="94"/>
      <c r="X1290" s="94"/>
      <c r="Y1290" s="119">
        <v>46330</v>
      </c>
      <c r="Z1290" s="94"/>
      <c r="AA1290" s="120"/>
      <c r="AB1290" s="120"/>
      <c r="AC1290" s="120"/>
      <c r="AD1290" s="120"/>
      <c r="AE1290" s="120"/>
      <c r="AF1290" s="120"/>
      <c r="AG1290" s="94"/>
      <c r="AH1290" s="120"/>
      <c r="AI1290" s="94"/>
      <c r="AJ1290" s="94" t="s">
        <v>478</v>
      </c>
      <c r="AK1290" s="94" t="s">
        <v>357</v>
      </c>
      <c r="AL1290" s="94">
        <v>190</v>
      </c>
      <c r="AM1290" s="94" t="str">
        <f>TRIM(AJ1290)&amp;TRIM(AL1290)&amp;TRIM(AK1290)</f>
      </c>
      <c r="AN1290" s="116">
        <v>6420</v>
      </c>
      <c r="AO1290" s="116">
        <v>-113.85</v>
      </c>
      <c r="AP1290" s="116">
        <f>SUMIFS(M:M,AM:AM,AM1290)+SUMIFS(O:O,AM:AM,AM1290)</f>
      </c>
      <c r="AQ1290" s="116">
        <f>SUMIFS(L:L,AM:AM,AM1290)</f>
      </c>
      <c r="AR1290" s="116">
        <f>AQ1290-AP1290</f>
      </c>
      <c r="AS1290" s="94" t="str">
        <f>IF(AN1290&gt;=AQ1290,"ok","ck")</f>
      </c>
      <c r="AT1290" s="116">
        <f>-P1290</f>
      </c>
      <c r="AU1290" s="115">
        <f>IF(SUMIFS(AT:AT,AM:AM,AM1290)&gt;AO1290,(SUMIFS(AT:AT,AM:AM,AM1290)-AO1290))</f>
      </c>
      <c r="AV1290" s="116">
        <v>6420</v>
      </c>
      <c r="AW1290" s="121">
        <v>1.018</v>
      </c>
      <c r="AX1290" s="115">
        <f>AN1290-AP1290</f>
      </c>
    </row>
    <row r="1291" spans="1:50" ht="15" hidden="1" customHeight="1" x14ac:dyDescent="0.3">
      <c r="A1291" s="94" t="s">
        <v>288</v>
      </c>
      <c r="B1291" s="94"/>
      <c r="C1291" s="94"/>
      <c r="D1291" s="94"/>
      <c r="E1291" s="94"/>
      <c r="F1291" s="94"/>
      <c r="G1291" s="112">
        <f>AU1291</f>
      </c>
      <c r="H1291" s="113"/>
      <c r="I1291" s="94" t="s">
        <v>297</v>
      </c>
      <c r="J1291" s="94" t="s">
        <v>380</v>
      </c>
      <c r="K1291" s="114">
        <f>P1291/3</f>
      </c>
      <c r="L1291" s="115">
        <v>0</v>
      </c>
      <c r="M1291" s="116">
        <f>L1291</f>
      </c>
      <c r="N1291" s="117">
        <f>M1291-L1291</f>
      </c>
      <c r="O1291" s="112"/>
      <c r="P1291" s="118">
        <f>N1291+O1291</f>
      </c>
      <c r="Q1291" s="94" t="s">
        <v>299</v>
      </c>
      <c r="R1291" s="94" t="s">
        <v>63</v>
      </c>
      <c r="S1291" s="119">
        <v>46338</v>
      </c>
      <c r="T1291" s="119"/>
      <c r="U1291" s="120">
        <v>46338</v>
      </c>
      <c r="V1291" s="94"/>
      <c r="W1291" s="94"/>
      <c r="X1291" s="94"/>
      <c r="Y1291" s="119">
        <v>46338</v>
      </c>
      <c r="Z1291" s="94"/>
      <c r="AA1291" s="120"/>
      <c r="AB1291" s="120"/>
      <c r="AC1291" s="120"/>
      <c r="AD1291" s="120"/>
      <c r="AE1291" s="120"/>
      <c r="AF1291" s="120"/>
      <c r="AG1291" s="94"/>
      <c r="AH1291" s="120"/>
      <c r="AI1291" s="94"/>
      <c r="AJ1291" s="94" t="s">
        <v>478</v>
      </c>
      <c r="AK1291" s="94" t="s">
        <v>357</v>
      </c>
      <c r="AL1291" s="94">
        <v>190</v>
      </c>
      <c r="AM1291" s="94" t="str">
        <f>TRIM(AJ1291)&amp;TRIM(AL1291)&amp;TRIM(AK1291)</f>
      </c>
      <c r="AN1291" s="116">
        <v>6420</v>
      </c>
      <c r="AO1291" s="116">
        <v>-113.85</v>
      </c>
      <c r="AP1291" s="116">
        <f>SUMIFS(M:M,AM:AM,AM1291)+SUMIFS(O:O,AM:AM,AM1291)</f>
      </c>
      <c r="AQ1291" s="116">
        <f>SUMIFS(L:L,AM:AM,AM1291)</f>
      </c>
      <c r="AR1291" s="116">
        <f>AQ1291-AP1291</f>
      </c>
      <c r="AS1291" s="94" t="str">
        <f>IF(AN1291&gt;=AQ1291,"ok","ck")</f>
      </c>
      <c r="AT1291" s="116">
        <f>-P1291</f>
      </c>
      <c r="AU1291" s="115">
        <f>IF(SUMIFS(AT:AT,AM:AM,AM1291)&gt;AO1291,(SUMIFS(AT:AT,AM:AM,AM1291)-AO1291))</f>
      </c>
      <c r="AV1291" s="116">
        <v>6420</v>
      </c>
      <c r="AW1291" s="121">
        <v>1.018</v>
      </c>
      <c r="AX1291" s="115">
        <f>AN1291-AP1291</f>
      </c>
    </row>
    <row r="1292" spans="1:50" ht="15" hidden="1" customHeight="1" x14ac:dyDescent="0.3">
      <c r="A1292" s="94" t="s">
        <v>268</v>
      </c>
      <c r="B1292" s="94"/>
      <c r="C1292" s="94"/>
      <c r="D1292" s="94"/>
      <c r="E1292" s="94"/>
      <c r="F1292" s="94"/>
      <c r="G1292" s="112">
        <f>AU1292</f>
      </c>
      <c r="H1292" s="113"/>
      <c r="I1292" s="94" t="s">
        <v>278</v>
      </c>
      <c r="J1292" s="94" t="s">
        <v>326</v>
      </c>
      <c r="K1292" s="114">
        <f>P1292/3</f>
      </c>
      <c r="L1292" s="115">
        <v>0</v>
      </c>
      <c r="M1292" s="116">
        <f>L1292</f>
      </c>
      <c r="N1292" s="117">
        <f>M1292-L1292</f>
      </c>
      <c r="O1292" s="112"/>
      <c r="P1292" s="118">
        <f>N1292+O1292</f>
      </c>
      <c r="Q1292" s="94" t="s">
        <v>344</v>
      </c>
      <c r="R1292" s="94" t="s">
        <v>63</v>
      </c>
      <c r="S1292" s="119">
        <v>46320</v>
      </c>
      <c r="T1292" s="119"/>
      <c r="U1292" s="120">
        <v>46320</v>
      </c>
      <c r="V1292" s="94"/>
      <c r="W1292" s="94"/>
      <c r="X1292" s="94"/>
      <c r="Y1292" s="119">
        <v>46320</v>
      </c>
      <c r="Z1292" s="94"/>
      <c r="AA1292" s="120"/>
      <c r="AB1292" s="120"/>
      <c r="AC1292" s="120"/>
      <c r="AD1292" s="120"/>
      <c r="AE1292" s="120"/>
      <c r="AF1292" s="120"/>
      <c r="AG1292" s="94"/>
      <c r="AH1292" s="120"/>
      <c r="AI1292" s="94"/>
      <c r="AJ1292" s="94" t="s">
        <v>344</v>
      </c>
      <c r="AK1292" s="94" t="s">
        <v>327</v>
      </c>
      <c r="AL1292" s="94">
        <v>120</v>
      </c>
      <c r="AM1292" s="94" t="str">
        <f>TRIM(AJ1292)&amp;TRIM(AL1292)&amp;TRIM(AK1292)</f>
      </c>
      <c r="AN1292" s="116">
        <v>32</v>
      </c>
      <c r="AO1292" s="116">
        <v>-2</v>
      </c>
      <c r="AP1292" s="116">
        <f>SUMIFS(M:M,AM:AM,AM1292)+SUMIFS(O:O,AM:AM,AM1292)</f>
      </c>
      <c r="AQ1292" s="116">
        <f>SUMIFS(L:L,AM:AM,AM1292)</f>
      </c>
      <c r="AR1292" s="116">
        <f>AQ1292-AP1292</f>
      </c>
      <c r="AS1292" s="94" t="str">
        <f>IF(AN1292&gt;=AQ1292,"ok","ck")</f>
      </c>
      <c r="AT1292" s="116">
        <f>-P1292</f>
      </c>
      <c r="AU1292" s="115">
        <f>IF(SUMIFS(AT:AT,AM:AM,AM1292)&gt;AO1292,(SUMIFS(AT:AT,AM:AM,AM1292)-AO1292))</f>
      </c>
      <c r="AV1292" s="116">
        <v>32</v>
      </c>
      <c r="AW1292" s="121">
        <v>1.067</v>
      </c>
      <c r="AX1292" s="115">
        <f>AN1292-AP1292</f>
      </c>
    </row>
    <row r="1293" spans="1:50" ht="15" hidden="1" customHeight="1" x14ac:dyDescent="0.3">
      <c r="A1293" s="94" t="s">
        <v>268</v>
      </c>
      <c r="B1293" s="94"/>
      <c r="C1293" s="94"/>
      <c r="D1293" s="94"/>
      <c r="E1293" s="94"/>
      <c r="F1293" s="94"/>
      <c r="G1293" s="112">
        <f>AU1293</f>
      </c>
      <c r="H1293" s="113"/>
      <c r="I1293" s="94" t="s">
        <v>278</v>
      </c>
      <c r="J1293" s="94" t="s">
        <v>326</v>
      </c>
      <c r="K1293" s="114">
        <f>P1293/3</f>
      </c>
      <c r="L1293" s="115">
        <v>0</v>
      </c>
      <c r="M1293" s="116">
        <f>L1293</f>
      </c>
      <c r="N1293" s="117">
        <f>M1293-L1293</f>
      </c>
      <c r="O1293" s="112"/>
      <c r="P1293" s="118">
        <f>N1293+O1293</f>
      </c>
      <c r="Q1293" s="94" t="s">
        <v>344</v>
      </c>
      <c r="R1293" s="94" t="s">
        <v>63</v>
      </c>
      <c r="S1293" s="119">
        <v>46320</v>
      </c>
      <c r="T1293" s="119"/>
      <c r="U1293" s="120">
        <v>46320</v>
      </c>
      <c r="V1293" s="94"/>
      <c r="W1293" s="94"/>
      <c r="X1293" s="94"/>
      <c r="Y1293" s="119">
        <v>46320</v>
      </c>
      <c r="Z1293" s="94"/>
      <c r="AA1293" s="120"/>
      <c r="AB1293" s="120"/>
      <c r="AC1293" s="120"/>
      <c r="AD1293" s="120"/>
      <c r="AE1293" s="120"/>
      <c r="AF1293" s="120"/>
      <c r="AG1293" s="94"/>
      <c r="AH1293" s="120"/>
      <c r="AI1293" s="94"/>
      <c r="AJ1293" s="94" t="s">
        <v>344</v>
      </c>
      <c r="AK1293" s="94" t="s">
        <v>327</v>
      </c>
      <c r="AL1293" s="94">
        <v>120</v>
      </c>
      <c r="AM1293" s="94" t="str">
        <f>TRIM(AJ1293)&amp;TRIM(AL1293)&amp;TRIM(AK1293)</f>
      </c>
      <c r="AN1293" s="116">
        <v>32</v>
      </c>
      <c r="AO1293" s="116">
        <v>-2</v>
      </c>
      <c r="AP1293" s="116">
        <f>SUMIFS(M:M,AM:AM,AM1293)+SUMIFS(O:O,AM:AM,AM1293)</f>
      </c>
      <c r="AQ1293" s="116">
        <f>SUMIFS(L:L,AM:AM,AM1293)</f>
      </c>
      <c r="AR1293" s="116">
        <f>AQ1293-AP1293</f>
      </c>
      <c r="AS1293" s="94" t="str">
        <f>IF(AN1293&gt;=AQ1293,"ok","ck")</f>
      </c>
      <c r="AT1293" s="116">
        <f>-P1293</f>
      </c>
      <c r="AU1293" s="115">
        <f>IF(SUMIFS(AT:AT,AM:AM,AM1293)&gt;AO1293,(SUMIFS(AT:AT,AM:AM,AM1293)-AO1293))</f>
      </c>
      <c r="AV1293" s="116">
        <v>32</v>
      </c>
      <c r="AW1293" s="121">
        <v>1.067</v>
      </c>
      <c r="AX1293" s="115">
        <f>AN1293-AP1293</f>
      </c>
    </row>
    <row r="1294" spans="1:50" ht="15" hidden="1" customHeight="1" x14ac:dyDescent="0.3">
      <c r="A1294" s="94" t="s">
        <v>268</v>
      </c>
      <c r="B1294" s="94"/>
      <c r="C1294" s="94"/>
      <c r="D1294" s="94"/>
      <c r="E1294" s="94"/>
      <c r="F1294" s="94"/>
      <c r="G1294" s="112">
        <f>AU1294</f>
      </c>
      <c r="H1294" s="113"/>
      <c r="I1294" s="94" t="s">
        <v>278</v>
      </c>
      <c r="J1294" s="94" t="s">
        <v>326</v>
      </c>
      <c r="K1294" s="114">
        <f>P1294/3</f>
      </c>
      <c r="L1294" s="115">
        <v>0</v>
      </c>
      <c r="M1294" s="116">
        <f>L1294</f>
      </c>
      <c r="N1294" s="117">
        <f>M1294-L1294</f>
      </c>
      <c r="O1294" s="112"/>
      <c r="P1294" s="118">
        <f>N1294+O1294</f>
      </c>
      <c r="Q1294" s="94" t="s">
        <v>344</v>
      </c>
      <c r="R1294" s="94" t="s">
        <v>63</v>
      </c>
      <c r="S1294" s="119">
        <v>46320</v>
      </c>
      <c r="T1294" s="119"/>
      <c r="U1294" s="120">
        <v>46320</v>
      </c>
      <c r="V1294" s="94"/>
      <c r="W1294" s="94"/>
      <c r="X1294" s="94"/>
      <c r="Y1294" s="119">
        <v>46320</v>
      </c>
      <c r="Z1294" s="94"/>
      <c r="AA1294" s="120"/>
      <c r="AB1294" s="120"/>
      <c r="AC1294" s="120"/>
      <c r="AD1294" s="120"/>
      <c r="AE1294" s="120"/>
      <c r="AF1294" s="120"/>
      <c r="AG1294" s="94"/>
      <c r="AH1294" s="120"/>
      <c r="AI1294" s="94"/>
      <c r="AJ1294" s="94" t="s">
        <v>344</v>
      </c>
      <c r="AK1294" s="94" t="s">
        <v>327</v>
      </c>
      <c r="AL1294" s="94">
        <v>120</v>
      </c>
      <c r="AM1294" s="94" t="str">
        <f>TRIM(AJ1294)&amp;TRIM(AL1294)&amp;TRIM(AK1294)</f>
      </c>
      <c r="AN1294" s="116">
        <v>32</v>
      </c>
      <c r="AO1294" s="116">
        <v>-2</v>
      </c>
      <c r="AP1294" s="116">
        <f>SUMIFS(M:M,AM:AM,AM1294)+SUMIFS(O:O,AM:AM,AM1294)</f>
      </c>
      <c r="AQ1294" s="116">
        <f>SUMIFS(L:L,AM:AM,AM1294)</f>
      </c>
      <c r="AR1294" s="116">
        <f>AQ1294-AP1294</f>
      </c>
      <c r="AS1294" s="94" t="str">
        <f>IF(AN1294&gt;=AQ1294,"ok","ck")</f>
      </c>
      <c r="AT1294" s="116">
        <f>-P1294</f>
      </c>
      <c r="AU1294" s="115">
        <f>IF(SUMIFS(AT:AT,AM:AM,AM1294)&gt;AO1294,(SUMIFS(AT:AT,AM:AM,AM1294)-AO1294))</f>
      </c>
      <c r="AV1294" s="116">
        <v>32</v>
      </c>
      <c r="AW1294" s="121">
        <v>1.067</v>
      </c>
      <c r="AX1294" s="115">
        <f>AN1294-AP1294</f>
      </c>
    </row>
    <row r="1295" spans="1:50" ht="15" hidden="1" customHeight="1" x14ac:dyDescent="0.3">
      <c r="A1295" s="94" t="s">
        <v>268</v>
      </c>
      <c r="B1295" s="94"/>
      <c r="C1295" s="94"/>
      <c r="D1295" s="94"/>
      <c r="E1295" s="94"/>
      <c r="F1295" s="94"/>
      <c r="G1295" s="112">
        <f>AU1295</f>
      </c>
      <c r="H1295" s="113"/>
      <c r="I1295" s="94" t="s">
        <v>390</v>
      </c>
      <c r="J1295" s="94" t="s">
        <v>550</v>
      </c>
      <c r="K1295" s="114">
        <f>P1295/3</f>
      </c>
      <c r="L1295" s="115">
        <v>0</v>
      </c>
      <c r="M1295" s="116"/>
      <c r="N1295" s="117">
        <f>M1295-L1295</f>
      </c>
      <c r="O1295" s="112"/>
      <c r="P1295" s="118">
        <f>N1295+O1295</f>
      </c>
      <c r="Q1295" s="94" t="s">
        <v>807</v>
      </c>
      <c r="R1295" s="94" t="s">
        <v>63</v>
      </c>
      <c r="S1295" s="119">
        <v>46343</v>
      </c>
      <c r="T1295" s="119"/>
      <c r="U1295" s="120">
        <v>46343</v>
      </c>
      <c r="V1295" s="94"/>
      <c r="W1295" s="94"/>
      <c r="X1295" s="94"/>
      <c r="Y1295" s="119">
        <v>46343</v>
      </c>
      <c r="Z1295" s="94"/>
      <c r="AA1295" s="120"/>
      <c r="AB1295" s="120"/>
      <c r="AC1295" s="120"/>
      <c r="AD1295" s="120"/>
      <c r="AE1295" s="120"/>
      <c r="AF1295" s="120"/>
      <c r="AG1295" s="94"/>
      <c r="AH1295" s="120"/>
      <c r="AI1295" s="94"/>
      <c r="AJ1295" s="94" t="s">
        <v>807</v>
      </c>
      <c r="AK1295" s="94" t="s">
        <v>725</v>
      </c>
      <c r="AL1295" s="94">
        <v>140</v>
      </c>
      <c r="AM1295" s="94" t="str">
        <f>TRIM(AJ1295)&amp;TRIM(AL1295)&amp;TRIM(AK1295)</f>
      </c>
      <c r="AN1295" s="116">
        <v>0</v>
      </c>
      <c r="AO1295" s="116" t="inlineStr">
        <is>
          <t>#NA</t>
        </is>
      </c>
      <c r="AP1295" s="116">
        <f>SUMIFS(M:M,AM:AM,AM1295)+SUMIFS(O:O,AM:AM,AM1295)</f>
      </c>
      <c r="AQ1295" s="116">
        <f>SUMIFS(L:L,AM:AM,AM1295)</f>
      </c>
      <c r="AR1295" s="116">
        <f>AQ1295-AP1295</f>
      </c>
      <c r="AS1295" s="94" t="str">
        <f>IF(AN1295&gt;=AQ1295,"ok","ck")</f>
      </c>
      <c r="AT1295" s="116">
        <f>-P1295</f>
      </c>
      <c r="AU1295" s="115">
        <f>IF(SUMIFS(AT:AT,AM:AM,AM1295)&gt;AO1295,(SUMIFS(AT:AT,AM:AM,AM1295)-AO1295))</f>
      </c>
      <c r="AV1295" s="116">
        <v>0</v>
      </c>
      <c r="AW1295" s="121">
        <v>0</v>
      </c>
      <c r="AX1295" s="115">
        <f>AN1295-AP1295</f>
      </c>
    </row>
    <row r="1296" spans="1:50" ht="15" hidden="1" customHeight="1" x14ac:dyDescent="0.3">
      <c r="A1296" s="94" t="s">
        <v>288</v>
      </c>
      <c r="B1296" s="94"/>
      <c r="C1296" s="94"/>
      <c r="D1296" s="94"/>
      <c r="E1296" s="94"/>
      <c r="F1296" s="94"/>
      <c r="G1296" s="112">
        <f>AU1296</f>
      </c>
      <c r="H1296" s="113"/>
      <c r="I1296" s="94" t="s">
        <v>297</v>
      </c>
      <c r="J1296" s="94" t="s">
        <v>358</v>
      </c>
      <c r="K1296" s="114">
        <f>P1296/3</f>
      </c>
      <c r="L1296" s="115">
        <v>0</v>
      </c>
      <c r="M1296" s="116">
        <f>L1296</f>
      </c>
      <c r="N1296" s="117">
        <f>M1296-L1296</f>
      </c>
      <c r="O1296" s="112"/>
      <c r="P1296" s="118">
        <f>N1296+O1296</f>
      </c>
      <c r="Q1296" s="94" t="s">
        <v>299</v>
      </c>
      <c r="R1296" s="94" t="s">
        <v>63</v>
      </c>
      <c r="S1296" s="119">
        <v>46322</v>
      </c>
      <c r="T1296" s="119"/>
      <c r="U1296" s="120">
        <v>46322</v>
      </c>
      <c r="V1296" s="94"/>
      <c r="W1296" s="94"/>
      <c r="X1296" s="94"/>
      <c r="Y1296" s="119">
        <v>46322</v>
      </c>
      <c r="Z1296" s="94"/>
      <c r="AA1296" s="120"/>
      <c r="AB1296" s="120"/>
      <c r="AC1296" s="120"/>
      <c r="AD1296" s="120"/>
      <c r="AE1296" s="120"/>
      <c r="AF1296" s="120"/>
      <c r="AG1296" s="94"/>
      <c r="AH1296" s="120"/>
      <c r="AI1296" s="94"/>
      <c r="AJ1296" s="94" t="s">
        <v>478</v>
      </c>
      <c r="AK1296" s="94" t="s">
        <v>359</v>
      </c>
      <c r="AL1296" s="94">
        <v>190</v>
      </c>
      <c r="AM1296" s="94" t="str">
        <f>TRIM(AJ1296)&amp;TRIM(AL1296)&amp;TRIM(AK1296)</f>
      </c>
      <c r="AN1296" s="116">
        <v>1575.84</v>
      </c>
      <c r="AO1296" s="116">
        <v>-34.44</v>
      </c>
      <c r="AP1296" s="116">
        <f>SUMIFS(M:M,AM:AM,AM1296)+SUMIFS(O:O,AM:AM,AM1296)</f>
      </c>
      <c r="AQ1296" s="116">
        <f>SUMIFS(L:L,AM:AM,AM1296)</f>
      </c>
      <c r="AR1296" s="116">
        <f>AQ1296-AP1296</f>
      </c>
      <c r="AS1296" s="94" t="str">
        <f>IF(AN1296&gt;=AQ1296,"ok","ck")</f>
      </c>
      <c r="AT1296" s="116">
        <f>-P1296</f>
      </c>
      <c r="AU1296" s="115">
        <f>IF(SUMIFS(AT:AT,AM:AM,AM1296)&gt;AO1296,(SUMIFS(AT:AT,AM:AM,AM1296)-AO1296))</f>
      </c>
      <c r="AV1296" s="116">
        <v>1575.84</v>
      </c>
      <c r="AW1296" s="121">
        <v>1.022</v>
      </c>
      <c r="AX1296" s="115">
        <f>AN1296-AP1296</f>
      </c>
    </row>
    <row r="1297" spans="1:50" ht="15" hidden="1" customHeight="1" x14ac:dyDescent="0.3">
      <c r="A1297" s="94" t="s">
        <v>288</v>
      </c>
      <c r="B1297" s="94"/>
      <c r="C1297" s="94"/>
      <c r="D1297" s="94"/>
      <c r="E1297" s="94"/>
      <c r="F1297" s="94"/>
      <c r="G1297" s="112">
        <f>AU1297</f>
      </c>
      <c r="H1297" s="113"/>
      <c r="I1297" s="94" t="s">
        <v>297</v>
      </c>
      <c r="J1297" s="94" t="s">
        <v>358</v>
      </c>
      <c r="K1297" s="114">
        <f>P1297/3</f>
      </c>
      <c r="L1297" s="115">
        <v>0</v>
      </c>
      <c r="M1297" s="116">
        <f>L1297</f>
      </c>
      <c r="N1297" s="117">
        <f>M1297-L1297</f>
      </c>
      <c r="O1297" s="112"/>
      <c r="P1297" s="118">
        <f>N1297+O1297</f>
      </c>
      <c r="Q1297" s="94" t="s">
        <v>299</v>
      </c>
      <c r="R1297" s="94" t="s">
        <v>63</v>
      </c>
      <c r="S1297" s="119">
        <v>46338</v>
      </c>
      <c r="T1297" s="119"/>
      <c r="U1297" s="120">
        <v>46338</v>
      </c>
      <c r="V1297" s="94"/>
      <c r="W1297" s="94"/>
      <c r="X1297" s="94"/>
      <c r="Y1297" s="119">
        <v>46338</v>
      </c>
      <c r="Z1297" s="94"/>
      <c r="AA1297" s="120"/>
      <c r="AB1297" s="120"/>
      <c r="AC1297" s="120"/>
      <c r="AD1297" s="120"/>
      <c r="AE1297" s="120"/>
      <c r="AF1297" s="120"/>
      <c r="AG1297" s="94"/>
      <c r="AH1297" s="120"/>
      <c r="AI1297" s="94"/>
      <c r="AJ1297" s="94" t="s">
        <v>478</v>
      </c>
      <c r="AK1297" s="94" t="s">
        <v>359</v>
      </c>
      <c r="AL1297" s="94">
        <v>190</v>
      </c>
      <c r="AM1297" s="94" t="str">
        <f>TRIM(AJ1297)&amp;TRIM(AL1297)&amp;TRIM(AK1297)</f>
      </c>
      <c r="AN1297" s="116">
        <v>1575.84</v>
      </c>
      <c r="AO1297" s="116">
        <v>-34.44</v>
      </c>
      <c r="AP1297" s="116">
        <f>SUMIFS(M:M,AM:AM,AM1297)+SUMIFS(O:O,AM:AM,AM1297)</f>
      </c>
      <c r="AQ1297" s="116">
        <f>SUMIFS(L:L,AM:AM,AM1297)</f>
      </c>
      <c r="AR1297" s="116">
        <f>AQ1297-AP1297</f>
      </c>
      <c r="AS1297" s="94" t="str">
        <f>IF(AN1297&gt;=AQ1297,"ok","ck")</f>
      </c>
      <c r="AT1297" s="116">
        <f>-P1297</f>
      </c>
      <c r="AU1297" s="115">
        <f>IF(SUMIFS(AT:AT,AM:AM,AM1297)&gt;AO1297,(SUMIFS(AT:AT,AM:AM,AM1297)-AO1297))</f>
      </c>
      <c r="AV1297" s="116">
        <v>1575.84</v>
      </c>
      <c r="AW1297" s="121">
        <v>1.022</v>
      </c>
      <c r="AX1297" s="115">
        <f>AN1297-AP1297</f>
      </c>
    </row>
    <row r="1298" spans="1:50" ht="15" hidden="1" customHeight="1" x14ac:dyDescent="0.3">
      <c r="A1298" s="94" t="s">
        <v>268</v>
      </c>
      <c r="B1298" s="94"/>
      <c r="C1298" s="94"/>
      <c r="D1298" s="94"/>
      <c r="E1298" s="94"/>
      <c r="F1298" s="94"/>
      <c r="G1298" s="112">
        <f>AU1298</f>
      </c>
      <c r="H1298" s="113"/>
      <c r="I1298" s="94" t="s">
        <v>390</v>
      </c>
      <c r="J1298" s="94" t="s">
        <v>503</v>
      </c>
      <c r="K1298" s="114">
        <f>P1298/3</f>
      </c>
      <c r="L1298" s="115">
        <v>0</v>
      </c>
      <c r="M1298" s="116"/>
      <c r="N1298" s="117">
        <f>M1298-L1298</f>
      </c>
      <c r="O1298" s="112"/>
      <c r="P1298" s="118">
        <f>N1298+O1298</f>
      </c>
      <c r="Q1298" s="94" t="s">
        <v>807</v>
      </c>
      <c r="R1298" s="94" t="s">
        <v>63</v>
      </c>
      <c r="S1298" s="119">
        <v>46343</v>
      </c>
      <c r="T1298" s="119"/>
      <c r="U1298" s="120">
        <v>46343</v>
      </c>
      <c r="V1298" s="94"/>
      <c r="W1298" s="94"/>
      <c r="X1298" s="94"/>
      <c r="Y1298" s="119">
        <v>46343</v>
      </c>
      <c r="Z1298" s="94"/>
      <c r="AA1298" s="120"/>
      <c r="AB1298" s="120"/>
      <c r="AC1298" s="120"/>
      <c r="AD1298" s="120"/>
      <c r="AE1298" s="120"/>
      <c r="AF1298" s="120"/>
      <c r="AG1298" s="94"/>
      <c r="AH1298" s="120"/>
      <c r="AI1298" s="94"/>
      <c r="AJ1298" s="94" t="s">
        <v>807</v>
      </c>
      <c r="AK1298" s="94" t="s">
        <v>697</v>
      </c>
      <c r="AL1298" s="94">
        <v>140</v>
      </c>
      <c r="AM1298" s="94" t="str">
        <f>TRIM(AJ1298)&amp;TRIM(AL1298)&amp;TRIM(AK1298)</f>
      </c>
      <c r="AN1298" s="116">
        <v>0</v>
      </c>
      <c r="AO1298" s="116" t="inlineStr">
        <is>
          <t>#NA</t>
        </is>
      </c>
      <c r="AP1298" s="116">
        <f>SUMIFS(M:M,AM:AM,AM1298)+SUMIFS(O:O,AM:AM,AM1298)</f>
      </c>
      <c r="AQ1298" s="116">
        <f>SUMIFS(L:L,AM:AM,AM1298)</f>
      </c>
      <c r="AR1298" s="116">
        <f>AQ1298-AP1298</f>
      </c>
      <c r="AS1298" s="94" t="str">
        <f>IF(AN1298&gt;=AQ1298,"ok","ck")</f>
      </c>
      <c r="AT1298" s="116">
        <f>-P1298</f>
      </c>
      <c r="AU1298" s="115">
        <f>IF(SUMIFS(AT:AT,AM:AM,AM1298)&gt;AO1298,(SUMIFS(AT:AT,AM:AM,AM1298)-AO1298))</f>
      </c>
      <c r="AV1298" s="116">
        <v>0</v>
      </c>
      <c r="AW1298" s="121">
        <v>0</v>
      </c>
      <c r="AX1298" s="115">
        <f>AN1298-AP1298</f>
      </c>
    </row>
    <row r="1299" spans="1:50" ht="15" hidden="1" customHeight="1" x14ac:dyDescent="0.3">
      <c r="A1299" s="94" t="s">
        <v>268</v>
      </c>
      <c r="B1299" s="94"/>
      <c r="C1299" s="94"/>
      <c r="D1299" s="94"/>
      <c r="E1299" s="94"/>
      <c r="F1299" s="94"/>
      <c r="G1299" s="112">
        <f>AU1299</f>
      </c>
      <c r="H1299" s="113"/>
      <c r="I1299" s="94" t="s">
        <v>278</v>
      </c>
      <c r="J1299" s="94" t="s">
        <v>341</v>
      </c>
      <c r="K1299" s="114">
        <f>P1299/3</f>
      </c>
      <c r="L1299" s="115">
        <v>11.253</v>
      </c>
      <c r="M1299" s="116">
        <f>L1299</f>
      </c>
      <c r="N1299" s="117">
        <f>M1299-L1299</f>
      </c>
      <c r="O1299" s="112"/>
      <c r="P1299" s="118">
        <f>N1299+O1299</f>
      </c>
      <c r="Q1299" s="94" t="s">
        <v>803</v>
      </c>
      <c r="R1299" s="94" t="s">
        <v>63</v>
      </c>
      <c r="S1299" s="119">
        <v>46334</v>
      </c>
      <c r="T1299" s="119"/>
      <c r="U1299" s="120">
        <v>46334</v>
      </c>
      <c r="V1299" s="94"/>
      <c r="W1299" s="94"/>
      <c r="X1299" s="94"/>
      <c r="Y1299" s="119">
        <v>46334</v>
      </c>
      <c r="Z1299" s="94"/>
      <c r="AA1299" s="120"/>
      <c r="AB1299" s="120"/>
      <c r="AC1299" s="120"/>
      <c r="AD1299" s="120"/>
      <c r="AE1299" s="120"/>
      <c r="AF1299" s="120"/>
      <c r="AG1299" s="94"/>
      <c r="AH1299" s="120"/>
      <c r="AI1299" s="94"/>
      <c r="AJ1299" s="94" t="s">
        <v>803</v>
      </c>
      <c r="AK1299" s="94" t="s">
        <v>704</v>
      </c>
      <c r="AL1299" s="94">
        <v>120</v>
      </c>
      <c r="AM1299" s="94" t="str">
        <f>TRIM(AJ1299)&amp;TRIM(AL1299)&amp;TRIM(AK1299)</f>
      </c>
      <c r="AN1299" s="116">
        <v>19.13</v>
      </c>
      <c r="AO1299" s="116">
        <v>-5.13</v>
      </c>
      <c r="AP1299" s="116">
        <f>SUMIFS(M:M,AM:AM,AM1299)+SUMIFS(O:O,AM:AM,AM1299)</f>
      </c>
      <c r="AQ1299" s="116">
        <f>SUMIFS(L:L,AM:AM,AM1299)</f>
      </c>
      <c r="AR1299" s="116">
        <f>AQ1299-AP1299</f>
      </c>
      <c r="AS1299" s="94" t="str">
        <f>IF(AN1299&gt;=AQ1299,"ok","ck")</f>
      </c>
      <c r="AT1299" s="116">
        <f>-P1299</f>
      </c>
      <c r="AU1299" s="115">
        <f>IF(SUMIFS(AT:AT,AM:AM,AM1299)&gt;AO1299,(SUMIFS(AT:AT,AM:AM,AM1299)-AO1299))</f>
      </c>
      <c r="AV1299" s="116">
        <v>19.13</v>
      </c>
      <c r="AW1299" s="121">
        <v>1.366</v>
      </c>
      <c r="AX1299" s="115">
        <f>AN1299-AP1299</f>
      </c>
    </row>
    <row r="1300" spans="1:50" ht="15" hidden="1" customHeight="1" x14ac:dyDescent="0.3">
      <c r="A1300" s="94" t="s">
        <v>268</v>
      </c>
      <c r="B1300" s="94"/>
      <c r="C1300" s="94"/>
      <c r="D1300" s="94"/>
      <c r="E1300" s="94"/>
      <c r="F1300" s="94"/>
      <c r="G1300" s="112">
        <f>AU1300</f>
      </c>
      <c r="H1300" s="113"/>
      <c r="I1300" s="94" t="s">
        <v>278</v>
      </c>
      <c r="J1300" s="94" t="s">
        <v>279</v>
      </c>
      <c r="K1300" s="114">
        <f>P1300/3</f>
      </c>
      <c r="L1300" s="115">
        <v>24.238</v>
      </c>
      <c r="M1300" s="116"/>
      <c r="N1300" s="117">
        <f>M1300-L1300</f>
      </c>
      <c r="O1300" s="112"/>
      <c r="P1300" s="118">
        <f>N1300+O1300</f>
      </c>
      <c r="Q1300" s="94" t="s">
        <v>793</v>
      </c>
      <c r="R1300" s="94" t="s">
        <v>63</v>
      </c>
      <c r="S1300" s="119">
        <v>46336</v>
      </c>
      <c r="T1300" s="119"/>
      <c r="U1300" s="120">
        <v>46336</v>
      </c>
      <c r="V1300" s="94"/>
      <c r="W1300" s="94"/>
      <c r="X1300" s="94"/>
      <c r="Y1300" s="119">
        <v>46320</v>
      </c>
      <c r="Z1300" s="94"/>
      <c r="AA1300" s="120"/>
      <c r="AB1300" s="120"/>
      <c r="AC1300" s="120"/>
      <c r="AD1300" s="120"/>
      <c r="AE1300" s="120"/>
      <c r="AF1300" s="120"/>
      <c r="AG1300" s="94"/>
      <c r="AH1300" s="120"/>
      <c r="AI1300" s="94"/>
      <c r="AJ1300" s="94" t="s">
        <v>793</v>
      </c>
      <c r="AK1300" s="94" t="s">
        <v>280</v>
      </c>
      <c r="AL1300" s="94">
        <v>120</v>
      </c>
      <c r="AM1300" s="94" t="str">
        <f>TRIM(AJ1300)&amp;TRIM(AL1300)&amp;TRIM(AK1300)</f>
      </c>
      <c r="AN1300" s="116">
        <v>0</v>
      </c>
      <c r="AO1300" s="116" t="inlineStr">
        <is>
          <t>#NA</t>
        </is>
      </c>
      <c r="AP1300" s="116">
        <f>SUMIFS(M:M,AM:AM,AM1300)+SUMIFS(O:O,AM:AM,AM1300)</f>
      </c>
      <c r="AQ1300" s="116">
        <f>SUMIFS(L:L,AM:AM,AM1300)</f>
      </c>
      <c r="AR1300" s="116">
        <f>AQ1300-AP1300</f>
      </c>
      <c r="AS1300" s="94" t="str">
        <f>IF(AN1300&gt;=AQ1300,"ok","ck")</f>
      </c>
      <c r="AT1300" s="116">
        <f>-P1300</f>
      </c>
      <c r="AU1300" s="115">
        <f>IF(SUMIFS(AT:AT,AM:AM,AM1300)&gt;AO1300,(SUMIFS(AT:AT,AM:AM,AM1300)-AO1300))</f>
      </c>
      <c r="AV1300" s="116">
        <v>0</v>
      </c>
      <c r="AW1300" s="121">
        <v>0</v>
      </c>
      <c r="AX1300" s="115">
        <f>AN1300-AP1300</f>
      </c>
    </row>
    <row r="1301" spans="1:50" ht="15" hidden="1" customHeight="1" x14ac:dyDescent="0.3">
      <c r="A1301" s="94" t="s">
        <v>268</v>
      </c>
      <c r="B1301" s="94"/>
      <c r="C1301" s="94"/>
      <c r="D1301" s="94"/>
      <c r="E1301" s="94"/>
      <c r="F1301" s="94"/>
      <c r="G1301" s="112">
        <f>AU1301</f>
      </c>
      <c r="H1301" s="113"/>
      <c r="I1301" s="94" t="s">
        <v>278</v>
      </c>
      <c r="J1301" s="94" t="s">
        <v>535</v>
      </c>
      <c r="K1301" s="114">
        <f>P1301/3</f>
      </c>
      <c r="L1301" s="115">
        <v>11.592000000000001</v>
      </c>
      <c r="M1301" s="116"/>
      <c r="N1301" s="117">
        <f>M1301-L1301</f>
      </c>
      <c r="O1301" s="112"/>
      <c r="P1301" s="118">
        <f>N1301+O1301</f>
      </c>
      <c r="Q1301" s="94" t="s">
        <v>805</v>
      </c>
      <c r="R1301" s="94" t="s">
        <v>63</v>
      </c>
      <c r="S1301" s="120">
        <v>46345</v>
      </c>
      <c r="T1301" s="120"/>
      <c r="U1301" s="120">
        <v>46345</v>
      </c>
      <c r="V1301" s="94"/>
      <c r="W1301" s="94"/>
      <c r="X1301" s="94"/>
      <c r="Y1301" s="119">
        <v>46345</v>
      </c>
      <c r="Z1301" s="94"/>
      <c r="AA1301" s="120"/>
      <c r="AB1301" s="120"/>
      <c r="AC1301" s="120"/>
      <c r="AD1301" s="120"/>
      <c r="AE1301" s="120"/>
      <c r="AF1301" s="120"/>
      <c r="AG1301" s="94"/>
      <c r="AH1301" s="120"/>
      <c r="AI1301" s="94"/>
      <c r="AJ1301" s="94" t="s">
        <v>805</v>
      </c>
      <c r="AK1301" s="94" t="s">
        <v>719</v>
      </c>
      <c r="AL1301" s="94">
        <v>120</v>
      </c>
      <c r="AM1301" s="94" t="str">
        <f>TRIM(AJ1301)&amp;TRIM(AL1301)&amp;TRIM(AK1301)</f>
      </c>
      <c r="AN1301" s="116">
        <v>0</v>
      </c>
      <c r="AO1301" s="116" t="inlineStr">
        <is>
          <t>#NA</t>
        </is>
      </c>
      <c r="AP1301" s="116">
        <f>SUMIFS(M:M,AM:AM,AM1301)+SUMIFS(O:O,AM:AM,AM1301)</f>
      </c>
      <c r="AQ1301" s="116">
        <f>SUMIFS(L:L,AM:AM,AM1301)</f>
      </c>
      <c r="AR1301" s="116">
        <f>AQ1301-AP1301</f>
      </c>
      <c r="AS1301" s="94" t="str">
        <f>IF(AN1301&gt;=AQ1301,"ok","ck")</f>
      </c>
      <c r="AT1301" s="116">
        <f>-P1301</f>
      </c>
      <c r="AU1301" s="115">
        <f>IF(SUMIFS(AT:AT,AM:AM,AM1301)&gt;AO1301,(SUMIFS(AT:AT,AM:AM,AM1301)-AO1301))</f>
      </c>
      <c r="AV1301" s="116">
        <v>0</v>
      </c>
      <c r="AW1301" s="121">
        <v>0</v>
      </c>
      <c r="AX1301" s="115">
        <f>AN1301-AP1301</f>
      </c>
    </row>
    <row r="1302" spans="1:50" ht="15" hidden="1" customHeight="1" x14ac:dyDescent="0.3">
      <c r="A1302" s="94" t="s">
        <v>268</v>
      </c>
      <c r="B1302" s="94"/>
      <c r="C1302" s="94"/>
      <c r="D1302" s="94"/>
      <c r="E1302" s="94"/>
      <c r="F1302" s="94"/>
      <c r="G1302" s="112">
        <f>AU1302</f>
      </c>
      <c r="H1302" s="113"/>
      <c r="I1302" s="94" t="s">
        <v>488</v>
      </c>
      <c r="J1302" s="94" t="s">
        <v>573</v>
      </c>
      <c r="K1302" s="114">
        <f>P1302/3</f>
      </c>
      <c r="L1302" s="115">
        <v>94.997</v>
      </c>
      <c r="M1302" s="116"/>
      <c r="N1302" s="117">
        <f>M1302-L1302</f>
      </c>
      <c r="O1302" s="112"/>
      <c r="P1302" s="118">
        <f>N1302+O1302</f>
      </c>
      <c r="Q1302" s="94" t="s">
        <v>803</v>
      </c>
      <c r="R1302" s="94" t="s">
        <v>63</v>
      </c>
      <c r="S1302" s="120">
        <v>46334</v>
      </c>
      <c r="T1302" s="120"/>
      <c r="U1302" s="120">
        <v>46334</v>
      </c>
      <c r="V1302" s="94"/>
      <c r="W1302" s="94"/>
      <c r="X1302" s="94"/>
      <c r="Y1302" s="119">
        <v>46334</v>
      </c>
      <c r="Z1302" s="94"/>
      <c r="AA1302" s="120"/>
      <c r="AB1302" s="120"/>
      <c r="AC1302" s="120"/>
      <c r="AD1302" s="120"/>
      <c r="AE1302" s="120"/>
      <c r="AF1302" s="120"/>
      <c r="AG1302" s="94"/>
      <c r="AH1302" s="120"/>
      <c r="AI1302" s="94"/>
      <c r="AJ1302" s="94" t="s">
        <v>803</v>
      </c>
      <c r="AK1302" s="94" t="s">
        <v>573</v>
      </c>
      <c r="AL1302" s="94">
        <v>140</v>
      </c>
      <c r="AM1302" s="94" t="str">
        <f>TRIM(AJ1302)&amp;TRIM(AL1302)&amp;TRIM(AK1302)</f>
      </c>
      <c r="AN1302" s="116">
        <v>0</v>
      </c>
      <c r="AO1302" s="116" t="inlineStr">
        <is>
          <t>#NA</t>
        </is>
      </c>
      <c r="AP1302" s="116">
        <f>SUMIFS(M:M,AM:AM,AM1302)+SUMIFS(O:O,AM:AM,AM1302)</f>
      </c>
      <c r="AQ1302" s="116">
        <f>SUMIFS(L:L,AM:AM,AM1302)</f>
      </c>
      <c r="AR1302" s="116">
        <f>AQ1302-AP1302</f>
      </c>
      <c r="AS1302" s="94" t="str">
        <f>IF(AN1302&gt;=AQ1302,"ok","ck")</f>
      </c>
      <c r="AT1302" s="116">
        <f>-P1302</f>
      </c>
      <c r="AU1302" s="115">
        <f>IF(SUMIFS(AT:AT,AM:AM,AM1302)&gt;AO1302,(SUMIFS(AT:AT,AM:AM,AM1302)-AO1302))</f>
      </c>
      <c r="AV1302" s="116">
        <v>0</v>
      </c>
      <c r="AW1302" s="121">
        <v>0</v>
      </c>
      <c r="AX1302" s="115">
        <f>AN1302-AP1302</f>
      </c>
    </row>
    <row r="1303" spans="1:50" ht="15" hidden="1" customHeight="1" x14ac:dyDescent="0.3">
      <c r="A1303" s="94" t="s">
        <v>268</v>
      </c>
      <c r="B1303" s="94"/>
      <c r="C1303" s="94"/>
      <c r="D1303" s="94"/>
      <c r="E1303" s="94"/>
      <c r="F1303" s="94"/>
      <c r="G1303" s="112">
        <f>AU1303</f>
      </c>
      <c r="H1303" s="113"/>
      <c r="I1303" s="94" t="s">
        <v>488</v>
      </c>
      <c r="J1303" s="94" t="s">
        <v>573</v>
      </c>
      <c r="K1303" s="114">
        <f>P1303/3</f>
      </c>
      <c r="L1303" s="115">
        <v>3.0000000000000001E-3</v>
      </c>
      <c r="M1303" s="116"/>
      <c r="N1303" s="117">
        <f>M1303-L1303</f>
      </c>
      <c r="O1303" s="112"/>
      <c r="P1303" s="118">
        <f>N1303+O1303</f>
      </c>
      <c r="Q1303" s="94" t="s">
        <v>803</v>
      </c>
      <c r="R1303" s="94" t="s">
        <v>63</v>
      </c>
      <c r="S1303" s="120">
        <v>46334</v>
      </c>
      <c r="T1303" s="120"/>
      <c r="U1303" s="120">
        <v>46334</v>
      </c>
      <c r="V1303" s="94"/>
      <c r="W1303" s="94"/>
      <c r="X1303" s="94"/>
      <c r="Y1303" s="119">
        <v>46334</v>
      </c>
      <c r="Z1303" s="94"/>
      <c r="AA1303" s="120"/>
      <c r="AB1303" s="120"/>
      <c r="AC1303" s="120"/>
      <c r="AD1303" s="120"/>
      <c r="AE1303" s="120"/>
      <c r="AF1303" s="120"/>
      <c r="AG1303" s="94"/>
      <c r="AH1303" s="120"/>
      <c r="AI1303" s="94"/>
      <c r="AJ1303" s="94" t="s">
        <v>803</v>
      </c>
      <c r="AK1303" s="94" t="s">
        <v>573</v>
      </c>
      <c r="AL1303" s="94">
        <v>140</v>
      </c>
      <c r="AM1303" s="94" t="str">
        <f>TRIM(AJ1303)&amp;TRIM(AL1303)&amp;TRIM(AK1303)</f>
      </c>
      <c r="AN1303" s="116">
        <v>0</v>
      </c>
      <c r="AO1303" s="116" t="inlineStr">
        <is>
          <t>#NA</t>
        </is>
      </c>
      <c r="AP1303" s="116">
        <f>SUMIFS(M:M,AM:AM,AM1303)+SUMIFS(O:O,AM:AM,AM1303)</f>
      </c>
      <c r="AQ1303" s="116">
        <f>SUMIFS(L:L,AM:AM,AM1303)</f>
      </c>
      <c r="AR1303" s="116">
        <f>AQ1303-AP1303</f>
      </c>
      <c r="AS1303" s="94" t="str">
        <f>IF(AN1303&gt;=AQ1303,"ok","ck")</f>
      </c>
      <c r="AT1303" s="116">
        <f>-P1303</f>
      </c>
      <c r="AU1303" s="115">
        <f>IF(SUMIFS(AT:AT,AM:AM,AM1303)&gt;AO1303,(SUMIFS(AT:AT,AM:AM,AM1303)-AO1303))</f>
      </c>
      <c r="AV1303" s="116">
        <v>0</v>
      </c>
      <c r="AW1303" s="121">
        <v>0</v>
      </c>
      <c r="AX1303" s="115">
        <f>AN1303-AP1303</f>
      </c>
    </row>
    <row r="1304" spans="1:50" ht="15" hidden="1" customHeight="1" x14ac:dyDescent="0.3">
      <c r="A1304" s="94" t="s">
        <v>268</v>
      </c>
      <c r="B1304" s="94"/>
      <c r="C1304" s="94"/>
      <c r="D1304" s="94"/>
      <c r="E1304" s="94"/>
      <c r="F1304" s="94"/>
      <c r="G1304" s="112">
        <f>AU1304</f>
      </c>
      <c r="H1304" s="113"/>
      <c r="I1304" s="94" t="s">
        <v>278</v>
      </c>
      <c r="J1304" s="94" t="s">
        <v>355</v>
      </c>
      <c r="K1304" s="114">
        <f>P1304/3</f>
      </c>
      <c r="L1304" s="115">
        <v>0.154</v>
      </c>
      <c r="M1304" s="116"/>
      <c r="N1304" s="117">
        <f>M1304-L1304</f>
      </c>
      <c r="O1304" s="112"/>
      <c r="P1304" s="118">
        <f>N1304+O1304</f>
      </c>
      <c r="Q1304" s="94" t="s">
        <v>778</v>
      </c>
      <c r="R1304" s="94" t="s">
        <v>63</v>
      </c>
      <c r="S1304" s="120">
        <v>46345</v>
      </c>
      <c r="T1304" s="120"/>
      <c r="U1304" s="120">
        <v>46345</v>
      </c>
      <c r="V1304" s="94"/>
      <c r="W1304" s="94"/>
      <c r="X1304" s="94"/>
      <c r="Y1304" s="119">
        <v>46345</v>
      </c>
      <c r="Z1304" s="94"/>
      <c r="AA1304" s="120"/>
      <c r="AB1304" s="120"/>
      <c r="AC1304" s="120"/>
      <c r="AD1304" s="120"/>
      <c r="AE1304" s="120"/>
      <c r="AF1304" s="120"/>
      <c r="AG1304" s="94"/>
      <c r="AH1304" s="120"/>
      <c r="AI1304" s="94"/>
      <c r="AJ1304" s="94" t="s">
        <v>778</v>
      </c>
      <c r="AK1304" s="94" t="s">
        <v>356</v>
      </c>
      <c r="AL1304" s="94">
        <v>120</v>
      </c>
      <c r="AM1304" s="94" t="str">
        <f>TRIM(AJ1304)&amp;TRIM(AL1304)&amp;TRIM(AK1304)</f>
      </c>
      <c r="AN1304" s="116">
        <v>0</v>
      </c>
      <c r="AO1304" s="116" t="inlineStr">
        <is>
          <t>#NA</t>
        </is>
      </c>
      <c r="AP1304" s="116">
        <f>SUMIFS(M:M,AM:AM,AM1304)+SUMIFS(O:O,AM:AM,AM1304)</f>
      </c>
      <c r="AQ1304" s="116">
        <f>SUMIFS(L:L,AM:AM,AM1304)</f>
      </c>
      <c r="AR1304" s="116">
        <f>AQ1304-AP1304</f>
      </c>
      <c r="AS1304" s="94" t="str">
        <f>IF(AN1304&gt;=AQ1304,"ok","ck")</f>
      </c>
      <c r="AT1304" s="116">
        <f>-P1304</f>
      </c>
      <c r="AU1304" s="115">
        <f>IF(SUMIFS(AT:AT,AM:AM,AM1304)&gt;AO1304,(SUMIFS(AT:AT,AM:AM,AM1304)-AO1304))</f>
      </c>
      <c r="AV1304" s="116">
        <v>0</v>
      </c>
      <c r="AW1304" s="121">
        <v>0</v>
      </c>
      <c r="AX1304" s="115">
        <f>AN1304-AP1304</f>
      </c>
    </row>
    <row r="1305" spans="1:50" ht="15" hidden="1" customHeight="1" x14ac:dyDescent="0.3">
      <c r="A1305" s="94" t="s">
        <v>268</v>
      </c>
      <c r="B1305" s="94"/>
      <c r="C1305" s="94"/>
      <c r="D1305" s="94"/>
      <c r="E1305" s="94"/>
      <c r="F1305" s="94"/>
      <c r="G1305" s="112">
        <f>AU1305</f>
      </c>
      <c r="H1305" s="113"/>
      <c r="I1305" s="94" t="s">
        <v>278</v>
      </c>
      <c r="J1305" s="94" t="s">
        <v>355</v>
      </c>
      <c r="K1305" s="114">
        <f>P1305/3</f>
      </c>
      <c r="L1305" s="115">
        <v>34.44</v>
      </c>
      <c r="M1305" s="116"/>
      <c r="N1305" s="117">
        <f>M1305-L1305</f>
      </c>
      <c r="O1305" s="112"/>
      <c r="P1305" s="118">
        <f>N1305+O1305</f>
      </c>
      <c r="Q1305" s="94" t="s">
        <v>778</v>
      </c>
      <c r="R1305" s="94" t="s">
        <v>63</v>
      </c>
      <c r="S1305" s="120">
        <v>46335</v>
      </c>
      <c r="T1305" s="120"/>
      <c r="U1305" s="120">
        <v>46335</v>
      </c>
      <c r="V1305" s="94"/>
      <c r="W1305" s="94"/>
      <c r="X1305" s="94"/>
      <c r="Y1305" s="119">
        <v>46337</v>
      </c>
      <c r="Z1305" s="94"/>
      <c r="AA1305" s="120"/>
      <c r="AB1305" s="120"/>
      <c r="AC1305" s="120"/>
      <c r="AD1305" s="120"/>
      <c r="AE1305" s="120"/>
      <c r="AF1305" s="120"/>
      <c r="AG1305" s="94"/>
      <c r="AH1305" s="120"/>
      <c r="AI1305" s="94"/>
      <c r="AJ1305" s="94" t="s">
        <v>778</v>
      </c>
      <c r="AK1305" s="94" t="s">
        <v>356</v>
      </c>
      <c r="AL1305" s="94">
        <v>120</v>
      </c>
      <c r="AM1305" s="94" t="str">
        <f>TRIM(AJ1305)&amp;TRIM(AL1305)&amp;TRIM(AK1305)</f>
      </c>
      <c r="AN1305" s="116">
        <v>0</v>
      </c>
      <c r="AO1305" s="116" t="inlineStr">
        <is>
          <t>#NA</t>
        </is>
      </c>
      <c r="AP1305" s="116">
        <f>SUMIFS(M:M,AM:AM,AM1305)+SUMIFS(O:O,AM:AM,AM1305)</f>
      </c>
      <c r="AQ1305" s="116">
        <f>SUMIFS(L:L,AM:AM,AM1305)</f>
      </c>
      <c r="AR1305" s="116">
        <f>AQ1305-AP1305</f>
      </c>
      <c r="AS1305" s="94" t="str">
        <f>IF(AN1305&gt;=AQ1305,"ok","ck")</f>
      </c>
      <c r="AT1305" s="116">
        <f>-P1305</f>
      </c>
      <c r="AU1305" s="115">
        <f>IF(SUMIFS(AT:AT,AM:AM,AM1305)&gt;AO1305,(SUMIFS(AT:AT,AM:AM,AM1305)-AO1305))</f>
      </c>
      <c r="AV1305" s="116">
        <v>0</v>
      </c>
      <c r="AW1305" s="121">
        <v>0</v>
      </c>
      <c r="AX1305" s="115">
        <f>AN1305-AP1305</f>
      </c>
    </row>
    <row r="1306" spans="1:50" ht="15" hidden="1" customHeight="1" x14ac:dyDescent="0.3">
      <c r="A1306" s="94" t="s">
        <v>268</v>
      </c>
      <c r="B1306" s="94"/>
      <c r="C1306" s="94"/>
      <c r="D1306" s="94"/>
      <c r="E1306" s="94"/>
      <c r="F1306" s="94"/>
      <c r="G1306" s="112">
        <f>AU1306</f>
      </c>
      <c r="H1306" s="113"/>
      <c r="I1306" s="94" t="s">
        <v>278</v>
      </c>
      <c r="J1306" s="94" t="s">
        <v>355</v>
      </c>
      <c r="K1306" s="114">
        <f>P1306/3</f>
      </c>
      <c r="L1306" s="115">
        <v>7.38</v>
      </c>
      <c r="M1306" s="116"/>
      <c r="N1306" s="117">
        <f>M1306-L1306</f>
      </c>
      <c r="O1306" s="112"/>
      <c r="P1306" s="118">
        <f>N1306+O1306</f>
      </c>
      <c r="Q1306" s="94" t="s">
        <v>778</v>
      </c>
      <c r="R1306" s="94" t="s">
        <v>63</v>
      </c>
      <c r="S1306" s="120">
        <v>46335</v>
      </c>
      <c r="T1306" s="120"/>
      <c r="U1306" s="120">
        <v>46335</v>
      </c>
      <c r="V1306" s="94"/>
      <c r="W1306" s="94"/>
      <c r="X1306" s="94"/>
      <c r="Y1306" s="119">
        <v>46341</v>
      </c>
      <c r="Z1306" s="94"/>
      <c r="AA1306" s="120"/>
      <c r="AB1306" s="120"/>
      <c r="AC1306" s="120"/>
      <c r="AD1306" s="120"/>
      <c r="AE1306" s="120"/>
      <c r="AF1306" s="120"/>
      <c r="AG1306" s="94"/>
      <c r="AH1306" s="120"/>
      <c r="AI1306" s="94"/>
      <c r="AJ1306" s="94" t="s">
        <v>778</v>
      </c>
      <c r="AK1306" s="94" t="s">
        <v>356</v>
      </c>
      <c r="AL1306" s="94">
        <v>120</v>
      </c>
      <c r="AM1306" s="94" t="str">
        <f>TRIM(AJ1306)&amp;TRIM(AL1306)&amp;TRIM(AK1306)</f>
      </c>
      <c r="AN1306" s="116">
        <v>0</v>
      </c>
      <c r="AO1306" s="116" t="inlineStr">
        <is>
          <t>#NA</t>
        </is>
      </c>
      <c r="AP1306" s="116">
        <f>SUMIFS(M:M,AM:AM,AM1306)+SUMIFS(O:O,AM:AM,AM1306)</f>
      </c>
      <c r="AQ1306" s="116">
        <f>SUMIFS(L:L,AM:AM,AM1306)</f>
      </c>
      <c r="AR1306" s="116">
        <f>AQ1306-AP1306</f>
      </c>
      <c r="AS1306" s="94" t="str">
        <f>IF(AN1306&gt;=AQ1306,"ok","ck")</f>
      </c>
      <c r="AT1306" s="116">
        <f>-P1306</f>
      </c>
      <c r="AU1306" s="115">
        <f>IF(SUMIFS(AT:AT,AM:AM,AM1306)&gt;AO1306,(SUMIFS(AT:AT,AM:AM,AM1306)-AO1306))</f>
      </c>
      <c r="AV1306" s="116">
        <v>0</v>
      </c>
      <c r="AW1306" s="121">
        <v>0</v>
      </c>
      <c r="AX1306" s="115">
        <f>AN1306-AP1306</f>
      </c>
    </row>
    <row r="1307" spans="1:50" ht="15" hidden="1" customHeight="1" x14ac:dyDescent="0.3">
      <c r="A1307" s="94" t="s">
        <v>268</v>
      </c>
      <c r="B1307" s="94"/>
      <c r="C1307" s="94"/>
      <c r="D1307" s="94"/>
      <c r="E1307" s="94"/>
      <c r="F1307" s="94"/>
      <c r="G1307" s="112">
        <f>AU1307</f>
      </c>
      <c r="H1307" s="113"/>
      <c r="I1307" s="94" t="s">
        <v>278</v>
      </c>
      <c r="J1307" s="94" t="s">
        <v>355</v>
      </c>
      <c r="K1307" s="114">
        <f>P1307/3</f>
      </c>
      <c r="L1307" s="115">
        <v>27.3</v>
      </c>
      <c r="M1307" s="116"/>
      <c r="N1307" s="117">
        <f>M1307-L1307</f>
      </c>
      <c r="O1307" s="112"/>
      <c r="P1307" s="118">
        <f>N1307+O1307</f>
      </c>
      <c r="Q1307" s="94" t="s">
        <v>778</v>
      </c>
      <c r="R1307" s="94" t="s">
        <v>63</v>
      </c>
      <c r="S1307" s="120">
        <v>46335</v>
      </c>
      <c r="T1307" s="120"/>
      <c r="U1307" s="120">
        <v>46335</v>
      </c>
      <c r="V1307" s="94"/>
      <c r="W1307" s="94"/>
      <c r="X1307" s="94"/>
      <c r="Y1307" s="119">
        <v>46334</v>
      </c>
      <c r="Z1307" s="94"/>
      <c r="AA1307" s="120"/>
      <c r="AB1307" s="120"/>
      <c r="AC1307" s="120"/>
      <c r="AD1307" s="120"/>
      <c r="AE1307" s="120"/>
      <c r="AF1307" s="120"/>
      <c r="AG1307" s="94"/>
      <c r="AH1307" s="120"/>
      <c r="AI1307" s="94"/>
      <c r="AJ1307" s="94" t="s">
        <v>778</v>
      </c>
      <c r="AK1307" s="94" t="s">
        <v>356</v>
      </c>
      <c r="AL1307" s="94">
        <v>120</v>
      </c>
      <c r="AM1307" s="94" t="str">
        <f>TRIM(AJ1307)&amp;TRIM(AL1307)&amp;TRIM(AK1307)</f>
      </c>
      <c r="AN1307" s="116">
        <v>0</v>
      </c>
      <c r="AO1307" s="116" t="inlineStr">
        <is>
          <t>#NA</t>
        </is>
      </c>
      <c r="AP1307" s="116">
        <f>SUMIFS(M:M,AM:AM,AM1307)+SUMIFS(O:O,AM:AM,AM1307)</f>
      </c>
      <c r="AQ1307" s="116">
        <f>SUMIFS(L:L,AM:AM,AM1307)</f>
      </c>
      <c r="AR1307" s="116">
        <f>AQ1307-AP1307</f>
      </c>
      <c r="AS1307" s="94" t="str">
        <f>IF(AN1307&gt;=AQ1307,"ok","ck")</f>
      </c>
      <c r="AT1307" s="116">
        <f>-P1307</f>
      </c>
      <c r="AU1307" s="115">
        <f>IF(SUMIFS(AT:AT,AM:AM,AM1307)&gt;AO1307,(SUMIFS(AT:AT,AM:AM,AM1307)-AO1307))</f>
      </c>
      <c r="AV1307" s="116">
        <v>0</v>
      </c>
      <c r="AW1307" s="121">
        <v>0</v>
      </c>
      <c r="AX1307" s="115">
        <f>AN1307-AP1307</f>
      </c>
    </row>
    <row r="1308" spans="1:50" ht="15" hidden="1" customHeight="1" x14ac:dyDescent="0.3">
      <c r="A1308" s="94" t="s">
        <v>268</v>
      </c>
      <c r="B1308" s="94"/>
      <c r="C1308" s="94"/>
      <c r="D1308" s="94"/>
      <c r="E1308" s="94"/>
      <c r="F1308" s="94"/>
      <c r="G1308" s="112">
        <f>AU1308</f>
      </c>
      <c r="H1308" s="113"/>
      <c r="I1308" s="94" t="s">
        <v>278</v>
      </c>
      <c r="J1308" s="94" t="s">
        <v>535</v>
      </c>
      <c r="K1308" s="114">
        <f>P1308/3</f>
      </c>
      <c r="L1308" s="115">
        <v>15.45</v>
      </c>
      <c r="M1308" s="116"/>
      <c r="N1308" s="117">
        <f>M1308-L1308</f>
      </c>
      <c r="O1308" s="112"/>
      <c r="P1308" s="118">
        <f>N1308+O1308</f>
      </c>
      <c r="Q1308" s="94" t="s">
        <v>778</v>
      </c>
      <c r="R1308" s="94" t="s">
        <v>63</v>
      </c>
      <c r="S1308" s="120">
        <v>46331</v>
      </c>
      <c r="T1308" s="120"/>
      <c r="U1308" s="120" t="s">
        <v>653</v>
      </c>
      <c r="V1308" s="94"/>
      <c r="W1308" s="94"/>
      <c r="X1308" s="94"/>
      <c r="Y1308" s="119">
        <v>46322</v>
      </c>
      <c r="Z1308" s="94"/>
      <c r="AA1308" s="120"/>
      <c r="AB1308" s="120"/>
      <c r="AC1308" s="120"/>
      <c r="AD1308" s="120"/>
      <c r="AE1308" s="120"/>
      <c r="AF1308" s="120"/>
      <c r="AG1308" s="94"/>
      <c r="AH1308" s="120"/>
      <c r="AI1308" s="94"/>
      <c r="AJ1308" s="94" t="s">
        <v>778</v>
      </c>
      <c r="AK1308" s="94" t="s">
        <v>719</v>
      </c>
      <c r="AL1308" s="94">
        <v>120</v>
      </c>
      <c r="AM1308" s="94" t="str">
        <f>TRIM(AJ1308)&amp;TRIM(AL1308)&amp;TRIM(AK1308)</f>
      </c>
      <c r="AN1308" s="116">
        <v>0</v>
      </c>
      <c r="AO1308" s="116" t="inlineStr">
        <is>
          <t>#NA</t>
        </is>
      </c>
      <c r="AP1308" s="116">
        <f>SUMIFS(M:M,AM:AM,AM1308)+SUMIFS(O:O,AM:AM,AM1308)</f>
      </c>
      <c r="AQ1308" s="116">
        <f>SUMIFS(L:L,AM:AM,AM1308)</f>
      </c>
      <c r="AR1308" s="116">
        <f>AQ1308-AP1308</f>
      </c>
      <c r="AS1308" s="94" t="str">
        <f>IF(AN1308&gt;=AQ1308,"ok","ck")</f>
      </c>
      <c r="AT1308" s="116">
        <f>-P1308</f>
      </c>
      <c r="AU1308" s="115">
        <f>IF(SUMIFS(AT:AT,AM:AM,AM1308)&gt;AO1308,(SUMIFS(AT:AT,AM:AM,AM1308)-AO1308))</f>
      </c>
      <c r="AV1308" s="116">
        <v>0</v>
      </c>
      <c r="AW1308" s="121">
        <v>0</v>
      </c>
      <c r="AX1308" s="115">
        <f>AN1308-AP1308</f>
      </c>
    </row>
    <row r="1309" spans="1:50" ht="15" hidden="1" customHeight="1" x14ac:dyDescent="0.3">
      <c r="A1309" s="94" t="s">
        <v>268</v>
      </c>
      <c r="B1309" s="94"/>
      <c r="C1309" s="94"/>
      <c r="D1309" s="94"/>
      <c r="E1309" s="94"/>
      <c r="F1309" s="94"/>
      <c r="G1309" s="112">
        <f>AU1309</f>
      </c>
      <c r="H1309" s="113"/>
      <c r="I1309" s="94" t="s">
        <v>278</v>
      </c>
      <c r="J1309" s="94" t="s">
        <v>535</v>
      </c>
      <c r="K1309" s="114">
        <f>P1309/3</f>
      </c>
      <c r="L1309" s="115">
        <v>372.52300000000002</v>
      </c>
      <c r="M1309" s="116"/>
      <c r="N1309" s="117">
        <f>M1309-L1309</f>
      </c>
      <c r="O1309" s="112"/>
      <c r="P1309" s="118">
        <f>N1309+O1309</f>
      </c>
      <c r="Q1309" s="94" t="s">
        <v>778</v>
      </c>
      <c r="R1309" s="94" t="s">
        <v>63</v>
      </c>
      <c r="S1309" s="120">
        <v>46341</v>
      </c>
      <c r="T1309" s="120"/>
      <c r="U1309" s="120" t="s">
        <v>653</v>
      </c>
      <c r="V1309" s="94"/>
      <c r="W1309" s="94"/>
      <c r="X1309" s="94"/>
      <c r="Y1309" s="119">
        <v>46322</v>
      </c>
      <c r="Z1309" s="94"/>
      <c r="AA1309" s="120"/>
      <c r="AB1309" s="120"/>
      <c r="AC1309" s="120"/>
      <c r="AD1309" s="120"/>
      <c r="AE1309" s="120"/>
      <c r="AF1309" s="120"/>
      <c r="AG1309" s="94"/>
      <c r="AH1309" s="120"/>
      <c r="AI1309" s="94"/>
      <c r="AJ1309" s="94" t="s">
        <v>778</v>
      </c>
      <c r="AK1309" s="94" t="s">
        <v>719</v>
      </c>
      <c r="AL1309" s="94">
        <v>120</v>
      </c>
      <c r="AM1309" s="94" t="str">
        <f>TRIM(AJ1309)&amp;TRIM(AL1309)&amp;TRIM(AK1309)</f>
      </c>
      <c r="AN1309" s="116">
        <v>0</v>
      </c>
      <c r="AO1309" s="116" t="inlineStr">
        <is>
          <t>#NA</t>
        </is>
      </c>
      <c r="AP1309" s="116">
        <f>SUMIFS(M:M,AM:AM,AM1309)+SUMIFS(O:O,AM:AM,AM1309)</f>
      </c>
      <c r="AQ1309" s="116">
        <f>SUMIFS(L:L,AM:AM,AM1309)</f>
      </c>
      <c r="AR1309" s="116">
        <f>AQ1309-AP1309</f>
      </c>
      <c r="AS1309" s="94" t="str">
        <f>IF(AN1309&gt;=AQ1309,"ok","ck")</f>
      </c>
      <c r="AT1309" s="116">
        <f>-P1309</f>
      </c>
      <c r="AU1309" s="115">
        <f>IF(SUMIFS(AT:AT,AM:AM,AM1309)&gt;AO1309,(SUMIFS(AT:AT,AM:AM,AM1309)-AO1309))</f>
      </c>
      <c r="AV1309" s="116">
        <v>0</v>
      </c>
      <c r="AW1309" s="121">
        <v>0</v>
      </c>
      <c r="AX1309" s="115">
        <f>AN1309-AP1309</f>
      </c>
    </row>
    <row r="1310" spans="1:50" ht="15" hidden="1" customHeight="1" x14ac:dyDescent="0.3">
      <c r="A1310" s="94" t="s">
        <v>268</v>
      </c>
      <c r="B1310" s="94"/>
      <c r="C1310" s="94"/>
      <c r="D1310" s="94"/>
      <c r="E1310" s="94"/>
      <c r="F1310" s="94"/>
      <c r="G1310" s="112">
        <f>AU1310</f>
      </c>
      <c r="H1310" s="113"/>
      <c r="I1310" s="94" t="s">
        <v>278</v>
      </c>
      <c r="J1310" s="94" t="s">
        <v>535</v>
      </c>
      <c r="K1310" s="114">
        <f>P1310/3</f>
      </c>
      <c r="L1310" s="115">
        <v>0.13400000000000001</v>
      </c>
      <c r="M1310" s="116"/>
      <c r="N1310" s="117">
        <f>M1310-L1310</f>
      </c>
      <c r="O1310" s="112"/>
      <c r="P1310" s="118">
        <f>N1310+O1310</f>
      </c>
      <c r="Q1310" s="94" t="s">
        <v>778</v>
      </c>
      <c r="R1310" s="94" t="s">
        <v>63</v>
      </c>
      <c r="S1310" s="120">
        <v>46341</v>
      </c>
      <c r="T1310" s="120"/>
      <c r="U1310" s="120">
        <v>46341</v>
      </c>
      <c r="V1310" s="94"/>
      <c r="W1310" s="94"/>
      <c r="X1310" s="94"/>
      <c r="Y1310" s="119">
        <v>46341</v>
      </c>
      <c r="Z1310" s="94"/>
      <c r="AA1310" s="120"/>
      <c r="AB1310" s="120"/>
      <c r="AC1310" s="120"/>
      <c r="AD1310" s="120"/>
      <c r="AE1310" s="120"/>
      <c r="AF1310" s="120"/>
      <c r="AG1310" s="94"/>
      <c r="AH1310" s="120"/>
      <c r="AI1310" s="94"/>
      <c r="AJ1310" s="94" t="s">
        <v>778</v>
      </c>
      <c r="AK1310" s="94" t="s">
        <v>719</v>
      </c>
      <c r="AL1310" s="94">
        <v>120</v>
      </c>
      <c r="AM1310" s="94" t="str">
        <f>TRIM(AJ1310)&amp;TRIM(AL1310)&amp;TRIM(AK1310)</f>
      </c>
      <c r="AN1310" s="116">
        <v>0</v>
      </c>
      <c r="AO1310" s="116" t="inlineStr">
        <is>
          <t>#NA</t>
        </is>
      </c>
      <c r="AP1310" s="116">
        <f>SUMIFS(M:M,AM:AM,AM1310)+SUMIFS(O:O,AM:AM,AM1310)</f>
      </c>
      <c r="AQ1310" s="116">
        <f>SUMIFS(L:L,AM:AM,AM1310)</f>
      </c>
      <c r="AR1310" s="116">
        <f>AQ1310-AP1310</f>
      </c>
      <c r="AS1310" s="94" t="str">
        <f>IF(AN1310&gt;=AQ1310,"ok","ck")</f>
      </c>
      <c r="AT1310" s="116">
        <f>-P1310</f>
      </c>
      <c r="AU1310" s="115">
        <f>IF(SUMIFS(AT:AT,AM:AM,AM1310)&gt;AO1310,(SUMIFS(AT:AT,AM:AM,AM1310)-AO1310))</f>
      </c>
      <c r="AV1310" s="116">
        <v>0</v>
      </c>
      <c r="AW1310" s="121">
        <v>0</v>
      </c>
      <c r="AX1310" s="115">
        <f>AN1310-AP1310</f>
      </c>
    </row>
    <row r="1311" spans="1:50" ht="15" hidden="1" customHeight="1" x14ac:dyDescent="0.3">
      <c r="A1311" s="94" t="s">
        <v>268</v>
      </c>
      <c r="B1311" s="94"/>
      <c r="C1311" s="94"/>
      <c r="D1311" s="94"/>
      <c r="E1311" s="94"/>
      <c r="F1311" s="94"/>
      <c r="G1311" s="112">
        <f>AU1311</f>
      </c>
      <c r="H1311" s="113"/>
      <c r="I1311" s="94" t="s">
        <v>278</v>
      </c>
      <c r="J1311" s="94" t="s">
        <v>535</v>
      </c>
      <c r="K1311" s="114">
        <f>P1311/3</f>
      </c>
      <c r="L1311" s="115">
        <v>0.14399999999999999</v>
      </c>
      <c r="M1311" s="116"/>
      <c r="N1311" s="117">
        <f>M1311-L1311</f>
      </c>
      <c r="O1311" s="112"/>
      <c r="P1311" s="118">
        <f>N1311+O1311</f>
      </c>
      <c r="Q1311" s="94" t="s">
        <v>778</v>
      </c>
      <c r="R1311" s="94" t="s">
        <v>63</v>
      </c>
      <c r="S1311" s="120">
        <v>46342</v>
      </c>
      <c r="T1311" s="120"/>
      <c r="U1311" s="120">
        <v>46342</v>
      </c>
      <c r="V1311" s="94"/>
      <c r="W1311" s="94"/>
      <c r="X1311" s="94"/>
      <c r="Y1311" s="119">
        <v>46342</v>
      </c>
      <c r="Z1311" s="94"/>
      <c r="AA1311" s="120"/>
      <c r="AB1311" s="120"/>
      <c r="AC1311" s="120"/>
      <c r="AD1311" s="120"/>
      <c r="AE1311" s="120"/>
      <c r="AF1311" s="120"/>
      <c r="AG1311" s="94"/>
      <c r="AH1311" s="120"/>
      <c r="AI1311" s="94"/>
      <c r="AJ1311" s="94" t="s">
        <v>778</v>
      </c>
      <c r="AK1311" s="94" t="s">
        <v>719</v>
      </c>
      <c r="AL1311" s="94">
        <v>120</v>
      </c>
      <c r="AM1311" s="94" t="str">
        <f>TRIM(AJ1311)&amp;TRIM(AL1311)&amp;TRIM(AK1311)</f>
      </c>
      <c r="AN1311" s="116">
        <v>0</v>
      </c>
      <c r="AO1311" s="116" t="inlineStr">
        <is>
          <t>#NA</t>
        </is>
      </c>
      <c r="AP1311" s="116">
        <f>SUMIFS(M:M,AM:AM,AM1311)+SUMIFS(O:O,AM:AM,AM1311)</f>
      </c>
      <c r="AQ1311" s="116">
        <f>SUMIFS(L:L,AM:AM,AM1311)</f>
      </c>
      <c r="AR1311" s="116">
        <f>AQ1311-AP1311</f>
      </c>
      <c r="AS1311" s="94" t="str">
        <f>IF(AN1311&gt;=AQ1311,"ok","ck")</f>
      </c>
      <c r="AT1311" s="116">
        <f>-P1311</f>
      </c>
      <c r="AU1311" s="115">
        <f>IF(SUMIFS(AT:AT,AM:AM,AM1311)&gt;AO1311,(SUMIFS(AT:AT,AM:AM,AM1311)-AO1311))</f>
      </c>
      <c r="AV1311" s="116">
        <v>0</v>
      </c>
      <c r="AW1311" s="121">
        <v>0</v>
      </c>
      <c r="AX1311" s="115">
        <f>AN1311-AP1311</f>
      </c>
    </row>
    <row r="1312" spans="1:50" ht="15" hidden="1" customHeight="1" x14ac:dyDescent="0.3">
      <c r="A1312" s="94" t="s">
        <v>268</v>
      </c>
      <c r="B1312" s="94"/>
      <c r="C1312" s="94"/>
      <c r="D1312" s="94"/>
      <c r="E1312" s="94"/>
      <c r="F1312" s="94"/>
      <c r="G1312" s="112">
        <f>AU1312</f>
      </c>
      <c r="H1312" s="113"/>
      <c r="I1312" s="94" t="s">
        <v>278</v>
      </c>
      <c r="J1312" s="94" t="s">
        <v>535</v>
      </c>
      <c r="K1312" s="114">
        <f>P1312/3</f>
      </c>
      <c r="L1312" s="115">
        <v>0.14799999999999999</v>
      </c>
      <c r="M1312" s="116"/>
      <c r="N1312" s="117">
        <f>M1312-L1312</f>
      </c>
      <c r="O1312" s="112"/>
      <c r="P1312" s="118">
        <f>N1312+O1312</f>
      </c>
      <c r="Q1312" s="94" t="s">
        <v>778</v>
      </c>
      <c r="R1312" s="94" t="s">
        <v>63</v>
      </c>
      <c r="S1312" s="120">
        <v>46334</v>
      </c>
      <c r="T1312" s="120"/>
      <c r="U1312" s="120">
        <v>46334</v>
      </c>
      <c r="V1312" s="94"/>
      <c r="W1312" s="94"/>
      <c r="X1312" s="94"/>
      <c r="Y1312" s="119">
        <v>46334</v>
      </c>
      <c r="Z1312" s="94"/>
      <c r="AA1312" s="120"/>
      <c r="AB1312" s="120"/>
      <c r="AC1312" s="120"/>
      <c r="AD1312" s="120"/>
      <c r="AE1312" s="120"/>
      <c r="AF1312" s="120"/>
      <c r="AG1312" s="94"/>
      <c r="AH1312" s="120"/>
      <c r="AI1312" s="94"/>
      <c r="AJ1312" s="94" t="s">
        <v>778</v>
      </c>
      <c r="AK1312" s="94" t="s">
        <v>719</v>
      </c>
      <c r="AL1312" s="94">
        <v>120</v>
      </c>
      <c r="AM1312" s="94" t="str">
        <f>TRIM(AJ1312)&amp;TRIM(AL1312)&amp;TRIM(AK1312)</f>
      </c>
      <c r="AN1312" s="116">
        <v>0</v>
      </c>
      <c r="AO1312" s="116" t="inlineStr">
        <is>
          <t>#NA</t>
        </is>
      </c>
      <c r="AP1312" s="116">
        <f>SUMIFS(M:M,AM:AM,AM1312)+SUMIFS(O:O,AM:AM,AM1312)</f>
      </c>
      <c r="AQ1312" s="116">
        <f>SUMIFS(L:L,AM:AM,AM1312)</f>
      </c>
      <c r="AR1312" s="116">
        <f>AQ1312-AP1312</f>
      </c>
      <c r="AS1312" s="94" t="str">
        <f>IF(AN1312&gt;=AQ1312,"ok","ck")</f>
      </c>
      <c r="AT1312" s="116">
        <f>-P1312</f>
      </c>
      <c r="AU1312" s="115">
        <f>IF(SUMIFS(AT:AT,AM:AM,AM1312)&gt;AO1312,(SUMIFS(AT:AT,AM:AM,AM1312)-AO1312))</f>
      </c>
      <c r="AV1312" s="116">
        <v>0</v>
      </c>
      <c r="AW1312" s="121">
        <v>0</v>
      </c>
      <c r="AX1312" s="115">
        <f>AN1312-AP1312</f>
      </c>
    </row>
    <row r="1313" spans="1:50" ht="15" hidden="1" customHeight="1" x14ac:dyDescent="0.3">
      <c r="A1313" s="94" t="s">
        <v>268</v>
      </c>
      <c r="B1313" s="94"/>
      <c r="C1313" s="94"/>
      <c r="D1313" s="94"/>
      <c r="E1313" s="94"/>
      <c r="F1313" s="94"/>
      <c r="G1313" s="112">
        <f>AU1313</f>
      </c>
      <c r="H1313" s="113"/>
      <c r="I1313" s="94" t="s">
        <v>278</v>
      </c>
      <c r="J1313" s="94" t="s">
        <v>535</v>
      </c>
      <c r="K1313" s="114">
        <f>P1313/3</f>
      </c>
      <c r="L1313" s="115">
        <v>17.463999999999999</v>
      </c>
      <c r="M1313" s="116"/>
      <c r="N1313" s="117">
        <f>M1313-L1313</f>
      </c>
      <c r="O1313" s="112"/>
      <c r="P1313" s="118">
        <f>N1313+O1313</f>
      </c>
      <c r="Q1313" s="94" t="s">
        <v>778</v>
      </c>
      <c r="R1313" s="94" t="s">
        <v>63</v>
      </c>
      <c r="S1313" s="120">
        <v>46349</v>
      </c>
      <c r="T1313" s="120"/>
      <c r="U1313" s="120" t="s">
        <v>653</v>
      </c>
      <c r="V1313" s="94"/>
      <c r="W1313" s="94"/>
      <c r="X1313" s="94"/>
      <c r="Y1313" s="119">
        <v>46334</v>
      </c>
      <c r="Z1313" s="94"/>
      <c r="AA1313" s="120"/>
      <c r="AB1313" s="120"/>
      <c r="AC1313" s="120"/>
      <c r="AD1313" s="120"/>
      <c r="AE1313" s="120"/>
      <c r="AF1313" s="120"/>
      <c r="AG1313" s="94"/>
      <c r="AH1313" s="120"/>
      <c r="AI1313" s="94"/>
      <c r="AJ1313" s="94" t="s">
        <v>778</v>
      </c>
      <c r="AK1313" s="94" t="s">
        <v>719</v>
      </c>
      <c r="AL1313" s="94">
        <v>120</v>
      </c>
      <c r="AM1313" s="94" t="str">
        <f>TRIM(AJ1313)&amp;TRIM(AL1313)&amp;TRIM(AK1313)</f>
      </c>
      <c r="AN1313" s="116">
        <v>0</v>
      </c>
      <c r="AO1313" s="116" t="inlineStr">
        <is>
          <t>#NA</t>
        </is>
      </c>
      <c r="AP1313" s="116">
        <f>SUMIFS(M:M,AM:AM,AM1313)+SUMIFS(O:O,AM:AM,AM1313)</f>
      </c>
      <c r="AQ1313" s="116">
        <f>SUMIFS(L:L,AM:AM,AM1313)</f>
      </c>
      <c r="AR1313" s="116">
        <f>AQ1313-AP1313</f>
      </c>
      <c r="AS1313" s="94" t="str">
        <f>IF(AN1313&gt;=AQ1313,"ok","ck")</f>
      </c>
      <c r="AT1313" s="116">
        <f>-P1313</f>
      </c>
      <c r="AU1313" s="115">
        <f>IF(SUMIFS(AT:AT,AM:AM,AM1313)&gt;AO1313,(SUMIFS(AT:AT,AM:AM,AM1313)-AO1313))</f>
      </c>
      <c r="AV1313" s="116">
        <v>0</v>
      </c>
      <c r="AW1313" s="121">
        <v>0</v>
      </c>
      <c r="AX1313" s="115">
        <f>AN1313-AP1313</f>
      </c>
    </row>
    <row r="1314" spans="1:50" ht="15" hidden="1" customHeight="1" x14ac:dyDescent="0.3">
      <c r="A1314" s="94" t="s">
        <v>268</v>
      </c>
      <c r="B1314" s="94"/>
      <c r="C1314" s="94"/>
      <c r="D1314" s="94"/>
      <c r="E1314" s="94"/>
      <c r="F1314" s="94"/>
      <c r="G1314" s="112">
        <f>AU1314</f>
      </c>
      <c r="H1314" s="113"/>
      <c r="I1314" s="94" t="s">
        <v>278</v>
      </c>
      <c r="J1314" s="94" t="s">
        <v>509</v>
      </c>
      <c r="K1314" s="114">
        <f>P1314/3</f>
      </c>
      <c r="L1314" s="115">
        <v>0.126</v>
      </c>
      <c r="M1314" s="116"/>
      <c r="N1314" s="117">
        <f>M1314-L1314</f>
      </c>
      <c r="O1314" s="112"/>
      <c r="P1314" s="118">
        <f>N1314+O1314</f>
      </c>
      <c r="Q1314" s="94" t="s">
        <v>778</v>
      </c>
      <c r="R1314" s="94" t="s">
        <v>63</v>
      </c>
      <c r="S1314" s="120">
        <v>46328</v>
      </c>
      <c r="T1314" s="120"/>
      <c r="U1314" s="120">
        <v>46328</v>
      </c>
      <c r="V1314" s="94"/>
      <c r="W1314" s="94"/>
      <c r="X1314" s="94"/>
      <c r="Y1314" s="119">
        <v>46328</v>
      </c>
      <c r="Z1314" s="94"/>
      <c r="AA1314" s="120"/>
      <c r="AB1314" s="120"/>
      <c r="AC1314" s="120"/>
      <c r="AD1314" s="120"/>
      <c r="AE1314" s="120"/>
      <c r="AF1314" s="120"/>
      <c r="AG1314" s="94"/>
      <c r="AH1314" s="120"/>
      <c r="AI1314" s="94"/>
      <c r="AJ1314" s="94" t="s">
        <v>778</v>
      </c>
      <c r="AK1314" s="94" t="s">
        <v>703</v>
      </c>
      <c r="AL1314" s="94">
        <v>120</v>
      </c>
      <c r="AM1314" s="94" t="str">
        <f>TRIM(AJ1314)&amp;TRIM(AL1314)&amp;TRIM(AK1314)</f>
      </c>
      <c r="AN1314" s="116">
        <v>0</v>
      </c>
      <c r="AO1314" s="116" t="inlineStr">
        <is>
          <t>#NA</t>
        </is>
      </c>
      <c r="AP1314" s="116">
        <f>SUMIFS(M:M,AM:AM,AM1314)+SUMIFS(O:O,AM:AM,AM1314)</f>
      </c>
      <c r="AQ1314" s="116">
        <f>SUMIFS(L:L,AM:AM,AM1314)</f>
      </c>
      <c r="AR1314" s="116">
        <f>AQ1314-AP1314</f>
      </c>
      <c r="AS1314" s="94" t="str">
        <f>IF(AN1314&gt;=AQ1314,"ok","ck")</f>
      </c>
      <c r="AT1314" s="116">
        <f>-P1314</f>
      </c>
      <c r="AU1314" s="115">
        <f>IF(SUMIFS(AT:AT,AM:AM,AM1314)&gt;AO1314,(SUMIFS(AT:AT,AM:AM,AM1314)-AO1314))</f>
      </c>
      <c r="AV1314" s="116">
        <v>0</v>
      </c>
      <c r="AW1314" s="121">
        <v>0</v>
      </c>
      <c r="AX1314" s="115">
        <f>AN1314-AP1314</f>
      </c>
    </row>
    <row r="1315" spans="1:50" ht="15" hidden="1" customHeight="1" x14ac:dyDescent="0.3">
      <c r="A1315" s="94" t="s">
        <v>268</v>
      </c>
      <c r="B1315" s="94"/>
      <c r="C1315" s="94"/>
      <c r="D1315" s="94"/>
      <c r="E1315" s="94"/>
      <c r="F1315" s="94"/>
      <c r="G1315" s="112">
        <f>AU1315</f>
      </c>
      <c r="H1315" s="113"/>
      <c r="I1315" s="94" t="s">
        <v>278</v>
      </c>
      <c r="J1315" s="94" t="s">
        <v>509</v>
      </c>
      <c r="K1315" s="114">
        <f>P1315/3</f>
      </c>
      <c r="L1315" s="115">
        <v>0.14399999999999999</v>
      </c>
      <c r="M1315" s="116"/>
      <c r="N1315" s="117">
        <f>M1315-L1315</f>
      </c>
      <c r="O1315" s="112"/>
      <c r="P1315" s="118">
        <f>N1315+O1315</f>
      </c>
      <c r="Q1315" s="94" t="s">
        <v>778</v>
      </c>
      <c r="R1315" s="94" t="s">
        <v>63</v>
      </c>
      <c r="S1315" s="120">
        <v>46334</v>
      </c>
      <c r="T1315" s="120"/>
      <c r="U1315" s="120">
        <v>46334</v>
      </c>
      <c r="V1315" s="94"/>
      <c r="W1315" s="94"/>
      <c r="X1315" s="94"/>
      <c r="Y1315" s="119">
        <v>46334</v>
      </c>
      <c r="Z1315" s="94"/>
      <c r="AA1315" s="120"/>
      <c r="AB1315" s="120"/>
      <c r="AC1315" s="120"/>
      <c r="AD1315" s="120"/>
      <c r="AE1315" s="120"/>
      <c r="AF1315" s="120"/>
      <c r="AG1315" s="94"/>
      <c r="AH1315" s="120"/>
      <c r="AI1315" s="94"/>
      <c r="AJ1315" s="94" t="s">
        <v>778</v>
      </c>
      <c r="AK1315" s="94" t="s">
        <v>703</v>
      </c>
      <c r="AL1315" s="94">
        <v>120</v>
      </c>
      <c r="AM1315" s="94" t="str">
        <f>TRIM(AJ1315)&amp;TRIM(AL1315)&amp;TRIM(AK1315)</f>
      </c>
      <c r="AN1315" s="116">
        <v>0</v>
      </c>
      <c r="AO1315" s="116" t="inlineStr">
        <is>
          <t>#NA</t>
        </is>
      </c>
      <c r="AP1315" s="116">
        <f>SUMIFS(M:M,AM:AM,AM1315)+SUMIFS(O:O,AM:AM,AM1315)</f>
      </c>
      <c r="AQ1315" s="116">
        <f>SUMIFS(L:L,AM:AM,AM1315)</f>
      </c>
      <c r="AR1315" s="116">
        <f>AQ1315-AP1315</f>
      </c>
      <c r="AS1315" s="94" t="str">
        <f>IF(AN1315&gt;=AQ1315,"ok","ck")</f>
      </c>
      <c r="AT1315" s="116">
        <f>-P1315</f>
      </c>
      <c r="AU1315" s="115">
        <f>IF(SUMIFS(AT:AT,AM:AM,AM1315)&gt;AO1315,(SUMIFS(AT:AT,AM:AM,AM1315)-AO1315))</f>
      </c>
      <c r="AV1315" s="116">
        <v>0</v>
      </c>
      <c r="AW1315" s="121">
        <v>0</v>
      </c>
      <c r="AX1315" s="115">
        <f>AN1315-AP1315</f>
      </c>
    </row>
    <row r="1316" spans="1:50" ht="15" hidden="1" customHeight="1" x14ac:dyDescent="0.3">
      <c r="A1316" s="94" t="s">
        <v>288</v>
      </c>
      <c r="B1316" s="94"/>
      <c r="C1316" s="94"/>
      <c r="D1316" s="94"/>
      <c r="E1316" s="94"/>
      <c r="F1316" s="94"/>
      <c r="G1316" s="112">
        <f>AU1316</f>
      </c>
      <c r="H1316" s="113"/>
      <c r="I1316" s="94" t="s">
        <v>297</v>
      </c>
      <c r="J1316" s="94" t="s">
        <v>267</v>
      </c>
      <c r="K1316" s="114">
        <f>P1316/3</f>
      </c>
      <c r="L1316" s="115">
        <v>0</v>
      </c>
      <c r="M1316" s="116">
        <f>L1316</f>
      </c>
      <c r="N1316" s="117">
        <f>M1316-L1316</f>
      </c>
      <c r="O1316" s="112"/>
      <c r="P1316" s="118">
        <f>N1316+O1316</f>
      </c>
      <c r="Q1316" s="94" t="s">
        <v>299</v>
      </c>
      <c r="R1316" s="94" t="s">
        <v>63</v>
      </c>
      <c r="S1316" s="120">
        <v>46320</v>
      </c>
      <c r="T1316" s="120"/>
      <c r="U1316" s="120">
        <v>46320</v>
      </c>
      <c r="V1316" s="94"/>
      <c r="W1316" s="94"/>
      <c r="X1316" s="94"/>
      <c r="Y1316" s="119">
        <v>46320</v>
      </c>
      <c r="Z1316" s="94"/>
      <c r="AA1316" s="120"/>
      <c r="AB1316" s="120"/>
      <c r="AC1316" s="120"/>
      <c r="AD1316" s="120"/>
      <c r="AE1316" s="120"/>
      <c r="AF1316" s="120"/>
      <c r="AG1316" s="94"/>
      <c r="AH1316" s="120"/>
      <c r="AI1316" s="94"/>
      <c r="AJ1316" s="94" t="s">
        <v>478</v>
      </c>
      <c r="AK1316" s="94" t="s">
        <v>267</v>
      </c>
      <c r="AL1316" s="94">
        <v>190</v>
      </c>
      <c r="AM1316" s="94" t="str">
        <f>TRIM(AJ1316)&amp;TRIM(AL1316)&amp;TRIM(AK1316)</f>
      </c>
      <c r="AN1316" s="116">
        <v>6890.27</v>
      </c>
      <c r="AO1316" s="116">
        <v>-124.45</v>
      </c>
      <c r="AP1316" s="116">
        <f>SUMIFS(M:M,AM:AM,AM1316)+SUMIFS(O:O,AM:AM,AM1316)</f>
      </c>
      <c r="AQ1316" s="116">
        <f>SUMIFS(L:L,AM:AM,AM1316)</f>
      </c>
      <c r="AR1316" s="116">
        <f>AQ1316-AP1316</f>
      </c>
      <c r="AS1316" s="94" t="str">
        <f>IF(AN1316&gt;=AQ1316,"ok","ck")</f>
      </c>
      <c r="AT1316" s="116">
        <f>-P1316</f>
      </c>
      <c r="AU1316" s="115">
        <f>IF(SUMIFS(AT:AT,AM:AM,AM1316)&gt;AO1316,(SUMIFS(AT:AT,AM:AM,AM1316)-AO1316))</f>
      </c>
      <c r="AV1316" s="116">
        <v>6890.27</v>
      </c>
      <c r="AW1316" s="121">
        <v>1.018</v>
      </c>
      <c r="AX1316" s="115">
        <f>AN1316-AP1316</f>
      </c>
    </row>
    <row r="1317" spans="1:50" ht="15" hidden="1" customHeight="1" x14ac:dyDescent="0.3">
      <c r="A1317" s="94" t="s">
        <v>288</v>
      </c>
      <c r="B1317" s="94"/>
      <c r="C1317" s="94"/>
      <c r="D1317" s="94"/>
      <c r="E1317" s="94"/>
      <c r="F1317" s="94"/>
      <c r="G1317" s="112">
        <f>AU1317</f>
      </c>
      <c r="H1317" s="113"/>
      <c r="I1317" s="94" t="s">
        <v>297</v>
      </c>
      <c r="J1317" s="94" t="s">
        <v>267</v>
      </c>
      <c r="K1317" s="114">
        <f>P1317/3</f>
      </c>
      <c r="L1317" s="115">
        <v>0</v>
      </c>
      <c r="M1317" s="116">
        <f>L1317</f>
      </c>
      <c r="N1317" s="117">
        <f>M1317-L1317</f>
      </c>
      <c r="O1317" s="112"/>
      <c r="P1317" s="118">
        <f>N1317+O1317</f>
      </c>
      <c r="Q1317" s="94" t="s">
        <v>299</v>
      </c>
      <c r="R1317" s="94" t="s">
        <v>63</v>
      </c>
      <c r="S1317" s="119">
        <v>46330</v>
      </c>
      <c r="T1317" s="119"/>
      <c r="U1317" s="119">
        <v>46330</v>
      </c>
      <c r="V1317" s="94"/>
      <c r="W1317" s="94"/>
      <c r="X1317" s="94"/>
      <c r="Y1317" s="119">
        <v>46330</v>
      </c>
      <c r="Z1317" s="94"/>
      <c r="AA1317" s="120"/>
      <c r="AB1317" s="120"/>
      <c r="AC1317" s="120"/>
      <c r="AD1317" s="120"/>
      <c r="AE1317" s="120"/>
      <c r="AF1317" s="120"/>
      <c r="AG1317" s="94"/>
      <c r="AH1317" s="120"/>
      <c r="AI1317" s="94"/>
      <c r="AJ1317" s="94" t="s">
        <v>478</v>
      </c>
      <c r="AK1317" s="94" t="s">
        <v>267</v>
      </c>
      <c r="AL1317" s="94">
        <v>190</v>
      </c>
      <c r="AM1317" s="94" t="str">
        <f>TRIM(AJ1317)&amp;TRIM(AL1317)&amp;TRIM(AK1317)</f>
      </c>
      <c r="AN1317" s="116">
        <v>6890.27</v>
      </c>
      <c r="AO1317" s="116">
        <v>-124.45</v>
      </c>
      <c r="AP1317" s="116">
        <f>SUMIFS(M:M,AM:AM,AM1317)+SUMIFS(O:O,AM:AM,AM1317)</f>
      </c>
      <c r="AQ1317" s="116">
        <f>SUMIFS(L:L,AM:AM,AM1317)</f>
      </c>
      <c r="AR1317" s="116">
        <f>AQ1317-AP1317</f>
      </c>
      <c r="AS1317" s="94" t="str">
        <f>IF(AN1317&gt;=AQ1317,"ok","ck")</f>
      </c>
      <c r="AT1317" s="116">
        <f>-P1317</f>
      </c>
      <c r="AU1317" s="115">
        <f>IF(SUMIFS(AT:AT,AM:AM,AM1317)&gt;AO1317,(SUMIFS(AT:AT,AM:AM,AM1317)-AO1317))</f>
      </c>
      <c r="AV1317" s="116">
        <v>6890.27</v>
      </c>
      <c r="AW1317" s="121">
        <v>1.018</v>
      </c>
      <c r="AX1317" s="115">
        <f>AN1317-AP1317</f>
      </c>
    </row>
    <row r="1318" spans="1:50" ht="15" hidden="1" customHeight="1" x14ac:dyDescent="0.3">
      <c r="A1318" s="94" t="s">
        <v>288</v>
      </c>
      <c r="B1318" s="94"/>
      <c r="C1318" s="94"/>
      <c r="D1318" s="94"/>
      <c r="E1318" s="94"/>
      <c r="F1318" s="94"/>
      <c r="G1318" s="112">
        <f>AU1318</f>
      </c>
      <c r="H1318" s="113"/>
      <c r="I1318" s="94" t="s">
        <v>297</v>
      </c>
      <c r="J1318" s="94" t="s">
        <v>298</v>
      </c>
      <c r="K1318" s="114">
        <f>P1318/3</f>
      </c>
      <c r="L1318" s="115">
        <v>36.514000000000003</v>
      </c>
      <c r="M1318" s="116"/>
      <c r="N1318" s="117">
        <f>M1318-L1318</f>
      </c>
      <c r="O1318" s="112"/>
      <c r="P1318" s="118">
        <f>N1318+O1318</f>
      </c>
      <c r="Q1318" s="94" t="s">
        <v>332</v>
      </c>
      <c r="R1318" s="94" t="s">
        <v>63</v>
      </c>
      <c r="S1318" s="119">
        <v>46336</v>
      </c>
      <c r="T1318" s="119"/>
      <c r="U1318" s="119">
        <v>46336</v>
      </c>
      <c r="V1318" s="94"/>
      <c r="W1318" s="94"/>
      <c r="X1318" s="94"/>
      <c r="Y1318" s="119">
        <v>46320</v>
      </c>
      <c r="Z1318" s="94"/>
      <c r="AA1318" s="120"/>
      <c r="AB1318" s="120"/>
      <c r="AC1318" s="120"/>
      <c r="AD1318" s="120"/>
      <c r="AE1318" s="120"/>
      <c r="AF1318" s="120"/>
      <c r="AG1318" s="94"/>
      <c r="AH1318" s="120"/>
      <c r="AI1318" s="94"/>
      <c r="AJ1318" s="94" t="s">
        <v>783</v>
      </c>
      <c r="AK1318" s="94" t="s">
        <v>300</v>
      </c>
      <c r="AL1318" s="94">
        <v>190</v>
      </c>
      <c r="AM1318" s="94" t="str">
        <f>TRIM(AJ1318)&amp;TRIM(AL1318)&amp;TRIM(AK1318)</f>
      </c>
      <c r="AN1318" s="116">
        <v>1541</v>
      </c>
      <c r="AO1318" s="116">
        <v>190.99</v>
      </c>
      <c r="AP1318" s="116">
        <f>SUMIFS(M:M,AM:AM,AM1318)+SUMIFS(O:O,AM:AM,AM1318)</f>
      </c>
      <c r="AQ1318" s="116">
        <f>SUMIFS(L:L,AM:AM,AM1318)</f>
      </c>
      <c r="AR1318" s="116">
        <f>AQ1318-AP1318</f>
      </c>
      <c r="AS1318" s="94" t="str">
        <f>IF(AN1318&gt;=AQ1318,"ok","ck")</f>
      </c>
      <c r="AT1318" s="116">
        <f>-P1318</f>
      </c>
      <c r="AU1318" s="115">
        <f>IF(SUMIFS(AT:AT,AM:AM,AM1318)&gt;AO1318,(SUMIFS(AT:AT,AM:AM,AM1318)-AO1318))</f>
      </c>
      <c r="AV1318" s="116">
        <v>1541</v>
      </c>
      <c r="AW1318" s="121">
        <v>0.89</v>
      </c>
      <c r="AX1318" s="115">
        <f>AN1318-AP1318</f>
      </c>
    </row>
    <row r="1319" spans="1:50" ht="15" hidden="1" customHeight="1" x14ac:dyDescent="0.3">
      <c r="A1319" s="94" t="s">
        <v>288</v>
      </c>
      <c r="B1319" s="94"/>
      <c r="C1319" s="94"/>
      <c r="D1319" s="94"/>
      <c r="E1319" s="94"/>
      <c r="F1319" s="94"/>
      <c r="G1319" s="112">
        <f>AU1319</f>
      </c>
      <c r="H1319" s="113"/>
      <c r="I1319" s="94" t="s">
        <v>297</v>
      </c>
      <c r="J1319" s="94" t="s">
        <v>298</v>
      </c>
      <c r="K1319" s="114">
        <f>P1319/3</f>
      </c>
      <c r="L1319" s="115">
        <v>105.206</v>
      </c>
      <c r="M1319" s="116"/>
      <c r="N1319" s="117">
        <f>M1319-L1319</f>
      </c>
      <c r="O1319" s="112"/>
      <c r="P1319" s="118">
        <f>N1319+O1319</f>
      </c>
      <c r="Q1319" s="94" t="s">
        <v>332</v>
      </c>
      <c r="R1319" s="94" t="s">
        <v>63</v>
      </c>
      <c r="S1319" s="119">
        <v>46336</v>
      </c>
      <c r="T1319" s="119"/>
      <c r="U1319" s="119">
        <v>46336</v>
      </c>
      <c r="V1319" s="94"/>
      <c r="W1319" s="94"/>
      <c r="X1319" s="94"/>
      <c r="Y1319" s="119">
        <v>46320</v>
      </c>
      <c r="Z1319" s="94"/>
      <c r="AA1319" s="120"/>
      <c r="AB1319" s="120"/>
      <c r="AC1319" s="120"/>
      <c r="AD1319" s="120"/>
      <c r="AE1319" s="120"/>
      <c r="AF1319" s="120"/>
      <c r="AG1319" s="94"/>
      <c r="AH1319" s="120"/>
      <c r="AI1319" s="94"/>
      <c r="AJ1319" s="94" t="s">
        <v>783</v>
      </c>
      <c r="AK1319" s="94" t="s">
        <v>300</v>
      </c>
      <c r="AL1319" s="94">
        <v>190</v>
      </c>
      <c r="AM1319" s="94" t="str">
        <f>TRIM(AJ1319)&amp;TRIM(AL1319)&amp;TRIM(AK1319)</f>
      </c>
      <c r="AN1319" s="116">
        <v>1541</v>
      </c>
      <c r="AO1319" s="116">
        <v>190.99</v>
      </c>
      <c r="AP1319" s="116">
        <f>SUMIFS(M:M,AM:AM,AM1319)+SUMIFS(O:O,AM:AM,AM1319)</f>
      </c>
      <c r="AQ1319" s="116">
        <f>SUMIFS(L:L,AM:AM,AM1319)</f>
      </c>
      <c r="AR1319" s="116">
        <f>AQ1319-AP1319</f>
      </c>
      <c r="AS1319" s="94" t="str">
        <f>IF(AN1319&gt;=AQ1319,"ok","ck")</f>
      </c>
      <c r="AT1319" s="116">
        <f>-P1319</f>
      </c>
      <c r="AU1319" s="115">
        <f>IF(SUMIFS(AT:AT,AM:AM,AM1319)&gt;AO1319,(SUMIFS(AT:AT,AM:AM,AM1319)-AO1319))</f>
      </c>
      <c r="AV1319" s="116">
        <v>1541</v>
      </c>
      <c r="AW1319" s="121">
        <v>0.89</v>
      </c>
      <c r="AX1319" s="115">
        <f>AN1319-AP1319</f>
      </c>
    </row>
    <row r="1320" spans="1:50" ht="15" hidden="1" customHeight="1" x14ac:dyDescent="0.3">
      <c r="A1320" s="94" t="s">
        <v>268</v>
      </c>
      <c r="B1320" s="94"/>
      <c r="C1320" s="94"/>
      <c r="D1320" s="94"/>
      <c r="E1320" s="94"/>
      <c r="F1320" s="94"/>
      <c r="G1320" s="112">
        <f>AU1320</f>
      </c>
      <c r="H1320" s="113"/>
      <c r="I1320" s="94" t="s">
        <v>278</v>
      </c>
      <c r="J1320" s="94" t="s">
        <v>535</v>
      </c>
      <c r="K1320" s="114">
        <f>P1320/3</f>
      </c>
      <c r="L1320" s="115">
        <v>0</v>
      </c>
      <c r="M1320" s="116"/>
      <c r="N1320" s="117">
        <f>M1320-L1320</f>
      </c>
      <c r="O1320" s="112"/>
      <c r="P1320" s="118">
        <f>N1320+O1320</f>
      </c>
      <c r="Q1320" s="94" t="s">
        <v>778</v>
      </c>
      <c r="R1320" s="94" t="s">
        <v>63</v>
      </c>
      <c r="S1320" s="119">
        <v>46343</v>
      </c>
      <c r="T1320" s="119"/>
      <c r="U1320" s="119">
        <v>46343</v>
      </c>
      <c r="V1320" s="94"/>
      <c r="W1320" s="94"/>
      <c r="X1320" s="94"/>
      <c r="Y1320" s="119">
        <v>46343</v>
      </c>
      <c r="Z1320" s="94"/>
      <c r="AA1320" s="120"/>
      <c r="AB1320" s="120"/>
      <c r="AC1320" s="120"/>
      <c r="AD1320" s="120"/>
      <c r="AE1320" s="120"/>
      <c r="AF1320" s="120"/>
      <c r="AG1320" s="94"/>
      <c r="AH1320" s="120"/>
      <c r="AI1320" s="94"/>
      <c r="AJ1320" s="94" t="s">
        <v>778</v>
      </c>
      <c r="AK1320" s="94" t="s">
        <v>719</v>
      </c>
      <c r="AL1320" s="94">
        <v>120</v>
      </c>
      <c r="AM1320" s="94" t="str">
        <f>TRIM(AJ1320)&amp;TRIM(AL1320)&amp;TRIM(AK1320)</f>
      </c>
      <c r="AN1320" s="116">
        <v>0</v>
      </c>
      <c r="AO1320" s="116" t="inlineStr">
        <is>
          <t>#NA</t>
        </is>
      </c>
      <c r="AP1320" s="116">
        <f>SUMIFS(M:M,AM:AM,AM1320)+SUMIFS(O:O,AM:AM,AM1320)</f>
      </c>
      <c r="AQ1320" s="116">
        <f>SUMIFS(L:L,AM:AM,AM1320)</f>
      </c>
      <c r="AR1320" s="116">
        <f>AQ1320-AP1320</f>
      </c>
      <c r="AS1320" s="94" t="str">
        <f>IF(AN1320&gt;=AQ1320,"ok","ck")</f>
      </c>
      <c r="AT1320" s="116">
        <f>-P1320</f>
      </c>
      <c r="AU1320" s="115">
        <f>IF(SUMIFS(AT:AT,AM:AM,AM1320)&gt;AO1320,(SUMIFS(AT:AT,AM:AM,AM1320)-AO1320))</f>
      </c>
      <c r="AV1320" s="116">
        <v>0</v>
      </c>
      <c r="AW1320" s="121">
        <v>0</v>
      </c>
      <c r="AX1320" s="115">
        <f>AN1320-AP1320</f>
      </c>
    </row>
    <row r="1321" spans="1:50" ht="15" hidden="1" customHeight="1" x14ac:dyDescent="0.3">
      <c r="A1321" s="94" t="s">
        <v>268</v>
      </c>
      <c r="B1321" s="94"/>
      <c r="C1321" s="94"/>
      <c r="D1321" s="94"/>
      <c r="E1321" s="94"/>
      <c r="F1321" s="94"/>
      <c r="G1321" s="112">
        <f>AU1321</f>
      </c>
      <c r="H1321" s="113"/>
      <c r="I1321" s="94" t="s">
        <v>278</v>
      </c>
      <c r="J1321" s="94" t="s">
        <v>535</v>
      </c>
      <c r="K1321" s="114">
        <f>P1321/3</f>
      </c>
      <c r="L1321" s="115">
        <v>0.14399999999999999</v>
      </c>
      <c r="M1321" s="116"/>
      <c r="N1321" s="117">
        <f>M1321-L1321</f>
      </c>
      <c r="O1321" s="112"/>
      <c r="P1321" s="118">
        <f>N1321+O1321</f>
      </c>
      <c r="Q1321" s="94" t="s">
        <v>778</v>
      </c>
      <c r="R1321" s="94" t="s">
        <v>63</v>
      </c>
      <c r="S1321" s="119">
        <v>46334</v>
      </c>
      <c r="T1321" s="119"/>
      <c r="U1321" s="119">
        <v>46334</v>
      </c>
      <c r="V1321" s="94"/>
      <c r="W1321" s="94"/>
      <c r="X1321" s="94"/>
      <c r="Y1321" s="119">
        <v>46334</v>
      </c>
      <c r="Z1321" s="94"/>
      <c r="AA1321" s="120"/>
      <c r="AB1321" s="120"/>
      <c r="AC1321" s="120"/>
      <c r="AD1321" s="120"/>
      <c r="AE1321" s="120"/>
      <c r="AF1321" s="120"/>
      <c r="AG1321" s="94"/>
      <c r="AH1321" s="120"/>
      <c r="AI1321" s="94"/>
      <c r="AJ1321" s="94" t="s">
        <v>778</v>
      </c>
      <c r="AK1321" s="94" t="s">
        <v>719</v>
      </c>
      <c r="AL1321" s="94">
        <v>120</v>
      </c>
      <c r="AM1321" s="94" t="str">
        <f>TRIM(AJ1321)&amp;TRIM(AL1321)&amp;TRIM(AK1321)</f>
      </c>
      <c r="AN1321" s="116">
        <v>0</v>
      </c>
      <c r="AO1321" s="116" t="inlineStr">
        <is>
          <t>#NA</t>
        </is>
      </c>
      <c r="AP1321" s="116">
        <f>SUMIFS(M:M,AM:AM,AM1321)+SUMIFS(O:O,AM:AM,AM1321)</f>
      </c>
      <c r="AQ1321" s="116">
        <f>SUMIFS(L:L,AM:AM,AM1321)</f>
      </c>
      <c r="AR1321" s="116">
        <f>AQ1321-AP1321</f>
      </c>
      <c r="AS1321" s="94" t="str">
        <f>IF(AN1321&gt;=AQ1321,"ok","ck")</f>
      </c>
      <c r="AT1321" s="116">
        <f>-P1321</f>
      </c>
      <c r="AU1321" s="115">
        <f>IF(SUMIFS(AT:AT,AM:AM,AM1321)&gt;AO1321,(SUMIFS(AT:AT,AM:AM,AM1321)-AO1321))</f>
      </c>
      <c r="AV1321" s="116">
        <v>0</v>
      </c>
      <c r="AW1321" s="121">
        <v>0</v>
      </c>
      <c r="AX1321" s="115">
        <f>AN1321-AP1321</f>
      </c>
    </row>
    <row r="1322" spans="1:50" ht="15" hidden="1" customHeight="1" x14ac:dyDescent="0.3">
      <c r="A1322" s="94" t="s">
        <v>268</v>
      </c>
      <c r="B1322" s="94"/>
      <c r="C1322" s="94"/>
      <c r="D1322" s="94"/>
      <c r="E1322" s="94"/>
      <c r="F1322" s="94"/>
      <c r="G1322" s="112">
        <f>AU1322</f>
      </c>
      <c r="H1322" s="113"/>
      <c r="I1322" s="94" t="s">
        <v>390</v>
      </c>
      <c r="J1322" s="94" t="s">
        <v>273</v>
      </c>
      <c r="K1322" s="114">
        <f>P1322/3</f>
      </c>
      <c r="L1322" s="115">
        <v>3.246</v>
      </c>
      <c r="M1322" s="116"/>
      <c r="N1322" s="117">
        <f>M1322-L1322</f>
      </c>
      <c r="O1322" s="112"/>
      <c r="P1322" s="118">
        <f>N1322+O1322</f>
      </c>
      <c r="Q1322" s="94" t="s">
        <v>812</v>
      </c>
      <c r="R1322" s="94" t="s">
        <v>63</v>
      </c>
      <c r="S1322" s="119">
        <v>46344</v>
      </c>
      <c r="T1322" s="119"/>
      <c r="U1322" s="119">
        <v>46344</v>
      </c>
      <c r="V1322" s="94"/>
      <c r="W1322" s="94"/>
      <c r="X1322" s="94"/>
      <c r="Y1322" s="119">
        <v>46340</v>
      </c>
      <c r="Z1322" s="94"/>
      <c r="AA1322" s="120"/>
      <c r="AB1322" s="120"/>
      <c r="AC1322" s="120"/>
      <c r="AD1322" s="120"/>
      <c r="AE1322" s="120"/>
      <c r="AF1322" s="120"/>
      <c r="AG1322" s="94"/>
      <c r="AH1322" s="120"/>
      <c r="AI1322" s="94"/>
      <c r="AJ1322" s="94" t="s">
        <v>812</v>
      </c>
      <c r="AK1322" s="94" t="s">
        <v>274</v>
      </c>
      <c r="AL1322" s="94">
        <v>140</v>
      </c>
      <c r="AM1322" s="94" t="str">
        <f>TRIM(AJ1322)&amp;TRIM(AL1322)&amp;TRIM(AK1322)</f>
      </c>
      <c r="AN1322" s="116">
        <v>0</v>
      </c>
      <c r="AO1322" s="116" t="inlineStr">
        <is>
          <t>#NA</t>
        </is>
      </c>
      <c r="AP1322" s="116">
        <f>SUMIFS(M:M,AM:AM,AM1322)+SUMIFS(O:O,AM:AM,AM1322)</f>
      </c>
      <c r="AQ1322" s="116">
        <f>SUMIFS(L:L,AM:AM,AM1322)</f>
      </c>
      <c r="AR1322" s="116">
        <f>AQ1322-AP1322</f>
      </c>
      <c r="AS1322" s="94" t="str">
        <f>IF(AN1322&gt;=AQ1322,"ok","ck")</f>
      </c>
      <c r="AT1322" s="116">
        <f>-P1322</f>
      </c>
      <c r="AU1322" s="115">
        <f>IF(SUMIFS(AT:AT,AM:AM,AM1322)&gt;AO1322,(SUMIFS(AT:AT,AM:AM,AM1322)-AO1322))</f>
      </c>
      <c r="AV1322" s="116">
        <v>0</v>
      </c>
      <c r="AW1322" s="121">
        <v>0</v>
      </c>
      <c r="AX1322" s="115">
        <f>AN1322-AP1322</f>
      </c>
    </row>
    <row r="1323" spans="1:50" ht="15" hidden="1" customHeight="1" x14ac:dyDescent="0.3">
      <c r="A1323" s="94" t="s">
        <v>268</v>
      </c>
      <c r="B1323" s="94"/>
      <c r="C1323" s="94"/>
      <c r="D1323" s="94"/>
      <c r="E1323" s="94"/>
      <c r="F1323" s="94"/>
      <c r="G1323" s="112">
        <f>AU1323</f>
      </c>
      <c r="H1323" s="113"/>
      <c r="I1323" s="94" t="s">
        <v>278</v>
      </c>
      <c r="J1323" s="94" t="s">
        <v>503</v>
      </c>
      <c r="K1323" s="114">
        <f>P1323/3</f>
      </c>
      <c r="L1323" s="115">
        <v>50.924999999999997</v>
      </c>
      <c r="M1323" s="116"/>
      <c r="N1323" s="117">
        <f>M1323-L1323</f>
      </c>
      <c r="O1323" s="112"/>
      <c r="P1323" s="118">
        <f>N1323+O1323</f>
      </c>
      <c r="Q1323" s="94" t="s">
        <v>807</v>
      </c>
      <c r="R1323" s="94" t="s">
        <v>63</v>
      </c>
      <c r="S1323" s="119">
        <v>46346</v>
      </c>
      <c r="T1323" s="119"/>
      <c r="U1323" s="119">
        <v>46346</v>
      </c>
      <c r="V1323" s="94"/>
      <c r="W1323" s="94"/>
      <c r="X1323" s="94"/>
      <c r="Y1323" s="119">
        <v>46342</v>
      </c>
      <c r="Z1323" s="94"/>
      <c r="AA1323" s="120"/>
      <c r="AB1323" s="120"/>
      <c r="AC1323" s="120"/>
      <c r="AD1323" s="120"/>
      <c r="AE1323" s="120"/>
      <c r="AF1323" s="120"/>
      <c r="AG1323" s="94"/>
      <c r="AH1323" s="120"/>
      <c r="AI1323" s="94"/>
      <c r="AJ1323" s="94" t="s">
        <v>807</v>
      </c>
      <c r="AK1323" s="94" t="s">
        <v>697</v>
      </c>
      <c r="AL1323" s="94">
        <v>120</v>
      </c>
      <c r="AM1323" s="94" t="str">
        <f>TRIM(AJ1323)&amp;TRIM(AL1323)&amp;TRIM(AK1323)</f>
      </c>
      <c r="AN1323" s="116">
        <v>0</v>
      </c>
      <c r="AO1323" s="116" t="inlineStr">
        <is>
          <t>#NA</t>
        </is>
      </c>
      <c r="AP1323" s="116">
        <f>SUMIFS(M:M,AM:AM,AM1323)+SUMIFS(O:O,AM:AM,AM1323)</f>
      </c>
      <c r="AQ1323" s="116">
        <f>SUMIFS(L:L,AM:AM,AM1323)</f>
      </c>
      <c r="AR1323" s="116">
        <f>AQ1323-AP1323</f>
      </c>
      <c r="AS1323" s="94" t="str">
        <f>IF(AN1323&gt;=AQ1323,"ok","ck")</f>
      </c>
      <c r="AT1323" s="116">
        <f>-P1323</f>
      </c>
      <c r="AU1323" s="115">
        <f>IF(SUMIFS(AT:AT,AM:AM,AM1323)&gt;AO1323,(SUMIFS(AT:AT,AM:AM,AM1323)-AO1323))</f>
      </c>
      <c r="AV1323" s="116">
        <v>0</v>
      </c>
      <c r="AW1323" s="121">
        <v>0</v>
      </c>
      <c r="AX1323" s="115">
        <f>AN1323-AP1323</f>
      </c>
    </row>
    <row r="1324" spans="1:50" ht="15" hidden="1" customHeight="1" x14ac:dyDescent="0.3">
      <c r="A1324" s="94" t="s">
        <v>268</v>
      </c>
      <c r="B1324" s="94"/>
      <c r="C1324" s="94"/>
      <c r="D1324" s="94"/>
      <c r="E1324" s="94"/>
      <c r="F1324" s="94"/>
      <c r="G1324" s="112">
        <f>AU1324</f>
      </c>
      <c r="H1324" s="113"/>
      <c r="I1324" s="94" t="s">
        <v>278</v>
      </c>
      <c r="J1324" s="94" t="s">
        <v>503</v>
      </c>
      <c r="K1324" s="114">
        <f>P1324/3</f>
      </c>
      <c r="L1324" s="115">
        <v>32.381999999999998</v>
      </c>
      <c r="M1324" s="116"/>
      <c r="N1324" s="117">
        <f>M1324-L1324</f>
      </c>
      <c r="O1324" s="112"/>
      <c r="P1324" s="118">
        <f>N1324+O1324</f>
      </c>
      <c r="Q1324" s="94" t="s">
        <v>807</v>
      </c>
      <c r="R1324" s="94" t="s">
        <v>63</v>
      </c>
      <c r="S1324" s="119">
        <v>46346</v>
      </c>
      <c r="T1324" s="119"/>
      <c r="U1324" s="119">
        <v>46346</v>
      </c>
      <c r="V1324" s="94"/>
      <c r="W1324" s="94"/>
      <c r="X1324" s="94"/>
      <c r="Y1324" s="119">
        <v>46328</v>
      </c>
      <c r="Z1324" s="94"/>
      <c r="AA1324" s="120"/>
      <c r="AB1324" s="120"/>
      <c r="AC1324" s="120"/>
      <c r="AD1324" s="120"/>
      <c r="AE1324" s="120"/>
      <c r="AF1324" s="120"/>
      <c r="AG1324" s="94"/>
      <c r="AH1324" s="120"/>
      <c r="AI1324" s="94"/>
      <c r="AJ1324" s="94" t="s">
        <v>807</v>
      </c>
      <c r="AK1324" s="94" t="s">
        <v>697</v>
      </c>
      <c r="AL1324" s="94">
        <v>120</v>
      </c>
      <c r="AM1324" s="94" t="str">
        <f>TRIM(AJ1324)&amp;TRIM(AL1324)&amp;TRIM(AK1324)</f>
      </c>
      <c r="AN1324" s="116">
        <v>0</v>
      </c>
      <c r="AO1324" s="116" t="inlineStr">
        <is>
          <t>#NA</t>
        </is>
      </c>
      <c r="AP1324" s="116">
        <f>SUMIFS(M:M,AM:AM,AM1324)+SUMIFS(O:O,AM:AM,AM1324)</f>
      </c>
      <c r="AQ1324" s="116">
        <f>SUMIFS(L:L,AM:AM,AM1324)</f>
      </c>
      <c r="AR1324" s="116">
        <f>AQ1324-AP1324</f>
      </c>
      <c r="AS1324" s="94" t="str">
        <f>IF(AN1324&gt;=AQ1324,"ok","ck")</f>
      </c>
      <c r="AT1324" s="116">
        <f>-P1324</f>
      </c>
      <c r="AU1324" s="115">
        <f>IF(SUMIFS(AT:AT,AM:AM,AM1324)&gt;AO1324,(SUMIFS(AT:AT,AM:AM,AM1324)-AO1324))</f>
      </c>
      <c r="AV1324" s="116">
        <v>0</v>
      </c>
      <c r="AW1324" s="121">
        <v>0</v>
      </c>
      <c r="AX1324" s="115">
        <f>AN1324-AP1324</f>
      </c>
    </row>
    <row r="1325" spans="1:50" ht="15" hidden="1" customHeight="1" x14ac:dyDescent="0.3">
      <c r="A1325" s="94" t="s">
        <v>480</v>
      </c>
      <c r="B1325" s="94"/>
      <c r="C1325" s="94"/>
      <c r="D1325" s="94"/>
      <c r="E1325" s="94"/>
      <c r="F1325" s="94"/>
      <c r="G1325" s="112">
        <f>AU1325</f>
      </c>
      <c r="H1325" s="113"/>
      <c r="I1325" s="94" t="s">
        <v>486</v>
      </c>
      <c r="J1325" s="94" t="s">
        <v>543</v>
      </c>
      <c r="K1325" s="114">
        <f>P1325/3</f>
      </c>
      <c r="L1325" s="115">
        <v>56.17</v>
      </c>
      <c r="M1325" s="116"/>
      <c r="N1325" s="117">
        <f>M1325-L1325</f>
      </c>
      <c r="O1325" s="112"/>
      <c r="P1325" s="118">
        <f>N1325+O1325</f>
      </c>
      <c r="Q1325" s="94" t="s">
        <v>782</v>
      </c>
      <c r="R1325" s="94" t="s">
        <v>63</v>
      </c>
      <c r="S1325" s="119">
        <v>46329</v>
      </c>
      <c r="T1325" s="119"/>
      <c r="U1325" s="119">
        <v>46329</v>
      </c>
      <c r="V1325" s="94"/>
      <c r="W1325" s="94"/>
      <c r="X1325" s="94"/>
      <c r="Y1325" s="119">
        <v>46338</v>
      </c>
      <c r="Z1325" s="94"/>
      <c r="AA1325" s="120"/>
      <c r="AB1325" s="120"/>
      <c r="AC1325" s="120"/>
      <c r="AD1325" s="120"/>
      <c r="AE1325" s="120"/>
      <c r="AF1325" s="120"/>
      <c r="AG1325" s="94"/>
      <c r="AH1325" s="120"/>
      <c r="AI1325" s="94"/>
      <c r="AJ1325" s="94" t="s">
        <v>782</v>
      </c>
      <c r="AK1325" s="94" t="s">
        <v>696</v>
      </c>
      <c r="AL1325" s="94">
        <v>165</v>
      </c>
      <c r="AM1325" s="94" t="str">
        <f>TRIM(AJ1325)&amp;TRIM(AL1325)&amp;TRIM(AK1325)</f>
      </c>
      <c r="AN1325" s="116">
        <v>0</v>
      </c>
      <c r="AO1325" s="116" t="inlineStr">
        <is>
          <t>#NA</t>
        </is>
      </c>
      <c r="AP1325" s="116">
        <f>SUMIFS(M:M,AM:AM,AM1325)+SUMIFS(O:O,AM:AM,AM1325)</f>
      </c>
      <c r="AQ1325" s="116">
        <f>SUMIFS(L:L,AM:AM,AM1325)</f>
      </c>
      <c r="AR1325" s="116">
        <f>AQ1325-AP1325</f>
      </c>
      <c r="AS1325" s="94" t="str">
        <f>IF(AN1325&gt;=AQ1325,"ok","ck")</f>
      </c>
      <c r="AT1325" s="116">
        <f>-P1325</f>
      </c>
      <c r="AU1325" s="115">
        <f>IF(SUMIFS(AT:AT,AM:AM,AM1325)&gt;AO1325,(SUMIFS(AT:AT,AM:AM,AM1325)-AO1325))</f>
      </c>
      <c r="AV1325" s="116">
        <v>0</v>
      </c>
      <c r="AW1325" s="121">
        <v>0</v>
      </c>
      <c r="AX1325" s="115">
        <f>AN1325-AP1325</f>
      </c>
    </row>
    <row r="1326" spans="1:50" ht="15" hidden="1" customHeight="1" x14ac:dyDescent="0.3">
      <c r="A1326" s="94" t="s">
        <v>480</v>
      </c>
      <c r="B1326" s="94"/>
      <c r="C1326" s="94"/>
      <c r="D1326" s="94"/>
      <c r="E1326" s="94"/>
      <c r="F1326" s="94"/>
      <c r="G1326" s="112">
        <f>AU1326</f>
      </c>
      <c r="H1326" s="113"/>
      <c r="I1326" s="94" t="s">
        <v>486</v>
      </c>
      <c r="J1326" s="94" t="s">
        <v>543</v>
      </c>
      <c r="K1326" s="114">
        <f>P1326/3</f>
      </c>
      <c r="L1326" s="115">
        <v>7.66</v>
      </c>
      <c r="M1326" s="116"/>
      <c r="N1326" s="117">
        <f>M1326-L1326</f>
      </c>
      <c r="O1326" s="112"/>
      <c r="P1326" s="118">
        <f>N1326+O1326</f>
      </c>
      <c r="Q1326" s="94" t="s">
        <v>782</v>
      </c>
      <c r="R1326" s="94" t="s">
        <v>63</v>
      </c>
      <c r="S1326" s="119">
        <v>46329</v>
      </c>
      <c r="T1326" s="119"/>
      <c r="U1326" s="119">
        <v>46329</v>
      </c>
      <c r="V1326" s="94"/>
      <c r="W1326" s="94"/>
      <c r="X1326" s="94"/>
      <c r="Y1326" s="119">
        <v>46338</v>
      </c>
      <c r="Z1326" s="94"/>
      <c r="AA1326" s="120"/>
      <c r="AB1326" s="120"/>
      <c r="AC1326" s="120"/>
      <c r="AD1326" s="120"/>
      <c r="AE1326" s="120"/>
      <c r="AF1326" s="120"/>
      <c r="AG1326" s="94"/>
      <c r="AH1326" s="120"/>
      <c r="AI1326" s="94"/>
      <c r="AJ1326" s="94" t="s">
        <v>782</v>
      </c>
      <c r="AK1326" s="94" t="s">
        <v>696</v>
      </c>
      <c r="AL1326" s="94">
        <v>165</v>
      </c>
      <c r="AM1326" s="94" t="str">
        <f>TRIM(AJ1326)&amp;TRIM(AL1326)&amp;TRIM(AK1326)</f>
      </c>
      <c r="AN1326" s="116">
        <v>0</v>
      </c>
      <c r="AO1326" s="116" t="inlineStr">
        <is>
          <t>#NA</t>
        </is>
      </c>
      <c r="AP1326" s="116">
        <f>SUMIFS(M:M,AM:AM,AM1326)+SUMIFS(O:O,AM:AM,AM1326)</f>
      </c>
      <c r="AQ1326" s="116">
        <f>SUMIFS(L:L,AM:AM,AM1326)</f>
      </c>
      <c r="AR1326" s="116">
        <f>AQ1326-AP1326</f>
      </c>
      <c r="AS1326" s="94" t="str">
        <f>IF(AN1326&gt;=AQ1326,"ok","ck")</f>
      </c>
      <c r="AT1326" s="116">
        <f>-P1326</f>
      </c>
      <c r="AU1326" s="115">
        <f>IF(SUMIFS(AT:AT,AM:AM,AM1326)&gt;AO1326,(SUMIFS(AT:AT,AM:AM,AM1326)-AO1326))</f>
      </c>
      <c r="AV1326" s="116">
        <v>0</v>
      </c>
      <c r="AW1326" s="121">
        <v>0</v>
      </c>
      <c r="AX1326" s="115">
        <f>AN1326-AP1326</f>
      </c>
    </row>
    <row r="1327" spans="1:50" ht="15" hidden="1" customHeight="1" x14ac:dyDescent="0.3">
      <c r="A1327" s="94" t="s">
        <v>480</v>
      </c>
      <c r="B1327" s="94"/>
      <c r="C1327" s="94"/>
      <c r="D1327" s="94"/>
      <c r="E1327" s="94"/>
      <c r="F1327" s="94"/>
      <c r="G1327" s="112">
        <f>AU1327</f>
      </c>
      <c r="H1327" s="113"/>
      <c r="I1327" s="94" t="s">
        <v>486</v>
      </c>
      <c r="J1327" s="94" t="s">
        <v>543</v>
      </c>
      <c r="K1327" s="114">
        <f>P1327/3</f>
      </c>
      <c r="L1327" s="115">
        <v>14.56</v>
      </c>
      <c r="M1327" s="116"/>
      <c r="N1327" s="117">
        <f>M1327-L1327</f>
      </c>
      <c r="O1327" s="112"/>
      <c r="P1327" s="118">
        <f>N1327+O1327</f>
      </c>
      <c r="Q1327" s="94" t="s">
        <v>782</v>
      </c>
      <c r="R1327" s="94" t="s">
        <v>63</v>
      </c>
      <c r="S1327" s="119">
        <v>46329</v>
      </c>
      <c r="T1327" s="119"/>
      <c r="U1327" s="119">
        <v>46329</v>
      </c>
      <c r="V1327" s="94"/>
      <c r="W1327" s="94"/>
      <c r="X1327" s="94"/>
      <c r="Y1327" s="119">
        <v>46338</v>
      </c>
      <c r="Z1327" s="94"/>
      <c r="AA1327" s="120"/>
      <c r="AB1327" s="120"/>
      <c r="AC1327" s="120"/>
      <c r="AD1327" s="120"/>
      <c r="AE1327" s="120"/>
      <c r="AF1327" s="120"/>
      <c r="AG1327" s="94"/>
      <c r="AH1327" s="120"/>
      <c r="AI1327" s="94"/>
      <c r="AJ1327" s="94" t="s">
        <v>782</v>
      </c>
      <c r="AK1327" s="94" t="s">
        <v>696</v>
      </c>
      <c r="AL1327" s="94">
        <v>165</v>
      </c>
      <c r="AM1327" s="94" t="str">
        <f>TRIM(AJ1327)&amp;TRIM(AL1327)&amp;TRIM(AK1327)</f>
      </c>
      <c r="AN1327" s="116">
        <v>0</v>
      </c>
      <c r="AO1327" s="116" t="inlineStr">
        <is>
          <t>#NA</t>
        </is>
      </c>
      <c r="AP1327" s="116">
        <f>SUMIFS(M:M,AM:AM,AM1327)+SUMIFS(O:O,AM:AM,AM1327)</f>
      </c>
      <c r="AQ1327" s="116">
        <f>SUMIFS(L:L,AM:AM,AM1327)</f>
      </c>
      <c r="AR1327" s="116">
        <f>AQ1327-AP1327</f>
      </c>
      <c r="AS1327" s="94" t="str">
        <f>IF(AN1327&gt;=AQ1327,"ok","ck")</f>
      </c>
      <c r="AT1327" s="116">
        <f>-P1327</f>
      </c>
      <c r="AU1327" s="115">
        <f>IF(SUMIFS(AT:AT,AM:AM,AM1327)&gt;AO1327,(SUMIFS(AT:AT,AM:AM,AM1327)-AO1327))</f>
      </c>
      <c r="AV1327" s="116">
        <v>0</v>
      </c>
      <c r="AW1327" s="121">
        <v>0</v>
      </c>
      <c r="AX1327" s="115">
        <f>AN1327-AP1327</f>
      </c>
    </row>
    <row r="1328" spans="1:50" ht="15" hidden="1" customHeight="1" x14ac:dyDescent="0.3">
      <c r="A1328" s="94" t="s">
        <v>60</v>
      </c>
      <c r="B1328" s="94"/>
      <c r="C1328" s="94"/>
      <c r="D1328" s="94"/>
      <c r="E1328" s="94"/>
      <c r="F1328" s="94"/>
      <c r="G1328" s="112">
        <f>AU1328</f>
      </c>
      <c r="H1328" s="113"/>
      <c r="I1328" s="94" t="s">
        <v>65</v>
      </c>
      <c r="J1328" s="94" t="s">
        <v>66</v>
      </c>
      <c r="K1328" s="114">
        <f>P1328/3</f>
      </c>
      <c r="L1328" s="115">
        <v>0.19800000000000001</v>
      </c>
      <c r="M1328" s="116"/>
      <c r="N1328" s="117">
        <f>M1328-L1328</f>
      </c>
      <c r="O1328" s="112"/>
      <c r="P1328" s="118">
        <f>N1328+O1328</f>
      </c>
      <c r="Q1328" s="94" t="s">
        <v>67</v>
      </c>
      <c r="R1328" s="94" t="s">
        <v>63</v>
      </c>
      <c r="S1328" s="119">
        <v>46325</v>
      </c>
      <c r="T1328" s="119"/>
      <c r="U1328" s="119">
        <v>46325</v>
      </c>
      <c r="V1328" s="94"/>
      <c r="W1328" s="94"/>
      <c r="X1328" s="94"/>
      <c r="Y1328" s="119">
        <v>46341</v>
      </c>
      <c r="Z1328" s="94"/>
      <c r="AA1328" s="120"/>
      <c r="AB1328" s="120"/>
      <c r="AC1328" s="120"/>
      <c r="AD1328" s="120"/>
      <c r="AE1328" s="120"/>
      <c r="AF1328" s="120"/>
      <c r="AG1328" s="94"/>
      <c r="AH1328" s="120"/>
      <c r="AI1328" s="94"/>
      <c r="AJ1328" s="94" t="s">
        <v>67</v>
      </c>
      <c r="AK1328" s="94" t="s">
        <v>66</v>
      </c>
      <c r="AL1328" s="94">
        <v>110</v>
      </c>
      <c r="AM1328" s="94" t="str">
        <f>TRIM(AJ1328)&amp;TRIM(AL1328)&amp;TRIM(AK1328)</f>
      </c>
      <c r="AN1328" s="116">
        <v>1536.41</v>
      </c>
      <c r="AO1328" s="116">
        <v>113.59</v>
      </c>
      <c r="AP1328" s="116">
        <f>SUMIFS(M:M,AM:AM,AM1328)+SUMIFS(O:O,AM:AM,AM1328)</f>
      </c>
      <c r="AQ1328" s="116">
        <f>SUMIFS(L:L,AM:AM,AM1328)</f>
      </c>
      <c r="AR1328" s="116">
        <f>AQ1328-AP1328</f>
      </c>
      <c r="AS1328" s="94" t="str">
        <f>IF(AN1328&gt;=AQ1328,"ok","ck")</f>
      </c>
      <c r="AT1328" s="116">
        <f>-P1328</f>
      </c>
      <c r="AU1328" s="115">
        <f>IF(SUMIFS(AT:AT,AM:AM,AM1328)&gt;AO1328,(SUMIFS(AT:AT,AM:AM,AM1328)-AO1328))</f>
      </c>
      <c r="AV1328" s="116">
        <v>1536.41</v>
      </c>
      <c r="AW1328" s="121">
        <v>0.931</v>
      </c>
      <c r="AX1328" s="115">
        <f>AN1328-AP1328</f>
      </c>
    </row>
    <row r="1329" spans="1:50" ht="15" hidden="1" customHeight="1" x14ac:dyDescent="0.3">
      <c r="A1329" s="94" t="s">
        <v>60</v>
      </c>
      <c r="B1329" s="94"/>
      <c r="C1329" s="94"/>
      <c r="D1329" s="94"/>
      <c r="E1329" s="94"/>
      <c r="F1329" s="94"/>
      <c r="G1329" s="112">
        <f>AU1329</f>
      </c>
      <c r="H1329" s="113"/>
      <c r="I1329" s="94" t="s">
        <v>65</v>
      </c>
      <c r="J1329" s="94" t="s">
        <v>66</v>
      </c>
      <c r="K1329" s="114">
        <f>P1329/3</f>
      </c>
      <c r="L1329" s="115">
        <v>19.809999999999999</v>
      </c>
      <c r="M1329" s="116"/>
      <c r="N1329" s="117">
        <f>M1329-L1329</f>
      </c>
      <c r="O1329" s="112"/>
      <c r="P1329" s="118">
        <f>N1329+O1329</f>
      </c>
      <c r="Q1329" s="94" t="s">
        <v>67</v>
      </c>
      <c r="R1329" s="94" t="s">
        <v>63</v>
      </c>
      <c r="S1329" s="119">
        <v>46325</v>
      </c>
      <c r="T1329" s="119"/>
      <c r="U1329" s="119">
        <v>46325</v>
      </c>
      <c r="V1329" s="94"/>
      <c r="W1329" s="94"/>
      <c r="X1329" s="94"/>
      <c r="Y1329" s="119">
        <v>46326</v>
      </c>
      <c r="Z1329" s="94"/>
      <c r="AA1329" s="120"/>
      <c r="AB1329" s="120"/>
      <c r="AC1329" s="120"/>
      <c r="AD1329" s="120"/>
      <c r="AE1329" s="120"/>
      <c r="AF1329" s="120"/>
      <c r="AG1329" s="94"/>
      <c r="AH1329" s="120"/>
      <c r="AI1329" s="94"/>
      <c r="AJ1329" s="94" t="s">
        <v>67</v>
      </c>
      <c r="AK1329" s="94" t="s">
        <v>66</v>
      </c>
      <c r="AL1329" s="94">
        <v>110</v>
      </c>
      <c r="AM1329" s="94" t="str">
        <f>TRIM(AJ1329)&amp;TRIM(AL1329)&amp;TRIM(AK1329)</f>
      </c>
      <c r="AN1329" s="116">
        <v>1536.41</v>
      </c>
      <c r="AO1329" s="116">
        <v>113.59</v>
      </c>
      <c r="AP1329" s="116">
        <f>SUMIFS(M:M,AM:AM,AM1329)+SUMIFS(O:O,AM:AM,AM1329)</f>
      </c>
      <c r="AQ1329" s="116">
        <f>SUMIFS(L:L,AM:AM,AM1329)</f>
      </c>
      <c r="AR1329" s="116">
        <f>AQ1329-AP1329</f>
      </c>
      <c r="AS1329" s="94" t="str">
        <f>IF(AN1329&gt;=AQ1329,"ok","ck")</f>
      </c>
      <c r="AT1329" s="116">
        <f>-P1329</f>
      </c>
      <c r="AU1329" s="115">
        <f>IF(SUMIFS(AT:AT,AM:AM,AM1329)&gt;AO1329,(SUMIFS(AT:AT,AM:AM,AM1329)-AO1329))</f>
      </c>
      <c r="AV1329" s="116">
        <v>1536.41</v>
      </c>
      <c r="AW1329" s="121">
        <v>0.931</v>
      </c>
      <c r="AX1329" s="115">
        <f>AN1329-AP1329</f>
      </c>
    </row>
    <row r="1330" spans="1:50" ht="15" hidden="1" customHeight="1" x14ac:dyDescent="0.3">
      <c r="A1330" s="94" t="s">
        <v>60</v>
      </c>
      <c r="B1330" s="94"/>
      <c r="C1330" s="94"/>
      <c r="D1330" s="94"/>
      <c r="E1330" s="94"/>
      <c r="F1330" s="94"/>
      <c r="G1330" s="112">
        <f>AU1330</f>
      </c>
      <c r="H1330" s="113"/>
      <c r="I1330" s="94" t="s">
        <v>65</v>
      </c>
      <c r="J1330" s="94" t="s">
        <v>68</v>
      </c>
      <c r="K1330" s="114">
        <f>P1330/3</f>
      </c>
      <c r="L1330" s="115">
        <v>-0.86199999999999999</v>
      </c>
      <c r="M1330" s="116">
        <f>L1330</f>
      </c>
      <c r="N1330" s="117">
        <f>M1330-L1330</f>
      </c>
      <c r="O1330" s="112"/>
      <c r="P1330" s="118">
        <f>N1330+O1330</f>
      </c>
      <c r="Q1330" s="94" t="s">
        <v>67</v>
      </c>
      <c r="R1330" s="94" t="s">
        <v>63</v>
      </c>
      <c r="S1330" s="119">
        <v>46320</v>
      </c>
      <c r="T1330" s="119"/>
      <c r="U1330" s="119">
        <v>46320</v>
      </c>
      <c r="V1330" s="94"/>
      <c r="W1330" s="94"/>
      <c r="X1330" s="94"/>
      <c r="Y1330" s="119">
        <v>46320</v>
      </c>
      <c r="Z1330" s="94"/>
      <c r="AA1330" s="120"/>
      <c r="AB1330" s="120"/>
      <c r="AC1330" s="120"/>
      <c r="AD1330" s="120"/>
      <c r="AE1330" s="120"/>
      <c r="AF1330" s="120"/>
      <c r="AG1330" s="94"/>
      <c r="AH1330" s="120"/>
      <c r="AI1330" s="94"/>
      <c r="AJ1330" s="94" t="s">
        <v>67</v>
      </c>
      <c r="AK1330" s="94" t="s">
        <v>69</v>
      </c>
      <c r="AL1330" s="94">
        <v>110</v>
      </c>
      <c r="AM1330" s="94" t="str">
        <f>TRIM(AJ1330)&amp;TRIM(AL1330)&amp;TRIM(AK1330)</f>
      </c>
      <c r="AN1330" s="116">
        <v>269</v>
      </c>
      <c r="AO1330" s="116">
        <v>-14</v>
      </c>
      <c r="AP1330" s="116">
        <f>SUMIFS(M:M,AM:AM,AM1330)+SUMIFS(O:O,AM:AM,AM1330)</f>
      </c>
      <c r="AQ1330" s="116">
        <f>SUMIFS(L:L,AM:AM,AM1330)</f>
      </c>
      <c r="AR1330" s="116">
        <f>AQ1330-AP1330</f>
      </c>
      <c r="AS1330" s="94" t="str">
        <f>IF(AN1330&gt;=AQ1330,"ok","ck")</f>
      </c>
      <c r="AT1330" s="116">
        <f>-P1330</f>
      </c>
      <c r="AU1330" s="115">
        <f>IF(SUMIFS(AT:AT,AM:AM,AM1330)&gt;AO1330,(SUMIFS(AT:AT,AM:AM,AM1330)-AO1330))</f>
      </c>
      <c r="AV1330" s="116">
        <v>269</v>
      </c>
      <c r="AW1330" s="121">
        <v>1.055</v>
      </c>
      <c r="AX1330" s="115">
        <f>AN1330-AP1330</f>
      </c>
    </row>
    <row r="1331" spans="1:50" ht="15" hidden="1" customHeight="1" x14ac:dyDescent="0.3">
      <c r="A1331" s="94" t="s">
        <v>60</v>
      </c>
      <c r="B1331" s="94"/>
      <c r="C1331" s="94"/>
      <c r="D1331" s="94"/>
      <c r="E1331" s="94"/>
      <c r="F1331" s="94"/>
      <c r="G1331" s="112">
        <f>AU1331</f>
      </c>
      <c r="H1331" s="113"/>
      <c r="I1331" s="94" t="s">
        <v>65</v>
      </c>
      <c r="J1331" s="94" t="s">
        <v>68</v>
      </c>
      <c r="K1331" s="114">
        <f>P1331/3</f>
      </c>
      <c r="L1331" s="115">
        <v>-0.76900000000000002</v>
      </c>
      <c r="M1331" s="116">
        <f>L1331</f>
      </c>
      <c r="N1331" s="117">
        <f>M1331-L1331</f>
      </c>
      <c r="O1331" s="112"/>
      <c r="P1331" s="118">
        <f>N1331+O1331</f>
      </c>
      <c r="Q1331" s="94" t="s">
        <v>67</v>
      </c>
      <c r="R1331" s="94" t="s">
        <v>63</v>
      </c>
      <c r="S1331" s="119">
        <v>46337</v>
      </c>
      <c r="T1331" s="119"/>
      <c r="U1331" s="119">
        <v>46337</v>
      </c>
      <c r="V1331" s="94"/>
      <c r="W1331" s="94"/>
      <c r="X1331" s="94"/>
      <c r="Y1331" s="119">
        <v>46337</v>
      </c>
      <c r="Z1331" s="94"/>
      <c r="AA1331" s="120"/>
      <c r="AB1331" s="120"/>
      <c r="AC1331" s="120"/>
      <c r="AD1331" s="120"/>
      <c r="AE1331" s="120"/>
      <c r="AF1331" s="120"/>
      <c r="AG1331" s="94"/>
      <c r="AH1331" s="120"/>
      <c r="AI1331" s="94"/>
      <c r="AJ1331" s="94" t="s">
        <v>67</v>
      </c>
      <c r="AK1331" s="94" t="s">
        <v>69</v>
      </c>
      <c r="AL1331" s="94">
        <v>110</v>
      </c>
      <c r="AM1331" s="94" t="str">
        <f>TRIM(AJ1331)&amp;TRIM(AL1331)&amp;TRIM(AK1331)</f>
      </c>
      <c r="AN1331" s="116">
        <v>269</v>
      </c>
      <c r="AO1331" s="116">
        <v>-14</v>
      </c>
      <c r="AP1331" s="116">
        <f>SUMIFS(M:M,AM:AM,AM1331)+SUMIFS(O:O,AM:AM,AM1331)</f>
      </c>
      <c r="AQ1331" s="116">
        <f>SUMIFS(L:L,AM:AM,AM1331)</f>
      </c>
      <c r="AR1331" s="116">
        <f>AQ1331-AP1331</f>
      </c>
      <c r="AS1331" s="94" t="str">
        <f>IF(AN1331&gt;=AQ1331,"ok","ck")</f>
      </c>
      <c r="AT1331" s="116">
        <f>-P1331</f>
      </c>
      <c r="AU1331" s="115">
        <f>IF(SUMIFS(AT:AT,AM:AM,AM1331)&gt;AO1331,(SUMIFS(AT:AT,AM:AM,AM1331)-AO1331))</f>
      </c>
      <c r="AV1331" s="116">
        <v>269</v>
      </c>
      <c r="AW1331" s="121">
        <v>1.055</v>
      </c>
      <c r="AX1331" s="115">
        <f>AN1331-AP1331</f>
      </c>
    </row>
    <row r="1332" spans="1:50" ht="15" hidden="1" customHeight="1" x14ac:dyDescent="0.3">
      <c r="A1332" s="94" t="s">
        <v>60</v>
      </c>
      <c r="B1332" s="94"/>
      <c r="C1332" s="94"/>
      <c r="D1332" s="94"/>
      <c r="E1332" s="94"/>
      <c r="F1332" s="94"/>
      <c r="G1332" s="112">
        <f>AU1332</f>
      </c>
      <c r="H1332" s="113"/>
      <c r="I1332" s="94" t="s">
        <v>65</v>
      </c>
      <c r="J1332" s="94" t="s">
        <v>68</v>
      </c>
      <c r="K1332" s="114">
        <f>P1332/3</f>
      </c>
      <c r="L1332" s="115">
        <v>-4.0000000000000001E-3</v>
      </c>
      <c r="M1332" s="116">
        <f>L1332</f>
      </c>
      <c r="N1332" s="117">
        <f>M1332-L1332</f>
      </c>
      <c r="O1332" s="112"/>
      <c r="P1332" s="118">
        <f>N1332+O1332</f>
      </c>
      <c r="Q1332" s="94" t="s">
        <v>67</v>
      </c>
      <c r="R1332" s="94" t="s">
        <v>63</v>
      </c>
      <c r="S1332" s="119">
        <v>46341</v>
      </c>
      <c r="T1332" s="119"/>
      <c r="U1332" s="119">
        <v>46341</v>
      </c>
      <c r="V1332" s="94"/>
      <c r="W1332" s="94"/>
      <c r="X1332" s="94"/>
      <c r="Y1332" s="119">
        <v>46341</v>
      </c>
      <c r="Z1332" s="94"/>
      <c r="AA1332" s="120"/>
      <c r="AB1332" s="120"/>
      <c r="AC1332" s="120"/>
      <c r="AD1332" s="120"/>
      <c r="AE1332" s="120"/>
      <c r="AF1332" s="120"/>
      <c r="AG1332" s="94"/>
      <c r="AH1332" s="120"/>
      <c r="AI1332" s="94"/>
      <c r="AJ1332" s="94" t="s">
        <v>67</v>
      </c>
      <c r="AK1332" s="94" t="s">
        <v>69</v>
      </c>
      <c r="AL1332" s="94">
        <v>110</v>
      </c>
      <c r="AM1332" s="94" t="str">
        <f>TRIM(AJ1332)&amp;TRIM(AL1332)&amp;TRIM(AK1332)</f>
      </c>
      <c r="AN1332" s="116">
        <v>269</v>
      </c>
      <c r="AO1332" s="116">
        <v>-14</v>
      </c>
      <c r="AP1332" s="116">
        <f>SUMIFS(M:M,AM:AM,AM1332)+SUMIFS(O:O,AM:AM,AM1332)</f>
      </c>
      <c r="AQ1332" s="116">
        <f>SUMIFS(L:L,AM:AM,AM1332)</f>
      </c>
      <c r="AR1332" s="116">
        <f>AQ1332-AP1332</f>
      </c>
      <c r="AS1332" s="94" t="str">
        <f>IF(AN1332&gt;=AQ1332,"ok","ck")</f>
      </c>
      <c r="AT1332" s="116">
        <f>-P1332</f>
      </c>
      <c r="AU1332" s="115">
        <f>IF(SUMIFS(AT:AT,AM:AM,AM1332)&gt;AO1332,(SUMIFS(AT:AT,AM:AM,AM1332)-AO1332))</f>
      </c>
      <c r="AV1332" s="116">
        <v>269</v>
      </c>
      <c r="AW1332" s="121">
        <v>1.055</v>
      </c>
      <c r="AX1332" s="115">
        <f>AN1332-AP1332</f>
      </c>
    </row>
    <row r="1333" spans="1:50" ht="15" hidden="1" customHeight="1" x14ac:dyDescent="0.3">
      <c r="A1333" s="94" t="s">
        <v>60</v>
      </c>
      <c r="B1333" s="94"/>
      <c r="C1333" s="94"/>
      <c r="D1333" s="94"/>
      <c r="E1333" s="94"/>
      <c r="F1333" s="94"/>
      <c r="G1333" s="112">
        <f>AU1333</f>
      </c>
      <c r="H1333" s="113"/>
      <c r="I1333" s="94" t="s">
        <v>65</v>
      </c>
      <c r="J1333" s="94" t="s">
        <v>71</v>
      </c>
      <c r="K1333" s="114">
        <f>P1333/3</f>
      </c>
      <c r="L1333" s="115">
        <v>0</v>
      </c>
      <c r="M1333" s="116"/>
      <c r="N1333" s="117">
        <f>M1333-L1333</f>
      </c>
      <c r="O1333" s="112"/>
      <c r="P1333" s="118">
        <f>N1333+O1333</f>
      </c>
      <c r="Q1333" s="94" t="s">
        <v>67</v>
      </c>
      <c r="R1333" s="94" t="s">
        <v>63</v>
      </c>
      <c r="S1333" s="119">
        <v>46320</v>
      </c>
      <c r="T1333" s="119"/>
      <c r="U1333" s="119">
        <v>46320</v>
      </c>
      <c r="V1333" s="94"/>
      <c r="W1333" s="94"/>
      <c r="X1333" s="94"/>
      <c r="Y1333" s="119">
        <v>46320</v>
      </c>
      <c r="Z1333" s="94"/>
      <c r="AA1333" s="120"/>
      <c r="AB1333" s="120"/>
      <c r="AC1333" s="120"/>
      <c r="AD1333" s="120"/>
      <c r="AE1333" s="120"/>
      <c r="AF1333" s="120"/>
      <c r="AG1333" s="94"/>
      <c r="AH1333" s="120"/>
      <c r="AI1333" s="94"/>
      <c r="AJ1333" s="94" t="s">
        <v>67</v>
      </c>
      <c r="AK1333" s="94" t="s">
        <v>71</v>
      </c>
      <c r="AL1333" s="94">
        <v>110</v>
      </c>
      <c r="AM1333" s="94" t="str">
        <f>TRIM(AJ1333)&amp;TRIM(AL1333)&amp;TRIM(AK1333)</f>
      </c>
      <c r="AN1333" s="116">
        <v>163.79</v>
      </c>
      <c r="AO1333" s="116">
        <v>21.21</v>
      </c>
      <c r="AP1333" s="116">
        <f>SUMIFS(M:M,AM:AM,AM1333)+SUMIFS(O:O,AM:AM,AM1333)</f>
      </c>
      <c r="AQ1333" s="116">
        <f>SUMIFS(L:L,AM:AM,AM1333)</f>
      </c>
      <c r="AR1333" s="116">
        <f>AQ1333-AP1333</f>
      </c>
      <c r="AS1333" s="94" t="str">
        <f>IF(AN1333&gt;=AQ1333,"ok","ck")</f>
      </c>
      <c r="AT1333" s="116">
        <f>-P1333</f>
      </c>
      <c r="AU1333" s="115">
        <f>IF(SUMIFS(AT:AT,AM:AM,AM1333)&gt;AO1333,(SUMIFS(AT:AT,AM:AM,AM1333)-AO1333))</f>
      </c>
      <c r="AV1333" s="116">
        <v>163.79</v>
      </c>
      <c r="AW1333" s="121">
        <v>0.885</v>
      </c>
      <c r="AX1333" s="115">
        <f>AN1333-AP1333</f>
      </c>
    </row>
    <row r="1334" spans="1:50" ht="15" hidden="1" customHeight="1" x14ac:dyDescent="0.3">
      <c r="A1334" s="94" t="s">
        <v>268</v>
      </c>
      <c r="B1334" s="94"/>
      <c r="C1334" s="94"/>
      <c r="D1334" s="94"/>
      <c r="E1334" s="94"/>
      <c r="F1334" s="94"/>
      <c r="G1334" s="112">
        <f>AU1334</f>
      </c>
      <c r="H1334" s="113"/>
      <c r="I1334" s="94" t="s">
        <v>278</v>
      </c>
      <c r="J1334" s="94" t="s">
        <v>550</v>
      </c>
      <c r="K1334" s="114">
        <f>P1334/3</f>
      </c>
      <c r="L1334" s="115">
        <v>32.381999999999998</v>
      </c>
      <c r="M1334" s="116"/>
      <c r="N1334" s="117">
        <f>M1334-L1334</f>
      </c>
      <c r="O1334" s="112"/>
      <c r="P1334" s="118">
        <f>N1334+O1334</f>
      </c>
      <c r="Q1334" s="94" t="s">
        <v>807</v>
      </c>
      <c r="R1334" s="94" t="s">
        <v>63</v>
      </c>
      <c r="S1334" s="119">
        <v>46345</v>
      </c>
      <c r="T1334" s="119"/>
      <c r="U1334" s="119">
        <v>46345</v>
      </c>
      <c r="V1334" s="94"/>
      <c r="W1334" s="94"/>
      <c r="X1334" s="94"/>
      <c r="Y1334" s="119">
        <v>46327</v>
      </c>
      <c r="Z1334" s="94"/>
      <c r="AA1334" s="120"/>
      <c r="AB1334" s="120"/>
      <c r="AC1334" s="120"/>
      <c r="AD1334" s="120"/>
      <c r="AE1334" s="120"/>
      <c r="AF1334" s="120"/>
      <c r="AG1334" s="94"/>
      <c r="AH1334" s="120"/>
      <c r="AI1334" s="94"/>
      <c r="AJ1334" s="94" t="s">
        <v>807</v>
      </c>
      <c r="AK1334" s="94" t="s">
        <v>725</v>
      </c>
      <c r="AL1334" s="94">
        <v>120</v>
      </c>
      <c r="AM1334" s="94" t="str">
        <f>TRIM(AJ1334)&amp;TRIM(AL1334)&amp;TRIM(AK1334)</f>
      </c>
      <c r="AN1334" s="116">
        <v>0</v>
      </c>
      <c r="AO1334" s="116" t="inlineStr">
        <is>
          <t>#NA</t>
        </is>
      </c>
      <c r="AP1334" s="116">
        <f>SUMIFS(M:M,AM:AM,AM1334)+SUMIFS(O:O,AM:AM,AM1334)</f>
      </c>
      <c r="AQ1334" s="116">
        <f>SUMIFS(L:L,AM:AM,AM1334)</f>
      </c>
      <c r="AR1334" s="116">
        <f>AQ1334-AP1334</f>
      </c>
      <c r="AS1334" s="94" t="str">
        <f>IF(AN1334&gt;=AQ1334,"ok","ck")</f>
      </c>
      <c r="AT1334" s="116">
        <f>-P1334</f>
      </c>
      <c r="AU1334" s="115">
        <f>IF(SUMIFS(AT:AT,AM:AM,AM1334)&gt;AO1334,(SUMIFS(AT:AT,AM:AM,AM1334)-AO1334))</f>
      </c>
      <c r="AV1334" s="116">
        <v>0</v>
      </c>
      <c r="AW1334" s="121">
        <v>0</v>
      </c>
      <c r="AX1334" s="115">
        <f>AN1334-AP1334</f>
      </c>
    </row>
    <row r="1335" spans="1:50" ht="15" hidden="1" customHeight="1" x14ac:dyDescent="0.3">
      <c r="A1335" s="94" t="s">
        <v>480</v>
      </c>
      <c r="B1335" s="94"/>
      <c r="C1335" s="94"/>
      <c r="D1335" s="94"/>
      <c r="E1335" s="94"/>
      <c r="F1335" s="94"/>
      <c r="G1335" s="112">
        <f>AU1335</f>
      </c>
      <c r="H1335" s="113"/>
      <c r="I1335" s="94" t="s">
        <v>486</v>
      </c>
      <c r="J1335" s="94" t="s">
        <v>514</v>
      </c>
      <c r="K1335" s="114">
        <f>P1335/3</f>
      </c>
      <c r="L1335" s="115">
        <v>81.847999999999999</v>
      </c>
      <c r="M1335" s="116">
        <f>L1335</f>
      </c>
      <c r="N1335" s="117">
        <f>M1335-L1335</f>
      </c>
      <c r="O1335" s="112"/>
      <c r="P1335" s="118">
        <f>N1335+O1335</f>
      </c>
      <c r="Q1335" s="94" t="s">
        <v>782</v>
      </c>
      <c r="R1335" s="94" t="s">
        <v>63</v>
      </c>
      <c r="S1335" s="120">
        <v>46329</v>
      </c>
      <c r="T1335" s="120"/>
      <c r="U1335" s="120">
        <v>46329</v>
      </c>
      <c r="V1335" s="94"/>
      <c r="W1335" s="94"/>
      <c r="X1335" s="94"/>
      <c r="Y1335" s="119">
        <v>46336</v>
      </c>
      <c r="Z1335" s="94"/>
      <c r="AA1335" s="120"/>
      <c r="AB1335" s="120"/>
      <c r="AC1335" s="120"/>
      <c r="AD1335" s="120"/>
      <c r="AE1335" s="120"/>
      <c r="AF1335" s="120"/>
      <c r="AG1335" s="94"/>
      <c r="AH1335" s="120"/>
      <c r="AI1335" s="94"/>
      <c r="AJ1335" s="94" t="s">
        <v>782</v>
      </c>
      <c r="AK1335" s="94" t="s">
        <v>514</v>
      </c>
      <c r="AL1335" s="94">
        <v>165</v>
      </c>
      <c r="AM1335" s="94" t="str">
        <f>TRIM(AJ1335)&amp;TRIM(AL1335)&amp;TRIM(AK1335)</f>
      </c>
      <c r="AN1335" s="116">
        <v>297</v>
      </c>
      <c r="AO1335" s="116">
        <v>-61</v>
      </c>
      <c r="AP1335" s="116">
        <f>SUMIFS(M:M,AM:AM,AM1335)+SUMIFS(O:O,AM:AM,AM1335)</f>
      </c>
      <c r="AQ1335" s="116">
        <f>SUMIFS(L:L,AM:AM,AM1335)</f>
      </c>
      <c r="AR1335" s="116">
        <f>AQ1335-AP1335</f>
      </c>
      <c r="AS1335" s="94" t="str">
        <f>IF(AN1335&gt;=AQ1335,"ok","ck")</f>
      </c>
      <c r="AT1335" s="116">
        <f>-P1335</f>
      </c>
      <c r="AU1335" s="115">
        <f>IF(SUMIFS(AT:AT,AM:AM,AM1335)&gt;AO1335,(SUMIFS(AT:AT,AM:AM,AM1335)-AO1335))</f>
      </c>
      <c r="AV1335" s="116">
        <v>297</v>
      </c>
      <c r="AW1335" s="121">
        <v>1.258</v>
      </c>
      <c r="AX1335" s="115">
        <f>AN1335-AP1335</f>
      </c>
    </row>
    <row r="1336" spans="1:50" ht="15" hidden="1" customHeight="1" x14ac:dyDescent="0.3">
      <c r="A1336" s="94" t="s">
        <v>480</v>
      </c>
      <c r="B1336" s="94"/>
      <c r="C1336" s="94"/>
      <c r="D1336" s="94"/>
      <c r="E1336" s="94"/>
      <c r="F1336" s="94"/>
      <c r="G1336" s="112">
        <f>AU1336</f>
      </c>
      <c r="H1336" s="113"/>
      <c r="I1336" s="94" t="s">
        <v>486</v>
      </c>
      <c r="J1336" s="94" t="s">
        <v>514</v>
      </c>
      <c r="K1336" s="114">
        <f>P1336/3</f>
      </c>
      <c r="L1336" s="115">
        <v>12.061999999999999</v>
      </c>
      <c r="M1336" s="116">
        <f>L1336</f>
      </c>
      <c r="N1336" s="117">
        <f>M1336-L1336</f>
      </c>
      <c r="O1336" s="112"/>
      <c r="P1336" s="118">
        <f>N1336+O1336</f>
      </c>
      <c r="Q1336" s="94" t="s">
        <v>782</v>
      </c>
      <c r="R1336" s="94" t="s">
        <v>63</v>
      </c>
      <c r="S1336" s="120">
        <v>46329</v>
      </c>
      <c r="T1336" s="120"/>
      <c r="U1336" s="120">
        <v>46329</v>
      </c>
      <c r="V1336" s="94"/>
      <c r="W1336" s="94"/>
      <c r="X1336" s="94"/>
      <c r="Y1336" s="119">
        <v>46337</v>
      </c>
      <c r="Z1336" s="94"/>
      <c r="AA1336" s="120"/>
      <c r="AB1336" s="120"/>
      <c r="AC1336" s="120"/>
      <c r="AD1336" s="120"/>
      <c r="AE1336" s="120"/>
      <c r="AF1336" s="120"/>
      <c r="AG1336" s="94"/>
      <c r="AH1336" s="120"/>
      <c r="AI1336" s="94"/>
      <c r="AJ1336" s="94" t="s">
        <v>782</v>
      </c>
      <c r="AK1336" s="94" t="s">
        <v>514</v>
      </c>
      <c r="AL1336" s="94">
        <v>165</v>
      </c>
      <c r="AM1336" s="94" t="str">
        <f>TRIM(AJ1336)&amp;TRIM(AL1336)&amp;TRIM(AK1336)</f>
      </c>
      <c r="AN1336" s="116">
        <v>297</v>
      </c>
      <c r="AO1336" s="116">
        <v>-61</v>
      </c>
      <c r="AP1336" s="116">
        <f>SUMIFS(M:M,AM:AM,AM1336)+SUMIFS(O:O,AM:AM,AM1336)</f>
      </c>
      <c r="AQ1336" s="116">
        <f>SUMIFS(L:L,AM:AM,AM1336)</f>
      </c>
      <c r="AR1336" s="116">
        <f>AQ1336-AP1336</f>
      </c>
      <c r="AS1336" s="94" t="str">
        <f>IF(AN1336&gt;=AQ1336,"ok","ck")</f>
      </c>
      <c r="AT1336" s="116">
        <f>-P1336</f>
      </c>
      <c r="AU1336" s="115">
        <f>IF(SUMIFS(AT:AT,AM:AM,AM1336)&gt;AO1336,(SUMIFS(AT:AT,AM:AM,AM1336)-AO1336))</f>
      </c>
      <c r="AV1336" s="116">
        <v>297</v>
      </c>
      <c r="AW1336" s="121">
        <v>1.258</v>
      </c>
      <c r="AX1336" s="115">
        <f>AN1336-AP1336</f>
      </c>
    </row>
    <row r="1337" spans="1:50" ht="15" hidden="1" customHeight="1" x14ac:dyDescent="0.3">
      <c r="A1337" s="94" t="s">
        <v>480</v>
      </c>
      <c r="B1337" s="94"/>
      <c r="C1337" s="94"/>
      <c r="D1337" s="94"/>
      <c r="E1337" s="94"/>
      <c r="F1337" s="94"/>
      <c r="G1337" s="112">
        <f>AU1337</f>
      </c>
      <c r="H1337" s="113"/>
      <c r="I1337" s="94" t="s">
        <v>486</v>
      </c>
      <c r="J1337" s="94" t="s">
        <v>515</v>
      </c>
      <c r="K1337" s="114">
        <f>P1337/3</f>
      </c>
      <c r="L1337" s="115">
        <v>2.8069999999999999</v>
      </c>
      <c r="M1337" s="116">
        <f>L1337</f>
      </c>
      <c r="N1337" s="117">
        <f>M1337-L1337</f>
      </c>
      <c r="O1337" s="112"/>
      <c r="P1337" s="118">
        <f>N1337+O1337</f>
      </c>
      <c r="Q1337" s="94" t="s">
        <v>782</v>
      </c>
      <c r="R1337" s="94" t="s">
        <v>63</v>
      </c>
      <c r="S1337" s="120">
        <v>46329</v>
      </c>
      <c r="T1337" s="120"/>
      <c r="U1337" s="120">
        <v>46329</v>
      </c>
      <c r="V1337" s="94"/>
      <c r="W1337" s="94"/>
      <c r="X1337" s="94"/>
      <c r="Y1337" s="119">
        <v>46330</v>
      </c>
      <c r="Z1337" s="94"/>
      <c r="AA1337" s="120"/>
      <c r="AB1337" s="120"/>
      <c r="AC1337" s="120"/>
      <c r="AD1337" s="120"/>
      <c r="AE1337" s="120"/>
      <c r="AF1337" s="120"/>
      <c r="AG1337" s="94"/>
      <c r="AH1337" s="120"/>
      <c r="AI1337" s="94"/>
      <c r="AJ1337" s="94" t="s">
        <v>782</v>
      </c>
      <c r="AK1337" s="94" t="s">
        <v>71</v>
      </c>
      <c r="AL1337" s="94">
        <v>165</v>
      </c>
      <c r="AM1337" s="94" t="str">
        <f>TRIM(AJ1337)&amp;TRIM(AL1337)&amp;TRIM(AK1337)</f>
      </c>
      <c r="AN1337" s="116">
        <v>70.59</v>
      </c>
      <c r="AO1337" s="116">
        <v>-4.59</v>
      </c>
      <c r="AP1337" s="116">
        <f>SUMIFS(M:M,AM:AM,AM1337)+SUMIFS(O:O,AM:AM,AM1337)</f>
      </c>
      <c r="AQ1337" s="116">
        <f>SUMIFS(L:L,AM:AM,AM1337)</f>
      </c>
      <c r="AR1337" s="116">
        <f>AQ1337-AP1337</f>
      </c>
      <c r="AS1337" s="94" t="str">
        <f>IF(AN1337&gt;=AQ1337,"ok","ck")</f>
      </c>
      <c r="AT1337" s="116">
        <f>-P1337</f>
      </c>
      <c r="AU1337" s="115">
        <f>IF(SUMIFS(AT:AT,AM:AM,AM1337)&gt;AO1337,(SUMIFS(AT:AT,AM:AM,AM1337)-AO1337))</f>
      </c>
      <c r="AV1337" s="116">
        <v>70.59</v>
      </c>
      <c r="AW1337" s="121">
        <v>1.07</v>
      </c>
      <c r="AX1337" s="115">
        <f>AN1337-AP1337</f>
      </c>
    </row>
    <row r="1338" spans="1:50" ht="15" hidden="1" customHeight="1" x14ac:dyDescent="0.3">
      <c r="A1338" s="94" t="s">
        <v>480</v>
      </c>
      <c r="B1338" s="94"/>
      <c r="C1338" s="94"/>
      <c r="D1338" s="94"/>
      <c r="E1338" s="94"/>
      <c r="F1338" s="94"/>
      <c r="G1338" s="112">
        <f>AU1338</f>
      </c>
      <c r="H1338" s="113"/>
      <c r="I1338" s="94" t="s">
        <v>486</v>
      </c>
      <c r="J1338" s="94" t="s">
        <v>515</v>
      </c>
      <c r="K1338" s="114">
        <f>P1338/3</f>
      </c>
      <c r="L1338" s="115">
        <v>0.40100000000000002</v>
      </c>
      <c r="M1338" s="116">
        <f>L1338</f>
      </c>
      <c r="N1338" s="117">
        <f>M1338-L1338</f>
      </c>
      <c r="O1338" s="112"/>
      <c r="P1338" s="118">
        <f>N1338+O1338</f>
      </c>
      <c r="Q1338" s="94" t="s">
        <v>782</v>
      </c>
      <c r="R1338" s="94" t="s">
        <v>63</v>
      </c>
      <c r="S1338" s="120">
        <v>46329</v>
      </c>
      <c r="T1338" s="120"/>
      <c r="U1338" s="120">
        <v>46329</v>
      </c>
      <c r="V1338" s="94"/>
      <c r="W1338" s="94"/>
      <c r="X1338" s="94"/>
      <c r="Y1338" s="119">
        <v>46330</v>
      </c>
      <c r="Z1338" s="94"/>
      <c r="AA1338" s="120"/>
      <c r="AB1338" s="120"/>
      <c r="AC1338" s="120"/>
      <c r="AD1338" s="120"/>
      <c r="AE1338" s="120"/>
      <c r="AF1338" s="120"/>
      <c r="AG1338" s="94"/>
      <c r="AH1338" s="120"/>
      <c r="AI1338" s="94"/>
      <c r="AJ1338" s="94" t="s">
        <v>782</v>
      </c>
      <c r="AK1338" s="94" t="s">
        <v>71</v>
      </c>
      <c r="AL1338" s="94">
        <v>165</v>
      </c>
      <c r="AM1338" s="94" t="str">
        <f>TRIM(AJ1338)&amp;TRIM(AL1338)&amp;TRIM(AK1338)</f>
      </c>
      <c r="AN1338" s="116">
        <v>70.59</v>
      </c>
      <c r="AO1338" s="116">
        <v>-4.59</v>
      </c>
      <c r="AP1338" s="116">
        <f>SUMIFS(M:M,AM:AM,AM1338)+SUMIFS(O:O,AM:AM,AM1338)</f>
      </c>
      <c r="AQ1338" s="116">
        <f>SUMIFS(L:L,AM:AM,AM1338)</f>
      </c>
      <c r="AR1338" s="116">
        <f>AQ1338-AP1338</f>
      </c>
      <c r="AS1338" s="94" t="str">
        <f>IF(AN1338&gt;=AQ1338,"ok","ck")</f>
      </c>
      <c r="AT1338" s="116">
        <f>-P1338</f>
      </c>
      <c r="AU1338" s="115">
        <f>IF(SUMIFS(AT:AT,AM:AM,AM1338)&gt;AO1338,(SUMIFS(AT:AT,AM:AM,AM1338)-AO1338))</f>
      </c>
      <c r="AV1338" s="116">
        <v>70.59</v>
      </c>
      <c r="AW1338" s="121">
        <v>1.07</v>
      </c>
      <c r="AX1338" s="115">
        <f>AN1338-AP1338</f>
      </c>
    </row>
    <row r="1339" spans="1:50" ht="15" hidden="1" customHeight="1" x14ac:dyDescent="0.3">
      <c r="A1339" s="94" t="s">
        <v>480</v>
      </c>
      <c r="B1339" s="94"/>
      <c r="C1339" s="94"/>
      <c r="D1339" s="94"/>
      <c r="E1339" s="94"/>
      <c r="F1339" s="94"/>
      <c r="G1339" s="112">
        <f>AU1339</f>
      </c>
      <c r="H1339" s="113"/>
      <c r="I1339" s="94" t="s">
        <v>486</v>
      </c>
      <c r="J1339" s="94" t="s">
        <v>515</v>
      </c>
      <c r="K1339" s="114">
        <f>P1339/3</f>
      </c>
      <c r="L1339" s="115">
        <v>1.964</v>
      </c>
      <c r="M1339" s="116">
        <f>L1339</f>
      </c>
      <c r="N1339" s="117">
        <f>M1339-L1339</f>
      </c>
      <c r="O1339" s="112"/>
      <c r="P1339" s="118">
        <f>N1339+O1339</f>
      </c>
      <c r="Q1339" s="94" t="s">
        <v>782</v>
      </c>
      <c r="R1339" s="94" t="s">
        <v>63</v>
      </c>
      <c r="S1339" s="120">
        <v>46329</v>
      </c>
      <c r="T1339" s="120"/>
      <c r="U1339" s="120">
        <v>46329</v>
      </c>
      <c r="V1339" s="94"/>
      <c r="W1339" s="94"/>
      <c r="X1339" s="94"/>
      <c r="Y1339" s="119">
        <v>46330</v>
      </c>
      <c r="Z1339" s="94"/>
      <c r="AA1339" s="120"/>
      <c r="AB1339" s="120"/>
      <c r="AC1339" s="120"/>
      <c r="AD1339" s="120"/>
      <c r="AE1339" s="120"/>
      <c r="AF1339" s="120"/>
      <c r="AG1339" s="94"/>
      <c r="AH1339" s="120"/>
      <c r="AI1339" s="94"/>
      <c r="AJ1339" s="94" t="s">
        <v>782</v>
      </c>
      <c r="AK1339" s="94" t="s">
        <v>71</v>
      </c>
      <c r="AL1339" s="94">
        <v>165</v>
      </c>
      <c r="AM1339" s="94" t="str">
        <f>TRIM(AJ1339)&amp;TRIM(AL1339)&amp;TRIM(AK1339)</f>
      </c>
      <c r="AN1339" s="116">
        <v>70.59</v>
      </c>
      <c r="AO1339" s="116">
        <v>-4.59</v>
      </c>
      <c r="AP1339" s="116">
        <f>SUMIFS(M:M,AM:AM,AM1339)+SUMIFS(O:O,AM:AM,AM1339)</f>
      </c>
      <c r="AQ1339" s="116">
        <f>SUMIFS(L:L,AM:AM,AM1339)</f>
      </c>
      <c r="AR1339" s="116">
        <f>AQ1339-AP1339</f>
      </c>
      <c r="AS1339" s="94" t="str">
        <f>IF(AN1339&gt;=AQ1339,"ok","ck")</f>
      </c>
      <c r="AT1339" s="116">
        <f>-P1339</f>
      </c>
      <c r="AU1339" s="115">
        <f>IF(SUMIFS(AT:AT,AM:AM,AM1339)&gt;AO1339,(SUMIFS(AT:AT,AM:AM,AM1339)-AO1339))</f>
      </c>
      <c r="AV1339" s="116">
        <v>70.59</v>
      </c>
      <c r="AW1339" s="121">
        <v>1.07</v>
      </c>
      <c r="AX1339" s="115">
        <f>AN1339-AP1339</f>
      </c>
    </row>
    <row r="1340" spans="1:50" ht="15" hidden="1" customHeight="1" x14ac:dyDescent="0.3">
      <c r="A1340" s="94" t="s">
        <v>480</v>
      </c>
      <c r="B1340" s="94"/>
      <c r="C1340" s="94"/>
      <c r="D1340" s="94"/>
      <c r="E1340" s="94"/>
      <c r="F1340" s="94"/>
      <c r="G1340" s="112">
        <f>AU1340</f>
      </c>
      <c r="H1340" s="113"/>
      <c r="I1340" s="94" t="s">
        <v>486</v>
      </c>
      <c r="J1340" s="94" t="s">
        <v>515</v>
      </c>
      <c r="K1340" s="114">
        <f>P1340/3</f>
      </c>
      <c r="L1340" s="115">
        <v>0.14899999999999999</v>
      </c>
      <c r="M1340" s="116">
        <f>L1340</f>
      </c>
      <c r="N1340" s="117">
        <f>M1340-L1340</f>
      </c>
      <c r="O1340" s="112"/>
      <c r="P1340" s="118">
        <f>N1340+O1340</f>
      </c>
      <c r="Q1340" s="94" t="s">
        <v>782</v>
      </c>
      <c r="R1340" s="94" t="s">
        <v>63</v>
      </c>
      <c r="S1340" s="120">
        <v>46329</v>
      </c>
      <c r="T1340" s="120"/>
      <c r="U1340" s="120">
        <v>46329</v>
      </c>
      <c r="V1340" s="94"/>
      <c r="W1340" s="94"/>
      <c r="X1340" s="94"/>
      <c r="Y1340" s="119">
        <v>46330</v>
      </c>
      <c r="Z1340" s="94"/>
      <c r="AA1340" s="120"/>
      <c r="AB1340" s="120"/>
      <c r="AC1340" s="120"/>
      <c r="AD1340" s="120"/>
      <c r="AE1340" s="120"/>
      <c r="AF1340" s="120"/>
      <c r="AG1340" s="94"/>
      <c r="AH1340" s="120"/>
      <c r="AI1340" s="94"/>
      <c r="AJ1340" s="94" t="s">
        <v>782</v>
      </c>
      <c r="AK1340" s="94" t="s">
        <v>71</v>
      </c>
      <c r="AL1340" s="94">
        <v>165</v>
      </c>
      <c r="AM1340" s="94" t="str">
        <f>TRIM(AJ1340)&amp;TRIM(AL1340)&amp;TRIM(AK1340)</f>
      </c>
      <c r="AN1340" s="116">
        <v>70.59</v>
      </c>
      <c r="AO1340" s="116">
        <v>-4.59</v>
      </c>
      <c r="AP1340" s="116">
        <f>SUMIFS(M:M,AM:AM,AM1340)+SUMIFS(O:O,AM:AM,AM1340)</f>
      </c>
      <c r="AQ1340" s="116">
        <f>SUMIFS(L:L,AM:AM,AM1340)</f>
      </c>
      <c r="AR1340" s="116">
        <f>AQ1340-AP1340</f>
      </c>
      <c r="AS1340" s="94" t="str">
        <f>IF(AN1340&gt;=AQ1340,"ok","ck")</f>
      </c>
      <c r="AT1340" s="116">
        <f>-P1340</f>
      </c>
      <c r="AU1340" s="115">
        <f>IF(SUMIFS(AT:AT,AM:AM,AM1340)&gt;AO1340,(SUMIFS(AT:AT,AM:AM,AM1340)-AO1340))</f>
      </c>
      <c r="AV1340" s="116">
        <v>70.59</v>
      </c>
      <c r="AW1340" s="121">
        <v>1.07</v>
      </c>
      <c r="AX1340" s="115">
        <f>AN1340-AP1340</f>
      </c>
    </row>
    <row r="1341" spans="1:50" ht="15" hidden="1" customHeight="1" x14ac:dyDescent="0.3">
      <c r="A1341" s="94" t="s">
        <v>480</v>
      </c>
      <c r="B1341" s="94"/>
      <c r="C1341" s="94"/>
      <c r="D1341" s="94"/>
      <c r="E1341" s="94"/>
      <c r="F1341" s="94"/>
      <c r="G1341" s="112">
        <f>AU1341</f>
      </c>
      <c r="H1341" s="113"/>
      <c r="I1341" s="94" t="s">
        <v>486</v>
      </c>
      <c r="J1341" s="94" t="s">
        <v>515</v>
      </c>
      <c r="K1341" s="114">
        <f>P1341/3</f>
      </c>
      <c r="L1341" s="115">
        <v>0.124</v>
      </c>
      <c r="M1341" s="116">
        <f>L1341</f>
      </c>
      <c r="N1341" s="117">
        <f>M1341-L1341</f>
      </c>
      <c r="O1341" s="112"/>
      <c r="P1341" s="118">
        <f>N1341+O1341</f>
      </c>
      <c r="Q1341" s="94" t="s">
        <v>782</v>
      </c>
      <c r="R1341" s="94" t="s">
        <v>63</v>
      </c>
      <c r="S1341" s="119">
        <v>46329</v>
      </c>
      <c r="T1341" s="119"/>
      <c r="U1341" s="119">
        <v>46329</v>
      </c>
      <c r="V1341" s="94"/>
      <c r="W1341" s="94"/>
      <c r="X1341" s="94"/>
      <c r="Y1341" s="119">
        <v>46330</v>
      </c>
      <c r="Z1341" s="94"/>
      <c r="AA1341" s="120"/>
      <c r="AB1341" s="120"/>
      <c r="AC1341" s="120"/>
      <c r="AD1341" s="120"/>
      <c r="AE1341" s="120"/>
      <c r="AF1341" s="120"/>
      <c r="AG1341" s="94"/>
      <c r="AH1341" s="120"/>
      <c r="AI1341" s="94"/>
      <c r="AJ1341" s="94" t="s">
        <v>782</v>
      </c>
      <c r="AK1341" s="94" t="s">
        <v>71</v>
      </c>
      <c r="AL1341" s="94">
        <v>165</v>
      </c>
      <c r="AM1341" s="94" t="str">
        <f>TRIM(AJ1341)&amp;TRIM(AL1341)&amp;TRIM(AK1341)</f>
      </c>
      <c r="AN1341" s="116">
        <v>70.59</v>
      </c>
      <c r="AO1341" s="116">
        <v>-4.59</v>
      </c>
      <c r="AP1341" s="116">
        <f>SUMIFS(M:M,AM:AM,AM1341)+SUMIFS(O:O,AM:AM,AM1341)</f>
      </c>
      <c r="AQ1341" s="116">
        <f>SUMIFS(L:L,AM:AM,AM1341)</f>
      </c>
      <c r="AR1341" s="116">
        <f>AQ1341-AP1341</f>
      </c>
      <c r="AS1341" s="94" t="str">
        <f>IF(AN1341&gt;=AQ1341,"ok","ck")</f>
      </c>
      <c r="AT1341" s="116">
        <f>-P1341</f>
      </c>
      <c r="AU1341" s="115">
        <f>IF(SUMIFS(AT:AT,AM:AM,AM1341)&gt;AO1341,(SUMIFS(AT:AT,AM:AM,AM1341)-AO1341))</f>
      </c>
      <c r="AV1341" s="116">
        <v>70.59</v>
      </c>
      <c r="AW1341" s="121">
        <v>1.07</v>
      </c>
      <c r="AX1341" s="115">
        <f>AN1341-AP1341</f>
      </c>
    </row>
    <row r="1342" spans="1:50" ht="15" hidden="1" customHeight="1" x14ac:dyDescent="0.3">
      <c r="A1342" s="94" t="s">
        <v>480</v>
      </c>
      <c r="B1342" s="94"/>
      <c r="C1342" s="94"/>
      <c r="D1342" s="94"/>
      <c r="E1342" s="94"/>
      <c r="F1342" s="94"/>
      <c r="G1342" s="112">
        <f>AU1342</f>
      </c>
      <c r="H1342" s="113"/>
      <c r="I1342" s="94" t="s">
        <v>486</v>
      </c>
      <c r="J1342" s="94" t="s">
        <v>515</v>
      </c>
      <c r="K1342" s="114">
        <f>P1342/3</f>
      </c>
      <c r="L1342" s="115">
        <v>5.0999999999999997E-2</v>
      </c>
      <c r="M1342" s="116">
        <f>L1342</f>
      </c>
      <c r="N1342" s="117">
        <f>M1342-L1342</f>
      </c>
      <c r="O1342" s="112"/>
      <c r="P1342" s="118">
        <f>N1342+O1342</f>
      </c>
      <c r="Q1342" s="94" t="s">
        <v>782</v>
      </c>
      <c r="R1342" s="94" t="s">
        <v>63</v>
      </c>
      <c r="S1342" s="119">
        <v>46329</v>
      </c>
      <c r="T1342" s="119"/>
      <c r="U1342" s="119">
        <v>46329</v>
      </c>
      <c r="V1342" s="94"/>
      <c r="W1342" s="94"/>
      <c r="X1342" s="94"/>
      <c r="Y1342" s="119">
        <v>46330</v>
      </c>
      <c r="Z1342" s="94"/>
      <c r="AA1342" s="120"/>
      <c r="AB1342" s="120"/>
      <c r="AC1342" s="120"/>
      <c r="AD1342" s="120"/>
      <c r="AE1342" s="120"/>
      <c r="AF1342" s="120"/>
      <c r="AG1342" s="94"/>
      <c r="AH1342" s="120"/>
      <c r="AI1342" s="94"/>
      <c r="AJ1342" s="94" t="s">
        <v>782</v>
      </c>
      <c r="AK1342" s="94" t="s">
        <v>71</v>
      </c>
      <c r="AL1342" s="94">
        <v>165</v>
      </c>
      <c r="AM1342" s="94" t="str">
        <f>TRIM(AJ1342)&amp;TRIM(AL1342)&amp;TRIM(AK1342)</f>
      </c>
      <c r="AN1342" s="116">
        <v>70.59</v>
      </c>
      <c r="AO1342" s="116">
        <v>-4.59</v>
      </c>
      <c r="AP1342" s="116">
        <f>SUMIFS(M:M,AM:AM,AM1342)+SUMIFS(O:O,AM:AM,AM1342)</f>
      </c>
      <c r="AQ1342" s="116">
        <f>SUMIFS(L:L,AM:AM,AM1342)</f>
      </c>
      <c r="AR1342" s="116">
        <f>AQ1342-AP1342</f>
      </c>
      <c r="AS1342" s="94" t="str">
        <f>IF(AN1342&gt;=AQ1342,"ok","ck")</f>
      </c>
      <c r="AT1342" s="116">
        <f>-P1342</f>
      </c>
      <c r="AU1342" s="115">
        <f>IF(SUMIFS(AT:AT,AM:AM,AM1342)&gt;AO1342,(SUMIFS(AT:AT,AM:AM,AM1342)-AO1342))</f>
      </c>
      <c r="AV1342" s="116">
        <v>70.59</v>
      </c>
      <c r="AW1342" s="121">
        <v>1.07</v>
      </c>
      <c r="AX1342" s="115">
        <f>AN1342-AP1342</f>
      </c>
    </row>
    <row r="1343" spans="1:50" ht="15" hidden="1" customHeight="1" x14ac:dyDescent="0.3">
      <c r="A1343" s="94" t="s">
        <v>480</v>
      </c>
      <c r="B1343" s="94"/>
      <c r="C1343" s="94"/>
      <c r="D1343" s="94"/>
      <c r="E1343" s="94"/>
      <c r="F1343" s="94"/>
      <c r="G1343" s="112">
        <f>AU1343</f>
      </c>
      <c r="H1343" s="113"/>
      <c r="I1343" s="94" t="s">
        <v>486</v>
      </c>
      <c r="J1343" s="94" t="s">
        <v>515</v>
      </c>
      <c r="K1343" s="114">
        <f>P1343/3</f>
      </c>
      <c r="L1343" s="115">
        <v>2.206</v>
      </c>
      <c r="M1343" s="116">
        <f>L1343</f>
      </c>
      <c r="N1343" s="117">
        <f>M1343-L1343</f>
      </c>
      <c r="O1343" s="112"/>
      <c r="P1343" s="118">
        <f>N1343+O1343</f>
      </c>
      <c r="Q1343" s="94" t="s">
        <v>782</v>
      </c>
      <c r="R1343" s="94" t="s">
        <v>63</v>
      </c>
      <c r="S1343" s="119">
        <v>46329</v>
      </c>
      <c r="T1343" s="119"/>
      <c r="U1343" s="119">
        <v>46329</v>
      </c>
      <c r="V1343" s="94"/>
      <c r="W1343" s="94"/>
      <c r="X1343" s="94"/>
      <c r="Y1343" s="119">
        <v>46327</v>
      </c>
      <c r="Z1343" s="94"/>
      <c r="AA1343" s="120"/>
      <c r="AB1343" s="120"/>
      <c r="AC1343" s="120"/>
      <c r="AD1343" s="120"/>
      <c r="AE1343" s="120"/>
      <c r="AF1343" s="120"/>
      <c r="AG1343" s="94"/>
      <c r="AH1343" s="120"/>
      <c r="AI1343" s="94"/>
      <c r="AJ1343" s="94" t="s">
        <v>782</v>
      </c>
      <c r="AK1343" s="94" t="s">
        <v>71</v>
      </c>
      <c r="AL1343" s="94">
        <v>165</v>
      </c>
      <c r="AM1343" s="94" t="str">
        <f>TRIM(AJ1343)&amp;TRIM(AL1343)&amp;TRIM(AK1343)</f>
      </c>
      <c r="AN1343" s="116">
        <v>70.59</v>
      </c>
      <c r="AO1343" s="116">
        <v>-4.59</v>
      </c>
      <c r="AP1343" s="116">
        <f>SUMIFS(M:M,AM:AM,AM1343)+SUMIFS(O:O,AM:AM,AM1343)</f>
      </c>
      <c r="AQ1343" s="116">
        <f>SUMIFS(L:L,AM:AM,AM1343)</f>
      </c>
      <c r="AR1343" s="116">
        <f>AQ1343-AP1343</f>
      </c>
      <c r="AS1343" s="94" t="str">
        <f>IF(AN1343&gt;=AQ1343,"ok","ck")</f>
      </c>
      <c r="AT1343" s="116">
        <f>-P1343</f>
      </c>
      <c r="AU1343" s="115">
        <f>IF(SUMIFS(AT:AT,AM:AM,AM1343)&gt;AO1343,(SUMIFS(AT:AT,AM:AM,AM1343)-AO1343))</f>
      </c>
      <c r="AV1343" s="116">
        <v>70.59</v>
      </c>
      <c r="AW1343" s="121">
        <v>1.07</v>
      </c>
      <c r="AX1343" s="115">
        <f>AN1343-AP1343</f>
      </c>
    </row>
    <row r="1344" spans="1:50" ht="15" hidden="1" customHeight="1" x14ac:dyDescent="0.3">
      <c r="A1344" s="94" t="s">
        <v>480</v>
      </c>
      <c r="B1344" s="94"/>
      <c r="C1344" s="94"/>
      <c r="D1344" s="94"/>
      <c r="E1344" s="94"/>
      <c r="F1344" s="94"/>
      <c r="G1344" s="112">
        <f>AU1344</f>
      </c>
      <c r="H1344" s="113"/>
      <c r="I1344" s="94" t="s">
        <v>486</v>
      </c>
      <c r="J1344" s="94" t="s">
        <v>515</v>
      </c>
      <c r="K1344" s="114">
        <f>P1344/3</f>
      </c>
      <c r="L1344" s="115">
        <v>0.36799999999999999</v>
      </c>
      <c r="M1344" s="116">
        <f>L1344</f>
      </c>
      <c r="N1344" s="117">
        <f>M1344-L1344</f>
      </c>
      <c r="O1344" s="112"/>
      <c r="P1344" s="118">
        <f>N1344+O1344</f>
      </c>
      <c r="Q1344" s="94" t="s">
        <v>782</v>
      </c>
      <c r="R1344" s="94" t="s">
        <v>63</v>
      </c>
      <c r="S1344" s="119">
        <v>46329</v>
      </c>
      <c r="T1344" s="119"/>
      <c r="U1344" s="119">
        <v>46329</v>
      </c>
      <c r="V1344" s="94"/>
      <c r="W1344" s="94"/>
      <c r="X1344" s="94"/>
      <c r="Y1344" s="119">
        <v>46327</v>
      </c>
      <c r="Z1344" s="94"/>
      <c r="AA1344" s="120"/>
      <c r="AB1344" s="120"/>
      <c r="AC1344" s="120"/>
      <c r="AD1344" s="120"/>
      <c r="AE1344" s="120"/>
      <c r="AF1344" s="120"/>
      <c r="AG1344" s="94"/>
      <c r="AH1344" s="120"/>
      <c r="AI1344" s="94"/>
      <c r="AJ1344" s="94" t="s">
        <v>782</v>
      </c>
      <c r="AK1344" s="94" t="s">
        <v>71</v>
      </c>
      <c r="AL1344" s="94">
        <v>165</v>
      </c>
      <c r="AM1344" s="94" t="str">
        <f>TRIM(AJ1344)&amp;TRIM(AL1344)&amp;TRIM(AK1344)</f>
      </c>
      <c r="AN1344" s="116">
        <v>70.59</v>
      </c>
      <c r="AO1344" s="116">
        <v>-4.59</v>
      </c>
      <c r="AP1344" s="116">
        <f>SUMIFS(M:M,AM:AM,AM1344)+SUMIFS(O:O,AM:AM,AM1344)</f>
      </c>
      <c r="AQ1344" s="116">
        <f>SUMIFS(L:L,AM:AM,AM1344)</f>
      </c>
      <c r="AR1344" s="116">
        <f>AQ1344-AP1344</f>
      </c>
      <c r="AS1344" s="94" t="str">
        <f>IF(AN1344&gt;=AQ1344,"ok","ck")</f>
      </c>
      <c r="AT1344" s="116">
        <f>-P1344</f>
      </c>
      <c r="AU1344" s="115">
        <f>IF(SUMIFS(AT:AT,AM:AM,AM1344)&gt;AO1344,(SUMIFS(AT:AT,AM:AM,AM1344)-AO1344))</f>
      </c>
      <c r="AV1344" s="116">
        <v>70.59</v>
      </c>
      <c r="AW1344" s="121">
        <v>1.07</v>
      </c>
      <c r="AX1344" s="115">
        <f>AN1344-AP1344</f>
      </c>
    </row>
    <row r="1345" spans="1:50" ht="15" hidden="1" customHeight="1" x14ac:dyDescent="0.3">
      <c r="A1345" s="94" t="s">
        <v>480</v>
      </c>
      <c r="B1345" s="94"/>
      <c r="C1345" s="94"/>
      <c r="D1345" s="94"/>
      <c r="E1345" s="94"/>
      <c r="F1345" s="94"/>
      <c r="G1345" s="112">
        <f>AU1345</f>
      </c>
      <c r="H1345" s="113"/>
      <c r="I1345" s="94" t="s">
        <v>486</v>
      </c>
      <c r="J1345" s="94" t="s">
        <v>515</v>
      </c>
      <c r="K1345" s="114">
        <f>P1345/3</f>
      </c>
      <c r="L1345" s="115">
        <v>4.1660000000000004</v>
      </c>
      <c r="M1345" s="116">
        <f>L1345</f>
      </c>
      <c r="N1345" s="117">
        <f>M1345-L1345</f>
      </c>
      <c r="O1345" s="112"/>
      <c r="P1345" s="118">
        <f>N1345+O1345</f>
      </c>
      <c r="Q1345" s="94" t="s">
        <v>782</v>
      </c>
      <c r="R1345" s="94" t="s">
        <v>63</v>
      </c>
      <c r="S1345" s="119">
        <v>46329</v>
      </c>
      <c r="T1345" s="119"/>
      <c r="U1345" s="119">
        <v>46329</v>
      </c>
      <c r="V1345" s="94"/>
      <c r="W1345" s="94"/>
      <c r="X1345" s="94"/>
      <c r="Y1345" s="119">
        <v>46330</v>
      </c>
      <c r="Z1345" s="94"/>
      <c r="AA1345" s="120"/>
      <c r="AB1345" s="120"/>
      <c r="AC1345" s="120"/>
      <c r="AD1345" s="120"/>
      <c r="AE1345" s="120"/>
      <c r="AF1345" s="120"/>
      <c r="AG1345" s="94"/>
      <c r="AH1345" s="120"/>
      <c r="AI1345" s="94"/>
      <c r="AJ1345" s="94" t="s">
        <v>782</v>
      </c>
      <c r="AK1345" s="94" t="s">
        <v>71</v>
      </c>
      <c r="AL1345" s="94">
        <v>165</v>
      </c>
      <c r="AM1345" s="94" t="str">
        <f>TRIM(AJ1345)&amp;TRIM(AL1345)&amp;TRIM(AK1345)</f>
      </c>
      <c r="AN1345" s="116">
        <v>70.59</v>
      </c>
      <c r="AO1345" s="116">
        <v>-4.59</v>
      </c>
      <c r="AP1345" s="116">
        <f>SUMIFS(M:M,AM:AM,AM1345)+SUMIFS(O:O,AM:AM,AM1345)</f>
      </c>
      <c r="AQ1345" s="116">
        <f>SUMIFS(L:L,AM:AM,AM1345)</f>
      </c>
      <c r="AR1345" s="116">
        <f>AQ1345-AP1345</f>
      </c>
      <c r="AS1345" s="94" t="str">
        <f>IF(AN1345&gt;=AQ1345,"ok","ck")</f>
      </c>
      <c r="AT1345" s="116">
        <f>-P1345</f>
      </c>
      <c r="AU1345" s="115">
        <f>IF(SUMIFS(AT:AT,AM:AM,AM1345)&gt;AO1345,(SUMIFS(AT:AT,AM:AM,AM1345)-AO1345))</f>
      </c>
      <c r="AV1345" s="116">
        <v>70.59</v>
      </c>
      <c r="AW1345" s="121">
        <v>1.07</v>
      </c>
      <c r="AX1345" s="115">
        <f>AN1345-AP1345</f>
      </c>
    </row>
    <row r="1346" spans="1:50" ht="15" hidden="1" customHeight="1" x14ac:dyDescent="0.3">
      <c r="A1346" s="94" t="s">
        <v>480</v>
      </c>
      <c r="B1346" s="94"/>
      <c r="C1346" s="94"/>
      <c r="D1346" s="94"/>
      <c r="E1346" s="94"/>
      <c r="F1346" s="94"/>
      <c r="G1346" s="112">
        <f>AU1346</f>
      </c>
      <c r="H1346" s="113"/>
      <c r="I1346" s="94" t="s">
        <v>486</v>
      </c>
      <c r="J1346" s="94" t="s">
        <v>515</v>
      </c>
      <c r="K1346" s="114">
        <f>P1346/3</f>
      </c>
      <c r="L1346" s="115">
        <v>0.36799999999999999</v>
      </c>
      <c r="M1346" s="116">
        <f>L1346</f>
      </c>
      <c r="N1346" s="117">
        <f>M1346-L1346</f>
      </c>
      <c r="O1346" s="112"/>
      <c r="P1346" s="118">
        <f>N1346+O1346</f>
      </c>
      <c r="Q1346" s="94" t="s">
        <v>782</v>
      </c>
      <c r="R1346" s="94" t="s">
        <v>63</v>
      </c>
      <c r="S1346" s="119">
        <v>46329</v>
      </c>
      <c r="T1346" s="119"/>
      <c r="U1346" s="119">
        <v>46329</v>
      </c>
      <c r="V1346" s="94"/>
      <c r="W1346" s="94"/>
      <c r="X1346" s="94"/>
      <c r="Y1346" s="119">
        <v>46330</v>
      </c>
      <c r="Z1346" s="94"/>
      <c r="AA1346" s="120"/>
      <c r="AB1346" s="120"/>
      <c r="AC1346" s="120"/>
      <c r="AD1346" s="120"/>
      <c r="AE1346" s="120"/>
      <c r="AF1346" s="120"/>
      <c r="AG1346" s="94"/>
      <c r="AH1346" s="120"/>
      <c r="AI1346" s="94"/>
      <c r="AJ1346" s="94" t="s">
        <v>782</v>
      </c>
      <c r="AK1346" s="94" t="s">
        <v>71</v>
      </c>
      <c r="AL1346" s="94">
        <v>165</v>
      </c>
      <c r="AM1346" s="94" t="str">
        <f>TRIM(AJ1346)&amp;TRIM(AL1346)&amp;TRIM(AK1346)</f>
      </c>
      <c r="AN1346" s="116">
        <v>70.59</v>
      </c>
      <c r="AO1346" s="116">
        <v>-4.59</v>
      </c>
      <c r="AP1346" s="116">
        <f>SUMIFS(M:M,AM:AM,AM1346)+SUMIFS(O:O,AM:AM,AM1346)</f>
      </c>
      <c r="AQ1346" s="116">
        <f>SUMIFS(L:L,AM:AM,AM1346)</f>
      </c>
      <c r="AR1346" s="116">
        <f>AQ1346-AP1346</f>
      </c>
      <c r="AS1346" s="94" t="str">
        <f>IF(AN1346&gt;=AQ1346,"ok","ck")</f>
      </c>
      <c r="AT1346" s="116">
        <f>-P1346</f>
      </c>
      <c r="AU1346" s="115">
        <f>IF(SUMIFS(AT:AT,AM:AM,AM1346)&gt;AO1346,(SUMIFS(AT:AT,AM:AM,AM1346)-AO1346))</f>
      </c>
      <c r="AV1346" s="116">
        <v>70.59</v>
      </c>
      <c r="AW1346" s="121">
        <v>1.07</v>
      </c>
      <c r="AX1346" s="115">
        <f>AN1346-AP1346</f>
      </c>
    </row>
    <row r="1347" spans="1:50" ht="15" hidden="1" customHeight="1" x14ac:dyDescent="0.3">
      <c r="A1347" s="94" t="s">
        <v>480</v>
      </c>
      <c r="B1347" s="94"/>
      <c r="C1347" s="94"/>
      <c r="D1347" s="94"/>
      <c r="E1347" s="94"/>
      <c r="F1347" s="94"/>
      <c r="G1347" s="112">
        <f>AU1347</f>
      </c>
      <c r="H1347" s="113"/>
      <c r="I1347" s="94" t="s">
        <v>486</v>
      </c>
      <c r="J1347" s="94" t="s">
        <v>515</v>
      </c>
      <c r="K1347" s="114">
        <f>P1347/3</f>
      </c>
      <c r="L1347" s="115">
        <v>2.94</v>
      </c>
      <c r="M1347" s="116">
        <f>L1347</f>
      </c>
      <c r="N1347" s="117">
        <f>M1347-L1347</f>
      </c>
      <c r="O1347" s="112"/>
      <c r="P1347" s="118">
        <f>N1347+O1347</f>
      </c>
      <c r="Q1347" s="94" t="s">
        <v>782</v>
      </c>
      <c r="R1347" s="94" t="s">
        <v>63</v>
      </c>
      <c r="S1347" s="119">
        <v>46329</v>
      </c>
      <c r="T1347" s="119"/>
      <c r="U1347" s="119">
        <v>46329</v>
      </c>
      <c r="V1347" s="94"/>
      <c r="W1347" s="94"/>
      <c r="X1347" s="94"/>
      <c r="Y1347" s="119">
        <v>46338</v>
      </c>
      <c r="Z1347" s="94"/>
      <c r="AA1347" s="120"/>
      <c r="AB1347" s="120"/>
      <c r="AC1347" s="120"/>
      <c r="AD1347" s="120"/>
      <c r="AE1347" s="120"/>
      <c r="AF1347" s="120"/>
      <c r="AG1347" s="94"/>
      <c r="AH1347" s="120"/>
      <c r="AI1347" s="94"/>
      <c r="AJ1347" s="94" t="s">
        <v>782</v>
      </c>
      <c r="AK1347" s="94" t="s">
        <v>71</v>
      </c>
      <c r="AL1347" s="94">
        <v>165</v>
      </c>
      <c r="AM1347" s="94" t="str">
        <f>TRIM(AJ1347)&amp;TRIM(AL1347)&amp;TRIM(AK1347)</f>
      </c>
      <c r="AN1347" s="116">
        <v>70.59</v>
      </c>
      <c r="AO1347" s="116">
        <v>-4.59</v>
      </c>
      <c r="AP1347" s="116">
        <f>SUMIFS(M:M,AM:AM,AM1347)+SUMIFS(O:O,AM:AM,AM1347)</f>
      </c>
      <c r="AQ1347" s="116">
        <f>SUMIFS(L:L,AM:AM,AM1347)</f>
      </c>
      <c r="AR1347" s="116">
        <f>AQ1347-AP1347</f>
      </c>
      <c r="AS1347" s="94" t="str">
        <f>IF(AN1347&gt;=AQ1347,"ok","ck")</f>
      </c>
      <c r="AT1347" s="116">
        <f>-P1347</f>
      </c>
      <c r="AU1347" s="115">
        <f>IF(SUMIFS(AT:AT,AM:AM,AM1347)&gt;AO1347,(SUMIFS(AT:AT,AM:AM,AM1347)-AO1347))</f>
      </c>
      <c r="AV1347" s="116">
        <v>70.59</v>
      </c>
      <c r="AW1347" s="121">
        <v>1.07</v>
      </c>
      <c r="AX1347" s="115">
        <f>AN1347-AP1347</f>
      </c>
    </row>
    <row r="1348" spans="1:50" ht="15" hidden="1" customHeight="1" x14ac:dyDescent="0.3">
      <c r="A1348" s="94" t="s">
        <v>268</v>
      </c>
      <c r="B1348" s="94"/>
      <c r="C1348" s="94"/>
      <c r="D1348" s="94"/>
      <c r="E1348" s="94"/>
      <c r="F1348" s="94"/>
      <c r="G1348" s="112">
        <f>AU1348</f>
      </c>
      <c r="H1348" s="113"/>
      <c r="I1348" s="94" t="s">
        <v>278</v>
      </c>
      <c r="J1348" s="94" t="s">
        <v>317</v>
      </c>
      <c r="K1348" s="114">
        <f>P1348/3</f>
      </c>
      <c r="L1348" s="115">
        <v>84</v>
      </c>
      <c r="M1348" s="116">
        <f>L1348</f>
      </c>
      <c r="N1348" s="117">
        <f>M1348-L1348</f>
      </c>
      <c r="O1348" s="112"/>
      <c r="P1348" s="118">
        <f>N1348+O1348</f>
      </c>
      <c r="Q1348" s="94" t="s">
        <v>305</v>
      </c>
      <c r="R1348" s="94" t="s">
        <v>63</v>
      </c>
      <c r="S1348" s="119">
        <v>46333</v>
      </c>
      <c r="T1348" s="119"/>
      <c r="U1348" s="119">
        <v>46333</v>
      </c>
      <c r="V1348" s="94"/>
      <c r="W1348" s="94"/>
      <c r="X1348" s="94"/>
      <c r="Y1348" s="119">
        <v>46320</v>
      </c>
      <c r="Z1348" s="94"/>
      <c r="AA1348" s="120"/>
      <c r="AB1348" s="120"/>
      <c r="AC1348" s="120"/>
      <c r="AD1348" s="120"/>
      <c r="AE1348" s="120"/>
      <c r="AF1348" s="120"/>
      <c r="AG1348" s="94"/>
      <c r="AH1348" s="120"/>
      <c r="AI1348" s="94"/>
      <c r="AJ1348" s="94" t="s">
        <v>305</v>
      </c>
      <c r="AK1348" s="94" t="s">
        <v>317</v>
      </c>
      <c r="AL1348" s="94">
        <v>120</v>
      </c>
      <c r="AM1348" s="94" t="str">
        <f>TRIM(AJ1348)&amp;TRIM(AL1348)&amp;TRIM(AK1348)</f>
      </c>
      <c r="AN1348" s="116">
        <v>921</v>
      </c>
      <c r="AO1348" s="116">
        <v>-44</v>
      </c>
      <c r="AP1348" s="116">
        <f>SUMIFS(M:M,AM:AM,AM1348)+SUMIFS(O:O,AM:AM,AM1348)</f>
      </c>
      <c r="AQ1348" s="116">
        <f>SUMIFS(L:L,AM:AM,AM1348)</f>
      </c>
      <c r="AR1348" s="116">
        <f>AQ1348-AP1348</f>
      </c>
      <c r="AS1348" s="94" t="str">
        <f>IF(AN1348&gt;=AQ1348,"ok","ck")</f>
      </c>
      <c r="AT1348" s="116">
        <f>-P1348</f>
      </c>
      <c r="AU1348" s="115">
        <f>IF(SUMIFS(AT:AT,AM:AM,AM1348)&gt;AO1348,(SUMIFS(AT:AT,AM:AM,AM1348)-AO1348))</f>
      </c>
      <c r="AV1348" s="116">
        <v>921</v>
      </c>
      <c r="AW1348" s="121">
        <v>1.05</v>
      </c>
      <c r="AX1348" s="115">
        <f>AN1348-AP1348</f>
      </c>
    </row>
    <row r="1349" spans="1:50" ht="15" hidden="1" customHeight="1" x14ac:dyDescent="0.3">
      <c r="A1349" s="94" t="s">
        <v>268</v>
      </c>
      <c r="B1349" s="94"/>
      <c r="C1349" s="94"/>
      <c r="D1349" s="94"/>
      <c r="E1349" s="94"/>
      <c r="F1349" s="94"/>
      <c r="G1349" s="112">
        <f>AU1349</f>
      </c>
      <c r="H1349" s="113"/>
      <c r="I1349" s="94" t="s">
        <v>278</v>
      </c>
      <c r="J1349" s="94" t="s">
        <v>317</v>
      </c>
      <c r="K1349" s="114">
        <f>P1349/3</f>
      </c>
      <c r="L1349" s="115">
        <v>36.75</v>
      </c>
      <c r="M1349" s="116">
        <f>L1349</f>
      </c>
      <c r="N1349" s="117">
        <f>M1349-L1349</f>
      </c>
      <c r="O1349" s="112"/>
      <c r="P1349" s="118">
        <f>N1349+O1349</f>
      </c>
      <c r="Q1349" s="94" t="s">
        <v>305</v>
      </c>
      <c r="R1349" s="94" t="s">
        <v>63</v>
      </c>
      <c r="S1349" s="119">
        <v>46333</v>
      </c>
      <c r="T1349" s="119"/>
      <c r="U1349" s="119">
        <v>46333</v>
      </c>
      <c r="V1349" s="94"/>
      <c r="W1349" s="94"/>
      <c r="X1349" s="94"/>
      <c r="Y1349" s="119">
        <v>46321</v>
      </c>
      <c r="Z1349" s="94"/>
      <c r="AA1349" s="120"/>
      <c r="AB1349" s="120"/>
      <c r="AC1349" s="120"/>
      <c r="AD1349" s="120"/>
      <c r="AE1349" s="120"/>
      <c r="AF1349" s="120"/>
      <c r="AG1349" s="94"/>
      <c r="AH1349" s="120"/>
      <c r="AI1349" s="94"/>
      <c r="AJ1349" s="94" t="s">
        <v>305</v>
      </c>
      <c r="AK1349" s="94" t="s">
        <v>317</v>
      </c>
      <c r="AL1349" s="94">
        <v>120</v>
      </c>
      <c r="AM1349" s="94" t="str">
        <f>TRIM(AJ1349)&amp;TRIM(AL1349)&amp;TRIM(AK1349)</f>
      </c>
      <c r="AN1349" s="116">
        <v>921</v>
      </c>
      <c r="AO1349" s="116">
        <v>-44</v>
      </c>
      <c r="AP1349" s="116">
        <f>SUMIFS(M:M,AM:AM,AM1349)+SUMIFS(O:O,AM:AM,AM1349)</f>
      </c>
      <c r="AQ1349" s="116">
        <f>SUMIFS(L:L,AM:AM,AM1349)</f>
      </c>
      <c r="AR1349" s="116">
        <f>AQ1349-AP1349</f>
      </c>
      <c r="AS1349" s="94" t="str">
        <f>IF(AN1349&gt;=AQ1349,"ok","ck")</f>
      </c>
      <c r="AT1349" s="116">
        <f>-P1349</f>
      </c>
      <c r="AU1349" s="115">
        <f>IF(SUMIFS(AT:AT,AM:AM,AM1349)&gt;AO1349,(SUMIFS(AT:AT,AM:AM,AM1349)-AO1349))</f>
      </c>
      <c r="AV1349" s="116">
        <v>921</v>
      </c>
      <c r="AW1349" s="121">
        <v>1.05</v>
      </c>
      <c r="AX1349" s="115">
        <f>AN1349-AP1349</f>
      </c>
    </row>
    <row r="1350" spans="1:50" ht="15" hidden="1" customHeight="1" x14ac:dyDescent="0.3">
      <c r="A1350" s="94" t="s">
        <v>288</v>
      </c>
      <c r="B1350" s="94"/>
      <c r="C1350" s="94"/>
      <c r="D1350" s="94"/>
      <c r="E1350" s="94"/>
      <c r="F1350" s="94"/>
      <c r="G1350" s="112">
        <f>AU1350</f>
      </c>
      <c r="H1350" s="113"/>
      <c r="I1350" s="94" t="s">
        <v>297</v>
      </c>
      <c r="J1350" s="94" t="s">
        <v>301</v>
      </c>
      <c r="K1350" s="114">
        <f>P1350/3</f>
      </c>
      <c r="L1350" s="115">
        <v>-2.3079999999999998</v>
      </c>
      <c r="M1350" s="116">
        <f>L1350</f>
      </c>
      <c r="N1350" s="117">
        <f>M1350-L1350</f>
      </c>
      <c r="O1350" s="112"/>
      <c r="P1350" s="118">
        <f>N1350+O1350</f>
      </c>
      <c r="Q1350" s="94" t="s">
        <v>332</v>
      </c>
      <c r="R1350" s="94" t="s">
        <v>63</v>
      </c>
      <c r="S1350" s="119">
        <v>46320</v>
      </c>
      <c r="T1350" s="119"/>
      <c r="U1350" s="119">
        <v>46320</v>
      </c>
      <c r="V1350" s="94"/>
      <c r="W1350" s="94"/>
      <c r="X1350" s="94"/>
      <c r="Y1350" s="119">
        <v>46320</v>
      </c>
      <c r="Z1350" s="94"/>
      <c r="AA1350" s="120"/>
      <c r="AB1350" s="120"/>
      <c r="AC1350" s="120"/>
      <c r="AD1350" s="120"/>
      <c r="AE1350" s="120"/>
      <c r="AF1350" s="120"/>
      <c r="AG1350" s="94"/>
      <c r="AH1350" s="120"/>
      <c r="AI1350" s="94"/>
      <c r="AJ1350" s="94" t="s">
        <v>783</v>
      </c>
      <c r="AK1350" s="94" t="s">
        <v>302</v>
      </c>
      <c r="AL1350" s="94">
        <v>190</v>
      </c>
      <c r="AM1350" s="94" t="str">
        <f>TRIM(AJ1350)&amp;TRIM(AL1350)&amp;TRIM(AK1350)</f>
      </c>
      <c r="AN1350" s="116">
        <v>1774.8</v>
      </c>
      <c r="AO1350" s="116">
        <v>-42.81</v>
      </c>
      <c r="AP1350" s="116">
        <f>SUMIFS(M:M,AM:AM,AM1350)+SUMIFS(O:O,AM:AM,AM1350)</f>
      </c>
      <c r="AQ1350" s="116">
        <f>SUMIFS(L:L,AM:AM,AM1350)</f>
      </c>
      <c r="AR1350" s="116">
        <f>AQ1350-AP1350</f>
      </c>
      <c r="AS1350" s="94" t="str">
        <f>IF(AN1350&gt;=AQ1350,"ok","ck")</f>
      </c>
      <c r="AT1350" s="116">
        <f>-P1350</f>
      </c>
      <c r="AU1350" s="115">
        <f>IF(SUMIFS(AT:AT,AM:AM,AM1350)&gt;AO1350,(SUMIFS(AT:AT,AM:AM,AM1350)-AO1350))</f>
      </c>
      <c r="AV1350" s="116">
        <v>1774.8</v>
      </c>
      <c r="AW1350" s="121">
        <v>1.025</v>
      </c>
      <c r="AX1350" s="115">
        <f>AN1350-AP1350</f>
      </c>
    </row>
    <row r="1351" spans="1:50" ht="15" hidden="1" customHeight="1" x14ac:dyDescent="0.3">
      <c r="A1351" s="94" t="s">
        <v>288</v>
      </c>
      <c r="B1351" s="94"/>
      <c r="C1351" s="94"/>
      <c r="D1351" s="94"/>
      <c r="E1351" s="94"/>
      <c r="F1351" s="94"/>
      <c r="G1351" s="112">
        <f>AU1351</f>
      </c>
      <c r="H1351" s="113"/>
      <c r="I1351" s="94" t="s">
        <v>297</v>
      </c>
      <c r="J1351" s="94" t="s">
        <v>301</v>
      </c>
      <c r="K1351" s="114">
        <f>P1351/3</f>
      </c>
      <c r="L1351" s="115">
        <v>-2.3109999999999999</v>
      </c>
      <c r="M1351" s="116">
        <f>L1351</f>
      </c>
      <c r="N1351" s="117">
        <f>M1351-L1351</f>
      </c>
      <c r="O1351" s="112"/>
      <c r="P1351" s="118">
        <f>N1351+O1351</f>
      </c>
      <c r="Q1351" s="94" t="s">
        <v>332</v>
      </c>
      <c r="R1351" s="94" t="s">
        <v>63</v>
      </c>
      <c r="S1351" s="119">
        <v>46320</v>
      </c>
      <c r="T1351" s="119"/>
      <c r="U1351" s="119">
        <v>46320</v>
      </c>
      <c r="V1351" s="94"/>
      <c r="W1351" s="94"/>
      <c r="X1351" s="94"/>
      <c r="Y1351" s="119">
        <v>46320</v>
      </c>
      <c r="Z1351" s="94"/>
      <c r="AA1351" s="120"/>
      <c r="AB1351" s="120"/>
      <c r="AC1351" s="120"/>
      <c r="AD1351" s="120"/>
      <c r="AE1351" s="120"/>
      <c r="AF1351" s="120"/>
      <c r="AG1351" s="94"/>
      <c r="AH1351" s="120"/>
      <c r="AI1351" s="94"/>
      <c r="AJ1351" s="94" t="s">
        <v>783</v>
      </c>
      <c r="AK1351" s="94" t="s">
        <v>302</v>
      </c>
      <c r="AL1351" s="94">
        <v>190</v>
      </c>
      <c r="AM1351" s="94" t="str">
        <f>TRIM(AJ1351)&amp;TRIM(AL1351)&amp;TRIM(AK1351)</f>
      </c>
      <c r="AN1351" s="116">
        <v>1774.8</v>
      </c>
      <c r="AO1351" s="116">
        <v>-42.81</v>
      </c>
      <c r="AP1351" s="116">
        <f>SUMIFS(M:M,AM:AM,AM1351)+SUMIFS(O:O,AM:AM,AM1351)</f>
      </c>
      <c r="AQ1351" s="116">
        <f>SUMIFS(L:L,AM:AM,AM1351)</f>
      </c>
      <c r="AR1351" s="116">
        <f>AQ1351-AP1351</f>
      </c>
      <c r="AS1351" s="94" t="str">
        <f>IF(AN1351&gt;=AQ1351,"ok","ck")</f>
      </c>
      <c r="AT1351" s="116">
        <f>-P1351</f>
      </c>
      <c r="AU1351" s="115">
        <f>IF(SUMIFS(AT:AT,AM:AM,AM1351)&gt;AO1351,(SUMIFS(AT:AT,AM:AM,AM1351)-AO1351))</f>
      </c>
      <c r="AV1351" s="116">
        <v>1774.8</v>
      </c>
      <c r="AW1351" s="121">
        <v>1.025</v>
      </c>
      <c r="AX1351" s="115">
        <f>AN1351-AP1351</f>
      </c>
    </row>
    <row r="1352" spans="1:50" ht="15" hidden="1" customHeight="1" x14ac:dyDescent="0.3">
      <c r="A1352" s="94" t="s">
        <v>480</v>
      </c>
      <c r="B1352" s="94"/>
      <c r="C1352" s="94"/>
      <c r="D1352" s="94"/>
      <c r="E1352" s="94"/>
      <c r="F1352" s="94"/>
      <c r="G1352" s="112">
        <f>AU1352</f>
      </c>
      <c r="H1352" s="113"/>
      <c r="I1352" s="94" t="s">
        <v>486</v>
      </c>
      <c r="J1352" s="94" t="s">
        <v>514</v>
      </c>
      <c r="K1352" s="114">
        <f>P1352/3</f>
      </c>
      <c r="L1352" s="115">
        <v>91.257999999999996</v>
      </c>
      <c r="M1352" s="116">
        <f>L1352</f>
      </c>
      <c r="N1352" s="117">
        <f>M1352-L1352</f>
      </c>
      <c r="O1352" s="112"/>
      <c r="P1352" s="118">
        <f>N1352+O1352</f>
      </c>
      <c r="Q1352" s="94" t="s">
        <v>782</v>
      </c>
      <c r="R1352" s="94" t="s">
        <v>63</v>
      </c>
      <c r="S1352" s="120">
        <v>46329</v>
      </c>
      <c r="T1352" s="120"/>
      <c r="U1352" s="120">
        <v>46329</v>
      </c>
      <c r="V1352" s="94"/>
      <c r="W1352" s="94"/>
      <c r="X1352" s="94"/>
      <c r="Y1352" s="119">
        <v>46327</v>
      </c>
      <c r="Z1352" s="94"/>
      <c r="AA1352" s="120"/>
      <c r="AB1352" s="120"/>
      <c r="AC1352" s="120"/>
      <c r="AD1352" s="120"/>
      <c r="AE1352" s="120"/>
      <c r="AF1352" s="120"/>
      <c r="AG1352" s="94"/>
      <c r="AH1352" s="120"/>
      <c r="AI1352" s="94"/>
      <c r="AJ1352" s="94" t="s">
        <v>782</v>
      </c>
      <c r="AK1352" s="94" t="s">
        <v>514</v>
      </c>
      <c r="AL1352" s="94">
        <v>165</v>
      </c>
      <c r="AM1352" s="94" t="str">
        <f>TRIM(AJ1352)&amp;TRIM(AL1352)&amp;TRIM(AK1352)</f>
      </c>
      <c r="AN1352" s="116">
        <v>297</v>
      </c>
      <c r="AO1352" s="116">
        <v>-61</v>
      </c>
      <c r="AP1352" s="116">
        <f>SUMIFS(M:M,AM:AM,AM1352)+SUMIFS(O:O,AM:AM,AM1352)</f>
      </c>
      <c r="AQ1352" s="116">
        <f>SUMIFS(L:L,AM:AM,AM1352)</f>
      </c>
      <c r="AR1352" s="116">
        <f>AQ1352-AP1352</f>
      </c>
      <c r="AS1352" s="94" t="str">
        <f>IF(AN1352&gt;=AQ1352,"ok","ck")</f>
      </c>
      <c r="AT1352" s="116">
        <f>-P1352</f>
      </c>
      <c r="AU1352" s="115">
        <f>IF(SUMIFS(AT:AT,AM:AM,AM1352)&gt;AO1352,(SUMIFS(AT:AT,AM:AM,AM1352)-AO1352))</f>
      </c>
      <c r="AV1352" s="116">
        <v>297</v>
      </c>
      <c r="AW1352" s="121">
        <v>1.258</v>
      </c>
      <c r="AX1352" s="115">
        <f>AN1352-AP1352</f>
      </c>
    </row>
    <row r="1353" spans="1:50" ht="15" hidden="1" customHeight="1" x14ac:dyDescent="0.3">
      <c r="A1353" s="94" t="s">
        <v>480</v>
      </c>
      <c r="B1353" s="94"/>
      <c r="C1353" s="94"/>
      <c r="D1353" s="94"/>
      <c r="E1353" s="94"/>
      <c r="F1353" s="94"/>
      <c r="G1353" s="112">
        <f>AU1353</f>
      </c>
      <c r="H1353" s="113"/>
      <c r="I1353" s="94" t="s">
        <v>486</v>
      </c>
      <c r="J1353" s="94" t="s">
        <v>514</v>
      </c>
      <c r="K1353" s="114">
        <f>P1353/3</f>
      </c>
      <c r="L1353" s="115">
        <v>6.7590000000000003</v>
      </c>
      <c r="M1353" s="116">
        <f>L1353</f>
      </c>
      <c r="N1353" s="117">
        <f>M1353-L1353</f>
      </c>
      <c r="O1353" s="112"/>
      <c r="P1353" s="118">
        <f>N1353+O1353</f>
      </c>
      <c r="Q1353" s="94" t="s">
        <v>782</v>
      </c>
      <c r="R1353" s="94" t="s">
        <v>63</v>
      </c>
      <c r="S1353" s="120">
        <v>46329</v>
      </c>
      <c r="T1353" s="120"/>
      <c r="U1353" s="120">
        <v>46329</v>
      </c>
      <c r="V1353" s="94"/>
      <c r="W1353" s="94"/>
      <c r="X1353" s="94"/>
      <c r="Y1353" s="119">
        <v>46327</v>
      </c>
      <c r="Z1353" s="94"/>
      <c r="AA1353" s="120"/>
      <c r="AB1353" s="120"/>
      <c r="AC1353" s="120"/>
      <c r="AD1353" s="120"/>
      <c r="AE1353" s="120"/>
      <c r="AF1353" s="120"/>
      <c r="AG1353" s="94"/>
      <c r="AH1353" s="120"/>
      <c r="AI1353" s="94"/>
      <c r="AJ1353" s="94" t="s">
        <v>782</v>
      </c>
      <c r="AK1353" s="94" t="s">
        <v>514</v>
      </c>
      <c r="AL1353" s="94">
        <v>165</v>
      </c>
      <c r="AM1353" s="94" t="str">
        <f>TRIM(AJ1353)&amp;TRIM(AL1353)&amp;TRIM(AK1353)</f>
      </c>
      <c r="AN1353" s="116">
        <v>297</v>
      </c>
      <c r="AO1353" s="116">
        <v>-61</v>
      </c>
      <c r="AP1353" s="116">
        <f>SUMIFS(M:M,AM:AM,AM1353)+SUMIFS(O:O,AM:AM,AM1353)</f>
      </c>
      <c r="AQ1353" s="116">
        <f>SUMIFS(L:L,AM:AM,AM1353)</f>
      </c>
      <c r="AR1353" s="116">
        <f>AQ1353-AP1353</f>
      </c>
      <c r="AS1353" s="94" t="str">
        <f>IF(AN1353&gt;=AQ1353,"ok","ck")</f>
      </c>
      <c r="AT1353" s="116">
        <f>-P1353</f>
      </c>
      <c r="AU1353" s="115">
        <f>IF(SUMIFS(AT:AT,AM:AM,AM1353)&gt;AO1353,(SUMIFS(AT:AT,AM:AM,AM1353)-AO1353))</f>
      </c>
      <c r="AV1353" s="116">
        <v>297</v>
      </c>
      <c r="AW1353" s="121">
        <v>1.258</v>
      </c>
      <c r="AX1353" s="115">
        <f>AN1353-AP1353</f>
      </c>
    </row>
    <row r="1354" spans="1:50" ht="15" hidden="1" customHeight="1" x14ac:dyDescent="0.3">
      <c r="A1354" s="94" t="s">
        <v>60</v>
      </c>
      <c r="B1354" s="94"/>
      <c r="C1354" s="94"/>
      <c r="D1354" s="94"/>
      <c r="E1354" s="94"/>
      <c r="F1354" s="94"/>
      <c r="G1354" s="112">
        <f>AU1354</f>
      </c>
      <c r="H1354" s="113"/>
      <c r="I1354" s="94" t="s">
        <v>70</v>
      </c>
      <c r="J1354" s="94" t="s">
        <v>73</v>
      </c>
      <c r="K1354" s="114">
        <f>P1354/3</f>
      </c>
      <c r="L1354" s="115">
        <v>139</v>
      </c>
      <c r="M1354" s="116">
        <f>L1354</f>
      </c>
      <c r="N1354" s="117">
        <f>M1354-L1354</f>
      </c>
      <c r="O1354" s="112"/>
      <c r="P1354" s="118">
        <f>N1354+O1354</f>
      </c>
      <c r="Q1354" s="94" t="s">
        <v>818</v>
      </c>
      <c r="R1354" s="94" t="s">
        <v>63</v>
      </c>
      <c r="S1354" s="120">
        <v>46326</v>
      </c>
      <c r="T1354" s="120"/>
      <c r="U1354" s="120">
        <v>46326</v>
      </c>
      <c r="V1354" s="94"/>
      <c r="W1354" s="94"/>
      <c r="X1354" s="94"/>
      <c r="Y1354" s="119">
        <v>46326</v>
      </c>
      <c r="Z1354" s="94"/>
      <c r="AA1354" s="120"/>
      <c r="AB1354" s="120"/>
      <c r="AC1354" s="120"/>
      <c r="AD1354" s="120"/>
      <c r="AE1354" s="120"/>
      <c r="AF1354" s="120"/>
      <c r="AG1354" s="94"/>
      <c r="AH1354" s="120"/>
      <c r="AI1354" s="94"/>
      <c r="AJ1354" s="94" t="s">
        <v>818</v>
      </c>
      <c r="AK1354" s="94" t="s">
        <v>716</v>
      </c>
      <c r="AL1354" s="94">
        <v>140</v>
      </c>
      <c r="AM1354" s="94" t="str">
        <f>TRIM(AJ1354)&amp;TRIM(AL1354)&amp;TRIM(AK1354)</f>
      </c>
      <c r="AN1354" s="116">
        <v>140</v>
      </c>
      <c r="AO1354" s="116">
        <v>-2</v>
      </c>
      <c r="AP1354" s="116">
        <f>SUMIFS(M:M,AM:AM,AM1354)+SUMIFS(O:O,AM:AM,AM1354)</f>
      </c>
      <c r="AQ1354" s="116">
        <f>SUMIFS(L:L,AM:AM,AM1354)</f>
      </c>
      <c r="AR1354" s="116">
        <f>AQ1354-AP1354</f>
      </c>
      <c r="AS1354" s="94" t="str">
        <f>IF(AN1354&gt;=AQ1354,"ok","ck")</f>
      </c>
      <c r="AT1354" s="116">
        <f>-P1354</f>
      </c>
      <c r="AU1354" s="115">
        <f>IF(SUMIFS(AT:AT,AM:AM,AM1354)&gt;AO1354,(SUMIFS(AT:AT,AM:AM,AM1354)-AO1354))</f>
      </c>
      <c r="AV1354" s="116">
        <v>140</v>
      </c>
      <c r="AW1354" s="121">
        <v>1.014</v>
      </c>
      <c r="AX1354" s="115">
        <f>AN1354-AP1354</f>
      </c>
    </row>
    <row r="1355" spans="1:50" ht="15" hidden="1" customHeight="1" x14ac:dyDescent="0.3">
      <c r="A1355" s="94" t="s">
        <v>60</v>
      </c>
      <c r="B1355" s="94"/>
      <c r="C1355" s="94"/>
      <c r="D1355" s="94"/>
      <c r="E1355" s="94"/>
      <c r="F1355" s="94"/>
      <c r="G1355" s="112">
        <f>AU1355</f>
      </c>
      <c r="H1355" s="113"/>
      <c r="I1355" s="94" t="s">
        <v>70</v>
      </c>
      <c r="J1355" s="94" t="s">
        <v>118</v>
      </c>
      <c r="K1355" s="114">
        <f>P1355/3</f>
      </c>
      <c r="L1355" s="115">
        <v>3</v>
      </c>
      <c r="M1355" s="116">
        <f>L1355</f>
      </c>
      <c r="N1355" s="117">
        <f>M1355-L1355</f>
      </c>
      <c r="O1355" s="112"/>
      <c r="P1355" s="118">
        <f>N1355+O1355</f>
      </c>
      <c r="Q1355" s="94" t="s">
        <v>818</v>
      </c>
      <c r="R1355" s="94" t="s">
        <v>63</v>
      </c>
      <c r="S1355" s="120">
        <v>46326</v>
      </c>
      <c r="T1355" s="120"/>
      <c r="U1355" s="120">
        <v>46326</v>
      </c>
      <c r="V1355" s="94"/>
      <c r="W1355" s="94"/>
      <c r="X1355" s="94"/>
      <c r="Y1355" s="119">
        <v>46326</v>
      </c>
      <c r="Z1355" s="94"/>
      <c r="AA1355" s="120"/>
      <c r="AB1355" s="120"/>
      <c r="AC1355" s="120"/>
      <c r="AD1355" s="120"/>
      <c r="AE1355" s="120"/>
      <c r="AF1355" s="120"/>
      <c r="AG1355" s="94"/>
      <c r="AH1355" s="120"/>
      <c r="AI1355" s="94"/>
      <c r="AJ1355" s="94" t="s">
        <v>818</v>
      </c>
      <c r="AK1355" s="94" t="s">
        <v>738</v>
      </c>
      <c r="AL1355" s="94">
        <v>140</v>
      </c>
      <c r="AM1355" s="94" t="str">
        <f>TRIM(AJ1355)&amp;TRIM(AL1355)&amp;TRIM(AK1355)</f>
      </c>
      <c r="AN1355" s="116">
        <v>15</v>
      </c>
      <c r="AO1355" s="116">
        <v>-12</v>
      </c>
      <c r="AP1355" s="116">
        <f>SUMIFS(M:M,AM:AM,AM1355)+SUMIFS(O:O,AM:AM,AM1355)</f>
      </c>
      <c r="AQ1355" s="116">
        <f>SUMIFS(L:L,AM:AM,AM1355)</f>
      </c>
      <c r="AR1355" s="116">
        <f>AQ1355-AP1355</f>
      </c>
      <c r="AS1355" s="94" t="str">
        <f>IF(AN1355&gt;=AQ1355,"ok","ck")</f>
      </c>
      <c r="AT1355" s="116">
        <f>-P1355</f>
      </c>
      <c r="AU1355" s="115">
        <f>IF(SUMIFS(AT:AT,AM:AM,AM1355)&gt;AO1355,(SUMIFS(AT:AT,AM:AM,AM1355)-AO1355))</f>
      </c>
      <c r="AV1355" s="116">
        <v>15</v>
      </c>
      <c r="AW1355" s="121">
        <v>5</v>
      </c>
      <c r="AX1355" s="115">
        <f>AN1355-AP1355</f>
      </c>
    </row>
    <row r="1356" spans="1:50" ht="15" hidden="1" customHeight="1" x14ac:dyDescent="0.3">
      <c r="A1356" s="94" t="s">
        <v>60</v>
      </c>
      <c r="B1356" s="94"/>
      <c r="C1356" s="94"/>
      <c r="D1356" s="94"/>
      <c r="E1356" s="94"/>
      <c r="F1356" s="94"/>
      <c r="G1356" s="112">
        <f>AU1356</f>
      </c>
      <c r="H1356" s="113"/>
      <c r="I1356" s="94" t="s">
        <v>65</v>
      </c>
      <c r="J1356" s="94" t="s">
        <v>66</v>
      </c>
      <c r="K1356" s="114">
        <f>P1356/3</f>
      </c>
      <c r="L1356" s="115">
        <v>39.220999999999997</v>
      </c>
      <c r="M1356" s="116"/>
      <c r="N1356" s="117">
        <f>M1356-L1356</f>
      </c>
      <c r="O1356" s="112"/>
      <c r="P1356" s="118">
        <f>N1356+O1356</f>
      </c>
      <c r="Q1356" s="94" t="s">
        <v>67</v>
      </c>
      <c r="R1356" s="94" t="s">
        <v>63</v>
      </c>
      <c r="S1356" s="120">
        <v>46325</v>
      </c>
      <c r="T1356" s="120"/>
      <c r="U1356" s="120">
        <v>46325</v>
      </c>
      <c r="V1356" s="94"/>
      <c r="W1356" s="94"/>
      <c r="X1356" s="94"/>
      <c r="Y1356" s="119">
        <v>46337</v>
      </c>
      <c r="Z1356" s="94"/>
      <c r="AA1356" s="120"/>
      <c r="AB1356" s="120"/>
      <c r="AC1356" s="120"/>
      <c r="AD1356" s="120"/>
      <c r="AE1356" s="120"/>
      <c r="AF1356" s="120"/>
      <c r="AG1356" s="94"/>
      <c r="AH1356" s="120"/>
      <c r="AI1356" s="94"/>
      <c r="AJ1356" s="94" t="s">
        <v>67</v>
      </c>
      <c r="AK1356" s="94" t="s">
        <v>66</v>
      </c>
      <c r="AL1356" s="94">
        <v>110</v>
      </c>
      <c r="AM1356" s="94" t="str">
        <f>TRIM(AJ1356)&amp;TRIM(AL1356)&amp;TRIM(AK1356)</f>
      </c>
      <c r="AN1356" s="116">
        <v>1536.41</v>
      </c>
      <c r="AO1356" s="116">
        <v>113.59</v>
      </c>
      <c r="AP1356" s="116">
        <f>SUMIFS(M:M,AM:AM,AM1356)+SUMIFS(O:O,AM:AM,AM1356)</f>
      </c>
      <c r="AQ1356" s="116">
        <f>SUMIFS(L:L,AM:AM,AM1356)</f>
      </c>
      <c r="AR1356" s="116">
        <f>AQ1356-AP1356</f>
      </c>
      <c r="AS1356" s="94" t="str">
        <f>IF(AN1356&gt;=AQ1356,"ok","ck")</f>
      </c>
      <c r="AT1356" s="116">
        <f>-P1356</f>
      </c>
      <c r="AU1356" s="115">
        <f>IF(SUMIFS(AT:AT,AM:AM,AM1356)&gt;AO1356,(SUMIFS(AT:AT,AM:AM,AM1356)-AO1356))</f>
      </c>
      <c r="AV1356" s="116">
        <v>1536.41</v>
      </c>
      <c r="AW1356" s="121">
        <v>0.931</v>
      </c>
      <c r="AX1356" s="115">
        <f>AN1356-AP1356</f>
      </c>
    </row>
    <row r="1357" spans="1:50" ht="15" hidden="1" customHeight="1" x14ac:dyDescent="0.3">
      <c r="A1357" s="94" t="s">
        <v>288</v>
      </c>
      <c r="B1357" s="94"/>
      <c r="C1357" s="94"/>
      <c r="D1357" s="94"/>
      <c r="E1357" s="94"/>
      <c r="F1357" s="94"/>
      <c r="G1357" s="112">
        <f>AU1357</f>
      </c>
      <c r="H1357" s="113"/>
      <c r="I1357" s="94" t="s">
        <v>297</v>
      </c>
      <c r="J1357" s="94" t="s">
        <v>286</v>
      </c>
      <c r="K1357" s="114">
        <f>P1357/3</f>
      </c>
      <c r="L1357" s="115">
        <v>0</v>
      </c>
      <c r="M1357" s="116">
        <f>L1357</f>
      </c>
      <c r="N1357" s="117">
        <f>M1357-L1357</f>
      </c>
      <c r="O1357" s="112"/>
      <c r="P1357" s="118">
        <f>N1357+O1357</f>
      </c>
      <c r="Q1357" s="94" t="s">
        <v>299</v>
      </c>
      <c r="R1357" s="94" t="s">
        <v>63</v>
      </c>
      <c r="S1357" s="120">
        <v>46320</v>
      </c>
      <c r="T1357" s="120"/>
      <c r="U1357" s="120">
        <v>46320</v>
      </c>
      <c r="V1357" s="94"/>
      <c r="W1357" s="94"/>
      <c r="X1357" s="94"/>
      <c r="Y1357" s="119">
        <v>46320</v>
      </c>
      <c r="Z1357" s="94"/>
      <c r="AA1357" s="120"/>
      <c r="AB1357" s="120"/>
      <c r="AC1357" s="120"/>
      <c r="AD1357" s="120"/>
      <c r="AE1357" s="120"/>
      <c r="AF1357" s="120"/>
      <c r="AG1357" s="94"/>
      <c r="AH1357" s="120"/>
      <c r="AI1357" s="94"/>
      <c r="AJ1357" s="94" t="s">
        <v>478</v>
      </c>
      <c r="AK1357" s="94" t="s">
        <v>281</v>
      </c>
      <c r="AL1357" s="94">
        <v>190</v>
      </c>
      <c r="AM1357" s="94" t="str">
        <f>TRIM(AJ1357)&amp;TRIM(AL1357)&amp;TRIM(AK1357)</f>
      </c>
      <c r="AN1357" s="116">
        <v>6474.14</v>
      </c>
      <c r="AO1357" s="116">
        <v>-167.99</v>
      </c>
      <c r="AP1357" s="116">
        <f>SUMIFS(M:M,AM:AM,AM1357)+SUMIFS(O:O,AM:AM,AM1357)</f>
      </c>
      <c r="AQ1357" s="116">
        <f>SUMIFS(L:L,AM:AM,AM1357)</f>
      </c>
      <c r="AR1357" s="116">
        <f>AQ1357-AP1357</f>
      </c>
      <c r="AS1357" s="94" t="str">
        <f>IF(AN1357&gt;=AQ1357,"ok","ck")</f>
      </c>
      <c r="AT1357" s="116">
        <f>-P1357</f>
      </c>
      <c r="AU1357" s="115">
        <f>IF(SUMIFS(AT:AT,AM:AM,AM1357)&gt;AO1357,(SUMIFS(AT:AT,AM:AM,AM1357)-AO1357))</f>
      </c>
      <c r="AV1357" s="116">
        <v>6474.14</v>
      </c>
      <c r="AW1357" s="121">
        <v>1.027</v>
      </c>
      <c r="AX1357" s="115">
        <f>AN1357-AP1357</f>
      </c>
    </row>
    <row r="1358" spans="1:50" ht="15" hidden="1" customHeight="1" x14ac:dyDescent="0.3">
      <c r="A1358" s="94" t="s">
        <v>288</v>
      </c>
      <c r="B1358" s="94"/>
      <c r="C1358" s="94"/>
      <c r="D1358" s="94"/>
      <c r="E1358" s="94"/>
      <c r="F1358" s="94"/>
      <c r="G1358" s="112">
        <f>AU1358</f>
      </c>
      <c r="H1358" s="113"/>
      <c r="I1358" s="94" t="s">
        <v>297</v>
      </c>
      <c r="J1358" s="94" t="s">
        <v>286</v>
      </c>
      <c r="K1358" s="114">
        <f>P1358/3</f>
      </c>
      <c r="L1358" s="115">
        <v>0</v>
      </c>
      <c r="M1358" s="116">
        <f>L1358</f>
      </c>
      <c r="N1358" s="117">
        <f>M1358-L1358</f>
      </c>
      <c r="O1358" s="112"/>
      <c r="P1358" s="118">
        <f>N1358+O1358</f>
      </c>
      <c r="Q1358" s="94" t="s">
        <v>299</v>
      </c>
      <c r="R1358" s="94" t="s">
        <v>63</v>
      </c>
      <c r="S1358" s="120">
        <v>46320</v>
      </c>
      <c r="T1358" s="120"/>
      <c r="U1358" s="120">
        <v>46320</v>
      </c>
      <c r="V1358" s="94"/>
      <c r="W1358" s="94"/>
      <c r="X1358" s="94"/>
      <c r="Y1358" s="119">
        <v>46320</v>
      </c>
      <c r="Z1358" s="94"/>
      <c r="AA1358" s="120"/>
      <c r="AB1358" s="120"/>
      <c r="AC1358" s="120"/>
      <c r="AD1358" s="120"/>
      <c r="AE1358" s="120"/>
      <c r="AF1358" s="120"/>
      <c r="AG1358" s="94"/>
      <c r="AH1358" s="120"/>
      <c r="AI1358" s="94"/>
      <c r="AJ1358" s="94" t="s">
        <v>478</v>
      </c>
      <c r="AK1358" s="94" t="s">
        <v>281</v>
      </c>
      <c r="AL1358" s="94">
        <v>190</v>
      </c>
      <c r="AM1358" s="94" t="str">
        <f>TRIM(AJ1358)&amp;TRIM(AL1358)&amp;TRIM(AK1358)</f>
      </c>
      <c r="AN1358" s="116">
        <v>6474.14</v>
      </c>
      <c r="AO1358" s="116">
        <v>-167.99</v>
      </c>
      <c r="AP1358" s="116">
        <f>SUMIFS(M:M,AM:AM,AM1358)+SUMIFS(O:O,AM:AM,AM1358)</f>
      </c>
      <c r="AQ1358" s="116">
        <f>SUMIFS(L:L,AM:AM,AM1358)</f>
      </c>
      <c r="AR1358" s="116">
        <f>AQ1358-AP1358</f>
      </c>
      <c r="AS1358" s="94" t="str">
        <f>IF(AN1358&gt;=AQ1358,"ok","ck")</f>
      </c>
      <c r="AT1358" s="116">
        <f>-P1358</f>
      </c>
      <c r="AU1358" s="115">
        <f>IF(SUMIFS(AT:AT,AM:AM,AM1358)&gt;AO1358,(SUMIFS(AT:AT,AM:AM,AM1358)-AO1358))</f>
      </c>
      <c r="AV1358" s="116">
        <v>6474.14</v>
      </c>
      <c r="AW1358" s="121">
        <v>1.027</v>
      </c>
      <c r="AX1358" s="115">
        <f>AN1358-AP1358</f>
      </c>
    </row>
    <row r="1359" spans="1:50" ht="15" hidden="1" customHeight="1" x14ac:dyDescent="0.3">
      <c r="A1359" s="94" t="s">
        <v>288</v>
      </c>
      <c r="B1359" s="94"/>
      <c r="C1359" s="94"/>
      <c r="D1359" s="94"/>
      <c r="E1359" s="94"/>
      <c r="F1359" s="94"/>
      <c r="G1359" s="112">
        <f>AU1359</f>
      </c>
      <c r="H1359" s="113"/>
      <c r="I1359" s="94" t="s">
        <v>297</v>
      </c>
      <c r="J1359" s="94" t="s">
        <v>286</v>
      </c>
      <c r="K1359" s="114">
        <f>P1359/3</f>
      </c>
      <c r="L1359" s="115">
        <v>0</v>
      </c>
      <c r="M1359" s="116">
        <f>L1359</f>
      </c>
      <c r="N1359" s="117">
        <f>M1359-L1359</f>
      </c>
      <c r="O1359" s="112"/>
      <c r="P1359" s="118">
        <f>N1359+O1359</f>
      </c>
      <c r="Q1359" s="94" t="s">
        <v>299</v>
      </c>
      <c r="R1359" s="94" t="s">
        <v>63</v>
      </c>
      <c r="S1359" s="120">
        <v>46324</v>
      </c>
      <c r="T1359" s="120"/>
      <c r="U1359" s="120">
        <v>46324</v>
      </c>
      <c r="V1359" s="94"/>
      <c r="W1359" s="94"/>
      <c r="X1359" s="94"/>
      <c r="Y1359" s="119">
        <v>46324</v>
      </c>
      <c r="Z1359" s="94"/>
      <c r="AA1359" s="120"/>
      <c r="AB1359" s="120"/>
      <c r="AC1359" s="120"/>
      <c r="AD1359" s="120"/>
      <c r="AE1359" s="120"/>
      <c r="AF1359" s="120"/>
      <c r="AG1359" s="94"/>
      <c r="AH1359" s="120"/>
      <c r="AI1359" s="94"/>
      <c r="AJ1359" s="94" t="s">
        <v>478</v>
      </c>
      <c r="AK1359" s="94" t="s">
        <v>281</v>
      </c>
      <c r="AL1359" s="94">
        <v>190</v>
      </c>
      <c r="AM1359" s="94" t="str">
        <f>TRIM(AJ1359)&amp;TRIM(AL1359)&amp;TRIM(AK1359)</f>
      </c>
      <c r="AN1359" s="116">
        <v>6474.14</v>
      </c>
      <c r="AO1359" s="116">
        <v>-167.99</v>
      </c>
      <c r="AP1359" s="116">
        <f>SUMIFS(M:M,AM:AM,AM1359)+SUMIFS(O:O,AM:AM,AM1359)</f>
      </c>
      <c r="AQ1359" s="116">
        <f>SUMIFS(L:L,AM:AM,AM1359)</f>
      </c>
      <c r="AR1359" s="116">
        <f>AQ1359-AP1359</f>
      </c>
      <c r="AS1359" s="94" t="str">
        <f>IF(AN1359&gt;=AQ1359,"ok","ck")</f>
      </c>
      <c r="AT1359" s="116">
        <f>-P1359</f>
      </c>
      <c r="AU1359" s="115">
        <f>IF(SUMIFS(AT:AT,AM:AM,AM1359)&gt;AO1359,(SUMIFS(AT:AT,AM:AM,AM1359)-AO1359))</f>
      </c>
      <c r="AV1359" s="116">
        <v>6474.14</v>
      </c>
      <c r="AW1359" s="121">
        <v>1.027</v>
      </c>
      <c r="AX1359" s="115">
        <f>AN1359-AP1359</f>
      </c>
    </row>
    <row r="1360" spans="1:50" ht="15" hidden="1" customHeight="1" x14ac:dyDescent="0.3">
      <c r="A1360" s="94" t="s">
        <v>288</v>
      </c>
      <c r="B1360" s="94"/>
      <c r="C1360" s="94"/>
      <c r="D1360" s="94"/>
      <c r="E1360" s="94"/>
      <c r="F1360" s="94"/>
      <c r="G1360" s="112">
        <f>AU1360</f>
      </c>
      <c r="H1360" s="113"/>
      <c r="I1360" s="94" t="s">
        <v>289</v>
      </c>
      <c r="J1360" s="94" t="s">
        <v>267</v>
      </c>
      <c r="K1360" s="114">
        <f>P1360/3</f>
      </c>
      <c r="L1360" s="115">
        <v>-0.61399999999999999</v>
      </c>
      <c r="M1360" s="116">
        <f>L1360</f>
      </c>
      <c r="N1360" s="117">
        <f>M1360-L1360</f>
      </c>
      <c r="O1360" s="112"/>
      <c r="P1360" s="118">
        <f>N1360+O1360</f>
      </c>
      <c r="Q1360" s="94" t="s">
        <v>299</v>
      </c>
      <c r="R1360" s="94" t="s">
        <v>63</v>
      </c>
      <c r="S1360" s="120">
        <v>46320</v>
      </c>
      <c r="T1360" s="120"/>
      <c r="U1360" s="120">
        <v>46320</v>
      </c>
      <c r="V1360" s="94"/>
      <c r="W1360" s="94"/>
      <c r="X1360" s="94"/>
      <c r="Y1360" s="119">
        <v>46320</v>
      </c>
      <c r="Z1360" s="94"/>
      <c r="AA1360" s="120"/>
      <c r="AB1360" s="120"/>
      <c r="AC1360" s="120"/>
      <c r="AD1360" s="120"/>
      <c r="AE1360" s="120"/>
      <c r="AF1360" s="120"/>
      <c r="AG1360" s="94"/>
      <c r="AH1360" s="120"/>
      <c r="AI1360" s="94"/>
      <c r="AJ1360" s="94" t="s">
        <v>478</v>
      </c>
      <c r="AK1360" s="94" t="s">
        <v>267</v>
      </c>
      <c r="AL1360" s="94">
        <v>235</v>
      </c>
      <c r="AM1360" s="94" t="str">
        <f>TRIM(AJ1360)&amp;TRIM(AL1360)&amp;TRIM(AK1360)</f>
      </c>
      <c r="AN1360" s="116">
        <v>2522</v>
      </c>
      <c r="AO1360" s="116">
        <v>-15.24</v>
      </c>
      <c r="AP1360" s="116">
        <f>SUMIFS(M:M,AM:AM,AM1360)+SUMIFS(O:O,AM:AM,AM1360)</f>
      </c>
      <c r="AQ1360" s="116">
        <f>SUMIFS(L:L,AM:AM,AM1360)</f>
      </c>
      <c r="AR1360" s="116">
        <f>AQ1360-AP1360</f>
      </c>
      <c r="AS1360" s="94" t="str">
        <f>IF(AN1360&gt;=AQ1360,"ok","ck")</f>
      </c>
      <c r="AT1360" s="116">
        <f>-P1360</f>
      </c>
      <c r="AU1360" s="115">
        <f>IF(SUMIFS(AT:AT,AM:AM,AM1360)&gt;AO1360,(SUMIFS(AT:AT,AM:AM,AM1360)-AO1360))</f>
      </c>
      <c r="AV1360" s="116">
        <v>2522</v>
      </c>
      <c r="AW1360" s="121">
        <v>1.006</v>
      </c>
      <c r="AX1360" s="115">
        <f>AN1360-AP1360</f>
      </c>
    </row>
    <row r="1361" spans="1:50" ht="15" hidden="1" customHeight="1" x14ac:dyDescent="0.3">
      <c r="A1361" s="94" t="s">
        <v>288</v>
      </c>
      <c r="B1361" s="94"/>
      <c r="C1361" s="94"/>
      <c r="D1361" s="94"/>
      <c r="E1361" s="94"/>
      <c r="F1361" s="94"/>
      <c r="G1361" s="112">
        <f>AU1361</f>
      </c>
      <c r="H1361" s="113"/>
      <c r="I1361" s="94" t="s">
        <v>289</v>
      </c>
      <c r="J1361" s="94" t="s">
        <v>267</v>
      </c>
      <c r="K1361" s="114">
        <f>P1361/3</f>
      </c>
      <c r="L1361" s="115">
        <v>-0.52200000000000002</v>
      </c>
      <c r="M1361" s="116">
        <f>L1361</f>
      </c>
      <c r="N1361" s="117">
        <f>M1361-L1361</f>
      </c>
      <c r="O1361" s="112"/>
      <c r="P1361" s="118">
        <f>N1361+O1361</f>
      </c>
      <c r="Q1361" s="94" t="s">
        <v>299</v>
      </c>
      <c r="R1361" s="94" t="s">
        <v>63</v>
      </c>
      <c r="S1361" s="119">
        <v>46320</v>
      </c>
      <c r="T1361" s="119"/>
      <c r="U1361" s="119">
        <v>46320</v>
      </c>
      <c r="V1361" s="94"/>
      <c r="W1361" s="94"/>
      <c r="X1361" s="94"/>
      <c r="Y1361" s="119">
        <v>46320</v>
      </c>
      <c r="Z1361" s="94"/>
      <c r="AA1361" s="120"/>
      <c r="AB1361" s="120"/>
      <c r="AC1361" s="120"/>
      <c r="AD1361" s="120"/>
      <c r="AE1361" s="120"/>
      <c r="AF1361" s="120"/>
      <c r="AG1361" s="94"/>
      <c r="AH1361" s="120"/>
      <c r="AI1361" s="94"/>
      <c r="AJ1361" s="94" t="s">
        <v>478</v>
      </c>
      <c r="AK1361" s="94" t="s">
        <v>267</v>
      </c>
      <c r="AL1361" s="94">
        <v>235</v>
      </c>
      <c r="AM1361" s="94" t="str">
        <f>TRIM(AJ1361)&amp;TRIM(AL1361)&amp;TRIM(AK1361)</f>
      </c>
      <c r="AN1361" s="116">
        <v>2522</v>
      </c>
      <c r="AO1361" s="116">
        <v>-15.24</v>
      </c>
      <c r="AP1361" s="116">
        <f>SUMIFS(M:M,AM:AM,AM1361)+SUMIFS(O:O,AM:AM,AM1361)</f>
      </c>
      <c r="AQ1361" s="116">
        <f>SUMIFS(L:L,AM:AM,AM1361)</f>
      </c>
      <c r="AR1361" s="116">
        <f>AQ1361-AP1361</f>
      </c>
      <c r="AS1361" s="94" t="str">
        <f>IF(AN1361&gt;=AQ1361,"ok","ck")</f>
      </c>
      <c r="AT1361" s="116">
        <f>-P1361</f>
      </c>
      <c r="AU1361" s="115">
        <f>IF(SUMIFS(AT:AT,AM:AM,AM1361)&gt;AO1361,(SUMIFS(AT:AT,AM:AM,AM1361)-AO1361))</f>
      </c>
      <c r="AV1361" s="116">
        <v>2522</v>
      </c>
      <c r="AW1361" s="121">
        <v>1.006</v>
      </c>
      <c r="AX1361" s="115">
        <f>AN1361-AP1361</f>
      </c>
    </row>
    <row r="1362" spans="1:50" ht="15" hidden="1" customHeight="1" x14ac:dyDescent="0.3">
      <c r="A1362" s="94" t="s">
        <v>288</v>
      </c>
      <c r="B1362" s="94"/>
      <c r="C1362" s="94"/>
      <c r="D1362" s="94"/>
      <c r="E1362" s="94"/>
      <c r="F1362" s="94"/>
      <c r="G1362" s="112">
        <f>AU1362</f>
      </c>
      <c r="H1362" s="113"/>
      <c r="I1362" s="94" t="s">
        <v>289</v>
      </c>
      <c r="J1362" s="94" t="s">
        <v>267</v>
      </c>
      <c r="K1362" s="114">
        <f>P1362/3</f>
      </c>
      <c r="L1362" s="115">
        <v>-0.43</v>
      </c>
      <c r="M1362" s="116">
        <f>L1362</f>
      </c>
      <c r="N1362" s="117">
        <f>M1362-L1362</f>
      </c>
      <c r="O1362" s="112"/>
      <c r="P1362" s="118">
        <f>N1362+O1362</f>
      </c>
      <c r="Q1362" s="94" t="s">
        <v>299</v>
      </c>
      <c r="R1362" s="94" t="s">
        <v>63</v>
      </c>
      <c r="S1362" s="119">
        <v>46324</v>
      </c>
      <c r="T1362" s="119"/>
      <c r="U1362" s="119">
        <v>46324</v>
      </c>
      <c r="V1362" s="94"/>
      <c r="W1362" s="94"/>
      <c r="X1362" s="94"/>
      <c r="Y1362" s="119">
        <v>46324</v>
      </c>
      <c r="Z1362" s="94"/>
      <c r="AA1362" s="120"/>
      <c r="AB1362" s="120"/>
      <c r="AC1362" s="120"/>
      <c r="AD1362" s="120"/>
      <c r="AE1362" s="120"/>
      <c r="AF1362" s="120"/>
      <c r="AG1362" s="94"/>
      <c r="AH1362" s="120"/>
      <c r="AI1362" s="94"/>
      <c r="AJ1362" s="94" t="s">
        <v>478</v>
      </c>
      <c r="AK1362" s="94" t="s">
        <v>267</v>
      </c>
      <c r="AL1362" s="94">
        <v>235</v>
      </c>
      <c r="AM1362" s="94" t="str">
        <f>TRIM(AJ1362)&amp;TRIM(AL1362)&amp;TRIM(AK1362)</f>
      </c>
      <c r="AN1362" s="116">
        <v>2522</v>
      </c>
      <c r="AO1362" s="116">
        <v>-15.24</v>
      </c>
      <c r="AP1362" s="116">
        <f>SUMIFS(M:M,AM:AM,AM1362)+SUMIFS(O:O,AM:AM,AM1362)</f>
      </c>
      <c r="AQ1362" s="116">
        <f>SUMIFS(L:L,AM:AM,AM1362)</f>
      </c>
      <c r="AR1362" s="116">
        <f>AQ1362-AP1362</f>
      </c>
      <c r="AS1362" s="94" t="str">
        <f>IF(AN1362&gt;=AQ1362,"ok","ck")</f>
      </c>
      <c r="AT1362" s="116">
        <f>-P1362</f>
      </c>
      <c r="AU1362" s="115">
        <f>IF(SUMIFS(AT:AT,AM:AM,AM1362)&gt;AO1362,(SUMIFS(AT:AT,AM:AM,AM1362)-AO1362))</f>
      </c>
      <c r="AV1362" s="116">
        <v>2522</v>
      </c>
      <c r="AW1362" s="121">
        <v>1.006</v>
      </c>
      <c r="AX1362" s="115">
        <f>AN1362-AP1362</f>
      </c>
    </row>
    <row r="1363" spans="1:50" ht="15" hidden="1" customHeight="1" x14ac:dyDescent="0.3">
      <c r="A1363" s="94" t="s">
        <v>288</v>
      </c>
      <c r="B1363" s="94"/>
      <c r="C1363" s="94"/>
      <c r="D1363" s="94"/>
      <c r="E1363" s="94"/>
      <c r="F1363" s="94"/>
      <c r="G1363" s="112">
        <f>AU1363</f>
      </c>
      <c r="H1363" s="113"/>
      <c r="I1363" s="94" t="s">
        <v>297</v>
      </c>
      <c r="J1363" s="94" t="s">
        <v>325</v>
      </c>
      <c r="K1363" s="114">
        <f>P1363/3</f>
      </c>
      <c r="L1363" s="115">
        <v>0</v>
      </c>
      <c r="M1363" s="116">
        <f>L1363</f>
      </c>
      <c r="N1363" s="117">
        <f>M1363-L1363</f>
      </c>
      <c r="O1363" s="112"/>
      <c r="P1363" s="118">
        <f>N1363+O1363</f>
      </c>
      <c r="Q1363" s="94" t="s">
        <v>299</v>
      </c>
      <c r="R1363" s="94" t="s">
        <v>63</v>
      </c>
      <c r="S1363" s="120">
        <v>46334</v>
      </c>
      <c r="T1363" s="120"/>
      <c r="U1363" s="120">
        <v>46334</v>
      </c>
      <c r="V1363" s="94"/>
      <c r="W1363" s="94"/>
      <c r="X1363" s="94"/>
      <c r="Y1363" s="119">
        <v>46334</v>
      </c>
      <c r="Z1363" s="94"/>
      <c r="AA1363" s="120"/>
      <c r="AB1363" s="120"/>
      <c r="AC1363" s="120"/>
      <c r="AD1363" s="120"/>
      <c r="AE1363" s="120"/>
      <c r="AF1363" s="120"/>
      <c r="AG1363" s="94"/>
      <c r="AH1363" s="120"/>
      <c r="AI1363" s="94"/>
      <c r="AJ1363" s="94" t="s">
        <v>478</v>
      </c>
      <c r="AK1363" s="94" t="s">
        <v>267</v>
      </c>
      <c r="AL1363" s="94">
        <v>190</v>
      </c>
      <c r="AM1363" s="94" t="str">
        <f>TRIM(AJ1363)&amp;TRIM(AL1363)&amp;TRIM(AK1363)</f>
      </c>
      <c r="AN1363" s="116">
        <v>6890.27</v>
      </c>
      <c r="AO1363" s="116">
        <v>-124.45</v>
      </c>
      <c r="AP1363" s="116">
        <f>SUMIFS(M:M,AM:AM,AM1363)+SUMIFS(O:O,AM:AM,AM1363)</f>
      </c>
      <c r="AQ1363" s="116">
        <f>SUMIFS(L:L,AM:AM,AM1363)</f>
      </c>
      <c r="AR1363" s="116">
        <f>AQ1363-AP1363</f>
      </c>
      <c r="AS1363" s="94" t="str">
        <f>IF(AN1363&gt;=AQ1363,"ok","ck")</f>
      </c>
      <c r="AT1363" s="116">
        <f>-P1363</f>
      </c>
      <c r="AU1363" s="115">
        <f>IF(SUMIFS(AT:AT,AM:AM,AM1363)&gt;AO1363,(SUMIFS(AT:AT,AM:AM,AM1363)-AO1363))</f>
      </c>
      <c r="AV1363" s="116">
        <v>6890.27</v>
      </c>
      <c r="AW1363" s="121">
        <v>1.018</v>
      </c>
      <c r="AX1363" s="115">
        <f>AN1363-AP1363</f>
      </c>
    </row>
    <row r="1364" spans="1:50" ht="15" hidden="1" customHeight="1" x14ac:dyDescent="0.3">
      <c r="A1364" s="94" t="s">
        <v>288</v>
      </c>
      <c r="B1364" s="94"/>
      <c r="C1364" s="94"/>
      <c r="D1364" s="94"/>
      <c r="E1364" s="94"/>
      <c r="F1364" s="94"/>
      <c r="G1364" s="112">
        <f>AU1364</f>
      </c>
      <c r="H1364" s="113"/>
      <c r="I1364" s="94" t="s">
        <v>297</v>
      </c>
      <c r="J1364" s="94" t="s">
        <v>325</v>
      </c>
      <c r="K1364" s="114">
        <f>P1364/3</f>
      </c>
      <c r="L1364" s="115">
        <v>346.71</v>
      </c>
      <c r="M1364" s="116">
        <f>L1364</f>
      </c>
      <c r="N1364" s="117">
        <f>M1364-L1364</f>
      </c>
      <c r="O1364" s="112"/>
      <c r="P1364" s="118">
        <f>N1364+O1364</f>
      </c>
      <c r="Q1364" s="94" t="s">
        <v>299</v>
      </c>
      <c r="R1364" s="94" t="s">
        <v>63</v>
      </c>
      <c r="S1364" s="120">
        <v>46320</v>
      </c>
      <c r="T1364" s="120"/>
      <c r="U1364" s="120">
        <v>46320</v>
      </c>
      <c r="V1364" s="94"/>
      <c r="W1364" s="94"/>
      <c r="X1364" s="94"/>
      <c r="Y1364" s="119">
        <v>46320</v>
      </c>
      <c r="Z1364" s="94"/>
      <c r="AA1364" s="120"/>
      <c r="AB1364" s="120"/>
      <c r="AC1364" s="120"/>
      <c r="AD1364" s="120"/>
      <c r="AE1364" s="120"/>
      <c r="AF1364" s="120"/>
      <c r="AG1364" s="94"/>
      <c r="AH1364" s="120"/>
      <c r="AI1364" s="94"/>
      <c r="AJ1364" s="94" t="s">
        <v>478</v>
      </c>
      <c r="AK1364" s="94" t="s">
        <v>267</v>
      </c>
      <c r="AL1364" s="94">
        <v>190</v>
      </c>
      <c r="AM1364" s="94" t="str">
        <f>TRIM(AJ1364)&amp;TRIM(AL1364)&amp;TRIM(AK1364)</f>
      </c>
      <c r="AN1364" s="116">
        <v>6890.27</v>
      </c>
      <c r="AO1364" s="116">
        <v>-124.45</v>
      </c>
      <c r="AP1364" s="116">
        <f>SUMIFS(M:M,AM:AM,AM1364)+SUMIFS(O:O,AM:AM,AM1364)</f>
      </c>
      <c r="AQ1364" s="116">
        <f>SUMIFS(L:L,AM:AM,AM1364)</f>
      </c>
      <c r="AR1364" s="116">
        <f>AQ1364-AP1364</f>
      </c>
      <c r="AS1364" s="94" t="str">
        <f>IF(AN1364&gt;=AQ1364,"ok","ck")</f>
      </c>
      <c r="AT1364" s="116">
        <f>-P1364</f>
      </c>
      <c r="AU1364" s="115">
        <f>IF(SUMIFS(AT:AT,AM:AM,AM1364)&gt;AO1364,(SUMIFS(AT:AT,AM:AM,AM1364)-AO1364))</f>
      </c>
      <c r="AV1364" s="116">
        <v>6890.27</v>
      </c>
      <c r="AW1364" s="121">
        <v>1.018</v>
      </c>
      <c r="AX1364" s="115">
        <f>AN1364-AP1364</f>
      </c>
    </row>
    <row r="1365" spans="1:50" ht="15" hidden="1" customHeight="1" x14ac:dyDescent="0.3">
      <c r="A1365" s="94" t="s">
        <v>288</v>
      </c>
      <c r="B1365" s="94"/>
      <c r="C1365" s="94"/>
      <c r="D1365" s="94"/>
      <c r="E1365" s="94"/>
      <c r="F1365" s="94"/>
      <c r="G1365" s="112">
        <f>AU1365</f>
      </c>
      <c r="H1365" s="113"/>
      <c r="I1365" s="94" t="s">
        <v>297</v>
      </c>
      <c r="J1365" s="94" t="s">
        <v>286</v>
      </c>
      <c r="K1365" s="114">
        <f>P1365/3</f>
      </c>
      <c r="L1365" s="115">
        <v>0</v>
      </c>
      <c r="M1365" s="116">
        <f>L1365</f>
      </c>
      <c r="N1365" s="117">
        <f>M1365-L1365</f>
      </c>
      <c r="O1365" s="112"/>
      <c r="P1365" s="118">
        <f>N1365+O1365</f>
      </c>
      <c r="Q1365" s="94" t="s">
        <v>299</v>
      </c>
      <c r="R1365" s="94" t="s">
        <v>63</v>
      </c>
      <c r="S1365" s="120">
        <v>46320</v>
      </c>
      <c r="T1365" s="120"/>
      <c r="U1365" s="120">
        <v>46320</v>
      </c>
      <c r="V1365" s="94"/>
      <c r="W1365" s="94"/>
      <c r="X1365" s="94"/>
      <c r="Y1365" s="119">
        <v>46320</v>
      </c>
      <c r="Z1365" s="94"/>
      <c r="AA1365" s="120"/>
      <c r="AB1365" s="120"/>
      <c r="AC1365" s="120"/>
      <c r="AD1365" s="120"/>
      <c r="AE1365" s="120"/>
      <c r="AF1365" s="120"/>
      <c r="AG1365" s="94"/>
      <c r="AH1365" s="120"/>
      <c r="AI1365" s="94"/>
      <c r="AJ1365" s="94" t="s">
        <v>478</v>
      </c>
      <c r="AK1365" s="94" t="s">
        <v>281</v>
      </c>
      <c r="AL1365" s="94">
        <v>190</v>
      </c>
      <c r="AM1365" s="94" t="str">
        <f>TRIM(AJ1365)&amp;TRIM(AL1365)&amp;TRIM(AK1365)</f>
      </c>
      <c r="AN1365" s="116">
        <v>6474.14</v>
      </c>
      <c r="AO1365" s="116">
        <v>-167.99</v>
      </c>
      <c r="AP1365" s="116">
        <f>SUMIFS(M:M,AM:AM,AM1365)+SUMIFS(O:O,AM:AM,AM1365)</f>
      </c>
      <c r="AQ1365" s="116">
        <f>SUMIFS(L:L,AM:AM,AM1365)</f>
      </c>
      <c r="AR1365" s="116">
        <f>AQ1365-AP1365</f>
      </c>
      <c r="AS1365" s="94" t="str">
        <f>IF(AN1365&gt;=AQ1365,"ok","ck")</f>
      </c>
      <c r="AT1365" s="116">
        <f>-P1365</f>
      </c>
      <c r="AU1365" s="115">
        <f>IF(SUMIFS(AT:AT,AM:AM,AM1365)&gt;AO1365,(SUMIFS(AT:AT,AM:AM,AM1365)-AO1365))</f>
      </c>
      <c r="AV1365" s="116">
        <v>6474.14</v>
      </c>
      <c r="AW1365" s="121">
        <v>1.027</v>
      </c>
      <c r="AX1365" s="115">
        <f>AN1365-AP1365</f>
      </c>
    </row>
    <row r="1366" spans="1:50" ht="15" hidden="1" customHeight="1" x14ac:dyDescent="0.3">
      <c r="A1366" s="94" t="s">
        <v>288</v>
      </c>
      <c r="B1366" s="94"/>
      <c r="C1366" s="94"/>
      <c r="D1366" s="94"/>
      <c r="E1366" s="94"/>
      <c r="F1366" s="94"/>
      <c r="G1366" s="112">
        <f>AU1366</f>
      </c>
      <c r="H1366" s="113"/>
      <c r="I1366" s="94" t="s">
        <v>297</v>
      </c>
      <c r="J1366" s="94" t="s">
        <v>286</v>
      </c>
      <c r="K1366" s="114">
        <f>P1366/3</f>
      </c>
      <c r="L1366" s="115">
        <v>0</v>
      </c>
      <c r="M1366" s="116">
        <f>L1366</f>
      </c>
      <c r="N1366" s="117">
        <f>M1366-L1366</f>
      </c>
      <c r="O1366" s="112"/>
      <c r="P1366" s="118">
        <f>N1366+O1366</f>
      </c>
      <c r="Q1366" s="94" t="s">
        <v>299</v>
      </c>
      <c r="R1366" s="94" t="s">
        <v>63</v>
      </c>
      <c r="S1366" s="120">
        <v>46330</v>
      </c>
      <c r="T1366" s="120"/>
      <c r="U1366" s="120">
        <v>46330</v>
      </c>
      <c r="V1366" s="94"/>
      <c r="W1366" s="94"/>
      <c r="X1366" s="94"/>
      <c r="Y1366" s="119">
        <v>46330</v>
      </c>
      <c r="Z1366" s="94"/>
      <c r="AA1366" s="120"/>
      <c r="AB1366" s="120"/>
      <c r="AC1366" s="120"/>
      <c r="AD1366" s="120"/>
      <c r="AE1366" s="120"/>
      <c r="AF1366" s="120"/>
      <c r="AG1366" s="94"/>
      <c r="AH1366" s="120"/>
      <c r="AI1366" s="94"/>
      <c r="AJ1366" s="94" t="s">
        <v>478</v>
      </c>
      <c r="AK1366" s="94" t="s">
        <v>281</v>
      </c>
      <c r="AL1366" s="94">
        <v>190</v>
      </c>
      <c r="AM1366" s="94" t="str">
        <f>TRIM(AJ1366)&amp;TRIM(AL1366)&amp;TRIM(AK1366)</f>
      </c>
      <c r="AN1366" s="116">
        <v>6474.14</v>
      </c>
      <c r="AO1366" s="116">
        <v>-167.99</v>
      </c>
      <c r="AP1366" s="116">
        <f>SUMIFS(M:M,AM:AM,AM1366)+SUMIFS(O:O,AM:AM,AM1366)</f>
      </c>
      <c r="AQ1366" s="116">
        <f>SUMIFS(L:L,AM:AM,AM1366)</f>
      </c>
      <c r="AR1366" s="116">
        <f>AQ1366-AP1366</f>
      </c>
      <c r="AS1366" s="94" t="str">
        <f>IF(AN1366&gt;=AQ1366,"ok","ck")</f>
      </c>
      <c r="AT1366" s="116">
        <f>-P1366</f>
      </c>
      <c r="AU1366" s="115">
        <f>IF(SUMIFS(AT:AT,AM:AM,AM1366)&gt;AO1366,(SUMIFS(AT:AT,AM:AM,AM1366)-AO1366))</f>
      </c>
      <c r="AV1366" s="116">
        <v>6474.14</v>
      </c>
      <c r="AW1366" s="121">
        <v>1.027</v>
      </c>
      <c r="AX1366" s="115">
        <f>AN1366-AP1366</f>
      </c>
    </row>
    <row r="1367" spans="1:50" ht="15" hidden="1" customHeight="1" x14ac:dyDescent="0.3">
      <c r="A1367" s="94" t="s">
        <v>288</v>
      </c>
      <c r="B1367" s="94"/>
      <c r="C1367" s="94"/>
      <c r="D1367" s="94"/>
      <c r="E1367" s="94"/>
      <c r="F1367" s="94"/>
      <c r="G1367" s="112">
        <f>AU1367</f>
      </c>
      <c r="H1367" s="113"/>
      <c r="I1367" s="94" t="s">
        <v>297</v>
      </c>
      <c r="J1367" s="94" t="s">
        <v>286</v>
      </c>
      <c r="K1367" s="114">
        <f>P1367/3</f>
      </c>
      <c r="L1367" s="115">
        <v>0</v>
      </c>
      <c r="M1367" s="116">
        <f>L1367</f>
      </c>
      <c r="N1367" s="117">
        <f>M1367-L1367</f>
      </c>
      <c r="O1367" s="112"/>
      <c r="P1367" s="118">
        <f>N1367+O1367</f>
      </c>
      <c r="Q1367" s="94" t="s">
        <v>299</v>
      </c>
      <c r="R1367" s="94" t="s">
        <v>63</v>
      </c>
      <c r="S1367" s="120">
        <v>46338</v>
      </c>
      <c r="T1367" s="120"/>
      <c r="U1367" s="120">
        <v>46338</v>
      </c>
      <c r="V1367" s="94"/>
      <c r="W1367" s="94"/>
      <c r="X1367" s="94"/>
      <c r="Y1367" s="119">
        <v>46338</v>
      </c>
      <c r="Z1367" s="94"/>
      <c r="AA1367" s="120"/>
      <c r="AB1367" s="120"/>
      <c r="AC1367" s="120"/>
      <c r="AD1367" s="120"/>
      <c r="AE1367" s="120"/>
      <c r="AF1367" s="120"/>
      <c r="AG1367" s="94"/>
      <c r="AH1367" s="120"/>
      <c r="AI1367" s="94"/>
      <c r="AJ1367" s="94" t="s">
        <v>478</v>
      </c>
      <c r="AK1367" s="94" t="s">
        <v>281</v>
      </c>
      <c r="AL1367" s="94">
        <v>190</v>
      </c>
      <c r="AM1367" s="94" t="str">
        <f>TRIM(AJ1367)&amp;TRIM(AL1367)&amp;TRIM(AK1367)</f>
      </c>
      <c r="AN1367" s="116">
        <v>6474.14</v>
      </c>
      <c r="AO1367" s="116">
        <v>-167.99</v>
      </c>
      <c r="AP1367" s="116">
        <f>SUMIFS(M:M,AM:AM,AM1367)+SUMIFS(O:O,AM:AM,AM1367)</f>
      </c>
      <c r="AQ1367" s="116">
        <f>SUMIFS(L:L,AM:AM,AM1367)</f>
      </c>
      <c r="AR1367" s="116">
        <f>AQ1367-AP1367</f>
      </c>
      <c r="AS1367" s="94" t="str">
        <f>IF(AN1367&gt;=AQ1367,"ok","ck")</f>
      </c>
      <c r="AT1367" s="116">
        <f>-P1367</f>
      </c>
      <c r="AU1367" s="115">
        <f>IF(SUMIFS(AT:AT,AM:AM,AM1367)&gt;AO1367,(SUMIFS(AT:AT,AM:AM,AM1367)-AO1367))</f>
      </c>
      <c r="AV1367" s="116">
        <v>6474.14</v>
      </c>
      <c r="AW1367" s="121">
        <v>1.027</v>
      </c>
      <c r="AX1367" s="115">
        <f>AN1367-AP1367</f>
      </c>
    </row>
    <row r="1368" spans="1:50" ht="15" hidden="1" customHeight="1" x14ac:dyDescent="0.3">
      <c r="A1368" s="94" t="s">
        <v>268</v>
      </c>
      <c r="B1368" s="94"/>
      <c r="C1368" s="94"/>
      <c r="D1368" s="94"/>
      <c r="E1368" s="94"/>
      <c r="F1368" s="94"/>
      <c r="G1368" s="112">
        <f>AU1368</f>
      </c>
      <c r="H1368" s="113"/>
      <c r="I1368" s="94" t="s">
        <v>278</v>
      </c>
      <c r="J1368" s="94" t="s">
        <v>293</v>
      </c>
      <c r="K1368" s="114">
        <f>P1368/3</f>
      </c>
      <c r="L1368" s="115">
        <v>-0.72599999999999998</v>
      </c>
      <c r="M1368" s="116">
        <f>L1368</f>
      </c>
      <c r="N1368" s="117">
        <f>M1368-L1368</f>
      </c>
      <c r="O1368" s="112"/>
      <c r="P1368" s="118">
        <f>N1368+O1368</f>
      </c>
      <c r="Q1368" s="94" t="s">
        <v>787</v>
      </c>
      <c r="R1368" s="94" t="s">
        <v>63</v>
      </c>
      <c r="S1368" s="120">
        <v>46320</v>
      </c>
      <c r="T1368" s="120"/>
      <c r="U1368" s="120">
        <v>46320</v>
      </c>
      <c r="V1368" s="94"/>
      <c r="W1368" s="94"/>
      <c r="X1368" s="94"/>
      <c r="Y1368" s="119">
        <v>46320</v>
      </c>
      <c r="Z1368" s="94"/>
      <c r="AA1368" s="120"/>
      <c r="AB1368" s="120"/>
      <c r="AC1368" s="120"/>
      <c r="AD1368" s="120"/>
      <c r="AE1368" s="120"/>
      <c r="AF1368" s="120"/>
      <c r="AG1368" s="94"/>
      <c r="AH1368" s="120"/>
      <c r="AI1368" s="94"/>
      <c r="AJ1368" s="94" t="s">
        <v>787</v>
      </c>
      <c r="AK1368" s="94" t="s">
        <v>294</v>
      </c>
      <c r="AL1368" s="94">
        <v>120</v>
      </c>
      <c r="AM1368" s="94" t="str">
        <f>TRIM(AJ1368)&amp;TRIM(AL1368)&amp;TRIM(AK1368)</f>
      </c>
      <c r="AN1368" s="116">
        <v>776</v>
      </c>
      <c r="AO1368" s="116">
        <v>-26</v>
      </c>
      <c r="AP1368" s="116">
        <f>SUMIFS(M:M,AM:AM,AM1368)+SUMIFS(O:O,AM:AM,AM1368)</f>
      </c>
      <c r="AQ1368" s="116">
        <f>SUMIFS(L:L,AM:AM,AM1368)</f>
      </c>
      <c r="AR1368" s="116">
        <f>AQ1368-AP1368</f>
      </c>
      <c r="AS1368" s="94" t="str">
        <f>IF(AN1368&gt;=AQ1368,"ok","ck")</f>
      </c>
      <c r="AT1368" s="116">
        <f>-P1368</f>
      </c>
      <c r="AU1368" s="115">
        <f>IF(SUMIFS(AT:AT,AM:AM,AM1368)&gt;AO1368,(SUMIFS(AT:AT,AM:AM,AM1368)-AO1368))</f>
      </c>
      <c r="AV1368" s="116">
        <v>776</v>
      </c>
      <c r="AW1368" s="121">
        <v>1.035</v>
      </c>
      <c r="AX1368" s="115">
        <f>AN1368-AP1368</f>
      </c>
    </row>
    <row r="1369" spans="1:50" ht="15" hidden="1" customHeight="1" x14ac:dyDescent="0.3">
      <c r="A1369" s="94" t="s">
        <v>480</v>
      </c>
      <c r="B1369" s="94"/>
      <c r="C1369" s="94"/>
      <c r="D1369" s="94"/>
      <c r="E1369" s="94"/>
      <c r="F1369" s="94"/>
      <c r="G1369" s="112">
        <f>AU1369</f>
      </c>
      <c r="H1369" s="113"/>
      <c r="I1369" s="94" t="s">
        <v>484</v>
      </c>
      <c r="J1369" s="94" t="s">
        <v>508</v>
      </c>
      <c r="K1369" s="114">
        <f>P1369/3</f>
      </c>
      <c r="L1369" s="115">
        <v>1.0429999999999999</v>
      </c>
      <c r="M1369" s="116">
        <f>L1369</f>
      </c>
      <c r="N1369" s="117">
        <f>M1369-L1369</f>
      </c>
      <c r="O1369" s="112"/>
      <c r="P1369" s="118">
        <f>N1369+O1369</f>
      </c>
      <c r="Q1369" s="94" t="s">
        <v>782</v>
      </c>
      <c r="R1369" s="94" t="s">
        <v>63</v>
      </c>
      <c r="S1369" s="120">
        <v>46329</v>
      </c>
      <c r="T1369" s="120"/>
      <c r="U1369" s="120">
        <v>46329</v>
      </c>
      <c r="V1369" s="94"/>
      <c r="W1369" s="94"/>
      <c r="X1369" s="94"/>
      <c r="Y1369" s="119">
        <v>46327</v>
      </c>
      <c r="Z1369" s="94"/>
      <c r="AA1369" s="120"/>
      <c r="AB1369" s="120"/>
      <c r="AC1369" s="120"/>
      <c r="AD1369" s="120"/>
      <c r="AE1369" s="120"/>
      <c r="AF1369" s="120"/>
      <c r="AG1369" s="94"/>
      <c r="AH1369" s="120"/>
      <c r="AI1369" s="94"/>
      <c r="AJ1369" s="94" t="s">
        <v>782</v>
      </c>
      <c r="AK1369" s="94" t="s">
        <v>702</v>
      </c>
      <c r="AL1369" s="94">
        <v>200</v>
      </c>
      <c r="AM1369" s="94" t="str">
        <f>TRIM(AJ1369)&amp;TRIM(AL1369)&amp;TRIM(AK1369)</f>
      </c>
      <c r="AN1369" s="116">
        <v>10.6</v>
      </c>
      <c r="AO1369" s="116">
        <v>-5.6</v>
      </c>
      <c r="AP1369" s="116">
        <f>SUMIFS(M:M,AM:AM,AM1369)+SUMIFS(O:O,AM:AM,AM1369)</f>
      </c>
      <c r="AQ1369" s="116">
        <f>SUMIFS(L:L,AM:AM,AM1369)</f>
      </c>
      <c r="AR1369" s="116">
        <f>AQ1369-AP1369</f>
      </c>
      <c r="AS1369" s="94" t="str">
        <f>IF(AN1369&gt;=AQ1369,"ok","ck")</f>
      </c>
      <c r="AT1369" s="116">
        <f>-P1369</f>
      </c>
      <c r="AU1369" s="115">
        <f>IF(SUMIFS(AT:AT,AM:AM,AM1369)&gt;AO1369,(SUMIFS(AT:AT,AM:AM,AM1369)-AO1369))</f>
      </c>
      <c r="AV1369" s="116">
        <v>10.6</v>
      </c>
      <c r="AW1369" s="121">
        <v>2.12</v>
      </c>
      <c r="AX1369" s="115">
        <f>AN1369-AP1369</f>
      </c>
    </row>
    <row r="1370" spans="1:50" ht="15" hidden="1" customHeight="1" x14ac:dyDescent="0.3">
      <c r="A1370" s="94" t="s">
        <v>268</v>
      </c>
      <c r="B1370" s="94"/>
      <c r="C1370" s="94"/>
      <c r="D1370" s="94"/>
      <c r="E1370" s="94"/>
      <c r="F1370" s="94"/>
      <c r="G1370" s="112">
        <f>AU1370</f>
      </c>
      <c r="H1370" s="113"/>
      <c r="I1370" s="94" t="s">
        <v>390</v>
      </c>
      <c r="J1370" s="94" t="s">
        <v>333</v>
      </c>
      <c r="K1370" s="114">
        <f>P1370/3</f>
      </c>
      <c r="L1370" s="115">
        <v>3.246</v>
      </c>
      <c r="M1370" s="116"/>
      <c r="N1370" s="117">
        <f>M1370-L1370</f>
      </c>
      <c r="O1370" s="112"/>
      <c r="P1370" s="118">
        <f>N1370+O1370</f>
      </c>
      <c r="Q1370" s="94" t="s">
        <v>812</v>
      </c>
      <c r="R1370" s="94" t="s">
        <v>63</v>
      </c>
      <c r="S1370" s="119">
        <v>46344</v>
      </c>
      <c r="T1370" s="119"/>
      <c r="U1370" s="119">
        <v>46344</v>
      </c>
      <c r="V1370" s="94"/>
      <c r="W1370" s="94"/>
      <c r="X1370" s="94"/>
      <c r="Y1370" s="119">
        <v>46340</v>
      </c>
      <c r="Z1370" s="94"/>
      <c r="AA1370" s="120"/>
      <c r="AB1370" s="120"/>
      <c r="AC1370" s="120"/>
      <c r="AD1370" s="120"/>
      <c r="AE1370" s="120"/>
      <c r="AF1370" s="120"/>
      <c r="AG1370" s="94"/>
      <c r="AH1370" s="120"/>
      <c r="AI1370" s="94"/>
      <c r="AJ1370" s="94" t="s">
        <v>812</v>
      </c>
      <c r="AK1370" s="94" t="s">
        <v>338</v>
      </c>
      <c r="AL1370" s="94">
        <v>140</v>
      </c>
      <c r="AM1370" s="94" t="str">
        <f>TRIM(AJ1370)&amp;TRIM(AL1370)&amp;TRIM(AK1370)</f>
      </c>
      <c r="AN1370" s="116">
        <v>0</v>
      </c>
      <c r="AO1370" s="116" t="inlineStr">
        <is>
          <t>#NA</t>
        </is>
      </c>
      <c r="AP1370" s="116">
        <f>SUMIFS(M:M,AM:AM,AM1370)+SUMIFS(O:O,AM:AM,AM1370)</f>
      </c>
      <c r="AQ1370" s="116">
        <f>SUMIFS(L:L,AM:AM,AM1370)</f>
      </c>
      <c r="AR1370" s="116">
        <f>AQ1370-AP1370</f>
      </c>
      <c r="AS1370" s="94" t="str">
        <f>IF(AN1370&gt;=AQ1370,"ok","ck")</f>
      </c>
      <c r="AT1370" s="116">
        <f>-P1370</f>
      </c>
      <c r="AU1370" s="115">
        <f>IF(SUMIFS(AT:AT,AM:AM,AM1370)&gt;AO1370,(SUMIFS(AT:AT,AM:AM,AM1370)-AO1370))</f>
      </c>
      <c r="AV1370" s="116">
        <v>0</v>
      </c>
      <c r="AW1370" s="121">
        <v>0</v>
      </c>
      <c r="AX1370" s="115">
        <f>AN1370-AP1370</f>
      </c>
    </row>
    <row r="1371" spans="1:50" ht="15" hidden="1" customHeight="1" x14ac:dyDescent="0.3">
      <c r="A1371" s="94" t="s">
        <v>268</v>
      </c>
      <c r="B1371" s="94"/>
      <c r="C1371" s="94"/>
      <c r="D1371" s="94"/>
      <c r="E1371" s="94"/>
      <c r="F1371" s="94"/>
      <c r="G1371" s="112">
        <f>AU1371</f>
      </c>
      <c r="H1371" s="113"/>
      <c r="I1371" s="94" t="s">
        <v>278</v>
      </c>
      <c r="J1371" s="94" t="s">
        <v>293</v>
      </c>
      <c r="K1371" s="114">
        <f>P1371/3</f>
      </c>
      <c r="L1371" s="115">
        <v>4.0000000000000001E-3</v>
      </c>
      <c r="M1371" s="116">
        <f>L1371</f>
      </c>
      <c r="N1371" s="117">
        <f>M1371-L1371</f>
      </c>
      <c r="O1371" s="112"/>
      <c r="P1371" s="118">
        <f>N1371+O1371</f>
      </c>
      <c r="Q1371" s="94" t="s">
        <v>344</v>
      </c>
      <c r="R1371" s="94" t="s">
        <v>63</v>
      </c>
      <c r="S1371" s="119">
        <v>46320</v>
      </c>
      <c r="T1371" s="119"/>
      <c r="U1371" s="119">
        <v>46320</v>
      </c>
      <c r="V1371" s="94"/>
      <c r="W1371" s="94"/>
      <c r="X1371" s="94"/>
      <c r="Y1371" s="119">
        <v>46320</v>
      </c>
      <c r="Z1371" s="94"/>
      <c r="AA1371" s="120"/>
      <c r="AB1371" s="120"/>
      <c r="AC1371" s="120"/>
      <c r="AD1371" s="120"/>
      <c r="AE1371" s="120"/>
      <c r="AF1371" s="120"/>
      <c r="AG1371" s="94"/>
      <c r="AH1371" s="120"/>
      <c r="AI1371" s="94"/>
      <c r="AJ1371" s="94" t="s">
        <v>344</v>
      </c>
      <c r="AK1371" s="94" t="s">
        <v>294</v>
      </c>
      <c r="AL1371" s="94">
        <v>120</v>
      </c>
      <c r="AM1371" s="94" t="str">
        <f>TRIM(AJ1371)&amp;TRIM(AL1371)&amp;TRIM(AK1371)</f>
      </c>
      <c r="AN1371" s="116">
        <v>34.23</v>
      </c>
      <c r="AO1371" s="116">
        <v>-4.23</v>
      </c>
      <c r="AP1371" s="116">
        <f>SUMIFS(M:M,AM:AM,AM1371)+SUMIFS(O:O,AM:AM,AM1371)</f>
      </c>
      <c r="AQ1371" s="116">
        <f>SUMIFS(L:L,AM:AM,AM1371)</f>
      </c>
      <c r="AR1371" s="116">
        <f>AQ1371-AP1371</f>
      </c>
      <c r="AS1371" s="94" t="str">
        <f>IF(AN1371&gt;=AQ1371,"ok","ck")</f>
      </c>
      <c r="AT1371" s="116">
        <f>-P1371</f>
      </c>
      <c r="AU1371" s="115">
        <f>IF(SUMIFS(AT:AT,AM:AM,AM1371)&gt;AO1371,(SUMIFS(AT:AT,AM:AM,AM1371)-AO1371))</f>
      </c>
      <c r="AV1371" s="116">
        <v>34.23</v>
      </c>
      <c r="AW1371" s="121">
        <v>1.141</v>
      </c>
      <c r="AX1371" s="115">
        <f>AN1371-AP1371</f>
      </c>
    </row>
    <row r="1372" spans="1:50" ht="15" hidden="1" customHeight="1" x14ac:dyDescent="0.3">
      <c r="A1372" s="94" t="s">
        <v>268</v>
      </c>
      <c r="B1372" s="94"/>
      <c r="C1372" s="94"/>
      <c r="D1372" s="94"/>
      <c r="E1372" s="94"/>
      <c r="F1372" s="94"/>
      <c r="G1372" s="112">
        <f>AU1372</f>
      </c>
      <c r="H1372" s="113"/>
      <c r="I1372" s="94" t="s">
        <v>390</v>
      </c>
      <c r="J1372" s="94" t="s">
        <v>535</v>
      </c>
      <c r="K1372" s="114">
        <f>P1372/3</f>
      </c>
      <c r="L1372" s="115">
        <v>864.13300000000004</v>
      </c>
      <c r="M1372" s="116"/>
      <c r="N1372" s="117">
        <f>M1372-L1372</f>
      </c>
      <c r="O1372" s="112"/>
      <c r="P1372" s="118">
        <f>N1372+O1372</f>
      </c>
      <c r="Q1372" s="94" t="s">
        <v>778</v>
      </c>
      <c r="R1372" s="94" t="s">
        <v>63</v>
      </c>
      <c r="S1372" s="119">
        <v>46328</v>
      </c>
      <c r="T1372" s="119"/>
      <c r="U1372" s="119" t="s">
        <v>653</v>
      </c>
      <c r="V1372" s="94"/>
      <c r="W1372" s="94"/>
      <c r="X1372" s="94"/>
      <c r="Y1372" s="119">
        <v>46342</v>
      </c>
      <c r="Z1372" s="94"/>
      <c r="AA1372" s="120"/>
      <c r="AB1372" s="120"/>
      <c r="AC1372" s="120"/>
      <c r="AD1372" s="120"/>
      <c r="AE1372" s="120"/>
      <c r="AF1372" s="120"/>
      <c r="AG1372" s="94"/>
      <c r="AH1372" s="120"/>
      <c r="AI1372" s="94"/>
      <c r="AJ1372" s="94" t="s">
        <v>778</v>
      </c>
      <c r="AK1372" s="94" t="s">
        <v>719</v>
      </c>
      <c r="AL1372" s="94">
        <v>140</v>
      </c>
      <c r="AM1372" s="94" t="str">
        <f>TRIM(AJ1372)&amp;TRIM(AL1372)&amp;TRIM(AK1372)</f>
      </c>
      <c r="AN1372" s="116">
        <v>0</v>
      </c>
      <c r="AO1372" s="116" t="inlineStr">
        <is>
          <t>#NA</t>
        </is>
      </c>
      <c r="AP1372" s="116">
        <f>SUMIFS(M:M,AM:AM,AM1372)+SUMIFS(O:O,AM:AM,AM1372)</f>
      </c>
      <c r="AQ1372" s="116">
        <f>SUMIFS(L:L,AM:AM,AM1372)</f>
      </c>
      <c r="AR1372" s="116">
        <f>AQ1372-AP1372</f>
      </c>
      <c r="AS1372" s="94" t="str">
        <f>IF(AN1372&gt;=AQ1372,"ok","ck")</f>
      </c>
      <c r="AT1372" s="116">
        <f>-P1372</f>
      </c>
      <c r="AU1372" s="115">
        <f>IF(SUMIFS(AT:AT,AM:AM,AM1372)&gt;AO1372,(SUMIFS(AT:AT,AM:AM,AM1372)-AO1372))</f>
      </c>
      <c r="AV1372" s="116">
        <v>0</v>
      </c>
      <c r="AW1372" s="121">
        <v>0</v>
      </c>
      <c r="AX1372" s="115">
        <f>AN1372-AP1372</f>
      </c>
    </row>
    <row r="1373" spans="1:50" ht="15" hidden="1" customHeight="1" x14ac:dyDescent="0.3">
      <c r="A1373" s="94" t="s">
        <v>268</v>
      </c>
      <c r="B1373" s="94"/>
      <c r="C1373" s="94"/>
      <c r="D1373" s="94"/>
      <c r="E1373" s="94"/>
      <c r="F1373" s="94"/>
      <c r="G1373" s="112">
        <f>AU1373</f>
      </c>
      <c r="H1373" s="113"/>
      <c r="I1373" s="94" t="s">
        <v>390</v>
      </c>
      <c r="J1373" s="94" t="s">
        <v>535</v>
      </c>
      <c r="K1373" s="114">
        <f>P1373/3</f>
      </c>
      <c r="L1373" s="115">
        <v>109.55</v>
      </c>
      <c r="M1373" s="116"/>
      <c r="N1373" s="117">
        <f>M1373-L1373</f>
      </c>
      <c r="O1373" s="112"/>
      <c r="P1373" s="118">
        <f>N1373+O1373</f>
      </c>
      <c r="Q1373" s="94" t="s">
        <v>778</v>
      </c>
      <c r="R1373" s="94" t="s">
        <v>63</v>
      </c>
      <c r="S1373" s="119">
        <v>46331</v>
      </c>
      <c r="T1373" s="119"/>
      <c r="U1373" s="119" t="s">
        <v>653</v>
      </c>
      <c r="V1373" s="94"/>
      <c r="W1373" s="94"/>
      <c r="X1373" s="94"/>
      <c r="Y1373" s="119">
        <v>46328</v>
      </c>
      <c r="Z1373" s="94"/>
      <c r="AA1373" s="120"/>
      <c r="AB1373" s="120"/>
      <c r="AC1373" s="120"/>
      <c r="AD1373" s="120"/>
      <c r="AE1373" s="120"/>
      <c r="AF1373" s="120"/>
      <c r="AG1373" s="94"/>
      <c r="AH1373" s="120"/>
      <c r="AI1373" s="94"/>
      <c r="AJ1373" s="94" t="s">
        <v>778</v>
      </c>
      <c r="AK1373" s="94" t="s">
        <v>719</v>
      </c>
      <c r="AL1373" s="94">
        <v>140</v>
      </c>
      <c r="AM1373" s="94" t="str">
        <f>TRIM(AJ1373)&amp;TRIM(AL1373)&amp;TRIM(AK1373)</f>
      </c>
      <c r="AN1373" s="116">
        <v>0</v>
      </c>
      <c r="AO1373" s="116" t="inlineStr">
        <is>
          <t>#NA</t>
        </is>
      </c>
      <c r="AP1373" s="116">
        <f>SUMIFS(M:M,AM:AM,AM1373)+SUMIFS(O:O,AM:AM,AM1373)</f>
      </c>
      <c r="AQ1373" s="116">
        <f>SUMIFS(L:L,AM:AM,AM1373)</f>
      </c>
      <c r="AR1373" s="116">
        <f>AQ1373-AP1373</f>
      </c>
      <c r="AS1373" s="94" t="str">
        <f>IF(AN1373&gt;=AQ1373,"ok","ck")</f>
      </c>
      <c r="AT1373" s="116">
        <f>-P1373</f>
      </c>
      <c r="AU1373" s="115">
        <f>IF(SUMIFS(AT:AT,AM:AM,AM1373)&gt;AO1373,(SUMIFS(AT:AT,AM:AM,AM1373)-AO1373))</f>
      </c>
      <c r="AV1373" s="116">
        <v>0</v>
      </c>
      <c r="AW1373" s="121">
        <v>0</v>
      </c>
      <c r="AX1373" s="115">
        <f>AN1373-AP1373</f>
      </c>
    </row>
    <row r="1374" spans="1:50" ht="15" hidden="1" customHeight="1" x14ac:dyDescent="0.3">
      <c r="A1374" s="94" t="s">
        <v>268</v>
      </c>
      <c r="B1374" s="94"/>
      <c r="C1374" s="94"/>
      <c r="D1374" s="94"/>
      <c r="E1374" s="94"/>
      <c r="F1374" s="94"/>
      <c r="G1374" s="112">
        <f>AU1374</f>
      </c>
      <c r="H1374" s="113"/>
      <c r="I1374" s="94" t="s">
        <v>390</v>
      </c>
      <c r="J1374" s="94" t="s">
        <v>535</v>
      </c>
      <c r="K1374" s="114">
        <f>P1374/3</f>
      </c>
      <c r="L1374" s="115">
        <v>2641.4769999999999</v>
      </c>
      <c r="M1374" s="116"/>
      <c r="N1374" s="117">
        <f>M1374-L1374</f>
      </c>
      <c r="O1374" s="112"/>
      <c r="P1374" s="118">
        <f>N1374+O1374</f>
      </c>
      <c r="Q1374" s="94" t="s">
        <v>778</v>
      </c>
      <c r="R1374" s="94" t="s">
        <v>63</v>
      </c>
      <c r="S1374" s="119">
        <v>46341</v>
      </c>
      <c r="T1374" s="119"/>
      <c r="U1374" s="119" t="s">
        <v>653</v>
      </c>
      <c r="V1374" s="94"/>
      <c r="W1374" s="94"/>
      <c r="X1374" s="94"/>
      <c r="Y1374" s="119">
        <v>46328</v>
      </c>
      <c r="Z1374" s="94"/>
      <c r="AA1374" s="120"/>
      <c r="AB1374" s="120"/>
      <c r="AC1374" s="120"/>
      <c r="AD1374" s="120"/>
      <c r="AE1374" s="120"/>
      <c r="AF1374" s="120"/>
      <c r="AG1374" s="94"/>
      <c r="AH1374" s="120"/>
      <c r="AI1374" s="94"/>
      <c r="AJ1374" s="94" t="s">
        <v>778</v>
      </c>
      <c r="AK1374" s="94" t="s">
        <v>719</v>
      </c>
      <c r="AL1374" s="94">
        <v>140</v>
      </c>
      <c r="AM1374" s="94" t="str">
        <f>TRIM(AJ1374)&amp;TRIM(AL1374)&amp;TRIM(AK1374)</f>
      </c>
      <c r="AN1374" s="116">
        <v>0</v>
      </c>
      <c r="AO1374" s="116" t="inlineStr">
        <is>
          <t>#NA</t>
        </is>
      </c>
      <c r="AP1374" s="116">
        <f>SUMIFS(M:M,AM:AM,AM1374)+SUMIFS(O:O,AM:AM,AM1374)</f>
      </c>
      <c r="AQ1374" s="116">
        <f>SUMIFS(L:L,AM:AM,AM1374)</f>
      </c>
      <c r="AR1374" s="116">
        <f>AQ1374-AP1374</f>
      </c>
      <c r="AS1374" s="94" t="str">
        <f>IF(AN1374&gt;=AQ1374,"ok","ck")</f>
      </c>
      <c r="AT1374" s="116">
        <f>-P1374</f>
      </c>
      <c r="AU1374" s="115">
        <f>IF(SUMIFS(AT:AT,AM:AM,AM1374)&gt;AO1374,(SUMIFS(AT:AT,AM:AM,AM1374)-AO1374))</f>
      </c>
      <c r="AV1374" s="116">
        <v>0</v>
      </c>
      <c r="AW1374" s="121">
        <v>0</v>
      </c>
      <c r="AX1374" s="115">
        <f>AN1374-AP1374</f>
      </c>
    </row>
    <row r="1375" spans="1:50" ht="15" hidden="1" customHeight="1" x14ac:dyDescent="0.3">
      <c r="A1375" s="94" t="s">
        <v>268</v>
      </c>
      <c r="B1375" s="94"/>
      <c r="C1375" s="94"/>
      <c r="D1375" s="94"/>
      <c r="E1375" s="94"/>
      <c r="F1375" s="94"/>
      <c r="G1375" s="112">
        <f>AU1375</f>
      </c>
      <c r="H1375" s="113"/>
      <c r="I1375" s="94" t="s">
        <v>390</v>
      </c>
      <c r="J1375" s="94" t="s">
        <v>535</v>
      </c>
      <c r="K1375" s="114">
        <f>P1375/3</f>
      </c>
      <c r="L1375" s="115">
        <v>123.84</v>
      </c>
      <c r="M1375" s="116"/>
      <c r="N1375" s="117">
        <f>M1375-L1375</f>
      </c>
      <c r="O1375" s="112"/>
      <c r="P1375" s="118">
        <f>N1375+O1375</f>
      </c>
      <c r="Q1375" s="94" t="s">
        <v>778</v>
      </c>
      <c r="R1375" s="94" t="s">
        <v>63</v>
      </c>
      <c r="S1375" s="119">
        <v>46349</v>
      </c>
      <c r="T1375" s="119"/>
      <c r="U1375" s="119" t="s">
        <v>653</v>
      </c>
      <c r="V1375" s="94"/>
      <c r="W1375" s="94"/>
      <c r="X1375" s="94"/>
      <c r="Y1375" s="119">
        <v>46334</v>
      </c>
      <c r="Z1375" s="94"/>
      <c r="AA1375" s="120"/>
      <c r="AB1375" s="120"/>
      <c r="AC1375" s="120"/>
      <c r="AD1375" s="120"/>
      <c r="AE1375" s="120"/>
      <c r="AF1375" s="120"/>
      <c r="AG1375" s="94"/>
      <c r="AH1375" s="120"/>
      <c r="AI1375" s="94"/>
      <c r="AJ1375" s="94" t="s">
        <v>778</v>
      </c>
      <c r="AK1375" s="94" t="s">
        <v>719</v>
      </c>
      <c r="AL1375" s="94">
        <v>140</v>
      </c>
      <c r="AM1375" s="94" t="str">
        <f>TRIM(AJ1375)&amp;TRIM(AL1375)&amp;TRIM(AK1375)</f>
      </c>
      <c r="AN1375" s="116">
        <v>0</v>
      </c>
      <c r="AO1375" s="116" t="inlineStr">
        <is>
          <t>#NA</t>
        </is>
      </c>
      <c r="AP1375" s="116">
        <f>SUMIFS(M:M,AM:AM,AM1375)+SUMIFS(O:O,AM:AM,AM1375)</f>
      </c>
      <c r="AQ1375" s="116">
        <f>SUMIFS(L:L,AM:AM,AM1375)</f>
      </c>
      <c r="AR1375" s="116">
        <f>AQ1375-AP1375</f>
      </c>
      <c r="AS1375" s="94" t="str">
        <f>IF(AN1375&gt;=AQ1375,"ok","ck")</f>
      </c>
      <c r="AT1375" s="116">
        <f>-P1375</f>
      </c>
      <c r="AU1375" s="115">
        <f>IF(SUMIFS(AT:AT,AM:AM,AM1375)&gt;AO1375,(SUMIFS(AT:AT,AM:AM,AM1375)-AO1375))</f>
      </c>
      <c r="AV1375" s="116">
        <v>0</v>
      </c>
      <c r="AW1375" s="121">
        <v>0</v>
      </c>
      <c r="AX1375" s="115">
        <f>AN1375-AP1375</f>
      </c>
    </row>
    <row r="1376" spans="1:50" ht="15" hidden="1" customHeight="1" x14ac:dyDescent="0.3">
      <c r="A1376" s="94" t="s">
        <v>268</v>
      </c>
      <c r="B1376" s="94"/>
      <c r="C1376" s="94"/>
      <c r="D1376" s="94"/>
      <c r="E1376" s="94"/>
      <c r="F1376" s="94"/>
      <c r="G1376" s="112">
        <f>AU1376</f>
      </c>
      <c r="H1376" s="113"/>
      <c r="I1376" s="94" t="s">
        <v>390</v>
      </c>
      <c r="J1376" s="94" t="s">
        <v>503</v>
      </c>
      <c r="K1376" s="114">
        <f>P1376/3</f>
      </c>
      <c r="L1376" s="115">
        <v>198.762</v>
      </c>
      <c r="M1376" s="116"/>
      <c r="N1376" s="117">
        <f>M1376-L1376</f>
      </c>
      <c r="O1376" s="112"/>
      <c r="P1376" s="118">
        <f>N1376+O1376</f>
      </c>
      <c r="Q1376" s="94" t="s">
        <v>778</v>
      </c>
      <c r="R1376" s="94" t="s">
        <v>63</v>
      </c>
      <c r="S1376" s="119">
        <v>46347</v>
      </c>
      <c r="T1376" s="119"/>
      <c r="U1376" s="119" t="s">
        <v>633</v>
      </c>
      <c r="V1376" s="94"/>
      <c r="W1376" s="94"/>
      <c r="X1376" s="94"/>
      <c r="Y1376" s="119">
        <v>46328</v>
      </c>
      <c r="Z1376" s="94"/>
      <c r="AA1376" s="120"/>
      <c r="AB1376" s="120"/>
      <c r="AC1376" s="120"/>
      <c r="AD1376" s="120"/>
      <c r="AE1376" s="120"/>
      <c r="AF1376" s="120"/>
      <c r="AG1376" s="94"/>
      <c r="AH1376" s="120"/>
      <c r="AI1376" s="94"/>
      <c r="AJ1376" s="94" t="s">
        <v>778</v>
      </c>
      <c r="AK1376" s="94" t="s">
        <v>697</v>
      </c>
      <c r="AL1376" s="94">
        <v>140</v>
      </c>
      <c r="AM1376" s="94" t="str">
        <f>TRIM(AJ1376)&amp;TRIM(AL1376)&amp;TRIM(AK1376)</f>
      </c>
      <c r="AN1376" s="116">
        <v>0</v>
      </c>
      <c r="AO1376" s="116" t="inlineStr">
        <is>
          <t>#NA</t>
        </is>
      </c>
      <c r="AP1376" s="116">
        <f>SUMIFS(M:M,AM:AM,AM1376)+SUMIFS(O:O,AM:AM,AM1376)</f>
      </c>
      <c r="AQ1376" s="116">
        <f>SUMIFS(L:L,AM:AM,AM1376)</f>
      </c>
      <c r="AR1376" s="116">
        <f>AQ1376-AP1376</f>
      </c>
      <c r="AS1376" s="94" t="str">
        <f>IF(AN1376&gt;=AQ1376,"ok","ck")</f>
      </c>
      <c r="AT1376" s="116">
        <f>-P1376</f>
      </c>
      <c r="AU1376" s="115">
        <f>IF(SUMIFS(AT:AT,AM:AM,AM1376)&gt;AO1376,(SUMIFS(AT:AT,AM:AM,AM1376)-AO1376))</f>
      </c>
      <c r="AV1376" s="116">
        <v>0</v>
      </c>
      <c r="AW1376" s="121">
        <v>0</v>
      </c>
      <c r="AX1376" s="115">
        <f>AN1376-AP1376</f>
      </c>
    </row>
    <row r="1377" spans="1:50" ht="15" hidden="1" customHeight="1" x14ac:dyDescent="0.3">
      <c r="A1377" s="94" t="s">
        <v>125</v>
      </c>
      <c r="B1377" s="94"/>
      <c r="C1377" s="94"/>
      <c r="D1377" s="94"/>
      <c r="E1377" s="94"/>
      <c r="F1377" s="94"/>
      <c r="G1377" s="112">
        <f>AU1377</f>
      </c>
      <c r="H1377" s="113"/>
      <c r="I1377" s="94" t="s">
        <v>133</v>
      </c>
      <c r="J1377" s="94" t="s">
        <v>71</v>
      </c>
      <c r="K1377" s="114">
        <f>P1377/3</f>
      </c>
      <c r="L1377" s="115">
        <v>3.6</v>
      </c>
      <c r="M1377" s="116">
        <f>L1377</f>
      </c>
      <c r="N1377" s="117">
        <f>M1377-L1377</f>
      </c>
      <c r="O1377" s="112"/>
      <c r="P1377" s="118">
        <f>N1377+O1377</f>
      </c>
      <c r="Q1377" s="94" t="s">
        <v>140</v>
      </c>
      <c r="R1377" s="94" t="s">
        <v>63</v>
      </c>
      <c r="S1377" s="119">
        <v>46327</v>
      </c>
      <c r="T1377" s="119"/>
      <c r="U1377" s="119">
        <v>46327</v>
      </c>
      <c r="V1377" s="94"/>
      <c r="W1377" s="94"/>
      <c r="X1377" s="94"/>
      <c r="Y1377" s="119">
        <v>46320</v>
      </c>
      <c r="Z1377" s="94"/>
      <c r="AA1377" s="120"/>
      <c r="AB1377" s="120"/>
      <c r="AC1377" s="120"/>
      <c r="AD1377" s="120"/>
      <c r="AE1377" s="120"/>
      <c r="AF1377" s="120"/>
      <c r="AG1377" s="94"/>
      <c r="AH1377" s="120"/>
      <c r="AI1377" s="94"/>
      <c r="AJ1377" s="94" t="s">
        <v>140</v>
      </c>
      <c r="AK1377" s="94" t="s">
        <v>71</v>
      </c>
      <c r="AL1377" s="94">
        <v>160</v>
      </c>
      <c r="AM1377" s="94" t="str">
        <f>TRIM(AJ1377)&amp;TRIM(AL1377)&amp;TRIM(AK1377)</f>
      </c>
      <c r="AN1377" s="116">
        <v>1090</v>
      </c>
      <c r="AO1377" s="116">
        <v>-22.13</v>
      </c>
      <c r="AP1377" s="116">
        <f>SUMIFS(M:M,AM:AM,AM1377)+SUMIFS(O:O,AM:AM,AM1377)</f>
      </c>
      <c r="AQ1377" s="116">
        <f>SUMIFS(L:L,AM:AM,AM1377)</f>
      </c>
      <c r="AR1377" s="116">
        <f>AQ1377-AP1377</f>
      </c>
      <c r="AS1377" s="94" t="str">
        <f>IF(AN1377&gt;=AQ1377,"ok","ck")</f>
      </c>
      <c r="AT1377" s="116">
        <f>-P1377</f>
      </c>
      <c r="AU1377" s="115">
        <f>IF(SUMIFS(AT:AT,AM:AM,AM1377)&gt;AO1377,(SUMIFS(AT:AT,AM:AM,AM1377)-AO1377))</f>
      </c>
      <c r="AV1377" s="116">
        <v>1090</v>
      </c>
      <c r="AW1377" s="121">
        <v>1.021</v>
      </c>
      <c r="AX1377" s="115">
        <f>AN1377-AP1377</f>
      </c>
    </row>
    <row r="1378" spans="1:50" ht="15" hidden="1" customHeight="1" x14ac:dyDescent="0.3">
      <c r="A1378" s="94" t="s">
        <v>125</v>
      </c>
      <c r="B1378" s="94"/>
      <c r="C1378" s="94"/>
      <c r="D1378" s="94"/>
      <c r="E1378" s="94"/>
      <c r="F1378" s="94"/>
      <c r="G1378" s="112">
        <f>AU1378</f>
      </c>
      <c r="H1378" s="113"/>
      <c r="I1378" s="94" t="s">
        <v>133</v>
      </c>
      <c r="J1378" s="94" t="s">
        <v>71</v>
      </c>
      <c r="K1378" s="114">
        <f>P1378/3</f>
      </c>
      <c r="L1378" s="115">
        <v>4.32</v>
      </c>
      <c r="M1378" s="116">
        <f>L1378</f>
      </c>
      <c r="N1378" s="117">
        <f>M1378-L1378</f>
      </c>
      <c r="O1378" s="112"/>
      <c r="P1378" s="118">
        <f>N1378+O1378</f>
      </c>
      <c r="Q1378" s="94" t="s">
        <v>140</v>
      </c>
      <c r="R1378" s="94" t="s">
        <v>63</v>
      </c>
      <c r="S1378" s="119">
        <v>46327</v>
      </c>
      <c r="T1378" s="119"/>
      <c r="U1378" s="120">
        <v>46327</v>
      </c>
      <c r="V1378" s="94"/>
      <c r="W1378" s="94"/>
      <c r="X1378" s="94"/>
      <c r="Y1378" s="119">
        <v>46320</v>
      </c>
      <c r="Z1378" s="94"/>
      <c r="AA1378" s="120"/>
      <c r="AB1378" s="120"/>
      <c r="AC1378" s="120"/>
      <c r="AD1378" s="120"/>
      <c r="AE1378" s="120"/>
      <c r="AF1378" s="120"/>
      <c r="AG1378" s="94"/>
      <c r="AH1378" s="120"/>
      <c r="AI1378" s="94"/>
      <c r="AJ1378" s="94" t="s">
        <v>140</v>
      </c>
      <c r="AK1378" s="94" t="s">
        <v>71</v>
      </c>
      <c r="AL1378" s="94">
        <v>160</v>
      </c>
      <c r="AM1378" s="94" t="str">
        <f>TRIM(AJ1378)&amp;TRIM(AL1378)&amp;TRIM(AK1378)</f>
      </c>
      <c r="AN1378" s="116">
        <v>1090</v>
      </c>
      <c r="AO1378" s="116">
        <v>-22.13</v>
      </c>
      <c r="AP1378" s="116">
        <f>SUMIFS(M:M,AM:AM,AM1378)+SUMIFS(O:O,AM:AM,AM1378)</f>
      </c>
      <c r="AQ1378" s="116">
        <f>SUMIFS(L:L,AM:AM,AM1378)</f>
      </c>
      <c r="AR1378" s="116">
        <f>AQ1378-AP1378</f>
      </c>
      <c r="AS1378" s="94" t="str">
        <f>IF(AN1378&gt;=AQ1378,"ok","ck")</f>
      </c>
      <c r="AT1378" s="116">
        <f>-P1378</f>
      </c>
      <c r="AU1378" s="115">
        <f>IF(SUMIFS(AT:AT,AM:AM,AM1378)&gt;AO1378,(SUMIFS(AT:AT,AM:AM,AM1378)-AO1378))</f>
      </c>
      <c r="AV1378" s="116">
        <v>1090</v>
      </c>
      <c r="AW1378" s="121">
        <v>1.021</v>
      </c>
      <c r="AX1378" s="115">
        <f>AN1378-AP1378</f>
      </c>
    </row>
    <row r="1379" spans="1:50" ht="15" hidden="1" customHeight="1" x14ac:dyDescent="0.3">
      <c r="A1379" s="94" t="s">
        <v>125</v>
      </c>
      <c r="B1379" s="94"/>
      <c r="C1379" s="94"/>
      <c r="D1379" s="94"/>
      <c r="E1379" s="94"/>
      <c r="F1379" s="94"/>
      <c r="G1379" s="112">
        <f>AU1379</f>
      </c>
      <c r="H1379" s="113"/>
      <c r="I1379" s="94" t="s">
        <v>133</v>
      </c>
      <c r="J1379" s="94" t="s">
        <v>71</v>
      </c>
      <c r="K1379" s="114">
        <f>P1379/3</f>
      </c>
      <c r="L1379" s="115">
        <v>133.19999999999999</v>
      </c>
      <c r="M1379" s="116">
        <f>L1379</f>
      </c>
      <c r="N1379" s="117">
        <f>M1379-L1379</f>
      </c>
      <c r="O1379" s="112"/>
      <c r="P1379" s="118">
        <f>N1379+O1379</f>
      </c>
      <c r="Q1379" s="94" t="s">
        <v>140</v>
      </c>
      <c r="R1379" s="94" t="s">
        <v>63</v>
      </c>
      <c r="S1379" s="119">
        <v>46327</v>
      </c>
      <c r="T1379" s="119"/>
      <c r="U1379" s="119">
        <v>46327</v>
      </c>
      <c r="V1379" s="94"/>
      <c r="W1379" s="94"/>
      <c r="X1379" s="94"/>
      <c r="Y1379" s="119">
        <v>46320</v>
      </c>
      <c r="Z1379" s="94"/>
      <c r="AA1379" s="120"/>
      <c r="AB1379" s="120"/>
      <c r="AC1379" s="120"/>
      <c r="AD1379" s="120"/>
      <c r="AE1379" s="120"/>
      <c r="AF1379" s="120"/>
      <c r="AG1379" s="94"/>
      <c r="AH1379" s="120"/>
      <c r="AI1379" s="94"/>
      <c r="AJ1379" s="94" t="s">
        <v>140</v>
      </c>
      <c r="AK1379" s="94" t="s">
        <v>71</v>
      </c>
      <c r="AL1379" s="94">
        <v>160</v>
      </c>
      <c r="AM1379" s="94" t="str">
        <f>TRIM(AJ1379)&amp;TRIM(AL1379)&amp;TRIM(AK1379)</f>
      </c>
      <c r="AN1379" s="116">
        <v>1090</v>
      </c>
      <c r="AO1379" s="116">
        <v>-22.13</v>
      </c>
      <c r="AP1379" s="116">
        <f>SUMIFS(M:M,AM:AM,AM1379)+SUMIFS(O:O,AM:AM,AM1379)</f>
      </c>
      <c r="AQ1379" s="116">
        <f>SUMIFS(L:L,AM:AM,AM1379)</f>
      </c>
      <c r="AR1379" s="116">
        <f>AQ1379-AP1379</f>
      </c>
      <c r="AS1379" s="94" t="str">
        <f>IF(AN1379&gt;=AQ1379,"ok","ck")</f>
      </c>
      <c r="AT1379" s="116">
        <f>-P1379</f>
      </c>
      <c r="AU1379" s="115">
        <f>IF(SUMIFS(AT:AT,AM:AM,AM1379)&gt;AO1379,(SUMIFS(AT:AT,AM:AM,AM1379)-AO1379))</f>
      </c>
      <c r="AV1379" s="116">
        <v>1090</v>
      </c>
      <c r="AW1379" s="121">
        <v>1.021</v>
      </c>
      <c r="AX1379" s="115">
        <f>AN1379-AP1379</f>
      </c>
    </row>
    <row r="1380" spans="1:50" ht="15" hidden="1" customHeight="1" x14ac:dyDescent="0.3">
      <c r="A1380" s="94" t="s">
        <v>125</v>
      </c>
      <c r="B1380" s="94"/>
      <c r="C1380" s="94"/>
      <c r="D1380" s="94"/>
      <c r="E1380" s="94"/>
      <c r="F1380" s="94"/>
      <c r="G1380" s="112">
        <f>AU1380</f>
      </c>
      <c r="H1380" s="113"/>
      <c r="I1380" s="94" t="s">
        <v>489</v>
      </c>
      <c r="J1380" s="94" t="s">
        <v>66</v>
      </c>
      <c r="K1380" s="114">
        <f>P1380/3</f>
      </c>
      <c r="L1380" s="115">
        <v>538</v>
      </c>
      <c r="M1380" s="116"/>
      <c r="N1380" s="117">
        <f>M1380-L1380</f>
      </c>
      <c r="O1380" s="112"/>
      <c r="P1380" s="118">
        <f>N1380+O1380</f>
      </c>
      <c r="Q1380" s="94" t="s">
        <v>819</v>
      </c>
      <c r="R1380" s="94" t="s">
        <v>63</v>
      </c>
      <c r="S1380" s="119">
        <v>46336</v>
      </c>
      <c r="T1380" s="119"/>
      <c r="U1380" s="119" t="s">
        <v>658</v>
      </c>
      <c r="V1380" s="94"/>
      <c r="W1380" s="94"/>
      <c r="X1380" s="94"/>
      <c r="Y1380" s="119">
        <v>46340</v>
      </c>
      <c r="Z1380" s="94"/>
      <c r="AA1380" s="120"/>
      <c r="AB1380" s="120"/>
      <c r="AC1380" s="120"/>
      <c r="AD1380" s="120"/>
      <c r="AE1380" s="120"/>
      <c r="AF1380" s="120"/>
      <c r="AG1380" s="94"/>
      <c r="AH1380" s="120"/>
      <c r="AI1380" s="94"/>
      <c r="AJ1380" s="94" t="s">
        <v>819</v>
      </c>
      <c r="AK1380" s="94" t="s">
        <v>66</v>
      </c>
      <c r="AL1380" s="94">
        <v>190</v>
      </c>
      <c r="AM1380" s="94" t="str">
        <f>TRIM(AJ1380)&amp;TRIM(AL1380)&amp;TRIM(AK1380)</f>
      </c>
      <c r="AN1380" s="116">
        <v>0</v>
      </c>
      <c r="AO1380" s="116" t="inlineStr">
        <is>
          <t>#NA</t>
        </is>
      </c>
      <c r="AP1380" s="116">
        <f>SUMIFS(M:M,AM:AM,AM1380)+SUMIFS(O:O,AM:AM,AM1380)</f>
      </c>
      <c r="AQ1380" s="116">
        <f>SUMIFS(L:L,AM:AM,AM1380)</f>
      </c>
      <c r="AR1380" s="116">
        <f>AQ1380-AP1380</f>
      </c>
      <c r="AS1380" s="94" t="str">
        <f>IF(AN1380&gt;=AQ1380,"ok","ck")</f>
      </c>
      <c r="AT1380" s="116">
        <f>-P1380</f>
      </c>
      <c r="AU1380" s="115">
        <f>IF(SUMIFS(AT:AT,AM:AM,AM1380)&gt;AO1380,(SUMIFS(AT:AT,AM:AM,AM1380)-AO1380))</f>
      </c>
      <c r="AV1380" s="116">
        <v>0</v>
      </c>
      <c r="AW1380" s="121">
        <v>0</v>
      </c>
      <c r="AX1380" s="115">
        <f>AN1380-AP1380</f>
      </c>
    </row>
    <row r="1381" spans="1:50" ht="15" hidden="1" customHeight="1" x14ac:dyDescent="0.3">
      <c r="A1381" s="94" t="s">
        <v>125</v>
      </c>
      <c r="B1381" s="94"/>
      <c r="C1381" s="94"/>
      <c r="D1381" s="94"/>
      <c r="E1381" s="94"/>
      <c r="F1381" s="94"/>
      <c r="G1381" s="112">
        <f>AU1381</f>
      </c>
      <c r="H1381" s="113"/>
      <c r="I1381" s="94" t="s">
        <v>489</v>
      </c>
      <c r="J1381" s="94" t="s">
        <v>66</v>
      </c>
      <c r="K1381" s="114">
        <f>P1381/3</f>
      </c>
      <c r="L1381" s="115">
        <v>538</v>
      </c>
      <c r="M1381" s="116"/>
      <c r="N1381" s="117">
        <f>M1381-L1381</f>
      </c>
      <c r="O1381" s="112"/>
      <c r="P1381" s="118">
        <f>N1381+O1381</f>
      </c>
      <c r="Q1381" s="94" t="s">
        <v>819</v>
      </c>
      <c r="R1381" s="94" t="s">
        <v>63</v>
      </c>
      <c r="S1381" s="119">
        <v>46337</v>
      </c>
      <c r="T1381" s="119"/>
      <c r="U1381" s="119" t="s">
        <v>658</v>
      </c>
      <c r="V1381" s="94"/>
      <c r="W1381" s="94"/>
      <c r="X1381" s="94"/>
      <c r="Y1381" s="119">
        <v>46328</v>
      </c>
      <c r="Z1381" s="94"/>
      <c r="AA1381" s="120"/>
      <c r="AB1381" s="120"/>
      <c r="AC1381" s="120"/>
      <c r="AD1381" s="120"/>
      <c r="AE1381" s="120"/>
      <c r="AF1381" s="120"/>
      <c r="AG1381" s="94"/>
      <c r="AH1381" s="120"/>
      <c r="AI1381" s="94"/>
      <c r="AJ1381" s="94" t="s">
        <v>819</v>
      </c>
      <c r="AK1381" s="94" t="s">
        <v>66</v>
      </c>
      <c r="AL1381" s="94">
        <v>190</v>
      </c>
      <c r="AM1381" s="94" t="str">
        <f>TRIM(AJ1381)&amp;TRIM(AL1381)&amp;TRIM(AK1381)</f>
      </c>
      <c r="AN1381" s="116">
        <v>0</v>
      </c>
      <c r="AO1381" s="116" t="inlineStr">
        <is>
          <t>#NA</t>
        </is>
      </c>
      <c r="AP1381" s="116">
        <f>SUMIFS(M:M,AM:AM,AM1381)+SUMIFS(O:O,AM:AM,AM1381)</f>
      </c>
      <c r="AQ1381" s="116">
        <f>SUMIFS(L:L,AM:AM,AM1381)</f>
      </c>
      <c r="AR1381" s="116">
        <f>AQ1381-AP1381</f>
      </c>
      <c r="AS1381" s="94" t="str">
        <f>IF(AN1381&gt;=AQ1381,"ok","ck")</f>
      </c>
      <c r="AT1381" s="116">
        <f>-P1381</f>
      </c>
      <c r="AU1381" s="115">
        <f>IF(SUMIFS(AT:AT,AM:AM,AM1381)&gt;AO1381,(SUMIFS(AT:AT,AM:AM,AM1381)-AO1381))</f>
      </c>
      <c r="AV1381" s="116">
        <v>0</v>
      </c>
      <c r="AW1381" s="121">
        <v>0</v>
      </c>
      <c r="AX1381" s="115">
        <f>AN1381-AP1381</f>
      </c>
    </row>
    <row r="1382" spans="1:50" ht="15" hidden="1" customHeight="1" x14ac:dyDescent="0.3">
      <c r="A1382" s="94" t="s">
        <v>125</v>
      </c>
      <c r="B1382" s="94"/>
      <c r="C1382" s="94"/>
      <c r="D1382" s="94"/>
      <c r="E1382" s="94"/>
      <c r="F1382" s="94"/>
      <c r="G1382" s="112">
        <f>AU1382</f>
      </c>
      <c r="H1382" s="113"/>
      <c r="I1382" s="94" t="s">
        <v>489</v>
      </c>
      <c r="J1382" s="94" t="s">
        <v>66</v>
      </c>
      <c r="K1382" s="114">
        <f>P1382/3</f>
      </c>
      <c r="L1382" s="115">
        <v>538</v>
      </c>
      <c r="M1382" s="116"/>
      <c r="N1382" s="117">
        <f>M1382-L1382</f>
      </c>
      <c r="O1382" s="112"/>
      <c r="P1382" s="118">
        <f>N1382+O1382</f>
      </c>
      <c r="Q1382" s="94" t="s">
        <v>819</v>
      </c>
      <c r="R1382" s="94" t="s">
        <v>63</v>
      </c>
      <c r="S1382" s="119">
        <v>46338</v>
      </c>
      <c r="T1382" s="119"/>
      <c r="U1382" s="119" t="s">
        <v>658</v>
      </c>
      <c r="V1382" s="94"/>
      <c r="W1382" s="94"/>
      <c r="X1382" s="94"/>
      <c r="Y1382" s="119">
        <v>46328</v>
      </c>
      <c r="Z1382" s="94"/>
      <c r="AA1382" s="120"/>
      <c r="AB1382" s="120"/>
      <c r="AC1382" s="120"/>
      <c r="AD1382" s="120"/>
      <c r="AE1382" s="120"/>
      <c r="AF1382" s="120"/>
      <c r="AG1382" s="94"/>
      <c r="AH1382" s="120"/>
      <c r="AI1382" s="94"/>
      <c r="AJ1382" s="94" t="s">
        <v>819</v>
      </c>
      <c r="AK1382" s="94" t="s">
        <v>66</v>
      </c>
      <c r="AL1382" s="94">
        <v>190</v>
      </c>
      <c r="AM1382" s="94" t="str">
        <f>TRIM(AJ1382)&amp;TRIM(AL1382)&amp;TRIM(AK1382)</f>
      </c>
      <c r="AN1382" s="116">
        <v>0</v>
      </c>
      <c r="AO1382" s="116" t="inlineStr">
        <is>
          <t>#NA</t>
        </is>
      </c>
      <c r="AP1382" s="116">
        <f>SUMIFS(M:M,AM:AM,AM1382)+SUMIFS(O:O,AM:AM,AM1382)</f>
      </c>
      <c r="AQ1382" s="116">
        <f>SUMIFS(L:L,AM:AM,AM1382)</f>
      </c>
      <c r="AR1382" s="116">
        <f>AQ1382-AP1382</f>
      </c>
      <c r="AS1382" s="94" t="str">
        <f>IF(AN1382&gt;=AQ1382,"ok","ck")</f>
      </c>
      <c r="AT1382" s="116">
        <f>-P1382</f>
      </c>
      <c r="AU1382" s="115">
        <f>IF(SUMIFS(AT:AT,AM:AM,AM1382)&gt;AO1382,(SUMIFS(AT:AT,AM:AM,AM1382)-AO1382))</f>
      </c>
      <c r="AV1382" s="116">
        <v>0</v>
      </c>
      <c r="AW1382" s="121">
        <v>0</v>
      </c>
      <c r="AX1382" s="115">
        <f>AN1382-AP1382</f>
      </c>
    </row>
    <row r="1383" spans="1:50" ht="15" hidden="1" customHeight="1" x14ac:dyDescent="0.3">
      <c r="A1383" s="94" t="s">
        <v>125</v>
      </c>
      <c r="B1383" s="94"/>
      <c r="C1383" s="94"/>
      <c r="D1383" s="94"/>
      <c r="E1383" s="94"/>
      <c r="F1383" s="94"/>
      <c r="G1383" s="112">
        <f>AU1383</f>
      </c>
      <c r="H1383" s="113"/>
      <c r="I1383" s="94" t="s">
        <v>489</v>
      </c>
      <c r="J1383" s="94" t="s">
        <v>66</v>
      </c>
      <c r="K1383" s="114">
        <f>P1383/3</f>
      </c>
      <c r="L1383" s="115">
        <v>538</v>
      </c>
      <c r="M1383" s="116"/>
      <c r="N1383" s="117">
        <f>M1383-L1383</f>
      </c>
      <c r="O1383" s="112"/>
      <c r="P1383" s="118">
        <f>N1383+O1383</f>
      </c>
      <c r="Q1383" s="94" t="s">
        <v>819</v>
      </c>
      <c r="R1383" s="94" t="s">
        <v>63</v>
      </c>
      <c r="S1383" s="119">
        <v>46339</v>
      </c>
      <c r="T1383" s="119"/>
      <c r="U1383" s="119" t="s">
        <v>658</v>
      </c>
      <c r="V1383" s="94"/>
      <c r="W1383" s="94"/>
      <c r="X1383" s="94"/>
      <c r="Y1383" s="119">
        <v>46328</v>
      </c>
      <c r="Z1383" s="94"/>
      <c r="AA1383" s="120"/>
      <c r="AB1383" s="120"/>
      <c r="AC1383" s="120"/>
      <c r="AD1383" s="120"/>
      <c r="AE1383" s="120"/>
      <c r="AF1383" s="120"/>
      <c r="AG1383" s="94"/>
      <c r="AH1383" s="120"/>
      <c r="AI1383" s="94"/>
      <c r="AJ1383" s="94" t="s">
        <v>819</v>
      </c>
      <c r="AK1383" s="94" t="s">
        <v>66</v>
      </c>
      <c r="AL1383" s="94">
        <v>190</v>
      </c>
      <c r="AM1383" s="94" t="str">
        <f>TRIM(AJ1383)&amp;TRIM(AL1383)&amp;TRIM(AK1383)</f>
      </c>
      <c r="AN1383" s="116">
        <v>0</v>
      </c>
      <c r="AO1383" s="116" t="inlineStr">
        <is>
          <t>#NA</t>
        </is>
      </c>
      <c r="AP1383" s="116">
        <f>SUMIFS(M:M,AM:AM,AM1383)+SUMIFS(O:O,AM:AM,AM1383)</f>
      </c>
      <c r="AQ1383" s="116">
        <f>SUMIFS(L:L,AM:AM,AM1383)</f>
      </c>
      <c r="AR1383" s="116">
        <f>AQ1383-AP1383</f>
      </c>
      <c r="AS1383" s="94" t="str">
        <f>IF(AN1383&gt;=AQ1383,"ok","ck")</f>
      </c>
      <c r="AT1383" s="116">
        <f>-P1383</f>
      </c>
      <c r="AU1383" s="115">
        <f>IF(SUMIFS(AT:AT,AM:AM,AM1383)&gt;AO1383,(SUMIFS(AT:AT,AM:AM,AM1383)-AO1383))</f>
      </c>
      <c r="AV1383" s="116">
        <v>0</v>
      </c>
      <c r="AW1383" s="121">
        <v>0</v>
      </c>
      <c r="AX1383" s="115">
        <f>AN1383-AP1383</f>
      </c>
    </row>
    <row r="1384" spans="1:50" ht="15" hidden="1" customHeight="1" x14ac:dyDescent="0.3">
      <c r="A1384" s="94" t="s">
        <v>125</v>
      </c>
      <c r="B1384" s="94"/>
      <c r="C1384" s="94"/>
      <c r="D1384" s="94"/>
      <c r="E1384" s="94"/>
      <c r="F1384" s="94"/>
      <c r="G1384" s="112">
        <f>AU1384</f>
      </c>
      <c r="H1384" s="113"/>
      <c r="I1384" s="94" t="s">
        <v>489</v>
      </c>
      <c r="J1384" s="94" t="s">
        <v>66</v>
      </c>
      <c r="K1384" s="114">
        <f>P1384/3</f>
      </c>
      <c r="L1384" s="115">
        <v>538</v>
      </c>
      <c r="M1384" s="116"/>
      <c r="N1384" s="117">
        <f>M1384-L1384</f>
      </c>
      <c r="O1384" s="112"/>
      <c r="P1384" s="118">
        <f>N1384+O1384</f>
      </c>
      <c r="Q1384" s="94" t="s">
        <v>819</v>
      </c>
      <c r="R1384" s="94" t="s">
        <v>63</v>
      </c>
      <c r="S1384" s="119">
        <v>46340</v>
      </c>
      <c r="T1384" s="119"/>
      <c r="U1384" s="119" t="s">
        <v>658</v>
      </c>
      <c r="V1384" s="94"/>
      <c r="W1384" s="94"/>
      <c r="X1384" s="94"/>
      <c r="Y1384" s="119">
        <v>46328</v>
      </c>
      <c r="Z1384" s="94"/>
      <c r="AA1384" s="120"/>
      <c r="AB1384" s="120"/>
      <c r="AC1384" s="120"/>
      <c r="AD1384" s="120"/>
      <c r="AE1384" s="120"/>
      <c r="AF1384" s="120"/>
      <c r="AG1384" s="94"/>
      <c r="AH1384" s="120"/>
      <c r="AI1384" s="94"/>
      <c r="AJ1384" s="94" t="s">
        <v>819</v>
      </c>
      <c r="AK1384" s="94" t="s">
        <v>66</v>
      </c>
      <c r="AL1384" s="94">
        <v>190</v>
      </c>
      <c r="AM1384" s="94" t="str">
        <f>TRIM(AJ1384)&amp;TRIM(AL1384)&amp;TRIM(AK1384)</f>
      </c>
      <c r="AN1384" s="116">
        <v>0</v>
      </c>
      <c r="AO1384" s="116" t="inlineStr">
        <is>
          <t>#NA</t>
        </is>
      </c>
      <c r="AP1384" s="116">
        <f>SUMIFS(M:M,AM:AM,AM1384)+SUMIFS(O:O,AM:AM,AM1384)</f>
      </c>
      <c r="AQ1384" s="116">
        <f>SUMIFS(L:L,AM:AM,AM1384)</f>
      </c>
      <c r="AR1384" s="116">
        <f>AQ1384-AP1384</f>
      </c>
      <c r="AS1384" s="94" t="str">
        <f>IF(AN1384&gt;=AQ1384,"ok","ck")</f>
      </c>
      <c r="AT1384" s="116">
        <f>-P1384</f>
      </c>
      <c r="AU1384" s="115">
        <f>IF(SUMIFS(AT:AT,AM:AM,AM1384)&gt;AO1384,(SUMIFS(AT:AT,AM:AM,AM1384)-AO1384))</f>
      </c>
      <c r="AV1384" s="116">
        <v>0</v>
      </c>
      <c r="AW1384" s="121">
        <v>0</v>
      </c>
      <c r="AX1384" s="115">
        <f>AN1384-AP1384</f>
      </c>
    </row>
    <row r="1385" spans="1:50" ht="15" hidden="1" customHeight="1" x14ac:dyDescent="0.3">
      <c r="A1385" s="94" t="s">
        <v>125</v>
      </c>
      <c r="B1385" s="94"/>
      <c r="C1385" s="94"/>
      <c r="D1385" s="94"/>
      <c r="E1385" s="94"/>
      <c r="F1385" s="94"/>
      <c r="G1385" s="112">
        <f>AU1385</f>
      </c>
      <c r="H1385" s="113"/>
      <c r="I1385" s="94" t="s">
        <v>132</v>
      </c>
      <c r="J1385" s="94" t="s">
        <v>71</v>
      </c>
      <c r="K1385" s="114">
        <f>P1385/3</f>
      </c>
      <c r="L1385" s="115">
        <v>77.7</v>
      </c>
      <c r="M1385" s="116">
        <f>L1385</f>
      </c>
      <c r="N1385" s="117">
        <f>M1385-L1385</f>
      </c>
      <c r="O1385" s="112"/>
      <c r="P1385" s="118">
        <f>N1385+O1385</f>
      </c>
      <c r="Q1385" s="94" t="s">
        <v>142</v>
      </c>
      <c r="R1385" s="94" t="s">
        <v>63</v>
      </c>
      <c r="S1385" s="119">
        <v>46342</v>
      </c>
      <c r="T1385" s="119"/>
      <c r="U1385" s="119">
        <v>46342</v>
      </c>
      <c r="V1385" s="94"/>
      <c r="W1385" s="94"/>
      <c r="X1385" s="94"/>
      <c r="Y1385" s="119">
        <v>46342</v>
      </c>
      <c r="Z1385" s="94"/>
      <c r="AA1385" s="120"/>
      <c r="AB1385" s="120"/>
      <c r="AC1385" s="120"/>
      <c r="AD1385" s="120"/>
      <c r="AE1385" s="120"/>
      <c r="AF1385" s="120"/>
      <c r="AG1385" s="94"/>
      <c r="AH1385" s="120"/>
      <c r="AI1385" s="94"/>
      <c r="AJ1385" s="94" t="s">
        <v>142</v>
      </c>
      <c r="AK1385" s="94" t="s">
        <v>71</v>
      </c>
      <c r="AL1385" s="94">
        <v>140</v>
      </c>
      <c r="AM1385" s="94" t="str">
        <f>TRIM(AJ1385)&amp;TRIM(AL1385)&amp;TRIM(AK1385)</f>
      </c>
      <c r="AN1385" s="116">
        <v>299</v>
      </c>
      <c r="AO1385" s="116">
        <v>14.98</v>
      </c>
      <c r="AP1385" s="116">
        <f>SUMIFS(M:M,AM:AM,AM1385)+SUMIFS(O:O,AM:AM,AM1385)</f>
      </c>
      <c r="AQ1385" s="116">
        <f>SUMIFS(L:L,AM:AM,AM1385)</f>
      </c>
      <c r="AR1385" s="116">
        <f>AQ1385-AP1385</f>
      </c>
      <c r="AS1385" s="94" t="str">
        <f>IF(AN1385&gt;=AQ1385,"ok","ck")</f>
      </c>
      <c r="AT1385" s="116">
        <f>-P1385</f>
      </c>
      <c r="AU1385" s="115">
        <f>IF(SUMIFS(AT:AT,AM:AM,AM1385)&gt;AO1385,(SUMIFS(AT:AT,AM:AM,AM1385)-AO1385))</f>
      </c>
      <c r="AV1385" s="116">
        <v>299</v>
      </c>
      <c r="AW1385" s="121">
        <v>0.952</v>
      </c>
      <c r="AX1385" s="115">
        <f>AN1385-AP1385</f>
      </c>
    </row>
    <row r="1386" spans="1:50" ht="15" hidden="1" customHeight="1" x14ac:dyDescent="0.3">
      <c r="A1386" s="94" t="s">
        <v>125</v>
      </c>
      <c r="B1386" s="94"/>
      <c r="C1386" s="94"/>
      <c r="D1386" s="94"/>
      <c r="E1386" s="94"/>
      <c r="F1386" s="94"/>
      <c r="G1386" s="112">
        <f>AU1386</f>
      </c>
      <c r="H1386" s="113"/>
      <c r="I1386" s="94" t="s">
        <v>133</v>
      </c>
      <c r="J1386" s="94" t="s">
        <v>66</v>
      </c>
      <c r="K1386" s="114">
        <f>P1386/3</f>
      </c>
      <c r="L1386" s="115">
        <v>2143</v>
      </c>
      <c r="M1386" s="116">
        <v>2142.81</v>
      </c>
      <c r="N1386" s="117">
        <f>M1386-L1386</f>
      </c>
      <c r="O1386" s="112"/>
      <c r="P1386" s="118">
        <f>N1386+O1386</f>
      </c>
      <c r="Q1386" s="94" t="s">
        <v>150</v>
      </c>
      <c r="R1386" s="94" t="s">
        <v>63</v>
      </c>
      <c r="S1386" s="119">
        <v>46320</v>
      </c>
      <c r="T1386" s="119"/>
      <c r="U1386" s="119" t="s">
        <v>659</v>
      </c>
      <c r="V1386" s="94"/>
      <c r="W1386" s="94"/>
      <c r="X1386" s="94"/>
      <c r="Y1386" s="119">
        <v>46320</v>
      </c>
      <c r="Z1386" s="94"/>
      <c r="AA1386" s="120"/>
      <c r="AB1386" s="120"/>
      <c r="AC1386" s="120"/>
      <c r="AD1386" s="120"/>
      <c r="AE1386" s="120"/>
      <c r="AF1386" s="120"/>
      <c r="AG1386" s="94"/>
      <c r="AH1386" s="120"/>
      <c r="AI1386" s="94"/>
      <c r="AJ1386" s="94" t="s">
        <v>150</v>
      </c>
      <c r="AK1386" s="94" t="s">
        <v>66</v>
      </c>
      <c r="AL1386" s="94">
        <v>160</v>
      </c>
      <c r="AM1386" s="94" t="str">
        <f>TRIM(AJ1386)&amp;TRIM(AL1386)&amp;TRIM(AK1386)</f>
      </c>
      <c r="AN1386" s="116">
        <v>10713.5</v>
      </c>
      <c r="AO1386" s="116">
        <v>299.26</v>
      </c>
      <c r="AP1386" s="116">
        <f>SUMIFS(M:M,AM:AM,AM1386)+SUMIFS(O:O,AM:AM,AM1386)</f>
      </c>
      <c r="AQ1386" s="116">
        <f>SUMIFS(L:L,AM:AM,AM1386)</f>
      </c>
      <c r="AR1386" s="116">
        <f>AQ1386-AP1386</f>
      </c>
      <c r="AS1386" s="94" t="str">
        <f>IF(AN1386&gt;=AQ1386,"ok","ck")</f>
      </c>
      <c r="AT1386" s="116">
        <f>-P1386</f>
      </c>
      <c r="AU1386" s="115">
        <f>IF(SUMIFS(AT:AT,AM:AM,AM1386)&gt;AO1386,(SUMIFS(AT:AT,AM:AM,AM1386)-AO1386))</f>
      </c>
      <c r="AV1386" s="116">
        <v>10713.5</v>
      </c>
      <c r="AW1386" s="121">
        <v>0.973</v>
      </c>
      <c r="AX1386" s="115">
        <f>AN1386-AP1386</f>
      </c>
    </row>
    <row r="1387" spans="1:50" ht="15" hidden="1" customHeight="1" x14ac:dyDescent="0.3">
      <c r="A1387" s="94" t="s">
        <v>125</v>
      </c>
      <c r="B1387" s="94"/>
      <c r="C1387" s="94"/>
      <c r="D1387" s="94"/>
      <c r="E1387" s="94"/>
      <c r="F1387" s="94"/>
      <c r="G1387" s="112">
        <f>AU1387</f>
      </c>
      <c r="H1387" s="113"/>
      <c r="I1387" s="94" t="s">
        <v>133</v>
      </c>
      <c r="J1387" s="94" t="s">
        <v>66</v>
      </c>
      <c r="K1387" s="114">
        <f>P1387/3</f>
      </c>
      <c r="L1387" s="115">
        <v>299.07</v>
      </c>
      <c r="M1387" s="116"/>
      <c r="N1387" s="117">
        <f>M1387-L1387</f>
      </c>
      <c r="O1387" s="112"/>
      <c r="P1387" s="118">
        <f>N1387+O1387</f>
      </c>
      <c r="Q1387" s="94" t="s">
        <v>150</v>
      </c>
      <c r="R1387" s="94" t="s">
        <v>63</v>
      </c>
      <c r="S1387" s="119">
        <v>46334</v>
      </c>
      <c r="T1387" s="119"/>
      <c r="U1387" s="119" t="s">
        <v>659</v>
      </c>
      <c r="V1387" s="94"/>
      <c r="W1387" s="94"/>
      <c r="X1387" s="94"/>
      <c r="Y1387" s="119">
        <v>46320</v>
      </c>
      <c r="Z1387" s="94"/>
      <c r="AA1387" s="120"/>
      <c r="AB1387" s="120"/>
      <c r="AC1387" s="120"/>
      <c r="AD1387" s="120"/>
      <c r="AE1387" s="120"/>
      <c r="AF1387" s="120"/>
      <c r="AG1387" s="94"/>
      <c r="AH1387" s="120"/>
      <c r="AI1387" s="94"/>
      <c r="AJ1387" s="94" t="s">
        <v>150</v>
      </c>
      <c r="AK1387" s="94" t="s">
        <v>66</v>
      </c>
      <c r="AL1387" s="94">
        <v>160</v>
      </c>
      <c r="AM1387" s="94" t="str">
        <f>TRIM(AJ1387)&amp;TRIM(AL1387)&amp;TRIM(AK1387)</f>
      </c>
      <c r="AN1387" s="116">
        <v>10713.5</v>
      </c>
      <c r="AO1387" s="116">
        <v>299.26</v>
      </c>
      <c r="AP1387" s="116">
        <f>SUMIFS(M:M,AM:AM,AM1387)+SUMIFS(O:O,AM:AM,AM1387)</f>
      </c>
      <c r="AQ1387" s="116">
        <f>SUMIFS(L:L,AM:AM,AM1387)</f>
      </c>
      <c r="AR1387" s="116">
        <f>AQ1387-AP1387</f>
      </c>
      <c r="AS1387" s="94" t="str">
        <f>IF(AN1387&gt;=AQ1387,"ok","ck")</f>
      </c>
      <c r="AT1387" s="116">
        <f>-P1387</f>
      </c>
      <c r="AU1387" s="115">
        <f>IF(SUMIFS(AT:AT,AM:AM,AM1387)&gt;AO1387,(SUMIFS(AT:AT,AM:AM,AM1387)-AO1387))</f>
      </c>
      <c r="AV1387" s="116">
        <v>10713.5</v>
      </c>
      <c r="AW1387" s="121">
        <v>0.973</v>
      </c>
      <c r="AX1387" s="115">
        <f>AN1387-AP1387</f>
      </c>
    </row>
    <row r="1388" spans="1:50" ht="15" hidden="1" customHeight="1" x14ac:dyDescent="0.3">
      <c r="A1388" s="94" t="s">
        <v>125</v>
      </c>
      <c r="B1388" s="94"/>
      <c r="C1388" s="94"/>
      <c r="D1388" s="94"/>
      <c r="E1388" s="94"/>
      <c r="F1388" s="94"/>
      <c r="G1388" s="112">
        <f>AU1388</f>
      </c>
      <c r="H1388" s="113"/>
      <c r="I1388" s="94" t="s">
        <v>133</v>
      </c>
      <c r="J1388" s="94" t="s">
        <v>71</v>
      </c>
      <c r="K1388" s="114">
        <f>P1388/3</f>
      </c>
      <c r="L1388" s="115">
        <v>0.69</v>
      </c>
      <c r="M1388" s="116">
        <f>L1388</f>
      </c>
      <c r="N1388" s="117">
        <f>M1388-L1388</f>
      </c>
      <c r="O1388" s="112"/>
      <c r="P1388" s="118">
        <f>N1388+O1388</f>
      </c>
      <c r="Q1388" s="94" t="s">
        <v>820</v>
      </c>
      <c r="R1388" s="94" t="s">
        <v>63</v>
      </c>
      <c r="S1388" s="119">
        <v>46341</v>
      </c>
      <c r="T1388" s="119"/>
      <c r="U1388" s="120">
        <v>46341</v>
      </c>
      <c r="V1388" s="94"/>
      <c r="W1388" s="94"/>
      <c r="X1388" s="94"/>
      <c r="Y1388" s="119">
        <v>46341</v>
      </c>
      <c r="Z1388" s="94"/>
      <c r="AA1388" s="120"/>
      <c r="AB1388" s="120"/>
      <c r="AC1388" s="120"/>
      <c r="AD1388" s="120"/>
      <c r="AE1388" s="120"/>
      <c r="AF1388" s="120"/>
      <c r="AG1388" s="94"/>
      <c r="AH1388" s="120"/>
      <c r="AI1388" s="94"/>
      <c r="AJ1388" s="94" t="s">
        <v>820</v>
      </c>
      <c r="AK1388" s="94" t="s">
        <v>71</v>
      </c>
      <c r="AL1388" s="94">
        <v>160</v>
      </c>
      <c r="AM1388" s="94" t="str">
        <f>TRIM(AJ1388)&amp;TRIM(AL1388)&amp;TRIM(AK1388)</f>
      </c>
      <c r="AN1388" s="116">
        <v>4441</v>
      </c>
      <c r="AO1388" s="116">
        <v>-81.84</v>
      </c>
      <c r="AP1388" s="116">
        <f>SUMIFS(M:M,AM:AM,AM1388)+SUMIFS(O:O,AM:AM,AM1388)</f>
      </c>
      <c r="AQ1388" s="116">
        <f>SUMIFS(L:L,AM:AM,AM1388)</f>
      </c>
      <c r="AR1388" s="116">
        <f>AQ1388-AP1388</f>
      </c>
      <c r="AS1388" s="94" t="str">
        <f>IF(AN1388&gt;=AQ1388,"ok","ck")</f>
      </c>
      <c r="AT1388" s="116">
        <f>-P1388</f>
      </c>
      <c r="AU1388" s="115">
        <f>IF(SUMIFS(AT:AT,AM:AM,AM1388)&gt;AO1388,(SUMIFS(AT:AT,AM:AM,AM1388)-AO1388))</f>
      </c>
      <c r="AV1388" s="116">
        <v>4441</v>
      </c>
      <c r="AW1388" s="121">
        <v>1.019</v>
      </c>
      <c r="AX1388" s="115">
        <f>AN1388-AP1388</f>
      </c>
    </row>
    <row r="1389" spans="1:50" ht="15" hidden="1" customHeight="1" x14ac:dyDescent="0.3">
      <c r="A1389" s="94" t="s">
        <v>125</v>
      </c>
      <c r="B1389" s="94"/>
      <c r="C1389" s="94"/>
      <c r="D1389" s="94"/>
      <c r="E1389" s="94"/>
      <c r="F1389" s="94"/>
      <c r="G1389" s="112">
        <f>AU1389</f>
      </c>
      <c r="H1389" s="113"/>
      <c r="I1389" s="94" t="s">
        <v>133</v>
      </c>
      <c r="J1389" s="94" t="s">
        <v>66</v>
      </c>
      <c r="K1389" s="114">
        <f>P1389/3</f>
      </c>
      <c r="L1389" s="115">
        <v>40.08</v>
      </c>
      <c r="M1389" s="116"/>
      <c r="N1389" s="117">
        <f>M1389-L1389</f>
      </c>
      <c r="O1389" s="112"/>
      <c r="P1389" s="118">
        <f>N1389+O1389</f>
      </c>
      <c r="Q1389" s="94" t="s">
        <v>147</v>
      </c>
      <c r="R1389" s="94" t="s">
        <v>63</v>
      </c>
      <c r="S1389" s="119">
        <v>46342</v>
      </c>
      <c r="T1389" s="119"/>
      <c r="U1389" s="120">
        <v>46342</v>
      </c>
      <c r="V1389" s="94"/>
      <c r="W1389" s="94"/>
      <c r="X1389" s="94"/>
      <c r="Y1389" s="119">
        <v>46320</v>
      </c>
      <c r="Z1389" s="94"/>
      <c r="AA1389" s="120"/>
      <c r="AB1389" s="120"/>
      <c r="AC1389" s="120"/>
      <c r="AD1389" s="120"/>
      <c r="AE1389" s="120"/>
      <c r="AF1389" s="120"/>
      <c r="AG1389" s="94"/>
      <c r="AH1389" s="120"/>
      <c r="AI1389" s="94"/>
      <c r="AJ1389" s="94" t="s">
        <v>147</v>
      </c>
      <c r="AK1389" s="94" t="s">
        <v>66</v>
      </c>
      <c r="AL1389" s="94">
        <v>160</v>
      </c>
      <c r="AM1389" s="94" t="str">
        <f>TRIM(AJ1389)&amp;TRIM(AL1389)&amp;TRIM(AK1389)</f>
      </c>
      <c r="AN1389" s="116">
        <v>0</v>
      </c>
      <c r="AO1389" s="116" t="inlineStr">
        <is>
          <t>#NA</t>
        </is>
      </c>
      <c r="AP1389" s="116">
        <f>SUMIFS(M:M,AM:AM,AM1389)+SUMIFS(O:O,AM:AM,AM1389)</f>
      </c>
      <c r="AQ1389" s="116">
        <f>SUMIFS(L:L,AM:AM,AM1389)</f>
      </c>
      <c r="AR1389" s="116">
        <f>AQ1389-AP1389</f>
      </c>
      <c r="AS1389" s="94" t="str">
        <f>IF(AN1389&gt;=AQ1389,"ok","ck")</f>
      </c>
      <c r="AT1389" s="116">
        <f>-P1389</f>
      </c>
      <c r="AU1389" s="115">
        <f>IF(SUMIFS(AT:AT,AM:AM,AM1389)&gt;AO1389,(SUMIFS(AT:AT,AM:AM,AM1389)-AO1389))</f>
      </c>
      <c r="AV1389" s="116">
        <v>0</v>
      </c>
      <c r="AW1389" s="121">
        <v>0</v>
      </c>
      <c r="AX1389" s="115">
        <f>AN1389-AP1389</f>
      </c>
    </row>
    <row r="1390" spans="1:50" ht="15" hidden="1" customHeight="1" x14ac:dyDescent="0.3">
      <c r="A1390" s="94" t="s">
        <v>125</v>
      </c>
      <c r="B1390" s="94"/>
      <c r="C1390" s="94"/>
      <c r="D1390" s="94"/>
      <c r="E1390" s="94"/>
      <c r="F1390" s="94"/>
      <c r="G1390" s="112">
        <f>AU1390</f>
      </c>
      <c r="H1390" s="113"/>
      <c r="I1390" s="94" t="s">
        <v>132</v>
      </c>
      <c r="J1390" s="94" t="s">
        <v>66</v>
      </c>
      <c r="K1390" s="114">
        <f>P1390/3</f>
      </c>
      <c r="L1390" s="115">
        <v>71.738</v>
      </c>
      <c r="M1390" s="116">
        <f>L1390</f>
      </c>
      <c r="N1390" s="117">
        <f>M1390-L1390</f>
      </c>
      <c r="O1390" s="112"/>
      <c r="P1390" s="118">
        <f>N1390+O1390</f>
      </c>
      <c r="Q1390" s="94" t="s">
        <v>139</v>
      </c>
      <c r="R1390" s="94" t="s">
        <v>63</v>
      </c>
      <c r="S1390" s="119">
        <v>46327</v>
      </c>
      <c r="T1390" s="119"/>
      <c r="U1390" s="120">
        <v>46327</v>
      </c>
      <c r="V1390" s="94"/>
      <c r="W1390" s="94"/>
      <c r="X1390" s="94"/>
      <c r="Y1390" s="119">
        <v>46320</v>
      </c>
      <c r="Z1390" s="94"/>
      <c r="AA1390" s="120"/>
      <c r="AB1390" s="120"/>
      <c r="AC1390" s="120"/>
      <c r="AD1390" s="120"/>
      <c r="AE1390" s="120"/>
      <c r="AF1390" s="120"/>
      <c r="AG1390" s="94"/>
      <c r="AH1390" s="120"/>
      <c r="AI1390" s="94"/>
      <c r="AJ1390" s="94" t="s">
        <v>139</v>
      </c>
      <c r="AK1390" s="94" t="s">
        <v>66</v>
      </c>
      <c r="AL1390" s="94">
        <v>140</v>
      </c>
      <c r="AM1390" s="94" t="str">
        <f>TRIM(AJ1390)&amp;TRIM(AL1390)&amp;TRIM(AK1390)</f>
      </c>
      <c r="AN1390" s="116">
        <v>1244.86</v>
      </c>
      <c r="AO1390" s="116">
        <v>8.78</v>
      </c>
      <c r="AP1390" s="116">
        <f>SUMIFS(M:M,AM:AM,AM1390)+SUMIFS(O:O,AM:AM,AM1390)</f>
      </c>
      <c r="AQ1390" s="116">
        <f>SUMIFS(L:L,AM:AM,AM1390)</f>
      </c>
      <c r="AR1390" s="116">
        <f>AQ1390-AP1390</f>
      </c>
      <c r="AS1390" s="94" t="str">
        <f>IF(AN1390&gt;=AQ1390,"ok","ck")</f>
      </c>
      <c r="AT1390" s="116">
        <f>-P1390</f>
      </c>
      <c r="AU1390" s="115">
        <f>IF(SUMIFS(AT:AT,AM:AM,AM1390)&gt;AO1390,(SUMIFS(AT:AT,AM:AM,AM1390)-AO1390))</f>
      </c>
      <c r="AV1390" s="116">
        <v>1244.86</v>
      </c>
      <c r="AW1390" s="121">
        <v>0.993</v>
      </c>
      <c r="AX1390" s="115">
        <f>AN1390-AP1390</f>
      </c>
    </row>
    <row r="1391" spans="1:50" ht="15" hidden="1" customHeight="1" x14ac:dyDescent="0.3">
      <c r="A1391" s="94" t="s">
        <v>125</v>
      </c>
      <c r="B1391" s="94"/>
      <c r="C1391" s="94"/>
      <c r="D1391" s="94"/>
      <c r="E1391" s="94"/>
      <c r="F1391" s="94"/>
      <c r="G1391" s="112">
        <f>AU1391</f>
      </c>
      <c r="H1391" s="113"/>
      <c r="I1391" s="94" t="s">
        <v>132</v>
      </c>
      <c r="J1391" s="94" t="s">
        <v>66</v>
      </c>
      <c r="K1391" s="114">
        <f>P1391/3</f>
      </c>
      <c r="L1391" s="115">
        <v>3.802</v>
      </c>
      <c r="M1391" s="116"/>
      <c r="N1391" s="117">
        <f>M1391-L1391</f>
      </c>
      <c r="O1391" s="112"/>
      <c r="P1391" s="118">
        <f>N1391+O1391</f>
      </c>
      <c r="Q1391" s="94" t="s">
        <v>147</v>
      </c>
      <c r="R1391" s="94" t="s">
        <v>63</v>
      </c>
      <c r="S1391" s="119">
        <v>46342</v>
      </c>
      <c r="T1391" s="119"/>
      <c r="U1391" s="120">
        <v>46342</v>
      </c>
      <c r="V1391" s="94"/>
      <c r="W1391" s="94"/>
      <c r="X1391" s="94"/>
      <c r="Y1391" s="119">
        <v>46320</v>
      </c>
      <c r="Z1391" s="94"/>
      <c r="AA1391" s="120"/>
      <c r="AB1391" s="120"/>
      <c r="AC1391" s="120"/>
      <c r="AD1391" s="120"/>
      <c r="AE1391" s="120"/>
      <c r="AF1391" s="120"/>
      <c r="AG1391" s="94"/>
      <c r="AH1391" s="120"/>
      <c r="AI1391" s="94"/>
      <c r="AJ1391" s="94" t="s">
        <v>147</v>
      </c>
      <c r="AK1391" s="94" t="s">
        <v>66</v>
      </c>
      <c r="AL1391" s="94">
        <v>140</v>
      </c>
      <c r="AM1391" s="94" t="str">
        <f>TRIM(AJ1391)&amp;TRIM(AL1391)&amp;TRIM(AK1391)</f>
      </c>
      <c r="AN1391" s="116">
        <v>0</v>
      </c>
      <c r="AO1391" s="116" t="inlineStr">
        <is>
          <t>#NA</t>
        </is>
      </c>
      <c r="AP1391" s="116">
        <f>SUMIFS(M:M,AM:AM,AM1391)+SUMIFS(O:O,AM:AM,AM1391)</f>
      </c>
      <c r="AQ1391" s="116">
        <f>SUMIFS(L:L,AM:AM,AM1391)</f>
      </c>
      <c r="AR1391" s="116">
        <f>AQ1391-AP1391</f>
      </c>
      <c r="AS1391" s="94" t="str">
        <f>IF(AN1391&gt;=AQ1391,"ok","ck")</f>
      </c>
      <c r="AT1391" s="116">
        <f>-P1391</f>
      </c>
      <c r="AU1391" s="115">
        <f>IF(SUMIFS(AT:AT,AM:AM,AM1391)&gt;AO1391,(SUMIFS(AT:AT,AM:AM,AM1391)-AO1391))</f>
      </c>
      <c r="AV1391" s="116">
        <v>0</v>
      </c>
      <c r="AW1391" s="121">
        <v>0</v>
      </c>
      <c r="AX1391" s="115">
        <f>AN1391-AP1391</f>
      </c>
    </row>
    <row r="1392" spans="1:50" ht="15" hidden="1" customHeight="1" x14ac:dyDescent="0.3">
      <c r="A1392" s="94" t="s">
        <v>125</v>
      </c>
      <c r="B1392" s="94"/>
      <c r="C1392" s="94"/>
      <c r="D1392" s="94"/>
      <c r="E1392" s="94"/>
      <c r="F1392" s="94"/>
      <c r="G1392" s="112">
        <f>AU1392</f>
      </c>
      <c r="H1392" s="113"/>
      <c r="I1392" s="94" t="s">
        <v>132</v>
      </c>
      <c r="J1392" s="94" t="s">
        <v>66</v>
      </c>
      <c r="K1392" s="114">
        <f>P1392/3</f>
      </c>
      <c r="L1392" s="115">
        <v>160.80000000000001</v>
      </c>
      <c r="M1392" s="116">
        <f>L1392</f>
      </c>
      <c r="N1392" s="117">
        <f>M1392-L1392</f>
      </c>
      <c r="O1392" s="112"/>
      <c r="P1392" s="118">
        <f>N1392+O1392</f>
      </c>
      <c r="Q1392" s="94" t="s">
        <v>821</v>
      </c>
      <c r="R1392" s="94" t="s">
        <v>63</v>
      </c>
      <c r="S1392" s="119">
        <v>46327</v>
      </c>
      <c r="T1392" s="119"/>
      <c r="U1392" s="119">
        <v>46327</v>
      </c>
      <c r="V1392" s="94"/>
      <c r="W1392" s="94"/>
      <c r="X1392" s="94"/>
      <c r="Y1392" s="119">
        <v>46328</v>
      </c>
      <c r="Z1392" s="94"/>
      <c r="AA1392" s="120"/>
      <c r="AB1392" s="120"/>
      <c r="AC1392" s="120"/>
      <c r="AD1392" s="120"/>
      <c r="AE1392" s="120"/>
      <c r="AF1392" s="120"/>
      <c r="AG1392" s="94"/>
      <c r="AH1392" s="120"/>
      <c r="AI1392" s="94"/>
      <c r="AJ1392" s="94" t="s">
        <v>821</v>
      </c>
      <c r="AK1392" s="94" t="s">
        <v>66</v>
      </c>
      <c r="AL1392" s="94">
        <v>140</v>
      </c>
      <c r="AM1392" s="94" t="str">
        <f>TRIM(AJ1392)&amp;TRIM(AL1392)&amp;TRIM(AK1392)</f>
      </c>
      <c r="AN1392" s="116">
        <v>2665</v>
      </c>
      <c r="AO1392" s="116">
        <v>-51.98</v>
      </c>
      <c r="AP1392" s="116">
        <f>SUMIFS(M:M,AM:AM,AM1392)+SUMIFS(O:O,AM:AM,AM1392)</f>
      </c>
      <c r="AQ1392" s="116">
        <f>SUMIFS(L:L,AM:AM,AM1392)</f>
      </c>
      <c r="AR1392" s="116">
        <f>AQ1392-AP1392</f>
      </c>
      <c r="AS1392" s="94" t="str">
        <f>IF(AN1392&gt;=AQ1392,"ok","ck")</f>
      </c>
      <c r="AT1392" s="116">
        <f>-P1392</f>
      </c>
      <c r="AU1392" s="115">
        <f>IF(SUMIFS(AT:AT,AM:AM,AM1392)&gt;AO1392,(SUMIFS(AT:AT,AM:AM,AM1392)-AO1392))</f>
      </c>
      <c r="AV1392" s="116">
        <v>2665</v>
      </c>
      <c r="AW1392" s="121">
        <v>1.02</v>
      </c>
      <c r="AX1392" s="115">
        <f>AN1392-AP1392</f>
      </c>
    </row>
    <row r="1393" spans="1:50" ht="15" hidden="1" customHeight="1" x14ac:dyDescent="0.3">
      <c r="A1393" s="94" t="s">
        <v>125</v>
      </c>
      <c r="B1393" s="94"/>
      <c r="C1393" s="94"/>
      <c r="D1393" s="94"/>
      <c r="E1393" s="94"/>
      <c r="F1393" s="94"/>
      <c r="G1393" s="112">
        <f>AU1393</f>
      </c>
      <c r="H1393" s="113"/>
      <c r="I1393" s="94" t="s">
        <v>132</v>
      </c>
      <c r="J1393" s="94" t="s">
        <v>66</v>
      </c>
      <c r="K1393" s="114">
        <f>P1393/3</f>
      </c>
      <c r="L1393" s="115">
        <v>54.944000000000003</v>
      </c>
      <c r="M1393" s="116"/>
      <c r="N1393" s="117">
        <f>M1393-L1393</f>
      </c>
      <c r="O1393" s="112"/>
      <c r="P1393" s="118">
        <f>N1393+O1393</f>
      </c>
      <c r="Q1393" s="94" t="s">
        <v>137</v>
      </c>
      <c r="R1393" s="94" t="s">
        <v>63</v>
      </c>
      <c r="S1393" s="119">
        <v>46340</v>
      </c>
      <c r="T1393" s="119"/>
      <c r="U1393" s="119">
        <v>46340</v>
      </c>
      <c r="V1393" s="94"/>
      <c r="W1393" s="94"/>
      <c r="X1393" s="94"/>
      <c r="Y1393" s="119">
        <v>46342</v>
      </c>
      <c r="Z1393" s="94"/>
      <c r="AA1393" s="120"/>
      <c r="AB1393" s="120"/>
      <c r="AC1393" s="120"/>
      <c r="AD1393" s="120"/>
      <c r="AE1393" s="120"/>
      <c r="AF1393" s="120"/>
      <c r="AG1393" s="94"/>
      <c r="AH1393" s="120"/>
      <c r="AI1393" s="94"/>
      <c r="AJ1393" s="94" t="s">
        <v>137</v>
      </c>
      <c r="AK1393" s="94" t="s">
        <v>66</v>
      </c>
      <c r="AL1393" s="94">
        <v>140</v>
      </c>
      <c r="AM1393" s="94" t="str">
        <f>TRIM(AJ1393)&amp;TRIM(AL1393)&amp;TRIM(AK1393)</f>
      </c>
      <c r="AN1393" s="116">
        <v>0</v>
      </c>
      <c r="AO1393" s="116" t="inlineStr">
        <is>
          <t>#NA</t>
        </is>
      </c>
      <c r="AP1393" s="116">
        <f>SUMIFS(M:M,AM:AM,AM1393)+SUMIFS(O:O,AM:AM,AM1393)</f>
      </c>
      <c r="AQ1393" s="116">
        <f>SUMIFS(L:L,AM:AM,AM1393)</f>
      </c>
      <c r="AR1393" s="116">
        <f>AQ1393-AP1393</f>
      </c>
      <c r="AS1393" s="94" t="str">
        <f>IF(AN1393&gt;=AQ1393,"ok","ck")</f>
      </c>
      <c r="AT1393" s="116">
        <f>-P1393</f>
      </c>
      <c r="AU1393" s="115">
        <f>IF(SUMIFS(AT:AT,AM:AM,AM1393)&gt;AO1393,(SUMIFS(AT:AT,AM:AM,AM1393)-AO1393))</f>
      </c>
      <c r="AV1393" s="116">
        <v>0</v>
      </c>
      <c r="AW1393" s="121">
        <v>0</v>
      </c>
      <c r="AX1393" s="115">
        <f>AN1393-AP1393</f>
      </c>
    </row>
    <row r="1394" spans="1:50" ht="15" hidden="1" customHeight="1" x14ac:dyDescent="0.3">
      <c r="A1394" s="94" t="s">
        <v>125</v>
      </c>
      <c r="B1394" s="94"/>
      <c r="C1394" s="94"/>
      <c r="D1394" s="94"/>
      <c r="E1394" s="94"/>
      <c r="F1394" s="94"/>
      <c r="G1394" s="112">
        <f>AU1394</f>
      </c>
      <c r="H1394" s="113"/>
      <c r="I1394" s="94" t="s">
        <v>132</v>
      </c>
      <c r="J1394" s="94" t="s">
        <v>66</v>
      </c>
      <c r="K1394" s="114">
        <f>P1394/3</f>
      </c>
      <c r="L1394" s="115">
        <v>33</v>
      </c>
      <c r="M1394" s="116"/>
      <c r="N1394" s="117">
        <f>M1394-L1394</f>
      </c>
      <c r="O1394" s="112"/>
      <c r="P1394" s="118">
        <f>N1394+O1394</f>
      </c>
      <c r="Q1394" s="94" t="s">
        <v>137</v>
      </c>
      <c r="R1394" s="94" t="s">
        <v>63</v>
      </c>
      <c r="S1394" s="119">
        <v>46340</v>
      </c>
      <c r="T1394" s="119"/>
      <c r="U1394" s="119">
        <v>46340</v>
      </c>
      <c r="V1394" s="94"/>
      <c r="W1394" s="94"/>
      <c r="X1394" s="94"/>
      <c r="Y1394" s="119">
        <v>46338</v>
      </c>
      <c r="Z1394" s="94"/>
      <c r="AA1394" s="120"/>
      <c r="AB1394" s="120"/>
      <c r="AC1394" s="120"/>
      <c r="AD1394" s="120"/>
      <c r="AE1394" s="120"/>
      <c r="AF1394" s="120"/>
      <c r="AG1394" s="94"/>
      <c r="AH1394" s="120"/>
      <c r="AI1394" s="94"/>
      <c r="AJ1394" s="94" t="s">
        <v>137</v>
      </c>
      <c r="AK1394" s="94" t="s">
        <v>66</v>
      </c>
      <c r="AL1394" s="94">
        <v>140</v>
      </c>
      <c r="AM1394" s="94" t="str">
        <f>TRIM(AJ1394)&amp;TRIM(AL1394)&amp;TRIM(AK1394)</f>
      </c>
      <c r="AN1394" s="116">
        <v>0</v>
      </c>
      <c r="AO1394" s="116" t="inlineStr">
        <is>
          <t>#NA</t>
        </is>
      </c>
      <c r="AP1394" s="116">
        <f>SUMIFS(M:M,AM:AM,AM1394)+SUMIFS(O:O,AM:AM,AM1394)</f>
      </c>
      <c r="AQ1394" s="116">
        <f>SUMIFS(L:L,AM:AM,AM1394)</f>
      </c>
      <c r="AR1394" s="116">
        <f>AQ1394-AP1394</f>
      </c>
      <c r="AS1394" s="94" t="str">
        <f>IF(AN1394&gt;=AQ1394,"ok","ck")</f>
      </c>
      <c r="AT1394" s="116">
        <f>-P1394</f>
      </c>
      <c r="AU1394" s="115">
        <f>IF(SUMIFS(AT:AT,AM:AM,AM1394)&gt;AO1394,(SUMIFS(AT:AT,AM:AM,AM1394)-AO1394))</f>
      </c>
      <c r="AV1394" s="116">
        <v>0</v>
      </c>
      <c r="AW1394" s="121">
        <v>0</v>
      </c>
      <c r="AX1394" s="115">
        <f>AN1394-AP1394</f>
      </c>
    </row>
    <row r="1395" spans="1:50" ht="15" hidden="1" customHeight="1" x14ac:dyDescent="0.3">
      <c r="A1395" s="94" t="s">
        <v>125</v>
      </c>
      <c r="B1395" s="94"/>
      <c r="C1395" s="94"/>
      <c r="D1395" s="94"/>
      <c r="E1395" s="94"/>
      <c r="F1395" s="94"/>
      <c r="G1395" s="112">
        <f>AU1395</f>
      </c>
      <c r="H1395" s="113"/>
      <c r="I1395" s="94" t="s">
        <v>132</v>
      </c>
      <c r="J1395" s="94" t="s">
        <v>66</v>
      </c>
      <c r="K1395" s="114">
        <f>P1395/3</f>
      </c>
      <c r="L1395" s="115">
        <v>44.054000000000002</v>
      </c>
      <c r="M1395" s="116"/>
      <c r="N1395" s="117">
        <f>M1395-L1395</f>
      </c>
      <c r="O1395" s="112"/>
      <c r="P1395" s="118">
        <f>N1395+O1395</f>
      </c>
      <c r="Q1395" s="94" t="s">
        <v>137</v>
      </c>
      <c r="R1395" s="94" t="s">
        <v>63</v>
      </c>
      <c r="S1395" s="119">
        <v>46340</v>
      </c>
      <c r="T1395" s="119"/>
      <c r="U1395" s="119">
        <v>46340</v>
      </c>
      <c r="V1395" s="94"/>
      <c r="W1395" s="94"/>
      <c r="X1395" s="94"/>
      <c r="Y1395" s="119">
        <v>46320</v>
      </c>
      <c r="Z1395" s="94"/>
      <c r="AA1395" s="120"/>
      <c r="AB1395" s="120"/>
      <c r="AC1395" s="120"/>
      <c r="AD1395" s="120"/>
      <c r="AE1395" s="120"/>
      <c r="AF1395" s="120"/>
      <c r="AG1395" s="94"/>
      <c r="AH1395" s="120"/>
      <c r="AI1395" s="94"/>
      <c r="AJ1395" s="94" t="s">
        <v>137</v>
      </c>
      <c r="AK1395" s="94" t="s">
        <v>66</v>
      </c>
      <c r="AL1395" s="94">
        <v>140</v>
      </c>
      <c r="AM1395" s="94" t="str">
        <f>TRIM(AJ1395)&amp;TRIM(AL1395)&amp;TRIM(AK1395)</f>
      </c>
      <c r="AN1395" s="116">
        <v>0</v>
      </c>
      <c r="AO1395" s="116" t="inlineStr">
        <is>
          <t>#NA</t>
        </is>
      </c>
      <c r="AP1395" s="116">
        <f>SUMIFS(M:M,AM:AM,AM1395)+SUMIFS(O:O,AM:AM,AM1395)</f>
      </c>
      <c r="AQ1395" s="116">
        <f>SUMIFS(L:L,AM:AM,AM1395)</f>
      </c>
      <c r="AR1395" s="116">
        <f>AQ1395-AP1395</f>
      </c>
      <c r="AS1395" s="94" t="str">
        <f>IF(AN1395&gt;=AQ1395,"ok","ck")</f>
      </c>
      <c r="AT1395" s="116">
        <f>-P1395</f>
      </c>
      <c r="AU1395" s="115">
        <f>IF(SUMIFS(AT:AT,AM:AM,AM1395)&gt;AO1395,(SUMIFS(AT:AT,AM:AM,AM1395)-AO1395))</f>
      </c>
      <c r="AV1395" s="116">
        <v>0</v>
      </c>
      <c r="AW1395" s="121">
        <v>0</v>
      </c>
      <c r="AX1395" s="115">
        <f>AN1395-AP1395</f>
      </c>
    </row>
    <row r="1396" spans="1:50" ht="15" hidden="1" customHeight="1" x14ac:dyDescent="0.3">
      <c r="A1396" s="94" t="s">
        <v>125</v>
      </c>
      <c r="B1396" s="94"/>
      <c r="C1396" s="94"/>
      <c r="D1396" s="94"/>
      <c r="E1396" s="94"/>
      <c r="F1396" s="94"/>
      <c r="G1396" s="112">
        <f>AU1396</f>
      </c>
      <c r="H1396" s="113"/>
      <c r="I1396" s="94" t="s">
        <v>132</v>
      </c>
      <c r="J1396" s="94" t="s">
        <v>66</v>
      </c>
      <c r="K1396" s="114">
        <f>P1396/3</f>
      </c>
      <c r="L1396" s="115">
        <v>44.054000000000002</v>
      </c>
      <c r="M1396" s="116"/>
      <c r="N1396" s="117">
        <f>M1396-L1396</f>
      </c>
      <c r="O1396" s="112"/>
      <c r="P1396" s="118">
        <f>N1396+O1396</f>
      </c>
      <c r="Q1396" s="94" t="s">
        <v>137</v>
      </c>
      <c r="R1396" s="94" t="s">
        <v>63</v>
      </c>
      <c r="S1396" s="119">
        <v>46340</v>
      </c>
      <c r="T1396" s="119"/>
      <c r="U1396" s="119">
        <v>46340</v>
      </c>
      <c r="V1396" s="94"/>
      <c r="W1396" s="94"/>
      <c r="X1396" s="94"/>
      <c r="Y1396" s="119">
        <v>46323</v>
      </c>
      <c r="Z1396" s="94"/>
      <c r="AA1396" s="120"/>
      <c r="AB1396" s="120"/>
      <c r="AC1396" s="120"/>
      <c r="AD1396" s="120"/>
      <c r="AE1396" s="120"/>
      <c r="AF1396" s="120"/>
      <c r="AG1396" s="94"/>
      <c r="AH1396" s="120"/>
      <c r="AI1396" s="94"/>
      <c r="AJ1396" s="94" t="s">
        <v>137</v>
      </c>
      <c r="AK1396" s="94" t="s">
        <v>66</v>
      </c>
      <c r="AL1396" s="94">
        <v>140</v>
      </c>
      <c r="AM1396" s="94" t="str">
        <f>TRIM(AJ1396)&amp;TRIM(AL1396)&amp;TRIM(AK1396)</f>
      </c>
      <c r="AN1396" s="116">
        <v>0</v>
      </c>
      <c r="AO1396" s="116" t="inlineStr">
        <is>
          <t>#NA</t>
        </is>
      </c>
      <c r="AP1396" s="116">
        <f>SUMIFS(M:M,AM:AM,AM1396)+SUMIFS(O:O,AM:AM,AM1396)</f>
      </c>
      <c r="AQ1396" s="116">
        <f>SUMIFS(L:L,AM:AM,AM1396)</f>
      </c>
      <c r="AR1396" s="116">
        <f>AQ1396-AP1396</f>
      </c>
      <c r="AS1396" s="94" t="str">
        <f>IF(AN1396&gt;=AQ1396,"ok","ck")</f>
      </c>
      <c r="AT1396" s="116">
        <f>-P1396</f>
      </c>
      <c r="AU1396" s="115">
        <f>IF(SUMIFS(AT:AT,AM:AM,AM1396)&gt;AO1396,(SUMIFS(AT:AT,AM:AM,AM1396)-AO1396))</f>
      </c>
      <c r="AV1396" s="116">
        <v>0</v>
      </c>
      <c r="AW1396" s="121">
        <v>0</v>
      </c>
      <c r="AX1396" s="115">
        <f>AN1396-AP1396</f>
      </c>
    </row>
    <row r="1397" spans="1:50" ht="15" hidden="1" customHeight="1" x14ac:dyDescent="0.3">
      <c r="A1397" s="94" t="s">
        <v>125</v>
      </c>
      <c r="B1397" s="94"/>
      <c r="C1397" s="94"/>
      <c r="D1397" s="94"/>
      <c r="E1397" s="94"/>
      <c r="F1397" s="94"/>
      <c r="G1397" s="112">
        <f>AU1397</f>
      </c>
      <c r="H1397" s="113"/>
      <c r="I1397" s="94" t="s">
        <v>132</v>
      </c>
      <c r="J1397" s="94" t="s">
        <v>66</v>
      </c>
      <c r="K1397" s="114">
        <f>P1397/3</f>
      </c>
      <c r="L1397" s="115">
        <v>0.73199999999999998</v>
      </c>
      <c r="M1397" s="116"/>
      <c r="N1397" s="117">
        <f>M1397-L1397</f>
      </c>
      <c r="O1397" s="112"/>
      <c r="P1397" s="118">
        <f>N1397+O1397</f>
      </c>
      <c r="Q1397" s="94" t="s">
        <v>147</v>
      </c>
      <c r="R1397" s="94" t="s">
        <v>63</v>
      </c>
      <c r="S1397" s="119">
        <v>46342</v>
      </c>
      <c r="T1397" s="119"/>
      <c r="U1397" s="119">
        <v>46342</v>
      </c>
      <c r="V1397" s="94"/>
      <c r="W1397" s="94"/>
      <c r="X1397" s="94"/>
      <c r="Y1397" s="119">
        <v>46320</v>
      </c>
      <c r="Z1397" s="94"/>
      <c r="AA1397" s="120"/>
      <c r="AB1397" s="120"/>
      <c r="AC1397" s="120"/>
      <c r="AD1397" s="120"/>
      <c r="AE1397" s="120"/>
      <c r="AF1397" s="120"/>
      <c r="AG1397" s="94"/>
      <c r="AH1397" s="120"/>
      <c r="AI1397" s="94"/>
      <c r="AJ1397" s="94" t="s">
        <v>147</v>
      </c>
      <c r="AK1397" s="94" t="s">
        <v>66</v>
      </c>
      <c r="AL1397" s="94">
        <v>140</v>
      </c>
      <c r="AM1397" s="94" t="str">
        <f>TRIM(AJ1397)&amp;TRIM(AL1397)&amp;TRIM(AK1397)</f>
      </c>
      <c r="AN1397" s="116">
        <v>0</v>
      </c>
      <c r="AO1397" s="116" t="inlineStr">
        <is>
          <t>#NA</t>
        </is>
      </c>
      <c r="AP1397" s="116">
        <f>SUMIFS(M:M,AM:AM,AM1397)+SUMIFS(O:O,AM:AM,AM1397)</f>
      </c>
      <c r="AQ1397" s="116">
        <f>SUMIFS(L:L,AM:AM,AM1397)</f>
      </c>
      <c r="AR1397" s="116">
        <f>AQ1397-AP1397</f>
      </c>
      <c r="AS1397" s="94" t="str">
        <f>IF(AN1397&gt;=AQ1397,"ok","ck")</f>
      </c>
      <c r="AT1397" s="116">
        <f>-P1397</f>
      </c>
      <c r="AU1397" s="115">
        <f>IF(SUMIFS(AT:AT,AM:AM,AM1397)&gt;AO1397,(SUMIFS(AT:AT,AM:AM,AM1397)-AO1397))</f>
      </c>
      <c r="AV1397" s="116">
        <v>0</v>
      </c>
      <c r="AW1397" s="121">
        <v>0</v>
      </c>
      <c r="AX1397" s="115">
        <f>AN1397-AP1397</f>
      </c>
    </row>
    <row r="1398" spans="1:50" ht="15" hidden="1" customHeight="1" x14ac:dyDescent="0.3">
      <c r="A1398" s="94" t="s">
        <v>125</v>
      </c>
      <c r="B1398" s="94"/>
      <c r="C1398" s="94"/>
      <c r="D1398" s="94"/>
      <c r="E1398" s="94"/>
      <c r="F1398" s="94"/>
      <c r="G1398" s="112">
        <f>AU1398</f>
      </c>
      <c r="H1398" s="113"/>
      <c r="I1398" s="94" t="s">
        <v>132</v>
      </c>
      <c r="J1398" s="94" t="s">
        <v>66</v>
      </c>
      <c r="K1398" s="114">
        <f>P1398/3</f>
      </c>
      <c r="L1398" s="115">
        <v>1.2</v>
      </c>
      <c r="M1398" s="116"/>
      <c r="N1398" s="117">
        <f>M1398-L1398</f>
      </c>
      <c r="O1398" s="112"/>
      <c r="P1398" s="118">
        <f>N1398+O1398</f>
      </c>
      <c r="Q1398" s="94" t="s">
        <v>147</v>
      </c>
      <c r="R1398" s="94" t="s">
        <v>63</v>
      </c>
      <c r="S1398" s="119">
        <v>46342</v>
      </c>
      <c r="T1398" s="119"/>
      <c r="U1398" s="120">
        <v>46342</v>
      </c>
      <c r="V1398" s="94"/>
      <c r="W1398" s="94"/>
      <c r="X1398" s="94"/>
      <c r="Y1398" s="119">
        <v>46320</v>
      </c>
      <c r="Z1398" s="94"/>
      <c r="AA1398" s="120"/>
      <c r="AB1398" s="120"/>
      <c r="AC1398" s="120"/>
      <c r="AD1398" s="120"/>
      <c r="AE1398" s="120"/>
      <c r="AF1398" s="120"/>
      <c r="AG1398" s="94"/>
      <c r="AH1398" s="120"/>
      <c r="AI1398" s="94"/>
      <c r="AJ1398" s="94" t="s">
        <v>147</v>
      </c>
      <c r="AK1398" s="94" t="s">
        <v>66</v>
      </c>
      <c r="AL1398" s="94">
        <v>140</v>
      </c>
      <c r="AM1398" s="94" t="str">
        <f>TRIM(AJ1398)&amp;TRIM(AL1398)&amp;TRIM(AK1398)</f>
      </c>
      <c r="AN1398" s="116">
        <v>0</v>
      </c>
      <c r="AO1398" s="116" t="inlineStr">
        <is>
          <t>#NA</t>
        </is>
      </c>
      <c r="AP1398" s="116">
        <f>SUMIFS(M:M,AM:AM,AM1398)+SUMIFS(O:O,AM:AM,AM1398)</f>
      </c>
      <c r="AQ1398" s="116">
        <f>SUMIFS(L:L,AM:AM,AM1398)</f>
      </c>
      <c r="AR1398" s="116">
        <f>AQ1398-AP1398</f>
      </c>
      <c r="AS1398" s="94" t="str">
        <f>IF(AN1398&gt;=AQ1398,"ok","ck")</f>
      </c>
      <c r="AT1398" s="116">
        <f>-P1398</f>
      </c>
      <c r="AU1398" s="115">
        <f>IF(SUMIFS(AT:AT,AM:AM,AM1398)&gt;AO1398,(SUMIFS(AT:AT,AM:AM,AM1398)-AO1398))</f>
      </c>
      <c r="AV1398" s="116">
        <v>0</v>
      </c>
      <c r="AW1398" s="121">
        <v>0</v>
      </c>
      <c r="AX1398" s="115">
        <f>AN1398-AP1398</f>
      </c>
    </row>
    <row r="1399" spans="1:50" ht="15" hidden="1" customHeight="1" x14ac:dyDescent="0.3">
      <c r="A1399" s="94" t="s">
        <v>125</v>
      </c>
      <c r="B1399" s="94"/>
      <c r="C1399" s="94"/>
      <c r="D1399" s="94"/>
      <c r="E1399" s="94"/>
      <c r="F1399" s="94"/>
      <c r="G1399" s="112">
        <f>AU1399</f>
      </c>
      <c r="H1399" s="113"/>
      <c r="I1399" s="94" t="s">
        <v>132</v>
      </c>
      <c r="J1399" s="94" t="s">
        <v>66</v>
      </c>
      <c r="K1399" s="114">
        <f>P1399/3</f>
      </c>
      <c r="L1399" s="115">
        <v>0.876</v>
      </c>
      <c r="M1399" s="116"/>
      <c r="N1399" s="117">
        <f>M1399-L1399</f>
      </c>
      <c r="O1399" s="112"/>
      <c r="P1399" s="118">
        <f>N1399+O1399</f>
      </c>
      <c r="Q1399" s="94" t="s">
        <v>147</v>
      </c>
      <c r="R1399" s="94" t="s">
        <v>63</v>
      </c>
      <c r="S1399" s="119">
        <v>46342</v>
      </c>
      <c r="T1399" s="119"/>
      <c r="U1399" s="120">
        <v>46342</v>
      </c>
      <c r="V1399" s="94"/>
      <c r="W1399" s="94"/>
      <c r="X1399" s="94"/>
      <c r="Y1399" s="119">
        <v>46320</v>
      </c>
      <c r="Z1399" s="94"/>
      <c r="AA1399" s="120"/>
      <c r="AB1399" s="120"/>
      <c r="AC1399" s="120"/>
      <c r="AD1399" s="120"/>
      <c r="AE1399" s="120"/>
      <c r="AF1399" s="120"/>
      <c r="AG1399" s="94"/>
      <c r="AH1399" s="120"/>
      <c r="AI1399" s="94"/>
      <c r="AJ1399" s="94" t="s">
        <v>147</v>
      </c>
      <c r="AK1399" s="94" t="s">
        <v>66</v>
      </c>
      <c r="AL1399" s="94">
        <v>140</v>
      </c>
      <c r="AM1399" s="94" t="str">
        <f>TRIM(AJ1399)&amp;TRIM(AL1399)&amp;TRIM(AK1399)</f>
      </c>
      <c r="AN1399" s="116">
        <v>0</v>
      </c>
      <c r="AO1399" s="116" t="inlineStr">
        <is>
          <t>#NA</t>
        </is>
      </c>
      <c r="AP1399" s="116">
        <f>SUMIFS(M:M,AM:AM,AM1399)+SUMIFS(O:O,AM:AM,AM1399)</f>
      </c>
      <c r="AQ1399" s="116">
        <f>SUMIFS(L:L,AM:AM,AM1399)</f>
      </c>
      <c r="AR1399" s="116">
        <f>AQ1399-AP1399</f>
      </c>
      <c r="AS1399" s="94" t="str">
        <f>IF(AN1399&gt;=AQ1399,"ok","ck")</f>
      </c>
      <c r="AT1399" s="116">
        <f>-P1399</f>
      </c>
      <c r="AU1399" s="115">
        <f>IF(SUMIFS(AT:AT,AM:AM,AM1399)&gt;AO1399,(SUMIFS(AT:AT,AM:AM,AM1399)-AO1399))</f>
      </c>
      <c r="AV1399" s="116">
        <v>0</v>
      </c>
      <c r="AW1399" s="121">
        <v>0</v>
      </c>
      <c r="AX1399" s="115">
        <f>AN1399-AP1399</f>
      </c>
    </row>
    <row r="1400" spans="1:50" ht="15" hidden="1" customHeight="1" x14ac:dyDescent="0.3">
      <c r="A1400" s="94" t="s">
        <v>125</v>
      </c>
      <c r="B1400" s="94"/>
      <c r="C1400" s="94"/>
      <c r="D1400" s="94"/>
      <c r="E1400" s="94"/>
      <c r="F1400" s="94"/>
      <c r="G1400" s="112">
        <f>AU1400</f>
      </c>
      <c r="H1400" s="113"/>
      <c r="I1400" s="94" t="s">
        <v>132</v>
      </c>
      <c r="J1400" s="94" t="s">
        <v>66</v>
      </c>
      <c r="K1400" s="114">
        <f>P1400/3</f>
      </c>
      <c r="L1400" s="115">
        <v>6.12</v>
      </c>
      <c r="M1400" s="116"/>
      <c r="N1400" s="117">
        <f>M1400-L1400</f>
      </c>
      <c r="O1400" s="112"/>
      <c r="P1400" s="118">
        <f>N1400+O1400</f>
      </c>
      <c r="Q1400" s="94" t="s">
        <v>147</v>
      </c>
      <c r="R1400" s="94" t="s">
        <v>63</v>
      </c>
      <c r="S1400" s="119">
        <v>46342</v>
      </c>
      <c r="T1400" s="119"/>
      <c r="U1400" s="120">
        <v>46342</v>
      </c>
      <c r="V1400" s="94"/>
      <c r="W1400" s="94"/>
      <c r="X1400" s="94"/>
      <c r="Y1400" s="119">
        <v>46322</v>
      </c>
      <c r="Z1400" s="94"/>
      <c r="AA1400" s="120"/>
      <c r="AB1400" s="120"/>
      <c r="AC1400" s="120"/>
      <c r="AD1400" s="120"/>
      <c r="AE1400" s="120"/>
      <c r="AF1400" s="120"/>
      <c r="AG1400" s="94"/>
      <c r="AH1400" s="120"/>
      <c r="AI1400" s="94"/>
      <c r="AJ1400" s="94" t="s">
        <v>147</v>
      </c>
      <c r="AK1400" s="94" t="s">
        <v>66</v>
      </c>
      <c r="AL1400" s="94">
        <v>140</v>
      </c>
      <c r="AM1400" s="94" t="str">
        <f>TRIM(AJ1400)&amp;TRIM(AL1400)&amp;TRIM(AK1400)</f>
      </c>
      <c r="AN1400" s="116">
        <v>0</v>
      </c>
      <c r="AO1400" s="116" t="inlineStr">
        <is>
          <t>#NA</t>
        </is>
      </c>
      <c r="AP1400" s="116">
        <f>SUMIFS(M:M,AM:AM,AM1400)+SUMIFS(O:O,AM:AM,AM1400)</f>
      </c>
      <c r="AQ1400" s="116">
        <f>SUMIFS(L:L,AM:AM,AM1400)</f>
      </c>
      <c r="AR1400" s="116">
        <f>AQ1400-AP1400</f>
      </c>
      <c r="AS1400" s="94" t="str">
        <f>IF(AN1400&gt;=AQ1400,"ok","ck")</f>
      </c>
      <c r="AT1400" s="116">
        <f>-P1400</f>
      </c>
      <c r="AU1400" s="115">
        <f>IF(SUMIFS(AT:AT,AM:AM,AM1400)&gt;AO1400,(SUMIFS(AT:AT,AM:AM,AM1400)-AO1400))</f>
      </c>
      <c r="AV1400" s="116">
        <v>0</v>
      </c>
      <c r="AW1400" s="121">
        <v>0</v>
      </c>
      <c r="AX1400" s="115">
        <f>AN1400-AP1400</f>
      </c>
    </row>
    <row r="1401" spans="1:50" ht="15" hidden="1" customHeight="1" x14ac:dyDescent="0.3">
      <c r="A1401" s="94" t="s">
        <v>125</v>
      </c>
      <c r="B1401" s="94"/>
      <c r="C1401" s="94"/>
      <c r="D1401" s="94"/>
      <c r="E1401" s="94"/>
      <c r="F1401" s="94"/>
      <c r="G1401" s="112">
        <f>AU1401</f>
      </c>
      <c r="H1401" s="113"/>
      <c r="I1401" s="94" t="s">
        <v>132</v>
      </c>
      <c r="J1401" s="94" t="s">
        <v>66</v>
      </c>
      <c r="K1401" s="114">
        <f>P1401/3</f>
      </c>
      <c r="L1401" s="115">
        <v>0</v>
      </c>
      <c r="M1401" s="116">
        <f>L1401</f>
      </c>
      <c r="N1401" s="117">
        <f>M1401-L1401</f>
      </c>
      <c r="O1401" s="112"/>
      <c r="P1401" s="118">
        <f>N1401+O1401</f>
      </c>
      <c r="Q1401" s="94" t="s">
        <v>822</v>
      </c>
      <c r="R1401" s="94" t="s">
        <v>63</v>
      </c>
      <c r="S1401" s="119">
        <v>46334</v>
      </c>
      <c r="T1401" s="119"/>
      <c r="U1401" s="120">
        <v>46334</v>
      </c>
      <c r="V1401" s="94"/>
      <c r="W1401" s="94"/>
      <c r="X1401" s="94"/>
      <c r="Y1401" s="119">
        <v>46334</v>
      </c>
      <c r="Z1401" s="94"/>
      <c r="AA1401" s="120"/>
      <c r="AB1401" s="120"/>
      <c r="AC1401" s="120"/>
      <c r="AD1401" s="120"/>
      <c r="AE1401" s="120"/>
      <c r="AF1401" s="120"/>
      <c r="AG1401" s="94"/>
      <c r="AH1401" s="120"/>
      <c r="AI1401" s="94"/>
      <c r="AJ1401" s="94" t="s">
        <v>822</v>
      </c>
      <c r="AK1401" s="94" t="s">
        <v>66</v>
      </c>
      <c r="AL1401" s="94">
        <v>140</v>
      </c>
      <c r="AM1401" s="94" t="str">
        <f>TRIM(AJ1401)&amp;TRIM(AL1401)&amp;TRIM(AK1401)</f>
      </c>
      <c r="AN1401" s="116">
        <v>2984</v>
      </c>
      <c r="AO1401" s="116">
        <v>-58.01</v>
      </c>
      <c r="AP1401" s="116">
        <f>SUMIFS(M:M,AM:AM,AM1401)+SUMIFS(O:O,AM:AM,AM1401)</f>
      </c>
      <c r="AQ1401" s="116">
        <f>SUMIFS(L:L,AM:AM,AM1401)</f>
      </c>
      <c r="AR1401" s="116">
        <f>AQ1401-AP1401</f>
      </c>
      <c r="AS1401" s="94" t="str">
        <f>IF(AN1401&gt;=AQ1401,"ok","ck")</f>
      </c>
      <c r="AT1401" s="116">
        <f>-P1401</f>
      </c>
      <c r="AU1401" s="115">
        <f>IF(SUMIFS(AT:AT,AM:AM,AM1401)&gt;AO1401,(SUMIFS(AT:AT,AM:AM,AM1401)-AO1401))</f>
      </c>
      <c r="AV1401" s="116">
        <v>2984</v>
      </c>
      <c r="AW1401" s="121">
        <v>1.02</v>
      </c>
      <c r="AX1401" s="115">
        <f>AN1401-AP1401</f>
      </c>
    </row>
    <row r="1402" spans="1:50" ht="15" hidden="1" customHeight="1" x14ac:dyDescent="0.3">
      <c r="A1402" s="94" t="s">
        <v>125</v>
      </c>
      <c r="B1402" s="94"/>
      <c r="C1402" s="94"/>
      <c r="D1402" s="94"/>
      <c r="E1402" s="94"/>
      <c r="F1402" s="94"/>
      <c r="G1402" s="112">
        <f>AU1402</f>
      </c>
      <c r="H1402" s="113"/>
      <c r="I1402" s="94" t="s">
        <v>132</v>
      </c>
      <c r="J1402" s="94" t="s">
        <v>66</v>
      </c>
      <c r="K1402" s="114">
        <f>P1402/3</f>
      </c>
      <c r="L1402" s="115">
        <v>-0.58399999999999996</v>
      </c>
      <c r="M1402" s="116">
        <f>L1402</f>
      </c>
      <c r="N1402" s="117">
        <f>M1402-L1402</f>
      </c>
      <c r="O1402" s="112"/>
      <c r="P1402" s="118">
        <f>N1402+O1402</f>
      </c>
      <c r="Q1402" s="94" t="s">
        <v>822</v>
      </c>
      <c r="R1402" s="94" t="s">
        <v>63</v>
      </c>
      <c r="S1402" s="119">
        <v>46335</v>
      </c>
      <c r="T1402" s="119"/>
      <c r="U1402" s="120">
        <v>46335</v>
      </c>
      <c r="V1402" s="94"/>
      <c r="W1402" s="94"/>
      <c r="X1402" s="94"/>
      <c r="Y1402" s="119">
        <v>46335</v>
      </c>
      <c r="Z1402" s="94"/>
      <c r="AA1402" s="120"/>
      <c r="AB1402" s="120"/>
      <c r="AC1402" s="120"/>
      <c r="AD1402" s="120"/>
      <c r="AE1402" s="120"/>
      <c r="AF1402" s="120"/>
      <c r="AG1402" s="94"/>
      <c r="AH1402" s="120"/>
      <c r="AI1402" s="94"/>
      <c r="AJ1402" s="94" t="s">
        <v>822</v>
      </c>
      <c r="AK1402" s="94" t="s">
        <v>66</v>
      </c>
      <c r="AL1402" s="94">
        <v>140</v>
      </c>
      <c r="AM1402" s="94" t="str">
        <f>TRIM(AJ1402)&amp;TRIM(AL1402)&amp;TRIM(AK1402)</f>
      </c>
      <c r="AN1402" s="116">
        <v>2984</v>
      </c>
      <c r="AO1402" s="116">
        <v>-58.01</v>
      </c>
      <c r="AP1402" s="116">
        <f>SUMIFS(M:M,AM:AM,AM1402)+SUMIFS(O:O,AM:AM,AM1402)</f>
      </c>
      <c r="AQ1402" s="116">
        <f>SUMIFS(L:L,AM:AM,AM1402)</f>
      </c>
      <c r="AR1402" s="116">
        <f>AQ1402-AP1402</f>
      </c>
      <c r="AS1402" s="94" t="str">
        <f>IF(AN1402&gt;=AQ1402,"ok","ck")</f>
      </c>
      <c r="AT1402" s="116">
        <f>-P1402</f>
      </c>
      <c r="AU1402" s="115">
        <f>IF(SUMIFS(AT:AT,AM:AM,AM1402)&gt;AO1402,(SUMIFS(AT:AT,AM:AM,AM1402)-AO1402))</f>
      </c>
      <c r="AV1402" s="116">
        <v>2984</v>
      </c>
      <c r="AW1402" s="121">
        <v>1.02</v>
      </c>
      <c r="AX1402" s="115">
        <f>AN1402-AP1402</f>
      </c>
    </row>
    <row r="1403" spans="1:50" ht="15" hidden="1" customHeight="1" x14ac:dyDescent="0.3">
      <c r="A1403" s="94" t="s">
        <v>125</v>
      </c>
      <c r="B1403" s="94"/>
      <c r="C1403" s="94"/>
      <c r="D1403" s="94"/>
      <c r="E1403" s="94"/>
      <c r="F1403" s="94"/>
      <c r="G1403" s="112">
        <f>AU1403</f>
      </c>
      <c r="H1403" s="113"/>
      <c r="I1403" s="94" t="s">
        <v>132</v>
      </c>
      <c r="J1403" s="94" t="s">
        <v>66</v>
      </c>
      <c r="K1403" s="114">
        <f>P1403/3</f>
      </c>
      <c r="L1403" s="115">
        <v>-0.71299999999999997</v>
      </c>
      <c r="M1403" s="116">
        <f>L1403</f>
      </c>
      <c r="N1403" s="117">
        <f>M1403-L1403</f>
      </c>
      <c r="O1403" s="112"/>
      <c r="P1403" s="118">
        <f>N1403+O1403</f>
      </c>
      <c r="Q1403" s="94" t="s">
        <v>822</v>
      </c>
      <c r="R1403" s="94" t="s">
        <v>63</v>
      </c>
      <c r="S1403" s="119">
        <v>46336</v>
      </c>
      <c r="T1403" s="119"/>
      <c r="U1403" s="120">
        <v>46336</v>
      </c>
      <c r="V1403" s="94"/>
      <c r="W1403" s="94"/>
      <c r="X1403" s="94"/>
      <c r="Y1403" s="119">
        <v>46336</v>
      </c>
      <c r="Z1403" s="94"/>
      <c r="AA1403" s="120"/>
      <c r="AB1403" s="120"/>
      <c r="AC1403" s="120"/>
      <c r="AD1403" s="120"/>
      <c r="AE1403" s="120"/>
      <c r="AF1403" s="120"/>
      <c r="AG1403" s="94"/>
      <c r="AH1403" s="120"/>
      <c r="AI1403" s="94"/>
      <c r="AJ1403" s="94" t="s">
        <v>822</v>
      </c>
      <c r="AK1403" s="94" t="s">
        <v>66</v>
      </c>
      <c r="AL1403" s="94">
        <v>140</v>
      </c>
      <c r="AM1403" s="94" t="str">
        <f>TRIM(AJ1403)&amp;TRIM(AL1403)&amp;TRIM(AK1403)</f>
      </c>
      <c r="AN1403" s="116">
        <v>2984</v>
      </c>
      <c r="AO1403" s="116">
        <v>-58.01</v>
      </c>
      <c r="AP1403" s="116">
        <f>SUMIFS(M:M,AM:AM,AM1403)+SUMIFS(O:O,AM:AM,AM1403)</f>
      </c>
      <c r="AQ1403" s="116">
        <f>SUMIFS(L:L,AM:AM,AM1403)</f>
      </c>
      <c r="AR1403" s="116">
        <f>AQ1403-AP1403</f>
      </c>
      <c r="AS1403" s="94" t="str">
        <f>IF(AN1403&gt;=AQ1403,"ok","ck")</f>
      </c>
      <c r="AT1403" s="116">
        <f>-P1403</f>
      </c>
      <c r="AU1403" s="115">
        <f>IF(SUMIFS(AT:AT,AM:AM,AM1403)&gt;AO1403,(SUMIFS(AT:AT,AM:AM,AM1403)-AO1403))</f>
      </c>
      <c r="AV1403" s="116">
        <v>2984</v>
      </c>
      <c r="AW1403" s="121">
        <v>1.02</v>
      </c>
      <c r="AX1403" s="115">
        <f>AN1403-AP1403</f>
      </c>
    </row>
    <row r="1404" spans="1:50" ht="15" hidden="1" customHeight="1" x14ac:dyDescent="0.3">
      <c r="A1404" s="94" t="s">
        <v>125</v>
      </c>
      <c r="B1404" s="94"/>
      <c r="C1404" s="94"/>
      <c r="D1404" s="94"/>
      <c r="E1404" s="94"/>
      <c r="F1404" s="94"/>
      <c r="G1404" s="112">
        <f>AU1404</f>
      </c>
      <c r="H1404" s="113"/>
      <c r="I1404" s="94" t="s">
        <v>133</v>
      </c>
      <c r="J1404" s="94" t="s">
        <v>66</v>
      </c>
      <c r="K1404" s="114">
        <f>P1404/3</f>
      </c>
      <c r="L1404" s="115">
        <v>7.32</v>
      </c>
      <c r="M1404" s="116"/>
      <c r="N1404" s="117">
        <f>M1404-L1404</f>
      </c>
      <c r="O1404" s="112"/>
      <c r="P1404" s="118">
        <f>N1404+O1404</f>
      </c>
      <c r="Q1404" s="94" t="s">
        <v>147</v>
      </c>
      <c r="R1404" s="94" t="s">
        <v>63</v>
      </c>
      <c r="S1404" s="119">
        <v>46342</v>
      </c>
      <c r="T1404" s="119"/>
      <c r="U1404" s="120">
        <v>46342</v>
      </c>
      <c r="V1404" s="94"/>
      <c r="W1404" s="94"/>
      <c r="X1404" s="94"/>
      <c r="Y1404" s="119">
        <v>46320</v>
      </c>
      <c r="Z1404" s="94"/>
      <c r="AA1404" s="120"/>
      <c r="AB1404" s="120"/>
      <c r="AC1404" s="120"/>
      <c r="AD1404" s="120"/>
      <c r="AE1404" s="120"/>
      <c r="AF1404" s="120"/>
      <c r="AG1404" s="94"/>
      <c r="AH1404" s="120"/>
      <c r="AI1404" s="94"/>
      <c r="AJ1404" s="94" t="s">
        <v>147</v>
      </c>
      <c r="AK1404" s="94" t="s">
        <v>66</v>
      </c>
      <c r="AL1404" s="94">
        <v>160</v>
      </c>
      <c r="AM1404" s="94" t="str">
        <f>TRIM(AJ1404)&amp;TRIM(AL1404)&amp;TRIM(AK1404)</f>
      </c>
      <c r="AN1404" s="116">
        <v>0</v>
      </c>
      <c r="AO1404" s="116" t="inlineStr">
        <is>
          <t>#NA</t>
        </is>
      </c>
      <c r="AP1404" s="116">
        <f>SUMIFS(M:M,AM:AM,AM1404)+SUMIFS(O:O,AM:AM,AM1404)</f>
      </c>
      <c r="AQ1404" s="116">
        <f>SUMIFS(L:L,AM:AM,AM1404)</f>
      </c>
      <c r="AR1404" s="116">
        <f>AQ1404-AP1404</f>
      </c>
      <c r="AS1404" s="94" t="str">
        <f>IF(AN1404&gt;=AQ1404,"ok","ck")</f>
      </c>
      <c r="AT1404" s="116">
        <f>-P1404</f>
      </c>
      <c r="AU1404" s="115">
        <f>IF(SUMIFS(AT:AT,AM:AM,AM1404)&gt;AO1404,(SUMIFS(AT:AT,AM:AM,AM1404)-AO1404))</f>
      </c>
      <c r="AV1404" s="116">
        <v>0</v>
      </c>
      <c r="AW1404" s="121">
        <v>0</v>
      </c>
      <c r="AX1404" s="115">
        <f>AN1404-AP1404</f>
      </c>
    </row>
    <row r="1405" spans="1:50" ht="15" hidden="1" customHeight="1" x14ac:dyDescent="0.3">
      <c r="A1405" s="94" t="s">
        <v>125</v>
      </c>
      <c r="B1405" s="94"/>
      <c r="C1405" s="94"/>
      <c r="D1405" s="94"/>
      <c r="E1405" s="94"/>
      <c r="F1405" s="94"/>
      <c r="G1405" s="112">
        <f>AU1405</f>
      </c>
      <c r="H1405" s="113"/>
      <c r="I1405" s="94" t="s">
        <v>133</v>
      </c>
      <c r="J1405" s="94" t="s">
        <v>66</v>
      </c>
      <c r="K1405" s="114">
        <f>P1405/3</f>
      </c>
      <c r="L1405" s="115">
        <v>12</v>
      </c>
      <c r="M1405" s="116"/>
      <c r="N1405" s="117">
        <f>M1405-L1405</f>
      </c>
      <c r="O1405" s="112"/>
      <c r="P1405" s="118">
        <f>N1405+O1405</f>
      </c>
      <c r="Q1405" s="94" t="s">
        <v>147</v>
      </c>
      <c r="R1405" s="94" t="s">
        <v>63</v>
      </c>
      <c r="S1405" s="119">
        <v>46342</v>
      </c>
      <c r="T1405" s="119"/>
      <c r="U1405" s="119">
        <v>46342</v>
      </c>
      <c r="V1405" s="94"/>
      <c r="W1405" s="94"/>
      <c r="X1405" s="94"/>
      <c r="Y1405" s="119">
        <v>46320</v>
      </c>
      <c r="Z1405" s="94"/>
      <c r="AA1405" s="120"/>
      <c r="AB1405" s="120"/>
      <c r="AC1405" s="120"/>
      <c r="AD1405" s="120"/>
      <c r="AE1405" s="120"/>
      <c r="AF1405" s="120"/>
      <c r="AG1405" s="94"/>
      <c r="AH1405" s="120"/>
      <c r="AI1405" s="94"/>
      <c r="AJ1405" s="94" t="s">
        <v>147</v>
      </c>
      <c r="AK1405" s="94" t="s">
        <v>66</v>
      </c>
      <c r="AL1405" s="94">
        <v>160</v>
      </c>
      <c r="AM1405" s="94" t="str">
        <f>TRIM(AJ1405)&amp;TRIM(AL1405)&amp;TRIM(AK1405)</f>
      </c>
      <c r="AN1405" s="116">
        <v>0</v>
      </c>
      <c r="AO1405" s="116" t="inlineStr">
        <is>
          <t>#NA</t>
        </is>
      </c>
      <c r="AP1405" s="116">
        <f>SUMIFS(M:M,AM:AM,AM1405)+SUMIFS(O:O,AM:AM,AM1405)</f>
      </c>
      <c r="AQ1405" s="116">
        <f>SUMIFS(L:L,AM:AM,AM1405)</f>
      </c>
      <c r="AR1405" s="116">
        <f>AQ1405-AP1405</f>
      </c>
      <c r="AS1405" s="94" t="str">
        <f>IF(AN1405&gt;=AQ1405,"ok","ck")</f>
      </c>
      <c r="AT1405" s="116">
        <f>-P1405</f>
      </c>
      <c r="AU1405" s="115">
        <f>IF(SUMIFS(AT:AT,AM:AM,AM1405)&gt;AO1405,(SUMIFS(AT:AT,AM:AM,AM1405)-AO1405))</f>
      </c>
      <c r="AV1405" s="116">
        <v>0</v>
      </c>
      <c r="AW1405" s="121">
        <v>0</v>
      </c>
      <c r="AX1405" s="115">
        <f>AN1405-AP1405</f>
      </c>
    </row>
    <row r="1406" spans="1:50" ht="15" hidden="1" customHeight="1" x14ac:dyDescent="0.3">
      <c r="A1406" s="94" t="s">
        <v>125</v>
      </c>
      <c r="B1406" s="94"/>
      <c r="C1406" s="94"/>
      <c r="D1406" s="94"/>
      <c r="E1406" s="94"/>
      <c r="F1406" s="94"/>
      <c r="G1406" s="112">
        <f>AU1406</f>
      </c>
      <c r="H1406" s="113"/>
      <c r="I1406" s="94" t="s">
        <v>133</v>
      </c>
      <c r="J1406" s="94" t="s">
        <v>66</v>
      </c>
      <c r="K1406" s="114">
        <f>P1406/3</f>
      </c>
      <c r="L1406" s="115">
        <v>8.76</v>
      </c>
      <c r="M1406" s="116"/>
      <c r="N1406" s="117">
        <f>M1406-L1406</f>
      </c>
      <c r="O1406" s="112"/>
      <c r="P1406" s="118">
        <f>N1406+O1406</f>
      </c>
      <c r="Q1406" s="94" t="s">
        <v>147</v>
      </c>
      <c r="R1406" s="94" t="s">
        <v>63</v>
      </c>
      <c r="S1406" s="119">
        <v>46342</v>
      </c>
      <c r="T1406" s="119"/>
      <c r="U1406" s="119">
        <v>46342</v>
      </c>
      <c r="V1406" s="94"/>
      <c r="W1406" s="94"/>
      <c r="X1406" s="94"/>
      <c r="Y1406" s="119">
        <v>46320</v>
      </c>
      <c r="Z1406" s="94"/>
      <c r="AA1406" s="120"/>
      <c r="AB1406" s="120"/>
      <c r="AC1406" s="120"/>
      <c r="AD1406" s="120"/>
      <c r="AE1406" s="120"/>
      <c r="AF1406" s="120"/>
      <c r="AG1406" s="94"/>
      <c r="AH1406" s="120"/>
      <c r="AI1406" s="94"/>
      <c r="AJ1406" s="94" t="s">
        <v>147</v>
      </c>
      <c r="AK1406" s="94" t="s">
        <v>66</v>
      </c>
      <c r="AL1406" s="94">
        <v>160</v>
      </c>
      <c r="AM1406" s="94" t="str">
        <f>TRIM(AJ1406)&amp;TRIM(AL1406)&amp;TRIM(AK1406)</f>
      </c>
      <c r="AN1406" s="116">
        <v>0</v>
      </c>
      <c r="AO1406" s="116" t="inlineStr">
        <is>
          <t>#NA</t>
        </is>
      </c>
      <c r="AP1406" s="116">
        <f>SUMIFS(M:M,AM:AM,AM1406)+SUMIFS(O:O,AM:AM,AM1406)</f>
      </c>
      <c r="AQ1406" s="116">
        <f>SUMIFS(L:L,AM:AM,AM1406)</f>
      </c>
      <c r="AR1406" s="116">
        <f>AQ1406-AP1406</f>
      </c>
      <c r="AS1406" s="94" t="str">
        <f>IF(AN1406&gt;=AQ1406,"ok","ck")</f>
      </c>
      <c r="AT1406" s="116">
        <f>-P1406</f>
      </c>
      <c r="AU1406" s="115">
        <f>IF(SUMIFS(AT:AT,AM:AM,AM1406)&gt;AO1406,(SUMIFS(AT:AT,AM:AM,AM1406)-AO1406))</f>
      </c>
      <c r="AV1406" s="116">
        <v>0</v>
      </c>
      <c r="AW1406" s="121">
        <v>0</v>
      </c>
      <c r="AX1406" s="115">
        <f>AN1406-AP1406</f>
      </c>
    </row>
    <row r="1407" spans="1:50" ht="15" hidden="1" customHeight="1" x14ac:dyDescent="0.3">
      <c r="A1407" s="94" t="s">
        <v>125</v>
      </c>
      <c r="B1407" s="94"/>
      <c r="C1407" s="94"/>
      <c r="D1407" s="94"/>
      <c r="E1407" s="94"/>
      <c r="F1407" s="94"/>
      <c r="G1407" s="112">
        <f>AU1407</f>
      </c>
      <c r="H1407" s="113"/>
      <c r="I1407" s="94" t="s">
        <v>132</v>
      </c>
      <c r="J1407" s="94" t="s">
        <v>66</v>
      </c>
      <c r="K1407" s="114">
        <f>P1407/3</f>
      </c>
      <c r="L1407" s="115">
        <v>17.641999999999999</v>
      </c>
      <c r="M1407" s="116">
        <f>L1407</f>
      </c>
      <c r="N1407" s="117">
        <f>M1407-L1407</f>
      </c>
      <c r="O1407" s="112"/>
      <c r="P1407" s="118">
        <f>N1407+O1407</f>
      </c>
      <c r="Q1407" s="94" t="s">
        <v>139</v>
      </c>
      <c r="R1407" s="94" t="s">
        <v>63</v>
      </c>
      <c r="S1407" s="119">
        <v>46327</v>
      </c>
      <c r="T1407" s="119"/>
      <c r="U1407" s="119">
        <v>46327</v>
      </c>
      <c r="V1407" s="94"/>
      <c r="W1407" s="94"/>
      <c r="X1407" s="94"/>
      <c r="Y1407" s="119">
        <v>46322</v>
      </c>
      <c r="Z1407" s="94"/>
      <c r="AA1407" s="120"/>
      <c r="AB1407" s="120"/>
      <c r="AC1407" s="120"/>
      <c r="AD1407" s="120"/>
      <c r="AE1407" s="120"/>
      <c r="AF1407" s="120"/>
      <c r="AG1407" s="94"/>
      <c r="AH1407" s="120"/>
      <c r="AI1407" s="94"/>
      <c r="AJ1407" s="94" t="s">
        <v>139</v>
      </c>
      <c r="AK1407" s="94" t="s">
        <v>66</v>
      </c>
      <c r="AL1407" s="94">
        <v>140</v>
      </c>
      <c r="AM1407" s="94" t="str">
        <f>TRIM(AJ1407)&amp;TRIM(AL1407)&amp;TRIM(AK1407)</f>
      </c>
      <c r="AN1407" s="116">
        <v>1244.86</v>
      </c>
      <c r="AO1407" s="116">
        <v>8.78</v>
      </c>
      <c r="AP1407" s="116">
        <f>SUMIFS(M:M,AM:AM,AM1407)+SUMIFS(O:O,AM:AM,AM1407)</f>
      </c>
      <c r="AQ1407" s="116">
        <f>SUMIFS(L:L,AM:AM,AM1407)</f>
      </c>
      <c r="AR1407" s="116">
        <f>AQ1407-AP1407</f>
      </c>
      <c r="AS1407" s="94" t="str">
        <f>IF(AN1407&gt;=AQ1407,"ok","ck")</f>
      </c>
      <c r="AT1407" s="116">
        <f>-P1407</f>
      </c>
      <c r="AU1407" s="115">
        <f>IF(SUMIFS(AT:AT,AM:AM,AM1407)&gt;AO1407,(SUMIFS(AT:AT,AM:AM,AM1407)-AO1407))</f>
      </c>
      <c r="AV1407" s="116">
        <v>1244.86</v>
      </c>
      <c r="AW1407" s="121">
        <v>0.993</v>
      </c>
      <c r="AX1407" s="115">
        <f>AN1407-AP1407</f>
      </c>
    </row>
    <row r="1408" spans="1:50" ht="15" hidden="1" customHeight="1" x14ac:dyDescent="0.3">
      <c r="A1408" s="94" t="s">
        <v>125</v>
      </c>
      <c r="B1408" s="94"/>
      <c r="C1408" s="94"/>
      <c r="D1408" s="94"/>
      <c r="E1408" s="94"/>
      <c r="F1408" s="94"/>
      <c r="G1408" s="112">
        <f>AU1408</f>
      </c>
      <c r="H1408" s="113"/>
      <c r="I1408" s="94" t="s">
        <v>133</v>
      </c>
      <c r="J1408" s="94" t="s">
        <v>66</v>
      </c>
      <c r="K1408" s="114">
        <f>P1408/3</f>
      </c>
      <c r="L1408" s="115">
        <v>724.68</v>
      </c>
      <c r="M1408" s="116">
        <f>L1408</f>
      </c>
      <c r="N1408" s="117">
        <f>M1408-L1408</f>
      </c>
      <c r="O1408" s="112"/>
      <c r="P1408" s="118">
        <f>N1408+O1408</f>
      </c>
      <c r="Q1408" s="94" t="s">
        <v>139</v>
      </c>
      <c r="R1408" s="94" t="s">
        <v>63</v>
      </c>
      <c r="S1408" s="119">
        <v>46327</v>
      </c>
      <c r="T1408" s="119"/>
      <c r="U1408" s="119">
        <v>46327</v>
      </c>
      <c r="V1408" s="94"/>
      <c r="W1408" s="94"/>
      <c r="X1408" s="94"/>
      <c r="Y1408" s="119">
        <v>46320</v>
      </c>
      <c r="Z1408" s="94"/>
      <c r="AA1408" s="120"/>
      <c r="AB1408" s="120"/>
      <c r="AC1408" s="120"/>
      <c r="AD1408" s="120"/>
      <c r="AE1408" s="120"/>
      <c r="AF1408" s="120"/>
      <c r="AG1408" s="94"/>
      <c r="AH1408" s="120"/>
      <c r="AI1408" s="94"/>
      <c r="AJ1408" s="94" t="s">
        <v>139</v>
      </c>
      <c r="AK1408" s="94" t="s">
        <v>66</v>
      </c>
      <c r="AL1408" s="94">
        <v>160</v>
      </c>
      <c r="AM1408" s="94" t="str">
        <f>TRIM(AJ1408)&amp;TRIM(AL1408)&amp;TRIM(AK1408)</f>
      </c>
      <c r="AN1408" s="116">
        <v>12929.46</v>
      </c>
      <c r="AO1408" s="116">
        <v>-265.38</v>
      </c>
      <c r="AP1408" s="116">
        <f>SUMIFS(M:M,AM:AM,AM1408)+SUMIFS(O:O,AM:AM,AM1408)</f>
      </c>
      <c r="AQ1408" s="116">
        <f>SUMIFS(L:L,AM:AM,AM1408)</f>
      </c>
      <c r="AR1408" s="116">
        <f>AQ1408-AP1408</f>
      </c>
      <c r="AS1408" s="94" t="str">
        <f>IF(AN1408&gt;=AQ1408,"ok","ck")</f>
      </c>
      <c r="AT1408" s="116">
        <f>-P1408</f>
      </c>
      <c r="AU1408" s="115">
        <f>IF(SUMIFS(AT:AT,AM:AM,AM1408)&gt;AO1408,(SUMIFS(AT:AT,AM:AM,AM1408)-AO1408))</f>
      </c>
      <c r="AV1408" s="116">
        <v>12929.46</v>
      </c>
      <c r="AW1408" s="121">
        <v>1.021</v>
      </c>
      <c r="AX1408" s="115">
        <f>AN1408-AP1408</f>
      </c>
    </row>
    <row r="1409" spans="1:50" ht="15" hidden="1" customHeight="1" x14ac:dyDescent="0.3">
      <c r="A1409" s="94" t="s">
        <v>125</v>
      </c>
      <c r="B1409" s="94"/>
      <c r="C1409" s="94"/>
      <c r="D1409" s="94"/>
      <c r="E1409" s="94"/>
      <c r="F1409" s="94"/>
      <c r="G1409" s="112">
        <f>AU1409</f>
      </c>
      <c r="H1409" s="113"/>
      <c r="I1409" s="94" t="s">
        <v>489</v>
      </c>
      <c r="J1409" s="94" t="s">
        <v>66</v>
      </c>
      <c r="K1409" s="114">
        <f>P1409/3</f>
      </c>
      <c r="L1409" s="115">
        <v>700</v>
      </c>
      <c r="M1409" s="116"/>
      <c r="N1409" s="117">
        <f>M1409-L1409</f>
      </c>
      <c r="O1409" s="112"/>
      <c r="P1409" s="118">
        <f>N1409+O1409</f>
      </c>
      <c r="Q1409" s="94" t="s">
        <v>823</v>
      </c>
      <c r="R1409" s="94" t="s">
        <v>63</v>
      </c>
      <c r="S1409" s="119">
        <v>46337</v>
      </c>
      <c r="T1409" s="119"/>
      <c r="U1409" s="119" t="s">
        <v>660</v>
      </c>
      <c r="V1409" s="94"/>
      <c r="W1409" s="94"/>
      <c r="X1409" s="94"/>
      <c r="Y1409" s="119">
        <v>46334</v>
      </c>
      <c r="Z1409" s="94"/>
      <c r="AA1409" s="120"/>
      <c r="AB1409" s="120"/>
      <c r="AC1409" s="120"/>
      <c r="AD1409" s="120"/>
      <c r="AE1409" s="120"/>
      <c r="AF1409" s="120"/>
      <c r="AG1409" s="94"/>
      <c r="AH1409" s="120"/>
      <c r="AI1409" s="94"/>
      <c r="AJ1409" s="94" t="s">
        <v>823</v>
      </c>
      <c r="AK1409" s="94" t="s">
        <v>66</v>
      </c>
      <c r="AL1409" s="94">
        <v>190</v>
      </c>
      <c r="AM1409" s="94" t="str">
        <f>TRIM(AJ1409)&amp;TRIM(AL1409)&amp;TRIM(AK1409)</f>
      </c>
      <c r="AN1409" s="116">
        <v>0</v>
      </c>
      <c r="AO1409" s="116" t="inlineStr">
        <is>
          <t>#NA</t>
        </is>
      </c>
      <c r="AP1409" s="116">
        <f>SUMIFS(M:M,AM:AM,AM1409)+SUMIFS(O:O,AM:AM,AM1409)</f>
      </c>
      <c r="AQ1409" s="116">
        <f>SUMIFS(L:L,AM:AM,AM1409)</f>
      </c>
      <c r="AR1409" s="116">
        <f>AQ1409-AP1409</f>
      </c>
      <c r="AS1409" s="94" t="str">
        <f>IF(AN1409&gt;=AQ1409,"ok","ck")</f>
      </c>
      <c r="AT1409" s="116">
        <f>-P1409</f>
      </c>
      <c r="AU1409" s="115">
        <f>IF(SUMIFS(AT:AT,AM:AM,AM1409)&gt;AO1409,(SUMIFS(AT:AT,AM:AM,AM1409)-AO1409))</f>
      </c>
      <c r="AV1409" s="116">
        <v>0</v>
      </c>
      <c r="AW1409" s="121">
        <v>0</v>
      </c>
      <c r="AX1409" s="115">
        <f>AN1409-AP1409</f>
      </c>
    </row>
    <row r="1410" spans="1:50" ht="15" hidden="1" customHeight="1" x14ac:dyDescent="0.3">
      <c r="A1410" s="94" t="s">
        <v>125</v>
      </c>
      <c r="B1410" s="94"/>
      <c r="C1410" s="94"/>
      <c r="D1410" s="94"/>
      <c r="E1410" s="94"/>
      <c r="F1410" s="94"/>
      <c r="G1410" s="112">
        <f>AU1410</f>
      </c>
      <c r="H1410" s="113"/>
      <c r="I1410" s="94" t="s">
        <v>489</v>
      </c>
      <c r="J1410" s="94" t="s">
        <v>66</v>
      </c>
      <c r="K1410" s="114">
        <f>P1410/3</f>
      </c>
      <c r="L1410" s="115">
        <v>700</v>
      </c>
      <c r="M1410" s="116"/>
      <c r="N1410" s="117">
        <f>M1410-L1410</f>
      </c>
      <c r="O1410" s="112"/>
      <c r="P1410" s="118">
        <f>N1410+O1410</f>
      </c>
      <c r="Q1410" s="94" t="s">
        <v>823</v>
      </c>
      <c r="R1410" s="94" t="s">
        <v>63</v>
      </c>
      <c r="S1410" s="119">
        <v>46339</v>
      </c>
      <c r="T1410" s="119"/>
      <c r="U1410" s="119" t="s">
        <v>660</v>
      </c>
      <c r="V1410" s="94"/>
      <c r="W1410" s="94"/>
      <c r="X1410" s="94"/>
      <c r="Y1410" s="119">
        <v>46334</v>
      </c>
      <c r="Z1410" s="94"/>
      <c r="AA1410" s="120"/>
      <c r="AB1410" s="120"/>
      <c r="AC1410" s="120"/>
      <c r="AD1410" s="120"/>
      <c r="AE1410" s="120"/>
      <c r="AF1410" s="120"/>
      <c r="AG1410" s="94"/>
      <c r="AH1410" s="120"/>
      <c r="AI1410" s="94"/>
      <c r="AJ1410" s="94" t="s">
        <v>823</v>
      </c>
      <c r="AK1410" s="94" t="s">
        <v>66</v>
      </c>
      <c r="AL1410" s="94">
        <v>190</v>
      </c>
      <c r="AM1410" s="94" t="str">
        <f>TRIM(AJ1410)&amp;TRIM(AL1410)&amp;TRIM(AK1410)</f>
      </c>
      <c r="AN1410" s="116">
        <v>0</v>
      </c>
      <c r="AO1410" s="116" t="inlineStr">
        <is>
          <t>#NA</t>
        </is>
      </c>
      <c r="AP1410" s="116">
        <f>SUMIFS(M:M,AM:AM,AM1410)+SUMIFS(O:O,AM:AM,AM1410)</f>
      </c>
      <c r="AQ1410" s="116">
        <f>SUMIFS(L:L,AM:AM,AM1410)</f>
      </c>
      <c r="AR1410" s="116">
        <f>AQ1410-AP1410</f>
      </c>
      <c r="AS1410" s="94" t="str">
        <f>IF(AN1410&gt;=AQ1410,"ok","ck")</f>
      </c>
      <c r="AT1410" s="116">
        <f>-P1410</f>
      </c>
      <c r="AU1410" s="115">
        <f>IF(SUMIFS(AT:AT,AM:AM,AM1410)&gt;AO1410,(SUMIFS(AT:AT,AM:AM,AM1410)-AO1410))</f>
      </c>
      <c r="AV1410" s="116">
        <v>0</v>
      </c>
      <c r="AW1410" s="121">
        <v>0</v>
      </c>
      <c r="AX1410" s="115">
        <f>AN1410-AP1410</f>
      </c>
    </row>
    <row r="1411" spans="1:50" ht="15" hidden="1" customHeight="1" x14ac:dyDescent="0.3">
      <c r="A1411" s="94" t="s">
        <v>125</v>
      </c>
      <c r="B1411" s="94"/>
      <c r="C1411" s="94"/>
      <c r="D1411" s="94"/>
      <c r="E1411" s="94"/>
      <c r="F1411" s="94"/>
      <c r="G1411" s="112">
        <f>AU1411</f>
      </c>
      <c r="H1411" s="113"/>
      <c r="I1411" s="94" t="s">
        <v>489</v>
      </c>
      <c r="J1411" s="94" t="s">
        <v>66</v>
      </c>
      <c r="K1411" s="114">
        <f>P1411/3</f>
      </c>
      <c r="L1411" s="115">
        <v>700</v>
      </c>
      <c r="M1411" s="116"/>
      <c r="N1411" s="117">
        <f>M1411-L1411</f>
      </c>
      <c r="O1411" s="112"/>
      <c r="P1411" s="118">
        <f>N1411+O1411</f>
      </c>
      <c r="Q1411" s="94" t="s">
        <v>823</v>
      </c>
      <c r="R1411" s="94" t="s">
        <v>63</v>
      </c>
      <c r="S1411" s="119">
        <v>46341</v>
      </c>
      <c r="T1411" s="119"/>
      <c r="U1411" s="119" t="s">
        <v>660</v>
      </c>
      <c r="V1411" s="94"/>
      <c r="W1411" s="94"/>
      <c r="X1411" s="94"/>
      <c r="Y1411" s="119">
        <v>46334</v>
      </c>
      <c r="Z1411" s="94"/>
      <c r="AA1411" s="120"/>
      <c r="AB1411" s="120"/>
      <c r="AC1411" s="120"/>
      <c r="AD1411" s="120"/>
      <c r="AE1411" s="120"/>
      <c r="AF1411" s="120"/>
      <c r="AG1411" s="94"/>
      <c r="AH1411" s="120"/>
      <c r="AI1411" s="94"/>
      <c r="AJ1411" s="94" t="s">
        <v>823</v>
      </c>
      <c r="AK1411" s="94" t="s">
        <v>66</v>
      </c>
      <c r="AL1411" s="94">
        <v>190</v>
      </c>
      <c r="AM1411" s="94" t="str">
        <f>TRIM(AJ1411)&amp;TRIM(AL1411)&amp;TRIM(AK1411)</f>
      </c>
      <c r="AN1411" s="116">
        <v>0</v>
      </c>
      <c r="AO1411" s="116" t="inlineStr">
        <is>
          <t>#NA</t>
        </is>
      </c>
      <c r="AP1411" s="116">
        <f>SUMIFS(M:M,AM:AM,AM1411)+SUMIFS(O:O,AM:AM,AM1411)</f>
      </c>
      <c r="AQ1411" s="116">
        <f>SUMIFS(L:L,AM:AM,AM1411)</f>
      </c>
      <c r="AR1411" s="116">
        <f>AQ1411-AP1411</f>
      </c>
      <c r="AS1411" s="94" t="str">
        <f>IF(AN1411&gt;=AQ1411,"ok","ck")</f>
      </c>
      <c r="AT1411" s="116">
        <f>-P1411</f>
      </c>
      <c r="AU1411" s="115">
        <f>IF(SUMIFS(AT:AT,AM:AM,AM1411)&gt;AO1411,(SUMIFS(AT:AT,AM:AM,AM1411)-AO1411))</f>
      </c>
      <c r="AV1411" s="116">
        <v>0</v>
      </c>
      <c r="AW1411" s="121">
        <v>0</v>
      </c>
      <c r="AX1411" s="115">
        <f>AN1411-AP1411</f>
      </c>
    </row>
    <row r="1412" spans="1:50" ht="15" hidden="1" customHeight="1" x14ac:dyDescent="0.3">
      <c r="A1412" s="94" t="s">
        <v>125</v>
      </c>
      <c r="B1412" s="94"/>
      <c r="C1412" s="94"/>
      <c r="D1412" s="94"/>
      <c r="E1412" s="94"/>
      <c r="F1412" s="94"/>
      <c r="G1412" s="112">
        <f>AU1412</f>
      </c>
      <c r="H1412" s="113"/>
      <c r="I1412" s="94" t="s">
        <v>489</v>
      </c>
      <c r="J1412" s="94" t="s">
        <v>66</v>
      </c>
      <c r="K1412" s="114">
        <f>P1412/3</f>
      </c>
      <c r="L1412" s="115">
        <v>679.92</v>
      </c>
      <c r="M1412" s="116"/>
      <c r="N1412" s="117">
        <f>M1412-L1412</f>
      </c>
      <c r="O1412" s="112"/>
      <c r="P1412" s="118">
        <f>N1412+O1412</f>
      </c>
      <c r="Q1412" s="94" t="s">
        <v>823</v>
      </c>
      <c r="R1412" s="94" t="s">
        <v>63</v>
      </c>
      <c r="S1412" s="119">
        <v>46343</v>
      </c>
      <c r="T1412" s="119"/>
      <c r="U1412" s="119" t="s">
        <v>660</v>
      </c>
      <c r="V1412" s="94"/>
      <c r="W1412" s="94"/>
      <c r="X1412" s="94"/>
      <c r="Y1412" s="119">
        <v>46344</v>
      </c>
      <c r="Z1412" s="94"/>
      <c r="AA1412" s="120"/>
      <c r="AB1412" s="120"/>
      <c r="AC1412" s="120"/>
      <c r="AD1412" s="120"/>
      <c r="AE1412" s="120"/>
      <c r="AF1412" s="120"/>
      <c r="AG1412" s="94"/>
      <c r="AH1412" s="120"/>
      <c r="AI1412" s="94"/>
      <c r="AJ1412" s="94" t="s">
        <v>823</v>
      </c>
      <c r="AK1412" s="94" t="s">
        <v>66</v>
      </c>
      <c r="AL1412" s="94">
        <v>190</v>
      </c>
      <c r="AM1412" s="94" t="str">
        <f>TRIM(AJ1412)&amp;TRIM(AL1412)&amp;TRIM(AK1412)</f>
      </c>
      <c r="AN1412" s="116">
        <v>0</v>
      </c>
      <c r="AO1412" s="116" t="inlineStr">
        <is>
          <t>#NA</t>
        </is>
      </c>
      <c r="AP1412" s="116">
        <f>SUMIFS(M:M,AM:AM,AM1412)+SUMIFS(O:O,AM:AM,AM1412)</f>
      </c>
      <c r="AQ1412" s="116">
        <f>SUMIFS(L:L,AM:AM,AM1412)</f>
      </c>
      <c r="AR1412" s="116">
        <f>AQ1412-AP1412</f>
      </c>
      <c r="AS1412" s="94" t="str">
        <f>IF(AN1412&gt;=AQ1412,"ok","ck")</f>
      </c>
      <c r="AT1412" s="116">
        <f>-P1412</f>
      </c>
      <c r="AU1412" s="115">
        <f>IF(SUMIFS(AT:AT,AM:AM,AM1412)&gt;AO1412,(SUMIFS(AT:AT,AM:AM,AM1412)-AO1412))</f>
      </c>
      <c r="AV1412" s="116">
        <v>0</v>
      </c>
      <c r="AW1412" s="121">
        <v>0</v>
      </c>
      <c r="AX1412" s="115">
        <f>AN1412-AP1412</f>
      </c>
    </row>
    <row r="1413" spans="1:50" ht="15" hidden="1" customHeight="1" x14ac:dyDescent="0.3">
      <c r="A1413" s="94" t="s">
        <v>125</v>
      </c>
      <c r="B1413" s="94"/>
      <c r="C1413" s="94"/>
      <c r="D1413" s="94"/>
      <c r="E1413" s="94"/>
      <c r="F1413" s="94"/>
      <c r="G1413" s="112">
        <f>AU1413</f>
      </c>
      <c r="H1413" s="113"/>
      <c r="I1413" s="94" t="s">
        <v>133</v>
      </c>
      <c r="J1413" s="94" t="s">
        <v>71</v>
      </c>
      <c r="K1413" s="114">
        <f>P1413/3</f>
      </c>
      <c r="L1413" s="115">
        <v>7.92</v>
      </c>
      <c r="M1413" s="116">
        <f>L1413</f>
      </c>
      <c r="N1413" s="117">
        <f>M1413-L1413</f>
      </c>
      <c r="O1413" s="112"/>
      <c r="P1413" s="118">
        <f>N1413+O1413</f>
      </c>
      <c r="Q1413" s="94" t="s">
        <v>140</v>
      </c>
      <c r="R1413" s="94" t="s">
        <v>63</v>
      </c>
      <c r="S1413" s="119">
        <v>46327</v>
      </c>
      <c r="T1413" s="119"/>
      <c r="U1413" s="119">
        <v>46327</v>
      </c>
      <c r="V1413" s="94"/>
      <c r="W1413" s="94"/>
      <c r="X1413" s="94"/>
      <c r="Y1413" s="119">
        <v>46341</v>
      </c>
      <c r="Z1413" s="94"/>
      <c r="AA1413" s="120"/>
      <c r="AB1413" s="120"/>
      <c r="AC1413" s="120"/>
      <c r="AD1413" s="120"/>
      <c r="AE1413" s="120"/>
      <c r="AF1413" s="120"/>
      <c r="AG1413" s="94"/>
      <c r="AH1413" s="120"/>
      <c r="AI1413" s="94"/>
      <c r="AJ1413" s="94" t="s">
        <v>140</v>
      </c>
      <c r="AK1413" s="94" t="s">
        <v>71</v>
      </c>
      <c r="AL1413" s="94">
        <v>160</v>
      </c>
      <c r="AM1413" s="94" t="str">
        <f>TRIM(AJ1413)&amp;TRIM(AL1413)&amp;TRIM(AK1413)</f>
      </c>
      <c r="AN1413" s="116">
        <v>1090</v>
      </c>
      <c r="AO1413" s="116">
        <v>-22.13</v>
      </c>
      <c r="AP1413" s="116">
        <f>SUMIFS(M:M,AM:AM,AM1413)+SUMIFS(O:O,AM:AM,AM1413)</f>
      </c>
      <c r="AQ1413" s="116">
        <f>SUMIFS(L:L,AM:AM,AM1413)</f>
      </c>
      <c r="AR1413" s="116">
        <f>AQ1413-AP1413</f>
      </c>
      <c r="AS1413" s="94" t="str">
        <f>IF(AN1413&gt;=AQ1413,"ok","ck")</f>
      </c>
      <c r="AT1413" s="116">
        <f>-P1413</f>
      </c>
      <c r="AU1413" s="115">
        <f>IF(SUMIFS(AT:AT,AM:AM,AM1413)&gt;AO1413,(SUMIFS(AT:AT,AM:AM,AM1413)-AO1413))</f>
      </c>
      <c r="AV1413" s="116">
        <v>1090</v>
      </c>
      <c r="AW1413" s="121">
        <v>1.021</v>
      </c>
      <c r="AX1413" s="115">
        <f>AN1413-AP1413</f>
      </c>
    </row>
    <row r="1414" spans="1:50" ht="15" hidden="1" customHeight="1" x14ac:dyDescent="0.3">
      <c r="A1414" s="94" t="s">
        <v>125</v>
      </c>
      <c r="B1414" s="94"/>
      <c r="C1414" s="94"/>
      <c r="D1414" s="94"/>
      <c r="E1414" s="94"/>
      <c r="F1414" s="94"/>
      <c r="G1414" s="112">
        <f>AU1414</f>
      </c>
      <c r="H1414" s="113"/>
      <c r="I1414" s="94" t="s">
        <v>132</v>
      </c>
      <c r="J1414" s="94" t="s">
        <v>66</v>
      </c>
      <c r="K1414" s="114">
        <f>P1414/3</f>
      </c>
      <c r="L1414" s="115">
        <v>0</v>
      </c>
      <c r="M1414" s="116"/>
      <c r="N1414" s="117">
        <f>M1414-L1414</f>
      </c>
      <c r="O1414" s="112"/>
      <c r="P1414" s="118">
        <f>N1414+O1414</f>
      </c>
      <c r="Q1414" s="94" t="s">
        <v>824</v>
      </c>
      <c r="R1414" s="94" t="s">
        <v>63</v>
      </c>
      <c r="S1414" s="119">
        <v>46320</v>
      </c>
      <c r="T1414" s="119"/>
      <c r="U1414" s="119">
        <v>46320</v>
      </c>
      <c r="V1414" s="94"/>
      <c r="W1414" s="94"/>
      <c r="X1414" s="94"/>
      <c r="Y1414" s="119">
        <v>46320</v>
      </c>
      <c r="Z1414" s="94"/>
      <c r="AA1414" s="120"/>
      <c r="AB1414" s="120"/>
      <c r="AC1414" s="120"/>
      <c r="AD1414" s="120"/>
      <c r="AE1414" s="120"/>
      <c r="AF1414" s="120"/>
      <c r="AG1414" s="94"/>
      <c r="AH1414" s="120"/>
      <c r="AI1414" s="94"/>
      <c r="AJ1414" s="94" t="s">
        <v>824</v>
      </c>
      <c r="AK1414" s="94" t="s">
        <v>66</v>
      </c>
      <c r="AL1414" s="94">
        <v>140</v>
      </c>
      <c r="AM1414" s="94" t="str">
        <f>TRIM(AJ1414)&amp;TRIM(AL1414)&amp;TRIM(AK1414)</f>
      </c>
      <c r="AN1414" s="116">
        <v>122.89</v>
      </c>
      <c r="AO1414" s="116">
        <v>2810.1</v>
      </c>
      <c r="AP1414" s="116">
        <f>SUMIFS(M:M,AM:AM,AM1414)+SUMIFS(O:O,AM:AM,AM1414)</f>
      </c>
      <c r="AQ1414" s="116">
        <f>SUMIFS(L:L,AM:AM,AM1414)</f>
      </c>
      <c r="AR1414" s="116">
        <f>AQ1414-AP1414</f>
      </c>
      <c r="AS1414" s="94" t="str">
        <f>IF(AN1414&gt;=AQ1414,"ok","ck")</f>
      </c>
      <c r="AT1414" s="116">
        <f>-P1414</f>
      </c>
      <c r="AU1414" s="115">
        <f>IF(SUMIFS(AT:AT,AM:AM,AM1414)&gt;AO1414,(SUMIFS(AT:AT,AM:AM,AM1414)-AO1414))</f>
      </c>
      <c r="AV1414" s="116">
        <v>122.89</v>
      </c>
      <c r="AW1414" s="121">
        <v>0.042</v>
      </c>
      <c r="AX1414" s="115">
        <f>AN1414-AP1414</f>
      </c>
    </row>
    <row r="1415" spans="1:50" ht="15" hidden="1" customHeight="1" x14ac:dyDescent="0.3">
      <c r="A1415" s="94" t="s">
        <v>125</v>
      </c>
      <c r="B1415" s="94"/>
      <c r="C1415" s="94"/>
      <c r="D1415" s="94"/>
      <c r="E1415" s="94"/>
      <c r="F1415" s="94"/>
      <c r="G1415" s="112">
        <f>AU1415</f>
      </c>
      <c r="H1415" s="113"/>
      <c r="I1415" s="94" t="s">
        <v>133</v>
      </c>
      <c r="J1415" s="94" t="s">
        <v>71</v>
      </c>
      <c r="K1415" s="114">
        <f>P1415/3</f>
      </c>
      <c r="L1415" s="115">
        <v>602.87</v>
      </c>
      <c r="M1415" s="116">
        <v>420.61</v>
      </c>
      <c r="N1415" s="117">
        <f>M1415-L1415</f>
      </c>
      <c r="O1415" s="112"/>
      <c r="P1415" s="118">
        <f>N1415+O1415</f>
      </c>
      <c r="Q1415" s="94" t="s">
        <v>144</v>
      </c>
      <c r="R1415" s="94" t="s">
        <v>63</v>
      </c>
      <c r="S1415" s="119">
        <v>46341</v>
      </c>
      <c r="T1415" s="119"/>
      <c r="U1415" s="119">
        <v>46341</v>
      </c>
      <c r="V1415" s="94"/>
      <c r="W1415" s="94"/>
      <c r="X1415" s="94"/>
      <c r="Y1415" s="119">
        <v>46341</v>
      </c>
      <c r="Z1415" s="94"/>
      <c r="AA1415" s="120"/>
      <c r="AB1415" s="120"/>
      <c r="AC1415" s="120"/>
      <c r="AD1415" s="120"/>
      <c r="AE1415" s="120"/>
      <c r="AF1415" s="120"/>
      <c r="AG1415" s="94"/>
      <c r="AH1415" s="120"/>
      <c r="AI1415" s="94"/>
      <c r="AJ1415" s="94" t="s">
        <v>144</v>
      </c>
      <c r="AK1415" s="94" t="s">
        <v>71</v>
      </c>
      <c r="AL1415" s="94">
        <v>160</v>
      </c>
      <c r="AM1415" s="94" t="str">
        <f>TRIM(AJ1415)&amp;TRIM(AL1415)&amp;TRIM(AK1415)</f>
      </c>
      <c r="AN1415" s="116">
        <v>11706.29</v>
      </c>
      <c r="AO1415" s="116">
        <v>182.26</v>
      </c>
      <c r="AP1415" s="116">
        <f>SUMIFS(M:M,AM:AM,AM1415)+SUMIFS(O:O,AM:AM,AM1415)</f>
      </c>
      <c r="AQ1415" s="116">
        <f>SUMIFS(L:L,AM:AM,AM1415)</f>
      </c>
      <c r="AR1415" s="116">
        <f>AQ1415-AP1415</f>
      </c>
      <c r="AS1415" s="94" t="str">
        <f>IF(AN1415&gt;=AQ1415,"ok","ck")</f>
      </c>
      <c r="AT1415" s="116">
        <f>-P1415</f>
      </c>
      <c r="AU1415" s="115">
        <f>IF(SUMIFS(AT:AT,AM:AM,AM1415)&gt;AO1415,(SUMIFS(AT:AT,AM:AM,AM1415)-AO1415))</f>
      </c>
      <c r="AV1415" s="116">
        <v>11706.29</v>
      </c>
      <c r="AW1415" s="121">
        <v>0.985</v>
      </c>
      <c r="AX1415" s="115">
        <f>AN1415-AP1415</f>
      </c>
    </row>
    <row r="1416" spans="1:50" ht="15" hidden="1" customHeight="1" x14ac:dyDescent="0.3">
      <c r="A1416" s="94" t="s">
        <v>125</v>
      </c>
      <c r="B1416" s="94"/>
      <c r="C1416" s="94"/>
      <c r="D1416" s="94"/>
      <c r="E1416" s="94"/>
      <c r="F1416" s="94"/>
      <c r="G1416" s="112">
        <f>AU1416</f>
      </c>
      <c r="H1416" s="113"/>
      <c r="I1416" s="94" t="s">
        <v>489</v>
      </c>
      <c r="J1416" s="94" t="s">
        <v>71</v>
      </c>
      <c r="K1416" s="114">
        <f>P1416/3</f>
      </c>
      <c r="L1416" s="115">
        <v>700</v>
      </c>
      <c r="M1416" s="116"/>
      <c r="N1416" s="117">
        <f>M1416-L1416</f>
      </c>
      <c r="O1416" s="112"/>
      <c r="P1416" s="118">
        <f>N1416+O1416</f>
      </c>
      <c r="Q1416" s="94" t="s">
        <v>823</v>
      </c>
      <c r="R1416" s="94" t="s">
        <v>63</v>
      </c>
      <c r="S1416" s="119">
        <v>46337</v>
      </c>
      <c r="T1416" s="119"/>
      <c r="U1416" s="119" t="s">
        <v>660</v>
      </c>
      <c r="V1416" s="94"/>
      <c r="W1416" s="94"/>
      <c r="X1416" s="94"/>
      <c r="Y1416" s="119">
        <v>46334</v>
      </c>
      <c r="Z1416" s="94"/>
      <c r="AA1416" s="120"/>
      <c r="AB1416" s="120"/>
      <c r="AC1416" s="120"/>
      <c r="AD1416" s="120"/>
      <c r="AE1416" s="120"/>
      <c r="AF1416" s="120"/>
      <c r="AG1416" s="94"/>
      <c r="AH1416" s="120"/>
      <c r="AI1416" s="94"/>
      <c r="AJ1416" s="94" t="s">
        <v>823</v>
      </c>
      <c r="AK1416" s="94" t="s">
        <v>71</v>
      </c>
      <c r="AL1416" s="94">
        <v>190</v>
      </c>
      <c r="AM1416" s="94" t="str">
        <f>TRIM(AJ1416)&amp;TRIM(AL1416)&amp;TRIM(AK1416)</f>
      </c>
      <c r="AN1416" s="116">
        <v>0</v>
      </c>
      <c r="AO1416" s="116" t="inlineStr">
        <is>
          <t>#NA</t>
        </is>
      </c>
      <c r="AP1416" s="116">
        <f>SUMIFS(M:M,AM:AM,AM1416)+SUMIFS(O:O,AM:AM,AM1416)</f>
      </c>
      <c r="AQ1416" s="116">
        <f>SUMIFS(L:L,AM:AM,AM1416)</f>
      </c>
      <c r="AR1416" s="116">
        <f>AQ1416-AP1416</f>
      </c>
      <c r="AS1416" s="94" t="str">
        <f>IF(AN1416&gt;=AQ1416,"ok","ck")</f>
      </c>
      <c r="AT1416" s="116">
        <f>-P1416</f>
      </c>
      <c r="AU1416" s="115">
        <f>IF(SUMIFS(AT:AT,AM:AM,AM1416)&gt;AO1416,(SUMIFS(AT:AT,AM:AM,AM1416)-AO1416))</f>
      </c>
      <c r="AV1416" s="116">
        <v>0</v>
      </c>
      <c r="AW1416" s="121">
        <v>0</v>
      </c>
      <c r="AX1416" s="115">
        <f>AN1416-AP1416</f>
      </c>
    </row>
    <row r="1417" spans="1:50" ht="15" hidden="1" customHeight="1" x14ac:dyDescent="0.3">
      <c r="A1417" s="94" t="s">
        <v>125</v>
      </c>
      <c r="B1417" s="94"/>
      <c r="C1417" s="94"/>
      <c r="D1417" s="94"/>
      <c r="E1417" s="94"/>
      <c r="F1417" s="94"/>
      <c r="G1417" s="112">
        <f>AU1417</f>
      </c>
      <c r="H1417" s="113"/>
      <c r="I1417" s="94" t="s">
        <v>489</v>
      </c>
      <c r="J1417" s="94" t="s">
        <v>71</v>
      </c>
      <c r="K1417" s="114">
        <f>P1417/3</f>
      </c>
      <c r="L1417" s="115">
        <v>700</v>
      </c>
      <c r="M1417" s="116"/>
      <c r="N1417" s="117">
        <f>M1417-L1417</f>
      </c>
      <c r="O1417" s="112"/>
      <c r="P1417" s="118">
        <f>N1417+O1417</f>
      </c>
      <c r="Q1417" s="94" t="s">
        <v>823</v>
      </c>
      <c r="R1417" s="94" t="s">
        <v>63</v>
      </c>
      <c r="S1417" s="119">
        <v>46339</v>
      </c>
      <c r="T1417" s="119"/>
      <c r="U1417" s="119" t="s">
        <v>660</v>
      </c>
      <c r="V1417" s="94"/>
      <c r="W1417" s="94"/>
      <c r="X1417" s="94"/>
      <c r="Y1417" s="119">
        <v>46334</v>
      </c>
      <c r="Z1417" s="94"/>
      <c r="AA1417" s="120"/>
      <c r="AB1417" s="120"/>
      <c r="AC1417" s="120"/>
      <c r="AD1417" s="120"/>
      <c r="AE1417" s="120"/>
      <c r="AF1417" s="120"/>
      <c r="AG1417" s="94"/>
      <c r="AH1417" s="120"/>
      <c r="AI1417" s="94"/>
      <c r="AJ1417" s="94" t="s">
        <v>823</v>
      </c>
      <c r="AK1417" s="94" t="s">
        <v>71</v>
      </c>
      <c r="AL1417" s="94">
        <v>190</v>
      </c>
      <c r="AM1417" s="94" t="str">
        <f>TRIM(AJ1417)&amp;TRIM(AL1417)&amp;TRIM(AK1417)</f>
      </c>
      <c r="AN1417" s="116">
        <v>0</v>
      </c>
      <c r="AO1417" s="116" t="inlineStr">
        <is>
          <t>#NA</t>
        </is>
      </c>
      <c r="AP1417" s="116">
        <f>SUMIFS(M:M,AM:AM,AM1417)+SUMIFS(O:O,AM:AM,AM1417)</f>
      </c>
      <c r="AQ1417" s="116">
        <f>SUMIFS(L:L,AM:AM,AM1417)</f>
      </c>
      <c r="AR1417" s="116">
        <f>AQ1417-AP1417</f>
      </c>
      <c r="AS1417" s="94" t="str">
        <f>IF(AN1417&gt;=AQ1417,"ok","ck")</f>
      </c>
      <c r="AT1417" s="116">
        <f>-P1417</f>
      </c>
      <c r="AU1417" s="115">
        <f>IF(SUMIFS(AT:AT,AM:AM,AM1417)&gt;AO1417,(SUMIFS(AT:AT,AM:AM,AM1417)-AO1417))</f>
      </c>
      <c r="AV1417" s="116">
        <v>0</v>
      </c>
      <c r="AW1417" s="121">
        <v>0</v>
      </c>
      <c r="AX1417" s="115">
        <f>AN1417-AP1417</f>
      </c>
    </row>
    <row r="1418" spans="1:50" ht="15" hidden="1" customHeight="1" x14ac:dyDescent="0.3">
      <c r="A1418" s="94" t="s">
        <v>125</v>
      </c>
      <c r="B1418" s="94"/>
      <c r="C1418" s="94"/>
      <c r="D1418" s="94"/>
      <c r="E1418" s="94"/>
      <c r="F1418" s="94"/>
      <c r="G1418" s="112">
        <f>AU1418</f>
      </c>
      <c r="H1418" s="113"/>
      <c r="I1418" s="94" t="s">
        <v>489</v>
      </c>
      <c r="J1418" s="94" t="s">
        <v>71</v>
      </c>
      <c r="K1418" s="114">
        <f>P1418/3</f>
      </c>
      <c r="L1418" s="115">
        <v>700</v>
      </c>
      <c r="M1418" s="116"/>
      <c r="N1418" s="117">
        <f>M1418-L1418</f>
      </c>
      <c r="O1418" s="112"/>
      <c r="P1418" s="118">
        <f>N1418+O1418</f>
      </c>
      <c r="Q1418" s="94" t="s">
        <v>823</v>
      </c>
      <c r="R1418" s="94" t="s">
        <v>63</v>
      </c>
      <c r="S1418" s="119">
        <v>46341</v>
      </c>
      <c r="T1418" s="119"/>
      <c r="U1418" s="119" t="s">
        <v>660</v>
      </c>
      <c r="V1418" s="94"/>
      <c r="W1418" s="94"/>
      <c r="X1418" s="94"/>
      <c r="Y1418" s="119">
        <v>46334</v>
      </c>
      <c r="Z1418" s="94"/>
      <c r="AA1418" s="120"/>
      <c r="AB1418" s="120"/>
      <c r="AC1418" s="120"/>
      <c r="AD1418" s="120"/>
      <c r="AE1418" s="120"/>
      <c r="AF1418" s="120"/>
      <c r="AG1418" s="94"/>
      <c r="AH1418" s="120"/>
      <c r="AI1418" s="94"/>
      <c r="AJ1418" s="94" t="s">
        <v>823</v>
      </c>
      <c r="AK1418" s="94" t="s">
        <v>71</v>
      </c>
      <c r="AL1418" s="94">
        <v>190</v>
      </c>
      <c r="AM1418" s="94" t="str">
        <f>TRIM(AJ1418)&amp;TRIM(AL1418)&amp;TRIM(AK1418)</f>
      </c>
      <c r="AN1418" s="116">
        <v>0</v>
      </c>
      <c r="AO1418" s="116" t="inlineStr">
        <is>
          <t>#NA</t>
        </is>
      </c>
      <c r="AP1418" s="116">
        <f>SUMIFS(M:M,AM:AM,AM1418)+SUMIFS(O:O,AM:AM,AM1418)</f>
      </c>
      <c r="AQ1418" s="116">
        <f>SUMIFS(L:L,AM:AM,AM1418)</f>
      </c>
      <c r="AR1418" s="116">
        <f>AQ1418-AP1418</f>
      </c>
      <c r="AS1418" s="94" t="str">
        <f>IF(AN1418&gt;=AQ1418,"ok","ck")</f>
      </c>
      <c r="AT1418" s="116">
        <f>-P1418</f>
      </c>
      <c r="AU1418" s="115">
        <f>IF(SUMIFS(AT:AT,AM:AM,AM1418)&gt;AO1418,(SUMIFS(AT:AT,AM:AM,AM1418)-AO1418))</f>
      </c>
      <c r="AV1418" s="116">
        <v>0</v>
      </c>
      <c r="AW1418" s="121">
        <v>0</v>
      </c>
      <c r="AX1418" s="115">
        <f>AN1418-AP1418</f>
      </c>
    </row>
    <row r="1419" spans="1:50" ht="15" hidden="1" customHeight="1" x14ac:dyDescent="0.3">
      <c r="A1419" s="94" t="s">
        <v>125</v>
      </c>
      <c r="B1419" s="94"/>
      <c r="C1419" s="94"/>
      <c r="D1419" s="94"/>
      <c r="E1419" s="94"/>
      <c r="F1419" s="94"/>
      <c r="G1419" s="112">
        <f>AU1419</f>
      </c>
      <c r="H1419" s="113"/>
      <c r="I1419" s="94" t="s">
        <v>489</v>
      </c>
      <c r="J1419" s="94" t="s">
        <v>71</v>
      </c>
      <c r="K1419" s="114">
        <f>P1419/3</f>
      </c>
      <c r="L1419" s="115">
        <v>679.92</v>
      </c>
      <c r="M1419" s="116"/>
      <c r="N1419" s="117">
        <f>M1419-L1419</f>
      </c>
      <c r="O1419" s="112"/>
      <c r="P1419" s="118">
        <f>N1419+O1419</f>
      </c>
      <c r="Q1419" s="94" t="s">
        <v>823</v>
      </c>
      <c r="R1419" s="94" t="s">
        <v>63</v>
      </c>
      <c r="S1419" s="119">
        <v>46343</v>
      </c>
      <c r="T1419" s="119"/>
      <c r="U1419" s="119" t="s">
        <v>660</v>
      </c>
      <c r="V1419" s="94"/>
      <c r="W1419" s="94"/>
      <c r="X1419" s="94"/>
      <c r="Y1419" s="119">
        <v>46344</v>
      </c>
      <c r="Z1419" s="94"/>
      <c r="AA1419" s="120"/>
      <c r="AB1419" s="120"/>
      <c r="AC1419" s="120"/>
      <c r="AD1419" s="120"/>
      <c r="AE1419" s="120"/>
      <c r="AF1419" s="120"/>
      <c r="AG1419" s="94"/>
      <c r="AH1419" s="120"/>
      <c r="AI1419" s="94"/>
      <c r="AJ1419" s="94" t="s">
        <v>823</v>
      </c>
      <c r="AK1419" s="94" t="s">
        <v>71</v>
      </c>
      <c r="AL1419" s="94">
        <v>190</v>
      </c>
      <c r="AM1419" s="94" t="str">
        <f>TRIM(AJ1419)&amp;TRIM(AL1419)&amp;TRIM(AK1419)</f>
      </c>
      <c r="AN1419" s="116">
        <v>0</v>
      </c>
      <c r="AO1419" s="116" t="inlineStr">
        <is>
          <t>#NA</t>
        </is>
      </c>
      <c r="AP1419" s="116">
        <f>SUMIFS(M:M,AM:AM,AM1419)+SUMIFS(O:O,AM:AM,AM1419)</f>
      </c>
      <c r="AQ1419" s="116">
        <f>SUMIFS(L:L,AM:AM,AM1419)</f>
      </c>
      <c r="AR1419" s="116">
        <f>AQ1419-AP1419</f>
      </c>
      <c r="AS1419" s="94" t="str">
        <f>IF(AN1419&gt;=AQ1419,"ok","ck")</f>
      </c>
      <c r="AT1419" s="116">
        <f>-P1419</f>
      </c>
      <c r="AU1419" s="115">
        <f>IF(SUMIFS(AT:AT,AM:AM,AM1419)&gt;AO1419,(SUMIFS(AT:AT,AM:AM,AM1419)-AO1419))</f>
      </c>
      <c r="AV1419" s="116">
        <v>0</v>
      </c>
      <c r="AW1419" s="121">
        <v>0</v>
      </c>
      <c r="AX1419" s="115">
        <f>AN1419-AP1419</f>
      </c>
    </row>
    <row r="1420" spans="1:50" ht="15" hidden="1" customHeight="1" x14ac:dyDescent="0.3">
      <c r="A1420" s="94" t="s">
        <v>125</v>
      </c>
      <c r="B1420" s="94"/>
      <c r="C1420" s="94"/>
      <c r="D1420" s="94"/>
      <c r="E1420" s="94"/>
      <c r="F1420" s="94"/>
      <c r="G1420" s="112">
        <f>AU1420</f>
      </c>
      <c r="H1420" s="113"/>
      <c r="I1420" s="94" t="s">
        <v>132</v>
      </c>
      <c r="J1420" s="94" t="s">
        <v>71</v>
      </c>
      <c r="K1420" s="114">
        <f>P1420/3</f>
      </c>
      <c r="L1420" s="115">
        <v>-7.3999999999999996E-2</v>
      </c>
      <c r="M1420" s="116">
        <f>L1420</f>
      </c>
      <c r="N1420" s="117">
        <f>M1420-L1420</f>
      </c>
      <c r="O1420" s="112"/>
      <c r="P1420" s="118">
        <f>N1420+O1420</f>
      </c>
      <c r="Q1420" s="94" t="s">
        <v>143</v>
      </c>
      <c r="R1420" s="94" t="s">
        <v>63</v>
      </c>
      <c r="S1420" s="119">
        <v>46320</v>
      </c>
      <c r="T1420" s="119"/>
      <c r="U1420" s="119">
        <v>46320</v>
      </c>
      <c r="V1420" s="94"/>
      <c r="W1420" s="94"/>
      <c r="X1420" s="94"/>
      <c r="Y1420" s="119">
        <v>46320</v>
      </c>
      <c r="Z1420" s="94"/>
      <c r="AA1420" s="120"/>
      <c r="AB1420" s="120"/>
      <c r="AC1420" s="120"/>
      <c r="AD1420" s="120"/>
      <c r="AE1420" s="120"/>
      <c r="AF1420" s="120"/>
      <c r="AG1420" s="94"/>
      <c r="AH1420" s="120"/>
      <c r="AI1420" s="94"/>
      <c r="AJ1420" s="94" t="s">
        <v>143</v>
      </c>
      <c r="AK1420" s="94" t="s">
        <v>71</v>
      </c>
      <c r="AL1420" s="94">
        <v>140</v>
      </c>
      <c r="AM1420" s="94" t="str">
        <f>TRIM(AJ1420)&amp;TRIM(AL1420)&amp;TRIM(AK1420)</f>
      </c>
      <c r="AN1420" s="116">
        <v>832.95</v>
      </c>
      <c r="AO1420" s="116">
        <v>-10.93</v>
      </c>
      <c r="AP1420" s="116">
        <f>SUMIFS(M:M,AM:AM,AM1420)+SUMIFS(O:O,AM:AM,AM1420)</f>
      </c>
      <c r="AQ1420" s="116">
        <f>SUMIFS(L:L,AM:AM,AM1420)</f>
      </c>
      <c r="AR1420" s="116">
        <f>AQ1420-AP1420</f>
      </c>
      <c r="AS1420" s="94" t="str">
        <f>IF(AN1420&gt;=AQ1420,"ok","ck")</f>
      </c>
      <c r="AT1420" s="116">
        <f>-P1420</f>
      </c>
      <c r="AU1420" s="115">
        <f>IF(SUMIFS(AT:AT,AM:AM,AM1420)&gt;AO1420,(SUMIFS(AT:AT,AM:AM,AM1420)-AO1420))</f>
      </c>
      <c r="AV1420" s="116">
        <v>832.95</v>
      </c>
      <c r="AW1420" s="121">
        <v>1.013</v>
      </c>
      <c r="AX1420" s="115">
        <f>AN1420-AP1420</f>
      </c>
    </row>
    <row r="1421" spans="1:50" ht="15" hidden="1" customHeight="1" x14ac:dyDescent="0.3">
      <c r="A1421" s="94" t="s">
        <v>125</v>
      </c>
      <c r="B1421" s="94"/>
      <c r="C1421" s="94"/>
      <c r="D1421" s="94"/>
      <c r="E1421" s="94"/>
      <c r="F1421" s="94"/>
      <c r="G1421" s="112">
        <f>AU1421</f>
      </c>
      <c r="H1421" s="113"/>
      <c r="I1421" s="94" t="s">
        <v>132</v>
      </c>
      <c r="J1421" s="94" t="s">
        <v>66</v>
      </c>
      <c r="K1421" s="114">
        <f>P1421/3</f>
      </c>
      <c r="L1421" s="115">
        <v>117.602</v>
      </c>
      <c r="M1421" s="116">
        <f>L1421</f>
      </c>
      <c r="N1421" s="117">
        <f>M1421-L1421</f>
      </c>
      <c r="O1421" s="112"/>
      <c r="P1421" s="118">
        <f>N1421+O1421</f>
      </c>
      <c r="Q1421" s="94" t="s">
        <v>139</v>
      </c>
      <c r="R1421" s="94" t="s">
        <v>63</v>
      </c>
      <c r="S1421" s="119">
        <v>46327</v>
      </c>
      <c r="T1421" s="119"/>
      <c r="U1421" s="119">
        <v>46327</v>
      </c>
      <c r="V1421" s="94"/>
      <c r="W1421" s="94"/>
      <c r="X1421" s="94"/>
      <c r="Y1421" s="119">
        <v>46320</v>
      </c>
      <c r="Z1421" s="94"/>
      <c r="AA1421" s="120"/>
      <c r="AB1421" s="120"/>
      <c r="AC1421" s="120"/>
      <c r="AD1421" s="120"/>
      <c r="AE1421" s="120"/>
      <c r="AF1421" s="120"/>
      <c r="AG1421" s="94"/>
      <c r="AH1421" s="120"/>
      <c r="AI1421" s="94"/>
      <c r="AJ1421" s="94" t="s">
        <v>139</v>
      </c>
      <c r="AK1421" s="94" t="s">
        <v>66</v>
      </c>
      <c r="AL1421" s="94">
        <v>140</v>
      </c>
      <c r="AM1421" s="94" t="str">
        <f>TRIM(AJ1421)&amp;TRIM(AL1421)&amp;TRIM(AK1421)</f>
      </c>
      <c r="AN1421" s="116">
        <v>1244.86</v>
      </c>
      <c r="AO1421" s="116">
        <v>8.78</v>
      </c>
      <c r="AP1421" s="116">
        <f>SUMIFS(M:M,AM:AM,AM1421)+SUMIFS(O:O,AM:AM,AM1421)</f>
      </c>
      <c r="AQ1421" s="116">
        <f>SUMIFS(L:L,AM:AM,AM1421)</f>
      </c>
      <c r="AR1421" s="116">
        <f>AQ1421-AP1421</f>
      </c>
      <c r="AS1421" s="94" t="str">
        <f>IF(AN1421&gt;=AQ1421,"ok","ck")</f>
      </c>
      <c r="AT1421" s="116">
        <f>-P1421</f>
      </c>
      <c r="AU1421" s="115">
        <f>IF(SUMIFS(AT:AT,AM:AM,AM1421)&gt;AO1421,(SUMIFS(AT:AT,AM:AM,AM1421)-AO1421))</f>
      </c>
      <c r="AV1421" s="116">
        <v>1244.86</v>
      </c>
      <c r="AW1421" s="121">
        <v>0.993</v>
      </c>
      <c r="AX1421" s="115">
        <f>AN1421-AP1421</f>
      </c>
    </row>
    <row r="1422" spans="1:50" ht="15" hidden="1" customHeight="1" x14ac:dyDescent="0.3">
      <c r="A1422" s="94" t="s">
        <v>125</v>
      </c>
      <c r="B1422" s="94"/>
      <c r="C1422" s="94"/>
      <c r="D1422" s="94"/>
      <c r="E1422" s="94"/>
      <c r="F1422" s="94"/>
      <c r="G1422" s="112">
        <f>AU1422</f>
      </c>
      <c r="H1422" s="113"/>
      <c r="I1422" s="94" t="s">
        <v>489</v>
      </c>
      <c r="J1422" s="94" t="s">
        <v>66</v>
      </c>
      <c r="K1422" s="114">
        <f>P1422/3</f>
      </c>
      <c r="L1422" s="115">
        <v>1077.5070000000001</v>
      </c>
      <c r="M1422" s="116"/>
      <c r="N1422" s="117">
        <f>M1422-L1422</f>
      </c>
      <c r="O1422" s="112"/>
      <c r="P1422" s="118">
        <f>N1422+O1422</f>
      </c>
      <c r="Q1422" s="94" t="s">
        <v>819</v>
      </c>
      <c r="R1422" s="94" t="s">
        <v>63</v>
      </c>
      <c r="S1422" s="119">
        <v>46341</v>
      </c>
      <c r="T1422" s="119"/>
      <c r="U1422" s="119" t="s">
        <v>658</v>
      </c>
      <c r="V1422" s="94"/>
      <c r="W1422" s="94"/>
      <c r="X1422" s="94"/>
      <c r="Y1422" s="119">
        <v>46343</v>
      </c>
      <c r="Z1422" s="94"/>
      <c r="AA1422" s="120"/>
      <c r="AB1422" s="120"/>
      <c r="AC1422" s="120"/>
      <c r="AD1422" s="120"/>
      <c r="AE1422" s="120"/>
      <c r="AF1422" s="120"/>
      <c r="AG1422" s="94"/>
      <c r="AH1422" s="120"/>
      <c r="AI1422" s="94"/>
      <c r="AJ1422" s="94" t="s">
        <v>819</v>
      </c>
      <c r="AK1422" s="94" t="s">
        <v>66</v>
      </c>
      <c r="AL1422" s="94">
        <v>190</v>
      </c>
      <c r="AM1422" s="94" t="str">
        <f>TRIM(AJ1422)&amp;TRIM(AL1422)&amp;TRIM(AK1422)</f>
      </c>
      <c r="AN1422" s="116">
        <v>0</v>
      </c>
      <c r="AO1422" s="116" t="inlineStr">
        <is>
          <t>#NA</t>
        </is>
      </c>
      <c r="AP1422" s="116">
        <f>SUMIFS(M:M,AM:AM,AM1422)+SUMIFS(O:O,AM:AM,AM1422)</f>
      </c>
      <c r="AQ1422" s="116">
        <f>SUMIFS(L:L,AM:AM,AM1422)</f>
      </c>
      <c r="AR1422" s="116">
        <f>AQ1422-AP1422</f>
      </c>
      <c r="AS1422" s="94" t="str">
        <f>IF(AN1422&gt;=AQ1422,"ok","ck")</f>
      </c>
      <c r="AT1422" s="116">
        <f>-P1422</f>
      </c>
      <c r="AU1422" s="115">
        <f>IF(SUMIFS(AT:AT,AM:AM,AM1422)&gt;AO1422,(SUMIFS(AT:AT,AM:AM,AM1422)-AO1422))</f>
      </c>
      <c r="AV1422" s="116">
        <v>0</v>
      </c>
      <c r="AW1422" s="121">
        <v>0</v>
      </c>
      <c r="AX1422" s="115">
        <f>AN1422-AP1422</f>
      </c>
    </row>
    <row r="1423" spans="1:50" ht="15" hidden="1" customHeight="1" x14ac:dyDescent="0.3">
      <c r="A1423" s="94" t="s">
        <v>125</v>
      </c>
      <c r="B1423" s="94"/>
      <c r="C1423" s="94"/>
      <c r="D1423" s="94"/>
      <c r="E1423" s="94"/>
      <c r="F1423" s="94"/>
      <c r="G1423" s="112">
        <f>AU1423</f>
      </c>
      <c r="H1423" s="113"/>
      <c r="I1423" s="94" t="s">
        <v>489</v>
      </c>
      <c r="J1423" s="94" t="s">
        <v>71</v>
      </c>
      <c r="K1423" s="114">
        <f>P1423/3</f>
      </c>
      <c r="L1423" s="115">
        <v>1000</v>
      </c>
      <c r="M1423" s="116"/>
      <c r="N1423" s="117">
        <f>M1423-L1423</f>
      </c>
      <c r="O1423" s="112"/>
      <c r="P1423" s="118">
        <f>N1423+O1423</f>
      </c>
      <c r="Q1423" s="94" t="s">
        <v>819</v>
      </c>
      <c r="R1423" s="94" t="s">
        <v>63</v>
      </c>
      <c r="S1423" s="119">
        <v>46347</v>
      </c>
      <c r="T1423" s="119"/>
      <c r="U1423" s="120" t="s">
        <v>661</v>
      </c>
      <c r="V1423" s="94"/>
      <c r="W1423" s="94"/>
      <c r="X1423" s="94"/>
      <c r="Y1423" s="119">
        <v>46340</v>
      </c>
      <c r="Z1423" s="94"/>
      <c r="AA1423" s="120"/>
      <c r="AB1423" s="120"/>
      <c r="AC1423" s="120"/>
      <c r="AD1423" s="120"/>
      <c r="AE1423" s="120"/>
      <c r="AF1423" s="120"/>
      <c r="AG1423" s="94"/>
      <c r="AH1423" s="120"/>
      <c r="AI1423" s="94"/>
      <c r="AJ1423" s="94" t="s">
        <v>819</v>
      </c>
      <c r="AK1423" s="94" t="s">
        <v>71</v>
      </c>
      <c r="AL1423" s="94">
        <v>190</v>
      </c>
      <c r="AM1423" s="94" t="str">
        <f>TRIM(AJ1423)&amp;TRIM(AL1423)&amp;TRIM(AK1423)</f>
      </c>
      <c r="AN1423" s="116">
        <v>0</v>
      </c>
      <c r="AO1423" s="116" t="inlineStr">
        <is>
          <t>#NA</t>
        </is>
      </c>
      <c r="AP1423" s="116">
        <f>SUMIFS(M:M,AM:AM,AM1423)+SUMIFS(O:O,AM:AM,AM1423)</f>
      </c>
      <c r="AQ1423" s="116">
        <f>SUMIFS(L:L,AM:AM,AM1423)</f>
      </c>
      <c r="AR1423" s="116">
        <f>AQ1423-AP1423</f>
      </c>
      <c r="AS1423" s="94" t="str">
        <f>IF(AN1423&gt;=AQ1423,"ok","ck")</f>
      </c>
      <c r="AT1423" s="116">
        <f>-P1423</f>
      </c>
      <c r="AU1423" s="115">
        <f>IF(SUMIFS(AT:AT,AM:AM,AM1423)&gt;AO1423,(SUMIFS(AT:AT,AM:AM,AM1423)-AO1423))</f>
      </c>
      <c r="AV1423" s="116">
        <v>0</v>
      </c>
      <c r="AW1423" s="121">
        <v>0</v>
      </c>
      <c r="AX1423" s="115">
        <f>AN1423-AP1423</f>
      </c>
    </row>
    <row r="1424" spans="1:50" ht="15" hidden="1" customHeight="1" x14ac:dyDescent="0.3">
      <c r="A1424" s="94" t="s">
        <v>125</v>
      </c>
      <c r="B1424" s="94"/>
      <c r="C1424" s="94"/>
      <c r="D1424" s="94"/>
      <c r="E1424" s="94"/>
      <c r="F1424" s="94"/>
      <c r="G1424" s="112">
        <f>AU1424</f>
      </c>
      <c r="H1424" s="113"/>
      <c r="I1424" s="94" t="s">
        <v>132</v>
      </c>
      <c r="J1424" s="94" t="s">
        <v>71</v>
      </c>
      <c r="K1424" s="114">
        <f>P1424/3</f>
      </c>
      <c r="L1424" s="115">
        <v>0.36</v>
      </c>
      <c r="M1424" s="116">
        <f>L1424</f>
      </c>
      <c r="N1424" s="117">
        <f>M1424-L1424</f>
      </c>
      <c r="O1424" s="112"/>
      <c r="P1424" s="118">
        <f>N1424+O1424</f>
      </c>
      <c r="Q1424" s="94" t="s">
        <v>140</v>
      </c>
      <c r="R1424" s="94" t="s">
        <v>63</v>
      </c>
      <c r="S1424" s="119">
        <v>46327</v>
      </c>
      <c r="T1424" s="119"/>
      <c r="U1424" s="119">
        <v>46327</v>
      </c>
      <c r="V1424" s="94"/>
      <c r="W1424" s="94"/>
      <c r="X1424" s="94"/>
      <c r="Y1424" s="119">
        <v>46320</v>
      </c>
      <c r="Z1424" s="94"/>
      <c r="AA1424" s="120"/>
      <c r="AB1424" s="120"/>
      <c r="AC1424" s="120"/>
      <c r="AD1424" s="120"/>
      <c r="AE1424" s="120"/>
      <c r="AF1424" s="120"/>
      <c r="AG1424" s="94"/>
      <c r="AH1424" s="120"/>
      <c r="AI1424" s="94"/>
      <c r="AJ1424" s="94" t="s">
        <v>140</v>
      </c>
      <c r="AK1424" s="94" t="s">
        <v>71</v>
      </c>
      <c r="AL1424" s="94">
        <v>140</v>
      </c>
      <c r="AM1424" s="94" t="str">
        <f>TRIM(AJ1424)&amp;TRIM(AL1424)&amp;TRIM(AK1424)</f>
      </c>
      <c r="AN1424" s="116">
        <v>112.9</v>
      </c>
      <c r="AO1424" s="116">
        <v>-6.71</v>
      </c>
      <c r="AP1424" s="116">
        <f>SUMIFS(M:M,AM:AM,AM1424)+SUMIFS(O:O,AM:AM,AM1424)</f>
      </c>
      <c r="AQ1424" s="116">
        <f>SUMIFS(L:L,AM:AM,AM1424)</f>
      </c>
      <c r="AR1424" s="116">
        <f>AQ1424-AP1424</f>
      </c>
      <c r="AS1424" s="94" t="str">
        <f>IF(AN1424&gt;=AQ1424,"ok","ck")</f>
      </c>
      <c r="AT1424" s="116">
        <f>-P1424</f>
      </c>
      <c r="AU1424" s="115">
        <f>IF(SUMIFS(AT:AT,AM:AM,AM1424)&gt;AO1424,(SUMIFS(AT:AT,AM:AM,AM1424)-AO1424))</f>
      </c>
      <c r="AV1424" s="116">
        <v>112.9</v>
      </c>
      <c r="AW1424" s="121">
        <v>1.063</v>
      </c>
      <c r="AX1424" s="115">
        <f>AN1424-AP1424</f>
      </c>
    </row>
    <row r="1425" spans="1:50" ht="15" hidden="1" customHeight="1" x14ac:dyDescent="0.3">
      <c r="A1425" s="94" t="s">
        <v>125</v>
      </c>
      <c r="B1425" s="94"/>
      <c r="C1425" s="94"/>
      <c r="D1425" s="94"/>
      <c r="E1425" s="94"/>
      <c r="F1425" s="94"/>
      <c r="G1425" s="112">
        <f>AU1425</f>
      </c>
      <c r="H1425" s="113"/>
      <c r="I1425" s="94" t="s">
        <v>132</v>
      </c>
      <c r="J1425" s="94" t="s">
        <v>71</v>
      </c>
      <c r="K1425" s="114">
        <f>P1425/3</f>
      </c>
      <c r="L1425" s="115">
        <v>0.432</v>
      </c>
      <c r="M1425" s="116">
        <f>L1425</f>
      </c>
      <c r="N1425" s="117">
        <f>M1425-L1425</f>
      </c>
      <c r="O1425" s="112"/>
      <c r="P1425" s="118">
        <f>N1425+O1425</f>
      </c>
      <c r="Q1425" s="94" t="s">
        <v>140</v>
      </c>
      <c r="R1425" s="94" t="s">
        <v>63</v>
      </c>
      <c r="S1425" s="119">
        <v>46327</v>
      </c>
      <c r="T1425" s="119"/>
      <c r="U1425" s="119">
        <v>46327</v>
      </c>
      <c r="V1425" s="94"/>
      <c r="W1425" s="94"/>
      <c r="X1425" s="94"/>
      <c r="Y1425" s="119">
        <v>46320</v>
      </c>
      <c r="Z1425" s="94"/>
      <c r="AA1425" s="120"/>
      <c r="AB1425" s="120"/>
      <c r="AC1425" s="120"/>
      <c r="AD1425" s="120"/>
      <c r="AE1425" s="120"/>
      <c r="AF1425" s="120"/>
      <c r="AG1425" s="94"/>
      <c r="AH1425" s="120"/>
      <c r="AI1425" s="94"/>
      <c r="AJ1425" s="94" t="s">
        <v>140</v>
      </c>
      <c r="AK1425" s="94" t="s">
        <v>71</v>
      </c>
      <c r="AL1425" s="94">
        <v>140</v>
      </c>
      <c r="AM1425" s="94" t="str">
        <f>TRIM(AJ1425)&amp;TRIM(AL1425)&amp;TRIM(AK1425)</f>
      </c>
      <c r="AN1425" s="116">
        <v>112.9</v>
      </c>
      <c r="AO1425" s="116">
        <v>-6.71</v>
      </c>
      <c r="AP1425" s="116">
        <f>SUMIFS(M:M,AM:AM,AM1425)+SUMIFS(O:O,AM:AM,AM1425)</f>
      </c>
      <c r="AQ1425" s="116">
        <f>SUMIFS(L:L,AM:AM,AM1425)</f>
      </c>
      <c r="AR1425" s="116">
        <f>AQ1425-AP1425</f>
      </c>
      <c r="AS1425" s="94" t="str">
        <f>IF(AN1425&gt;=AQ1425,"ok","ck")</f>
      </c>
      <c r="AT1425" s="116">
        <f>-P1425</f>
      </c>
      <c r="AU1425" s="115">
        <f>IF(SUMIFS(AT:AT,AM:AM,AM1425)&gt;AO1425,(SUMIFS(AT:AT,AM:AM,AM1425)-AO1425))</f>
      </c>
      <c r="AV1425" s="116">
        <v>112.9</v>
      </c>
      <c r="AW1425" s="121">
        <v>1.063</v>
      </c>
      <c r="AX1425" s="115">
        <f>AN1425-AP1425</f>
      </c>
    </row>
    <row r="1426" spans="1:50" ht="15" hidden="1" customHeight="1" x14ac:dyDescent="0.3">
      <c r="A1426" s="94" t="s">
        <v>125</v>
      </c>
      <c r="B1426" s="94"/>
      <c r="C1426" s="94"/>
      <c r="D1426" s="94"/>
      <c r="E1426" s="94"/>
      <c r="F1426" s="94"/>
      <c r="G1426" s="112">
        <f>AU1426</f>
      </c>
      <c r="H1426" s="113"/>
      <c r="I1426" s="94" t="s">
        <v>132</v>
      </c>
      <c r="J1426" s="94" t="s">
        <v>71</v>
      </c>
      <c r="K1426" s="114">
        <f>P1426/3</f>
      </c>
      <c r="L1426" s="115">
        <v>13.188000000000001</v>
      </c>
      <c r="M1426" s="116">
        <f>L1426</f>
      </c>
      <c r="N1426" s="117">
        <f>M1426-L1426</f>
      </c>
      <c r="O1426" s="112"/>
      <c r="P1426" s="118">
        <f>N1426+O1426</f>
      </c>
      <c r="Q1426" s="94" t="s">
        <v>140</v>
      </c>
      <c r="R1426" s="94" t="s">
        <v>63</v>
      </c>
      <c r="S1426" s="119">
        <v>46327</v>
      </c>
      <c r="T1426" s="119"/>
      <c r="U1426" s="119">
        <v>46327</v>
      </c>
      <c r="V1426" s="94"/>
      <c r="W1426" s="94"/>
      <c r="X1426" s="94"/>
      <c r="Y1426" s="119">
        <v>46320</v>
      </c>
      <c r="Z1426" s="94"/>
      <c r="AA1426" s="120"/>
      <c r="AB1426" s="120"/>
      <c r="AC1426" s="120"/>
      <c r="AD1426" s="120"/>
      <c r="AE1426" s="120"/>
      <c r="AF1426" s="120"/>
      <c r="AG1426" s="94"/>
      <c r="AH1426" s="120"/>
      <c r="AI1426" s="94"/>
      <c r="AJ1426" s="94" t="s">
        <v>140</v>
      </c>
      <c r="AK1426" s="94" t="s">
        <v>71</v>
      </c>
      <c r="AL1426" s="94">
        <v>140</v>
      </c>
      <c r="AM1426" s="94" t="str">
        <f>TRIM(AJ1426)&amp;TRIM(AL1426)&amp;TRIM(AK1426)</f>
      </c>
      <c r="AN1426" s="116">
        <v>112.9</v>
      </c>
      <c r="AO1426" s="116">
        <v>-6.71</v>
      </c>
      <c r="AP1426" s="116">
        <f>SUMIFS(M:M,AM:AM,AM1426)+SUMIFS(O:O,AM:AM,AM1426)</f>
      </c>
      <c r="AQ1426" s="116">
        <f>SUMIFS(L:L,AM:AM,AM1426)</f>
      </c>
      <c r="AR1426" s="116">
        <f>AQ1426-AP1426</f>
      </c>
      <c r="AS1426" s="94" t="str">
        <f>IF(AN1426&gt;=AQ1426,"ok","ck")</f>
      </c>
      <c r="AT1426" s="116">
        <f>-P1426</f>
      </c>
      <c r="AU1426" s="115">
        <f>IF(SUMIFS(AT:AT,AM:AM,AM1426)&gt;AO1426,(SUMIFS(AT:AT,AM:AM,AM1426)-AO1426))</f>
      </c>
      <c r="AV1426" s="116">
        <v>112.9</v>
      </c>
      <c r="AW1426" s="121">
        <v>1.063</v>
      </c>
      <c r="AX1426" s="115">
        <f>AN1426-AP1426</f>
      </c>
    </row>
    <row r="1427" spans="1:50" ht="15" hidden="1" customHeight="1" x14ac:dyDescent="0.3">
      <c r="A1427" s="94" t="s">
        <v>125</v>
      </c>
      <c r="B1427" s="94"/>
      <c r="C1427" s="94"/>
      <c r="D1427" s="94"/>
      <c r="E1427" s="94"/>
      <c r="F1427" s="94"/>
      <c r="G1427" s="112">
        <f>AU1427</f>
      </c>
      <c r="H1427" s="113"/>
      <c r="I1427" s="94" t="s">
        <v>489</v>
      </c>
      <c r="J1427" s="94" t="s">
        <v>71</v>
      </c>
      <c r="K1427" s="114">
        <f>P1427/3</f>
      </c>
      <c r="L1427" s="115">
        <v>1000</v>
      </c>
      <c r="M1427" s="116"/>
      <c r="N1427" s="117">
        <f>M1427-L1427</f>
      </c>
      <c r="O1427" s="112"/>
      <c r="P1427" s="118">
        <f>N1427+O1427</f>
      </c>
      <c r="Q1427" s="94" t="s">
        <v>819</v>
      </c>
      <c r="R1427" s="94" t="s">
        <v>63</v>
      </c>
      <c r="S1427" s="119">
        <v>46348</v>
      </c>
      <c r="T1427" s="119"/>
      <c r="U1427" s="119" t="s">
        <v>661</v>
      </c>
      <c r="V1427" s="94"/>
      <c r="W1427" s="94"/>
      <c r="X1427" s="94"/>
      <c r="Y1427" s="119">
        <v>46328</v>
      </c>
      <c r="Z1427" s="94"/>
      <c r="AA1427" s="120"/>
      <c r="AB1427" s="120"/>
      <c r="AC1427" s="120"/>
      <c r="AD1427" s="120"/>
      <c r="AE1427" s="120"/>
      <c r="AF1427" s="120"/>
      <c r="AG1427" s="94"/>
      <c r="AH1427" s="120"/>
      <c r="AI1427" s="94"/>
      <c r="AJ1427" s="94" t="s">
        <v>819</v>
      </c>
      <c r="AK1427" s="94" t="s">
        <v>71</v>
      </c>
      <c r="AL1427" s="94">
        <v>190</v>
      </c>
      <c r="AM1427" s="94" t="str">
        <f>TRIM(AJ1427)&amp;TRIM(AL1427)&amp;TRIM(AK1427)</f>
      </c>
      <c r="AN1427" s="116">
        <v>0</v>
      </c>
      <c r="AO1427" s="116" t="inlineStr">
        <is>
          <t>#NA</t>
        </is>
      </c>
      <c r="AP1427" s="116">
        <f>SUMIFS(M:M,AM:AM,AM1427)+SUMIFS(O:O,AM:AM,AM1427)</f>
      </c>
      <c r="AQ1427" s="116">
        <f>SUMIFS(L:L,AM:AM,AM1427)</f>
      </c>
      <c r="AR1427" s="116">
        <f>AQ1427-AP1427</f>
      </c>
      <c r="AS1427" s="94" t="str">
        <f>IF(AN1427&gt;=AQ1427,"ok","ck")</f>
      </c>
      <c r="AT1427" s="116">
        <f>-P1427</f>
      </c>
      <c r="AU1427" s="115">
        <f>IF(SUMIFS(AT:AT,AM:AM,AM1427)&gt;AO1427,(SUMIFS(AT:AT,AM:AM,AM1427)-AO1427))</f>
      </c>
      <c r="AV1427" s="116">
        <v>0</v>
      </c>
      <c r="AW1427" s="121">
        <v>0</v>
      </c>
      <c r="AX1427" s="115">
        <f>AN1427-AP1427</f>
      </c>
    </row>
    <row r="1428" spans="1:50" ht="15" hidden="1" customHeight="1" x14ac:dyDescent="0.3">
      <c r="A1428" s="94" t="s">
        <v>125</v>
      </c>
      <c r="B1428" s="94"/>
      <c r="C1428" s="94"/>
      <c r="D1428" s="94"/>
      <c r="E1428" s="94"/>
      <c r="F1428" s="94"/>
      <c r="G1428" s="112">
        <f>AU1428</f>
      </c>
      <c r="H1428" s="113"/>
      <c r="I1428" s="94" t="s">
        <v>489</v>
      </c>
      <c r="J1428" s="94" t="s">
        <v>71</v>
      </c>
      <c r="K1428" s="114">
        <f>P1428/3</f>
      </c>
      <c r="L1428" s="115">
        <v>1767.5070000000001</v>
      </c>
      <c r="M1428" s="116"/>
      <c r="N1428" s="117">
        <f>M1428-L1428</f>
      </c>
      <c r="O1428" s="112"/>
      <c r="P1428" s="118">
        <f>N1428+O1428</f>
      </c>
      <c r="Q1428" s="94" t="s">
        <v>819</v>
      </c>
      <c r="R1428" s="94" t="s">
        <v>63</v>
      </c>
      <c r="S1428" s="119">
        <v>46349</v>
      </c>
      <c r="T1428" s="119"/>
      <c r="U1428" s="119" t="s">
        <v>661</v>
      </c>
      <c r="V1428" s="94"/>
      <c r="W1428" s="94"/>
      <c r="X1428" s="94"/>
      <c r="Y1428" s="119">
        <v>46328</v>
      </c>
      <c r="Z1428" s="94"/>
      <c r="AA1428" s="120"/>
      <c r="AB1428" s="120"/>
      <c r="AC1428" s="120"/>
      <c r="AD1428" s="120"/>
      <c r="AE1428" s="120"/>
      <c r="AF1428" s="120"/>
      <c r="AG1428" s="94"/>
      <c r="AH1428" s="120"/>
      <c r="AI1428" s="94"/>
      <c r="AJ1428" s="94" t="s">
        <v>819</v>
      </c>
      <c r="AK1428" s="94" t="s">
        <v>71</v>
      </c>
      <c r="AL1428" s="94">
        <v>190</v>
      </c>
      <c r="AM1428" s="94" t="str">
        <f>TRIM(AJ1428)&amp;TRIM(AL1428)&amp;TRIM(AK1428)</f>
      </c>
      <c r="AN1428" s="116">
        <v>0</v>
      </c>
      <c r="AO1428" s="116" t="inlineStr">
        <is>
          <t>#NA</t>
        </is>
      </c>
      <c r="AP1428" s="116">
        <f>SUMIFS(M:M,AM:AM,AM1428)+SUMIFS(O:O,AM:AM,AM1428)</f>
      </c>
      <c r="AQ1428" s="116">
        <f>SUMIFS(L:L,AM:AM,AM1428)</f>
      </c>
      <c r="AR1428" s="116">
        <f>AQ1428-AP1428</f>
      </c>
      <c r="AS1428" s="94" t="str">
        <f>IF(AN1428&gt;=AQ1428,"ok","ck")</f>
      </c>
      <c r="AT1428" s="116">
        <f>-P1428</f>
      </c>
      <c r="AU1428" s="115">
        <f>IF(SUMIFS(AT:AT,AM:AM,AM1428)&gt;AO1428,(SUMIFS(AT:AT,AM:AM,AM1428)-AO1428))</f>
      </c>
      <c r="AV1428" s="116">
        <v>0</v>
      </c>
      <c r="AW1428" s="121">
        <v>0</v>
      </c>
      <c r="AX1428" s="115">
        <f>AN1428-AP1428</f>
      </c>
    </row>
    <row r="1429" spans="1:50" ht="15" hidden="1" customHeight="1" x14ac:dyDescent="0.3">
      <c r="A1429" s="94" t="s">
        <v>125</v>
      </c>
      <c r="B1429" s="94"/>
      <c r="C1429" s="94"/>
      <c r="D1429" s="94"/>
      <c r="E1429" s="94"/>
      <c r="F1429" s="94"/>
      <c r="G1429" s="112">
        <f>AU1429</f>
      </c>
      <c r="H1429" s="113"/>
      <c r="I1429" s="94" t="s">
        <v>132</v>
      </c>
      <c r="J1429" s="94" t="s">
        <v>66</v>
      </c>
      <c r="K1429" s="114">
        <f>P1429/3</f>
      </c>
      <c r="L1429" s="115">
        <v>108</v>
      </c>
      <c r="M1429" s="116">
        <f>L1429</f>
      </c>
      <c r="N1429" s="117">
        <f>M1429-L1429</f>
      </c>
      <c r="O1429" s="112"/>
      <c r="P1429" s="118">
        <f>N1429+O1429</f>
      </c>
      <c r="Q1429" s="94" t="s">
        <v>821</v>
      </c>
      <c r="R1429" s="94" t="s">
        <v>63</v>
      </c>
      <c r="S1429" s="119">
        <v>46327</v>
      </c>
      <c r="T1429" s="119"/>
      <c r="U1429" s="120">
        <v>46327</v>
      </c>
      <c r="V1429" s="94"/>
      <c r="W1429" s="94"/>
      <c r="X1429" s="94"/>
      <c r="Y1429" s="119">
        <v>46323</v>
      </c>
      <c r="Z1429" s="94"/>
      <c r="AA1429" s="120"/>
      <c r="AB1429" s="120"/>
      <c r="AC1429" s="120"/>
      <c r="AD1429" s="120"/>
      <c r="AE1429" s="120"/>
      <c r="AF1429" s="120"/>
      <c r="AG1429" s="94"/>
      <c r="AH1429" s="120"/>
      <c r="AI1429" s="94"/>
      <c r="AJ1429" s="94" t="s">
        <v>821</v>
      </c>
      <c r="AK1429" s="94" t="s">
        <v>66</v>
      </c>
      <c r="AL1429" s="94">
        <v>140</v>
      </c>
      <c r="AM1429" s="94" t="str">
        <f>TRIM(AJ1429)&amp;TRIM(AL1429)&amp;TRIM(AK1429)</f>
      </c>
      <c r="AN1429" s="116">
        <v>2665</v>
      </c>
      <c r="AO1429" s="116">
        <v>-51.98</v>
      </c>
      <c r="AP1429" s="116">
        <f>SUMIFS(M:M,AM:AM,AM1429)+SUMIFS(O:O,AM:AM,AM1429)</f>
      </c>
      <c r="AQ1429" s="116">
        <f>SUMIFS(L:L,AM:AM,AM1429)</f>
      </c>
      <c r="AR1429" s="116">
        <f>AQ1429-AP1429</f>
      </c>
      <c r="AS1429" s="94" t="str">
        <f>IF(AN1429&gt;=AQ1429,"ok","ck")</f>
      </c>
      <c r="AT1429" s="116">
        <f>-P1429</f>
      </c>
      <c r="AU1429" s="115">
        <f>IF(SUMIFS(AT:AT,AM:AM,AM1429)&gt;AO1429,(SUMIFS(AT:AT,AM:AM,AM1429)-AO1429))</f>
      </c>
      <c r="AV1429" s="116">
        <v>2665</v>
      </c>
      <c r="AW1429" s="121">
        <v>1.02</v>
      </c>
      <c r="AX1429" s="115">
        <f>AN1429-AP1429</f>
      </c>
    </row>
    <row r="1430" spans="1:50" ht="15" hidden="1" customHeight="1" x14ac:dyDescent="0.3">
      <c r="A1430" s="94" t="s">
        <v>125</v>
      </c>
      <c r="B1430" s="94"/>
      <c r="C1430" s="94"/>
      <c r="D1430" s="94"/>
      <c r="E1430" s="94"/>
      <c r="F1430" s="94"/>
      <c r="G1430" s="112">
        <f>AU1430</f>
      </c>
      <c r="H1430" s="113"/>
      <c r="I1430" s="94" t="s">
        <v>132</v>
      </c>
      <c r="J1430" s="94" t="s">
        <v>66</v>
      </c>
      <c r="K1430" s="114">
        <f>P1430/3</f>
      </c>
      <c r="L1430" s="115">
        <v>132</v>
      </c>
      <c r="M1430" s="116">
        <f>L1430</f>
      </c>
      <c r="N1430" s="117">
        <f>M1430-L1430</f>
      </c>
      <c r="O1430" s="112"/>
      <c r="P1430" s="118">
        <f>N1430+O1430</f>
      </c>
      <c r="Q1430" s="94" t="s">
        <v>821</v>
      </c>
      <c r="R1430" s="94" t="s">
        <v>63</v>
      </c>
      <c r="S1430" s="119">
        <v>46327</v>
      </c>
      <c r="T1430" s="119"/>
      <c r="U1430" s="120">
        <v>46327</v>
      </c>
      <c r="V1430" s="94"/>
      <c r="W1430" s="94"/>
      <c r="X1430" s="94"/>
      <c r="Y1430" s="119">
        <v>46327</v>
      </c>
      <c r="Z1430" s="94"/>
      <c r="AA1430" s="120"/>
      <c r="AB1430" s="120"/>
      <c r="AC1430" s="120"/>
      <c r="AD1430" s="120"/>
      <c r="AE1430" s="120"/>
      <c r="AF1430" s="120"/>
      <c r="AG1430" s="94"/>
      <c r="AH1430" s="120"/>
      <c r="AI1430" s="94"/>
      <c r="AJ1430" s="94" t="s">
        <v>821</v>
      </c>
      <c r="AK1430" s="94" t="s">
        <v>66</v>
      </c>
      <c r="AL1430" s="94">
        <v>140</v>
      </c>
      <c r="AM1430" s="94" t="str">
        <f>TRIM(AJ1430)&amp;TRIM(AL1430)&amp;TRIM(AK1430)</f>
      </c>
      <c r="AN1430" s="116">
        <v>2665</v>
      </c>
      <c r="AO1430" s="116">
        <v>-51.98</v>
      </c>
      <c r="AP1430" s="116">
        <f>SUMIFS(M:M,AM:AM,AM1430)+SUMIFS(O:O,AM:AM,AM1430)</f>
      </c>
      <c r="AQ1430" s="116">
        <f>SUMIFS(L:L,AM:AM,AM1430)</f>
      </c>
      <c r="AR1430" s="116">
        <f>AQ1430-AP1430</f>
      </c>
      <c r="AS1430" s="94" t="str">
        <f>IF(AN1430&gt;=AQ1430,"ok","ck")</f>
      </c>
      <c r="AT1430" s="116">
        <f>-P1430</f>
      </c>
      <c r="AU1430" s="115">
        <f>IF(SUMIFS(AT:AT,AM:AM,AM1430)&gt;AO1430,(SUMIFS(AT:AT,AM:AM,AM1430)-AO1430))</f>
      </c>
      <c r="AV1430" s="116">
        <v>2665</v>
      </c>
      <c r="AW1430" s="121">
        <v>1.02</v>
      </c>
      <c r="AX1430" s="115">
        <f>AN1430-AP1430</f>
      </c>
    </row>
    <row r="1431" spans="1:50" ht="15" hidden="1" customHeight="1" x14ac:dyDescent="0.3">
      <c r="A1431" s="94" t="s">
        <v>125</v>
      </c>
      <c r="B1431" s="94"/>
      <c r="C1431" s="94"/>
      <c r="D1431" s="94"/>
      <c r="E1431" s="94"/>
      <c r="F1431" s="94"/>
      <c r="G1431" s="112">
        <f>AU1431</f>
      </c>
      <c r="H1431" s="113"/>
      <c r="I1431" s="94" t="s">
        <v>132</v>
      </c>
      <c r="J1431" s="94" t="s">
        <v>66</v>
      </c>
      <c r="K1431" s="114">
        <f>P1431/3</f>
      </c>
      <c r="L1431" s="115">
        <v>200.4</v>
      </c>
      <c r="M1431" s="116">
        <f>L1431</f>
      </c>
      <c r="N1431" s="117">
        <f>M1431-L1431</f>
      </c>
      <c r="O1431" s="112"/>
      <c r="P1431" s="118">
        <f>N1431+O1431</f>
      </c>
      <c r="Q1431" s="94" t="s">
        <v>821</v>
      </c>
      <c r="R1431" s="94" t="s">
        <v>63</v>
      </c>
      <c r="S1431" s="119">
        <v>46327</v>
      </c>
      <c r="T1431" s="119"/>
      <c r="U1431" s="120">
        <v>46327</v>
      </c>
      <c r="V1431" s="94"/>
      <c r="W1431" s="94"/>
      <c r="X1431" s="94"/>
      <c r="Y1431" s="119">
        <v>46337</v>
      </c>
      <c r="Z1431" s="94"/>
      <c r="AA1431" s="120"/>
      <c r="AB1431" s="120"/>
      <c r="AC1431" s="120"/>
      <c r="AD1431" s="120"/>
      <c r="AE1431" s="120"/>
      <c r="AF1431" s="120"/>
      <c r="AG1431" s="94"/>
      <c r="AH1431" s="120"/>
      <c r="AI1431" s="94"/>
      <c r="AJ1431" s="94" t="s">
        <v>821</v>
      </c>
      <c r="AK1431" s="94" t="s">
        <v>66</v>
      </c>
      <c r="AL1431" s="94">
        <v>140</v>
      </c>
      <c r="AM1431" s="94" t="str">
        <f>TRIM(AJ1431)&amp;TRIM(AL1431)&amp;TRIM(AK1431)</f>
      </c>
      <c r="AN1431" s="116">
        <v>2665</v>
      </c>
      <c r="AO1431" s="116">
        <v>-51.98</v>
      </c>
      <c r="AP1431" s="116">
        <f>SUMIFS(M:M,AM:AM,AM1431)+SUMIFS(O:O,AM:AM,AM1431)</f>
      </c>
      <c r="AQ1431" s="116">
        <f>SUMIFS(L:L,AM:AM,AM1431)</f>
      </c>
      <c r="AR1431" s="116">
        <f>AQ1431-AP1431</f>
      </c>
      <c r="AS1431" s="94" t="str">
        <f>IF(AN1431&gt;=AQ1431,"ok","ck")</f>
      </c>
      <c r="AT1431" s="116">
        <f>-P1431</f>
      </c>
      <c r="AU1431" s="115">
        <f>IF(SUMIFS(AT:AT,AM:AM,AM1431)&gt;AO1431,(SUMIFS(AT:AT,AM:AM,AM1431)-AO1431))</f>
      </c>
      <c r="AV1431" s="116">
        <v>2665</v>
      </c>
      <c r="AW1431" s="121">
        <v>1.02</v>
      </c>
      <c r="AX1431" s="115">
        <f>AN1431-AP1431</f>
      </c>
    </row>
    <row r="1432" spans="1:50" ht="15" hidden="1" customHeight="1" x14ac:dyDescent="0.3">
      <c r="A1432" s="94" t="s">
        <v>125</v>
      </c>
      <c r="B1432" s="94"/>
      <c r="C1432" s="94"/>
      <c r="D1432" s="94"/>
      <c r="E1432" s="94"/>
      <c r="F1432" s="94"/>
      <c r="G1432" s="112">
        <f>AU1432</f>
      </c>
      <c r="H1432" s="113"/>
      <c r="I1432" s="94" t="s">
        <v>132</v>
      </c>
      <c r="J1432" s="94" t="s">
        <v>66</v>
      </c>
      <c r="K1432" s="114">
        <f>P1432/3</f>
      </c>
      <c r="L1432" s="115">
        <v>60</v>
      </c>
      <c r="M1432" s="116">
        <f>L1432</f>
      </c>
      <c r="N1432" s="117">
        <f>M1432-L1432</f>
      </c>
      <c r="O1432" s="112"/>
      <c r="P1432" s="118">
        <f>N1432+O1432</f>
      </c>
      <c r="Q1432" s="94" t="s">
        <v>821</v>
      </c>
      <c r="R1432" s="94" t="s">
        <v>63</v>
      </c>
      <c r="S1432" s="119">
        <v>46327</v>
      </c>
      <c r="T1432" s="119"/>
      <c r="U1432" s="119">
        <v>46327</v>
      </c>
      <c r="V1432" s="94"/>
      <c r="W1432" s="94"/>
      <c r="X1432" s="94"/>
      <c r="Y1432" s="119">
        <v>46331</v>
      </c>
      <c r="Z1432" s="94"/>
      <c r="AA1432" s="120"/>
      <c r="AB1432" s="120"/>
      <c r="AC1432" s="120"/>
      <c r="AD1432" s="120"/>
      <c r="AE1432" s="120"/>
      <c r="AF1432" s="120"/>
      <c r="AG1432" s="94"/>
      <c r="AH1432" s="120"/>
      <c r="AI1432" s="94"/>
      <c r="AJ1432" s="94" t="s">
        <v>821</v>
      </c>
      <c r="AK1432" s="94" t="s">
        <v>66</v>
      </c>
      <c r="AL1432" s="94">
        <v>140</v>
      </c>
      <c r="AM1432" s="94" t="str">
        <f>TRIM(AJ1432)&amp;TRIM(AL1432)&amp;TRIM(AK1432)</f>
      </c>
      <c r="AN1432" s="116">
        <v>2665</v>
      </c>
      <c r="AO1432" s="116">
        <v>-51.98</v>
      </c>
      <c r="AP1432" s="116">
        <f>SUMIFS(M:M,AM:AM,AM1432)+SUMIFS(O:O,AM:AM,AM1432)</f>
      </c>
      <c r="AQ1432" s="116">
        <f>SUMIFS(L:L,AM:AM,AM1432)</f>
      </c>
      <c r="AR1432" s="116">
        <f>AQ1432-AP1432</f>
      </c>
      <c r="AS1432" s="94" t="str">
        <f>IF(AN1432&gt;=AQ1432,"ok","ck")</f>
      </c>
      <c r="AT1432" s="116">
        <f>-P1432</f>
      </c>
      <c r="AU1432" s="115">
        <f>IF(SUMIFS(AT:AT,AM:AM,AM1432)&gt;AO1432,(SUMIFS(AT:AT,AM:AM,AM1432)-AO1432))</f>
      </c>
      <c r="AV1432" s="116">
        <v>2665</v>
      </c>
      <c r="AW1432" s="121">
        <v>1.02</v>
      </c>
      <c r="AX1432" s="115">
        <f>AN1432-AP1432</f>
      </c>
    </row>
    <row r="1433" spans="1:50" ht="15" hidden="1" customHeight="1" x14ac:dyDescent="0.3">
      <c r="A1433" s="94" t="s">
        <v>125</v>
      </c>
      <c r="B1433" s="94"/>
      <c r="C1433" s="94"/>
      <c r="D1433" s="94"/>
      <c r="E1433" s="94"/>
      <c r="F1433" s="94"/>
      <c r="G1433" s="112">
        <f>AU1433</f>
      </c>
      <c r="H1433" s="113"/>
      <c r="I1433" s="94" t="s">
        <v>132</v>
      </c>
      <c r="J1433" s="94" t="s">
        <v>66</v>
      </c>
      <c r="K1433" s="114">
        <f>P1433/3</f>
      </c>
      <c r="L1433" s="115">
        <v>480</v>
      </c>
      <c r="M1433" s="116">
        <f>L1433</f>
      </c>
      <c r="N1433" s="117">
        <f>M1433-L1433</f>
      </c>
      <c r="O1433" s="112"/>
      <c r="P1433" s="118">
        <f>N1433+O1433</f>
      </c>
      <c r="Q1433" s="94" t="s">
        <v>821</v>
      </c>
      <c r="R1433" s="94" t="s">
        <v>63</v>
      </c>
      <c r="S1433" s="119">
        <v>46327</v>
      </c>
      <c r="T1433" s="119"/>
      <c r="U1433" s="119">
        <v>46327</v>
      </c>
      <c r="V1433" s="94"/>
      <c r="W1433" s="94"/>
      <c r="X1433" s="94"/>
      <c r="Y1433" s="119">
        <v>46334</v>
      </c>
      <c r="Z1433" s="94"/>
      <c r="AA1433" s="120"/>
      <c r="AB1433" s="120"/>
      <c r="AC1433" s="120"/>
      <c r="AD1433" s="120"/>
      <c r="AE1433" s="120"/>
      <c r="AF1433" s="120"/>
      <c r="AG1433" s="94"/>
      <c r="AH1433" s="120"/>
      <c r="AI1433" s="94"/>
      <c r="AJ1433" s="94" t="s">
        <v>821</v>
      </c>
      <c r="AK1433" s="94" t="s">
        <v>66</v>
      </c>
      <c r="AL1433" s="94">
        <v>140</v>
      </c>
      <c r="AM1433" s="94" t="str">
        <f>TRIM(AJ1433)&amp;TRIM(AL1433)&amp;TRIM(AK1433)</f>
      </c>
      <c r="AN1433" s="116">
        <v>2665</v>
      </c>
      <c r="AO1433" s="116">
        <v>-51.98</v>
      </c>
      <c r="AP1433" s="116">
        <f>SUMIFS(M:M,AM:AM,AM1433)+SUMIFS(O:O,AM:AM,AM1433)</f>
      </c>
      <c r="AQ1433" s="116">
        <f>SUMIFS(L:L,AM:AM,AM1433)</f>
      </c>
      <c r="AR1433" s="116">
        <f>AQ1433-AP1433</f>
      </c>
      <c r="AS1433" s="94" t="str">
        <f>IF(AN1433&gt;=AQ1433,"ok","ck")</f>
      </c>
      <c r="AT1433" s="116">
        <f>-P1433</f>
      </c>
      <c r="AU1433" s="115">
        <f>IF(SUMIFS(AT:AT,AM:AM,AM1433)&gt;AO1433,(SUMIFS(AT:AT,AM:AM,AM1433)-AO1433))</f>
      </c>
      <c r="AV1433" s="116">
        <v>2665</v>
      </c>
      <c r="AW1433" s="121">
        <v>1.02</v>
      </c>
      <c r="AX1433" s="115">
        <f>AN1433-AP1433</f>
      </c>
    </row>
    <row r="1434" spans="1:50" ht="15" hidden="1" customHeight="1" x14ac:dyDescent="0.3">
      <c r="A1434" s="94" t="s">
        <v>125</v>
      </c>
      <c r="B1434" s="94"/>
      <c r="C1434" s="94"/>
      <c r="D1434" s="94"/>
      <c r="E1434" s="94"/>
      <c r="F1434" s="94"/>
      <c r="G1434" s="112">
        <f>AU1434</f>
      </c>
      <c r="H1434" s="113"/>
      <c r="I1434" s="94" t="s">
        <v>132</v>
      </c>
      <c r="J1434" s="94" t="s">
        <v>66</v>
      </c>
      <c r="K1434" s="114">
        <f>P1434/3</f>
      </c>
      <c r="L1434" s="115">
        <v>85.85</v>
      </c>
      <c r="M1434" s="116">
        <f>L1434</f>
      </c>
      <c r="N1434" s="117">
        <f>M1434-L1434</f>
      </c>
      <c r="O1434" s="112"/>
      <c r="P1434" s="118">
        <f>N1434+O1434</f>
      </c>
      <c r="Q1434" s="94" t="s">
        <v>139</v>
      </c>
      <c r="R1434" s="94" t="s">
        <v>63</v>
      </c>
      <c r="S1434" s="119">
        <v>46327</v>
      </c>
      <c r="T1434" s="119"/>
      <c r="U1434" s="119">
        <v>46327</v>
      </c>
      <c r="V1434" s="94"/>
      <c r="W1434" s="94"/>
      <c r="X1434" s="94"/>
      <c r="Y1434" s="119">
        <v>46320</v>
      </c>
      <c r="Z1434" s="94"/>
      <c r="AA1434" s="120"/>
      <c r="AB1434" s="120"/>
      <c r="AC1434" s="120"/>
      <c r="AD1434" s="120"/>
      <c r="AE1434" s="120"/>
      <c r="AF1434" s="120"/>
      <c r="AG1434" s="94"/>
      <c r="AH1434" s="120"/>
      <c r="AI1434" s="94"/>
      <c r="AJ1434" s="94" t="s">
        <v>139</v>
      </c>
      <c r="AK1434" s="94" t="s">
        <v>66</v>
      </c>
      <c r="AL1434" s="94">
        <v>140</v>
      </c>
      <c r="AM1434" s="94" t="str">
        <f>TRIM(AJ1434)&amp;TRIM(AL1434)&amp;TRIM(AK1434)</f>
      </c>
      <c r="AN1434" s="116">
        <v>1244.86</v>
      </c>
      <c r="AO1434" s="116">
        <v>8.78</v>
      </c>
      <c r="AP1434" s="116">
        <f>SUMIFS(M:M,AM:AM,AM1434)+SUMIFS(O:O,AM:AM,AM1434)</f>
      </c>
      <c r="AQ1434" s="116">
        <f>SUMIFS(L:L,AM:AM,AM1434)</f>
      </c>
      <c r="AR1434" s="116">
        <f>AQ1434-AP1434</f>
      </c>
      <c r="AS1434" s="94" t="str">
        <f>IF(AN1434&gt;=AQ1434,"ok","ck")</f>
      </c>
      <c r="AT1434" s="116">
        <f>-P1434</f>
      </c>
      <c r="AU1434" s="115">
        <f>IF(SUMIFS(AT:AT,AM:AM,AM1434)&gt;AO1434,(SUMIFS(AT:AT,AM:AM,AM1434)-AO1434))</f>
      </c>
      <c r="AV1434" s="116">
        <v>1244.86</v>
      </c>
      <c r="AW1434" s="121">
        <v>0.993</v>
      </c>
      <c r="AX1434" s="115">
        <f>AN1434-AP1434</f>
      </c>
    </row>
    <row r="1435" spans="1:50" ht="15" hidden="1" customHeight="1" x14ac:dyDescent="0.3">
      <c r="A1435" s="94" t="s">
        <v>125</v>
      </c>
      <c r="B1435" s="94"/>
      <c r="C1435" s="94"/>
      <c r="D1435" s="94"/>
      <c r="E1435" s="94"/>
      <c r="F1435" s="94"/>
      <c r="G1435" s="112">
        <f>AU1435</f>
      </c>
      <c r="H1435" s="113"/>
      <c r="I1435" s="94" t="s">
        <v>133</v>
      </c>
      <c r="J1435" s="94" t="s">
        <v>66</v>
      </c>
      <c r="K1435" s="114">
        <f>P1435/3</f>
      </c>
      <c r="L1435" s="115">
        <v>1188</v>
      </c>
      <c r="M1435" s="116">
        <f>L1435</f>
      </c>
      <c r="N1435" s="117">
        <f>M1435-L1435</f>
      </c>
      <c r="O1435" s="112"/>
      <c r="P1435" s="118">
        <f>N1435+O1435</f>
      </c>
      <c r="Q1435" s="94" t="s">
        <v>139</v>
      </c>
      <c r="R1435" s="94" t="s">
        <v>63</v>
      </c>
      <c r="S1435" s="119">
        <v>46327</v>
      </c>
      <c r="T1435" s="119"/>
      <c r="U1435" s="119">
        <v>46327</v>
      </c>
      <c r="V1435" s="94"/>
      <c r="W1435" s="94"/>
      <c r="X1435" s="94"/>
      <c r="Y1435" s="119">
        <v>46320</v>
      </c>
      <c r="Z1435" s="94"/>
      <c r="AA1435" s="120"/>
      <c r="AB1435" s="120"/>
      <c r="AC1435" s="120"/>
      <c r="AD1435" s="120"/>
      <c r="AE1435" s="120"/>
      <c r="AF1435" s="120"/>
      <c r="AG1435" s="94"/>
      <c r="AH1435" s="120"/>
      <c r="AI1435" s="94"/>
      <c r="AJ1435" s="94" t="s">
        <v>139</v>
      </c>
      <c r="AK1435" s="94" t="s">
        <v>66</v>
      </c>
      <c r="AL1435" s="94">
        <v>160</v>
      </c>
      <c r="AM1435" s="94" t="str">
        <f>TRIM(AJ1435)&amp;TRIM(AL1435)&amp;TRIM(AK1435)</f>
      </c>
      <c r="AN1435" s="116">
        <v>12929.46</v>
      </c>
      <c r="AO1435" s="116">
        <v>-265.38</v>
      </c>
      <c r="AP1435" s="116">
        <f>SUMIFS(M:M,AM:AM,AM1435)+SUMIFS(O:O,AM:AM,AM1435)</f>
      </c>
      <c r="AQ1435" s="116">
        <f>SUMIFS(L:L,AM:AM,AM1435)</f>
      </c>
      <c r="AR1435" s="116">
        <f>AQ1435-AP1435</f>
      </c>
      <c r="AS1435" s="94" t="str">
        <f>IF(AN1435&gt;=AQ1435,"ok","ck")</f>
      </c>
      <c r="AT1435" s="116">
        <f>-P1435</f>
      </c>
      <c r="AU1435" s="115">
        <f>IF(SUMIFS(AT:AT,AM:AM,AM1435)&gt;AO1435,(SUMIFS(AT:AT,AM:AM,AM1435)-AO1435))</f>
      </c>
      <c r="AV1435" s="116">
        <v>12929.46</v>
      </c>
      <c r="AW1435" s="121">
        <v>1.021</v>
      </c>
      <c r="AX1435" s="115">
        <f>AN1435-AP1435</f>
      </c>
    </row>
    <row r="1436" spans="1:50" ht="15" hidden="1" customHeight="1" x14ac:dyDescent="0.3">
      <c r="A1436" s="94" t="s">
        <v>125</v>
      </c>
      <c r="B1436" s="94"/>
      <c r="C1436" s="94"/>
      <c r="D1436" s="94"/>
      <c r="E1436" s="94"/>
      <c r="F1436" s="94"/>
      <c r="G1436" s="112">
        <f>AU1436</f>
      </c>
      <c r="H1436" s="113"/>
      <c r="I1436" s="94" t="s">
        <v>133</v>
      </c>
      <c r="J1436" s="94" t="s">
        <v>66</v>
      </c>
      <c r="K1436" s="114">
        <f>P1436/3</f>
      </c>
      <c r="L1436" s="115">
        <v>867.24</v>
      </c>
      <c r="M1436" s="116">
        <f>L1436</f>
      </c>
      <c r="N1436" s="117">
        <f>M1436-L1436</f>
      </c>
      <c r="O1436" s="112"/>
      <c r="P1436" s="118">
        <f>N1436+O1436</f>
      </c>
      <c r="Q1436" s="94" t="s">
        <v>139</v>
      </c>
      <c r="R1436" s="94" t="s">
        <v>63</v>
      </c>
      <c r="S1436" s="119">
        <v>46327</v>
      </c>
      <c r="T1436" s="119"/>
      <c r="U1436" s="119">
        <v>46327</v>
      </c>
      <c r="V1436" s="94"/>
      <c r="W1436" s="94"/>
      <c r="X1436" s="94"/>
      <c r="Y1436" s="119">
        <v>46320</v>
      </c>
      <c r="Z1436" s="94"/>
      <c r="AA1436" s="120"/>
      <c r="AB1436" s="120"/>
      <c r="AC1436" s="120"/>
      <c r="AD1436" s="120"/>
      <c r="AE1436" s="120"/>
      <c r="AF1436" s="120"/>
      <c r="AG1436" s="94"/>
      <c r="AH1436" s="120"/>
      <c r="AI1436" s="94"/>
      <c r="AJ1436" s="94" t="s">
        <v>139</v>
      </c>
      <c r="AK1436" s="94" t="s">
        <v>66</v>
      </c>
      <c r="AL1436" s="94">
        <v>160</v>
      </c>
      <c r="AM1436" s="94" t="str">
        <f>TRIM(AJ1436)&amp;TRIM(AL1436)&amp;TRIM(AK1436)</f>
      </c>
      <c r="AN1436" s="116">
        <v>12929.46</v>
      </c>
      <c r="AO1436" s="116">
        <v>-265.38</v>
      </c>
      <c r="AP1436" s="116">
        <f>SUMIFS(M:M,AM:AM,AM1436)+SUMIFS(O:O,AM:AM,AM1436)</f>
      </c>
      <c r="AQ1436" s="116">
        <f>SUMIFS(L:L,AM:AM,AM1436)</f>
      </c>
      <c r="AR1436" s="116">
        <f>AQ1436-AP1436</f>
      </c>
      <c r="AS1436" s="94" t="str">
        <f>IF(AN1436&gt;=AQ1436,"ok","ck")</f>
      </c>
      <c r="AT1436" s="116">
        <f>-P1436</f>
      </c>
      <c r="AU1436" s="115">
        <f>IF(SUMIFS(AT:AT,AM:AM,AM1436)&gt;AO1436,(SUMIFS(AT:AT,AM:AM,AM1436)-AO1436))</f>
      </c>
      <c r="AV1436" s="116">
        <v>12929.46</v>
      </c>
      <c r="AW1436" s="121">
        <v>1.021</v>
      </c>
      <c r="AX1436" s="115">
        <f>AN1436-AP1436</f>
      </c>
    </row>
    <row r="1437" spans="1:50" ht="15" hidden="1" customHeight="1" x14ac:dyDescent="0.3">
      <c r="A1437" s="94" t="s">
        <v>125</v>
      </c>
      <c r="B1437" s="94"/>
      <c r="C1437" s="94"/>
      <c r="D1437" s="94"/>
      <c r="E1437" s="94"/>
      <c r="F1437" s="94"/>
      <c r="G1437" s="112">
        <f>AU1437</f>
      </c>
      <c r="H1437" s="113"/>
      <c r="I1437" s="94" t="s">
        <v>133</v>
      </c>
      <c r="J1437" s="94" t="s">
        <v>66</v>
      </c>
      <c r="K1437" s="114">
        <f>P1437/3</f>
      </c>
      <c r="L1437" s="115">
        <v>178.2</v>
      </c>
      <c r="M1437" s="116">
        <f>L1437</f>
      </c>
      <c r="N1437" s="117">
        <f>M1437-L1437</f>
      </c>
      <c r="O1437" s="112"/>
      <c r="P1437" s="118">
        <f>N1437+O1437</f>
      </c>
      <c r="Q1437" s="94" t="s">
        <v>139</v>
      </c>
      <c r="R1437" s="94" t="s">
        <v>63</v>
      </c>
      <c r="S1437" s="119">
        <v>46327</v>
      </c>
      <c r="T1437" s="119"/>
      <c r="U1437" s="119">
        <v>46327</v>
      </c>
      <c r="V1437" s="94"/>
      <c r="W1437" s="94"/>
      <c r="X1437" s="94"/>
      <c r="Y1437" s="119">
        <v>46322</v>
      </c>
      <c r="Z1437" s="94"/>
      <c r="AA1437" s="120"/>
      <c r="AB1437" s="120"/>
      <c r="AC1437" s="120"/>
      <c r="AD1437" s="120"/>
      <c r="AE1437" s="120"/>
      <c r="AF1437" s="120"/>
      <c r="AG1437" s="94"/>
      <c r="AH1437" s="120"/>
      <c r="AI1437" s="94"/>
      <c r="AJ1437" s="94" t="s">
        <v>139</v>
      </c>
      <c r="AK1437" s="94" t="s">
        <v>66</v>
      </c>
      <c r="AL1437" s="94">
        <v>160</v>
      </c>
      <c r="AM1437" s="94" t="str">
        <f>TRIM(AJ1437)&amp;TRIM(AL1437)&amp;TRIM(AK1437)</f>
      </c>
      <c r="AN1437" s="116">
        <v>12929.46</v>
      </c>
      <c r="AO1437" s="116">
        <v>-265.38</v>
      </c>
      <c r="AP1437" s="116">
        <f>SUMIFS(M:M,AM:AM,AM1437)+SUMIFS(O:O,AM:AM,AM1437)</f>
      </c>
      <c r="AQ1437" s="116">
        <f>SUMIFS(L:L,AM:AM,AM1437)</f>
      </c>
      <c r="AR1437" s="116">
        <f>AQ1437-AP1437</f>
      </c>
      <c r="AS1437" s="94" t="str">
        <f>IF(AN1437&gt;=AQ1437,"ok","ck")</f>
      </c>
      <c r="AT1437" s="116">
        <f>-P1437</f>
      </c>
      <c r="AU1437" s="115">
        <f>IF(SUMIFS(AT:AT,AM:AM,AM1437)&gt;AO1437,(SUMIFS(AT:AT,AM:AM,AM1437)-AO1437))</f>
      </c>
      <c r="AV1437" s="116">
        <v>12929.46</v>
      </c>
      <c r="AW1437" s="121">
        <v>1.021</v>
      </c>
      <c r="AX1437" s="115">
        <f>AN1437-AP1437</f>
      </c>
    </row>
    <row r="1438" spans="1:50" ht="15" hidden="1" customHeight="1" x14ac:dyDescent="0.3">
      <c r="A1438" s="94" t="s">
        <v>125</v>
      </c>
      <c r="B1438" s="94"/>
      <c r="C1438" s="94"/>
      <c r="D1438" s="94"/>
      <c r="E1438" s="94"/>
      <c r="F1438" s="94"/>
      <c r="G1438" s="112">
        <f>AU1438</f>
      </c>
      <c r="H1438" s="113"/>
      <c r="I1438" s="94" t="s">
        <v>132</v>
      </c>
      <c r="J1438" s="94" t="s">
        <v>134</v>
      </c>
      <c r="K1438" s="114">
        <f>P1438/3</f>
      </c>
      <c r="L1438" s="115">
        <v>155.4</v>
      </c>
      <c r="M1438" s="116"/>
      <c r="N1438" s="117">
        <f>M1438-L1438</f>
      </c>
      <c r="O1438" s="112"/>
      <c r="P1438" s="118">
        <f>N1438+O1438</f>
      </c>
      <c r="Q1438" s="94" t="s">
        <v>142</v>
      </c>
      <c r="R1438" s="94" t="s">
        <v>63</v>
      </c>
      <c r="S1438" s="119" t="s">
        <v>74</v>
      </c>
      <c r="T1438" s="119"/>
      <c r="U1438" s="119" t="s">
        <v>74</v>
      </c>
      <c r="V1438" s="94"/>
      <c r="W1438" s="94"/>
      <c r="X1438" s="94"/>
      <c r="Y1438" s="119">
        <v>46342</v>
      </c>
      <c r="Z1438" s="94"/>
      <c r="AA1438" s="120"/>
      <c r="AB1438" s="120"/>
      <c r="AC1438" s="120"/>
      <c r="AD1438" s="120"/>
      <c r="AE1438" s="120"/>
      <c r="AF1438" s="120"/>
      <c r="AG1438" s="94"/>
      <c r="AH1438" s="120"/>
      <c r="AI1438" s="94"/>
      <c r="AJ1438" s="94" t="s">
        <v>142</v>
      </c>
      <c r="AK1438" s="94" t="s">
        <v>146</v>
      </c>
      <c r="AL1438" s="94">
        <v>140</v>
      </c>
      <c r="AM1438" s="94" t="str">
        <f>TRIM(AJ1438)&amp;TRIM(AL1438)&amp;TRIM(AK1438)</f>
      </c>
      <c r="AN1438" s="116">
        <v>0</v>
      </c>
      <c r="AO1438" s="116" t="inlineStr">
        <is>
          <t>#NA</t>
        </is>
      </c>
      <c r="AP1438" s="116">
        <f>SUMIFS(M:M,AM:AM,AM1438)+SUMIFS(O:O,AM:AM,AM1438)</f>
      </c>
      <c r="AQ1438" s="116">
        <f>SUMIFS(L:L,AM:AM,AM1438)</f>
      </c>
      <c r="AR1438" s="116">
        <f>AQ1438-AP1438</f>
      </c>
      <c r="AS1438" s="94" t="str">
        <f>IF(AN1438&gt;=AQ1438,"ok","ck")</f>
      </c>
      <c r="AT1438" s="116">
        <f>-P1438</f>
      </c>
      <c r="AU1438" s="115">
        <f>IF(SUMIFS(AT:AT,AM:AM,AM1438)&gt;AO1438,(SUMIFS(AT:AT,AM:AM,AM1438)-AO1438))</f>
      </c>
      <c r="AV1438" s="116">
        <v>0</v>
      </c>
      <c r="AW1438" s="121">
        <v>0</v>
      </c>
      <c r="AX1438" s="115">
        <f>AN1438-AP1438</f>
      </c>
    </row>
    <row r="1439" spans="1:50" ht="15" hidden="1" customHeight="1" x14ac:dyDescent="0.3">
      <c r="A1439" s="94" t="s">
        <v>125</v>
      </c>
      <c r="B1439" s="94"/>
      <c r="C1439" s="94"/>
      <c r="D1439" s="94"/>
      <c r="E1439" s="94"/>
      <c r="F1439" s="94"/>
      <c r="G1439" s="112">
        <f>AU1439</f>
      </c>
      <c r="H1439" s="113"/>
      <c r="I1439" s="94" t="s">
        <v>132</v>
      </c>
      <c r="J1439" s="94" t="s">
        <v>66</v>
      </c>
      <c r="K1439" s="114">
        <f>P1439/3</f>
      </c>
      <c r="L1439" s="115">
        <v>102.092</v>
      </c>
      <c r="M1439" s="116"/>
      <c r="N1439" s="117">
        <f>M1439-L1439</f>
      </c>
      <c r="O1439" s="112"/>
      <c r="P1439" s="118">
        <f>N1439+O1439</f>
      </c>
      <c r="Q1439" s="94" t="s">
        <v>150</v>
      </c>
      <c r="R1439" s="94" t="s">
        <v>63</v>
      </c>
      <c r="S1439" s="119">
        <v>46334</v>
      </c>
      <c r="T1439" s="119"/>
      <c r="U1439" s="119">
        <v>46334</v>
      </c>
      <c r="V1439" s="94"/>
      <c r="W1439" s="94"/>
      <c r="X1439" s="94"/>
      <c r="Y1439" s="119">
        <v>46320</v>
      </c>
      <c r="Z1439" s="94"/>
      <c r="AA1439" s="120"/>
      <c r="AB1439" s="120"/>
      <c r="AC1439" s="120"/>
      <c r="AD1439" s="120"/>
      <c r="AE1439" s="120"/>
      <c r="AF1439" s="120"/>
      <c r="AG1439" s="94"/>
      <c r="AH1439" s="120"/>
      <c r="AI1439" s="94"/>
      <c r="AJ1439" s="94" t="s">
        <v>150</v>
      </c>
      <c r="AK1439" s="94" t="s">
        <v>66</v>
      </c>
      <c r="AL1439" s="94">
        <v>140</v>
      </c>
      <c r="AM1439" s="94" t="str">
        <f>TRIM(AJ1439)&amp;TRIM(AL1439)&amp;TRIM(AK1439)</f>
      </c>
      <c r="AN1439" s="116">
        <v>914.57</v>
      </c>
      <c r="AO1439" s="116">
        <v>175.59</v>
      </c>
      <c r="AP1439" s="116">
        <f>SUMIFS(M:M,AM:AM,AM1439)+SUMIFS(O:O,AM:AM,AM1439)</f>
      </c>
      <c r="AQ1439" s="116">
        <f>SUMIFS(L:L,AM:AM,AM1439)</f>
      </c>
      <c r="AR1439" s="116">
        <f>AQ1439-AP1439</f>
      </c>
      <c r="AS1439" s="94" t="str">
        <f>IF(AN1439&gt;=AQ1439,"ok","ck")</f>
      </c>
      <c r="AT1439" s="116">
        <f>-P1439</f>
      </c>
      <c r="AU1439" s="115">
        <f>IF(SUMIFS(AT:AT,AM:AM,AM1439)&gt;AO1439,(SUMIFS(AT:AT,AM:AM,AM1439)-AO1439))</f>
      </c>
      <c r="AV1439" s="116">
        <v>914.57</v>
      </c>
      <c r="AW1439" s="121">
        <v>0.839</v>
      </c>
      <c r="AX1439" s="115">
        <f>AN1439-AP1439</f>
      </c>
    </row>
    <row r="1440" spans="1:50" ht="15" hidden="1" customHeight="1" x14ac:dyDescent="0.3">
      <c r="A1440" s="94" t="s">
        <v>125</v>
      </c>
      <c r="B1440" s="94"/>
      <c r="C1440" s="94"/>
      <c r="D1440" s="94"/>
      <c r="E1440" s="94"/>
      <c r="F1440" s="94"/>
      <c r="G1440" s="112">
        <f>AU1440</f>
      </c>
      <c r="H1440" s="113"/>
      <c r="I1440" s="94" t="s">
        <v>132</v>
      </c>
      <c r="J1440" s="94" t="s">
        <v>66</v>
      </c>
      <c r="K1440" s="114">
        <f>P1440/3</f>
      </c>
      <c r="L1440" s="115">
        <v>109.889</v>
      </c>
      <c r="M1440" s="116"/>
      <c r="N1440" s="117">
        <f>M1440-L1440</f>
      </c>
      <c r="O1440" s="112"/>
      <c r="P1440" s="118">
        <f>N1440+O1440</f>
      </c>
      <c r="Q1440" s="94" t="s">
        <v>137</v>
      </c>
      <c r="R1440" s="94" t="s">
        <v>63</v>
      </c>
      <c r="S1440" s="119">
        <v>46340</v>
      </c>
      <c r="T1440" s="119"/>
      <c r="U1440" s="119">
        <v>46340</v>
      </c>
      <c r="V1440" s="94"/>
      <c r="W1440" s="94"/>
      <c r="X1440" s="94"/>
      <c r="Y1440" s="119">
        <v>46333</v>
      </c>
      <c r="Z1440" s="94"/>
      <c r="AA1440" s="120"/>
      <c r="AB1440" s="120"/>
      <c r="AC1440" s="120"/>
      <c r="AD1440" s="120"/>
      <c r="AE1440" s="120"/>
      <c r="AF1440" s="120"/>
      <c r="AG1440" s="94"/>
      <c r="AH1440" s="120"/>
      <c r="AI1440" s="94"/>
      <c r="AJ1440" s="94" t="s">
        <v>137</v>
      </c>
      <c r="AK1440" s="94" t="s">
        <v>66</v>
      </c>
      <c r="AL1440" s="94">
        <v>140</v>
      </c>
      <c r="AM1440" s="94" t="str">
        <f>TRIM(AJ1440)&amp;TRIM(AL1440)&amp;TRIM(AK1440)</f>
      </c>
      <c r="AN1440" s="116">
        <v>0</v>
      </c>
      <c r="AO1440" s="116" t="inlineStr">
        <is>
          <t>#NA</t>
        </is>
      </c>
      <c r="AP1440" s="116">
        <f>SUMIFS(M:M,AM:AM,AM1440)+SUMIFS(O:O,AM:AM,AM1440)</f>
      </c>
      <c r="AQ1440" s="116">
        <f>SUMIFS(L:L,AM:AM,AM1440)</f>
      </c>
      <c r="AR1440" s="116">
        <f>AQ1440-AP1440</f>
      </c>
      <c r="AS1440" s="94" t="str">
        <f>IF(AN1440&gt;=AQ1440,"ok","ck")</f>
      </c>
      <c r="AT1440" s="116">
        <f>-P1440</f>
      </c>
      <c r="AU1440" s="115">
        <f>IF(SUMIFS(AT:AT,AM:AM,AM1440)&gt;AO1440,(SUMIFS(AT:AT,AM:AM,AM1440)-AO1440))</f>
      </c>
      <c r="AV1440" s="116">
        <v>0</v>
      </c>
      <c r="AW1440" s="121">
        <v>0</v>
      </c>
      <c r="AX1440" s="115">
        <f>AN1440-AP1440</f>
      </c>
    </row>
    <row r="1441" spans="1:50" ht="15" hidden="1" customHeight="1" x14ac:dyDescent="0.3">
      <c r="A1441" s="94" t="s">
        <v>125</v>
      </c>
      <c r="B1441" s="94"/>
      <c r="C1441" s="94"/>
      <c r="D1441" s="94"/>
      <c r="E1441" s="94"/>
      <c r="F1441" s="94"/>
      <c r="G1441" s="112">
        <f>AU1441</f>
      </c>
      <c r="H1441" s="113"/>
      <c r="I1441" s="94" t="s">
        <v>132</v>
      </c>
      <c r="J1441" s="94" t="s">
        <v>138</v>
      </c>
      <c r="K1441" s="114">
        <f>P1441/3</f>
      </c>
      <c r="L1441" s="115">
        <v>155.4</v>
      </c>
      <c r="M1441" s="116"/>
      <c r="N1441" s="117">
        <f>M1441-L1441</f>
      </c>
      <c r="O1441" s="112"/>
      <c r="P1441" s="118">
        <f>N1441+O1441</f>
      </c>
      <c r="Q1441" s="94" t="s">
        <v>142</v>
      </c>
      <c r="R1441" s="94" t="s">
        <v>63</v>
      </c>
      <c r="S1441" s="119">
        <v>46342</v>
      </c>
      <c r="T1441" s="119"/>
      <c r="U1441" s="119">
        <v>46342</v>
      </c>
      <c r="V1441" s="94"/>
      <c r="W1441" s="94"/>
      <c r="X1441" s="94"/>
      <c r="Y1441" s="119">
        <v>46342</v>
      </c>
      <c r="Z1441" s="94"/>
      <c r="AA1441" s="120"/>
      <c r="AB1441" s="120"/>
      <c r="AC1441" s="120"/>
      <c r="AD1441" s="120"/>
      <c r="AE1441" s="120"/>
      <c r="AF1441" s="120"/>
      <c r="AG1441" s="94"/>
      <c r="AH1441" s="120"/>
      <c r="AI1441" s="94"/>
      <c r="AJ1441" s="94" t="s">
        <v>142</v>
      </c>
      <c r="AK1441" s="94" t="s">
        <v>239</v>
      </c>
      <c r="AL1441" s="94">
        <v>140</v>
      </c>
      <c r="AM1441" s="94" t="str">
        <f>TRIM(AJ1441)&amp;TRIM(AL1441)&amp;TRIM(AK1441)</f>
      </c>
      <c r="AN1441" s="116">
        <v>0</v>
      </c>
      <c r="AO1441" s="116" t="inlineStr">
        <is>
          <t>#NA</t>
        </is>
      </c>
      <c r="AP1441" s="116">
        <f>SUMIFS(M:M,AM:AM,AM1441)+SUMIFS(O:O,AM:AM,AM1441)</f>
      </c>
      <c r="AQ1441" s="116">
        <f>SUMIFS(L:L,AM:AM,AM1441)</f>
      </c>
      <c r="AR1441" s="116">
        <f>AQ1441-AP1441</f>
      </c>
      <c r="AS1441" s="94" t="str">
        <f>IF(AN1441&gt;=AQ1441,"ok","ck")</f>
      </c>
      <c r="AT1441" s="116">
        <f>-P1441</f>
      </c>
      <c r="AU1441" s="115">
        <f>IF(SUMIFS(AT:AT,AM:AM,AM1441)&gt;AO1441,(SUMIFS(AT:AT,AM:AM,AM1441)-AO1441))</f>
      </c>
      <c r="AV1441" s="116">
        <v>0</v>
      </c>
      <c r="AW1441" s="121">
        <v>0</v>
      </c>
      <c r="AX1441" s="115">
        <f>AN1441-AP1441</f>
      </c>
    </row>
    <row r="1442" spans="1:50" ht="15" hidden="1" customHeight="1" x14ac:dyDescent="0.3">
      <c r="A1442" s="94" t="s">
        <v>125</v>
      </c>
      <c r="B1442" s="94"/>
      <c r="C1442" s="94"/>
      <c r="D1442" s="94"/>
      <c r="E1442" s="94"/>
      <c r="F1442" s="94"/>
      <c r="G1442" s="112">
        <f>AU1442</f>
      </c>
      <c r="H1442" s="113"/>
      <c r="I1442" s="94" t="s">
        <v>133</v>
      </c>
      <c r="J1442" s="94" t="s">
        <v>66</v>
      </c>
      <c r="K1442" s="114">
        <f>P1442/3</f>
      </c>
      <c r="L1442" s="115">
        <v>61.8</v>
      </c>
      <c r="M1442" s="116"/>
      <c r="N1442" s="117">
        <f>M1442-L1442</f>
      </c>
      <c r="O1442" s="112"/>
      <c r="P1442" s="118">
        <f>N1442+O1442</f>
      </c>
      <c r="Q1442" s="94" t="s">
        <v>147</v>
      </c>
      <c r="R1442" s="94" t="s">
        <v>63</v>
      </c>
      <c r="S1442" s="119">
        <v>46342</v>
      </c>
      <c r="T1442" s="119"/>
      <c r="U1442" s="120">
        <v>46342</v>
      </c>
      <c r="V1442" s="94"/>
      <c r="W1442" s="94"/>
      <c r="X1442" s="94"/>
      <c r="Y1442" s="119">
        <v>46322</v>
      </c>
      <c r="Z1442" s="94"/>
      <c r="AA1442" s="120"/>
      <c r="AB1442" s="120"/>
      <c r="AC1442" s="120"/>
      <c r="AD1442" s="120"/>
      <c r="AE1442" s="120"/>
      <c r="AF1442" s="120"/>
      <c r="AG1442" s="94"/>
      <c r="AH1442" s="120"/>
      <c r="AI1442" s="94"/>
      <c r="AJ1442" s="94" t="s">
        <v>147</v>
      </c>
      <c r="AK1442" s="94" t="s">
        <v>66</v>
      </c>
      <c r="AL1442" s="94">
        <v>160</v>
      </c>
      <c r="AM1442" s="94" t="str">
        <f>TRIM(AJ1442)&amp;TRIM(AL1442)&amp;TRIM(AK1442)</f>
      </c>
      <c r="AN1442" s="116">
        <v>0</v>
      </c>
      <c r="AO1442" s="116" t="inlineStr">
        <is>
          <t>#NA</t>
        </is>
      </c>
      <c r="AP1442" s="116">
        <f>SUMIFS(M:M,AM:AM,AM1442)+SUMIFS(O:O,AM:AM,AM1442)</f>
      </c>
      <c r="AQ1442" s="116">
        <f>SUMIFS(L:L,AM:AM,AM1442)</f>
      </c>
      <c r="AR1442" s="116">
        <f>AQ1442-AP1442</f>
      </c>
      <c r="AS1442" s="94" t="str">
        <f>IF(AN1442&gt;=AQ1442,"ok","ck")</f>
      </c>
      <c r="AT1442" s="116">
        <f>-P1442</f>
      </c>
      <c r="AU1442" s="115">
        <f>IF(SUMIFS(AT:AT,AM:AM,AM1442)&gt;AO1442,(SUMIFS(AT:AT,AM:AM,AM1442)-AO1442))</f>
      </c>
      <c r="AV1442" s="116">
        <v>0</v>
      </c>
      <c r="AW1442" s="121">
        <v>0</v>
      </c>
      <c r="AX1442" s="115">
        <f>AN1442-AP1442</f>
      </c>
    </row>
    <row r="1443" spans="1:50" ht="15" hidden="1" customHeight="1" x14ac:dyDescent="0.3">
      <c r="A1443" s="94" t="s">
        <v>125</v>
      </c>
      <c r="B1443" s="94"/>
      <c r="C1443" s="94"/>
      <c r="D1443" s="94"/>
      <c r="E1443" s="94"/>
      <c r="F1443" s="94"/>
      <c r="G1443" s="112">
        <f>AU1443</f>
      </c>
      <c r="H1443" s="113"/>
      <c r="I1443" s="94" t="s">
        <v>132</v>
      </c>
      <c r="J1443" s="94" t="s">
        <v>66</v>
      </c>
      <c r="K1443" s="114">
        <f>P1443/3</f>
      </c>
      <c r="L1443" s="115">
        <v>-1.7070000000000001</v>
      </c>
      <c r="M1443" s="116">
        <f>L1443</f>
      </c>
      <c r="N1443" s="117">
        <f>M1443-L1443</f>
      </c>
      <c r="O1443" s="112"/>
      <c r="P1443" s="118">
        <f>N1443+O1443</f>
      </c>
      <c r="Q1443" s="94" t="s">
        <v>822</v>
      </c>
      <c r="R1443" s="94" t="s">
        <v>63</v>
      </c>
      <c r="S1443" s="119">
        <v>46320</v>
      </c>
      <c r="T1443" s="119"/>
      <c r="U1443" s="120">
        <v>46320</v>
      </c>
      <c r="V1443" s="94"/>
      <c r="W1443" s="94"/>
      <c r="X1443" s="94"/>
      <c r="Y1443" s="119">
        <v>46320</v>
      </c>
      <c r="Z1443" s="94"/>
      <c r="AA1443" s="120"/>
      <c r="AB1443" s="120"/>
      <c r="AC1443" s="120"/>
      <c r="AD1443" s="120"/>
      <c r="AE1443" s="120"/>
      <c r="AF1443" s="120"/>
      <c r="AG1443" s="94"/>
      <c r="AH1443" s="120"/>
      <c r="AI1443" s="94"/>
      <c r="AJ1443" s="94" t="s">
        <v>822</v>
      </c>
      <c r="AK1443" s="94" t="s">
        <v>66</v>
      </c>
      <c r="AL1443" s="94">
        <v>140</v>
      </c>
      <c r="AM1443" s="94" t="str">
        <f>TRIM(AJ1443)&amp;TRIM(AL1443)&amp;TRIM(AK1443)</f>
      </c>
      <c r="AN1443" s="116">
        <v>2984</v>
      </c>
      <c r="AO1443" s="116">
        <v>-58.01</v>
      </c>
      <c r="AP1443" s="116">
        <f>SUMIFS(M:M,AM:AM,AM1443)+SUMIFS(O:O,AM:AM,AM1443)</f>
      </c>
      <c r="AQ1443" s="116">
        <f>SUMIFS(L:L,AM:AM,AM1443)</f>
      </c>
      <c r="AR1443" s="116">
        <f>AQ1443-AP1443</f>
      </c>
      <c r="AS1443" s="94" t="str">
        <f>IF(AN1443&gt;=AQ1443,"ok","ck")</f>
      </c>
      <c r="AT1443" s="116">
        <f>-P1443</f>
      </c>
      <c r="AU1443" s="115">
        <f>IF(SUMIFS(AT:AT,AM:AM,AM1443)&gt;AO1443,(SUMIFS(AT:AT,AM:AM,AM1443)-AO1443))</f>
      </c>
      <c r="AV1443" s="116">
        <v>2984</v>
      </c>
      <c r="AW1443" s="121">
        <v>1.02</v>
      </c>
      <c r="AX1443" s="115">
        <f>AN1443-AP1443</f>
      </c>
    </row>
    <row r="1444" spans="1:50" ht="15" hidden="1" customHeight="1" x14ac:dyDescent="0.3">
      <c r="A1444" s="94" t="s">
        <v>125</v>
      </c>
      <c r="B1444" s="94"/>
      <c r="C1444" s="94"/>
      <c r="D1444" s="94"/>
      <c r="E1444" s="94"/>
      <c r="F1444" s="94"/>
      <c r="G1444" s="112">
        <f>AU1444</f>
      </c>
      <c r="H1444" s="113"/>
      <c r="I1444" s="94" t="s">
        <v>132</v>
      </c>
      <c r="J1444" s="94" t="s">
        <v>66</v>
      </c>
      <c r="K1444" s="114">
        <f>P1444/3</f>
      </c>
      <c r="L1444" s="115">
        <v>-5.0919999999999996</v>
      </c>
      <c r="M1444" s="116">
        <f>L1444</f>
      </c>
      <c r="N1444" s="117">
        <f>M1444-L1444</f>
      </c>
      <c r="O1444" s="112"/>
      <c r="P1444" s="118">
        <f>N1444+O1444</f>
      </c>
      <c r="Q1444" s="94" t="s">
        <v>822</v>
      </c>
      <c r="R1444" s="94" t="s">
        <v>63</v>
      </c>
      <c r="S1444" s="119">
        <v>46320</v>
      </c>
      <c r="T1444" s="119"/>
      <c r="U1444" s="119">
        <v>46320</v>
      </c>
      <c r="V1444" s="94"/>
      <c r="W1444" s="94"/>
      <c r="X1444" s="94"/>
      <c r="Y1444" s="119">
        <v>46320</v>
      </c>
      <c r="Z1444" s="94"/>
      <c r="AA1444" s="120"/>
      <c r="AB1444" s="120"/>
      <c r="AC1444" s="120"/>
      <c r="AD1444" s="120"/>
      <c r="AE1444" s="120"/>
      <c r="AF1444" s="120"/>
      <c r="AG1444" s="94"/>
      <c r="AH1444" s="120"/>
      <c r="AI1444" s="94"/>
      <c r="AJ1444" s="94" t="s">
        <v>822</v>
      </c>
      <c r="AK1444" s="94" t="s">
        <v>66</v>
      </c>
      <c r="AL1444" s="94">
        <v>140</v>
      </c>
      <c r="AM1444" s="94" t="str">
        <f>TRIM(AJ1444)&amp;TRIM(AL1444)&amp;TRIM(AK1444)</f>
      </c>
      <c r="AN1444" s="116">
        <v>2984</v>
      </c>
      <c r="AO1444" s="116">
        <v>-58.01</v>
      </c>
      <c r="AP1444" s="116">
        <f>SUMIFS(M:M,AM:AM,AM1444)+SUMIFS(O:O,AM:AM,AM1444)</f>
      </c>
      <c r="AQ1444" s="116">
        <f>SUMIFS(L:L,AM:AM,AM1444)</f>
      </c>
      <c r="AR1444" s="116">
        <f>AQ1444-AP1444</f>
      </c>
      <c r="AS1444" s="94" t="str">
        <f>IF(AN1444&gt;=AQ1444,"ok","ck")</f>
      </c>
      <c r="AT1444" s="116">
        <f>-P1444</f>
      </c>
      <c r="AU1444" s="115">
        <f>IF(SUMIFS(AT:AT,AM:AM,AM1444)&gt;AO1444,(SUMIFS(AT:AT,AM:AM,AM1444)-AO1444))</f>
      </c>
      <c r="AV1444" s="116">
        <v>2984</v>
      </c>
      <c r="AW1444" s="121">
        <v>1.02</v>
      </c>
      <c r="AX1444" s="115">
        <f>AN1444-AP1444</f>
      </c>
    </row>
    <row r="1445" spans="1:50" ht="15" hidden="1" customHeight="1" x14ac:dyDescent="0.3">
      <c r="A1445" s="94" t="s">
        <v>268</v>
      </c>
      <c r="B1445" s="94"/>
      <c r="C1445" s="94"/>
      <c r="D1445" s="94"/>
      <c r="E1445" s="94"/>
      <c r="F1445" s="94"/>
      <c r="G1445" s="112">
        <f>AU1445</f>
      </c>
      <c r="H1445" s="113"/>
      <c r="I1445" s="94" t="s">
        <v>278</v>
      </c>
      <c r="J1445" s="94" t="s">
        <v>286</v>
      </c>
      <c r="K1445" s="114">
        <f>P1445/3</f>
      </c>
      <c r="L1445" s="115">
        <v>221.40600000000001</v>
      </c>
      <c r="M1445" s="116"/>
      <c r="N1445" s="117">
        <f>M1445-L1445</f>
      </c>
      <c r="O1445" s="112"/>
      <c r="P1445" s="118">
        <f>N1445+O1445</f>
      </c>
      <c r="Q1445" s="94" t="s">
        <v>858</v>
      </c>
      <c r="R1445" s="94" t="s">
        <v>63</v>
      </c>
      <c r="S1445" s="119">
        <v>46326</v>
      </c>
      <c r="T1445" s="119"/>
      <c r="U1445" s="119" t="s">
        <v>662</v>
      </c>
      <c r="V1445" s="94"/>
      <c r="W1445" s="94"/>
      <c r="X1445" s="94"/>
      <c r="Y1445" s="119">
        <v>46327</v>
      </c>
      <c r="Z1445" s="94"/>
      <c r="AA1445" s="120"/>
      <c r="AB1445" s="120"/>
      <c r="AC1445" s="120"/>
      <c r="AD1445" s="120"/>
      <c r="AE1445" s="120"/>
      <c r="AF1445" s="120"/>
      <c r="AG1445" s="94"/>
      <c r="AH1445" s="120"/>
      <c r="AI1445" s="94"/>
      <c r="AJ1445" s="94" t="s">
        <v>825</v>
      </c>
      <c r="AK1445" s="94" t="s">
        <v>281</v>
      </c>
      <c r="AL1445" s="94">
        <v>120</v>
      </c>
      <c r="AM1445" s="94" t="str">
        <f>TRIM(AJ1445)&amp;TRIM(AL1445)&amp;TRIM(AK1445)</f>
      </c>
      <c r="AN1445" s="116">
        <v>0</v>
      </c>
      <c r="AO1445" s="116" t="inlineStr">
        <is>
          <t>#NA</t>
        </is>
      </c>
      <c r="AP1445" s="116">
        <f>SUMIFS(M:M,AM:AM,AM1445)+SUMIFS(O:O,AM:AM,AM1445)</f>
      </c>
      <c r="AQ1445" s="116">
        <f>SUMIFS(L:L,AM:AM,AM1445)</f>
      </c>
      <c r="AR1445" s="116">
        <f>AQ1445-AP1445</f>
      </c>
      <c r="AS1445" s="94" t="str">
        <f>IF(AN1445&gt;=AQ1445,"ok","ck")</f>
      </c>
      <c r="AT1445" s="116">
        <f>-P1445</f>
      </c>
      <c r="AU1445" s="115">
        <f>IF(SUMIFS(AT:AT,AM:AM,AM1445)&gt;AO1445,(SUMIFS(AT:AT,AM:AM,AM1445)-AO1445))</f>
      </c>
      <c r="AV1445" s="116">
        <v>0</v>
      </c>
      <c r="AW1445" s="121">
        <v>0</v>
      </c>
      <c r="AX1445" s="115">
        <f>AN1445-AP1445</f>
      </c>
    </row>
    <row r="1446" spans="1:50" ht="15" hidden="1" customHeight="1" x14ac:dyDescent="0.3">
      <c r="A1446" s="94" t="s">
        <v>268</v>
      </c>
      <c r="B1446" s="94"/>
      <c r="C1446" s="94"/>
      <c r="D1446" s="94"/>
      <c r="E1446" s="94"/>
      <c r="F1446" s="94"/>
      <c r="G1446" s="112">
        <f>AU1446</f>
      </c>
      <c r="H1446" s="113"/>
      <c r="I1446" s="94" t="s">
        <v>278</v>
      </c>
      <c r="J1446" s="94" t="s">
        <v>286</v>
      </c>
      <c r="K1446" s="114">
        <f>P1446/3</f>
      </c>
      <c r="L1446" s="115">
        <v>219.47499999999999</v>
      </c>
      <c r="M1446" s="116"/>
      <c r="N1446" s="117">
        <f>M1446-L1446</f>
      </c>
      <c r="O1446" s="112"/>
      <c r="P1446" s="118">
        <f>N1446+O1446</f>
      </c>
      <c r="Q1446" s="94" t="s">
        <v>858</v>
      </c>
      <c r="R1446" s="94" t="s">
        <v>63</v>
      </c>
      <c r="S1446" s="119">
        <v>46331</v>
      </c>
      <c r="T1446" s="119"/>
      <c r="U1446" s="119" t="s">
        <v>662</v>
      </c>
      <c r="V1446" s="94"/>
      <c r="W1446" s="94"/>
      <c r="X1446" s="94"/>
      <c r="Y1446" s="119">
        <v>46327</v>
      </c>
      <c r="Z1446" s="94"/>
      <c r="AA1446" s="120"/>
      <c r="AB1446" s="120"/>
      <c r="AC1446" s="120"/>
      <c r="AD1446" s="120"/>
      <c r="AE1446" s="120"/>
      <c r="AF1446" s="120"/>
      <c r="AG1446" s="94"/>
      <c r="AH1446" s="120"/>
      <c r="AI1446" s="94"/>
      <c r="AJ1446" s="94" t="s">
        <v>825</v>
      </c>
      <c r="AK1446" s="94" t="s">
        <v>281</v>
      </c>
      <c r="AL1446" s="94">
        <v>120</v>
      </c>
      <c r="AM1446" s="94" t="str">
        <f>TRIM(AJ1446)&amp;TRIM(AL1446)&amp;TRIM(AK1446)</f>
      </c>
      <c r="AN1446" s="116">
        <v>0</v>
      </c>
      <c r="AO1446" s="116" t="inlineStr">
        <is>
          <t>#NA</t>
        </is>
      </c>
      <c r="AP1446" s="116">
        <f>SUMIFS(M:M,AM:AM,AM1446)+SUMIFS(O:O,AM:AM,AM1446)</f>
      </c>
      <c r="AQ1446" s="116">
        <f>SUMIFS(L:L,AM:AM,AM1446)</f>
      </c>
      <c r="AR1446" s="116">
        <f>AQ1446-AP1446</f>
      </c>
      <c r="AS1446" s="94" t="str">
        <f>IF(AN1446&gt;=AQ1446,"ok","ck")</f>
      </c>
      <c r="AT1446" s="116">
        <f>-P1446</f>
      </c>
      <c r="AU1446" s="115">
        <f>IF(SUMIFS(AT:AT,AM:AM,AM1446)&gt;AO1446,(SUMIFS(AT:AT,AM:AM,AM1446)-AO1446))</f>
      </c>
      <c r="AV1446" s="116">
        <v>0</v>
      </c>
      <c r="AW1446" s="121">
        <v>0</v>
      </c>
      <c r="AX1446" s="115">
        <f>AN1446-AP1446</f>
      </c>
    </row>
    <row r="1447" spans="1:50" ht="15" hidden="1" customHeight="1" x14ac:dyDescent="0.3">
      <c r="A1447" s="94" t="s">
        <v>268</v>
      </c>
      <c r="B1447" s="94"/>
      <c r="C1447" s="94"/>
      <c r="D1447" s="94"/>
      <c r="E1447" s="94"/>
      <c r="F1447" s="94"/>
      <c r="G1447" s="112">
        <f>AU1447</f>
      </c>
      <c r="H1447" s="113"/>
      <c r="I1447" s="94" t="s">
        <v>390</v>
      </c>
      <c r="J1447" s="94" t="s">
        <v>286</v>
      </c>
      <c r="K1447" s="114">
        <f>P1447/3</f>
      </c>
      <c r="L1447" s="115">
        <v>2805.5940000000001</v>
      </c>
      <c r="M1447" s="116"/>
      <c r="N1447" s="117">
        <f>M1447-L1447</f>
      </c>
      <c r="O1447" s="112"/>
      <c r="P1447" s="118">
        <f>N1447+O1447</f>
      </c>
      <c r="Q1447" s="94" t="s">
        <v>858</v>
      </c>
      <c r="R1447" s="94" t="s">
        <v>63</v>
      </c>
      <c r="S1447" s="119">
        <v>46326</v>
      </c>
      <c r="T1447" s="119"/>
      <c r="U1447" s="119" t="s">
        <v>662</v>
      </c>
      <c r="V1447" s="94"/>
      <c r="W1447" s="94"/>
      <c r="X1447" s="94"/>
      <c r="Y1447" s="119">
        <v>46327</v>
      </c>
      <c r="Z1447" s="94"/>
      <c r="AA1447" s="120"/>
      <c r="AB1447" s="120"/>
      <c r="AC1447" s="120"/>
      <c r="AD1447" s="120"/>
      <c r="AE1447" s="120"/>
      <c r="AF1447" s="120"/>
      <c r="AG1447" s="94"/>
      <c r="AH1447" s="120"/>
      <c r="AI1447" s="94"/>
      <c r="AJ1447" s="94" t="s">
        <v>825</v>
      </c>
      <c r="AK1447" s="94" t="s">
        <v>281</v>
      </c>
      <c r="AL1447" s="94">
        <v>140</v>
      </c>
      <c r="AM1447" s="94" t="str">
        <f>TRIM(AJ1447)&amp;TRIM(AL1447)&amp;TRIM(AK1447)</f>
      </c>
      <c r="AN1447" s="116">
        <v>0</v>
      </c>
      <c r="AO1447" s="116" t="inlineStr">
        <is>
          <t>#NA</t>
        </is>
      </c>
      <c r="AP1447" s="116">
        <f>SUMIFS(M:M,AM:AM,AM1447)+SUMIFS(O:O,AM:AM,AM1447)</f>
      </c>
      <c r="AQ1447" s="116">
        <f>SUMIFS(L:L,AM:AM,AM1447)</f>
      </c>
      <c r="AR1447" s="116">
        <f>AQ1447-AP1447</f>
      </c>
      <c r="AS1447" s="94" t="str">
        <f>IF(AN1447&gt;=AQ1447,"ok","ck")</f>
      </c>
      <c r="AT1447" s="116">
        <f>-P1447</f>
      </c>
      <c r="AU1447" s="115">
        <f>IF(SUMIFS(AT:AT,AM:AM,AM1447)&gt;AO1447,(SUMIFS(AT:AT,AM:AM,AM1447)-AO1447))</f>
      </c>
      <c r="AV1447" s="116">
        <v>0</v>
      </c>
      <c r="AW1447" s="121">
        <v>0</v>
      </c>
      <c r="AX1447" s="115">
        <f>AN1447-AP1447</f>
      </c>
    </row>
    <row r="1448" spans="1:50" ht="15" hidden="1" customHeight="1" x14ac:dyDescent="0.3">
      <c r="A1448" s="94" t="s">
        <v>268</v>
      </c>
      <c r="B1448" s="94"/>
      <c r="C1448" s="94"/>
      <c r="D1448" s="94"/>
      <c r="E1448" s="94"/>
      <c r="F1448" s="94"/>
      <c r="G1448" s="112">
        <f>AU1448</f>
      </c>
      <c r="H1448" s="113"/>
      <c r="I1448" s="94" t="s">
        <v>390</v>
      </c>
      <c r="J1448" s="94" t="s">
        <v>286</v>
      </c>
      <c r="K1448" s="114">
        <f>P1448/3</f>
      </c>
      <c r="L1448" s="115">
        <v>2781.136</v>
      </c>
      <c r="M1448" s="116"/>
      <c r="N1448" s="117">
        <f>M1448-L1448</f>
      </c>
      <c r="O1448" s="112"/>
      <c r="P1448" s="118">
        <f>N1448+O1448</f>
      </c>
      <c r="Q1448" s="94" t="s">
        <v>858</v>
      </c>
      <c r="R1448" s="94" t="s">
        <v>63</v>
      </c>
      <c r="S1448" s="119">
        <v>46331</v>
      </c>
      <c r="T1448" s="119"/>
      <c r="U1448" s="120" t="s">
        <v>662</v>
      </c>
      <c r="V1448" s="94"/>
      <c r="W1448" s="94"/>
      <c r="X1448" s="94"/>
      <c r="Y1448" s="119">
        <v>46327</v>
      </c>
      <c r="Z1448" s="94"/>
      <c r="AA1448" s="120"/>
      <c r="AB1448" s="120"/>
      <c r="AC1448" s="120"/>
      <c r="AD1448" s="120"/>
      <c r="AE1448" s="120"/>
      <c r="AF1448" s="120"/>
      <c r="AG1448" s="94"/>
      <c r="AH1448" s="120"/>
      <c r="AI1448" s="94"/>
      <c r="AJ1448" s="94" t="s">
        <v>825</v>
      </c>
      <c r="AK1448" s="94" t="s">
        <v>281</v>
      </c>
      <c r="AL1448" s="94">
        <v>140</v>
      </c>
      <c r="AM1448" s="94" t="str">
        <f>TRIM(AJ1448)&amp;TRIM(AL1448)&amp;TRIM(AK1448)</f>
      </c>
      <c r="AN1448" s="116">
        <v>0</v>
      </c>
      <c r="AO1448" s="116" t="inlineStr">
        <is>
          <t>#NA</t>
        </is>
      </c>
      <c r="AP1448" s="116">
        <f>SUMIFS(M:M,AM:AM,AM1448)+SUMIFS(O:O,AM:AM,AM1448)</f>
      </c>
      <c r="AQ1448" s="116">
        <f>SUMIFS(L:L,AM:AM,AM1448)</f>
      </c>
      <c r="AR1448" s="116">
        <f>AQ1448-AP1448</f>
      </c>
      <c r="AS1448" s="94" t="str">
        <f>IF(AN1448&gt;=AQ1448,"ok","ck")</f>
      </c>
      <c r="AT1448" s="116">
        <f>-P1448</f>
      </c>
      <c r="AU1448" s="115">
        <f>IF(SUMIFS(AT:AT,AM:AM,AM1448)&gt;AO1448,(SUMIFS(AT:AT,AM:AM,AM1448)-AO1448))</f>
      </c>
      <c r="AV1448" s="116">
        <v>0</v>
      </c>
      <c r="AW1448" s="121">
        <v>0</v>
      </c>
      <c r="AX1448" s="115">
        <f>AN1448-AP1448</f>
      </c>
    </row>
    <row r="1449" spans="1:50" ht="15" hidden="1" customHeight="1" x14ac:dyDescent="0.3">
      <c r="A1449" s="94" t="s">
        <v>268</v>
      </c>
      <c r="B1449" s="94"/>
      <c r="C1449" s="94"/>
      <c r="D1449" s="94"/>
      <c r="E1449" s="94"/>
      <c r="F1449" s="94"/>
      <c r="G1449" s="112">
        <f>AU1449</f>
      </c>
      <c r="H1449" s="113"/>
      <c r="I1449" s="94" t="s">
        <v>278</v>
      </c>
      <c r="J1449" s="94" t="s">
        <v>71</v>
      </c>
      <c r="K1449" s="114">
        <f>P1449/3</f>
      </c>
      <c r="L1449" s="115">
        <v>149.57900000000001</v>
      </c>
      <c r="M1449" s="116"/>
      <c r="N1449" s="117">
        <f>M1449-L1449</f>
      </c>
      <c r="O1449" s="112"/>
      <c r="P1449" s="118">
        <f>N1449+O1449</f>
      </c>
      <c r="Q1449" s="94" t="s">
        <v>858</v>
      </c>
      <c r="R1449" s="94" t="s">
        <v>63</v>
      </c>
      <c r="S1449" s="119">
        <v>46326</v>
      </c>
      <c r="T1449" s="119"/>
      <c r="U1449" s="119" t="s">
        <v>663</v>
      </c>
      <c r="V1449" s="94"/>
      <c r="W1449" s="94"/>
      <c r="X1449" s="94"/>
      <c r="Y1449" s="119">
        <v>46327</v>
      </c>
      <c r="Z1449" s="94"/>
      <c r="AA1449" s="120"/>
      <c r="AB1449" s="120"/>
      <c r="AC1449" s="120"/>
      <c r="AD1449" s="120"/>
      <c r="AE1449" s="120"/>
      <c r="AF1449" s="120"/>
      <c r="AG1449" s="94"/>
      <c r="AH1449" s="120"/>
      <c r="AI1449" s="94"/>
      <c r="AJ1449" s="94" t="s">
        <v>825</v>
      </c>
      <c r="AK1449" s="94" t="s">
        <v>267</v>
      </c>
      <c r="AL1449" s="94">
        <v>120</v>
      </c>
      <c r="AM1449" s="94" t="str">
        <f>TRIM(AJ1449)&amp;TRIM(AL1449)&amp;TRIM(AK1449)</f>
      </c>
      <c r="AN1449" s="116">
        <v>0</v>
      </c>
      <c r="AO1449" s="116" t="inlineStr">
        <is>
          <t>#NA</t>
        </is>
      </c>
      <c r="AP1449" s="116">
        <f>SUMIFS(M:M,AM:AM,AM1449)+SUMIFS(O:O,AM:AM,AM1449)</f>
      </c>
      <c r="AQ1449" s="116">
        <f>SUMIFS(L:L,AM:AM,AM1449)</f>
      </c>
      <c r="AR1449" s="116">
        <f>AQ1449-AP1449</f>
      </c>
      <c r="AS1449" s="94" t="str">
        <f>IF(AN1449&gt;=AQ1449,"ok","ck")</f>
      </c>
      <c r="AT1449" s="116">
        <f>-P1449</f>
      </c>
      <c r="AU1449" s="115">
        <f>IF(SUMIFS(AT:AT,AM:AM,AM1449)&gt;AO1449,(SUMIFS(AT:AT,AM:AM,AM1449)-AO1449))</f>
      </c>
      <c r="AV1449" s="116">
        <v>0</v>
      </c>
      <c r="AW1449" s="121">
        <v>0</v>
      </c>
      <c r="AX1449" s="115">
        <f>AN1449-AP1449</f>
      </c>
    </row>
    <row r="1450" spans="1:50" ht="15" hidden="1" customHeight="1" x14ac:dyDescent="0.3">
      <c r="A1450" s="94" t="s">
        <v>268</v>
      </c>
      <c r="B1450" s="94"/>
      <c r="C1450" s="94"/>
      <c r="D1450" s="94"/>
      <c r="E1450" s="94"/>
      <c r="F1450" s="94"/>
      <c r="G1450" s="112">
        <f>AU1450</f>
      </c>
      <c r="H1450" s="113"/>
      <c r="I1450" s="94" t="s">
        <v>278</v>
      </c>
      <c r="J1450" s="94" t="s">
        <v>71</v>
      </c>
      <c r="K1450" s="114">
        <f>P1450/3</f>
      </c>
      <c r="L1450" s="115">
        <v>149.57900000000001</v>
      </c>
      <c r="M1450" s="116"/>
      <c r="N1450" s="117">
        <f>M1450-L1450</f>
      </c>
      <c r="O1450" s="112"/>
      <c r="P1450" s="118">
        <f>N1450+O1450</f>
      </c>
      <c r="Q1450" s="94" t="s">
        <v>858</v>
      </c>
      <c r="R1450" s="94" t="s">
        <v>63</v>
      </c>
      <c r="S1450" s="119">
        <v>46328</v>
      </c>
      <c r="T1450" s="119"/>
      <c r="U1450" s="119" t="s">
        <v>663</v>
      </c>
      <c r="V1450" s="94"/>
      <c r="W1450" s="94"/>
      <c r="X1450" s="94"/>
      <c r="Y1450" s="119">
        <v>46327</v>
      </c>
      <c r="Z1450" s="94"/>
      <c r="AA1450" s="120"/>
      <c r="AB1450" s="120"/>
      <c r="AC1450" s="120"/>
      <c r="AD1450" s="120"/>
      <c r="AE1450" s="120"/>
      <c r="AF1450" s="120"/>
      <c r="AG1450" s="94"/>
      <c r="AH1450" s="120"/>
      <c r="AI1450" s="94"/>
      <c r="AJ1450" s="94" t="s">
        <v>825</v>
      </c>
      <c r="AK1450" s="94" t="s">
        <v>267</v>
      </c>
      <c r="AL1450" s="94">
        <v>120</v>
      </c>
      <c r="AM1450" s="94" t="str">
        <f>TRIM(AJ1450)&amp;TRIM(AL1450)&amp;TRIM(AK1450)</f>
      </c>
      <c r="AN1450" s="116">
        <v>0</v>
      </c>
      <c r="AO1450" s="116" t="inlineStr">
        <is>
          <t>#NA</t>
        </is>
      </c>
      <c r="AP1450" s="116">
        <f>SUMIFS(M:M,AM:AM,AM1450)+SUMIFS(O:O,AM:AM,AM1450)</f>
      </c>
      <c r="AQ1450" s="116">
        <f>SUMIFS(L:L,AM:AM,AM1450)</f>
      </c>
      <c r="AR1450" s="116">
        <f>AQ1450-AP1450</f>
      </c>
      <c r="AS1450" s="94" t="str">
        <f>IF(AN1450&gt;=AQ1450,"ok","ck")</f>
      </c>
      <c r="AT1450" s="116">
        <f>-P1450</f>
      </c>
      <c r="AU1450" s="115">
        <f>IF(SUMIFS(AT:AT,AM:AM,AM1450)&gt;AO1450,(SUMIFS(AT:AT,AM:AM,AM1450)-AO1450))</f>
      </c>
      <c r="AV1450" s="116">
        <v>0</v>
      </c>
      <c r="AW1450" s="121">
        <v>0</v>
      </c>
      <c r="AX1450" s="115">
        <f>AN1450-AP1450</f>
      </c>
    </row>
    <row r="1451" spans="1:50" ht="15" hidden="1" customHeight="1" x14ac:dyDescent="0.3">
      <c r="A1451" s="94" t="s">
        <v>268</v>
      </c>
      <c r="B1451" s="94"/>
      <c r="C1451" s="94"/>
      <c r="D1451" s="94"/>
      <c r="E1451" s="94"/>
      <c r="F1451" s="94"/>
      <c r="G1451" s="112">
        <f>AU1451</f>
      </c>
      <c r="H1451" s="113"/>
      <c r="I1451" s="94" t="s">
        <v>278</v>
      </c>
      <c r="J1451" s="94" t="s">
        <v>71</v>
      </c>
      <c r="K1451" s="114">
        <f>P1451/3</f>
      </c>
      <c r="L1451" s="115">
        <v>149.57900000000001</v>
      </c>
      <c r="M1451" s="116"/>
      <c r="N1451" s="117">
        <f>M1451-L1451</f>
      </c>
      <c r="O1451" s="112"/>
      <c r="P1451" s="118">
        <f>N1451+O1451</f>
      </c>
      <c r="Q1451" s="94" t="s">
        <v>858</v>
      </c>
      <c r="R1451" s="94" t="s">
        <v>63</v>
      </c>
      <c r="S1451" s="119">
        <v>46329</v>
      </c>
      <c r="T1451" s="119"/>
      <c r="U1451" s="119" t="s">
        <v>663</v>
      </c>
      <c r="V1451" s="94"/>
      <c r="W1451" s="94"/>
      <c r="X1451" s="94"/>
      <c r="Y1451" s="119">
        <v>46327</v>
      </c>
      <c r="Z1451" s="94"/>
      <c r="AA1451" s="120"/>
      <c r="AB1451" s="120"/>
      <c r="AC1451" s="120"/>
      <c r="AD1451" s="120"/>
      <c r="AE1451" s="120"/>
      <c r="AF1451" s="120"/>
      <c r="AG1451" s="94"/>
      <c r="AH1451" s="120"/>
      <c r="AI1451" s="94"/>
      <c r="AJ1451" s="94" t="s">
        <v>825</v>
      </c>
      <c r="AK1451" s="94" t="s">
        <v>267</v>
      </c>
      <c r="AL1451" s="94">
        <v>120</v>
      </c>
      <c r="AM1451" s="94" t="str">
        <f>TRIM(AJ1451)&amp;TRIM(AL1451)&amp;TRIM(AK1451)</f>
      </c>
      <c r="AN1451" s="116">
        <v>0</v>
      </c>
      <c r="AO1451" s="116" t="inlineStr">
        <is>
          <t>#NA</t>
        </is>
      </c>
      <c r="AP1451" s="116">
        <f>SUMIFS(M:M,AM:AM,AM1451)+SUMIFS(O:O,AM:AM,AM1451)</f>
      </c>
      <c r="AQ1451" s="116">
        <f>SUMIFS(L:L,AM:AM,AM1451)</f>
      </c>
      <c r="AR1451" s="116">
        <f>AQ1451-AP1451</f>
      </c>
      <c r="AS1451" s="94" t="str">
        <f>IF(AN1451&gt;=AQ1451,"ok","ck")</f>
      </c>
      <c r="AT1451" s="116">
        <f>-P1451</f>
      </c>
      <c r="AU1451" s="115">
        <f>IF(SUMIFS(AT:AT,AM:AM,AM1451)&gt;AO1451,(SUMIFS(AT:AT,AM:AM,AM1451)-AO1451))</f>
      </c>
      <c r="AV1451" s="116">
        <v>0</v>
      </c>
      <c r="AW1451" s="121">
        <v>0</v>
      </c>
      <c r="AX1451" s="115">
        <f>AN1451-AP1451</f>
      </c>
    </row>
    <row r="1452" spans="1:50" ht="15" hidden="1" customHeight="1" x14ac:dyDescent="0.3">
      <c r="A1452" s="94" t="s">
        <v>268</v>
      </c>
      <c r="B1452" s="94"/>
      <c r="C1452" s="94"/>
      <c r="D1452" s="94"/>
      <c r="E1452" s="94"/>
      <c r="F1452" s="94"/>
      <c r="G1452" s="112">
        <f>AU1452</f>
      </c>
      <c r="H1452" s="113"/>
      <c r="I1452" s="94" t="s">
        <v>278</v>
      </c>
      <c r="J1452" s="94" t="s">
        <v>71</v>
      </c>
      <c r="K1452" s="114">
        <f>P1452/3</f>
      </c>
      <c r="L1452" s="115">
        <v>109.389</v>
      </c>
      <c r="M1452" s="116"/>
      <c r="N1452" s="117">
        <f>M1452-L1452</f>
      </c>
      <c r="O1452" s="112"/>
      <c r="P1452" s="118">
        <f>N1452+O1452</f>
      </c>
      <c r="Q1452" s="94" t="s">
        <v>858</v>
      </c>
      <c r="R1452" s="94" t="s">
        <v>63</v>
      </c>
      <c r="S1452" s="119">
        <v>46330</v>
      </c>
      <c r="T1452" s="119"/>
      <c r="U1452" s="119" t="s">
        <v>663</v>
      </c>
      <c r="V1452" s="94"/>
      <c r="W1452" s="94"/>
      <c r="X1452" s="94"/>
      <c r="Y1452" s="119">
        <v>46327</v>
      </c>
      <c r="Z1452" s="94"/>
      <c r="AA1452" s="120"/>
      <c r="AB1452" s="120"/>
      <c r="AC1452" s="120"/>
      <c r="AD1452" s="120"/>
      <c r="AE1452" s="120"/>
      <c r="AF1452" s="120"/>
      <c r="AG1452" s="94"/>
      <c r="AH1452" s="120"/>
      <c r="AI1452" s="94"/>
      <c r="AJ1452" s="94" t="s">
        <v>825</v>
      </c>
      <c r="AK1452" s="94" t="s">
        <v>267</v>
      </c>
      <c r="AL1452" s="94">
        <v>120</v>
      </c>
      <c r="AM1452" s="94" t="str">
        <f>TRIM(AJ1452)&amp;TRIM(AL1452)&amp;TRIM(AK1452)</f>
      </c>
      <c r="AN1452" s="116">
        <v>0</v>
      </c>
      <c r="AO1452" s="116" t="inlineStr">
        <is>
          <t>#NA</t>
        </is>
      </c>
      <c r="AP1452" s="116">
        <f>SUMIFS(M:M,AM:AM,AM1452)+SUMIFS(O:O,AM:AM,AM1452)</f>
      </c>
      <c r="AQ1452" s="116">
        <f>SUMIFS(L:L,AM:AM,AM1452)</f>
      </c>
      <c r="AR1452" s="116">
        <f>AQ1452-AP1452</f>
      </c>
      <c r="AS1452" s="94" t="str">
        <f>IF(AN1452&gt;=AQ1452,"ok","ck")</f>
      </c>
      <c r="AT1452" s="116">
        <f>-P1452</f>
      </c>
      <c r="AU1452" s="115">
        <f>IF(SUMIFS(AT:AT,AM:AM,AM1452)&gt;AO1452,(SUMIFS(AT:AT,AM:AM,AM1452)-AO1452))</f>
      </c>
      <c r="AV1452" s="116">
        <v>0</v>
      </c>
      <c r="AW1452" s="121">
        <v>0</v>
      </c>
      <c r="AX1452" s="115">
        <f>AN1452-AP1452</f>
      </c>
    </row>
    <row r="1453" spans="1:50" ht="15" hidden="1" customHeight="1" x14ac:dyDescent="0.3">
      <c r="A1453" s="94" t="s">
        <v>268</v>
      </c>
      <c r="B1453" s="94"/>
      <c r="C1453" s="94"/>
      <c r="D1453" s="94"/>
      <c r="E1453" s="94"/>
      <c r="F1453" s="94"/>
      <c r="G1453" s="112">
        <f>AU1453</f>
      </c>
      <c r="H1453" s="113"/>
      <c r="I1453" s="94" t="s">
        <v>390</v>
      </c>
      <c r="J1453" s="94" t="s">
        <v>71</v>
      </c>
      <c r="K1453" s="114">
        <f>P1453/3</f>
      </c>
      <c r="L1453" s="115">
        <v>1895.421</v>
      </c>
      <c r="M1453" s="116"/>
      <c r="N1453" s="117">
        <f>M1453-L1453</f>
      </c>
      <c r="O1453" s="112"/>
      <c r="P1453" s="118">
        <f>N1453+O1453</f>
      </c>
      <c r="Q1453" s="94" t="s">
        <v>858</v>
      </c>
      <c r="R1453" s="94" t="s">
        <v>63</v>
      </c>
      <c r="S1453" s="119">
        <v>46326</v>
      </c>
      <c r="T1453" s="119"/>
      <c r="U1453" s="119" t="s">
        <v>663</v>
      </c>
      <c r="V1453" s="94"/>
      <c r="W1453" s="94"/>
      <c r="X1453" s="94"/>
      <c r="Y1453" s="119">
        <v>46327</v>
      </c>
      <c r="Z1453" s="94"/>
      <c r="AA1453" s="120"/>
      <c r="AB1453" s="120"/>
      <c r="AC1453" s="120"/>
      <c r="AD1453" s="120"/>
      <c r="AE1453" s="120"/>
      <c r="AF1453" s="120"/>
      <c r="AG1453" s="94"/>
      <c r="AH1453" s="120"/>
      <c r="AI1453" s="94"/>
      <c r="AJ1453" s="94" t="s">
        <v>825</v>
      </c>
      <c r="AK1453" s="94" t="s">
        <v>267</v>
      </c>
      <c r="AL1453" s="94">
        <v>140</v>
      </c>
      <c r="AM1453" s="94" t="str">
        <f>TRIM(AJ1453)&amp;TRIM(AL1453)&amp;TRIM(AK1453)</f>
      </c>
      <c r="AN1453" s="116">
        <v>0</v>
      </c>
      <c r="AO1453" s="116" t="inlineStr">
        <is>
          <t>#NA</t>
        </is>
      </c>
      <c r="AP1453" s="116">
        <f>SUMIFS(M:M,AM:AM,AM1453)+SUMIFS(O:O,AM:AM,AM1453)</f>
      </c>
      <c r="AQ1453" s="116">
        <f>SUMIFS(L:L,AM:AM,AM1453)</f>
      </c>
      <c r="AR1453" s="116">
        <f>AQ1453-AP1453</f>
      </c>
      <c r="AS1453" s="94" t="str">
        <f>IF(AN1453&gt;=AQ1453,"ok","ck")</f>
      </c>
      <c r="AT1453" s="116">
        <f>-P1453</f>
      </c>
      <c r="AU1453" s="115">
        <f>IF(SUMIFS(AT:AT,AM:AM,AM1453)&gt;AO1453,(SUMIFS(AT:AT,AM:AM,AM1453)-AO1453))</f>
      </c>
      <c r="AV1453" s="116">
        <v>0</v>
      </c>
      <c r="AW1453" s="121">
        <v>0</v>
      </c>
      <c r="AX1453" s="115">
        <f>AN1453-AP1453</f>
      </c>
    </row>
    <row r="1454" spans="1:50" ht="15" hidden="1" customHeight="1" x14ac:dyDescent="0.3">
      <c r="A1454" s="94" t="s">
        <v>268</v>
      </c>
      <c r="B1454" s="94"/>
      <c r="C1454" s="94"/>
      <c r="D1454" s="94"/>
      <c r="E1454" s="94"/>
      <c r="F1454" s="94"/>
      <c r="G1454" s="112">
        <f>AU1454</f>
      </c>
      <c r="H1454" s="113"/>
      <c r="I1454" s="94" t="s">
        <v>390</v>
      </c>
      <c r="J1454" s="94" t="s">
        <v>71</v>
      </c>
      <c r="K1454" s="114">
        <f>P1454/3</f>
      </c>
      <c r="L1454" s="115">
        <v>1895.421</v>
      </c>
      <c r="M1454" s="116"/>
      <c r="N1454" s="117">
        <f>M1454-L1454</f>
      </c>
      <c r="O1454" s="112"/>
      <c r="P1454" s="118">
        <f>N1454+O1454</f>
      </c>
      <c r="Q1454" s="94" t="s">
        <v>858</v>
      </c>
      <c r="R1454" s="94" t="s">
        <v>63</v>
      </c>
      <c r="S1454" s="119">
        <v>46328</v>
      </c>
      <c r="T1454" s="119"/>
      <c r="U1454" s="119" t="s">
        <v>663</v>
      </c>
      <c r="V1454" s="94"/>
      <c r="W1454" s="94"/>
      <c r="X1454" s="94"/>
      <c r="Y1454" s="119">
        <v>46327</v>
      </c>
      <c r="Z1454" s="94"/>
      <c r="AA1454" s="120"/>
      <c r="AB1454" s="120"/>
      <c r="AC1454" s="120"/>
      <c r="AD1454" s="120"/>
      <c r="AE1454" s="120"/>
      <c r="AF1454" s="120"/>
      <c r="AG1454" s="94"/>
      <c r="AH1454" s="120"/>
      <c r="AI1454" s="94"/>
      <c r="AJ1454" s="94" t="s">
        <v>825</v>
      </c>
      <c r="AK1454" s="94" t="s">
        <v>267</v>
      </c>
      <c r="AL1454" s="94">
        <v>140</v>
      </c>
      <c r="AM1454" s="94" t="str">
        <f>TRIM(AJ1454)&amp;TRIM(AL1454)&amp;TRIM(AK1454)</f>
      </c>
      <c r="AN1454" s="116">
        <v>0</v>
      </c>
      <c r="AO1454" s="116" t="inlineStr">
        <is>
          <t>#NA</t>
        </is>
      </c>
      <c r="AP1454" s="116">
        <f>SUMIFS(M:M,AM:AM,AM1454)+SUMIFS(O:O,AM:AM,AM1454)</f>
      </c>
      <c r="AQ1454" s="116">
        <f>SUMIFS(L:L,AM:AM,AM1454)</f>
      </c>
      <c r="AR1454" s="116">
        <f>AQ1454-AP1454</f>
      </c>
      <c r="AS1454" s="94" t="str">
        <f>IF(AN1454&gt;=AQ1454,"ok","ck")</f>
      </c>
      <c r="AT1454" s="116">
        <f>-P1454</f>
      </c>
      <c r="AU1454" s="115">
        <f>IF(SUMIFS(AT:AT,AM:AM,AM1454)&gt;AO1454,(SUMIFS(AT:AT,AM:AM,AM1454)-AO1454))</f>
      </c>
      <c r="AV1454" s="116">
        <v>0</v>
      </c>
      <c r="AW1454" s="121">
        <v>0</v>
      </c>
      <c r="AX1454" s="115">
        <f>AN1454-AP1454</f>
      </c>
    </row>
    <row r="1455" spans="1:50" ht="15" hidden="1" customHeight="1" x14ac:dyDescent="0.3">
      <c r="A1455" s="94" t="s">
        <v>268</v>
      </c>
      <c r="B1455" s="94"/>
      <c r="C1455" s="94"/>
      <c r="D1455" s="94"/>
      <c r="E1455" s="94"/>
      <c r="F1455" s="94"/>
      <c r="G1455" s="112">
        <f>AU1455</f>
      </c>
      <c r="H1455" s="113"/>
      <c r="I1455" s="94" t="s">
        <v>390</v>
      </c>
      <c r="J1455" s="94" t="s">
        <v>71</v>
      </c>
      <c r="K1455" s="114">
        <f>P1455/3</f>
      </c>
      <c r="L1455" s="115">
        <v>1895.421</v>
      </c>
      <c r="M1455" s="116"/>
      <c r="N1455" s="117">
        <f>M1455-L1455</f>
      </c>
      <c r="O1455" s="112"/>
      <c r="P1455" s="118">
        <f>N1455+O1455</f>
      </c>
      <c r="Q1455" s="94" t="s">
        <v>858</v>
      </c>
      <c r="R1455" s="94" t="s">
        <v>63</v>
      </c>
      <c r="S1455" s="119">
        <v>46329</v>
      </c>
      <c r="T1455" s="119"/>
      <c r="U1455" s="119" t="s">
        <v>663</v>
      </c>
      <c r="V1455" s="94"/>
      <c r="W1455" s="94"/>
      <c r="X1455" s="94"/>
      <c r="Y1455" s="119">
        <v>46327</v>
      </c>
      <c r="Z1455" s="94"/>
      <c r="AA1455" s="120"/>
      <c r="AB1455" s="120"/>
      <c r="AC1455" s="120"/>
      <c r="AD1455" s="120"/>
      <c r="AE1455" s="120"/>
      <c r="AF1455" s="120"/>
      <c r="AG1455" s="94"/>
      <c r="AH1455" s="120"/>
      <c r="AI1455" s="94"/>
      <c r="AJ1455" s="94" t="s">
        <v>825</v>
      </c>
      <c r="AK1455" s="94" t="s">
        <v>267</v>
      </c>
      <c r="AL1455" s="94">
        <v>140</v>
      </c>
      <c r="AM1455" s="94" t="str">
        <f>TRIM(AJ1455)&amp;TRIM(AL1455)&amp;TRIM(AK1455)</f>
      </c>
      <c r="AN1455" s="116">
        <v>0</v>
      </c>
      <c r="AO1455" s="116" t="inlineStr">
        <is>
          <t>#NA</t>
        </is>
      </c>
      <c r="AP1455" s="116">
        <f>SUMIFS(M:M,AM:AM,AM1455)+SUMIFS(O:O,AM:AM,AM1455)</f>
      </c>
      <c r="AQ1455" s="116">
        <f>SUMIFS(L:L,AM:AM,AM1455)</f>
      </c>
      <c r="AR1455" s="116">
        <f>AQ1455-AP1455</f>
      </c>
      <c r="AS1455" s="94" t="str">
        <f>IF(AN1455&gt;=AQ1455,"ok","ck")</f>
      </c>
      <c r="AT1455" s="116">
        <f>-P1455</f>
      </c>
      <c r="AU1455" s="115">
        <f>IF(SUMIFS(AT:AT,AM:AM,AM1455)&gt;AO1455,(SUMIFS(AT:AT,AM:AM,AM1455)-AO1455))</f>
      </c>
      <c r="AV1455" s="116">
        <v>0</v>
      </c>
      <c r="AW1455" s="121">
        <v>0</v>
      </c>
      <c r="AX1455" s="115">
        <f>AN1455-AP1455</f>
      </c>
    </row>
    <row r="1456" spans="1:50" ht="15" hidden="1" customHeight="1" x14ac:dyDescent="0.3">
      <c r="A1456" s="94" t="s">
        <v>268</v>
      </c>
      <c r="B1456" s="94"/>
      <c r="C1456" s="94"/>
      <c r="D1456" s="94"/>
      <c r="E1456" s="94"/>
      <c r="F1456" s="94"/>
      <c r="G1456" s="112">
        <f>AU1456</f>
      </c>
      <c r="H1456" s="113"/>
      <c r="I1456" s="94" t="s">
        <v>390</v>
      </c>
      <c r="J1456" s="94" t="s">
        <v>71</v>
      </c>
      <c r="K1456" s="114">
        <f>P1456/3</f>
      </c>
      <c r="L1456" s="115">
        <v>1386.1669999999999</v>
      </c>
      <c r="M1456" s="116"/>
      <c r="N1456" s="117">
        <f>M1456-L1456</f>
      </c>
      <c r="O1456" s="112"/>
      <c r="P1456" s="118">
        <f>N1456+O1456</f>
      </c>
      <c r="Q1456" s="94" t="s">
        <v>858</v>
      </c>
      <c r="R1456" s="94" t="s">
        <v>63</v>
      </c>
      <c r="S1456" s="119">
        <v>46330</v>
      </c>
      <c r="T1456" s="119"/>
      <c r="U1456" s="119" t="s">
        <v>663</v>
      </c>
      <c r="V1456" s="94"/>
      <c r="W1456" s="94"/>
      <c r="X1456" s="94"/>
      <c r="Y1456" s="119">
        <v>46327</v>
      </c>
      <c r="Z1456" s="94"/>
      <c r="AA1456" s="120"/>
      <c r="AB1456" s="120"/>
      <c r="AC1456" s="120"/>
      <c r="AD1456" s="120"/>
      <c r="AE1456" s="120"/>
      <c r="AF1456" s="120"/>
      <c r="AG1456" s="94"/>
      <c r="AH1456" s="120"/>
      <c r="AI1456" s="94"/>
      <c r="AJ1456" s="94" t="s">
        <v>825</v>
      </c>
      <c r="AK1456" s="94" t="s">
        <v>267</v>
      </c>
      <c r="AL1456" s="94">
        <v>140</v>
      </c>
      <c r="AM1456" s="94" t="str">
        <f>TRIM(AJ1456)&amp;TRIM(AL1456)&amp;TRIM(AK1456)</f>
      </c>
      <c r="AN1456" s="116">
        <v>0</v>
      </c>
      <c r="AO1456" s="116" t="inlineStr">
        <is>
          <t>#NA</t>
        </is>
      </c>
      <c r="AP1456" s="116">
        <f>SUMIFS(M:M,AM:AM,AM1456)+SUMIFS(O:O,AM:AM,AM1456)</f>
      </c>
      <c r="AQ1456" s="116">
        <f>SUMIFS(L:L,AM:AM,AM1456)</f>
      </c>
      <c r="AR1456" s="116">
        <f>AQ1456-AP1456</f>
      </c>
      <c r="AS1456" s="94" t="str">
        <f>IF(AN1456&gt;=AQ1456,"ok","ck")</f>
      </c>
      <c r="AT1456" s="116">
        <f>-P1456</f>
      </c>
      <c r="AU1456" s="115">
        <f>IF(SUMIFS(AT:AT,AM:AM,AM1456)&gt;AO1456,(SUMIFS(AT:AT,AM:AM,AM1456)-AO1456))</f>
      </c>
      <c r="AV1456" s="116">
        <v>0</v>
      </c>
      <c r="AW1456" s="121">
        <v>0</v>
      </c>
      <c r="AX1456" s="115">
        <f>AN1456-AP1456</f>
      </c>
    </row>
    <row r="1457" spans="1:50" ht="15" hidden="1" customHeight="1" x14ac:dyDescent="0.3">
      <c r="A1457" s="94" t="s">
        <v>268</v>
      </c>
      <c r="B1457" s="94"/>
      <c r="C1457" s="94"/>
      <c r="D1457" s="94"/>
      <c r="E1457" s="94"/>
      <c r="F1457" s="94"/>
      <c r="G1457" s="112">
        <f>AU1457</f>
      </c>
      <c r="H1457" s="113"/>
      <c r="I1457" s="94" t="s">
        <v>278</v>
      </c>
      <c r="J1457" s="94" t="s">
        <v>286</v>
      </c>
      <c r="K1457" s="114">
        <f>P1457/3</f>
      </c>
      <c r="L1457" s="115">
        <v>221.55199999999999</v>
      </c>
      <c r="M1457" s="116"/>
      <c r="N1457" s="117">
        <f>M1457-L1457</f>
      </c>
      <c r="O1457" s="112"/>
      <c r="P1457" s="118">
        <f>N1457+O1457</f>
      </c>
      <c r="Q1457" s="94" t="s">
        <v>859</v>
      </c>
      <c r="R1457" s="94" t="s">
        <v>63</v>
      </c>
      <c r="S1457" s="119">
        <v>46331</v>
      </c>
      <c r="T1457" s="119"/>
      <c r="U1457" s="119" t="s">
        <v>664</v>
      </c>
      <c r="V1457" s="94"/>
      <c r="W1457" s="94"/>
      <c r="X1457" s="94"/>
      <c r="Y1457" s="119">
        <v>46327</v>
      </c>
      <c r="Z1457" s="94"/>
      <c r="AA1457" s="120"/>
      <c r="AB1457" s="120"/>
      <c r="AC1457" s="120"/>
      <c r="AD1457" s="120"/>
      <c r="AE1457" s="120"/>
      <c r="AF1457" s="120"/>
      <c r="AG1457" s="94"/>
      <c r="AH1457" s="120"/>
      <c r="AI1457" s="94"/>
      <c r="AJ1457" s="94" t="s">
        <v>826</v>
      </c>
      <c r="AK1457" s="94" t="s">
        <v>281</v>
      </c>
      <c r="AL1457" s="94">
        <v>120</v>
      </c>
      <c r="AM1457" s="94" t="str">
        <f>TRIM(AJ1457)&amp;TRIM(AL1457)&amp;TRIM(AK1457)</f>
      </c>
      <c r="AN1457" s="116">
        <v>0</v>
      </c>
      <c r="AO1457" s="116" t="inlineStr">
        <is>
          <t>#NA</t>
        </is>
      </c>
      <c r="AP1457" s="116">
        <f>SUMIFS(M:M,AM:AM,AM1457)+SUMIFS(O:O,AM:AM,AM1457)</f>
      </c>
      <c r="AQ1457" s="116">
        <f>SUMIFS(L:L,AM:AM,AM1457)</f>
      </c>
      <c r="AR1457" s="116">
        <f>AQ1457-AP1457</f>
      </c>
      <c r="AS1457" s="94" t="str">
        <f>IF(AN1457&gt;=AQ1457,"ok","ck")</f>
      </c>
      <c r="AT1457" s="116">
        <f>-P1457</f>
      </c>
      <c r="AU1457" s="115">
        <f>IF(SUMIFS(AT:AT,AM:AM,AM1457)&gt;AO1457,(SUMIFS(AT:AT,AM:AM,AM1457)-AO1457))</f>
      </c>
      <c r="AV1457" s="116">
        <v>0</v>
      </c>
      <c r="AW1457" s="121">
        <v>0</v>
      </c>
      <c r="AX1457" s="115">
        <f>AN1457-AP1457</f>
      </c>
    </row>
    <row r="1458" spans="1:50" ht="15" hidden="1" customHeight="1" x14ac:dyDescent="0.3">
      <c r="A1458" s="94" t="s">
        <v>268</v>
      </c>
      <c r="B1458" s="94"/>
      <c r="C1458" s="94"/>
      <c r="D1458" s="94"/>
      <c r="E1458" s="94"/>
      <c r="F1458" s="94"/>
      <c r="G1458" s="112">
        <f>AU1458</f>
      </c>
      <c r="H1458" s="113"/>
      <c r="I1458" s="94" t="s">
        <v>278</v>
      </c>
      <c r="J1458" s="94" t="s">
        <v>286</v>
      </c>
      <c r="K1458" s="114">
        <f>P1458/3</f>
      </c>
      <c r="L1458" s="115">
        <v>221.55199999999999</v>
      </c>
      <c r="M1458" s="116"/>
      <c r="N1458" s="117">
        <f>M1458-L1458</f>
      </c>
      <c r="O1458" s="112"/>
      <c r="P1458" s="118">
        <f>N1458+O1458</f>
      </c>
      <c r="Q1458" s="94" t="s">
        <v>859</v>
      </c>
      <c r="R1458" s="94" t="s">
        <v>63</v>
      </c>
      <c r="S1458" s="119">
        <v>46333</v>
      </c>
      <c r="T1458" s="119"/>
      <c r="U1458" s="119" t="s">
        <v>664</v>
      </c>
      <c r="V1458" s="94"/>
      <c r="W1458" s="94"/>
      <c r="X1458" s="94"/>
      <c r="Y1458" s="119">
        <v>46327</v>
      </c>
      <c r="Z1458" s="94"/>
      <c r="AA1458" s="120"/>
      <c r="AB1458" s="120"/>
      <c r="AC1458" s="120"/>
      <c r="AD1458" s="120"/>
      <c r="AE1458" s="120"/>
      <c r="AF1458" s="120"/>
      <c r="AG1458" s="94"/>
      <c r="AH1458" s="120"/>
      <c r="AI1458" s="94"/>
      <c r="AJ1458" s="94" t="s">
        <v>826</v>
      </c>
      <c r="AK1458" s="94" t="s">
        <v>281</v>
      </c>
      <c r="AL1458" s="94">
        <v>120</v>
      </c>
      <c r="AM1458" s="94" t="str">
        <f>TRIM(AJ1458)&amp;TRIM(AL1458)&amp;TRIM(AK1458)</f>
      </c>
      <c r="AN1458" s="116">
        <v>0</v>
      </c>
      <c r="AO1458" s="116" t="inlineStr">
        <is>
          <t>#NA</t>
        </is>
      </c>
      <c r="AP1458" s="116">
        <f>SUMIFS(M:M,AM:AM,AM1458)+SUMIFS(O:O,AM:AM,AM1458)</f>
      </c>
      <c r="AQ1458" s="116">
        <f>SUMIFS(L:L,AM:AM,AM1458)</f>
      </c>
      <c r="AR1458" s="116">
        <f>AQ1458-AP1458</f>
      </c>
      <c r="AS1458" s="94" t="str">
        <f>IF(AN1458&gt;=AQ1458,"ok","ck")</f>
      </c>
      <c r="AT1458" s="116">
        <f>-P1458</f>
      </c>
      <c r="AU1458" s="115">
        <f>IF(SUMIFS(AT:AT,AM:AM,AM1458)&gt;AO1458,(SUMIFS(AT:AT,AM:AM,AM1458)-AO1458))</f>
      </c>
      <c r="AV1458" s="116">
        <v>0</v>
      </c>
      <c r="AW1458" s="121">
        <v>0</v>
      </c>
      <c r="AX1458" s="115">
        <f>AN1458-AP1458</f>
      </c>
    </row>
    <row r="1459" spans="1:50" ht="15" hidden="1" customHeight="1" x14ac:dyDescent="0.3">
      <c r="A1459" s="94" t="s">
        <v>268</v>
      </c>
      <c r="B1459" s="94"/>
      <c r="C1459" s="94"/>
      <c r="D1459" s="94"/>
      <c r="E1459" s="94"/>
      <c r="F1459" s="94"/>
      <c r="G1459" s="112">
        <f>AU1459</f>
      </c>
      <c r="H1459" s="113"/>
      <c r="I1459" s="94" t="s">
        <v>278</v>
      </c>
      <c r="J1459" s="94" t="s">
        <v>286</v>
      </c>
      <c r="K1459" s="114">
        <f>P1459/3</f>
      </c>
      <c r="L1459" s="115">
        <v>221.55199999999999</v>
      </c>
      <c r="M1459" s="116"/>
      <c r="N1459" s="117">
        <f>M1459-L1459</f>
      </c>
      <c r="O1459" s="112"/>
      <c r="P1459" s="118">
        <f>N1459+O1459</f>
      </c>
      <c r="Q1459" s="94" t="s">
        <v>859</v>
      </c>
      <c r="R1459" s="94" t="s">
        <v>63</v>
      </c>
      <c r="S1459" s="119">
        <v>46335</v>
      </c>
      <c r="T1459" s="119"/>
      <c r="U1459" s="119" t="s">
        <v>664</v>
      </c>
      <c r="V1459" s="94"/>
      <c r="W1459" s="94"/>
      <c r="X1459" s="94"/>
      <c r="Y1459" s="119">
        <v>46327</v>
      </c>
      <c r="Z1459" s="94"/>
      <c r="AA1459" s="120"/>
      <c r="AB1459" s="120"/>
      <c r="AC1459" s="120"/>
      <c r="AD1459" s="120"/>
      <c r="AE1459" s="120"/>
      <c r="AF1459" s="120"/>
      <c r="AG1459" s="94"/>
      <c r="AH1459" s="120"/>
      <c r="AI1459" s="94"/>
      <c r="AJ1459" s="94" t="s">
        <v>826</v>
      </c>
      <c r="AK1459" s="94" t="s">
        <v>281</v>
      </c>
      <c r="AL1459" s="94">
        <v>120</v>
      </c>
      <c r="AM1459" s="94" t="str">
        <f>TRIM(AJ1459)&amp;TRIM(AL1459)&amp;TRIM(AK1459)</f>
      </c>
      <c r="AN1459" s="116">
        <v>0</v>
      </c>
      <c r="AO1459" s="116" t="inlineStr">
        <is>
          <t>#NA</t>
        </is>
      </c>
      <c r="AP1459" s="116">
        <f>SUMIFS(M:M,AM:AM,AM1459)+SUMIFS(O:O,AM:AM,AM1459)</f>
      </c>
      <c r="AQ1459" s="116">
        <f>SUMIFS(L:L,AM:AM,AM1459)</f>
      </c>
      <c r="AR1459" s="116">
        <f>AQ1459-AP1459</f>
      </c>
      <c r="AS1459" s="94" t="str">
        <f>IF(AN1459&gt;=AQ1459,"ok","ck")</f>
      </c>
      <c r="AT1459" s="116">
        <f>-P1459</f>
      </c>
      <c r="AU1459" s="115">
        <f>IF(SUMIFS(AT:AT,AM:AM,AM1459)&gt;AO1459,(SUMIFS(AT:AT,AM:AM,AM1459)-AO1459))</f>
      </c>
      <c r="AV1459" s="116">
        <v>0</v>
      </c>
      <c r="AW1459" s="121">
        <v>0</v>
      </c>
      <c r="AX1459" s="115">
        <f>AN1459-AP1459</f>
      </c>
    </row>
    <row r="1460" spans="1:50" ht="15" hidden="1" customHeight="1" x14ac:dyDescent="0.3">
      <c r="A1460" s="94" t="s">
        <v>268</v>
      </c>
      <c r="B1460" s="94"/>
      <c r="C1460" s="94"/>
      <c r="D1460" s="94"/>
      <c r="E1460" s="94"/>
      <c r="F1460" s="94"/>
      <c r="G1460" s="112">
        <f>AU1460</f>
      </c>
      <c r="H1460" s="113"/>
      <c r="I1460" s="94" t="s">
        <v>278</v>
      </c>
      <c r="J1460" s="94" t="s">
        <v>286</v>
      </c>
      <c r="K1460" s="114">
        <f>P1460/3</f>
      </c>
      <c r="L1460" s="115">
        <v>221.55199999999999</v>
      </c>
      <c r="M1460" s="116"/>
      <c r="N1460" s="117">
        <f>M1460-L1460</f>
      </c>
      <c r="O1460" s="112"/>
      <c r="P1460" s="118">
        <f>N1460+O1460</f>
      </c>
      <c r="Q1460" s="94" t="s">
        <v>859</v>
      </c>
      <c r="R1460" s="94" t="s">
        <v>63</v>
      </c>
      <c r="S1460" s="119">
        <v>46337</v>
      </c>
      <c r="T1460" s="119"/>
      <c r="U1460" s="119" t="s">
        <v>664</v>
      </c>
      <c r="V1460" s="94"/>
      <c r="W1460" s="94"/>
      <c r="X1460" s="94"/>
      <c r="Y1460" s="119">
        <v>46327</v>
      </c>
      <c r="Z1460" s="94"/>
      <c r="AA1460" s="120"/>
      <c r="AB1460" s="120"/>
      <c r="AC1460" s="120"/>
      <c r="AD1460" s="120"/>
      <c r="AE1460" s="120"/>
      <c r="AF1460" s="120"/>
      <c r="AG1460" s="94"/>
      <c r="AH1460" s="120"/>
      <c r="AI1460" s="94"/>
      <c r="AJ1460" s="94" t="s">
        <v>826</v>
      </c>
      <c r="AK1460" s="94" t="s">
        <v>281</v>
      </c>
      <c r="AL1460" s="94">
        <v>120</v>
      </c>
      <c r="AM1460" s="94" t="str">
        <f>TRIM(AJ1460)&amp;TRIM(AL1460)&amp;TRIM(AK1460)</f>
      </c>
      <c r="AN1460" s="116">
        <v>0</v>
      </c>
      <c r="AO1460" s="116" t="inlineStr">
        <is>
          <t>#NA</t>
        </is>
      </c>
      <c r="AP1460" s="116">
        <f>SUMIFS(M:M,AM:AM,AM1460)+SUMIFS(O:O,AM:AM,AM1460)</f>
      </c>
      <c r="AQ1460" s="116">
        <f>SUMIFS(L:L,AM:AM,AM1460)</f>
      </c>
      <c r="AR1460" s="116">
        <f>AQ1460-AP1460</f>
      </c>
      <c r="AS1460" s="94" t="str">
        <f>IF(AN1460&gt;=AQ1460,"ok","ck")</f>
      </c>
      <c r="AT1460" s="116">
        <f>-P1460</f>
      </c>
      <c r="AU1460" s="115">
        <f>IF(SUMIFS(AT:AT,AM:AM,AM1460)&gt;AO1460,(SUMIFS(AT:AT,AM:AM,AM1460)-AO1460))</f>
      </c>
      <c r="AV1460" s="116">
        <v>0</v>
      </c>
      <c r="AW1460" s="121">
        <v>0</v>
      </c>
      <c r="AX1460" s="115">
        <f>AN1460-AP1460</f>
      </c>
    </row>
    <row r="1461" spans="1:50" ht="15" hidden="1" customHeight="1" x14ac:dyDescent="0.3">
      <c r="A1461" s="94" t="s">
        <v>268</v>
      </c>
      <c r="B1461" s="94"/>
      <c r="C1461" s="94"/>
      <c r="D1461" s="94"/>
      <c r="E1461" s="94"/>
      <c r="F1461" s="94"/>
      <c r="G1461" s="112">
        <f>AU1461</f>
      </c>
      <c r="H1461" s="113"/>
      <c r="I1461" s="94" t="s">
        <v>278</v>
      </c>
      <c r="J1461" s="94" t="s">
        <v>286</v>
      </c>
      <c r="K1461" s="114">
        <f>P1461/3</f>
      </c>
      <c r="L1461" s="115">
        <v>221.55199999999999</v>
      </c>
      <c r="M1461" s="116"/>
      <c r="N1461" s="117">
        <f>M1461-L1461</f>
      </c>
      <c r="O1461" s="112"/>
      <c r="P1461" s="118">
        <f>N1461+O1461</f>
      </c>
      <c r="Q1461" s="94" t="s">
        <v>859</v>
      </c>
      <c r="R1461" s="94" t="s">
        <v>63</v>
      </c>
      <c r="S1461" s="119">
        <v>46339</v>
      </c>
      <c r="T1461" s="119"/>
      <c r="U1461" s="119" t="s">
        <v>664</v>
      </c>
      <c r="V1461" s="94"/>
      <c r="W1461" s="94"/>
      <c r="X1461" s="94"/>
      <c r="Y1461" s="119">
        <v>46327</v>
      </c>
      <c r="Z1461" s="94"/>
      <c r="AA1461" s="120"/>
      <c r="AB1461" s="120"/>
      <c r="AC1461" s="120"/>
      <c r="AD1461" s="120"/>
      <c r="AE1461" s="120"/>
      <c r="AF1461" s="120"/>
      <c r="AG1461" s="94"/>
      <c r="AH1461" s="120"/>
      <c r="AI1461" s="94"/>
      <c r="AJ1461" s="94" t="s">
        <v>826</v>
      </c>
      <c r="AK1461" s="94" t="s">
        <v>281</v>
      </c>
      <c r="AL1461" s="94">
        <v>120</v>
      </c>
      <c r="AM1461" s="94" t="str">
        <f>TRIM(AJ1461)&amp;TRIM(AL1461)&amp;TRIM(AK1461)</f>
      </c>
      <c r="AN1461" s="116">
        <v>0</v>
      </c>
      <c r="AO1461" s="116" t="inlineStr">
        <is>
          <t>#NA</t>
        </is>
      </c>
      <c r="AP1461" s="116">
        <f>SUMIFS(M:M,AM:AM,AM1461)+SUMIFS(O:O,AM:AM,AM1461)</f>
      </c>
      <c r="AQ1461" s="116">
        <f>SUMIFS(L:L,AM:AM,AM1461)</f>
      </c>
      <c r="AR1461" s="116">
        <f>AQ1461-AP1461</f>
      </c>
      <c r="AS1461" s="94" t="str">
        <f>IF(AN1461&gt;=AQ1461,"ok","ck")</f>
      </c>
      <c r="AT1461" s="116">
        <f>-P1461</f>
      </c>
      <c r="AU1461" s="115">
        <f>IF(SUMIFS(AT:AT,AM:AM,AM1461)&gt;AO1461,(SUMIFS(AT:AT,AM:AM,AM1461)-AO1461))</f>
      </c>
      <c r="AV1461" s="116">
        <v>0</v>
      </c>
      <c r="AW1461" s="121">
        <v>0</v>
      </c>
      <c r="AX1461" s="115">
        <f>AN1461-AP1461</f>
      </c>
    </row>
    <row r="1462" spans="1:50" ht="15" hidden="1" customHeight="1" x14ac:dyDescent="0.3">
      <c r="A1462" s="94" t="s">
        <v>268</v>
      </c>
      <c r="B1462" s="94"/>
      <c r="C1462" s="94"/>
      <c r="D1462" s="94"/>
      <c r="E1462" s="94"/>
      <c r="F1462" s="94"/>
      <c r="G1462" s="112">
        <f>AU1462</f>
      </c>
      <c r="H1462" s="113"/>
      <c r="I1462" s="94" t="s">
        <v>278</v>
      </c>
      <c r="J1462" s="94" t="s">
        <v>286</v>
      </c>
      <c r="K1462" s="114">
        <f>P1462/3</f>
      </c>
      <c r="L1462" s="115">
        <v>221.55199999999999</v>
      </c>
      <c r="M1462" s="116"/>
      <c r="N1462" s="117">
        <f>M1462-L1462</f>
      </c>
      <c r="O1462" s="112"/>
      <c r="P1462" s="118">
        <f>N1462+O1462</f>
      </c>
      <c r="Q1462" s="94" t="s">
        <v>859</v>
      </c>
      <c r="R1462" s="94" t="s">
        <v>63</v>
      </c>
      <c r="S1462" s="119">
        <v>46341</v>
      </c>
      <c r="T1462" s="119"/>
      <c r="U1462" s="119" t="s">
        <v>664</v>
      </c>
      <c r="V1462" s="94"/>
      <c r="W1462" s="94"/>
      <c r="X1462" s="94"/>
      <c r="Y1462" s="119">
        <v>46327</v>
      </c>
      <c r="Z1462" s="94"/>
      <c r="AA1462" s="120"/>
      <c r="AB1462" s="120"/>
      <c r="AC1462" s="120"/>
      <c r="AD1462" s="120"/>
      <c r="AE1462" s="120"/>
      <c r="AF1462" s="120"/>
      <c r="AG1462" s="94"/>
      <c r="AH1462" s="120"/>
      <c r="AI1462" s="94"/>
      <c r="AJ1462" s="94" t="s">
        <v>826</v>
      </c>
      <c r="AK1462" s="94" t="s">
        <v>281</v>
      </c>
      <c r="AL1462" s="94">
        <v>120</v>
      </c>
      <c r="AM1462" s="94" t="str">
        <f>TRIM(AJ1462)&amp;TRIM(AL1462)&amp;TRIM(AK1462)</f>
      </c>
      <c r="AN1462" s="116">
        <v>0</v>
      </c>
      <c r="AO1462" s="116" t="inlineStr">
        <is>
          <t>#NA</t>
        </is>
      </c>
      <c r="AP1462" s="116">
        <f>SUMIFS(M:M,AM:AM,AM1462)+SUMIFS(O:O,AM:AM,AM1462)</f>
      </c>
      <c r="AQ1462" s="116">
        <f>SUMIFS(L:L,AM:AM,AM1462)</f>
      </c>
      <c r="AR1462" s="116">
        <f>AQ1462-AP1462</f>
      </c>
      <c r="AS1462" s="94" t="str">
        <f>IF(AN1462&gt;=AQ1462,"ok","ck")</f>
      </c>
      <c r="AT1462" s="116">
        <f>-P1462</f>
      </c>
      <c r="AU1462" s="115">
        <f>IF(SUMIFS(AT:AT,AM:AM,AM1462)&gt;AO1462,(SUMIFS(AT:AT,AM:AM,AM1462)-AO1462))</f>
      </c>
      <c r="AV1462" s="116">
        <v>0</v>
      </c>
      <c r="AW1462" s="121">
        <v>0</v>
      </c>
      <c r="AX1462" s="115">
        <f>AN1462-AP1462</f>
      </c>
    </row>
    <row r="1463" spans="1:50" ht="15" hidden="1" customHeight="1" x14ac:dyDescent="0.3">
      <c r="A1463" s="94" t="s">
        <v>268</v>
      </c>
      <c r="B1463" s="94"/>
      <c r="C1463" s="94"/>
      <c r="D1463" s="94"/>
      <c r="E1463" s="94"/>
      <c r="F1463" s="94"/>
      <c r="G1463" s="112">
        <f>AU1463</f>
      </c>
      <c r="H1463" s="113"/>
      <c r="I1463" s="94" t="s">
        <v>278</v>
      </c>
      <c r="J1463" s="94" t="s">
        <v>286</v>
      </c>
      <c r="K1463" s="114">
        <f>P1463/3</f>
      </c>
      <c r="L1463" s="115">
        <v>26.538</v>
      </c>
      <c r="M1463" s="116"/>
      <c r="N1463" s="117">
        <f>M1463-L1463</f>
      </c>
      <c r="O1463" s="112"/>
      <c r="P1463" s="118">
        <f>N1463+O1463</f>
      </c>
      <c r="Q1463" s="94" t="s">
        <v>859</v>
      </c>
      <c r="R1463" s="94" t="s">
        <v>63</v>
      </c>
      <c r="S1463" s="119">
        <v>46344</v>
      </c>
      <c r="T1463" s="119"/>
      <c r="U1463" s="119" t="s">
        <v>664</v>
      </c>
      <c r="V1463" s="94"/>
      <c r="W1463" s="94"/>
      <c r="X1463" s="94"/>
      <c r="Y1463" s="119">
        <v>46327</v>
      </c>
      <c r="Z1463" s="94"/>
      <c r="AA1463" s="120"/>
      <c r="AB1463" s="120"/>
      <c r="AC1463" s="120"/>
      <c r="AD1463" s="120"/>
      <c r="AE1463" s="120"/>
      <c r="AF1463" s="120"/>
      <c r="AG1463" s="94"/>
      <c r="AH1463" s="120"/>
      <c r="AI1463" s="94"/>
      <c r="AJ1463" s="94" t="s">
        <v>826</v>
      </c>
      <c r="AK1463" s="94" t="s">
        <v>281</v>
      </c>
      <c r="AL1463" s="94">
        <v>120</v>
      </c>
      <c r="AM1463" s="94" t="str">
        <f>TRIM(AJ1463)&amp;TRIM(AL1463)&amp;TRIM(AK1463)</f>
      </c>
      <c r="AN1463" s="116">
        <v>0</v>
      </c>
      <c r="AO1463" s="116" t="inlineStr">
        <is>
          <t>#NA</t>
        </is>
      </c>
      <c r="AP1463" s="116">
        <f>SUMIFS(M:M,AM:AM,AM1463)+SUMIFS(O:O,AM:AM,AM1463)</f>
      </c>
      <c r="AQ1463" s="116">
        <f>SUMIFS(L:L,AM:AM,AM1463)</f>
      </c>
      <c r="AR1463" s="116">
        <f>AQ1463-AP1463</f>
      </c>
      <c r="AS1463" s="94" t="str">
        <f>IF(AN1463&gt;=AQ1463,"ok","ck")</f>
      </c>
      <c r="AT1463" s="116">
        <f>-P1463</f>
      </c>
      <c r="AU1463" s="115">
        <f>IF(SUMIFS(AT:AT,AM:AM,AM1463)&gt;AO1463,(SUMIFS(AT:AT,AM:AM,AM1463)-AO1463))</f>
      </c>
      <c r="AV1463" s="116">
        <v>0</v>
      </c>
      <c r="AW1463" s="121">
        <v>0</v>
      </c>
      <c r="AX1463" s="115">
        <f>AN1463-AP1463</f>
      </c>
    </row>
    <row r="1464" spans="1:50" ht="15" hidden="1" customHeight="1" x14ac:dyDescent="0.3">
      <c r="A1464" s="94" t="s">
        <v>268</v>
      </c>
      <c r="B1464" s="94"/>
      <c r="C1464" s="94"/>
      <c r="D1464" s="94"/>
      <c r="E1464" s="94"/>
      <c r="F1464" s="94"/>
      <c r="G1464" s="112">
        <f>AU1464</f>
      </c>
      <c r="H1464" s="113"/>
      <c r="I1464" s="94" t="s">
        <v>390</v>
      </c>
      <c r="J1464" s="94" t="s">
        <v>286</v>
      </c>
      <c r="K1464" s="114">
        <f>P1464/3</f>
      </c>
      <c r="L1464" s="115">
        <v>2807.4479999999999</v>
      </c>
      <c r="M1464" s="116"/>
      <c r="N1464" s="117">
        <f>M1464-L1464</f>
      </c>
      <c r="O1464" s="112"/>
      <c r="P1464" s="118">
        <f>N1464+O1464</f>
      </c>
      <c r="Q1464" s="94" t="s">
        <v>859</v>
      </c>
      <c r="R1464" s="94" t="s">
        <v>63</v>
      </c>
      <c r="S1464" s="119">
        <v>46331</v>
      </c>
      <c r="T1464" s="119"/>
      <c r="U1464" s="119" t="s">
        <v>664</v>
      </c>
      <c r="V1464" s="94"/>
      <c r="W1464" s="94"/>
      <c r="X1464" s="94"/>
      <c r="Y1464" s="119">
        <v>46327</v>
      </c>
      <c r="Z1464" s="94"/>
      <c r="AA1464" s="120"/>
      <c r="AB1464" s="120"/>
      <c r="AC1464" s="120"/>
      <c r="AD1464" s="120"/>
      <c r="AE1464" s="120"/>
      <c r="AF1464" s="120"/>
      <c r="AG1464" s="94"/>
      <c r="AH1464" s="120"/>
      <c r="AI1464" s="94"/>
      <c r="AJ1464" s="94" t="s">
        <v>826</v>
      </c>
      <c r="AK1464" s="94" t="s">
        <v>281</v>
      </c>
      <c r="AL1464" s="94">
        <v>140</v>
      </c>
      <c r="AM1464" s="94" t="str">
        <f>TRIM(AJ1464)&amp;TRIM(AL1464)&amp;TRIM(AK1464)</f>
      </c>
      <c r="AN1464" s="116">
        <v>0</v>
      </c>
      <c r="AO1464" s="116" t="inlineStr">
        <is>
          <t>#NA</t>
        </is>
      </c>
      <c r="AP1464" s="116">
        <f>SUMIFS(M:M,AM:AM,AM1464)+SUMIFS(O:O,AM:AM,AM1464)</f>
      </c>
      <c r="AQ1464" s="116">
        <f>SUMIFS(L:L,AM:AM,AM1464)</f>
      </c>
      <c r="AR1464" s="116">
        <f>AQ1464-AP1464</f>
      </c>
      <c r="AS1464" s="94" t="str">
        <f>IF(AN1464&gt;=AQ1464,"ok","ck")</f>
      </c>
      <c r="AT1464" s="116">
        <f>-P1464</f>
      </c>
      <c r="AU1464" s="115">
        <f>IF(SUMIFS(AT:AT,AM:AM,AM1464)&gt;AO1464,(SUMIFS(AT:AT,AM:AM,AM1464)-AO1464))</f>
      </c>
      <c r="AV1464" s="116">
        <v>0</v>
      </c>
      <c r="AW1464" s="121">
        <v>0</v>
      </c>
      <c r="AX1464" s="115">
        <f>AN1464-AP1464</f>
      </c>
    </row>
    <row r="1465" spans="1:50" ht="15" hidden="1" customHeight="1" x14ac:dyDescent="0.3">
      <c r="A1465" s="94" t="s">
        <v>268</v>
      </c>
      <c r="B1465" s="94"/>
      <c r="C1465" s="94"/>
      <c r="D1465" s="94"/>
      <c r="E1465" s="94"/>
      <c r="F1465" s="94"/>
      <c r="G1465" s="112">
        <f>AU1465</f>
      </c>
      <c r="H1465" s="113"/>
      <c r="I1465" s="94" t="s">
        <v>390</v>
      </c>
      <c r="J1465" s="94" t="s">
        <v>286</v>
      </c>
      <c r="K1465" s="114">
        <f>P1465/3</f>
      </c>
      <c r="L1465" s="115">
        <v>2807.4479999999999</v>
      </c>
      <c r="M1465" s="116"/>
      <c r="N1465" s="117">
        <f>M1465-L1465</f>
      </c>
      <c r="O1465" s="112"/>
      <c r="P1465" s="118">
        <f>N1465+O1465</f>
      </c>
      <c r="Q1465" s="94" t="s">
        <v>859</v>
      </c>
      <c r="R1465" s="94" t="s">
        <v>63</v>
      </c>
      <c r="S1465" s="119">
        <v>46333</v>
      </c>
      <c r="T1465" s="119"/>
      <c r="U1465" s="119" t="s">
        <v>664</v>
      </c>
      <c r="V1465" s="94"/>
      <c r="W1465" s="94"/>
      <c r="X1465" s="94"/>
      <c r="Y1465" s="119">
        <v>46327</v>
      </c>
      <c r="Z1465" s="94"/>
      <c r="AA1465" s="120"/>
      <c r="AB1465" s="120"/>
      <c r="AC1465" s="120"/>
      <c r="AD1465" s="120"/>
      <c r="AE1465" s="120"/>
      <c r="AF1465" s="120"/>
      <c r="AG1465" s="94"/>
      <c r="AH1465" s="120"/>
      <c r="AI1465" s="94"/>
      <c r="AJ1465" s="94" t="s">
        <v>826</v>
      </c>
      <c r="AK1465" s="94" t="s">
        <v>281</v>
      </c>
      <c r="AL1465" s="94">
        <v>140</v>
      </c>
      <c r="AM1465" s="94" t="str">
        <f>TRIM(AJ1465)&amp;TRIM(AL1465)&amp;TRIM(AK1465)</f>
      </c>
      <c r="AN1465" s="116">
        <v>0</v>
      </c>
      <c r="AO1465" s="116" t="inlineStr">
        <is>
          <t>#NA</t>
        </is>
      </c>
      <c r="AP1465" s="116">
        <f>SUMIFS(M:M,AM:AM,AM1465)+SUMIFS(O:O,AM:AM,AM1465)</f>
      </c>
      <c r="AQ1465" s="116">
        <f>SUMIFS(L:L,AM:AM,AM1465)</f>
      </c>
      <c r="AR1465" s="116">
        <f>AQ1465-AP1465</f>
      </c>
      <c r="AS1465" s="94" t="str">
        <f>IF(AN1465&gt;=AQ1465,"ok","ck")</f>
      </c>
      <c r="AT1465" s="116">
        <f>-P1465</f>
      </c>
      <c r="AU1465" s="115">
        <f>IF(SUMIFS(AT:AT,AM:AM,AM1465)&gt;AO1465,(SUMIFS(AT:AT,AM:AM,AM1465)-AO1465))</f>
      </c>
      <c r="AV1465" s="116">
        <v>0</v>
      </c>
      <c r="AW1465" s="121">
        <v>0</v>
      </c>
      <c r="AX1465" s="115">
        <f>AN1465-AP1465</f>
      </c>
    </row>
    <row r="1466" spans="1:50" ht="15" hidden="1" customHeight="1" x14ac:dyDescent="0.3">
      <c r="A1466" s="94" t="s">
        <v>268</v>
      </c>
      <c r="B1466" s="94"/>
      <c r="C1466" s="94"/>
      <c r="D1466" s="94"/>
      <c r="E1466" s="94"/>
      <c r="F1466" s="94"/>
      <c r="G1466" s="112">
        <f>AU1466</f>
      </c>
      <c r="H1466" s="113"/>
      <c r="I1466" s="94" t="s">
        <v>390</v>
      </c>
      <c r="J1466" s="94" t="s">
        <v>286</v>
      </c>
      <c r="K1466" s="114">
        <f>P1466/3</f>
      </c>
      <c r="L1466" s="115">
        <v>2807.4479999999999</v>
      </c>
      <c r="M1466" s="116"/>
      <c r="N1466" s="117">
        <f>M1466-L1466</f>
      </c>
      <c r="O1466" s="112"/>
      <c r="P1466" s="118">
        <f>N1466+O1466</f>
      </c>
      <c r="Q1466" s="94" t="s">
        <v>859</v>
      </c>
      <c r="R1466" s="94" t="s">
        <v>63</v>
      </c>
      <c r="S1466" s="119">
        <v>46335</v>
      </c>
      <c r="T1466" s="119"/>
      <c r="U1466" s="119" t="s">
        <v>664</v>
      </c>
      <c r="V1466" s="94"/>
      <c r="W1466" s="94"/>
      <c r="X1466" s="94"/>
      <c r="Y1466" s="119">
        <v>46327</v>
      </c>
      <c r="Z1466" s="94"/>
      <c r="AA1466" s="120"/>
      <c r="AB1466" s="120"/>
      <c r="AC1466" s="120"/>
      <c r="AD1466" s="120"/>
      <c r="AE1466" s="120"/>
      <c r="AF1466" s="120"/>
      <c r="AG1466" s="94"/>
      <c r="AH1466" s="120"/>
      <c r="AI1466" s="94"/>
      <c r="AJ1466" s="94" t="s">
        <v>826</v>
      </c>
      <c r="AK1466" s="94" t="s">
        <v>281</v>
      </c>
      <c r="AL1466" s="94">
        <v>140</v>
      </c>
      <c r="AM1466" s="94" t="str">
        <f>TRIM(AJ1466)&amp;TRIM(AL1466)&amp;TRIM(AK1466)</f>
      </c>
      <c r="AN1466" s="116">
        <v>0</v>
      </c>
      <c r="AO1466" s="116" t="inlineStr">
        <is>
          <t>#NA</t>
        </is>
      </c>
      <c r="AP1466" s="116">
        <f>SUMIFS(M:M,AM:AM,AM1466)+SUMIFS(O:O,AM:AM,AM1466)</f>
      </c>
      <c r="AQ1466" s="116">
        <f>SUMIFS(L:L,AM:AM,AM1466)</f>
      </c>
      <c r="AR1466" s="116">
        <f>AQ1466-AP1466</f>
      </c>
      <c r="AS1466" s="94" t="str">
        <f>IF(AN1466&gt;=AQ1466,"ok","ck")</f>
      </c>
      <c r="AT1466" s="116">
        <f>-P1466</f>
      </c>
      <c r="AU1466" s="115">
        <f>IF(SUMIFS(AT:AT,AM:AM,AM1466)&gt;AO1466,(SUMIFS(AT:AT,AM:AM,AM1466)-AO1466))</f>
      </c>
      <c r="AV1466" s="116">
        <v>0</v>
      </c>
      <c r="AW1466" s="121">
        <v>0</v>
      </c>
      <c r="AX1466" s="115">
        <f>AN1466-AP1466</f>
      </c>
    </row>
    <row r="1467" spans="1:50" ht="15" hidden="1" customHeight="1" x14ac:dyDescent="0.3">
      <c r="A1467" s="94" t="s">
        <v>268</v>
      </c>
      <c r="B1467" s="94"/>
      <c r="C1467" s="94"/>
      <c r="D1467" s="94"/>
      <c r="E1467" s="94"/>
      <c r="F1467" s="94"/>
      <c r="G1467" s="112">
        <f>AU1467</f>
      </c>
      <c r="H1467" s="113"/>
      <c r="I1467" s="94" t="s">
        <v>390</v>
      </c>
      <c r="J1467" s="94" t="s">
        <v>286</v>
      </c>
      <c r="K1467" s="114">
        <f>P1467/3</f>
      </c>
      <c r="L1467" s="115">
        <v>2807.4479999999999</v>
      </c>
      <c r="M1467" s="116"/>
      <c r="N1467" s="117">
        <f>M1467-L1467</f>
      </c>
      <c r="O1467" s="112"/>
      <c r="P1467" s="118">
        <f>N1467+O1467</f>
      </c>
      <c r="Q1467" s="94" t="s">
        <v>859</v>
      </c>
      <c r="R1467" s="94" t="s">
        <v>63</v>
      </c>
      <c r="S1467" s="119">
        <v>46337</v>
      </c>
      <c r="T1467" s="119"/>
      <c r="U1467" s="119" t="s">
        <v>664</v>
      </c>
      <c r="V1467" s="94"/>
      <c r="W1467" s="94"/>
      <c r="X1467" s="94"/>
      <c r="Y1467" s="119">
        <v>46327</v>
      </c>
      <c r="Z1467" s="94"/>
      <c r="AA1467" s="120"/>
      <c r="AB1467" s="120"/>
      <c r="AC1467" s="120"/>
      <c r="AD1467" s="120"/>
      <c r="AE1467" s="120"/>
      <c r="AF1467" s="120"/>
      <c r="AG1467" s="94"/>
      <c r="AH1467" s="120"/>
      <c r="AI1467" s="94"/>
      <c r="AJ1467" s="94" t="s">
        <v>826</v>
      </c>
      <c r="AK1467" s="94" t="s">
        <v>281</v>
      </c>
      <c r="AL1467" s="94">
        <v>140</v>
      </c>
      <c r="AM1467" s="94" t="str">
        <f>TRIM(AJ1467)&amp;TRIM(AL1467)&amp;TRIM(AK1467)</f>
      </c>
      <c r="AN1467" s="116">
        <v>0</v>
      </c>
      <c r="AO1467" s="116" t="inlineStr">
        <is>
          <t>#NA</t>
        </is>
      </c>
      <c r="AP1467" s="116">
        <f>SUMIFS(M:M,AM:AM,AM1467)+SUMIFS(O:O,AM:AM,AM1467)</f>
      </c>
      <c r="AQ1467" s="116">
        <f>SUMIFS(L:L,AM:AM,AM1467)</f>
      </c>
      <c r="AR1467" s="116">
        <f>AQ1467-AP1467</f>
      </c>
      <c r="AS1467" s="94" t="str">
        <f>IF(AN1467&gt;=AQ1467,"ok","ck")</f>
      </c>
      <c r="AT1467" s="116">
        <f>-P1467</f>
      </c>
      <c r="AU1467" s="115">
        <f>IF(SUMIFS(AT:AT,AM:AM,AM1467)&gt;AO1467,(SUMIFS(AT:AT,AM:AM,AM1467)-AO1467))</f>
      </c>
      <c r="AV1467" s="116">
        <v>0</v>
      </c>
      <c r="AW1467" s="121">
        <v>0</v>
      </c>
      <c r="AX1467" s="115">
        <f>AN1467-AP1467</f>
      </c>
    </row>
    <row r="1468" spans="1:50" ht="15" hidden="1" customHeight="1" x14ac:dyDescent="0.3">
      <c r="A1468" s="94" t="s">
        <v>268</v>
      </c>
      <c r="B1468" s="94"/>
      <c r="C1468" s="94"/>
      <c r="D1468" s="94"/>
      <c r="E1468" s="94"/>
      <c r="F1468" s="94"/>
      <c r="G1468" s="112">
        <f>AU1468</f>
      </c>
      <c r="H1468" s="113"/>
      <c r="I1468" s="94" t="s">
        <v>390</v>
      </c>
      <c r="J1468" s="94" t="s">
        <v>286</v>
      </c>
      <c r="K1468" s="114">
        <f>P1468/3</f>
      </c>
      <c r="L1468" s="115">
        <v>2807.4479999999999</v>
      </c>
      <c r="M1468" s="116"/>
      <c r="N1468" s="117">
        <f>M1468-L1468</f>
      </c>
      <c r="O1468" s="112"/>
      <c r="P1468" s="118">
        <f>N1468+O1468</f>
      </c>
      <c r="Q1468" s="94" t="s">
        <v>859</v>
      </c>
      <c r="R1468" s="94" t="s">
        <v>63</v>
      </c>
      <c r="S1468" s="119">
        <v>46339</v>
      </c>
      <c r="T1468" s="119"/>
      <c r="U1468" s="119" t="s">
        <v>664</v>
      </c>
      <c r="V1468" s="94"/>
      <c r="W1468" s="94"/>
      <c r="X1468" s="94"/>
      <c r="Y1468" s="119">
        <v>46327</v>
      </c>
      <c r="Z1468" s="94"/>
      <c r="AA1468" s="120"/>
      <c r="AB1468" s="120"/>
      <c r="AC1468" s="120"/>
      <c r="AD1468" s="120"/>
      <c r="AE1468" s="120"/>
      <c r="AF1468" s="120"/>
      <c r="AG1468" s="94"/>
      <c r="AH1468" s="120"/>
      <c r="AI1468" s="94"/>
      <c r="AJ1468" s="94" t="s">
        <v>826</v>
      </c>
      <c r="AK1468" s="94" t="s">
        <v>281</v>
      </c>
      <c r="AL1468" s="94">
        <v>140</v>
      </c>
      <c r="AM1468" s="94" t="str">
        <f>TRIM(AJ1468)&amp;TRIM(AL1468)&amp;TRIM(AK1468)</f>
      </c>
      <c r="AN1468" s="116">
        <v>0</v>
      </c>
      <c r="AO1468" s="116" t="inlineStr">
        <is>
          <t>#NA</t>
        </is>
      </c>
      <c r="AP1468" s="116">
        <f>SUMIFS(M:M,AM:AM,AM1468)+SUMIFS(O:O,AM:AM,AM1468)</f>
      </c>
      <c r="AQ1468" s="116">
        <f>SUMIFS(L:L,AM:AM,AM1468)</f>
      </c>
      <c r="AR1468" s="116">
        <f>AQ1468-AP1468</f>
      </c>
      <c r="AS1468" s="94" t="str">
        <f>IF(AN1468&gt;=AQ1468,"ok","ck")</f>
      </c>
      <c r="AT1468" s="116">
        <f>-P1468</f>
      </c>
      <c r="AU1468" s="115">
        <f>IF(SUMIFS(AT:AT,AM:AM,AM1468)&gt;AO1468,(SUMIFS(AT:AT,AM:AM,AM1468)-AO1468))</f>
      </c>
      <c r="AV1468" s="116">
        <v>0</v>
      </c>
      <c r="AW1468" s="121">
        <v>0</v>
      </c>
      <c r="AX1468" s="115">
        <f>AN1468-AP1468</f>
      </c>
    </row>
    <row r="1469" spans="1:50" ht="15" hidden="1" customHeight="1" x14ac:dyDescent="0.3">
      <c r="A1469" s="94" t="s">
        <v>268</v>
      </c>
      <c r="B1469" s="94"/>
      <c r="C1469" s="94"/>
      <c r="D1469" s="94"/>
      <c r="E1469" s="94"/>
      <c r="F1469" s="94"/>
      <c r="G1469" s="112">
        <f>AU1469</f>
      </c>
      <c r="H1469" s="113"/>
      <c r="I1469" s="94" t="s">
        <v>390</v>
      </c>
      <c r="J1469" s="94" t="s">
        <v>286</v>
      </c>
      <c r="K1469" s="114">
        <f>P1469/3</f>
      </c>
      <c r="L1469" s="115">
        <v>2807.4479999999999</v>
      </c>
      <c r="M1469" s="116"/>
      <c r="N1469" s="117">
        <f>M1469-L1469</f>
      </c>
      <c r="O1469" s="112"/>
      <c r="P1469" s="118">
        <f>N1469+O1469</f>
      </c>
      <c r="Q1469" s="94" t="s">
        <v>859</v>
      </c>
      <c r="R1469" s="94" t="s">
        <v>63</v>
      </c>
      <c r="S1469" s="119">
        <v>46341</v>
      </c>
      <c r="T1469" s="119"/>
      <c r="U1469" s="119" t="s">
        <v>664</v>
      </c>
      <c r="V1469" s="94"/>
      <c r="W1469" s="94"/>
      <c r="X1469" s="94"/>
      <c r="Y1469" s="119">
        <v>46327</v>
      </c>
      <c r="Z1469" s="94"/>
      <c r="AA1469" s="120"/>
      <c r="AB1469" s="120"/>
      <c r="AC1469" s="120"/>
      <c r="AD1469" s="120"/>
      <c r="AE1469" s="120"/>
      <c r="AF1469" s="120"/>
      <c r="AG1469" s="94"/>
      <c r="AH1469" s="120"/>
      <c r="AI1469" s="94"/>
      <c r="AJ1469" s="94" t="s">
        <v>826</v>
      </c>
      <c r="AK1469" s="94" t="s">
        <v>281</v>
      </c>
      <c r="AL1469" s="94">
        <v>140</v>
      </c>
      <c r="AM1469" s="94" t="str">
        <f>TRIM(AJ1469)&amp;TRIM(AL1469)&amp;TRIM(AK1469)</f>
      </c>
      <c r="AN1469" s="116">
        <v>0</v>
      </c>
      <c r="AO1469" s="116" t="inlineStr">
        <is>
          <t>#NA</t>
        </is>
      </c>
      <c r="AP1469" s="116">
        <f>SUMIFS(M:M,AM:AM,AM1469)+SUMIFS(O:O,AM:AM,AM1469)</f>
      </c>
      <c r="AQ1469" s="116">
        <f>SUMIFS(L:L,AM:AM,AM1469)</f>
      </c>
      <c r="AR1469" s="116">
        <f>AQ1469-AP1469</f>
      </c>
      <c r="AS1469" s="94" t="str">
        <f>IF(AN1469&gt;=AQ1469,"ok","ck")</f>
      </c>
      <c r="AT1469" s="116">
        <f>-P1469</f>
      </c>
      <c r="AU1469" s="115">
        <f>IF(SUMIFS(AT:AT,AM:AM,AM1469)&gt;AO1469,(SUMIFS(AT:AT,AM:AM,AM1469)-AO1469))</f>
      </c>
      <c r="AV1469" s="116">
        <v>0</v>
      </c>
      <c r="AW1469" s="121">
        <v>0</v>
      </c>
      <c r="AX1469" s="115">
        <f>AN1469-AP1469</f>
      </c>
    </row>
    <row r="1470" spans="1:50" ht="15" hidden="1" customHeight="1" x14ac:dyDescent="0.3">
      <c r="A1470" s="94" t="s">
        <v>268</v>
      </c>
      <c r="B1470" s="94"/>
      <c r="C1470" s="94"/>
      <c r="D1470" s="94"/>
      <c r="E1470" s="94"/>
      <c r="F1470" s="94"/>
      <c r="G1470" s="112">
        <f>AU1470</f>
      </c>
      <c r="H1470" s="113"/>
      <c r="I1470" s="94" t="s">
        <v>390</v>
      </c>
      <c r="J1470" s="94" t="s">
        <v>286</v>
      </c>
      <c r="K1470" s="114">
        <f>P1470/3</f>
      </c>
      <c r="L1470" s="115">
        <v>336.31200000000001</v>
      </c>
      <c r="M1470" s="116"/>
      <c r="N1470" s="117">
        <f>M1470-L1470</f>
      </c>
      <c r="O1470" s="112"/>
      <c r="P1470" s="118">
        <f>N1470+O1470</f>
      </c>
      <c r="Q1470" s="94" t="s">
        <v>859</v>
      </c>
      <c r="R1470" s="94" t="s">
        <v>63</v>
      </c>
      <c r="S1470" s="119">
        <v>46344</v>
      </c>
      <c r="T1470" s="119"/>
      <c r="U1470" s="119" t="s">
        <v>664</v>
      </c>
      <c r="V1470" s="94"/>
      <c r="W1470" s="94"/>
      <c r="X1470" s="94"/>
      <c r="Y1470" s="119">
        <v>46327</v>
      </c>
      <c r="Z1470" s="94"/>
      <c r="AA1470" s="120"/>
      <c r="AB1470" s="120"/>
      <c r="AC1470" s="120"/>
      <c r="AD1470" s="120"/>
      <c r="AE1470" s="120"/>
      <c r="AF1470" s="120"/>
      <c r="AG1470" s="94"/>
      <c r="AH1470" s="120"/>
      <c r="AI1470" s="94"/>
      <c r="AJ1470" s="94" t="s">
        <v>826</v>
      </c>
      <c r="AK1470" s="94" t="s">
        <v>281</v>
      </c>
      <c r="AL1470" s="94">
        <v>140</v>
      </c>
      <c r="AM1470" s="94" t="str">
        <f>TRIM(AJ1470)&amp;TRIM(AL1470)&amp;TRIM(AK1470)</f>
      </c>
      <c r="AN1470" s="116">
        <v>0</v>
      </c>
      <c r="AO1470" s="116" t="inlineStr">
        <is>
          <t>#NA</t>
        </is>
      </c>
      <c r="AP1470" s="116">
        <f>SUMIFS(M:M,AM:AM,AM1470)+SUMIFS(O:O,AM:AM,AM1470)</f>
      </c>
      <c r="AQ1470" s="116">
        <f>SUMIFS(L:L,AM:AM,AM1470)</f>
      </c>
      <c r="AR1470" s="116">
        <f>AQ1470-AP1470</f>
      </c>
      <c r="AS1470" s="94" t="str">
        <f>IF(AN1470&gt;=AQ1470,"ok","ck")</f>
      </c>
      <c r="AT1470" s="116">
        <f>-P1470</f>
      </c>
      <c r="AU1470" s="115">
        <f>IF(SUMIFS(AT:AT,AM:AM,AM1470)&gt;AO1470,(SUMIFS(AT:AT,AM:AM,AM1470)-AO1470))</f>
      </c>
      <c r="AV1470" s="116">
        <v>0</v>
      </c>
      <c r="AW1470" s="121">
        <v>0</v>
      </c>
      <c r="AX1470" s="115">
        <f>AN1470-AP1470</f>
      </c>
    </row>
    <row r="1471" spans="1:50" ht="15" hidden="1" customHeight="1" x14ac:dyDescent="0.3">
      <c r="A1471" s="94" t="s">
        <v>268</v>
      </c>
      <c r="B1471" s="94"/>
      <c r="C1471" s="94"/>
      <c r="D1471" s="94"/>
      <c r="E1471" s="94"/>
      <c r="F1471" s="94"/>
      <c r="G1471" s="112">
        <f>AU1471</f>
      </c>
      <c r="H1471" s="113"/>
      <c r="I1471" s="94" t="s">
        <v>278</v>
      </c>
      <c r="J1471" s="94" t="s">
        <v>71</v>
      </c>
      <c r="K1471" s="114">
        <f>P1471/3</f>
      </c>
      <c r="L1471" s="115">
        <v>149.72499999999999</v>
      </c>
      <c r="M1471" s="116"/>
      <c r="N1471" s="117">
        <f>M1471-L1471</f>
      </c>
      <c r="O1471" s="112"/>
      <c r="P1471" s="118">
        <f>N1471+O1471</f>
      </c>
      <c r="Q1471" s="94" t="s">
        <v>859</v>
      </c>
      <c r="R1471" s="94" t="s">
        <v>63</v>
      </c>
      <c r="S1471" s="119">
        <v>46331</v>
      </c>
      <c r="T1471" s="119"/>
      <c r="U1471" s="120" t="s">
        <v>665</v>
      </c>
      <c r="V1471" s="94"/>
      <c r="W1471" s="94"/>
      <c r="X1471" s="94"/>
      <c r="Y1471" s="119">
        <v>46327</v>
      </c>
      <c r="Z1471" s="94"/>
      <c r="AA1471" s="120"/>
      <c r="AB1471" s="120"/>
      <c r="AC1471" s="120"/>
      <c r="AD1471" s="120"/>
      <c r="AE1471" s="120"/>
      <c r="AF1471" s="120"/>
      <c r="AG1471" s="94"/>
      <c r="AH1471" s="120"/>
      <c r="AI1471" s="94"/>
      <c r="AJ1471" s="94" t="s">
        <v>826</v>
      </c>
      <c r="AK1471" s="94" t="s">
        <v>267</v>
      </c>
      <c r="AL1471" s="94">
        <v>120</v>
      </c>
      <c r="AM1471" s="94" t="str">
        <f>TRIM(AJ1471)&amp;TRIM(AL1471)&amp;TRIM(AK1471)</f>
      </c>
      <c r="AN1471" s="116">
        <v>0</v>
      </c>
      <c r="AO1471" s="116" t="inlineStr">
        <is>
          <t>#NA</t>
        </is>
      </c>
      <c r="AP1471" s="116">
        <f>SUMIFS(M:M,AM:AM,AM1471)+SUMIFS(O:O,AM:AM,AM1471)</f>
      </c>
      <c r="AQ1471" s="116">
        <f>SUMIFS(L:L,AM:AM,AM1471)</f>
      </c>
      <c r="AR1471" s="116">
        <f>AQ1471-AP1471</f>
      </c>
      <c r="AS1471" s="94" t="str">
        <f>IF(AN1471&gt;=AQ1471,"ok","ck")</f>
      </c>
      <c r="AT1471" s="116">
        <f>-P1471</f>
      </c>
      <c r="AU1471" s="115">
        <f>IF(SUMIFS(AT:AT,AM:AM,AM1471)&gt;AO1471,(SUMIFS(AT:AT,AM:AM,AM1471)-AO1471))</f>
      </c>
      <c r="AV1471" s="116">
        <v>0</v>
      </c>
      <c r="AW1471" s="121">
        <v>0</v>
      </c>
      <c r="AX1471" s="115">
        <f>AN1471-AP1471</f>
      </c>
    </row>
    <row r="1472" spans="1:50" ht="15" hidden="1" customHeight="1" x14ac:dyDescent="0.3">
      <c r="A1472" s="94" t="s">
        <v>268</v>
      </c>
      <c r="B1472" s="94"/>
      <c r="C1472" s="94"/>
      <c r="D1472" s="94"/>
      <c r="E1472" s="94"/>
      <c r="F1472" s="94"/>
      <c r="G1472" s="112">
        <f>AU1472</f>
      </c>
      <c r="H1472" s="113"/>
      <c r="I1472" s="94" t="s">
        <v>278</v>
      </c>
      <c r="J1472" s="94" t="s">
        <v>71</v>
      </c>
      <c r="K1472" s="114">
        <f>P1472/3</f>
      </c>
      <c r="L1472" s="115">
        <v>149.72499999999999</v>
      </c>
      <c r="M1472" s="116"/>
      <c r="N1472" s="117">
        <f>M1472-L1472</f>
      </c>
      <c r="O1472" s="112"/>
      <c r="P1472" s="118">
        <f>N1472+O1472</f>
      </c>
      <c r="Q1472" s="94" t="s">
        <v>859</v>
      </c>
      <c r="R1472" s="94" t="s">
        <v>63</v>
      </c>
      <c r="S1472" s="119">
        <v>46333</v>
      </c>
      <c r="T1472" s="119"/>
      <c r="U1472" s="120" t="s">
        <v>665</v>
      </c>
      <c r="V1472" s="94"/>
      <c r="W1472" s="94"/>
      <c r="X1472" s="94"/>
      <c r="Y1472" s="119">
        <v>46327</v>
      </c>
      <c r="Z1472" s="94"/>
      <c r="AA1472" s="120"/>
      <c r="AB1472" s="120"/>
      <c r="AC1472" s="120"/>
      <c r="AD1472" s="120"/>
      <c r="AE1472" s="120"/>
      <c r="AF1472" s="120"/>
      <c r="AG1472" s="94"/>
      <c r="AH1472" s="120"/>
      <c r="AI1472" s="94"/>
      <c r="AJ1472" s="94" t="s">
        <v>826</v>
      </c>
      <c r="AK1472" s="94" t="s">
        <v>267</v>
      </c>
      <c r="AL1472" s="94">
        <v>120</v>
      </c>
      <c r="AM1472" s="94" t="str">
        <f>TRIM(AJ1472)&amp;TRIM(AL1472)&amp;TRIM(AK1472)</f>
      </c>
      <c r="AN1472" s="116">
        <v>0</v>
      </c>
      <c r="AO1472" s="116" t="inlineStr">
        <is>
          <t>#NA</t>
        </is>
      </c>
      <c r="AP1472" s="116">
        <f>SUMIFS(M:M,AM:AM,AM1472)+SUMIFS(O:O,AM:AM,AM1472)</f>
      </c>
      <c r="AQ1472" s="116">
        <f>SUMIFS(L:L,AM:AM,AM1472)</f>
      </c>
      <c r="AR1472" s="116">
        <f>AQ1472-AP1472</f>
      </c>
      <c r="AS1472" s="94" t="str">
        <f>IF(AN1472&gt;=AQ1472,"ok","ck")</f>
      </c>
      <c r="AT1472" s="116">
        <f>-P1472</f>
      </c>
      <c r="AU1472" s="115">
        <f>IF(SUMIFS(AT:AT,AM:AM,AM1472)&gt;AO1472,(SUMIFS(AT:AT,AM:AM,AM1472)-AO1472))</f>
      </c>
      <c r="AV1472" s="116">
        <v>0</v>
      </c>
      <c r="AW1472" s="121">
        <v>0</v>
      </c>
      <c r="AX1472" s="115">
        <f>AN1472-AP1472</f>
      </c>
    </row>
    <row r="1473" spans="1:50" ht="15" hidden="1" customHeight="1" x14ac:dyDescent="0.3">
      <c r="A1473" s="94" t="s">
        <v>268</v>
      </c>
      <c r="B1473" s="94"/>
      <c r="C1473" s="94"/>
      <c r="D1473" s="94"/>
      <c r="E1473" s="94"/>
      <c r="F1473" s="94"/>
      <c r="G1473" s="112">
        <f>AU1473</f>
      </c>
      <c r="H1473" s="113"/>
      <c r="I1473" s="94" t="s">
        <v>278</v>
      </c>
      <c r="J1473" s="94" t="s">
        <v>71</v>
      </c>
      <c r="K1473" s="114">
        <f>P1473/3</f>
      </c>
      <c r="L1473" s="115">
        <v>149.72499999999999</v>
      </c>
      <c r="M1473" s="116"/>
      <c r="N1473" s="117">
        <f>M1473-L1473</f>
      </c>
      <c r="O1473" s="112"/>
      <c r="P1473" s="118">
        <f>N1473+O1473</f>
      </c>
      <c r="Q1473" s="94" t="s">
        <v>859</v>
      </c>
      <c r="R1473" s="94" t="s">
        <v>63</v>
      </c>
      <c r="S1473" s="119">
        <v>46334</v>
      </c>
      <c r="T1473" s="119"/>
      <c r="U1473" s="120" t="s">
        <v>665</v>
      </c>
      <c r="V1473" s="94"/>
      <c r="W1473" s="94"/>
      <c r="X1473" s="94"/>
      <c r="Y1473" s="119">
        <v>46327</v>
      </c>
      <c r="Z1473" s="94"/>
      <c r="AA1473" s="120"/>
      <c r="AB1473" s="120"/>
      <c r="AC1473" s="120"/>
      <c r="AD1473" s="120"/>
      <c r="AE1473" s="120"/>
      <c r="AF1473" s="120"/>
      <c r="AG1473" s="94"/>
      <c r="AH1473" s="120"/>
      <c r="AI1473" s="94"/>
      <c r="AJ1473" s="94" t="s">
        <v>826</v>
      </c>
      <c r="AK1473" s="94" t="s">
        <v>267</v>
      </c>
      <c r="AL1473" s="94">
        <v>120</v>
      </c>
      <c r="AM1473" s="94" t="str">
        <f>TRIM(AJ1473)&amp;TRIM(AL1473)&amp;TRIM(AK1473)</f>
      </c>
      <c r="AN1473" s="116">
        <v>0</v>
      </c>
      <c r="AO1473" s="116" t="inlineStr">
        <is>
          <t>#NA</t>
        </is>
      </c>
      <c r="AP1473" s="116">
        <f>SUMIFS(M:M,AM:AM,AM1473)+SUMIFS(O:O,AM:AM,AM1473)</f>
      </c>
      <c r="AQ1473" s="116">
        <f>SUMIFS(L:L,AM:AM,AM1473)</f>
      </c>
      <c r="AR1473" s="116">
        <f>AQ1473-AP1473</f>
      </c>
      <c r="AS1473" s="94" t="str">
        <f>IF(AN1473&gt;=AQ1473,"ok","ck")</f>
      </c>
      <c r="AT1473" s="116">
        <f>-P1473</f>
      </c>
      <c r="AU1473" s="115">
        <f>IF(SUMIFS(AT:AT,AM:AM,AM1473)&gt;AO1473,(SUMIFS(AT:AT,AM:AM,AM1473)-AO1473))</f>
      </c>
      <c r="AV1473" s="116">
        <v>0</v>
      </c>
      <c r="AW1473" s="121">
        <v>0</v>
      </c>
      <c r="AX1473" s="115">
        <f>AN1473-AP1473</f>
      </c>
    </row>
    <row r="1474" spans="1:50" ht="15" hidden="1" customHeight="1" x14ac:dyDescent="0.3">
      <c r="A1474" s="94" t="s">
        <v>268</v>
      </c>
      <c r="B1474" s="94"/>
      <c r="C1474" s="94"/>
      <c r="D1474" s="94"/>
      <c r="E1474" s="94"/>
      <c r="F1474" s="94"/>
      <c r="G1474" s="112">
        <f>AU1474</f>
      </c>
      <c r="H1474" s="113"/>
      <c r="I1474" s="94" t="s">
        <v>278</v>
      </c>
      <c r="J1474" s="94" t="s">
        <v>71</v>
      </c>
      <c r="K1474" s="114">
        <f>P1474/3</f>
      </c>
      <c r="L1474" s="115">
        <v>149.72499999999999</v>
      </c>
      <c r="M1474" s="116"/>
      <c r="N1474" s="117">
        <f>M1474-L1474</f>
      </c>
      <c r="O1474" s="112"/>
      <c r="P1474" s="118">
        <f>N1474+O1474</f>
      </c>
      <c r="Q1474" s="94" t="s">
        <v>859</v>
      </c>
      <c r="R1474" s="94" t="s">
        <v>63</v>
      </c>
      <c r="S1474" s="119">
        <v>46335</v>
      </c>
      <c r="T1474" s="119"/>
      <c r="U1474" s="120" t="s">
        <v>665</v>
      </c>
      <c r="V1474" s="94"/>
      <c r="W1474" s="94"/>
      <c r="X1474" s="94"/>
      <c r="Y1474" s="119">
        <v>46327</v>
      </c>
      <c r="Z1474" s="94"/>
      <c r="AA1474" s="120"/>
      <c r="AB1474" s="120"/>
      <c r="AC1474" s="120"/>
      <c r="AD1474" s="120"/>
      <c r="AE1474" s="120"/>
      <c r="AF1474" s="120"/>
      <c r="AG1474" s="94"/>
      <c r="AH1474" s="120"/>
      <c r="AI1474" s="94"/>
      <c r="AJ1474" s="94" t="s">
        <v>826</v>
      </c>
      <c r="AK1474" s="94" t="s">
        <v>267</v>
      </c>
      <c r="AL1474" s="94">
        <v>120</v>
      </c>
      <c r="AM1474" s="94" t="str">
        <f>TRIM(AJ1474)&amp;TRIM(AL1474)&amp;TRIM(AK1474)</f>
      </c>
      <c r="AN1474" s="116">
        <v>0</v>
      </c>
      <c r="AO1474" s="116" t="inlineStr">
        <is>
          <t>#NA</t>
        </is>
      </c>
      <c r="AP1474" s="116">
        <f>SUMIFS(M:M,AM:AM,AM1474)+SUMIFS(O:O,AM:AM,AM1474)</f>
      </c>
      <c r="AQ1474" s="116">
        <f>SUMIFS(L:L,AM:AM,AM1474)</f>
      </c>
      <c r="AR1474" s="116">
        <f>AQ1474-AP1474</f>
      </c>
      <c r="AS1474" s="94" t="str">
        <f>IF(AN1474&gt;=AQ1474,"ok","ck")</f>
      </c>
      <c r="AT1474" s="116">
        <f>-P1474</f>
      </c>
      <c r="AU1474" s="115">
        <f>IF(SUMIFS(AT:AT,AM:AM,AM1474)&gt;AO1474,(SUMIFS(AT:AT,AM:AM,AM1474)-AO1474))</f>
      </c>
      <c r="AV1474" s="116">
        <v>0</v>
      </c>
      <c r="AW1474" s="121">
        <v>0</v>
      </c>
      <c r="AX1474" s="115">
        <f>AN1474-AP1474</f>
      </c>
    </row>
    <row r="1475" spans="1:50" ht="15" hidden="1" customHeight="1" x14ac:dyDescent="0.3">
      <c r="A1475" s="94" t="s">
        <v>268</v>
      </c>
      <c r="B1475" s="94"/>
      <c r="C1475" s="94"/>
      <c r="D1475" s="94"/>
      <c r="E1475" s="94"/>
      <c r="F1475" s="94"/>
      <c r="G1475" s="112">
        <f>AU1475</f>
      </c>
      <c r="H1475" s="113"/>
      <c r="I1475" s="94" t="s">
        <v>278</v>
      </c>
      <c r="J1475" s="94" t="s">
        <v>71</v>
      </c>
      <c r="K1475" s="114">
        <f>P1475/3</f>
      </c>
      <c r="L1475" s="115">
        <v>149.72499999999999</v>
      </c>
      <c r="M1475" s="116"/>
      <c r="N1475" s="117">
        <f>M1475-L1475</f>
      </c>
      <c r="O1475" s="112"/>
      <c r="P1475" s="118">
        <f>N1475+O1475</f>
      </c>
      <c r="Q1475" s="94" t="s">
        <v>859</v>
      </c>
      <c r="R1475" s="94" t="s">
        <v>63</v>
      </c>
      <c r="S1475" s="119">
        <v>46336</v>
      </c>
      <c r="T1475" s="119"/>
      <c r="U1475" s="120" t="s">
        <v>665</v>
      </c>
      <c r="V1475" s="94"/>
      <c r="W1475" s="94"/>
      <c r="X1475" s="94"/>
      <c r="Y1475" s="119">
        <v>46327</v>
      </c>
      <c r="Z1475" s="94"/>
      <c r="AA1475" s="120"/>
      <c r="AB1475" s="120"/>
      <c r="AC1475" s="120"/>
      <c r="AD1475" s="120"/>
      <c r="AE1475" s="120"/>
      <c r="AF1475" s="120"/>
      <c r="AG1475" s="94"/>
      <c r="AH1475" s="120"/>
      <c r="AI1475" s="94"/>
      <c r="AJ1475" s="94" t="s">
        <v>826</v>
      </c>
      <c r="AK1475" s="94" t="s">
        <v>267</v>
      </c>
      <c r="AL1475" s="94">
        <v>120</v>
      </c>
      <c r="AM1475" s="94" t="str">
        <f>TRIM(AJ1475)&amp;TRIM(AL1475)&amp;TRIM(AK1475)</f>
      </c>
      <c r="AN1475" s="116">
        <v>0</v>
      </c>
      <c r="AO1475" s="116" t="inlineStr">
        <is>
          <t>#NA</t>
        </is>
      </c>
      <c r="AP1475" s="116">
        <f>SUMIFS(M:M,AM:AM,AM1475)+SUMIFS(O:O,AM:AM,AM1475)</f>
      </c>
      <c r="AQ1475" s="116">
        <f>SUMIFS(L:L,AM:AM,AM1475)</f>
      </c>
      <c r="AR1475" s="116">
        <f>AQ1475-AP1475</f>
      </c>
      <c r="AS1475" s="94" t="str">
        <f>IF(AN1475&gt;=AQ1475,"ok","ck")</f>
      </c>
      <c r="AT1475" s="116">
        <f>-P1475</f>
      </c>
      <c r="AU1475" s="115">
        <f>IF(SUMIFS(AT:AT,AM:AM,AM1475)&gt;AO1475,(SUMIFS(AT:AT,AM:AM,AM1475)-AO1475))</f>
      </c>
      <c r="AV1475" s="116">
        <v>0</v>
      </c>
      <c r="AW1475" s="121">
        <v>0</v>
      </c>
      <c r="AX1475" s="115">
        <f>AN1475-AP1475</f>
      </c>
    </row>
    <row r="1476" spans="1:50" ht="15" hidden="1" customHeight="1" x14ac:dyDescent="0.3">
      <c r="A1476" s="94" t="s">
        <v>268</v>
      </c>
      <c r="B1476" s="94"/>
      <c r="C1476" s="94"/>
      <c r="D1476" s="94"/>
      <c r="E1476" s="94"/>
      <c r="F1476" s="94"/>
      <c r="G1476" s="112">
        <f>AU1476</f>
      </c>
      <c r="H1476" s="113"/>
      <c r="I1476" s="94" t="s">
        <v>278</v>
      </c>
      <c r="J1476" s="94" t="s">
        <v>71</v>
      </c>
      <c r="K1476" s="114">
        <f>P1476/3</f>
      </c>
      <c r="L1476" s="115">
        <v>149.72499999999999</v>
      </c>
      <c r="M1476" s="116"/>
      <c r="N1476" s="117">
        <f>M1476-L1476</f>
      </c>
      <c r="O1476" s="112"/>
      <c r="P1476" s="118">
        <f>N1476+O1476</f>
      </c>
      <c r="Q1476" s="94" t="s">
        <v>859</v>
      </c>
      <c r="R1476" s="94" t="s">
        <v>63</v>
      </c>
      <c r="S1476" s="119">
        <v>46337</v>
      </c>
      <c r="T1476" s="119"/>
      <c r="U1476" s="120" t="s">
        <v>665</v>
      </c>
      <c r="V1476" s="94"/>
      <c r="W1476" s="94"/>
      <c r="X1476" s="94"/>
      <c r="Y1476" s="119">
        <v>46327</v>
      </c>
      <c r="Z1476" s="94"/>
      <c r="AA1476" s="120"/>
      <c r="AB1476" s="120"/>
      <c r="AC1476" s="120"/>
      <c r="AD1476" s="120"/>
      <c r="AE1476" s="120"/>
      <c r="AF1476" s="120"/>
      <c r="AG1476" s="94"/>
      <c r="AH1476" s="120"/>
      <c r="AI1476" s="94"/>
      <c r="AJ1476" s="94" t="s">
        <v>826</v>
      </c>
      <c r="AK1476" s="94" t="s">
        <v>267</v>
      </c>
      <c r="AL1476" s="94">
        <v>120</v>
      </c>
      <c r="AM1476" s="94" t="str">
        <f>TRIM(AJ1476)&amp;TRIM(AL1476)&amp;TRIM(AK1476)</f>
      </c>
      <c r="AN1476" s="116">
        <v>0</v>
      </c>
      <c r="AO1476" s="116" t="inlineStr">
        <is>
          <t>#NA</t>
        </is>
      </c>
      <c r="AP1476" s="116">
        <f>SUMIFS(M:M,AM:AM,AM1476)+SUMIFS(O:O,AM:AM,AM1476)</f>
      </c>
      <c r="AQ1476" s="116">
        <f>SUMIFS(L:L,AM:AM,AM1476)</f>
      </c>
      <c r="AR1476" s="116">
        <f>AQ1476-AP1476</f>
      </c>
      <c r="AS1476" s="94" t="str">
        <f>IF(AN1476&gt;=AQ1476,"ok","ck")</f>
      </c>
      <c r="AT1476" s="116">
        <f>-P1476</f>
      </c>
      <c r="AU1476" s="115">
        <f>IF(SUMIFS(AT:AT,AM:AM,AM1476)&gt;AO1476,(SUMIFS(AT:AT,AM:AM,AM1476)-AO1476))</f>
      </c>
      <c r="AV1476" s="116">
        <v>0</v>
      </c>
      <c r="AW1476" s="121">
        <v>0</v>
      </c>
      <c r="AX1476" s="115">
        <f>AN1476-AP1476</f>
      </c>
    </row>
    <row r="1477" spans="1:50" ht="15" hidden="1" customHeight="1" x14ac:dyDescent="0.3">
      <c r="A1477" s="94" t="s">
        <v>268</v>
      </c>
      <c r="B1477" s="94"/>
      <c r="C1477" s="94"/>
      <c r="D1477" s="94"/>
      <c r="E1477" s="94"/>
      <c r="F1477" s="94"/>
      <c r="G1477" s="112">
        <f>AU1477</f>
      </c>
      <c r="H1477" s="113"/>
      <c r="I1477" s="94" t="s">
        <v>278</v>
      </c>
      <c r="J1477" s="94" t="s">
        <v>71</v>
      </c>
      <c r="K1477" s="114">
        <f>P1477/3</f>
      </c>
      <c r="L1477" s="115">
        <v>149.72499999999999</v>
      </c>
      <c r="M1477" s="116"/>
      <c r="N1477" s="117">
        <f>M1477-L1477</f>
      </c>
      <c r="O1477" s="112"/>
      <c r="P1477" s="118">
        <f>N1477+O1477</f>
      </c>
      <c r="Q1477" s="94" t="s">
        <v>859</v>
      </c>
      <c r="R1477" s="94" t="s">
        <v>63</v>
      </c>
      <c r="S1477" s="119">
        <v>46338</v>
      </c>
      <c r="T1477" s="119"/>
      <c r="U1477" s="120" t="s">
        <v>665</v>
      </c>
      <c r="V1477" s="94"/>
      <c r="W1477" s="94"/>
      <c r="X1477" s="94"/>
      <c r="Y1477" s="119">
        <v>46327</v>
      </c>
      <c r="Z1477" s="94"/>
      <c r="AA1477" s="120"/>
      <c r="AB1477" s="120"/>
      <c r="AC1477" s="120"/>
      <c r="AD1477" s="120"/>
      <c r="AE1477" s="120"/>
      <c r="AF1477" s="120"/>
      <c r="AG1477" s="94"/>
      <c r="AH1477" s="120"/>
      <c r="AI1477" s="94"/>
      <c r="AJ1477" s="94" t="s">
        <v>826</v>
      </c>
      <c r="AK1477" s="94" t="s">
        <v>267</v>
      </c>
      <c r="AL1477" s="94">
        <v>120</v>
      </c>
      <c r="AM1477" s="94" t="str">
        <f>TRIM(AJ1477)&amp;TRIM(AL1477)&amp;TRIM(AK1477)</f>
      </c>
      <c r="AN1477" s="116">
        <v>0</v>
      </c>
      <c r="AO1477" s="116" t="inlineStr">
        <is>
          <t>#NA</t>
        </is>
      </c>
      <c r="AP1477" s="116">
        <f>SUMIFS(M:M,AM:AM,AM1477)+SUMIFS(O:O,AM:AM,AM1477)</f>
      </c>
      <c r="AQ1477" s="116">
        <f>SUMIFS(L:L,AM:AM,AM1477)</f>
      </c>
      <c r="AR1477" s="116">
        <f>AQ1477-AP1477</f>
      </c>
      <c r="AS1477" s="94" t="str">
        <f>IF(AN1477&gt;=AQ1477,"ok","ck")</f>
      </c>
      <c r="AT1477" s="116">
        <f>-P1477</f>
      </c>
      <c r="AU1477" s="115">
        <f>IF(SUMIFS(AT:AT,AM:AM,AM1477)&gt;AO1477,(SUMIFS(AT:AT,AM:AM,AM1477)-AO1477))</f>
      </c>
      <c r="AV1477" s="116">
        <v>0</v>
      </c>
      <c r="AW1477" s="121">
        <v>0</v>
      </c>
      <c r="AX1477" s="115">
        <f>AN1477-AP1477</f>
      </c>
    </row>
    <row r="1478" spans="1:50" ht="15" hidden="1" customHeight="1" x14ac:dyDescent="0.3">
      <c r="A1478" s="94" t="s">
        <v>268</v>
      </c>
      <c r="B1478" s="94"/>
      <c r="C1478" s="94"/>
      <c r="D1478" s="94"/>
      <c r="E1478" s="94"/>
      <c r="F1478" s="94"/>
      <c r="G1478" s="112">
        <f>AU1478</f>
      </c>
      <c r="H1478" s="113"/>
      <c r="I1478" s="94" t="s">
        <v>278</v>
      </c>
      <c r="J1478" s="94" t="s">
        <v>71</v>
      </c>
      <c r="K1478" s="114">
        <f>P1478/3</f>
      </c>
      <c r="L1478" s="115">
        <v>149.72499999999999</v>
      </c>
      <c r="M1478" s="116"/>
      <c r="N1478" s="117">
        <f>M1478-L1478</f>
      </c>
      <c r="O1478" s="112"/>
      <c r="P1478" s="118">
        <f>N1478+O1478</f>
      </c>
      <c r="Q1478" s="94" t="s">
        <v>859</v>
      </c>
      <c r="R1478" s="94" t="s">
        <v>63</v>
      </c>
      <c r="S1478" s="119">
        <v>46339</v>
      </c>
      <c r="T1478" s="119"/>
      <c r="U1478" s="120" t="s">
        <v>665</v>
      </c>
      <c r="V1478" s="94"/>
      <c r="W1478" s="94"/>
      <c r="X1478" s="94"/>
      <c r="Y1478" s="119">
        <v>46327</v>
      </c>
      <c r="Z1478" s="94"/>
      <c r="AA1478" s="120"/>
      <c r="AB1478" s="120"/>
      <c r="AC1478" s="120"/>
      <c r="AD1478" s="120"/>
      <c r="AE1478" s="120"/>
      <c r="AF1478" s="120"/>
      <c r="AG1478" s="94"/>
      <c r="AH1478" s="120"/>
      <c r="AI1478" s="94"/>
      <c r="AJ1478" s="94" t="s">
        <v>826</v>
      </c>
      <c r="AK1478" s="94" t="s">
        <v>267</v>
      </c>
      <c r="AL1478" s="94">
        <v>120</v>
      </c>
      <c r="AM1478" s="94" t="str">
        <f>TRIM(AJ1478)&amp;TRIM(AL1478)&amp;TRIM(AK1478)</f>
      </c>
      <c r="AN1478" s="116">
        <v>0</v>
      </c>
      <c r="AO1478" s="116" t="inlineStr">
        <is>
          <t>#NA</t>
        </is>
      </c>
      <c r="AP1478" s="116">
        <f>SUMIFS(M:M,AM:AM,AM1478)+SUMIFS(O:O,AM:AM,AM1478)</f>
      </c>
      <c r="AQ1478" s="116">
        <f>SUMIFS(L:L,AM:AM,AM1478)</f>
      </c>
      <c r="AR1478" s="116">
        <f>AQ1478-AP1478</f>
      </c>
      <c r="AS1478" s="94" t="str">
        <f>IF(AN1478&gt;=AQ1478,"ok","ck")</f>
      </c>
      <c r="AT1478" s="116">
        <f>-P1478</f>
      </c>
      <c r="AU1478" s="115">
        <f>IF(SUMIFS(AT:AT,AM:AM,AM1478)&gt;AO1478,(SUMIFS(AT:AT,AM:AM,AM1478)-AO1478))</f>
      </c>
      <c r="AV1478" s="116">
        <v>0</v>
      </c>
      <c r="AW1478" s="121">
        <v>0</v>
      </c>
      <c r="AX1478" s="115">
        <f>AN1478-AP1478</f>
      </c>
    </row>
    <row r="1479" spans="1:50" ht="15" hidden="1" customHeight="1" x14ac:dyDescent="0.3">
      <c r="A1479" s="94" t="s">
        <v>268</v>
      </c>
      <c r="B1479" s="94"/>
      <c r="C1479" s="94"/>
      <c r="D1479" s="94"/>
      <c r="E1479" s="94"/>
      <c r="F1479" s="94"/>
      <c r="G1479" s="112">
        <f>AU1479</f>
      </c>
      <c r="H1479" s="113"/>
      <c r="I1479" s="94" t="s">
        <v>278</v>
      </c>
      <c r="J1479" s="94" t="s">
        <v>71</v>
      </c>
      <c r="K1479" s="114">
        <f>P1479/3</f>
      </c>
      <c r="L1479" s="115">
        <v>149.72499999999999</v>
      </c>
      <c r="M1479" s="116"/>
      <c r="N1479" s="117">
        <f>M1479-L1479</f>
      </c>
      <c r="O1479" s="112"/>
      <c r="P1479" s="118">
        <f>N1479+O1479</f>
      </c>
      <c r="Q1479" s="94" t="s">
        <v>859</v>
      </c>
      <c r="R1479" s="94" t="s">
        <v>63</v>
      </c>
      <c r="S1479" s="119">
        <v>46340</v>
      </c>
      <c r="T1479" s="119"/>
      <c r="U1479" s="120" t="s">
        <v>665</v>
      </c>
      <c r="V1479" s="94"/>
      <c r="W1479" s="94"/>
      <c r="X1479" s="94"/>
      <c r="Y1479" s="119">
        <v>46327</v>
      </c>
      <c r="Z1479" s="94"/>
      <c r="AA1479" s="120"/>
      <c r="AB1479" s="120"/>
      <c r="AC1479" s="120"/>
      <c r="AD1479" s="120"/>
      <c r="AE1479" s="120"/>
      <c r="AF1479" s="120"/>
      <c r="AG1479" s="94"/>
      <c r="AH1479" s="120"/>
      <c r="AI1479" s="94"/>
      <c r="AJ1479" s="94" t="s">
        <v>826</v>
      </c>
      <c r="AK1479" s="94" t="s">
        <v>267</v>
      </c>
      <c r="AL1479" s="94">
        <v>120</v>
      </c>
      <c r="AM1479" s="94" t="str">
        <f>TRIM(AJ1479)&amp;TRIM(AL1479)&amp;TRIM(AK1479)</f>
      </c>
      <c r="AN1479" s="116">
        <v>0</v>
      </c>
      <c r="AO1479" s="116" t="inlineStr">
        <is>
          <t>#NA</t>
        </is>
      </c>
      <c r="AP1479" s="116">
        <f>SUMIFS(M:M,AM:AM,AM1479)+SUMIFS(O:O,AM:AM,AM1479)</f>
      </c>
      <c r="AQ1479" s="116">
        <f>SUMIFS(L:L,AM:AM,AM1479)</f>
      </c>
      <c r="AR1479" s="116">
        <f>AQ1479-AP1479</f>
      </c>
      <c r="AS1479" s="94" t="str">
        <f>IF(AN1479&gt;=AQ1479,"ok","ck")</f>
      </c>
      <c r="AT1479" s="116">
        <f>-P1479</f>
      </c>
      <c r="AU1479" s="115">
        <f>IF(SUMIFS(AT:AT,AM:AM,AM1479)&gt;AO1479,(SUMIFS(AT:AT,AM:AM,AM1479)-AO1479))</f>
      </c>
      <c r="AV1479" s="116">
        <v>0</v>
      </c>
      <c r="AW1479" s="121">
        <v>0</v>
      </c>
      <c r="AX1479" s="115">
        <f>AN1479-AP1479</f>
      </c>
    </row>
    <row r="1480" spans="1:50" ht="15" hidden="1" customHeight="1" x14ac:dyDescent="0.3">
      <c r="A1480" s="94" t="s">
        <v>268</v>
      </c>
      <c r="B1480" s="94"/>
      <c r="C1480" s="94"/>
      <c r="D1480" s="94"/>
      <c r="E1480" s="94"/>
      <c r="F1480" s="94"/>
      <c r="G1480" s="112">
        <f>AU1480</f>
      </c>
      <c r="H1480" s="113"/>
      <c r="I1480" s="94" t="s">
        <v>278</v>
      </c>
      <c r="J1480" s="94" t="s">
        <v>71</v>
      </c>
      <c r="K1480" s="114">
        <f>P1480/3</f>
      </c>
      <c r="L1480" s="115">
        <v>149.72499999999999</v>
      </c>
      <c r="M1480" s="116"/>
      <c r="N1480" s="117">
        <f>M1480-L1480</f>
      </c>
      <c r="O1480" s="112"/>
      <c r="P1480" s="118">
        <f>N1480+O1480</f>
      </c>
      <c r="Q1480" s="94" t="s">
        <v>859</v>
      </c>
      <c r="R1480" s="94" t="s">
        <v>63</v>
      </c>
      <c r="S1480" s="119">
        <v>46341</v>
      </c>
      <c r="T1480" s="119"/>
      <c r="U1480" s="120" t="s">
        <v>665</v>
      </c>
      <c r="V1480" s="94"/>
      <c r="W1480" s="94"/>
      <c r="X1480" s="94"/>
      <c r="Y1480" s="119">
        <v>46327</v>
      </c>
      <c r="Z1480" s="94"/>
      <c r="AA1480" s="120"/>
      <c r="AB1480" s="120"/>
      <c r="AC1480" s="120"/>
      <c r="AD1480" s="120"/>
      <c r="AE1480" s="120"/>
      <c r="AF1480" s="120"/>
      <c r="AG1480" s="94"/>
      <c r="AH1480" s="120"/>
      <c r="AI1480" s="94"/>
      <c r="AJ1480" s="94" t="s">
        <v>826</v>
      </c>
      <c r="AK1480" s="94" t="s">
        <v>267</v>
      </c>
      <c r="AL1480" s="94">
        <v>120</v>
      </c>
      <c r="AM1480" s="94" t="str">
        <f>TRIM(AJ1480)&amp;TRIM(AL1480)&amp;TRIM(AK1480)</f>
      </c>
      <c r="AN1480" s="116">
        <v>0</v>
      </c>
      <c r="AO1480" s="116" t="inlineStr">
        <is>
          <t>#NA</t>
        </is>
      </c>
      <c r="AP1480" s="116">
        <f>SUMIFS(M:M,AM:AM,AM1480)+SUMIFS(O:O,AM:AM,AM1480)</f>
      </c>
      <c r="AQ1480" s="116">
        <f>SUMIFS(L:L,AM:AM,AM1480)</f>
      </c>
      <c r="AR1480" s="116">
        <f>AQ1480-AP1480</f>
      </c>
      <c r="AS1480" s="94" t="str">
        <f>IF(AN1480&gt;=AQ1480,"ok","ck")</f>
      </c>
      <c r="AT1480" s="116">
        <f>-P1480</f>
      </c>
      <c r="AU1480" s="115">
        <f>IF(SUMIFS(AT:AT,AM:AM,AM1480)&gt;AO1480,(SUMIFS(AT:AT,AM:AM,AM1480)-AO1480))</f>
      </c>
      <c r="AV1480" s="116">
        <v>0</v>
      </c>
      <c r="AW1480" s="121">
        <v>0</v>
      </c>
      <c r="AX1480" s="115">
        <f>AN1480-AP1480</f>
      </c>
    </row>
    <row r="1481" spans="1:50" ht="15" hidden="1" customHeight="1" x14ac:dyDescent="0.3">
      <c r="A1481" s="94" t="s">
        <v>268</v>
      </c>
      <c r="B1481" s="94"/>
      <c r="C1481" s="94"/>
      <c r="D1481" s="94"/>
      <c r="E1481" s="94"/>
      <c r="F1481" s="94"/>
      <c r="G1481" s="112">
        <f>AU1481</f>
      </c>
      <c r="H1481" s="113"/>
      <c r="I1481" s="94" t="s">
        <v>278</v>
      </c>
      <c r="J1481" s="94" t="s">
        <v>71</v>
      </c>
      <c r="K1481" s="114">
        <f>P1481/3</f>
      </c>
      <c r="L1481" s="115">
        <v>149.72499999999999</v>
      </c>
      <c r="M1481" s="116"/>
      <c r="N1481" s="117">
        <f>M1481-L1481</f>
      </c>
      <c r="O1481" s="112"/>
      <c r="P1481" s="118">
        <f>N1481+O1481</f>
      </c>
      <c r="Q1481" s="94" t="s">
        <v>859</v>
      </c>
      <c r="R1481" s="94" t="s">
        <v>63</v>
      </c>
      <c r="S1481" s="119">
        <v>46342</v>
      </c>
      <c r="T1481" s="119"/>
      <c r="U1481" s="120" t="s">
        <v>665</v>
      </c>
      <c r="V1481" s="94"/>
      <c r="W1481" s="94"/>
      <c r="X1481" s="94"/>
      <c r="Y1481" s="119">
        <v>46327</v>
      </c>
      <c r="Z1481" s="94"/>
      <c r="AA1481" s="120"/>
      <c r="AB1481" s="120"/>
      <c r="AC1481" s="120"/>
      <c r="AD1481" s="120"/>
      <c r="AE1481" s="120"/>
      <c r="AF1481" s="120"/>
      <c r="AG1481" s="94"/>
      <c r="AH1481" s="120"/>
      <c r="AI1481" s="94"/>
      <c r="AJ1481" s="94" t="s">
        <v>826</v>
      </c>
      <c r="AK1481" s="94" t="s">
        <v>267</v>
      </c>
      <c r="AL1481" s="94">
        <v>120</v>
      </c>
      <c r="AM1481" s="94" t="str">
        <f>TRIM(AJ1481)&amp;TRIM(AL1481)&amp;TRIM(AK1481)</f>
      </c>
      <c r="AN1481" s="116">
        <v>0</v>
      </c>
      <c r="AO1481" s="116" t="inlineStr">
        <is>
          <t>#NA</t>
        </is>
      </c>
      <c r="AP1481" s="116">
        <f>SUMIFS(M:M,AM:AM,AM1481)+SUMIFS(O:O,AM:AM,AM1481)</f>
      </c>
      <c r="AQ1481" s="116">
        <f>SUMIFS(L:L,AM:AM,AM1481)</f>
      </c>
      <c r="AR1481" s="116">
        <f>AQ1481-AP1481</f>
      </c>
      <c r="AS1481" s="94" t="str">
        <f>IF(AN1481&gt;=AQ1481,"ok","ck")</f>
      </c>
      <c r="AT1481" s="116">
        <f>-P1481</f>
      </c>
      <c r="AU1481" s="115">
        <f>IF(SUMIFS(AT:AT,AM:AM,AM1481)&gt;AO1481,(SUMIFS(AT:AT,AM:AM,AM1481)-AO1481))</f>
      </c>
      <c r="AV1481" s="116">
        <v>0</v>
      </c>
      <c r="AW1481" s="121">
        <v>0</v>
      </c>
      <c r="AX1481" s="115">
        <f>AN1481-AP1481</f>
      </c>
    </row>
    <row r="1482" spans="1:50" ht="15" hidden="1" customHeight="1" x14ac:dyDescent="0.3">
      <c r="A1482" s="94" t="s">
        <v>268</v>
      </c>
      <c r="B1482" s="94"/>
      <c r="C1482" s="94"/>
      <c r="D1482" s="94"/>
      <c r="E1482" s="94"/>
      <c r="F1482" s="94"/>
      <c r="G1482" s="112">
        <f>AU1482</f>
      </c>
      <c r="H1482" s="113"/>
      <c r="I1482" s="94" t="s">
        <v>278</v>
      </c>
      <c r="J1482" s="94" t="s">
        <v>71</v>
      </c>
      <c r="K1482" s="114">
        <f>P1482/3</f>
      </c>
      <c r="L1482" s="115">
        <v>299.45</v>
      </c>
      <c r="M1482" s="116"/>
      <c r="N1482" s="117">
        <f>M1482-L1482</f>
      </c>
      <c r="O1482" s="112"/>
      <c r="P1482" s="118">
        <f>N1482+O1482</f>
      </c>
      <c r="Q1482" s="94" t="s">
        <v>859</v>
      </c>
      <c r="R1482" s="94" t="s">
        <v>63</v>
      </c>
      <c r="S1482" s="119">
        <v>46343</v>
      </c>
      <c r="T1482" s="119"/>
      <c r="U1482" s="120" t="s">
        <v>665</v>
      </c>
      <c r="V1482" s="94"/>
      <c r="W1482" s="94"/>
      <c r="X1482" s="94"/>
      <c r="Y1482" s="119">
        <v>46327</v>
      </c>
      <c r="Z1482" s="94"/>
      <c r="AA1482" s="120"/>
      <c r="AB1482" s="120"/>
      <c r="AC1482" s="120"/>
      <c r="AD1482" s="120"/>
      <c r="AE1482" s="120"/>
      <c r="AF1482" s="120"/>
      <c r="AG1482" s="94"/>
      <c r="AH1482" s="120"/>
      <c r="AI1482" s="94"/>
      <c r="AJ1482" s="94" t="s">
        <v>826</v>
      </c>
      <c r="AK1482" s="94" t="s">
        <v>267</v>
      </c>
      <c r="AL1482" s="94">
        <v>120</v>
      </c>
      <c r="AM1482" s="94" t="str">
        <f>TRIM(AJ1482)&amp;TRIM(AL1482)&amp;TRIM(AK1482)</f>
      </c>
      <c r="AN1482" s="116">
        <v>0</v>
      </c>
      <c r="AO1482" s="116" t="inlineStr">
        <is>
          <t>#NA</t>
        </is>
      </c>
      <c r="AP1482" s="116">
        <f>SUMIFS(M:M,AM:AM,AM1482)+SUMIFS(O:O,AM:AM,AM1482)</f>
      </c>
      <c r="AQ1482" s="116">
        <f>SUMIFS(L:L,AM:AM,AM1482)</f>
      </c>
      <c r="AR1482" s="116">
        <f>AQ1482-AP1482</f>
      </c>
      <c r="AS1482" s="94" t="str">
        <f>IF(AN1482&gt;=AQ1482,"ok","ck")</f>
      </c>
      <c r="AT1482" s="116">
        <f>-P1482</f>
      </c>
      <c r="AU1482" s="115">
        <f>IF(SUMIFS(AT:AT,AM:AM,AM1482)&gt;AO1482,(SUMIFS(AT:AT,AM:AM,AM1482)-AO1482))</f>
      </c>
      <c r="AV1482" s="116">
        <v>0</v>
      </c>
      <c r="AW1482" s="121">
        <v>0</v>
      </c>
      <c r="AX1482" s="115">
        <f>AN1482-AP1482</f>
      </c>
    </row>
    <row r="1483" spans="1:50" ht="15" hidden="1" customHeight="1" x14ac:dyDescent="0.3">
      <c r="A1483" s="94" t="s">
        <v>268</v>
      </c>
      <c r="B1483" s="94"/>
      <c r="C1483" s="94"/>
      <c r="D1483" s="94"/>
      <c r="E1483" s="94"/>
      <c r="F1483" s="94"/>
      <c r="G1483" s="112">
        <f>AU1483</f>
      </c>
      <c r="H1483" s="113"/>
      <c r="I1483" s="94" t="s">
        <v>278</v>
      </c>
      <c r="J1483" s="94" t="s">
        <v>71</v>
      </c>
      <c r="K1483" s="114">
        <f>P1483/3</f>
      </c>
      <c r="L1483" s="115">
        <v>30.824000000000002</v>
      </c>
      <c r="M1483" s="116"/>
      <c r="N1483" s="117">
        <f>M1483-L1483</f>
      </c>
      <c r="O1483" s="112"/>
      <c r="P1483" s="118">
        <f>N1483+O1483</f>
      </c>
      <c r="Q1483" s="94" t="s">
        <v>859</v>
      </c>
      <c r="R1483" s="94" t="s">
        <v>63</v>
      </c>
      <c r="S1483" s="119">
        <v>46344</v>
      </c>
      <c r="T1483" s="119"/>
      <c r="U1483" s="120" t="s">
        <v>665</v>
      </c>
      <c r="V1483" s="94"/>
      <c r="W1483" s="94"/>
      <c r="X1483" s="94"/>
      <c r="Y1483" s="119">
        <v>46327</v>
      </c>
      <c r="Z1483" s="94"/>
      <c r="AA1483" s="120"/>
      <c r="AB1483" s="120"/>
      <c r="AC1483" s="120"/>
      <c r="AD1483" s="120"/>
      <c r="AE1483" s="120"/>
      <c r="AF1483" s="120"/>
      <c r="AG1483" s="94"/>
      <c r="AH1483" s="120"/>
      <c r="AI1483" s="94"/>
      <c r="AJ1483" s="94" t="s">
        <v>826</v>
      </c>
      <c r="AK1483" s="94" t="s">
        <v>267</v>
      </c>
      <c r="AL1483" s="94">
        <v>120</v>
      </c>
      <c r="AM1483" s="94" t="str">
        <f>TRIM(AJ1483)&amp;TRIM(AL1483)&amp;TRIM(AK1483)</f>
      </c>
      <c r="AN1483" s="116">
        <v>0</v>
      </c>
      <c r="AO1483" s="116" t="inlineStr">
        <is>
          <t>#NA</t>
        </is>
      </c>
      <c r="AP1483" s="116">
        <f>SUMIFS(M:M,AM:AM,AM1483)+SUMIFS(O:O,AM:AM,AM1483)</f>
      </c>
      <c r="AQ1483" s="116">
        <f>SUMIFS(L:L,AM:AM,AM1483)</f>
      </c>
      <c r="AR1483" s="116">
        <f>AQ1483-AP1483</f>
      </c>
      <c r="AS1483" s="94" t="str">
        <f>IF(AN1483&gt;=AQ1483,"ok","ck")</f>
      </c>
      <c r="AT1483" s="116">
        <f>-P1483</f>
      </c>
      <c r="AU1483" s="115">
        <f>IF(SUMIFS(AT:AT,AM:AM,AM1483)&gt;AO1483,(SUMIFS(AT:AT,AM:AM,AM1483)-AO1483))</f>
      </c>
      <c r="AV1483" s="116">
        <v>0</v>
      </c>
      <c r="AW1483" s="121">
        <v>0</v>
      </c>
      <c r="AX1483" s="115">
        <f>AN1483-AP1483</f>
      </c>
    </row>
    <row r="1484" spans="1:50" ht="15" hidden="1" customHeight="1" x14ac:dyDescent="0.3">
      <c r="A1484" s="94" t="s">
        <v>268</v>
      </c>
      <c r="B1484" s="94"/>
      <c r="C1484" s="94"/>
      <c r="D1484" s="94"/>
      <c r="E1484" s="94"/>
      <c r="F1484" s="94"/>
      <c r="G1484" s="112">
        <f>AU1484</f>
      </c>
      <c r="H1484" s="113"/>
      <c r="I1484" s="94" t="s">
        <v>390</v>
      </c>
      <c r="J1484" s="94" t="s">
        <v>71</v>
      </c>
      <c r="K1484" s="114">
        <f>P1484/3</f>
      </c>
      <c r="L1484" s="115">
        <v>1897.2750000000001</v>
      </c>
      <c r="M1484" s="116"/>
      <c r="N1484" s="117">
        <f>M1484-L1484</f>
      </c>
      <c r="O1484" s="112"/>
      <c r="P1484" s="118">
        <f>N1484+O1484</f>
      </c>
      <c r="Q1484" s="94" t="s">
        <v>859</v>
      </c>
      <c r="R1484" s="94" t="s">
        <v>63</v>
      </c>
      <c r="S1484" s="119">
        <v>46331</v>
      </c>
      <c r="T1484" s="119"/>
      <c r="U1484" s="119" t="s">
        <v>665</v>
      </c>
      <c r="V1484" s="94"/>
      <c r="W1484" s="94"/>
      <c r="X1484" s="94"/>
      <c r="Y1484" s="119">
        <v>46327</v>
      </c>
      <c r="Z1484" s="94"/>
      <c r="AA1484" s="120"/>
      <c r="AB1484" s="120"/>
      <c r="AC1484" s="120"/>
      <c r="AD1484" s="120"/>
      <c r="AE1484" s="120"/>
      <c r="AF1484" s="120"/>
      <c r="AG1484" s="94"/>
      <c r="AH1484" s="120"/>
      <c r="AI1484" s="94"/>
      <c r="AJ1484" s="94" t="s">
        <v>826</v>
      </c>
      <c r="AK1484" s="94" t="s">
        <v>267</v>
      </c>
      <c r="AL1484" s="94">
        <v>140</v>
      </c>
      <c r="AM1484" s="94" t="str">
        <f>TRIM(AJ1484)&amp;TRIM(AL1484)&amp;TRIM(AK1484)</f>
      </c>
      <c r="AN1484" s="116">
        <v>0</v>
      </c>
      <c r="AO1484" s="116" t="inlineStr">
        <is>
          <t>#NA</t>
        </is>
      </c>
      <c r="AP1484" s="116">
        <f>SUMIFS(M:M,AM:AM,AM1484)+SUMIFS(O:O,AM:AM,AM1484)</f>
      </c>
      <c r="AQ1484" s="116">
        <f>SUMIFS(L:L,AM:AM,AM1484)</f>
      </c>
      <c r="AR1484" s="116">
        <f>AQ1484-AP1484</f>
      </c>
      <c r="AS1484" s="94" t="str">
        <f>IF(AN1484&gt;=AQ1484,"ok","ck")</f>
      </c>
      <c r="AT1484" s="116">
        <f>-P1484</f>
      </c>
      <c r="AU1484" s="115">
        <f>IF(SUMIFS(AT:AT,AM:AM,AM1484)&gt;AO1484,(SUMIFS(AT:AT,AM:AM,AM1484)-AO1484))</f>
      </c>
      <c r="AV1484" s="116">
        <v>0</v>
      </c>
      <c r="AW1484" s="121">
        <v>0</v>
      </c>
      <c r="AX1484" s="115">
        <f>AN1484-AP1484</f>
      </c>
    </row>
    <row r="1485" spans="1:50" ht="15" hidden="1" customHeight="1" x14ac:dyDescent="0.3">
      <c r="A1485" s="94" t="s">
        <v>268</v>
      </c>
      <c r="B1485" s="94"/>
      <c r="C1485" s="94"/>
      <c r="D1485" s="94"/>
      <c r="E1485" s="94"/>
      <c r="F1485" s="94"/>
      <c r="G1485" s="112">
        <f>AU1485</f>
      </c>
      <c r="H1485" s="113"/>
      <c r="I1485" s="94" t="s">
        <v>390</v>
      </c>
      <c r="J1485" s="94" t="s">
        <v>71</v>
      </c>
      <c r="K1485" s="114">
        <f>P1485/3</f>
      </c>
      <c r="L1485" s="115">
        <v>1897.2750000000001</v>
      </c>
      <c r="M1485" s="116"/>
      <c r="N1485" s="117">
        <f>M1485-L1485</f>
      </c>
      <c r="O1485" s="112"/>
      <c r="P1485" s="118">
        <f>N1485+O1485</f>
      </c>
      <c r="Q1485" s="94" t="s">
        <v>859</v>
      </c>
      <c r="R1485" s="94" t="s">
        <v>63</v>
      </c>
      <c r="S1485" s="119">
        <v>46333</v>
      </c>
      <c r="T1485" s="119"/>
      <c r="U1485" s="119" t="s">
        <v>665</v>
      </c>
      <c r="V1485" s="94"/>
      <c r="W1485" s="94"/>
      <c r="X1485" s="94"/>
      <c r="Y1485" s="119">
        <v>46327</v>
      </c>
      <c r="Z1485" s="94"/>
      <c r="AA1485" s="120"/>
      <c r="AB1485" s="120"/>
      <c r="AC1485" s="120"/>
      <c r="AD1485" s="120"/>
      <c r="AE1485" s="120"/>
      <c r="AF1485" s="120"/>
      <c r="AG1485" s="94"/>
      <c r="AH1485" s="120"/>
      <c r="AI1485" s="94"/>
      <c r="AJ1485" s="94" t="s">
        <v>826</v>
      </c>
      <c r="AK1485" s="94" t="s">
        <v>267</v>
      </c>
      <c r="AL1485" s="94">
        <v>140</v>
      </c>
      <c r="AM1485" s="94" t="str">
        <f>TRIM(AJ1485)&amp;TRIM(AL1485)&amp;TRIM(AK1485)</f>
      </c>
      <c r="AN1485" s="116">
        <v>0</v>
      </c>
      <c r="AO1485" s="116" t="inlineStr">
        <is>
          <t>#NA</t>
        </is>
      </c>
      <c r="AP1485" s="116">
        <f>SUMIFS(M:M,AM:AM,AM1485)+SUMIFS(O:O,AM:AM,AM1485)</f>
      </c>
      <c r="AQ1485" s="116">
        <f>SUMIFS(L:L,AM:AM,AM1485)</f>
      </c>
      <c r="AR1485" s="116">
        <f>AQ1485-AP1485</f>
      </c>
      <c r="AS1485" s="94" t="str">
        <f>IF(AN1485&gt;=AQ1485,"ok","ck")</f>
      </c>
      <c r="AT1485" s="116">
        <f>-P1485</f>
      </c>
      <c r="AU1485" s="115">
        <f>IF(SUMIFS(AT:AT,AM:AM,AM1485)&gt;AO1485,(SUMIFS(AT:AT,AM:AM,AM1485)-AO1485))</f>
      </c>
      <c r="AV1485" s="116">
        <v>0</v>
      </c>
      <c r="AW1485" s="121">
        <v>0</v>
      </c>
      <c r="AX1485" s="115">
        <f>AN1485-AP1485</f>
      </c>
    </row>
    <row r="1486" spans="1:50" ht="15" hidden="1" customHeight="1" x14ac:dyDescent="0.3">
      <c r="A1486" s="94" t="s">
        <v>268</v>
      </c>
      <c r="B1486" s="94"/>
      <c r="C1486" s="94"/>
      <c r="D1486" s="94"/>
      <c r="E1486" s="94"/>
      <c r="F1486" s="94"/>
      <c r="G1486" s="112">
        <f>AU1486</f>
      </c>
      <c r="H1486" s="113"/>
      <c r="I1486" s="94" t="s">
        <v>390</v>
      </c>
      <c r="J1486" s="94" t="s">
        <v>71</v>
      </c>
      <c r="K1486" s="114">
        <f>P1486/3</f>
      </c>
      <c r="L1486" s="115">
        <v>1897.2750000000001</v>
      </c>
      <c r="M1486" s="116"/>
      <c r="N1486" s="117">
        <f>M1486-L1486</f>
      </c>
      <c r="O1486" s="112"/>
      <c r="P1486" s="118">
        <f>N1486+O1486</f>
      </c>
      <c r="Q1486" s="94" t="s">
        <v>859</v>
      </c>
      <c r="R1486" s="94" t="s">
        <v>63</v>
      </c>
      <c r="S1486" s="119">
        <v>46334</v>
      </c>
      <c r="T1486" s="119"/>
      <c r="U1486" s="119" t="s">
        <v>665</v>
      </c>
      <c r="V1486" s="94"/>
      <c r="W1486" s="94"/>
      <c r="X1486" s="94"/>
      <c r="Y1486" s="119">
        <v>46327</v>
      </c>
      <c r="Z1486" s="94"/>
      <c r="AA1486" s="120"/>
      <c r="AB1486" s="120"/>
      <c r="AC1486" s="120"/>
      <c r="AD1486" s="120"/>
      <c r="AE1486" s="120"/>
      <c r="AF1486" s="120"/>
      <c r="AG1486" s="94"/>
      <c r="AH1486" s="120"/>
      <c r="AI1486" s="94"/>
      <c r="AJ1486" s="94" t="s">
        <v>826</v>
      </c>
      <c r="AK1486" s="94" t="s">
        <v>267</v>
      </c>
      <c r="AL1486" s="94">
        <v>140</v>
      </c>
      <c r="AM1486" s="94" t="str">
        <f>TRIM(AJ1486)&amp;TRIM(AL1486)&amp;TRIM(AK1486)</f>
      </c>
      <c r="AN1486" s="116">
        <v>0</v>
      </c>
      <c r="AO1486" s="116" t="inlineStr">
        <is>
          <t>#NA</t>
        </is>
      </c>
      <c r="AP1486" s="116">
        <f>SUMIFS(M:M,AM:AM,AM1486)+SUMIFS(O:O,AM:AM,AM1486)</f>
      </c>
      <c r="AQ1486" s="116">
        <f>SUMIFS(L:L,AM:AM,AM1486)</f>
      </c>
      <c r="AR1486" s="116">
        <f>AQ1486-AP1486</f>
      </c>
      <c r="AS1486" s="94" t="str">
        <f>IF(AN1486&gt;=AQ1486,"ok","ck")</f>
      </c>
      <c r="AT1486" s="116">
        <f>-P1486</f>
      </c>
      <c r="AU1486" s="115">
        <f>IF(SUMIFS(AT:AT,AM:AM,AM1486)&gt;AO1486,(SUMIFS(AT:AT,AM:AM,AM1486)-AO1486))</f>
      </c>
      <c r="AV1486" s="116">
        <v>0</v>
      </c>
      <c r="AW1486" s="121">
        <v>0</v>
      </c>
      <c r="AX1486" s="115">
        <f>AN1486-AP1486</f>
      </c>
    </row>
    <row r="1487" spans="1:50" ht="15" hidden="1" customHeight="1" x14ac:dyDescent="0.3">
      <c r="A1487" s="94" t="s">
        <v>268</v>
      </c>
      <c r="B1487" s="94"/>
      <c r="C1487" s="94"/>
      <c r="D1487" s="94"/>
      <c r="E1487" s="94"/>
      <c r="F1487" s="94"/>
      <c r="G1487" s="112">
        <f>AU1487</f>
      </c>
      <c r="H1487" s="113"/>
      <c r="I1487" s="94" t="s">
        <v>390</v>
      </c>
      <c r="J1487" s="94" t="s">
        <v>71</v>
      </c>
      <c r="K1487" s="114">
        <f>P1487/3</f>
      </c>
      <c r="L1487" s="115">
        <v>1897.2750000000001</v>
      </c>
      <c r="M1487" s="116"/>
      <c r="N1487" s="117">
        <f>M1487-L1487</f>
      </c>
      <c r="O1487" s="112"/>
      <c r="P1487" s="118">
        <f>N1487+O1487</f>
      </c>
      <c r="Q1487" s="94" t="s">
        <v>859</v>
      </c>
      <c r="R1487" s="94" t="s">
        <v>63</v>
      </c>
      <c r="S1487" s="119">
        <v>46335</v>
      </c>
      <c r="T1487" s="119"/>
      <c r="U1487" s="119" t="s">
        <v>665</v>
      </c>
      <c r="V1487" s="94"/>
      <c r="W1487" s="94"/>
      <c r="X1487" s="94"/>
      <c r="Y1487" s="119">
        <v>46327</v>
      </c>
      <c r="Z1487" s="94"/>
      <c r="AA1487" s="120"/>
      <c r="AB1487" s="120"/>
      <c r="AC1487" s="120"/>
      <c r="AD1487" s="120"/>
      <c r="AE1487" s="120"/>
      <c r="AF1487" s="120"/>
      <c r="AG1487" s="94"/>
      <c r="AH1487" s="120"/>
      <c r="AI1487" s="94"/>
      <c r="AJ1487" s="94" t="s">
        <v>826</v>
      </c>
      <c r="AK1487" s="94" t="s">
        <v>267</v>
      </c>
      <c r="AL1487" s="94">
        <v>140</v>
      </c>
      <c r="AM1487" s="94" t="str">
        <f>TRIM(AJ1487)&amp;TRIM(AL1487)&amp;TRIM(AK1487)</f>
      </c>
      <c r="AN1487" s="116">
        <v>0</v>
      </c>
      <c r="AO1487" s="116" t="inlineStr">
        <is>
          <t>#NA</t>
        </is>
      </c>
      <c r="AP1487" s="116">
        <f>SUMIFS(M:M,AM:AM,AM1487)+SUMIFS(O:O,AM:AM,AM1487)</f>
      </c>
      <c r="AQ1487" s="116">
        <f>SUMIFS(L:L,AM:AM,AM1487)</f>
      </c>
      <c r="AR1487" s="116">
        <f>AQ1487-AP1487</f>
      </c>
      <c r="AS1487" s="94" t="str">
        <f>IF(AN1487&gt;=AQ1487,"ok","ck")</f>
      </c>
      <c r="AT1487" s="116">
        <f>-P1487</f>
      </c>
      <c r="AU1487" s="115">
        <f>IF(SUMIFS(AT:AT,AM:AM,AM1487)&gt;AO1487,(SUMIFS(AT:AT,AM:AM,AM1487)-AO1487))</f>
      </c>
      <c r="AV1487" s="116">
        <v>0</v>
      </c>
      <c r="AW1487" s="121">
        <v>0</v>
      </c>
      <c r="AX1487" s="115">
        <f>AN1487-AP1487</f>
      </c>
    </row>
    <row r="1488" spans="1:50" ht="15" hidden="1" customHeight="1" x14ac:dyDescent="0.3">
      <c r="A1488" s="94" t="s">
        <v>268</v>
      </c>
      <c r="B1488" s="94"/>
      <c r="C1488" s="94"/>
      <c r="D1488" s="94"/>
      <c r="E1488" s="94"/>
      <c r="F1488" s="94"/>
      <c r="G1488" s="112">
        <f>AU1488</f>
      </c>
      <c r="H1488" s="113"/>
      <c r="I1488" s="94" t="s">
        <v>390</v>
      </c>
      <c r="J1488" s="94" t="s">
        <v>71</v>
      </c>
      <c r="K1488" s="114">
        <f>P1488/3</f>
      </c>
      <c r="L1488" s="115">
        <v>1897.2750000000001</v>
      </c>
      <c r="M1488" s="116"/>
      <c r="N1488" s="117">
        <f>M1488-L1488</f>
      </c>
      <c r="O1488" s="112"/>
      <c r="P1488" s="118">
        <f>N1488+O1488</f>
      </c>
      <c r="Q1488" s="94" t="s">
        <v>859</v>
      </c>
      <c r="R1488" s="94" t="s">
        <v>63</v>
      </c>
      <c r="S1488" s="119">
        <v>46336</v>
      </c>
      <c r="T1488" s="119"/>
      <c r="U1488" s="119" t="s">
        <v>665</v>
      </c>
      <c r="V1488" s="94"/>
      <c r="W1488" s="94"/>
      <c r="X1488" s="94"/>
      <c r="Y1488" s="119">
        <v>46327</v>
      </c>
      <c r="Z1488" s="94"/>
      <c r="AA1488" s="120"/>
      <c r="AB1488" s="120"/>
      <c r="AC1488" s="120"/>
      <c r="AD1488" s="120"/>
      <c r="AE1488" s="120"/>
      <c r="AF1488" s="120"/>
      <c r="AG1488" s="94"/>
      <c r="AH1488" s="120"/>
      <c r="AI1488" s="94"/>
      <c r="AJ1488" s="94" t="s">
        <v>826</v>
      </c>
      <c r="AK1488" s="94" t="s">
        <v>267</v>
      </c>
      <c r="AL1488" s="94">
        <v>140</v>
      </c>
      <c r="AM1488" s="94" t="str">
        <f>TRIM(AJ1488)&amp;TRIM(AL1488)&amp;TRIM(AK1488)</f>
      </c>
      <c r="AN1488" s="116">
        <v>0</v>
      </c>
      <c r="AO1488" s="116" t="inlineStr">
        <is>
          <t>#NA</t>
        </is>
      </c>
      <c r="AP1488" s="116">
        <f>SUMIFS(M:M,AM:AM,AM1488)+SUMIFS(O:O,AM:AM,AM1488)</f>
      </c>
      <c r="AQ1488" s="116">
        <f>SUMIFS(L:L,AM:AM,AM1488)</f>
      </c>
      <c r="AR1488" s="116">
        <f>AQ1488-AP1488</f>
      </c>
      <c r="AS1488" s="94" t="str">
        <f>IF(AN1488&gt;=AQ1488,"ok","ck")</f>
      </c>
      <c r="AT1488" s="116">
        <f>-P1488</f>
      </c>
      <c r="AU1488" s="115">
        <f>IF(SUMIFS(AT:AT,AM:AM,AM1488)&gt;AO1488,(SUMIFS(AT:AT,AM:AM,AM1488)-AO1488))</f>
      </c>
      <c r="AV1488" s="116">
        <v>0</v>
      </c>
      <c r="AW1488" s="121">
        <v>0</v>
      </c>
      <c r="AX1488" s="115">
        <f>AN1488-AP1488</f>
      </c>
    </row>
    <row r="1489" spans="1:50" ht="15" hidden="1" customHeight="1" x14ac:dyDescent="0.3">
      <c r="A1489" s="94" t="s">
        <v>268</v>
      </c>
      <c r="B1489" s="94"/>
      <c r="C1489" s="94"/>
      <c r="D1489" s="94"/>
      <c r="E1489" s="94"/>
      <c r="F1489" s="94"/>
      <c r="G1489" s="112">
        <f>AU1489</f>
      </c>
      <c r="H1489" s="113"/>
      <c r="I1489" s="94" t="s">
        <v>390</v>
      </c>
      <c r="J1489" s="94" t="s">
        <v>71</v>
      </c>
      <c r="K1489" s="114">
        <f>P1489/3</f>
      </c>
      <c r="L1489" s="115">
        <v>1897.2750000000001</v>
      </c>
      <c r="M1489" s="116"/>
      <c r="N1489" s="117">
        <f>M1489-L1489</f>
      </c>
      <c r="O1489" s="112"/>
      <c r="P1489" s="118">
        <f>N1489+O1489</f>
      </c>
      <c r="Q1489" s="94" t="s">
        <v>859</v>
      </c>
      <c r="R1489" s="94" t="s">
        <v>63</v>
      </c>
      <c r="S1489" s="119">
        <v>46337</v>
      </c>
      <c r="T1489" s="119"/>
      <c r="U1489" s="119" t="s">
        <v>665</v>
      </c>
      <c r="V1489" s="94"/>
      <c r="W1489" s="94"/>
      <c r="X1489" s="94"/>
      <c r="Y1489" s="119">
        <v>46327</v>
      </c>
      <c r="Z1489" s="94"/>
      <c r="AA1489" s="120"/>
      <c r="AB1489" s="120"/>
      <c r="AC1489" s="120"/>
      <c r="AD1489" s="120"/>
      <c r="AE1489" s="120"/>
      <c r="AF1489" s="120"/>
      <c r="AG1489" s="94"/>
      <c r="AH1489" s="120"/>
      <c r="AI1489" s="94"/>
      <c r="AJ1489" s="94" t="s">
        <v>826</v>
      </c>
      <c r="AK1489" s="94" t="s">
        <v>267</v>
      </c>
      <c r="AL1489" s="94">
        <v>140</v>
      </c>
      <c r="AM1489" s="94" t="str">
        <f>TRIM(AJ1489)&amp;TRIM(AL1489)&amp;TRIM(AK1489)</f>
      </c>
      <c r="AN1489" s="116">
        <v>0</v>
      </c>
      <c r="AO1489" s="116" t="inlineStr">
        <is>
          <t>#NA</t>
        </is>
      </c>
      <c r="AP1489" s="116">
        <f>SUMIFS(M:M,AM:AM,AM1489)+SUMIFS(O:O,AM:AM,AM1489)</f>
      </c>
      <c r="AQ1489" s="116">
        <f>SUMIFS(L:L,AM:AM,AM1489)</f>
      </c>
      <c r="AR1489" s="116">
        <f>AQ1489-AP1489</f>
      </c>
      <c r="AS1489" s="94" t="str">
        <f>IF(AN1489&gt;=AQ1489,"ok","ck")</f>
      </c>
      <c r="AT1489" s="116">
        <f>-P1489</f>
      </c>
      <c r="AU1489" s="115">
        <f>IF(SUMIFS(AT:AT,AM:AM,AM1489)&gt;AO1489,(SUMIFS(AT:AT,AM:AM,AM1489)-AO1489))</f>
      </c>
      <c r="AV1489" s="116">
        <v>0</v>
      </c>
      <c r="AW1489" s="121">
        <v>0</v>
      </c>
      <c r="AX1489" s="115">
        <f>AN1489-AP1489</f>
      </c>
    </row>
    <row r="1490" spans="1:50" ht="15" hidden="1" customHeight="1" x14ac:dyDescent="0.3">
      <c r="A1490" s="94" t="s">
        <v>268</v>
      </c>
      <c r="B1490" s="94"/>
      <c r="C1490" s="94"/>
      <c r="D1490" s="94"/>
      <c r="E1490" s="94"/>
      <c r="F1490" s="94"/>
      <c r="G1490" s="112">
        <f>AU1490</f>
      </c>
      <c r="H1490" s="113"/>
      <c r="I1490" s="94" t="s">
        <v>390</v>
      </c>
      <c r="J1490" s="94" t="s">
        <v>71</v>
      </c>
      <c r="K1490" s="114">
        <f>P1490/3</f>
      </c>
      <c r="L1490" s="115">
        <v>1897.2750000000001</v>
      </c>
      <c r="M1490" s="116"/>
      <c r="N1490" s="117">
        <f>M1490-L1490</f>
      </c>
      <c r="O1490" s="112"/>
      <c r="P1490" s="118">
        <f>N1490+O1490</f>
      </c>
      <c r="Q1490" s="94" t="s">
        <v>859</v>
      </c>
      <c r="R1490" s="94" t="s">
        <v>63</v>
      </c>
      <c r="S1490" s="119">
        <v>46338</v>
      </c>
      <c r="T1490" s="119"/>
      <c r="U1490" s="119" t="s">
        <v>665</v>
      </c>
      <c r="V1490" s="94"/>
      <c r="W1490" s="94"/>
      <c r="X1490" s="94"/>
      <c r="Y1490" s="119">
        <v>46327</v>
      </c>
      <c r="Z1490" s="94"/>
      <c r="AA1490" s="120"/>
      <c r="AB1490" s="120"/>
      <c r="AC1490" s="120"/>
      <c r="AD1490" s="120"/>
      <c r="AE1490" s="120"/>
      <c r="AF1490" s="120"/>
      <c r="AG1490" s="94"/>
      <c r="AH1490" s="120"/>
      <c r="AI1490" s="94"/>
      <c r="AJ1490" s="94" t="s">
        <v>826</v>
      </c>
      <c r="AK1490" s="94" t="s">
        <v>267</v>
      </c>
      <c r="AL1490" s="94">
        <v>140</v>
      </c>
      <c r="AM1490" s="94" t="str">
        <f>TRIM(AJ1490)&amp;TRIM(AL1490)&amp;TRIM(AK1490)</f>
      </c>
      <c r="AN1490" s="116">
        <v>0</v>
      </c>
      <c r="AO1490" s="116" t="inlineStr">
        <is>
          <t>#NA</t>
        </is>
      </c>
      <c r="AP1490" s="116">
        <f>SUMIFS(M:M,AM:AM,AM1490)+SUMIFS(O:O,AM:AM,AM1490)</f>
      </c>
      <c r="AQ1490" s="116">
        <f>SUMIFS(L:L,AM:AM,AM1490)</f>
      </c>
      <c r="AR1490" s="116">
        <f>AQ1490-AP1490</f>
      </c>
      <c r="AS1490" s="94" t="str">
        <f>IF(AN1490&gt;=AQ1490,"ok","ck")</f>
      </c>
      <c r="AT1490" s="116">
        <f>-P1490</f>
      </c>
      <c r="AU1490" s="115">
        <f>IF(SUMIFS(AT:AT,AM:AM,AM1490)&gt;AO1490,(SUMIFS(AT:AT,AM:AM,AM1490)-AO1490))</f>
      </c>
      <c r="AV1490" s="116">
        <v>0</v>
      </c>
      <c r="AW1490" s="121">
        <v>0</v>
      </c>
      <c r="AX1490" s="115">
        <f>AN1490-AP1490</f>
      </c>
    </row>
    <row r="1491" spans="1:50" ht="15" hidden="1" customHeight="1" x14ac:dyDescent="0.3">
      <c r="A1491" s="94" t="s">
        <v>268</v>
      </c>
      <c r="B1491" s="94"/>
      <c r="C1491" s="94"/>
      <c r="D1491" s="94"/>
      <c r="E1491" s="94"/>
      <c r="F1491" s="94"/>
      <c r="G1491" s="112">
        <f>AU1491</f>
      </c>
      <c r="H1491" s="113"/>
      <c r="I1491" s="94" t="s">
        <v>390</v>
      </c>
      <c r="J1491" s="94" t="s">
        <v>71</v>
      </c>
      <c r="K1491" s="114">
        <f>P1491/3</f>
      </c>
      <c r="L1491" s="115">
        <v>1897.2750000000001</v>
      </c>
      <c r="M1491" s="116"/>
      <c r="N1491" s="117">
        <f>M1491-L1491</f>
      </c>
      <c r="O1491" s="112"/>
      <c r="P1491" s="118">
        <f>N1491+O1491</f>
      </c>
      <c r="Q1491" s="94" t="s">
        <v>859</v>
      </c>
      <c r="R1491" s="94" t="s">
        <v>63</v>
      </c>
      <c r="S1491" s="119">
        <v>46339</v>
      </c>
      <c r="T1491" s="119"/>
      <c r="U1491" s="119" t="s">
        <v>665</v>
      </c>
      <c r="V1491" s="94"/>
      <c r="W1491" s="94"/>
      <c r="X1491" s="94"/>
      <c r="Y1491" s="119">
        <v>46327</v>
      </c>
      <c r="Z1491" s="94"/>
      <c r="AA1491" s="120"/>
      <c r="AB1491" s="120"/>
      <c r="AC1491" s="120"/>
      <c r="AD1491" s="120"/>
      <c r="AE1491" s="120"/>
      <c r="AF1491" s="120"/>
      <c r="AG1491" s="94"/>
      <c r="AH1491" s="120"/>
      <c r="AI1491" s="94"/>
      <c r="AJ1491" s="94" t="s">
        <v>826</v>
      </c>
      <c r="AK1491" s="94" t="s">
        <v>267</v>
      </c>
      <c r="AL1491" s="94">
        <v>140</v>
      </c>
      <c r="AM1491" s="94" t="str">
        <f>TRIM(AJ1491)&amp;TRIM(AL1491)&amp;TRIM(AK1491)</f>
      </c>
      <c r="AN1491" s="116">
        <v>0</v>
      </c>
      <c r="AO1491" s="116" t="inlineStr">
        <is>
          <t>#NA</t>
        </is>
      </c>
      <c r="AP1491" s="116">
        <f>SUMIFS(M:M,AM:AM,AM1491)+SUMIFS(O:O,AM:AM,AM1491)</f>
      </c>
      <c r="AQ1491" s="116">
        <f>SUMIFS(L:L,AM:AM,AM1491)</f>
      </c>
      <c r="AR1491" s="116">
        <f>AQ1491-AP1491</f>
      </c>
      <c r="AS1491" s="94" t="str">
        <f>IF(AN1491&gt;=AQ1491,"ok","ck")</f>
      </c>
      <c r="AT1491" s="116">
        <f>-P1491</f>
      </c>
      <c r="AU1491" s="115">
        <f>IF(SUMIFS(AT:AT,AM:AM,AM1491)&gt;AO1491,(SUMIFS(AT:AT,AM:AM,AM1491)-AO1491))</f>
      </c>
      <c r="AV1491" s="116">
        <v>0</v>
      </c>
      <c r="AW1491" s="121">
        <v>0</v>
      </c>
      <c r="AX1491" s="115">
        <f>AN1491-AP1491</f>
      </c>
    </row>
    <row r="1492" spans="1:50" ht="15" hidden="1" customHeight="1" x14ac:dyDescent="0.3">
      <c r="A1492" s="94" t="s">
        <v>268</v>
      </c>
      <c r="B1492" s="94"/>
      <c r="C1492" s="94"/>
      <c r="D1492" s="94"/>
      <c r="E1492" s="94"/>
      <c r="F1492" s="94"/>
      <c r="G1492" s="112">
        <f>AU1492</f>
      </c>
      <c r="H1492" s="113"/>
      <c r="I1492" s="94" t="s">
        <v>390</v>
      </c>
      <c r="J1492" s="94" t="s">
        <v>71</v>
      </c>
      <c r="K1492" s="114">
        <f>P1492/3</f>
      </c>
      <c r="L1492" s="115">
        <v>1897.2750000000001</v>
      </c>
      <c r="M1492" s="116"/>
      <c r="N1492" s="117">
        <f>M1492-L1492</f>
      </c>
      <c r="O1492" s="112"/>
      <c r="P1492" s="118">
        <f>N1492+O1492</f>
      </c>
      <c r="Q1492" s="94" t="s">
        <v>859</v>
      </c>
      <c r="R1492" s="94" t="s">
        <v>63</v>
      </c>
      <c r="S1492" s="119">
        <v>46340</v>
      </c>
      <c r="T1492" s="119"/>
      <c r="U1492" s="120" t="s">
        <v>665</v>
      </c>
      <c r="V1492" s="94"/>
      <c r="W1492" s="94"/>
      <c r="X1492" s="94"/>
      <c r="Y1492" s="119">
        <v>46327</v>
      </c>
      <c r="Z1492" s="94"/>
      <c r="AA1492" s="120"/>
      <c r="AB1492" s="120"/>
      <c r="AC1492" s="120"/>
      <c r="AD1492" s="120"/>
      <c r="AE1492" s="120"/>
      <c r="AF1492" s="120"/>
      <c r="AG1492" s="94"/>
      <c r="AH1492" s="120"/>
      <c r="AI1492" s="94"/>
      <c r="AJ1492" s="94" t="s">
        <v>826</v>
      </c>
      <c r="AK1492" s="94" t="s">
        <v>267</v>
      </c>
      <c r="AL1492" s="94">
        <v>140</v>
      </c>
      <c r="AM1492" s="94" t="str">
        <f>TRIM(AJ1492)&amp;TRIM(AL1492)&amp;TRIM(AK1492)</f>
      </c>
      <c r="AN1492" s="116">
        <v>0</v>
      </c>
      <c r="AO1492" s="116" t="inlineStr">
        <is>
          <t>#NA</t>
        </is>
      </c>
      <c r="AP1492" s="116">
        <f>SUMIFS(M:M,AM:AM,AM1492)+SUMIFS(O:O,AM:AM,AM1492)</f>
      </c>
      <c r="AQ1492" s="116">
        <f>SUMIFS(L:L,AM:AM,AM1492)</f>
      </c>
      <c r="AR1492" s="116">
        <f>AQ1492-AP1492</f>
      </c>
      <c r="AS1492" s="94" t="str">
        <f>IF(AN1492&gt;=AQ1492,"ok","ck")</f>
      </c>
      <c r="AT1492" s="116">
        <f>-P1492</f>
      </c>
      <c r="AU1492" s="115">
        <f>IF(SUMIFS(AT:AT,AM:AM,AM1492)&gt;AO1492,(SUMIFS(AT:AT,AM:AM,AM1492)-AO1492))</f>
      </c>
      <c r="AV1492" s="116">
        <v>0</v>
      </c>
      <c r="AW1492" s="121">
        <v>0</v>
      </c>
      <c r="AX1492" s="115">
        <f>AN1492-AP1492</f>
      </c>
    </row>
    <row r="1493" spans="1:50" ht="15" hidden="1" customHeight="1" x14ac:dyDescent="0.3">
      <c r="A1493" s="94" t="s">
        <v>268</v>
      </c>
      <c r="B1493" s="94"/>
      <c r="C1493" s="94"/>
      <c r="D1493" s="94"/>
      <c r="E1493" s="94"/>
      <c r="F1493" s="94"/>
      <c r="G1493" s="112">
        <f>AU1493</f>
      </c>
      <c r="H1493" s="113"/>
      <c r="I1493" s="94" t="s">
        <v>390</v>
      </c>
      <c r="J1493" s="94" t="s">
        <v>71</v>
      </c>
      <c r="K1493" s="114">
        <f>P1493/3</f>
      </c>
      <c r="L1493" s="115">
        <v>1897.2750000000001</v>
      </c>
      <c r="M1493" s="116"/>
      <c r="N1493" s="117">
        <f>M1493-L1493</f>
      </c>
      <c r="O1493" s="112"/>
      <c r="P1493" s="118">
        <f>N1493+O1493</f>
      </c>
      <c r="Q1493" s="94" t="s">
        <v>859</v>
      </c>
      <c r="R1493" s="94" t="s">
        <v>63</v>
      </c>
      <c r="S1493" s="119">
        <v>46341</v>
      </c>
      <c r="T1493" s="119"/>
      <c r="U1493" s="120" t="s">
        <v>665</v>
      </c>
      <c r="V1493" s="94"/>
      <c r="W1493" s="94"/>
      <c r="X1493" s="94"/>
      <c r="Y1493" s="119">
        <v>46327</v>
      </c>
      <c r="Z1493" s="94"/>
      <c r="AA1493" s="120"/>
      <c r="AB1493" s="120"/>
      <c r="AC1493" s="120"/>
      <c r="AD1493" s="120"/>
      <c r="AE1493" s="120"/>
      <c r="AF1493" s="120"/>
      <c r="AG1493" s="94"/>
      <c r="AH1493" s="120"/>
      <c r="AI1493" s="94"/>
      <c r="AJ1493" s="94" t="s">
        <v>826</v>
      </c>
      <c r="AK1493" s="94" t="s">
        <v>267</v>
      </c>
      <c r="AL1493" s="94">
        <v>140</v>
      </c>
      <c r="AM1493" s="94" t="str">
        <f>TRIM(AJ1493)&amp;TRIM(AL1493)&amp;TRIM(AK1493)</f>
      </c>
      <c r="AN1493" s="116">
        <v>0</v>
      </c>
      <c r="AO1493" s="116" t="inlineStr">
        <is>
          <t>#NA</t>
        </is>
      </c>
      <c r="AP1493" s="116">
        <f>SUMIFS(M:M,AM:AM,AM1493)+SUMIFS(O:O,AM:AM,AM1493)</f>
      </c>
      <c r="AQ1493" s="116">
        <f>SUMIFS(L:L,AM:AM,AM1493)</f>
      </c>
      <c r="AR1493" s="116">
        <f>AQ1493-AP1493</f>
      </c>
      <c r="AS1493" s="94" t="str">
        <f>IF(AN1493&gt;=AQ1493,"ok","ck")</f>
      </c>
      <c r="AT1493" s="116">
        <f>-P1493</f>
      </c>
      <c r="AU1493" s="115">
        <f>IF(SUMIFS(AT:AT,AM:AM,AM1493)&gt;AO1493,(SUMIFS(AT:AT,AM:AM,AM1493)-AO1493))</f>
      </c>
      <c r="AV1493" s="116">
        <v>0</v>
      </c>
      <c r="AW1493" s="121">
        <v>0</v>
      </c>
      <c r="AX1493" s="115">
        <f>AN1493-AP1493</f>
      </c>
    </row>
    <row r="1494" spans="1:50" ht="15" hidden="1" customHeight="1" x14ac:dyDescent="0.3">
      <c r="A1494" s="94" t="s">
        <v>268</v>
      </c>
      <c r="B1494" s="94"/>
      <c r="C1494" s="94"/>
      <c r="D1494" s="94"/>
      <c r="E1494" s="94"/>
      <c r="F1494" s="94"/>
      <c r="G1494" s="112">
        <f>AU1494</f>
      </c>
      <c r="H1494" s="113"/>
      <c r="I1494" s="94" t="s">
        <v>390</v>
      </c>
      <c r="J1494" s="94" t="s">
        <v>71</v>
      </c>
      <c r="K1494" s="114">
        <f>P1494/3</f>
      </c>
      <c r="L1494" s="115">
        <v>1897.2750000000001</v>
      </c>
      <c r="M1494" s="116"/>
      <c r="N1494" s="117">
        <f>M1494-L1494</f>
      </c>
      <c r="O1494" s="112"/>
      <c r="P1494" s="118">
        <f>N1494+O1494</f>
      </c>
      <c r="Q1494" s="94" t="s">
        <v>859</v>
      </c>
      <c r="R1494" s="94" t="s">
        <v>63</v>
      </c>
      <c r="S1494" s="119">
        <v>46342</v>
      </c>
      <c r="T1494" s="119"/>
      <c r="U1494" s="120" t="s">
        <v>665</v>
      </c>
      <c r="V1494" s="94"/>
      <c r="W1494" s="94"/>
      <c r="X1494" s="94"/>
      <c r="Y1494" s="119">
        <v>46327</v>
      </c>
      <c r="Z1494" s="94"/>
      <c r="AA1494" s="120"/>
      <c r="AB1494" s="120"/>
      <c r="AC1494" s="120"/>
      <c r="AD1494" s="120"/>
      <c r="AE1494" s="120"/>
      <c r="AF1494" s="120"/>
      <c r="AG1494" s="94"/>
      <c r="AH1494" s="120"/>
      <c r="AI1494" s="94"/>
      <c r="AJ1494" s="94" t="s">
        <v>826</v>
      </c>
      <c r="AK1494" s="94" t="s">
        <v>267</v>
      </c>
      <c r="AL1494" s="94">
        <v>140</v>
      </c>
      <c r="AM1494" s="94" t="str">
        <f>TRIM(AJ1494)&amp;TRIM(AL1494)&amp;TRIM(AK1494)</f>
      </c>
      <c r="AN1494" s="116">
        <v>0</v>
      </c>
      <c r="AO1494" s="116" t="inlineStr">
        <is>
          <t>#NA</t>
        </is>
      </c>
      <c r="AP1494" s="116">
        <f>SUMIFS(M:M,AM:AM,AM1494)+SUMIFS(O:O,AM:AM,AM1494)</f>
      </c>
      <c r="AQ1494" s="116">
        <f>SUMIFS(L:L,AM:AM,AM1494)</f>
      </c>
      <c r="AR1494" s="116">
        <f>AQ1494-AP1494</f>
      </c>
      <c r="AS1494" s="94" t="str">
        <f>IF(AN1494&gt;=AQ1494,"ok","ck")</f>
      </c>
      <c r="AT1494" s="116">
        <f>-P1494</f>
      </c>
      <c r="AU1494" s="115">
        <f>IF(SUMIFS(AT:AT,AM:AM,AM1494)&gt;AO1494,(SUMIFS(AT:AT,AM:AM,AM1494)-AO1494))</f>
      </c>
      <c r="AV1494" s="116">
        <v>0</v>
      </c>
      <c r="AW1494" s="121">
        <v>0</v>
      </c>
      <c r="AX1494" s="115">
        <f>AN1494-AP1494</f>
      </c>
    </row>
    <row r="1495" spans="1:50" ht="15" hidden="1" customHeight="1" x14ac:dyDescent="0.3">
      <c r="A1495" s="94" t="s">
        <v>268</v>
      </c>
      <c r="B1495" s="94"/>
      <c r="C1495" s="94"/>
      <c r="D1495" s="94"/>
      <c r="E1495" s="94"/>
      <c r="F1495" s="94"/>
      <c r="G1495" s="112">
        <f>AU1495</f>
      </c>
      <c r="H1495" s="113"/>
      <c r="I1495" s="94" t="s">
        <v>390</v>
      </c>
      <c r="J1495" s="94" t="s">
        <v>71</v>
      </c>
      <c r="K1495" s="114">
        <f>P1495/3</f>
      </c>
      <c r="L1495" s="115">
        <v>3794.55</v>
      </c>
      <c r="M1495" s="116"/>
      <c r="N1495" s="117">
        <f>M1495-L1495</f>
      </c>
      <c r="O1495" s="112"/>
      <c r="P1495" s="118">
        <f>N1495+O1495</f>
      </c>
      <c r="Q1495" s="94" t="s">
        <v>859</v>
      </c>
      <c r="R1495" s="94" t="s">
        <v>63</v>
      </c>
      <c r="S1495" s="119">
        <v>46343</v>
      </c>
      <c r="T1495" s="119"/>
      <c r="U1495" s="120" t="s">
        <v>665</v>
      </c>
      <c r="V1495" s="94"/>
      <c r="W1495" s="94"/>
      <c r="X1495" s="94"/>
      <c r="Y1495" s="119">
        <v>46327</v>
      </c>
      <c r="Z1495" s="94"/>
      <c r="AA1495" s="120"/>
      <c r="AB1495" s="120"/>
      <c r="AC1495" s="120"/>
      <c r="AD1495" s="120"/>
      <c r="AE1495" s="120"/>
      <c r="AF1495" s="120"/>
      <c r="AG1495" s="94"/>
      <c r="AH1495" s="120"/>
      <c r="AI1495" s="94"/>
      <c r="AJ1495" s="94" t="s">
        <v>826</v>
      </c>
      <c r="AK1495" s="94" t="s">
        <v>267</v>
      </c>
      <c r="AL1495" s="94">
        <v>140</v>
      </c>
      <c r="AM1495" s="94" t="str">
        <f>TRIM(AJ1495)&amp;TRIM(AL1495)&amp;TRIM(AK1495)</f>
      </c>
      <c r="AN1495" s="116">
        <v>0</v>
      </c>
      <c r="AO1495" s="116" t="inlineStr">
        <is>
          <t>#NA</t>
        </is>
      </c>
      <c r="AP1495" s="116">
        <f>SUMIFS(M:M,AM:AM,AM1495)+SUMIFS(O:O,AM:AM,AM1495)</f>
      </c>
      <c r="AQ1495" s="116">
        <f>SUMIFS(L:L,AM:AM,AM1495)</f>
      </c>
      <c r="AR1495" s="116">
        <f>AQ1495-AP1495</f>
      </c>
      <c r="AS1495" s="94" t="str">
        <f>IF(AN1495&gt;=AQ1495,"ok","ck")</f>
      </c>
      <c r="AT1495" s="116">
        <f>-P1495</f>
      </c>
      <c r="AU1495" s="115">
        <f>IF(SUMIFS(AT:AT,AM:AM,AM1495)&gt;AO1495,(SUMIFS(AT:AT,AM:AM,AM1495)-AO1495))</f>
      </c>
      <c r="AV1495" s="116">
        <v>0</v>
      </c>
      <c r="AW1495" s="121">
        <v>0</v>
      </c>
      <c r="AX1495" s="115">
        <f>AN1495-AP1495</f>
      </c>
    </row>
    <row r="1496" spans="1:50" ht="15" hidden="1" customHeight="1" x14ac:dyDescent="0.3">
      <c r="A1496" s="94" t="s">
        <v>268</v>
      </c>
      <c r="B1496" s="94"/>
      <c r="C1496" s="94"/>
      <c r="D1496" s="94"/>
      <c r="E1496" s="94"/>
      <c r="F1496" s="94"/>
      <c r="G1496" s="112">
        <f>AU1496</f>
      </c>
      <c r="H1496" s="113"/>
      <c r="I1496" s="94" t="s">
        <v>390</v>
      </c>
      <c r="J1496" s="94" t="s">
        <v>71</v>
      </c>
      <c r="K1496" s="114">
        <f>P1496/3</f>
      </c>
      <c r="L1496" s="115">
        <v>390.63499999999999</v>
      </c>
      <c r="M1496" s="116"/>
      <c r="N1496" s="117">
        <f>M1496-L1496</f>
      </c>
      <c r="O1496" s="112"/>
      <c r="P1496" s="118">
        <f>N1496+O1496</f>
      </c>
      <c r="Q1496" s="94" t="s">
        <v>859</v>
      </c>
      <c r="R1496" s="94" t="s">
        <v>63</v>
      </c>
      <c r="S1496" s="119">
        <v>46344</v>
      </c>
      <c r="T1496" s="119"/>
      <c r="U1496" s="120" t="s">
        <v>665</v>
      </c>
      <c r="V1496" s="94"/>
      <c r="W1496" s="94"/>
      <c r="X1496" s="94"/>
      <c r="Y1496" s="119">
        <v>46327</v>
      </c>
      <c r="Z1496" s="94"/>
      <c r="AA1496" s="120"/>
      <c r="AB1496" s="120"/>
      <c r="AC1496" s="120"/>
      <c r="AD1496" s="120"/>
      <c r="AE1496" s="120"/>
      <c r="AF1496" s="120"/>
      <c r="AG1496" s="94"/>
      <c r="AH1496" s="120"/>
      <c r="AI1496" s="94"/>
      <c r="AJ1496" s="94" t="s">
        <v>826</v>
      </c>
      <c r="AK1496" s="94" t="s">
        <v>267</v>
      </c>
      <c r="AL1496" s="94">
        <v>140</v>
      </c>
      <c r="AM1496" s="94" t="str">
        <f>TRIM(AJ1496)&amp;TRIM(AL1496)&amp;TRIM(AK1496)</f>
      </c>
      <c r="AN1496" s="116">
        <v>0</v>
      </c>
      <c r="AO1496" s="116" t="inlineStr">
        <is>
          <t>#NA</t>
        </is>
      </c>
      <c r="AP1496" s="116">
        <f>SUMIFS(M:M,AM:AM,AM1496)+SUMIFS(O:O,AM:AM,AM1496)</f>
      </c>
      <c r="AQ1496" s="116">
        <f>SUMIFS(L:L,AM:AM,AM1496)</f>
      </c>
      <c r="AR1496" s="116">
        <f>AQ1496-AP1496</f>
      </c>
      <c r="AS1496" s="94" t="str">
        <f>IF(AN1496&gt;=AQ1496,"ok","ck")</f>
      </c>
      <c r="AT1496" s="116">
        <f>-P1496</f>
      </c>
      <c r="AU1496" s="115">
        <f>IF(SUMIFS(AT:AT,AM:AM,AM1496)&gt;AO1496,(SUMIFS(AT:AT,AM:AM,AM1496)-AO1496))</f>
      </c>
      <c r="AV1496" s="116">
        <v>0</v>
      </c>
      <c r="AW1496" s="121">
        <v>0</v>
      </c>
      <c r="AX1496" s="115">
        <f>AN1496-AP1496</f>
      </c>
    </row>
    <row r="1497" spans="1:50" ht="15" hidden="1" customHeight="1" x14ac:dyDescent="0.3">
      <c r="A1497" s="94" t="s">
        <v>268</v>
      </c>
      <c r="B1497" s="94"/>
      <c r="C1497" s="94"/>
      <c r="D1497" s="94"/>
      <c r="E1497" s="94"/>
      <c r="F1497" s="94"/>
      <c r="G1497" s="112">
        <f>AU1497</f>
      </c>
      <c r="H1497" s="113"/>
      <c r="I1497" s="94" t="s">
        <v>278</v>
      </c>
      <c r="J1497" s="94" t="s">
        <v>286</v>
      </c>
      <c r="K1497" s="114">
        <f>P1497/3</f>
      </c>
      <c r="L1497" s="115">
        <v>218.626</v>
      </c>
      <c r="M1497" s="116"/>
      <c r="N1497" s="117">
        <f>M1497-L1497</f>
      </c>
      <c r="O1497" s="112"/>
      <c r="P1497" s="118">
        <f>N1497+O1497</f>
      </c>
      <c r="Q1497" s="94" t="s">
        <v>860</v>
      </c>
      <c r="R1497" s="94" t="s">
        <v>63</v>
      </c>
      <c r="S1497" s="119">
        <v>46341</v>
      </c>
      <c r="T1497" s="119"/>
      <c r="U1497" s="120" t="s">
        <v>666</v>
      </c>
      <c r="V1497" s="94"/>
      <c r="W1497" s="94"/>
      <c r="X1497" s="94"/>
      <c r="Y1497" s="119">
        <v>46346</v>
      </c>
      <c r="Z1497" s="94"/>
      <c r="AA1497" s="120"/>
      <c r="AB1497" s="120"/>
      <c r="AC1497" s="120"/>
      <c r="AD1497" s="120"/>
      <c r="AE1497" s="120"/>
      <c r="AF1497" s="120"/>
      <c r="AG1497" s="94"/>
      <c r="AH1497" s="120"/>
      <c r="AI1497" s="94"/>
      <c r="AJ1497" s="94" t="s">
        <v>827</v>
      </c>
      <c r="AK1497" s="94" t="s">
        <v>281</v>
      </c>
      <c r="AL1497" s="94">
        <v>120</v>
      </c>
      <c r="AM1497" s="94" t="str">
        <f>TRIM(AJ1497)&amp;TRIM(AL1497)&amp;TRIM(AK1497)</f>
      </c>
      <c r="AN1497" s="116">
        <v>0</v>
      </c>
      <c r="AO1497" s="116" t="inlineStr">
        <is>
          <t>#NA</t>
        </is>
      </c>
      <c r="AP1497" s="116">
        <f>SUMIFS(M:M,AM:AM,AM1497)+SUMIFS(O:O,AM:AM,AM1497)</f>
      </c>
      <c r="AQ1497" s="116">
        <f>SUMIFS(L:L,AM:AM,AM1497)</f>
      </c>
      <c r="AR1497" s="116">
        <f>AQ1497-AP1497</f>
      </c>
      <c r="AS1497" s="94" t="str">
        <f>IF(AN1497&gt;=AQ1497,"ok","ck")</f>
      </c>
      <c r="AT1497" s="116">
        <f>-P1497</f>
      </c>
      <c r="AU1497" s="115">
        <f>IF(SUMIFS(AT:AT,AM:AM,AM1497)&gt;AO1497,(SUMIFS(AT:AT,AM:AM,AM1497)-AO1497))</f>
      </c>
      <c r="AV1497" s="116">
        <v>0</v>
      </c>
      <c r="AW1497" s="121">
        <v>0</v>
      </c>
      <c r="AX1497" s="115">
        <f>AN1497-AP1497</f>
      </c>
    </row>
    <row r="1498" spans="1:50" ht="15" hidden="1" customHeight="1" x14ac:dyDescent="0.3">
      <c r="A1498" s="94" t="s">
        <v>268</v>
      </c>
      <c r="B1498" s="94"/>
      <c r="C1498" s="94"/>
      <c r="D1498" s="94"/>
      <c r="E1498" s="94"/>
      <c r="F1498" s="94"/>
      <c r="G1498" s="112">
        <f>AU1498</f>
      </c>
      <c r="H1498" s="113"/>
      <c r="I1498" s="94" t="s">
        <v>278</v>
      </c>
      <c r="J1498" s="94" t="s">
        <v>286</v>
      </c>
      <c r="K1498" s="114">
        <f>P1498/3</f>
      </c>
      <c r="L1498" s="115">
        <v>218.626</v>
      </c>
      <c r="M1498" s="116"/>
      <c r="N1498" s="117">
        <f>M1498-L1498</f>
      </c>
      <c r="O1498" s="112"/>
      <c r="P1498" s="118">
        <f>N1498+O1498</f>
      </c>
      <c r="Q1498" s="94" t="s">
        <v>860</v>
      </c>
      <c r="R1498" s="94" t="s">
        <v>63</v>
      </c>
      <c r="S1498" s="119">
        <v>46343</v>
      </c>
      <c r="T1498" s="119"/>
      <c r="U1498" s="120" t="s">
        <v>666</v>
      </c>
      <c r="V1498" s="94"/>
      <c r="W1498" s="94"/>
      <c r="X1498" s="94"/>
      <c r="Y1498" s="119">
        <v>46346</v>
      </c>
      <c r="Z1498" s="94"/>
      <c r="AA1498" s="120"/>
      <c r="AB1498" s="120"/>
      <c r="AC1498" s="120"/>
      <c r="AD1498" s="120"/>
      <c r="AE1498" s="120"/>
      <c r="AF1498" s="120"/>
      <c r="AG1498" s="94"/>
      <c r="AH1498" s="120"/>
      <c r="AI1498" s="94"/>
      <c r="AJ1498" s="94" t="s">
        <v>827</v>
      </c>
      <c r="AK1498" s="94" t="s">
        <v>281</v>
      </c>
      <c r="AL1498" s="94">
        <v>120</v>
      </c>
      <c r="AM1498" s="94" t="str">
        <f>TRIM(AJ1498)&amp;TRIM(AL1498)&amp;TRIM(AK1498)</f>
      </c>
      <c r="AN1498" s="116">
        <v>0</v>
      </c>
      <c r="AO1498" s="116" t="inlineStr">
        <is>
          <t>#NA</t>
        </is>
      </c>
      <c r="AP1498" s="116">
        <f>SUMIFS(M:M,AM:AM,AM1498)+SUMIFS(O:O,AM:AM,AM1498)</f>
      </c>
      <c r="AQ1498" s="116">
        <f>SUMIFS(L:L,AM:AM,AM1498)</f>
      </c>
      <c r="AR1498" s="116">
        <f>AQ1498-AP1498</f>
      </c>
      <c r="AS1498" s="94" t="str">
        <f>IF(AN1498&gt;=AQ1498,"ok","ck")</f>
      </c>
      <c r="AT1498" s="116">
        <f>-P1498</f>
      </c>
      <c r="AU1498" s="115">
        <f>IF(SUMIFS(AT:AT,AM:AM,AM1498)&gt;AO1498,(SUMIFS(AT:AT,AM:AM,AM1498)-AO1498))</f>
      </c>
      <c r="AV1498" s="116">
        <v>0</v>
      </c>
      <c r="AW1498" s="121">
        <v>0</v>
      </c>
      <c r="AX1498" s="115">
        <f>AN1498-AP1498</f>
      </c>
    </row>
    <row r="1499" spans="1:50" ht="15" hidden="1" customHeight="1" x14ac:dyDescent="0.3">
      <c r="A1499" s="94" t="s">
        <v>268</v>
      </c>
      <c r="B1499" s="94"/>
      <c r="C1499" s="94"/>
      <c r="D1499" s="94"/>
      <c r="E1499" s="94"/>
      <c r="F1499" s="94"/>
      <c r="G1499" s="112">
        <f>AU1499</f>
      </c>
      <c r="H1499" s="113"/>
      <c r="I1499" s="94" t="s">
        <v>278</v>
      </c>
      <c r="J1499" s="94" t="s">
        <v>286</v>
      </c>
      <c r="K1499" s="114">
        <f>P1499/3</f>
      </c>
      <c r="L1499" s="115">
        <v>218.626</v>
      </c>
      <c r="M1499" s="116"/>
      <c r="N1499" s="117">
        <f>M1499-L1499</f>
      </c>
      <c r="O1499" s="112"/>
      <c r="P1499" s="118">
        <f>N1499+O1499</f>
      </c>
      <c r="Q1499" s="94" t="s">
        <v>860</v>
      </c>
      <c r="R1499" s="94" t="s">
        <v>63</v>
      </c>
      <c r="S1499" s="119">
        <v>46345</v>
      </c>
      <c r="T1499" s="119"/>
      <c r="U1499" s="120" t="s">
        <v>666</v>
      </c>
      <c r="V1499" s="94"/>
      <c r="W1499" s="94"/>
      <c r="X1499" s="94"/>
      <c r="Y1499" s="119">
        <v>46346</v>
      </c>
      <c r="Z1499" s="94"/>
      <c r="AA1499" s="120"/>
      <c r="AB1499" s="120"/>
      <c r="AC1499" s="120"/>
      <c r="AD1499" s="120"/>
      <c r="AE1499" s="120"/>
      <c r="AF1499" s="120"/>
      <c r="AG1499" s="94"/>
      <c r="AH1499" s="120"/>
      <c r="AI1499" s="94"/>
      <c r="AJ1499" s="94" t="s">
        <v>827</v>
      </c>
      <c r="AK1499" s="94" t="s">
        <v>281</v>
      </c>
      <c r="AL1499" s="94">
        <v>120</v>
      </c>
      <c r="AM1499" s="94" t="str">
        <f>TRIM(AJ1499)&amp;TRIM(AL1499)&amp;TRIM(AK1499)</f>
      </c>
      <c r="AN1499" s="116">
        <v>0</v>
      </c>
      <c r="AO1499" s="116" t="inlineStr">
        <is>
          <t>#NA</t>
        </is>
      </c>
      <c r="AP1499" s="116">
        <f>SUMIFS(M:M,AM:AM,AM1499)+SUMIFS(O:O,AM:AM,AM1499)</f>
      </c>
      <c r="AQ1499" s="116">
        <f>SUMIFS(L:L,AM:AM,AM1499)</f>
      </c>
      <c r="AR1499" s="116">
        <f>AQ1499-AP1499</f>
      </c>
      <c r="AS1499" s="94" t="str">
        <f>IF(AN1499&gt;=AQ1499,"ok","ck")</f>
      </c>
      <c r="AT1499" s="116">
        <f>-P1499</f>
      </c>
      <c r="AU1499" s="115">
        <f>IF(SUMIFS(AT:AT,AM:AM,AM1499)&gt;AO1499,(SUMIFS(AT:AT,AM:AM,AM1499)-AO1499))</f>
      </c>
      <c r="AV1499" s="116">
        <v>0</v>
      </c>
      <c r="AW1499" s="121">
        <v>0</v>
      </c>
      <c r="AX1499" s="115">
        <f>AN1499-AP1499</f>
      </c>
    </row>
    <row r="1500" spans="1:50" ht="15" hidden="1" customHeight="1" x14ac:dyDescent="0.3">
      <c r="A1500" s="94" t="s">
        <v>268</v>
      </c>
      <c r="B1500" s="94"/>
      <c r="C1500" s="94"/>
      <c r="D1500" s="94"/>
      <c r="E1500" s="94"/>
      <c r="F1500" s="94"/>
      <c r="G1500" s="112">
        <f>AU1500</f>
      </c>
      <c r="H1500" s="113"/>
      <c r="I1500" s="94" t="s">
        <v>278</v>
      </c>
      <c r="J1500" s="94" t="s">
        <v>286</v>
      </c>
      <c r="K1500" s="114">
        <f>P1500/3</f>
      </c>
      <c r="L1500" s="115">
        <v>218.626</v>
      </c>
      <c r="M1500" s="116"/>
      <c r="N1500" s="117">
        <f>M1500-L1500</f>
      </c>
      <c r="O1500" s="112"/>
      <c r="P1500" s="118">
        <f>N1500+O1500</f>
      </c>
      <c r="Q1500" s="94" t="s">
        <v>860</v>
      </c>
      <c r="R1500" s="94" t="s">
        <v>63</v>
      </c>
      <c r="S1500" s="119">
        <v>46347</v>
      </c>
      <c r="T1500" s="119"/>
      <c r="U1500" s="120" t="s">
        <v>666</v>
      </c>
      <c r="V1500" s="94"/>
      <c r="W1500" s="94"/>
      <c r="X1500" s="94"/>
      <c r="Y1500" s="119">
        <v>46346</v>
      </c>
      <c r="Z1500" s="94"/>
      <c r="AA1500" s="120"/>
      <c r="AB1500" s="120"/>
      <c r="AC1500" s="120"/>
      <c r="AD1500" s="120"/>
      <c r="AE1500" s="120"/>
      <c r="AF1500" s="120"/>
      <c r="AG1500" s="94"/>
      <c r="AH1500" s="120"/>
      <c r="AI1500" s="94"/>
      <c r="AJ1500" s="94" t="s">
        <v>827</v>
      </c>
      <c r="AK1500" s="94" t="s">
        <v>281</v>
      </c>
      <c r="AL1500" s="94">
        <v>120</v>
      </c>
      <c r="AM1500" s="94" t="str">
        <f>TRIM(AJ1500)&amp;TRIM(AL1500)&amp;TRIM(AK1500)</f>
      </c>
      <c r="AN1500" s="116">
        <v>0</v>
      </c>
      <c r="AO1500" s="116" t="inlineStr">
        <is>
          <t>#NA</t>
        </is>
      </c>
      <c r="AP1500" s="116">
        <f>SUMIFS(M:M,AM:AM,AM1500)+SUMIFS(O:O,AM:AM,AM1500)</f>
      </c>
      <c r="AQ1500" s="116">
        <f>SUMIFS(L:L,AM:AM,AM1500)</f>
      </c>
      <c r="AR1500" s="116">
        <f>AQ1500-AP1500</f>
      </c>
      <c r="AS1500" s="94" t="str">
        <f>IF(AN1500&gt;=AQ1500,"ok","ck")</f>
      </c>
      <c r="AT1500" s="116">
        <f>-P1500</f>
      </c>
      <c r="AU1500" s="115">
        <f>IF(SUMIFS(AT:AT,AM:AM,AM1500)&gt;AO1500,(SUMIFS(AT:AT,AM:AM,AM1500)-AO1500))</f>
      </c>
      <c r="AV1500" s="116">
        <v>0</v>
      </c>
      <c r="AW1500" s="121">
        <v>0</v>
      </c>
      <c r="AX1500" s="115">
        <f>AN1500-AP1500</f>
      </c>
    </row>
    <row r="1501" spans="1:50" ht="15" hidden="1" customHeight="1" x14ac:dyDescent="0.3">
      <c r="A1501" s="94" t="s">
        <v>268</v>
      </c>
      <c r="B1501" s="94"/>
      <c r="C1501" s="94"/>
      <c r="D1501" s="94"/>
      <c r="E1501" s="94"/>
      <c r="F1501" s="94"/>
      <c r="G1501" s="112">
        <f>AU1501</f>
      </c>
      <c r="H1501" s="113"/>
      <c r="I1501" s="94" t="s">
        <v>278</v>
      </c>
      <c r="J1501" s="94" t="s">
        <v>286</v>
      </c>
      <c r="K1501" s="114">
        <f>P1501/3</f>
      </c>
      <c r="L1501" s="115">
        <v>218.626</v>
      </c>
      <c r="M1501" s="116"/>
      <c r="N1501" s="117">
        <f>M1501-L1501</f>
      </c>
      <c r="O1501" s="112"/>
      <c r="P1501" s="118">
        <f>N1501+O1501</f>
      </c>
      <c r="Q1501" s="94" t="s">
        <v>860</v>
      </c>
      <c r="R1501" s="94" t="s">
        <v>63</v>
      </c>
      <c r="S1501" s="119">
        <v>46348</v>
      </c>
      <c r="T1501" s="119"/>
      <c r="U1501" s="120" t="s">
        <v>666</v>
      </c>
      <c r="V1501" s="94"/>
      <c r="W1501" s="94"/>
      <c r="X1501" s="94"/>
      <c r="Y1501" s="119">
        <v>46346</v>
      </c>
      <c r="Z1501" s="94"/>
      <c r="AA1501" s="120"/>
      <c r="AB1501" s="120"/>
      <c r="AC1501" s="120"/>
      <c r="AD1501" s="120"/>
      <c r="AE1501" s="120"/>
      <c r="AF1501" s="120"/>
      <c r="AG1501" s="94"/>
      <c r="AH1501" s="120"/>
      <c r="AI1501" s="94"/>
      <c r="AJ1501" s="94" t="s">
        <v>827</v>
      </c>
      <c r="AK1501" s="94" t="s">
        <v>281</v>
      </c>
      <c r="AL1501" s="94">
        <v>120</v>
      </c>
      <c r="AM1501" s="94" t="str">
        <f>TRIM(AJ1501)&amp;TRIM(AL1501)&amp;TRIM(AK1501)</f>
      </c>
      <c r="AN1501" s="116">
        <v>0</v>
      </c>
      <c r="AO1501" s="116" t="inlineStr">
        <is>
          <t>#NA</t>
        </is>
      </c>
      <c r="AP1501" s="116">
        <f>SUMIFS(M:M,AM:AM,AM1501)+SUMIFS(O:O,AM:AM,AM1501)</f>
      </c>
      <c r="AQ1501" s="116">
        <f>SUMIFS(L:L,AM:AM,AM1501)</f>
      </c>
      <c r="AR1501" s="116">
        <f>AQ1501-AP1501</f>
      </c>
      <c r="AS1501" s="94" t="str">
        <f>IF(AN1501&gt;=AQ1501,"ok","ck")</f>
      </c>
      <c r="AT1501" s="116">
        <f>-P1501</f>
      </c>
      <c r="AU1501" s="115">
        <f>IF(SUMIFS(AT:AT,AM:AM,AM1501)&gt;AO1501,(SUMIFS(AT:AT,AM:AM,AM1501)-AO1501))</f>
      </c>
      <c r="AV1501" s="116">
        <v>0</v>
      </c>
      <c r="AW1501" s="121">
        <v>0</v>
      </c>
      <c r="AX1501" s="115">
        <f>AN1501-AP1501</f>
      </c>
    </row>
    <row r="1502" spans="1:50" ht="15" hidden="1" customHeight="1" x14ac:dyDescent="0.3">
      <c r="A1502" s="94" t="s">
        <v>268</v>
      </c>
      <c r="B1502" s="94"/>
      <c r="C1502" s="94"/>
      <c r="D1502" s="94"/>
      <c r="E1502" s="94"/>
      <c r="F1502" s="94"/>
      <c r="G1502" s="112">
        <f>AU1502</f>
      </c>
      <c r="H1502" s="113"/>
      <c r="I1502" s="94" t="s">
        <v>278</v>
      </c>
      <c r="J1502" s="94" t="s">
        <v>286</v>
      </c>
      <c r="K1502" s="114">
        <f>P1502/3</f>
      </c>
      <c r="L1502" s="115">
        <v>218.626</v>
      </c>
      <c r="M1502" s="116"/>
      <c r="N1502" s="117">
        <f>M1502-L1502</f>
      </c>
      <c r="O1502" s="112"/>
      <c r="P1502" s="118">
        <f>N1502+O1502</f>
      </c>
      <c r="Q1502" s="94" t="s">
        <v>860</v>
      </c>
      <c r="R1502" s="94" t="s">
        <v>63</v>
      </c>
      <c r="S1502" s="119">
        <v>46350</v>
      </c>
      <c r="T1502" s="119"/>
      <c r="U1502" s="120" t="s">
        <v>666</v>
      </c>
      <c r="V1502" s="94"/>
      <c r="W1502" s="94"/>
      <c r="X1502" s="94"/>
      <c r="Y1502" s="119">
        <v>46346</v>
      </c>
      <c r="Z1502" s="94"/>
      <c r="AA1502" s="120"/>
      <c r="AB1502" s="120"/>
      <c r="AC1502" s="120"/>
      <c r="AD1502" s="120"/>
      <c r="AE1502" s="120"/>
      <c r="AF1502" s="120"/>
      <c r="AG1502" s="94"/>
      <c r="AH1502" s="120"/>
      <c r="AI1502" s="94"/>
      <c r="AJ1502" s="94" t="s">
        <v>827</v>
      </c>
      <c r="AK1502" s="94" t="s">
        <v>281</v>
      </c>
      <c r="AL1502" s="94">
        <v>120</v>
      </c>
      <c r="AM1502" s="94" t="str">
        <f>TRIM(AJ1502)&amp;TRIM(AL1502)&amp;TRIM(AK1502)</f>
      </c>
      <c r="AN1502" s="116">
        <v>0</v>
      </c>
      <c r="AO1502" s="116" t="inlineStr">
        <is>
          <t>#NA</t>
        </is>
      </c>
      <c r="AP1502" s="116">
        <f>SUMIFS(M:M,AM:AM,AM1502)+SUMIFS(O:O,AM:AM,AM1502)</f>
      </c>
      <c r="AQ1502" s="116">
        <f>SUMIFS(L:L,AM:AM,AM1502)</f>
      </c>
      <c r="AR1502" s="116">
        <f>AQ1502-AP1502</f>
      </c>
      <c r="AS1502" s="94" t="str">
        <f>IF(AN1502&gt;=AQ1502,"ok","ck")</f>
      </c>
      <c r="AT1502" s="116">
        <f>-P1502</f>
      </c>
      <c r="AU1502" s="115">
        <f>IF(SUMIFS(AT:AT,AM:AM,AM1502)&gt;AO1502,(SUMIFS(AT:AT,AM:AM,AM1502)-AO1502))</f>
      </c>
      <c r="AV1502" s="116">
        <v>0</v>
      </c>
      <c r="AW1502" s="121">
        <v>0</v>
      </c>
      <c r="AX1502" s="115">
        <f>AN1502-AP1502</f>
      </c>
    </row>
    <row r="1503" spans="1:50" ht="15" hidden="1" customHeight="1" x14ac:dyDescent="0.3">
      <c r="A1503" s="94" t="s">
        <v>268</v>
      </c>
      <c r="B1503" s="94"/>
      <c r="C1503" s="94"/>
      <c r="D1503" s="94"/>
      <c r="E1503" s="94"/>
      <c r="F1503" s="94"/>
      <c r="G1503" s="112">
        <f>AU1503</f>
      </c>
      <c r="H1503" s="113"/>
      <c r="I1503" s="94" t="s">
        <v>278</v>
      </c>
      <c r="J1503" s="94" t="s">
        <v>286</v>
      </c>
      <c r="K1503" s="114">
        <f>P1503/3</f>
      </c>
      <c r="L1503" s="115">
        <v>15.144</v>
      </c>
      <c r="M1503" s="116"/>
      <c r="N1503" s="117">
        <f>M1503-L1503</f>
      </c>
      <c r="O1503" s="112"/>
      <c r="P1503" s="118">
        <f>N1503+O1503</f>
      </c>
      <c r="Q1503" s="94" t="s">
        <v>860</v>
      </c>
      <c r="R1503" s="94" t="s">
        <v>63</v>
      </c>
      <c r="S1503" s="119">
        <v>46354</v>
      </c>
      <c r="T1503" s="119"/>
      <c r="U1503" s="120" t="s">
        <v>666</v>
      </c>
      <c r="V1503" s="94"/>
      <c r="W1503" s="94"/>
      <c r="X1503" s="94"/>
      <c r="Y1503" s="119">
        <v>46346</v>
      </c>
      <c r="Z1503" s="94"/>
      <c r="AA1503" s="120"/>
      <c r="AB1503" s="120"/>
      <c r="AC1503" s="120"/>
      <c r="AD1503" s="120"/>
      <c r="AE1503" s="120"/>
      <c r="AF1503" s="120"/>
      <c r="AG1503" s="94"/>
      <c r="AH1503" s="120"/>
      <c r="AI1503" s="94"/>
      <c r="AJ1503" s="94" t="s">
        <v>827</v>
      </c>
      <c r="AK1503" s="94" t="s">
        <v>281</v>
      </c>
      <c r="AL1503" s="94">
        <v>120</v>
      </c>
      <c r="AM1503" s="94" t="str">
        <f>TRIM(AJ1503)&amp;TRIM(AL1503)&amp;TRIM(AK1503)</f>
      </c>
      <c r="AN1503" s="116">
        <v>0</v>
      </c>
      <c r="AO1503" s="116" t="inlineStr">
        <is>
          <t>#NA</t>
        </is>
      </c>
      <c r="AP1503" s="116">
        <f>SUMIFS(M:M,AM:AM,AM1503)+SUMIFS(O:O,AM:AM,AM1503)</f>
      </c>
      <c r="AQ1503" s="116">
        <f>SUMIFS(L:L,AM:AM,AM1503)</f>
      </c>
      <c r="AR1503" s="116">
        <f>AQ1503-AP1503</f>
      </c>
      <c r="AS1503" s="94" t="str">
        <f>IF(AN1503&gt;=AQ1503,"ok","ck")</f>
      </c>
      <c r="AT1503" s="116">
        <f>-P1503</f>
      </c>
      <c r="AU1503" s="115">
        <f>IF(SUMIFS(AT:AT,AM:AM,AM1503)&gt;AO1503,(SUMIFS(AT:AT,AM:AM,AM1503)-AO1503))</f>
      </c>
      <c r="AV1503" s="116">
        <v>0</v>
      </c>
      <c r="AW1503" s="121">
        <v>0</v>
      </c>
      <c r="AX1503" s="115">
        <f>AN1503-AP1503</f>
      </c>
    </row>
    <row r="1504" spans="1:50" ht="15" hidden="1" customHeight="1" x14ac:dyDescent="0.3">
      <c r="A1504" s="94" t="s">
        <v>268</v>
      </c>
      <c r="B1504" s="94"/>
      <c r="C1504" s="94"/>
      <c r="D1504" s="94"/>
      <c r="E1504" s="94"/>
      <c r="F1504" s="94"/>
      <c r="G1504" s="112">
        <f>AU1504</f>
      </c>
      <c r="H1504" s="113"/>
      <c r="I1504" s="94" t="s">
        <v>390</v>
      </c>
      <c r="J1504" s="94" t="s">
        <v>286</v>
      </c>
      <c r="K1504" s="114">
        <f>P1504/3</f>
      </c>
      <c r="L1504" s="115">
        <v>2770.3739999999998</v>
      </c>
      <c r="M1504" s="116"/>
      <c r="N1504" s="117">
        <f>M1504-L1504</f>
      </c>
      <c r="O1504" s="112"/>
      <c r="P1504" s="118">
        <f>N1504+O1504</f>
      </c>
      <c r="Q1504" s="94" t="s">
        <v>860</v>
      </c>
      <c r="R1504" s="94" t="s">
        <v>63</v>
      </c>
      <c r="S1504" s="119">
        <v>46341</v>
      </c>
      <c r="T1504" s="119"/>
      <c r="U1504" s="120" t="s">
        <v>666</v>
      </c>
      <c r="V1504" s="94"/>
      <c r="W1504" s="94"/>
      <c r="X1504" s="94"/>
      <c r="Y1504" s="119">
        <v>46346</v>
      </c>
      <c r="Z1504" s="94"/>
      <c r="AA1504" s="120"/>
      <c r="AB1504" s="120"/>
      <c r="AC1504" s="120"/>
      <c r="AD1504" s="120"/>
      <c r="AE1504" s="120"/>
      <c r="AF1504" s="120"/>
      <c r="AG1504" s="94"/>
      <c r="AH1504" s="120"/>
      <c r="AI1504" s="94"/>
      <c r="AJ1504" s="94" t="s">
        <v>827</v>
      </c>
      <c r="AK1504" s="94" t="s">
        <v>281</v>
      </c>
      <c r="AL1504" s="94">
        <v>140</v>
      </c>
      <c r="AM1504" s="94" t="str">
        <f>TRIM(AJ1504)&amp;TRIM(AL1504)&amp;TRIM(AK1504)</f>
      </c>
      <c r="AN1504" s="116">
        <v>0</v>
      </c>
      <c r="AO1504" s="116" t="inlineStr">
        <is>
          <t>#NA</t>
        </is>
      </c>
      <c r="AP1504" s="116">
        <f>SUMIFS(M:M,AM:AM,AM1504)+SUMIFS(O:O,AM:AM,AM1504)</f>
      </c>
      <c r="AQ1504" s="116">
        <f>SUMIFS(L:L,AM:AM,AM1504)</f>
      </c>
      <c r="AR1504" s="116">
        <f>AQ1504-AP1504</f>
      </c>
      <c r="AS1504" s="94" t="str">
        <f>IF(AN1504&gt;=AQ1504,"ok","ck")</f>
      </c>
      <c r="AT1504" s="116">
        <f>-P1504</f>
      </c>
      <c r="AU1504" s="115">
        <f>IF(SUMIFS(AT:AT,AM:AM,AM1504)&gt;AO1504,(SUMIFS(AT:AT,AM:AM,AM1504)-AO1504))</f>
      </c>
      <c r="AV1504" s="116">
        <v>0</v>
      </c>
      <c r="AW1504" s="121">
        <v>0</v>
      </c>
      <c r="AX1504" s="115">
        <f>AN1504-AP1504</f>
      </c>
    </row>
    <row r="1505" spans="1:50" ht="15" hidden="1" customHeight="1" x14ac:dyDescent="0.3">
      <c r="A1505" s="94" t="s">
        <v>268</v>
      </c>
      <c r="B1505" s="94"/>
      <c r="C1505" s="94"/>
      <c r="D1505" s="94"/>
      <c r="E1505" s="94"/>
      <c r="F1505" s="94"/>
      <c r="G1505" s="112">
        <f>AU1505</f>
      </c>
      <c r="H1505" s="113"/>
      <c r="I1505" s="94" t="s">
        <v>390</v>
      </c>
      <c r="J1505" s="94" t="s">
        <v>286</v>
      </c>
      <c r="K1505" s="114">
        <f>P1505/3</f>
      </c>
      <c r="L1505" s="115">
        <v>2770.3739999999998</v>
      </c>
      <c r="M1505" s="116"/>
      <c r="N1505" s="117">
        <f>M1505-L1505</f>
      </c>
      <c r="O1505" s="112"/>
      <c r="P1505" s="118">
        <f>N1505+O1505</f>
      </c>
      <c r="Q1505" s="94" t="s">
        <v>860</v>
      </c>
      <c r="R1505" s="94" t="s">
        <v>63</v>
      </c>
      <c r="S1505" s="119">
        <v>46343</v>
      </c>
      <c r="T1505" s="119"/>
      <c r="U1505" s="119" t="s">
        <v>666</v>
      </c>
      <c r="V1505" s="94"/>
      <c r="W1505" s="94"/>
      <c r="X1505" s="94"/>
      <c r="Y1505" s="119">
        <v>46346</v>
      </c>
      <c r="Z1505" s="94"/>
      <c r="AA1505" s="120"/>
      <c r="AB1505" s="120"/>
      <c r="AC1505" s="120"/>
      <c r="AD1505" s="120"/>
      <c r="AE1505" s="120"/>
      <c r="AF1505" s="120"/>
      <c r="AG1505" s="94"/>
      <c r="AH1505" s="120"/>
      <c r="AI1505" s="94"/>
      <c r="AJ1505" s="94" t="s">
        <v>827</v>
      </c>
      <c r="AK1505" s="94" t="s">
        <v>281</v>
      </c>
      <c r="AL1505" s="94">
        <v>140</v>
      </c>
      <c r="AM1505" s="94" t="str">
        <f>TRIM(AJ1505)&amp;TRIM(AL1505)&amp;TRIM(AK1505)</f>
      </c>
      <c r="AN1505" s="116">
        <v>0</v>
      </c>
      <c r="AO1505" s="116" t="inlineStr">
        <is>
          <t>#NA</t>
        </is>
      </c>
      <c r="AP1505" s="116">
        <f>SUMIFS(M:M,AM:AM,AM1505)+SUMIFS(O:O,AM:AM,AM1505)</f>
      </c>
      <c r="AQ1505" s="116">
        <f>SUMIFS(L:L,AM:AM,AM1505)</f>
      </c>
      <c r="AR1505" s="116">
        <f>AQ1505-AP1505</f>
      </c>
      <c r="AS1505" s="94" t="str">
        <f>IF(AN1505&gt;=AQ1505,"ok","ck")</f>
      </c>
      <c r="AT1505" s="116">
        <f>-P1505</f>
      </c>
      <c r="AU1505" s="115">
        <f>IF(SUMIFS(AT:AT,AM:AM,AM1505)&gt;AO1505,(SUMIFS(AT:AT,AM:AM,AM1505)-AO1505))</f>
      </c>
      <c r="AV1505" s="116">
        <v>0</v>
      </c>
      <c r="AW1505" s="121">
        <v>0</v>
      </c>
      <c r="AX1505" s="115">
        <f>AN1505-AP1505</f>
      </c>
    </row>
    <row r="1506" spans="1:50" ht="15" hidden="1" customHeight="1" x14ac:dyDescent="0.3">
      <c r="A1506" s="94" t="s">
        <v>268</v>
      </c>
      <c r="B1506" s="94"/>
      <c r="C1506" s="94"/>
      <c r="D1506" s="94"/>
      <c r="E1506" s="94"/>
      <c r="F1506" s="94"/>
      <c r="G1506" s="112">
        <f>AU1506</f>
      </c>
      <c r="H1506" s="113"/>
      <c r="I1506" s="94" t="s">
        <v>390</v>
      </c>
      <c r="J1506" s="94" t="s">
        <v>286</v>
      </c>
      <c r="K1506" s="114">
        <f>P1506/3</f>
      </c>
      <c r="L1506" s="115">
        <v>2770.3739999999998</v>
      </c>
      <c r="M1506" s="116"/>
      <c r="N1506" s="117">
        <f>M1506-L1506</f>
      </c>
      <c r="O1506" s="112"/>
      <c r="P1506" s="118">
        <f>N1506+O1506</f>
      </c>
      <c r="Q1506" s="94" t="s">
        <v>860</v>
      </c>
      <c r="R1506" s="94" t="s">
        <v>63</v>
      </c>
      <c r="S1506" s="119">
        <v>46345</v>
      </c>
      <c r="T1506" s="119"/>
      <c r="U1506" s="119" t="s">
        <v>666</v>
      </c>
      <c r="V1506" s="94"/>
      <c r="W1506" s="94"/>
      <c r="X1506" s="94"/>
      <c r="Y1506" s="119">
        <v>46346</v>
      </c>
      <c r="Z1506" s="94"/>
      <c r="AA1506" s="120"/>
      <c r="AB1506" s="120"/>
      <c r="AC1506" s="120"/>
      <c r="AD1506" s="120"/>
      <c r="AE1506" s="120"/>
      <c r="AF1506" s="120"/>
      <c r="AG1506" s="94"/>
      <c r="AH1506" s="120"/>
      <c r="AI1506" s="94"/>
      <c r="AJ1506" s="94" t="s">
        <v>827</v>
      </c>
      <c r="AK1506" s="94" t="s">
        <v>281</v>
      </c>
      <c r="AL1506" s="94">
        <v>140</v>
      </c>
      <c r="AM1506" s="94" t="str">
        <f>TRIM(AJ1506)&amp;TRIM(AL1506)&amp;TRIM(AK1506)</f>
      </c>
      <c r="AN1506" s="116">
        <v>0</v>
      </c>
      <c r="AO1506" s="116" t="inlineStr">
        <is>
          <t>#NA</t>
        </is>
      </c>
      <c r="AP1506" s="116">
        <f>SUMIFS(M:M,AM:AM,AM1506)+SUMIFS(O:O,AM:AM,AM1506)</f>
      </c>
      <c r="AQ1506" s="116">
        <f>SUMIFS(L:L,AM:AM,AM1506)</f>
      </c>
      <c r="AR1506" s="116">
        <f>AQ1506-AP1506</f>
      </c>
      <c r="AS1506" s="94" t="str">
        <f>IF(AN1506&gt;=AQ1506,"ok","ck")</f>
      </c>
      <c r="AT1506" s="116">
        <f>-P1506</f>
      </c>
      <c r="AU1506" s="115">
        <f>IF(SUMIFS(AT:AT,AM:AM,AM1506)&gt;AO1506,(SUMIFS(AT:AT,AM:AM,AM1506)-AO1506))</f>
      </c>
      <c r="AV1506" s="116">
        <v>0</v>
      </c>
      <c r="AW1506" s="121">
        <v>0</v>
      </c>
      <c r="AX1506" s="115">
        <f>AN1506-AP1506</f>
      </c>
    </row>
    <row r="1507" spans="1:50" ht="15" hidden="1" customHeight="1" x14ac:dyDescent="0.3">
      <c r="A1507" s="94" t="s">
        <v>268</v>
      </c>
      <c r="B1507" s="94"/>
      <c r="C1507" s="94"/>
      <c r="D1507" s="94"/>
      <c r="E1507" s="94"/>
      <c r="F1507" s="94"/>
      <c r="G1507" s="112">
        <f>AU1507</f>
      </c>
      <c r="H1507" s="113"/>
      <c r="I1507" s="94" t="s">
        <v>390</v>
      </c>
      <c r="J1507" s="94" t="s">
        <v>286</v>
      </c>
      <c r="K1507" s="114">
        <f>P1507/3</f>
      </c>
      <c r="L1507" s="115">
        <v>2770.3739999999998</v>
      </c>
      <c r="M1507" s="116"/>
      <c r="N1507" s="117">
        <f>M1507-L1507</f>
      </c>
      <c r="O1507" s="112"/>
      <c r="P1507" s="118">
        <f>N1507+O1507</f>
      </c>
      <c r="Q1507" s="94" t="s">
        <v>860</v>
      </c>
      <c r="R1507" s="94" t="s">
        <v>63</v>
      </c>
      <c r="S1507" s="119">
        <v>46347</v>
      </c>
      <c r="T1507" s="119"/>
      <c r="U1507" s="119" t="s">
        <v>666</v>
      </c>
      <c r="V1507" s="94"/>
      <c r="W1507" s="94"/>
      <c r="X1507" s="94"/>
      <c r="Y1507" s="119">
        <v>46346</v>
      </c>
      <c r="Z1507" s="94"/>
      <c r="AA1507" s="120"/>
      <c r="AB1507" s="120"/>
      <c r="AC1507" s="120"/>
      <c r="AD1507" s="120"/>
      <c r="AE1507" s="120"/>
      <c r="AF1507" s="120"/>
      <c r="AG1507" s="94"/>
      <c r="AH1507" s="120"/>
      <c r="AI1507" s="94"/>
      <c r="AJ1507" s="94" t="s">
        <v>827</v>
      </c>
      <c r="AK1507" s="94" t="s">
        <v>281</v>
      </c>
      <c r="AL1507" s="94">
        <v>140</v>
      </c>
      <c r="AM1507" s="94" t="str">
        <f>TRIM(AJ1507)&amp;TRIM(AL1507)&amp;TRIM(AK1507)</f>
      </c>
      <c r="AN1507" s="116">
        <v>0</v>
      </c>
      <c r="AO1507" s="116" t="inlineStr">
        <is>
          <t>#NA</t>
        </is>
      </c>
      <c r="AP1507" s="116">
        <f>SUMIFS(M:M,AM:AM,AM1507)+SUMIFS(O:O,AM:AM,AM1507)</f>
      </c>
      <c r="AQ1507" s="116">
        <f>SUMIFS(L:L,AM:AM,AM1507)</f>
      </c>
      <c r="AR1507" s="116">
        <f>AQ1507-AP1507</f>
      </c>
      <c r="AS1507" s="94" t="str">
        <f>IF(AN1507&gt;=AQ1507,"ok","ck")</f>
      </c>
      <c r="AT1507" s="116">
        <f>-P1507</f>
      </c>
      <c r="AU1507" s="115">
        <f>IF(SUMIFS(AT:AT,AM:AM,AM1507)&gt;AO1507,(SUMIFS(AT:AT,AM:AM,AM1507)-AO1507))</f>
      </c>
      <c r="AV1507" s="116">
        <v>0</v>
      </c>
      <c r="AW1507" s="121">
        <v>0</v>
      </c>
      <c r="AX1507" s="115">
        <f>AN1507-AP1507</f>
      </c>
    </row>
    <row r="1508" spans="1:50" ht="15" hidden="1" customHeight="1" x14ac:dyDescent="0.3">
      <c r="A1508" s="94" t="s">
        <v>268</v>
      </c>
      <c r="B1508" s="94"/>
      <c r="C1508" s="94"/>
      <c r="D1508" s="94"/>
      <c r="E1508" s="94"/>
      <c r="F1508" s="94"/>
      <c r="G1508" s="112">
        <f>AU1508</f>
      </c>
      <c r="H1508" s="113"/>
      <c r="I1508" s="94" t="s">
        <v>390</v>
      </c>
      <c r="J1508" s="94" t="s">
        <v>286</v>
      </c>
      <c r="K1508" s="114">
        <f>P1508/3</f>
      </c>
      <c r="L1508" s="115">
        <v>2770.3739999999998</v>
      </c>
      <c r="M1508" s="116"/>
      <c r="N1508" s="117">
        <f>M1508-L1508</f>
      </c>
      <c r="O1508" s="112"/>
      <c r="P1508" s="118">
        <f>N1508+O1508</f>
      </c>
      <c r="Q1508" s="94" t="s">
        <v>860</v>
      </c>
      <c r="R1508" s="94" t="s">
        <v>63</v>
      </c>
      <c r="S1508" s="119">
        <v>46348</v>
      </c>
      <c r="T1508" s="119"/>
      <c r="U1508" s="119" t="s">
        <v>666</v>
      </c>
      <c r="V1508" s="94"/>
      <c r="W1508" s="94"/>
      <c r="X1508" s="94"/>
      <c r="Y1508" s="119">
        <v>46346</v>
      </c>
      <c r="Z1508" s="94"/>
      <c r="AA1508" s="120"/>
      <c r="AB1508" s="120"/>
      <c r="AC1508" s="120"/>
      <c r="AD1508" s="120"/>
      <c r="AE1508" s="120"/>
      <c r="AF1508" s="120"/>
      <c r="AG1508" s="94"/>
      <c r="AH1508" s="120"/>
      <c r="AI1508" s="94"/>
      <c r="AJ1508" s="94" t="s">
        <v>827</v>
      </c>
      <c r="AK1508" s="94" t="s">
        <v>281</v>
      </c>
      <c r="AL1508" s="94">
        <v>140</v>
      </c>
      <c r="AM1508" s="94" t="str">
        <f>TRIM(AJ1508)&amp;TRIM(AL1508)&amp;TRIM(AK1508)</f>
      </c>
      <c r="AN1508" s="116">
        <v>0</v>
      </c>
      <c r="AO1508" s="116" t="inlineStr">
        <is>
          <t>#NA</t>
        </is>
      </c>
      <c r="AP1508" s="116">
        <f>SUMIFS(M:M,AM:AM,AM1508)+SUMIFS(O:O,AM:AM,AM1508)</f>
      </c>
      <c r="AQ1508" s="116">
        <f>SUMIFS(L:L,AM:AM,AM1508)</f>
      </c>
      <c r="AR1508" s="116">
        <f>AQ1508-AP1508</f>
      </c>
      <c r="AS1508" s="94" t="str">
        <f>IF(AN1508&gt;=AQ1508,"ok","ck")</f>
      </c>
      <c r="AT1508" s="116">
        <f>-P1508</f>
      </c>
      <c r="AU1508" s="115">
        <f>IF(SUMIFS(AT:AT,AM:AM,AM1508)&gt;AO1508,(SUMIFS(AT:AT,AM:AM,AM1508)-AO1508))</f>
      </c>
      <c r="AV1508" s="116">
        <v>0</v>
      </c>
      <c r="AW1508" s="121">
        <v>0</v>
      </c>
      <c r="AX1508" s="115">
        <f>AN1508-AP1508</f>
      </c>
    </row>
    <row r="1509" spans="1:50" ht="15" hidden="1" customHeight="1" x14ac:dyDescent="0.3">
      <c r="A1509" s="94" t="s">
        <v>268</v>
      </c>
      <c r="B1509" s="94"/>
      <c r="C1509" s="94"/>
      <c r="D1509" s="94"/>
      <c r="E1509" s="94"/>
      <c r="F1509" s="94"/>
      <c r="G1509" s="112">
        <f>AU1509</f>
      </c>
      <c r="H1509" s="113"/>
      <c r="I1509" s="94" t="s">
        <v>390</v>
      </c>
      <c r="J1509" s="94" t="s">
        <v>286</v>
      </c>
      <c r="K1509" s="114">
        <f>P1509/3</f>
      </c>
      <c r="L1509" s="115">
        <v>2770.3739999999998</v>
      </c>
      <c r="M1509" s="116"/>
      <c r="N1509" s="117">
        <f>M1509-L1509</f>
      </c>
      <c r="O1509" s="112"/>
      <c r="P1509" s="118">
        <f>N1509+O1509</f>
      </c>
      <c r="Q1509" s="94" t="s">
        <v>860</v>
      </c>
      <c r="R1509" s="94" t="s">
        <v>63</v>
      </c>
      <c r="S1509" s="119">
        <v>46350</v>
      </c>
      <c r="T1509" s="119"/>
      <c r="U1509" s="119" t="s">
        <v>666</v>
      </c>
      <c r="V1509" s="94"/>
      <c r="W1509" s="94"/>
      <c r="X1509" s="94"/>
      <c r="Y1509" s="119">
        <v>46346</v>
      </c>
      <c r="Z1509" s="94"/>
      <c r="AA1509" s="120"/>
      <c r="AB1509" s="120"/>
      <c r="AC1509" s="120"/>
      <c r="AD1509" s="120"/>
      <c r="AE1509" s="120"/>
      <c r="AF1509" s="120"/>
      <c r="AG1509" s="94"/>
      <c r="AH1509" s="120"/>
      <c r="AI1509" s="94"/>
      <c r="AJ1509" s="94" t="s">
        <v>827</v>
      </c>
      <c r="AK1509" s="94" t="s">
        <v>281</v>
      </c>
      <c r="AL1509" s="94">
        <v>140</v>
      </c>
      <c r="AM1509" s="94" t="str">
        <f>TRIM(AJ1509)&amp;TRIM(AL1509)&amp;TRIM(AK1509)</f>
      </c>
      <c r="AN1509" s="116">
        <v>0</v>
      </c>
      <c r="AO1509" s="116" t="inlineStr">
        <is>
          <t>#NA</t>
        </is>
      </c>
      <c r="AP1509" s="116">
        <f>SUMIFS(M:M,AM:AM,AM1509)+SUMIFS(O:O,AM:AM,AM1509)</f>
      </c>
      <c r="AQ1509" s="116">
        <f>SUMIFS(L:L,AM:AM,AM1509)</f>
      </c>
      <c r="AR1509" s="116">
        <f>AQ1509-AP1509</f>
      </c>
      <c r="AS1509" s="94" t="str">
        <f>IF(AN1509&gt;=AQ1509,"ok","ck")</f>
      </c>
      <c r="AT1509" s="116">
        <f>-P1509</f>
      </c>
      <c r="AU1509" s="115">
        <f>IF(SUMIFS(AT:AT,AM:AM,AM1509)&gt;AO1509,(SUMIFS(AT:AT,AM:AM,AM1509)-AO1509))</f>
      </c>
      <c r="AV1509" s="116">
        <v>0</v>
      </c>
      <c r="AW1509" s="121">
        <v>0</v>
      </c>
      <c r="AX1509" s="115">
        <f>AN1509-AP1509</f>
      </c>
    </row>
    <row r="1510" spans="1:50" ht="15" hidden="1" customHeight="1" x14ac:dyDescent="0.3">
      <c r="A1510" s="94" t="s">
        <v>268</v>
      </c>
      <c r="B1510" s="94"/>
      <c r="C1510" s="94"/>
      <c r="D1510" s="94"/>
      <c r="E1510" s="94"/>
      <c r="F1510" s="94"/>
      <c r="G1510" s="112">
        <f>AU1510</f>
      </c>
      <c r="H1510" s="113"/>
      <c r="I1510" s="94" t="s">
        <v>390</v>
      </c>
      <c r="J1510" s="94" t="s">
        <v>286</v>
      </c>
      <c r="K1510" s="114">
        <f>P1510/3</f>
      </c>
      <c r="L1510" s="115">
        <v>191.89599999999999</v>
      </c>
      <c r="M1510" s="116"/>
      <c r="N1510" s="117">
        <f>M1510-L1510</f>
      </c>
      <c r="O1510" s="112"/>
      <c r="P1510" s="118">
        <f>N1510+O1510</f>
      </c>
      <c r="Q1510" s="94" t="s">
        <v>860</v>
      </c>
      <c r="R1510" s="94" t="s">
        <v>63</v>
      </c>
      <c r="S1510" s="119">
        <v>46354</v>
      </c>
      <c r="T1510" s="119"/>
      <c r="U1510" s="119" t="s">
        <v>666</v>
      </c>
      <c r="V1510" s="94"/>
      <c r="W1510" s="94"/>
      <c r="X1510" s="94"/>
      <c r="Y1510" s="119">
        <v>46346</v>
      </c>
      <c r="Z1510" s="94"/>
      <c r="AA1510" s="120"/>
      <c r="AB1510" s="120"/>
      <c r="AC1510" s="120"/>
      <c r="AD1510" s="120"/>
      <c r="AE1510" s="120"/>
      <c r="AF1510" s="120"/>
      <c r="AG1510" s="94"/>
      <c r="AH1510" s="120"/>
      <c r="AI1510" s="94"/>
      <c r="AJ1510" s="94" t="s">
        <v>827</v>
      </c>
      <c r="AK1510" s="94" t="s">
        <v>281</v>
      </c>
      <c r="AL1510" s="94">
        <v>140</v>
      </c>
      <c r="AM1510" s="94" t="str">
        <f>TRIM(AJ1510)&amp;TRIM(AL1510)&amp;TRIM(AK1510)</f>
      </c>
      <c r="AN1510" s="116">
        <v>0</v>
      </c>
      <c r="AO1510" s="116" t="inlineStr">
        <is>
          <t>#NA</t>
        </is>
      </c>
      <c r="AP1510" s="116">
        <f>SUMIFS(M:M,AM:AM,AM1510)+SUMIFS(O:O,AM:AM,AM1510)</f>
      </c>
      <c r="AQ1510" s="116">
        <f>SUMIFS(L:L,AM:AM,AM1510)</f>
      </c>
      <c r="AR1510" s="116">
        <f>AQ1510-AP1510</f>
      </c>
      <c r="AS1510" s="94" t="str">
        <f>IF(AN1510&gt;=AQ1510,"ok","ck")</f>
      </c>
      <c r="AT1510" s="116">
        <f>-P1510</f>
      </c>
      <c r="AU1510" s="115">
        <f>IF(SUMIFS(AT:AT,AM:AM,AM1510)&gt;AO1510,(SUMIFS(AT:AT,AM:AM,AM1510)-AO1510))</f>
      </c>
      <c r="AV1510" s="116">
        <v>0</v>
      </c>
      <c r="AW1510" s="121">
        <v>0</v>
      </c>
      <c r="AX1510" s="115">
        <f>AN1510-AP1510</f>
      </c>
    </row>
    <row r="1511" spans="1:50" ht="15" hidden="1" customHeight="1" x14ac:dyDescent="0.3">
      <c r="A1511" s="94" t="s">
        <v>268</v>
      </c>
      <c r="B1511" s="94"/>
      <c r="C1511" s="94"/>
      <c r="D1511" s="94"/>
      <c r="E1511" s="94"/>
      <c r="F1511" s="94"/>
      <c r="G1511" s="112">
        <f>AU1511</f>
      </c>
      <c r="H1511" s="113"/>
      <c r="I1511" s="94" t="s">
        <v>278</v>
      </c>
      <c r="J1511" s="94" t="s">
        <v>71</v>
      </c>
      <c r="K1511" s="114">
        <f>P1511/3</f>
      </c>
      <c r="L1511" s="115">
        <v>149.286</v>
      </c>
      <c r="M1511" s="116"/>
      <c r="N1511" s="117">
        <f>M1511-L1511</f>
      </c>
      <c r="O1511" s="112"/>
      <c r="P1511" s="118">
        <f>N1511+O1511</f>
      </c>
      <c r="Q1511" s="94" t="s">
        <v>860</v>
      </c>
      <c r="R1511" s="94" t="s">
        <v>63</v>
      </c>
      <c r="S1511" s="119">
        <v>46345</v>
      </c>
      <c r="T1511" s="119"/>
      <c r="U1511" s="119" t="s">
        <v>667</v>
      </c>
      <c r="V1511" s="94"/>
      <c r="W1511" s="94"/>
      <c r="X1511" s="94"/>
      <c r="Y1511" s="119">
        <v>46346</v>
      </c>
      <c r="Z1511" s="94"/>
      <c r="AA1511" s="120"/>
      <c r="AB1511" s="120"/>
      <c r="AC1511" s="120"/>
      <c r="AD1511" s="120"/>
      <c r="AE1511" s="120"/>
      <c r="AF1511" s="120"/>
      <c r="AG1511" s="94"/>
      <c r="AH1511" s="120"/>
      <c r="AI1511" s="94"/>
      <c r="AJ1511" s="94" t="s">
        <v>827</v>
      </c>
      <c r="AK1511" s="94" t="s">
        <v>267</v>
      </c>
      <c r="AL1511" s="94">
        <v>120</v>
      </c>
      <c r="AM1511" s="94" t="str">
        <f>TRIM(AJ1511)&amp;TRIM(AL1511)&amp;TRIM(AK1511)</f>
      </c>
      <c r="AN1511" s="116">
        <v>0</v>
      </c>
      <c r="AO1511" s="116" t="inlineStr">
        <is>
          <t>#NA</t>
        </is>
      </c>
      <c r="AP1511" s="116">
        <f>SUMIFS(M:M,AM:AM,AM1511)+SUMIFS(O:O,AM:AM,AM1511)</f>
      </c>
      <c r="AQ1511" s="116">
        <f>SUMIFS(L:L,AM:AM,AM1511)</f>
      </c>
      <c r="AR1511" s="116">
        <f>AQ1511-AP1511</f>
      </c>
      <c r="AS1511" s="94" t="str">
        <f>IF(AN1511&gt;=AQ1511,"ok","ck")</f>
      </c>
      <c r="AT1511" s="116">
        <f>-P1511</f>
      </c>
      <c r="AU1511" s="115">
        <f>IF(SUMIFS(AT:AT,AM:AM,AM1511)&gt;AO1511,(SUMIFS(AT:AT,AM:AM,AM1511)-AO1511))</f>
      </c>
      <c r="AV1511" s="116">
        <v>0</v>
      </c>
      <c r="AW1511" s="121">
        <v>0</v>
      </c>
      <c r="AX1511" s="115">
        <f>AN1511-AP1511</f>
      </c>
    </row>
    <row r="1512" spans="1:50" ht="15" hidden="1" customHeight="1" x14ac:dyDescent="0.3">
      <c r="A1512" s="94" t="s">
        <v>268</v>
      </c>
      <c r="B1512" s="94"/>
      <c r="C1512" s="94"/>
      <c r="D1512" s="94"/>
      <c r="E1512" s="94"/>
      <c r="F1512" s="94"/>
      <c r="G1512" s="112">
        <f>AU1512</f>
      </c>
      <c r="H1512" s="113"/>
      <c r="I1512" s="94" t="s">
        <v>278</v>
      </c>
      <c r="J1512" s="94" t="s">
        <v>71</v>
      </c>
      <c r="K1512" s="114">
        <f>P1512/3</f>
      </c>
      <c r="L1512" s="115">
        <v>149.286</v>
      </c>
      <c r="M1512" s="116"/>
      <c r="N1512" s="117">
        <f>M1512-L1512</f>
      </c>
      <c r="O1512" s="112"/>
      <c r="P1512" s="118">
        <f>N1512+O1512</f>
      </c>
      <c r="Q1512" s="94" t="s">
        <v>860</v>
      </c>
      <c r="R1512" s="94" t="s">
        <v>63</v>
      </c>
      <c r="S1512" s="119">
        <v>46346</v>
      </c>
      <c r="T1512" s="119"/>
      <c r="U1512" s="120" t="s">
        <v>667</v>
      </c>
      <c r="V1512" s="94"/>
      <c r="W1512" s="94"/>
      <c r="X1512" s="94"/>
      <c r="Y1512" s="119">
        <v>46346</v>
      </c>
      <c r="Z1512" s="94"/>
      <c r="AA1512" s="120"/>
      <c r="AB1512" s="120"/>
      <c r="AC1512" s="120"/>
      <c r="AD1512" s="120"/>
      <c r="AE1512" s="120"/>
      <c r="AF1512" s="120"/>
      <c r="AG1512" s="94"/>
      <c r="AH1512" s="120"/>
      <c r="AI1512" s="94"/>
      <c r="AJ1512" s="94" t="s">
        <v>827</v>
      </c>
      <c r="AK1512" s="94" t="s">
        <v>267</v>
      </c>
      <c r="AL1512" s="94">
        <v>120</v>
      </c>
      <c r="AM1512" s="94" t="str">
        <f>TRIM(AJ1512)&amp;TRIM(AL1512)&amp;TRIM(AK1512)</f>
      </c>
      <c r="AN1512" s="116">
        <v>0</v>
      </c>
      <c r="AO1512" s="116" t="inlineStr">
        <is>
          <t>#NA</t>
        </is>
      </c>
      <c r="AP1512" s="116">
        <f>SUMIFS(M:M,AM:AM,AM1512)+SUMIFS(O:O,AM:AM,AM1512)</f>
      </c>
      <c r="AQ1512" s="116">
        <f>SUMIFS(L:L,AM:AM,AM1512)</f>
      </c>
      <c r="AR1512" s="116">
        <f>AQ1512-AP1512</f>
      </c>
      <c r="AS1512" s="94" t="str">
        <f>IF(AN1512&gt;=AQ1512,"ok","ck")</f>
      </c>
      <c r="AT1512" s="116">
        <f>-P1512</f>
      </c>
      <c r="AU1512" s="115">
        <f>IF(SUMIFS(AT:AT,AM:AM,AM1512)&gt;AO1512,(SUMIFS(AT:AT,AM:AM,AM1512)-AO1512))</f>
      </c>
      <c r="AV1512" s="116">
        <v>0</v>
      </c>
      <c r="AW1512" s="121">
        <v>0</v>
      </c>
      <c r="AX1512" s="115">
        <f>AN1512-AP1512</f>
      </c>
    </row>
    <row r="1513" spans="1:50" ht="15" hidden="1" customHeight="1" x14ac:dyDescent="0.3">
      <c r="A1513" s="94" t="s">
        <v>268</v>
      </c>
      <c r="B1513" s="94"/>
      <c r="C1513" s="94"/>
      <c r="D1513" s="94"/>
      <c r="E1513" s="94"/>
      <c r="F1513" s="94"/>
      <c r="G1513" s="112">
        <f>AU1513</f>
      </c>
      <c r="H1513" s="113"/>
      <c r="I1513" s="94" t="s">
        <v>278</v>
      </c>
      <c r="J1513" s="94" t="s">
        <v>71</v>
      </c>
      <c r="K1513" s="114">
        <f>P1513/3</f>
      </c>
      <c r="L1513" s="115">
        <v>149.286</v>
      </c>
      <c r="M1513" s="116"/>
      <c r="N1513" s="117">
        <f>M1513-L1513</f>
      </c>
      <c r="O1513" s="112"/>
      <c r="P1513" s="118">
        <f>N1513+O1513</f>
      </c>
      <c r="Q1513" s="94" t="s">
        <v>860</v>
      </c>
      <c r="R1513" s="94" t="s">
        <v>63</v>
      </c>
      <c r="S1513" s="119">
        <v>46347</v>
      </c>
      <c r="T1513" s="119"/>
      <c r="U1513" s="120" t="s">
        <v>667</v>
      </c>
      <c r="V1513" s="94"/>
      <c r="W1513" s="94"/>
      <c r="X1513" s="94"/>
      <c r="Y1513" s="119">
        <v>46346</v>
      </c>
      <c r="Z1513" s="94"/>
      <c r="AA1513" s="120"/>
      <c r="AB1513" s="120"/>
      <c r="AC1513" s="120"/>
      <c r="AD1513" s="120"/>
      <c r="AE1513" s="120"/>
      <c r="AF1513" s="120"/>
      <c r="AG1513" s="94"/>
      <c r="AH1513" s="120"/>
      <c r="AI1513" s="94"/>
      <c r="AJ1513" s="94" t="s">
        <v>827</v>
      </c>
      <c r="AK1513" s="94" t="s">
        <v>267</v>
      </c>
      <c r="AL1513" s="94">
        <v>120</v>
      </c>
      <c r="AM1513" s="94" t="str">
        <f>TRIM(AJ1513)&amp;TRIM(AL1513)&amp;TRIM(AK1513)</f>
      </c>
      <c r="AN1513" s="116">
        <v>0</v>
      </c>
      <c r="AO1513" s="116" t="inlineStr">
        <is>
          <t>#NA</t>
        </is>
      </c>
      <c r="AP1513" s="116">
        <f>SUMIFS(M:M,AM:AM,AM1513)+SUMIFS(O:O,AM:AM,AM1513)</f>
      </c>
      <c r="AQ1513" s="116">
        <f>SUMIFS(L:L,AM:AM,AM1513)</f>
      </c>
      <c r="AR1513" s="116">
        <f>AQ1513-AP1513</f>
      </c>
      <c r="AS1513" s="94" t="str">
        <f>IF(AN1513&gt;=AQ1513,"ok","ck")</f>
      </c>
      <c r="AT1513" s="116">
        <f>-P1513</f>
      </c>
      <c r="AU1513" s="115">
        <f>IF(SUMIFS(AT:AT,AM:AM,AM1513)&gt;AO1513,(SUMIFS(AT:AT,AM:AM,AM1513)-AO1513))</f>
      </c>
      <c r="AV1513" s="116">
        <v>0</v>
      </c>
      <c r="AW1513" s="121">
        <v>0</v>
      </c>
      <c r="AX1513" s="115">
        <f>AN1513-AP1513</f>
      </c>
    </row>
    <row r="1514" spans="1:50" ht="15" hidden="1" customHeight="1" x14ac:dyDescent="0.3">
      <c r="A1514" s="94" t="s">
        <v>268</v>
      </c>
      <c r="B1514" s="94"/>
      <c r="C1514" s="94"/>
      <c r="D1514" s="94"/>
      <c r="E1514" s="94"/>
      <c r="F1514" s="94"/>
      <c r="G1514" s="112">
        <f>AU1514</f>
      </c>
      <c r="H1514" s="113"/>
      <c r="I1514" s="94" t="s">
        <v>278</v>
      </c>
      <c r="J1514" s="94" t="s">
        <v>71</v>
      </c>
      <c r="K1514" s="114">
        <f>P1514/3</f>
      </c>
      <c r="L1514" s="115">
        <v>149.286</v>
      </c>
      <c r="M1514" s="116"/>
      <c r="N1514" s="117">
        <f>M1514-L1514</f>
      </c>
      <c r="O1514" s="112"/>
      <c r="P1514" s="118">
        <f>N1514+O1514</f>
      </c>
      <c r="Q1514" s="94" t="s">
        <v>860</v>
      </c>
      <c r="R1514" s="94" t="s">
        <v>63</v>
      </c>
      <c r="S1514" s="119">
        <v>46348</v>
      </c>
      <c r="T1514" s="119"/>
      <c r="U1514" s="120" t="s">
        <v>667</v>
      </c>
      <c r="V1514" s="94"/>
      <c r="W1514" s="94"/>
      <c r="X1514" s="94"/>
      <c r="Y1514" s="119">
        <v>46346</v>
      </c>
      <c r="Z1514" s="94"/>
      <c r="AA1514" s="120"/>
      <c r="AB1514" s="120"/>
      <c r="AC1514" s="120"/>
      <c r="AD1514" s="120"/>
      <c r="AE1514" s="120"/>
      <c r="AF1514" s="120"/>
      <c r="AG1514" s="94"/>
      <c r="AH1514" s="120"/>
      <c r="AI1514" s="94"/>
      <c r="AJ1514" s="94" t="s">
        <v>827</v>
      </c>
      <c r="AK1514" s="94" t="s">
        <v>267</v>
      </c>
      <c r="AL1514" s="94">
        <v>120</v>
      </c>
      <c r="AM1514" s="94" t="str">
        <f>TRIM(AJ1514)&amp;TRIM(AL1514)&amp;TRIM(AK1514)</f>
      </c>
      <c r="AN1514" s="116">
        <v>0</v>
      </c>
      <c r="AO1514" s="116" t="inlineStr">
        <is>
          <t>#NA</t>
        </is>
      </c>
      <c r="AP1514" s="116">
        <f>SUMIFS(M:M,AM:AM,AM1514)+SUMIFS(O:O,AM:AM,AM1514)</f>
      </c>
      <c r="AQ1514" s="116">
        <f>SUMIFS(L:L,AM:AM,AM1514)</f>
      </c>
      <c r="AR1514" s="116">
        <f>AQ1514-AP1514</f>
      </c>
      <c r="AS1514" s="94" t="str">
        <f>IF(AN1514&gt;=AQ1514,"ok","ck")</f>
      </c>
      <c r="AT1514" s="116">
        <f>-P1514</f>
      </c>
      <c r="AU1514" s="115">
        <f>IF(SUMIFS(AT:AT,AM:AM,AM1514)&gt;AO1514,(SUMIFS(AT:AT,AM:AM,AM1514)-AO1514))</f>
      </c>
      <c r="AV1514" s="116">
        <v>0</v>
      </c>
      <c r="AW1514" s="121">
        <v>0</v>
      </c>
      <c r="AX1514" s="115">
        <f>AN1514-AP1514</f>
      </c>
    </row>
    <row r="1515" spans="1:50" ht="15" hidden="1" customHeight="1" x14ac:dyDescent="0.3">
      <c r="A1515" s="94" t="s">
        <v>268</v>
      </c>
      <c r="B1515" s="94"/>
      <c r="C1515" s="94"/>
      <c r="D1515" s="94"/>
      <c r="E1515" s="94"/>
      <c r="F1515" s="94"/>
      <c r="G1515" s="112">
        <f>AU1515</f>
      </c>
      <c r="H1515" s="113"/>
      <c r="I1515" s="94" t="s">
        <v>278</v>
      </c>
      <c r="J1515" s="94" t="s">
        <v>71</v>
      </c>
      <c r="K1515" s="114">
        <f>P1515/3</f>
      </c>
      <c r="L1515" s="115">
        <v>149.286</v>
      </c>
      <c r="M1515" s="116"/>
      <c r="N1515" s="117">
        <f>M1515-L1515</f>
      </c>
      <c r="O1515" s="112"/>
      <c r="P1515" s="118">
        <f>N1515+O1515</f>
      </c>
      <c r="Q1515" s="94" t="s">
        <v>860</v>
      </c>
      <c r="R1515" s="94" t="s">
        <v>63</v>
      </c>
      <c r="S1515" s="119">
        <v>46349</v>
      </c>
      <c r="T1515" s="119"/>
      <c r="U1515" s="120" t="s">
        <v>667</v>
      </c>
      <c r="V1515" s="94"/>
      <c r="W1515" s="94"/>
      <c r="X1515" s="94"/>
      <c r="Y1515" s="119">
        <v>46346</v>
      </c>
      <c r="Z1515" s="94"/>
      <c r="AA1515" s="120"/>
      <c r="AB1515" s="120"/>
      <c r="AC1515" s="120"/>
      <c r="AD1515" s="120"/>
      <c r="AE1515" s="120"/>
      <c r="AF1515" s="120"/>
      <c r="AG1515" s="94"/>
      <c r="AH1515" s="120"/>
      <c r="AI1515" s="94"/>
      <c r="AJ1515" s="94" t="s">
        <v>827</v>
      </c>
      <c r="AK1515" s="94" t="s">
        <v>267</v>
      </c>
      <c r="AL1515" s="94">
        <v>120</v>
      </c>
      <c r="AM1515" s="94" t="str">
        <f>TRIM(AJ1515)&amp;TRIM(AL1515)&amp;TRIM(AK1515)</f>
      </c>
      <c r="AN1515" s="116">
        <v>0</v>
      </c>
      <c r="AO1515" s="116" t="inlineStr">
        <is>
          <t>#NA</t>
        </is>
      </c>
      <c r="AP1515" s="116">
        <f>SUMIFS(M:M,AM:AM,AM1515)+SUMIFS(O:O,AM:AM,AM1515)</f>
      </c>
      <c r="AQ1515" s="116">
        <f>SUMIFS(L:L,AM:AM,AM1515)</f>
      </c>
      <c r="AR1515" s="116">
        <f>AQ1515-AP1515</f>
      </c>
      <c r="AS1515" s="94" t="str">
        <f>IF(AN1515&gt;=AQ1515,"ok","ck")</f>
      </c>
      <c r="AT1515" s="116">
        <f>-P1515</f>
      </c>
      <c r="AU1515" s="115">
        <f>IF(SUMIFS(AT:AT,AM:AM,AM1515)&gt;AO1515,(SUMIFS(AT:AT,AM:AM,AM1515)-AO1515))</f>
      </c>
      <c r="AV1515" s="116">
        <v>0</v>
      </c>
      <c r="AW1515" s="121">
        <v>0</v>
      </c>
      <c r="AX1515" s="115">
        <f>AN1515-AP1515</f>
      </c>
    </row>
    <row r="1516" spans="1:50" ht="15" hidden="1" customHeight="1" x14ac:dyDescent="0.3">
      <c r="A1516" s="94" t="s">
        <v>268</v>
      </c>
      <c r="B1516" s="94"/>
      <c r="C1516" s="94"/>
      <c r="D1516" s="94"/>
      <c r="E1516" s="94"/>
      <c r="F1516" s="94"/>
      <c r="G1516" s="112">
        <f>AU1516</f>
      </c>
      <c r="H1516" s="113"/>
      <c r="I1516" s="94" t="s">
        <v>278</v>
      </c>
      <c r="J1516" s="94" t="s">
        <v>71</v>
      </c>
      <c r="K1516" s="114">
        <f>P1516/3</f>
      </c>
      <c r="L1516" s="115">
        <v>149.286</v>
      </c>
      <c r="M1516" s="116"/>
      <c r="N1516" s="117">
        <f>M1516-L1516</f>
      </c>
      <c r="O1516" s="112"/>
      <c r="P1516" s="118">
        <f>N1516+O1516</f>
      </c>
      <c r="Q1516" s="94" t="s">
        <v>860</v>
      </c>
      <c r="R1516" s="94" t="s">
        <v>63</v>
      </c>
      <c r="S1516" s="119">
        <v>46350</v>
      </c>
      <c r="T1516" s="119"/>
      <c r="U1516" s="120" t="s">
        <v>667</v>
      </c>
      <c r="V1516" s="94"/>
      <c r="W1516" s="94"/>
      <c r="X1516" s="94"/>
      <c r="Y1516" s="119">
        <v>46346</v>
      </c>
      <c r="Z1516" s="94"/>
      <c r="AA1516" s="120"/>
      <c r="AB1516" s="120"/>
      <c r="AC1516" s="120"/>
      <c r="AD1516" s="120"/>
      <c r="AE1516" s="120"/>
      <c r="AF1516" s="120"/>
      <c r="AG1516" s="94"/>
      <c r="AH1516" s="120"/>
      <c r="AI1516" s="94"/>
      <c r="AJ1516" s="94" t="s">
        <v>827</v>
      </c>
      <c r="AK1516" s="94" t="s">
        <v>267</v>
      </c>
      <c r="AL1516" s="94">
        <v>120</v>
      </c>
      <c r="AM1516" s="94" t="str">
        <f>TRIM(AJ1516)&amp;TRIM(AL1516)&amp;TRIM(AK1516)</f>
      </c>
      <c r="AN1516" s="116">
        <v>0</v>
      </c>
      <c r="AO1516" s="116" t="inlineStr">
        <is>
          <t>#NA</t>
        </is>
      </c>
      <c r="AP1516" s="116">
        <f>SUMIFS(M:M,AM:AM,AM1516)+SUMIFS(O:O,AM:AM,AM1516)</f>
      </c>
      <c r="AQ1516" s="116">
        <f>SUMIFS(L:L,AM:AM,AM1516)</f>
      </c>
      <c r="AR1516" s="116">
        <f>AQ1516-AP1516</f>
      </c>
      <c r="AS1516" s="94" t="str">
        <f>IF(AN1516&gt;=AQ1516,"ok","ck")</f>
      </c>
      <c r="AT1516" s="116">
        <f>-P1516</f>
      </c>
      <c r="AU1516" s="115">
        <f>IF(SUMIFS(AT:AT,AM:AM,AM1516)&gt;AO1516,(SUMIFS(AT:AT,AM:AM,AM1516)-AO1516))</f>
      </c>
      <c r="AV1516" s="116">
        <v>0</v>
      </c>
      <c r="AW1516" s="121">
        <v>0</v>
      </c>
      <c r="AX1516" s="115">
        <f>AN1516-AP1516</f>
      </c>
    </row>
    <row r="1517" spans="1:50" ht="15" hidden="1" customHeight="1" x14ac:dyDescent="0.3">
      <c r="A1517" s="94" t="s">
        <v>268</v>
      </c>
      <c r="B1517" s="94"/>
      <c r="C1517" s="94"/>
      <c r="D1517" s="94"/>
      <c r="E1517" s="94"/>
      <c r="F1517" s="94"/>
      <c r="G1517" s="112">
        <f>AU1517</f>
      </c>
      <c r="H1517" s="113"/>
      <c r="I1517" s="94" t="s">
        <v>278</v>
      </c>
      <c r="J1517" s="94" t="s">
        <v>71</v>
      </c>
      <c r="K1517" s="114">
        <f>P1517/3</f>
      </c>
      <c r="L1517" s="115">
        <v>149.286</v>
      </c>
      <c r="M1517" s="116"/>
      <c r="N1517" s="117">
        <f>M1517-L1517</f>
      </c>
      <c r="O1517" s="112"/>
      <c r="P1517" s="118">
        <f>N1517+O1517</f>
      </c>
      <c r="Q1517" s="94" t="s">
        <v>860</v>
      </c>
      <c r="R1517" s="94" t="s">
        <v>63</v>
      </c>
      <c r="S1517" s="119">
        <v>46351</v>
      </c>
      <c r="T1517" s="119"/>
      <c r="U1517" s="120" t="s">
        <v>667</v>
      </c>
      <c r="V1517" s="94"/>
      <c r="W1517" s="94"/>
      <c r="X1517" s="94"/>
      <c r="Y1517" s="119">
        <v>46346</v>
      </c>
      <c r="Z1517" s="94"/>
      <c r="AA1517" s="120"/>
      <c r="AB1517" s="120"/>
      <c r="AC1517" s="120"/>
      <c r="AD1517" s="120"/>
      <c r="AE1517" s="120"/>
      <c r="AF1517" s="120"/>
      <c r="AG1517" s="94"/>
      <c r="AH1517" s="120"/>
      <c r="AI1517" s="94"/>
      <c r="AJ1517" s="94" t="s">
        <v>827</v>
      </c>
      <c r="AK1517" s="94" t="s">
        <v>267</v>
      </c>
      <c r="AL1517" s="94">
        <v>120</v>
      </c>
      <c r="AM1517" s="94" t="str">
        <f>TRIM(AJ1517)&amp;TRIM(AL1517)&amp;TRIM(AK1517)</f>
      </c>
      <c r="AN1517" s="116">
        <v>0</v>
      </c>
      <c r="AO1517" s="116" t="inlineStr">
        <is>
          <t>#NA</t>
        </is>
      </c>
      <c r="AP1517" s="116">
        <f>SUMIFS(M:M,AM:AM,AM1517)+SUMIFS(O:O,AM:AM,AM1517)</f>
      </c>
      <c r="AQ1517" s="116">
        <f>SUMIFS(L:L,AM:AM,AM1517)</f>
      </c>
      <c r="AR1517" s="116">
        <f>AQ1517-AP1517</f>
      </c>
      <c r="AS1517" s="94" t="str">
        <f>IF(AN1517&gt;=AQ1517,"ok","ck")</f>
      </c>
      <c r="AT1517" s="116">
        <f>-P1517</f>
      </c>
      <c r="AU1517" s="115">
        <f>IF(SUMIFS(AT:AT,AM:AM,AM1517)&gt;AO1517,(SUMIFS(AT:AT,AM:AM,AM1517)-AO1517))</f>
      </c>
      <c r="AV1517" s="116">
        <v>0</v>
      </c>
      <c r="AW1517" s="121">
        <v>0</v>
      </c>
      <c r="AX1517" s="115">
        <f>AN1517-AP1517</f>
      </c>
    </row>
    <row r="1518" spans="1:50" ht="15" hidden="1" customHeight="1" x14ac:dyDescent="0.3">
      <c r="A1518" s="94" t="s">
        <v>268</v>
      </c>
      <c r="B1518" s="94"/>
      <c r="C1518" s="94"/>
      <c r="D1518" s="94"/>
      <c r="E1518" s="94"/>
      <c r="F1518" s="94"/>
      <c r="G1518" s="112">
        <f>AU1518</f>
      </c>
      <c r="H1518" s="113"/>
      <c r="I1518" s="94" t="s">
        <v>278</v>
      </c>
      <c r="J1518" s="94" t="s">
        <v>71</v>
      </c>
      <c r="K1518" s="114">
        <f>P1518/3</f>
      </c>
      <c r="L1518" s="115">
        <v>149.286</v>
      </c>
      <c r="M1518" s="116"/>
      <c r="N1518" s="117">
        <f>M1518-L1518</f>
      </c>
      <c r="O1518" s="112"/>
      <c r="P1518" s="118">
        <f>N1518+O1518</f>
      </c>
      <c r="Q1518" s="94" t="s">
        <v>860</v>
      </c>
      <c r="R1518" s="94" t="s">
        <v>63</v>
      </c>
      <c r="S1518" s="119">
        <v>46352</v>
      </c>
      <c r="T1518" s="119"/>
      <c r="U1518" s="120" t="s">
        <v>667</v>
      </c>
      <c r="V1518" s="94"/>
      <c r="W1518" s="94"/>
      <c r="X1518" s="94"/>
      <c r="Y1518" s="119">
        <v>46346</v>
      </c>
      <c r="Z1518" s="94"/>
      <c r="AA1518" s="120"/>
      <c r="AB1518" s="120"/>
      <c r="AC1518" s="120"/>
      <c r="AD1518" s="120"/>
      <c r="AE1518" s="120"/>
      <c r="AF1518" s="120"/>
      <c r="AG1518" s="94"/>
      <c r="AH1518" s="120"/>
      <c r="AI1518" s="94"/>
      <c r="AJ1518" s="94" t="s">
        <v>827</v>
      </c>
      <c r="AK1518" s="94" t="s">
        <v>267</v>
      </c>
      <c r="AL1518" s="94">
        <v>120</v>
      </c>
      <c r="AM1518" s="94" t="str">
        <f>TRIM(AJ1518)&amp;TRIM(AL1518)&amp;TRIM(AK1518)</f>
      </c>
      <c r="AN1518" s="116">
        <v>0</v>
      </c>
      <c r="AO1518" s="116" t="inlineStr">
        <is>
          <t>#NA</t>
        </is>
      </c>
      <c r="AP1518" s="116">
        <f>SUMIFS(M:M,AM:AM,AM1518)+SUMIFS(O:O,AM:AM,AM1518)</f>
      </c>
      <c r="AQ1518" s="116">
        <f>SUMIFS(L:L,AM:AM,AM1518)</f>
      </c>
      <c r="AR1518" s="116">
        <f>AQ1518-AP1518</f>
      </c>
      <c r="AS1518" s="94" t="str">
        <f>IF(AN1518&gt;=AQ1518,"ok","ck")</f>
      </c>
      <c r="AT1518" s="116">
        <f>-P1518</f>
      </c>
      <c r="AU1518" s="115">
        <f>IF(SUMIFS(AT:AT,AM:AM,AM1518)&gt;AO1518,(SUMIFS(AT:AT,AM:AM,AM1518)-AO1518))</f>
      </c>
      <c r="AV1518" s="116">
        <v>0</v>
      </c>
      <c r="AW1518" s="121">
        <v>0</v>
      </c>
      <c r="AX1518" s="115">
        <f>AN1518-AP1518</f>
      </c>
    </row>
    <row r="1519" spans="1:50" ht="15" hidden="1" customHeight="1" x14ac:dyDescent="0.3">
      <c r="A1519" s="94" t="s">
        <v>268</v>
      </c>
      <c r="B1519" s="94"/>
      <c r="C1519" s="94"/>
      <c r="D1519" s="94"/>
      <c r="E1519" s="94"/>
      <c r="F1519" s="94"/>
      <c r="G1519" s="112">
        <f>AU1519</f>
      </c>
      <c r="H1519" s="113"/>
      <c r="I1519" s="94" t="s">
        <v>278</v>
      </c>
      <c r="J1519" s="94" t="s">
        <v>71</v>
      </c>
      <c r="K1519" s="114">
        <f>P1519/3</f>
      </c>
      <c r="L1519" s="115">
        <v>149.286</v>
      </c>
      <c r="M1519" s="116"/>
      <c r="N1519" s="117">
        <f>M1519-L1519</f>
      </c>
      <c r="O1519" s="112"/>
      <c r="P1519" s="118">
        <f>N1519+O1519</f>
      </c>
      <c r="Q1519" s="94" t="s">
        <v>860</v>
      </c>
      <c r="R1519" s="94" t="s">
        <v>63</v>
      </c>
      <c r="S1519" s="119">
        <v>46353</v>
      </c>
      <c r="T1519" s="119"/>
      <c r="U1519" s="120" t="s">
        <v>667</v>
      </c>
      <c r="V1519" s="94"/>
      <c r="W1519" s="94"/>
      <c r="X1519" s="94"/>
      <c r="Y1519" s="119">
        <v>46346</v>
      </c>
      <c r="Z1519" s="94"/>
      <c r="AA1519" s="120"/>
      <c r="AB1519" s="120"/>
      <c r="AC1519" s="120"/>
      <c r="AD1519" s="120"/>
      <c r="AE1519" s="120"/>
      <c r="AF1519" s="120"/>
      <c r="AG1519" s="94"/>
      <c r="AH1519" s="120"/>
      <c r="AI1519" s="94"/>
      <c r="AJ1519" s="94" t="s">
        <v>827</v>
      </c>
      <c r="AK1519" s="94" t="s">
        <v>267</v>
      </c>
      <c r="AL1519" s="94">
        <v>120</v>
      </c>
      <c r="AM1519" s="94" t="str">
        <f>TRIM(AJ1519)&amp;TRIM(AL1519)&amp;TRIM(AK1519)</f>
      </c>
      <c r="AN1519" s="116">
        <v>0</v>
      </c>
      <c r="AO1519" s="116" t="inlineStr">
        <is>
          <t>#NA</t>
        </is>
      </c>
      <c r="AP1519" s="116">
        <f>SUMIFS(M:M,AM:AM,AM1519)+SUMIFS(O:O,AM:AM,AM1519)</f>
      </c>
      <c r="AQ1519" s="116">
        <f>SUMIFS(L:L,AM:AM,AM1519)</f>
      </c>
      <c r="AR1519" s="116">
        <f>AQ1519-AP1519</f>
      </c>
      <c r="AS1519" s="94" t="str">
        <f>IF(AN1519&gt;=AQ1519,"ok","ck")</f>
      </c>
      <c r="AT1519" s="116">
        <f>-P1519</f>
      </c>
      <c r="AU1519" s="115">
        <f>IF(SUMIFS(AT:AT,AM:AM,AM1519)&gt;AO1519,(SUMIFS(AT:AT,AM:AM,AM1519)-AO1519))</f>
      </c>
      <c r="AV1519" s="116">
        <v>0</v>
      </c>
      <c r="AW1519" s="121">
        <v>0</v>
      </c>
      <c r="AX1519" s="115">
        <f>AN1519-AP1519</f>
      </c>
    </row>
    <row r="1520" spans="1:50" ht="15" hidden="1" customHeight="1" x14ac:dyDescent="0.3">
      <c r="A1520" s="94" t="s">
        <v>268</v>
      </c>
      <c r="B1520" s="94"/>
      <c r="C1520" s="94"/>
      <c r="D1520" s="94"/>
      <c r="E1520" s="94"/>
      <c r="F1520" s="94"/>
      <c r="G1520" s="112">
        <f>AU1520</f>
      </c>
      <c r="H1520" s="113"/>
      <c r="I1520" s="94" t="s">
        <v>278</v>
      </c>
      <c r="J1520" s="94" t="s">
        <v>71</v>
      </c>
      <c r="K1520" s="114">
        <f>P1520/3</f>
      </c>
      <c r="L1520" s="115">
        <v>267.988</v>
      </c>
      <c r="M1520" s="116"/>
      <c r="N1520" s="117">
        <f>M1520-L1520</f>
      </c>
      <c r="O1520" s="112"/>
      <c r="P1520" s="118">
        <f>N1520+O1520</f>
      </c>
      <c r="Q1520" s="94" t="s">
        <v>860</v>
      </c>
      <c r="R1520" s="94" t="s">
        <v>63</v>
      </c>
      <c r="S1520" s="119">
        <v>46354</v>
      </c>
      <c r="T1520" s="119"/>
      <c r="U1520" s="120" t="s">
        <v>667</v>
      </c>
      <c r="V1520" s="94"/>
      <c r="W1520" s="94"/>
      <c r="X1520" s="94"/>
      <c r="Y1520" s="119">
        <v>46346</v>
      </c>
      <c r="Z1520" s="94"/>
      <c r="AA1520" s="120"/>
      <c r="AB1520" s="120"/>
      <c r="AC1520" s="120"/>
      <c r="AD1520" s="120"/>
      <c r="AE1520" s="120"/>
      <c r="AF1520" s="120"/>
      <c r="AG1520" s="94"/>
      <c r="AH1520" s="120"/>
      <c r="AI1520" s="94"/>
      <c r="AJ1520" s="94" t="s">
        <v>827</v>
      </c>
      <c r="AK1520" s="94" t="s">
        <v>267</v>
      </c>
      <c r="AL1520" s="94">
        <v>120</v>
      </c>
      <c r="AM1520" s="94" t="str">
        <f>TRIM(AJ1520)&amp;TRIM(AL1520)&amp;TRIM(AK1520)</f>
      </c>
      <c r="AN1520" s="116">
        <v>0</v>
      </c>
      <c r="AO1520" s="116" t="inlineStr">
        <is>
          <t>#NA</t>
        </is>
      </c>
      <c r="AP1520" s="116">
        <f>SUMIFS(M:M,AM:AM,AM1520)+SUMIFS(O:O,AM:AM,AM1520)</f>
      </c>
      <c r="AQ1520" s="116">
        <f>SUMIFS(L:L,AM:AM,AM1520)</f>
      </c>
      <c r="AR1520" s="116">
        <f>AQ1520-AP1520</f>
      </c>
      <c r="AS1520" s="94" t="str">
        <f>IF(AN1520&gt;=AQ1520,"ok","ck")</f>
      </c>
      <c r="AT1520" s="116">
        <f>-P1520</f>
      </c>
      <c r="AU1520" s="115">
        <f>IF(SUMIFS(AT:AT,AM:AM,AM1520)&gt;AO1520,(SUMIFS(AT:AT,AM:AM,AM1520)-AO1520))</f>
      </c>
      <c r="AV1520" s="116">
        <v>0</v>
      </c>
      <c r="AW1520" s="121">
        <v>0</v>
      </c>
      <c r="AX1520" s="115">
        <f>AN1520-AP1520</f>
      </c>
    </row>
    <row r="1521" spans="1:50" ht="15" hidden="1" customHeight="1" x14ac:dyDescent="0.3">
      <c r="A1521" s="94" t="s">
        <v>268</v>
      </c>
      <c r="B1521" s="94"/>
      <c r="C1521" s="94"/>
      <c r="D1521" s="94"/>
      <c r="E1521" s="94"/>
      <c r="F1521" s="94"/>
      <c r="G1521" s="112">
        <f>AU1521</f>
      </c>
      <c r="H1521" s="113"/>
      <c r="I1521" s="94" t="s">
        <v>390</v>
      </c>
      <c r="J1521" s="94" t="s">
        <v>71</v>
      </c>
      <c r="K1521" s="114">
        <f>P1521/3</f>
      </c>
      <c r="L1521" s="115">
        <v>1891.7139999999999</v>
      </c>
      <c r="M1521" s="116"/>
      <c r="N1521" s="117">
        <f>M1521-L1521</f>
      </c>
      <c r="O1521" s="112"/>
      <c r="P1521" s="118">
        <f>N1521+O1521</f>
      </c>
      <c r="Q1521" s="94" t="s">
        <v>860</v>
      </c>
      <c r="R1521" s="94" t="s">
        <v>63</v>
      </c>
      <c r="S1521" s="119">
        <v>46345</v>
      </c>
      <c r="T1521" s="119"/>
      <c r="U1521" s="120" t="s">
        <v>667</v>
      </c>
      <c r="V1521" s="94"/>
      <c r="W1521" s="94"/>
      <c r="X1521" s="94"/>
      <c r="Y1521" s="119">
        <v>46346</v>
      </c>
      <c r="Z1521" s="94"/>
      <c r="AA1521" s="120"/>
      <c r="AB1521" s="120"/>
      <c r="AC1521" s="120"/>
      <c r="AD1521" s="120"/>
      <c r="AE1521" s="120"/>
      <c r="AF1521" s="120"/>
      <c r="AG1521" s="94"/>
      <c r="AH1521" s="120"/>
      <c r="AI1521" s="94"/>
      <c r="AJ1521" s="94" t="s">
        <v>827</v>
      </c>
      <c r="AK1521" s="94" t="s">
        <v>267</v>
      </c>
      <c r="AL1521" s="94">
        <v>140</v>
      </c>
      <c r="AM1521" s="94" t="str">
        <f>TRIM(AJ1521)&amp;TRIM(AL1521)&amp;TRIM(AK1521)</f>
      </c>
      <c r="AN1521" s="116">
        <v>0</v>
      </c>
      <c r="AO1521" s="116" t="inlineStr">
        <is>
          <t>#NA</t>
        </is>
      </c>
      <c r="AP1521" s="116">
        <f>SUMIFS(M:M,AM:AM,AM1521)+SUMIFS(O:O,AM:AM,AM1521)</f>
      </c>
      <c r="AQ1521" s="116">
        <f>SUMIFS(L:L,AM:AM,AM1521)</f>
      </c>
      <c r="AR1521" s="116">
        <f>AQ1521-AP1521</f>
      </c>
      <c r="AS1521" s="94" t="str">
        <f>IF(AN1521&gt;=AQ1521,"ok","ck")</f>
      </c>
      <c r="AT1521" s="116">
        <f>-P1521</f>
      </c>
      <c r="AU1521" s="115">
        <f>IF(SUMIFS(AT:AT,AM:AM,AM1521)&gt;AO1521,(SUMIFS(AT:AT,AM:AM,AM1521)-AO1521))</f>
      </c>
      <c r="AV1521" s="116">
        <v>0</v>
      </c>
      <c r="AW1521" s="121">
        <v>0</v>
      </c>
      <c r="AX1521" s="115">
        <f>AN1521-AP1521</f>
      </c>
    </row>
    <row r="1522" spans="1:50" ht="15" hidden="1" customHeight="1" x14ac:dyDescent="0.3">
      <c r="A1522" s="94" t="s">
        <v>268</v>
      </c>
      <c r="B1522" s="94"/>
      <c r="C1522" s="94"/>
      <c r="D1522" s="94"/>
      <c r="E1522" s="94"/>
      <c r="F1522" s="94"/>
      <c r="G1522" s="112">
        <f>AU1522</f>
      </c>
      <c r="H1522" s="113"/>
      <c r="I1522" s="94" t="s">
        <v>390</v>
      </c>
      <c r="J1522" s="94" t="s">
        <v>71</v>
      </c>
      <c r="K1522" s="114">
        <f>P1522/3</f>
      </c>
      <c r="L1522" s="115">
        <v>1891.7139999999999</v>
      </c>
      <c r="M1522" s="116"/>
      <c r="N1522" s="117">
        <f>M1522-L1522</f>
      </c>
      <c r="O1522" s="112"/>
      <c r="P1522" s="118">
        <f>N1522+O1522</f>
      </c>
      <c r="Q1522" s="94" t="s">
        <v>860</v>
      </c>
      <c r="R1522" s="94" t="s">
        <v>63</v>
      </c>
      <c r="S1522" s="119">
        <v>46346</v>
      </c>
      <c r="T1522" s="119"/>
      <c r="U1522" s="120" t="s">
        <v>667</v>
      </c>
      <c r="V1522" s="94"/>
      <c r="W1522" s="94"/>
      <c r="X1522" s="94"/>
      <c r="Y1522" s="119">
        <v>46346</v>
      </c>
      <c r="Z1522" s="94"/>
      <c r="AA1522" s="120"/>
      <c r="AB1522" s="120"/>
      <c r="AC1522" s="120"/>
      <c r="AD1522" s="120"/>
      <c r="AE1522" s="120"/>
      <c r="AF1522" s="120"/>
      <c r="AG1522" s="94"/>
      <c r="AH1522" s="120"/>
      <c r="AI1522" s="94"/>
      <c r="AJ1522" s="94" t="s">
        <v>827</v>
      </c>
      <c r="AK1522" s="94" t="s">
        <v>267</v>
      </c>
      <c r="AL1522" s="94">
        <v>140</v>
      </c>
      <c r="AM1522" s="94" t="str">
        <f>TRIM(AJ1522)&amp;TRIM(AL1522)&amp;TRIM(AK1522)</f>
      </c>
      <c r="AN1522" s="116">
        <v>0</v>
      </c>
      <c r="AO1522" s="116" t="inlineStr">
        <is>
          <t>#NA</t>
        </is>
      </c>
      <c r="AP1522" s="116">
        <f>SUMIFS(M:M,AM:AM,AM1522)+SUMIFS(O:O,AM:AM,AM1522)</f>
      </c>
      <c r="AQ1522" s="116">
        <f>SUMIFS(L:L,AM:AM,AM1522)</f>
      </c>
      <c r="AR1522" s="116">
        <f>AQ1522-AP1522</f>
      </c>
      <c r="AS1522" s="94" t="str">
        <f>IF(AN1522&gt;=AQ1522,"ok","ck")</f>
      </c>
      <c r="AT1522" s="116">
        <f>-P1522</f>
      </c>
      <c r="AU1522" s="115">
        <f>IF(SUMIFS(AT:AT,AM:AM,AM1522)&gt;AO1522,(SUMIFS(AT:AT,AM:AM,AM1522)-AO1522))</f>
      </c>
      <c r="AV1522" s="116">
        <v>0</v>
      </c>
      <c r="AW1522" s="121">
        <v>0</v>
      </c>
      <c r="AX1522" s="115">
        <f>AN1522-AP1522</f>
      </c>
    </row>
    <row r="1523" spans="1:50" ht="15" hidden="1" customHeight="1" x14ac:dyDescent="0.3">
      <c r="A1523" s="94" t="s">
        <v>268</v>
      </c>
      <c r="B1523" s="94"/>
      <c r="C1523" s="94"/>
      <c r="D1523" s="94"/>
      <c r="E1523" s="94"/>
      <c r="F1523" s="94"/>
      <c r="G1523" s="112">
        <f>AU1523</f>
      </c>
      <c r="H1523" s="113"/>
      <c r="I1523" s="94" t="s">
        <v>390</v>
      </c>
      <c r="J1523" s="94" t="s">
        <v>71</v>
      </c>
      <c r="K1523" s="114">
        <f>P1523/3</f>
      </c>
      <c r="L1523" s="115">
        <v>1891.7139999999999</v>
      </c>
      <c r="M1523" s="116"/>
      <c r="N1523" s="117">
        <f>M1523-L1523</f>
      </c>
      <c r="O1523" s="112"/>
      <c r="P1523" s="118">
        <f>N1523+O1523</f>
      </c>
      <c r="Q1523" s="94" t="s">
        <v>860</v>
      </c>
      <c r="R1523" s="94" t="s">
        <v>63</v>
      </c>
      <c r="S1523" s="119">
        <v>46347</v>
      </c>
      <c r="T1523" s="119"/>
      <c r="U1523" s="120" t="s">
        <v>667</v>
      </c>
      <c r="V1523" s="94"/>
      <c r="W1523" s="94"/>
      <c r="X1523" s="94"/>
      <c r="Y1523" s="119">
        <v>46346</v>
      </c>
      <c r="Z1523" s="94"/>
      <c r="AA1523" s="120"/>
      <c r="AB1523" s="120"/>
      <c r="AC1523" s="120"/>
      <c r="AD1523" s="120"/>
      <c r="AE1523" s="120"/>
      <c r="AF1523" s="120"/>
      <c r="AG1523" s="94"/>
      <c r="AH1523" s="120"/>
      <c r="AI1523" s="94"/>
      <c r="AJ1523" s="94" t="s">
        <v>827</v>
      </c>
      <c r="AK1523" s="94" t="s">
        <v>267</v>
      </c>
      <c r="AL1523" s="94">
        <v>140</v>
      </c>
      <c r="AM1523" s="94" t="str">
        <f>TRIM(AJ1523)&amp;TRIM(AL1523)&amp;TRIM(AK1523)</f>
      </c>
      <c r="AN1523" s="116">
        <v>0</v>
      </c>
      <c r="AO1523" s="116" t="inlineStr">
        <is>
          <t>#NA</t>
        </is>
      </c>
      <c r="AP1523" s="116">
        <f>SUMIFS(M:M,AM:AM,AM1523)+SUMIFS(O:O,AM:AM,AM1523)</f>
      </c>
      <c r="AQ1523" s="116">
        <f>SUMIFS(L:L,AM:AM,AM1523)</f>
      </c>
      <c r="AR1523" s="116">
        <f>AQ1523-AP1523</f>
      </c>
      <c r="AS1523" s="94" t="str">
        <f>IF(AN1523&gt;=AQ1523,"ok","ck")</f>
      </c>
      <c r="AT1523" s="116">
        <f>-P1523</f>
      </c>
      <c r="AU1523" s="115">
        <f>IF(SUMIFS(AT:AT,AM:AM,AM1523)&gt;AO1523,(SUMIFS(AT:AT,AM:AM,AM1523)-AO1523))</f>
      </c>
      <c r="AV1523" s="116">
        <v>0</v>
      </c>
      <c r="AW1523" s="121">
        <v>0</v>
      </c>
      <c r="AX1523" s="115">
        <f>AN1523-AP1523</f>
      </c>
    </row>
    <row r="1524" spans="1:50" ht="15" hidden="1" customHeight="1" x14ac:dyDescent="0.3">
      <c r="A1524" s="94" t="s">
        <v>268</v>
      </c>
      <c r="B1524" s="94"/>
      <c r="C1524" s="94"/>
      <c r="D1524" s="94"/>
      <c r="E1524" s="94"/>
      <c r="F1524" s="94"/>
      <c r="G1524" s="112">
        <f>AU1524</f>
      </c>
      <c r="H1524" s="113"/>
      <c r="I1524" s="94" t="s">
        <v>390</v>
      </c>
      <c r="J1524" s="94" t="s">
        <v>71</v>
      </c>
      <c r="K1524" s="114">
        <f>P1524/3</f>
      </c>
      <c r="L1524" s="115">
        <v>1891.7139999999999</v>
      </c>
      <c r="M1524" s="116"/>
      <c r="N1524" s="117">
        <f>M1524-L1524</f>
      </c>
      <c r="O1524" s="112"/>
      <c r="P1524" s="118">
        <f>N1524+O1524</f>
      </c>
      <c r="Q1524" s="94" t="s">
        <v>860</v>
      </c>
      <c r="R1524" s="94" t="s">
        <v>63</v>
      </c>
      <c r="S1524" s="119">
        <v>46348</v>
      </c>
      <c r="T1524" s="119"/>
      <c r="U1524" s="120" t="s">
        <v>667</v>
      </c>
      <c r="V1524" s="94"/>
      <c r="W1524" s="94"/>
      <c r="X1524" s="94"/>
      <c r="Y1524" s="119">
        <v>46346</v>
      </c>
      <c r="Z1524" s="94"/>
      <c r="AA1524" s="120"/>
      <c r="AB1524" s="120"/>
      <c r="AC1524" s="120"/>
      <c r="AD1524" s="120"/>
      <c r="AE1524" s="120"/>
      <c r="AF1524" s="120"/>
      <c r="AG1524" s="94"/>
      <c r="AH1524" s="120"/>
      <c r="AI1524" s="94"/>
      <c r="AJ1524" s="94" t="s">
        <v>827</v>
      </c>
      <c r="AK1524" s="94" t="s">
        <v>267</v>
      </c>
      <c r="AL1524" s="94">
        <v>140</v>
      </c>
      <c r="AM1524" s="94" t="str">
        <f>TRIM(AJ1524)&amp;TRIM(AL1524)&amp;TRIM(AK1524)</f>
      </c>
      <c r="AN1524" s="116">
        <v>0</v>
      </c>
      <c r="AO1524" s="116" t="inlineStr">
        <is>
          <t>#NA</t>
        </is>
      </c>
      <c r="AP1524" s="116">
        <f>SUMIFS(M:M,AM:AM,AM1524)+SUMIFS(O:O,AM:AM,AM1524)</f>
      </c>
      <c r="AQ1524" s="116">
        <f>SUMIFS(L:L,AM:AM,AM1524)</f>
      </c>
      <c r="AR1524" s="116">
        <f>AQ1524-AP1524</f>
      </c>
      <c r="AS1524" s="94" t="str">
        <f>IF(AN1524&gt;=AQ1524,"ok","ck")</f>
      </c>
      <c r="AT1524" s="116">
        <f>-P1524</f>
      </c>
      <c r="AU1524" s="115">
        <f>IF(SUMIFS(AT:AT,AM:AM,AM1524)&gt;AO1524,(SUMIFS(AT:AT,AM:AM,AM1524)-AO1524))</f>
      </c>
      <c r="AV1524" s="116">
        <v>0</v>
      </c>
      <c r="AW1524" s="121">
        <v>0</v>
      </c>
      <c r="AX1524" s="115">
        <f>AN1524-AP1524</f>
      </c>
    </row>
    <row r="1525" spans="1:50" ht="15" hidden="1" customHeight="1" x14ac:dyDescent="0.3">
      <c r="A1525" s="94" t="s">
        <v>268</v>
      </c>
      <c r="B1525" s="94"/>
      <c r="C1525" s="94"/>
      <c r="D1525" s="94"/>
      <c r="E1525" s="94"/>
      <c r="F1525" s="94"/>
      <c r="G1525" s="112">
        <f>AU1525</f>
      </c>
      <c r="H1525" s="113"/>
      <c r="I1525" s="94" t="s">
        <v>390</v>
      </c>
      <c r="J1525" s="94" t="s">
        <v>71</v>
      </c>
      <c r="K1525" s="114">
        <f>P1525/3</f>
      </c>
      <c r="L1525" s="115">
        <v>1891.7139999999999</v>
      </c>
      <c r="M1525" s="116"/>
      <c r="N1525" s="117">
        <f>M1525-L1525</f>
      </c>
      <c r="O1525" s="112"/>
      <c r="P1525" s="118">
        <f>N1525+O1525</f>
      </c>
      <c r="Q1525" s="94" t="s">
        <v>860</v>
      </c>
      <c r="R1525" s="94" t="s">
        <v>63</v>
      </c>
      <c r="S1525" s="119">
        <v>46349</v>
      </c>
      <c r="T1525" s="119"/>
      <c r="U1525" s="119" t="s">
        <v>667</v>
      </c>
      <c r="V1525" s="94"/>
      <c r="W1525" s="94"/>
      <c r="X1525" s="94"/>
      <c r="Y1525" s="119">
        <v>46346</v>
      </c>
      <c r="Z1525" s="94"/>
      <c r="AA1525" s="120"/>
      <c r="AB1525" s="120"/>
      <c r="AC1525" s="120"/>
      <c r="AD1525" s="120"/>
      <c r="AE1525" s="120"/>
      <c r="AF1525" s="120"/>
      <c r="AG1525" s="94"/>
      <c r="AH1525" s="120"/>
      <c r="AI1525" s="94"/>
      <c r="AJ1525" s="94" t="s">
        <v>827</v>
      </c>
      <c r="AK1525" s="94" t="s">
        <v>267</v>
      </c>
      <c r="AL1525" s="94">
        <v>140</v>
      </c>
      <c r="AM1525" s="94" t="str">
        <f>TRIM(AJ1525)&amp;TRIM(AL1525)&amp;TRIM(AK1525)</f>
      </c>
      <c r="AN1525" s="116">
        <v>0</v>
      </c>
      <c r="AO1525" s="116" t="inlineStr">
        <is>
          <t>#NA</t>
        </is>
      </c>
      <c r="AP1525" s="116">
        <f>SUMIFS(M:M,AM:AM,AM1525)+SUMIFS(O:O,AM:AM,AM1525)</f>
      </c>
      <c r="AQ1525" s="116">
        <f>SUMIFS(L:L,AM:AM,AM1525)</f>
      </c>
      <c r="AR1525" s="116">
        <f>AQ1525-AP1525</f>
      </c>
      <c r="AS1525" s="94" t="str">
        <f>IF(AN1525&gt;=AQ1525,"ok","ck")</f>
      </c>
      <c r="AT1525" s="116">
        <f>-P1525</f>
      </c>
      <c r="AU1525" s="115">
        <f>IF(SUMIFS(AT:AT,AM:AM,AM1525)&gt;AO1525,(SUMIFS(AT:AT,AM:AM,AM1525)-AO1525))</f>
      </c>
      <c r="AV1525" s="116">
        <v>0</v>
      </c>
      <c r="AW1525" s="121">
        <v>0</v>
      </c>
      <c r="AX1525" s="115">
        <f>AN1525-AP1525</f>
      </c>
    </row>
    <row r="1526" spans="1:50" ht="15" hidden="1" customHeight="1" x14ac:dyDescent="0.3">
      <c r="A1526" s="94" t="s">
        <v>268</v>
      </c>
      <c r="B1526" s="94"/>
      <c r="C1526" s="94"/>
      <c r="D1526" s="94"/>
      <c r="E1526" s="94"/>
      <c r="F1526" s="94"/>
      <c r="G1526" s="112">
        <f>AU1526</f>
      </c>
      <c r="H1526" s="113"/>
      <c r="I1526" s="94" t="s">
        <v>390</v>
      </c>
      <c r="J1526" s="94" t="s">
        <v>71</v>
      </c>
      <c r="K1526" s="114">
        <f>P1526/3</f>
      </c>
      <c r="L1526" s="115">
        <v>1891.7139999999999</v>
      </c>
      <c r="M1526" s="116"/>
      <c r="N1526" s="117">
        <f>M1526-L1526</f>
      </c>
      <c r="O1526" s="112"/>
      <c r="P1526" s="118">
        <f>N1526+O1526</f>
      </c>
      <c r="Q1526" s="94" t="s">
        <v>860</v>
      </c>
      <c r="R1526" s="94" t="s">
        <v>63</v>
      </c>
      <c r="S1526" s="119">
        <v>46350</v>
      </c>
      <c r="T1526" s="119"/>
      <c r="U1526" s="119" t="s">
        <v>667</v>
      </c>
      <c r="V1526" s="94"/>
      <c r="W1526" s="94"/>
      <c r="X1526" s="94"/>
      <c r="Y1526" s="119">
        <v>46346</v>
      </c>
      <c r="Z1526" s="94"/>
      <c r="AA1526" s="120"/>
      <c r="AB1526" s="120"/>
      <c r="AC1526" s="120"/>
      <c r="AD1526" s="120"/>
      <c r="AE1526" s="120"/>
      <c r="AF1526" s="120"/>
      <c r="AG1526" s="94"/>
      <c r="AH1526" s="120"/>
      <c r="AI1526" s="94"/>
      <c r="AJ1526" s="94" t="s">
        <v>827</v>
      </c>
      <c r="AK1526" s="94" t="s">
        <v>267</v>
      </c>
      <c r="AL1526" s="94">
        <v>140</v>
      </c>
      <c r="AM1526" s="94" t="str">
        <f>TRIM(AJ1526)&amp;TRIM(AL1526)&amp;TRIM(AK1526)</f>
      </c>
      <c r="AN1526" s="116">
        <v>0</v>
      </c>
      <c r="AO1526" s="116" t="inlineStr">
        <is>
          <t>#NA</t>
        </is>
      </c>
      <c r="AP1526" s="116">
        <f>SUMIFS(M:M,AM:AM,AM1526)+SUMIFS(O:O,AM:AM,AM1526)</f>
      </c>
      <c r="AQ1526" s="116">
        <f>SUMIFS(L:L,AM:AM,AM1526)</f>
      </c>
      <c r="AR1526" s="116">
        <f>AQ1526-AP1526</f>
      </c>
      <c r="AS1526" s="94" t="str">
        <f>IF(AN1526&gt;=AQ1526,"ok","ck")</f>
      </c>
      <c r="AT1526" s="116">
        <f>-P1526</f>
      </c>
      <c r="AU1526" s="115">
        <f>IF(SUMIFS(AT:AT,AM:AM,AM1526)&gt;AO1526,(SUMIFS(AT:AT,AM:AM,AM1526)-AO1526))</f>
      </c>
      <c r="AV1526" s="116">
        <v>0</v>
      </c>
      <c r="AW1526" s="121">
        <v>0</v>
      </c>
      <c r="AX1526" s="115">
        <f>AN1526-AP1526</f>
      </c>
    </row>
    <row r="1527" spans="1:50" ht="15" hidden="1" customHeight="1" x14ac:dyDescent="0.3">
      <c r="A1527" s="94" t="s">
        <v>268</v>
      </c>
      <c r="B1527" s="94"/>
      <c r="C1527" s="94"/>
      <c r="D1527" s="94"/>
      <c r="E1527" s="94"/>
      <c r="F1527" s="94"/>
      <c r="G1527" s="112">
        <f>AU1527</f>
      </c>
      <c r="H1527" s="113"/>
      <c r="I1527" s="94" t="s">
        <v>390</v>
      </c>
      <c r="J1527" s="94" t="s">
        <v>71</v>
      </c>
      <c r="K1527" s="114">
        <f>P1527/3</f>
      </c>
      <c r="L1527" s="115">
        <v>1891.7139999999999</v>
      </c>
      <c r="M1527" s="116"/>
      <c r="N1527" s="117">
        <f>M1527-L1527</f>
      </c>
      <c r="O1527" s="112"/>
      <c r="P1527" s="118">
        <f>N1527+O1527</f>
      </c>
      <c r="Q1527" s="94" t="s">
        <v>860</v>
      </c>
      <c r="R1527" s="94" t="s">
        <v>63</v>
      </c>
      <c r="S1527" s="119">
        <v>46351</v>
      </c>
      <c r="T1527" s="119"/>
      <c r="U1527" s="119" t="s">
        <v>667</v>
      </c>
      <c r="V1527" s="94"/>
      <c r="W1527" s="94"/>
      <c r="X1527" s="94"/>
      <c r="Y1527" s="119">
        <v>46346</v>
      </c>
      <c r="Z1527" s="94"/>
      <c r="AA1527" s="120"/>
      <c r="AB1527" s="120"/>
      <c r="AC1527" s="120"/>
      <c r="AD1527" s="120"/>
      <c r="AE1527" s="120"/>
      <c r="AF1527" s="120"/>
      <c r="AG1527" s="94"/>
      <c r="AH1527" s="120"/>
      <c r="AI1527" s="94"/>
      <c r="AJ1527" s="94" t="s">
        <v>827</v>
      </c>
      <c r="AK1527" s="94" t="s">
        <v>267</v>
      </c>
      <c r="AL1527" s="94">
        <v>140</v>
      </c>
      <c r="AM1527" s="94" t="str">
        <f>TRIM(AJ1527)&amp;TRIM(AL1527)&amp;TRIM(AK1527)</f>
      </c>
      <c r="AN1527" s="116">
        <v>0</v>
      </c>
      <c r="AO1527" s="116" t="inlineStr">
        <is>
          <t>#NA</t>
        </is>
      </c>
      <c r="AP1527" s="116">
        <f>SUMIFS(M:M,AM:AM,AM1527)+SUMIFS(O:O,AM:AM,AM1527)</f>
      </c>
      <c r="AQ1527" s="116">
        <f>SUMIFS(L:L,AM:AM,AM1527)</f>
      </c>
      <c r="AR1527" s="116">
        <f>AQ1527-AP1527</f>
      </c>
      <c r="AS1527" s="94" t="str">
        <f>IF(AN1527&gt;=AQ1527,"ok","ck")</f>
      </c>
      <c r="AT1527" s="116">
        <f>-P1527</f>
      </c>
      <c r="AU1527" s="115">
        <f>IF(SUMIFS(AT:AT,AM:AM,AM1527)&gt;AO1527,(SUMIFS(AT:AT,AM:AM,AM1527)-AO1527))</f>
      </c>
      <c r="AV1527" s="116">
        <v>0</v>
      </c>
      <c r="AW1527" s="121">
        <v>0</v>
      </c>
      <c r="AX1527" s="115">
        <f>AN1527-AP1527</f>
      </c>
    </row>
    <row r="1528" spans="1:50" ht="15" hidden="1" customHeight="1" x14ac:dyDescent="0.3">
      <c r="A1528" s="94" t="s">
        <v>268</v>
      </c>
      <c r="B1528" s="94"/>
      <c r="C1528" s="94"/>
      <c r="D1528" s="94"/>
      <c r="E1528" s="94"/>
      <c r="F1528" s="94"/>
      <c r="G1528" s="112">
        <f>AU1528</f>
      </c>
      <c r="H1528" s="113"/>
      <c r="I1528" s="94" t="s">
        <v>390</v>
      </c>
      <c r="J1528" s="94" t="s">
        <v>71</v>
      </c>
      <c r="K1528" s="114">
        <f>P1528/3</f>
      </c>
      <c r="L1528" s="115">
        <v>1891.7139999999999</v>
      </c>
      <c r="M1528" s="116"/>
      <c r="N1528" s="117">
        <f>M1528-L1528</f>
      </c>
      <c r="O1528" s="112"/>
      <c r="P1528" s="118">
        <f>N1528+O1528</f>
      </c>
      <c r="Q1528" s="94" t="s">
        <v>860</v>
      </c>
      <c r="R1528" s="94" t="s">
        <v>63</v>
      </c>
      <c r="S1528" s="119">
        <v>46352</v>
      </c>
      <c r="T1528" s="119"/>
      <c r="U1528" s="119" t="s">
        <v>667</v>
      </c>
      <c r="V1528" s="94"/>
      <c r="W1528" s="94"/>
      <c r="X1528" s="94"/>
      <c r="Y1528" s="119">
        <v>46346</v>
      </c>
      <c r="Z1528" s="94"/>
      <c r="AA1528" s="120"/>
      <c r="AB1528" s="120"/>
      <c r="AC1528" s="120"/>
      <c r="AD1528" s="120"/>
      <c r="AE1528" s="120"/>
      <c r="AF1528" s="120"/>
      <c r="AG1528" s="94"/>
      <c r="AH1528" s="120"/>
      <c r="AI1528" s="94"/>
      <c r="AJ1528" s="94" t="s">
        <v>827</v>
      </c>
      <c r="AK1528" s="94" t="s">
        <v>267</v>
      </c>
      <c r="AL1528" s="94">
        <v>140</v>
      </c>
      <c r="AM1528" s="94" t="str">
        <f>TRIM(AJ1528)&amp;TRIM(AL1528)&amp;TRIM(AK1528)</f>
      </c>
      <c r="AN1528" s="116">
        <v>0</v>
      </c>
      <c r="AO1528" s="116" t="inlineStr">
        <is>
          <t>#NA</t>
        </is>
      </c>
      <c r="AP1528" s="116">
        <f>SUMIFS(M:M,AM:AM,AM1528)+SUMIFS(O:O,AM:AM,AM1528)</f>
      </c>
      <c r="AQ1528" s="116">
        <f>SUMIFS(L:L,AM:AM,AM1528)</f>
      </c>
      <c r="AR1528" s="116">
        <f>AQ1528-AP1528</f>
      </c>
      <c r="AS1528" s="94" t="str">
        <f>IF(AN1528&gt;=AQ1528,"ok","ck")</f>
      </c>
      <c r="AT1528" s="116">
        <f>-P1528</f>
      </c>
      <c r="AU1528" s="115">
        <f>IF(SUMIFS(AT:AT,AM:AM,AM1528)&gt;AO1528,(SUMIFS(AT:AT,AM:AM,AM1528)-AO1528))</f>
      </c>
      <c r="AV1528" s="116">
        <v>0</v>
      </c>
      <c r="AW1528" s="121">
        <v>0</v>
      </c>
      <c r="AX1528" s="115">
        <f>AN1528-AP1528</f>
      </c>
    </row>
    <row r="1529" spans="1:50" ht="15" hidden="1" customHeight="1" x14ac:dyDescent="0.3">
      <c r="A1529" s="94" t="s">
        <v>268</v>
      </c>
      <c r="B1529" s="94"/>
      <c r="C1529" s="94"/>
      <c r="D1529" s="94"/>
      <c r="E1529" s="94"/>
      <c r="F1529" s="94"/>
      <c r="G1529" s="112">
        <f>AU1529</f>
      </c>
      <c r="H1529" s="113"/>
      <c r="I1529" s="94" t="s">
        <v>390</v>
      </c>
      <c r="J1529" s="94" t="s">
        <v>71</v>
      </c>
      <c r="K1529" s="114">
        <f>P1529/3</f>
      </c>
      <c r="L1529" s="115">
        <v>1891.7139999999999</v>
      </c>
      <c r="M1529" s="116"/>
      <c r="N1529" s="117">
        <f>M1529-L1529</f>
      </c>
      <c r="O1529" s="112"/>
      <c r="P1529" s="118">
        <f>N1529+O1529</f>
      </c>
      <c r="Q1529" s="94" t="s">
        <v>860</v>
      </c>
      <c r="R1529" s="94" t="s">
        <v>63</v>
      </c>
      <c r="S1529" s="119">
        <v>46353</v>
      </c>
      <c r="T1529" s="119"/>
      <c r="U1529" s="119" t="s">
        <v>667</v>
      </c>
      <c r="V1529" s="94"/>
      <c r="W1529" s="94"/>
      <c r="X1529" s="94"/>
      <c r="Y1529" s="119">
        <v>46346</v>
      </c>
      <c r="Z1529" s="94"/>
      <c r="AA1529" s="120"/>
      <c r="AB1529" s="120"/>
      <c r="AC1529" s="120"/>
      <c r="AD1529" s="120"/>
      <c r="AE1529" s="120"/>
      <c r="AF1529" s="120"/>
      <c r="AG1529" s="94"/>
      <c r="AH1529" s="120"/>
      <c r="AI1529" s="94"/>
      <c r="AJ1529" s="94" t="s">
        <v>827</v>
      </c>
      <c r="AK1529" s="94" t="s">
        <v>267</v>
      </c>
      <c r="AL1529" s="94">
        <v>140</v>
      </c>
      <c r="AM1529" s="94" t="str">
        <f>TRIM(AJ1529)&amp;TRIM(AL1529)&amp;TRIM(AK1529)</f>
      </c>
      <c r="AN1529" s="116">
        <v>0</v>
      </c>
      <c r="AO1529" s="116" t="inlineStr">
        <is>
          <t>#NA</t>
        </is>
      </c>
      <c r="AP1529" s="116">
        <f>SUMIFS(M:M,AM:AM,AM1529)+SUMIFS(O:O,AM:AM,AM1529)</f>
      </c>
      <c r="AQ1529" s="116">
        <f>SUMIFS(L:L,AM:AM,AM1529)</f>
      </c>
      <c r="AR1529" s="116">
        <f>AQ1529-AP1529</f>
      </c>
      <c r="AS1529" s="94" t="str">
        <f>IF(AN1529&gt;=AQ1529,"ok","ck")</f>
      </c>
      <c r="AT1529" s="116">
        <f>-P1529</f>
      </c>
      <c r="AU1529" s="115">
        <f>IF(SUMIFS(AT:AT,AM:AM,AM1529)&gt;AO1529,(SUMIFS(AT:AT,AM:AM,AM1529)-AO1529))</f>
      </c>
      <c r="AV1529" s="116">
        <v>0</v>
      </c>
      <c r="AW1529" s="121">
        <v>0</v>
      </c>
      <c r="AX1529" s="115">
        <f>AN1529-AP1529</f>
      </c>
    </row>
    <row r="1530" spans="1:50" ht="15" hidden="1" customHeight="1" x14ac:dyDescent="0.3">
      <c r="A1530" s="94" t="s">
        <v>268</v>
      </c>
      <c r="B1530" s="94"/>
      <c r="C1530" s="94"/>
      <c r="D1530" s="94"/>
      <c r="E1530" s="94"/>
      <c r="F1530" s="94"/>
      <c r="G1530" s="112">
        <f>AU1530</f>
      </c>
      <c r="H1530" s="113"/>
      <c r="I1530" s="94" t="s">
        <v>390</v>
      </c>
      <c r="J1530" s="94" t="s">
        <v>71</v>
      </c>
      <c r="K1530" s="114">
        <f>P1530/3</f>
      </c>
      <c r="L1530" s="115">
        <v>3395.8939999999998</v>
      </c>
      <c r="M1530" s="116"/>
      <c r="N1530" s="117">
        <f>M1530-L1530</f>
      </c>
      <c r="O1530" s="112"/>
      <c r="P1530" s="118">
        <f>N1530+O1530</f>
      </c>
      <c r="Q1530" s="94" t="s">
        <v>860</v>
      </c>
      <c r="R1530" s="94" t="s">
        <v>63</v>
      </c>
      <c r="S1530" s="119">
        <v>46354</v>
      </c>
      <c r="T1530" s="119"/>
      <c r="U1530" s="119" t="s">
        <v>667</v>
      </c>
      <c r="V1530" s="94"/>
      <c r="W1530" s="94"/>
      <c r="X1530" s="94"/>
      <c r="Y1530" s="119">
        <v>46346</v>
      </c>
      <c r="Z1530" s="94"/>
      <c r="AA1530" s="120"/>
      <c r="AB1530" s="120"/>
      <c r="AC1530" s="120"/>
      <c r="AD1530" s="120"/>
      <c r="AE1530" s="120"/>
      <c r="AF1530" s="120"/>
      <c r="AG1530" s="94"/>
      <c r="AH1530" s="120"/>
      <c r="AI1530" s="94"/>
      <c r="AJ1530" s="94" t="s">
        <v>827</v>
      </c>
      <c r="AK1530" s="94" t="s">
        <v>267</v>
      </c>
      <c r="AL1530" s="94">
        <v>140</v>
      </c>
      <c r="AM1530" s="94" t="str">
        <f>TRIM(AJ1530)&amp;TRIM(AL1530)&amp;TRIM(AK1530)</f>
      </c>
      <c r="AN1530" s="116">
        <v>0</v>
      </c>
      <c r="AO1530" s="116" t="inlineStr">
        <is>
          <t>#NA</t>
        </is>
      </c>
      <c r="AP1530" s="116">
        <f>SUMIFS(M:M,AM:AM,AM1530)+SUMIFS(O:O,AM:AM,AM1530)</f>
      </c>
      <c r="AQ1530" s="116">
        <f>SUMIFS(L:L,AM:AM,AM1530)</f>
      </c>
      <c r="AR1530" s="116">
        <f>AQ1530-AP1530</f>
      </c>
      <c r="AS1530" s="94" t="str">
        <f>IF(AN1530&gt;=AQ1530,"ok","ck")</f>
      </c>
      <c r="AT1530" s="116">
        <f>-P1530</f>
      </c>
      <c r="AU1530" s="115">
        <f>IF(SUMIFS(AT:AT,AM:AM,AM1530)&gt;AO1530,(SUMIFS(AT:AT,AM:AM,AM1530)-AO1530))</f>
      </c>
      <c r="AV1530" s="116">
        <v>0</v>
      </c>
      <c r="AW1530" s="121">
        <v>0</v>
      </c>
      <c r="AX1530" s="115">
        <f>AN1530-AP1530</f>
      </c>
    </row>
    <row r="1531" spans="1:50" ht="15" hidden="1" customHeight="1" x14ac:dyDescent="0.3">
      <c r="A1531" s="94" t="s">
        <v>82</v>
      </c>
      <c r="B1531" s="94"/>
      <c r="C1531" s="94"/>
      <c r="D1531" s="94"/>
      <c r="E1531" s="94"/>
      <c r="F1531" s="94"/>
      <c r="G1531" s="112">
        <f>AU1531</f>
      </c>
      <c r="H1531" s="113"/>
      <c r="I1531" s="94" t="s">
        <v>240</v>
      </c>
      <c r="J1531" s="94" t="s">
        <v>66</v>
      </c>
      <c r="K1531" s="114">
        <f>P1531/3</f>
      </c>
      <c r="L1531" s="115">
        <v>4551.4759999999997</v>
      </c>
      <c r="M1531" s="116"/>
      <c r="N1531" s="117">
        <f>M1531-L1531</f>
      </c>
      <c r="O1531" s="112"/>
      <c r="P1531" s="118">
        <f>N1531+O1531</f>
      </c>
      <c r="Q1531" s="94">
        <v>459186</v>
      </c>
      <c r="R1531" s="94" t="s">
        <v>63</v>
      </c>
      <c r="S1531" s="119">
        <v>46342</v>
      </c>
      <c r="T1531" s="119"/>
      <c r="U1531" s="119" t="s">
        <v>646</v>
      </c>
      <c r="V1531" s="94"/>
      <c r="W1531" s="94"/>
      <c r="X1531" s="94"/>
      <c r="Y1531" s="119">
        <v>46333</v>
      </c>
      <c r="Z1531" s="94"/>
      <c r="AA1531" s="120"/>
      <c r="AB1531" s="120"/>
      <c r="AC1531" s="120"/>
      <c r="AD1531" s="120"/>
      <c r="AE1531" s="120"/>
      <c r="AF1531" s="120"/>
      <c r="AG1531" s="94"/>
      <c r="AH1531" s="120"/>
      <c r="AI1531" s="94"/>
      <c r="AJ1531" s="94" t="s">
        <v>801</v>
      </c>
      <c r="AK1531" s="94" t="s">
        <v>66</v>
      </c>
      <c r="AL1531" s="94">
        <v>190</v>
      </c>
      <c r="AM1531" s="94" t="str">
        <f>TRIM(AJ1531)&amp;TRIM(AL1531)&amp;TRIM(AK1531)</f>
      </c>
      <c r="AN1531" s="116">
        <v>0</v>
      </c>
      <c r="AO1531" s="116" t="inlineStr">
        <is>
          <t>#NA</t>
        </is>
      </c>
      <c r="AP1531" s="116">
        <f>SUMIFS(M:M,AM:AM,AM1531)+SUMIFS(O:O,AM:AM,AM1531)</f>
      </c>
      <c r="AQ1531" s="116">
        <f>SUMIFS(L:L,AM:AM,AM1531)</f>
      </c>
      <c r="AR1531" s="116">
        <f>AQ1531-AP1531</f>
      </c>
      <c r="AS1531" s="94" t="str">
        <f>IF(AN1531&gt;=AQ1531,"ok","ck")</f>
      </c>
      <c r="AT1531" s="116">
        <f>-P1531</f>
      </c>
      <c r="AU1531" s="115">
        <f>IF(SUMIFS(AT:AT,AM:AM,AM1531)&gt;AO1531,(SUMIFS(AT:AT,AM:AM,AM1531)-AO1531))</f>
      </c>
      <c r="AV1531" s="116">
        <v>0</v>
      </c>
      <c r="AW1531" s="121">
        <v>0</v>
      </c>
      <c r="AX1531" s="115">
        <f>AN1531-AP1531</f>
      </c>
    </row>
    <row r="1532" spans="1:50" ht="15" hidden="1" customHeight="1" x14ac:dyDescent="0.3">
      <c r="A1532" s="94" t="s">
        <v>82</v>
      </c>
      <c r="B1532" s="94"/>
      <c r="C1532" s="94"/>
      <c r="D1532" s="94"/>
      <c r="E1532" s="94"/>
      <c r="F1532" s="94"/>
      <c r="G1532" s="112">
        <f>AU1532</f>
      </c>
      <c r="H1532" s="113"/>
      <c r="I1532" s="94" t="s">
        <v>240</v>
      </c>
      <c r="J1532" s="94" t="s">
        <v>251</v>
      </c>
      <c r="K1532" s="114">
        <f>P1532/3</f>
      </c>
      <c r="L1532" s="115">
        <v>4551.4759999999997</v>
      </c>
      <c r="M1532" s="116"/>
      <c r="N1532" s="117">
        <f>M1532-L1532</f>
      </c>
      <c r="O1532" s="112"/>
      <c r="P1532" s="118">
        <f>N1532+O1532</f>
      </c>
      <c r="Q1532" s="94">
        <v>459186</v>
      </c>
      <c r="R1532" s="94" t="s">
        <v>63</v>
      </c>
      <c r="S1532" s="119">
        <v>46342</v>
      </c>
      <c r="T1532" s="119"/>
      <c r="U1532" s="119" t="s">
        <v>646</v>
      </c>
      <c r="V1532" s="94"/>
      <c r="W1532" s="94"/>
      <c r="X1532" s="94"/>
      <c r="Y1532" s="119">
        <v>46333</v>
      </c>
      <c r="Z1532" s="94"/>
      <c r="AA1532" s="120"/>
      <c r="AB1532" s="120"/>
      <c r="AC1532" s="120"/>
      <c r="AD1532" s="120"/>
      <c r="AE1532" s="120"/>
      <c r="AF1532" s="120"/>
      <c r="AG1532" s="94"/>
      <c r="AH1532" s="120"/>
      <c r="AI1532" s="94"/>
      <c r="AJ1532" s="94" t="s">
        <v>801</v>
      </c>
      <c r="AK1532" s="94" t="s">
        <v>252</v>
      </c>
      <c r="AL1532" s="94">
        <v>190</v>
      </c>
      <c r="AM1532" s="94" t="str">
        <f>TRIM(AJ1532)&amp;TRIM(AL1532)&amp;TRIM(AK1532)</f>
      </c>
      <c r="AN1532" s="116">
        <v>8989.56</v>
      </c>
      <c r="AO1532" s="116">
        <v>14610.44</v>
      </c>
      <c r="AP1532" s="116">
        <f>SUMIFS(M:M,AM:AM,AM1532)+SUMIFS(O:O,AM:AM,AM1532)</f>
      </c>
      <c r="AQ1532" s="116">
        <f>SUMIFS(L:L,AM:AM,AM1532)</f>
      </c>
      <c r="AR1532" s="116">
        <f>AQ1532-AP1532</f>
      </c>
      <c r="AS1532" s="94" t="str">
        <f>IF(AN1532&gt;=AQ1532,"ok","ck")</f>
      </c>
      <c r="AT1532" s="116">
        <f>-P1532</f>
      </c>
      <c r="AU1532" s="115">
        <f>IF(SUMIFS(AT:AT,AM:AM,AM1532)&gt;AO1532,(SUMIFS(AT:AT,AM:AM,AM1532)-AO1532))</f>
      </c>
      <c r="AV1532" s="116">
        <v>8989.56</v>
      </c>
      <c r="AW1532" s="121">
        <v>0.381</v>
      </c>
      <c r="AX1532" s="115">
        <f>AN1532-AP1532</f>
      </c>
    </row>
    <row r="1533" spans="1:50" ht="15" hidden="1" customHeight="1" x14ac:dyDescent="0.3">
      <c r="A1533" s="94" t="s">
        <v>82</v>
      </c>
      <c r="B1533" s="94"/>
      <c r="C1533" s="94"/>
      <c r="D1533" s="94"/>
      <c r="E1533" s="94"/>
      <c r="F1533" s="94"/>
      <c r="G1533" s="112">
        <f>AU1533</f>
      </c>
      <c r="H1533" s="113"/>
      <c r="I1533" s="94" t="s">
        <v>240</v>
      </c>
      <c r="J1533" s="94" t="s">
        <v>247</v>
      </c>
      <c r="K1533" s="114">
        <f>P1533/3</f>
      </c>
      <c r="L1533" s="115">
        <v>4551.4759999999997</v>
      </c>
      <c r="M1533" s="116"/>
      <c r="N1533" s="117">
        <f>M1533-L1533</f>
      </c>
      <c r="O1533" s="112"/>
      <c r="P1533" s="118">
        <f>N1533+O1533</f>
      </c>
      <c r="Q1533" s="94">
        <v>459186</v>
      </c>
      <c r="R1533" s="94" t="s">
        <v>63</v>
      </c>
      <c r="S1533" s="119">
        <v>46342</v>
      </c>
      <c r="T1533" s="119"/>
      <c r="U1533" s="119" t="s">
        <v>646</v>
      </c>
      <c r="V1533" s="94"/>
      <c r="W1533" s="94"/>
      <c r="X1533" s="94"/>
      <c r="Y1533" s="119">
        <v>46333</v>
      </c>
      <c r="Z1533" s="94"/>
      <c r="AA1533" s="120"/>
      <c r="AB1533" s="120"/>
      <c r="AC1533" s="120"/>
      <c r="AD1533" s="120"/>
      <c r="AE1533" s="120"/>
      <c r="AF1533" s="120"/>
      <c r="AG1533" s="94"/>
      <c r="AH1533" s="120"/>
      <c r="AI1533" s="94"/>
      <c r="AJ1533" s="94" t="s">
        <v>801</v>
      </c>
      <c r="AK1533" s="94" t="s">
        <v>248</v>
      </c>
      <c r="AL1533" s="94">
        <v>190</v>
      </c>
      <c r="AM1533" s="94" t="str">
        <f>TRIM(AJ1533)&amp;TRIM(AL1533)&amp;TRIM(AK1533)</f>
      </c>
      <c r="AN1533" s="116">
        <v>0</v>
      </c>
      <c r="AO1533" s="116" t="inlineStr">
        <is>
          <t>#NA</t>
        </is>
      </c>
      <c r="AP1533" s="116">
        <f>SUMIFS(M:M,AM:AM,AM1533)+SUMIFS(O:O,AM:AM,AM1533)</f>
      </c>
      <c r="AQ1533" s="116">
        <f>SUMIFS(L:L,AM:AM,AM1533)</f>
      </c>
      <c r="AR1533" s="116">
        <f>AQ1533-AP1533</f>
      </c>
      <c r="AS1533" s="94" t="str">
        <f>IF(AN1533&gt;=AQ1533,"ok","ck")</f>
      </c>
      <c r="AT1533" s="116">
        <f>-P1533</f>
      </c>
      <c r="AU1533" s="115">
        <f>IF(SUMIFS(AT:AT,AM:AM,AM1533)&gt;AO1533,(SUMIFS(AT:AT,AM:AM,AM1533)-AO1533))</f>
      </c>
      <c r="AV1533" s="116">
        <v>0</v>
      </c>
      <c r="AW1533" s="121">
        <v>0</v>
      </c>
      <c r="AX1533" s="115">
        <f>AN1533-AP1533</f>
      </c>
    </row>
    <row r="1534" spans="1:50" ht="15" hidden="1" customHeight="1" x14ac:dyDescent="0.3">
      <c r="A1534" s="94" t="s">
        <v>82</v>
      </c>
      <c r="B1534" s="94"/>
      <c r="C1534" s="94"/>
      <c r="D1534" s="94"/>
      <c r="E1534" s="94"/>
      <c r="F1534" s="94"/>
      <c r="G1534" s="112">
        <f>AU1534</f>
      </c>
      <c r="H1534" s="113"/>
      <c r="I1534" s="94" t="s">
        <v>240</v>
      </c>
      <c r="J1534" s="94" t="s">
        <v>245</v>
      </c>
      <c r="K1534" s="114">
        <f>P1534/3</f>
      </c>
      <c r="L1534" s="115">
        <v>818.98199999999997</v>
      </c>
      <c r="M1534" s="116"/>
      <c r="N1534" s="117">
        <f>M1534-L1534</f>
      </c>
      <c r="O1534" s="112"/>
      <c r="P1534" s="118">
        <f>N1534+O1534</f>
      </c>
      <c r="Q1534" s="94">
        <v>459186</v>
      </c>
      <c r="R1534" s="94" t="s">
        <v>63</v>
      </c>
      <c r="S1534" s="119">
        <v>46340</v>
      </c>
      <c r="T1534" s="119"/>
      <c r="U1534" s="119" t="s">
        <v>646</v>
      </c>
      <c r="V1534" s="94"/>
      <c r="W1534" s="94"/>
      <c r="X1534" s="94"/>
      <c r="Y1534" s="119">
        <v>46331</v>
      </c>
      <c r="Z1534" s="94"/>
      <c r="AA1534" s="120"/>
      <c r="AB1534" s="120"/>
      <c r="AC1534" s="120"/>
      <c r="AD1534" s="120"/>
      <c r="AE1534" s="120"/>
      <c r="AF1534" s="120"/>
      <c r="AG1534" s="94"/>
      <c r="AH1534" s="120"/>
      <c r="AI1534" s="94"/>
      <c r="AJ1534" s="94" t="s">
        <v>801</v>
      </c>
      <c r="AK1534" s="94" t="s">
        <v>246</v>
      </c>
      <c r="AL1534" s="94">
        <v>190</v>
      </c>
      <c r="AM1534" s="94" t="str">
        <f>TRIM(AJ1534)&amp;TRIM(AL1534)&amp;TRIM(AK1534)</f>
      </c>
      <c r="AN1534" s="116">
        <v>0</v>
      </c>
      <c r="AO1534" s="116" t="inlineStr">
        <is>
          <t>#NA</t>
        </is>
      </c>
      <c r="AP1534" s="116">
        <f>SUMIFS(M:M,AM:AM,AM1534)+SUMIFS(O:O,AM:AM,AM1534)</f>
      </c>
      <c r="AQ1534" s="116">
        <f>SUMIFS(L:L,AM:AM,AM1534)</f>
      </c>
      <c r="AR1534" s="116">
        <f>AQ1534-AP1534</f>
      </c>
      <c r="AS1534" s="94" t="str">
        <f>IF(AN1534&gt;=AQ1534,"ok","ck")</f>
      </c>
      <c r="AT1534" s="116">
        <f>-P1534</f>
      </c>
      <c r="AU1534" s="115">
        <f>IF(SUMIFS(AT:AT,AM:AM,AM1534)&gt;AO1534,(SUMIFS(AT:AT,AM:AM,AM1534)-AO1534))</f>
      </c>
      <c r="AV1534" s="116">
        <v>0</v>
      </c>
      <c r="AW1534" s="121">
        <v>0</v>
      </c>
      <c r="AX1534" s="115">
        <f>AN1534-AP1534</f>
      </c>
    </row>
    <row r="1535" spans="1:50" ht="15" hidden="1" customHeight="1" x14ac:dyDescent="0.3">
      <c r="A1535" s="94" t="s">
        <v>82</v>
      </c>
      <c r="B1535" s="94"/>
      <c r="C1535" s="94"/>
      <c r="D1535" s="94"/>
      <c r="E1535" s="94"/>
      <c r="F1535" s="94"/>
      <c r="G1535" s="112">
        <f>AU1535</f>
      </c>
      <c r="H1535" s="113"/>
      <c r="I1535" s="94" t="s">
        <v>240</v>
      </c>
      <c r="J1535" s="94" t="s">
        <v>241</v>
      </c>
      <c r="K1535" s="114">
        <f>P1535/3</f>
      </c>
      <c r="L1535" s="115">
        <v>818.98199999999997</v>
      </c>
      <c r="M1535" s="116"/>
      <c r="N1535" s="117">
        <f>M1535-L1535</f>
      </c>
      <c r="O1535" s="112"/>
      <c r="P1535" s="118">
        <f>N1535+O1535</f>
      </c>
      <c r="Q1535" s="94">
        <v>459186</v>
      </c>
      <c r="R1535" s="94" t="s">
        <v>63</v>
      </c>
      <c r="S1535" s="119">
        <v>46340</v>
      </c>
      <c r="T1535" s="119"/>
      <c r="U1535" s="119" t="s">
        <v>646</v>
      </c>
      <c r="V1535" s="94"/>
      <c r="W1535" s="94"/>
      <c r="X1535" s="94"/>
      <c r="Y1535" s="119">
        <v>46331</v>
      </c>
      <c r="Z1535" s="94"/>
      <c r="AA1535" s="120"/>
      <c r="AB1535" s="120"/>
      <c r="AC1535" s="120"/>
      <c r="AD1535" s="120"/>
      <c r="AE1535" s="120"/>
      <c r="AF1535" s="120"/>
      <c r="AG1535" s="94"/>
      <c r="AH1535" s="120"/>
      <c r="AI1535" s="94"/>
      <c r="AJ1535" s="94" t="s">
        <v>801</v>
      </c>
      <c r="AK1535" s="94" t="s">
        <v>244</v>
      </c>
      <c r="AL1535" s="94">
        <v>190</v>
      </c>
      <c r="AM1535" s="94" t="str">
        <f>TRIM(AJ1535)&amp;TRIM(AL1535)&amp;TRIM(AK1535)</f>
      </c>
      <c r="AN1535" s="116">
        <v>0</v>
      </c>
      <c r="AO1535" s="116" t="inlineStr">
        <is>
          <t>#NA</t>
        </is>
      </c>
      <c r="AP1535" s="116">
        <f>SUMIFS(M:M,AM:AM,AM1535)+SUMIFS(O:O,AM:AM,AM1535)</f>
      </c>
      <c r="AQ1535" s="116">
        <f>SUMIFS(L:L,AM:AM,AM1535)</f>
      </c>
      <c r="AR1535" s="116">
        <f>AQ1535-AP1535</f>
      </c>
      <c r="AS1535" s="94" t="str">
        <f>IF(AN1535&gt;=AQ1535,"ok","ck")</f>
      </c>
      <c r="AT1535" s="116">
        <f>-P1535</f>
      </c>
      <c r="AU1535" s="115">
        <f>IF(SUMIFS(AT:AT,AM:AM,AM1535)&gt;AO1535,(SUMIFS(AT:AT,AM:AM,AM1535)-AO1535))</f>
      </c>
      <c r="AV1535" s="116">
        <v>0</v>
      </c>
      <c r="AW1535" s="121">
        <v>0</v>
      </c>
      <c r="AX1535" s="115">
        <f>AN1535-AP1535</f>
      </c>
    </row>
    <row r="1536" spans="1:50" ht="15" hidden="1" customHeight="1" x14ac:dyDescent="0.3">
      <c r="A1536" s="94" t="s">
        <v>82</v>
      </c>
      <c r="B1536" s="94"/>
      <c r="C1536" s="94"/>
      <c r="D1536" s="94"/>
      <c r="E1536" s="94"/>
      <c r="F1536" s="94"/>
      <c r="G1536" s="112">
        <f>AU1536</f>
      </c>
      <c r="H1536" s="113"/>
      <c r="I1536" s="94" t="s">
        <v>240</v>
      </c>
      <c r="J1536" s="94" t="s">
        <v>249</v>
      </c>
      <c r="K1536" s="114">
        <f>P1536/3</f>
      </c>
      <c r="L1536" s="115">
        <v>818.98199999999997</v>
      </c>
      <c r="M1536" s="116"/>
      <c r="N1536" s="117">
        <f>M1536-L1536</f>
      </c>
      <c r="O1536" s="112"/>
      <c r="P1536" s="118">
        <f>N1536+O1536</f>
      </c>
      <c r="Q1536" s="94">
        <v>459186</v>
      </c>
      <c r="R1536" s="94" t="s">
        <v>63</v>
      </c>
      <c r="S1536" s="119">
        <v>46340</v>
      </c>
      <c r="T1536" s="119"/>
      <c r="U1536" s="119" t="s">
        <v>646</v>
      </c>
      <c r="V1536" s="94"/>
      <c r="W1536" s="94"/>
      <c r="X1536" s="94"/>
      <c r="Y1536" s="119">
        <v>46331</v>
      </c>
      <c r="Z1536" s="94"/>
      <c r="AA1536" s="120"/>
      <c r="AB1536" s="120"/>
      <c r="AC1536" s="120"/>
      <c r="AD1536" s="120"/>
      <c r="AE1536" s="120"/>
      <c r="AF1536" s="120"/>
      <c r="AG1536" s="94"/>
      <c r="AH1536" s="120"/>
      <c r="AI1536" s="94"/>
      <c r="AJ1536" s="94" t="s">
        <v>801</v>
      </c>
      <c r="AK1536" s="94" t="s">
        <v>250</v>
      </c>
      <c r="AL1536" s="94">
        <v>190</v>
      </c>
      <c r="AM1536" s="94" t="str">
        <f>TRIM(AJ1536)&amp;TRIM(AL1536)&amp;TRIM(AK1536)</f>
      </c>
      <c r="AN1536" s="116">
        <v>1995</v>
      </c>
      <c r="AO1536" s="116">
        <v>13260</v>
      </c>
      <c r="AP1536" s="116">
        <f>SUMIFS(M:M,AM:AM,AM1536)+SUMIFS(O:O,AM:AM,AM1536)</f>
      </c>
      <c r="AQ1536" s="116">
        <f>SUMIFS(L:L,AM:AM,AM1536)</f>
      </c>
      <c r="AR1536" s="116">
        <f>AQ1536-AP1536</f>
      </c>
      <c r="AS1536" s="94" t="str">
        <f>IF(AN1536&gt;=AQ1536,"ok","ck")</f>
      </c>
      <c r="AT1536" s="116">
        <f>-P1536</f>
      </c>
      <c r="AU1536" s="115">
        <f>IF(SUMIFS(AT:AT,AM:AM,AM1536)&gt;AO1536,(SUMIFS(AT:AT,AM:AM,AM1536)-AO1536))</f>
      </c>
      <c r="AV1536" s="116">
        <v>1995</v>
      </c>
      <c r="AW1536" s="121">
        <v>0.131</v>
      </c>
      <c r="AX1536" s="115">
        <f>AN1536-AP1536</f>
      </c>
    </row>
    <row r="1537" spans="1:50" ht="15" hidden="1" customHeight="1" x14ac:dyDescent="0.3">
      <c r="A1537" s="94" t="s">
        <v>151</v>
      </c>
      <c r="B1537" s="94"/>
      <c r="C1537" s="94"/>
      <c r="D1537" s="94"/>
      <c r="E1537" s="94"/>
      <c r="F1537" s="94"/>
      <c r="G1537" s="112">
        <f>AU1537</f>
      </c>
      <c r="H1537" s="113"/>
      <c r="I1537" s="94" t="s">
        <v>209</v>
      </c>
      <c r="J1537" s="94" t="s">
        <v>210</v>
      </c>
      <c r="K1537" s="114">
        <f>P1537/3</f>
      </c>
      <c r="L1537" s="115">
        <v>0</v>
      </c>
      <c r="M1537" s="116">
        <f>L1537</f>
      </c>
      <c r="N1537" s="117">
        <f>M1537-L1537</f>
      </c>
      <c r="O1537" s="112"/>
      <c r="P1537" s="118">
        <f>N1537+O1537</f>
      </c>
      <c r="Q1537" s="94" t="s">
        <v>211</v>
      </c>
      <c r="R1537" s="94" t="s">
        <v>63</v>
      </c>
      <c r="S1537" s="119">
        <v>46327</v>
      </c>
      <c r="T1537" s="119"/>
      <c r="U1537" s="119">
        <v>46327</v>
      </c>
      <c r="V1537" s="94"/>
      <c r="W1537" s="94"/>
      <c r="X1537" s="94"/>
      <c r="Y1537" s="119">
        <v>46327</v>
      </c>
      <c r="Z1537" s="94"/>
      <c r="AA1537" s="120"/>
      <c r="AB1537" s="120"/>
      <c r="AC1537" s="120"/>
      <c r="AD1537" s="120"/>
      <c r="AE1537" s="120"/>
      <c r="AF1537" s="120"/>
      <c r="AG1537" s="94"/>
      <c r="AH1537" s="120"/>
      <c r="AI1537" s="94"/>
      <c r="AJ1537" s="94" t="s">
        <v>211</v>
      </c>
      <c r="AK1537" s="94" t="s">
        <v>212</v>
      </c>
      <c r="AL1537" s="94">
        <v>160</v>
      </c>
      <c r="AM1537" s="94" t="str">
        <f>TRIM(AJ1537)&amp;TRIM(AL1537)&amp;TRIM(AK1537)</f>
      </c>
      <c r="AN1537" s="116">
        <v>9169.78</v>
      </c>
      <c r="AO1537" s="116">
        <v>-169.78</v>
      </c>
      <c r="AP1537" s="116">
        <f>SUMIFS(M:M,AM:AM,AM1537)+SUMIFS(O:O,AM:AM,AM1537)</f>
      </c>
      <c r="AQ1537" s="116">
        <f>SUMIFS(L:L,AM:AM,AM1537)</f>
      </c>
      <c r="AR1537" s="116">
        <f>AQ1537-AP1537</f>
      </c>
      <c r="AS1537" s="94" t="str">
        <f>IF(AN1537&gt;=AQ1537,"ok","ck")</f>
      </c>
      <c r="AT1537" s="116">
        <f>-P1537</f>
      </c>
      <c r="AU1537" s="115">
        <f>IF(SUMIFS(AT:AT,AM:AM,AM1537)&gt;AO1537,(SUMIFS(AT:AT,AM:AM,AM1537)-AO1537))</f>
      </c>
      <c r="AV1537" s="116">
        <v>9169.78</v>
      </c>
      <c r="AW1537" s="121">
        <v>1.019</v>
      </c>
      <c r="AX1537" s="115">
        <f>AN1537-AP1537</f>
      </c>
    </row>
    <row r="1538" spans="1:50" ht="15" hidden="1" customHeight="1" x14ac:dyDescent="0.3">
      <c r="A1538" s="94" t="s">
        <v>151</v>
      </c>
      <c r="B1538" s="94"/>
      <c r="C1538" s="94"/>
      <c r="D1538" s="94"/>
      <c r="E1538" s="94"/>
      <c r="F1538" s="94"/>
      <c r="G1538" s="112">
        <f>AU1538</f>
      </c>
      <c r="H1538" s="113"/>
      <c r="I1538" s="94" t="s">
        <v>209</v>
      </c>
      <c r="J1538" s="94" t="s">
        <v>114</v>
      </c>
      <c r="K1538" s="114">
        <f>P1538/3</f>
      </c>
      <c r="L1538" s="115">
        <v>1000</v>
      </c>
      <c r="M1538" s="116">
        <v>1000</v>
      </c>
      <c r="N1538" s="117">
        <f>M1538-L1538</f>
      </c>
      <c r="O1538" s="112"/>
      <c r="P1538" s="118">
        <f>N1538+O1538</f>
      </c>
      <c r="Q1538" s="94" t="s">
        <v>211</v>
      </c>
      <c r="R1538" s="94" t="s">
        <v>63</v>
      </c>
      <c r="S1538" s="119">
        <v>46327</v>
      </c>
      <c r="T1538" s="119"/>
      <c r="U1538" s="120" t="s">
        <v>668</v>
      </c>
      <c r="V1538" s="94"/>
      <c r="W1538" s="94"/>
      <c r="X1538" s="94"/>
      <c r="Y1538" s="119">
        <v>46328</v>
      </c>
      <c r="Z1538" s="94"/>
      <c r="AA1538" s="120"/>
      <c r="AB1538" s="120"/>
      <c r="AC1538" s="120"/>
      <c r="AD1538" s="120"/>
      <c r="AE1538" s="120"/>
      <c r="AF1538" s="120"/>
      <c r="AG1538" s="94"/>
      <c r="AH1538" s="120"/>
      <c r="AI1538" s="94"/>
      <c r="AJ1538" s="94" t="s">
        <v>211</v>
      </c>
      <c r="AK1538" s="94" t="s">
        <v>227</v>
      </c>
      <c r="AL1538" s="94">
        <v>160</v>
      </c>
      <c r="AM1538" s="94" t="str">
        <f>TRIM(AJ1538)&amp;TRIM(AL1538)&amp;TRIM(AK1538)</f>
      </c>
      <c r="AN1538" s="116">
        <v>38023.68</v>
      </c>
      <c r="AO1538" s="116">
        <v>9976.32</v>
      </c>
      <c r="AP1538" s="116">
        <f>SUMIFS(M:M,AM:AM,AM1538)+SUMIFS(O:O,AM:AM,AM1538)</f>
      </c>
      <c r="AQ1538" s="116">
        <f>SUMIFS(L:L,AM:AM,AM1538)</f>
      </c>
      <c r="AR1538" s="116">
        <f>AQ1538-AP1538</f>
      </c>
      <c r="AS1538" s="94" t="str">
        <f>IF(AN1538&gt;=AQ1538,"ok","ck")</f>
      </c>
      <c r="AT1538" s="116">
        <f>-P1538</f>
      </c>
      <c r="AU1538" s="115">
        <f>IF(SUMIFS(AT:AT,AM:AM,AM1538)&gt;AO1538,(SUMIFS(AT:AT,AM:AM,AM1538)-AO1538))</f>
      </c>
      <c r="AV1538" s="116">
        <v>10025.37</v>
      </c>
      <c r="AW1538" s="121">
        <v>0.967</v>
      </c>
      <c r="AX1538" s="115">
        <f>AN1538-AP1538</f>
      </c>
    </row>
    <row r="1539" spans="1:50" ht="15" hidden="1" customHeight="1" x14ac:dyDescent="0.3">
      <c r="A1539" s="94" t="s">
        <v>151</v>
      </c>
      <c r="B1539" s="94"/>
      <c r="C1539" s="94"/>
      <c r="D1539" s="94"/>
      <c r="E1539" s="94"/>
      <c r="F1539" s="94"/>
      <c r="G1539" s="112">
        <f>AU1539</f>
      </c>
      <c r="H1539" s="113"/>
      <c r="I1539" s="94" t="s">
        <v>209</v>
      </c>
      <c r="J1539" s="94" t="s">
        <v>114</v>
      </c>
      <c r="K1539" s="114">
        <f>P1539/3</f>
      </c>
      <c r="L1539" s="115">
        <v>1000</v>
      </c>
      <c r="M1539" s="116">
        <v>1000</v>
      </c>
      <c r="N1539" s="117">
        <f>M1539-L1539</f>
      </c>
      <c r="O1539" s="112"/>
      <c r="P1539" s="118">
        <f>N1539+O1539</f>
      </c>
      <c r="Q1539" s="94" t="s">
        <v>211</v>
      </c>
      <c r="R1539" s="94" t="s">
        <v>63</v>
      </c>
      <c r="S1539" s="119">
        <v>46328</v>
      </c>
      <c r="T1539" s="119"/>
      <c r="U1539" s="120" t="s">
        <v>668</v>
      </c>
      <c r="V1539" s="94"/>
      <c r="W1539" s="94"/>
      <c r="X1539" s="94"/>
      <c r="Y1539" s="119">
        <v>46336</v>
      </c>
      <c r="Z1539" s="94"/>
      <c r="AA1539" s="120"/>
      <c r="AB1539" s="120"/>
      <c r="AC1539" s="120"/>
      <c r="AD1539" s="120"/>
      <c r="AE1539" s="120"/>
      <c r="AF1539" s="120"/>
      <c r="AG1539" s="94"/>
      <c r="AH1539" s="120"/>
      <c r="AI1539" s="94"/>
      <c r="AJ1539" s="94" t="s">
        <v>211</v>
      </c>
      <c r="AK1539" s="94" t="s">
        <v>227</v>
      </c>
      <c r="AL1539" s="94">
        <v>160</v>
      </c>
      <c r="AM1539" s="94" t="str">
        <f>TRIM(AJ1539)&amp;TRIM(AL1539)&amp;TRIM(AK1539)</f>
      </c>
      <c r="AN1539" s="116">
        <v>38023.68</v>
      </c>
      <c r="AO1539" s="116">
        <v>9976.32</v>
      </c>
      <c r="AP1539" s="116">
        <f>SUMIFS(M:M,AM:AM,AM1539)+SUMIFS(O:O,AM:AM,AM1539)</f>
      </c>
      <c r="AQ1539" s="116">
        <f>SUMIFS(L:L,AM:AM,AM1539)</f>
      </c>
      <c r="AR1539" s="116">
        <f>AQ1539-AP1539</f>
      </c>
      <c r="AS1539" s="94" t="str">
        <f>IF(AN1539&gt;=AQ1539,"ok","ck")</f>
      </c>
      <c r="AT1539" s="116">
        <f>-P1539</f>
      </c>
      <c r="AU1539" s="115">
        <f>IF(SUMIFS(AT:AT,AM:AM,AM1539)&gt;AO1539,(SUMIFS(AT:AT,AM:AM,AM1539)-AO1539))</f>
      </c>
      <c r="AV1539" s="116">
        <v>10025.37</v>
      </c>
      <c r="AW1539" s="121">
        <v>0.967</v>
      </c>
      <c r="AX1539" s="115">
        <f>AN1539-AP1539</f>
      </c>
    </row>
    <row r="1540" spans="1:50" ht="15" hidden="1" customHeight="1" x14ac:dyDescent="0.3">
      <c r="A1540" s="94" t="s">
        <v>151</v>
      </c>
      <c r="B1540" s="94"/>
      <c r="C1540" s="94"/>
      <c r="D1540" s="94"/>
      <c r="E1540" s="94"/>
      <c r="F1540" s="94"/>
      <c r="G1540" s="112">
        <f>AU1540</f>
      </c>
      <c r="H1540" s="113"/>
      <c r="I1540" s="94" t="s">
        <v>209</v>
      </c>
      <c r="J1540" s="94" t="s">
        <v>114</v>
      </c>
      <c r="K1540" s="114">
        <f>P1540/3</f>
      </c>
      <c r="L1540" s="115">
        <v>1000</v>
      </c>
      <c r="M1540" s="116">
        <v>1000</v>
      </c>
      <c r="N1540" s="117">
        <f>M1540-L1540</f>
      </c>
      <c r="O1540" s="112"/>
      <c r="P1540" s="118">
        <f>N1540+O1540</f>
      </c>
      <c r="Q1540" s="94" t="s">
        <v>211</v>
      </c>
      <c r="R1540" s="94" t="s">
        <v>63</v>
      </c>
      <c r="S1540" s="119">
        <v>46329</v>
      </c>
      <c r="T1540" s="119"/>
      <c r="U1540" s="120" t="s">
        <v>668</v>
      </c>
      <c r="V1540" s="94"/>
      <c r="W1540" s="94"/>
      <c r="X1540" s="94"/>
      <c r="Y1540" s="119">
        <v>46336</v>
      </c>
      <c r="Z1540" s="94"/>
      <c r="AA1540" s="120"/>
      <c r="AB1540" s="120"/>
      <c r="AC1540" s="120"/>
      <c r="AD1540" s="120"/>
      <c r="AE1540" s="120"/>
      <c r="AF1540" s="120"/>
      <c r="AG1540" s="94"/>
      <c r="AH1540" s="120"/>
      <c r="AI1540" s="94"/>
      <c r="AJ1540" s="94" t="s">
        <v>211</v>
      </c>
      <c r="AK1540" s="94" t="s">
        <v>227</v>
      </c>
      <c r="AL1540" s="94">
        <v>160</v>
      </c>
      <c r="AM1540" s="94" t="str">
        <f>TRIM(AJ1540)&amp;TRIM(AL1540)&amp;TRIM(AK1540)</f>
      </c>
      <c r="AN1540" s="116">
        <v>38023.68</v>
      </c>
      <c r="AO1540" s="116">
        <v>9976.32</v>
      </c>
      <c r="AP1540" s="116">
        <f>SUMIFS(M:M,AM:AM,AM1540)+SUMIFS(O:O,AM:AM,AM1540)</f>
      </c>
      <c r="AQ1540" s="116">
        <f>SUMIFS(L:L,AM:AM,AM1540)</f>
      </c>
      <c r="AR1540" s="116">
        <f>AQ1540-AP1540</f>
      </c>
      <c r="AS1540" s="94" t="str">
        <f>IF(AN1540&gt;=AQ1540,"ok","ck")</f>
      </c>
      <c r="AT1540" s="116">
        <f>-P1540</f>
      </c>
      <c r="AU1540" s="115">
        <f>IF(SUMIFS(AT:AT,AM:AM,AM1540)&gt;AO1540,(SUMIFS(AT:AT,AM:AM,AM1540)-AO1540))</f>
      </c>
      <c r="AV1540" s="116">
        <v>10025.37</v>
      </c>
      <c r="AW1540" s="121">
        <v>0.967</v>
      </c>
      <c r="AX1540" s="115">
        <f>AN1540-AP1540</f>
      </c>
    </row>
    <row r="1541" spans="1:50" ht="15" hidden="1" customHeight="1" x14ac:dyDescent="0.3">
      <c r="A1541" s="94" t="s">
        <v>151</v>
      </c>
      <c r="B1541" s="94"/>
      <c r="C1541" s="94"/>
      <c r="D1541" s="94"/>
      <c r="E1541" s="94"/>
      <c r="F1541" s="94"/>
      <c r="G1541" s="112">
        <f>AU1541</f>
      </c>
      <c r="H1541" s="113"/>
      <c r="I1541" s="94" t="s">
        <v>209</v>
      </c>
      <c r="J1541" s="94" t="s">
        <v>114</v>
      </c>
      <c r="K1541" s="114">
        <f>P1541/3</f>
      </c>
      <c r="L1541" s="115">
        <v>1000</v>
      </c>
      <c r="M1541" s="116">
        <v>1000</v>
      </c>
      <c r="N1541" s="117">
        <f>M1541-L1541</f>
      </c>
      <c r="O1541" s="112"/>
      <c r="P1541" s="118">
        <f>N1541+O1541</f>
      </c>
      <c r="Q1541" s="94" t="s">
        <v>211</v>
      </c>
      <c r="R1541" s="94" t="s">
        <v>63</v>
      </c>
      <c r="S1541" s="119">
        <v>46330</v>
      </c>
      <c r="T1541" s="119"/>
      <c r="U1541" s="120" t="s">
        <v>668</v>
      </c>
      <c r="V1541" s="94"/>
      <c r="W1541" s="94"/>
      <c r="X1541" s="94"/>
      <c r="Y1541" s="119">
        <v>46336</v>
      </c>
      <c r="Z1541" s="94"/>
      <c r="AA1541" s="120"/>
      <c r="AB1541" s="120"/>
      <c r="AC1541" s="120"/>
      <c r="AD1541" s="120"/>
      <c r="AE1541" s="120"/>
      <c r="AF1541" s="120"/>
      <c r="AG1541" s="94"/>
      <c r="AH1541" s="120"/>
      <c r="AI1541" s="94"/>
      <c r="AJ1541" s="94" t="s">
        <v>211</v>
      </c>
      <c r="AK1541" s="94" t="s">
        <v>227</v>
      </c>
      <c r="AL1541" s="94">
        <v>160</v>
      </c>
      <c r="AM1541" s="94" t="str">
        <f>TRIM(AJ1541)&amp;TRIM(AL1541)&amp;TRIM(AK1541)</f>
      </c>
      <c r="AN1541" s="116">
        <v>38023.68</v>
      </c>
      <c r="AO1541" s="116">
        <v>9976.32</v>
      </c>
      <c r="AP1541" s="116">
        <f>SUMIFS(M:M,AM:AM,AM1541)+SUMIFS(O:O,AM:AM,AM1541)</f>
      </c>
      <c r="AQ1541" s="116">
        <f>SUMIFS(L:L,AM:AM,AM1541)</f>
      </c>
      <c r="AR1541" s="116">
        <f>AQ1541-AP1541</f>
      </c>
      <c r="AS1541" s="94" t="str">
        <f>IF(AN1541&gt;=AQ1541,"ok","ck")</f>
      </c>
      <c r="AT1541" s="116">
        <f>-P1541</f>
      </c>
      <c r="AU1541" s="115">
        <f>IF(SUMIFS(AT:AT,AM:AM,AM1541)&gt;AO1541,(SUMIFS(AT:AT,AM:AM,AM1541)-AO1541))</f>
      </c>
      <c r="AV1541" s="116">
        <v>10025.37</v>
      </c>
      <c r="AW1541" s="121">
        <v>0.967</v>
      </c>
      <c r="AX1541" s="115">
        <f>AN1541-AP1541</f>
      </c>
    </row>
    <row r="1542" spans="1:50" ht="15" hidden="1" customHeight="1" x14ac:dyDescent="0.3">
      <c r="A1542" s="94" t="s">
        <v>151</v>
      </c>
      <c r="B1542" s="94"/>
      <c r="C1542" s="94"/>
      <c r="D1542" s="94"/>
      <c r="E1542" s="94"/>
      <c r="F1542" s="94"/>
      <c r="G1542" s="112">
        <f>AU1542</f>
      </c>
      <c r="H1542" s="113"/>
      <c r="I1542" s="94" t="s">
        <v>209</v>
      </c>
      <c r="J1542" s="94" t="s">
        <v>114</v>
      </c>
      <c r="K1542" s="114">
        <f>P1542/3</f>
      </c>
      <c r="L1542" s="115">
        <v>1000</v>
      </c>
      <c r="M1542" s="116">
        <v>1000</v>
      </c>
      <c r="N1542" s="117">
        <f>M1542-L1542</f>
      </c>
      <c r="O1542" s="112"/>
      <c r="P1542" s="118">
        <f>N1542+O1542</f>
      </c>
      <c r="Q1542" s="94" t="s">
        <v>211</v>
      </c>
      <c r="R1542" s="94" t="s">
        <v>63</v>
      </c>
      <c r="S1542" s="119">
        <v>46331</v>
      </c>
      <c r="T1542" s="119"/>
      <c r="U1542" s="119" t="s">
        <v>668</v>
      </c>
      <c r="V1542" s="94"/>
      <c r="W1542" s="94"/>
      <c r="X1542" s="94"/>
      <c r="Y1542" s="119">
        <v>46336</v>
      </c>
      <c r="Z1542" s="94"/>
      <c r="AA1542" s="120"/>
      <c r="AB1542" s="120"/>
      <c r="AC1542" s="120"/>
      <c r="AD1542" s="120"/>
      <c r="AE1542" s="120"/>
      <c r="AF1542" s="120"/>
      <c r="AG1542" s="94"/>
      <c r="AH1542" s="120"/>
      <c r="AI1542" s="94"/>
      <c r="AJ1542" s="94" t="s">
        <v>211</v>
      </c>
      <c r="AK1542" s="94" t="s">
        <v>227</v>
      </c>
      <c r="AL1542" s="94">
        <v>160</v>
      </c>
      <c r="AM1542" s="94" t="str">
        <f>TRIM(AJ1542)&amp;TRIM(AL1542)&amp;TRIM(AK1542)</f>
      </c>
      <c r="AN1542" s="116">
        <v>38023.68</v>
      </c>
      <c r="AO1542" s="116">
        <v>9976.32</v>
      </c>
      <c r="AP1542" s="116">
        <f>SUMIFS(M:M,AM:AM,AM1542)+SUMIFS(O:O,AM:AM,AM1542)</f>
      </c>
      <c r="AQ1542" s="116">
        <f>SUMIFS(L:L,AM:AM,AM1542)</f>
      </c>
      <c r="AR1542" s="116">
        <f>AQ1542-AP1542</f>
      </c>
      <c r="AS1542" s="94" t="str">
        <f>IF(AN1542&gt;=AQ1542,"ok","ck")</f>
      </c>
      <c r="AT1542" s="116">
        <f>-P1542</f>
      </c>
      <c r="AU1542" s="115">
        <f>IF(SUMIFS(AT:AT,AM:AM,AM1542)&gt;AO1542,(SUMIFS(AT:AT,AM:AM,AM1542)-AO1542))</f>
      </c>
      <c r="AV1542" s="116">
        <v>10025.37</v>
      </c>
      <c r="AW1542" s="121">
        <v>0.967</v>
      </c>
      <c r="AX1542" s="115">
        <f>AN1542-AP1542</f>
      </c>
    </row>
    <row r="1543" spans="1:50" ht="15" hidden="1" customHeight="1" x14ac:dyDescent="0.3">
      <c r="A1543" s="94" t="s">
        <v>151</v>
      </c>
      <c r="B1543" s="94"/>
      <c r="C1543" s="94"/>
      <c r="D1543" s="94"/>
      <c r="E1543" s="94"/>
      <c r="F1543" s="94"/>
      <c r="G1543" s="112">
        <f>AU1543</f>
      </c>
      <c r="H1543" s="113"/>
      <c r="I1543" s="94" t="s">
        <v>209</v>
      </c>
      <c r="J1543" s="94" t="s">
        <v>114</v>
      </c>
      <c r="K1543" s="114">
        <f>P1543/3</f>
      </c>
      <c r="L1543" s="115">
        <v>1000</v>
      </c>
      <c r="M1543" s="116">
        <v>688.62300000000005</v>
      </c>
      <c r="N1543" s="117">
        <f>M1543-L1543</f>
      </c>
      <c r="O1543" s="112"/>
      <c r="P1543" s="118">
        <f>N1543+O1543</f>
      </c>
      <c r="Q1543" s="94" t="s">
        <v>211</v>
      </c>
      <c r="R1543" s="94" t="s">
        <v>63</v>
      </c>
      <c r="S1543" s="119">
        <v>46332</v>
      </c>
      <c r="T1543" s="119"/>
      <c r="U1543" s="120" t="s">
        <v>668</v>
      </c>
      <c r="V1543" s="94"/>
      <c r="W1543" s="94"/>
      <c r="X1543" s="94"/>
      <c r="Y1543" s="119">
        <v>46336</v>
      </c>
      <c r="Z1543" s="94"/>
      <c r="AA1543" s="120"/>
      <c r="AB1543" s="120"/>
      <c r="AC1543" s="120"/>
      <c r="AD1543" s="120"/>
      <c r="AE1543" s="120"/>
      <c r="AF1543" s="120"/>
      <c r="AG1543" s="94"/>
      <c r="AH1543" s="120"/>
      <c r="AI1543" s="94"/>
      <c r="AJ1543" s="94" t="s">
        <v>211</v>
      </c>
      <c r="AK1543" s="94" t="s">
        <v>227</v>
      </c>
      <c r="AL1543" s="94">
        <v>160</v>
      </c>
      <c r="AM1543" s="94" t="str">
        <f>TRIM(AJ1543)&amp;TRIM(AL1543)&amp;TRIM(AK1543)</f>
      </c>
      <c r="AN1543" s="116">
        <v>38023.68</v>
      </c>
      <c r="AO1543" s="116">
        <v>9976.32</v>
      </c>
      <c r="AP1543" s="116">
        <f>SUMIFS(M:M,AM:AM,AM1543)+SUMIFS(O:O,AM:AM,AM1543)</f>
      </c>
      <c r="AQ1543" s="116">
        <f>SUMIFS(L:L,AM:AM,AM1543)</f>
      </c>
      <c r="AR1543" s="116">
        <f>AQ1543-AP1543</f>
      </c>
      <c r="AS1543" s="94" t="str">
        <f>IF(AN1543&gt;=AQ1543,"ok","ck")</f>
      </c>
      <c r="AT1543" s="116">
        <f>-P1543</f>
      </c>
      <c r="AU1543" s="115">
        <f>IF(SUMIFS(AT:AT,AM:AM,AM1543)&gt;AO1543,(SUMIFS(AT:AT,AM:AM,AM1543)-AO1543))</f>
      </c>
      <c r="AV1543" s="116">
        <v>10025.37</v>
      </c>
      <c r="AW1543" s="121">
        <v>0.967</v>
      </c>
      <c r="AX1543" s="115">
        <f>AN1543-AP1543</f>
      </c>
    </row>
    <row r="1544" spans="1:50" ht="15" hidden="1" customHeight="1" x14ac:dyDescent="0.3">
      <c r="A1544" s="94" t="s">
        <v>151</v>
      </c>
      <c r="B1544" s="94"/>
      <c r="C1544" s="94"/>
      <c r="D1544" s="94"/>
      <c r="E1544" s="94"/>
      <c r="F1544" s="94"/>
      <c r="G1544" s="112">
        <f>AU1544</f>
      </c>
      <c r="H1544" s="113"/>
      <c r="I1544" s="94" t="s">
        <v>209</v>
      </c>
      <c r="J1544" s="94" t="s">
        <v>114</v>
      </c>
      <c r="K1544" s="114">
        <f>P1544/3</f>
      </c>
      <c r="L1544" s="115">
        <v>1000</v>
      </c>
      <c r="M1544" s="116"/>
      <c r="N1544" s="117">
        <f>M1544-L1544</f>
      </c>
      <c r="O1544" s="112"/>
      <c r="P1544" s="118">
        <f>N1544+O1544</f>
      </c>
      <c r="Q1544" s="94" t="s">
        <v>211</v>
      </c>
      <c r="R1544" s="94" t="s">
        <v>63</v>
      </c>
      <c r="S1544" s="119">
        <v>46333</v>
      </c>
      <c r="T1544" s="119"/>
      <c r="U1544" s="120" t="s">
        <v>668</v>
      </c>
      <c r="V1544" s="94"/>
      <c r="W1544" s="94"/>
      <c r="X1544" s="94"/>
      <c r="Y1544" s="119">
        <v>46336</v>
      </c>
      <c r="Z1544" s="94"/>
      <c r="AA1544" s="120"/>
      <c r="AB1544" s="120"/>
      <c r="AC1544" s="120"/>
      <c r="AD1544" s="120"/>
      <c r="AE1544" s="120"/>
      <c r="AF1544" s="120"/>
      <c r="AG1544" s="94"/>
      <c r="AH1544" s="120"/>
      <c r="AI1544" s="94"/>
      <c r="AJ1544" s="94" t="s">
        <v>211</v>
      </c>
      <c r="AK1544" s="94" t="s">
        <v>227</v>
      </c>
      <c r="AL1544" s="94">
        <v>160</v>
      </c>
      <c r="AM1544" s="94" t="str">
        <f>TRIM(AJ1544)&amp;TRIM(AL1544)&amp;TRIM(AK1544)</f>
      </c>
      <c r="AN1544" s="116">
        <v>38023.68</v>
      </c>
      <c r="AO1544" s="116">
        <v>9976.32</v>
      </c>
      <c r="AP1544" s="116">
        <f>SUMIFS(M:M,AM:AM,AM1544)+SUMIFS(O:O,AM:AM,AM1544)</f>
      </c>
      <c r="AQ1544" s="116">
        <f>SUMIFS(L:L,AM:AM,AM1544)</f>
      </c>
      <c r="AR1544" s="116">
        <f>AQ1544-AP1544</f>
      </c>
      <c r="AS1544" s="94" t="str">
        <f>IF(AN1544&gt;=AQ1544,"ok","ck")</f>
      </c>
      <c r="AT1544" s="116">
        <f>-P1544</f>
      </c>
      <c r="AU1544" s="115">
        <f>IF(SUMIFS(AT:AT,AM:AM,AM1544)&gt;AO1544,(SUMIFS(AT:AT,AM:AM,AM1544)-AO1544))</f>
      </c>
      <c r="AV1544" s="116">
        <v>10025.37</v>
      </c>
      <c r="AW1544" s="121">
        <v>0.967</v>
      </c>
      <c r="AX1544" s="115">
        <f>AN1544-AP1544</f>
      </c>
    </row>
    <row r="1545" spans="1:50" ht="15" hidden="1" customHeight="1" x14ac:dyDescent="0.3">
      <c r="A1545" s="94" t="s">
        <v>151</v>
      </c>
      <c r="B1545" s="94"/>
      <c r="C1545" s="94"/>
      <c r="D1545" s="94"/>
      <c r="E1545" s="94"/>
      <c r="F1545" s="94"/>
      <c r="G1545" s="112">
        <f>AU1545</f>
      </c>
      <c r="H1545" s="113"/>
      <c r="I1545" s="94" t="s">
        <v>209</v>
      </c>
      <c r="J1545" s="94" t="s">
        <v>114</v>
      </c>
      <c r="K1545" s="114">
        <f>P1545/3</f>
      </c>
      <c r="L1545" s="115">
        <v>1000</v>
      </c>
      <c r="M1545" s="116"/>
      <c r="N1545" s="117">
        <f>M1545-L1545</f>
      </c>
      <c r="O1545" s="112"/>
      <c r="P1545" s="118">
        <f>N1545+O1545</f>
      </c>
      <c r="Q1545" s="94" t="s">
        <v>211</v>
      </c>
      <c r="R1545" s="94" t="s">
        <v>63</v>
      </c>
      <c r="S1545" s="119">
        <v>46334</v>
      </c>
      <c r="T1545" s="119"/>
      <c r="U1545" s="119" t="s">
        <v>668</v>
      </c>
      <c r="V1545" s="94"/>
      <c r="W1545" s="94"/>
      <c r="X1545" s="94"/>
      <c r="Y1545" s="119">
        <v>46342</v>
      </c>
      <c r="Z1545" s="94"/>
      <c r="AA1545" s="120"/>
      <c r="AB1545" s="120"/>
      <c r="AC1545" s="120"/>
      <c r="AD1545" s="120"/>
      <c r="AE1545" s="120"/>
      <c r="AF1545" s="120"/>
      <c r="AG1545" s="94"/>
      <c r="AH1545" s="120"/>
      <c r="AI1545" s="94"/>
      <c r="AJ1545" s="94" t="s">
        <v>211</v>
      </c>
      <c r="AK1545" s="94" t="s">
        <v>227</v>
      </c>
      <c r="AL1545" s="94">
        <v>160</v>
      </c>
      <c r="AM1545" s="94" t="str">
        <f>TRIM(AJ1545)&amp;TRIM(AL1545)&amp;TRIM(AK1545)</f>
      </c>
      <c r="AN1545" s="116">
        <v>38023.68</v>
      </c>
      <c r="AO1545" s="116">
        <v>9976.32</v>
      </c>
      <c r="AP1545" s="116">
        <f>SUMIFS(M:M,AM:AM,AM1545)+SUMIFS(O:O,AM:AM,AM1545)</f>
      </c>
      <c r="AQ1545" s="116">
        <f>SUMIFS(L:L,AM:AM,AM1545)</f>
      </c>
      <c r="AR1545" s="116">
        <f>AQ1545-AP1545</f>
      </c>
      <c r="AS1545" s="94" t="str">
        <f>IF(AN1545&gt;=AQ1545,"ok","ck")</f>
      </c>
      <c r="AT1545" s="116">
        <f>-P1545</f>
      </c>
      <c r="AU1545" s="115">
        <f>IF(SUMIFS(AT:AT,AM:AM,AM1545)&gt;AO1545,(SUMIFS(AT:AT,AM:AM,AM1545)-AO1545))</f>
      </c>
      <c r="AV1545" s="116">
        <v>10025.37</v>
      </c>
      <c r="AW1545" s="121">
        <v>0.967</v>
      </c>
      <c r="AX1545" s="115">
        <f>AN1545-AP1545</f>
      </c>
    </row>
    <row r="1546" spans="1:50" ht="15" hidden="1" customHeight="1" x14ac:dyDescent="0.3">
      <c r="A1546" s="94" t="s">
        <v>151</v>
      </c>
      <c r="B1546" s="94"/>
      <c r="C1546" s="94"/>
      <c r="D1546" s="94"/>
      <c r="E1546" s="94"/>
      <c r="F1546" s="94"/>
      <c r="G1546" s="112">
        <f>AU1546</f>
      </c>
      <c r="H1546" s="113"/>
      <c r="I1546" s="94" t="s">
        <v>209</v>
      </c>
      <c r="J1546" s="94" t="s">
        <v>114</v>
      </c>
      <c r="K1546" s="114">
        <f>P1546/3</f>
      </c>
      <c r="L1546" s="115">
        <v>1000</v>
      </c>
      <c r="M1546" s="116"/>
      <c r="N1546" s="117">
        <f>M1546-L1546</f>
      </c>
      <c r="O1546" s="112"/>
      <c r="P1546" s="118">
        <f>N1546+O1546</f>
      </c>
      <c r="Q1546" s="94" t="s">
        <v>211</v>
      </c>
      <c r="R1546" s="94" t="s">
        <v>63</v>
      </c>
      <c r="S1546" s="119">
        <v>46335</v>
      </c>
      <c r="T1546" s="119"/>
      <c r="U1546" s="119" t="s">
        <v>668</v>
      </c>
      <c r="V1546" s="94"/>
      <c r="W1546" s="94"/>
      <c r="X1546" s="94"/>
      <c r="Y1546" s="119">
        <v>46342</v>
      </c>
      <c r="Z1546" s="94"/>
      <c r="AA1546" s="120"/>
      <c r="AB1546" s="120"/>
      <c r="AC1546" s="120"/>
      <c r="AD1546" s="120"/>
      <c r="AE1546" s="120"/>
      <c r="AF1546" s="120"/>
      <c r="AG1546" s="94"/>
      <c r="AH1546" s="120"/>
      <c r="AI1546" s="94"/>
      <c r="AJ1546" s="94" t="s">
        <v>211</v>
      </c>
      <c r="AK1546" s="94" t="s">
        <v>227</v>
      </c>
      <c r="AL1546" s="94">
        <v>160</v>
      </c>
      <c r="AM1546" s="94" t="str">
        <f>TRIM(AJ1546)&amp;TRIM(AL1546)&amp;TRIM(AK1546)</f>
      </c>
      <c r="AN1546" s="116">
        <v>38023.68</v>
      </c>
      <c r="AO1546" s="116">
        <v>9976.32</v>
      </c>
      <c r="AP1546" s="116">
        <f>SUMIFS(M:M,AM:AM,AM1546)+SUMIFS(O:O,AM:AM,AM1546)</f>
      </c>
      <c r="AQ1546" s="116">
        <f>SUMIFS(L:L,AM:AM,AM1546)</f>
      </c>
      <c r="AR1546" s="116">
        <f>AQ1546-AP1546</f>
      </c>
      <c r="AS1546" s="94" t="str">
        <f>IF(AN1546&gt;=AQ1546,"ok","ck")</f>
      </c>
      <c r="AT1546" s="116">
        <f>-P1546</f>
      </c>
      <c r="AU1546" s="115">
        <f>IF(SUMIFS(AT:AT,AM:AM,AM1546)&gt;AO1546,(SUMIFS(AT:AT,AM:AM,AM1546)-AO1546))</f>
      </c>
      <c r="AV1546" s="116">
        <v>10025.37</v>
      </c>
      <c r="AW1546" s="121">
        <v>0.967</v>
      </c>
      <c r="AX1546" s="115">
        <f>AN1546-AP1546</f>
      </c>
    </row>
    <row r="1547" spans="1:50" ht="15" hidden="1" customHeight="1" x14ac:dyDescent="0.3">
      <c r="A1547" s="94" t="s">
        <v>151</v>
      </c>
      <c r="B1547" s="94"/>
      <c r="C1547" s="94"/>
      <c r="D1547" s="94"/>
      <c r="E1547" s="94"/>
      <c r="F1547" s="94"/>
      <c r="G1547" s="112">
        <f>AU1547</f>
      </c>
      <c r="H1547" s="113"/>
      <c r="I1547" s="94" t="s">
        <v>209</v>
      </c>
      <c r="J1547" s="94" t="s">
        <v>114</v>
      </c>
      <c r="K1547" s="114">
        <f>P1547/3</f>
      </c>
      <c r="L1547" s="115">
        <v>1000</v>
      </c>
      <c r="M1547" s="116"/>
      <c r="N1547" s="117">
        <f>M1547-L1547</f>
      </c>
      <c r="O1547" s="112"/>
      <c r="P1547" s="118">
        <f>N1547+O1547</f>
      </c>
      <c r="Q1547" s="94" t="s">
        <v>211</v>
      </c>
      <c r="R1547" s="94" t="s">
        <v>63</v>
      </c>
      <c r="S1547" s="119">
        <v>46336</v>
      </c>
      <c r="T1547" s="119"/>
      <c r="U1547" s="119" t="s">
        <v>668</v>
      </c>
      <c r="V1547" s="94"/>
      <c r="W1547" s="94"/>
      <c r="X1547" s="94"/>
      <c r="Y1547" s="119">
        <v>46342</v>
      </c>
      <c r="Z1547" s="94"/>
      <c r="AA1547" s="120"/>
      <c r="AB1547" s="120"/>
      <c r="AC1547" s="120"/>
      <c r="AD1547" s="120"/>
      <c r="AE1547" s="120"/>
      <c r="AF1547" s="120"/>
      <c r="AG1547" s="94"/>
      <c r="AH1547" s="120"/>
      <c r="AI1547" s="94"/>
      <c r="AJ1547" s="94" t="s">
        <v>211</v>
      </c>
      <c r="AK1547" s="94" t="s">
        <v>227</v>
      </c>
      <c r="AL1547" s="94">
        <v>160</v>
      </c>
      <c r="AM1547" s="94" t="str">
        <f>TRIM(AJ1547)&amp;TRIM(AL1547)&amp;TRIM(AK1547)</f>
      </c>
      <c r="AN1547" s="116">
        <v>38023.68</v>
      </c>
      <c r="AO1547" s="116">
        <v>9976.32</v>
      </c>
      <c r="AP1547" s="116">
        <f>SUMIFS(M:M,AM:AM,AM1547)+SUMIFS(O:O,AM:AM,AM1547)</f>
      </c>
      <c r="AQ1547" s="116">
        <f>SUMIFS(L:L,AM:AM,AM1547)</f>
      </c>
      <c r="AR1547" s="116">
        <f>AQ1547-AP1547</f>
      </c>
      <c r="AS1547" s="94" t="str">
        <f>IF(AN1547&gt;=AQ1547,"ok","ck")</f>
      </c>
      <c r="AT1547" s="116">
        <f>-P1547</f>
      </c>
      <c r="AU1547" s="115">
        <f>IF(SUMIFS(AT:AT,AM:AM,AM1547)&gt;AO1547,(SUMIFS(AT:AT,AM:AM,AM1547)-AO1547))</f>
      </c>
      <c r="AV1547" s="116">
        <v>10025.37</v>
      </c>
      <c r="AW1547" s="121">
        <v>0.967</v>
      </c>
      <c r="AX1547" s="115">
        <f>AN1547-AP1547</f>
      </c>
    </row>
    <row r="1548" spans="1:50" ht="15" hidden="1" customHeight="1" x14ac:dyDescent="0.3">
      <c r="A1548" s="94" t="s">
        <v>151</v>
      </c>
      <c r="B1548" s="94"/>
      <c r="C1548" s="94"/>
      <c r="D1548" s="94"/>
      <c r="E1548" s="94"/>
      <c r="F1548" s="94"/>
      <c r="G1548" s="112">
        <f>AU1548</f>
      </c>
      <c r="H1548" s="113"/>
      <c r="I1548" s="94" t="s">
        <v>209</v>
      </c>
      <c r="J1548" s="94" t="s">
        <v>114</v>
      </c>
      <c r="K1548" s="114">
        <f>P1548/3</f>
      </c>
      <c r="L1548" s="115">
        <v>1000</v>
      </c>
      <c r="M1548" s="116"/>
      <c r="N1548" s="117">
        <f>M1548-L1548</f>
      </c>
      <c r="O1548" s="112"/>
      <c r="P1548" s="118">
        <f>N1548+O1548</f>
      </c>
      <c r="Q1548" s="94" t="s">
        <v>211</v>
      </c>
      <c r="R1548" s="94" t="s">
        <v>63</v>
      </c>
      <c r="S1548" s="119">
        <v>46337</v>
      </c>
      <c r="T1548" s="119"/>
      <c r="U1548" s="119" t="s">
        <v>668</v>
      </c>
      <c r="V1548" s="94"/>
      <c r="W1548" s="94"/>
      <c r="X1548" s="94"/>
      <c r="Y1548" s="119">
        <v>46342</v>
      </c>
      <c r="Z1548" s="94"/>
      <c r="AA1548" s="120"/>
      <c r="AB1548" s="120"/>
      <c r="AC1548" s="120"/>
      <c r="AD1548" s="120"/>
      <c r="AE1548" s="120"/>
      <c r="AF1548" s="120"/>
      <c r="AG1548" s="94"/>
      <c r="AH1548" s="120"/>
      <c r="AI1548" s="94"/>
      <c r="AJ1548" s="94" t="s">
        <v>211</v>
      </c>
      <c r="AK1548" s="94" t="s">
        <v>227</v>
      </c>
      <c r="AL1548" s="94">
        <v>160</v>
      </c>
      <c r="AM1548" s="94" t="str">
        <f>TRIM(AJ1548)&amp;TRIM(AL1548)&amp;TRIM(AK1548)</f>
      </c>
      <c r="AN1548" s="116">
        <v>38023.68</v>
      </c>
      <c r="AO1548" s="116">
        <v>9976.32</v>
      </c>
      <c r="AP1548" s="116">
        <f>SUMIFS(M:M,AM:AM,AM1548)+SUMIFS(O:O,AM:AM,AM1548)</f>
      </c>
      <c r="AQ1548" s="116">
        <f>SUMIFS(L:L,AM:AM,AM1548)</f>
      </c>
      <c r="AR1548" s="116">
        <f>AQ1548-AP1548</f>
      </c>
      <c r="AS1548" s="94" t="str">
        <f>IF(AN1548&gt;=AQ1548,"ok","ck")</f>
      </c>
      <c r="AT1548" s="116">
        <f>-P1548</f>
      </c>
      <c r="AU1548" s="115">
        <f>IF(SUMIFS(AT:AT,AM:AM,AM1548)&gt;AO1548,(SUMIFS(AT:AT,AM:AM,AM1548)-AO1548))</f>
      </c>
      <c r="AV1548" s="116">
        <v>10025.37</v>
      </c>
      <c r="AW1548" s="121">
        <v>0.967</v>
      </c>
      <c r="AX1548" s="115">
        <f>AN1548-AP1548</f>
      </c>
    </row>
    <row r="1549" spans="1:50" ht="15" customHeight="1" x14ac:dyDescent="0.3">
      <c r="A1549" s="94" t="s">
        <v>862</v>
      </c>
      <c r="B1549" s="94"/>
      <c r="C1549" s="94"/>
      <c r="D1549" s="94"/>
      <c r="E1549" s="94"/>
      <c r="F1549" s="94"/>
      <c r="G1549" s="112">
        <f>AU1549</f>
      </c>
      <c r="H1549" s="113"/>
      <c r="I1549" s="94" t="s">
        <v>278</v>
      </c>
      <c r="J1549" s="94" t="s">
        <v>281</v>
      </c>
      <c r="K1549" s="114">
        <f>P1549/3</f>
      </c>
      <c r="L1549" s="115">
        <v>156.471</v>
      </c>
      <c r="M1549" s="116"/>
      <c r="N1549" s="117">
        <f>M1549-L1549</f>
      </c>
      <c r="O1549" s="112"/>
      <c r="P1549" s="118">
        <f>N1549+O1549</f>
      </c>
      <c r="Q1549" s="94"/>
      <c r="R1549" s="94" t="s">
        <v>63</v>
      </c>
      <c r="S1549" s="119">
        <v>46342</v>
      </c>
      <c r="T1549" s="119"/>
      <c r="U1549" s="119" t="s">
        <v>632</v>
      </c>
      <c r="V1549" s="94"/>
      <c r="W1549" s="94"/>
      <c r="X1549" s="94"/>
      <c r="Y1549" s="119">
        <v>46329</v>
      </c>
      <c r="Z1549" s="94"/>
      <c r="AA1549" s="120"/>
      <c r="AB1549" s="120"/>
      <c r="AC1549" s="120"/>
      <c r="AD1549" s="120"/>
      <c r="AE1549" s="120"/>
      <c r="AF1549" s="120"/>
      <c r="AG1549" s="94"/>
      <c r="AH1549" s="120"/>
      <c r="AI1549" s="94"/>
      <c r="AJ1549" s="94"/>
      <c r="AK1549" s="94"/>
      <c r="AL1549" s="94">
        <v>120</v>
      </c>
      <c r="AM1549" s="94" t="str">
        <f>TRIM(AJ1549)&amp;TRIM(AL1549)&amp;TRIM(AK1549)</f>
      </c>
      <c r="AN1549" s="116">
        <v>0</v>
      </c>
      <c r="AO1549" s="116" t="inlineStr">
        <is>
          <t>#NA</t>
        </is>
      </c>
      <c r="AP1549" s="116">
        <f>SUMIFS(M:M,AM:AM,AM1549)+SUMIFS(O:O,AM:AM,AM1549)</f>
      </c>
      <c r="AQ1549" s="116">
        <f>SUMIFS(L:L,AM:AM,AM1549)</f>
      </c>
      <c r="AR1549" s="116">
        <f>AQ1549-AP1549</f>
      </c>
      <c r="AS1549" s="94" t="str">
        <f>IF(AN1549&gt;=AQ1549,"ok","ck")</f>
      </c>
      <c r="AT1549" s="116">
        <f>-P1549</f>
      </c>
      <c r="AU1549" s="115">
        <f>IF(SUMIFS(AT:AT,AM:AM,AM1549)&gt;AO1549,(SUMIFS(AT:AT,AM:AM,AM1549)-AO1549))</f>
      </c>
      <c r="AV1549" s="116" t="e">
        <v>#N/A</v>
      </c>
      <c r="AW1549" s="121" t="e">
        <v>#N/A</v>
      </c>
      <c r="AX1549" s="115">
        <f>AN1549-AP1549</f>
      </c>
    </row>
    <row r="1550" spans="1:50" ht="15" hidden="1" customHeight="1" x14ac:dyDescent="0.3">
      <c r="A1550" s="94" t="s">
        <v>60</v>
      </c>
      <c r="B1550" s="94"/>
      <c r="C1550" s="94"/>
      <c r="D1550" s="94"/>
      <c r="E1550" s="94"/>
      <c r="F1550" s="94"/>
      <c r="G1550" s="112">
        <f>AU1550</f>
      </c>
      <c r="H1550" s="113"/>
      <c r="I1550" s="94" t="s">
        <v>70</v>
      </c>
      <c r="J1550" s="94" t="s">
        <v>71</v>
      </c>
      <c r="K1550" s="114">
        <f>P1550/3</f>
      </c>
      <c r="L1550" s="115">
        <v>922.99800000000005</v>
      </c>
      <c r="M1550" s="116"/>
      <c r="N1550" s="117">
        <f>M1550-L1550</f>
      </c>
      <c r="O1550" s="112"/>
      <c r="P1550" s="118">
        <f>N1550+O1550</f>
      </c>
      <c r="Q1550" s="94" t="s">
        <v>92</v>
      </c>
      <c r="R1550" s="94" t="s">
        <v>63</v>
      </c>
      <c r="S1550" s="119">
        <v>46323</v>
      </c>
      <c r="T1550" s="119"/>
      <c r="U1550" s="119" t="s">
        <v>669</v>
      </c>
      <c r="V1550" s="94"/>
      <c r="W1550" s="94"/>
      <c r="X1550" s="94"/>
      <c r="Y1550" s="119">
        <v>46331</v>
      </c>
      <c r="Z1550" s="94"/>
      <c r="AA1550" s="120"/>
      <c r="AB1550" s="120"/>
      <c r="AC1550" s="120"/>
      <c r="AD1550" s="120"/>
      <c r="AE1550" s="120"/>
      <c r="AF1550" s="120"/>
      <c r="AG1550" s="94"/>
      <c r="AH1550" s="120"/>
      <c r="AI1550" s="94"/>
      <c r="AJ1550" s="94" t="s">
        <v>92</v>
      </c>
      <c r="AK1550" s="94" t="s">
        <v>71</v>
      </c>
      <c r="AL1550" s="94">
        <v>140</v>
      </c>
      <c r="AM1550" s="94" t="str">
        <f>TRIM(AJ1550)&amp;TRIM(AL1550)&amp;TRIM(AK1550)</f>
      </c>
      <c r="AN1550" s="116">
        <v>0</v>
      </c>
      <c r="AO1550" s="116" t="inlineStr">
        <is>
          <t>#NA</t>
        </is>
      </c>
      <c r="AP1550" s="116">
        <f>SUMIFS(M:M,AM:AM,AM1550)+SUMIFS(O:O,AM:AM,AM1550)</f>
      </c>
      <c r="AQ1550" s="116">
        <f>SUMIFS(L:L,AM:AM,AM1550)</f>
      </c>
      <c r="AR1550" s="116">
        <f>AQ1550-AP1550</f>
      </c>
      <c r="AS1550" s="94" t="str">
        <f>IF(AN1550&gt;=AQ1550,"ok","ck")</f>
      </c>
      <c r="AT1550" s="116">
        <f>-P1550</f>
      </c>
      <c r="AU1550" s="115">
        <f>IF(SUMIFS(AT:AT,AM:AM,AM1550)&gt;AO1550,(SUMIFS(AT:AT,AM:AM,AM1550)-AO1550))</f>
      </c>
      <c r="AV1550" s="116">
        <v>0</v>
      </c>
      <c r="AW1550" s="121">
        <v>0</v>
      </c>
      <c r="AX1550" s="115">
        <f>AN1550-AP1550</f>
      </c>
    </row>
    <row r="1551" spans="1:50" ht="15" hidden="1" customHeight="1" x14ac:dyDescent="0.3">
      <c r="A1551" s="94" t="s">
        <v>60</v>
      </c>
      <c r="B1551" s="94"/>
      <c r="C1551" s="94"/>
      <c r="D1551" s="94"/>
      <c r="E1551" s="94"/>
      <c r="F1551" s="94"/>
      <c r="G1551" s="112">
        <f>AU1551</f>
      </c>
      <c r="H1551" s="113"/>
      <c r="I1551" s="94" t="s">
        <v>70</v>
      </c>
      <c r="J1551" s="94" t="s">
        <v>71</v>
      </c>
      <c r="K1551" s="114">
        <f>P1551/3</f>
      </c>
      <c r="L1551" s="115">
        <v>922.99800000000005</v>
      </c>
      <c r="M1551" s="116"/>
      <c r="N1551" s="117">
        <f>M1551-L1551</f>
      </c>
      <c r="O1551" s="112"/>
      <c r="P1551" s="118">
        <f>N1551+O1551</f>
      </c>
      <c r="Q1551" s="94" t="s">
        <v>92</v>
      </c>
      <c r="R1551" s="94" t="s">
        <v>63</v>
      </c>
      <c r="S1551" s="119">
        <v>46324</v>
      </c>
      <c r="T1551" s="119"/>
      <c r="U1551" s="119" t="s">
        <v>669</v>
      </c>
      <c r="V1551" s="94"/>
      <c r="W1551" s="94"/>
      <c r="X1551" s="94"/>
      <c r="Y1551" s="119">
        <v>46331</v>
      </c>
      <c r="Z1551" s="94"/>
      <c r="AA1551" s="120"/>
      <c r="AB1551" s="120"/>
      <c r="AC1551" s="120"/>
      <c r="AD1551" s="120"/>
      <c r="AE1551" s="120"/>
      <c r="AF1551" s="120"/>
      <c r="AG1551" s="94"/>
      <c r="AH1551" s="120"/>
      <c r="AI1551" s="94"/>
      <c r="AJ1551" s="94" t="s">
        <v>92</v>
      </c>
      <c r="AK1551" s="94" t="s">
        <v>71</v>
      </c>
      <c r="AL1551" s="94">
        <v>140</v>
      </c>
      <c r="AM1551" s="94" t="str">
        <f>TRIM(AJ1551)&amp;TRIM(AL1551)&amp;TRIM(AK1551)</f>
      </c>
      <c r="AN1551" s="116">
        <v>0</v>
      </c>
      <c r="AO1551" s="116" t="inlineStr">
        <is>
          <t>#NA</t>
        </is>
      </c>
      <c r="AP1551" s="116">
        <f>SUMIFS(M:M,AM:AM,AM1551)+SUMIFS(O:O,AM:AM,AM1551)</f>
      </c>
      <c r="AQ1551" s="116">
        <f>SUMIFS(L:L,AM:AM,AM1551)</f>
      </c>
      <c r="AR1551" s="116">
        <f>AQ1551-AP1551</f>
      </c>
      <c r="AS1551" s="94" t="str">
        <f>IF(AN1551&gt;=AQ1551,"ok","ck")</f>
      </c>
      <c r="AT1551" s="116">
        <f>-P1551</f>
      </c>
      <c r="AU1551" s="115">
        <f>IF(SUMIFS(AT:AT,AM:AM,AM1551)&gt;AO1551,(SUMIFS(AT:AT,AM:AM,AM1551)-AO1551))</f>
      </c>
      <c r="AV1551" s="116">
        <v>0</v>
      </c>
      <c r="AW1551" s="121">
        <v>0</v>
      </c>
      <c r="AX1551" s="115">
        <f>AN1551-AP1551</f>
      </c>
    </row>
    <row r="1552" spans="1:50" ht="15" customHeight="1" x14ac:dyDescent="0.3">
      <c r="A1552" s="94" t="s">
        <v>862</v>
      </c>
      <c r="B1552" s="94"/>
      <c r="C1552" s="94"/>
      <c r="D1552" s="94"/>
      <c r="E1552" s="94"/>
      <c r="F1552" s="94"/>
      <c r="G1552" s="112">
        <f>AU1552</f>
      </c>
      <c r="H1552" s="113"/>
      <c r="I1552" s="94" t="s">
        <v>278</v>
      </c>
      <c r="J1552" s="94" t="s">
        <v>281</v>
      </c>
      <c r="K1552" s="114">
        <f>P1552/3</f>
      </c>
      <c r="L1552" s="115">
        <v>156.471</v>
      </c>
      <c r="M1552" s="116"/>
      <c r="N1552" s="117">
        <f>M1552-L1552</f>
      </c>
      <c r="O1552" s="112"/>
      <c r="P1552" s="118">
        <f>N1552+O1552</f>
      </c>
      <c r="Q1552" s="94"/>
      <c r="R1552" s="94" t="s">
        <v>63</v>
      </c>
      <c r="S1552" s="119">
        <v>46343</v>
      </c>
      <c r="T1552" s="119"/>
      <c r="U1552" s="119" t="s">
        <v>632</v>
      </c>
      <c r="V1552" s="94"/>
      <c r="W1552" s="94"/>
      <c r="X1552" s="94"/>
      <c r="Y1552" s="119">
        <v>46333</v>
      </c>
      <c r="Z1552" s="94"/>
      <c r="AA1552" s="120"/>
      <c r="AB1552" s="120"/>
      <c r="AC1552" s="120"/>
      <c r="AD1552" s="120"/>
      <c r="AE1552" s="120"/>
      <c r="AF1552" s="120"/>
      <c r="AG1552" s="94"/>
      <c r="AH1552" s="120"/>
      <c r="AI1552" s="94"/>
      <c r="AJ1552" s="94"/>
      <c r="AK1552" s="94"/>
      <c r="AL1552" s="94">
        <v>120</v>
      </c>
      <c r="AM1552" s="94" t="str">
        <f>TRIM(AJ1552)&amp;TRIM(AL1552)&amp;TRIM(AK1552)</f>
      </c>
      <c r="AN1552" s="116">
        <v>0</v>
      </c>
      <c r="AO1552" s="116" t="inlineStr">
        <is>
          <t>#NA</t>
        </is>
      </c>
      <c r="AP1552" s="116">
        <f>SUMIFS(M:M,AM:AM,AM1552)+SUMIFS(O:O,AM:AM,AM1552)</f>
      </c>
      <c r="AQ1552" s="116">
        <f>SUMIFS(L:L,AM:AM,AM1552)</f>
      </c>
      <c r="AR1552" s="116">
        <f>AQ1552-AP1552</f>
      </c>
      <c r="AS1552" s="94" t="str">
        <f>IF(AN1552&gt;=AQ1552,"ok","ck")</f>
      </c>
      <c r="AT1552" s="116">
        <f>-P1552</f>
      </c>
      <c r="AU1552" s="115">
        <f>IF(SUMIFS(AT:AT,AM:AM,AM1552)&gt;AO1552,(SUMIFS(AT:AT,AM:AM,AM1552)-AO1552))</f>
      </c>
      <c r="AV1552" s="116" t="e">
        <v>#N/A</v>
      </c>
      <c r="AW1552" s="121" t="e">
        <v>#N/A</v>
      </c>
      <c r="AX1552" s="115">
        <f>AN1552-AP1552</f>
      </c>
    </row>
    <row r="1553" spans="1:50" ht="15" customHeight="1" x14ac:dyDescent="0.3">
      <c r="A1553" s="94" t="s">
        <v>862</v>
      </c>
      <c r="B1553" s="94"/>
      <c r="C1553" s="94"/>
      <c r="D1553" s="94"/>
      <c r="E1553" s="94"/>
      <c r="F1553" s="94"/>
      <c r="G1553" s="112">
        <f>AU1553</f>
      </c>
      <c r="H1553" s="113"/>
      <c r="I1553" s="94" t="s">
        <v>278</v>
      </c>
      <c r="J1553" s="94" t="s">
        <v>281</v>
      </c>
      <c r="K1553" s="114">
        <f>P1553/3</f>
      </c>
      <c r="L1553" s="115">
        <v>156.471</v>
      </c>
      <c r="M1553" s="116"/>
      <c r="N1553" s="117">
        <f>M1553-L1553</f>
      </c>
      <c r="O1553" s="112"/>
      <c r="P1553" s="118">
        <f>N1553+O1553</f>
      </c>
      <c r="Q1553" s="94"/>
      <c r="R1553" s="94" t="s">
        <v>63</v>
      </c>
      <c r="S1553" s="119">
        <v>46344</v>
      </c>
      <c r="T1553" s="119"/>
      <c r="U1553" s="119" t="s">
        <v>632</v>
      </c>
      <c r="V1553" s="94"/>
      <c r="W1553" s="94"/>
      <c r="X1553" s="94"/>
      <c r="Y1553" s="119">
        <v>46333</v>
      </c>
      <c r="Z1553" s="94"/>
      <c r="AA1553" s="120"/>
      <c r="AB1553" s="120"/>
      <c r="AC1553" s="120"/>
      <c r="AD1553" s="120"/>
      <c r="AE1553" s="120"/>
      <c r="AF1553" s="120"/>
      <c r="AG1553" s="94"/>
      <c r="AH1553" s="120"/>
      <c r="AI1553" s="94"/>
      <c r="AJ1553" s="94"/>
      <c r="AK1553" s="94"/>
      <c r="AL1553" s="94">
        <v>120</v>
      </c>
      <c r="AM1553" s="94" t="str">
        <f>TRIM(AJ1553)&amp;TRIM(AL1553)&amp;TRIM(AK1553)</f>
      </c>
      <c r="AN1553" s="116">
        <v>0</v>
      </c>
      <c r="AO1553" s="116" t="inlineStr">
        <is>
          <t>#NA</t>
        </is>
      </c>
      <c r="AP1553" s="116">
        <f>SUMIFS(M:M,AM:AM,AM1553)+SUMIFS(O:O,AM:AM,AM1553)</f>
      </c>
      <c r="AQ1553" s="116">
        <f>SUMIFS(L:L,AM:AM,AM1553)</f>
      </c>
      <c r="AR1553" s="116">
        <f>AQ1553-AP1553</f>
      </c>
      <c r="AS1553" s="94" t="str">
        <f>IF(AN1553&gt;=AQ1553,"ok","ck")</f>
      </c>
      <c r="AT1553" s="116">
        <f>-P1553</f>
      </c>
      <c r="AU1553" s="115">
        <f>IF(SUMIFS(AT:AT,AM:AM,AM1553)&gt;AO1553,(SUMIFS(AT:AT,AM:AM,AM1553)-AO1553))</f>
      </c>
      <c r="AV1553" s="116" t="e">
        <v>#N/A</v>
      </c>
      <c r="AW1553" s="121" t="e">
        <v>#N/A</v>
      </c>
      <c r="AX1553" s="115">
        <f>AN1553-AP1553</f>
      </c>
    </row>
    <row r="1554" spans="1:50" ht="15" hidden="1" customHeight="1" x14ac:dyDescent="0.3">
      <c r="A1554" s="94" t="s">
        <v>151</v>
      </c>
      <c r="B1554" s="94"/>
      <c r="C1554" s="94"/>
      <c r="D1554" s="94"/>
      <c r="E1554" s="94"/>
      <c r="F1554" s="94"/>
      <c r="G1554" s="112">
        <f>AU1554</f>
      </c>
      <c r="H1554" s="113"/>
      <c r="I1554" s="94" t="s">
        <v>209</v>
      </c>
      <c r="J1554" s="94" t="s">
        <v>156</v>
      </c>
      <c r="K1554" s="114">
        <f>P1554/3</f>
      </c>
      <c r="L1554" s="115">
        <v>1500</v>
      </c>
      <c r="M1554" s="116"/>
      <c r="N1554" s="117">
        <f>M1554-L1554</f>
      </c>
      <c r="O1554" s="112"/>
      <c r="P1554" s="118">
        <f>N1554+O1554</f>
      </c>
      <c r="Q1554" s="94" t="s">
        <v>211</v>
      </c>
      <c r="R1554" s="94" t="s">
        <v>63</v>
      </c>
      <c r="S1554" s="119">
        <v>46327</v>
      </c>
      <c r="T1554" s="119"/>
      <c r="U1554" s="120" t="s">
        <v>670</v>
      </c>
      <c r="V1554" s="94"/>
      <c r="W1554" s="94"/>
      <c r="X1554" s="94"/>
      <c r="Y1554" s="119">
        <v>46320</v>
      </c>
      <c r="Z1554" s="94"/>
      <c r="AA1554" s="120"/>
      <c r="AB1554" s="120"/>
      <c r="AC1554" s="120"/>
      <c r="AD1554" s="120"/>
      <c r="AE1554" s="120"/>
      <c r="AF1554" s="120"/>
      <c r="AG1554" s="94"/>
      <c r="AH1554" s="120"/>
      <c r="AI1554" s="94"/>
      <c r="AJ1554" s="94" t="s">
        <v>211</v>
      </c>
      <c r="AK1554" s="94" t="s">
        <v>162</v>
      </c>
      <c r="AL1554" s="94">
        <v>160</v>
      </c>
      <c r="AM1554" s="94" t="str">
        <f>TRIM(AJ1554)&amp;TRIM(AL1554)&amp;TRIM(AK1554)</f>
      </c>
      <c r="AN1554" s="116">
        <v>54790.98</v>
      </c>
      <c r="AO1554" s="116">
        <v>30209.01</v>
      </c>
      <c r="AP1554" s="116">
        <f>SUMIFS(M:M,AM:AM,AM1554)+SUMIFS(O:O,AM:AM,AM1554)</f>
      </c>
      <c r="AQ1554" s="116">
        <f>SUMIFS(L:L,AM:AM,AM1554)</f>
      </c>
      <c r="AR1554" s="116">
        <f>AQ1554-AP1554</f>
      </c>
      <c r="AS1554" s="94" t="str">
        <f>IF(AN1554&gt;=AQ1554,"ok","ck")</f>
      </c>
      <c r="AT1554" s="116">
        <f>-P1554</f>
      </c>
      <c r="AU1554" s="115">
        <f>IF(SUMIFS(AT:AT,AM:AM,AM1554)&gt;AO1554,(SUMIFS(AT:AT,AM:AM,AM1554)-AO1554))</f>
      </c>
      <c r="AV1554" s="116">
        <v>22985.69</v>
      </c>
      <c r="AW1554" s="121">
        <v>0.914</v>
      </c>
      <c r="AX1554" s="115">
        <f>AN1554-AP1554</f>
      </c>
    </row>
    <row r="1555" spans="1:50" ht="15" hidden="1" customHeight="1" x14ac:dyDescent="0.3">
      <c r="A1555" s="94" t="s">
        <v>151</v>
      </c>
      <c r="B1555" s="94"/>
      <c r="C1555" s="94"/>
      <c r="D1555" s="94"/>
      <c r="E1555" s="94"/>
      <c r="F1555" s="94"/>
      <c r="G1555" s="112">
        <f>AU1555</f>
      </c>
      <c r="H1555" s="113"/>
      <c r="I1555" s="94" t="s">
        <v>209</v>
      </c>
      <c r="J1555" s="94" t="s">
        <v>156</v>
      </c>
      <c r="K1555" s="114">
        <f>P1555/3</f>
      </c>
      <c r="L1555" s="115">
        <v>1500</v>
      </c>
      <c r="M1555" s="116"/>
      <c r="N1555" s="117">
        <f>M1555-L1555</f>
      </c>
      <c r="O1555" s="112"/>
      <c r="P1555" s="118">
        <f>N1555+O1555</f>
      </c>
      <c r="Q1555" s="94" t="s">
        <v>211</v>
      </c>
      <c r="R1555" s="94" t="s">
        <v>63</v>
      </c>
      <c r="S1555" s="119">
        <v>46328</v>
      </c>
      <c r="T1555" s="119"/>
      <c r="U1555" s="120" t="s">
        <v>670</v>
      </c>
      <c r="V1555" s="94"/>
      <c r="W1555" s="94"/>
      <c r="X1555" s="94"/>
      <c r="Y1555" s="119">
        <v>46320</v>
      </c>
      <c r="Z1555" s="94"/>
      <c r="AA1555" s="120"/>
      <c r="AB1555" s="120"/>
      <c r="AC1555" s="120"/>
      <c r="AD1555" s="120"/>
      <c r="AE1555" s="120"/>
      <c r="AF1555" s="120"/>
      <c r="AG1555" s="94"/>
      <c r="AH1555" s="120"/>
      <c r="AI1555" s="94"/>
      <c r="AJ1555" s="94" t="s">
        <v>211</v>
      </c>
      <c r="AK1555" s="94" t="s">
        <v>162</v>
      </c>
      <c r="AL1555" s="94">
        <v>160</v>
      </c>
      <c r="AM1555" s="94" t="str">
        <f>TRIM(AJ1555)&amp;TRIM(AL1555)&amp;TRIM(AK1555)</f>
      </c>
      <c r="AN1555" s="116">
        <v>54790.98</v>
      </c>
      <c r="AO1555" s="116">
        <v>30209.01</v>
      </c>
      <c r="AP1555" s="116">
        <f>SUMIFS(M:M,AM:AM,AM1555)+SUMIFS(O:O,AM:AM,AM1555)</f>
      </c>
      <c r="AQ1555" s="116">
        <f>SUMIFS(L:L,AM:AM,AM1555)</f>
      </c>
      <c r="AR1555" s="116">
        <f>AQ1555-AP1555</f>
      </c>
      <c r="AS1555" s="94" t="str">
        <f>IF(AN1555&gt;=AQ1555,"ok","ck")</f>
      </c>
      <c r="AT1555" s="116">
        <f>-P1555</f>
      </c>
      <c r="AU1555" s="115">
        <f>IF(SUMIFS(AT:AT,AM:AM,AM1555)&gt;AO1555,(SUMIFS(AT:AT,AM:AM,AM1555)-AO1555))</f>
      </c>
      <c r="AV1555" s="116">
        <v>22985.69</v>
      </c>
      <c r="AW1555" s="121">
        <v>0.914</v>
      </c>
      <c r="AX1555" s="115">
        <f>AN1555-AP1555</f>
      </c>
    </row>
    <row r="1556" spans="1:50" ht="15" hidden="1" customHeight="1" x14ac:dyDescent="0.3">
      <c r="A1556" s="94" t="s">
        <v>151</v>
      </c>
      <c r="B1556" s="94"/>
      <c r="C1556" s="94"/>
      <c r="D1556" s="94"/>
      <c r="E1556" s="94"/>
      <c r="F1556" s="94"/>
      <c r="G1556" s="112">
        <f>AU1556</f>
      </c>
      <c r="H1556" s="113"/>
      <c r="I1556" s="94" t="s">
        <v>209</v>
      </c>
      <c r="J1556" s="94" t="s">
        <v>156</v>
      </c>
      <c r="K1556" s="114">
        <f>P1556/3</f>
      </c>
      <c r="L1556" s="115">
        <v>1500</v>
      </c>
      <c r="M1556" s="116"/>
      <c r="N1556" s="117">
        <f>M1556-L1556</f>
      </c>
      <c r="O1556" s="112"/>
      <c r="P1556" s="118">
        <f>N1556+O1556</f>
      </c>
      <c r="Q1556" s="94" t="s">
        <v>211</v>
      </c>
      <c r="R1556" s="94" t="s">
        <v>63</v>
      </c>
      <c r="S1556" s="119">
        <v>46329</v>
      </c>
      <c r="T1556" s="119"/>
      <c r="U1556" s="120" t="s">
        <v>670</v>
      </c>
      <c r="V1556" s="94"/>
      <c r="W1556" s="94"/>
      <c r="X1556" s="94"/>
      <c r="Y1556" s="119">
        <v>46320</v>
      </c>
      <c r="Z1556" s="94"/>
      <c r="AA1556" s="120"/>
      <c r="AB1556" s="120"/>
      <c r="AC1556" s="120"/>
      <c r="AD1556" s="120"/>
      <c r="AE1556" s="120"/>
      <c r="AF1556" s="120"/>
      <c r="AG1556" s="94"/>
      <c r="AH1556" s="120"/>
      <c r="AI1556" s="94"/>
      <c r="AJ1556" s="94" t="s">
        <v>211</v>
      </c>
      <c r="AK1556" s="94" t="s">
        <v>162</v>
      </c>
      <c r="AL1556" s="94">
        <v>160</v>
      </c>
      <c r="AM1556" s="94" t="str">
        <f>TRIM(AJ1556)&amp;TRIM(AL1556)&amp;TRIM(AK1556)</f>
      </c>
      <c r="AN1556" s="116">
        <v>54790.98</v>
      </c>
      <c r="AO1556" s="116">
        <v>30209.01</v>
      </c>
      <c r="AP1556" s="116">
        <f>SUMIFS(M:M,AM:AM,AM1556)+SUMIFS(O:O,AM:AM,AM1556)</f>
      </c>
      <c r="AQ1556" s="116">
        <f>SUMIFS(L:L,AM:AM,AM1556)</f>
      </c>
      <c r="AR1556" s="116">
        <f>AQ1556-AP1556</f>
      </c>
      <c r="AS1556" s="94" t="str">
        <f>IF(AN1556&gt;=AQ1556,"ok","ck")</f>
      </c>
      <c r="AT1556" s="116">
        <f>-P1556</f>
      </c>
      <c r="AU1556" s="115">
        <f>IF(SUMIFS(AT:AT,AM:AM,AM1556)&gt;AO1556,(SUMIFS(AT:AT,AM:AM,AM1556)-AO1556))</f>
      </c>
      <c r="AV1556" s="116">
        <v>22985.69</v>
      </c>
      <c r="AW1556" s="121">
        <v>0.914</v>
      </c>
      <c r="AX1556" s="115">
        <f>AN1556-AP1556</f>
      </c>
    </row>
    <row r="1557" spans="1:50" ht="15" hidden="1" customHeight="1" x14ac:dyDescent="0.3">
      <c r="A1557" s="94" t="s">
        <v>151</v>
      </c>
      <c r="B1557" s="94"/>
      <c r="C1557" s="94"/>
      <c r="D1557" s="94"/>
      <c r="E1557" s="94"/>
      <c r="F1557" s="94"/>
      <c r="G1557" s="112">
        <f>AU1557</f>
      </c>
      <c r="H1557" s="113"/>
      <c r="I1557" s="94" t="s">
        <v>209</v>
      </c>
      <c r="J1557" s="94" t="s">
        <v>156</v>
      </c>
      <c r="K1557" s="114">
        <f>P1557/3</f>
      </c>
      <c r="L1557" s="115">
        <v>1500</v>
      </c>
      <c r="M1557" s="116"/>
      <c r="N1557" s="117">
        <f>M1557-L1557</f>
      </c>
      <c r="O1557" s="112"/>
      <c r="P1557" s="118">
        <f>N1557+O1557</f>
      </c>
      <c r="Q1557" s="94" t="s">
        <v>211</v>
      </c>
      <c r="R1557" s="94" t="s">
        <v>63</v>
      </c>
      <c r="S1557" s="119">
        <v>46330</v>
      </c>
      <c r="T1557" s="119"/>
      <c r="U1557" s="120" t="s">
        <v>670</v>
      </c>
      <c r="V1557" s="94"/>
      <c r="W1557" s="94"/>
      <c r="X1557" s="94"/>
      <c r="Y1557" s="119">
        <v>46320</v>
      </c>
      <c r="Z1557" s="94"/>
      <c r="AA1557" s="120"/>
      <c r="AB1557" s="120"/>
      <c r="AC1557" s="120"/>
      <c r="AD1557" s="120"/>
      <c r="AE1557" s="120"/>
      <c r="AF1557" s="120"/>
      <c r="AG1557" s="94"/>
      <c r="AH1557" s="120"/>
      <c r="AI1557" s="94"/>
      <c r="AJ1557" s="94" t="s">
        <v>211</v>
      </c>
      <c r="AK1557" s="94" t="s">
        <v>162</v>
      </c>
      <c r="AL1557" s="94">
        <v>160</v>
      </c>
      <c r="AM1557" s="94" t="str">
        <f>TRIM(AJ1557)&amp;TRIM(AL1557)&amp;TRIM(AK1557)</f>
      </c>
      <c r="AN1557" s="116">
        <v>54790.98</v>
      </c>
      <c r="AO1557" s="116">
        <v>30209.01</v>
      </c>
      <c r="AP1557" s="116">
        <f>SUMIFS(M:M,AM:AM,AM1557)+SUMIFS(O:O,AM:AM,AM1557)</f>
      </c>
      <c r="AQ1557" s="116">
        <f>SUMIFS(L:L,AM:AM,AM1557)</f>
      </c>
      <c r="AR1557" s="116">
        <f>AQ1557-AP1557</f>
      </c>
      <c r="AS1557" s="94" t="str">
        <f>IF(AN1557&gt;=AQ1557,"ok","ck")</f>
      </c>
      <c r="AT1557" s="116">
        <f>-P1557</f>
      </c>
      <c r="AU1557" s="115">
        <f>IF(SUMIFS(AT:AT,AM:AM,AM1557)&gt;AO1557,(SUMIFS(AT:AT,AM:AM,AM1557)-AO1557))</f>
      </c>
      <c r="AV1557" s="116">
        <v>22985.69</v>
      </c>
      <c r="AW1557" s="121">
        <v>0.914</v>
      </c>
      <c r="AX1557" s="115">
        <f>AN1557-AP1557</f>
      </c>
    </row>
    <row r="1558" spans="1:50" ht="15" hidden="1" customHeight="1" x14ac:dyDescent="0.3">
      <c r="A1558" s="94" t="s">
        <v>151</v>
      </c>
      <c r="B1558" s="94"/>
      <c r="C1558" s="94"/>
      <c r="D1558" s="94"/>
      <c r="E1558" s="94"/>
      <c r="F1558" s="94"/>
      <c r="G1558" s="112">
        <f>AU1558</f>
      </c>
      <c r="H1558" s="113"/>
      <c r="I1558" s="94" t="s">
        <v>209</v>
      </c>
      <c r="J1558" s="94" t="s">
        <v>156</v>
      </c>
      <c r="K1558" s="114">
        <f>P1558/3</f>
      </c>
      <c r="L1558" s="115">
        <v>1500</v>
      </c>
      <c r="M1558" s="116"/>
      <c r="N1558" s="117">
        <f>M1558-L1558</f>
      </c>
      <c r="O1558" s="112"/>
      <c r="P1558" s="118">
        <f>N1558+O1558</f>
      </c>
      <c r="Q1558" s="94" t="s">
        <v>211</v>
      </c>
      <c r="R1558" s="94" t="s">
        <v>63</v>
      </c>
      <c r="S1558" s="119">
        <v>46331</v>
      </c>
      <c r="T1558" s="119"/>
      <c r="U1558" s="120" t="s">
        <v>670</v>
      </c>
      <c r="V1558" s="94"/>
      <c r="W1558" s="94"/>
      <c r="X1558" s="94"/>
      <c r="Y1558" s="119">
        <v>46320</v>
      </c>
      <c r="Z1558" s="94"/>
      <c r="AA1558" s="120"/>
      <c r="AB1558" s="120"/>
      <c r="AC1558" s="120"/>
      <c r="AD1558" s="120"/>
      <c r="AE1558" s="120"/>
      <c r="AF1558" s="120"/>
      <c r="AG1558" s="94"/>
      <c r="AH1558" s="120"/>
      <c r="AI1558" s="94"/>
      <c r="AJ1558" s="94" t="s">
        <v>211</v>
      </c>
      <c r="AK1558" s="94" t="s">
        <v>162</v>
      </c>
      <c r="AL1558" s="94">
        <v>160</v>
      </c>
      <c r="AM1558" s="94" t="str">
        <f>TRIM(AJ1558)&amp;TRIM(AL1558)&amp;TRIM(AK1558)</f>
      </c>
      <c r="AN1558" s="116">
        <v>54790.98</v>
      </c>
      <c r="AO1558" s="116">
        <v>30209.01</v>
      </c>
      <c r="AP1558" s="116">
        <f>SUMIFS(M:M,AM:AM,AM1558)+SUMIFS(O:O,AM:AM,AM1558)</f>
      </c>
      <c r="AQ1558" s="116">
        <f>SUMIFS(L:L,AM:AM,AM1558)</f>
      </c>
      <c r="AR1558" s="116">
        <f>AQ1558-AP1558</f>
      </c>
      <c r="AS1558" s="94" t="str">
        <f>IF(AN1558&gt;=AQ1558,"ok","ck")</f>
      </c>
      <c r="AT1558" s="116">
        <f>-P1558</f>
      </c>
      <c r="AU1558" s="115">
        <f>IF(SUMIFS(AT:AT,AM:AM,AM1558)&gt;AO1558,(SUMIFS(AT:AT,AM:AM,AM1558)-AO1558))</f>
      </c>
      <c r="AV1558" s="116">
        <v>22985.69</v>
      </c>
      <c r="AW1558" s="121">
        <v>0.914</v>
      </c>
      <c r="AX1558" s="115">
        <f>AN1558-AP1558</f>
      </c>
    </row>
    <row r="1559" spans="1:50" ht="15" hidden="1" customHeight="1" x14ac:dyDescent="0.3">
      <c r="A1559" s="94" t="s">
        <v>151</v>
      </c>
      <c r="B1559" s="94"/>
      <c r="C1559" s="94"/>
      <c r="D1559" s="94"/>
      <c r="E1559" s="94"/>
      <c r="F1559" s="94"/>
      <c r="G1559" s="112">
        <f>AU1559</f>
      </c>
      <c r="H1559" s="113"/>
      <c r="I1559" s="94" t="s">
        <v>209</v>
      </c>
      <c r="J1559" s="94" t="s">
        <v>156</v>
      </c>
      <c r="K1559" s="114">
        <f>P1559/3</f>
      </c>
      <c r="L1559" s="115">
        <v>1500</v>
      </c>
      <c r="M1559" s="116"/>
      <c r="N1559" s="117">
        <f>M1559-L1559</f>
      </c>
      <c r="O1559" s="112"/>
      <c r="P1559" s="118">
        <f>N1559+O1559</f>
      </c>
      <c r="Q1559" s="94" t="s">
        <v>211</v>
      </c>
      <c r="R1559" s="94" t="s">
        <v>63</v>
      </c>
      <c r="S1559" s="119">
        <v>46332</v>
      </c>
      <c r="T1559" s="119"/>
      <c r="U1559" s="120" t="s">
        <v>670</v>
      </c>
      <c r="V1559" s="94"/>
      <c r="W1559" s="94"/>
      <c r="X1559" s="94"/>
      <c r="Y1559" s="119">
        <v>46320</v>
      </c>
      <c r="Z1559" s="94"/>
      <c r="AA1559" s="120"/>
      <c r="AB1559" s="120"/>
      <c r="AC1559" s="120"/>
      <c r="AD1559" s="120"/>
      <c r="AE1559" s="120"/>
      <c r="AF1559" s="120"/>
      <c r="AG1559" s="94"/>
      <c r="AH1559" s="120"/>
      <c r="AI1559" s="94"/>
      <c r="AJ1559" s="94" t="s">
        <v>211</v>
      </c>
      <c r="AK1559" s="94" t="s">
        <v>162</v>
      </c>
      <c r="AL1559" s="94">
        <v>160</v>
      </c>
      <c r="AM1559" s="94" t="str">
        <f>TRIM(AJ1559)&amp;TRIM(AL1559)&amp;TRIM(AK1559)</f>
      </c>
      <c r="AN1559" s="116">
        <v>54790.98</v>
      </c>
      <c r="AO1559" s="116">
        <v>30209.01</v>
      </c>
      <c r="AP1559" s="116">
        <f>SUMIFS(M:M,AM:AM,AM1559)+SUMIFS(O:O,AM:AM,AM1559)</f>
      </c>
      <c r="AQ1559" s="116">
        <f>SUMIFS(L:L,AM:AM,AM1559)</f>
      </c>
      <c r="AR1559" s="116">
        <f>AQ1559-AP1559</f>
      </c>
      <c r="AS1559" s="94" t="str">
        <f>IF(AN1559&gt;=AQ1559,"ok","ck")</f>
      </c>
      <c r="AT1559" s="116">
        <f>-P1559</f>
      </c>
      <c r="AU1559" s="115">
        <f>IF(SUMIFS(AT:AT,AM:AM,AM1559)&gt;AO1559,(SUMIFS(AT:AT,AM:AM,AM1559)-AO1559))</f>
      </c>
      <c r="AV1559" s="116">
        <v>22985.69</v>
      </c>
      <c r="AW1559" s="121">
        <v>0.914</v>
      </c>
      <c r="AX1559" s="115">
        <f>AN1559-AP1559</f>
      </c>
    </row>
    <row r="1560" spans="1:50" ht="15" hidden="1" customHeight="1" x14ac:dyDescent="0.3">
      <c r="A1560" s="94" t="s">
        <v>151</v>
      </c>
      <c r="B1560" s="94"/>
      <c r="C1560" s="94"/>
      <c r="D1560" s="94"/>
      <c r="E1560" s="94"/>
      <c r="F1560" s="94"/>
      <c r="G1560" s="112">
        <f>AU1560</f>
      </c>
      <c r="H1560" s="113"/>
      <c r="I1560" s="94" t="s">
        <v>209</v>
      </c>
      <c r="J1560" s="94" t="s">
        <v>156</v>
      </c>
      <c r="K1560" s="114">
        <f>P1560/3</f>
      </c>
      <c r="L1560" s="115">
        <v>1500</v>
      </c>
      <c r="M1560" s="116"/>
      <c r="N1560" s="117">
        <f>M1560-L1560</f>
      </c>
      <c r="O1560" s="112"/>
      <c r="P1560" s="118">
        <f>N1560+O1560</f>
      </c>
      <c r="Q1560" s="94" t="s">
        <v>211</v>
      </c>
      <c r="R1560" s="94" t="s">
        <v>63</v>
      </c>
      <c r="S1560" s="119">
        <v>46333</v>
      </c>
      <c r="T1560" s="119"/>
      <c r="U1560" s="120" t="s">
        <v>670</v>
      </c>
      <c r="V1560" s="94"/>
      <c r="W1560" s="94"/>
      <c r="X1560" s="94"/>
      <c r="Y1560" s="119">
        <v>46320</v>
      </c>
      <c r="Z1560" s="94"/>
      <c r="AA1560" s="120"/>
      <c r="AB1560" s="120"/>
      <c r="AC1560" s="120"/>
      <c r="AD1560" s="120"/>
      <c r="AE1560" s="120"/>
      <c r="AF1560" s="120"/>
      <c r="AG1560" s="94"/>
      <c r="AH1560" s="120"/>
      <c r="AI1560" s="94"/>
      <c r="AJ1560" s="94" t="s">
        <v>211</v>
      </c>
      <c r="AK1560" s="94" t="s">
        <v>162</v>
      </c>
      <c r="AL1560" s="94">
        <v>160</v>
      </c>
      <c r="AM1560" s="94" t="str">
        <f>TRIM(AJ1560)&amp;TRIM(AL1560)&amp;TRIM(AK1560)</f>
      </c>
      <c r="AN1560" s="116">
        <v>54790.98</v>
      </c>
      <c r="AO1560" s="116">
        <v>30209.01</v>
      </c>
      <c r="AP1560" s="116">
        <f>SUMIFS(M:M,AM:AM,AM1560)+SUMIFS(O:O,AM:AM,AM1560)</f>
      </c>
      <c r="AQ1560" s="116">
        <f>SUMIFS(L:L,AM:AM,AM1560)</f>
      </c>
      <c r="AR1560" s="116">
        <f>AQ1560-AP1560</f>
      </c>
      <c r="AS1560" s="94" t="str">
        <f>IF(AN1560&gt;=AQ1560,"ok","ck")</f>
      </c>
      <c r="AT1560" s="116">
        <f>-P1560</f>
      </c>
      <c r="AU1560" s="115">
        <f>IF(SUMIFS(AT:AT,AM:AM,AM1560)&gt;AO1560,(SUMIFS(AT:AT,AM:AM,AM1560)-AO1560))</f>
      </c>
      <c r="AV1560" s="116">
        <v>22985.69</v>
      </c>
      <c r="AW1560" s="121">
        <v>0.914</v>
      </c>
      <c r="AX1560" s="115">
        <f>AN1560-AP1560</f>
      </c>
    </row>
    <row r="1561" spans="1:50" ht="15" hidden="1" customHeight="1" x14ac:dyDescent="0.3">
      <c r="A1561" s="94" t="s">
        <v>151</v>
      </c>
      <c r="B1561" s="94"/>
      <c r="C1561" s="94"/>
      <c r="D1561" s="94"/>
      <c r="E1561" s="94"/>
      <c r="F1561" s="94"/>
      <c r="G1561" s="112">
        <f>AU1561</f>
      </c>
      <c r="H1561" s="113"/>
      <c r="I1561" s="94" t="s">
        <v>209</v>
      </c>
      <c r="J1561" s="94" t="s">
        <v>156</v>
      </c>
      <c r="K1561" s="114">
        <f>P1561/3</f>
      </c>
      <c r="L1561" s="115">
        <v>1500</v>
      </c>
      <c r="M1561" s="116"/>
      <c r="N1561" s="117">
        <f>M1561-L1561</f>
      </c>
      <c r="O1561" s="112"/>
      <c r="P1561" s="118">
        <f>N1561+O1561</f>
      </c>
      <c r="Q1561" s="94" t="s">
        <v>211</v>
      </c>
      <c r="R1561" s="94" t="s">
        <v>63</v>
      </c>
      <c r="S1561" s="119">
        <v>46334</v>
      </c>
      <c r="T1561" s="119"/>
      <c r="U1561" s="120" t="s">
        <v>670</v>
      </c>
      <c r="V1561" s="94"/>
      <c r="W1561" s="94"/>
      <c r="X1561" s="94"/>
      <c r="Y1561" s="119">
        <v>46328</v>
      </c>
      <c r="Z1561" s="94"/>
      <c r="AA1561" s="120"/>
      <c r="AB1561" s="120"/>
      <c r="AC1561" s="120"/>
      <c r="AD1561" s="120"/>
      <c r="AE1561" s="120"/>
      <c r="AF1561" s="120"/>
      <c r="AG1561" s="94"/>
      <c r="AH1561" s="120"/>
      <c r="AI1561" s="94"/>
      <c r="AJ1561" s="94" t="s">
        <v>211</v>
      </c>
      <c r="AK1561" s="94" t="s">
        <v>162</v>
      </c>
      <c r="AL1561" s="94">
        <v>160</v>
      </c>
      <c r="AM1561" s="94" t="str">
        <f>TRIM(AJ1561)&amp;TRIM(AL1561)&amp;TRIM(AK1561)</f>
      </c>
      <c r="AN1561" s="116">
        <v>54790.98</v>
      </c>
      <c r="AO1561" s="116">
        <v>30209.01</v>
      </c>
      <c r="AP1561" s="116">
        <f>SUMIFS(M:M,AM:AM,AM1561)+SUMIFS(O:O,AM:AM,AM1561)</f>
      </c>
      <c r="AQ1561" s="116">
        <f>SUMIFS(L:L,AM:AM,AM1561)</f>
      </c>
      <c r="AR1561" s="116">
        <f>AQ1561-AP1561</f>
      </c>
      <c r="AS1561" s="94" t="str">
        <f>IF(AN1561&gt;=AQ1561,"ok","ck")</f>
      </c>
      <c r="AT1561" s="116">
        <f>-P1561</f>
      </c>
      <c r="AU1561" s="115">
        <f>IF(SUMIFS(AT:AT,AM:AM,AM1561)&gt;AO1561,(SUMIFS(AT:AT,AM:AM,AM1561)-AO1561))</f>
      </c>
      <c r="AV1561" s="116">
        <v>22985.69</v>
      </c>
      <c r="AW1561" s="121">
        <v>0.914</v>
      </c>
      <c r="AX1561" s="115">
        <f>AN1561-AP1561</f>
      </c>
    </row>
    <row r="1562" spans="1:50" ht="15" hidden="1" customHeight="1" x14ac:dyDescent="0.3">
      <c r="A1562" s="94" t="s">
        <v>151</v>
      </c>
      <c r="B1562" s="94"/>
      <c r="C1562" s="94"/>
      <c r="D1562" s="94"/>
      <c r="E1562" s="94"/>
      <c r="F1562" s="94"/>
      <c r="G1562" s="112">
        <f>AU1562</f>
      </c>
      <c r="H1562" s="113"/>
      <c r="I1562" s="94" t="s">
        <v>209</v>
      </c>
      <c r="J1562" s="94" t="s">
        <v>156</v>
      </c>
      <c r="K1562" s="114">
        <f>P1562/3</f>
      </c>
      <c r="L1562" s="115">
        <v>1500</v>
      </c>
      <c r="M1562" s="116"/>
      <c r="N1562" s="117">
        <f>M1562-L1562</f>
      </c>
      <c r="O1562" s="112"/>
      <c r="P1562" s="118">
        <f>N1562+O1562</f>
      </c>
      <c r="Q1562" s="94" t="s">
        <v>211</v>
      </c>
      <c r="R1562" s="94" t="s">
        <v>63</v>
      </c>
      <c r="S1562" s="119">
        <v>46335</v>
      </c>
      <c r="T1562" s="119"/>
      <c r="U1562" s="120" t="s">
        <v>670</v>
      </c>
      <c r="V1562" s="94"/>
      <c r="W1562" s="94"/>
      <c r="X1562" s="94"/>
      <c r="Y1562" s="119">
        <v>46328</v>
      </c>
      <c r="Z1562" s="94"/>
      <c r="AA1562" s="120"/>
      <c r="AB1562" s="120"/>
      <c r="AC1562" s="120"/>
      <c r="AD1562" s="120"/>
      <c r="AE1562" s="120"/>
      <c r="AF1562" s="120"/>
      <c r="AG1562" s="94"/>
      <c r="AH1562" s="120"/>
      <c r="AI1562" s="94"/>
      <c r="AJ1562" s="94" t="s">
        <v>211</v>
      </c>
      <c r="AK1562" s="94" t="s">
        <v>162</v>
      </c>
      <c r="AL1562" s="94">
        <v>160</v>
      </c>
      <c r="AM1562" s="94" t="str">
        <f>TRIM(AJ1562)&amp;TRIM(AL1562)&amp;TRIM(AK1562)</f>
      </c>
      <c r="AN1562" s="116">
        <v>54790.98</v>
      </c>
      <c r="AO1562" s="116">
        <v>30209.01</v>
      </c>
      <c r="AP1562" s="116">
        <f>SUMIFS(M:M,AM:AM,AM1562)+SUMIFS(O:O,AM:AM,AM1562)</f>
      </c>
      <c r="AQ1562" s="116">
        <f>SUMIFS(L:L,AM:AM,AM1562)</f>
      </c>
      <c r="AR1562" s="116">
        <f>AQ1562-AP1562</f>
      </c>
      <c r="AS1562" s="94" t="str">
        <f>IF(AN1562&gt;=AQ1562,"ok","ck")</f>
      </c>
      <c r="AT1562" s="116">
        <f>-P1562</f>
      </c>
      <c r="AU1562" s="115">
        <f>IF(SUMIFS(AT:AT,AM:AM,AM1562)&gt;AO1562,(SUMIFS(AT:AT,AM:AM,AM1562)-AO1562))</f>
      </c>
      <c r="AV1562" s="116">
        <v>22985.69</v>
      </c>
      <c r="AW1562" s="121">
        <v>0.914</v>
      </c>
      <c r="AX1562" s="115">
        <f>AN1562-AP1562</f>
      </c>
    </row>
    <row r="1563" spans="1:50" ht="15" hidden="1" customHeight="1" x14ac:dyDescent="0.3">
      <c r="A1563" s="94" t="s">
        <v>151</v>
      </c>
      <c r="B1563" s="94"/>
      <c r="C1563" s="94"/>
      <c r="D1563" s="94"/>
      <c r="E1563" s="94"/>
      <c r="F1563" s="94"/>
      <c r="G1563" s="112">
        <f>AU1563</f>
      </c>
      <c r="H1563" s="113"/>
      <c r="I1563" s="94" t="s">
        <v>209</v>
      </c>
      <c r="J1563" s="94" t="s">
        <v>156</v>
      </c>
      <c r="K1563" s="114">
        <f>P1563/3</f>
      </c>
      <c r="L1563" s="115">
        <v>1500</v>
      </c>
      <c r="M1563" s="116"/>
      <c r="N1563" s="117">
        <f>M1563-L1563</f>
      </c>
      <c r="O1563" s="112"/>
      <c r="P1563" s="118">
        <f>N1563+O1563</f>
      </c>
      <c r="Q1563" s="94" t="s">
        <v>211</v>
      </c>
      <c r="R1563" s="94" t="s">
        <v>63</v>
      </c>
      <c r="S1563" s="119">
        <v>46336</v>
      </c>
      <c r="T1563" s="119"/>
      <c r="U1563" s="120" t="s">
        <v>670</v>
      </c>
      <c r="V1563" s="94"/>
      <c r="W1563" s="94"/>
      <c r="X1563" s="94"/>
      <c r="Y1563" s="119">
        <v>46328</v>
      </c>
      <c r="Z1563" s="94"/>
      <c r="AA1563" s="120"/>
      <c r="AB1563" s="120"/>
      <c r="AC1563" s="120"/>
      <c r="AD1563" s="120"/>
      <c r="AE1563" s="120"/>
      <c r="AF1563" s="120"/>
      <c r="AG1563" s="94"/>
      <c r="AH1563" s="120"/>
      <c r="AI1563" s="94"/>
      <c r="AJ1563" s="94" t="s">
        <v>211</v>
      </c>
      <c r="AK1563" s="94" t="s">
        <v>162</v>
      </c>
      <c r="AL1563" s="94">
        <v>160</v>
      </c>
      <c r="AM1563" s="94" t="str">
        <f>TRIM(AJ1563)&amp;TRIM(AL1563)&amp;TRIM(AK1563)</f>
      </c>
      <c r="AN1563" s="116">
        <v>54790.98</v>
      </c>
      <c r="AO1563" s="116">
        <v>30209.01</v>
      </c>
      <c r="AP1563" s="116">
        <f>SUMIFS(M:M,AM:AM,AM1563)+SUMIFS(O:O,AM:AM,AM1563)</f>
      </c>
      <c r="AQ1563" s="116">
        <f>SUMIFS(L:L,AM:AM,AM1563)</f>
      </c>
      <c r="AR1563" s="116">
        <f>AQ1563-AP1563</f>
      </c>
      <c r="AS1563" s="94" t="str">
        <f>IF(AN1563&gt;=AQ1563,"ok","ck")</f>
      </c>
      <c r="AT1563" s="116">
        <f>-P1563</f>
      </c>
      <c r="AU1563" s="115">
        <f>IF(SUMIFS(AT:AT,AM:AM,AM1563)&gt;AO1563,(SUMIFS(AT:AT,AM:AM,AM1563)-AO1563))</f>
      </c>
      <c r="AV1563" s="116">
        <v>22985.69</v>
      </c>
      <c r="AW1563" s="121">
        <v>0.914</v>
      </c>
      <c r="AX1563" s="115">
        <f>AN1563-AP1563</f>
      </c>
    </row>
    <row r="1564" spans="1:50" ht="15" hidden="1" customHeight="1" x14ac:dyDescent="0.3">
      <c r="A1564" s="94" t="s">
        <v>151</v>
      </c>
      <c r="B1564" s="94"/>
      <c r="C1564" s="94"/>
      <c r="D1564" s="94"/>
      <c r="E1564" s="94"/>
      <c r="F1564" s="94"/>
      <c r="G1564" s="112">
        <f>AU1564</f>
      </c>
      <c r="H1564" s="113"/>
      <c r="I1564" s="94" t="s">
        <v>209</v>
      </c>
      <c r="J1564" s="94" t="s">
        <v>156</v>
      </c>
      <c r="K1564" s="114">
        <f>P1564/3</f>
      </c>
      <c r="L1564" s="115">
        <v>1500</v>
      </c>
      <c r="M1564" s="116"/>
      <c r="N1564" s="117">
        <f>M1564-L1564</f>
      </c>
      <c r="O1564" s="112"/>
      <c r="P1564" s="118">
        <f>N1564+O1564</f>
      </c>
      <c r="Q1564" s="94" t="s">
        <v>211</v>
      </c>
      <c r="R1564" s="94" t="s">
        <v>63</v>
      </c>
      <c r="S1564" s="119">
        <v>46337</v>
      </c>
      <c r="T1564" s="119"/>
      <c r="U1564" s="120" t="s">
        <v>670</v>
      </c>
      <c r="V1564" s="94"/>
      <c r="W1564" s="94"/>
      <c r="X1564" s="94"/>
      <c r="Y1564" s="119">
        <v>46328</v>
      </c>
      <c r="Z1564" s="94"/>
      <c r="AA1564" s="120"/>
      <c r="AB1564" s="120"/>
      <c r="AC1564" s="120"/>
      <c r="AD1564" s="120"/>
      <c r="AE1564" s="120"/>
      <c r="AF1564" s="120"/>
      <c r="AG1564" s="94"/>
      <c r="AH1564" s="120"/>
      <c r="AI1564" s="94"/>
      <c r="AJ1564" s="94" t="s">
        <v>211</v>
      </c>
      <c r="AK1564" s="94" t="s">
        <v>162</v>
      </c>
      <c r="AL1564" s="94">
        <v>160</v>
      </c>
      <c r="AM1564" s="94" t="str">
        <f>TRIM(AJ1564)&amp;TRIM(AL1564)&amp;TRIM(AK1564)</f>
      </c>
      <c r="AN1564" s="116">
        <v>54790.98</v>
      </c>
      <c r="AO1564" s="116">
        <v>30209.01</v>
      </c>
      <c r="AP1564" s="116">
        <f>SUMIFS(M:M,AM:AM,AM1564)+SUMIFS(O:O,AM:AM,AM1564)</f>
      </c>
      <c r="AQ1564" s="116">
        <f>SUMIFS(L:L,AM:AM,AM1564)</f>
      </c>
      <c r="AR1564" s="116">
        <f>AQ1564-AP1564</f>
      </c>
      <c r="AS1564" s="94" t="str">
        <f>IF(AN1564&gt;=AQ1564,"ok","ck")</f>
      </c>
      <c r="AT1564" s="116">
        <f>-P1564</f>
      </c>
      <c r="AU1564" s="115">
        <f>IF(SUMIFS(AT:AT,AM:AM,AM1564)&gt;AO1564,(SUMIFS(AT:AT,AM:AM,AM1564)-AO1564))</f>
      </c>
      <c r="AV1564" s="116">
        <v>22985.69</v>
      </c>
      <c r="AW1564" s="121">
        <v>0.914</v>
      </c>
      <c r="AX1564" s="115">
        <f>AN1564-AP1564</f>
      </c>
    </row>
    <row r="1565" spans="1:50" ht="15" hidden="1" customHeight="1" x14ac:dyDescent="0.3">
      <c r="A1565" s="94" t="s">
        <v>151</v>
      </c>
      <c r="B1565" s="94"/>
      <c r="C1565" s="94"/>
      <c r="D1565" s="94"/>
      <c r="E1565" s="94"/>
      <c r="F1565" s="94"/>
      <c r="G1565" s="112">
        <f>AU1565</f>
      </c>
      <c r="H1565" s="113"/>
      <c r="I1565" s="94" t="s">
        <v>209</v>
      </c>
      <c r="J1565" s="94" t="s">
        <v>156</v>
      </c>
      <c r="K1565" s="114">
        <f>P1565/3</f>
      </c>
      <c r="L1565" s="115">
        <v>8764.0169999999998</v>
      </c>
      <c r="M1565" s="116"/>
      <c r="N1565" s="117">
        <f>M1565-L1565</f>
      </c>
      <c r="O1565" s="112"/>
      <c r="P1565" s="118">
        <f>N1565+O1565</f>
      </c>
      <c r="Q1565" s="94" t="s">
        <v>211</v>
      </c>
      <c r="R1565" s="94" t="s">
        <v>63</v>
      </c>
      <c r="S1565" s="119">
        <v>46338</v>
      </c>
      <c r="T1565" s="119"/>
      <c r="U1565" s="120" t="s">
        <v>670</v>
      </c>
      <c r="V1565" s="94"/>
      <c r="W1565" s="94"/>
      <c r="X1565" s="94"/>
      <c r="Y1565" s="119">
        <v>46328</v>
      </c>
      <c r="Z1565" s="94"/>
      <c r="AA1565" s="120"/>
      <c r="AB1565" s="120"/>
      <c r="AC1565" s="120"/>
      <c r="AD1565" s="120"/>
      <c r="AE1565" s="120"/>
      <c r="AF1565" s="120"/>
      <c r="AG1565" s="94"/>
      <c r="AH1565" s="120"/>
      <c r="AI1565" s="94"/>
      <c r="AJ1565" s="94" t="s">
        <v>211</v>
      </c>
      <c r="AK1565" s="94" t="s">
        <v>162</v>
      </c>
      <c r="AL1565" s="94">
        <v>160</v>
      </c>
      <c r="AM1565" s="94" t="str">
        <f>TRIM(AJ1565)&amp;TRIM(AL1565)&amp;TRIM(AK1565)</f>
      </c>
      <c r="AN1565" s="116">
        <v>54790.98</v>
      </c>
      <c r="AO1565" s="116">
        <v>30209.01</v>
      </c>
      <c r="AP1565" s="116">
        <f>SUMIFS(M:M,AM:AM,AM1565)+SUMIFS(O:O,AM:AM,AM1565)</f>
      </c>
      <c r="AQ1565" s="116">
        <f>SUMIFS(L:L,AM:AM,AM1565)</f>
      </c>
      <c r="AR1565" s="116">
        <f>AQ1565-AP1565</f>
      </c>
      <c r="AS1565" s="94" t="str">
        <f>IF(AN1565&gt;=AQ1565,"ok","ck")</f>
      </c>
      <c r="AT1565" s="116">
        <f>-P1565</f>
      </c>
      <c r="AU1565" s="115">
        <f>IF(SUMIFS(AT:AT,AM:AM,AM1565)&gt;AO1565,(SUMIFS(AT:AT,AM:AM,AM1565)-AO1565))</f>
      </c>
      <c r="AV1565" s="116">
        <v>22985.69</v>
      </c>
      <c r="AW1565" s="121">
        <v>0.914</v>
      </c>
      <c r="AX1565" s="115">
        <f>AN1565-AP1565</f>
      </c>
    </row>
    <row r="1566" spans="1:50" ht="15" hidden="1" customHeight="1" x14ac:dyDescent="0.3">
      <c r="A1566" s="94" t="s">
        <v>151</v>
      </c>
      <c r="B1566" s="94"/>
      <c r="C1566" s="94"/>
      <c r="D1566" s="94"/>
      <c r="E1566" s="94"/>
      <c r="F1566" s="94"/>
      <c r="G1566" s="112">
        <f>AU1566</f>
      </c>
      <c r="H1566" s="113"/>
      <c r="I1566" s="94" t="s">
        <v>152</v>
      </c>
      <c r="J1566" s="94" t="s">
        <v>172</v>
      </c>
      <c r="K1566" s="114">
        <f>P1566/3</f>
      </c>
      <c r="L1566" s="115">
        <v>2598.047</v>
      </c>
      <c r="M1566" s="116">
        <f>L1566</f>
      </c>
      <c r="N1566" s="117">
        <f>M1566-L1566</f>
      </c>
      <c r="O1566" s="112"/>
      <c r="P1566" s="118">
        <f>N1566+O1566</f>
      </c>
      <c r="Q1566" s="94" t="s">
        <v>168</v>
      </c>
      <c r="R1566" s="94" t="s">
        <v>63</v>
      </c>
      <c r="S1566" s="119">
        <v>46338</v>
      </c>
      <c r="T1566" s="119"/>
      <c r="U1566" s="120" t="s">
        <v>671</v>
      </c>
      <c r="V1566" s="94"/>
      <c r="W1566" s="94"/>
      <c r="X1566" s="94"/>
      <c r="Y1566" s="119">
        <v>46320</v>
      </c>
      <c r="Z1566" s="94"/>
      <c r="AA1566" s="120"/>
      <c r="AB1566" s="120"/>
      <c r="AC1566" s="120"/>
      <c r="AD1566" s="120"/>
      <c r="AE1566" s="120"/>
      <c r="AF1566" s="120"/>
      <c r="AG1566" s="94"/>
      <c r="AH1566" s="120"/>
      <c r="AI1566" s="94"/>
      <c r="AJ1566" s="94" t="s">
        <v>168</v>
      </c>
      <c r="AK1566" s="94" t="s">
        <v>173</v>
      </c>
      <c r="AL1566" s="94">
        <v>160</v>
      </c>
      <c r="AM1566" s="94" t="str">
        <f>TRIM(AJ1566)&amp;TRIM(AL1566)&amp;TRIM(AK1566)</f>
      </c>
      <c r="AN1566" s="116">
        <v>3582.59</v>
      </c>
      <c r="AO1566" s="116">
        <v>17.41</v>
      </c>
      <c r="AP1566" s="116">
        <f>SUMIFS(M:M,AM:AM,AM1566)+SUMIFS(O:O,AM:AM,AM1566)</f>
      </c>
      <c r="AQ1566" s="116">
        <f>SUMIFS(L:L,AM:AM,AM1566)</f>
      </c>
      <c r="AR1566" s="116">
        <f>AQ1566-AP1566</f>
      </c>
      <c r="AS1566" s="94" t="str">
        <f>IF(AN1566&gt;=AQ1566,"ok","ck")</f>
      </c>
      <c r="AT1566" s="116">
        <f>-P1566</f>
      </c>
      <c r="AU1566" s="115">
        <f>IF(SUMIFS(AT:AT,AM:AM,AM1566)&gt;AO1566,(SUMIFS(AT:AT,AM:AM,AM1566)-AO1566))</f>
      </c>
      <c r="AV1566" s="116">
        <v>3582.59</v>
      </c>
      <c r="AW1566" s="121">
        <v>0.995</v>
      </c>
      <c r="AX1566" s="115">
        <f>AN1566-AP1566</f>
      </c>
    </row>
    <row r="1567" spans="1:50" ht="15" customHeight="1" x14ac:dyDescent="0.3">
      <c r="A1567" s="94" t="s">
        <v>862</v>
      </c>
      <c r="B1567" s="94"/>
      <c r="C1567" s="94"/>
      <c r="D1567" s="94"/>
      <c r="E1567" s="94"/>
      <c r="F1567" s="94"/>
      <c r="G1567" s="112">
        <f>AU1567</f>
      </c>
      <c r="H1567" s="113"/>
      <c r="I1567" s="94" t="s">
        <v>390</v>
      </c>
      <c r="J1567" s="94" t="s">
        <v>267</v>
      </c>
      <c r="K1567" s="114">
        <f>P1567/3</f>
      </c>
      <c r="L1567" s="115">
        <v>2299.143</v>
      </c>
      <c r="M1567" s="116"/>
      <c r="N1567" s="117">
        <f>M1567-L1567</f>
      </c>
      <c r="O1567" s="112"/>
      <c r="P1567" s="118">
        <f>N1567+O1567</f>
      </c>
      <c r="Q1567" s="94"/>
      <c r="R1567" s="94" t="s">
        <v>63</v>
      </c>
      <c r="S1567" s="119">
        <v>46341</v>
      </c>
      <c r="T1567" s="119"/>
      <c r="U1567" s="120" t="s">
        <v>631</v>
      </c>
      <c r="V1567" s="94"/>
      <c r="W1567" s="94"/>
      <c r="X1567" s="94"/>
      <c r="Y1567" s="119">
        <v>46336</v>
      </c>
      <c r="Z1567" s="94"/>
      <c r="AA1567" s="120"/>
      <c r="AB1567" s="120"/>
      <c r="AC1567" s="120"/>
      <c r="AD1567" s="120"/>
      <c r="AE1567" s="120"/>
      <c r="AF1567" s="120"/>
      <c r="AG1567" s="94"/>
      <c r="AH1567" s="120"/>
      <c r="AI1567" s="94"/>
      <c r="AJ1567" s="94"/>
      <c r="AK1567" s="94"/>
      <c r="AL1567" s="94">
        <v>140</v>
      </c>
      <c r="AM1567" s="94" t="str">
        <f>TRIM(AJ1567)&amp;TRIM(AL1567)&amp;TRIM(AK1567)</f>
      </c>
      <c r="AN1567" s="116">
        <v>0</v>
      </c>
      <c r="AO1567" s="116" t="inlineStr">
        <is>
          <t>#NA</t>
        </is>
      </c>
      <c r="AP1567" s="116">
        <f>SUMIFS(M:M,AM:AM,AM1567)+SUMIFS(O:O,AM:AM,AM1567)</f>
      </c>
      <c r="AQ1567" s="116">
        <f>SUMIFS(L:L,AM:AM,AM1567)</f>
      </c>
      <c r="AR1567" s="116">
        <f>AQ1567-AP1567</f>
      </c>
      <c r="AS1567" s="94" t="str">
        <f>IF(AN1567&gt;=AQ1567,"ok","ck")</f>
      </c>
      <c r="AT1567" s="116">
        <f>-P1567</f>
      </c>
      <c r="AU1567" s="115">
        <f>IF(SUMIFS(AT:AT,AM:AM,AM1567)&gt;AO1567,(SUMIFS(AT:AT,AM:AM,AM1567)-AO1567))</f>
      </c>
      <c r="AV1567" s="116" t="e">
        <v>#N/A</v>
      </c>
      <c r="AW1567" s="121" t="e">
        <v>#N/A</v>
      </c>
      <c r="AX1567" s="115">
        <f>AN1567-AP1567</f>
      </c>
    </row>
    <row r="1568" spans="1:50" ht="15" customHeight="1" x14ac:dyDescent="0.3">
      <c r="A1568" s="94" t="s">
        <v>862</v>
      </c>
      <c r="B1568" s="94"/>
      <c r="C1568" s="94"/>
      <c r="D1568" s="94"/>
      <c r="E1568" s="94"/>
      <c r="F1568" s="94"/>
      <c r="G1568" s="112">
        <f>AU1568</f>
      </c>
      <c r="H1568" s="113"/>
      <c r="I1568" s="94" t="s">
        <v>278</v>
      </c>
      <c r="J1568" s="94" t="s">
        <v>281</v>
      </c>
      <c r="K1568" s="114">
        <f>P1568/3</f>
      </c>
      <c r="L1568" s="115">
        <v>156.471</v>
      </c>
      <c r="M1568" s="116"/>
      <c r="N1568" s="117">
        <f>M1568-L1568</f>
      </c>
      <c r="O1568" s="112"/>
      <c r="P1568" s="118">
        <f>N1568+O1568</f>
      </c>
      <c r="Q1568" s="94"/>
      <c r="R1568" s="94" t="s">
        <v>63</v>
      </c>
      <c r="S1568" s="119">
        <v>46345</v>
      </c>
      <c r="T1568" s="119"/>
      <c r="U1568" s="120" t="s">
        <v>632</v>
      </c>
      <c r="V1568" s="94"/>
      <c r="W1568" s="94"/>
      <c r="X1568" s="94"/>
      <c r="Y1568" s="119">
        <v>46344</v>
      </c>
      <c r="Z1568" s="94"/>
      <c r="AA1568" s="120"/>
      <c r="AB1568" s="120"/>
      <c r="AC1568" s="120"/>
      <c r="AD1568" s="120"/>
      <c r="AE1568" s="120"/>
      <c r="AF1568" s="120"/>
      <c r="AG1568" s="94"/>
      <c r="AH1568" s="120"/>
      <c r="AI1568" s="94"/>
      <c r="AJ1568" s="94"/>
      <c r="AK1568" s="94"/>
      <c r="AL1568" s="94">
        <v>120</v>
      </c>
      <c r="AM1568" s="94" t="str">
        <f>TRIM(AJ1568)&amp;TRIM(AL1568)&amp;TRIM(AK1568)</f>
      </c>
      <c r="AN1568" s="116">
        <v>0</v>
      </c>
      <c r="AO1568" s="116" t="inlineStr">
        <is>
          <t>#NA</t>
        </is>
      </c>
      <c r="AP1568" s="116">
        <f>SUMIFS(M:M,AM:AM,AM1568)+SUMIFS(O:O,AM:AM,AM1568)</f>
      </c>
      <c r="AQ1568" s="116">
        <f>SUMIFS(L:L,AM:AM,AM1568)</f>
      </c>
      <c r="AR1568" s="116">
        <f>AQ1568-AP1568</f>
      </c>
      <c r="AS1568" s="94" t="str">
        <f>IF(AN1568&gt;=AQ1568,"ok","ck")</f>
      </c>
      <c r="AT1568" s="116">
        <f>-P1568</f>
      </c>
      <c r="AU1568" s="115">
        <f>IF(SUMIFS(AT:AT,AM:AM,AM1568)&gt;AO1568,(SUMIFS(AT:AT,AM:AM,AM1568)-AO1568))</f>
      </c>
      <c r="AV1568" s="116" t="e">
        <v>#N/A</v>
      </c>
      <c r="AW1568" s="121" t="e">
        <v>#N/A</v>
      </c>
      <c r="AX1568" s="115">
        <f>AN1568-AP1568</f>
      </c>
    </row>
    <row r="1569" spans="1:50" ht="15" hidden="1" customHeight="1" x14ac:dyDescent="0.3">
      <c r="A1569" s="94" t="s">
        <v>151</v>
      </c>
      <c r="B1569" s="94"/>
      <c r="C1569" s="94"/>
      <c r="D1569" s="94"/>
      <c r="E1569" s="94"/>
      <c r="F1569" s="94"/>
      <c r="G1569" s="112">
        <f>AU1569</f>
      </c>
      <c r="H1569" s="113"/>
      <c r="I1569" s="94" t="s">
        <v>209</v>
      </c>
      <c r="J1569" s="94" t="s">
        <v>114</v>
      </c>
      <c r="K1569" s="114">
        <f>P1569/3</f>
      </c>
      <c r="L1569" s="115">
        <v>1000</v>
      </c>
      <c r="M1569" s="116"/>
      <c r="N1569" s="117">
        <f>M1569-L1569</f>
      </c>
      <c r="O1569" s="112"/>
      <c r="P1569" s="118">
        <f>N1569+O1569</f>
      </c>
      <c r="Q1569" s="94" t="s">
        <v>211</v>
      </c>
      <c r="R1569" s="94" t="s">
        <v>63</v>
      </c>
      <c r="S1569" s="119">
        <v>46338</v>
      </c>
      <c r="T1569" s="119"/>
      <c r="U1569" s="119" t="s">
        <v>668</v>
      </c>
      <c r="V1569" s="94"/>
      <c r="W1569" s="94"/>
      <c r="X1569" s="94"/>
      <c r="Y1569" s="119">
        <v>46323</v>
      </c>
      <c r="Z1569" s="94"/>
      <c r="AA1569" s="120"/>
      <c r="AB1569" s="120"/>
      <c r="AC1569" s="120"/>
      <c r="AD1569" s="120"/>
      <c r="AE1569" s="120"/>
      <c r="AF1569" s="120"/>
      <c r="AG1569" s="94"/>
      <c r="AH1569" s="120"/>
      <c r="AI1569" s="94"/>
      <c r="AJ1569" s="94" t="s">
        <v>211</v>
      </c>
      <c r="AK1569" s="94" t="s">
        <v>227</v>
      </c>
      <c r="AL1569" s="94">
        <v>160</v>
      </c>
      <c r="AM1569" s="94" t="str">
        <f>TRIM(AJ1569)&amp;TRIM(AL1569)&amp;TRIM(AK1569)</f>
      </c>
      <c r="AN1569" s="116">
        <v>38023.68</v>
      </c>
      <c r="AO1569" s="116">
        <v>9976.32</v>
      </c>
      <c r="AP1569" s="116">
        <f>SUMIFS(M:M,AM:AM,AM1569)+SUMIFS(O:O,AM:AM,AM1569)</f>
      </c>
      <c r="AQ1569" s="116">
        <f>SUMIFS(L:L,AM:AM,AM1569)</f>
      </c>
      <c r="AR1569" s="116">
        <f>AQ1569-AP1569</f>
      </c>
      <c r="AS1569" s="94" t="str">
        <f>IF(AN1569&gt;=AQ1569,"ok","ck")</f>
      </c>
      <c r="AT1569" s="116">
        <f>-P1569</f>
      </c>
      <c r="AU1569" s="115">
        <f>IF(SUMIFS(AT:AT,AM:AM,AM1569)&gt;AO1569,(SUMIFS(AT:AT,AM:AM,AM1569)-AO1569))</f>
      </c>
      <c r="AV1569" s="116">
        <v>10025.37</v>
      </c>
      <c r="AW1569" s="121">
        <v>0.967</v>
      </c>
      <c r="AX1569" s="115">
        <f>AN1569-AP1569</f>
      </c>
    </row>
    <row r="1570" spans="1:50" ht="15" hidden="1" customHeight="1" x14ac:dyDescent="0.3">
      <c r="A1570" s="94" t="s">
        <v>151</v>
      </c>
      <c r="B1570" s="94"/>
      <c r="C1570" s="94"/>
      <c r="D1570" s="94"/>
      <c r="E1570" s="94"/>
      <c r="F1570" s="94"/>
      <c r="G1570" s="112">
        <f>AU1570</f>
      </c>
      <c r="H1570" s="113"/>
      <c r="I1570" s="94" t="s">
        <v>209</v>
      </c>
      <c r="J1570" s="94" t="s">
        <v>114</v>
      </c>
      <c r="K1570" s="114">
        <f>P1570/3</f>
      </c>
      <c r="L1570" s="115">
        <v>1000</v>
      </c>
      <c r="M1570" s="116"/>
      <c r="N1570" s="117">
        <f>M1570-L1570</f>
      </c>
      <c r="O1570" s="112"/>
      <c r="P1570" s="118">
        <f>N1570+O1570</f>
      </c>
      <c r="Q1570" s="94" t="s">
        <v>211</v>
      </c>
      <c r="R1570" s="94" t="s">
        <v>63</v>
      </c>
      <c r="S1570" s="119">
        <v>46339</v>
      </c>
      <c r="T1570" s="119"/>
      <c r="U1570" s="119" t="s">
        <v>668</v>
      </c>
      <c r="V1570" s="94"/>
      <c r="W1570" s="94"/>
      <c r="X1570" s="94"/>
      <c r="Y1570" s="119">
        <v>46323</v>
      </c>
      <c r="Z1570" s="94"/>
      <c r="AA1570" s="120"/>
      <c r="AB1570" s="120"/>
      <c r="AC1570" s="120"/>
      <c r="AD1570" s="120"/>
      <c r="AE1570" s="120"/>
      <c r="AF1570" s="120"/>
      <c r="AG1570" s="94"/>
      <c r="AH1570" s="120"/>
      <c r="AI1570" s="94"/>
      <c r="AJ1570" s="94" t="s">
        <v>211</v>
      </c>
      <c r="AK1570" s="94" t="s">
        <v>227</v>
      </c>
      <c r="AL1570" s="94">
        <v>160</v>
      </c>
      <c r="AM1570" s="94" t="str">
        <f>TRIM(AJ1570)&amp;TRIM(AL1570)&amp;TRIM(AK1570)</f>
      </c>
      <c r="AN1570" s="116">
        <v>38023.68</v>
      </c>
      <c r="AO1570" s="116">
        <v>9976.32</v>
      </c>
      <c r="AP1570" s="116">
        <f>SUMIFS(M:M,AM:AM,AM1570)+SUMIFS(O:O,AM:AM,AM1570)</f>
      </c>
      <c r="AQ1570" s="116">
        <f>SUMIFS(L:L,AM:AM,AM1570)</f>
      </c>
      <c r="AR1570" s="116">
        <f>AQ1570-AP1570</f>
      </c>
      <c r="AS1570" s="94" t="str">
        <f>IF(AN1570&gt;=AQ1570,"ok","ck")</f>
      </c>
      <c r="AT1570" s="116">
        <f>-P1570</f>
      </c>
      <c r="AU1570" s="115">
        <f>IF(SUMIFS(AT:AT,AM:AM,AM1570)&gt;AO1570,(SUMIFS(AT:AT,AM:AM,AM1570)-AO1570))</f>
      </c>
      <c r="AV1570" s="116">
        <v>10025.37</v>
      </c>
      <c r="AW1570" s="121">
        <v>0.967</v>
      </c>
      <c r="AX1570" s="115">
        <f>AN1570-AP1570</f>
      </c>
    </row>
    <row r="1571" spans="1:50" ht="15" hidden="1" customHeight="1" x14ac:dyDescent="0.3">
      <c r="A1571" s="94" t="s">
        <v>151</v>
      </c>
      <c r="B1571" s="94"/>
      <c r="C1571" s="94"/>
      <c r="D1571" s="94"/>
      <c r="E1571" s="94"/>
      <c r="F1571" s="94"/>
      <c r="G1571" s="112">
        <f>AU1571</f>
      </c>
      <c r="H1571" s="113"/>
      <c r="I1571" s="94" t="s">
        <v>209</v>
      </c>
      <c r="J1571" s="94" t="s">
        <v>114</v>
      </c>
      <c r="K1571" s="114">
        <f>P1571/3</f>
      </c>
      <c r="L1571" s="115">
        <v>1000</v>
      </c>
      <c r="M1571" s="116"/>
      <c r="N1571" s="117">
        <f>M1571-L1571</f>
      </c>
      <c r="O1571" s="112"/>
      <c r="P1571" s="118">
        <f>N1571+O1571</f>
      </c>
      <c r="Q1571" s="94" t="s">
        <v>211</v>
      </c>
      <c r="R1571" s="94" t="s">
        <v>63</v>
      </c>
      <c r="S1571" s="119">
        <v>46340</v>
      </c>
      <c r="T1571" s="119"/>
      <c r="U1571" s="119" t="s">
        <v>668</v>
      </c>
      <c r="V1571" s="94"/>
      <c r="W1571" s="94"/>
      <c r="X1571" s="94"/>
      <c r="Y1571" s="119">
        <v>46323</v>
      </c>
      <c r="Z1571" s="94"/>
      <c r="AA1571" s="120"/>
      <c r="AB1571" s="120"/>
      <c r="AC1571" s="120"/>
      <c r="AD1571" s="120"/>
      <c r="AE1571" s="120"/>
      <c r="AF1571" s="120"/>
      <c r="AG1571" s="94"/>
      <c r="AH1571" s="120"/>
      <c r="AI1571" s="94"/>
      <c r="AJ1571" s="94" t="s">
        <v>211</v>
      </c>
      <c r="AK1571" s="94" t="s">
        <v>227</v>
      </c>
      <c r="AL1571" s="94">
        <v>160</v>
      </c>
      <c r="AM1571" s="94" t="str">
        <f>TRIM(AJ1571)&amp;TRIM(AL1571)&amp;TRIM(AK1571)</f>
      </c>
      <c r="AN1571" s="116">
        <v>38023.68</v>
      </c>
      <c r="AO1571" s="116">
        <v>9976.32</v>
      </c>
      <c r="AP1571" s="116">
        <f>SUMIFS(M:M,AM:AM,AM1571)+SUMIFS(O:O,AM:AM,AM1571)</f>
      </c>
      <c r="AQ1571" s="116">
        <f>SUMIFS(L:L,AM:AM,AM1571)</f>
      </c>
      <c r="AR1571" s="116">
        <f>AQ1571-AP1571</f>
      </c>
      <c r="AS1571" s="94" t="str">
        <f>IF(AN1571&gt;=AQ1571,"ok","ck")</f>
      </c>
      <c r="AT1571" s="116">
        <f>-P1571</f>
      </c>
      <c r="AU1571" s="115">
        <f>IF(SUMIFS(AT:AT,AM:AM,AM1571)&gt;AO1571,(SUMIFS(AT:AT,AM:AM,AM1571)-AO1571))</f>
      </c>
      <c r="AV1571" s="116">
        <v>10025.37</v>
      </c>
      <c r="AW1571" s="121">
        <v>0.967</v>
      </c>
      <c r="AX1571" s="115">
        <f>AN1571-AP1571</f>
      </c>
    </row>
    <row r="1572" spans="1:50" ht="15" hidden="1" customHeight="1" x14ac:dyDescent="0.3">
      <c r="A1572" s="94" t="s">
        <v>151</v>
      </c>
      <c r="B1572" s="94"/>
      <c r="C1572" s="94"/>
      <c r="D1572" s="94"/>
      <c r="E1572" s="94"/>
      <c r="F1572" s="94"/>
      <c r="G1572" s="112">
        <f>AU1572</f>
      </c>
      <c r="H1572" s="113"/>
      <c r="I1572" s="94" t="s">
        <v>209</v>
      </c>
      <c r="J1572" s="94" t="s">
        <v>114</v>
      </c>
      <c r="K1572" s="114">
        <f>P1572/3</f>
      </c>
      <c r="L1572" s="115">
        <v>1664.943</v>
      </c>
      <c r="M1572" s="116"/>
      <c r="N1572" s="117">
        <f>M1572-L1572</f>
      </c>
      <c r="O1572" s="112"/>
      <c r="P1572" s="118">
        <f>N1572+O1572</f>
      </c>
      <c r="Q1572" s="94" t="s">
        <v>211</v>
      </c>
      <c r="R1572" s="94" t="s">
        <v>63</v>
      </c>
      <c r="S1572" s="119">
        <v>46341</v>
      </c>
      <c r="T1572" s="119"/>
      <c r="U1572" s="119" t="s">
        <v>668</v>
      </c>
      <c r="V1572" s="94"/>
      <c r="W1572" s="94"/>
      <c r="X1572" s="94"/>
      <c r="Y1572" s="119">
        <v>46323</v>
      </c>
      <c r="Z1572" s="94"/>
      <c r="AA1572" s="120"/>
      <c r="AB1572" s="120"/>
      <c r="AC1572" s="120"/>
      <c r="AD1572" s="120"/>
      <c r="AE1572" s="120"/>
      <c r="AF1572" s="120"/>
      <c r="AG1572" s="94"/>
      <c r="AH1572" s="120"/>
      <c r="AI1572" s="94"/>
      <c r="AJ1572" s="94" t="s">
        <v>211</v>
      </c>
      <c r="AK1572" s="94" t="s">
        <v>227</v>
      </c>
      <c r="AL1572" s="94">
        <v>160</v>
      </c>
      <c r="AM1572" s="94" t="str">
        <f>TRIM(AJ1572)&amp;TRIM(AL1572)&amp;TRIM(AK1572)</f>
      </c>
      <c r="AN1572" s="116">
        <v>38023.68</v>
      </c>
      <c r="AO1572" s="116">
        <v>9976.32</v>
      </c>
      <c r="AP1572" s="116">
        <f>SUMIFS(M:M,AM:AM,AM1572)+SUMIFS(O:O,AM:AM,AM1572)</f>
      </c>
      <c r="AQ1572" s="116">
        <f>SUMIFS(L:L,AM:AM,AM1572)</f>
      </c>
      <c r="AR1572" s="116">
        <f>AQ1572-AP1572</f>
      </c>
      <c r="AS1572" s="94" t="str">
        <f>IF(AN1572&gt;=AQ1572,"ok","ck")</f>
      </c>
      <c r="AT1572" s="116">
        <f>-P1572</f>
      </c>
      <c r="AU1572" s="115">
        <f>IF(SUMIFS(AT:AT,AM:AM,AM1572)&gt;AO1572,(SUMIFS(AT:AT,AM:AM,AM1572)-AO1572))</f>
      </c>
      <c r="AV1572" s="116">
        <v>10025.37</v>
      </c>
      <c r="AW1572" s="121">
        <v>0.967</v>
      </c>
      <c r="AX1572" s="115">
        <f>AN1572-AP1572</f>
      </c>
    </row>
    <row r="1573" spans="1:50" ht="15" hidden="1" customHeight="1" x14ac:dyDescent="0.3">
      <c r="A1573" s="94" t="s">
        <v>151</v>
      </c>
      <c r="B1573" s="94"/>
      <c r="C1573" s="94"/>
      <c r="D1573" s="94"/>
      <c r="E1573" s="94"/>
      <c r="F1573" s="94"/>
      <c r="G1573" s="112">
        <f>AU1573</f>
      </c>
      <c r="H1573" s="113"/>
      <c r="I1573" s="94" t="s">
        <v>209</v>
      </c>
      <c r="J1573" s="94" t="s">
        <v>207</v>
      </c>
      <c r="K1573" s="114">
        <f>P1573/3</f>
      </c>
      <c r="L1573" s="115">
        <v>0</v>
      </c>
      <c r="M1573" s="116">
        <f>L1573</f>
      </c>
      <c r="N1573" s="117">
        <f>M1573-L1573</f>
      </c>
      <c r="O1573" s="112"/>
      <c r="P1573" s="118">
        <f>N1573+O1573</f>
      </c>
      <c r="Q1573" s="94" t="s">
        <v>211</v>
      </c>
      <c r="R1573" s="94" t="s">
        <v>63</v>
      </c>
      <c r="S1573" s="119">
        <v>46343</v>
      </c>
      <c r="T1573" s="119"/>
      <c r="U1573" s="119">
        <v>46343</v>
      </c>
      <c r="V1573" s="94"/>
      <c r="W1573" s="94"/>
      <c r="X1573" s="94"/>
      <c r="Y1573" s="119">
        <v>46343</v>
      </c>
      <c r="Z1573" s="94"/>
      <c r="AA1573" s="120"/>
      <c r="AB1573" s="120"/>
      <c r="AC1573" s="120"/>
      <c r="AD1573" s="120"/>
      <c r="AE1573" s="120"/>
      <c r="AF1573" s="120"/>
      <c r="AG1573" s="94"/>
      <c r="AH1573" s="120"/>
      <c r="AI1573" s="94"/>
      <c r="AJ1573" s="94" t="s">
        <v>211</v>
      </c>
      <c r="AK1573" s="94" t="s">
        <v>208</v>
      </c>
      <c r="AL1573" s="94">
        <v>160</v>
      </c>
      <c r="AM1573" s="94" t="str">
        <f>TRIM(AJ1573)&amp;TRIM(AL1573)&amp;TRIM(AK1573)</f>
      </c>
      <c r="AN1573" s="116">
        <v>13840</v>
      </c>
      <c r="AO1573" s="116">
        <v>-192.95</v>
      </c>
      <c r="AP1573" s="116">
        <f>SUMIFS(M:M,AM:AM,AM1573)+SUMIFS(O:O,AM:AM,AM1573)</f>
      </c>
      <c r="AQ1573" s="116">
        <f>SUMIFS(L:L,AM:AM,AM1573)</f>
      </c>
      <c r="AR1573" s="116">
        <f>AQ1573-AP1573</f>
      </c>
      <c r="AS1573" s="94" t="str">
        <f>IF(AN1573&gt;=AQ1573,"ok","ck")</f>
      </c>
      <c r="AT1573" s="116">
        <f>-P1573</f>
      </c>
      <c r="AU1573" s="115">
        <f>IF(SUMIFS(AT:AT,AM:AM,AM1573)&gt;AO1573,(SUMIFS(AT:AT,AM:AM,AM1573)-AO1573))</f>
      </c>
      <c r="AV1573" s="116">
        <v>13840</v>
      </c>
      <c r="AW1573" s="121">
        <v>1.014</v>
      </c>
      <c r="AX1573" s="115">
        <f>AN1573-AP1573</f>
      </c>
    </row>
    <row r="1574" spans="1:50" ht="15" hidden="1" customHeight="1" x14ac:dyDescent="0.3">
      <c r="A1574" s="94" t="s">
        <v>151</v>
      </c>
      <c r="B1574" s="94"/>
      <c r="C1574" s="94"/>
      <c r="D1574" s="94"/>
      <c r="E1574" s="94"/>
      <c r="F1574" s="94"/>
      <c r="G1574" s="112">
        <f>AU1574</f>
      </c>
      <c r="H1574" s="113"/>
      <c r="I1574" s="94" t="s">
        <v>209</v>
      </c>
      <c r="J1574" s="94" t="s">
        <v>207</v>
      </c>
      <c r="K1574" s="114">
        <f>P1574/3</f>
      </c>
      <c r="L1574" s="115">
        <v>-1171.095</v>
      </c>
      <c r="M1574" s="116">
        <f>L1574</f>
      </c>
      <c r="N1574" s="117">
        <f>M1574-L1574</f>
      </c>
      <c r="O1574" s="112"/>
      <c r="P1574" s="118">
        <f>N1574+O1574</f>
      </c>
      <c r="Q1574" s="94" t="s">
        <v>211</v>
      </c>
      <c r="R1574" s="94" t="s">
        <v>63</v>
      </c>
      <c r="S1574" s="119">
        <v>46320</v>
      </c>
      <c r="T1574" s="119"/>
      <c r="U1574" s="119">
        <v>46320</v>
      </c>
      <c r="V1574" s="94"/>
      <c r="W1574" s="94"/>
      <c r="X1574" s="94"/>
      <c r="Y1574" s="119">
        <v>46320</v>
      </c>
      <c r="Z1574" s="94"/>
      <c r="AA1574" s="120"/>
      <c r="AB1574" s="120"/>
      <c r="AC1574" s="120"/>
      <c r="AD1574" s="120"/>
      <c r="AE1574" s="120"/>
      <c r="AF1574" s="120"/>
      <c r="AG1574" s="94"/>
      <c r="AH1574" s="120"/>
      <c r="AI1574" s="94"/>
      <c r="AJ1574" s="94" t="s">
        <v>211</v>
      </c>
      <c r="AK1574" s="94" t="s">
        <v>208</v>
      </c>
      <c r="AL1574" s="94">
        <v>160</v>
      </c>
      <c r="AM1574" s="94" t="str">
        <f>TRIM(AJ1574)&amp;TRIM(AL1574)&amp;TRIM(AK1574)</f>
      </c>
      <c r="AN1574" s="116">
        <v>13840</v>
      </c>
      <c r="AO1574" s="116">
        <v>-192.95</v>
      </c>
      <c r="AP1574" s="116">
        <f>SUMIFS(M:M,AM:AM,AM1574)+SUMIFS(O:O,AM:AM,AM1574)</f>
      </c>
      <c r="AQ1574" s="116">
        <f>SUMIFS(L:L,AM:AM,AM1574)</f>
      </c>
      <c r="AR1574" s="116">
        <f>AQ1574-AP1574</f>
      </c>
      <c r="AS1574" s="94" t="str">
        <f>IF(AN1574&gt;=AQ1574,"ok","ck")</f>
      </c>
      <c r="AT1574" s="116">
        <f>-P1574</f>
      </c>
      <c r="AU1574" s="115">
        <f>IF(SUMIFS(AT:AT,AM:AM,AM1574)&gt;AO1574,(SUMIFS(AT:AT,AM:AM,AM1574)-AO1574))</f>
      </c>
      <c r="AV1574" s="116">
        <v>13840</v>
      </c>
      <c r="AW1574" s="121">
        <v>1.014</v>
      </c>
      <c r="AX1574" s="115">
        <f>AN1574-AP1574</f>
      </c>
    </row>
    <row r="1575" spans="1:50" ht="15" hidden="1" customHeight="1" x14ac:dyDescent="0.3">
      <c r="A1575" s="94" t="s">
        <v>151</v>
      </c>
      <c r="B1575" s="94"/>
      <c r="C1575" s="94"/>
      <c r="D1575" s="94"/>
      <c r="E1575" s="94"/>
      <c r="F1575" s="94"/>
      <c r="G1575" s="112">
        <f>AU1575</f>
      </c>
      <c r="H1575" s="113"/>
      <c r="I1575" s="94" t="s">
        <v>209</v>
      </c>
      <c r="J1575" s="94" t="s">
        <v>207</v>
      </c>
      <c r="K1575" s="114">
        <f>P1575/3</f>
      </c>
      <c r="L1575" s="115">
        <v>-1288.1880000000001</v>
      </c>
      <c r="M1575" s="116">
        <f>L1575</f>
      </c>
      <c r="N1575" s="117">
        <f>M1575-L1575</f>
      </c>
      <c r="O1575" s="112"/>
      <c r="P1575" s="118">
        <f>N1575+O1575</f>
      </c>
      <c r="Q1575" s="94" t="s">
        <v>211</v>
      </c>
      <c r="R1575" s="94" t="s">
        <v>63</v>
      </c>
      <c r="S1575" s="119">
        <v>46324</v>
      </c>
      <c r="T1575" s="119"/>
      <c r="U1575" s="119">
        <v>46324</v>
      </c>
      <c r="V1575" s="94"/>
      <c r="W1575" s="94"/>
      <c r="X1575" s="94"/>
      <c r="Y1575" s="119">
        <v>46324</v>
      </c>
      <c r="Z1575" s="94"/>
      <c r="AA1575" s="120"/>
      <c r="AB1575" s="120"/>
      <c r="AC1575" s="120"/>
      <c r="AD1575" s="120"/>
      <c r="AE1575" s="120"/>
      <c r="AF1575" s="120"/>
      <c r="AG1575" s="94"/>
      <c r="AH1575" s="120"/>
      <c r="AI1575" s="94"/>
      <c r="AJ1575" s="94" t="s">
        <v>211</v>
      </c>
      <c r="AK1575" s="94" t="s">
        <v>208</v>
      </c>
      <c r="AL1575" s="94">
        <v>160</v>
      </c>
      <c r="AM1575" s="94" t="str">
        <f>TRIM(AJ1575)&amp;TRIM(AL1575)&amp;TRIM(AK1575)</f>
      </c>
      <c r="AN1575" s="116">
        <v>13840</v>
      </c>
      <c r="AO1575" s="116">
        <v>-192.95</v>
      </c>
      <c r="AP1575" s="116">
        <f>SUMIFS(M:M,AM:AM,AM1575)+SUMIFS(O:O,AM:AM,AM1575)</f>
      </c>
      <c r="AQ1575" s="116">
        <f>SUMIFS(L:L,AM:AM,AM1575)</f>
      </c>
      <c r="AR1575" s="116">
        <f>AQ1575-AP1575</f>
      </c>
      <c r="AS1575" s="94" t="str">
        <f>IF(AN1575&gt;=AQ1575,"ok","ck")</f>
      </c>
      <c r="AT1575" s="116">
        <f>-P1575</f>
      </c>
      <c r="AU1575" s="115">
        <f>IF(SUMIFS(AT:AT,AM:AM,AM1575)&gt;AO1575,(SUMIFS(AT:AT,AM:AM,AM1575)-AO1575))</f>
      </c>
      <c r="AV1575" s="116">
        <v>13840</v>
      </c>
      <c r="AW1575" s="121">
        <v>1.014</v>
      </c>
      <c r="AX1575" s="115">
        <f>AN1575-AP1575</f>
      </c>
    </row>
    <row r="1576" spans="1:50" ht="15" hidden="1" customHeight="1" x14ac:dyDescent="0.3">
      <c r="A1576" s="94" t="s">
        <v>151</v>
      </c>
      <c r="B1576" s="94"/>
      <c r="C1576" s="94"/>
      <c r="D1576" s="94"/>
      <c r="E1576" s="94"/>
      <c r="F1576" s="94"/>
      <c r="G1576" s="112">
        <f>AU1576</f>
      </c>
      <c r="H1576" s="113"/>
      <c r="I1576" s="94" t="s">
        <v>209</v>
      </c>
      <c r="J1576" s="94" t="s">
        <v>207</v>
      </c>
      <c r="K1576" s="114">
        <f>P1576/3</f>
      </c>
      <c r="L1576" s="115">
        <v>-0.42499999999999999</v>
      </c>
      <c r="M1576" s="116">
        <f>L1576</f>
      </c>
      <c r="N1576" s="117">
        <f>M1576-L1576</f>
      </c>
      <c r="O1576" s="112"/>
      <c r="P1576" s="118">
        <f>N1576+O1576</f>
      </c>
      <c r="Q1576" s="94" t="s">
        <v>211</v>
      </c>
      <c r="R1576" s="94" t="s">
        <v>63</v>
      </c>
      <c r="S1576" s="119">
        <v>46340</v>
      </c>
      <c r="T1576" s="119"/>
      <c r="U1576" s="119">
        <v>46340</v>
      </c>
      <c r="V1576" s="94"/>
      <c r="W1576" s="94"/>
      <c r="X1576" s="94"/>
      <c r="Y1576" s="119">
        <v>46340</v>
      </c>
      <c r="Z1576" s="94"/>
      <c r="AA1576" s="120"/>
      <c r="AB1576" s="120"/>
      <c r="AC1576" s="120"/>
      <c r="AD1576" s="120"/>
      <c r="AE1576" s="120"/>
      <c r="AF1576" s="120"/>
      <c r="AG1576" s="94"/>
      <c r="AH1576" s="120"/>
      <c r="AI1576" s="94"/>
      <c r="AJ1576" s="94" t="s">
        <v>211</v>
      </c>
      <c r="AK1576" s="94" t="s">
        <v>208</v>
      </c>
      <c r="AL1576" s="94">
        <v>160</v>
      </c>
      <c r="AM1576" s="94" t="str">
        <f>TRIM(AJ1576)&amp;TRIM(AL1576)&amp;TRIM(AK1576)</f>
      </c>
      <c r="AN1576" s="116">
        <v>13840</v>
      </c>
      <c r="AO1576" s="116">
        <v>-192.95</v>
      </c>
      <c r="AP1576" s="116">
        <f>SUMIFS(M:M,AM:AM,AM1576)+SUMIFS(O:O,AM:AM,AM1576)</f>
      </c>
      <c r="AQ1576" s="116">
        <f>SUMIFS(L:L,AM:AM,AM1576)</f>
      </c>
      <c r="AR1576" s="116">
        <f>AQ1576-AP1576</f>
      </c>
      <c r="AS1576" s="94" t="str">
        <f>IF(AN1576&gt;=AQ1576,"ok","ck")</f>
      </c>
      <c r="AT1576" s="116">
        <f>-P1576</f>
      </c>
      <c r="AU1576" s="115">
        <f>IF(SUMIFS(AT:AT,AM:AM,AM1576)&gt;AO1576,(SUMIFS(AT:AT,AM:AM,AM1576)-AO1576))</f>
      </c>
      <c r="AV1576" s="116">
        <v>13840</v>
      </c>
      <c r="AW1576" s="121">
        <v>1.014</v>
      </c>
      <c r="AX1576" s="115">
        <f>AN1576-AP1576</f>
      </c>
    </row>
    <row r="1577" spans="1:50" ht="15" hidden="1" customHeight="1" x14ac:dyDescent="0.3">
      <c r="A1577" s="94" t="s">
        <v>151</v>
      </c>
      <c r="B1577" s="94"/>
      <c r="C1577" s="94"/>
      <c r="D1577" s="94"/>
      <c r="E1577" s="94"/>
      <c r="F1577" s="94"/>
      <c r="G1577" s="112">
        <f>AU1577</f>
      </c>
      <c r="H1577" s="113"/>
      <c r="I1577" s="94" t="s">
        <v>209</v>
      </c>
      <c r="J1577" s="94" t="s">
        <v>207</v>
      </c>
      <c r="K1577" s="114">
        <f>P1577/3</f>
      </c>
      <c r="L1577" s="115">
        <v>0</v>
      </c>
      <c r="M1577" s="116">
        <f>L1577</f>
      </c>
      <c r="N1577" s="117">
        <f>M1577-L1577</f>
      </c>
      <c r="O1577" s="112"/>
      <c r="P1577" s="118">
        <f>N1577+O1577</f>
      </c>
      <c r="Q1577" s="94" t="s">
        <v>211</v>
      </c>
      <c r="R1577" s="94" t="s">
        <v>63</v>
      </c>
      <c r="S1577" s="119">
        <v>46320</v>
      </c>
      <c r="T1577" s="119"/>
      <c r="U1577" s="119">
        <v>46320</v>
      </c>
      <c r="V1577" s="94"/>
      <c r="W1577" s="94"/>
      <c r="X1577" s="94"/>
      <c r="Y1577" s="119">
        <v>46320</v>
      </c>
      <c r="Z1577" s="94"/>
      <c r="AA1577" s="120"/>
      <c r="AB1577" s="120"/>
      <c r="AC1577" s="120"/>
      <c r="AD1577" s="120"/>
      <c r="AE1577" s="120"/>
      <c r="AF1577" s="120"/>
      <c r="AG1577" s="94"/>
      <c r="AH1577" s="120"/>
      <c r="AI1577" s="94"/>
      <c r="AJ1577" s="94" t="s">
        <v>211</v>
      </c>
      <c r="AK1577" s="94" t="s">
        <v>208</v>
      </c>
      <c r="AL1577" s="94">
        <v>160</v>
      </c>
      <c r="AM1577" s="94" t="str">
        <f>TRIM(AJ1577)&amp;TRIM(AL1577)&amp;TRIM(AK1577)</f>
      </c>
      <c r="AN1577" s="116">
        <v>13840</v>
      </c>
      <c r="AO1577" s="116">
        <v>-192.95</v>
      </c>
      <c r="AP1577" s="116">
        <f>SUMIFS(M:M,AM:AM,AM1577)+SUMIFS(O:O,AM:AM,AM1577)</f>
      </c>
      <c r="AQ1577" s="116">
        <f>SUMIFS(L:L,AM:AM,AM1577)</f>
      </c>
      <c r="AR1577" s="116">
        <f>AQ1577-AP1577</f>
      </c>
      <c r="AS1577" s="94" t="str">
        <f>IF(AN1577&gt;=AQ1577,"ok","ck")</f>
      </c>
      <c r="AT1577" s="116">
        <f>-P1577</f>
      </c>
      <c r="AU1577" s="115">
        <f>IF(SUMIFS(AT:AT,AM:AM,AM1577)&gt;AO1577,(SUMIFS(AT:AT,AM:AM,AM1577)-AO1577))</f>
      </c>
      <c r="AV1577" s="116">
        <v>13840</v>
      </c>
      <c r="AW1577" s="121">
        <v>1.014</v>
      </c>
      <c r="AX1577" s="115">
        <f>AN1577-AP1577</f>
      </c>
    </row>
    <row r="1578" spans="1:50" ht="15" hidden="1" customHeight="1" x14ac:dyDescent="0.3">
      <c r="A1578" s="94" t="s">
        <v>151</v>
      </c>
      <c r="B1578" s="94"/>
      <c r="C1578" s="94"/>
      <c r="D1578" s="94"/>
      <c r="E1578" s="94"/>
      <c r="F1578" s="94"/>
      <c r="G1578" s="112">
        <f>AU1578</f>
      </c>
      <c r="H1578" s="113"/>
      <c r="I1578" s="94" t="s">
        <v>209</v>
      </c>
      <c r="J1578" s="94" t="s">
        <v>207</v>
      </c>
      <c r="K1578" s="114">
        <f>P1578/3</f>
      </c>
      <c r="L1578" s="115">
        <v>-17.46</v>
      </c>
      <c r="M1578" s="116">
        <f>L1578</f>
      </c>
      <c r="N1578" s="117">
        <f>M1578-L1578</f>
      </c>
      <c r="O1578" s="112"/>
      <c r="P1578" s="118">
        <f>N1578+O1578</f>
      </c>
      <c r="Q1578" s="94" t="s">
        <v>211</v>
      </c>
      <c r="R1578" s="94" t="s">
        <v>63</v>
      </c>
      <c r="S1578" s="119">
        <v>46333</v>
      </c>
      <c r="T1578" s="119"/>
      <c r="U1578" s="119">
        <v>46333</v>
      </c>
      <c r="V1578" s="94"/>
      <c r="W1578" s="94"/>
      <c r="X1578" s="94"/>
      <c r="Y1578" s="119">
        <v>46333</v>
      </c>
      <c r="Z1578" s="94"/>
      <c r="AA1578" s="120"/>
      <c r="AB1578" s="120"/>
      <c r="AC1578" s="120"/>
      <c r="AD1578" s="120"/>
      <c r="AE1578" s="120"/>
      <c r="AF1578" s="120"/>
      <c r="AG1578" s="94"/>
      <c r="AH1578" s="120"/>
      <c r="AI1578" s="94"/>
      <c r="AJ1578" s="94" t="s">
        <v>211</v>
      </c>
      <c r="AK1578" s="94" t="s">
        <v>208</v>
      </c>
      <c r="AL1578" s="94">
        <v>160</v>
      </c>
      <c r="AM1578" s="94" t="str">
        <f>TRIM(AJ1578)&amp;TRIM(AL1578)&amp;TRIM(AK1578)</f>
      </c>
      <c r="AN1578" s="116">
        <v>13840</v>
      </c>
      <c r="AO1578" s="116">
        <v>-192.95</v>
      </c>
      <c r="AP1578" s="116">
        <f>SUMIFS(M:M,AM:AM,AM1578)+SUMIFS(O:O,AM:AM,AM1578)</f>
      </c>
      <c r="AQ1578" s="116">
        <f>SUMIFS(L:L,AM:AM,AM1578)</f>
      </c>
      <c r="AR1578" s="116">
        <f>AQ1578-AP1578</f>
      </c>
      <c r="AS1578" s="94" t="str">
        <f>IF(AN1578&gt;=AQ1578,"ok","ck")</f>
      </c>
      <c r="AT1578" s="116">
        <f>-P1578</f>
      </c>
      <c r="AU1578" s="115">
        <f>IF(SUMIFS(AT:AT,AM:AM,AM1578)&gt;AO1578,(SUMIFS(AT:AT,AM:AM,AM1578)-AO1578))</f>
      </c>
      <c r="AV1578" s="116">
        <v>13840</v>
      </c>
      <c r="AW1578" s="121">
        <v>1.014</v>
      </c>
      <c r="AX1578" s="115">
        <f>AN1578-AP1578</f>
      </c>
    </row>
    <row r="1579" spans="1:50" ht="15" hidden="1" customHeight="1" x14ac:dyDescent="0.3">
      <c r="A1579" s="94" t="s">
        <v>60</v>
      </c>
      <c r="B1579" s="94"/>
      <c r="C1579" s="94"/>
      <c r="D1579" s="94"/>
      <c r="E1579" s="94"/>
      <c r="F1579" s="94"/>
      <c r="G1579" s="112">
        <f>AU1579</f>
      </c>
      <c r="H1579" s="113"/>
      <c r="I1579" s="94" t="s">
        <v>70</v>
      </c>
      <c r="J1579" s="94" t="s">
        <v>71</v>
      </c>
      <c r="K1579" s="114">
        <f>P1579/3</f>
      </c>
      <c r="L1579" s="115">
        <v>922.99800000000005</v>
      </c>
      <c r="M1579" s="116"/>
      <c r="N1579" s="117">
        <f>M1579-L1579</f>
      </c>
      <c r="O1579" s="112"/>
      <c r="P1579" s="118">
        <f>N1579+O1579</f>
      </c>
      <c r="Q1579" s="94" t="s">
        <v>92</v>
      </c>
      <c r="R1579" s="94" t="s">
        <v>63</v>
      </c>
      <c r="S1579" s="119">
        <v>46325</v>
      </c>
      <c r="T1579" s="119"/>
      <c r="U1579" s="119" t="s">
        <v>669</v>
      </c>
      <c r="V1579" s="94"/>
      <c r="W1579" s="94"/>
      <c r="X1579" s="94"/>
      <c r="Y1579" s="119">
        <v>46329</v>
      </c>
      <c r="Z1579" s="94"/>
      <c r="AA1579" s="120"/>
      <c r="AB1579" s="120"/>
      <c r="AC1579" s="120"/>
      <c r="AD1579" s="120"/>
      <c r="AE1579" s="120"/>
      <c r="AF1579" s="120"/>
      <c r="AG1579" s="94"/>
      <c r="AH1579" s="120"/>
      <c r="AI1579" s="94"/>
      <c r="AJ1579" s="94" t="s">
        <v>92</v>
      </c>
      <c r="AK1579" s="94" t="s">
        <v>71</v>
      </c>
      <c r="AL1579" s="94">
        <v>140</v>
      </c>
      <c r="AM1579" s="94" t="str">
        <f>TRIM(AJ1579)&amp;TRIM(AL1579)&amp;TRIM(AK1579)</f>
      </c>
      <c r="AN1579" s="116">
        <v>0</v>
      </c>
      <c r="AO1579" s="116" t="inlineStr">
        <is>
          <t>#NA</t>
        </is>
      </c>
      <c r="AP1579" s="116">
        <f>SUMIFS(M:M,AM:AM,AM1579)+SUMIFS(O:O,AM:AM,AM1579)</f>
      </c>
      <c r="AQ1579" s="116">
        <f>SUMIFS(L:L,AM:AM,AM1579)</f>
      </c>
      <c r="AR1579" s="116">
        <f>AQ1579-AP1579</f>
      </c>
      <c r="AS1579" s="94" t="str">
        <f>IF(AN1579&gt;=AQ1579,"ok","ck")</f>
      </c>
      <c r="AT1579" s="116">
        <f>-P1579</f>
      </c>
      <c r="AU1579" s="115">
        <f>IF(SUMIFS(AT:AT,AM:AM,AM1579)&gt;AO1579,(SUMIFS(AT:AT,AM:AM,AM1579)-AO1579))</f>
      </c>
      <c r="AV1579" s="116">
        <v>0</v>
      </c>
      <c r="AW1579" s="121">
        <v>0</v>
      </c>
      <c r="AX1579" s="115">
        <f>AN1579-AP1579</f>
      </c>
    </row>
    <row r="1580" spans="1:50" ht="15" hidden="1" customHeight="1" x14ac:dyDescent="0.3">
      <c r="A1580" s="94" t="s">
        <v>60</v>
      </c>
      <c r="B1580" s="94"/>
      <c r="C1580" s="94"/>
      <c r="D1580" s="94"/>
      <c r="E1580" s="94"/>
      <c r="F1580" s="94"/>
      <c r="G1580" s="112">
        <f>AU1580</f>
      </c>
      <c r="H1580" s="113"/>
      <c r="I1580" s="94" t="s">
        <v>70</v>
      </c>
      <c r="J1580" s="94" t="s">
        <v>71</v>
      </c>
      <c r="K1580" s="114">
        <f>P1580/3</f>
      </c>
      <c r="L1580" s="115">
        <v>922.99800000000005</v>
      </c>
      <c r="M1580" s="116"/>
      <c r="N1580" s="117">
        <f>M1580-L1580</f>
      </c>
      <c r="O1580" s="112"/>
      <c r="P1580" s="118">
        <f>N1580+O1580</f>
      </c>
      <c r="Q1580" s="94" t="s">
        <v>92</v>
      </c>
      <c r="R1580" s="94" t="s">
        <v>63</v>
      </c>
      <c r="S1580" s="119">
        <v>46326</v>
      </c>
      <c r="T1580" s="119"/>
      <c r="U1580" s="119" t="s">
        <v>669</v>
      </c>
      <c r="V1580" s="94"/>
      <c r="W1580" s="94"/>
      <c r="X1580" s="94"/>
      <c r="Y1580" s="119">
        <v>46329</v>
      </c>
      <c r="Z1580" s="94"/>
      <c r="AA1580" s="120"/>
      <c r="AB1580" s="120"/>
      <c r="AC1580" s="120"/>
      <c r="AD1580" s="120"/>
      <c r="AE1580" s="120"/>
      <c r="AF1580" s="120"/>
      <c r="AG1580" s="94"/>
      <c r="AH1580" s="120"/>
      <c r="AI1580" s="94"/>
      <c r="AJ1580" s="94" t="s">
        <v>92</v>
      </c>
      <c r="AK1580" s="94" t="s">
        <v>71</v>
      </c>
      <c r="AL1580" s="94">
        <v>140</v>
      </c>
      <c r="AM1580" s="94" t="str">
        <f>TRIM(AJ1580)&amp;TRIM(AL1580)&amp;TRIM(AK1580)</f>
      </c>
      <c r="AN1580" s="116">
        <v>0</v>
      </c>
      <c r="AO1580" s="116" t="inlineStr">
        <is>
          <t>#NA</t>
        </is>
      </c>
      <c r="AP1580" s="116">
        <f>SUMIFS(M:M,AM:AM,AM1580)+SUMIFS(O:O,AM:AM,AM1580)</f>
      </c>
      <c r="AQ1580" s="116">
        <f>SUMIFS(L:L,AM:AM,AM1580)</f>
      </c>
      <c r="AR1580" s="116">
        <f>AQ1580-AP1580</f>
      </c>
      <c r="AS1580" s="94" t="str">
        <f>IF(AN1580&gt;=AQ1580,"ok","ck")</f>
      </c>
      <c r="AT1580" s="116">
        <f>-P1580</f>
      </c>
      <c r="AU1580" s="115">
        <f>IF(SUMIFS(AT:AT,AM:AM,AM1580)&gt;AO1580,(SUMIFS(AT:AT,AM:AM,AM1580)-AO1580))</f>
      </c>
      <c r="AV1580" s="116">
        <v>0</v>
      </c>
      <c r="AW1580" s="121">
        <v>0</v>
      </c>
      <c r="AX1580" s="115">
        <f>AN1580-AP1580</f>
      </c>
    </row>
    <row r="1581" spans="1:50" ht="15" hidden="1" customHeight="1" x14ac:dyDescent="0.3">
      <c r="A1581" s="94" t="s">
        <v>60</v>
      </c>
      <c r="B1581" s="94"/>
      <c r="C1581" s="94"/>
      <c r="D1581" s="94"/>
      <c r="E1581" s="94"/>
      <c r="F1581" s="94"/>
      <c r="G1581" s="112">
        <f>AU1581</f>
      </c>
      <c r="H1581" s="113"/>
      <c r="I1581" s="94" t="s">
        <v>70</v>
      </c>
      <c r="J1581" s="94" t="s">
        <v>71</v>
      </c>
      <c r="K1581" s="114">
        <f>P1581/3</f>
      </c>
      <c r="L1581" s="115">
        <v>922.99800000000005</v>
      </c>
      <c r="M1581" s="116"/>
      <c r="N1581" s="117">
        <f>M1581-L1581</f>
      </c>
      <c r="O1581" s="112"/>
      <c r="P1581" s="118">
        <f>N1581+O1581</f>
      </c>
      <c r="Q1581" s="94" t="s">
        <v>92</v>
      </c>
      <c r="R1581" s="94" t="s">
        <v>63</v>
      </c>
      <c r="S1581" s="119">
        <v>46327</v>
      </c>
      <c r="T1581" s="119"/>
      <c r="U1581" s="119" t="s">
        <v>669</v>
      </c>
      <c r="V1581" s="94"/>
      <c r="W1581" s="94"/>
      <c r="X1581" s="94"/>
      <c r="Y1581" s="119">
        <v>46329</v>
      </c>
      <c r="Z1581" s="94"/>
      <c r="AA1581" s="120"/>
      <c r="AB1581" s="120"/>
      <c r="AC1581" s="120"/>
      <c r="AD1581" s="120"/>
      <c r="AE1581" s="120"/>
      <c r="AF1581" s="120"/>
      <c r="AG1581" s="94"/>
      <c r="AH1581" s="120"/>
      <c r="AI1581" s="94"/>
      <c r="AJ1581" s="94" t="s">
        <v>92</v>
      </c>
      <c r="AK1581" s="94" t="s">
        <v>71</v>
      </c>
      <c r="AL1581" s="94">
        <v>140</v>
      </c>
      <c r="AM1581" s="94" t="str">
        <f>TRIM(AJ1581)&amp;TRIM(AL1581)&amp;TRIM(AK1581)</f>
      </c>
      <c r="AN1581" s="116">
        <v>0</v>
      </c>
      <c r="AO1581" s="116" t="inlineStr">
        <is>
          <t>#NA</t>
        </is>
      </c>
      <c r="AP1581" s="116">
        <f>SUMIFS(M:M,AM:AM,AM1581)+SUMIFS(O:O,AM:AM,AM1581)</f>
      </c>
      <c r="AQ1581" s="116">
        <f>SUMIFS(L:L,AM:AM,AM1581)</f>
      </c>
      <c r="AR1581" s="116">
        <f>AQ1581-AP1581</f>
      </c>
      <c r="AS1581" s="94" t="str">
        <f>IF(AN1581&gt;=AQ1581,"ok","ck")</f>
      </c>
      <c r="AT1581" s="116">
        <f>-P1581</f>
      </c>
      <c r="AU1581" s="115">
        <f>IF(SUMIFS(AT:AT,AM:AM,AM1581)&gt;AO1581,(SUMIFS(AT:AT,AM:AM,AM1581)-AO1581))</f>
      </c>
      <c r="AV1581" s="116">
        <v>0</v>
      </c>
      <c r="AW1581" s="121">
        <v>0</v>
      </c>
      <c r="AX1581" s="115">
        <f>AN1581-AP1581</f>
      </c>
    </row>
    <row r="1582" spans="1:50" ht="15" customHeight="1" x14ac:dyDescent="0.3">
      <c r="A1582" s="94" t="s">
        <v>862</v>
      </c>
      <c r="B1582" s="94"/>
      <c r="C1582" s="94"/>
      <c r="D1582" s="94"/>
      <c r="E1582" s="94"/>
      <c r="F1582" s="94"/>
      <c r="G1582" s="112">
        <f>AU1582</f>
      </c>
      <c r="H1582" s="113"/>
      <c r="I1582" s="94" t="s">
        <v>390</v>
      </c>
      <c r="J1582" s="94" t="s">
        <v>267</v>
      </c>
      <c r="K1582" s="114">
        <f>P1582/3</f>
      </c>
      <c r="L1582" s="115">
        <v>2299.143</v>
      </c>
      <c r="M1582" s="116"/>
      <c r="N1582" s="117">
        <f>M1582-L1582</f>
      </c>
      <c r="O1582" s="112"/>
      <c r="P1582" s="118">
        <f>N1582+O1582</f>
      </c>
      <c r="Q1582" s="94"/>
      <c r="R1582" s="94" t="s">
        <v>63</v>
      </c>
      <c r="S1582" s="119">
        <v>46342</v>
      </c>
      <c r="T1582" s="119"/>
      <c r="U1582" s="119" t="s">
        <v>631</v>
      </c>
      <c r="V1582" s="94"/>
      <c r="W1582" s="94"/>
      <c r="X1582" s="94"/>
      <c r="Y1582" s="119">
        <v>46320</v>
      </c>
      <c r="Z1582" s="94"/>
      <c r="AA1582" s="120"/>
      <c r="AB1582" s="120"/>
      <c r="AC1582" s="120"/>
      <c r="AD1582" s="120"/>
      <c r="AE1582" s="120"/>
      <c r="AF1582" s="120"/>
      <c r="AG1582" s="94"/>
      <c r="AH1582" s="120"/>
      <c r="AI1582" s="94"/>
      <c r="AJ1582" s="94"/>
      <c r="AK1582" s="94"/>
      <c r="AL1582" s="94">
        <v>140</v>
      </c>
      <c r="AM1582" s="94" t="str">
        <f>TRIM(AJ1582)&amp;TRIM(AL1582)&amp;TRIM(AK1582)</f>
      </c>
      <c r="AN1582" s="116">
        <v>0</v>
      </c>
      <c r="AO1582" s="116" t="inlineStr">
        <is>
          <t>#NA</t>
        </is>
      </c>
      <c r="AP1582" s="116">
        <f>SUMIFS(M:M,AM:AM,AM1582)+SUMIFS(O:O,AM:AM,AM1582)</f>
      </c>
      <c r="AQ1582" s="116">
        <f>SUMIFS(L:L,AM:AM,AM1582)</f>
      </c>
      <c r="AR1582" s="116">
        <f>AQ1582-AP1582</f>
      </c>
      <c r="AS1582" s="94" t="str">
        <f>IF(AN1582&gt;=AQ1582,"ok","ck")</f>
      </c>
      <c r="AT1582" s="116">
        <f>-P1582</f>
      </c>
      <c r="AU1582" s="115">
        <f>IF(SUMIFS(AT:AT,AM:AM,AM1582)&gt;AO1582,(SUMIFS(AT:AT,AM:AM,AM1582)-AO1582))</f>
      </c>
      <c r="AV1582" s="116" t="e">
        <v>#N/A</v>
      </c>
      <c r="AW1582" s="121" t="e">
        <v>#N/A</v>
      </c>
      <c r="AX1582" s="115">
        <f>AN1582-AP1582</f>
      </c>
    </row>
    <row r="1583" spans="1:50" ht="15" customHeight="1" x14ac:dyDescent="0.3">
      <c r="A1583" s="94" t="s">
        <v>862</v>
      </c>
      <c r="B1583" s="94"/>
      <c r="C1583" s="94"/>
      <c r="D1583" s="94"/>
      <c r="E1583" s="94"/>
      <c r="F1583" s="94"/>
      <c r="G1583" s="112">
        <f>AU1583</f>
      </c>
      <c r="H1583" s="113"/>
      <c r="I1583" s="94" t="s">
        <v>390</v>
      </c>
      <c r="J1583" s="94" t="s">
        <v>267</v>
      </c>
      <c r="K1583" s="114">
        <f>P1583/3</f>
      </c>
      <c r="L1583" s="115">
        <v>2299.143</v>
      </c>
      <c r="M1583" s="116"/>
      <c r="N1583" s="117">
        <f>M1583-L1583</f>
      </c>
      <c r="O1583" s="112"/>
      <c r="P1583" s="118">
        <f>N1583+O1583</f>
      </c>
      <c r="Q1583" s="94"/>
      <c r="R1583" s="94" t="s">
        <v>63</v>
      </c>
      <c r="S1583" s="119">
        <v>46343</v>
      </c>
      <c r="T1583" s="119"/>
      <c r="U1583" s="119" t="s">
        <v>631</v>
      </c>
      <c r="V1583" s="94"/>
      <c r="W1583" s="94"/>
      <c r="X1583" s="94"/>
      <c r="Y1583" s="119">
        <v>46326</v>
      </c>
      <c r="Z1583" s="94"/>
      <c r="AA1583" s="120"/>
      <c r="AB1583" s="120"/>
      <c r="AC1583" s="120"/>
      <c r="AD1583" s="120"/>
      <c r="AE1583" s="120"/>
      <c r="AF1583" s="120"/>
      <c r="AG1583" s="94"/>
      <c r="AH1583" s="120"/>
      <c r="AI1583" s="94"/>
      <c r="AJ1583" s="94"/>
      <c r="AK1583" s="94"/>
      <c r="AL1583" s="94">
        <v>140</v>
      </c>
      <c r="AM1583" s="94" t="str">
        <f>TRIM(AJ1583)&amp;TRIM(AL1583)&amp;TRIM(AK1583)</f>
      </c>
      <c r="AN1583" s="116">
        <v>0</v>
      </c>
      <c r="AO1583" s="116" t="inlineStr">
        <is>
          <t>#NA</t>
        </is>
      </c>
      <c r="AP1583" s="116">
        <f>SUMIFS(M:M,AM:AM,AM1583)+SUMIFS(O:O,AM:AM,AM1583)</f>
      </c>
      <c r="AQ1583" s="116">
        <f>SUMIFS(L:L,AM:AM,AM1583)</f>
      </c>
      <c r="AR1583" s="116">
        <f>AQ1583-AP1583</f>
      </c>
      <c r="AS1583" s="94" t="str">
        <f>IF(AN1583&gt;=AQ1583,"ok","ck")</f>
      </c>
      <c r="AT1583" s="116">
        <f>-P1583</f>
      </c>
      <c r="AU1583" s="115">
        <f>IF(SUMIFS(AT:AT,AM:AM,AM1583)&gt;AO1583,(SUMIFS(AT:AT,AM:AM,AM1583)-AO1583))</f>
      </c>
      <c r="AV1583" s="116" t="e">
        <v>#N/A</v>
      </c>
      <c r="AW1583" s="121" t="e">
        <v>#N/A</v>
      </c>
      <c r="AX1583" s="115">
        <f>AN1583-AP1583</f>
      </c>
    </row>
    <row r="1584" spans="1:50" ht="15" customHeight="1" x14ac:dyDescent="0.3">
      <c r="A1584" s="94" t="s">
        <v>862</v>
      </c>
      <c r="B1584" s="94"/>
      <c r="C1584" s="94"/>
      <c r="D1584" s="94"/>
      <c r="E1584" s="94"/>
      <c r="F1584" s="94"/>
      <c r="G1584" s="112">
        <f>AU1584</f>
      </c>
      <c r="H1584" s="113"/>
      <c r="I1584" s="94" t="s">
        <v>390</v>
      </c>
      <c r="J1584" s="94" t="s">
        <v>267</v>
      </c>
      <c r="K1584" s="114">
        <f>P1584/3</f>
      </c>
      <c r="L1584" s="115">
        <v>2299.143</v>
      </c>
      <c r="M1584" s="116"/>
      <c r="N1584" s="117">
        <f>M1584-L1584</f>
      </c>
      <c r="O1584" s="112"/>
      <c r="P1584" s="118">
        <f>N1584+O1584</f>
      </c>
      <c r="Q1584" s="94"/>
      <c r="R1584" s="94" t="s">
        <v>63</v>
      </c>
      <c r="S1584" s="119">
        <v>46344</v>
      </c>
      <c r="T1584" s="119"/>
      <c r="U1584" s="119" t="s">
        <v>631</v>
      </c>
      <c r="V1584" s="94"/>
      <c r="W1584" s="94"/>
      <c r="X1584" s="94"/>
      <c r="Y1584" s="119">
        <v>46345</v>
      </c>
      <c r="Z1584" s="94"/>
      <c r="AA1584" s="120"/>
      <c r="AB1584" s="120"/>
      <c r="AC1584" s="120"/>
      <c r="AD1584" s="120"/>
      <c r="AE1584" s="120"/>
      <c r="AF1584" s="120"/>
      <c r="AG1584" s="94"/>
      <c r="AH1584" s="120"/>
      <c r="AI1584" s="94"/>
      <c r="AJ1584" s="94"/>
      <c r="AK1584" s="94"/>
      <c r="AL1584" s="94">
        <v>140</v>
      </c>
      <c r="AM1584" s="94" t="str">
        <f>TRIM(AJ1584)&amp;TRIM(AL1584)&amp;TRIM(AK1584)</f>
      </c>
      <c r="AN1584" s="116">
        <v>0</v>
      </c>
      <c r="AO1584" s="116" t="inlineStr">
        <is>
          <t>#NA</t>
        </is>
      </c>
      <c r="AP1584" s="116">
        <f>SUMIFS(M:M,AM:AM,AM1584)+SUMIFS(O:O,AM:AM,AM1584)</f>
      </c>
      <c r="AQ1584" s="116">
        <f>SUMIFS(L:L,AM:AM,AM1584)</f>
      </c>
      <c r="AR1584" s="116">
        <f>AQ1584-AP1584</f>
      </c>
      <c r="AS1584" s="94" t="str">
        <f>IF(AN1584&gt;=AQ1584,"ok","ck")</f>
      </c>
      <c r="AT1584" s="116">
        <f>-P1584</f>
      </c>
      <c r="AU1584" s="115">
        <f>IF(SUMIFS(AT:AT,AM:AM,AM1584)&gt;AO1584,(SUMIFS(AT:AT,AM:AM,AM1584)-AO1584))</f>
      </c>
      <c r="AV1584" s="116" t="e">
        <v>#N/A</v>
      </c>
      <c r="AW1584" s="121" t="e">
        <v>#N/A</v>
      </c>
      <c r="AX1584" s="115">
        <f>AN1584-AP1584</f>
      </c>
    </row>
    <row r="1585" spans="1:50" ht="15" customHeight="1" x14ac:dyDescent="0.3">
      <c r="A1585" s="94" t="s">
        <v>862</v>
      </c>
      <c r="B1585" s="94"/>
      <c r="C1585" s="94"/>
      <c r="D1585" s="94"/>
      <c r="E1585" s="94"/>
      <c r="F1585" s="94"/>
      <c r="G1585" s="112">
        <f>AU1585</f>
      </c>
      <c r="H1585" s="113"/>
      <c r="I1585" s="94" t="s">
        <v>278</v>
      </c>
      <c r="J1585" s="94" t="s">
        <v>281</v>
      </c>
      <c r="K1585" s="114">
        <f>P1585/3</f>
      </c>
      <c r="L1585" s="115">
        <v>156.471</v>
      </c>
      <c r="M1585" s="116"/>
      <c r="N1585" s="117">
        <f>M1585-L1585</f>
      </c>
      <c r="O1585" s="112"/>
      <c r="P1585" s="118">
        <f>N1585+O1585</f>
      </c>
      <c r="Q1585" s="94"/>
      <c r="R1585" s="94" t="s">
        <v>63</v>
      </c>
      <c r="S1585" s="119">
        <v>46346</v>
      </c>
      <c r="T1585" s="119"/>
      <c r="U1585" s="119" t="s">
        <v>632</v>
      </c>
      <c r="V1585" s="94"/>
      <c r="W1585" s="94"/>
      <c r="X1585" s="94"/>
      <c r="Y1585" s="119">
        <v>46320</v>
      </c>
      <c r="Z1585" s="94"/>
      <c r="AA1585" s="120"/>
      <c r="AB1585" s="120"/>
      <c r="AC1585" s="120"/>
      <c r="AD1585" s="120"/>
      <c r="AE1585" s="120"/>
      <c r="AF1585" s="120"/>
      <c r="AG1585" s="94"/>
      <c r="AH1585" s="120"/>
      <c r="AI1585" s="94"/>
      <c r="AJ1585" s="94"/>
      <c r="AK1585" s="94"/>
      <c r="AL1585" s="94">
        <v>120</v>
      </c>
      <c r="AM1585" s="94" t="str">
        <f>TRIM(AJ1585)&amp;TRIM(AL1585)&amp;TRIM(AK1585)</f>
      </c>
      <c r="AN1585" s="116">
        <v>0</v>
      </c>
      <c r="AO1585" s="116" t="inlineStr">
        <is>
          <t>#NA</t>
        </is>
      </c>
      <c r="AP1585" s="116">
        <f>SUMIFS(M:M,AM:AM,AM1585)+SUMIFS(O:O,AM:AM,AM1585)</f>
      </c>
      <c r="AQ1585" s="116">
        <f>SUMIFS(L:L,AM:AM,AM1585)</f>
      </c>
      <c r="AR1585" s="116">
        <f>AQ1585-AP1585</f>
      </c>
      <c r="AS1585" s="94" t="str">
        <f>IF(AN1585&gt;=AQ1585,"ok","ck")</f>
      </c>
      <c r="AT1585" s="116">
        <f>-P1585</f>
      </c>
      <c r="AU1585" s="115">
        <f>IF(SUMIFS(AT:AT,AM:AM,AM1585)&gt;AO1585,(SUMIFS(AT:AT,AM:AM,AM1585)-AO1585))</f>
      </c>
      <c r="AV1585" s="116" t="e">
        <v>#N/A</v>
      </c>
      <c r="AW1585" s="121" t="e">
        <v>#N/A</v>
      </c>
      <c r="AX1585" s="115">
        <f>AN1585-AP1585</f>
      </c>
    </row>
    <row r="1586" spans="1:50" ht="15" hidden="1" customHeight="1" x14ac:dyDescent="0.3">
      <c r="A1586" s="94" t="s">
        <v>151</v>
      </c>
      <c r="B1586" s="94"/>
      <c r="C1586" s="94"/>
      <c r="D1586" s="94"/>
      <c r="E1586" s="94"/>
      <c r="F1586" s="94"/>
      <c r="G1586" s="112">
        <f>AU1586</f>
      </c>
      <c r="H1586" s="113"/>
      <c r="I1586" s="94" t="s">
        <v>152</v>
      </c>
      <c r="J1586" s="94" t="s">
        <v>214</v>
      </c>
      <c r="K1586" s="114">
        <f>P1586/3</f>
      </c>
      <c r="L1586" s="115">
        <v>2500</v>
      </c>
      <c r="M1586" s="116">
        <f>L1586</f>
      </c>
      <c r="N1586" s="117">
        <f>M1586-L1586</f>
      </c>
      <c r="O1586" s="112"/>
      <c r="P1586" s="118">
        <f>N1586+O1586</f>
      </c>
      <c r="Q1586" s="94" t="s">
        <v>168</v>
      </c>
      <c r="R1586" s="94" t="s">
        <v>63</v>
      </c>
      <c r="S1586" s="119">
        <v>46336</v>
      </c>
      <c r="T1586" s="119"/>
      <c r="U1586" s="119" t="s">
        <v>672</v>
      </c>
      <c r="V1586" s="94"/>
      <c r="W1586" s="94"/>
      <c r="X1586" s="94"/>
      <c r="Y1586" s="119">
        <v>46320</v>
      </c>
      <c r="Z1586" s="94"/>
      <c r="AA1586" s="120"/>
      <c r="AB1586" s="120"/>
      <c r="AC1586" s="120"/>
      <c r="AD1586" s="120"/>
      <c r="AE1586" s="120"/>
      <c r="AF1586" s="120"/>
      <c r="AG1586" s="94"/>
      <c r="AH1586" s="120"/>
      <c r="AI1586" s="94"/>
      <c r="AJ1586" s="94" t="s">
        <v>168</v>
      </c>
      <c r="AK1586" s="94" t="s">
        <v>159</v>
      </c>
      <c r="AL1586" s="94">
        <v>160</v>
      </c>
      <c r="AM1586" s="94" t="str">
        <f>TRIM(AJ1586)&amp;TRIM(AL1586)&amp;TRIM(AK1586)</f>
      </c>
      <c r="AN1586" s="116">
        <v>5535.72</v>
      </c>
      <c r="AO1586" s="116">
        <v>-35.72</v>
      </c>
      <c r="AP1586" s="116">
        <f>SUMIFS(M:M,AM:AM,AM1586)+SUMIFS(O:O,AM:AM,AM1586)</f>
      </c>
      <c r="AQ1586" s="116">
        <f>SUMIFS(L:L,AM:AM,AM1586)</f>
      </c>
      <c r="AR1586" s="116">
        <f>AQ1586-AP1586</f>
      </c>
      <c r="AS1586" s="94" t="str">
        <f>IF(AN1586&gt;=AQ1586,"ok","ck")</f>
      </c>
      <c r="AT1586" s="116">
        <f>-P1586</f>
      </c>
      <c r="AU1586" s="115">
        <f>IF(SUMIFS(AT:AT,AM:AM,AM1586)&gt;AO1586,(SUMIFS(AT:AT,AM:AM,AM1586)-AO1586))</f>
      </c>
      <c r="AV1586" s="116">
        <v>5535.72</v>
      </c>
      <c r="AW1586" s="121">
        <v>1.006</v>
      </c>
      <c r="AX1586" s="115">
        <f>AN1586-AP1586</f>
      </c>
    </row>
    <row r="1587" spans="1:50" ht="15" hidden="1" customHeight="1" x14ac:dyDescent="0.3">
      <c r="A1587" s="94" t="s">
        <v>151</v>
      </c>
      <c r="B1587" s="94"/>
      <c r="C1587" s="94"/>
      <c r="D1587" s="94"/>
      <c r="E1587" s="94"/>
      <c r="F1587" s="94"/>
      <c r="G1587" s="112">
        <f>AU1587</f>
      </c>
      <c r="H1587" s="113"/>
      <c r="I1587" s="94" t="s">
        <v>152</v>
      </c>
      <c r="J1587" s="94" t="s">
        <v>214</v>
      </c>
      <c r="K1587" s="114">
        <f>P1587/3</f>
      </c>
      <c r="L1587" s="115">
        <v>1419.3430000000001</v>
      </c>
      <c r="M1587" s="116">
        <f>L1587</f>
      </c>
      <c r="N1587" s="117">
        <f>M1587-L1587</f>
      </c>
      <c r="O1587" s="112"/>
      <c r="P1587" s="118">
        <f>N1587+O1587</f>
      </c>
      <c r="Q1587" s="94" t="s">
        <v>168</v>
      </c>
      <c r="R1587" s="94" t="s">
        <v>63</v>
      </c>
      <c r="S1587" s="119">
        <v>46337</v>
      </c>
      <c r="T1587" s="119"/>
      <c r="U1587" s="119" t="s">
        <v>672</v>
      </c>
      <c r="V1587" s="94"/>
      <c r="W1587" s="94"/>
      <c r="X1587" s="94"/>
      <c r="Y1587" s="119">
        <v>46323</v>
      </c>
      <c r="Z1587" s="94"/>
      <c r="AA1587" s="120"/>
      <c r="AB1587" s="120"/>
      <c r="AC1587" s="120"/>
      <c r="AD1587" s="120"/>
      <c r="AE1587" s="120"/>
      <c r="AF1587" s="120"/>
      <c r="AG1587" s="94"/>
      <c r="AH1587" s="120"/>
      <c r="AI1587" s="94"/>
      <c r="AJ1587" s="94" t="s">
        <v>168</v>
      </c>
      <c r="AK1587" s="94" t="s">
        <v>159</v>
      </c>
      <c r="AL1587" s="94">
        <v>160</v>
      </c>
      <c r="AM1587" s="94" t="str">
        <f>TRIM(AJ1587)&amp;TRIM(AL1587)&amp;TRIM(AK1587)</f>
      </c>
      <c r="AN1587" s="116">
        <v>5535.72</v>
      </c>
      <c r="AO1587" s="116">
        <v>-35.72</v>
      </c>
      <c r="AP1587" s="116">
        <f>SUMIFS(M:M,AM:AM,AM1587)+SUMIFS(O:O,AM:AM,AM1587)</f>
      </c>
      <c r="AQ1587" s="116">
        <f>SUMIFS(L:L,AM:AM,AM1587)</f>
      </c>
      <c r="AR1587" s="116">
        <f>AQ1587-AP1587</f>
      </c>
      <c r="AS1587" s="94" t="str">
        <f>IF(AN1587&gt;=AQ1587,"ok","ck")</f>
      </c>
      <c r="AT1587" s="116">
        <f>-P1587</f>
      </c>
      <c r="AU1587" s="115">
        <f>IF(SUMIFS(AT:AT,AM:AM,AM1587)&gt;AO1587,(SUMIFS(AT:AT,AM:AM,AM1587)-AO1587))</f>
      </c>
      <c r="AV1587" s="116">
        <v>5535.72</v>
      </c>
      <c r="AW1587" s="121">
        <v>1.006</v>
      </c>
      <c r="AX1587" s="115">
        <f>AN1587-AP1587</f>
      </c>
    </row>
    <row r="1588" spans="1:50" ht="15" customHeight="1" x14ac:dyDescent="0.3">
      <c r="A1588" s="94" t="s">
        <v>862</v>
      </c>
      <c r="B1588" s="94"/>
      <c r="C1588" s="94"/>
      <c r="D1588" s="94"/>
      <c r="E1588" s="94"/>
      <c r="F1588" s="94"/>
      <c r="G1588" s="112">
        <f>AU1588</f>
      </c>
      <c r="H1588" s="113"/>
      <c r="I1588" s="94" t="s">
        <v>390</v>
      </c>
      <c r="J1588" s="94" t="s">
        <v>267</v>
      </c>
      <c r="K1588" s="114">
        <f>P1588/3</f>
      </c>
      <c r="L1588" s="115">
        <v>2299.143</v>
      </c>
      <c r="M1588" s="116"/>
      <c r="N1588" s="117">
        <f>M1588-L1588</f>
      </c>
      <c r="O1588" s="112"/>
      <c r="P1588" s="118">
        <f>N1588+O1588</f>
      </c>
      <c r="Q1588" s="94"/>
      <c r="R1588" s="94" t="s">
        <v>63</v>
      </c>
      <c r="S1588" s="119">
        <v>46345</v>
      </c>
      <c r="T1588" s="119"/>
      <c r="U1588" s="119" t="s">
        <v>631</v>
      </c>
      <c r="V1588" s="94"/>
      <c r="W1588" s="94"/>
      <c r="X1588" s="94"/>
      <c r="Y1588" s="119">
        <v>46320</v>
      </c>
      <c r="Z1588" s="94"/>
      <c r="AA1588" s="120"/>
      <c r="AB1588" s="120"/>
      <c r="AC1588" s="120"/>
      <c r="AD1588" s="120"/>
      <c r="AE1588" s="120"/>
      <c r="AF1588" s="120"/>
      <c r="AG1588" s="94"/>
      <c r="AH1588" s="120"/>
      <c r="AI1588" s="94"/>
      <c r="AJ1588" s="94"/>
      <c r="AK1588" s="94"/>
      <c r="AL1588" s="94">
        <v>140</v>
      </c>
      <c r="AM1588" s="94" t="str">
        <f>TRIM(AJ1588)&amp;TRIM(AL1588)&amp;TRIM(AK1588)</f>
      </c>
      <c r="AN1588" s="116">
        <v>0</v>
      </c>
      <c r="AO1588" s="116" t="inlineStr">
        <is>
          <t>#NA</t>
        </is>
      </c>
      <c r="AP1588" s="116">
        <f>SUMIFS(M:M,AM:AM,AM1588)+SUMIFS(O:O,AM:AM,AM1588)</f>
      </c>
      <c r="AQ1588" s="116">
        <f>SUMIFS(L:L,AM:AM,AM1588)</f>
      </c>
      <c r="AR1588" s="116">
        <f>AQ1588-AP1588</f>
      </c>
      <c r="AS1588" s="94" t="str">
        <f>IF(AN1588&gt;=AQ1588,"ok","ck")</f>
      </c>
      <c r="AT1588" s="116">
        <f>-P1588</f>
      </c>
      <c r="AU1588" s="115">
        <f>IF(SUMIFS(AT:AT,AM:AM,AM1588)&gt;AO1588,(SUMIFS(AT:AT,AM:AM,AM1588)-AO1588))</f>
      </c>
      <c r="AV1588" s="116" t="e">
        <v>#N/A</v>
      </c>
      <c r="AW1588" s="121" t="e">
        <v>#N/A</v>
      </c>
      <c r="AX1588" s="115">
        <f>AN1588-AP1588</f>
      </c>
    </row>
    <row r="1589" spans="1:50" ht="15" customHeight="1" x14ac:dyDescent="0.3">
      <c r="A1589" s="94" t="s">
        <v>862</v>
      </c>
      <c r="B1589" s="94"/>
      <c r="C1589" s="94"/>
      <c r="D1589" s="94"/>
      <c r="E1589" s="94"/>
      <c r="F1589" s="94"/>
      <c r="G1589" s="112">
        <f>AU1589</f>
      </c>
      <c r="H1589" s="113"/>
      <c r="I1589" s="94" t="s">
        <v>390</v>
      </c>
      <c r="J1589" s="94" t="s">
        <v>267</v>
      </c>
      <c r="K1589" s="114">
        <f>P1589/3</f>
      </c>
      <c r="L1589" s="115">
        <v>2299.143</v>
      </c>
      <c r="M1589" s="116"/>
      <c r="N1589" s="117">
        <f>M1589-L1589</f>
      </c>
      <c r="O1589" s="112"/>
      <c r="P1589" s="118">
        <f>N1589+O1589</f>
      </c>
      <c r="Q1589" s="94"/>
      <c r="R1589" s="94" t="s">
        <v>63</v>
      </c>
      <c r="S1589" s="119">
        <v>46346</v>
      </c>
      <c r="T1589" s="119"/>
      <c r="U1589" s="119" t="s">
        <v>631</v>
      </c>
      <c r="V1589" s="94"/>
      <c r="W1589" s="94"/>
      <c r="X1589" s="94"/>
      <c r="Y1589" s="119">
        <v>46320</v>
      </c>
      <c r="Z1589" s="94"/>
      <c r="AA1589" s="120"/>
      <c r="AB1589" s="120"/>
      <c r="AC1589" s="120"/>
      <c r="AD1589" s="120"/>
      <c r="AE1589" s="120"/>
      <c r="AF1589" s="120"/>
      <c r="AG1589" s="94"/>
      <c r="AH1589" s="120"/>
      <c r="AI1589" s="94"/>
      <c r="AJ1589" s="94"/>
      <c r="AK1589" s="94"/>
      <c r="AL1589" s="94">
        <v>140</v>
      </c>
      <c r="AM1589" s="94" t="str">
        <f>TRIM(AJ1589)&amp;TRIM(AL1589)&amp;TRIM(AK1589)</f>
      </c>
      <c r="AN1589" s="116">
        <v>0</v>
      </c>
      <c r="AO1589" s="116" t="inlineStr">
        <is>
          <t>#NA</t>
        </is>
      </c>
      <c r="AP1589" s="116">
        <f>SUMIFS(M:M,AM:AM,AM1589)+SUMIFS(O:O,AM:AM,AM1589)</f>
      </c>
      <c r="AQ1589" s="116">
        <f>SUMIFS(L:L,AM:AM,AM1589)</f>
      </c>
      <c r="AR1589" s="116">
        <f>AQ1589-AP1589</f>
      </c>
      <c r="AS1589" s="94" t="str">
        <f>IF(AN1589&gt;=AQ1589,"ok","ck")</f>
      </c>
      <c r="AT1589" s="116">
        <f>-P1589</f>
      </c>
      <c r="AU1589" s="115">
        <f>IF(SUMIFS(AT:AT,AM:AM,AM1589)&gt;AO1589,(SUMIFS(AT:AT,AM:AM,AM1589)-AO1589))</f>
      </c>
      <c r="AV1589" s="116" t="e">
        <v>#N/A</v>
      </c>
      <c r="AW1589" s="121" t="e">
        <v>#N/A</v>
      </c>
      <c r="AX1589" s="115">
        <f>AN1589-AP1589</f>
      </c>
    </row>
    <row r="1590" spans="1:50" ht="15" customHeight="1" x14ac:dyDescent="0.3">
      <c r="A1590" s="94" t="s">
        <v>862</v>
      </c>
      <c r="B1590" s="94"/>
      <c r="C1590" s="94"/>
      <c r="D1590" s="94"/>
      <c r="E1590" s="94"/>
      <c r="F1590" s="94"/>
      <c r="G1590" s="112">
        <f>AU1590</f>
      </c>
      <c r="H1590" s="113"/>
      <c r="I1590" s="94" t="s">
        <v>390</v>
      </c>
      <c r="J1590" s="94" t="s">
        <v>267</v>
      </c>
      <c r="K1590" s="114">
        <f>P1590/3</f>
      </c>
      <c r="L1590" s="115">
        <v>2299.143</v>
      </c>
      <c r="M1590" s="116"/>
      <c r="N1590" s="117">
        <f>M1590-L1590</f>
      </c>
      <c r="O1590" s="112"/>
      <c r="P1590" s="118">
        <f>N1590+O1590</f>
      </c>
      <c r="Q1590" s="94"/>
      <c r="R1590" s="94" t="s">
        <v>63</v>
      </c>
      <c r="S1590" s="119">
        <v>46347</v>
      </c>
      <c r="T1590" s="119"/>
      <c r="U1590" s="119" t="s">
        <v>631</v>
      </c>
      <c r="V1590" s="94"/>
      <c r="W1590" s="94"/>
      <c r="X1590" s="94"/>
      <c r="Y1590" s="119">
        <v>46320</v>
      </c>
      <c r="Z1590" s="94"/>
      <c r="AA1590" s="120"/>
      <c r="AB1590" s="120"/>
      <c r="AC1590" s="120"/>
      <c r="AD1590" s="120"/>
      <c r="AE1590" s="120"/>
      <c r="AF1590" s="120"/>
      <c r="AG1590" s="94"/>
      <c r="AH1590" s="120"/>
      <c r="AI1590" s="94"/>
      <c r="AJ1590" s="94"/>
      <c r="AK1590" s="94"/>
      <c r="AL1590" s="94">
        <v>140</v>
      </c>
      <c r="AM1590" s="94" t="str">
        <f>TRIM(AJ1590)&amp;TRIM(AL1590)&amp;TRIM(AK1590)</f>
      </c>
      <c r="AN1590" s="116">
        <v>0</v>
      </c>
      <c r="AO1590" s="116" t="inlineStr">
        <is>
          <t>#NA</t>
        </is>
      </c>
      <c r="AP1590" s="116">
        <f>SUMIFS(M:M,AM:AM,AM1590)+SUMIFS(O:O,AM:AM,AM1590)</f>
      </c>
      <c r="AQ1590" s="116">
        <f>SUMIFS(L:L,AM:AM,AM1590)</f>
      </c>
      <c r="AR1590" s="116">
        <f>AQ1590-AP1590</f>
      </c>
      <c r="AS1590" s="94" t="str">
        <f>IF(AN1590&gt;=AQ1590,"ok","ck")</f>
      </c>
      <c r="AT1590" s="116">
        <f>-P1590</f>
      </c>
      <c r="AU1590" s="115">
        <f>IF(SUMIFS(AT:AT,AM:AM,AM1590)&gt;AO1590,(SUMIFS(AT:AT,AM:AM,AM1590)-AO1590))</f>
      </c>
      <c r="AV1590" s="116" t="e">
        <v>#N/A</v>
      </c>
      <c r="AW1590" s="121" t="e">
        <v>#N/A</v>
      </c>
      <c r="AX1590" s="115">
        <f>AN1590-AP1590</f>
      </c>
    </row>
    <row r="1591" spans="1:50" ht="15" customHeight="1" x14ac:dyDescent="0.3">
      <c r="A1591" s="94" t="s">
        <v>862</v>
      </c>
      <c r="B1591" s="94"/>
      <c r="C1591" s="94"/>
      <c r="D1591" s="94"/>
      <c r="E1591" s="94"/>
      <c r="F1591" s="94"/>
      <c r="G1591" s="112">
        <f>AU1591</f>
      </c>
      <c r="H1591" s="113"/>
      <c r="I1591" s="94" t="s">
        <v>390</v>
      </c>
      <c r="J1591" s="94" t="s">
        <v>267</v>
      </c>
      <c r="K1591" s="114">
        <f>P1591/3</f>
      </c>
      <c r="L1591" s="115">
        <v>2299.143</v>
      </c>
      <c r="M1591" s="116"/>
      <c r="N1591" s="117">
        <f>M1591-L1591</f>
      </c>
      <c r="O1591" s="112"/>
      <c r="P1591" s="118">
        <f>N1591+O1591</f>
      </c>
      <c r="Q1591" s="94"/>
      <c r="R1591" s="94" t="s">
        <v>63</v>
      </c>
      <c r="S1591" s="119">
        <v>46348</v>
      </c>
      <c r="T1591" s="119"/>
      <c r="U1591" s="119" t="s">
        <v>631</v>
      </c>
      <c r="V1591" s="94"/>
      <c r="W1591" s="94"/>
      <c r="X1591" s="94"/>
      <c r="Y1591" s="119">
        <v>46320</v>
      </c>
      <c r="Z1591" s="94"/>
      <c r="AA1591" s="120"/>
      <c r="AB1591" s="120"/>
      <c r="AC1591" s="120"/>
      <c r="AD1591" s="120"/>
      <c r="AE1591" s="120"/>
      <c r="AF1591" s="120"/>
      <c r="AG1591" s="94"/>
      <c r="AH1591" s="120"/>
      <c r="AI1591" s="94"/>
      <c r="AJ1591" s="94"/>
      <c r="AK1591" s="94"/>
      <c r="AL1591" s="94">
        <v>140</v>
      </c>
      <c r="AM1591" s="94" t="str">
        <f>TRIM(AJ1591)&amp;TRIM(AL1591)&amp;TRIM(AK1591)</f>
      </c>
      <c r="AN1591" s="116">
        <v>0</v>
      </c>
      <c r="AO1591" s="116" t="inlineStr">
        <is>
          <t>#NA</t>
        </is>
      </c>
      <c r="AP1591" s="116">
        <f>SUMIFS(M:M,AM:AM,AM1591)+SUMIFS(O:O,AM:AM,AM1591)</f>
      </c>
      <c r="AQ1591" s="116">
        <f>SUMIFS(L:L,AM:AM,AM1591)</f>
      </c>
      <c r="AR1591" s="116">
        <f>AQ1591-AP1591</f>
      </c>
      <c r="AS1591" s="94" t="str">
        <f>IF(AN1591&gt;=AQ1591,"ok","ck")</f>
      </c>
      <c r="AT1591" s="116">
        <f>-P1591</f>
      </c>
      <c r="AU1591" s="115">
        <f>IF(SUMIFS(AT:AT,AM:AM,AM1591)&gt;AO1591,(SUMIFS(AT:AT,AM:AM,AM1591)-AO1591))</f>
      </c>
      <c r="AV1591" s="116" t="e">
        <v>#N/A</v>
      </c>
      <c r="AW1591" s="121" t="e">
        <v>#N/A</v>
      </c>
      <c r="AX1591" s="115">
        <f>AN1591-AP1591</f>
      </c>
    </row>
    <row r="1592" spans="1:50" ht="15" customHeight="1" x14ac:dyDescent="0.3">
      <c r="A1592" s="94" t="s">
        <v>862</v>
      </c>
      <c r="B1592" s="94"/>
      <c r="C1592" s="94"/>
      <c r="D1592" s="94"/>
      <c r="E1592" s="94"/>
      <c r="F1592" s="94"/>
      <c r="G1592" s="112">
        <f>AU1592</f>
      </c>
      <c r="H1592" s="113"/>
      <c r="I1592" s="94" t="s">
        <v>390</v>
      </c>
      <c r="J1592" s="94" t="s">
        <v>267</v>
      </c>
      <c r="K1592" s="114">
        <f>P1592/3</f>
      </c>
      <c r="L1592" s="115">
        <v>2299.143</v>
      </c>
      <c r="M1592" s="116"/>
      <c r="N1592" s="117">
        <f>M1592-L1592</f>
      </c>
      <c r="O1592" s="112"/>
      <c r="P1592" s="118">
        <f>N1592+O1592</f>
      </c>
      <c r="Q1592" s="94"/>
      <c r="R1592" s="94" t="s">
        <v>63</v>
      </c>
      <c r="S1592" s="119">
        <v>46349</v>
      </c>
      <c r="T1592" s="119"/>
      <c r="U1592" s="119" t="s">
        <v>631</v>
      </c>
      <c r="V1592" s="94"/>
      <c r="W1592" s="94"/>
      <c r="X1592" s="94"/>
      <c r="Y1592" s="119">
        <v>46320</v>
      </c>
      <c r="Z1592" s="94"/>
      <c r="AA1592" s="120"/>
      <c r="AB1592" s="120"/>
      <c r="AC1592" s="120"/>
      <c r="AD1592" s="120"/>
      <c r="AE1592" s="120"/>
      <c r="AF1592" s="120"/>
      <c r="AG1592" s="94"/>
      <c r="AH1592" s="120"/>
      <c r="AI1592" s="94"/>
      <c r="AJ1592" s="94"/>
      <c r="AK1592" s="94"/>
      <c r="AL1592" s="94">
        <v>140</v>
      </c>
      <c r="AM1592" s="94" t="str">
        <f>TRIM(AJ1592)&amp;TRIM(AL1592)&amp;TRIM(AK1592)</f>
      </c>
      <c r="AN1592" s="116">
        <v>0</v>
      </c>
      <c r="AO1592" s="116" t="inlineStr">
        <is>
          <t>#NA</t>
        </is>
      </c>
      <c r="AP1592" s="116">
        <f>SUMIFS(M:M,AM:AM,AM1592)+SUMIFS(O:O,AM:AM,AM1592)</f>
      </c>
      <c r="AQ1592" s="116">
        <f>SUMIFS(L:L,AM:AM,AM1592)</f>
      </c>
      <c r="AR1592" s="116">
        <f>AQ1592-AP1592</f>
      </c>
      <c r="AS1592" s="94" t="str">
        <f>IF(AN1592&gt;=AQ1592,"ok","ck")</f>
      </c>
      <c r="AT1592" s="116">
        <f>-P1592</f>
      </c>
      <c r="AU1592" s="115">
        <f>IF(SUMIFS(AT:AT,AM:AM,AM1592)&gt;AO1592,(SUMIFS(AT:AT,AM:AM,AM1592)-AO1592))</f>
      </c>
      <c r="AV1592" s="116" t="e">
        <v>#N/A</v>
      </c>
      <c r="AW1592" s="121" t="e">
        <v>#N/A</v>
      </c>
      <c r="AX1592" s="115">
        <f>AN1592-AP1592</f>
      </c>
    </row>
    <row r="1593" spans="1:50" ht="15" hidden="1" customHeight="1" x14ac:dyDescent="0.3">
      <c r="A1593" s="94" t="s">
        <v>151</v>
      </c>
      <c r="B1593" s="94"/>
      <c r="C1593" s="94"/>
      <c r="D1593" s="94"/>
      <c r="E1593" s="94"/>
      <c r="F1593" s="94"/>
      <c r="G1593" s="112">
        <f>AU1593</f>
      </c>
      <c r="H1593" s="113"/>
      <c r="I1593" s="94" t="s">
        <v>209</v>
      </c>
      <c r="J1593" s="94" t="s">
        <v>210</v>
      </c>
      <c r="K1593" s="114">
        <f>P1593/3</f>
      </c>
      <c r="L1593" s="115">
        <v>0</v>
      </c>
      <c r="M1593" s="116">
        <f>L1593</f>
      </c>
      <c r="N1593" s="117">
        <f>M1593-L1593</f>
      </c>
      <c r="O1593" s="112"/>
      <c r="P1593" s="118">
        <f>N1593+O1593</f>
      </c>
      <c r="Q1593" s="94" t="s">
        <v>211</v>
      </c>
      <c r="R1593" s="94" t="s">
        <v>63</v>
      </c>
      <c r="S1593" s="119">
        <v>46341</v>
      </c>
      <c r="T1593" s="119"/>
      <c r="U1593" s="119">
        <v>46341</v>
      </c>
      <c r="V1593" s="94"/>
      <c r="W1593" s="94"/>
      <c r="X1593" s="94"/>
      <c r="Y1593" s="119">
        <v>46341</v>
      </c>
      <c r="Z1593" s="94"/>
      <c r="AA1593" s="120"/>
      <c r="AB1593" s="120"/>
      <c r="AC1593" s="120"/>
      <c r="AD1593" s="120"/>
      <c r="AE1593" s="120"/>
      <c r="AF1593" s="120"/>
      <c r="AG1593" s="94"/>
      <c r="AH1593" s="120"/>
      <c r="AI1593" s="94"/>
      <c r="AJ1593" s="94" t="s">
        <v>211</v>
      </c>
      <c r="AK1593" s="94" t="s">
        <v>212</v>
      </c>
      <c r="AL1593" s="94">
        <v>160</v>
      </c>
      <c r="AM1593" s="94" t="str">
        <f>TRIM(AJ1593)&amp;TRIM(AL1593)&amp;TRIM(AK1593)</f>
      </c>
      <c r="AN1593" s="116">
        <v>9169.78</v>
      </c>
      <c r="AO1593" s="116">
        <v>-169.78</v>
      </c>
      <c r="AP1593" s="116">
        <f>SUMIFS(M:M,AM:AM,AM1593)+SUMIFS(O:O,AM:AM,AM1593)</f>
      </c>
      <c r="AQ1593" s="116">
        <f>SUMIFS(L:L,AM:AM,AM1593)</f>
      </c>
      <c r="AR1593" s="116">
        <f>AQ1593-AP1593</f>
      </c>
      <c r="AS1593" s="94" t="str">
        <f>IF(AN1593&gt;=AQ1593,"ok","ck")</f>
      </c>
      <c r="AT1593" s="116">
        <f>-P1593</f>
      </c>
      <c r="AU1593" s="115">
        <f>IF(SUMIFS(AT:AT,AM:AM,AM1593)&gt;AO1593,(SUMIFS(AT:AT,AM:AM,AM1593)-AO1593))</f>
      </c>
      <c r="AV1593" s="116">
        <v>9169.78</v>
      </c>
      <c r="AW1593" s="121">
        <v>1.019</v>
      </c>
      <c r="AX1593" s="115">
        <f>AN1593-AP1593</f>
      </c>
    </row>
    <row r="1594" spans="1:50" ht="15" hidden="1" customHeight="1" x14ac:dyDescent="0.3">
      <c r="A1594" s="94" t="s">
        <v>151</v>
      </c>
      <c r="B1594" s="94"/>
      <c r="C1594" s="94"/>
      <c r="D1594" s="94"/>
      <c r="E1594" s="94"/>
      <c r="F1594" s="94"/>
      <c r="G1594" s="112">
        <f>AU1594</f>
      </c>
      <c r="H1594" s="113"/>
      <c r="I1594" s="94" t="s">
        <v>209</v>
      </c>
      <c r="J1594" s="94" t="s">
        <v>210</v>
      </c>
      <c r="K1594" s="114">
        <f>P1594/3</f>
      </c>
      <c r="L1594" s="115">
        <v>-2145.875</v>
      </c>
      <c r="M1594" s="116">
        <f>L1594</f>
      </c>
      <c r="N1594" s="117">
        <f>M1594-L1594</f>
      </c>
      <c r="O1594" s="112"/>
      <c r="P1594" s="118">
        <f>N1594+O1594</f>
      </c>
      <c r="Q1594" s="94" t="s">
        <v>211</v>
      </c>
      <c r="R1594" s="94" t="s">
        <v>63</v>
      </c>
      <c r="S1594" s="119">
        <v>46322</v>
      </c>
      <c r="T1594" s="119"/>
      <c r="U1594" s="119">
        <v>46322</v>
      </c>
      <c r="V1594" s="94"/>
      <c r="W1594" s="94"/>
      <c r="X1594" s="94"/>
      <c r="Y1594" s="119">
        <v>46322</v>
      </c>
      <c r="Z1594" s="94"/>
      <c r="AA1594" s="120"/>
      <c r="AB1594" s="120"/>
      <c r="AC1594" s="120"/>
      <c r="AD1594" s="120"/>
      <c r="AE1594" s="120"/>
      <c r="AF1594" s="120"/>
      <c r="AG1594" s="94"/>
      <c r="AH1594" s="120"/>
      <c r="AI1594" s="94"/>
      <c r="AJ1594" s="94" t="s">
        <v>211</v>
      </c>
      <c r="AK1594" s="94" t="s">
        <v>212</v>
      </c>
      <c r="AL1594" s="94">
        <v>160</v>
      </c>
      <c r="AM1594" s="94" t="str">
        <f>TRIM(AJ1594)&amp;TRIM(AL1594)&amp;TRIM(AK1594)</f>
      </c>
      <c r="AN1594" s="116">
        <v>9169.78</v>
      </c>
      <c r="AO1594" s="116">
        <v>-169.78</v>
      </c>
      <c r="AP1594" s="116">
        <f>SUMIFS(M:M,AM:AM,AM1594)+SUMIFS(O:O,AM:AM,AM1594)</f>
      </c>
      <c r="AQ1594" s="116">
        <f>SUMIFS(L:L,AM:AM,AM1594)</f>
      </c>
      <c r="AR1594" s="116">
        <f>AQ1594-AP1594</f>
      </c>
      <c r="AS1594" s="94" t="str">
        <f>IF(AN1594&gt;=AQ1594,"ok","ck")</f>
      </c>
      <c r="AT1594" s="116">
        <f>-P1594</f>
      </c>
      <c r="AU1594" s="115">
        <f>IF(SUMIFS(AT:AT,AM:AM,AM1594)&gt;AO1594,(SUMIFS(AT:AT,AM:AM,AM1594)-AO1594))</f>
      </c>
      <c r="AV1594" s="116">
        <v>9169.78</v>
      </c>
      <c r="AW1594" s="121">
        <v>1.019</v>
      </c>
      <c r="AX1594" s="115">
        <f>AN1594-AP1594</f>
      </c>
    </row>
    <row r="1595" spans="1:50" ht="15" hidden="1" customHeight="1" x14ac:dyDescent="0.3">
      <c r="A1595" s="94" t="s">
        <v>151</v>
      </c>
      <c r="B1595" s="94"/>
      <c r="C1595" s="94"/>
      <c r="D1595" s="94"/>
      <c r="E1595" s="94"/>
      <c r="F1595" s="94"/>
      <c r="G1595" s="112">
        <f>AU1595</f>
      </c>
      <c r="H1595" s="113"/>
      <c r="I1595" s="94" t="s">
        <v>209</v>
      </c>
      <c r="J1595" s="94" t="s">
        <v>210</v>
      </c>
      <c r="K1595" s="114">
        <f>P1595/3</f>
      </c>
      <c r="L1595" s="115">
        <v>0</v>
      </c>
      <c r="M1595" s="116">
        <f>L1595</f>
      </c>
      <c r="N1595" s="117">
        <f>M1595-L1595</f>
      </c>
      <c r="O1595" s="112"/>
      <c r="P1595" s="118">
        <f>N1595+O1595</f>
      </c>
      <c r="Q1595" s="94" t="s">
        <v>211</v>
      </c>
      <c r="R1595" s="94" t="s">
        <v>63</v>
      </c>
      <c r="S1595" s="119">
        <v>46327</v>
      </c>
      <c r="T1595" s="119"/>
      <c r="U1595" s="119">
        <v>46327</v>
      </c>
      <c r="V1595" s="94"/>
      <c r="W1595" s="94"/>
      <c r="X1595" s="94"/>
      <c r="Y1595" s="119">
        <v>46327</v>
      </c>
      <c r="Z1595" s="94"/>
      <c r="AA1595" s="120"/>
      <c r="AB1595" s="120"/>
      <c r="AC1595" s="120"/>
      <c r="AD1595" s="120"/>
      <c r="AE1595" s="120"/>
      <c r="AF1595" s="120"/>
      <c r="AG1595" s="94"/>
      <c r="AH1595" s="120"/>
      <c r="AI1595" s="94"/>
      <c r="AJ1595" s="94" t="s">
        <v>211</v>
      </c>
      <c r="AK1595" s="94" t="s">
        <v>212</v>
      </c>
      <c r="AL1595" s="94">
        <v>160</v>
      </c>
      <c r="AM1595" s="94" t="str">
        <f>TRIM(AJ1595)&amp;TRIM(AL1595)&amp;TRIM(AK1595)</f>
      </c>
      <c r="AN1595" s="116">
        <v>9169.78</v>
      </c>
      <c r="AO1595" s="116">
        <v>-169.78</v>
      </c>
      <c r="AP1595" s="116">
        <f>SUMIFS(M:M,AM:AM,AM1595)+SUMIFS(O:O,AM:AM,AM1595)</f>
      </c>
      <c r="AQ1595" s="116">
        <f>SUMIFS(L:L,AM:AM,AM1595)</f>
      </c>
      <c r="AR1595" s="116">
        <f>AQ1595-AP1595</f>
      </c>
      <c r="AS1595" s="94" t="str">
        <f>IF(AN1595&gt;=AQ1595,"ok","ck")</f>
      </c>
      <c r="AT1595" s="116">
        <f>-P1595</f>
      </c>
      <c r="AU1595" s="115">
        <f>IF(SUMIFS(AT:AT,AM:AM,AM1595)&gt;AO1595,(SUMIFS(AT:AT,AM:AM,AM1595)-AO1595))</f>
      </c>
      <c r="AV1595" s="116">
        <v>9169.78</v>
      </c>
      <c r="AW1595" s="121">
        <v>1.019</v>
      </c>
      <c r="AX1595" s="115">
        <f>AN1595-AP1595</f>
      </c>
    </row>
    <row r="1596" spans="1:50" ht="15" hidden="1" customHeight="1" x14ac:dyDescent="0.3">
      <c r="A1596" s="94" t="s">
        <v>82</v>
      </c>
      <c r="B1596" s="94"/>
      <c r="C1596" s="94"/>
      <c r="D1596" s="94"/>
      <c r="E1596" s="94"/>
      <c r="F1596" s="94"/>
      <c r="G1596" s="112">
        <f>AU1596</f>
      </c>
      <c r="H1596" s="113"/>
      <c r="I1596" s="94" t="s">
        <v>83</v>
      </c>
      <c r="J1596" s="94" t="s">
        <v>88</v>
      </c>
      <c r="K1596" s="114">
        <f>P1596/3</f>
      </c>
      <c r="L1596" s="115">
        <v>3000</v>
      </c>
      <c r="M1596" s="116">
        <v>3000</v>
      </c>
      <c r="N1596" s="117">
        <f>M1596-L1596</f>
      </c>
      <c r="O1596" s="112"/>
      <c r="P1596" s="118">
        <f>N1596+O1596</f>
      </c>
      <c r="Q1596" s="94" t="s">
        <v>85</v>
      </c>
      <c r="R1596" s="94" t="s">
        <v>63</v>
      </c>
      <c r="S1596" s="119">
        <v>46331</v>
      </c>
      <c r="T1596" s="119"/>
      <c r="U1596" s="119" t="s">
        <v>673</v>
      </c>
      <c r="V1596" s="94"/>
      <c r="W1596" s="94"/>
      <c r="X1596" s="94"/>
      <c r="Y1596" s="119">
        <v>46320</v>
      </c>
      <c r="Z1596" s="94"/>
      <c r="AA1596" s="120"/>
      <c r="AB1596" s="120"/>
      <c r="AC1596" s="120"/>
      <c r="AD1596" s="120"/>
      <c r="AE1596" s="120"/>
      <c r="AF1596" s="120"/>
      <c r="AG1596" s="94"/>
      <c r="AH1596" s="120"/>
      <c r="AI1596" s="94"/>
      <c r="AJ1596" s="94" t="s">
        <v>86</v>
      </c>
      <c r="AK1596" s="94" t="s">
        <v>89</v>
      </c>
      <c r="AL1596" s="94">
        <v>160</v>
      </c>
      <c r="AM1596" s="94" t="str">
        <f>TRIM(AJ1596)&amp;TRIM(AL1596)&amp;TRIM(AK1596)</f>
      </c>
      <c r="AN1596" s="116">
        <v>13076.44</v>
      </c>
      <c r="AO1596" s="116">
        <v>21593.56</v>
      </c>
      <c r="AP1596" s="116">
        <f>SUMIFS(M:M,AM:AM,AM1596)+SUMIFS(O:O,AM:AM,AM1596)</f>
      </c>
      <c r="AQ1596" s="116">
        <f>SUMIFS(L:L,AM:AM,AM1596)</f>
      </c>
      <c r="AR1596" s="116">
        <f>AQ1596-AP1596</f>
      </c>
      <c r="AS1596" s="94" t="str">
        <f>IF(AN1596&gt;=AQ1596,"ok","ck")</f>
      </c>
      <c r="AT1596" s="116">
        <f>-P1596</f>
      </c>
      <c r="AU1596" s="115">
        <f>IF(SUMIFS(AT:AT,AM:AM,AM1596)&gt;AO1596,(SUMIFS(AT:AT,AM:AM,AM1596)-AO1596))</f>
      </c>
      <c r="AV1596" s="116">
        <v>13076.44</v>
      </c>
      <c r="AW1596" s="121">
        <v>0.377</v>
      </c>
      <c r="AX1596" s="115">
        <f>AN1596-AP1596</f>
      </c>
    </row>
    <row r="1597" spans="1:50" ht="15" hidden="1" customHeight="1" x14ac:dyDescent="0.3">
      <c r="A1597" s="94" t="s">
        <v>82</v>
      </c>
      <c r="B1597" s="94"/>
      <c r="C1597" s="94"/>
      <c r="D1597" s="94"/>
      <c r="E1597" s="94"/>
      <c r="F1597" s="94"/>
      <c r="G1597" s="112">
        <f>AU1597</f>
      </c>
      <c r="H1597" s="113"/>
      <c r="I1597" s="94" t="s">
        <v>83</v>
      </c>
      <c r="J1597" s="94" t="s">
        <v>88</v>
      </c>
      <c r="K1597" s="114">
        <f>P1597/3</f>
      </c>
      <c r="L1597" s="115">
        <v>3000</v>
      </c>
      <c r="M1597" s="116">
        <v>3000</v>
      </c>
      <c r="N1597" s="117">
        <f>M1597-L1597</f>
      </c>
      <c r="O1597" s="112"/>
      <c r="P1597" s="118">
        <f>N1597+O1597</f>
      </c>
      <c r="Q1597" s="94" t="s">
        <v>85</v>
      </c>
      <c r="R1597" s="94" t="s">
        <v>63</v>
      </c>
      <c r="S1597" s="119">
        <v>46332</v>
      </c>
      <c r="T1597" s="119"/>
      <c r="U1597" s="119" t="s">
        <v>673</v>
      </c>
      <c r="V1597" s="94"/>
      <c r="W1597" s="94"/>
      <c r="X1597" s="94"/>
      <c r="Y1597" s="119">
        <v>46320</v>
      </c>
      <c r="Z1597" s="94"/>
      <c r="AA1597" s="120"/>
      <c r="AB1597" s="120"/>
      <c r="AC1597" s="120"/>
      <c r="AD1597" s="120"/>
      <c r="AE1597" s="120"/>
      <c r="AF1597" s="120"/>
      <c r="AG1597" s="94"/>
      <c r="AH1597" s="120"/>
      <c r="AI1597" s="94"/>
      <c r="AJ1597" s="94" t="s">
        <v>86</v>
      </c>
      <c r="AK1597" s="94" t="s">
        <v>89</v>
      </c>
      <c r="AL1597" s="94">
        <v>160</v>
      </c>
      <c r="AM1597" s="94" t="str">
        <f>TRIM(AJ1597)&amp;TRIM(AL1597)&amp;TRIM(AK1597)</f>
      </c>
      <c r="AN1597" s="116">
        <v>13076.44</v>
      </c>
      <c r="AO1597" s="116">
        <v>21593.56</v>
      </c>
      <c r="AP1597" s="116">
        <f>SUMIFS(M:M,AM:AM,AM1597)+SUMIFS(O:O,AM:AM,AM1597)</f>
      </c>
      <c r="AQ1597" s="116">
        <f>SUMIFS(L:L,AM:AM,AM1597)</f>
      </c>
      <c r="AR1597" s="116">
        <f>AQ1597-AP1597</f>
      </c>
      <c r="AS1597" s="94" t="str">
        <f>IF(AN1597&gt;=AQ1597,"ok","ck")</f>
      </c>
      <c r="AT1597" s="116">
        <f>-P1597</f>
      </c>
      <c r="AU1597" s="115">
        <f>IF(SUMIFS(AT:AT,AM:AM,AM1597)&gt;AO1597,(SUMIFS(AT:AT,AM:AM,AM1597)-AO1597))</f>
      </c>
      <c r="AV1597" s="116">
        <v>13076.44</v>
      </c>
      <c r="AW1597" s="121">
        <v>0.377</v>
      </c>
      <c r="AX1597" s="115">
        <f>AN1597-AP1597</f>
      </c>
    </row>
    <row r="1598" spans="1:50" ht="15" hidden="1" customHeight="1" x14ac:dyDescent="0.3">
      <c r="A1598" s="94" t="s">
        <v>82</v>
      </c>
      <c r="B1598" s="94"/>
      <c r="C1598" s="94"/>
      <c r="D1598" s="94"/>
      <c r="E1598" s="94"/>
      <c r="F1598" s="94"/>
      <c r="G1598" s="112">
        <f>AU1598</f>
      </c>
      <c r="H1598" s="113"/>
      <c r="I1598" s="94" t="s">
        <v>83</v>
      </c>
      <c r="J1598" s="94" t="s">
        <v>88</v>
      </c>
      <c r="K1598" s="114">
        <f>P1598/3</f>
      </c>
      <c r="L1598" s="115">
        <v>3000</v>
      </c>
      <c r="M1598" s="116">
        <v>3000</v>
      </c>
      <c r="N1598" s="117">
        <f>M1598-L1598</f>
      </c>
      <c r="O1598" s="112"/>
      <c r="P1598" s="118">
        <f>N1598+O1598</f>
      </c>
      <c r="Q1598" s="94" t="s">
        <v>85</v>
      </c>
      <c r="R1598" s="94" t="s">
        <v>63</v>
      </c>
      <c r="S1598" s="119">
        <v>46333</v>
      </c>
      <c r="T1598" s="119"/>
      <c r="U1598" s="119" t="s">
        <v>673</v>
      </c>
      <c r="V1598" s="94"/>
      <c r="W1598" s="94"/>
      <c r="X1598" s="94"/>
      <c r="Y1598" s="119">
        <v>46320</v>
      </c>
      <c r="Z1598" s="94"/>
      <c r="AA1598" s="120"/>
      <c r="AB1598" s="120"/>
      <c r="AC1598" s="120"/>
      <c r="AD1598" s="120"/>
      <c r="AE1598" s="120"/>
      <c r="AF1598" s="120"/>
      <c r="AG1598" s="94"/>
      <c r="AH1598" s="120"/>
      <c r="AI1598" s="94"/>
      <c r="AJ1598" s="94" t="s">
        <v>86</v>
      </c>
      <c r="AK1598" s="94" t="s">
        <v>89</v>
      </c>
      <c r="AL1598" s="94">
        <v>160</v>
      </c>
      <c r="AM1598" s="94" t="str">
        <f>TRIM(AJ1598)&amp;TRIM(AL1598)&amp;TRIM(AK1598)</f>
      </c>
      <c r="AN1598" s="116">
        <v>13076.44</v>
      </c>
      <c r="AO1598" s="116">
        <v>21593.56</v>
      </c>
      <c r="AP1598" s="116">
        <f>SUMIFS(M:M,AM:AM,AM1598)+SUMIFS(O:O,AM:AM,AM1598)</f>
      </c>
      <c r="AQ1598" s="116">
        <f>SUMIFS(L:L,AM:AM,AM1598)</f>
      </c>
      <c r="AR1598" s="116">
        <f>AQ1598-AP1598</f>
      </c>
      <c r="AS1598" s="94" t="str">
        <f>IF(AN1598&gt;=AQ1598,"ok","ck")</f>
      </c>
      <c r="AT1598" s="116">
        <f>-P1598</f>
      </c>
      <c r="AU1598" s="115">
        <f>IF(SUMIFS(AT:AT,AM:AM,AM1598)&gt;AO1598,(SUMIFS(AT:AT,AM:AM,AM1598)-AO1598))</f>
      </c>
      <c r="AV1598" s="116">
        <v>13076.44</v>
      </c>
      <c r="AW1598" s="121">
        <v>0.377</v>
      </c>
      <c r="AX1598" s="115">
        <f>AN1598-AP1598</f>
      </c>
    </row>
    <row r="1599" spans="1:50" ht="15" hidden="1" customHeight="1" x14ac:dyDescent="0.3">
      <c r="A1599" s="94" t="s">
        <v>82</v>
      </c>
      <c r="B1599" s="94"/>
      <c r="C1599" s="94"/>
      <c r="D1599" s="94"/>
      <c r="E1599" s="94"/>
      <c r="F1599" s="94"/>
      <c r="G1599" s="112">
        <f>AU1599</f>
      </c>
      <c r="H1599" s="113"/>
      <c r="I1599" s="94" t="s">
        <v>83</v>
      </c>
      <c r="J1599" s="94" t="s">
        <v>88</v>
      </c>
      <c r="K1599" s="114">
        <f>P1599/3</f>
      </c>
      <c r="L1599" s="115">
        <v>3000</v>
      </c>
      <c r="M1599" s="116">
        <v>869.23199999999997</v>
      </c>
      <c r="N1599" s="117">
        <f>M1599-L1599</f>
      </c>
      <c r="O1599" s="112"/>
      <c r="P1599" s="118">
        <f>N1599+O1599</f>
      </c>
      <c r="Q1599" s="94" t="s">
        <v>85</v>
      </c>
      <c r="R1599" s="94" t="s">
        <v>63</v>
      </c>
      <c r="S1599" s="119">
        <v>46334</v>
      </c>
      <c r="T1599" s="119"/>
      <c r="U1599" s="119" t="s">
        <v>673</v>
      </c>
      <c r="V1599" s="94"/>
      <c r="W1599" s="94"/>
      <c r="X1599" s="94"/>
      <c r="Y1599" s="119">
        <v>46320</v>
      </c>
      <c r="Z1599" s="94"/>
      <c r="AA1599" s="120"/>
      <c r="AB1599" s="120"/>
      <c r="AC1599" s="120"/>
      <c r="AD1599" s="120"/>
      <c r="AE1599" s="120"/>
      <c r="AF1599" s="120"/>
      <c r="AG1599" s="94"/>
      <c r="AH1599" s="120"/>
      <c r="AI1599" s="94"/>
      <c r="AJ1599" s="94" t="s">
        <v>86</v>
      </c>
      <c r="AK1599" s="94" t="s">
        <v>89</v>
      </c>
      <c r="AL1599" s="94">
        <v>160</v>
      </c>
      <c r="AM1599" s="94" t="str">
        <f>TRIM(AJ1599)&amp;TRIM(AL1599)&amp;TRIM(AK1599)</f>
      </c>
      <c r="AN1599" s="116">
        <v>13076.44</v>
      </c>
      <c r="AO1599" s="116">
        <v>21593.56</v>
      </c>
      <c r="AP1599" s="116">
        <f>SUMIFS(M:M,AM:AM,AM1599)+SUMIFS(O:O,AM:AM,AM1599)</f>
      </c>
      <c r="AQ1599" s="116">
        <f>SUMIFS(L:L,AM:AM,AM1599)</f>
      </c>
      <c r="AR1599" s="116">
        <f>AQ1599-AP1599</f>
      </c>
      <c r="AS1599" s="94" t="str">
        <f>IF(AN1599&gt;=AQ1599,"ok","ck")</f>
      </c>
      <c r="AT1599" s="116">
        <f>-P1599</f>
      </c>
      <c r="AU1599" s="115">
        <f>IF(SUMIFS(AT:AT,AM:AM,AM1599)&gt;AO1599,(SUMIFS(AT:AT,AM:AM,AM1599)-AO1599))</f>
      </c>
      <c r="AV1599" s="116">
        <v>13076.44</v>
      </c>
      <c r="AW1599" s="121">
        <v>0.377</v>
      </c>
      <c r="AX1599" s="115">
        <f>AN1599-AP1599</f>
      </c>
    </row>
    <row r="1600" spans="1:50" ht="15" hidden="1" customHeight="1" x14ac:dyDescent="0.3">
      <c r="A1600" s="94" t="s">
        <v>82</v>
      </c>
      <c r="B1600" s="94"/>
      <c r="C1600" s="94"/>
      <c r="D1600" s="94"/>
      <c r="E1600" s="94"/>
      <c r="F1600" s="94"/>
      <c r="G1600" s="112">
        <f>AU1600</f>
      </c>
      <c r="H1600" s="113"/>
      <c r="I1600" s="94" t="s">
        <v>83</v>
      </c>
      <c r="J1600" s="94" t="s">
        <v>88</v>
      </c>
      <c r="K1600" s="114">
        <f>P1600/3</f>
      </c>
      <c r="L1600" s="115">
        <v>3000</v>
      </c>
      <c r="M1600" s="116"/>
      <c r="N1600" s="117">
        <f>M1600-L1600</f>
      </c>
      <c r="O1600" s="112"/>
      <c r="P1600" s="118">
        <f>N1600+O1600</f>
      </c>
      <c r="Q1600" s="94" t="s">
        <v>85</v>
      </c>
      <c r="R1600" s="94" t="s">
        <v>63</v>
      </c>
      <c r="S1600" s="119">
        <v>46335</v>
      </c>
      <c r="T1600" s="119"/>
      <c r="U1600" s="119" t="s">
        <v>673</v>
      </c>
      <c r="V1600" s="94"/>
      <c r="W1600" s="94"/>
      <c r="X1600" s="94"/>
      <c r="Y1600" s="119">
        <v>46326</v>
      </c>
      <c r="Z1600" s="94"/>
      <c r="AA1600" s="120"/>
      <c r="AB1600" s="120"/>
      <c r="AC1600" s="120"/>
      <c r="AD1600" s="120"/>
      <c r="AE1600" s="120"/>
      <c r="AF1600" s="120"/>
      <c r="AG1600" s="94"/>
      <c r="AH1600" s="120"/>
      <c r="AI1600" s="94"/>
      <c r="AJ1600" s="94" t="s">
        <v>86</v>
      </c>
      <c r="AK1600" s="94" t="s">
        <v>89</v>
      </c>
      <c r="AL1600" s="94">
        <v>160</v>
      </c>
      <c r="AM1600" s="94" t="str">
        <f>TRIM(AJ1600)&amp;TRIM(AL1600)&amp;TRIM(AK1600)</f>
      </c>
      <c r="AN1600" s="116">
        <v>13076.44</v>
      </c>
      <c r="AO1600" s="116">
        <v>21593.56</v>
      </c>
      <c r="AP1600" s="116">
        <f>SUMIFS(M:M,AM:AM,AM1600)+SUMIFS(O:O,AM:AM,AM1600)</f>
      </c>
      <c r="AQ1600" s="116">
        <f>SUMIFS(L:L,AM:AM,AM1600)</f>
      </c>
      <c r="AR1600" s="116">
        <f>AQ1600-AP1600</f>
      </c>
      <c r="AS1600" s="94" t="str">
        <f>IF(AN1600&gt;=AQ1600,"ok","ck")</f>
      </c>
      <c r="AT1600" s="116">
        <f>-P1600</f>
      </c>
      <c r="AU1600" s="115">
        <f>IF(SUMIFS(AT:AT,AM:AM,AM1600)&gt;AO1600,(SUMIFS(AT:AT,AM:AM,AM1600)-AO1600))</f>
      </c>
      <c r="AV1600" s="116">
        <v>13076.44</v>
      </c>
      <c r="AW1600" s="121">
        <v>0.377</v>
      </c>
      <c r="AX1600" s="115">
        <f>AN1600-AP1600</f>
      </c>
    </row>
    <row r="1601" spans="1:50" ht="15" hidden="1" customHeight="1" x14ac:dyDescent="0.3">
      <c r="A1601" s="94" t="s">
        <v>82</v>
      </c>
      <c r="B1601" s="94"/>
      <c r="C1601" s="94"/>
      <c r="D1601" s="94"/>
      <c r="E1601" s="94"/>
      <c r="F1601" s="94"/>
      <c r="G1601" s="112">
        <f>AU1601</f>
      </c>
      <c r="H1601" s="113"/>
      <c r="I1601" s="94" t="s">
        <v>83</v>
      </c>
      <c r="J1601" s="94" t="s">
        <v>66</v>
      </c>
      <c r="K1601" s="114">
        <f>P1601/3</f>
      </c>
      <c r="L1601" s="115">
        <v>4000</v>
      </c>
      <c r="M1601" s="116">
        <v>4000</v>
      </c>
      <c r="N1601" s="117">
        <f>M1601-L1601</f>
      </c>
      <c r="O1601" s="112"/>
      <c r="P1601" s="118">
        <f>N1601+O1601</f>
      </c>
      <c r="Q1601" s="94" t="s">
        <v>85</v>
      </c>
      <c r="R1601" s="94" t="s">
        <v>63</v>
      </c>
      <c r="S1601" s="119">
        <v>46327</v>
      </c>
      <c r="T1601" s="119"/>
      <c r="U1601" s="119" t="s">
        <v>674</v>
      </c>
      <c r="V1601" s="94"/>
      <c r="W1601" s="94"/>
      <c r="X1601" s="94"/>
      <c r="Y1601" s="119">
        <v>46320</v>
      </c>
      <c r="Z1601" s="94"/>
      <c r="AA1601" s="120"/>
      <c r="AB1601" s="120"/>
      <c r="AC1601" s="120"/>
      <c r="AD1601" s="120"/>
      <c r="AE1601" s="120"/>
      <c r="AF1601" s="120"/>
      <c r="AG1601" s="94"/>
      <c r="AH1601" s="120"/>
      <c r="AI1601" s="94"/>
      <c r="AJ1601" s="94" t="s">
        <v>86</v>
      </c>
      <c r="AK1601" s="94" t="s">
        <v>66</v>
      </c>
      <c r="AL1601" s="94">
        <v>160</v>
      </c>
      <c r="AM1601" s="94" t="str">
        <f>TRIM(AJ1601)&amp;TRIM(AL1601)&amp;TRIM(AK1601)</f>
      </c>
      <c r="AN1601" s="116">
        <v>80520.24</v>
      </c>
      <c r="AO1601" s="116">
        <v>111130.73</v>
      </c>
      <c r="AP1601" s="116">
        <f>SUMIFS(M:M,AM:AM,AM1601)+SUMIFS(O:O,AM:AM,AM1601)</f>
      </c>
      <c r="AQ1601" s="116">
        <f>SUMIFS(L:L,AM:AM,AM1601)</f>
      </c>
      <c r="AR1601" s="116">
        <f>AQ1601-AP1601</f>
      </c>
      <c r="AS1601" s="94" t="str">
        <f>IF(AN1601&gt;=AQ1601,"ok","ck")</f>
      </c>
      <c r="AT1601" s="116">
        <f>-P1601</f>
      </c>
      <c r="AU1601" s="115">
        <f>IF(SUMIFS(AT:AT,AM:AM,AM1601)&gt;AO1601,(SUMIFS(AT:AT,AM:AM,AM1601)-AO1601))</f>
      </c>
      <c r="AV1601" s="116">
        <v>9703</v>
      </c>
      <c r="AW1601" s="121">
        <v>0.195</v>
      </c>
      <c r="AX1601" s="115">
        <f>AN1601-AP1601</f>
      </c>
    </row>
    <row r="1602" spans="1:50" ht="15" hidden="1" customHeight="1" x14ac:dyDescent="0.3">
      <c r="A1602" s="94" t="s">
        <v>82</v>
      </c>
      <c r="B1602" s="94"/>
      <c r="C1602" s="94"/>
      <c r="D1602" s="94"/>
      <c r="E1602" s="94"/>
      <c r="F1602" s="94"/>
      <c r="G1602" s="112">
        <f>AU1602</f>
      </c>
      <c r="H1602" s="113"/>
      <c r="I1602" s="94" t="s">
        <v>83</v>
      </c>
      <c r="J1602" s="94" t="s">
        <v>66</v>
      </c>
      <c r="K1602" s="114">
        <f>P1602/3</f>
      </c>
      <c r="L1602" s="115">
        <v>4000</v>
      </c>
      <c r="M1602" s="116">
        <v>4000</v>
      </c>
      <c r="N1602" s="117">
        <f>M1602-L1602</f>
      </c>
      <c r="O1602" s="112"/>
      <c r="P1602" s="118">
        <f>N1602+O1602</f>
      </c>
      <c r="Q1602" s="94" t="s">
        <v>85</v>
      </c>
      <c r="R1602" s="94" t="s">
        <v>63</v>
      </c>
      <c r="S1602" s="119">
        <v>46328</v>
      </c>
      <c r="T1602" s="119"/>
      <c r="U1602" s="119" t="s">
        <v>674</v>
      </c>
      <c r="V1602" s="94"/>
      <c r="W1602" s="94"/>
      <c r="X1602" s="94"/>
      <c r="Y1602" s="119">
        <v>46320</v>
      </c>
      <c r="Z1602" s="94"/>
      <c r="AA1602" s="120"/>
      <c r="AB1602" s="120"/>
      <c r="AC1602" s="120"/>
      <c r="AD1602" s="120"/>
      <c r="AE1602" s="120"/>
      <c r="AF1602" s="120"/>
      <c r="AG1602" s="94"/>
      <c r="AH1602" s="120"/>
      <c r="AI1602" s="94"/>
      <c r="AJ1602" s="94" t="s">
        <v>86</v>
      </c>
      <c r="AK1602" s="94" t="s">
        <v>66</v>
      </c>
      <c r="AL1602" s="94">
        <v>160</v>
      </c>
      <c r="AM1602" s="94" t="str">
        <f>TRIM(AJ1602)&amp;TRIM(AL1602)&amp;TRIM(AK1602)</f>
      </c>
      <c r="AN1602" s="116">
        <v>80520.24</v>
      </c>
      <c r="AO1602" s="116">
        <v>111130.73</v>
      </c>
      <c r="AP1602" s="116">
        <f>SUMIFS(M:M,AM:AM,AM1602)+SUMIFS(O:O,AM:AM,AM1602)</f>
      </c>
      <c r="AQ1602" s="116">
        <f>SUMIFS(L:L,AM:AM,AM1602)</f>
      </c>
      <c r="AR1602" s="116">
        <f>AQ1602-AP1602</f>
      </c>
      <c r="AS1602" s="94" t="str">
        <f>IF(AN1602&gt;=AQ1602,"ok","ck")</f>
      </c>
      <c r="AT1602" s="116">
        <f>-P1602</f>
      </c>
      <c r="AU1602" s="115">
        <f>IF(SUMIFS(AT:AT,AM:AM,AM1602)&gt;AO1602,(SUMIFS(AT:AT,AM:AM,AM1602)-AO1602))</f>
      </c>
      <c r="AV1602" s="116">
        <v>9703</v>
      </c>
      <c r="AW1602" s="121">
        <v>0.195</v>
      </c>
      <c r="AX1602" s="115">
        <f>AN1602-AP1602</f>
      </c>
    </row>
    <row r="1603" spans="1:50" ht="15" hidden="1" customHeight="1" x14ac:dyDescent="0.3">
      <c r="A1603" s="94" t="s">
        <v>82</v>
      </c>
      <c r="B1603" s="94"/>
      <c r="C1603" s="94"/>
      <c r="D1603" s="94"/>
      <c r="E1603" s="94"/>
      <c r="F1603" s="94"/>
      <c r="G1603" s="112">
        <f>AU1603</f>
      </c>
      <c r="H1603" s="113"/>
      <c r="I1603" s="94" t="s">
        <v>83</v>
      </c>
      <c r="J1603" s="94" t="s">
        <v>66</v>
      </c>
      <c r="K1603" s="114">
        <f>P1603/3</f>
      </c>
      <c r="L1603" s="115">
        <v>4000</v>
      </c>
      <c r="M1603" s="116">
        <v>4000</v>
      </c>
      <c r="N1603" s="117">
        <f>M1603-L1603</f>
      </c>
      <c r="O1603" s="112"/>
      <c r="P1603" s="118">
        <f>N1603+O1603</f>
      </c>
      <c r="Q1603" s="94" t="s">
        <v>85</v>
      </c>
      <c r="R1603" s="94" t="s">
        <v>63</v>
      </c>
      <c r="S1603" s="119">
        <v>46329</v>
      </c>
      <c r="T1603" s="119"/>
      <c r="U1603" s="120" t="s">
        <v>674</v>
      </c>
      <c r="V1603" s="94"/>
      <c r="W1603" s="94"/>
      <c r="X1603" s="94"/>
      <c r="Y1603" s="119">
        <v>46320</v>
      </c>
      <c r="Z1603" s="94"/>
      <c r="AA1603" s="120"/>
      <c r="AB1603" s="120"/>
      <c r="AC1603" s="120"/>
      <c r="AD1603" s="120"/>
      <c r="AE1603" s="120"/>
      <c r="AF1603" s="120"/>
      <c r="AG1603" s="94"/>
      <c r="AH1603" s="120"/>
      <c r="AI1603" s="94"/>
      <c r="AJ1603" s="94" t="s">
        <v>86</v>
      </c>
      <c r="AK1603" s="94" t="s">
        <v>66</v>
      </c>
      <c r="AL1603" s="94">
        <v>160</v>
      </c>
      <c r="AM1603" s="94" t="str">
        <f>TRIM(AJ1603)&amp;TRIM(AL1603)&amp;TRIM(AK1603)</f>
      </c>
      <c r="AN1603" s="116">
        <v>80520.24</v>
      </c>
      <c r="AO1603" s="116">
        <v>111130.73</v>
      </c>
      <c r="AP1603" s="116">
        <f>SUMIFS(M:M,AM:AM,AM1603)+SUMIFS(O:O,AM:AM,AM1603)</f>
      </c>
      <c r="AQ1603" s="116">
        <f>SUMIFS(L:L,AM:AM,AM1603)</f>
      </c>
      <c r="AR1603" s="116">
        <f>AQ1603-AP1603</f>
      </c>
      <c r="AS1603" s="94" t="str">
        <f>IF(AN1603&gt;=AQ1603,"ok","ck")</f>
      </c>
      <c r="AT1603" s="116">
        <f>-P1603</f>
      </c>
      <c r="AU1603" s="115">
        <f>IF(SUMIFS(AT:AT,AM:AM,AM1603)&gt;AO1603,(SUMIFS(AT:AT,AM:AM,AM1603)-AO1603))</f>
      </c>
      <c r="AV1603" s="116">
        <v>9703</v>
      </c>
      <c r="AW1603" s="121">
        <v>0.195</v>
      </c>
      <c r="AX1603" s="115">
        <f>AN1603-AP1603</f>
      </c>
    </row>
    <row r="1604" spans="1:50" ht="15" hidden="1" customHeight="1" x14ac:dyDescent="0.3">
      <c r="A1604" s="94" t="s">
        <v>82</v>
      </c>
      <c r="B1604" s="94"/>
      <c r="C1604" s="94"/>
      <c r="D1604" s="94"/>
      <c r="E1604" s="94"/>
      <c r="F1604" s="94"/>
      <c r="G1604" s="112">
        <f>AU1604</f>
      </c>
      <c r="H1604" s="113"/>
      <c r="I1604" s="94" t="s">
        <v>83</v>
      </c>
      <c r="J1604" s="94" t="s">
        <v>66</v>
      </c>
      <c r="K1604" s="114">
        <f>P1604/3</f>
      </c>
      <c r="L1604" s="115">
        <v>4000</v>
      </c>
      <c r="M1604" s="116">
        <v>4000</v>
      </c>
      <c r="N1604" s="117">
        <f>M1604-L1604</f>
      </c>
      <c r="O1604" s="112"/>
      <c r="P1604" s="118">
        <f>N1604+O1604</f>
      </c>
      <c r="Q1604" s="94" t="s">
        <v>85</v>
      </c>
      <c r="R1604" s="94" t="s">
        <v>63</v>
      </c>
      <c r="S1604" s="119">
        <v>46330</v>
      </c>
      <c r="T1604" s="119"/>
      <c r="U1604" s="120" t="s">
        <v>674</v>
      </c>
      <c r="V1604" s="94"/>
      <c r="W1604" s="94"/>
      <c r="X1604" s="94"/>
      <c r="Y1604" s="119">
        <v>46320</v>
      </c>
      <c r="Z1604" s="94"/>
      <c r="AA1604" s="120"/>
      <c r="AB1604" s="120"/>
      <c r="AC1604" s="120"/>
      <c r="AD1604" s="120"/>
      <c r="AE1604" s="120"/>
      <c r="AF1604" s="120"/>
      <c r="AG1604" s="94"/>
      <c r="AH1604" s="120"/>
      <c r="AI1604" s="94"/>
      <c r="AJ1604" s="94" t="s">
        <v>86</v>
      </c>
      <c r="AK1604" s="94" t="s">
        <v>66</v>
      </c>
      <c r="AL1604" s="94">
        <v>160</v>
      </c>
      <c r="AM1604" s="94" t="str">
        <f>TRIM(AJ1604)&amp;TRIM(AL1604)&amp;TRIM(AK1604)</f>
      </c>
      <c r="AN1604" s="116">
        <v>80520.24</v>
      </c>
      <c r="AO1604" s="116">
        <v>111130.73</v>
      </c>
      <c r="AP1604" s="116">
        <f>SUMIFS(M:M,AM:AM,AM1604)+SUMIFS(O:O,AM:AM,AM1604)</f>
      </c>
      <c r="AQ1604" s="116">
        <f>SUMIFS(L:L,AM:AM,AM1604)</f>
      </c>
      <c r="AR1604" s="116">
        <f>AQ1604-AP1604</f>
      </c>
      <c r="AS1604" s="94" t="str">
        <f>IF(AN1604&gt;=AQ1604,"ok","ck")</f>
      </c>
      <c r="AT1604" s="116">
        <f>-P1604</f>
      </c>
      <c r="AU1604" s="115">
        <f>IF(SUMIFS(AT:AT,AM:AM,AM1604)&gt;AO1604,(SUMIFS(AT:AT,AM:AM,AM1604)-AO1604))</f>
      </c>
      <c r="AV1604" s="116">
        <v>9703</v>
      </c>
      <c r="AW1604" s="121">
        <v>0.195</v>
      </c>
      <c r="AX1604" s="115">
        <f>AN1604-AP1604</f>
      </c>
    </row>
    <row r="1605" spans="1:50" ht="15" hidden="1" customHeight="1" x14ac:dyDescent="0.3">
      <c r="A1605" s="94" t="s">
        <v>82</v>
      </c>
      <c r="B1605" s="94"/>
      <c r="C1605" s="94"/>
      <c r="D1605" s="94"/>
      <c r="E1605" s="94"/>
      <c r="F1605" s="94"/>
      <c r="G1605" s="112">
        <f>AU1605</f>
      </c>
      <c r="H1605" s="113"/>
      <c r="I1605" s="94" t="s">
        <v>83</v>
      </c>
      <c r="J1605" s="94" t="s">
        <v>66</v>
      </c>
      <c r="K1605" s="114">
        <f>P1605/3</f>
      </c>
      <c r="L1605" s="115">
        <v>4000</v>
      </c>
      <c r="M1605" s="116">
        <v>4000</v>
      </c>
      <c r="N1605" s="117">
        <f>M1605-L1605</f>
      </c>
      <c r="O1605" s="112"/>
      <c r="P1605" s="118">
        <f>N1605+O1605</f>
      </c>
      <c r="Q1605" s="94" t="s">
        <v>85</v>
      </c>
      <c r="R1605" s="94" t="s">
        <v>63</v>
      </c>
      <c r="S1605" s="119">
        <v>46331</v>
      </c>
      <c r="T1605" s="119"/>
      <c r="U1605" s="120" t="s">
        <v>674</v>
      </c>
      <c r="V1605" s="94"/>
      <c r="W1605" s="94"/>
      <c r="X1605" s="94"/>
      <c r="Y1605" s="119">
        <v>46320</v>
      </c>
      <c r="Z1605" s="94"/>
      <c r="AA1605" s="120"/>
      <c r="AB1605" s="120"/>
      <c r="AC1605" s="120"/>
      <c r="AD1605" s="120"/>
      <c r="AE1605" s="120"/>
      <c r="AF1605" s="120"/>
      <c r="AG1605" s="94"/>
      <c r="AH1605" s="120"/>
      <c r="AI1605" s="94"/>
      <c r="AJ1605" s="94" t="s">
        <v>86</v>
      </c>
      <c r="AK1605" s="94" t="s">
        <v>66</v>
      </c>
      <c r="AL1605" s="94">
        <v>160</v>
      </c>
      <c r="AM1605" s="94" t="str">
        <f>TRIM(AJ1605)&amp;TRIM(AL1605)&amp;TRIM(AK1605)</f>
      </c>
      <c r="AN1605" s="116">
        <v>80520.24</v>
      </c>
      <c r="AO1605" s="116">
        <v>111130.73</v>
      </c>
      <c r="AP1605" s="116">
        <f>SUMIFS(M:M,AM:AM,AM1605)+SUMIFS(O:O,AM:AM,AM1605)</f>
      </c>
      <c r="AQ1605" s="116">
        <f>SUMIFS(L:L,AM:AM,AM1605)</f>
      </c>
      <c r="AR1605" s="116">
        <f>AQ1605-AP1605</f>
      </c>
      <c r="AS1605" s="94" t="str">
        <f>IF(AN1605&gt;=AQ1605,"ok","ck")</f>
      </c>
      <c r="AT1605" s="116">
        <f>-P1605</f>
      </c>
      <c r="AU1605" s="115">
        <f>IF(SUMIFS(AT:AT,AM:AM,AM1605)&gt;AO1605,(SUMIFS(AT:AT,AM:AM,AM1605)-AO1605))</f>
      </c>
      <c r="AV1605" s="116">
        <v>9703</v>
      </c>
      <c r="AW1605" s="121">
        <v>0.195</v>
      </c>
      <c r="AX1605" s="115">
        <f>AN1605-AP1605</f>
      </c>
    </row>
    <row r="1606" spans="1:50" ht="15" hidden="1" customHeight="1" x14ac:dyDescent="0.3">
      <c r="A1606" s="94" t="s">
        <v>82</v>
      </c>
      <c r="B1606" s="94"/>
      <c r="C1606" s="94"/>
      <c r="D1606" s="94"/>
      <c r="E1606" s="94"/>
      <c r="F1606" s="94"/>
      <c r="G1606" s="112">
        <f>AU1606</f>
      </c>
      <c r="H1606" s="113"/>
      <c r="I1606" s="94" t="s">
        <v>83</v>
      </c>
      <c r="J1606" s="94" t="s">
        <v>66</v>
      </c>
      <c r="K1606" s="114">
        <f>P1606/3</f>
      </c>
      <c r="L1606" s="115">
        <v>4000</v>
      </c>
      <c r="M1606" s="116">
        <v>107.379</v>
      </c>
      <c r="N1606" s="117">
        <f>M1606-L1606</f>
      </c>
      <c r="O1606" s="112"/>
      <c r="P1606" s="118">
        <f>N1606+O1606</f>
      </c>
      <c r="Q1606" s="94" t="s">
        <v>85</v>
      </c>
      <c r="R1606" s="94" t="s">
        <v>63</v>
      </c>
      <c r="S1606" s="119">
        <v>46332</v>
      </c>
      <c r="T1606" s="119"/>
      <c r="U1606" s="120" t="s">
        <v>674</v>
      </c>
      <c r="V1606" s="94"/>
      <c r="W1606" s="94"/>
      <c r="X1606" s="94"/>
      <c r="Y1606" s="119">
        <v>46320</v>
      </c>
      <c r="Z1606" s="94"/>
      <c r="AA1606" s="120"/>
      <c r="AB1606" s="120"/>
      <c r="AC1606" s="120"/>
      <c r="AD1606" s="120"/>
      <c r="AE1606" s="120"/>
      <c r="AF1606" s="120"/>
      <c r="AG1606" s="94"/>
      <c r="AH1606" s="120"/>
      <c r="AI1606" s="94"/>
      <c r="AJ1606" s="94" t="s">
        <v>86</v>
      </c>
      <c r="AK1606" s="94" t="s">
        <v>66</v>
      </c>
      <c r="AL1606" s="94">
        <v>160</v>
      </c>
      <c r="AM1606" s="94" t="str">
        <f>TRIM(AJ1606)&amp;TRIM(AL1606)&amp;TRIM(AK1606)</f>
      </c>
      <c r="AN1606" s="116">
        <v>80520.24</v>
      </c>
      <c r="AO1606" s="116">
        <v>111130.73</v>
      </c>
      <c r="AP1606" s="116">
        <f>SUMIFS(M:M,AM:AM,AM1606)+SUMIFS(O:O,AM:AM,AM1606)</f>
      </c>
      <c r="AQ1606" s="116">
        <f>SUMIFS(L:L,AM:AM,AM1606)</f>
      </c>
      <c r="AR1606" s="116">
        <f>AQ1606-AP1606</f>
      </c>
      <c r="AS1606" s="94" t="str">
        <f>IF(AN1606&gt;=AQ1606,"ok","ck")</f>
      </c>
      <c r="AT1606" s="116">
        <f>-P1606</f>
      </c>
      <c r="AU1606" s="115">
        <f>IF(SUMIFS(AT:AT,AM:AM,AM1606)&gt;AO1606,(SUMIFS(AT:AT,AM:AM,AM1606)-AO1606))</f>
      </c>
      <c r="AV1606" s="116">
        <v>9703</v>
      </c>
      <c r="AW1606" s="121">
        <v>0.195</v>
      </c>
      <c r="AX1606" s="115">
        <f>AN1606-AP1606</f>
      </c>
    </row>
    <row r="1607" spans="1:50" ht="15" hidden="1" customHeight="1" x14ac:dyDescent="0.3">
      <c r="A1607" s="94" t="s">
        <v>82</v>
      </c>
      <c r="B1607" s="94"/>
      <c r="C1607" s="94"/>
      <c r="D1607" s="94"/>
      <c r="E1607" s="94"/>
      <c r="F1607" s="94"/>
      <c r="G1607" s="112">
        <f>AU1607</f>
      </c>
      <c r="H1607" s="113"/>
      <c r="I1607" s="94" t="s">
        <v>83</v>
      </c>
      <c r="J1607" s="94" t="s">
        <v>66</v>
      </c>
      <c r="K1607" s="114">
        <f>P1607/3</f>
      </c>
      <c r="L1607" s="115">
        <v>4000</v>
      </c>
      <c r="M1607" s="116"/>
      <c r="N1607" s="117">
        <f>M1607-L1607</f>
      </c>
      <c r="O1607" s="112"/>
      <c r="P1607" s="118">
        <f>N1607+O1607</f>
      </c>
      <c r="Q1607" s="94" t="s">
        <v>85</v>
      </c>
      <c r="R1607" s="94" t="s">
        <v>63</v>
      </c>
      <c r="S1607" s="119">
        <v>46333</v>
      </c>
      <c r="T1607" s="119"/>
      <c r="U1607" s="119" t="s">
        <v>674</v>
      </c>
      <c r="V1607" s="94"/>
      <c r="W1607" s="94"/>
      <c r="X1607" s="94"/>
      <c r="Y1607" s="119">
        <v>46320</v>
      </c>
      <c r="Z1607" s="94"/>
      <c r="AA1607" s="120"/>
      <c r="AB1607" s="120"/>
      <c r="AC1607" s="120"/>
      <c r="AD1607" s="120"/>
      <c r="AE1607" s="120"/>
      <c r="AF1607" s="120"/>
      <c r="AG1607" s="94"/>
      <c r="AH1607" s="120"/>
      <c r="AI1607" s="94"/>
      <c r="AJ1607" s="94" t="s">
        <v>86</v>
      </c>
      <c r="AK1607" s="94" t="s">
        <v>66</v>
      </c>
      <c r="AL1607" s="94">
        <v>160</v>
      </c>
      <c r="AM1607" s="94" t="str">
        <f>TRIM(AJ1607)&amp;TRIM(AL1607)&amp;TRIM(AK1607)</f>
      </c>
      <c r="AN1607" s="116">
        <v>80520.24</v>
      </c>
      <c r="AO1607" s="116">
        <v>111130.73</v>
      </c>
      <c r="AP1607" s="116">
        <f>SUMIFS(M:M,AM:AM,AM1607)+SUMIFS(O:O,AM:AM,AM1607)</f>
      </c>
      <c r="AQ1607" s="116">
        <f>SUMIFS(L:L,AM:AM,AM1607)</f>
      </c>
      <c r="AR1607" s="116">
        <f>AQ1607-AP1607</f>
      </c>
      <c r="AS1607" s="94" t="str">
        <f>IF(AN1607&gt;=AQ1607,"ok","ck")</f>
      </c>
      <c r="AT1607" s="116">
        <f>-P1607</f>
      </c>
      <c r="AU1607" s="115">
        <f>IF(SUMIFS(AT:AT,AM:AM,AM1607)&gt;AO1607,(SUMIFS(AT:AT,AM:AM,AM1607)-AO1607))</f>
      </c>
      <c r="AV1607" s="116">
        <v>9703</v>
      </c>
      <c r="AW1607" s="121">
        <v>0.195</v>
      </c>
      <c r="AX1607" s="115">
        <f>AN1607-AP1607</f>
      </c>
    </row>
    <row r="1608" spans="1:50" ht="15" hidden="1" customHeight="1" x14ac:dyDescent="0.3">
      <c r="A1608" s="94" t="s">
        <v>82</v>
      </c>
      <c r="B1608" s="94"/>
      <c r="C1608" s="94"/>
      <c r="D1608" s="94"/>
      <c r="E1608" s="94"/>
      <c r="F1608" s="94"/>
      <c r="G1608" s="112">
        <f>AU1608</f>
      </c>
      <c r="H1608" s="113"/>
      <c r="I1608" s="94" t="s">
        <v>83</v>
      </c>
      <c r="J1608" s="94" t="s">
        <v>66</v>
      </c>
      <c r="K1608" s="114">
        <f>P1608/3</f>
      </c>
      <c r="L1608" s="115">
        <v>4000</v>
      </c>
      <c r="M1608" s="116"/>
      <c r="N1608" s="117">
        <f>M1608-L1608</f>
      </c>
      <c r="O1608" s="112"/>
      <c r="P1608" s="118">
        <f>N1608+O1608</f>
      </c>
      <c r="Q1608" s="94" t="s">
        <v>85</v>
      </c>
      <c r="R1608" s="94" t="s">
        <v>63</v>
      </c>
      <c r="S1608" s="119">
        <v>46334</v>
      </c>
      <c r="T1608" s="119"/>
      <c r="U1608" s="119" t="s">
        <v>674</v>
      </c>
      <c r="V1608" s="94"/>
      <c r="W1608" s="94"/>
      <c r="X1608" s="94"/>
      <c r="Y1608" s="119">
        <v>46320</v>
      </c>
      <c r="Z1608" s="94"/>
      <c r="AA1608" s="120"/>
      <c r="AB1608" s="120"/>
      <c r="AC1608" s="120"/>
      <c r="AD1608" s="120"/>
      <c r="AE1608" s="120"/>
      <c r="AF1608" s="120"/>
      <c r="AG1608" s="94"/>
      <c r="AH1608" s="120"/>
      <c r="AI1608" s="94"/>
      <c r="AJ1608" s="94" t="s">
        <v>86</v>
      </c>
      <c r="AK1608" s="94" t="s">
        <v>66</v>
      </c>
      <c r="AL1608" s="94">
        <v>160</v>
      </c>
      <c r="AM1608" s="94" t="str">
        <f>TRIM(AJ1608)&amp;TRIM(AL1608)&amp;TRIM(AK1608)</f>
      </c>
      <c r="AN1608" s="116">
        <v>80520.24</v>
      </c>
      <c r="AO1608" s="116">
        <v>111130.73</v>
      </c>
      <c r="AP1608" s="116">
        <f>SUMIFS(M:M,AM:AM,AM1608)+SUMIFS(O:O,AM:AM,AM1608)</f>
      </c>
      <c r="AQ1608" s="116">
        <f>SUMIFS(L:L,AM:AM,AM1608)</f>
      </c>
      <c r="AR1608" s="116">
        <f>AQ1608-AP1608</f>
      </c>
      <c r="AS1608" s="94" t="str">
        <f>IF(AN1608&gt;=AQ1608,"ok","ck")</f>
      </c>
      <c r="AT1608" s="116">
        <f>-P1608</f>
      </c>
      <c r="AU1608" s="115">
        <f>IF(SUMIFS(AT:AT,AM:AM,AM1608)&gt;AO1608,(SUMIFS(AT:AT,AM:AM,AM1608)-AO1608))</f>
      </c>
      <c r="AV1608" s="116">
        <v>9703</v>
      </c>
      <c r="AW1608" s="121">
        <v>0.195</v>
      </c>
      <c r="AX1608" s="115">
        <f>AN1608-AP1608</f>
      </c>
    </row>
    <row r="1609" spans="1:50" ht="15" hidden="1" customHeight="1" x14ac:dyDescent="0.3">
      <c r="A1609" s="94" t="s">
        <v>82</v>
      </c>
      <c r="B1609" s="94"/>
      <c r="C1609" s="94"/>
      <c r="D1609" s="94"/>
      <c r="E1609" s="94"/>
      <c r="F1609" s="94"/>
      <c r="G1609" s="112">
        <f>AU1609</f>
      </c>
      <c r="H1609" s="113"/>
      <c r="I1609" s="94" t="s">
        <v>83</v>
      </c>
      <c r="J1609" s="94" t="s">
        <v>66</v>
      </c>
      <c r="K1609" s="114">
        <f>P1609/3</f>
      </c>
      <c r="L1609" s="115">
        <v>4000</v>
      </c>
      <c r="M1609" s="116"/>
      <c r="N1609" s="117">
        <f>M1609-L1609</f>
      </c>
      <c r="O1609" s="112"/>
      <c r="P1609" s="118">
        <f>N1609+O1609</f>
      </c>
      <c r="Q1609" s="94" t="s">
        <v>85</v>
      </c>
      <c r="R1609" s="94" t="s">
        <v>63</v>
      </c>
      <c r="S1609" s="119">
        <v>46335</v>
      </c>
      <c r="T1609" s="119"/>
      <c r="U1609" s="119" t="s">
        <v>674</v>
      </c>
      <c r="V1609" s="94"/>
      <c r="W1609" s="94"/>
      <c r="X1609" s="94"/>
      <c r="Y1609" s="119">
        <v>46320</v>
      </c>
      <c r="Z1609" s="94"/>
      <c r="AA1609" s="120"/>
      <c r="AB1609" s="120"/>
      <c r="AC1609" s="120"/>
      <c r="AD1609" s="120"/>
      <c r="AE1609" s="120"/>
      <c r="AF1609" s="120"/>
      <c r="AG1609" s="94"/>
      <c r="AH1609" s="120"/>
      <c r="AI1609" s="94"/>
      <c r="AJ1609" s="94" t="s">
        <v>86</v>
      </c>
      <c r="AK1609" s="94" t="s">
        <v>66</v>
      </c>
      <c r="AL1609" s="94">
        <v>160</v>
      </c>
      <c r="AM1609" s="94" t="str">
        <f>TRIM(AJ1609)&amp;TRIM(AL1609)&amp;TRIM(AK1609)</f>
      </c>
      <c r="AN1609" s="116">
        <v>80520.24</v>
      </c>
      <c r="AO1609" s="116">
        <v>111130.73</v>
      </c>
      <c r="AP1609" s="116">
        <f>SUMIFS(M:M,AM:AM,AM1609)+SUMIFS(O:O,AM:AM,AM1609)</f>
      </c>
      <c r="AQ1609" s="116">
        <f>SUMIFS(L:L,AM:AM,AM1609)</f>
      </c>
      <c r="AR1609" s="116">
        <f>AQ1609-AP1609</f>
      </c>
      <c r="AS1609" s="94" t="str">
        <f>IF(AN1609&gt;=AQ1609,"ok","ck")</f>
      </c>
      <c r="AT1609" s="116">
        <f>-P1609</f>
      </c>
      <c r="AU1609" s="115">
        <f>IF(SUMIFS(AT:AT,AM:AM,AM1609)&gt;AO1609,(SUMIFS(AT:AT,AM:AM,AM1609)-AO1609))</f>
      </c>
      <c r="AV1609" s="116">
        <v>9703</v>
      </c>
      <c r="AW1609" s="121">
        <v>0.195</v>
      </c>
      <c r="AX1609" s="115">
        <f>AN1609-AP1609</f>
      </c>
    </row>
    <row r="1610" spans="1:50" ht="15" hidden="1" customHeight="1" x14ac:dyDescent="0.3">
      <c r="A1610" s="94" t="s">
        <v>82</v>
      </c>
      <c r="B1610" s="94"/>
      <c r="C1610" s="94"/>
      <c r="D1610" s="94"/>
      <c r="E1610" s="94"/>
      <c r="F1610" s="94"/>
      <c r="G1610" s="112">
        <f>AU1610</f>
      </c>
      <c r="H1610" s="113"/>
      <c r="I1610" s="94" t="s">
        <v>83</v>
      </c>
      <c r="J1610" s="94" t="s">
        <v>66</v>
      </c>
      <c r="K1610" s="114">
        <f>P1610/3</f>
      </c>
      <c r="L1610" s="115">
        <v>4000</v>
      </c>
      <c r="M1610" s="116"/>
      <c r="N1610" s="117">
        <f>M1610-L1610</f>
      </c>
      <c r="O1610" s="112"/>
      <c r="P1610" s="118">
        <f>N1610+O1610</f>
      </c>
      <c r="Q1610" s="94" t="s">
        <v>85</v>
      </c>
      <c r="R1610" s="94" t="s">
        <v>63</v>
      </c>
      <c r="S1610" s="119">
        <v>46336</v>
      </c>
      <c r="T1610" s="119"/>
      <c r="U1610" s="119" t="s">
        <v>674</v>
      </c>
      <c r="V1610" s="94"/>
      <c r="W1610" s="94"/>
      <c r="X1610" s="94"/>
      <c r="Y1610" s="119">
        <v>46320</v>
      </c>
      <c r="Z1610" s="94"/>
      <c r="AA1610" s="120"/>
      <c r="AB1610" s="120"/>
      <c r="AC1610" s="120"/>
      <c r="AD1610" s="120"/>
      <c r="AE1610" s="120"/>
      <c r="AF1610" s="120"/>
      <c r="AG1610" s="94"/>
      <c r="AH1610" s="120"/>
      <c r="AI1610" s="94"/>
      <c r="AJ1610" s="94" t="s">
        <v>86</v>
      </c>
      <c r="AK1610" s="94" t="s">
        <v>66</v>
      </c>
      <c r="AL1610" s="94">
        <v>160</v>
      </c>
      <c r="AM1610" s="94" t="str">
        <f>TRIM(AJ1610)&amp;TRIM(AL1610)&amp;TRIM(AK1610)</f>
      </c>
      <c r="AN1610" s="116">
        <v>80520.24</v>
      </c>
      <c r="AO1610" s="116">
        <v>111130.73</v>
      </c>
      <c r="AP1610" s="116">
        <f>SUMIFS(M:M,AM:AM,AM1610)+SUMIFS(O:O,AM:AM,AM1610)</f>
      </c>
      <c r="AQ1610" s="116">
        <f>SUMIFS(L:L,AM:AM,AM1610)</f>
      </c>
      <c r="AR1610" s="116">
        <f>AQ1610-AP1610</f>
      </c>
      <c r="AS1610" s="94" t="str">
        <f>IF(AN1610&gt;=AQ1610,"ok","ck")</f>
      </c>
      <c r="AT1610" s="116">
        <f>-P1610</f>
      </c>
      <c r="AU1610" s="115">
        <f>IF(SUMIFS(AT:AT,AM:AM,AM1610)&gt;AO1610,(SUMIFS(AT:AT,AM:AM,AM1610)-AO1610))</f>
      </c>
      <c r="AV1610" s="116">
        <v>9703</v>
      </c>
      <c r="AW1610" s="121">
        <v>0.195</v>
      </c>
      <c r="AX1610" s="115">
        <f>AN1610-AP1610</f>
      </c>
    </row>
    <row r="1611" spans="1:50" ht="15" hidden="1" customHeight="1" x14ac:dyDescent="0.3">
      <c r="A1611" s="94" t="s">
        <v>82</v>
      </c>
      <c r="B1611" s="94"/>
      <c r="C1611" s="94"/>
      <c r="D1611" s="94"/>
      <c r="E1611" s="94"/>
      <c r="F1611" s="94"/>
      <c r="G1611" s="112">
        <f>AU1611</f>
      </c>
      <c r="H1611" s="113"/>
      <c r="I1611" s="94" t="s">
        <v>83</v>
      </c>
      <c r="J1611" s="94" t="s">
        <v>66</v>
      </c>
      <c r="K1611" s="114">
        <f>P1611/3</f>
      </c>
      <c r="L1611" s="115">
        <v>3000</v>
      </c>
      <c r="M1611" s="116"/>
      <c r="N1611" s="117">
        <f>M1611-L1611</f>
      </c>
      <c r="O1611" s="112"/>
      <c r="P1611" s="118">
        <f>N1611+O1611</f>
      </c>
      <c r="Q1611" s="94" t="s">
        <v>856</v>
      </c>
      <c r="R1611" s="94" t="s">
        <v>63</v>
      </c>
      <c r="S1611" s="119">
        <v>46341</v>
      </c>
      <c r="T1611" s="119"/>
      <c r="U1611" s="119" t="s">
        <v>675</v>
      </c>
      <c r="V1611" s="94"/>
      <c r="W1611" s="94"/>
      <c r="X1611" s="94"/>
      <c r="Y1611" s="119">
        <v>46336</v>
      </c>
      <c r="Z1611" s="94"/>
      <c r="AA1611" s="120"/>
      <c r="AB1611" s="120"/>
      <c r="AC1611" s="120"/>
      <c r="AD1611" s="120"/>
      <c r="AE1611" s="120"/>
      <c r="AF1611" s="120"/>
      <c r="AG1611" s="94"/>
      <c r="AH1611" s="120"/>
      <c r="AI1611" s="94"/>
      <c r="AJ1611" s="94" t="s">
        <v>808</v>
      </c>
      <c r="AK1611" s="94" t="s">
        <v>66</v>
      </c>
      <c r="AL1611" s="94">
        <v>160</v>
      </c>
      <c r="AM1611" s="94" t="str">
        <f>TRIM(AJ1611)&amp;TRIM(AL1611)&amp;TRIM(AK1611)</f>
      </c>
      <c r="AN1611" s="116">
        <v>0</v>
      </c>
      <c r="AO1611" s="116" t="inlineStr">
        <is>
          <t>#NA</t>
        </is>
      </c>
      <c r="AP1611" s="116">
        <f>SUMIFS(M:M,AM:AM,AM1611)+SUMIFS(O:O,AM:AM,AM1611)</f>
      </c>
      <c r="AQ1611" s="116">
        <f>SUMIFS(L:L,AM:AM,AM1611)</f>
      </c>
      <c r="AR1611" s="116">
        <f>AQ1611-AP1611</f>
      </c>
      <c r="AS1611" s="94" t="str">
        <f>IF(AN1611&gt;=AQ1611,"ok","ck")</f>
      </c>
      <c r="AT1611" s="116">
        <f>-P1611</f>
      </c>
      <c r="AU1611" s="115">
        <f>IF(SUMIFS(AT:AT,AM:AM,AM1611)&gt;AO1611,(SUMIFS(AT:AT,AM:AM,AM1611)-AO1611))</f>
      </c>
      <c r="AV1611" s="116">
        <v>0</v>
      </c>
      <c r="AW1611" s="121">
        <v>0</v>
      </c>
      <c r="AX1611" s="115">
        <f>AN1611-AP1611</f>
      </c>
    </row>
    <row r="1612" spans="1:50" ht="15" hidden="1" customHeight="1" x14ac:dyDescent="0.3">
      <c r="A1612" s="94" t="s">
        <v>82</v>
      </c>
      <c r="B1612" s="94"/>
      <c r="C1612" s="94"/>
      <c r="D1612" s="94"/>
      <c r="E1612" s="94"/>
      <c r="F1612" s="94"/>
      <c r="G1612" s="112">
        <f>AU1612</f>
      </c>
      <c r="H1612" s="113"/>
      <c r="I1612" s="94" t="s">
        <v>83</v>
      </c>
      <c r="J1612" s="94" t="s">
        <v>66</v>
      </c>
      <c r="K1612" s="114">
        <f>P1612/3</f>
      </c>
      <c r="L1612" s="115">
        <v>3000</v>
      </c>
      <c r="M1612" s="116"/>
      <c r="N1612" s="117">
        <f>M1612-L1612</f>
      </c>
      <c r="O1612" s="112"/>
      <c r="P1612" s="118">
        <f>N1612+O1612</f>
      </c>
      <c r="Q1612" s="94" t="s">
        <v>856</v>
      </c>
      <c r="R1612" s="94" t="s">
        <v>63</v>
      </c>
      <c r="S1612" s="119">
        <v>46342</v>
      </c>
      <c r="T1612" s="119"/>
      <c r="U1612" s="119" t="s">
        <v>675</v>
      </c>
      <c r="V1612" s="94"/>
      <c r="W1612" s="94"/>
      <c r="X1612" s="94"/>
      <c r="Y1612" s="119">
        <v>46336</v>
      </c>
      <c r="Z1612" s="94"/>
      <c r="AA1612" s="120"/>
      <c r="AB1612" s="120"/>
      <c r="AC1612" s="120"/>
      <c r="AD1612" s="120"/>
      <c r="AE1612" s="120"/>
      <c r="AF1612" s="120"/>
      <c r="AG1612" s="94"/>
      <c r="AH1612" s="120"/>
      <c r="AI1612" s="94"/>
      <c r="AJ1612" s="94" t="s">
        <v>808</v>
      </c>
      <c r="AK1612" s="94" t="s">
        <v>66</v>
      </c>
      <c r="AL1612" s="94">
        <v>160</v>
      </c>
      <c r="AM1612" s="94" t="str">
        <f>TRIM(AJ1612)&amp;TRIM(AL1612)&amp;TRIM(AK1612)</f>
      </c>
      <c r="AN1612" s="116">
        <v>0</v>
      </c>
      <c r="AO1612" s="116" t="inlineStr">
        <is>
          <t>#NA</t>
        </is>
      </c>
      <c r="AP1612" s="116">
        <f>SUMIFS(M:M,AM:AM,AM1612)+SUMIFS(O:O,AM:AM,AM1612)</f>
      </c>
      <c r="AQ1612" s="116">
        <f>SUMIFS(L:L,AM:AM,AM1612)</f>
      </c>
      <c r="AR1612" s="116">
        <f>AQ1612-AP1612</f>
      </c>
      <c r="AS1612" s="94" t="str">
        <f>IF(AN1612&gt;=AQ1612,"ok","ck")</f>
      </c>
      <c r="AT1612" s="116">
        <f>-P1612</f>
      </c>
      <c r="AU1612" s="115">
        <f>IF(SUMIFS(AT:AT,AM:AM,AM1612)&gt;AO1612,(SUMIFS(AT:AT,AM:AM,AM1612)-AO1612))</f>
      </c>
      <c r="AV1612" s="116">
        <v>0</v>
      </c>
      <c r="AW1612" s="121">
        <v>0</v>
      </c>
      <c r="AX1612" s="115">
        <f>AN1612-AP1612</f>
      </c>
    </row>
    <row r="1613" spans="1:50" ht="15" hidden="1" customHeight="1" x14ac:dyDescent="0.3">
      <c r="A1613" s="94" t="s">
        <v>82</v>
      </c>
      <c r="B1613" s="94"/>
      <c r="C1613" s="94"/>
      <c r="D1613" s="94"/>
      <c r="E1613" s="94"/>
      <c r="F1613" s="94"/>
      <c r="G1613" s="112">
        <f>AU1613</f>
      </c>
      <c r="H1613" s="113"/>
      <c r="I1613" s="94" t="s">
        <v>83</v>
      </c>
      <c r="J1613" s="94" t="s">
        <v>66</v>
      </c>
      <c r="K1613" s="114">
        <f>P1613/3</f>
      </c>
      <c r="L1613" s="115">
        <v>3000</v>
      </c>
      <c r="M1613" s="116"/>
      <c r="N1613" s="117">
        <f>M1613-L1613</f>
      </c>
      <c r="O1613" s="112"/>
      <c r="P1613" s="118">
        <f>N1613+O1613</f>
      </c>
      <c r="Q1613" s="94" t="s">
        <v>856</v>
      </c>
      <c r="R1613" s="94" t="s">
        <v>63</v>
      </c>
      <c r="S1613" s="119">
        <v>46343</v>
      </c>
      <c r="T1613" s="119"/>
      <c r="U1613" s="119" t="s">
        <v>675</v>
      </c>
      <c r="V1613" s="94"/>
      <c r="W1613" s="94"/>
      <c r="X1613" s="94"/>
      <c r="Y1613" s="119">
        <v>46336</v>
      </c>
      <c r="Z1613" s="94"/>
      <c r="AA1613" s="120"/>
      <c r="AB1613" s="120"/>
      <c r="AC1613" s="120"/>
      <c r="AD1613" s="120"/>
      <c r="AE1613" s="120"/>
      <c r="AF1613" s="120"/>
      <c r="AG1613" s="94"/>
      <c r="AH1613" s="120"/>
      <c r="AI1613" s="94"/>
      <c r="AJ1613" s="94" t="s">
        <v>808</v>
      </c>
      <c r="AK1613" s="94" t="s">
        <v>66</v>
      </c>
      <c r="AL1613" s="94">
        <v>160</v>
      </c>
      <c r="AM1613" s="94" t="str">
        <f>TRIM(AJ1613)&amp;TRIM(AL1613)&amp;TRIM(AK1613)</f>
      </c>
      <c r="AN1613" s="116">
        <v>0</v>
      </c>
      <c r="AO1613" s="116" t="inlineStr">
        <is>
          <t>#NA</t>
        </is>
      </c>
      <c r="AP1613" s="116">
        <f>SUMIFS(M:M,AM:AM,AM1613)+SUMIFS(O:O,AM:AM,AM1613)</f>
      </c>
      <c r="AQ1613" s="116">
        <f>SUMIFS(L:L,AM:AM,AM1613)</f>
      </c>
      <c r="AR1613" s="116">
        <f>AQ1613-AP1613</f>
      </c>
      <c r="AS1613" s="94" t="str">
        <f>IF(AN1613&gt;=AQ1613,"ok","ck")</f>
      </c>
      <c r="AT1613" s="116">
        <f>-P1613</f>
      </c>
      <c r="AU1613" s="115">
        <f>IF(SUMIFS(AT:AT,AM:AM,AM1613)&gt;AO1613,(SUMIFS(AT:AT,AM:AM,AM1613)-AO1613))</f>
      </c>
      <c r="AV1613" s="116">
        <v>0</v>
      </c>
      <c r="AW1613" s="121">
        <v>0</v>
      </c>
      <c r="AX1613" s="115">
        <f>AN1613-AP1613</f>
      </c>
    </row>
    <row r="1614" spans="1:50" ht="15" hidden="1" customHeight="1" x14ac:dyDescent="0.3">
      <c r="A1614" s="94" t="s">
        <v>82</v>
      </c>
      <c r="B1614" s="94"/>
      <c r="C1614" s="94"/>
      <c r="D1614" s="94"/>
      <c r="E1614" s="94"/>
      <c r="F1614" s="94"/>
      <c r="G1614" s="112">
        <f>AU1614</f>
      </c>
      <c r="H1614" s="113"/>
      <c r="I1614" s="94" t="s">
        <v>83</v>
      </c>
      <c r="J1614" s="94" t="s">
        <v>66</v>
      </c>
      <c r="K1614" s="114">
        <f>P1614/3</f>
      </c>
      <c r="L1614" s="115">
        <v>3000</v>
      </c>
      <c r="M1614" s="116"/>
      <c r="N1614" s="117">
        <f>M1614-L1614</f>
      </c>
      <c r="O1614" s="112"/>
      <c r="P1614" s="118">
        <f>N1614+O1614</f>
      </c>
      <c r="Q1614" s="94" t="s">
        <v>856</v>
      </c>
      <c r="R1614" s="94" t="s">
        <v>63</v>
      </c>
      <c r="S1614" s="119">
        <v>46344</v>
      </c>
      <c r="T1614" s="119"/>
      <c r="U1614" s="120" t="s">
        <v>675</v>
      </c>
      <c r="V1614" s="94"/>
      <c r="W1614" s="94"/>
      <c r="X1614" s="94"/>
      <c r="Y1614" s="119">
        <v>46336</v>
      </c>
      <c r="Z1614" s="94"/>
      <c r="AA1614" s="120"/>
      <c r="AB1614" s="120"/>
      <c r="AC1614" s="120"/>
      <c r="AD1614" s="120"/>
      <c r="AE1614" s="120"/>
      <c r="AF1614" s="120"/>
      <c r="AG1614" s="94"/>
      <c r="AH1614" s="120"/>
      <c r="AI1614" s="94"/>
      <c r="AJ1614" s="94" t="s">
        <v>808</v>
      </c>
      <c r="AK1614" s="94" t="s">
        <v>66</v>
      </c>
      <c r="AL1614" s="94">
        <v>160</v>
      </c>
      <c r="AM1614" s="94" t="str">
        <f>TRIM(AJ1614)&amp;TRIM(AL1614)&amp;TRIM(AK1614)</f>
      </c>
      <c r="AN1614" s="116">
        <v>0</v>
      </c>
      <c r="AO1614" s="116" t="inlineStr">
        <is>
          <t>#NA</t>
        </is>
      </c>
      <c r="AP1614" s="116">
        <f>SUMIFS(M:M,AM:AM,AM1614)+SUMIFS(O:O,AM:AM,AM1614)</f>
      </c>
      <c r="AQ1614" s="116">
        <f>SUMIFS(L:L,AM:AM,AM1614)</f>
      </c>
      <c r="AR1614" s="116">
        <f>AQ1614-AP1614</f>
      </c>
      <c r="AS1614" s="94" t="str">
        <f>IF(AN1614&gt;=AQ1614,"ok","ck")</f>
      </c>
      <c r="AT1614" s="116">
        <f>-P1614</f>
      </c>
      <c r="AU1614" s="115">
        <f>IF(SUMIFS(AT:AT,AM:AM,AM1614)&gt;AO1614,(SUMIFS(AT:AT,AM:AM,AM1614)-AO1614))</f>
      </c>
      <c r="AV1614" s="116">
        <v>0</v>
      </c>
      <c r="AW1614" s="121">
        <v>0</v>
      </c>
      <c r="AX1614" s="115">
        <f>AN1614-AP1614</f>
      </c>
    </row>
    <row r="1615" spans="1:50" ht="15" hidden="1" customHeight="1" x14ac:dyDescent="0.3">
      <c r="A1615" s="94" t="s">
        <v>82</v>
      </c>
      <c r="B1615" s="94"/>
      <c r="C1615" s="94"/>
      <c r="D1615" s="94"/>
      <c r="E1615" s="94"/>
      <c r="F1615" s="94"/>
      <c r="G1615" s="112">
        <f>AU1615</f>
      </c>
      <c r="H1615" s="113"/>
      <c r="I1615" s="94" t="s">
        <v>83</v>
      </c>
      <c r="J1615" s="94" t="s">
        <v>66</v>
      </c>
      <c r="K1615" s="114">
        <f>P1615/3</f>
      </c>
      <c r="L1615" s="115">
        <v>3000</v>
      </c>
      <c r="M1615" s="116"/>
      <c r="N1615" s="117">
        <f>M1615-L1615</f>
      </c>
      <c r="O1615" s="112"/>
      <c r="P1615" s="118">
        <f>N1615+O1615</f>
      </c>
      <c r="Q1615" s="94" t="s">
        <v>856</v>
      </c>
      <c r="R1615" s="94" t="s">
        <v>63</v>
      </c>
      <c r="S1615" s="119">
        <v>46345</v>
      </c>
      <c r="T1615" s="119"/>
      <c r="U1615" s="120" t="s">
        <v>675</v>
      </c>
      <c r="V1615" s="94"/>
      <c r="W1615" s="94"/>
      <c r="X1615" s="94"/>
      <c r="Y1615" s="119">
        <v>46336</v>
      </c>
      <c r="Z1615" s="94"/>
      <c r="AA1615" s="120"/>
      <c r="AB1615" s="120"/>
      <c r="AC1615" s="120"/>
      <c r="AD1615" s="120"/>
      <c r="AE1615" s="120"/>
      <c r="AF1615" s="120"/>
      <c r="AG1615" s="94"/>
      <c r="AH1615" s="120"/>
      <c r="AI1615" s="94"/>
      <c r="AJ1615" s="94" t="s">
        <v>808</v>
      </c>
      <c r="AK1615" s="94" t="s">
        <v>66</v>
      </c>
      <c r="AL1615" s="94">
        <v>160</v>
      </c>
      <c r="AM1615" s="94" t="str">
        <f>TRIM(AJ1615)&amp;TRIM(AL1615)&amp;TRIM(AK1615)</f>
      </c>
      <c r="AN1615" s="116">
        <v>0</v>
      </c>
      <c r="AO1615" s="116" t="inlineStr">
        <is>
          <t>#NA</t>
        </is>
      </c>
      <c r="AP1615" s="116">
        <f>SUMIFS(M:M,AM:AM,AM1615)+SUMIFS(O:O,AM:AM,AM1615)</f>
      </c>
      <c r="AQ1615" s="116">
        <f>SUMIFS(L:L,AM:AM,AM1615)</f>
      </c>
      <c r="AR1615" s="116">
        <f>AQ1615-AP1615</f>
      </c>
      <c r="AS1615" s="94" t="str">
        <f>IF(AN1615&gt;=AQ1615,"ok","ck")</f>
      </c>
      <c r="AT1615" s="116">
        <f>-P1615</f>
      </c>
      <c r="AU1615" s="115">
        <f>IF(SUMIFS(AT:AT,AM:AM,AM1615)&gt;AO1615,(SUMIFS(AT:AT,AM:AM,AM1615)-AO1615))</f>
      </c>
      <c r="AV1615" s="116">
        <v>0</v>
      </c>
      <c r="AW1615" s="121">
        <v>0</v>
      </c>
      <c r="AX1615" s="115">
        <f>AN1615-AP1615</f>
      </c>
    </row>
    <row r="1616" spans="1:50" ht="15" hidden="1" customHeight="1" x14ac:dyDescent="0.3">
      <c r="A1616" s="94" t="s">
        <v>82</v>
      </c>
      <c r="B1616" s="94"/>
      <c r="C1616" s="94"/>
      <c r="D1616" s="94"/>
      <c r="E1616" s="94"/>
      <c r="F1616" s="94"/>
      <c r="G1616" s="112">
        <f>AU1616</f>
      </c>
      <c r="H1616" s="113"/>
      <c r="I1616" s="94" t="s">
        <v>83</v>
      </c>
      <c r="J1616" s="94" t="s">
        <v>66</v>
      </c>
      <c r="K1616" s="114">
        <f>P1616/3</f>
      </c>
      <c r="L1616" s="115">
        <v>3000</v>
      </c>
      <c r="M1616" s="116"/>
      <c r="N1616" s="117">
        <f>M1616-L1616</f>
      </c>
      <c r="O1616" s="112"/>
      <c r="P1616" s="118">
        <f>N1616+O1616</f>
      </c>
      <c r="Q1616" s="94" t="s">
        <v>856</v>
      </c>
      <c r="R1616" s="94" t="s">
        <v>63</v>
      </c>
      <c r="S1616" s="119">
        <v>46346</v>
      </c>
      <c r="T1616" s="119"/>
      <c r="U1616" s="120" t="s">
        <v>675</v>
      </c>
      <c r="V1616" s="94"/>
      <c r="W1616" s="94"/>
      <c r="X1616" s="94"/>
      <c r="Y1616" s="119">
        <v>46336</v>
      </c>
      <c r="Z1616" s="94"/>
      <c r="AA1616" s="120"/>
      <c r="AB1616" s="120"/>
      <c r="AC1616" s="120"/>
      <c r="AD1616" s="120"/>
      <c r="AE1616" s="120"/>
      <c r="AF1616" s="120"/>
      <c r="AG1616" s="94"/>
      <c r="AH1616" s="120"/>
      <c r="AI1616" s="94"/>
      <c r="AJ1616" s="94" t="s">
        <v>808</v>
      </c>
      <c r="AK1616" s="94" t="s">
        <v>66</v>
      </c>
      <c r="AL1616" s="94">
        <v>160</v>
      </c>
      <c r="AM1616" s="94" t="str">
        <f>TRIM(AJ1616)&amp;TRIM(AL1616)&amp;TRIM(AK1616)</f>
      </c>
      <c r="AN1616" s="116">
        <v>0</v>
      </c>
      <c r="AO1616" s="116" t="inlineStr">
        <is>
          <t>#NA</t>
        </is>
      </c>
      <c r="AP1616" s="116">
        <f>SUMIFS(M:M,AM:AM,AM1616)+SUMIFS(O:O,AM:AM,AM1616)</f>
      </c>
      <c r="AQ1616" s="116">
        <f>SUMIFS(L:L,AM:AM,AM1616)</f>
      </c>
      <c r="AR1616" s="116">
        <f>AQ1616-AP1616</f>
      </c>
      <c r="AS1616" s="94" t="str">
        <f>IF(AN1616&gt;=AQ1616,"ok","ck")</f>
      </c>
      <c r="AT1616" s="116">
        <f>-P1616</f>
      </c>
      <c r="AU1616" s="115">
        <f>IF(SUMIFS(AT:AT,AM:AM,AM1616)&gt;AO1616,(SUMIFS(AT:AT,AM:AM,AM1616)-AO1616))</f>
      </c>
      <c r="AV1616" s="116">
        <v>0</v>
      </c>
      <c r="AW1616" s="121">
        <v>0</v>
      </c>
      <c r="AX1616" s="115">
        <f>AN1616-AP1616</f>
      </c>
    </row>
    <row r="1617" spans="1:50" ht="15" hidden="1" customHeight="1" x14ac:dyDescent="0.3">
      <c r="A1617" s="94" t="s">
        <v>82</v>
      </c>
      <c r="B1617" s="94"/>
      <c r="C1617" s="94"/>
      <c r="D1617" s="94"/>
      <c r="E1617" s="94"/>
      <c r="F1617" s="94"/>
      <c r="G1617" s="112">
        <f>AU1617</f>
      </c>
      <c r="H1617" s="113"/>
      <c r="I1617" s="94" t="s">
        <v>83</v>
      </c>
      <c r="J1617" s="94" t="s">
        <v>66</v>
      </c>
      <c r="K1617" s="114">
        <f>P1617/3</f>
      </c>
      <c r="L1617" s="115">
        <v>3000</v>
      </c>
      <c r="M1617" s="116"/>
      <c r="N1617" s="117">
        <f>M1617-L1617</f>
      </c>
      <c r="O1617" s="112"/>
      <c r="P1617" s="118">
        <f>N1617+O1617</f>
      </c>
      <c r="Q1617" s="94" t="s">
        <v>856</v>
      </c>
      <c r="R1617" s="94" t="s">
        <v>63</v>
      </c>
      <c r="S1617" s="119">
        <v>46347</v>
      </c>
      <c r="T1617" s="119"/>
      <c r="U1617" s="119" t="s">
        <v>675</v>
      </c>
      <c r="V1617" s="94"/>
      <c r="W1617" s="94"/>
      <c r="X1617" s="94"/>
      <c r="Y1617" s="119">
        <v>46338</v>
      </c>
      <c r="Z1617" s="94"/>
      <c r="AA1617" s="120"/>
      <c r="AB1617" s="120"/>
      <c r="AC1617" s="120"/>
      <c r="AD1617" s="120"/>
      <c r="AE1617" s="120"/>
      <c r="AF1617" s="120"/>
      <c r="AG1617" s="94"/>
      <c r="AH1617" s="120"/>
      <c r="AI1617" s="94"/>
      <c r="AJ1617" s="94" t="s">
        <v>808</v>
      </c>
      <c r="AK1617" s="94" t="s">
        <v>66</v>
      </c>
      <c r="AL1617" s="94">
        <v>160</v>
      </c>
      <c r="AM1617" s="94" t="str">
        <f>TRIM(AJ1617)&amp;TRIM(AL1617)&amp;TRIM(AK1617)</f>
      </c>
      <c r="AN1617" s="116">
        <v>0</v>
      </c>
      <c r="AO1617" s="116" t="inlineStr">
        <is>
          <t>#NA</t>
        </is>
      </c>
      <c r="AP1617" s="116">
        <f>SUMIFS(M:M,AM:AM,AM1617)+SUMIFS(O:O,AM:AM,AM1617)</f>
      </c>
      <c r="AQ1617" s="116">
        <f>SUMIFS(L:L,AM:AM,AM1617)</f>
      </c>
      <c r="AR1617" s="116">
        <f>AQ1617-AP1617</f>
      </c>
      <c r="AS1617" s="94" t="str">
        <f>IF(AN1617&gt;=AQ1617,"ok","ck")</f>
      </c>
      <c r="AT1617" s="116">
        <f>-P1617</f>
      </c>
      <c r="AU1617" s="115">
        <f>IF(SUMIFS(AT:AT,AM:AM,AM1617)&gt;AO1617,(SUMIFS(AT:AT,AM:AM,AM1617)-AO1617))</f>
      </c>
      <c r="AV1617" s="116">
        <v>0</v>
      </c>
      <c r="AW1617" s="121">
        <v>0</v>
      </c>
      <c r="AX1617" s="115">
        <f>AN1617-AP1617</f>
      </c>
    </row>
    <row r="1618" spans="1:50" ht="15" hidden="1" customHeight="1" x14ac:dyDescent="0.3">
      <c r="A1618" s="94" t="s">
        <v>82</v>
      </c>
      <c r="B1618" s="94"/>
      <c r="C1618" s="94"/>
      <c r="D1618" s="94"/>
      <c r="E1618" s="94"/>
      <c r="F1618" s="94"/>
      <c r="G1618" s="112">
        <f>AU1618</f>
      </c>
      <c r="H1618" s="113"/>
      <c r="I1618" s="94" t="s">
        <v>83</v>
      </c>
      <c r="J1618" s="94" t="s">
        <v>66</v>
      </c>
      <c r="K1618" s="114">
        <f>P1618/3</f>
      </c>
      <c r="L1618" s="115">
        <v>3000</v>
      </c>
      <c r="M1618" s="116"/>
      <c r="N1618" s="117">
        <f>M1618-L1618</f>
      </c>
      <c r="O1618" s="112"/>
      <c r="P1618" s="118">
        <f>N1618+O1618</f>
      </c>
      <c r="Q1618" s="94" t="s">
        <v>856</v>
      </c>
      <c r="R1618" s="94" t="s">
        <v>63</v>
      </c>
      <c r="S1618" s="119">
        <v>46348</v>
      </c>
      <c r="T1618" s="119"/>
      <c r="U1618" s="119" t="s">
        <v>675</v>
      </c>
      <c r="V1618" s="94"/>
      <c r="W1618" s="94"/>
      <c r="X1618" s="94"/>
      <c r="Y1618" s="119">
        <v>46338</v>
      </c>
      <c r="Z1618" s="94"/>
      <c r="AA1618" s="120"/>
      <c r="AB1618" s="120"/>
      <c r="AC1618" s="120"/>
      <c r="AD1618" s="120"/>
      <c r="AE1618" s="120"/>
      <c r="AF1618" s="120"/>
      <c r="AG1618" s="94"/>
      <c r="AH1618" s="120"/>
      <c r="AI1618" s="94"/>
      <c r="AJ1618" s="94" t="s">
        <v>808</v>
      </c>
      <c r="AK1618" s="94" t="s">
        <v>66</v>
      </c>
      <c r="AL1618" s="94">
        <v>160</v>
      </c>
      <c r="AM1618" s="94" t="str">
        <f>TRIM(AJ1618)&amp;TRIM(AL1618)&amp;TRIM(AK1618)</f>
      </c>
      <c r="AN1618" s="116">
        <v>0</v>
      </c>
      <c r="AO1618" s="116" t="inlineStr">
        <is>
          <t>#NA</t>
        </is>
      </c>
      <c r="AP1618" s="116">
        <f>SUMIFS(M:M,AM:AM,AM1618)+SUMIFS(O:O,AM:AM,AM1618)</f>
      </c>
      <c r="AQ1618" s="116">
        <f>SUMIFS(L:L,AM:AM,AM1618)</f>
      </c>
      <c r="AR1618" s="116">
        <f>AQ1618-AP1618</f>
      </c>
      <c r="AS1618" s="94" t="str">
        <f>IF(AN1618&gt;=AQ1618,"ok","ck")</f>
      </c>
      <c r="AT1618" s="116">
        <f>-P1618</f>
      </c>
      <c r="AU1618" s="115">
        <f>IF(SUMIFS(AT:AT,AM:AM,AM1618)&gt;AO1618,(SUMIFS(AT:AT,AM:AM,AM1618)-AO1618))</f>
      </c>
      <c r="AV1618" s="116">
        <v>0</v>
      </c>
      <c r="AW1618" s="121">
        <v>0</v>
      </c>
      <c r="AX1618" s="115">
        <f>AN1618-AP1618</f>
      </c>
    </row>
    <row r="1619" spans="1:50" ht="15" hidden="1" customHeight="1" x14ac:dyDescent="0.3">
      <c r="A1619" s="94" t="s">
        <v>82</v>
      </c>
      <c r="B1619" s="94"/>
      <c r="C1619" s="94"/>
      <c r="D1619" s="94"/>
      <c r="E1619" s="94"/>
      <c r="F1619" s="94"/>
      <c r="G1619" s="112">
        <f>AU1619</f>
      </c>
      <c r="H1619" s="113"/>
      <c r="I1619" s="94" t="s">
        <v>83</v>
      </c>
      <c r="J1619" s="94" t="s">
        <v>66</v>
      </c>
      <c r="K1619" s="114">
        <f>P1619/3</f>
      </c>
      <c r="L1619" s="115">
        <v>3000</v>
      </c>
      <c r="M1619" s="116"/>
      <c r="N1619" s="117">
        <f>M1619-L1619</f>
      </c>
      <c r="O1619" s="112"/>
      <c r="P1619" s="118">
        <f>N1619+O1619</f>
      </c>
      <c r="Q1619" s="94" t="s">
        <v>856</v>
      </c>
      <c r="R1619" s="94" t="s">
        <v>63</v>
      </c>
      <c r="S1619" s="119">
        <v>46349</v>
      </c>
      <c r="T1619" s="119"/>
      <c r="U1619" s="119" t="s">
        <v>675</v>
      </c>
      <c r="V1619" s="94"/>
      <c r="W1619" s="94"/>
      <c r="X1619" s="94"/>
      <c r="Y1619" s="119">
        <v>46338</v>
      </c>
      <c r="Z1619" s="94"/>
      <c r="AA1619" s="120"/>
      <c r="AB1619" s="120"/>
      <c r="AC1619" s="120"/>
      <c r="AD1619" s="120"/>
      <c r="AE1619" s="120"/>
      <c r="AF1619" s="120"/>
      <c r="AG1619" s="94"/>
      <c r="AH1619" s="120"/>
      <c r="AI1619" s="94"/>
      <c r="AJ1619" s="94" t="s">
        <v>808</v>
      </c>
      <c r="AK1619" s="94" t="s">
        <v>66</v>
      </c>
      <c r="AL1619" s="94">
        <v>160</v>
      </c>
      <c r="AM1619" s="94" t="str">
        <f>TRIM(AJ1619)&amp;TRIM(AL1619)&amp;TRIM(AK1619)</f>
      </c>
      <c r="AN1619" s="116">
        <v>0</v>
      </c>
      <c r="AO1619" s="116" t="inlineStr">
        <is>
          <t>#NA</t>
        </is>
      </c>
      <c r="AP1619" s="116">
        <f>SUMIFS(M:M,AM:AM,AM1619)+SUMIFS(O:O,AM:AM,AM1619)</f>
      </c>
      <c r="AQ1619" s="116">
        <f>SUMIFS(L:L,AM:AM,AM1619)</f>
      </c>
      <c r="AR1619" s="116">
        <f>AQ1619-AP1619</f>
      </c>
      <c r="AS1619" s="94" t="str">
        <f>IF(AN1619&gt;=AQ1619,"ok","ck")</f>
      </c>
      <c r="AT1619" s="116">
        <f>-P1619</f>
      </c>
      <c r="AU1619" s="115">
        <f>IF(SUMIFS(AT:AT,AM:AM,AM1619)&gt;AO1619,(SUMIFS(AT:AT,AM:AM,AM1619)-AO1619))</f>
      </c>
      <c r="AV1619" s="116">
        <v>0</v>
      </c>
      <c r="AW1619" s="121">
        <v>0</v>
      </c>
      <c r="AX1619" s="115">
        <f>AN1619-AP1619</f>
      </c>
    </row>
    <row r="1620" spans="1:50" ht="15" hidden="1" customHeight="1" x14ac:dyDescent="0.3">
      <c r="A1620" s="94" t="s">
        <v>82</v>
      </c>
      <c r="B1620" s="94"/>
      <c r="C1620" s="94"/>
      <c r="D1620" s="94"/>
      <c r="E1620" s="94"/>
      <c r="F1620" s="94"/>
      <c r="G1620" s="112">
        <f>AU1620</f>
      </c>
      <c r="H1620" s="113"/>
      <c r="I1620" s="94" t="s">
        <v>83</v>
      </c>
      <c r="J1620" s="94" t="s">
        <v>66</v>
      </c>
      <c r="K1620" s="114">
        <f>P1620/3</f>
      </c>
      <c r="L1620" s="115">
        <v>3000</v>
      </c>
      <c r="M1620" s="116"/>
      <c r="N1620" s="117">
        <f>M1620-L1620</f>
      </c>
      <c r="O1620" s="112"/>
      <c r="P1620" s="118">
        <f>N1620+O1620</f>
      </c>
      <c r="Q1620" s="94" t="s">
        <v>856</v>
      </c>
      <c r="R1620" s="94" t="s">
        <v>63</v>
      </c>
      <c r="S1620" s="119">
        <v>46350</v>
      </c>
      <c r="T1620" s="119"/>
      <c r="U1620" s="119" t="s">
        <v>675</v>
      </c>
      <c r="V1620" s="94"/>
      <c r="W1620" s="94"/>
      <c r="X1620" s="94"/>
      <c r="Y1620" s="119">
        <v>46338</v>
      </c>
      <c r="Z1620" s="94"/>
      <c r="AA1620" s="120"/>
      <c r="AB1620" s="120"/>
      <c r="AC1620" s="120"/>
      <c r="AD1620" s="120"/>
      <c r="AE1620" s="120"/>
      <c r="AF1620" s="120"/>
      <c r="AG1620" s="94"/>
      <c r="AH1620" s="120"/>
      <c r="AI1620" s="94"/>
      <c r="AJ1620" s="94" t="s">
        <v>808</v>
      </c>
      <c r="AK1620" s="94" t="s">
        <v>66</v>
      </c>
      <c r="AL1620" s="94">
        <v>160</v>
      </c>
      <c r="AM1620" s="94" t="str">
        <f>TRIM(AJ1620)&amp;TRIM(AL1620)&amp;TRIM(AK1620)</f>
      </c>
      <c r="AN1620" s="116">
        <v>0</v>
      </c>
      <c r="AO1620" s="116" t="inlineStr">
        <is>
          <t>#NA</t>
        </is>
      </c>
      <c r="AP1620" s="116">
        <f>SUMIFS(M:M,AM:AM,AM1620)+SUMIFS(O:O,AM:AM,AM1620)</f>
      </c>
      <c r="AQ1620" s="116">
        <f>SUMIFS(L:L,AM:AM,AM1620)</f>
      </c>
      <c r="AR1620" s="116">
        <f>AQ1620-AP1620</f>
      </c>
      <c r="AS1620" s="94" t="str">
        <f>IF(AN1620&gt;=AQ1620,"ok","ck")</f>
      </c>
      <c r="AT1620" s="116">
        <f>-P1620</f>
      </c>
      <c r="AU1620" s="115">
        <f>IF(SUMIFS(AT:AT,AM:AM,AM1620)&gt;AO1620,(SUMIFS(AT:AT,AM:AM,AM1620)-AO1620))</f>
      </c>
      <c r="AV1620" s="116">
        <v>0</v>
      </c>
      <c r="AW1620" s="121">
        <v>0</v>
      </c>
      <c r="AX1620" s="115">
        <f>AN1620-AP1620</f>
      </c>
    </row>
    <row r="1621" spans="1:50" ht="15" hidden="1" customHeight="1" x14ac:dyDescent="0.3">
      <c r="A1621" s="94" t="s">
        <v>82</v>
      </c>
      <c r="B1621" s="94"/>
      <c r="C1621" s="94"/>
      <c r="D1621" s="94"/>
      <c r="E1621" s="94"/>
      <c r="F1621" s="94"/>
      <c r="G1621" s="112">
        <f>AU1621</f>
      </c>
      <c r="H1621" s="113"/>
      <c r="I1621" s="94" t="s">
        <v>83</v>
      </c>
      <c r="J1621" s="94" t="s">
        <v>66</v>
      </c>
      <c r="K1621" s="114">
        <f>P1621/3</f>
      </c>
      <c r="L1621" s="115">
        <v>3000</v>
      </c>
      <c r="M1621" s="116"/>
      <c r="N1621" s="117">
        <f>M1621-L1621</f>
      </c>
      <c r="O1621" s="112"/>
      <c r="P1621" s="118">
        <f>N1621+O1621</f>
      </c>
      <c r="Q1621" s="94" t="s">
        <v>856</v>
      </c>
      <c r="R1621" s="94" t="s">
        <v>63</v>
      </c>
      <c r="S1621" s="119">
        <v>46351</v>
      </c>
      <c r="T1621" s="119"/>
      <c r="U1621" s="119" t="s">
        <v>675</v>
      </c>
      <c r="V1621" s="94"/>
      <c r="W1621" s="94"/>
      <c r="X1621" s="94"/>
      <c r="Y1621" s="119">
        <v>46334</v>
      </c>
      <c r="Z1621" s="94"/>
      <c r="AA1621" s="120"/>
      <c r="AB1621" s="120"/>
      <c r="AC1621" s="120"/>
      <c r="AD1621" s="120"/>
      <c r="AE1621" s="120"/>
      <c r="AF1621" s="120"/>
      <c r="AG1621" s="94"/>
      <c r="AH1621" s="120"/>
      <c r="AI1621" s="94"/>
      <c r="AJ1621" s="94" t="s">
        <v>808</v>
      </c>
      <c r="AK1621" s="94" t="s">
        <v>66</v>
      </c>
      <c r="AL1621" s="94">
        <v>160</v>
      </c>
      <c r="AM1621" s="94" t="str">
        <f>TRIM(AJ1621)&amp;TRIM(AL1621)&amp;TRIM(AK1621)</f>
      </c>
      <c r="AN1621" s="116">
        <v>0</v>
      </c>
      <c r="AO1621" s="116" t="inlineStr">
        <is>
          <t>#NA</t>
        </is>
      </c>
      <c r="AP1621" s="116">
        <f>SUMIFS(M:M,AM:AM,AM1621)+SUMIFS(O:O,AM:AM,AM1621)</f>
      </c>
      <c r="AQ1621" s="116">
        <f>SUMIFS(L:L,AM:AM,AM1621)</f>
      </c>
      <c r="AR1621" s="116">
        <f>AQ1621-AP1621</f>
      </c>
      <c r="AS1621" s="94" t="str">
        <f>IF(AN1621&gt;=AQ1621,"ok","ck")</f>
      </c>
      <c r="AT1621" s="116">
        <f>-P1621</f>
      </c>
      <c r="AU1621" s="115">
        <f>IF(SUMIFS(AT:AT,AM:AM,AM1621)&gt;AO1621,(SUMIFS(AT:AT,AM:AM,AM1621)-AO1621))</f>
      </c>
      <c r="AV1621" s="116">
        <v>0</v>
      </c>
      <c r="AW1621" s="121">
        <v>0</v>
      </c>
      <c r="AX1621" s="115">
        <f>AN1621-AP1621</f>
      </c>
    </row>
    <row r="1622" spans="1:50" ht="15" hidden="1" customHeight="1" x14ac:dyDescent="0.3">
      <c r="A1622" s="94" t="s">
        <v>82</v>
      </c>
      <c r="B1622" s="94"/>
      <c r="C1622" s="94"/>
      <c r="D1622" s="94"/>
      <c r="E1622" s="94"/>
      <c r="F1622" s="94"/>
      <c r="G1622" s="112">
        <f>AU1622</f>
      </c>
      <c r="H1622" s="113"/>
      <c r="I1622" s="94" t="s">
        <v>83</v>
      </c>
      <c r="J1622" s="94" t="s">
        <v>66</v>
      </c>
      <c r="K1622" s="114">
        <f>P1622/3</f>
      </c>
      <c r="L1622" s="115">
        <v>3000</v>
      </c>
      <c r="M1622" s="116"/>
      <c r="N1622" s="117">
        <f>M1622-L1622</f>
      </c>
      <c r="O1622" s="112"/>
      <c r="P1622" s="118">
        <f>N1622+O1622</f>
      </c>
      <c r="Q1622" s="94" t="s">
        <v>856</v>
      </c>
      <c r="R1622" s="94" t="s">
        <v>63</v>
      </c>
      <c r="S1622" s="119">
        <v>46352</v>
      </c>
      <c r="T1622" s="119"/>
      <c r="U1622" s="119" t="s">
        <v>675</v>
      </c>
      <c r="V1622" s="94"/>
      <c r="W1622" s="94"/>
      <c r="X1622" s="94"/>
      <c r="Y1622" s="119">
        <v>46334</v>
      </c>
      <c r="Z1622" s="94"/>
      <c r="AA1622" s="120"/>
      <c r="AB1622" s="120"/>
      <c r="AC1622" s="120"/>
      <c r="AD1622" s="120"/>
      <c r="AE1622" s="120"/>
      <c r="AF1622" s="120"/>
      <c r="AG1622" s="94"/>
      <c r="AH1622" s="120"/>
      <c r="AI1622" s="94"/>
      <c r="AJ1622" s="94" t="s">
        <v>808</v>
      </c>
      <c r="AK1622" s="94" t="s">
        <v>66</v>
      </c>
      <c r="AL1622" s="94">
        <v>160</v>
      </c>
      <c r="AM1622" s="94" t="str">
        <f>TRIM(AJ1622)&amp;TRIM(AL1622)&amp;TRIM(AK1622)</f>
      </c>
      <c r="AN1622" s="116">
        <v>0</v>
      </c>
      <c r="AO1622" s="116" t="inlineStr">
        <is>
          <t>#NA</t>
        </is>
      </c>
      <c r="AP1622" s="116">
        <f>SUMIFS(M:M,AM:AM,AM1622)+SUMIFS(O:O,AM:AM,AM1622)</f>
      </c>
      <c r="AQ1622" s="116">
        <f>SUMIFS(L:L,AM:AM,AM1622)</f>
      </c>
      <c r="AR1622" s="116">
        <f>AQ1622-AP1622</f>
      </c>
      <c r="AS1622" s="94" t="str">
        <f>IF(AN1622&gt;=AQ1622,"ok","ck")</f>
      </c>
      <c r="AT1622" s="116">
        <f>-P1622</f>
      </c>
      <c r="AU1622" s="115">
        <f>IF(SUMIFS(AT:AT,AM:AM,AM1622)&gt;AO1622,(SUMIFS(AT:AT,AM:AM,AM1622)-AO1622))</f>
      </c>
      <c r="AV1622" s="116">
        <v>0</v>
      </c>
      <c r="AW1622" s="121">
        <v>0</v>
      </c>
      <c r="AX1622" s="115">
        <f>AN1622-AP1622</f>
      </c>
    </row>
    <row r="1623" spans="1:50" ht="15" hidden="1" customHeight="1" x14ac:dyDescent="0.3">
      <c r="A1623" s="94" t="s">
        <v>82</v>
      </c>
      <c r="B1623" s="94"/>
      <c r="C1623" s="94"/>
      <c r="D1623" s="94"/>
      <c r="E1623" s="94"/>
      <c r="F1623" s="94"/>
      <c r="G1623" s="112">
        <f>AU1623</f>
      </c>
      <c r="H1623" s="113"/>
      <c r="I1623" s="94" t="s">
        <v>83</v>
      </c>
      <c r="J1623" s="94" t="s">
        <v>66</v>
      </c>
      <c r="K1623" s="114">
        <f>P1623/3</f>
      </c>
      <c r="L1623" s="115">
        <v>3000</v>
      </c>
      <c r="M1623" s="116"/>
      <c r="N1623" s="117">
        <f>M1623-L1623</f>
      </c>
      <c r="O1623" s="112"/>
      <c r="P1623" s="118">
        <f>N1623+O1623</f>
      </c>
      <c r="Q1623" s="94" t="s">
        <v>856</v>
      </c>
      <c r="R1623" s="94" t="s">
        <v>63</v>
      </c>
      <c r="S1623" s="119">
        <v>46353</v>
      </c>
      <c r="T1623" s="119"/>
      <c r="U1623" s="119" t="s">
        <v>675</v>
      </c>
      <c r="V1623" s="94"/>
      <c r="W1623" s="94"/>
      <c r="X1623" s="94"/>
      <c r="Y1623" s="119">
        <v>46334</v>
      </c>
      <c r="Z1623" s="94"/>
      <c r="AA1623" s="120"/>
      <c r="AB1623" s="120"/>
      <c r="AC1623" s="120"/>
      <c r="AD1623" s="120"/>
      <c r="AE1623" s="120"/>
      <c r="AF1623" s="120"/>
      <c r="AG1623" s="94"/>
      <c r="AH1623" s="120"/>
      <c r="AI1623" s="94"/>
      <c r="AJ1623" s="94" t="s">
        <v>808</v>
      </c>
      <c r="AK1623" s="94" t="s">
        <v>66</v>
      </c>
      <c r="AL1623" s="94">
        <v>160</v>
      </c>
      <c r="AM1623" s="94" t="str">
        <f>TRIM(AJ1623)&amp;TRIM(AL1623)&amp;TRIM(AK1623)</f>
      </c>
      <c r="AN1623" s="116">
        <v>0</v>
      </c>
      <c r="AO1623" s="116" t="inlineStr">
        <is>
          <t>#NA</t>
        </is>
      </c>
      <c r="AP1623" s="116">
        <f>SUMIFS(M:M,AM:AM,AM1623)+SUMIFS(O:O,AM:AM,AM1623)</f>
      </c>
      <c r="AQ1623" s="116">
        <f>SUMIFS(L:L,AM:AM,AM1623)</f>
      </c>
      <c r="AR1623" s="116">
        <f>AQ1623-AP1623</f>
      </c>
      <c r="AS1623" s="94" t="str">
        <f>IF(AN1623&gt;=AQ1623,"ok","ck")</f>
      </c>
      <c r="AT1623" s="116">
        <f>-P1623</f>
      </c>
      <c r="AU1623" s="115">
        <f>IF(SUMIFS(AT:AT,AM:AM,AM1623)&gt;AO1623,(SUMIFS(AT:AT,AM:AM,AM1623)-AO1623))</f>
      </c>
      <c r="AV1623" s="116">
        <v>0</v>
      </c>
      <c r="AW1623" s="121">
        <v>0</v>
      </c>
      <c r="AX1623" s="115">
        <f>AN1623-AP1623</f>
      </c>
    </row>
    <row r="1624" spans="1:50" ht="15" hidden="1" customHeight="1" x14ac:dyDescent="0.3">
      <c r="A1624" s="94" t="s">
        <v>82</v>
      </c>
      <c r="B1624" s="94"/>
      <c r="C1624" s="94"/>
      <c r="D1624" s="94"/>
      <c r="E1624" s="94"/>
      <c r="F1624" s="94"/>
      <c r="G1624" s="112">
        <f>AU1624</f>
      </c>
      <c r="H1624" s="113"/>
      <c r="I1624" s="94" t="s">
        <v>83</v>
      </c>
      <c r="J1624" s="94" t="s">
        <v>66</v>
      </c>
      <c r="K1624" s="114">
        <f>P1624/3</f>
      </c>
      <c r="L1624" s="115">
        <v>3000</v>
      </c>
      <c r="M1624" s="116"/>
      <c r="N1624" s="117">
        <f>M1624-L1624</f>
      </c>
      <c r="O1624" s="112"/>
      <c r="P1624" s="118">
        <f>N1624+O1624</f>
      </c>
      <c r="Q1624" s="94" t="s">
        <v>856</v>
      </c>
      <c r="R1624" s="94" t="s">
        <v>63</v>
      </c>
      <c r="S1624" s="119">
        <v>46354</v>
      </c>
      <c r="T1624" s="119"/>
      <c r="U1624" s="119" t="s">
        <v>675</v>
      </c>
      <c r="V1624" s="94"/>
      <c r="W1624" s="94"/>
      <c r="X1624" s="94"/>
      <c r="Y1624" s="119">
        <v>46334</v>
      </c>
      <c r="Z1624" s="94"/>
      <c r="AA1624" s="120"/>
      <c r="AB1624" s="120"/>
      <c r="AC1624" s="120"/>
      <c r="AD1624" s="120"/>
      <c r="AE1624" s="120"/>
      <c r="AF1624" s="120"/>
      <c r="AG1624" s="94"/>
      <c r="AH1624" s="120"/>
      <c r="AI1624" s="94"/>
      <c r="AJ1624" s="94" t="s">
        <v>808</v>
      </c>
      <c r="AK1624" s="94" t="s">
        <v>66</v>
      </c>
      <c r="AL1624" s="94">
        <v>160</v>
      </c>
      <c r="AM1624" s="94" t="str">
        <f>TRIM(AJ1624)&amp;TRIM(AL1624)&amp;TRIM(AK1624)</f>
      </c>
      <c r="AN1624" s="116">
        <v>0</v>
      </c>
      <c r="AO1624" s="116" t="inlineStr">
        <is>
          <t>#NA</t>
        </is>
      </c>
      <c r="AP1624" s="116">
        <f>SUMIFS(M:M,AM:AM,AM1624)+SUMIFS(O:O,AM:AM,AM1624)</f>
      </c>
      <c r="AQ1624" s="116">
        <f>SUMIFS(L:L,AM:AM,AM1624)</f>
      </c>
      <c r="AR1624" s="116">
        <f>AQ1624-AP1624</f>
      </c>
      <c r="AS1624" s="94" t="str">
        <f>IF(AN1624&gt;=AQ1624,"ok","ck")</f>
      </c>
      <c r="AT1624" s="116">
        <f>-P1624</f>
      </c>
      <c r="AU1624" s="115">
        <f>IF(SUMIFS(AT:AT,AM:AM,AM1624)&gt;AO1624,(SUMIFS(AT:AT,AM:AM,AM1624)-AO1624))</f>
      </c>
      <c r="AV1624" s="116">
        <v>0</v>
      </c>
      <c r="AW1624" s="121">
        <v>0</v>
      </c>
      <c r="AX1624" s="115">
        <f>AN1624-AP1624</f>
      </c>
    </row>
    <row r="1625" spans="1:50" ht="15" hidden="1" customHeight="1" x14ac:dyDescent="0.3">
      <c r="A1625" s="94" t="s">
        <v>82</v>
      </c>
      <c r="B1625" s="94"/>
      <c r="C1625" s="94"/>
      <c r="D1625" s="94"/>
      <c r="E1625" s="94"/>
      <c r="F1625" s="94"/>
      <c r="G1625" s="112">
        <f>AU1625</f>
      </c>
      <c r="H1625" s="113"/>
      <c r="I1625" s="94" t="s">
        <v>83</v>
      </c>
      <c r="J1625" s="94" t="s">
        <v>66</v>
      </c>
      <c r="K1625" s="114">
        <f>P1625/3</f>
      </c>
      <c r="L1625" s="115">
        <v>1706.2429999999999</v>
      </c>
      <c r="M1625" s="116"/>
      <c r="N1625" s="117">
        <f>M1625-L1625</f>
      </c>
      <c r="O1625" s="112"/>
      <c r="P1625" s="118">
        <f>N1625+O1625</f>
      </c>
      <c r="Q1625" s="94" t="s">
        <v>856</v>
      </c>
      <c r="R1625" s="94" t="s">
        <v>63</v>
      </c>
      <c r="S1625" s="119">
        <v>46355</v>
      </c>
      <c r="T1625" s="119"/>
      <c r="U1625" s="119" t="s">
        <v>675</v>
      </c>
      <c r="V1625" s="94"/>
      <c r="W1625" s="94"/>
      <c r="X1625" s="94"/>
      <c r="Y1625" s="119">
        <v>46334</v>
      </c>
      <c r="Z1625" s="94"/>
      <c r="AA1625" s="120"/>
      <c r="AB1625" s="120"/>
      <c r="AC1625" s="120"/>
      <c r="AD1625" s="120"/>
      <c r="AE1625" s="120"/>
      <c r="AF1625" s="120"/>
      <c r="AG1625" s="94"/>
      <c r="AH1625" s="120"/>
      <c r="AI1625" s="94"/>
      <c r="AJ1625" s="94" t="s">
        <v>808</v>
      </c>
      <c r="AK1625" s="94" t="s">
        <v>66</v>
      </c>
      <c r="AL1625" s="94">
        <v>160</v>
      </c>
      <c r="AM1625" s="94" t="str">
        <f>TRIM(AJ1625)&amp;TRIM(AL1625)&amp;TRIM(AK1625)</f>
      </c>
      <c r="AN1625" s="116">
        <v>0</v>
      </c>
      <c r="AO1625" s="116" t="inlineStr">
        <is>
          <t>#NA</t>
        </is>
      </c>
      <c r="AP1625" s="116">
        <f>SUMIFS(M:M,AM:AM,AM1625)+SUMIFS(O:O,AM:AM,AM1625)</f>
      </c>
      <c r="AQ1625" s="116">
        <f>SUMIFS(L:L,AM:AM,AM1625)</f>
      </c>
      <c r="AR1625" s="116">
        <f>AQ1625-AP1625</f>
      </c>
      <c r="AS1625" s="94" t="str">
        <f>IF(AN1625&gt;=AQ1625,"ok","ck")</f>
      </c>
      <c r="AT1625" s="116">
        <f>-P1625</f>
      </c>
      <c r="AU1625" s="115">
        <f>IF(SUMIFS(AT:AT,AM:AM,AM1625)&gt;AO1625,(SUMIFS(AT:AT,AM:AM,AM1625)-AO1625))</f>
      </c>
      <c r="AV1625" s="116">
        <v>0</v>
      </c>
      <c r="AW1625" s="121">
        <v>0</v>
      </c>
      <c r="AX1625" s="115">
        <f>AN1625-AP1625</f>
      </c>
    </row>
    <row r="1626" spans="1:50" ht="15" hidden="1" customHeight="1" x14ac:dyDescent="0.3">
      <c r="A1626" s="94" t="s">
        <v>82</v>
      </c>
      <c r="B1626" s="94"/>
      <c r="C1626" s="94"/>
      <c r="D1626" s="94"/>
      <c r="E1626" s="94"/>
      <c r="F1626" s="94"/>
      <c r="G1626" s="112">
        <f>AU1626</f>
      </c>
      <c r="H1626" s="113"/>
      <c r="I1626" s="94" t="s">
        <v>83</v>
      </c>
      <c r="J1626" s="94" t="s">
        <v>88</v>
      </c>
      <c r="K1626" s="114">
        <f>P1626/3</f>
      </c>
      <c r="L1626" s="115">
        <v>3000</v>
      </c>
      <c r="M1626" s="116"/>
      <c r="N1626" s="117">
        <f>M1626-L1626</f>
      </c>
      <c r="O1626" s="112"/>
      <c r="P1626" s="118">
        <f>N1626+O1626</f>
      </c>
      <c r="Q1626" s="94" t="s">
        <v>85</v>
      </c>
      <c r="R1626" s="94" t="s">
        <v>63</v>
      </c>
      <c r="S1626" s="119">
        <v>46336</v>
      </c>
      <c r="T1626" s="119"/>
      <c r="U1626" s="119" t="s">
        <v>673</v>
      </c>
      <c r="V1626" s="94"/>
      <c r="W1626" s="94"/>
      <c r="X1626" s="94"/>
      <c r="Y1626" s="119">
        <v>46320</v>
      </c>
      <c r="Z1626" s="94"/>
      <c r="AA1626" s="120"/>
      <c r="AB1626" s="120"/>
      <c r="AC1626" s="120"/>
      <c r="AD1626" s="120"/>
      <c r="AE1626" s="120"/>
      <c r="AF1626" s="120"/>
      <c r="AG1626" s="94"/>
      <c r="AH1626" s="120"/>
      <c r="AI1626" s="94"/>
      <c r="AJ1626" s="94" t="s">
        <v>86</v>
      </c>
      <c r="AK1626" s="94" t="s">
        <v>89</v>
      </c>
      <c r="AL1626" s="94">
        <v>160</v>
      </c>
      <c r="AM1626" s="94" t="str">
        <f>TRIM(AJ1626)&amp;TRIM(AL1626)&amp;TRIM(AK1626)</f>
      </c>
      <c r="AN1626" s="116">
        <v>13076.44</v>
      </c>
      <c r="AO1626" s="116">
        <v>21593.56</v>
      </c>
      <c r="AP1626" s="116">
        <f>SUMIFS(M:M,AM:AM,AM1626)+SUMIFS(O:O,AM:AM,AM1626)</f>
      </c>
      <c r="AQ1626" s="116">
        <f>SUMIFS(L:L,AM:AM,AM1626)</f>
      </c>
      <c r="AR1626" s="116">
        <f>AQ1626-AP1626</f>
      </c>
      <c r="AS1626" s="94" t="str">
        <f>IF(AN1626&gt;=AQ1626,"ok","ck")</f>
      </c>
      <c r="AT1626" s="116">
        <f>-P1626</f>
      </c>
      <c r="AU1626" s="115">
        <f>IF(SUMIFS(AT:AT,AM:AM,AM1626)&gt;AO1626,(SUMIFS(AT:AT,AM:AM,AM1626)-AO1626))</f>
      </c>
      <c r="AV1626" s="116">
        <v>13076.44</v>
      </c>
      <c r="AW1626" s="121">
        <v>0.377</v>
      </c>
      <c r="AX1626" s="115">
        <f>AN1626-AP1626</f>
      </c>
    </row>
    <row r="1627" spans="1:50" ht="15" hidden="1" customHeight="1" x14ac:dyDescent="0.3">
      <c r="A1627" s="94" t="s">
        <v>82</v>
      </c>
      <c r="B1627" s="94"/>
      <c r="C1627" s="94"/>
      <c r="D1627" s="94"/>
      <c r="E1627" s="94"/>
      <c r="F1627" s="94"/>
      <c r="G1627" s="112">
        <f>AU1627</f>
      </c>
      <c r="H1627" s="113"/>
      <c r="I1627" s="94" t="s">
        <v>83</v>
      </c>
      <c r="J1627" s="94" t="s">
        <v>88</v>
      </c>
      <c r="K1627" s="114">
        <f>P1627/3</f>
      </c>
      <c r="L1627" s="115">
        <v>3000</v>
      </c>
      <c r="M1627" s="116"/>
      <c r="N1627" s="117">
        <f>M1627-L1627</f>
      </c>
      <c r="O1627" s="112"/>
      <c r="P1627" s="118">
        <f>N1627+O1627</f>
      </c>
      <c r="Q1627" s="94" t="s">
        <v>85</v>
      </c>
      <c r="R1627" s="94" t="s">
        <v>63</v>
      </c>
      <c r="S1627" s="119">
        <v>46337</v>
      </c>
      <c r="T1627" s="119"/>
      <c r="U1627" s="119" t="s">
        <v>673</v>
      </c>
      <c r="V1627" s="94"/>
      <c r="W1627" s="94"/>
      <c r="X1627" s="94"/>
      <c r="Y1627" s="119">
        <v>46328</v>
      </c>
      <c r="Z1627" s="94"/>
      <c r="AA1627" s="120"/>
      <c r="AB1627" s="120"/>
      <c r="AC1627" s="120"/>
      <c r="AD1627" s="120"/>
      <c r="AE1627" s="120"/>
      <c r="AF1627" s="120"/>
      <c r="AG1627" s="94"/>
      <c r="AH1627" s="120"/>
      <c r="AI1627" s="94"/>
      <c r="AJ1627" s="94" t="s">
        <v>86</v>
      </c>
      <c r="AK1627" s="94" t="s">
        <v>89</v>
      </c>
      <c r="AL1627" s="94">
        <v>160</v>
      </c>
      <c r="AM1627" s="94" t="str">
        <f>TRIM(AJ1627)&amp;TRIM(AL1627)&amp;TRIM(AK1627)</f>
      </c>
      <c r="AN1627" s="116">
        <v>13076.44</v>
      </c>
      <c r="AO1627" s="116">
        <v>21593.56</v>
      </c>
      <c r="AP1627" s="116">
        <f>SUMIFS(M:M,AM:AM,AM1627)+SUMIFS(O:O,AM:AM,AM1627)</f>
      </c>
      <c r="AQ1627" s="116">
        <f>SUMIFS(L:L,AM:AM,AM1627)</f>
      </c>
      <c r="AR1627" s="116">
        <f>AQ1627-AP1627</f>
      </c>
      <c r="AS1627" s="94" t="str">
        <f>IF(AN1627&gt;=AQ1627,"ok","ck")</f>
      </c>
      <c r="AT1627" s="116">
        <f>-P1627</f>
      </c>
      <c r="AU1627" s="115">
        <f>IF(SUMIFS(AT:AT,AM:AM,AM1627)&gt;AO1627,(SUMIFS(AT:AT,AM:AM,AM1627)-AO1627))</f>
      </c>
      <c r="AV1627" s="116">
        <v>13076.44</v>
      </c>
      <c r="AW1627" s="121">
        <v>0.377</v>
      </c>
      <c r="AX1627" s="115">
        <f>AN1627-AP1627</f>
      </c>
    </row>
    <row r="1628" spans="1:50" ht="15" hidden="1" customHeight="1" x14ac:dyDescent="0.3">
      <c r="A1628" s="94" t="s">
        <v>82</v>
      </c>
      <c r="B1628" s="94"/>
      <c r="C1628" s="94"/>
      <c r="D1628" s="94"/>
      <c r="E1628" s="94"/>
      <c r="F1628" s="94"/>
      <c r="G1628" s="112">
        <f>AU1628</f>
      </c>
      <c r="H1628" s="113"/>
      <c r="I1628" s="94" t="s">
        <v>83</v>
      </c>
      <c r="J1628" s="94" t="s">
        <v>88</v>
      </c>
      <c r="K1628" s="114">
        <f>P1628/3</f>
      </c>
      <c r="L1628" s="115">
        <v>3000</v>
      </c>
      <c r="M1628" s="116"/>
      <c r="N1628" s="117">
        <f>M1628-L1628</f>
      </c>
      <c r="O1628" s="112"/>
      <c r="P1628" s="118">
        <f>N1628+O1628</f>
      </c>
      <c r="Q1628" s="94" t="s">
        <v>85</v>
      </c>
      <c r="R1628" s="94" t="s">
        <v>63</v>
      </c>
      <c r="S1628" s="119">
        <v>46338</v>
      </c>
      <c r="T1628" s="119"/>
      <c r="U1628" s="119" t="s">
        <v>673</v>
      </c>
      <c r="V1628" s="94"/>
      <c r="W1628" s="94"/>
      <c r="X1628" s="94"/>
      <c r="Y1628" s="119">
        <v>46328</v>
      </c>
      <c r="Z1628" s="94"/>
      <c r="AA1628" s="120"/>
      <c r="AB1628" s="120"/>
      <c r="AC1628" s="120"/>
      <c r="AD1628" s="120"/>
      <c r="AE1628" s="120"/>
      <c r="AF1628" s="120"/>
      <c r="AG1628" s="94"/>
      <c r="AH1628" s="120"/>
      <c r="AI1628" s="94"/>
      <c r="AJ1628" s="94" t="s">
        <v>86</v>
      </c>
      <c r="AK1628" s="94" t="s">
        <v>89</v>
      </c>
      <c r="AL1628" s="94">
        <v>160</v>
      </c>
      <c r="AM1628" s="94" t="str">
        <f>TRIM(AJ1628)&amp;TRIM(AL1628)&amp;TRIM(AK1628)</f>
      </c>
      <c r="AN1628" s="116">
        <v>13076.44</v>
      </c>
      <c r="AO1628" s="116">
        <v>21593.56</v>
      </c>
      <c r="AP1628" s="116">
        <f>SUMIFS(M:M,AM:AM,AM1628)+SUMIFS(O:O,AM:AM,AM1628)</f>
      </c>
      <c r="AQ1628" s="116">
        <f>SUMIFS(L:L,AM:AM,AM1628)</f>
      </c>
      <c r="AR1628" s="116">
        <f>AQ1628-AP1628</f>
      </c>
      <c r="AS1628" s="94" t="str">
        <f>IF(AN1628&gt;=AQ1628,"ok","ck")</f>
      </c>
      <c r="AT1628" s="116">
        <f>-P1628</f>
      </c>
      <c r="AU1628" s="115">
        <f>IF(SUMIFS(AT:AT,AM:AM,AM1628)&gt;AO1628,(SUMIFS(AT:AT,AM:AM,AM1628)-AO1628))</f>
      </c>
      <c r="AV1628" s="116">
        <v>13076.44</v>
      </c>
      <c r="AW1628" s="121">
        <v>0.377</v>
      </c>
      <c r="AX1628" s="115">
        <f>AN1628-AP1628</f>
      </c>
    </row>
    <row r="1629" spans="1:50" ht="15" hidden="1" customHeight="1" x14ac:dyDescent="0.3">
      <c r="A1629" s="94" t="s">
        <v>82</v>
      </c>
      <c r="B1629" s="94"/>
      <c r="C1629" s="94"/>
      <c r="D1629" s="94"/>
      <c r="E1629" s="94"/>
      <c r="F1629" s="94"/>
      <c r="G1629" s="112">
        <f>AU1629</f>
      </c>
      <c r="H1629" s="113"/>
      <c r="I1629" s="94" t="s">
        <v>83</v>
      </c>
      <c r="J1629" s="94" t="s">
        <v>88</v>
      </c>
      <c r="K1629" s="114">
        <f>P1629/3</f>
      </c>
      <c r="L1629" s="115">
        <v>3000</v>
      </c>
      <c r="M1629" s="116"/>
      <c r="N1629" s="117">
        <f>M1629-L1629</f>
      </c>
      <c r="O1629" s="112"/>
      <c r="P1629" s="118">
        <f>N1629+O1629</f>
      </c>
      <c r="Q1629" s="94" t="s">
        <v>85</v>
      </c>
      <c r="R1629" s="94" t="s">
        <v>63</v>
      </c>
      <c r="S1629" s="119">
        <v>46339</v>
      </c>
      <c r="T1629" s="119"/>
      <c r="U1629" s="119" t="s">
        <v>673</v>
      </c>
      <c r="V1629" s="94"/>
      <c r="W1629" s="94"/>
      <c r="X1629" s="94"/>
      <c r="Y1629" s="119">
        <v>46331</v>
      </c>
      <c r="Z1629" s="94"/>
      <c r="AA1629" s="120"/>
      <c r="AB1629" s="120"/>
      <c r="AC1629" s="120"/>
      <c r="AD1629" s="120"/>
      <c r="AE1629" s="120"/>
      <c r="AF1629" s="120"/>
      <c r="AG1629" s="94"/>
      <c r="AH1629" s="120"/>
      <c r="AI1629" s="94"/>
      <c r="AJ1629" s="94" t="s">
        <v>86</v>
      </c>
      <c r="AK1629" s="94" t="s">
        <v>89</v>
      </c>
      <c r="AL1629" s="94">
        <v>160</v>
      </c>
      <c r="AM1629" s="94" t="str">
        <f>TRIM(AJ1629)&amp;TRIM(AL1629)&amp;TRIM(AK1629)</f>
      </c>
      <c r="AN1629" s="116">
        <v>13076.44</v>
      </c>
      <c r="AO1629" s="116">
        <v>21593.56</v>
      </c>
      <c r="AP1629" s="116">
        <f>SUMIFS(M:M,AM:AM,AM1629)+SUMIFS(O:O,AM:AM,AM1629)</f>
      </c>
      <c r="AQ1629" s="116">
        <f>SUMIFS(L:L,AM:AM,AM1629)</f>
      </c>
      <c r="AR1629" s="116">
        <f>AQ1629-AP1629</f>
      </c>
      <c r="AS1629" s="94" t="str">
        <f>IF(AN1629&gt;=AQ1629,"ok","ck")</f>
      </c>
      <c r="AT1629" s="116">
        <f>-P1629</f>
      </c>
      <c r="AU1629" s="115">
        <f>IF(SUMIFS(AT:AT,AM:AM,AM1629)&gt;AO1629,(SUMIFS(AT:AT,AM:AM,AM1629)-AO1629))</f>
      </c>
      <c r="AV1629" s="116">
        <v>13076.44</v>
      </c>
      <c r="AW1629" s="121">
        <v>0.377</v>
      </c>
      <c r="AX1629" s="115">
        <f>AN1629-AP1629</f>
      </c>
    </row>
    <row r="1630" spans="1:50" ht="15" hidden="1" customHeight="1" x14ac:dyDescent="0.3">
      <c r="A1630" s="94" t="s">
        <v>82</v>
      </c>
      <c r="B1630" s="94"/>
      <c r="C1630" s="94"/>
      <c r="D1630" s="94"/>
      <c r="E1630" s="94"/>
      <c r="F1630" s="94"/>
      <c r="G1630" s="112">
        <f>AU1630</f>
      </c>
      <c r="H1630" s="113"/>
      <c r="I1630" s="94" t="s">
        <v>83</v>
      </c>
      <c r="J1630" s="94" t="s">
        <v>88</v>
      </c>
      <c r="K1630" s="114">
        <f>P1630/3</f>
      </c>
      <c r="L1630" s="115">
        <v>3000</v>
      </c>
      <c r="M1630" s="116"/>
      <c r="N1630" s="117">
        <f>M1630-L1630</f>
      </c>
      <c r="O1630" s="112"/>
      <c r="P1630" s="118">
        <f>N1630+O1630</f>
      </c>
      <c r="Q1630" s="94" t="s">
        <v>85</v>
      </c>
      <c r="R1630" s="94" t="s">
        <v>63</v>
      </c>
      <c r="S1630" s="119">
        <v>46340</v>
      </c>
      <c r="T1630" s="119"/>
      <c r="U1630" s="119" t="s">
        <v>673</v>
      </c>
      <c r="V1630" s="94"/>
      <c r="W1630" s="94"/>
      <c r="X1630" s="94"/>
      <c r="Y1630" s="119">
        <v>46331</v>
      </c>
      <c r="Z1630" s="94"/>
      <c r="AA1630" s="120"/>
      <c r="AB1630" s="120"/>
      <c r="AC1630" s="120"/>
      <c r="AD1630" s="120"/>
      <c r="AE1630" s="120"/>
      <c r="AF1630" s="120"/>
      <c r="AG1630" s="94"/>
      <c r="AH1630" s="120"/>
      <c r="AI1630" s="94"/>
      <c r="AJ1630" s="94" t="s">
        <v>86</v>
      </c>
      <c r="AK1630" s="94" t="s">
        <v>89</v>
      </c>
      <c r="AL1630" s="94">
        <v>160</v>
      </c>
      <c r="AM1630" s="94" t="str">
        <f>TRIM(AJ1630)&amp;TRIM(AL1630)&amp;TRIM(AK1630)</f>
      </c>
      <c r="AN1630" s="116">
        <v>13076.44</v>
      </c>
      <c r="AO1630" s="116">
        <v>21593.56</v>
      </c>
      <c r="AP1630" s="116">
        <f>SUMIFS(M:M,AM:AM,AM1630)+SUMIFS(O:O,AM:AM,AM1630)</f>
      </c>
      <c r="AQ1630" s="116">
        <f>SUMIFS(L:L,AM:AM,AM1630)</f>
      </c>
      <c r="AR1630" s="116">
        <f>AQ1630-AP1630</f>
      </c>
      <c r="AS1630" s="94" t="str">
        <f>IF(AN1630&gt;=AQ1630,"ok","ck")</f>
      </c>
      <c r="AT1630" s="116">
        <f>-P1630</f>
      </c>
      <c r="AU1630" s="115">
        <f>IF(SUMIFS(AT:AT,AM:AM,AM1630)&gt;AO1630,(SUMIFS(AT:AT,AM:AM,AM1630)-AO1630))</f>
      </c>
      <c r="AV1630" s="116">
        <v>13076.44</v>
      </c>
      <c r="AW1630" s="121">
        <v>0.377</v>
      </c>
      <c r="AX1630" s="115">
        <f>AN1630-AP1630</f>
      </c>
    </row>
    <row r="1631" spans="1:50" ht="15" hidden="1" customHeight="1" x14ac:dyDescent="0.3">
      <c r="A1631" s="94" t="s">
        <v>82</v>
      </c>
      <c r="B1631" s="94"/>
      <c r="C1631" s="94"/>
      <c r="D1631" s="94"/>
      <c r="E1631" s="94"/>
      <c r="F1631" s="94"/>
      <c r="G1631" s="112">
        <f>AU1631</f>
      </c>
      <c r="H1631" s="113"/>
      <c r="I1631" s="94" t="s">
        <v>83</v>
      </c>
      <c r="J1631" s="94" t="s">
        <v>88</v>
      </c>
      <c r="K1631" s="114">
        <f>P1631/3</f>
      </c>
      <c r="L1631" s="115">
        <v>1462.7919999999999</v>
      </c>
      <c r="M1631" s="116"/>
      <c r="N1631" s="117">
        <f>M1631-L1631</f>
      </c>
      <c r="O1631" s="112"/>
      <c r="P1631" s="118">
        <f>N1631+O1631</f>
      </c>
      <c r="Q1631" s="94" t="s">
        <v>85</v>
      </c>
      <c r="R1631" s="94" t="s">
        <v>63</v>
      </c>
      <c r="S1631" s="119">
        <v>46341</v>
      </c>
      <c r="T1631" s="119"/>
      <c r="U1631" s="119" t="s">
        <v>673</v>
      </c>
      <c r="V1631" s="94"/>
      <c r="W1631" s="94"/>
      <c r="X1631" s="94"/>
      <c r="Y1631" s="119">
        <v>46331</v>
      </c>
      <c r="Z1631" s="94"/>
      <c r="AA1631" s="120"/>
      <c r="AB1631" s="120"/>
      <c r="AC1631" s="120"/>
      <c r="AD1631" s="120"/>
      <c r="AE1631" s="120"/>
      <c r="AF1631" s="120"/>
      <c r="AG1631" s="94"/>
      <c r="AH1631" s="120"/>
      <c r="AI1631" s="94"/>
      <c r="AJ1631" s="94" t="s">
        <v>86</v>
      </c>
      <c r="AK1631" s="94" t="s">
        <v>89</v>
      </c>
      <c r="AL1631" s="94">
        <v>160</v>
      </c>
      <c r="AM1631" s="94" t="str">
        <f>TRIM(AJ1631)&amp;TRIM(AL1631)&amp;TRIM(AK1631)</f>
      </c>
      <c r="AN1631" s="116">
        <v>13076.44</v>
      </c>
      <c r="AO1631" s="116">
        <v>21593.56</v>
      </c>
      <c r="AP1631" s="116">
        <f>SUMIFS(M:M,AM:AM,AM1631)+SUMIFS(O:O,AM:AM,AM1631)</f>
      </c>
      <c r="AQ1631" s="116">
        <f>SUMIFS(L:L,AM:AM,AM1631)</f>
      </c>
      <c r="AR1631" s="116">
        <f>AQ1631-AP1631</f>
      </c>
      <c r="AS1631" s="94" t="str">
        <f>IF(AN1631&gt;=AQ1631,"ok","ck")</f>
      </c>
      <c r="AT1631" s="116">
        <f>-P1631</f>
      </c>
      <c r="AU1631" s="115">
        <f>IF(SUMIFS(AT:AT,AM:AM,AM1631)&gt;AO1631,(SUMIFS(AT:AT,AM:AM,AM1631)-AO1631))</f>
      </c>
      <c r="AV1631" s="116">
        <v>13076.44</v>
      </c>
      <c r="AW1631" s="121">
        <v>0.377</v>
      </c>
      <c r="AX1631" s="115">
        <f>AN1631-AP1631</f>
      </c>
    </row>
    <row r="1632" spans="1:50" ht="15" customHeight="1" x14ac:dyDescent="0.3">
      <c r="A1632" s="94" t="s">
        <v>862</v>
      </c>
      <c r="B1632" s="94"/>
      <c r="C1632" s="94"/>
      <c r="D1632" s="94"/>
      <c r="E1632" s="94"/>
      <c r="F1632" s="94"/>
      <c r="G1632" s="112">
        <f>AU1632</f>
      </c>
      <c r="H1632" s="113"/>
      <c r="I1632" s="94" t="s">
        <v>278</v>
      </c>
      <c r="J1632" s="94" t="s">
        <v>281</v>
      </c>
      <c r="K1632" s="114">
        <f>P1632/3</f>
      </c>
      <c r="L1632" s="115">
        <v>234.70599999999999</v>
      </c>
      <c r="M1632" s="116"/>
      <c r="N1632" s="117">
        <f>M1632-L1632</f>
      </c>
      <c r="O1632" s="112"/>
      <c r="P1632" s="118">
        <f>N1632+O1632</f>
      </c>
      <c r="Q1632" s="94"/>
      <c r="R1632" s="94" t="s">
        <v>63</v>
      </c>
      <c r="S1632" s="119">
        <v>46347</v>
      </c>
      <c r="T1632" s="119"/>
      <c r="U1632" s="119" t="s">
        <v>632</v>
      </c>
      <c r="V1632" s="94"/>
      <c r="W1632" s="94"/>
      <c r="X1632" s="94"/>
      <c r="Y1632" s="119">
        <v>46320</v>
      </c>
      <c r="Z1632" s="94"/>
      <c r="AA1632" s="120"/>
      <c r="AB1632" s="120"/>
      <c r="AC1632" s="120"/>
      <c r="AD1632" s="120"/>
      <c r="AE1632" s="120"/>
      <c r="AF1632" s="120"/>
      <c r="AG1632" s="94"/>
      <c r="AH1632" s="120"/>
      <c r="AI1632" s="94"/>
      <c r="AJ1632" s="94"/>
      <c r="AK1632" s="94"/>
      <c r="AL1632" s="94">
        <v>120</v>
      </c>
      <c r="AM1632" s="94" t="str">
        <f>TRIM(AJ1632)&amp;TRIM(AL1632)&amp;TRIM(AK1632)</f>
      </c>
      <c r="AN1632" s="116">
        <v>0</v>
      </c>
      <c r="AO1632" s="116" t="inlineStr">
        <is>
          <t>#NA</t>
        </is>
      </c>
      <c r="AP1632" s="116">
        <f>SUMIFS(M:M,AM:AM,AM1632)+SUMIFS(O:O,AM:AM,AM1632)</f>
      </c>
      <c r="AQ1632" s="116">
        <f>SUMIFS(L:L,AM:AM,AM1632)</f>
      </c>
      <c r="AR1632" s="116">
        <f>AQ1632-AP1632</f>
      </c>
      <c r="AS1632" s="94" t="str">
        <f>IF(AN1632&gt;=AQ1632,"ok","ck")</f>
      </c>
      <c r="AT1632" s="116">
        <f>-P1632</f>
      </c>
      <c r="AU1632" s="115">
        <f>IF(SUMIFS(AT:AT,AM:AM,AM1632)&gt;AO1632,(SUMIFS(AT:AT,AM:AM,AM1632)-AO1632))</f>
      </c>
      <c r="AV1632" s="116" t="e">
        <v>#N/A</v>
      </c>
      <c r="AW1632" s="121" t="e">
        <v>#N/A</v>
      </c>
      <c r="AX1632" s="115">
        <f>AN1632-AP1632</f>
      </c>
    </row>
    <row r="1633" spans="1:50" ht="15" customHeight="1" x14ac:dyDescent="0.3">
      <c r="A1633" s="94" t="s">
        <v>862</v>
      </c>
      <c r="B1633" s="94"/>
      <c r="C1633" s="94"/>
      <c r="D1633" s="94"/>
      <c r="E1633" s="94"/>
      <c r="F1633" s="94"/>
      <c r="G1633" s="112">
        <f>AU1633</f>
      </c>
      <c r="H1633" s="113"/>
      <c r="I1633" s="94" t="s">
        <v>278</v>
      </c>
      <c r="J1633" s="94" t="s">
        <v>281</v>
      </c>
      <c r="K1633" s="114">
        <f>P1633/3</f>
      </c>
      <c r="L1633" s="115">
        <v>234.70599999999999</v>
      </c>
      <c r="M1633" s="116"/>
      <c r="N1633" s="117">
        <f>M1633-L1633</f>
      </c>
      <c r="O1633" s="112"/>
      <c r="P1633" s="118">
        <f>N1633+O1633</f>
      </c>
      <c r="Q1633" s="94"/>
      <c r="R1633" s="94" t="s">
        <v>63</v>
      </c>
      <c r="S1633" s="119">
        <v>46348</v>
      </c>
      <c r="T1633" s="119"/>
      <c r="U1633" s="119" t="s">
        <v>632</v>
      </c>
      <c r="V1633" s="94"/>
      <c r="W1633" s="94"/>
      <c r="X1633" s="94"/>
      <c r="Y1633" s="119">
        <v>46320</v>
      </c>
      <c r="Z1633" s="94"/>
      <c r="AA1633" s="120"/>
      <c r="AB1633" s="120"/>
      <c r="AC1633" s="120"/>
      <c r="AD1633" s="120"/>
      <c r="AE1633" s="120"/>
      <c r="AF1633" s="120"/>
      <c r="AG1633" s="94"/>
      <c r="AH1633" s="120"/>
      <c r="AI1633" s="94"/>
      <c r="AJ1633" s="94"/>
      <c r="AK1633" s="94"/>
      <c r="AL1633" s="94">
        <v>120</v>
      </c>
      <c r="AM1633" s="94" t="str">
        <f>TRIM(AJ1633)&amp;TRIM(AL1633)&amp;TRIM(AK1633)</f>
      </c>
      <c r="AN1633" s="116">
        <v>0</v>
      </c>
      <c r="AO1633" s="116" t="inlineStr">
        <is>
          <t>#NA</t>
        </is>
      </c>
      <c r="AP1633" s="116">
        <f>SUMIFS(M:M,AM:AM,AM1633)+SUMIFS(O:O,AM:AM,AM1633)</f>
      </c>
      <c r="AQ1633" s="116">
        <f>SUMIFS(L:L,AM:AM,AM1633)</f>
      </c>
      <c r="AR1633" s="116">
        <f>AQ1633-AP1633</f>
      </c>
      <c r="AS1633" s="94" t="str">
        <f>IF(AN1633&gt;=AQ1633,"ok","ck")</f>
      </c>
      <c r="AT1633" s="116">
        <f>-P1633</f>
      </c>
      <c r="AU1633" s="115">
        <f>IF(SUMIFS(AT:AT,AM:AM,AM1633)&gt;AO1633,(SUMIFS(AT:AT,AM:AM,AM1633)-AO1633))</f>
      </c>
      <c r="AV1633" s="116" t="e">
        <v>#N/A</v>
      </c>
      <c r="AW1633" s="121" t="e">
        <v>#N/A</v>
      </c>
      <c r="AX1633" s="115">
        <f>AN1633-AP1633</f>
      </c>
    </row>
    <row r="1634" spans="1:50" ht="15" customHeight="1" x14ac:dyDescent="0.3">
      <c r="A1634" s="94" t="s">
        <v>862</v>
      </c>
      <c r="B1634" s="94"/>
      <c r="C1634" s="94"/>
      <c r="D1634" s="94"/>
      <c r="E1634" s="94"/>
      <c r="F1634" s="94"/>
      <c r="G1634" s="112">
        <f>AU1634</f>
      </c>
      <c r="H1634" s="113"/>
      <c r="I1634" s="94" t="s">
        <v>278</v>
      </c>
      <c r="J1634" s="94" t="s">
        <v>281</v>
      </c>
      <c r="K1634" s="114">
        <f>P1634/3</f>
      </c>
      <c r="L1634" s="115">
        <v>234.70599999999999</v>
      </c>
      <c r="M1634" s="116"/>
      <c r="N1634" s="117">
        <f>M1634-L1634</f>
      </c>
      <c r="O1634" s="112"/>
      <c r="P1634" s="118">
        <f>N1634+O1634</f>
      </c>
      <c r="Q1634" s="94"/>
      <c r="R1634" s="94" t="s">
        <v>63</v>
      </c>
      <c r="S1634" s="119">
        <v>46349</v>
      </c>
      <c r="T1634" s="119"/>
      <c r="U1634" s="119" t="s">
        <v>632</v>
      </c>
      <c r="V1634" s="94"/>
      <c r="W1634" s="94"/>
      <c r="X1634" s="94"/>
      <c r="Y1634" s="119">
        <v>46320</v>
      </c>
      <c r="Z1634" s="94"/>
      <c r="AA1634" s="120"/>
      <c r="AB1634" s="120"/>
      <c r="AC1634" s="120"/>
      <c r="AD1634" s="120"/>
      <c r="AE1634" s="120"/>
      <c r="AF1634" s="120"/>
      <c r="AG1634" s="94"/>
      <c r="AH1634" s="120"/>
      <c r="AI1634" s="94"/>
      <c r="AJ1634" s="94"/>
      <c r="AK1634" s="94"/>
      <c r="AL1634" s="94">
        <v>120</v>
      </c>
      <c r="AM1634" s="94" t="str">
        <f>TRIM(AJ1634)&amp;TRIM(AL1634)&amp;TRIM(AK1634)</f>
      </c>
      <c r="AN1634" s="116">
        <v>0</v>
      </c>
      <c r="AO1634" s="116" t="inlineStr">
        <is>
          <t>#NA</t>
        </is>
      </c>
      <c r="AP1634" s="116">
        <f>SUMIFS(M:M,AM:AM,AM1634)+SUMIFS(O:O,AM:AM,AM1634)</f>
      </c>
      <c r="AQ1634" s="116">
        <f>SUMIFS(L:L,AM:AM,AM1634)</f>
      </c>
      <c r="AR1634" s="116">
        <f>AQ1634-AP1634</f>
      </c>
      <c r="AS1634" s="94" t="str">
        <f>IF(AN1634&gt;=AQ1634,"ok","ck")</f>
      </c>
      <c r="AT1634" s="116">
        <f>-P1634</f>
      </c>
      <c r="AU1634" s="115">
        <f>IF(SUMIFS(AT:AT,AM:AM,AM1634)&gt;AO1634,(SUMIFS(AT:AT,AM:AM,AM1634)-AO1634))</f>
      </c>
      <c r="AV1634" s="116" t="e">
        <v>#N/A</v>
      </c>
      <c r="AW1634" s="121" t="e">
        <v>#N/A</v>
      </c>
      <c r="AX1634" s="115">
        <f>AN1634-AP1634</f>
      </c>
    </row>
    <row r="1635" spans="1:50" ht="15" customHeight="1" x14ac:dyDescent="0.3">
      <c r="A1635" s="94" t="s">
        <v>862</v>
      </c>
      <c r="B1635" s="94"/>
      <c r="C1635" s="94"/>
      <c r="D1635" s="94"/>
      <c r="E1635" s="94"/>
      <c r="F1635" s="94"/>
      <c r="G1635" s="112">
        <f>AU1635</f>
      </c>
      <c r="H1635" s="113"/>
      <c r="I1635" s="94" t="s">
        <v>278</v>
      </c>
      <c r="J1635" s="94" t="s">
        <v>281</v>
      </c>
      <c r="K1635" s="114">
        <f>P1635/3</f>
      </c>
      <c r="L1635" s="115">
        <v>234.70599999999999</v>
      </c>
      <c r="M1635" s="116"/>
      <c r="N1635" s="117">
        <f>M1635-L1635</f>
      </c>
      <c r="O1635" s="112"/>
      <c r="P1635" s="118">
        <f>N1635+O1635</f>
      </c>
      <c r="Q1635" s="94"/>
      <c r="R1635" s="94" t="s">
        <v>63</v>
      </c>
      <c r="S1635" s="119">
        <v>46350</v>
      </c>
      <c r="T1635" s="119"/>
      <c r="U1635" s="119" t="s">
        <v>632</v>
      </c>
      <c r="V1635" s="94"/>
      <c r="W1635" s="94"/>
      <c r="X1635" s="94"/>
      <c r="Y1635" s="119">
        <v>46320</v>
      </c>
      <c r="Z1635" s="94"/>
      <c r="AA1635" s="120"/>
      <c r="AB1635" s="120"/>
      <c r="AC1635" s="120"/>
      <c r="AD1635" s="120"/>
      <c r="AE1635" s="120"/>
      <c r="AF1635" s="120"/>
      <c r="AG1635" s="94"/>
      <c r="AH1635" s="120"/>
      <c r="AI1635" s="94"/>
      <c r="AJ1635" s="94"/>
      <c r="AK1635" s="94"/>
      <c r="AL1635" s="94">
        <v>120</v>
      </c>
      <c r="AM1635" s="94" t="str">
        <f>TRIM(AJ1635)&amp;TRIM(AL1635)&amp;TRIM(AK1635)</f>
      </c>
      <c r="AN1635" s="116">
        <v>0</v>
      </c>
      <c r="AO1635" s="116" t="inlineStr">
        <is>
          <t>#NA</t>
        </is>
      </c>
      <c r="AP1635" s="116">
        <f>SUMIFS(M:M,AM:AM,AM1635)+SUMIFS(O:O,AM:AM,AM1635)</f>
      </c>
      <c r="AQ1635" s="116">
        <f>SUMIFS(L:L,AM:AM,AM1635)</f>
      </c>
      <c r="AR1635" s="116">
        <f>AQ1635-AP1635</f>
      </c>
      <c r="AS1635" s="94" t="str">
        <f>IF(AN1635&gt;=AQ1635,"ok","ck")</f>
      </c>
      <c r="AT1635" s="116">
        <f>-P1635</f>
      </c>
      <c r="AU1635" s="115">
        <f>IF(SUMIFS(AT:AT,AM:AM,AM1635)&gt;AO1635,(SUMIFS(AT:AT,AM:AM,AM1635)-AO1635))</f>
      </c>
      <c r="AV1635" s="116" t="e">
        <v>#N/A</v>
      </c>
      <c r="AW1635" s="121" t="e">
        <v>#N/A</v>
      </c>
      <c r="AX1635" s="115">
        <f>AN1635-AP1635</f>
      </c>
    </row>
    <row r="1636" spans="1:50" ht="15" customHeight="1" x14ac:dyDescent="0.3">
      <c r="A1636" s="94" t="s">
        <v>862</v>
      </c>
      <c r="B1636" s="94"/>
      <c r="C1636" s="94"/>
      <c r="D1636" s="94"/>
      <c r="E1636" s="94"/>
      <c r="F1636" s="94"/>
      <c r="G1636" s="112">
        <f>AU1636</f>
      </c>
      <c r="H1636" s="113"/>
      <c r="I1636" s="94" t="s">
        <v>278</v>
      </c>
      <c r="J1636" s="94" t="s">
        <v>281</v>
      </c>
      <c r="K1636" s="114">
        <f>P1636/3</f>
      </c>
      <c r="L1636" s="115">
        <v>234.70599999999999</v>
      </c>
      <c r="M1636" s="116"/>
      <c r="N1636" s="117">
        <f>M1636-L1636</f>
      </c>
      <c r="O1636" s="112"/>
      <c r="P1636" s="118">
        <f>N1636+O1636</f>
      </c>
      <c r="Q1636" s="94"/>
      <c r="R1636" s="94" t="s">
        <v>63</v>
      </c>
      <c r="S1636" s="119">
        <v>46351</v>
      </c>
      <c r="T1636" s="119"/>
      <c r="U1636" s="119" t="s">
        <v>632</v>
      </c>
      <c r="V1636" s="94"/>
      <c r="W1636" s="94"/>
      <c r="X1636" s="94"/>
      <c r="Y1636" s="119">
        <v>46342</v>
      </c>
      <c r="Z1636" s="94"/>
      <c r="AA1636" s="120"/>
      <c r="AB1636" s="120"/>
      <c r="AC1636" s="120"/>
      <c r="AD1636" s="120"/>
      <c r="AE1636" s="120"/>
      <c r="AF1636" s="120"/>
      <c r="AG1636" s="94"/>
      <c r="AH1636" s="120"/>
      <c r="AI1636" s="94"/>
      <c r="AJ1636" s="94"/>
      <c r="AK1636" s="94"/>
      <c r="AL1636" s="94">
        <v>120</v>
      </c>
      <c r="AM1636" s="94" t="str">
        <f>TRIM(AJ1636)&amp;TRIM(AL1636)&amp;TRIM(AK1636)</f>
      </c>
      <c r="AN1636" s="116">
        <v>0</v>
      </c>
      <c r="AO1636" s="116" t="inlineStr">
        <is>
          <t>#NA</t>
        </is>
      </c>
      <c r="AP1636" s="116">
        <f>SUMIFS(M:M,AM:AM,AM1636)+SUMIFS(O:O,AM:AM,AM1636)</f>
      </c>
      <c r="AQ1636" s="116">
        <f>SUMIFS(L:L,AM:AM,AM1636)</f>
      </c>
      <c r="AR1636" s="116">
        <f>AQ1636-AP1636</f>
      </c>
      <c r="AS1636" s="94" t="str">
        <f>IF(AN1636&gt;=AQ1636,"ok","ck")</f>
      </c>
      <c r="AT1636" s="116">
        <f>-P1636</f>
      </c>
      <c r="AU1636" s="115">
        <f>IF(SUMIFS(AT:AT,AM:AM,AM1636)&gt;AO1636,(SUMIFS(AT:AT,AM:AM,AM1636)-AO1636))</f>
      </c>
      <c r="AV1636" s="116" t="e">
        <v>#N/A</v>
      </c>
      <c r="AW1636" s="121" t="e">
        <v>#N/A</v>
      </c>
      <c r="AX1636" s="115">
        <f>AN1636-AP1636</f>
      </c>
    </row>
    <row r="1637" spans="1:50" ht="15" customHeight="1" x14ac:dyDescent="0.3">
      <c r="A1637" s="94" t="s">
        <v>862</v>
      </c>
      <c r="B1637" s="94"/>
      <c r="C1637" s="94"/>
      <c r="D1637" s="94"/>
      <c r="E1637" s="94"/>
      <c r="F1637" s="94"/>
      <c r="G1637" s="112">
        <f>AU1637</f>
      </c>
      <c r="H1637" s="113"/>
      <c r="I1637" s="94" t="s">
        <v>390</v>
      </c>
      <c r="J1637" s="94" t="s">
        <v>281</v>
      </c>
      <c r="K1637" s="114">
        <f>P1637/3</f>
      </c>
      <c r="L1637" s="115">
        <v>1843.529</v>
      </c>
      <c r="M1637" s="116"/>
      <c r="N1637" s="117">
        <f>M1637-L1637</f>
      </c>
      <c r="O1637" s="112"/>
      <c r="P1637" s="118">
        <f>N1637+O1637</f>
      </c>
      <c r="Q1637" s="94"/>
      <c r="R1637" s="94" t="s">
        <v>63</v>
      </c>
      <c r="S1637" s="119">
        <v>46343</v>
      </c>
      <c r="T1637" s="119"/>
      <c r="U1637" s="119" t="s">
        <v>632</v>
      </c>
      <c r="V1637" s="94"/>
      <c r="W1637" s="94"/>
      <c r="X1637" s="94"/>
      <c r="Y1637" s="119">
        <v>46344</v>
      </c>
      <c r="Z1637" s="94"/>
      <c r="AA1637" s="120"/>
      <c r="AB1637" s="120"/>
      <c r="AC1637" s="120"/>
      <c r="AD1637" s="120"/>
      <c r="AE1637" s="120"/>
      <c r="AF1637" s="120"/>
      <c r="AG1637" s="94"/>
      <c r="AH1637" s="120"/>
      <c r="AI1637" s="94"/>
      <c r="AJ1637" s="94"/>
      <c r="AK1637" s="94"/>
      <c r="AL1637" s="94">
        <v>140</v>
      </c>
      <c r="AM1637" s="94" t="str">
        <f>TRIM(AJ1637)&amp;TRIM(AL1637)&amp;TRIM(AK1637)</f>
      </c>
      <c r="AN1637" s="116">
        <v>0</v>
      </c>
      <c r="AO1637" s="116" t="inlineStr">
        <is>
          <t>#NA</t>
        </is>
      </c>
      <c r="AP1637" s="116">
        <f>SUMIFS(M:M,AM:AM,AM1637)+SUMIFS(O:O,AM:AM,AM1637)</f>
      </c>
      <c r="AQ1637" s="116">
        <f>SUMIFS(L:L,AM:AM,AM1637)</f>
      </c>
      <c r="AR1637" s="116">
        <f>AQ1637-AP1637</f>
      </c>
      <c r="AS1637" s="94" t="str">
        <f>IF(AN1637&gt;=AQ1637,"ok","ck")</f>
      </c>
      <c r="AT1637" s="116">
        <f>-P1637</f>
      </c>
      <c r="AU1637" s="115">
        <f>IF(SUMIFS(AT:AT,AM:AM,AM1637)&gt;AO1637,(SUMIFS(AT:AT,AM:AM,AM1637)-AO1637))</f>
      </c>
      <c r="AV1637" s="116" t="e">
        <v>#N/A</v>
      </c>
      <c r="AW1637" s="121" t="e">
        <v>#N/A</v>
      </c>
      <c r="AX1637" s="115">
        <f>AN1637-AP1637</f>
      </c>
    </row>
    <row r="1638" spans="1:50" ht="15" customHeight="1" x14ac:dyDescent="0.3">
      <c r="A1638" s="94" t="s">
        <v>862</v>
      </c>
      <c r="B1638" s="94"/>
      <c r="C1638" s="94"/>
      <c r="D1638" s="94"/>
      <c r="E1638" s="94"/>
      <c r="F1638" s="94"/>
      <c r="G1638" s="112">
        <f>AU1638</f>
      </c>
      <c r="H1638" s="113"/>
      <c r="I1638" s="94" t="s">
        <v>390</v>
      </c>
      <c r="J1638" s="94" t="s">
        <v>281</v>
      </c>
      <c r="K1638" s="114">
        <f>P1638/3</f>
      </c>
      <c r="L1638" s="115">
        <v>1843.529</v>
      </c>
      <c r="M1638" s="116"/>
      <c r="N1638" s="117">
        <f>M1638-L1638</f>
      </c>
      <c r="O1638" s="112"/>
      <c r="P1638" s="118">
        <f>N1638+O1638</f>
      </c>
      <c r="Q1638" s="94"/>
      <c r="R1638" s="94" t="s">
        <v>63</v>
      </c>
      <c r="S1638" s="119">
        <v>46344</v>
      </c>
      <c r="T1638" s="119"/>
      <c r="U1638" s="119" t="s">
        <v>632</v>
      </c>
      <c r="V1638" s="94"/>
      <c r="W1638" s="94"/>
      <c r="X1638" s="94"/>
      <c r="Y1638" s="119">
        <v>46333</v>
      </c>
      <c r="Z1638" s="94"/>
      <c r="AA1638" s="120"/>
      <c r="AB1638" s="120"/>
      <c r="AC1638" s="120"/>
      <c r="AD1638" s="120"/>
      <c r="AE1638" s="120"/>
      <c r="AF1638" s="120"/>
      <c r="AG1638" s="94"/>
      <c r="AH1638" s="120"/>
      <c r="AI1638" s="94"/>
      <c r="AJ1638" s="94"/>
      <c r="AK1638" s="94"/>
      <c r="AL1638" s="94">
        <v>140</v>
      </c>
      <c r="AM1638" s="94" t="str">
        <f>TRIM(AJ1638)&amp;TRIM(AL1638)&amp;TRIM(AK1638)</f>
      </c>
      <c r="AN1638" s="116">
        <v>0</v>
      </c>
      <c r="AO1638" s="116" t="inlineStr">
        <is>
          <t>#NA</t>
        </is>
      </c>
      <c r="AP1638" s="116">
        <f>SUMIFS(M:M,AM:AM,AM1638)+SUMIFS(O:O,AM:AM,AM1638)</f>
      </c>
      <c r="AQ1638" s="116">
        <f>SUMIFS(L:L,AM:AM,AM1638)</f>
      </c>
      <c r="AR1638" s="116">
        <f>AQ1638-AP1638</f>
      </c>
      <c r="AS1638" s="94" t="str">
        <f>IF(AN1638&gt;=AQ1638,"ok","ck")</f>
      </c>
      <c r="AT1638" s="116">
        <f>-P1638</f>
      </c>
      <c r="AU1638" s="115">
        <f>IF(SUMIFS(AT:AT,AM:AM,AM1638)&gt;AO1638,(SUMIFS(AT:AT,AM:AM,AM1638)-AO1638))</f>
      </c>
      <c r="AV1638" s="116" t="e">
        <v>#N/A</v>
      </c>
      <c r="AW1638" s="121" t="e">
        <v>#N/A</v>
      </c>
      <c r="AX1638" s="115">
        <f>AN1638-AP1638</f>
      </c>
    </row>
    <row r="1639" spans="1:50" ht="15" customHeight="1" x14ac:dyDescent="0.3">
      <c r="A1639" s="94" t="s">
        <v>862</v>
      </c>
      <c r="B1639" s="94"/>
      <c r="C1639" s="94"/>
      <c r="D1639" s="94"/>
      <c r="E1639" s="94"/>
      <c r="F1639" s="94"/>
      <c r="G1639" s="112">
        <f>AU1639</f>
      </c>
      <c r="H1639" s="113"/>
      <c r="I1639" s="94" t="s">
        <v>390</v>
      </c>
      <c r="J1639" s="94" t="s">
        <v>281</v>
      </c>
      <c r="K1639" s="114">
        <f>P1639/3</f>
      </c>
      <c r="L1639" s="115">
        <v>1843.529</v>
      </c>
      <c r="M1639" s="116"/>
      <c r="N1639" s="117">
        <f>M1639-L1639</f>
      </c>
      <c r="O1639" s="112"/>
      <c r="P1639" s="118">
        <f>N1639+O1639</f>
      </c>
      <c r="Q1639" s="94"/>
      <c r="R1639" s="94" t="s">
        <v>63</v>
      </c>
      <c r="S1639" s="119">
        <v>46345</v>
      </c>
      <c r="T1639" s="119"/>
      <c r="U1639" s="119" t="s">
        <v>632</v>
      </c>
      <c r="V1639" s="94"/>
      <c r="W1639" s="94"/>
      <c r="X1639" s="94"/>
      <c r="Y1639" s="119">
        <v>46333</v>
      </c>
      <c r="Z1639" s="94"/>
      <c r="AA1639" s="120"/>
      <c r="AB1639" s="120"/>
      <c r="AC1639" s="120"/>
      <c r="AD1639" s="120"/>
      <c r="AE1639" s="120"/>
      <c r="AF1639" s="120"/>
      <c r="AG1639" s="94"/>
      <c r="AH1639" s="120"/>
      <c r="AI1639" s="94"/>
      <c r="AJ1639" s="94"/>
      <c r="AK1639" s="94"/>
      <c r="AL1639" s="94">
        <v>140</v>
      </c>
      <c r="AM1639" s="94" t="str">
        <f>TRIM(AJ1639)&amp;TRIM(AL1639)&amp;TRIM(AK1639)</f>
      </c>
      <c r="AN1639" s="116">
        <v>0</v>
      </c>
      <c r="AO1639" s="116" t="inlineStr">
        <is>
          <t>#NA</t>
        </is>
      </c>
      <c r="AP1639" s="116">
        <f>SUMIFS(M:M,AM:AM,AM1639)+SUMIFS(O:O,AM:AM,AM1639)</f>
      </c>
      <c r="AQ1639" s="116">
        <f>SUMIFS(L:L,AM:AM,AM1639)</f>
      </c>
      <c r="AR1639" s="116">
        <f>AQ1639-AP1639</f>
      </c>
      <c r="AS1639" s="94" t="str">
        <f>IF(AN1639&gt;=AQ1639,"ok","ck")</f>
      </c>
      <c r="AT1639" s="116">
        <f>-P1639</f>
      </c>
      <c r="AU1639" s="115">
        <f>IF(SUMIFS(AT:AT,AM:AM,AM1639)&gt;AO1639,(SUMIFS(AT:AT,AM:AM,AM1639)-AO1639))</f>
      </c>
      <c r="AV1639" s="116" t="e">
        <v>#N/A</v>
      </c>
      <c r="AW1639" s="121" t="e">
        <v>#N/A</v>
      </c>
      <c r="AX1639" s="115">
        <f>AN1639-AP1639</f>
      </c>
    </row>
    <row r="1640" spans="1:50" ht="15" customHeight="1" x14ac:dyDescent="0.3">
      <c r="A1640" s="94" t="s">
        <v>862</v>
      </c>
      <c r="B1640" s="94"/>
      <c r="C1640" s="94"/>
      <c r="D1640" s="94"/>
      <c r="E1640" s="94"/>
      <c r="F1640" s="94"/>
      <c r="G1640" s="112">
        <f>AU1640</f>
      </c>
      <c r="H1640" s="113"/>
      <c r="I1640" s="94" t="s">
        <v>390</v>
      </c>
      <c r="J1640" s="94" t="s">
        <v>281</v>
      </c>
      <c r="K1640" s="114">
        <f>P1640/3</f>
      </c>
      <c r="L1640" s="115">
        <v>1843.529</v>
      </c>
      <c r="M1640" s="116"/>
      <c r="N1640" s="117">
        <f>M1640-L1640</f>
      </c>
      <c r="O1640" s="112"/>
      <c r="P1640" s="118">
        <f>N1640+O1640</f>
      </c>
      <c r="Q1640" s="94"/>
      <c r="R1640" s="94" t="s">
        <v>63</v>
      </c>
      <c r="S1640" s="119">
        <v>46346</v>
      </c>
      <c r="T1640" s="119"/>
      <c r="U1640" s="119" t="s">
        <v>632</v>
      </c>
      <c r="V1640" s="94"/>
      <c r="W1640" s="94"/>
      <c r="X1640" s="94"/>
      <c r="Y1640" s="119">
        <v>46333</v>
      </c>
      <c r="Z1640" s="94"/>
      <c r="AA1640" s="120"/>
      <c r="AB1640" s="120"/>
      <c r="AC1640" s="120"/>
      <c r="AD1640" s="120"/>
      <c r="AE1640" s="120"/>
      <c r="AF1640" s="120"/>
      <c r="AG1640" s="94"/>
      <c r="AH1640" s="120"/>
      <c r="AI1640" s="94"/>
      <c r="AJ1640" s="94"/>
      <c r="AK1640" s="94"/>
      <c r="AL1640" s="94">
        <v>140</v>
      </c>
      <c r="AM1640" s="94" t="str">
        <f>TRIM(AJ1640)&amp;TRIM(AL1640)&amp;TRIM(AK1640)</f>
      </c>
      <c r="AN1640" s="116">
        <v>0</v>
      </c>
      <c r="AO1640" s="116" t="inlineStr">
        <is>
          <t>#NA</t>
        </is>
      </c>
      <c r="AP1640" s="116">
        <f>SUMIFS(M:M,AM:AM,AM1640)+SUMIFS(O:O,AM:AM,AM1640)</f>
      </c>
      <c r="AQ1640" s="116">
        <f>SUMIFS(L:L,AM:AM,AM1640)</f>
      </c>
      <c r="AR1640" s="116">
        <f>AQ1640-AP1640</f>
      </c>
      <c r="AS1640" s="94" t="str">
        <f>IF(AN1640&gt;=AQ1640,"ok","ck")</f>
      </c>
      <c r="AT1640" s="116">
        <f>-P1640</f>
      </c>
      <c r="AU1640" s="115">
        <f>IF(SUMIFS(AT:AT,AM:AM,AM1640)&gt;AO1640,(SUMIFS(AT:AT,AM:AM,AM1640)-AO1640))</f>
      </c>
      <c r="AV1640" s="116" t="e">
        <v>#N/A</v>
      </c>
      <c r="AW1640" s="121" t="e">
        <v>#N/A</v>
      </c>
      <c r="AX1640" s="115">
        <f>AN1640-AP1640</f>
      </c>
    </row>
    <row r="1641" spans="1:50" ht="15" customHeight="1" x14ac:dyDescent="0.3">
      <c r="A1641" s="94" t="s">
        <v>862</v>
      </c>
      <c r="B1641" s="94"/>
      <c r="C1641" s="94"/>
      <c r="D1641" s="94"/>
      <c r="E1641" s="94"/>
      <c r="F1641" s="94"/>
      <c r="G1641" s="112">
        <f>AU1641</f>
      </c>
      <c r="H1641" s="113"/>
      <c r="I1641" s="94" t="s">
        <v>390</v>
      </c>
      <c r="J1641" s="94" t="s">
        <v>281</v>
      </c>
      <c r="K1641" s="114">
        <f>P1641/3</f>
      </c>
      <c r="L1641" s="115">
        <v>2765.2939999999999</v>
      </c>
      <c r="M1641" s="116"/>
      <c r="N1641" s="117">
        <f>M1641-L1641</f>
      </c>
      <c r="O1641" s="112"/>
      <c r="P1641" s="118">
        <f>N1641+O1641</f>
      </c>
      <c r="Q1641" s="94"/>
      <c r="R1641" s="94" t="s">
        <v>63</v>
      </c>
      <c r="S1641" s="119">
        <v>46347</v>
      </c>
      <c r="T1641" s="119"/>
      <c r="U1641" s="119" t="s">
        <v>632</v>
      </c>
      <c r="V1641" s="94"/>
      <c r="W1641" s="94"/>
      <c r="X1641" s="94"/>
      <c r="Y1641" s="119">
        <v>46345</v>
      </c>
      <c r="Z1641" s="94"/>
      <c r="AA1641" s="120"/>
      <c r="AB1641" s="120"/>
      <c r="AC1641" s="120"/>
      <c r="AD1641" s="120"/>
      <c r="AE1641" s="120"/>
      <c r="AF1641" s="120"/>
      <c r="AG1641" s="94"/>
      <c r="AH1641" s="120"/>
      <c r="AI1641" s="94"/>
      <c r="AJ1641" s="94"/>
      <c r="AK1641" s="94"/>
      <c r="AL1641" s="94">
        <v>140</v>
      </c>
      <c r="AM1641" s="94" t="str">
        <f>TRIM(AJ1641)&amp;TRIM(AL1641)&amp;TRIM(AK1641)</f>
      </c>
      <c r="AN1641" s="116">
        <v>0</v>
      </c>
      <c r="AO1641" s="116" t="inlineStr">
        <is>
          <t>#NA</t>
        </is>
      </c>
      <c r="AP1641" s="116">
        <f>SUMIFS(M:M,AM:AM,AM1641)+SUMIFS(O:O,AM:AM,AM1641)</f>
      </c>
      <c r="AQ1641" s="116">
        <f>SUMIFS(L:L,AM:AM,AM1641)</f>
      </c>
      <c r="AR1641" s="116">
        <f>AQ1641-AP1641</f>
      </c>
      <c r="AS1641" s="94" t="str">
        <f>IF(AN1641&gt;=AQ1641,"ok","ck")</f>
      </c>
      <c r="AT1641" s="116">
        <f>-P1641</f>
      </c>
      <c r="AU1641" s="115">
        <f>IF(SUMIFS(AT:AT,AM:AM,AM1641)&gt;AO1641,(SUMIFS(AT:AT,AM:AM,AM1641)-AO1641))</f>
      </c>
      <c r="AV1641" s="116" t="e">
        <v>#N/A</v>
      </c>
      <c r="AW1641" s="121" t="e">
        <v>#N/A</v>
      </c>
      <c r="AX1641" s="115">
        <f>AN1641-AP1641</f>
      </c>
    </row>
    <row r="1642" spans="1:50" ht="15" customHeight="1" x14ac:dyDescent="0.3">
      <c r="A1642" s="94" t="s">
        <v>862</v>
      </c>
      <c r="B1642" s="94"/>
      <c r="C1642" s="94"/>
      <c r="D1642" s="94"/>
      <c r="E1642" s="94"/>
      <c r="F1642" s="94"/>
      <c r="G1642" s="112">
        <f>AU1642</f>
      </c>
      <c r="H1642" s="113"/>
      <c r="I1642" s="94" t="s">
        <v>390</v>
      </c>
      <c r="J1642" s="94" t="s">
        <v>281</v>
      </c>
      <c r="K1642" s="114">
        <f>P1642/3</f>
      </c>
      <c r="L1642" s="115">
        <v>2765.2939999999999</v>
      </c>
      <c r="M1642" s="116"/>
      <c r="N1642" s="117">
        <f>M1642-L1642</f>
      </c>
      <c r="O1642" s="112"/>
      <c r="P1642" s="118">
        <f>N1642+O1642</f>
      </c>
      <c r="Q1642" s="94"/>
      <c r="R1642" s="94" t="s">
        <v>63</v>
      </c>
      <c r="S1642" s="119">
        <v>46348</v>
      </c>
      <c r="T1642" s="119"/>
      <c r="U1642" s="119" t="s">
        <v>632</v>
      </c>
      <c r="V1642" s="94"/>
      <c r="W1642" s="94"/>
      <c r="X1642" s="94"/>
      <c r="Y1642" s="119">
        <v>46326</v>
      </c>
      <c r="Z1642" s="94"/>
      <c r="AA1642" s="120"/>
      <c r="AB1642" s="120"/>
      <c r="AC1642" s="120"/>
      <c r="AD1642" s="120"/>
      <c r="AE1642" s="120"/>
      <c r="AF1642" s="120"/>
      <c r="AG1642" s="94"/>
      <c r="AH1642" s="120"/>
      <c r="AI1642" s="94"/>
      <c r="AJ1642" s="94"/>
      <c r="AK1642" s="94"/>
      <c r="AL1642" s="94">
        <v>140</v>
      </c>
      <c r="AM1642" s="94" t="str">
        <f>TRIM(AJ1642)&amp;TRIM(AL1642)&amp;TRIM(AK1642)</f>
      </c>
      <c r="AN1642" s="116">
        <v>0</v>
      </c>
      <c r="AO1642" s="116" t="inlineStr">
        <is>
          <t>#NA</t>
        </is>
      </c>
      <c r="AP1642" s="116">
        <f>SUMIFS(M:M,AM:AM,AM1642)+SUMIFS(O:O,AM:AM,AM1642)</f>
      </c>
      <c r="AQ1642" s="116">
        <f>SUMIFS(L:L,AM:AM,AM1642)</f>
      </c>
      <c r="AR1642" s="116">
        <f>AQ1642-AP1642</f>
      </c>
      <c r="AS1642" s="94" t="str">
        <f>IF(AN1642&gt;=AQ1642,"ok","ck")</f>
      </c>
      <c r="AT1642" s="116">
        <f>-P1642</f>
      </c>
      <c r="AU1642" s="115">
        <f>IF(SUMIFS(AT:AT,AM:AM,AM1642)&gt;AO1642,(SUMIFS(AT:AT,AM:AM,AM1642)-AO1642))</f>
      </c>
      <c r="AV1642" s="116" t="e">
        <v>#N/A</v>
      </c>
      <c r="AW1642" s="121" t="e">
        <v>#N/A</v>
      </c>
      <c r="AX1642" s="115">
        <f>AN1642-AP1642</f>
      </c>
    </row>
    <row r="1643" spans="1:50" ht="15" hidden="1" customHeight="1" x14ac:dyDescent="0.3">
      <c r="A1643" s="94" t="s">
        <v>93</v>
      </c>
      <c r="B1643" s="94"/>
      <c r="C1643" s="94"/>
      <c r="D1643" s="94"/>
      <c r="E1643" s="94"/>
      <c r="F1643" s="94"/>
      <c r="G1643" s="112">
        <f>AU1643</f>
      </c>
      <c r="H1643" s="113"/>
      <c r="I1643" s="94" t="s">
        <v>107</v>
      </c>
      <c r="J1643" s="94" t="s">
        <v>575</v>
      </c>
      <c r="K1643" s="114">
        <f>P1643/3</f>
      </c>
      <c r="L1643" s="115">
        <v>194.011</v>
      </c>
      <c r="M1643" s="116"/>
      <c r="N1643" s="117">
        <f>M1643-L1643</f>
      </c>
      <c r="O1643" s="112"/>
      <c r="P1643" s="118">
        <f>N1643+O1643</f>
      </c>
      <c r="Q1643" s="94" t="s">
        <v>828</v>
      </c>
      <c r="R1643" s="94" t="s">
        <v>63</v>
      </c>
      <c r="S1643" s="119">
        <v>46341</v>
      </c>
      <c r="T1643" s="119"/>
      <c r="U1643" s="120">
        <v>46341</v>
      </c>
      <c r="V1643" s="94"/>
      <c r="W1643" s="94"/>
      <c r="X1643" s="94"/>
      <c r="Y1643" s="119">
        <v>46341</v>
      </c>
      <c r="Z1643" s="94"/>
      <c r="AA1643" s="120"/>
      <c r="AB1643" s="120"/>
      <c r="AC1643" s="120"/>
      <c r="AD1643" s="120"/>
      <c r="AE1643" s="120"/>
      <c r="AF1643" s="120"/>
      <c r="AG1643" s="94"/>
      <c r="AH1643" s="120"/>
      <c r="AI1643" s="94"/>
      <c r="AJ1643" s="94" t="s">
        <v>828</v>
      </c>
      <c r="AK1643" s="94" t="s">
        <v>575</v>
      </c>
      <c r="AL1643" s="94">
        <v>140</v>
      </c>
      <c r="AM1643" s="94" t="str">
        <f>TRIM(AJ1643)&amp;TRIM(AL1643)&amp;TRIM(AK1643)</f>
      </c>
      <c r="AN1643" s="116">
        <v>0</v>
      </c>
      <c r="AO1643" s="116" t="inlineStr">
        <is>
          <t>#NA</t>
        </is>
      </c>
      <c r="AP1643" s="116">
        <f>SUMIFS(M:M,AM:AM,AM1643)+SUMIFS(O:O,AM:AM,AM1643)</f>
      </c>
      <c r="AQ1643" s="116">
        <f>SUMIFS(L:L,AM:AM,AM1643)</f>
      </c>
      <c r="AR1643" s="116">
        <f>AQ1643-AP1643</f>
      </c>
      <c r="AS1643" s="94" t="str">
        <f>IF(AN1643&gt;=AQ1643,"ok","ck")</f>
      </c>
      <c r="AT1643" s="116">
        <f>-P1643</f>
      </c>
      <c r="AU1643" s="115">
        <f>IF(SUMIFS(AT:AT,AM:AM,AM1643)&gt;AO1643,(SUMIFS(AT:AT,AM:AM,AM1643)-AO1643))</f>
      </c>
      <c r="AV1643" s="116">
        <v>0</v>
      </c>
      <c r="AW1643" s="121">
        <v>0</v>
      </c>
      <c r="AX1643" s="115">
        <f>AN1643-AP1643</f>
      </c>
    </row>
    <row r="1644" spans="1:50" ht="15" hidden="1" customHeight="1" x14ac:dyDescent="0.3">
      <c r="A1644" s="94" t="s">
        <v>93</v>
      </c>
      <c r="B1644" s="94"/>
      <c r="C1644" s="94"/>
      <c r="D1644" s="94"/>
      <c r="E1644" s="94"/>
      <c r="F1644" s="94"/>
      <c r="G1644" s="112">
        <f>AU1644</f>
      </c>
      <c r="H1644" s="113"/>
      <c r="I1644" s="94" t="s">
        <v>107</v>
      </c>
      <c r="J1644" s="94" t="s">
        <v>575</v>
      </c>
      <c r="K1644" s="114">
        <f>P1644/3</f>
      </c>
      <c r="L1644" s="115">
        <v>23.158000000000001</v>
      </c>
      <c r="M1644" s="116"/>
      <c r="N1644" s="117">
        <f>M1644-L1644</f>
      </c>
      <c r="O1644" s="112"/>
      <c r="P1644" s="118">
        <f>N1644+O1644</f>
      </c>
      <c r="Q1644" s="94" t="s">
        <v>828</v>
      </c>
      <c r="R1644" s="94" t="s">
        <v>63</v>
      </c>
      <c r="S1644" s="119">
        <v>46341</v>
      </c>
      <c r="T1644" s="119"/>
      <c r="U1644" s="119">
        <v>46341</v>
      </c>
      <c r="V1644" s="94"/>
      <c r="W1644" s="94"/>
      <c r="X1644" s="94"/>
      <c r="Y1644" s="119">
        <v>46341</v>
      </c>
      <c r="Z1644" s="94"/>
      <c r="AA1644" s="120"/>
      <c r="AB1644" s="120"/>
      <c r="AC1644" s="120"/>
      <c r="AD1644" s="120"/>
      <c r="AE1644" s="120"/>
      <c r="AF1644" s="120"/>
      <c r="AG1644" s="94"/>
      <c r="AH1644" s="120"/>
      <c r="AI1644" s="94"/>
      <c r="AJ1644" s="94" t="s">
        <v>828</v>
      </c>
      <c r="AK1644" s="94" t="s">
        <v>575</v>
      </c>
      <c r="AL1644" s="94">
        <v>140</v>
      </c>
      <c r="AM1644" s="94" t="str">
        <f>TRIM(AJ1644)&amp;TRIM(AL1644)&amp;TRIM(AK1644)</f>
      </c>
      <c r="AN1644" s="116">
        <v>0</v>
      </c>
      <c r="AO1644" s="116" t="inlineStr">
        <is>
          <t>#NA</t>
        </is>
      </c>
      <c r="AP1644" s="116">
        <f>SUMIFS(M:M,AM:AM,AM1644)+SUMIFS(O:O,AM:AM,AM1644)</f>
      </c>
      <c r="AQ1644" s="116">
        <f>SUMIFS(L:L,AM:AM,AM1644)</f>
      </c>
      <c r="AR1644" s="116">
        <f>AQ1644-AP1644</f>
      </c>
      <c r="AS1644" s="94" t="str">
        <f>IF(AN1644&gt;=AQ1644,"ok","ck")</f>
      </c>
      <c r="AT1644" s="116">
        <f>-P1644</f>
      </c>
      <c r="AU1644" s="115">
        <f>IF(SUMIFS(AT:AT,AM:AM,AM1644)&gt;AO1644,(SUMIFS(AT:AT,AM:AM,AM1644)-AO1644))</f>
      </c>
      <c r="AV1644" s="116">
        <v>0</v>
      </c>
      <c r="AW1644" s="121">
        <v>0</v>
      </c>
      <c r="AX1644" s="115">
        <f>AN1644-AP1644</f>
      </c>
    </row>
    <row r="1645" spans="1:50" ht="15" hidden="1" customHeight="1" x14ac:dyDescent="0.3">
      <c r="A1645" s="94" t="s">
        <v>93</v>
      </c>
      <c r="B1645" s="94"/>
      <c r="C1645" s="94"/>
      <c r="D1645" s="94"/>
      <c r="E1645" s="94"/>
      <c r="F1645" s="94"/>
      <c r="G1645" s="112">
        <f>AU1645</f>
      </c>
      <c r="H1645" s="113"/>
      <c r="I1645" s="94" t="s">
        <v>107</v>
      </c>
      <c r="J1645" s="94" t="s">
        <v>575</v>
      </c>
      <c r="K1645" s="114">
        <f>P1645/3</f>
      </c>
      <c r="L1645" s="115">
        <v>159.4</v>
      </c>
      <c r="M1645" s="116"/>
      <c r="N1645" s="117">
        <f>M1645-L1645</f>
      </c>
      <c r="O1645" s="112"/>
      <c r="P1645" s="118">
        <f>N1645+O1645</f>
      </c>
      <c r="Q1645" s="94" t="s">
        <v>828</v>
      </c>
      <c r="R1645" s="94" t="s">
        <v>63</v>
      </c>
      <c r="S1645" s="119">
        <v>46341</v>
      </c>
      <c r="T1645" s="119"/>
      <c r="U1645" s="119">
        <v>46341</v>
      </c>
      <c r="V1645" s="94"/>
      <c r="W1645" s="94"/>
      <c r="X1645" s="94"/>
      <c r="Y1645" s="119">
        <v>46343</v>
      </c>
      <c r="Z1645" s="94"/>
      <c r="AA1645" s="120"/>
      <c r="AB1645" s="120"/>
      <c r="AC1645" s="120"/>
      <c r="AD1645" s="120"/>
      <c r="AE1645" s="120"/>
      <c r="AF1645" s="120"/>
      <c r="AG1645" s="94"/>
      <c r="AH1645" s="120"/>
      <c r="AI1645" s="94"/>
      <c r="AJ1645" s="94" t="s">
        <v>828</v>
      </c>
      <c r="AK1645" s="94" t="s">
        <v>575</v>
      </c>
      <c r="AL1645" s="94">
        <v>140</v>
      </c>
      <c r="AM1645" s="94" t="str">
        <f>TRIM(AJ1645)&amp;TRIM(AL1645)&amp;TRIM(AK1645)</f>
      </c>
      <c r="AN1645" s="116">
        <v>0</v>
      </c>
      <c r="AO1645" s="116" t="inlineStr">
        <is>
          <t>#NA</t>
        </is>
      </c>
      <c r="AP1645" s="116">
        <f>SUMIFS(M:M,AM:AM,AM1645)+SUMIFS(O:O,AM:AM,AM1645)</f>
      </c>
      <c r="AQ1645" s="116">
        <f>SUMIFS(L:L,AM:AM,AM1645)</f>
      </c>
      <c r="AR1645" s="116">
        <f>AQ1645-AP1645</f>
      </c>
      <c r="AS1645" s="94" t="str">
        <f>IF(AN1645&gt;=AQ1645,"ok","ck")</f>
      </c>
      <c r="AT1645" s="116">
        <f>-P1645</f>
      </c>
      <c r="AU1645" s="115">
        <f>IF(SUMIFS(AT:AT,AM:AM,AM1645)&gt;AO1645,(SUMIFS(AT:AT,AM:AM,AM1645)-AO1645))</f>
      </c>
      <c r="AV1645" s="116">
        <v>0</v>
      </c>
      <c r="AW1645" s="121">
        <v>0</v>
      </c>
      <c r="AX1645" s="115">
        <f>AN1645-AP1645</f>
      </c>
    </row>
    <row r="1646" spans="1:50" ht="15" hidden="1" customHeight="1" x14ac:dyDescent="0.3">
      <c r="A1646" s="94" t="s">
        <v>93</v>
      </c>
      <c r="B1646" s="94"/>
      <c r="C1646" s="94"/>
      <c r="D1646" s="94"/>
      <c r="E1646" s="94"/>
      <c r="F1646" s="94"/>
      <c r="G1646" s="112">
        <f>AU1646</f>
      </c>
      <c r="H1646" s="113"/>
      <c r="I1646" s="94" t="s">
        <v>107</v>
      </c>
      <c r="J1646" s="94" t="s">
        <v>575</v>
      </c>
      <c r="K1646" s="114">
        <f>P1646/3</f>
      </c>
      <c r="L1646" s="115">
        <v>3.048</v>
      </c>
      <c r="M1646" s="116"/>
      <c r="N1646" s="117">
        <f>M1646-L1646</f>
      </c>
      <c r="O1646" s="112"/>
      <c r="P1646" s="118">
        <f>N1646+O1646</f>
      </c>
      <c r="Q1646" s="94" t="s">
        <v>828</v>
      </c>
      <c r="R1646" s="94" t="s">
        <v>63</v>
      </c>
      <c r="S1646" s="119">
        <v>46341</v>
      </c>
      <c r="T1646" s="119"/>
      <c r="U1646" s="119">
        <v>46341</v>
      </c>
      <c r="V1646" s="94"/>
      <c r="W1646" s="94"/>
      <c r="X1646" s="94"/>
      <c r="Y1646" s="119">
        <v>46345</v>
      </c>
      <c r="Z1646" s="94"/>
      <c r="AA1646" s="120"/>
      <c r="AB1646" s="120"/>
      <c r="AC1646" s="120"/>
      <c r="AD1646" s="120"/>
      <c r="AE1646" s="120"/>
      <c r="AF1646" s="120"/>
      <c r="AG1646" s="94"/>
      <c r="AH1646" s="120"/>
      <c r="AI1646" s="94"/>
      <c r="AJ1646" s="94" t="s">
        <v>828</v>
      </c>
      <c r="AK1646" s="94" t="s">
        <v>575</v>
      </c>
      <c r="AL1646" s="94">
        <v>140</v>
      </c>
      <c r="AM1646" s="94" t="str">
        <f>TRIM(AJ1646)&amp;TRIM(AL1646)&amp;TRIM(AK1646)</f>
      </c>
      <c r="AN1646" s="116">
        <v>0</v>
      </c>
      <c r="AO1646" s="116" t="inlineStr">
        <is>
          <t>#NA</t>
        </is>
      </c>
      <c r="AP1646" s="116">
        <f>SUMIFS(M:M,AM:AM,AM1646)+SUMIFS(O:O,AM:AM,AM1646)</f>
      </c>
      <c r="AQ1646" s="116">
        <f>SUMIFS(L:L,AM:AM,AM1646)</f>
      </c>
      <c r="AR1646" s="116">
        <f>AQ1646-AP1646</f>
      </c>
      <c r="AS1646" s="94" t="str">
        <f>IF(AN1646&gt;=AQ1646,"ok","ck")</f>
      </c>
      <c r="AT1646" s="116">
        <f>-P1646</f>
      </c>
      <c r="AU1646" s="115">
        <f>IF(SUMIFS(AT:AT,AM:AM,AM1646)&gt;AO1646,(SUMIFS(AT:AT,AM:AM,AM1646)-AO1646))</f>
      </c>
      <c r="AV1646" s="116">
        <v>0</v>
      </c>
      <c r="AW1646" s="121">
        <v>0</v>
      </c>
      <c r="AX1646" s="115">
        <f>AN1646-AP1646</f>
      </c>
    </row>
    <row r="1647" spans="1:50" ht="15" hidden="1" customHeight="1" x14ac:dyDescent="0.3">
      <c r="A1647" s="94" t="s">
        <v>93</v>
      </c>
      <c r="B1647" s="94"/>
      <c r="C1647" s="94"/>
      <c r="D1647" s="94"/>
      <c r="E1647" s="94"/>
      <c r="F1647" s="94"/>
      <c r="G1647" s="112">
        <f>AU1647</f>
      </c>
      <c r="H1647" s="113"/>
      <c r="I1647" s="94" t="s">
        <v>107</v>
      </c>
      <c r="J1647" s="94" t="s">
        <v>575</v>
      </c>
      <c r="K1647" s="114">
        <f>P1647/3</f>
      </c>
      <c r="L1647" s="115">
        <v>19.565999999999999</v>
      </c>
      <c r="M1647" s="116"/>
      <c r="N1647" s="117">
        <f>M1647-L1647</f>
      </c>
      <c r="O1647" s="112"/>
      <c r="P1647" s="118">
        <f>N1647+O1647</f>
      </c>
      <c r="Q1647" s="94" t="s">
        <v>828</v>
      </c>
      <c r="R1647" s="94" t="s">
        <v>63</v>
      </c>
      <c r="S1647" s="119">
        <v>46341</v>
      </c>
      <c r="T1647" s="119"/>
      <c r="U1647" s="119">
        <v>46341</v>
      </c>
      <c r="V1647" s="94"/>
      <c r="W1647" s="94"/>
      <c r="X1647" s="94"/>
      <c r="Y1647" s="119">
        <v>46343</v>
      </c>
      <c r="Z1647" s="94"/>
      <c r="AA1647" s="120"/>
      <c r="AB1647" s="120"/>
      <c r="AC1647" s="120"/>
      <c r="AD1647" s="120"/>
      <c r="AE1647" s="120"/>
      <c r="AF1647" s="120"/>
      <c r="AG1647" s="94"/>
      <c r="AH1647" s="120"/>
      <c r="AI1647" s="94"/>
      <c r="AJ1647" s="94" t="s">
        <v>828</v>
      </c>
      <c r="AK1647" s="94" t="s">
        <v>575</v>
      </c>
      <c r="AL1647" s="94">
        <v>140</v>
      </c>
      <c r="AM1647" s="94" t="str">
        <f>TRIM(AJ1647)&amp;TRIM(AL1647)&amp;TRIM(AK1647)</f>
      </c>
      <c r="AN1647" s="116">
        <v>0</v>
      </c>
      <c r="AO1647" s="116" t="inlineStr">
        <is>
          <t>#NA</t>
        </is>
      </c>
      <c r="AP1647" s="116">
        <f>SUMIFS(M:M,AM:AM,AM1647)+SUMIFS(O:O,AM:AM,AM1647)</f>
      </c>
      <c r="AQ1647" s="116">
        <f>SUMIFS(L:L,AM:AM,AM1647)</f>
      </c>
      <c r="AR1647" s="116">
        <f>AQ1647-AP1647</f>
      </c>
      <c r="AS1647" s="94" t="str">
        <f>IF(AN1647&gt;=AQ1647,"ok","ck")</f>
      </c>
      <c r="AT1647" s="116">
        <f>-P1647</f>
      </c>
      <c r="AU1647" s="115">
        <f>IF(SUMIFS(AT:AT,AM:AM,AM1647)&gt;AO1647,(SUMIFS(AT:AT,AM:AM,AM1647)-AO1647))</f>
      </c>
      <c r="AV1647" s="116">
        <v>0</v>
      </c>
      <c r="AW1647" s="121">
        <v>0</v>
      </c>
      <c r="AX1647" s="115">
        <f>AN1647-AP1647</f>
      </c>
    </row>
    <row r="1648" spans="1:50" ht="15" hidden="1" customHeight="1" x14ac:dyDescent="0.3">
      <c r="A1648" s="94" t="s">
        <v>93</v>
      </c>
      <c r="B1648" s="94"/>
      <c r="C1648" s="94"/>
      <c r="D1648" s="94"/>
      <c r="E1648" s="94"/>
      <c r="F1648" s="94"/>
      <c r="G1648" s="112">
        <f>AU1648</f>
      </c>
      <c r="H1648" s="113"/>
      <c r="I1648" s="94" t="s">
        <v>107</v>
      </c>
      <c r="J1648" s="94" t="s">
        <v>575</v>
      </c>
      <c r="K1648" s="114">
        <f>P1648/3</f>
      </c>
      <c r="L1648" s="115">
        <v>0</v>
      </c>
      <c r="M1648" s="116"/>
      <c r="N1648" s="117">
        <f>M1648-L1648</f>
      </c>
      <c r="O1648" s="112"/>
      <c r="P1648" s="118">
        <f>N1648+O1648</f>
      </c>
      <c r="Q1648" s="94" t="s">
        <v>828</v>
      </c>
      <c r="R1648" s="94" t="s">
        <v>63</v>
      </c>
      <c r="S1648" s="119">
        <v>46341</v>
      </c>
      <c r="T1648" s="119"/>
      <c r="U1648" s="119">
        <v>46341</v>
      </c>
      <c r="V1648" s="94"/>
      <c r="W1648" s="94"/>
      <c r="X1648" s="94"/>
      <c r="Y1648" s="119">
        <v>46345</v>
      </c>
      <c r="Z1648" s="94"/>
      <c r="AA1648" s="120"/>
      <c r="AB1648" s="120"/>
      <c r="AC1648" s="120"/>
      <c r="AD1648" s="120"/>
      <c r="AE1648" s="120"/>
      <c r="AF1648" s="120"/>
      <c r="AG1648" s="94"/>
      <c r="AH1648" s="120"/>
      <c r="AI1648" s="94"/>
      <c r="AJ1648" s="94" t="s">
        <v>828</v>
      </c>
      <c r="AK1648" s="94" t="s">
        <v>575</v>
      </c>
      <c r="AL1648" s="94">
        <v>140</v>
      </c>
      <c r="AM1648" s="94" t="str">
        <f>TRIM(AJ1648)&amp;TRIM(AL1648)&amp;TRIM(AK1648)</f>
      </c>
      <c r="AN1648" s="116">
        <v>0</v>
      </c>
      <c r="AO1648" s="116" t="inlineStr">
        <is>
          <t>#NA</t>
        </is>
      </c>
      <c r="AP1648" s="116">
        <f>SUMIFS(M:M,AM:AM,AM1648)+SUMIFS(O:O,AM:AM,AM1648)</f>
      </c>
      <c r="AQ1648" s="116">
        <f>SUMIFS(L:L,AM:AM,AM1648)</f>
      </c>
      <c r="AR1648" s="116">
        <f>AQ1648-AP1648</f>
      </c>
      <c r="AS1648" s="94" t="str">
        <f>IF(AN1648&gt;=AQ1648,"ok","ck")</f>
      </c>
      <c r="AT1648" s="116">
        <f>-P1648</f>
      </c>
      <c r="AU1648" s="115">
        <f>IF(SUMIFS(AT:AT,AM:AM,AM1648)&gt;AO1648,(SUMIFS(AT:AT,AM:AM,AM1648)-AO1648))</f>
      </c>
      <c r="AV1648" s="116">
        <v>0</v>
      </c>
      <c r="AW1648" s="121">
        <v>0</v>
      </c>
      <c r="AX1648" s="115">
        <f>AN1648-AP1648</f>
      </c>
    </row>
    <row r="1649" spans="1:50" ht="15" hidden="1" customHeight="1" x14ac:dyDescent="0.3">
      <c r="A1649" s="94" t="s">
        <v>60</v>
      </c>
      <c r="B1649" s="94"/>
      <c r="C1649" s="94"/>
      <c r="D1649" s="94"/>
      <c r="E1649" s="94"/>
      <c r="F1649" s="94"/>
      <c r="G1649" s="112">
        <f>AU1649</f>
      </c>
      <c r="H1649" s="113"/>
      <c r="I1649" s="94" t="s">
        <v>65</v>
      </c>
      <c r="J1649" s="94" t="s">
        <v>71</v>
      </c>
      <c r="K1649" s="114">
        <f>P1649/3</f>
      </c>
      <c r="L1649" s="115">
        <v>77.001999999999995</v>
      </c>
      <c r="M1649" s="116"/>
      <c r="N1649" s="117">
        <f>M1649-L1649</f>
      </c>
      <c r="O1649" s="112"/>
      <c r="P1649" s="118">
        <f>N1649+O1649</f>
      </c>
      <c r="Q1649" s="94" t="s">
        <v>92</v>
      </c>
      <c r="R1649" s="94" t="s">
        <v>63</v>
      </c>
      <c r="S1649" s="119">
        <v>46323</v>
      </c>
      <c r="T1649" s="119"/>
      <c r="U1649" s="119" t="s">
        <v>669</v>
      </c>
      <c r="V1649" s="94"/>
      <c r="W1649" s="94"/>
      <c r="X1649" s="94"/>
      <c r="Y1649" s="119">
        <v>46321</v>
      </c>
      <c r="Z1649" s="94"/>
      <c r="AA1649" s="120"/>
      <c r="AB1649" s="120"/>
      <c r="AC1649" s="120"/>
      <c r="AD1649" s="120"/>
      <c r="AE1649" s="120"/>
      <c r="AF1649" s="120"/>
      <c r="AG1649" s="94"/>
      <c r="AH1649" s="120"/>
      <c r="AI1649" s="94"/>
      <c r="AJ1649" s="94" t="s">
        <v>92</v>
      </c>
      <c r="AK1649" s="94" t="s">
        <v>71</v>
      </c>
      <c r="AL1649" s="94">
        <v>110</v>
      </c>
      <c r="AM1649" s="94" t="str">
        <f>TRIM(AJ1649)&amp;TRIM(AL1649)&amp;TRIM(AK1649)</f>
      </c>
      <c r="AN1649" s="116">
        <v>0</v>
      </c>
      <c r="AO1649" s="116" t="inlineStr">
        <is>
          <t>#NA</t>
        </is>
      </c>
      <c r="AP1649" s="116">
        <f>SUMIFS(M:M,AM:AM,AM1649)+SUMIFS(O:O,AM:AM,AM1649)</f>
      </c>
      <c r="AQ1649" s="116">
        <f>SUMIFS(L:L,AM:AM,AM1649)</f>
      </c>
      <c r="AR1649" s="116">
        <f>AQ1649-AP1649</f>
      </c>
      <c r="AS1649" s="94" t="str">
        <f>IF(AN1649&gt;=AQ1649,"ok","ck")</f>
      </c>
      <c r="AT1649" s="116">
        <f>-P1649</f>
      </c>
      <c r="AU1649" s="115">
        <f>IF(SUMIFS(AT:AT,AM:AM,AM1649)&gt;AO1649,(SUMIFS(AT:AT,AM:AM,AM1649)-AO1649))</f>
      </c>
      <c r="AV1649" s="116">
        <v>0</v>
      </c>
      <c r="AW1649" s="121">
        <v>0</v>
      </c>
      <c r="AX1649" s="115">
        <f>AN1649-AP1649</f>
      </c>
    </row>
    <row r="1650" spans="1:50" ht="15" hidden="1" customHeight="1" x14ac:dyDescent="0.3">
      <c r="A1650" s="94" t="s">
        <v>60</v>
      </c>
      <c r="B1650" s="94"/>
      <c r="C1650" s="94"/>
      <c r="D1650" s="94"/>
      <c r="E1650" s="94"/>
      <c r="F1650" s="94"/>
      <c r="G1650" s="112">
        <f>AU1650</f>
      </c>
      <c r="H1650" s="113"/>
      <c r="I1650" s="94" t="s">
        <v>65</v>
      </c>
      <c r="J1650" s="94" t="s">
        <v>71</v>
      </c>
      <c r="K1650" s="114">
        <f>P1650/3</f>
      </c>
      <c r="L1650" s="115">
        <v>77.001999999999995</v>
      </c>
      <c r="M1650" s="116"/>
      <c r="N1650" s="117">
        <f>M1650-L1650</f>
      </c>
      <c r="O1650" s="112"/>
      <c r="P1650" s="118">
        <f>N1650+O1650</f>
      </c>
      <c r="Q1650" s="94" t="s">
        <v>92</v>
      </c>
      <c r="R1650" s="94" t="s">
        <v>63</v>
      </c>
      <c r="S1650" s="119">
        <v>46324</v>
      </c>
      <c r="T1650" s="119"/>
      <c r="U1650" s="119" t="s">
        <v>669</v>
      </c>
      <c r="V1650" s="94"/>
      <c r="W1650" s="94"/>
      <c r="X1650" s="94"/>
      <c r="Y1650" s="119">
        <v>46321</v>
      </c>
      <c r="Z1650" s="94"/>
      <c r="AA1650" s="120"/>
      <c r="AB1650" s="120"/>
      <c r="AC1650" s="120"/>
      <c r="AD1650" s="120"/>
      <c r="AE1650" s="120"/>
      <c r="AF1650" s="120"/>
      <c r="AG1650" s="94"/>
      <c r="AH1650" s="120"/>
      <c r="AI1650" s="94"/>
      <c r="AJ1650" s="94" t="s">
        <v>92</v>
      </c>
      <c r="AK1650" s="94" t="s">
        <v>71</v>
      </c>
      <c r="AL1650" s="94">
        <v>110</v>
      </c>
      <c r="AM1650" s="94" t="str">
        <f>TRIM(AJ1650)&amp;TRIM(AL1650)&amp;TRIM(AK1650)</f>
      </c>
      <c r="AN1650" s="116">
        <v>0</v>
      </c>
      <c r="AO1650" s="116" t="inlineStr">
        <is>
          <t>#NA</t>
        </is>
      </c>
      <c r="AP1650" s="116">
        <f>SUMIFS(M:M,AM:AM,AM1650)+SUMIFS(O:O,AM:AM,AM1650)</f>
      </c>
      <c r="AQ1650" s="116">
        <f>SUMIFS(L:L,AM:AM,AM1650)</f>
      </c>
      <c r="AR1650" s="116">
        <f>AQ1650-AP1650</f>
      </c>
      <c r="AS1650" s="94" t="str">
        <f>IF(AN1650&gt;=AQ1650,"ok","ck")</f>
      </c>
      <c r="AT1650" s="116">
        <f>-P1650</f>
      </c>
      <c r="AU1650" s="115">
        <f>IF(SUMIFS(AT:AT,AM:AM,AM1650)&gt;AO1650,(SUMIFS(AT:AT,AM:AM,AM1650)-AO1650))</f>
      </c>
      <c r="AV1650" s="116">
        <v>0</v>
      </c>
      <c r="AW1650" s="121">
        <v>0</v>
      </c>
      <c r="AX1650" s="115">
        <f>AN1650-AP1650</f>
      </c>
    </row>
    <row r="1651" spans="1:50" ht="15" hidden="1" customHeight="1" x14ac:dyDescent="0.3">
      <c r="A1651" s="94" t="s">
        <v>60</v>
      </c>
      <c r="B1651" s="94"/>
      <c r="C1651" s="94"/>
      <c r="D1651" s="94"/>
      <c r="E1651" s="94"/>
      <c r="F1651" s="94"/>
      <c r="G1651" s="112">
        <f>AU1651</f>
      </c>
      <c r="H1651" s="113"/>
      <c r="I1651" s="94" t="s">
        <v>65</v>
      </c>
      <c r="J1651" s="94" t="s">
        <v>71</v>
      </c>
      <c r="K1651" s="114">
        <f>P1651/3</f>
      </c>
      <c r="L1651" s="115">
        <v>77.001999999999995</v>
      </c>
      <c r="M1651" s="116"/>
      <c r="N1651" s="117">
        <f>M1651-L1651</f>
      </c>
      <c r="O1651" s="112"/>
      <c r="P1651" s="118">
        <f>N1651+O1651</f>
      </c>
      <c r="Q1651" s="94" t="s">
        <v>92</v>
      </c>
      <c r="R1651" s="94" t="s">
        <v>63</v>
      </c>
      <c r="S1651" s="119">
        <v>46325</v>
      </c>
      <c r="T1651" s="119"/>
      <c r="U1651" s="119" t="s">
        <v>669</v>
      </c>
      <c r="V1651" s="94"/>
      <c r="W1651" s="94"/>
      <c r="X1651" s="94"/>
      <c r="Y1651" s="119">
        <v>46321</v>
      </c>
      <c r="Z1651" s="94"/>
      <c r="AA1651" s="120"/>
      <c r="AB1651" s="120"/>
      <c r="AC1651" s="120"/>
      <c r="AD1651" s="120"/>
      <c r="AE1651" s="120"/>
      <c r="AF1651" s="120"/>
      <c r="AG1651" s="94"/>
      <c r="AH1651" s="120"/>
      <c r="AI1651" s="94"/>
      <c r="AJ1651" s="94" t="s">
        <v>92</v>
      </c>
      <c r="AK1651" s="94" t="s">
        <v>71</v>
      </c>
      <c r="AL1651" s="94">
        <v>110</v>
      </c>
      <c r="AM1651" s="94" t="str">
        <f>TRIM(AJ1651)&amp;TRIM(AL1651)&amp;TRIM(AK1651)</f>
      </c>
      <c r="AN1651" s="116">
        <v>0</v>
      </c>
      <c r="AO1651" s="116" t="inlineStr">
        <is>
          <t>#NA</t>
        </is>
      </c>
      <c r="AP1651" s="116">
        <f>SUMIFS(M:M,AM:AM,AM1651)+SUMIFS(O:O,AM:AM,AM1651)</f>
      </c>
      <c r="AQ1651" s="116">
        <f>SUMIFS(L:L,AM:AM,AM1651)</f>
      </c>
      <c r="AR1651" s="116">
        <f>AQ1651-AP1651</f>
      </c>
      <c r="AS1651" s="94" t="str">
        <f>IF(AN1651&gt;=AQ1651,"ok","ck")</f>
      </c>
      <c r="AT1651" s="116">
        <f>-P1651</f>
      </c>
      <c r="AU1651" s="115">
        <f>IF(SUMIFS(AT:AT,AM:AM,AM1651)&gt;AO1651,(SUMIFS(AT:AT,AM:AM,AM1651)-AO1651))</f>
      </c>
      <c r="AV1651" s="116">
        <v>0</v>
      </c>
      <c r="AW1651" s="121">
        <v>0</v>
      </c>
      <c r="AX1651" s="115">
        <f>AN1651-AP1651</f>
      </c>
    </row>
    <row r="1652" spans="1:50" ht="15" hidden="1" customHeight="1" x14ac:dyDescent="0.3">
      <c r="A1652" s="94" t="s">
        <v>60</v>
      </c>
      <c r="B1652" s="94"/>
      <c r="C1652" s="94"/>
      <c r="D1652" s="94"/>
      <c r="E1652" s="94"/>
      <c r="F1652" s="94"/>
      <c r="G1652" s="112">
        <f>AU1652</f>
      </c>
      <c r="H1652" s="113"/>
      <c r="I1652" s="94" t="s">
        <v>65</v>
      </c>
      <c r="J1652" s="94" t="s">
        <v>71</v>
      </c>
      <c r="K1652" s="114">
        <f>P1652/3</f>
      </c>
      <c r="L1652" s="115">
        <v>77.001999999999995</v>
      </c>
      <c r="M1652" s="116"/>
      <c r="N1652" s="117">
        <f>M1652-L1652</f>
      </c>
      <c r="O1652" s="112"/>
      <c r="P1652" s="118">
        <f>N1652+O1652</f>
      </c>
      <c r="Q1652" s="94" t="s">
        <v>92</v>
      </c>
      <c r="R1652" s="94" t="s">
        <v>63</v>
      </c>
      <c r="S1652" s="119">
        <v>46326</v>
      </c>
      <c r="T1652" s="119"/>
      <c r="U1652" s="120" t="s">
        <v>669</v>
      </c>
      <c r="V1652" s="94"/>
      <c r="W1652" s="94"/>
      <c r="X1652" s="94"/>
      <c r="Y1652" s="119">
        <v>46329</v>
      </c>
      <c r="Z1652" s="94"/>
      <c r="AA1652" s="120"/>
      <c r="AB1652" s="120"/>
      <c r="AC1652" s="120"/>
      <c r="AD1652" s="120"/>
      <c r="AE1652" s="120"/>
      <c r="AF1652" s="120"/>
      <c r="AG1652" s="94"/>
      <c r="AH1652" s="120"/>
      <c r="AI1652" s="94"/>
      <c r="AJ1652" s="94" t="s">
        <v>92</v>
      </c>
      <c r="AK1652" s="94" t="s">
        <v>71</v>
      </c>
      <c r="AL1652" s="94">
        <v>110</v>
      </c>
      <c r="AM1652" s="94" t="str">
        <f>TRIM(AJ1652)&amp;TRIM(AL1652)&amp;TRIM(AK1652)</f>
      </c>
      <c r="AN1652" s="116">
        <v>0</v>
      </c>
      <c r="AO1652" s="116" t="inlineStr">
        <is>
          <t>#NA</t>
        </is>
      </c>
      <c r="AP1652" s="116">
        <f>SUMIFS(M:M,AM:AM,AM1652)+SUMIFS(O:O,AM:AM,AM1652)</f>
      </c>
      <c r="AQ1652" s="116">
        <f>SUMIFS(L:L,AM:AM,AM1652)</f>
      </c>
      <c r="AR1652" s="116">
        <f>AQ1652-AP1652</f>
      </c>
      <c r="AS1652" s="94" t="str">
        <f>IF(AN1652&gt;=AQ1652,"ok","ck")</f>
      </c>
      <c r="AT1652" s="116">
        <f>-P1652</f>
      </c>
      <c r="AU1652" s="115">
        <f>IF(SUMIFS(AT:AT,AM:AM,AM1652)&gt;AO1652,(SUMIFS(AT:AT,AM:AM,AM1652)-AO1652))</f>
      </c>
      <c r="AV1652" s="116">
        <v>0</v>
      </c>
      <c r="AW1652" s="121">
        <v>0</v>
      </c>
      <c r="AX1652" s="115">
        <f>AN1652-AP1652</f>
      </c>
    </row>
    <row r="1653" spans="1:50" ht="15" hidden="1" customHeight="1" x14ac:dyDescent="0.3">
      <c r="A1653" s="94" t="s">
        <v>60</v>
      </c>
      <c r="B1653" s="94"/>
      <c r="C1653" s="94"/>
      <c r="D1653" s="94"/>
      <c r="E1653" s="94"/>
      <c r="F1653" s="94"/>
      <c r="G1653" s="112">
        <f>AU1653</f>
      </c>
      <c r="H1653" s="113"/>
      <c r="I1653" s="94" t="s">
        <v>65</v>
      </c>
      <c r="J1653" s="94" t="s">
        <v>71</v>
      </c>
      <c r="K1653" s="114">
        <f>P1653/3</f>
      </c>
      <c r="L1653" s="115">
        <v>77.001999999999995</v>
      </c>
      <c r="M1653" s="116"/>
      <c r="N1653" s="117">
        <f>M1653-L1653</f>
      </c>
      <c r="O1653" s="112"/>
      <c r="P1653" s="118">
        <f>N1653+O1653</f>
      </c>
      <c r="Q1653" s="94" t="s">
        <v>92</v>
      </c>
      <c r="R1653" s="94" t="s">
        <v>63</v>
      </c>
      <c r="S1653" s="119">
        <v>46327</v>
      </c>
      <c r="T1653" s="119"/>
      <c r="U1653" s="120" t="s">
        <v>669</v>
      </c>
      <c r="V1653" s="94"/>
      <c r="W1653" s="94"/>
      <c r="X1653" s="94"/>
      <c r="Y1653" s="119">
        <v>46329</v>
      </c>
      <c r="Z1653" s="94"/>
      <c r="AA1653" s="120"/>
      <c r="AB1653" s="120"/>
      <c r="AC1653" s="120"/>
      <c r="AD1653" s="120"/>
      <c r="AE1653" s="120"/>
      <c r="AF1653" s="120"/>
      <c r="AG1653" s="94"/>
      <c r="AH1653" s="120"/>
      <c r="AI1653" s="94"/>
      <c r="AJ1653" s="94" t="s">
        <v>92</v>
      </c>
      <c r="AK1653" s="94" t="s">
        <v>71</v>
      </c>
      <c r="AL1653" s="94">
        <v>110</v>
      </c>
      <c r="AM1653" s="94" t="str">
        <f>TRIM(AJ1653)&amp;TRIM(AL1653)&amp;TRIM(AK1653)</f>
      </c>
      <c r="AN1653" s="116">
        <v>0</v>
      </c>
      <c r="AO1653" s="116" t="inlineStr">
        <is>
          <t>#NA</t>
        </is>
      </c>
      <c r="AP1653" s="116">
        <f>SUMIFS(M:M,AM:AM,AM1653)+SUMIFS(O:O,AM:AM,AM1653)</f>
      </c>
      <c r="AQ1653" s="116">
        <f>SUMIFS(L:L,AM:AM,AM1653)</f>
      </c>
      <c r="AR1653" s="116">
        <f>AQ1653-AP1653</f>
      </c>
      <c r="AS1653" s="94" t="str">
        <f>IF(AN1653&gt;=AQ1653,"ok","ck")</f>
      </c>
      <c r="AT1653" s="116">
        <f>-P1653</f>
      </c>
      <c r="AU1653" s="115">
        <f>IF(SUMIFS(AT:AT,AM:AM,AM1653)&gt;AO1653,(SUMIFS(AT:AT,AM:AM,AM1653)-AO1653))</f>
      </c>
      <c r="AV1653" s="116">
        <v>0</v>
      </c>
      <c r="AW1653" s="121">
        <v>0</v>
      </c>
      <c r="AX1653" s="115">
        <f>AN1653-AP1653</f>
      </c>
    </row>
    <row r="1654" spans="1:50" ht="15" hidden="1" customHeight="1" x14ac:dyDescent="0.3">
      <c r="A1654" s="94" t="s">
        <v>60</v>
      </c>
      <c r="B1654" s="94"/>
      <c r="C1654" s="94"/>
      <c r="D1654" s="94"/>
      <c r="E1654" s="94"/>
      <c r="F1654" s="94"/>
      <c r="G1654" s="112">
        <f>AU1654</f>
      </c>
      <c r="H1654" s="113"/>
      <c r="I1654" s="94" t="s">
        <v>65</v>
      </c>
      <c r="J1654" s="94" t="s">
        <v>71</v>
      </c>
      <c r="K1654" s="114">
        <f>P1654/3</f>
      </c>
      <c r="L1654" s="115">
        <v>77.001999999999995</v>
      </c>
      <c r="M1654" s="116"/>
      <c r="N1654" s="117">
        <f>M1654-L1654</f>
      </c>
      <c r="O1654" s="112"/>
      <c r="P1654" s="118">
        <f>N1654+O1654</f>
      </c>
      <c r="Q1654" s="94" t="s">
        <v>92</v>
      </c>
      <c r="R1654" s="94" t="s">
        <v>63</v>
      </c>
      <c r="S1654" s="119">
        <v>46328</v>
      </c>
      <c r="T1654" s="119"/>
      <c r="U1654" s="120" t="s">
        <v>669</v>
      </c>
      <c r="V1654" s="94"/>
      <c r="W1654" s="94"/>
      <c r="X1654" s="94"/>
      <c r="Y1654" s="119">
        <v>46329</v>
      </c>
      <c r="Z1654" s="94"/>
      <c r="AA1654" s="120"/>
      <c r="AB1654" s="120"/>
      <c r="AC1654" s="120"/>
      <c r="AD1654" s="120"/>
      <c r="AE1654" s="120"/>
      <c r="AF1654" s="120"/>
      <c r="AG1654" s="94"/>
      <c r="AH1654" s="120"/>
      <c r="AI1654" s="94"/>
      <c r="AJ1654" s="94" t="s">
        <v>92</v>
      </c>
      <c r="AK1654" s="94" t="s">
        <v>71</v>
      </c>
      <c r="AL1654" s="94">
        <v>110</v>
      </c>
      <c r="AM1654" s="94" t="str">
        <f>TRIM(AJ1654)&amp;TRIM(AL1654)&amp;TRIM(AK1654)</f>
      </c>
      <c r="AN1654" s="116">
        <v>0</v>
      </c>
      <c r="AO1654" s="116" t="inlineStr">
        <is>
          <t>#NA</t>
        </is>
      </c>
      <c r="AP1654" s="116">
        <f>SUMIFS(M:M,AM:AM,AM1654)+SUMIFS(O:O,AM:AM,AM1654)</f>
      </c>
      <c r="AQ1654" s="116">
        <f>SUMIFS(L:L,AM:AM,AM1654)</f>
      </c>
      <c r="AR1654" s="116">
        <f>AQ1654-AP1654</f>
      </c>
      <c r="AS1654" s="94" t="str">
        <f>IF(AN1654&gt;=AQ1654,"ok","ck")</f>
      </c>
      <c r="AT1654" s="116">
        <f>-P1654</f>
      </c>
      <c r="AU1654" s="115">
        <f>IF(SUMIFS(AT:AT,AM:AM,AM1654)&gt;AO1654,(SUMIFS(AT:AT,AM:AM,AM1654)-AO1654))</f>
      </c>
      <c r="AV1654" s="116">
        <v>0</v>
      </c>
      <c r="AW1654" s="121">
        <v>0</v>
      </c>
      <c r="AX1654" s="115">
        <f>AN1654-AP1654</f>
      </c>
    </row>
    <row r="1655" spans="1:50" ht="15" hidden="1" customHeight="1" x14ac:dyDescent="0.3">
      <c r="A1655" s="94" t="s">
        <v>60</v>
      </c>
      <c r="B1655" s="94"/>
      <c r="C1655" s="94"/>
      <c r="D1655" s="94"/>
      <c r="E1655" s="94"/>
      <c r="F1655" s="94"/>
      <c r="G1655" s="112">
        <f>AU1655</f>
      </c>
      <c r="H1655" s="113"/>
      <c r="I1655" s="94" t="s">
        <v>70</v>
      </c>
      <c r="J1655" s="94" t="s">
        <v>66</v>
      </c>
      <c r="K1655" s="114">
        <f>P1655/3</f>
      </c>
      <c r="L1655" s="115">
        <v>1650.87</v>
      </c>
      <c r="M1655" s="116"/>
      <c r="N1655" s="117">
        <f>M1655-L1655</f>
      </c>
      <c r="O1655" s="112"/>
      <c r="P1655" s="118">
        <f>N1655+O1655</f>
      </c>
      <c r="Q1655" s="94" t="s">
        <v>92</v>
      </c>
      <c r="R1655" s="94" t="s">
        <v>63</v>
      </c>
      <c r="S1655" s="119">
        <v>46327</v>
      </c>
      <c r="T1655" s="119"/>
      <c r="U1655" s="120" t="s">
        <v>676</v>
      </c>
      <c r="V1655" s="94"/>
      <c r="W1655" s="94"/>
      <c r="X1655" s="94"/>
      <c r="Y1655" s="119">
        <v>46323</v>
      </c>
      <c r="Z1655" s="94"/>
      <c r="AA1655" s="120"/>
      <c r="AB1655" s="120"/>
      <c r="AC1655" s="120"/>
      <c r="AD1655" s="120"/>
      <c r="AE1655" s="120"/>
      <c r="AF1655" s="120"/>
      <c r="AG1655" s="94"/>
      <c r="AH1655" s="120"/>
      <c r="AI1655" s="94"/>
      <c r="AJ1655" s="94" t="s">
        <v>92</v>
      </c>
      <c r="AK1655" s="94" t="s">
        <v>66</v>
      </c>
      <c r="AL1655" s="94">
        <v>140</v>
      </c>
      <c r="AM1655" s="94" t="str">
        <f>TRIM(AJ1655)&amp;TRIM(AL1655)&amp;TRIM(AK1655)</f>
      </c>
      <c r="AN1655" s="116">
        <v>1226</v>
      </c>
      <c r="AO1655" s="116">
        <v>17659</v>
      </c>
      <c r="AP1655" s="116">
        <f>SUMIFS(M:M,AM:AM,AM1655)+SUMIFS(O:O,AM:AM,AM1655)</f>
      </c>
      <c r="AQ1655" s="116">
        <f>SUMIFS(L:L,AM:AM,AM1655)</f>
      </c>
      <c r="AR1655" s="116">
        <f>AQ1655-AP1655</f>
      </c>
      <c r="AS1655" s="94" t="str">
        <f>IF(AN1655&gt;=AQ1655,"ok","ck")</f>
      </c>
      <c r="AT1655" s="116">
        <f>-P1655</f>
      </c>
      <c r="AU1655" s="115">
        <f>IF(SUMIFS(AT:AT,AM:AM,AM1655)&gt;AO1655,(SUMIFS(AT:AT,AM:AM,AM1655)-AO1655))</f>
      </c>
      <c r="AV1655" s="116">
        <v>1226</v>
      </c>
      <c r="AW1655" s="121">
        <v>0.925</v>
      </c>
      <c r="AX1655" s="115">
        <f>AN1655-AP1655</f>
      </c>
    </row>
    <row r="1656" spans="1:50" ht="15" hidden="1" customHeight="1" x14ac:dyDescent="0.3">
      <c r="A1656" s="94" t="s">
        <v>60</v>
      </c>
      <c r="B1656" s="94"/>
      <c r="C1656" s="94"/>
      <c r="D1656" s="94"/>
      <c r="E1656" s="94"/>
      <c r="F1656" s="94"/>
      <c r="G1656" s="112">
        <f>AU1656</f>
      </c>
      <c r="H1656" s="113"/>
      <c r="I1656" s="94" t="s">
        <v>70</v>
      </c>
      <c r="J1656" s="94" t="s">
        <v>66</v>
      </c>
      <c r="K1656" s="114">
        <f>P1656/3</f>
      </c>
      <c r="L1656" s="115">
        <v>1650.87</v>
      </c>
      <c r="M1656" s="116"/>
      <c r="N1656" s="117">
        <f>M1656-L1656</f>
      </c>
      <c r="O1656" s="112"/>
      <c r="P1656" s="118">
        <f>N1656+O1656</f>
      </c>
      <c r="Q1656" s="94" t="s">
        <v>92</v>
      </c>
      <c r="R1656" s="94" t="s">
        <v>63</v>
      </c>
      <c r="S1656" s="119">
        <v>46328</v>
      </c>
      <c r="T1656" s="119"/>
      <c r="U1656" s="120" t="s">
        <v>676</v>
      </c>
      <c r="V1656" s="94"/>
      <c r="W1656" s="94"/>
      <c r="X1656" s="94"/>
      <c r="Y1656" s="119">
        <v>46322</v>
      </c>
      <c r="Z1656" s="94"/>
      <c r="AA1656" s="120"/>
      <c r="AB1656" s="120"/>
      <c r="AC1656" s="120"/>
      <c r="AD1656" s="120"/>
      <c r="AE1656" s="120"/>
      <c r="AF1656" s="120"/>
      <c r="AG1656" s="94"/>
      <c r="AH1656" s="120"/>
      <c r="AI1656" s="94"/>
      <c r="AJ1656" s="94" t="s">
        <v>92</v>
      </c>
      <c r="AK1656" s="94" t="s">
        <v>66</v>
      </c>
      <c r="AL1656" s="94">
        <v>140</v>
      </c>
      <c r="AM1656" s="94" t="str">
        <f>TRIM(AJ1656)&amp;TRIM(AL1656)&amp;TRIM(AK1656)</f>
      </c>
      <c r="AN1656" s="116">
        <v>1226</v>
      </c>
      <c r="AO1656" s="116">
        <v>17659</v>
      </c>
      <c r="AP1656" s="116">
        <f>SUMIFS(M:M,AM:AM,AM1656)+SUMIFS(O:O,AM:AM,AM1656)</f>
      </c>
      <c r="AQ1656" s="116">
        <f>SUMIFS(L:L,AM:AM,AM1656)</f>
      </c>
      <c r="AR1656" s="116">
        <f>AQ1656-AP1656</f>
      </c>
      <c r="AS1656" s="94" t="str">
        <f>IF(AN1656&gt;=AQ1656,"ok","ck")</f>
      </c>
      <c r="AT1656" s="116">
        <f>-P1656</f>
      </c>
      <c r="AU1656" s="115">
        <f>IF(SUMIFS(AT:AT,AM:AM,AM1656)&gt;AO1656,(SUMIFS(AT:AT,AM:AM,AM1656)-AO1656))</f>
      </c>
      <c r="AV1656" s="116">
        <v>1226</v>
      </c>
      <c r="AW1656" s="121">
        <v>0.925</v>
      </c>
      <c r="AX1656" s="115">
        <f>AN1656-AP1656</f>
      </c>
    </row>
    <row r="1657" spans="1:50" ht="15" hidden="1" customHeight="1" x14ac:dyDescent="0.3">
      <c r="A1657" s="94" t="s">
        <v>60</v>
      </c>
      <c r="B1657" s="94"/>
      <c r="C1657" s="94"/>
      <c r="D1657" s="94"/>
      <c r="E1657" s="94"/>
      <c r="F1657" s="94"/>
      <c r="G1657" s="112">
        <f>AU1657</f>
      </c>
      <c r="H1657" s="113"/>
      <c r="I1657" s="94" t="s">
        <v>70</v>
      </c>
      <c r="J1657" s="94" t="s">
        <v>66</v>
      </c>
      <c r="K1657" s="114">
        <f>P1657/3</f>
      </c>
      <c r="L1657" s="115">
        <v>1650.87</v>
      </c>
      <c r="M1657" s="116"/>
      <c r="N1657" s="117">
        <f>M1657-L1657</f>
      </c>
      <c r="O1657" s="112"/>
      <c r="P1657" s="118">
        <f>N1657+O1657</f>
      </c>
      <c r="Q1657" s="94" t="s">
        <v>92</v>
      </c>
      <c r="R1657" s="94" t="s">
        <v>63</v>
      </c>
      <c r="S1657" s="119">
        <v>46329</v>
      </c>
      <c r="T1657" s="119"/>
      <c r="U1657" s="120" t="s">
        <v>676</v>
      </c>
      <c r="V1657" s="94"/>
      <c r="W1657" s="94"/>
      <c r="X1657" s="94"/>
      <c r="Y1657" s="119">
        <v>46322</v>
      </c>
      <c r="Z1657" s="94"/>
      <c r="AA1657" s="120"/>
      <c r="AB1657" s="120"/>
      <c r="AC1657" s="120"/>
      <c r="AD1657" s="120"/>
      <c r="AE1657" s="120"/>
      <c r="AF1657" s="120"/>
      <c r="AG1657" s="94"/>
      <c r="AH1657" s="120"/>
      <c r="AI1657" s="94"/>
      <c r="AJ1657" s="94" t="s">
        <v>92</v>
      </c>
      <c r="AK1657" s="94" t="s">
        <v>66</v>
      </c>
      <c r="AL1657" s="94">
        <v>140</v>
      </c>
      <c r="AM1657" s="94" t="str">
        <f>TRIM(AJ1657)&amp;TRIM(AL1657)&amp;TRIM(AK1657)</f>
      </c>
      <c r="AN1657" s="116">
        <v>1226</v>
      </c>
      <c r="AO1657" s="116">
        <v>17659</v>
      </c>
      <c r="AP1657" s="116">
        <f>SUMIFS(M:M,AM:AM,AM1657)+SUMIFS(O:O,AM:AM,AM1657)</f>
      </c>
      <c r="AQ1657" s="116">
        <f>SUMIFS(L:L,AM:AM,AM1657)</f>
      </c>
      <c r="AR1657" s="116">
        <f>AQ1657-AP1657</f>
      </c>
      <c r="AS1657" s="94" t="str">
        <f>IF(AN1657&gt;=AQ1657,"ok","ck")</f>
      </c>
      <c r="AT1657" s="116">
        <f>-P1657</f>
      </c>
      <c r="AU1657" s="115">
        <f>IF(SUMIFS(AT:AT,AM:AM,AM1657)&gt;AO1657,(SUMIFS(AT:AT,AM:AM,AM1657)-AO1657))</f>
      </c>
      <c r="AV1657" s="116">
        <v>1226</v>
      </c>
      <c r="AW1657" s="121">
        <v>0.925</v>
      </c>
      <c r="AX1657" s="115">
        <f>AN1657-AP1657</f>
      </c>
    </row>
    <row r="1658" spans="1:50" ht="15" hidden="1" customHeight="1" x14ac:dyDescent="0.3">
      <c r="A1658" s="94" t="s">
        <v>60</v>
      </c>
      <c r="B1658" s="94"/>
      <c r="C1658" s="94"/>
      <c r="D1658" s="94"/>
      <c r="E1658" s="94"/>
      <c r="F1658" s="94"/>
      <c r="G1658" s="112">
        <f>AU1658</f>
      </c>
      <c r="H1658" s="113"/>
      <c r="I1658" s="94" t="s">
        <v>70</v>
      </c>
      <c r="J1658" s="94" t="s">
        <v>66</v>
      </c>
      <c r="K1658" s="114">
        <f>P1658/3</f>
      </c>
      <c r="L1658" s="115">
        <v>1650.87</v>
      </c>
      <c r="M1658" s="116"/>
      <c r="N1658" s="117">
        <f>M1658-L1658</f>
      </c>
      <c r="O1658" s="112"/>
      <c r="P1658" s="118">
        <f>N1658+O1658</f>
      </c>
      <c r="Q1658" s="94" t="s">
        <v>92</v>
      </c>
      <c r="R1658" s="94" t="s">
        <v>63</v>
      </c>
      <c r="S1658" s="119">
        <v>46330</v>
      </c>
      <c r="T1658" s="119"/>
      <c r="U1658" s="120" t="s">
        <v>676</v>
      </c>
      <c r="V1658" s="94"/>
      <c r="W1658" s="94"/>
      <c r="X1658" s="94"/>
      <c r="Y1658" s="119">
        <v>46322</v>
      </c>
      <c r="Z1658" s="94"/>
      <c r="AA1658" s="120"/>
      <c r="AB1658" s="120"/>
      <c r="AC1658" s="120"/>
      <c r="AD1658" s="120"/>
      <c r="AE1658" s="120"/>
      <c r="AF1658" s="120"/>
      <c r="AG1658" s="94"/>
      <c r="AH1658" s="120"/>
      <c r="AI1658" s="94"/>
      <c r="AJ1658" s="94" t="s">
        <v>92</v>
      </c>
      <c r="AK1658" s="94" t="s">
        <v>66</v>
      </c>
      <c r="AL1658" s="94">
        <v>140</v>
      </c>
      <c r="AM1658" s="94" t="str">
        <f>TRIM(AJ1658)&amp;TRIM(AL1658)&amp;TRIM(AK1658)</f>
      </c>
      <c r="AN1658" s="116">
        <v>1226</v>
      </c>
      <c r="AO1658" s="116">
        <v>17659</v>
      </c>
      <c r="AP1658" s="116">
        <f>SUMIFS(M:M,AM:AM,AM1658)+SUMIFS(O:O,AM:AM,AM1658)</f>
      </c>
      <c r="AQ1658" s="116">
        <f>SUMIFS(L:L,AM:AM,AM1658)</f>
      </c>
      <c r="AR1658" s="116">
        <f>AQ1658-AP1658</f>
      </c>
      <c r="AS1658" s="94" t="str">
        <f>IF(AN1658&gt;=AQ1658,"ok","ck")</f>
      </c>
      <c r="AT1658" s="116">
        <f>-P1658</f>
      </c>
      <c r="AU1658" s="115">
        <f>IF(SUMIFS(AT:AT,AM:AM,AM1658)&gt;AO1658,(SUMIFS(AT:AT,AM:AM,AM1658)-AO1658))</f>
      </c>
      <c r="AV1658" s="116">
        <v>1226</v>
      </c>
      <c r="AW1658" s="121">
        <v>0.925</v>
      </c>
      <c r="AX1658" s="115">
        <f>AN1658-AP1658</f>
      </c>
    </row>
    <row r="1659" spans="1:50" ht="15" hidden="1" customHeight="1" x14ac:dyDescent="0.3">
      <c r="A1659" s="94" t="s">
        <v>60</v>
      </c>
      <c r="B1659" s="94"/>
      <c r="C1659" s="94"/>
      <c r="D1659" s="94"/>
      <c r="E1659" s="94"/>
      <c r="F1659" s="94"/>
      <c r="G1659" s="112">
        <f>AU1659</f>
      </c>
      <c r="H1659" s="113"/>
      <c r="I1659" s="94" t="s">
        <v>70</v>
      </c>
      <c r="J1659" s="94" t="s">
        <v>66</v>
      </c>
      <c r="K1659" s="114">
        <f>P1659/3</f>
      </c>
      <c r="L1659" s="115">
        <v>1650.87</v>
      </c>
      <c r="M1659" s="116"/>
      <c r="N1659" s="117">
        <f>M1659-L1659</f>
      </c>
      <c r="O1659" s="112"/>
      <c r="P1659" s="118">
        <f>N1659+O1659</f>
      </c>
      <c r="Q1659" s="94" t="s">
        <v>92</v>
      </c>
      <c r="R1659" s="94" t="s">
        <v>63</v>
      </c>
      <c r="S1659" s="119">
        <v>46331</v>
      </c>
      <c r="T1659" s="119"/>
      <c r="U1659" s="120" t="s">
        <v>676</v>
      </c>
      <c r="V1659" s="94"/>
      <c r="W1659" s="94"/>
      <c r="X1659" s="94"/>
      <c r="Y1659" s="119">
        <v>46322</v>
      </c>
      <c r="Z1659" s="94"/>
      <c r="AA1659" s="120"/>
      <c r="AB1659" s="120"/>
      <c r="AC1659" s="120"/>
      <c r="AD1659" s="120"/>
      <c r="AE1659" s="120"/>
      <c r="AF1659" s="120"/>
      <c r="AG1659" s="94"/>
      <c r="AH1659" s="120"/>
      <c r="AI1659" s="94"/>
      <c r="AJ1659" s="94" t="s">
        <v>92</v>
      </c>
      <c r="AK1659" s="94" t="s">
        <v>66</v>
      </c>
      <c r="AL1659" s="94">
        <v>140</v>
      </c>
      <c r="AM1659" s="94" t="str">
        <f>TRIM(AJ1659)&amp;TRIM(AL1659)&amp;TRIM(AK1659)</f>
      </c>
      <c r="AN1659" s="116">
        <v>1226</v>
      </c>
      <c r="AO1659" s="116">
        <v>17659</v>
      </c>
      <c r="AP1659" s="116">
        <f>SUMIFS(M:M,AM:AM,AM1659)+SUMIFS(O:O,AM:AM,AM1659)</f>
      </c>
      <c r="AQ1659" s="116">
        <f>SUMIFS(L:L,AM:AM,AM1659)</f>
      </c>
      <c r="AR1659" s="116">
        <f>AQ1659-AP1659</f>
      </c>
      <c r="AS1659" s="94" t="str">
        <f>IF(AN1659&gt;=AQ1659,"ok","ck")</f>
      </c>
      <c r="AT1659" s="116">
        <f>-P1659</f>
      </c>
      <c r="AU1659" s="115">
        <f>IF(SUMIFS(AT:AT,AM:AM,AM1659)&gt;AO1659,(SUMIFS(AT:AT,AM:AM,AM1659)-AO1659))</f>
      </c>
      <c r="AV1659" s="116">
        <v>1226</v>
      </c>
      <c r="AW1659" s="121">
        <v>0.925</v>
      </c>
      <c r="AX1659" s="115">
        <f>AN1659-AP1659</f>
      </c>
    </row>
    <row r="1660" spans="1:50" ht="15" hidden="1" customHeight="1" x14ac:dyDescent="0.3">
      <c r="A1660" s="94" t="s">
        <v>60</v>
      </c>
      <c r="B1660" s="94"/>
      <c r="C1660" s="94"/>
      <c r="D1660" s="94"/>
      <c r="E1660" s="94"/>
      <c r="F1660" s="94"/>
      <c r="G1660" s="112">
        <f>AU1660</f>
      </c>
      <c r="H1660" s="113"/>
      <c r="I1660" s="94" t="s">
        <v>70</v>
      </c>
      <c r="J1660" s="94" t="s">
        <v>66</v>
      </c>
      <c r="K1660" s="114">
        <f>P1660/3</f>
      </c>
      <c r="L1660" s="115">
        <v>1650.87</v>
      </c>
      <c r="M1660" s="116"/>
      <c r="N1660" s="117">
        <f>M1660-L1660</f>
      </c>
      <c r="O1660" s="112"/>
      <c r="P1660" s="118">
        <f>N1660+O1660</f>
      </c>
      <c r="Q1660" s="94" t="s">
        <v>92</v>
      </c>
      <c r="R1660" s="94" t="s">
        <v>63</v>
      </c>
      <c r="S1660" s="119">
        <v>46332</v>
      </c>
      <c r="T1660" s="119"/>
      <c r="U1660" s="120" t="s">
        <v>676</v>
      </c>
      <c r="V1660" s="94"/>
      <c r="W1660" s="94"/>
      <c r="X1660" s="94"/>
      <c r="Y1660" s="119">
        <v>46322</v>
      </c>
      <c r="Z1660" s="94"/>
      <c r="AA1660" s="120"/>
      <c r="AB1660" s="120"/>
      <c r="AC1660" s="120"/>
      <c r="AD1660" s="120"/>
      <c r="AE1660" s="120"/>
      <c r="AF1660" s="120"/>
      <c r="AG1660" s="94"/>
      <c r="AH1660" s="120"/>
      <c r="AI1660" s="94"/>
      <c r="AJ1660" s="94" t="s">
        <v>92</v>
      </c>
      <c r="AK1660" s="94" t="s">
        <v>66</v>
      </c>
      <c r="AL1660" s="94">
        <v>140</v>
      </c>
      <c r="AM1660" s="94" t="str">
        <f>TRIM(AJ1660)&amp;TRIM(AL1660)&amp;TRIM(AK1660)</f>
      </c>
      <c r="AN1660" s="116">
        <v>1226</v>
      </c>
      <c r="AO1660" s="116">
        <v>17659</v>
      </c>
      <c r="AP1660" s="116">
        <f>SUMIFS(M:M,AM:AM,AM1660)+SUMIFS(O:O,AM:AM,AM1660)</f>
      </c>
      <c r="AQ1660" s="116">
        <f>SUMIFS(L:L,AM:AM,AM1660)</f>
      </c>
      <c r="AR1660" s="116">
        <f>AQ1660-AP1660</f>
      </c>
      <c r="AS1660" s="94" t="str">
        <f>IF(AN1660&gt;=AQ1660,"ok","ck")</f>
      </c>
      <c r="AT1660" s="116">
        <f>-P1660</f>
      </c>
      <c r="AU1660" s="115">
        <f>IF(SUMIFS(AT:AT,AM:AM,AM1660)&gt;AO1660,(SUMIFS(AT:AT,AM:AM,AM1660)-AO1660))</f>
      </c>
      <c r="AV1660" s="116">
        <v>1226</v>
      </c>
      <c r="AW1660" s="121">
        <v>0.925</v>
      </c>
      <c r="AX1660" s="115">
        <f>AN1660-AP1660</f>
      </c>
    </row>
    <row r="1661" spans="1:50" ht="15" hidden="1" customHeight="1" x14ac:dyDescent="0.3">
      <c r="A1661" s="94" t="s">
        <v>60</v>
      </c>
      <c r="B1661" s="94"/>
      <c r="C1661" s="94"/>
      <c r="D1661" s="94"/>
      <c r="E1661" s="94"/>
      <c r="F1661" s="94"/>
      <c r="G1661" s="112">
        <f>AU1661</f>
      </c>
      <c r="H1661" s="113"/>
      <c r="I1661" s="94" t="s">
        <v>70</v>
      </c>
      <c r="J1661" s="94" t="s">
        <v>66</v>
      </c>
      <c r="K1661" s="114">
        <f>P1661/3</f>
      </c>
      <c r="L1661" s="115">
        <v>1650.87</v>
      </c>
      <c r="M1661" s="116"/>
      <c r="N1661" s="117">
        <f>M1661-L1661</f>
      </c>
      <c r="O1661" s="112"/>
      <c r="P1661" s="118">
        <f>N1661+O1661</f>
      </c>
      <c r="Q1661" s="94" t="s">
        <v>92</v>
      </c>
      <c r="R1661" s="94" t="s">
        <v>63</v>
      </c>
      <c r="S1661" s="119">
        <v>46333</v>
      </c>
      <c r="T1661" s="119"/>
      <c r="U1661" s="120" t="s">
        <v>676</v>
      </c>
      <c r="V1661" s="94"/>
      <c r="W1661" s="94"/>
      <c r="X1661" s="94"/>
      <c r="Y1661" s="119">
        <v>46322</v>
      </c>
      <c r="Z1661" s="94"/>
      <c r="AA1661" s="120"/>
      <c r="AB1661" s="120"/>
      <c r="AC1661" s="120"/>
      <c r="AD1661" s="120"/>
      <c r="AE1661" s="120"/>
      <c r="AF1661" s="120"/>
      <c r="AG1661" s="94"/>
      <c r="AH1661" s="120"/>
      <c r="AI1661" s="94"/>
      <c r="AJ1661" s="94" t="s">
        <v>92</v>
      </c>
      <c r="AK1661" s="94" t="s">
        <v>66</v>
      </c>
      <c r="AL1661" s="94">
        <v>140</v>
      </c>
      <c r="AM1661" s="94" t="str">
        <f>TRIM(AJ1661)&amp;TRIM(AL1661)&amp;TRIM(AK1661)</f>
      </c>
      <c r="AN1661" s="116">
        <v>1226</v>
      </c>
      <c r="AO1661" s="116">
        <v>17659</v>
      </c>
      <c r="AP1661" s="116">
        <f>SUMIFS(M:M,AM:AM,AM1661)+SUMIFS(O:O,AM:AM,AM1661)</f>
      </c>
      <c r="AQ1661" s="116">
        <f>SUMIFS(L:L,AM:AM,AM1661)</f>
      </c>
      <c r="AR1661" s="116">
        <f>AQ1661-AP1661</f>
      </c>
      <c r="AS1661" s="94" t="str">
        <f>IF(AN1661&gt;=AQ1661,"ok","ck")</f>
      </c>
      <c r="AT1661" s="116">
        <f>-P1661</f>
      </c>
      <c r="AU1661" s="115">
        <f>IF(SUMIFS(AT:AT,AM:AM,AM1661)&gt;AO1661,(SUMIFS(AT:AT,AM:AM,AM1661)-AO1661))</f>
      </c>
      <c r="AV1661" s="116">
        <v>1226</v>
      </c>
      <c r="AW1661" s="121">
        <v>0.925</v>
      </c>
      <c r="AX1661" s="115">
        <f>AN1661-AP1661</f>
      </c>
    </row>
    <row r="1662" spans="1:50" ht="15" hidden="1" customHeight="1" x14ac:dyDescent="0.3">
      <c r="A1662" s="94" t="s">
        <v>60</v>
      </c>
      <c r="B1662" s="94"/>
      <c r="C1662" s="94"/>
      <c r="D1662" s="94"/>
      <c r="E1662" s="94"/>
      <c r="F1662" s="94"/>
      <c r="G1662" s="112">
        <f>AU1662</f>
      </c>
      <c r="H1662" s="113"/>
      <c r="I1662" s="94" t="s">
        <v>70</v>
      </c>
      <c r="J1662" s="94" t="s">
        <v>66</v>
      </c>
      <c r="K1662" s="114">
        <f>P1662/3</f>
      </c>
      <c r="L1662" s="115">
        <v>1650.87</v>
      </c>
      <c r="M1662" s="116"/>
      <c r="N1662" s="117">
        <f>M1662-L1662</f>
      </c>
      <c r="O1662" s="112"/>
      <c r="P1662" s="118">
        <f>N1662+O1662</f>
      </c>
      <c r="Q1662" s="94" t="s">
        <v>92</v>
      </c>
      <c r="R1662" s="94" t="s">
        <v>63</v>
      </c>
      <c r="S1662" s="119">
        <v>46334</v>
      </c>
      <c r="T1662" s="119"/>
      <c r="U1662" s="120" t="s">
        <v>676</v>
      </c>
      <c r="V1662" s="94"/>
      <c r="W1662" s="94"/>
      <c r="X1662" s="94"/>
      <c r="Y1662" s="119">
        <v>46331</v>
      </c>
      <c r="Z1662" s="94"/>
      <c r="AA1662" s="120"/>
      <c r="AB1662" s="120"/>
      <c r="AC1662" s="120"/>
      <c r="AD1662" s="120"/>
      <c r="AE1662" s="120"/>
      <c r="AF1662" s="120"/>
      <c r="AG1662" s="94"/>
      <c r="AH1662" s="120"/>
      <c r="AI1662" s="94"/>
      <c r="AJ1662" s="94" t="s">
        <v>92</v>
      </c>
      <c r="AK1662" s="94" t="s">
        <v>66</v>
      </c>
      <c r="AL1662" s="94">
        <v>140</v>
      </c>
      <c r="AM1662" s="94" t="str">
        <f>TRIM(AJ1662)&amp;TRIM(AL1662)&amp;TRIM(AK1662)</f>
      </c>
      <c r="AN1662" s="116">
        <v>1226</v>
      </c>
      <c r="AO1662" s="116">
        <v>17659</v>
      </c>
      <c r="AP1662" s="116">
        <f>SUMIFS(M:M,AM:AM,AM1662)+SUMIFS(O:O,AM:AM,AM1662)</f>
      </c>
      <c r="AQ1662" s="116">
        <f>SUMIFS(L:L,AM:AM,AM1662)</f>
      </c>
      <c r="AR1662" s="116">
        <f>AQ1662-AP1662</f>
      </c>
      <c r="AS1662" s="94" t="str">
        <f>IF(AN1662&gt;=AQ1662,"ok","ck")</f>
      </c>
      <c r="AT1662" s="116">
        <f>-P1662</f>
      </c>
      <c r="AU1662" s="115">
        <f>IF(SUMIFS(AT:AT,AM:AM,AM1662)&gt;AO1662,(SUMIFS(AT:AT,AM:AM,AM1662)-AO1662))</f>
      </c>
      <c r="AV1662" s="116">
        <v>1226</v>
      </c>
      <c r="AW1662" s="121">
        <v>0.925</v>
      </c>
      <c r="AX1662" s="115">
        <f>AN1662-AP1662</f>
      </c>
    </row>
    <row r="1663" spans="1:50" ht="15" hidden="1" customHeight="1" x14ac:dyDescent="0.3">
      <c r="A1663" s="94" t="s">
        <v>60</v>
      </c>
      <c r="B1663" s="94"/>
      <c r="C1663" s="94"/>
      <c r="D1663" s="94"/>
      <c r="E1663" s="94"/>
      <c r="F1663" s="94"/>
      <c r="G1663" s="112">
        <f>AU1663</f>
      </c>
      <c r="H1663" s="113"/>
      <c r="I1663" s="94" t="s">
        <v>70</v>
      </c>
      <c r="J1663" s="94" t="s">
        <v>66</v>
      </c>
      <c r="K1663" s="114">
        <f>P1663/3</f>
      </c>
      <c r="L1663" s="115">
        <v>1650.87</v>
      </c>
      <c r="M1663" s="116"/>
      <c r="N1663" s="117">
        <f>M1663-L1663</f>
      </c>
      <c r="O1663" s="112"/>
      <c r="P1663" s="118">
        <f>N1663+O1663</f>
      </c>
      <c r="Q1663" s="94" t="s">
        <v>92</v>
      </c>
      <c r="R1663" s="94" t="s">
        <v>63</v>
      </c>
      <c r="S1663" s="119">
        <v>46335</v>
      </c>
      <c r="T1663" s="119"/>
      <c r="U1663" s="120" t="s">
        <v>676</v>
      </c>
      <c r="V1663" s="94"/>
      <c r="W1663" s="94"/>
      <c r="X1663" s="94"/>
      <c r="Y1663" s="119">
        <v>46320</v>
      </c>
      <c r="Z1663" s="94"/>
      <c r="AA1663" s="120"/>
      <c r="AB1663" s="120"/>
      <c r="AC1663" s="120"/>
      <c r="AD1663" s="120"/>
      <c r="AE1663" s="120"/>
      <c r="AF1663" s="120"/>
      <c r="AG1663" s="94"/>
      <c r="AH1663" s="120"/>
      <c r="AI1663" s="94"/>
      <c r="AJ1663" s="94" t="s">
        <v>92</v>
      </c>
      <c r="AK1663" s="94" t="s">
        <v>66</v>
      </c>
      <c r="AL1663" s="94">
        <v>140</v>
      </c>
      <c r="AM1663" s="94" t="str">
        <f>TRIM(AJ1663)&amp;TRIM(AL1663)&amp;TRIM(AK1663)</f>
      </c>
      <c r="AN1663" s="116">
        <v>1226</v>
      </c>
      <c r="AO1663" s="116">
        <v>17659</v>
      </c>
      <c r="AP1663" s="116">
        <f>SUMIFS(M:M,AM:AM,AM1663)+SUMIFS(O:O,AM:AM,AM1663)</f>
      </c>
      <c r="AQ1663" s="116">
        <f>SUMIFS(L:L,AM:AM,AM1663)</f>
      </c>
      <c r="AR1663" s="116">
        <f>AQ1663-AP1663</f>
      </c>
      <c r="AS1663" s="94" t="str">
        <f>IF(AN1663&gt;=AQ1663,"ok","ck")</f>
      </c>
      <c r="AT1663" s="116">
        <f>-P1663</f>
      </c>
      <c r="AU1663" s="115">
        <f>IF(SUMIFS(AT:AT,AM:AM,AM1663)&gt;AO1663,(SUMIFS(AT:AT,AM:AM,AM1663)-AO1663))</f>
      </c>
      <c r="AV1663" s="116">
        <v>1226</v>
      </c>
      <c r="AW1663" s="121">
        <v>0.925</v>
      </c>
      <c r="AX1663" s="115">
        <f>AN1663-AP1663</f>
      </c>
    </row>
    <row r="1664" spans="1:50" ht="15" hidden="1" customHeight="1" x14ac:dyDescent="0.3">
      <c r="A1664" s="94" t="s">
        <v>60</v>
      </c>
      <c r="B1664" s="94"/>
      <c r="C1664" s="94"/>
      <c r="D1664" s="94"/>
      <c r="E1664" s="94"/>
      <c r="F1664" s="94"/>
      <c r="G1664" s="112">
        <f>AU1664</f>
      </c>
      <c r="H1664" s="113"/>
      <c r="I1664" s="94" t="s">
        <v>70</v>
      </c>
      <c r="J1664" s="94" t="s">
        <v>66</v>
      </c>
      <c r="K1664" s="114">
        <f>P1664/3</f>
      </c>
      <c r="L1664" s="115">
        <v>2783.665</v>
      </c>
      <c r="M1664" s="116"/>
      <c r="N1664" s="117">
        <f>M1664-L1664</f>
      </c>
      <c r="O1664" s="112"/>
      <c r="P1664" s="118">
        <f>N1664+O1664</f>
      </c>
      <c r="Q1664" s="94" t="s">
        <v>92</v>
      </c>
      <c r="R1664" s="94" t="s">
        <v>63</v>
      </c>
      <c r="S1664" s="119">
        <v>46336</v>
      </c>
      <c r="T1664" s="119"/>
      <c r="U1664" s="120" t="s">
        <v>676</v>
      </c>
      <c r="V1664" s="94"/>
      <c r="W1664" s="94"/>
      <c r="X1664" s="94"/>
      <c r="Y1664" s="119">
        <v>46320</v>
      </c>
      <c r="Z1664" s="94"/>
      <c r="AA1664" s="120"/>
      <c r="AB1664" s="120"/>
      <c r="AC1664" s="120"/>
      <c r="AD1664" s="120"/>
      <c r="AE1664" s="120"/>
      <c r="AF1664" s="120"/>
      <c r="AG1664" s="94"/>
      <c r="AH1664" s="120"/>
      <c r="AI1664" s="94"/>
      <c r="AJ1664" s="94" t="s">
        <v>92</v>
      </c>
      <c r="AK1664" s="94" t="s">
        <v>66</v>
      </c>
      <c r="AL1664" s="94">
        <v>140</v>
      </c>
      <c r="AM1664" s="94" t="str">
        <f>TRIM(AJ1664)&amp;TRIM(AL1664)&amp;TRIM(AK1664)</f>
      </c>
      <c r="AN1664" s="116">
        <v>1226</v>
      </c>
      <c r="AO1664" s="116">
        <v>17659</v>
      </c>
      <c r="AP1664" s="116">
        <f>SUMIFS(M:M,AM:AM,AM1664)+SUMIFS(O:O,AM:AM,AM1664)</f>
      </c>
      <c r="AQ1664" s="116">
        <f>SUMIFS(L:L,AM:AM,AM1664)</f>
      </c>
      <c r="AR1664" s="116">
        <f>AQ1664-AP1664</f>
      </c>
      <c r="AS1664" s="94" t="str">
        <f>IF(AN1664&gt;=AQ1664,"ok","ck")</f>
      </c>
      <c r="AT1664" s="116">
        <f>-P1664</f>
      </c>
      <c r="AU1664" s="115">
        <f>IF(SUMIFS(AT:AT,AM:AM,AM1664)&gt;AO1664,(SUMIFS(AT:AT,AM:AM,AM1664)-AO1664))</f>
      </c>
      <c r="AV1664" s="116">
        <v>1226</v>
      </c>
      <c r="AW1664" s="121">
        <v>0.925</v>
      </c>
      <c r="AX1664" s="115">
        <f>AN1664-AP1664</f>
      </c>
    </row>
    <row r="1665" spans="1:50" ht="15" hidden="1" customHeight="1" x14ac:dyDescent="0.3">
      <c r="A1665" s="94" t="s">
        <v>60</v>
      </c>
      <c r="B1665" s="94"/>
      <c r="C1665" s="94"/>
      <c r="D1665" s="94"/>
      <c r="E1665" s="94"/>
      <c r="F1665" s="94"/>
      <c r="G1665" s="112">
        <f>AU1665</f>
      </c>
      <c r="H1665" s="113"/>
      <c r="I1665" s="94" t="s">
        <v>70</v>
      </c>
      <c r="J1665" s="94" t="s">
        <v>68</v>
      </c>
      <c r="K1665" s="114">
        <f>P1665/3</f>
      </c>
      <c r="L1665" s="115">
        <v>815.85900000000004</v>
      </c>
      <c r="M1665" s="116"/>
      <c r="N1665" s="117">
        <f>M1665-L1665</f>
      </c>
      <c r="O1665" s="112"/>
      <c r="P1665" s="118">
        <f>N1665+O1665</f>
      </c>
      <c r="Q1665" s="94" t="s">
        <v>92</v>
      </c>
      <c r="R1665" s="94" t="s">
        <v>63</v>
      </c>
      <c r="S1665" s="119">
        <v>46327</v>
      </c>
      <c r="T1665" s="119"/>
      <c r="U1665" s="119">
        <v>46327</v>
      </c>
      <c r="V1665" s="94"/>
      <c r="W1665" s="94"/>
      <c r="X1665" s="94"/>
      <c r="Y1665" s="119">
        <v>46331</v>
      </c>
      <c r="Z1665" s="94"/>
      <c r="AA1665" s="120"/>
      <c r="AB1665" s="120"/>
      <c r="AC1665" s="120"/>
      <c r="AD1665" s="120"/>
      <c r="AE1665" s="120"/>
      <c r="AF1665" s="120"/>
      <c r="AG1665" s="94"/>
      <c r="AH1665" s="120"/>
      <c r="AI1665" s="94"/>
      <c r="AJ1665" s="94" t="s">
        <v>92</v>
      </c>
      <c r="AK1665" s="94" t="s">
        <v>69</v>
      </c>
      <c r="AL1665" s="94">
        <v>140</v>
      </c>
      <c r="AM1665" s="94" t="str">
        <f>TRIM(AJ1665)&amp;TRIM(AL1665)&amp;TRIM(AK1665)</f>
      </c>
      <c r="AN1665" s="116">
        <v>0</v>
      </c>
      <c r="AO1665" s="116" t="inlineStr">
        <is>
          <t>#NA</t>
        </is>
      </c>
      <c r="AP1665" s="116">
        <f>SUMIFS(M:M,AM:AM,AM1665)+SUMIFS(O:O,AM:AM,AM1665)</f>
      </c>
      <c r="AQ1665" s="116">
        <f>SUMIFS(L:L,AM:AM,AM1665)</f>
      </c>
      <c r="AR1665" s="116">
        <f>AQ1665-AP1665</f>
      </c>
      <c r="AS1665" s="94" t="str">
        <f>IF(AN1665&gt;=AQ1665,"ok","ck")</f>
      </c>
      <c r="AT1665" s="116">
        <f>-P1665</f>
      </c>
      <c r="AU1665" s="115">
        <f>IF(SUMIFS(AT:AT,AM:AM,AM1665)&gt;AO1665,(SUMIFS(AT:AT,AM:AM,AM1665)-AO1665))</f>
      </c>
      <c r="AV1665" s="116">
        <v>0</v>
      </c>
      <c r="AW1665" s="121">
        <v>0</v>
      </c>
      <c r="AX1665" s="115">
        <f>AN1665-AP1665</f>
      </c>
    </row>
    <row r="1666" spans="1:50" ht="15" hidden="1" customHeight="1" x14ac:dyDescent="0.3">
      <c r="A1666" s="94" t="s">
        <v>60</v>
      </c>
      <c r="B1666" s="94"/>
      <c r="C1666" s="94"/>
      <c r="D1666" s="94"/>
      <c r="E1666" s="94"/>
      <c r="F1666" s="94"/>
      <c r="G1666" s="112">
        <f>AU1666</f>
      </c>
      <c r="H1666" s="113"/>
      <c r="I1666" s="94" t="s">
        <v>70</v>
      </c>
      <c r="J1666" s="94" t="s">
        <v>68</v>
      </c>
      <c r="K1666" s="114">
        <f>P1666/3</f>
      </c>
      <c r="L1666" s="115">
        <v>1568.9110000000001</v>
      </c>
      <c r="M1666" s="116"/>
      <c r="N1666" s="117">
        <f>M1666-L1666</f>
      </c>
      <c r="O1666" s="112"/>
      <c r="P1666" s="118">
        <f>N1666+O1666</f>
      </c>
      <c r="Q1666" s="94" t="s">
        <v>92</v>
      </c>
      <c r="R1666" s="94" t="s">
        <v>63</v>
      </c>
      <c r="S1666" s="119">
        <v>46327</v>
      </c>
      <c r="T1666" s="119"/>
      <c r="U1666" s="119">
        <v>46327</v>
      </c>
      <c r="V1666" s="94"/>
      <c r="W1666" s="94"/>
      <c r="X1666" s="94"/>
      <c r="Y1666" s="119">
        <v>46321</v>
      </c>
      <c r="Z1666" s="94"/>
      <c r="AA1666" s="120"/>
      <c r="AB1666" s="120"/>
      <c r="AC1666" s="120"/>
      <c r="AD1666" s="120"/>
      <c r="AE1666" s="120"/>
      <c r="AF1666" s="120"/>
      <c r="AG1666" s="94"/>
      <c r="AH1666" s="120"/>
      <c r="AI1666" s="94"/>
      <c r="AJ1666" s="94" t="s">
        <v>92</v>
      </c>
      <c r="AK1666" s="94" t="s">
        <v>69</v>
      </c>
      <c r="AL1666" s="94">
        <v>140</v>
      </c>
      <c r="AM1666" s="94" t="str">
        <f>TRIM(AJ1666)&amp;TRIM(AL1666)&amp;TRIM(AK1666)</f>
      </c>
      <c r="AN1666" s="116">
        <v>0</v>
      </c>
      <c r="AO1666" s="116" t="inlineStr">
        <is>
          <t>#NA</t>
        </is>
      </c>
      <c r="AP1666" s="116">
        <f>SUMIFS(M:M,AM:AM,AM1666)+SUMIFS(O:O,AM:AM,AM1666)</f>
      </c>
      <c r="AQ1666" s="116">
        <f>SUMIFS(L:L,AM:AM,AM1666)</f>
      </c>
      <c r="AR1666" s="116">
        <f>AQ1666-AP1666</f>
      </c>
      <c r="AS1666" s="94" t="str">
        <f>IF(AN1666&gt;=AQ1666,"ok","ck")</f>
      </c>
      <c r="AT1666" s="116">
        <f>-P1666</f>
      </c>
      <c r="AU1666" s="115">
        <f>IF(SUMIFS(AT:AT,AM:AM,AM1666)&gt;AO1666,(SUMIFS(AT:AT,AM:AM,AM1666)-AO1666))</f>
      </c>
      <c r="AV1666" s="116">
        <v>0</v>
      </c>
      <c r="AW1666" s="121">
        <v>0</v>
      </c>
      <c r="AX1666" s="115">
        <f>AN1666-AP1666</f>
      </c>
    </row>
    <row r="1667" spans="1:50" ht="15" hidden="1" customHeight="1" x14ac:dyDescent="0.3">
      <c r="A1667" s="94" t="s">
        <v>82</v>
      </c>
      <c r="B1667" s="94"/>
      <c r="C1667" s="94"/>
      <c r="D1667" s="94"/>
      <c r="E1667" s="94"/>
      <c r="F1667" s="94"/>
      <c r="G1667" s="112">
        <f>AU1667</f>
      </c>
      <c r="H1667" s="113"/>
      <c r="I1667" s="94" t="s">
        <v>83</v>
      </c>
      <c r="J1667" s="94" t="s">
        <v>71</v>
      </c>
      <c r="K1667" s="114">
        <f>P1667/3</f>
      </c>
      <c r="L1667" s="115">
        <v>702.46400000000006</v>
      </c>
      <c r="M1667" s="116">
        <v>702.46400000000006</v>
      </c>
      <c r="N1667" s="117">
        <f>M1667-L1667</f>
      </c>
      <c r="O1667" s="112"/>
      <c r="P1667" s="118">
        <f>N1667+O1667</f>
      </c>
      <c r="Q1667" s="94" t="s">
        <v>85</v>
      </c>
      <c r="R1667" s="94" t="s">
        <v>63</v>
      </c>
      <c r="S1667" s="119">
        <v>46327</v>
      </c>
      <c r="T1667" s="119"/>
      <c r="U1667" s="119">
        <v>46327</v>
      </c>
      <c r="V1667" s="94"/>
      <c r="W1667" s="94"/>
      <c r="X1667" s="94"/>
      <c r="Y1667" s="119">
        <v>46320</v>
      </c>
      <c r="Z1667" s="94"/>
      <c r="AA1667" s="120"/>
      <c r="AB1667" s="120"/>
      <c r="AC1667" s="120"/>
      <c r="AD1667" s="120"/>
      <c r="AE1667" s="120"/>
      <c r="AF1667" s="120"/>
      <c r="AG1667" s="94"/>
      <c r="AH1667" s="120"/>
      <c r="AI1667" s="94"/>
      <c r="AJ1667" s="94" t="s">
        <v>86</v>
      </c>
      <c r="AK1667" s="94" t="s">
        <v>71</v>
      </c>
      <c r="AL1667" s="94">
        <v>160</v>
      </c>
      <c r="AM1667" s="94" t="str">
        <f>TRIM(AJ1667)&amp;TRIM(AL1667)&amp;TRIM(AK1667)</f>
      </c>
      <c r="AN1667" s="116">
        <v>15717.52</v>
      </c>
      <c r="AO1667" s="116">
        <v>5009.47</v>
      </c>
      <c r="AP1667" s="116">
        <f>SUMIFS(M:M,AM:AM,AM1667)+SUMIFS(O:O,AM:AM,AM1667)</f>
      </c>
      <c r="AQ1667" s="116">
        <f>SUMIFS(L:L,AM:AM,AM1667)</f>
      </c>
      <c r="AR1667" s="116">
        <f>AQ1667-AP1667</f>
      </c>
      <c r="AS1667" s="94" t="str">
        <f>IF(AN1667&gt;=AQ1667,"ok","ck")</f>
      </c>
      <c r="AT1667" s="116">
        <f>-P1667</f>
      </c>
      <c r="AU1667" s="115">
        <f>IF(SUMIFS(AT:AT,AM:AM,AM1667)&gt;AO1667,(SUMIFS(AT:AT,AM:AM,AM1667)-AO1667))</f>
      </c>
      <c r="AV1667" s="116">
        <v>15717.52</v>
      </c>
      <c r="AW1667" s="121">
        <v>0.758</v>
      </c>
      <c r="AX1667" s="115">
        <f>AN1667-AP1667</f>
      </c>
    </row>
    <row r="1668" spans="1:50" ht="15" hidden="1" customHeight="1" x14ac:dyDescent="0.3">
      <c r="A1668" s="94" t="s">
        <v>82</v>
      </c>
      <c r="B1668" s="94"/>
      <c r="C1668" s="94"/>
      <c r="D1668" s="94"/>
      <c r="E1668" s="94"/>
      <c r="F1668" s="94"/>
      <c r="G1668" s="112">
        <f>AU1668</f>
      </c>
      <c r="H1668" s="113"/>
      <c r="I1668" s="94" t="s">
        <v>83</v>
      </c>
      <c r="J1668" s="94" t="s">
        <v>71</v>
      </c>
      <c r="K1668" s="114">
        <f>P1668/3</f>
      </c>
      <c r="L1668" s="115">
        <v>1397.607</v>
      </c>
      <c r="M1668" s="116">
        <v>1397.607</v>
      </c>
      <c r="N1668" s="117">
        <f>M1668-L1668</f>
      </c>
      <c r="O1668" s="112"/>
      <c r="P1668" s="118">
        <f>N1668+O1668</f>
      </c>
      <c r="Q1668" s="94" t="s">
        <v>85</v>
      </c>
      <c r="R1668" s="94" t="s">
        <v>63</v>
      </c>
      <c r="S1668" s="119">
        <v>46327</v>
      </c>
      <c r="T1668" s="119"/>
      <c r="U1668" s="119">
        <v>46327</v>
      </c>
      <c r="V1668" s="94"/>
      <c r="W1668" s="94"/>
      <c r="X1668" s="94"/>
      <c r="Y1668" s="119">
        <v>46320</v>
      </c>
      <c r="Z1668" s="94"/>
      <c r="AA1668" s="120"/>
      <c r="AB1668" s="120"/>
      <c r="AC1668" s="120"/>
      <c r="AD1668" s="120"/>
      <c r="AE1668" s="120"/>
      <c r="AF1668" s="120"/>
      <c r="AG1668" s="94"/>
      <c r="AH1668" s="120"/>
      <c r="AI1668" s="94"/>
      <c r="AJ1668" s="94" t="s">
        <v>86</v>
      </c>
      <c r="AK1668" s="94" t="s">
        <v>71</v>
      </c>
      <c r="AL1668" s="94">
        <v>160</v>
      </c>
      <c r="AM1668" s="94" t="str">
        <f>TRIM(AJ1668)&amp;TRIM(AL1668)&amp;TRIM(AK1668)</f>
      </c>
      <c r="AN1668" s="116">
        <v>15717.52</v>
      </c>
      <c r="AO1668" s="116">
        <v>5009.47</v>
      </c>
      <c r="AP1668" s="116">
        <f>SUMIFS(M:M,AM:AM,AM1668)+SUMIFS(O:O,AM:AM,AM1668)</f>
      </c>
      <c r="AQ1668" s="116">
        <f>SUMIFS(L:L,AM:AM,AM1668)</f>
      </c>
      <c r="AR1668" s="116">
        <f>AQ1668-AP1668</f>
      </c>
      <c r="AS1668" s="94" t="str">
        <f>IF(AN1668&gt;=AQ1668,"ok","ck")</f>
      </c>
      <c r="AT1668" s="116">
        <f>-P1668</f>
      </c>
      <c r="AU1668" s="115">
        <f>IF(SUMIFS(AT:AT,AM:AM,AM1668)&gt;AO1668,(SUMIFS(AT:AT,AM:AM,AM1668)-AO1668))</f>
      </c>
      <c r="AV1668" s="116">
        <v>15717.52</v>
      </c>
      <c r="AW1668" s="121">
        <v>0.758</v>
      </c>
      <c r="AX1668" s="115">
        <f>AN1668-AP1668</f>
      </c>
    </row>
    <row r="1669" spans="1:50" ht="15" hidden="1" customHeight="1" x14ac:dyDescent="0.3">
      <c r="A1669" s="94" t="s">
        <v>82</v>
      </c>
      <c r="B1669" s="94"/>
      <c r="C1669" s="94"/>
      <c r="D1669" s="94"/>
      <c r="E1669" s="94"/>
      <c r="F1669" s="94"/>
      <c r="G1669" s="112">
        <f>AU1669</f>
      </c>
      <c r="H1669" s="113"/>
      <c r="I1669" s="94" t="s">
        <v>83</v>
      </c>
      <c r="J1669" s="94" t="s">
        <v>71</v>
      </c>
      <c r="K1669" s="114">
        <f>P1669/3</f>
      </c>
      <c r="L1669" s="115">
        <v>3891.9659999999999</v>
      </c>
      <c r="M1669" s="116">
        <v>3891.9659999999999</v>
      </c>
      <c r="N1669" s="117">
        <f>M1669-L1669</f>
      </c>
      <c r="O1669" s="112"/>
      <c r="P1669" s="118">
        <f>N1669+O1669</f>
      </c>
      <c r="Q1669" s="94" t="s">
        <v>85</v>
      </c>
      <c r="R1669" s="94" t="s">
        <v>63</v>
      </c>
      <c r="S1669" s="119">
        <v>46327</v>
      </c>
      <c r="T1669" s="119"/>
      <c r="U1669" s="119">
        <v>46327</v>
      </c>
      <c r="V1669" s="94"/>
      <c r="W1669" s="94"/>
      <c r="X1669" s="94"/>
      <c r="Y1669" s="119">
        <v>46320</v>
      </c>
      <c r="Z1669" s="94"/>
      <c r="AA1669" s="120"/>
      <c r="AB1669" s="120"/>
      <c r="AC1669" s="120"/>
      <c r="AD1669" s="120"/>
      <c r="AE1669" s="120"/>
      <c r="AF1669" s="120"/>
      <c r="AG1669" s="94"/>
      <c r="AH1669" s="120"/>
      <c r="AI1669" s="94"/>
      <c r="AJ1669" s="94" t="s">
        <v>86</v>
      </c>
      <c r="AK1669" s="94" t="s">
        <v>71</v>
      </c>
      <c r="AL1669" s="94">
        <v>160</v>
      </c>
      <c r="AM1669" s="94" t="str">
        <f>TRIM(AJ1669)&amp;TRIM(AL1669)&amp;TRIM(AK1669)</f>
      </c>
      <c r="AN1669" s="116">
        <v>15717.52</v>
      </c>
      <c r="AO1669" s="116">
        <v>5009.47</v>
      </c>
      <c r="AP1669" s="116">
        <f>SUMIFS(M:M,AM:AM,AM1669)+SUMIFS(O:O,AM:AM,AM1669)</f>
      </c>
      <c r="AQ1669" s="116">
        <f>SUMIFS(L:L,AM:AM,AM1669)</f>
      </c>
      <c r="AR1669" s="116">
        <f>AQ1669-AP1669</f>
      </c>
      <c r="AS1669" s="94" t="str">
        <f>IF(AN1669&gt;=AQ1669,"ok","ck")</f>
      </c>
      <c r="AT1669" s="116">
        <f>-P1669</f>
      </c>
      <c r="AU1669" s="115">
        <f>IF(SUMIFS(AT:AT,AM:AM,AM1669)&gt;AO1669,(SUMIFS(AT:AT,AM:AM,AM1669)-AO1669))</f>
      </c>
      <c r="AV1669" s="116">
        <v>15717.52</v>
      </c>
      <c r="AW1669" s="121">
        <v>0.758</v>
      </c>
      <c r="AX1669" s="115">
        <f>AN1669-AP1669</f>
      </c>
    </row>
    <row r="1670" spans="1:50" ht="15" hidden="1" customHeight="1" x14ac:dyDescent="0.3">
      <c r="A1670" s="94" t="s">
        <v>82</v>
      </c>
      <c r="B1670" s="94"/>
      <c r="C1670" s="94"/>
      <c r="D1670" s="94"/>
      <c r="E1670" s="94"/>
      <c r="F1670" s="94"/>
      <c r="G1670" s="112">
        <f>AU1670</f>
      </c>
      <c r="H1670" s="113"/>
      <c r="I1670" s="94" t="s">
        <v>83</v>
      </c>
      <c r="J1670" s="94" t="s">
        <v>71</v>
      </c>
      <c r="K1670" s="114">
        <f>P1670/3</f>
      </c>
      <c r="L1670" s="115">
        <v>9.9710000000000001</v>
      </c>
      <c r="M1670" s="116">
        <v>9.9710000000000001</v>
      </c>
      <c r="N1670" s="117">
        <f>M1670-L1670</f>
      </c>
      <c r="O1670" s="112"/>
      <c r="P1670" s="118">
        <f>N1670+O1670</f>
      </c>
      <c r="Q1670" s="94" t="s">
        <v>85</v>
      </c>
      <c r="R1670" s="94" t="s">
        <v>63</v>
      </c>
      <c r="S1670" s="119">
        <v>46327</v>
      </c>
      <c r="T1670" s="119"/>
      <c r="U1670" s="119">
        <v>46327</v>
      </c>
      <c r="V1670" s="94"/>
      <c r="W1670" s="94"/>
      <c r="X1670" s="94"/>
      <c r="Y1670" s="119">
        <v>46324</v>
      </c>
      <c r="Z1670" s="94"/>
      <c r="AA1670" s="120"/>
      <c r="AB1670" s="120"/>
      <c r="AC1670" s="120"/>
      <c r="AD1670" s="120"/>
      <c r="AE1670" s="120"/>
      <c r="AF1670" s="120"/>
      <c r="AG1670" s="94"/>
      <c r="AH1670" s="120"/>
      <c r="AI1670" s="94"/>
      <c r="AJ1670" s="94" t="s">
        <v>86</v>
      </c>
      <c r="AK1670" s="94" t="s">
        <v>71</v>
      </c>
      <c r="AL1670" s="94">
        <v>160</v>
      </c>
      <c r="AM1670" s="94" t="str">
        <f>TRIM(AJ1670)&amp;TRIM(AL1670)&amp;TRIM(AK1670)</f>
      </c>
      <c r="AN1670" s="116">
        <v>15717.52</v>
      </c>
      <c r="AO1670" s="116">
        <v>5009.47</v>
      </c>
      <c r="AP1670" s="116">
        <f>SUMIFS(M:M,AM:AM,AM1670)+SUMIFS(O:O,AM:AM,AM1670)</f>
      </c>
      <c r="AQ1670" s="116">
        <f>SUMIFS(L:L,AM:AM,AM1670)</f>
      </c>
      <c r="AR1670" s="116">
        <f>AQ1670-AP1670</f>
      </c>
      <c r="AS1670" s="94" t="str">
        <f>IF(AN1670&gt;=AQ1670,"ok","ck")</f>
      </c>
      <c r="AT1670" s="116">
        <f>-P1670</f>
      </c>
      <c r="AU1670" s="115">
        <f>IF(SUMIFS(AT:AT,AM:AM,AM1670)&gt;AO1670,(SUMIFS(AT:AT,AM:AM,AM1670)-AO1670))</f>
      </c>
      <c r="AV1670" s="116">
        <v>15717.52</v>
      </c>
      <c r="AW1670" s="121">
        <v>0.758</v>
      </c>
      <c r="AX1670" s="115">
        <f>AN1670-AP1670</f>
      </c>
    </row>
    <row r="1671" spans="1:50" ht="15" hidden="1" customHeight="1" x14ac:dyDescent="0.3">
      <c r="A1671" s="94" t="s">
        <v>82</v>
      </c>
      <c r="B1671" s="94"/>
      <c r="C1671" s="94"/>
      <c r="D1671" s="94"/>
      <c r="E1671" s="94"/>
      <c r="F1671" s="94"/>
      <c r="G1671" s="112">
        <f>AU1671</f>
      </c>
      <c r="H1671" s="113"/>
      <c r="I1671" s="94" t="s">
        <v>83</v>
      </c>
      <c r="J1671" s="94" t="s">
        <v>102</v>
      </c>
      <c r="K1671" s="114">
        <f>P1671/3</f>
      </c>
      <c r="L1671" s="115">
        <v>2000</v>
      </c>
      <c r="M1671" s="116"/>
      <c r="N1671" s="117">
        <f>M1671-L1671</f>
      </c>
      <c r="O1671" s="112"/>
      <c r="P1671" s="118">
        <f>N1671+O1671</f>
      </c>
      <c r="Q1671" s="94" t="s">
        <v>856</v>
      </c>
      <c r="R1671" s="94" t="s">
        <v>63</v>
      </c>
      <c r="S1671" s="119">
        <v>46334</v>
      </c>
      <c r="T1671" s="119"/>
      <c r="U1671" s="119" t="s">
        <v>677</v>
      </c>
      <c r="V1671" s="94"/>
      <c r="W1671" s="94"/>
      <c r="X1671" s="94"/>
      <c r="Y1671" s="119">
        <v>46333</v>
      </c>
      <c r="Z1671" s="94"/>
      <c r="AA1671" s="120"/>
      <c r="AB1671" s="120"/>
      <c r="AC1671" s="120"/>
      <c r="AD1671" s="120"/>
      <c r="AE1671" s="120"/>
      <c r="AF1671" s="120"/>
      <c r="AG1671" s="94"/>
      <c r="AH1671" s="120"/>
      <c r="AI1671" s="94"/>
      <c r="AJ1671" s="94" t="s">
        <v>808</v>
      </c>
      <c r="AK1671" s="94" t="s">
        <v>103</v>
      </c>
      <c r="AL1671" s="94">
        <v>160</v>
      </c>
      <c r="AM1671" s="94" t="str">
        <f>TRIM(AJ1671)&amp;TRIM(AL1671)&amp;TRIM(AK1671)</f>
      </c>
      <c r="AN1671" s="116">
        <v>0</v>
      </c>
      <c r="AO1671" s="116" t="inlineStr">
        <is>
          <t>#NA</t>
        </is>
      </c>
      <c r="AP1671" s="116">
        <f>SUMIFS(M:M,AM:AM,AM1671)+SUMIFS(O:O,AM:AM,AM1671)</f>
      </c>
      <c r="AQ1671" s="116">
        <f>SUMIFS(L:L,AM:AM,AM1671)</f>
      </c>
      <c r="AR1671" s="116">
        <f>AQ1671-AP1671</f>
      </c>
      <c r="AS1671" s="94" t="str">
        <f>IF(AN1671&gt;=AQ1671,"ok","ck")</f>
      </c>
      <c r="AT1671" s="116">
        <f>-P1671</f>
      </c>
      <c r="AU1671" s="115">
        <f>IF(SUMIFS(AT:AT,AM:AM,AM1671)&gt;AO1671,(SUMIFS(AT:AT,AM:AM,AM1671)-AO1671))</f>
      </c>
      <c r="AV1671" s="116">
        <v>0</v>
      </c>
      <c r="AW1671" s="121">
        <v>0</v>
      </c>
      <c r="AX1671" s="115">
        <f>AN1671-AP1671</f>
      </c>
    </row>
    <row r="1672" spans="1:50" ht="15" hidden="1" customHeight="1" x14ac:dyDescent="0.3">
      <c r="A1672" s="94" t="s">
        <v>82</v>
      </c>
      <c r="B1672" s="94"/>
      <c r="C1672" s="94"/>
      <c r="D1672" s="94"/>
      <c r="E1672" s="94"/>
      <c r="F1672" s="94"/>
      <c r="G1672" s="112">
        <f>AU1672</f>
      </c>
      <c r="H1672" s="113"/>
      <c r="I1672" s="94" t="s">
        <v>83</v>
      </c>
      <c r="J1672" s="94" t="s">
        <v>102</v>
      </c>
      <c r="K1672" s="114">
        <f>P1672/3</f>
      </c>
      <c r="L1672" s="115">
        <v>2000</v>
      </c>
      <c r="M1672" s="116"/>
      <c r="N1672" s="117">
        <f>M1672-L1672</f>
      </c>
      <c r="O1672" s="112"/>
      <c r="P1672" s="118">
        <f>N1672+O1672</f>
      </c>
      <c r="Q1672" s="94" t="s">
        <v>856</v>
      </c>
      <c r="R1672" s="94" t="s">
        <v>63</v>
      </c>
      <c r="S1672" s="119">
        <v>46335</v>
      </c>
      <c r="T1672" s="119"/>
      <c r="U1672" s="119" t="s">
        <v>677</v>
      </c>
      <c r="V1672" s="94"/>
      <c r="W1672" s="94"/>
      <c r="X1672" s="94"/>
      <c r="Y1672" s="119">
        <v>46333</v>
      </c>
      <c r="Z1672" s="94"/>
      <c r="AA1672" s="120"/>
      <c r="AB1672" s="120"/>
      <c r="AC1672" s="120"/>
      <c r="AD1672" s="120"/>
      <c r="AE1672" s="120"/>
      <c r="AF1672" s="120"/>
      <c r="AG1672" s="94"/>
      <c r="AH1672" s="120"/>
      <c r="AI1672" s="94"/>
      <c r="AJ1672" s="94" t="s">
        <v>808</v>
      </c>
      <c r="AK1672" s="94" t="s">
        <v>103</v>
      </c>
      <c r="AL1672" s="94">
        <v>160</v>
      </c>
      <c r="AM1672" s="94" t="str">
        <f>TRIM(AJ1672)&amp;TRIM(AL1672)&amp;TRIM(AK1672)</f>
      </c>
      <c r="AN1672" s="116">
        <v>0</v>
      </c>
      <c r="AO1672" s="116" t="inlineStr">
        <is>
          <t>#NA</t>
        </is>
      </c>
      <c r="AP1672" s="116">
        <f>SUMIFS(M:M,AM:AM,AM1672)+SUMIFS(O:O,AM:AM,AM1672)</f>
      </c>
      <c r="AQ1672" s="116">
        <f>SUMIFS(L:L,AM:AM,AM1672)</f>
      </c>
      <c r="AR1672" s="116">
        <f>AQ1672-AP1672</f>
      </c>
      <c r="AS1672" s="94" t="str">
        <f>IF(AN1672&gt;=AQ1672,"ok","ck")</f>
      </c>
      <c r="AT1672" s="116">
        <f>-P1672</f>
      </c>
      <c r="AU1672" s="115">
        <f>IF(SUMIFS(AT:AT,AM:AM,AM1672)&gt;AO1672,(SUMIFS(AT:AT,AM:AM,AM1672)-AO1672))</f>
      </c>
      <c r="AV1672" s="116">
        <v>0</v>
      </c>
      <c r="AW1672" s="121">
        <v>0</v>
      </c>
      <c r="AX1672" s="115">
        <f>AN1672-AP1672</f>
      </c>
    </row>
    <row r="1673" spans="1:50" ht="15" hidden="1" customHeight="1" x14ac:dyDescent="0.3">
      <c r="A1673" s="94" t="s">
        <v>82</v>
      </c>
      <c r="B1673" s="94"/>
      <c r="C1673" s="94"/>
      <c r="D1673" s="94"/>
      <c r="E1673" s="94"/>
      <c r="F1673" s="94"/>
      <c r="G1673" s="112">
        <f>AU1673</f>
      </c>
      <c r="H1673" s="113"/>
      <c r="I1673" s="94" t="s">
        <v>83</v>
      </c>
      <c r="J1673" s="94" t="s">
        <v>102</v>
      </c>
      <c r="K1673" s="114">
        <f>P1673/3</f>
      </c>
      <c r="L1673" s="115">
        <v>2000</v>
      </c>
      <c r="M1673" s="116"/>
      <c r="N1673" s="117">
        <f>M1673-L1673</f>
      </c>
      <c r="O1673" s="112"/>
      <c r="P1673" s="118">
        <f>N1673+O1673</f>
      </c>
      <c r="Q1673" s="94" t="s">
        <v>856</v>
      </c>
      <c r="R1673" s="94" t="s">
        <v>63</v>
      </c>
      <c r="S1673" s="119">
        <v>46336</v>
      </c>
      <c r="T1673" s="119"/>
      <c r="U1673" s="119" t="s">
        <v>677</v>
      </c>
      <c r="V1673" s="94"/>
      <c r="W1673" s="94"/>
      <c r="X1673" s="94"/>
      <c r="Y1673" s="119">
        <v>46333</v>
      </c>
      <c r="Z1673" s="94"/>
      <c r="AA1673" s="120"/>
      <c r="AB1673" s="120"/>
      <c r="AC1673" s="120"/>
      <c r="AD1673" s="120"/>
      <c r="AE1673" s="120"/>
      <c r="AF1673" s="120"/>
      <c r="AG1673" s="94"/>
      <c r="AH1673" s="120"/>
      <c r="AI1673" s="94"/>
      <c r="AJ1673" s="94" t="s">
        <v>808</v>
      </c>
      <c r="AK1673" s="94" t="s">
        <v>103</v>
      </c>
      <c r="AL1673" s="94">
        <v>160</v>
      </c>
      <c r="AM1673" s="94" t="str">
        <f>TRIM(AJ1673)&amp;TRIM(AL1673)&amp;TRIM(AK1673)</f>
      </c>
      <c r="AN1673" s="116">
        <v>0</v>
      </c>
      <c r="AO1673" s="116" t="inlineStr">
        <is>
          <t>#NA</t>
        </is>
      </c>
      <c r="AP1673" s="116">
        <f>SUMIFS(M:M,AM:AM,AM1673)+SUMIFS(O:O,AM:AM,AM1673)</f>
      </c>
      <c r="AQ1673" s="116">
        <f>SUMIFS(L:L,AM:AM,AM1673)</f>
      </c>
      <c r="AR1673" s="116">
        <f>AQ1673-AP1673</f>
      </c>
      <c r="AS1673" s="94" t="str">
        <f>IF(AN1673&gt;=AQ1673,"ok","ck")</f>
      </c>
      <c r="AT1673" s="116">
        <f>-P1673</f>
      </c>
      <c r="AU1673" s="115">
        <f>IF(SUMIFS(AT:AT,AM:AM,AM1673)&gt;AO1673,(SUMIFS(AT:AT,AM:AM,AM1673)-AO1673))</f>
      </c>
      <c r="AV1673" s="116">
        <v>0</v>
      </c>
      <c r="AW1673" s="121">
        <v>0</v>
      </c>
      <c r="AX1673" s="115">
        <f>AN1673-AP1673</f>
      </c>
    </row>
    <row r="1674" spans="1:50" ht="15" hidden="1" customHeight="1" x14ac:dyDescent="0.3">
      <c r="A1674" s="94" t="s">
        <v>82</v>
      </c>
      <c r="B1674" s="94"/>
      <c r="C1674" s="94"/>
      <c r="D1674" s="94"/>
      <c r="E1674" s="94"/>
      <c r="F1674" s="94"/>
      <c r="G1674" s="112">
        <f>AU1674</f>
      </c>
      <c r="H1674" s="113"/>
      <c r="I1674" s="94" t="s">
        <v>83</v>
      </c>
      <c r="J1674" s="94" t="s">
        <v>102</v>
      </c>
      <c r="K1674" s="114">
        <f>P1674/3</f>
      </c>
      <c r="L1674" s="115">
        <v>2000</v>
      </c>
      <c r="M1674" s="116"/>
      <c r="N1674" s="117">
        <f>M1674-L1674</f>
      </c>
      <c r="O1674" s="112"/>
      <c r="P1674" s="118">
        <f>N1674+O1674</f>
      </c>
      <c r="Q1674" s="94" t="s">
        <v>856</v>
      </c>
      <c r="R1674" s="94" t="s">
        <v>63</v>
      </c>
      <c r="S1674" s="119">
        <v>46337</v>
      </c>
      <c r="T1674" s="119"/>
      <c r="U1674" s="119" t="s">
        <v>677</v>
      </c>
      <c r="V1674" s="94"/>
      <c r="W1674" s="94"/>
      <c r="X1674" s="94"/>
      <c r="Y1674" s="119">
        <v>46333</v>
      </c>
      <c r="Z1674" s="94"/>
      <c r="AA1674" s="120"/>
      <c r="AB1674" s="120"/>
      <c r="AC1674" s="120"/>
      <c r="AD1674" s="120"/>
      <c r="AE1674" s="120"/>
      <c r="AF1674" s="120"/>
      <c r="AG1674" s="94"/>
      <c r="AH1674" s="120"/>
      <c r="AI1674" s="94"/>
      <c r="AJ1674" s="94" t="s">
        <v>808</v>
      </c>
      <c r="AK1674" s="94" t="s">
        <v>103</v>
      </c>
      <c r="AL1674" s="94">
        <v>160</v>
      </c>
      <c r="AM1674" s="94" t="str">
        <f>TRIM(AJ1674)&amp;TRIM(AL1674)&amp;TRIM(AK1674)</f>
      </c>
      <c r="AN1674" s="116">
        <v>0</v>
      </c>
      <c r="AO1674" s="116" t="inlineStr">
        <is>
          <t>#NA</t>
        </is>
      </c>
      <c r="AP1674" s="116">
        <f>SUMIFS(M:M,AM:AM,AM1674)+SUMIFS(O:O,AM:AM,AM1674)</f>
      </c>
      <c r="AQ1674" s="116">
        <f>SUMIFS(L:L,AM:AM,AM1674)</f>
      </c>
      <c r="AR1674" s="116">
        <f>AQ1674-AP1674</f>
      </c>
      <c r="AS1674" s="94" t="str">
        <f>IF(AN1674&gt;=AQ1674,"ok","ck")</f>
      </c>
      <c r="AT1674" s="116">
        <f>-P1674</f>
      </c>
      <c r="AU1674" s="115">
        <f>IF(SUMIFS(AT:AT,AM:AM,AM1674)&gt;AO1674,(SUMIFS(AT:AT,AM:AM,AM1674)-AO1674))</f>
      </c>
      <c r="AV1674" s="116">
        <v>0</v>
      </c>
      <c r="AW1674" s="121">
        <v>0</v>
      </c>
      <c r="AX1674" s="115">
        <f>AN1674-AP1674</f>
      </c>
    </row>
    <row r="1675" spans="1:50" ht="15" hidden="1" customHeight="1" x14ac:dyDescent="0.3">
      <c r="A1675" s="94" t="s">
        <v>82</v>
      </c>
      <c r="B1675" s="94"/>
      <c r="C1675" s="94"/>
      <c r="D1675" s="94"/>
      <c r="E1675" s="94"/>
      <c r="F1675" s="94"/>
      <c r="G1675" s="112">
        <f>AU1675</f>
      </c>
      <c r="H1675" s="113"/>
      <c r="I1675" s="94" t="s">
        <v>83</v>
      </c>
      <c r="J1675" s="94" t="s">
        <v>102</v>
      </c>
      <c r="K1675" s="114">
        <f>P1675/3</f>
      </c>
      <c r="L1675" s="115">
        <v>2000</v>
      </c>
      <c r="M1675" s="116"/>
      <c r="N1675" s="117">
        <f>M1675-L1675</f>
      </c>
      <c r="O1675" s="112"/>
      <c r="P1675" s="118">
        <f>N1675+O1675</f>
      </c>
      <c r="Q1675" s="94" t="s">
        <v>856</v>
      </c>
      <c r="R1675" s="94" t="s">
        <v>63</v>
      </c>
      <c r="S1675" s="119">
        <v>46338</v>
      </c>
      <c r="T1675" s="119"/>
      <c r="U1675" s="119" t="s">
        <v>677</v>
      </c>
      <c r="V1675" s="94"/>
      <c r="W1675" s="94"/>
      <c r="X1675" s="94"/>
      <c r="Y1675" s="119">
        <v>46334</v>
      </c>
      <c r="Z1675" s="94"/>
      <c r="AA1675" s="120"/>
      <c r="AB1675" s="120"/>
      <c r="AC1675" s="120"/>
      <c r="AD1675" s="120"/>
      <c r="AE1675" s="120"/>
      <c r="AF1675" s="120"/>
      <c r="AG1675" s="94"/>
      <c r="AH1675" s="120"/>
      <c r="AI1675" s="94"/>
      <c r="AJ1675" s="94" t="s">
        <v>808</v>
      </c>
      <c r="AK1675" s="94" t="s">
        <v>103</v>
      </c>
      <c r="AL1675" s="94">
        <v>160</v>
      </c>
      <c r="AM1675" s="94" t="str">
        <f>TRIM(AJ1675)&amp;TRIM(AL1675)&amp;TRIM(AK1675)</f>
      </c>
      <c r="AN1675" s="116">
        <v>0</v>
      </c>
      <c r="AO1675" s="116" t="inlineStr">
        <is>
          <t>#NA</t>
        </is>
      </c>
      <c r="AP1675" s="116">
        <f>SUMIFS(M:M,AM:AM,AM1675)+SUMIFS(O:O,AM:AM,AM1675)</f>
      </c>
      <c r="AQ1675" s="116">
        <f>SUMIFS(L:L,AM:AM,AM1675)</f>
      </c>
      <c r="AR1675" s="116">
        <f>AQ1675-AP1675</f>
      </c>
      <c r="AS1675" s="94" t="str">
        <f>IF(AN1675&gt;=AQ1675,"ok","ck")</f>
      </c>
      <c r="AT1675" s="116">
        <f>-P1675</f>
      </c>
      <c r="AU1675" s="115">
        <f>IF(SUMIFS(AT:AT,AM:AM,AM1675)&gt;AO1675,(SUMIFS(AT:AT,AM:AM,AM1675)-AO1675))</f>
      </c>
      <c r="AV1675" s="116">
        <v>0</v>
      </c>
      <c r="AW1675" s="121">
        <v>0</v>
      </c>
      <c r="AX1675" s="115">
        <f>AN1675-AP1675</f>
      </c>
    </row>
    <row r="1676" spans="1:50" ht="15" hidden="1" customHeight="1" x14ac:dyDescent="0.3">
      <c r="A1676" s="94" t="s">
        <v>82</v>
      </c>
      <c r="B1676" s="94"/>
      <c r="C1676" s="94"/>
      <c r="D1676" s="94"/>
      <c r="E1676" s="94"/>
      <c r="F1676" s="94"/>
      <c r="G1676" s="112">
        <f>AU1676</f>
      </c>
      <c r="H1676" s="113"/>
      <c r="I1676" s="94" t="s">
        <v>83</v>
      </c>
      <c r="J1676" s="94" t="s">
        <v>102</v>
      </c>
      <c r="K1676" s="114">
        <f>P1676/3</f>
      </c>
      <c r="L1676" s="115">
        <v>2000</v>
      </c>
      <c r="M1676" s="116"/>
      <c r="N1676" s="117">
        <f>M1676-L1676</f>
      </c>
      <c r="O1676" s="112"/>
      <c r="P1676" s="118">
        <f>N1676+O1676</f>
      </c>
      <c r="Q1676" s="94" t="s">
        <v>856</v>
      </c>
      <c r="R1676" s="94" t="s">
        <v>63</v>
      </c>
      <c r="S1676" s="119">
        <v>46339</v>
      </c>
      <c r="T1676" s="119"/>
      <c r="U1676" s="119" t="s">
        <v>677</v>
      </c>
      <c r="V1676" s="94"/>
      <c r="W1676" s="94"/>
      <c r="X1676" s="94"/>
      <c r="Y1676" s="119">
        <v>46334</v>
      </c>
      <c r="Z1676" s="94"/>
      <c r="AA1676" s="120"/>
      <c r="AB1676" s="120"/>
      <c r="AC1676" s="120"/>
      <c r="AD1676" s="120"/>
      <c r="AE1676" s="120"/>
      <c r="AF1676" s="120"/>
      <c r="AG1676" s="94"/>
      <c r="AH1676" s="120"/>
      <c r="AI1676" s="94"/>
      <c r="AJ1676" s="94" t="s">
        <v>808</v>
      </c>
      <c r="AK1676" s="94" t="s">
        <v>103</v>
      </c>
      <c r="AL1676" s="94">
        <v>160</v>
      </c>
      <c r="AM1676" s="94" t="str">
        <f>TRIM(AJ1676)&amp;TRIM(AL1676)&amp;TRIM(AK1676)</f>
      </c>
      <c r="AN1676" s="116">
        <v>0</v>
      </c>
      <c r="AO1676" s="116" t="inlineStr">
        <is>
          <t>#NA</t>
        </is>
      </c>
      <c r="AP1676" s="116">
        <f>SUMIFS(M:M,AM:AM,AM1676)+SUMIFS(O:O,AM:AM,AM1676)</f>
      </c>
      <c r="AQ1676" s="116">
        <f>SUMIFS(L:L,AM:AM,AM1676)</f>
      </c>
      <c r="AR1676" s="116">
        <f>AQ1676-AP1676</f>
      </c>
      <c r="AS1676" s="94" t="str">
        <f>IF(AN1676&gt;=AQ1676,"ok","ck")</f>
      </c>
      <c r="AT1676" s="116">
        <f>-P1676</f>
      </c>
      <c r="AU1676" s="115">
        <f>IF(SUMIFS(AT:AT,AM:AM,AM1676)&gt;AO1676,(SUMIFS(AT:AT,AM:AM,AM1676)-AO1676))</f>
      </c>
      <c r="AV1676" s="116">
        <v>0</v>
      </c>
      <c r="AW1676" s="121">
        <v>0</v>
      </c>
      <c r="AX1676" s="115">
        <f>AN1676-AP1676</f>
      </c>
    </row>
    <row r="1677" spans="1:50" ht="15" hidden="1" customHeight="1" x14ac:dyDescent="0.3">
      <c r="A1677" s="94" t="s">
        <v>82</v>
      </c>
      <c r="B1677" s="94"/>
      <c r="C1677" s="94"/>
      <c r="D1677" s="94"/>
      <c r="E1677" s="94"/>
      <c r="F1677" s="94"/>
      <c r="G1677" s="112">
        <f>AU1677</f>
      </c>
      <c r="H1677" s="113"/>
      <c r="I1677" s="94" t="s">
        <v>83</v>
      </c>
      <c r="J1677" s="94" t="s">
        <v>102</v>
      </c>
      <c r="K1677" s="114">
        <f>P1677/3</f>
      </c>
      <c r="L1677" s="115">
        <v>2000</v>
      </c>
      <c r="M1677" s="116"/>
      <c r="N1677" s="117">
        <f>M1677-L1677</f>
      </c>
      <c r="O1677" s="112"/>
      <c r="P1677" s="118">
        <f>N1677+O1677</f>
      </c>
      <c r="Q1677" s="94" t="s">
        <v>856</v>
      </c>
      <c r="R1677" s="94" t="s">
        <v>63</v>
      </c>
      <c r="S1677" s="119">
        <v>46340</v>
      </c>
      <c r="T1677" s="119"/>
      <c r="U1677" s="119" t="s">
        <v>677</v>
      </c>
      <c r="V1677" s="94"/>
      <c r="W1677" s="94"/>
      <c r="X1677" s="94"/>
      <c r="Y1677" s="119">
        <v>46334</v>
      </c>
      <c r="Z1677" s="94"/>
      <c r="AA1677" s="120"/>
      <c r="AB1677" s="120"/>
      <c r="AC1677" s="120"/>
      <c r="AD1677" s="120"/>
      <c r="AE1677" s="120"/>
      <c r="AF1677" s="120"/>
      <c r="AG1677" s="94"/>
      <c r="AH1677" s="120"/>
      <c r="AI1677" s="94"/>
      <c r="AJ1677" s="94" t="s">
        <v>808</v>
      </c>
      <c r="AK1677" s="94" t="s">
        <v>103</v>
      </c>
      <c r="AL1677" s="94">
        <v>160</v>
      </c>
      <c r="AM1677" s="94" t="str">
        <f>TRIM(AJ1677)&amp;TRIM(AL1677)&amp;TRIM(AK1677)</f>
      </c>
      <c r="AN1677" s="116">
        <v>0</v>
      </c>
      <c r="AO1677" s="116" t="inlineStr">
        <is>
          <t>#NA</t>
        </is>
      </c>
      <c r="AP1677" s="116">
        <f>SUMIFS(M:M,AM:AM,AM1677)+SUMIFS(O:O,AM:AM,AM1677)</f>
      </c>
      <c r="AQ1677" s="116">
        <f>SUMIFS(L:L,AM:AM,AM1677)</f>
      </c>
      <c r="AR1677" s="116">
        <f>AQ1677-AP1677</f>
      </c>
      <c r="AS1677" s="94" t="str">
        <f>IF(AN1677&gt;=AQ1677,"ok","ck")</f>
      </c>
      <c r="AT1677" s="116">
        <f>-P1677</f>
      </c>
      <c r="AU1677" s="115">
        <f>IF(SUMIFS(AT:AT,AM:AM,AM1677)&gt;AO1677,(SUMIFS(AT:AT,AM:AM,AM1677)-AO1677))</f>
      </c>
      <c r="AV1677" s="116">
        <v>0</v>
      </c>
      <c r="AW1677" s="121">
        <v>0</v>
      </c>
      <c r="AX1677" s="115">
        <f>AN1677-AP1677</f>
      </c>
    </row>
    <row r="1678" spans="1:50" ht="15" hidden="1" customHeight="1" x14ac:dyDescent="0.3">
      <c r="A1678" s="94" t="s">
        <v>82</v>
      </c>
      <c r="B1678" s="94"/>
      <c r="C1678" s="94"/>
      <c r="D1678" s="94"/>
      <c r="E1678" s="94"/>
      <c r="F1678" s="94"/>
      <c r="G1678" s="112">
        <f>AU1678</f>
      </c>
      <c r="H1678" s="113"/>
      <c r="I1678" s="94" t="s">
        <v>83</v>
      </c>
      <c r="J1678" s="94" t="s">
        <v>102</v>
      </c>
      <c r="K1678" s="114">
        <f>P1678/3</f>
      </c>
      <c r="L1678" s="115">
        <v>2000</v>
      </c>
      <c r="M1678" s="116"/>
      <c r="N1678" s="117">
        <f>M1678-L1678</f>
      </c>
      <c r="O1678" s="112"/>
      <c r="P1678" s="118">
        <f>N1678+O1678</f>
      </c>
      <c r="Q1678" s="94" t="s">
        <v>856</v>
      </c>
      <c r="R1678" s="94" t="s">
        <v>63</v>
      </c>
      <c r="S1678" s="119">
        <v>46341</v>
      </c>
      <c r="T1678" s="119"/>
      <c r="U1678" s="119" t="s">
        <v>677</v>
      </c>
      <c r="V1678" s="94"/>
      <c r="W1678" s="94"/>
      <c r="X1678" s="94"/>
      <c r="Y1678" s="119">
        <v>46334</v>
      </c>
      <c r="Z1678" s="94"/>
      <c r="AA1678" s="120"/>
      <c r="AB1678" s="120"/>
      <c r="AC1678" s="120"/>
      <c r="AD1678" s="120"/>
      <c r="AE1678" s="120"/>
      <c r="AF1678" s="120"/>
      <c r="AG1678" s="94"/>
      <c r="AH1678" s="120"/>
      <c r="AI1678" s="94"/>
      <c r="AJ1678" s="94" t="s">
        <v>808</v>
      </c>
      <c r="AK1678" s="94" t="s">
        <v>103</v>
      </c>
      <c r="AL1678" s="94">
        <v>160</v>
      </c>
      <c r="AM1678" s="94" t="str">
        <f>TRIM(AJ1678)&amp;TRIM(AL1678)&amp;TRIM(AK1678)</f>
      </c>
      <c r="AN1678" s="116">
        <v>0</v>
      </c>
      <c r="AO1678" s="116" t="inlineStr">
        <is>
          <t>#NA</t>
        </is>
      </c>
      <c r="AP1678" s="116">
        <f>SUMIFS(M:M,AM:AM,AM1678)+SUMIFS(O:O,AM:AM,AM1678)</f>
      </c>
      <c r="AQ1678" s="116">
        <f>SUMIFS(L:L,AM:AM,AM1678)</f>
      </c>
      <c r="AR1678" s="116">
        <f>AQ1678-AP1678</f>
      </c>
      <c r="AS1678" s="94" t="str">
        <f>IF(AN1678&gt;=AQ1678,"ok","ck")</f>
      </c>
      <c r="AT1678" s="116">
        <f>-P1678</f>
      </c>
      <c r="AU1678" s="115">
        <f>IF(SUMIFS(AT:AT,AM:AM,AM1678)&gt;AO1678,(SUMIFS(AT:AT,AM:AM,AM1678)-AO1678))</f>
      </c>
      <c r="AV1678" s="116">
        <v>0</v>
      </c>
      <c r="AW1678" s="121">
        <v>0</v>
      </c>
      <c r="AX1678" s="115">
        <f>AN1678-AP1678</f>
      </c>
    </row>
    <row r="1679" spans="1:50" ht="15" hidden="1" customHeight="1" x14ac:dyDescent="0.3">
      <c r="A1679" s="94" t="s">
        <v>82</v>
      </c>
      <c r="B1679" s="94"/>
      <c r="C1679" s="94"/>
      <c r="D1679" s="94"/>
      <c r="E1679" s="94"/>
      <c r="F1679" s="94"/>
      <c r="G1679" s="112">
        <f>AU1679</f>
      </c>
      <c r="H1679" s="113"/>
      <c r="I1679" s="94" t="s">
        <v>83</v>
      </c>
      <c r="J1679" s="94" t="s">
        <v>576</v>
      </c>
      <c r="K1679" s="114">
        <f>P1679/3</f>
      </c>
      <c r="L1679" s="115">
        <v>2500</v>
      </c>
      <c r="M1679" s="116"/>
      <c r="N1679" s="117">
        <f>M1679-L1679</f>
      </c>
      <c r="O1679" s="112"/>
      <c r="P1679" s="118">
        <f>N1679+O1679</f>
      </c>
      <c r="Q1679" s="94" t="s">
        <v>856</v>
      </c>
      <c r="R1679" s="94" t="s">
        <v>63</v>
      </c>
      <c r="S1679" s="119">
        <v>46334</v>
      </c>
      <c r="T1679" s="119"/>
      <c r="U1679" s="119" t="s">
        <v>678</v>
      </c>
      <c r="V1679" s="94"/>
      <c r="W1679" s="94"/>
      <c r="X1679" s="94"/>
      <c r="Y1679" s="119">
        <v>46336</v>
      </c>
      <c r="Z1679" s="94"/>
      <c r="AA1679" s="120"/>
      <c r="AB1679" s="120"/>
      <c r="AC1679" s="120"/>
      <c r="AD1679" s="120"/>
      <c r="AE1679" s="120"/>
      <c r="AF1679" s="120"/>
      <c r="AG1679" s="94"/>
      <c r="AH1679" s="120"/>
      <c r="AI1679" s="94"/>
      <c r="AJ1679" s="94" t="s">
        <v>808</v>
      </c>
      <c r="AK1679" s="94" t="s">
        <v>743</v>
      </c>
      <c r="AL1679" s="94">
        <v>160</v>
      </c>
      <c r="AM1679" s="94" t="str">
        <f>TRIM(AJ1679)&amp;TRIM(AL1679)&amp;TRIM(AK1679)</f>
      </c>
      <c r="AN1679" s="116">
        <v>101</v>
      </c>
      <c r="AO1679" s="116">
        <v>122560.97</v>
      </c>
      <c r="AP1679" s="116">
        <f>SUMIFS(M:M,AM:AM,AM1679)+SUMIFS(O:O,AM:AM,AM1679)</f>
      </c>
      <c r="AQ1679" s="116">
        <f>SUMIFS(L:L,AM:AM,AM1679)</f>
      </c>
      <c r="AR1679" s="116">
        <f>AQ1679-AP1679</f>
      </c>
      <c r="AS1679" s="94" t="str">
        <f>IF(AN1679&gt;=AQ1679,"ok","ck")</f>
      </c>
      <c r="AT1679" s="116">
        <f>-P1679</f>
      </c>
      <c r="AU1679" s="115">
        <f>IF(SUMIFS(AT:AT,AM:AM,AM1679)&gt;AO1679,(SUMIFS(AT:AT,AM:AM,AM1679)-AO1679))</f>
      </c>
      <c r="AV1679" s="116">
        <v>101</v>
      </c>
      <c r="AW1679" s="121">
        <v>0.051</v>
      </c>
      <c r="AX1679" s="115">
        <f>AN1679-AP1679</f>
      </c>
    </row>
    <row r="1680" spans="1:50" ht="15" hidden="1" customHeight="1" x14ac:dyDescent="0.3">
      <c r="A1680" s="94" t="s">
        <v>82</v>
      </c>
      <c r="B1680" s="94"/>
      <c r="C1680" s="94"/>
      <c r="D1680" s="94"/>
      <c r="E1680" s="94"/>
      <c r="F1680" s="94"/>
      <c r="G1680" s="112">
        <f>AU1680</f>
      </c>
      <c r="H1680" s="113"/>
      <c r="I1680" s="94" t="s">
        <v>83</v>
      </c>
      <c r="J1680" s="94" t="s">
        <v>576</v>
      </c>
      <c r="K1680" s="114">
        <f>P1680/3</f>
      </c>
      <c r="L1680" s="115">
        <v>2500</v>
      </c>
      <c r="M1680" s="116"/>
      <c r="N1680" s="117">
        <f>M1680-L1680</f>
      </c>
      <c r="O1680" s="112"/>
      <c r="P1680" s="118">
        <f>N1680+O1680</f>
      </c>
      <c r="Q1680" s="94" t="s">
        <v>856</v>
      </c>
      <c r="R1680" s="94" t="s">
        <v>63</v>
      </c>
      <c r="S1680" s="119">
        <v>46335</v>
      </c>
      <c r="T1680" s="119"/>
      <c r="U1680" s="119" t="s">
        <v>678</v>
      </c>
      <c r="V1680" s="94"/>
      <c r="W1680" s="94"/>
      <c r="X1680" s="94"/>
      <c r="Y1680" s="119">
        <v>46336</v>
      </c>
      <c r="Z1680" s="94"/>
      <c r="AA1680" s="120"/>
      <c r="AB1680" s="120"/>
      <c r="AC1680" s="120"/>
      <c r="AD1680" s="120"/>
      <c r="AE1680" s="120"/>
      <c r="AF1680" s="120"/>
      <c r="AG1680" s="94"/>
      <c r="AH1680" s="120"/>
      <c r="AI1680" s="94"/>
      <c r="AJ1680" s="94" t="s">
        <v>808</v>
      </c>
      <c r="AK1680" s="94" t="s">
        <v>743</v>
      </c>
      <c r="AL1680" s="94">
        <v>160</v>
      </c>
      <c r="AM1680" s="94" t="str">
        <f>TRIM(AJ1680)&amp;TRIM(AL1680)&amp;TRIM(AK1680)</f>
      </c>
      <c r="AN1680" s="116">
        <v>101</v>
      </c>
      <c r="AO1680" s="116">
        <v>122560.97</v>
      </c>
      <c r="AP1680" s="116">
        <f>SUMIFS(M:M,AM:AM,AM1680)+SUMIFS(O:O,AM:AM,AM1680)</f>
      </c>
      <c r="AQ1680" s="116">
        <f>SUMIFS(L:L,AM:AM,AM1680)</f>
      </c>
      <c r="AR1680" s="116">
        <f>AQ1680-AP1680</f>
      </c>
      <c r="AS1680" s="94" t="str">
        <f>IF(AN1680&gt;=AQ1680,"ok","ck")</f>
      </c>
      <c r="AT1680" s="116">
        <f>-P1680</f>
      </c>
      <c r="AU1680" s="115">
        <f>IF(SUMIFS(AT:AT,AM:AM,AM1680)&gt;AO1680,(SUMIFS(AT:AT,AM:AM,AM1680)-AO1680))</f>
      </c>
      <c r="AV1680" s="116">
        <v>101</v>
      </c>
      <c r="AW1680" s="121">
        <v>0.051</v>
      </c>
      <c r="AX1680" s="115">
        <f>AN1680-AP1680</f>
      </c>
    </row>
    <row r="1681" spans="1:50" ht="15" hidden="1" customHeight="1" x14ac:dyDescent="0.3">
      <c r="A1681" s="94" t="s">
        <v>82</v>
      </c>
      <c r="B1681" s="94"/>
      <c r="C1681" s="94"/>
      <c r="D1681" s="94"/>
      <c r="E1681" s="94"/>
      <c r="F1681" s="94"/>
      <c r="G1681" s="112">
        <f>AU1681</f>
      </c>
      <c r="H1681" s="113"/>
      <c r="I1681" s="94" t="s">
        <v>83</v>
      </c>
      <c r="J1681" s="94" t="s">
        <v>576</v>
      </c>
      <c r="K1681" s="114">
        <f>P1681/3</f>
      </c>
      <c r="L1681" s="115">
        <v>2500</v>
      </c>
      <c r="M1681" s="116"/>
      <c r="N1681" s="117">
        <f>M1681-L1681</f>
      </c>
      <c r="O1681" s="112"/>
      <c r="P1681" s="118">
        <f>N1681+O1681</f>
      </c>
      <c r="Q1681" s="94" t="s">
        <v>856</v>
      </c>
      <c r="R1681" s="94" t="s">
        <v>63</v>
      </c>
      <c r="S1681" s="119">
        <v>46336</v>
      </c>
      <c r="T1681" s="119"/>
      <c r="U1681" s="119" t="s">
        <v>678</v>
      </c>
      <c r="V1681" s="94"/>
      <c r="W1681" s="94"/>
      <c r="X1681" s="94"/>
      <c r="Y1681" s="119">
        <v>46336</v>
      </c>
      <c r="Z1681" s="94"/>
      <c r="AA1681" s="120"/>
      <c r="AB1681" s="120"/>
      <c r="AC1681" s="120"/>
      <c r="AD1681" s="120"/>
      <c r="AE1681" s="120"/>
      <c r="AF1681" s="120"/>
      <c r="AG1681" s="94"/>
      <c r="AH1681" s="120"/>
      <c r="AI1681" s="94"/>
      <c r="AJ1681" s="94" t="s">
        <v>808</v>
      </c>
      <c r="AK1681" s="94" t="s">
        <v>743</v>
      </c>
      <c r="AL1681" s="94">
        <v>160</v>
      </c>
      <c r="AM1681" s="94" t="str">
        <f>TRIM(AJ1681)&amp;TRIM(AL1681)&amp;TRIM(AK1681)</f>
      </c>
      <c r="AN1681" s="116">
        <v>101</v>
      </c>
      <c r="AO1681" s="116">
        <v>122560.97</v>
      </c>
      <c r="AP1681" s="116">
        <f>SUMIFS(M:M,AM:AM,AM1681)+SUMIFS(O:O,AM:AM,AM1681)</f>
      </c>
      <c r="AQ1681" s="116">
        <f>SUMIFS(L:L,AM:AM,AM1681)</f>
      </c>
      <c r="AR1681" s="116">
        <f>AQ1681-AP1681</f>
      </c>
      <c r="AS1681" s="94" t="str">
        <f>IF(AN1681&gt;=AQ1681,"ok","ck")</f>
      </c>
      <c r="AT1681" s="116">
        <f>-P1681</f>
      </c>
      <c r="AU1681" s="115">
        <f>IF(SUMIFS(AT:AT,AM:AM,AM1681)&gt;AO1681,(SUMIFS(AT:AT,AM:AM,AM1681)-AO1681))</f>
      </c>
      <c r="AV1681" s="116">
        <v>101</v>
      </c>
      <c r="AW1681" s="121">
        <v>0.051</v>
      </c>
      <c r="AX1681" s="115">
        <f>AN1681-AP1681</f>
      </c>
    </row>
    <row r="1682" spans="1:50" ht="15" hidden="1" customHeight="1" x14ac:dyDescent="0.3">
      <c r="A1682" s="94" t="s">
        <v>82</v>
      </c>
      <c r="B1682" s="94"/>
      <c r="C1682" s="94"/>
      <c r="D1682" s="94"/>
      <c r="E1682" s="94"/>
      <c r="F1682" s="94"/>
      <c r="G1682" s="112">
        <f>AU1682</f>
      </c>
      <c r="H1682" s="113"/>
      <c r="I1682" s="94" t="s">
        <v>83</v>
      </c>
      <c r="J1682" s="94" t="s">
        <v>576</v>
      </c>
      <c r="K1682" s="114">
        <f>P1682/3</f>
      </c>
      <c r="L1682" s="115">
        <v>2500</v>
      </c>
      <c r="M1682" s="116"/>
      <c r="N1682" s="117">
        <f>M1682-L1682</f>
      </c>
      <c r="O1682" s="112"/>
      <c r="P1682" s="118">
        <f>N1682+O1682</f>
      </c>
      <c r="Q1682" s="94" t="s">
        <v>856</v>
      </c>
      <c r="R1682" s="94" t="s">
        <v>63</v>
      </c>
      <c r="S1682" s="119">
        <v>46337</v>
      </c>
      <c r="T1682" s="119"/>
      <c r="U1682" s="119" t="s">
        <v>678</v>
      </c>
      <c r="V1682" s="94"/>
      <c r="W1682" s="94"/>
      <c r="X1682" s="94"/>
      <c r="Y1682" s="119">
        <v>46336</v>
      </c>
      <c r="Z1682" s="94"/>
      <c r="AA1682" s="120"/>
      <c r="AB1682" s="120"/>
      <c r="AC1682" s="120"/>
      <c r="AD1682" s="120"/>
      <c r="AE1682" s="120"/>
      <c r="AF1682" s="120"/>
      <c r="AG1682" s="94"/>
      <c r="AH1682" s="120"/>
      <c r="AI1682" s="94"/>
      <c r="AJ1682" s="94" t="s">
        <v>808</v>
      </c>
      <c r="AK1682" s="94" t="s">
        <v>743</v>
      </c>
      <c r="AL1682" s="94">
        <v>160</v>
      </c>
      <c r="AM1682" s="94" t="str">
        <f>TRIM(AJ1682)&amp;TRIM(AL1682)&amp;TRIM(AK1682)</f>
      </c>
      <c r="AN1682" s="116">
        <v>101</v>
      </c>
      <c r="AO1682" s="116">
        <v>122560.97</v>
      </c>
      <c r="AP1682" s="116">
        <f>SUMIFS(M:M,AM:AM,AM1682)+SUMIFS(O:O,AM:AM,AM1682)</f>
      </c>
      <c r="AQ1682" s="116">
        <f>SUMIFS(L:L,AM:AM,AM1682)</f>
      </c>
      <c r="AR1682" s="116">
        <f>AQ1682-AP1682</f>
      </c>
      <c r="AS1682" s="94" t="str">
        <f>IF(AN1682&gt;=AQ1682,"ok","ck")</f>
      </c>
      <c r="AT1682" s="116">
        <f>-P1682</f>
      </c>
      <c r="AU1682" s="115">
        <f>IF(SUMIFS(AT:AT,AM:AM,AM1682)&gt;AO1682,(SUMIFS(AT:AT,AM:AM,AM1682)-AO1682))</f>
      </c>
      <c r="AV1682" s="116">
        <v>101</v>
      </c>
      <c r="AW1682" s="121">
        <v>0.051</v>
      </c>
      <c r="AX1682" s="115">
        <f>AN1682-AP1682</f>
      </c>
    </row>
    <row r="1683" spans="1:50" ht="15" hidden="1" customHeight="1" x14ac:dyDescent="0.3">
      <c r="A1683" s="94" t="s">
        <v>82</v>
      </c>
      <c r="B1683" s="94"/>
      <c r="C1683" s="94"/>
      <c r="D1683" s="94"/>
      <c r="E1683" s="94"/>
      <c r="F1683" s="94"/>
      <c r="G1683" s="112">
        <f>AU1683</f>
      </c>
      <c r="H1683" s="113"/>
      <c r="I1683" s="94" t="s">
        <v>83</v>
      </c>
      <c r="J1683" s="94" t="s">
        <v>576</v>
      </c>
      <c r="K1683" s="114">
        <f>P1683/3</f>
      </c>
      <c r="L1683" s="115">
        <v>2500</v>
      </c>
      <c r="M1683" s="116"/>
      <c r="N1683" s="117">
        <f>M1683-L1683</f>
      </c>
      <c r="O1683" s="112"/>
      <c r="P1683" s="118">
        <f>N1683+O1683</f>
      </c>
      <c r="Q1683" s="94" t="s">
        <v>856</v>
      </c>
      <c r="R1683" s="94" t="s">
        <v>63</v>
      </c>
      <c r="S1683" s="119">
        <v>46338</v>
      </c>
      <c r="T1683" s="119"/>
      <c r="U1683" s="119" t="s">
        <v>678</v>
      </c>
      <c r="V1683" s="94"/>
      <c r="W1683" s="94"/>
      <c r="X1683" s="94"/>
      <c r="Y1683" s="119">
        <v>46336</v>
      </c>
      <c r="Z1683" s="94"/>
      <c r="AA1683" s="120"/>
      <c r="AB1683" s="120"/>
      <c r="AC1683" s="120"/>
      <c r="AD1683" s="120"/>
      <c r="AE1683" s="120"/>
      <c r="AF1683" s="120"/>
      <c r="AG1683" s="94"/>
      <c r="AH1683" s="120"/>
      <c r="AI1683" s="94"/>
      <c r="AJ1683" s="94" t="s">
        <v>808</v>
      </c>
      <c r="AK1683" s="94" t="s">
        <v>743</v>
      </c>
      <c r="AL1683" s="94">
        <v>160</v>
      </c>
      <c r="AM1683" s="94" t="str">
        <f>TRIM(AJ1683)&amp;TRIM(AL1683)&amp;TRIM(AK1683)</f>
      </c>
      <c r="AN1683" s="116">
        <v>101</v>
      </c>
      <c r="AO1683" s="116">
        <v>122560.97</v>
      </c>
      <c r="AP1683" s="116">
        <f>SUMIFS(M:M,AM:AM,AM1683)+SUMIFS(O:O,AM:AM,AM1683)</f>
      </c>
      <c r="AQ1683" s="116">
        <f>SUMIFS(L:L,AM:AM,AM1683)</f>
      </c>
      <c r="AR1683" s="116">
        <f>AQ1683-AP1683</f>
      </c>
      <c r="AS1683" s="94" t="str">
        <f>IF(AN1683&gt;=AQ1683,"ok","ck")</f>
      </c>
      <c r="AT1683" s="116">
        <f>-P1683</f>
      </c>
      <c r="AU1683" s="115">
        <f>IF(SUMIFS(AT:AT,AM:AM,AM1683)&gt;AO1683,(SUMIFS(AT:AT,AM:AM,AM1683)-AO1683))</f>
      </c>
      <c r="AV1683" s="116">
        <v>101</v>
      </c>
      <c r="AW1683" s="121">
        <v>0.051</v>
      </c>
      <c r="AX1683" s="115">
        <f>AN1683-AP1683</f>
      </c>
    </row>
    <row r="1684" spans="1:50" ht="15" hidden="1" customHeight="1" x14ac:dyDescent="0.3">
      <c r="A1684" s="94" t="s">
        <v>82</v>
      </c>
      <c r="B1684" s="94"/>
      <c r="C1684" s="94"/>
      <c r="D1684" s="94"/>
      <c r="E1684" s="94"/>
      <c r="F1684" s="94"/>
      <c r="G1684" s="112">
        <f>AU1684</f>
      </c>
      <c r="H1684" s="113"/>
      <c r="I1684" s="94" t="s">
        <v>83</v>
      </c>
      <c r="J1684" s="94" t="s">
        <v>576</v>
      </c>
      <c r="K1684" s="114">
        <f>P1684/3</f>
      </c>
      <c r="L1684" s="115">
        <v>2500</v>
      </c>
      <c r="M1684" s="116"/>
      <c r="N1684" s="117">
        <f>M1684-L1684</f>
      </c>
      <c r="O1684" s="112"/>
      <c r="P1684" s="118">
        <f>N1684+O1684</f>
      </c>
      <c r="Q1684" s="94" t="s">
        <v>856</v>
      </c>
      <c r="R1684" s="94" t="s">
        <v>63</v>
      </c>
      <c r="S1684" s="119">
        <v>46339</v>
      </c>
      <c r="T1684" s="119"/>
      <c r="U1684" s="119" t="s">
        <v>678</v>
      </c>
      <c r="V1684" s="94"/>
      <c r="W1684" s="94"/>
      <c r="X1684" s="94"/>
      <c r="Y1684" s="119">
        <v>46336</v>
      </c>
      <c r="Z1684" s="94"/>
      <c r="AA1684" s="120"/>
      <c r="AB1684" s="120"/>
      <c r="AC1684" s="120"/>
      <c r="AD1684" s="120"/>
      <c r="AE1684" s="120"/>
      <c r="AF1684" s="120"/>
      <c r="AG1684" s="94"/>
      <c r="AH1684" s="120"/>
      <c r="AI1684" s="94"/>
      <c r="AJ1684" s="94" t="s">
        <v>808</v>
      </c>
      <c r="AK1684" s="94" t="s">
        <v>743</v>
      </c>
      <c r="AL1684" s="94">
        <v>160</v>
      </c>
      <c r="AM1684" s="94" t="str">
        <f>TRIM(AJ1684)&amp;TRIM(AL1684)&amp;TRIM(AK1684)</f>
      </c>
      <c r="AN1684" s="116">
        <v>101</v>
      </c>
      <c r="AO1684" s="116">
        <v>122560.97</v>
      </c>
      <c r="AP1684" s="116">
        <f>SUMIFS(M:M,AM:AM,AM1684)+SUMIFS(O:O,AM:AM,AM1684)</f>
      </c>
      <c r="AQ1684" s="116">
        <f>SUMIFS(L:L,AM:AM,AM1684)</f>
      </c>
      <c r="AR1684" s="116">
        <f>AQ1684-AP1684</f>
      </c>
      <c r="AS1684" s="94" t="str">
        <f>IF(AN1684&gt;=AQ1684,"ok","ck")</f>
      </c>
      <c r="AT1684" s="116">
        <f>-P1684</f>
      </c>
      <c r="AU1684" s="115">
        <f>IF(SUMIFS(AT:AT,AM:AM,AM1684)&gt;AO1684,(SUMIFS(AT:AT,AM:AM,AM1684)-AO1684))</f>
      </c>
      <c r="AV1684" s="116">
        <v>101</v>
      </c>
      <c r="AW1684" s="121">
        <v>0.051</v>
      </c>
      <c r="AX1684" s="115">
        <f>AN1684-AP1684</f>
      </c>
    </row>
    <row r="1685" spans="1:50" ht="15" hidden="1" customHeight="1" x14ac:dyDescent="0.3">
      <c r="A1685" s="94" t="s">
        <v>82</v>
      </c>
      <c r="B1685" s="94"/>
      <c r="C1685" s="94"/>
      <c r="D1685" s="94"/>
      <c r="E1685" s="94"/>
      <c r="F1685" s="94"/>
      <c r="G1685" s="112">
        <f>AU1685</f>
      </c>
      <c r="H1685" s="113"/>
      <c r="I1685" s="94" t="s">
        <v>83</v>
      </c>
      <c r="J1685" s="94" t="s">
        <v>576</v>
      </c>
      <c r="K1685" s="114">
        <f>P1685/3</f>
      </c>
      <c r="L1685" s="115">
        <v>2500</v>
      </c>
      <c r="M1685" s="116"/>
      <c r="N1685" s="117">
        <f>M1685-L1685</f>
      </c>
      <c r="O1685" s="112"/>
      <c r="P1685" s="118">
        <f>N1685+O1685</f>
      </c>
      <c r="Q1685" s="94" t="s">
        <v>856</v>
      </c>
      <c r="R1685" s="94" t="s">
        <v>63</v>
      </c>
      <c r="S1685" s="119">
        <v>46340</v>
      </c>
      <c r="T1685" s="119"/>
      <c r="U1685" s="119" t="s">
        <v>678</v>
      </c>
      <c r="V1685" s="94"/>
      <c r="W1685" s="94"/>
      <c r="X1685" s="94"/>
      <c r="Y1685" s="119">
        <v>46336</v>
      </c>
      <c r="Z1685" s="94"/>
      <c r="AA1685" s="120"/>
      <c r="AB1685" s="120"/>
      <c r="AC1685" s="120"/>
      <c r="AD1685" s="120"/>
      <c r="AE1685" s="120"/>
      <c r="AF1685" s="120"/>
      <c r="AG1685" s="94"/>
      <c r="AH1685" s="120"/>
      <c r="AI1685" s="94"/>
      <c r="AJ1685" s="94" t="s">
        <v>808</v>
      </c>
      <c r="AK1685" s="94" t="s">
        <v>743</v>
      </c>
      <c r="AL1685" s="94">
        <v>160</v>
      </c>
      <c r="AM1685" s="94" t="str">
        <f>TRIM(AJ1685)&amp;TRIM(AL1685)&amp;TRIM(AK1685)</f>
      </c>
      <c r="AN1685" s="116">
        <v>101</v>
      </c>
      <c r="AO1685" s="116">
        <v>122560.97</v>
      </c>
      <c r="AP1685" s="116">
        <f>SUMIFS(M:M,AM:AM,AM1685)+SUMIFS(O:O,AM:AM,AM1685)</f>
      </c>
      <c r="AQ1685" s="116">
        <f>SUMIFS(L:L,AM:AM,AM1685)</f>
      </c>
      <c r="AR1685" s="116">
        <f>AQ1685-AP1685</f>
      </c>
      <c r="AS1685" s="94" t="str">
        <f>IF(AN1685&gt;=AQ1685,"ok","ck")</f>
      </c>
      <c r="AT1685" s="116">
        <f>-P1685</f>
      </c>
      <c r="AU1685" s="115">
        <f>IF(SUMIFS(AT:AT,AM:AM,AM1685)&gt;AO1685,(SUMIFS(AT:AT,AM:AM,AM1685)-AO1685))</f>
      </c>
      <c r="AV1685" s="116">
        <v>101</v>
      </c>
      <c r="AW1685" s="121">
        <v>0.051</v>
      </c>
      <c r="AX1685" s="115">
        <f>AN1685-AP1685</f>
      </c>
    </row>
    <row r="1686" spans="1:50" ht="15" customHeight="1" x14ac:dyDescent="0.3">
      <c r="A1686" s="94" t="s">
        <v>862</v>
      </c>
      <c r="B1686" s="94"/>
      <c r="C1686" s="94"/>
      <c r="D1686" s="94"/>
      <c r="E1686" s="94"/>
      <c r="F1686" s="94"/>
      <c r="G1686" s="112">
        <f>AU1686</f>
      </c>
      <c r="H1686" s="113"/>
      <c r="I1686" s="94" t="s">
        <v>278</v>
      </c>
      <c r="J1686" s="94" t="s">
        <v>267</v>
      </c>
      <c r="K1686" s="114">
        <f>P1686/3</f>
      </c>
      <c r="L1686" s="115">
        <v>200.857</v>
      </c>
      <c r="M1686" s="116"/>
      <c r="N1686" s="117">
        <f>M1686-L1686</f>
      </c>
      <c r="O1686" s="112"/>
      <c r="P1686" s="118">
        <f>N1686+O1686</f>
      </c>
      <c r="Q1686" s="94"/>
      <c r="R1686" s="94" t="s">
        <v>63</v>
      </c>
      <c r="S1686" s="119">
        <v>46341</v>
      </c>
      <c r="T1686" s="119"/>
      <c r="U1686" s="119" t="s">
        <v>631</v>
      </c>
      <c r="V1686" s="94"/>
      <c r="W1686" s="94"/>
      <c r="X1686" s="94"/>
      <c r="Y1686" s="119">
        <v>46320</v>
      </c>
      <c r="Z1686" s="94"/>
      <c r="AA1686" s="120"/>
      <c r="AB1686" s="120"/>
      <c r="AC1686" s="120"/>
      <c r="AD1686" s="120"/>
      <c r="AE1686" s="120"/>
      <c r="AF1686" s="120"/>
      <c r="AG1686" s="94"/>
      <c r="AH1686" s="120"/>
      <c r="AI1686" s="94"/>
      <c r="AJ1686" s="94"/>
      <c r="AK1686" s="94"/>
      <c r="AL1686" s="94">
        <v>120</v>
      </c>
      <c r="AM1686" s="94" t="str">
        <f>TRIM(AJ1686)&amp;TRIM(AL1686)&amp;TRIM(AK1686)</f>
      </c>
      <c r="AN1686" s="116">
        <v>0</v>
      </c>
      <c r="AO1686" s="116" t="inlineStr">
        <is>
          <t>#NA</t>
        </is>
      </c>
      <c r="AP1686" s="116">
        <f>SUMIFS(M:M,AM:AM,AM1686)+SUMIFS(O:O,AM:AM,AM1686)</f>
      </c>
      <c r="AQ1686" s="116">
        <f>SUMIFS(L:L,AM:AM,AM1686)</f>
      </c>
      <c r="AR1686" s="116">
        <f>AQ1686-AP1686</f>
      </c>
      <c r="AS1686" s="94" t="str">
        <f>IF(AN1686&gt;=AQ1686,"ok","ck")</f>
      </c>
      <c r="AT1686" s="116">
        <f>-P1686</f>
      </c>
      <c r="AU1686" s="115">
        <f>IF(SUMIFS(AT:AT,AM:AM,AM1686)&gt;AO1686,(SUMIFS(AT:AT,AM:AM,AM1686)-AO1686))</f>
      </c>
      <c r="AV1686" s="116" t="e">
        <v>#N/A</v>
      </c>
      <c r="AW1686" s="121" t="e">
        <v>#N/A</v>
      </c>
      <c r="AX1686" s="115">
        <f>AN1686-AP1686</f>
      </c>
    </row>
    <row r="1687" spans="1:50" ht="15" customHeight="1" x14ac:dyDescent="0.3">
      <c r="A1687" s="94" t="s">
        <v>862</v>
      </c>
      <c r="B1687" s="94"/>
      <c r="C1687" s="94"/>
      <c r="D1687" s="94"/>
      <c r="E1687" s="94"/>
      <c r="F1687" s="94"/>
      <c r="G1687" s="112">
        <f>AU1687</f>
      </c>
      <c r="H1687" s="113"/>
      <c r="I1687" s="94" t="s">
        <v>278</v>
      </c>
      <c r="J1687" s="94" t="s">
        <v>267</v>
      </c>
      <c r="K1687" s="114">
        <f>P1687/3</f>
      </c>
      <c r="L1687" s="115">
        <v>200.857</v>
      </c>
      <c r="M1687" s="116"/>
      <c r="N1687" s="117">
        <f>M1687-L1687</f>
      </c>
      <c r="O1687" s="112"/>
      <c r="P1687" s="118">
        <f>N1687+O1687</f>
      </c>
      <c r="Q1687" s="94"/>
      <c r="R1687" s="94" t="s">
        <v>63</v>
      </c>
      <c r="S1687" s="119">
        <v>46342</v>
      </c>
      <c r="T1687" s="119"/>
      <c r="U1687" s="119" t="s">
        <v>631</v>
      </c>
      <c r="V1687" s="94"/>
      <c r="W1687" s="94"/>
      <c r="X1687" s="94"/>
      <c r="Y1687" s="119">
        <v>46326</v>
      </c>
      <c r="Z1687" s="94"/>
      <c r="AA1687" s="120"/>
      <c r="AB1687" s="120"/>
      <c r="AC1687" s="120"/>
      <c r="AD1687" s="120"/>
      <c r="AE1687" s="120"/>
      <c r="AF1687" s="120"/>
      <c r="AG1687" s="94"/>
      <c r="AH1687" s="120"/>
      <c r="AI1687" s="94"/>
      <c r="AJ1687" s="94"/>
      <c r="AK1687" s="94"/>
      <c r="AL1687" s="94">
        <v>120</v>
      </c>
      <c r="AM1687" s="94" t="str">
        <f>TRIM(AJ1687)&amp;TRIM(AL1687)&amp;TRIM(AK1687)</f>
      </c>
      <c r="AN1687" s="116">
        <v>0</v>
      </c>
      <c r="AO1687" s="116" t="inlineStr">
        <is>
          <t>#NA</t>
        </is>
      </c>
      <c r="AP1687" s="116">
        <f>SUMIFS(M:M,AM:AM,AM1687)+SUMIFS(O:O,AM:AM,AM1687)</f>
      </c>
      <c r="AQ1687" s="116">
        <f>SUMIFS(L:L,AM:AM,AM1687)</f>
      </c>
      <c r="AR1687" s="116">
        <f>AQ1687-AP1687</f>
      </c>
      <c r="AS1687" s="94" t="str">
        <f>IF(AN1687&gt;=AQ1687,"ok","ck")</f>
      </c>
      <c r="AT1687" s="116">
        <f>-P1687</f>
      </c>
      <c r="AU1687" s="115">
        <f>IF(SUMIFS(AT:AT,AM:AM,AM1687)&gt;AO1687,(SUMIFS(AT:AT,AM:AM,AM1687)-AO1687))</f>
      </c>
      <c r="AV1687" s="116" t="e">
        <v>#N/A</v>
      </c>
      <c r="AW1687" s="121" t="e">
        <v>#N/A</v>
      </c>
      <c r="AX1687" s="115">
        <f>AN1687-AP1687</f>
      </c>
    </row>
    <row r="1688" spans="1:50" ht="15" customHeight="1" x14ac:dyDescent="0.3">
      <c r="A1688" s="94" t="s">
        <v>862</v>
      </c>
      <c r="B1688" s="94"/>
      <c r="C1688" s="94"/>
      <c r="D1688" s="94"/>
      <c r="E1688" s="94"/>
      <c r="F1688" s="94"/>
      <c r="G1688" s="112">
        <f>AU1688</f>
      </c>
      <c r="H1688" s="113"/>
      <c r="I1688" s="94" t="s">
        <v>278</v>
      </c>
      <c r="J1688" s="94" t="s">
        <v>267</v>
      </c>
      <c r="K1688" s="114">
        <f>P1688/3</f>
      </c>
      <c r="L1688" s="115">
        <v>200.857</v>
      </c>
      <c r="M1688" s="116"/>
      <c r="N1688" s="117">
        <f>M1688-L1688</f>
      </c>
      <c r="O1688" s="112"/>
      <c r="P1688" s="118">
        <f>N1688+O1688</f>
      </c>
      <c r="Q1688" s="94"/>
      <c r="R1688" s="94" t="s">
        <v>63</v>
      </c>
      <c r="S1688" s="119">
        <v>46343</v>
      </c>
      <c r="T1688" s="119"/>
      <c r="U1688" s="119" t="s">
        <v>631</v>
      </c>
      <c r="V1688" s="94"/>
      <c r="W1688" s="94"/>
      <c r="X1688" s="94"/>
      <c r="Y1688" s="119">
        <v>46345</v>
      </c>
      <c r="Z1688" s="94"/>
      <c r="AA1688" s="120"/>
      <c r="AB1688" s="120"/>
      <c r="AC1688" s="120"/>
      <c r="AD1688" s="120"/>
      <c r="AE1688" s="120"/>
      <c r="AF1688" s="120"/>
      <c r="AG1688" s="94"/>
      <c r="AH1688" s="120"/>
      <c r="AI1688" s="94"/>
      <c r="AJ1688" s="94"/>
      <c r="AK1688" s="94"/>
      <c r="AL1688" s="94">
        <v>120</v>
      </c>
      <c r="AM1688" s="94" t="str">
        <f>TRIM(AJ1688)&amp;TRIM(AL1688)&amp;TRIM(AK1688)</f>
      </c>
      <c r="AN1688" s="116">
        <v>0</v>
      </c>
      <c r="AO1688" s="116" t="inlineStr">
        <is>
          <t>#NA</t>
        </is>
      </c>
      <c r="AP1688" s="116">
        <f>SUMIFS(M:M,AM:AM,AM1688)+SUMIFS(O:O,AM:AM,AM1688)</f>
      </c>
      <c r="AQ1688" s="116">
        <f>SUMIFS(L:L,AM:AM,AM1688)</f>
      </c>
      <c r="AR1688" s="116">
        <f>AQ1688-AP1688</f>
      </c>
      <c r="AS1688" s="94" t="str">
        <f>IF(AN1688&gt;=AQ1688,"ok","ck")</f>
      </c>
      <c r="AT1688" s="116">
        <f>-P1688</f>
      </c>
      <c r="AU1688" s="115">
        <f>IF(SUMIFS(AT:AT,AM:AM,AM1688)&gt;AO1688,(SUMIFS(AT:AT,AM:AM,AM1688)-AO1688))</f>
      </c>
      <c r="AV1688" s="116" t="e">
        <v>#N/A</v>
      </c>
      <c r="AW1688" s="121" t="e">
        <v>#N/A</v>
      </c>
      <c r="AX1688" s="115">
        <f>AN1688-AP1688</f>
      </c>
    </row>
    <row r="1689" spans="1:50" ht="15" customHeight="1" x14ac:dyDescent="0.3">
      <c r="A1689" s="94" t="s">
        <v>862</v>
      </c>
      <c r="B1689" s="94"/>
      <c r="C1689" s="94"/>
      <c r="D1689" s="94"/>
      <c r="E1689" s="94"/>
      <c r="F1689" s="94"/>
      <c r="G1689" s="112">
        <f>AU1689</f>
      </c>
      <c r="H1689" s="113"/>
      <c r="I1689" s="94" t="s">
        <v>278</v>
      </c>
      <c r="J1689" s="94" t="s">
        <v>281</v>
      </c>
      <c r="K1689" s="114">
        <f>P1689/3</f>
      </c>
      <c r="L1689" s="115">
        <v>234.70599999999999</v>
      </c>
      <c r="M1689" s="116"/>
      <c r="N1689" s="117">
        <f>M1689-L1689</f>
      </c>
      <c r="O1689" s="112"/>
      <c r="P1689" s="118">
        <f>N1689+O1689</f>
      </c>
      <c r="Q1689" s="94"/>
      <c r="R1689" s="94" t="s">
        <v>63</v>
      </c>
      <c r="S1689" s="119">
        <v>46352</v>
      </c>
      <c r="T1689" s="119"/>
      <c r="U1689" s="119" t="s">
        <v>632</v>
      </c>
      <c r="V1689" s="94"/>
      <c r="W1689" s="94"/>
      <c r="X1689" s="94"/>
      <c r="Y1689" s="119">
        <v>46345</v>
      </c>
      <c r="Z1689" s="94"/>
      <c r="AA1689" s="120"/>
      <c r="AB1689" s="120"/>
      <c r="AC1689" s="120"/>
      <c r="AD1689" s="120"/>
      <c r="AE1689" s="120"/>
      <c r="AF1689" s="120"/>
      <c r="AG1689" s="94"/>
      <c r="AH1689" s="120"/>
      <c r="AI1689" s="94"/>
      <c r="AJ1689" s="94"/>
      <c r="AK1689" s="94"/>
      <c r="AL1689" s="94">
        <v>120</v>
      </c>
      <c r="AM1689" s="94" t="str">
        <f>TRIM(AJ1689)&amp;TRIM(AL1689)&amp;TRIM(AK1689)</f>
      </c>
      <c r="AN1689" s="116">
        <v>0</v>
      </c>
      <c r="AO1689" s="116" t="inlineStr">
        <is>
          <t>#NA</t>
        </is>
      </c>
      <c r="AP1689" s="116">
        <f>SUMIFS(M:M,AM:AM,AM1689)+SUMIFS(O:O,AM:AM,AM1689)</f>
      </c>
      <c r="AQ1689" s="116">
        <f>SUMIFS(L:L,AM:AM,AM1689)</f>
      </c>
      <c r="AR1689" s="116">
        <f>AQ1689-AP1689</f>
      </c>
      <c r="AS1689" s="94" t="str">
        <f>IF(AN1689&gt;=AQ1689,"ok","ck")</f>
      </c>
      <c r="AT1689" s="116">
        <f>-P1689</f>
      </c>
      <c r="AU1689" s="115">
        <f>IF(SUMIFS(AT:AT,AM:AM,AM1689)&gt;AO1689,(SUMIFS(AT:AT,AM:AM,AM1689)-AO1689))</f>
      </c>
      <c r="AV1689" s="116" t="e">
        <v>#N/A</v>
      </c>
      <c r="AW1689" s="121" t="e">
        <v>#N/A</v>
      </c>
      <c r="AX1689" s="115">
        <f>AN1689-AP1689</f>
      </c>
    </row>
    <row r="1690" spans="1:50" ht="15" customHeight="1" x14ac:dyDescent="0.3">
      <c r="A1690" s="94" t="s">
        <v>862</v>
      </c>
      <c r="B1690" s="94"/>
      <c r="C1690" s="94"/>
      <c r="D1690" s="94"/>
      <c r="E1690" s="94"/>
      <c r="F1690" s="94"/>
      <c r="G1690" s="112">
        <f>AU1690</f>
      </c>
      <c r="H1690" s="113"/>
      <c r="I1690" s="94" t="s">
        <v>278</v>
      </c>
      <c r="J1690" s="94" t="s">
        <v>281</v>
      </c>
      <c r="K1690" s="114">
        <f>P1690/3</f>
      </c>
      <c r="L1690" s="115">
        <v>234.70599999999999</v>
      </c>
      <c r="M1690" s="116"/>
      <c r="N1690" s="117">
        <f>M1690-L1690</f>
      </c>
      <c r="O1690" s="112"/>
      <c r="P1690" s="118">
        <f>N1690+O1690</f>
      </c>
      <c r="Q1690" s="94"/>
      <c r="R1690" s="94" t="s">
        <v>63</v>
      </c>
      <c r="S1690" s="119">
        <v>46353</v>
      </c>
      <c r="T1690" s="119"/>
      <c r="U1690" s="120" t="s">
        <v>632</v>
      </c>
      <c r="V1690" s="94"/>
      <c r="W1690" s="94"/>
      <c r="X1690" s="94"/>
      <c r="Y1690" s="119">
        <v>46341</v>
      </c>
      <c r="Z1690" s="94"/>
      <c r="AA1690" s="120"/>
      <c r="AB1690" s="120"/>
      <c r="AC1690" s="120"/>
      <c r="AD1690" s="120"/>
      <c r="AE1690" s="120"/>
      <c r="AF1690" s="120"/>
      <c r="AG1690" s="94"/>
      <c r="AH1690" s="120"/>
      <c r="AI1690" s="94"/>
      <c r="AJ1690" s="94"/>
      <c r="AK1690" s="94"/>
      <c r="AL1690" s="94">
        <v>120</v>
      </c>
      <c r="AM1690" s="94" t="str">
        <f>TRIM(AJ1690)&amp;TRIM(AL1690)&amp;TRIM(AK1690)</f>
      </c>
      <c r="AN1690" s="116">
        <v>0</v>
      </c>
      <c r="AO1690" s="116" t="inlineStr">
        <is>
          <t>#NA</t>
        </is>
      </c>
      <c r="AP1690" s="116">
        <f>SUMIFS(M:M,AM:AM,AM1690)+SUMIFS(O:O,AM:AM,AM1690)</f>
      </c>
      <c r="AQ1690" s="116">
        <f>SUMIFS(L:L,AM:AM,AM1690)</f>
      </c>
      <c r="AR1690" s="116">
        <f>AQ1690-AP1690</f>
      </c>
      <c r="AS1690" s="94" t="str">
        <f>IF(AN1690&gt;=AQ1690,"ok","ck")</f>
      </c>
      <c r="AT1690" s="116">
        <f>-P1690</f>
      </c>
      <c r="AU1690" s="115">
        <f>IF(SUMIFS(AT:AT,AM:AM,AM1690)&gt;AO1690,(SUMIFS(AT:AT,AM:AM,AM1690)-AO1690))</f>
      </c>
      <c r="AV1690" s="116" t="e">
        <v>#N/A</v>
      </c>
      <c r="AW1690" s="121" t="e">
        <v>#N/A</v>
      </c>
      <c r="AX1690" s="115">
        <f>AN1690-AP1690</f>
      </c>
    </row>
    <row r="1691" spans="1:50" ht="15" customHeight="1" x14ac:dyDescent="0.3">
      <c r="A1691" s="94" t="s">
        <v>862</v>
      </c>
      <c r="B1691" s="94"/>
      <c r="C1691" s="94"/>
      <c r="D1691" s="94"/>
      <c r="E1691" s="94"/>
      <c r="F1691" s="94"/>
      <c r="G1691" s="112">
        <f>AU1691</f>
      </c>
      <c r="H1691" s="113"/>
      <c r="I1691" s="94" t="s">
        <v>278</v>
      </c>
      <c r="J1691" s="94" t="s">
        <v>281</v>
      </c>
      <c r="K1691" s="114">
        <f>P1691/3</f>
      </c>
      <c r="L1691" s="115">
        <v>1375.105</v>
      </c>
      <c r="M1691" s="116"/>
      <c r="N1691" s="117">
        <f>M1691-L1691</f>
      </c>
      <c r="O1691" s="112"/>
      <c r="P1691" s="118">
        <f>N1691+O1691</f>
      </c>
      <c r="Q1691" s="94"/>
      <c r="R1691" s="94" t="s">
        <v>63</v>
      </c>
      <c r="S1691" s="119">
        <v>46354</v>
      </c>
      <c r="T1691" s="119"/>
      <c r="U1691" s="120" t="s">
        <v>632</v>
      </c>
      <c r="V1691" s="94"/>
      <c r="W1691" s="94"/>
      <c r="X1691" s="94"/>
      <c r="Y1691" s="119">
        <v>46320</v>
      </c>
      <c r="Z1691" s="94"/>
      <c r="AA1691" s="120"/>
      <c r="AB1691" s="120"/>
      <c r="AC1691" s="120"/>
      <c r="AD1691" s="120"/>
      <c r="AE1691" s="120"/>
      <c r="AF1691" s="120"/>
      <c r="AG1691" s="94"/>
      <c r="AH1691" s="120"/>
      <c r="AI1691" s="94"/>
      <c r="AJ1691" s="94"/>
      <c r="AK1691" s="94"/>
      <c r="AL1691" s="94">
        <v>120</v>
      </c>
      <c r="AM1691" s="94" t="str">
        <f>TRIM(AJ1691)&amp;TRIM(AL1691)&amp;TRIM(AK1691)</f>
      </c>
      <c r="AN1691" s="116">
        <v>0</v>
      </c>
      <c r="AO1691" s="116" t="inlineStr">
        <is>
          <t>#NA</t>
        </is>
      </c>
      <c r="AP1691" s="116">
        <f>SUMIFS(M:M,AM:AM,AM1691)+SUMIFS(O:O,AM:AM,AM1691)</f>
      </c>
      <c r="AQ1691" s="116">
        <f>SUMIFS(L:L,AM:AM,AM1691)</f>
      </c>
      <c r="AR1691" s="116">
        <f>AQ1691-AP1691</f>
      </c>
      <c r="AS1691" s="94" t="str">
        <f>IF(AN1691&gt;=AQ1691,"ok","ck")</f>
      </c>
      <c r="AT1691" s="116">
        <f>-P1691</f>
      </c>
      <c r="AU1691" s="115">
        <f>IF(SUMIFS(AT:AT,AM:AM,AM1691)&gt;AO1691,(SUMIFS(AT:AT,AM:AM,AM1691)-AO1691))</f>
      </c>
      <c r="AV1691" s="116" t="e">
        <v>#N/A</v>
      </c>
      <c r="AW1691" s="121" t="e">
        <v>#N/A</v>
      </c>
      <c r="AX1691" s="115">
        <f>AN1691-AP1691</f>
      </c>
    </row>
    <row r="1692" spans="1:50" ht="15" hidden="1" customHeight="1" x14ac:dyDescent="0.3">
      <c r="A1692" s="94" t="s">
        <v>82</v>
      </c>
      <c r="B1692" s="94"/>
      <c r="C1692" s="94"/>
      <c r="D1692" s="94"/>
      <c r="E1692" s="94"/>
      <c r="F1692" s="94"/>
      <c r="G1692" s="112">
        <f>AU1692</f>
      </c>
      <c r="H1692" s="113"/>
      <c r="I1692" s="94" t="s">
        <v>83</v>
      </c>
      <c r="J1692" s="94" t="s">
        <v>102</v>
      </c>
      <c r="K1692" s="114">
        <f>P1692/3</f>
      </c>
      <c r="L1692" s="115">
        <v>2000</v>
      </c>
      <c r="M1692" s="116"/>
      <c r="N1692" s="117">
        <f>M1692-L1692</f>
      </c>
      <c r="O1692" s="112"/>
      <c r="P1692" s="118">
        <f>N1692+O1692</f>
      </c>
      <c r="Q1692" s="94" t="s">
        <v>856</v>
      </c>
      <c r="R1692" s="94" t="s">
        <v>63</v>
      </c>
      <c r="S1692" s="119">
        <v>46342</v>
      </c>
      <c r="T1692" s="119"/>
      <c r="U1692" s="120" t="s">
        <v>677</v>
      </c>
      <c r="V1692" s="94"/>
      <c r="W1692" s="94"/>
      <c r="X1692" s="94"/>
      <c r="Y1692" s="119">
        <v>46342</v>
      </c>
      <c r="Z1692" s="94"/>
      <c r="AA1692" s="120"/>
      <c r="AB1692" s="120"/>
      <c r="AC1692" s="120"/>
      <c r="AD1692" s="120"/>
      <c r="AE1692" s="120"/>
      <c r="AF1692" s="120"/>
      <c r="AG1692" s="94"/>
      <c r="AH1692" s="120"/>
      <c r="AI1692" s="94"/>
      <c r="AJ1692" s="94" t="s">
        <v>808</v>
      </c>
      <c r="AK1692" s="94" t="s">
        <v>103</v>
      </c>
      <c r="AL1692" s="94">
        <v>160</v>
      </c>
      <c r="AM1692" s="94" t="str">
        <f>TRIM(AJ1692)&amp;TRIM(AL1692)&amp;TRIM(AK1692)</f>
      </c>
      <c r="AN1692" s="116">
        <v>0</v>
      </c>
      <c r="AO1692" s="116" t="inlineStr">
        <is>
          <t>#NA</t>
        </is>
      </c>
      <c r="AP1692" s="116">
        <f>SUMIFS(M:M,AM:AM,AM1692)+SUMIFS(O:O,AM:AM,AM1692)</f>
      </c>
      <c r="AQ1692" s="116">
        <f>SUMIFS(L:L,AM:AM,AM1692)</f>
      </c>
      <c r="AR1692" s="116">
        <f>AQ1692-AP1692</f>
      </c>
      <c r="AS1692" s="94" t="str">
        <f>IF(AN1692&gt;=AQ1692,"ok","ck")</f>
      </c>
      <c r="AT1692" s="116">
        <f>-P1692</f>
      </c>
      <c r="AU1692" s="115">
        <f>IF(SUMIFS(AT:AT,AM:AM,AM1692)&gt;AO1692,(SUMIFS(AT:AT,AM:AM,AM1692)-AO1692))</f>
      </c>
      <c r="AV1692" s="116">
        <v>0</v>
      </c>
      <c r="AW1692" s="121">
        <v>0</v>
      </c>
      <c r="AX1692" s="115">
        <f>AN1692-AP1692</f>
      </c>
    </row>
    <row r="1693" spans="1:50" ht="15" hidden="1" customHeight="1" x14ac:dyDescent="0.3">
      <c r="A1693" s="94" t="s">
        <v>82</v>
      </c>
      <c r="B1693" s="94"/>
      <c r="C1693" s="94"/>
      <c r="D1693" s="94"/>
      <c r="E1693" s="94"/>
      <c r="F1693" s="94"/>
      <c r="G1693" s="112">
        <f>AU1693</f>
      </c>
      <c r="H1693" s="113"/>
      <c r="I1693" s="94" t="s">
        <v>83</v>
      </c>
      <c r="J1693" s="94" t="s">
        <v>102</v>
      </c>
      <c r="K1693" s="114">
        <f>P1693/3</f>
      </c>
      <c r="L1693" s="115">
        <v>2000</v>
      </c>
      <c r="M1693" s="116"/>
      <c r="N1693" s="117">
        <f>M1693-L1693</f>
      </c>
      <c r="O1693" s="112"/>
      <c r="P1693" s="118">
        <f>N1693+O1693</f>
      </c>
      <c r="Q1693" s="94" t="s">
        <v>856</v>
      </c>
      <c r="R1693" s="94" t="s">
        <v>63</v>
      </c>
      <c r="S1693" s="119">
        <v>46343</v>
      </c>
      <c r="T1693" s="119"/>
      <c r="U1693" s="120" t="s">
        <v>677</v>
      </c>
      <c r="V1693" s="94"/>
      <c r="W1693" s="94"/>
      <c r="X1693" s="94"/>
      <c r="Y1693" s="119">
        <v>46342</v>
      </c>
      <c r="Z1693" s="94"/>
      <c r="AA1693" s="120"/>
      <c r="AB1693" s="120"/>
      <c r="AC1693" s="120"/>
      <c r="AD1693" s="120"/>
      <c r="AE1693" s="120"/>
      <c r="AF1693" s="120"/>
      <c r="AG1693" s="94"/>
      <c r="AH1693" s="120"/>
      <c r="AI1693" s="94"/>
      <c r="AJ1693" s="94" t="s">
        <v>808</v>
      </c>
      <c r="AK1693" s="94" t="s">
        <v>103</v>
      </c>
      <c r="AL1693" s="94">
        <v>160</v>
      </c>
      <c r="AM1693" s="94" t="str">
        <f>TRIM(AJ1693)&amp;TRIM(AL1693)&amp;TRIM(AK1693)</f>
      </c>
      <c r="AN1693" s="116">
        <v>0</v>
      </c>
      <c r="AO1693" s="116" t="inlineStr">
        <is>
          <t>#NA</t>
        </is>
      </c>
      <c r="AP1693" s="116">
        <f>SUMIFS(M:M,AM:AM,AM1693)+SUMIFS(O:O,AM:AM,AM1693)</f>
      </c>
      <c r="AQ1693" s="116">
        <f>SUMIFS(L:L,AM:AM,AM1693)</f>
      </c>
      <c r="AR1693" s="116">
        <f>AQ1693-AP1693</f>
      </c>
      <c r="AS1693" s="94" t="str">
        <f>IF(AN1693&gt;=AQ1693,"ok","ck")</f>
      </c>
      <c r="AT1693" s="116">
        <f>-P1693</f>
      </c>
      <c r="AU1693" s="115">
        <f>IF(SUMIFS(AT:AT,AM:AM,AM1693)&gt;AO1693,(SUMIFS(AT:AT,AM:AM,AM1693)-AO1693))</f>
      </c>
      <c r="AV1693" s="116">
        <v>0</v>
      </c>
      <c r="AW1693" s="121">
        <v>0</v>
      </c>
      <c r="AX1693" s="115">
        <f>AN1693-AP1693</f>
      </c>
    </row>
    <row r="1694" spans="1:50" ht="15" hidden="1" customHeight="1" x14ac:dyDescent="0.3">
      <c r="A1694" s="94" t="s">
        <v>82</v>
      </c>
      <c r="B1694" s="94"/>
      <c r="C1694" s="94"/>
      <c r="D1694" s="94"/>
      <c r="E1694" s="94"/>
      <c r="F1694" s="94"/>
      <c r="G1694" s="112">
        <f>AU1694</f>
      </c>
      <c r="H1694" s="113"/>
      <c r="I1694" s="94" t="s">
        <v>83</v>
      </c>
      <c r="J1694" s="94" t="s">
        <v>102</v>
      </c>
      <c r="K1694" s="114">
        <f>P1694/3</f>
      </c>
      <c r="L1694" s="115">
        <v>2000</v>
      </c>
      <c r="M1694" s="116"/>
      <c r="N1694" s="117">
        <f>M1694-L1694</f>
      </c>
      <c r="O1694" s="112"/>
      <c r="P1694" s="118">
        <f>N1694+O1694</f>
      </c>
      <c r="Q1694" s="94" t="s">
        <v>856</v>
      </c>
      <c r="R1694" s="94" t="s">
        <v>63</v>
      </c>
      <c r="S1694" s="119">
        <v>46344</v>
      </c>
      <c r="T1694" s="119"/>
      <c r="U1694" s="120" t="s">
        <v>677</v>
      </c>
      <c r="V1694" s="94"/>
      <c r="W1694" s="94"/>
      <c r="X1694" s="94"/>
      <c r="Y1694" s="119">
        <v>46342</v>
      </c>
      <c r="Z1694" s="94"/>
      <c r="AA1694" s="120"/>
      <c r="AB1694" s="120"/>
      <c r="AC1694" s="120"/>
      <c r="AD1694" s="120"/>
      <c r="AE1694" s="120"/>
      <c r="AF1694" s="120"/>
      <c r="AG1694" s="94"/>
      <c r="AH1694" s="120"/>
      <c r="AI1694" s="94"/>
      <c r="AJ1694" s="94" t="s">
        <v>808</v>
      </c>
      <c r="AK1694" s="94" t="s">
        <v>103</v>
      </c>
      <c r="AL1694" s="94">
        <v>160</v>
      </c>
      <c r="AM1694" s="94" t="str">
        <f>TRIM(AJ1694)&amp;TRIM(AL1694)&amp;TRIM(AK1694)</f>
      </c>
      <c r="AN1694" s="116">
        <v>0</v>
      </c>
      <c r="AO1694" s="116" t="inlineStr">
        <is>
          <t>#NA</t>
        </is>
      </c>
      <c r="AP1694" s="116">
        <f>SUMIFS(M:M,AM:AM,AM1694)+SUMIFS(O:O,AM:AM,AM1694)</f>
      </c>
      <c r="AQ1694" s="116">
        <f>SUMIFS(L:L,AM:AM,AM1694)</f>
      </c>
      <c r="AR1694" s="116">
        <f>AQ1694-AP1694</f>
      </c>
      <c r="AS1694" s="94" t="str">
        <f>IF(AN1694&gt;=AQ1694,"ok","ck")</f>
      </c>
      <c r="AT1694" s="116">
        <f>-P1694</f>
      </c>
      <c r="AU1694" s="115">
        <f>IF(SUMIFS(AT:AT,AM:AM,AM1694)&gt;AO1694,(SUMIFS(AT:AT,AM:AM,AM1694)-AO1694))</f>
      </c>
      <c r="AV1694" s="116">
        <v>0</v>
      </c>
      <c r="AW1694" s="121">
        <v>0</v>
      </c>
      <c r="AX1694" s="115">
        <f>AN1694-AP1694</f>
      </c>
    </row>
    <row r="1695" spans="1:50" ht="15" hidden="1" customHeight="1" x14ac:dyDescent="0.3">
      <c r="A1695" s="94" t="s">
        <v>82</v>
      </c>
      <c r="B1695" s="94"/>
      <c r="C1695" s="94"/>
      <c r="D1695" s="94"/>
      <c r="E1695" s="94"/>
      <c r="F1695" s="94"/>
      <c r="G1695" s="112">
        <f>AU1695</f>
      </c>
      <c r="H1695" s="113"/>
      <c r="I1695" s="94" t="s">
        <v>83</v>
      </c>
      <c r="J1695" s="94" t="s">
        <v>102</v>
      </c>
      <c r="K1695" s="114">
        <f>P1695/3</f>
      </c>
      <c r="L1695" s="115">
        <v>2000</v>
      </c>
      <c r="M1695" s="116"/>
      <c r="N1695" s="117">
        <f>M1695-L1695</f>
      </c>
      <c r="O1695" s="112"/>
      <c r="P1695" s="118">
        <f>N1695+O1695</f>
      </c>
      <c r="Q1695" s="94" t="s">
        <v>856</v>
      </c>
      <c r="R1695" s="94" t="s">
        <v>63</v>
      </c>
      <c r="S1695" s="119">
        <v>46345</v>
      </c>
      <c r="T1695" s="119"/>
      <c r="U1695" s="120" t="s">
        <v>677</v>
      </c>
      <c r="V1695" s="94"/>
      <c r="W1695" s="94"/>
      <c r="X1695" s="94"/>
      <c r="Y1695" s="119">
        <v>46342</v>
      </c>
      <c r="Z1695" s="94"/>
      <c r="AA1695" s="120"/>
      <c r="AB1695" s="120"/>
      <c r="AC1695" s="120"/>
      <c r="AD1695" s="120"/>
      <c r="AE1695" s="120"/>
      <c r="AF1695" s="120"/>
      <c r="AG1695" s="94"/>
      <c r="AH1695" s="120"/>
      <c r="AI1695" s="94"/>
      <c r="AJ1695" s="94" t="s">
        <v>808</v>
      </c>
      <c r="AK1695" s="94" t="s">
        <v>103</v>
      </c>
      <c r="AL1695" s="94">
        <v>160</v>
      </c>
      <c r="AM1695" s="94" t="str">
        <f>TRIM(AJ1695)&amp;TRIM(AL1695)&amp;TRIM(AK1695)</f>
      </c>
      <c r="AN1695" s="116">
        <v>0</v>
      </c>
      <c r="AO1695" s="116" t="inlineStr">
        <is>
          <t>#NA</t>
        </is>
      </c>
      <c r="AP1695" s="116">
        <f>SUMIFS(M:M,AM:AM,AM1695)+SUMIFS(O:O,AM:AM,AM1695)</f>
      </c>
      <c r="AQ1695" s="116">
        <f>SUMIFS(L:L,AM:AM,AM1695)</f>
      </c>
      <c r="AR1695" s="116">
        <f>AQ1695-AP1695</f>
      </c>
      <c r="AS1695" s="94" t="str">
        <f>IF(AN1695&gt;=AQ1695,"ok","ck")</f>
      </c>
      <c r="AT1695" s="116">
        <f>-P1695</f>
      </c>
      <c r="AU1695" s="115">
        <f>IF(SUMIFS(AT:AT,AM:AM,AM1695)&gt;AO1695,(SUMIFS(AT:AT,AM:AM,AM1695)-AO1695))</f>
      </c>
      <c r="AV1695" s="116">
        <v>0</v>
      </c>
      <c r="AW1695" s="121">
        <v>0</v>
      </c>
      <c r="AX1695" s="115">
        <f>AN1695-AP1695</f>
      </c>
    </row>
    <row r="1696" spans="1:50" ht="15" hidden="1" customHeight="1" x14ac:dyDescent="0.3">
      <c r="A1696" s="94" t="s">
        <v>82</v>
      </c>
      <c r="B1696" s="94"/>
      <c r="C1696" s="94"/>
      <c r="D1696" s="94"/>
      <c r="E1696" s="94"/>
      <c r="F1696" s="94"/>
      <c r="G1696" s="112">
        <f>AU1696</f>
      </c>
      <c r="H1696" s="113"/>
      <c r="I1696" s="94" t="s">
        <v>83</v>
      </c>
      <c r="J1696" s="94" t="s">
        <v>102</v>
      </c>
      <c r="K1696" s="114">
        <f>P1696/3</f>
      </c>
      <c r="L1696" s="115">
        <v>2000</v>
      </c>
      <c r="M1696" s="116"/>
      <c r="N1696" s="117">
        <f>M1696-L1696</f>
      </c>
      <c r="O1696" s="112"/>
      <c r="P1696" s="118">
        <f>N1696+O1696</f>
      </c>
      <c r="Q1696" s="94" t="s">
        <v>856</v>
      </c>
      <c r="R1696" s="94" t="s">
        <v>63</v>
      </c>
      <c r="S1696" s="119">
        <v>46346</v>
      </c>
      <c r="T1696" s="119"/>
      <c r="U1696" s="120" t="s">
        <v>677</v>
      </c>
      <c r="V1696" s="94"/>
      <c r="W1696" s="94"/>
      <c r="X1696" s="94"/>
      <c r="Y1696" s="119">
        <v>46342</v>
      </c>
      <c r="Z1696" s="94"/>
      <c r="AA1696" s="120"/>
      <c r="AB1696" s="120"/>
      <c r="AC1696" s="120"/>
      <c r="AD1696" s="120"/>
      <c r="AE1696" s="120"/>
      <c r="AF1696" s="120"/>
      <c r="AG1696" s="94"/>
      <c r="AH1696" s="120"/>
      <c r="AI1696" s="94"/>
      <c r="AJ1696" s="94" t="s">
        <v>808</v>
      </c>
      <c r="AK1696" s="94" t="s">
        <v>103</v>
      </c>
      <c r="AL1696" s="94">
        <v>160</v>
      </c>
      <c r="AM1696" s="94" t="str">
        <f>TRIM(AJ1696)&amp;TRIM(AL1696)&amp;TRIM(AK1696)</f>
      </c>
      <c r="AN1696" s="116">
        <v>0</v>
      </c>
      <c r="AO1696" s="116" t="inlineStr">
        <is>
          <t>#NA</t>
        </is>
      </c>
      <c r="AP1696" s="116">
        <f>SUMIFS(M:M,AM:AM,AM1696)+SUMIFS(O:O,AM:AM,AM1696)</f>
      </c>
      <c r="AQ1696" s="116">
        <f>SUMIFS(L:L,AM:AM,AM1696)</f>
      </c>
      <c r="AR1696" s="116">
        <f>AQ1696-AP1696</f>
      </c>
      <c r="AS1696" s="94" t="str">
        <f>IF(AN1696&gt;=AQ1696,"ok","ck")</f>
      </c>
      <c r="AT1696" s="116">
        <f>-P1696</f>
      </c>
      <c r="AU1696" s="115">
        <f>IF(SUMIFS(AT:AT,AM:AM,AM1696)&gt;AO1696,(SUMIFS(AT:AT,AM:AM,AM1696)-AO1696))</f>
      </c>
      <c r="AV1696" s="116">
        <v>0</v>
      </c>
      <c r="AW1696" s="121">
        <v>0</v>
      </c>
      <c r="AX1696" s="115">
        <f>AN1696-AP1696</f>
      </c>
    </row>
    <row r="1697" spans="1:50" ht="15" hidden="1" customHeight="1" x14ac:dyDescent="0.3">
      <c r="A1697" s="94" t="s">
        <v>82</v>
      </c>
      <c r="B1697" s="94"/>
      <c r="C1697" s="94"/>
      <c r="D1697" s="94"/>
      <c r="E1697" s="94"/>
      <c r="F1697" s="94"/>
      <c r="G1697" s="112">
        <f>AU1697</f>
      </c>
      <c r="H1697" s="113"/>
      <c r="I1697" s="94" t="s">
        <v>83</v>
      </c>
      <c r="J1697" s="94" t="s">
        <v>102</v>
      </c>
      <c r="K1697" s="114">
        <f>P1697/3</f>
      </c>
      <c r="L1697" s="115">
        <v>2000</v>
      </c>
      <c r="M1697" s="116"/>
      <c r="N1697" s="117">
        <f>M1697-L1697</f>
      </c>
      <c r="O1697" s="112"/>
      <c r="P1697" s="118">
        <f>N1697+O1697</f>
      </c>
      <c r="Q1697" s="94" t="s">
        <v>856</v>
      </c>
      <c r="R1697" s="94" t="s">
        <v>63</v>
      </c>
      <c r="S1697" s="119">
        <v>46347</v>
      </c>
      <c r="T1697" s="119"/>
      <c r="U1697" s="120" t="s">
        <v>677</v>
      </c>
      <c r="V1697" s="94"/>
      <c r="W1697" s="94"/>
      <c r="X1697" s="94"/>
      <c r="Y1697" s="119">
        <v>46342</v>
      </c>
      <c r="Z1697" s="94"/>
      <c r="AA1697" s="120"/>
      <c r="AB1697" s="120"/>
      <c r="AC1697" s="120"/>
      <c r="AD1697" s="120"/>
      <c r="AE1697" s="120"/>
      <c r="AF1697" s="120"/>
      <c r="AG1697" s="94"/>
      <c r="AH1697" s="120"/>
      <c r="AI1697" s="94"/>
      <c r="AJ1697" s="94" t="s">
        <v>808</v>
      </c>
      <c r="AK1697" s="94" t="s">
        <v>103</v>
      </c>
      <c r="AL1697" s="94">
        <v>160</v>
      </c>
      <c r="AM1697" s="94" t="str">
        <f>TRIM(AJ1697)&amp;TRIM(AL1697)&amp;TRIM(AK1697)</f>
      </c>
      <c r="AN1697" s="116">
        <v>0</v>
      </c>
      <c r="AO1697" s="116" t="inlineStr">
        <is>
          <t>#NA</t>
        </is>
      </c>
      <c r="AP1697" s="116">
        <f>SUMIFS(M:M,AM:AM,AM1697)+SUMIFS(O:O,AM:AM,AM1697)</f>
      </c>
      <c r="AQ1697" s="116">
        <f>SUMIFS(L:L,AM:AM,AM1697)</f>
      </c>
      <c r="AR1697" s="116">
        <f>AQ1697-AP1697</f>
      </c>
      <c r="AS1697" s="94" t="str">
        <f>IF(AN1697&gt;=AQ1697,"ok","ck")</f>
      </c>
      <c r="AT1697" s="116">
        <f>-P1697</f>
      </c>
      <c r="AU1697" s="115">
        <f>IF(SUMIFS(AT:AT,AM:AM,AM1697)&gt;AO1697,(SUMIFS(AT:AT,AM:AM,AM1697)-AO1697))</f>
      </c>
      <c r="AV1697" s="116">
        <v>0</v>
      </c>
      <c r="AW1697" s="121">
        <v>0</v>
      </c>
      <c r="AX1697" s="115">
        <f>AN1697-AP1697</f>
      </c>
    </row>
    <row r="1698" spans="1:50" ht="15" hidden="1" customHeight="1" x14ac:dyDescent="0.3">
      <c r="A1698" s="94" t="s">
        <v>82</v>
      </c>
      <c r="B1698" s="94"/>
      <c r="C1698" s="94"/>
      <c r="D1698" s="94"/>
      <c r="E1698" s="94"/>
      <c r="F1698" s="94"/>
      <c r="G1698" s="112">
        <f>AU1698</f>
      </c>
      <c r="H1698" s="113"/>
      <c r="I1698" s="94" t="s">
        <v>83</v>
      </c>
      <c r="J1698" s="94" t="s">
        <v>102</v>
      </c>
      <c r="K1698" s="114">
        <f>P1698/3</f>
      </c>
      <c r="L1698" s="115">
        <v>2000</v>
      </c>
      <c r="M1698" s="116"/>
      <c r="N1698" s="117">
        <f>M1698-L1698</f>
      </c>
      <c r="O1698" s="112"/>
      <c r="P1698" s="118">
        <f>N1698+O1698</f>
      </c>
      <c r="Q1698" s="94" t="s">
        <v>856</v>
      </c>
      <c r="R1698" s="94" t="s">
        <v>63</v>
      </c>
      <c r="S1698" s="119">
        <v>46348</v>
      </c>
      <c r="T1698" s="119"/>
      <c r="U1698" s="120" t="s">
        <v>677</v>
      </c>
      <c r="V1698" s="94"/>
      <c r="W1698" s="94"/>
      <c r="X1698" s="94"/>
      <c r="Y1698" s="119">
        <v>46342</v>
      </c>
      <c r="Z1698" s="94"/>
      <c r="AA1698" s="120"/>
      <c r="AB1698" s="120"/>
      <c r="AC1698" s="120"/>
      <c r="AD1698" s="120"/>
      <c r="AE1698" s="120"/>
      <c r="AF1698" s="120"/>
      <c r="AG1698" s="94"/>
      <c r="AH1698" s="120"/>
      <c r="AI1698" s="94"/>
      <c r="AJ1698" s="94" t="s">
        <v>808</v>
      </c>
      <c r="AK1698" s="94" t="s">
        <v>103</v>
      </c>
      <c r="AL1698" s="94">
        <v>160</v>
      </c>
      <c r="AM1698" s="94" t="str">
        <f>TRIM(AJ1698)&amp;TRIM(AL1698)&amp;TRIM(AK1698)</f>
      </c>
      <c r="AN1698" s="116">
        <v>0</v>
      </c>
      <c r="AO1698" s="116" t="inlineStr">
        <is>
          <t>#NA</t>
        </is>
      </c>
      <c r="AP1698" s="116">
        <f>SUMIFS(M:M,AM:AM,AM1698)+SUMIFS(O:O,AM:AM,AM1698)</f>
      </c>
      <c r="AQ1698" s="116">
        <f>SUMIFS(L:L,AM:AM,AM1698)</f>
      </c>
      <c r="AR1698" s="116">
        <f>AQ1698-AP1698</f>
      </c>
      <c r="AS1698" s="94" t="str">
        <f>IF(AN1698&gt;=AQ1698,"ok","ck")</f>
      </c>
      <c r="AT1698" s="116">
        <f>-P1698</f>
      </c>
      <c r="AU1698" s="115">
        <f>IF(SUMIFS(AT:AT,AM:AM,AM1698)&gt;AO1698,(SUMIFS(AT:AT,AM:AM,AM1698)-AO1698))</f>
      </c>
      <c r="AV1698" s="116">
        <v>0</v>
      </c>
      <c r="AW1698" s="121">
        <v>0</v>
      </c>
      <c r="AX1698" s="115">
        <f>AN1698-AP1698</f>
      </c>
    </row>
    <row r="1699" spans="1:50" ht="15" hidden="1" customHeight="1" x14ac:dyDescent="0.3">
      <c r="A1699" s="94" t="s">
        <v>82</v>
      </c>
      <c r="B1699" s="94"/>
      <c r="C1699" s="94"/>
      <c r="D1699" s="94"/>
      <c r="E1699" s="94"/>
      <c r="F1699" s="94"/>
      <c r="G1699" s="112">
        <f>AU1699</f>
      </c>
      <c r="H1699" s="113"/>
      <c r="I1699" s="94" t="s">
        <v>83</v>
      </c>
      <c r="J1699" s="94" t="s">
        <v>102</v>
      </c>
      <c r="K1699" s="114">
        <f>P1699/3</f>
      </c>
      <c r="L1699" s="115">
        <v>893.34400000000005</v>
      </c>
      <c r="M1699" s="116"/>
      <c r="N1699" s="117">
        <f>M1699-L1699</f>
      </c>
      <c r="O1699" s="112"/>
      <c r="P1699" s="118">
        <f>N1699+O1699</f>
      </c>
      <c r="Q1699" s="94" t="s">
        <v>856</v>
      </c>
      <c r="R1699" s="94" t="s">
        <v>63</v>
      </c>
      <c r="S1699" s="119">
        <v>46349</v>
      </c>
      <c r="T1699" s="119"/>
      <c r="U1699" s="120" t="s">
        <v>677</v>
      </c>
      <c r="V1699" s="94"/>
      <c r="W1699" s="94"/>
      <c r="X1699" s="94"/>
      <c r="Y1699" s="119">
        <v>46342</v>
      </c>
      <c r="Z1699" s="94"/>
      <c r="AA1699" s="120"/>
      <c r="AB1699" s="120"/>
      <c r="AC1699" s="120"/>
      <c r="AD1699" s="120"/>
      <c r="AE1699" s="120"/>
      <c r="AF1699" s="120"/>
      <c r="AG1699" s="94"/>
      <c r="AH1699" s="120"/>
      <c r="AI1699" s="94"/>
      <c r="AJ1699" s="94" t="s">
        <v>808</v>
      </c>
      <c r="AK1699" s="94" t="s">
        <v>103</v>
      </c>
      <c r="AL1699" s="94">
        <v>160</v>
      </c>
      <c r="AM1699" s="94" t="str">
        <f>TRIM(AJ1699)&amp;TRIM(AL1699)&amp;TRIM(AK1699)</f>
      </c>
      <c r="AN1699" s="116">
        <v>0</v>
      </c>
      <c r="AO1699" s="116" t="inlineStr">
        <is>
          <t>#NA</t>
        </is>
      </c>
      <c r="AP1699" s="116">
        <f>SUMIFS(M:M,AM:AM,AM1699)+SUMIFS(O:O,AM:AM,AM1699)</f>
      </c>
      <c r="AQ1699" s="116">
        <f>SUMIFS(L:L,AM:AM,AM1699)</f>
      </c>
      <c r="AR1699" s="116">
        <f>AQ1699-AP1699</f>
      </c>
      <c r="AS1699" s="94" t="str">
        <f>IF(AN1699&gt;=AQ1699,"ok","ck")</f>
      </c>
      <c r="AT1699" s="116">
        <f>-P1699</f>
      </c>
      <c r="AU1699" s="115">
        <f>IF(SUMIFS(AT:AT,AM:AM,AM1699)&gt;AO1699,(SUMIFS(AT:AT,AM:AM,AM1699)-AO1699))</f>
      </c>
      <c r="AV1699" s="116">
        <v>0</v>
      </c>
      <c r="AW1699" s="121">
        <v>0</v>
      </c>
      <c r="AX1699" s="115">
        <f>AN1699-AP1699</f>
      </c>
    </row>
    <row r="1700" spans="1:50" ht="15" hidden="1" customHeight="1" x14ac:dyDescent="0.3">
      <c r="A1700" s="94" t="s">
        <v>82</v>
      </c>
      <c r="B1700" s="94"/>
      <c r="C1700" s="94"/>
      <c r="D1700" s="94"/>
      <c r="E1700" s="94"/>
      <c r="F1700" s="94"/>
      <c r="G1700" s="112">
        <f>AU1700</f>
      </c>
      <c r="H1700" s="113"/>
      <c r="I1700" s="94" t="s">
        <v>83</v>
      </c>
      <c r="J1700" s="94" t="s">
        <v>88</v>
      </c>
      <c r="K1700" s="114">
        <f>P1700/3</f>
      </c>
      <c r="L1700" s="115">
        <v>2000</v>
      </c>
      <c r="M1700" s="116"/>
      <c r="N1700" s="117">
        <f>M1700-L1700</f>
      </c>
      <c r="O1700" s="112"/>
      <c r="P1700" s="118">
        <f>N1700+O1700</f>
      </c>
      <c r="Q1700" s="94" t="s">
        <v>856</v>
      </c>
      <c r="R1700" s="94" t="s">
        <v>63</v>
      </c>
      <c r="S1700" s="119">
        <v>46334</v>
      </c>
      <c r="T1700" s="119"/>
      <c r="U1700" s="120" t="s">
        <v>677</v>
      </c>
      <c r="V1700" s="94"/>
      <c r="W1700" s="94"/>
      <c r="X1700" s="94"/>
      <c r="Y1700" s="119">
        <v>46333</v>
      </c>
      <c r="Z1700" s="94"/>
      <c r="AA1700" s="120"/>
      <c r="AB1700" s="120"/>
      <c r="AC1700" s="120"/>
      <c r="AD1700" s="120"/>
      <c r="AE1700" s="120"/>
      <c r="AF1700" s="120"/>
      <c r="AG1700" s="94"/>
      <c r="AH1700" s="120"/>
      <c r="AI1700" s="94"/>
      <c r="AJ1700" s="94" t="s">
        <v>808</v>
      </c>
      <c r="AK1700" s="94" t="s">
        <v>89</v>
      </c>
      <c r="AL1700" s="94">
        <v>160</v>
      </c>
      <c r="AM1700" s="94" t="str">
        <f>TRIM(AJ1700)&amp;TRIM(AL1700)&amp;TRIM(AK1700)</f>
      </c>
      <c r="AN1700" s="116">
        <v>0</v>
      </c>
      <c r="AO1700" s="116" t="inlineStr">
        <is>
          <t>#NA</t>
        </is>
      </c>
      <c r="AP1700" s="116">
        <f>SUMIFS(M:M,AM:AM,AM1700)+SUMIFS(O:O,AM:AM,AM1700)</f>
      </c>
      <c r="AQ1700" s="116">
        <f>SUMIFS(L:L,AM:AM,AM1700)</f>
      </c>
      <c r="AR1700" s="116">
        <f>AQ1700-AP1700</f>
      </c>
      <c r="AS1700" s="94" t="str">
        <f>IF(AN1700&gt;=AQ1700,"ok","ck")</f>
      </c>
      <c r="AT1700" s="116">
        <f>-P1700</f>
      </c>
      <c r="AU1700" s="115">
        <f>IF(SUMIFS(AT:AT,AM:AM,AM1700)&gt;AO1700,(SUMIFS(AT:AT,AM:AM,AM1700)-AO1700))</f>
      </c>
      <c r="AV1700" s="116">
        <v>0</v>
      </c>
      <c r="AW1700" s="121">
        <v>0</v>
      </c>
      <c r="AX1700" s="115">
        <f>AN1700-AP1700</f>
      </c>
    </row>
    <row r="1701" spans="1:50" ht="15" hidden="1" customHeight="1" x14ac:dyDescent="0.3">
      <c r="A1701" s="94" t="s">
        <v>82</v>
      </c>
      <c r="B1701" s="94"/>
      <c r="C1701" s="94"/>
      <c r="D1701" s="94"/>
      <c r="E1701" s="94"/>
      <c r="F1701" s="94"/>
      <c r="G1701" s="112">
        <f>AU1701</f>
      </c>
      <c r="H1701" s="113"/>
      <c r="I1701" s="94" t="s">
        <v>83</v>
      </c>
      <c r="J1701" s="94" t="s">
        <v>88</v>
      </c>
      <c r="K1701" s="114">
        <f>P1701/3</f>
      </c>
      <c r="L1701" s="115">
        <v>2000</v>
      </c>
      <c r="M1701" s="116"/>
      <c r="N1701" s="117">
        <f>M1701-L1701</f>
      </c>
      <c r="O1701" s="112"/>
      <c r="P1701" s="118">
        <f>N1701+O1701</f>
      </c>
      <c r="Q1701" s="94" t="s">
        <v>856</v>
      </c>
      <c r="R1701" s="94" t="s">
        <v>63</v>
      </c>
      <c r="S1701" s="119">
        <v>46335</v>
      </c>
      <c r="T1701" s="119"/>
      <c r="U1701" s="120" t="s">
        <v>677</v>
      </c>
      <c r="V1701" s="94"/>
      <c r="W1701" s="94"/>
      <c r="X1701" s="94"/>
      <c r="Y1701" s="119">
        <v>46333</v>
      </c>
      <c r="Z1701" s="94"/>
      <c r="AA1701" s="120"/>
      <c r="AB1701" s="120"/>
      <c r="AC1701" s="120"/>
      <c r="AD1701" s="120"/>
      <c r="AE1701" s="120"/>
      <c r="AF1701" s="120"/>
      <c r="AG1701" s="94"/>
      <c r="AH1701" s="120"/>
      <c r="AI1701" s="94"/>
      <c r="AJ1701" s="94" t="s">
        <v>808</v>
      </c>
      <c r="AK1701" s="94" t="s">
        <v>89</v>
      </c>
      <c r="AL1701" s="94">
        <v>160</v>
      </c>
      <c r="AM1701" s="94" t="str">
        <f>TRIM(AJ1701)&amp;TRIM(AL1701)&amp;TRIM(AK1701)</f>
      </c>
      <c r="AN1701" s="116">
        <v>0</v>
      </c>
      <c r="AO1701" s="116" t="inlineStr">
        <is>
          <t>#NA</t>
        </is>
      </c>
      <c r="AP1701" s="116">
        <f>SUMIFS(M:M,AM:AM,AM1701)+SUMIFS(O:O,AM:AM,AM1701)</f>
      </c>
      <c r="AQ1701" s="116">
        <f>SUMIFS(L:L,AM:AM,AM1701)</f>
      </c>
      <c r="AR1701" s="116">
        <f>AQ1701-AP1701</f>
      </c>
      <c r="AS1701" s="94" t="str">
        <f>IF(AN1701&gt;=AQ1701,"ok","ck")</f>
      </c>
      <c r="AT1701" s="116">
        <f>-P1701</f>
      </c>
      <c r="AU1701" s="115">
        <f>IF(SUMIFS(AT:AT,AM:AM,AM1701)&gt;AO1701,(SUMIFS(AT:AT,AM:AM,AM1701)-AO1701))</f>
      </c>
      <c r="AV1701" s="116">
        <v>0</v>
      </c>
      <c r="AW1701" s="121">
        <v>0</v>
      </c>
      <c r="AX1701" s="115">
        <f>AN1701-AP1701</f>
      </c>
    </row>
    <row r="1702" spans="1:50" ht="15" hidden="1" customHeight="1" x14ac:dyDescent="0.3">
      <c r="A1702" s="94" t="s">
        <v>82</v>
      </c>
      <c r="B1702" s="94"/>
      <c r="C1702" s="94"/>
      <c r="D1702" s="94"/>
      <c r="E1702" s="94"/>
      <c r="F1702" s="94"/>
      <c r="G1702" s="112">
        <f>AU1702</f>
      </c>
      <c r="H1702" s="113"/>
      <c r="I1702" s="94" t="s">
        <v>83</v>
      </c>
      <c r="J1702" s="94" t="s">
        <v>88</v>
      </c>
      <c r="K1702" s="114">
        <f>P1702/3</f>
      </c>
      <c r="L1702" s="115">
        <v>2000</v>
      </c>
      <c r="M1702" s="116"/>
      <c r="N1702" s="117">
        <f>M1702-L1702</f>
      </c>
      <c r="O1702" s="112"/>
      <c r="P1702" s="118">
        <f>N1702+O1702</f>
      </c>
      <c r="Q1702" s="94" t="s">
        <v>856</v>
      </c>
      <c r="R1702" s="94" t="s">
        <v>63</v>
      </c>
      <c r="S1702" s="119">
        <v>46336</v>
      </c>
      <c r="T1702" s="119"/>
      <c r="U1702" s="120" t="s">
        <v>677</v>
      </c>
      <c r="V1702" s="94"/>
      <c r="W1702" s="94"/>
      <c r="X1702" s="94"/>
      <c r="Y1702" s="119">
        <v>46333</v>
      </c>
      <c r="Z1702" s="94"/>
      <c r="AA1702" s="120"/>
      <c r="AB1702" s="120"/>
      <c r="AC1702" s="120"/>
      <c r="AD1702" s="120"/>
      <c r="AE1702" s="120"/>
      <c r="AF1702" s="120"/>
      <c r="AG1702" s="94"/>
      <c r="AH1702" s="120"/>
      <c r="AI1702" s="94"/>
      <c r="AJ1702" s="94" t="s">
        <v>808</v>
      </c>
      <c r="AK1702" s="94" t="s">
        <v>89</v>
      </c>
      <c r="AL1702" s="94">
        <v>160</v>
      </c>
      <c r="AM1702" s="94" t="str">
        <f>TRIM(AJ1702)&amp;TRIM(AL1702)&amp;TRIM(AK1702)</f>
      </c>
      <c r="AN1702" s="116">
        <v>0</v>
      </c>
      <c r="AO1702" s="116" t="inlineStr">
        <is>
          <t>#NA</t>
        </is>
      </c>
      <c r="AP1702" s="116">
        <f>SUMIFS(M:M,AM:AM,AM1702)+SUMIFS(O:O,AM:AM,AM1702)</f>
      </c>
      <c r="AQ1702" s="116">
        <f>SUMIFS(L:L,AM:AM,AM1702)</f>
      </c>
      <c r="AR1702" s="116">
        <f>AQ1702-AP1702</f>
      </c>
      <c r="AS1702" s="94" t="str">
        <f>IF(AN1702&gt;=AQ1702,"ok","ck")</f>
      </c>
      <c r="AT1702" s="116">
        <f>-P1702</f>
      </c>
      <c r="AU1702" s="115">
        <f>IF(SUMIFS(AT:AT,AM:AM,AM1702)&gt;AO1702,(SUMIFS(AT:AT,AM:AM,AM1702)-AO1702))</f>
      </c>
      <c r="AV1702" s="116">
        <v>0</v>
      </c>
      <c r="AW1702" s="121">
        <v>0</v>
      </c>
      <c r="AX1702" s="115">
        <f>AN1702-AP1702</f>
      </c>
    </row>
    <row r="1703" spans="1:50" ht="15" hidden="1" customHeight="1" x14ac:dyDescent="0.3">
      <c r="A1703" s="94" t="s">
        <v>82</v>
      </c>
      <c r="B1703" s="94"/>
      <c r="C1703" s="94"/>
      <c r="D1703" s="94"/>
      <c r="E1703" s="94"/>
      <c r="F1703" s="94"/>
      <c r="G1703" s="112">
        <f>AU1703</f>
      </c>
      <c r="H1703" s="113"/>
      <c r="I1703" s="94" t="s">
        <v>83</v>
      </c>
      <c r="J1703" s="94" t="s">
        <v>88</v>
      </c>
      <c r="K1703" s="114">
        <f>P1703/3</f>
      </c>
      <c r="L1703" s="115">
        <v>2000</v>
      </c>
      <c r="M1703" s="116"/>
      <c r="N1703" s="117">
        <f>M1703-L1703</f>
      </c>
      <c r="O1703" s="112"/>
      <c r="P1703" s="118">
        <f>N1703+O1703</f>
      </c>
      <c r="Q1703" s="94" t="s">
        <v>856</v>
      </c>
      <c r="R1703" s="94" t="s">
        <v>63</v>
      </c>
      <c r="S1703" s="119">
        <v>46337</v>
      </c>
      <c r="T1703" s="119"/>
      <c r="U1703" s="120" t="s">
        <v>677</v>
      </c>
      <c r="V1703" s="94"/>
      <c r="W1703" s="94"/>
      <c r="X1703" s="94"/>
      <c r="Y1703" s="119">
        <v>46333</v>
      </c>
      <c r="Z1703" s="94"/>
      <c r="AA1703" s="120"/>
      <c r="AB1703" s="120"/>
      <c r="AC1703" s="120"/>
      <c r="AD1703" s="120"/>
      <c r="AE1703" s="120"/>
      <c r="AF1703" s="120"/>
      <c r="AG1703" s="94"/>
      <c r="AH1703" s="120"/>
      <c r="AI1703" s="94"/>
      <c r="AJ1703" s="94" t="s">
        <v>808</v>
      </c>
      <c r="AK1703" s="94" t="s">
        <v>89</v>
      </c>
      <c r="AL1703" s="94">
        <v>160</v>
      </c>
      <c r="AM1703" s="94" t="str">
        <f>TRIM(AJ1703)&amp;TRIM(AL1703)&amp;TRIM(AK1703)</f>
      </c>
      <c r="AN1703" s="116">
        <v>0</v>
      </c>
      <c r="AO1703" s="116" t="inlineStr">
        <is>
          <t>#NA</t>
        </is>
      </c>
      <c r="AP1703" s="116">
        <f>SUMIFS(M:M,AM:AM,AM1703)+SUMIFS(O:O,AM:AM,AM1703)</f>
      </c>
      <c r="AQ1703" s="116">
        <f>SUMIFS(L:L,AM:AM,AM1703)</f>
      </c>
      <c r="AR1703" s="116">
        <f>AQ1703-AP1703</f>
      </c>
      <c r="AS1703" s="94" t="str">
        <f>IF(AN1703&gt;=AQ1703,"ok","ck")</f>
      </c>
      <c r="AT1703" s="116">
        <f>-P1703</f>
      </c>
      <c r="AU1703" s="115">
        <f>IF(SUMIFS(AT:AT,AM:AM,AM1703)&gt;AO1703,(SUMIFS(AT:AT,AM:AM,AM1703)-AO1703))</f>
      </c>
      <c r="AV1703" s="116">
        <v>0</v>
      </c>
      <c r="AW1703" s="121">
        <v>0</v>
      </c>
      <c r="AX1703" s="115">
        <f>AN1703-AP1703</f>
      </c>
    </row>
    <row r="1704" spans="1:50" ht="15" hidden="1" customHeight="1" x14ac:dyDescent="0.3">
      <c r="A1704" s="94" t="s">
        <v>82</v>
      </c>
      <c r="B1704" s="94"/>
      <c r="C1704" s="94"/>
      <c r="D1704" s="94"/>
      <c r="E1704" s="94"/>
      <c r="F1704" s="94"/>
      <c r="G1704" s="112">
        <f>AU1704</f>
      </c>
      <c r="H1704" s="113"/>
      <c r="I1704" s="94" t="s">
        <v>83</v>
      </c>
      <c r="J1704" s="94" t="s">
        <v>88</v>
      </c>
      <c r="K1704" s="114">
        <f>P1704/3</f>
      </c>
      <c r="L1704" s="115">
        <v>2000</v>
      </c>
      <c r="M1704" s="116"/>
      <c r="N1704" s="117">
        <f>M1704-L1704</f>
      </c>
      <c r="O1704" s="112"/>
      <c r="P1704" s="118">
        <f>N1704+O1704</f>
      </c>
      <c r="Q1704" s="94" t="s">
        <v>856</v>
      </c>
      <c r="R1704" s="94" t="s">
        <v>63</v>
      </c>
      <c r="S1704" s="119">
        <v>46338</v>
      </c>
      <c r="T1704" s="119"/>
      <c r="U1704" s="120" t="s">
        <v>677</v>
      </c>
      <c r="V1704" s="94"/>
      <c r="W1704" s="94"/>
      <c r="X1704" s="94"/>
      <c r="Y1704" s="119">
        <v>46342</v>
      </c>
      <c r="Z1704" s="94"/>
      <c r="AA1704" s="120"/>
      <c r="AB1704" s="120"/>
      <c r="AC1704" s="120"/>
      <c r="AD1704" s="120"/>
      <c r="AE1704" s="120"/>
      <c r="AF1704" s="120"/>
      <c r="AG1704" s="94"/>
      <c r="AH1704" s="120"/>
      <c r="AI1704" s="94"/>
      <c r="AJ1704" s="94" t="s">
        <v>808</v>
      </c>
      <c r="AK1704" s="94" t="s">
        <v>89</v>
      </c>
      <c r="AL1704" s="94">
        <v>160</v>
      </c>
      <c r="AM1704" s="94" t="str">
        <f>TRIM(AJ1704)&amp;TRIM(AL1704)&amp;TRIM(AK1704)</f>
      </c>
      <c r="AN1704" s="116">
        <v>0</v>
      </c>
      <c r="AO1704" s="116" t="inlineStr">
        <is>
          <t>#NA</t>
        </is>
      </c>
      <c r="AP1704" s="116">
        <f>SUMIFS(M:M,AM:AM,AM1704)+SUMIFS(O:O,AM:AM,AM1704)</f>
      </c>
      <c r="AQ1704" s="116">
        <f>SUMIFS(L:L,AM:AM,AM1704)</f>
      </c>
      <c r="AR1704" s="116">
        <f>AQ1704-AP1704</f>
      </c>
      <c r="AS1704" s="94" t="str">
        <f>IF(AN1704&gt;=AQ1704,"ok","ck")</f>
      </c>
      <c r="AT1704" s="116">
        <f>-P1704</f>
      </c>
      <c r="AU1704" s="115">
        <f>IF(SUMIFS(AT:AT,AM:AM,AM1704)&gt;AO1704,(SUMIFS(AT:AT,AM:AM,AM1704)-AO1704))</f>
      </c>
      <c r="AV1704" s="116">
        <v>0</v>
      </c>
      <c r="AW1704" s="121">
        <v>0</v>
      </c>
      <c r="AX1704" s="115">
        <f>AN1704-AP1704</f>
      </c>
    </row>
    <row r="1705" spans="1:50" ht="15" hidden="1" customHeight="1" x14ac:dyDescent="0.3">
      <c r="A1705" s="94" t="s">
        <v>82</v>
      </c>
      <c r="B1705" s="94"/>
      <c r="C1705" s="94"/>
      <c r="D1705" s="94"/>
      <c r="E1705" s="94"/>
      <c r="F1705" s="94"/>
      <c r="G1705" s="112">
        <f>AU1705</f>
      </c>
      <c r="H1705" s="113"/>
      <c r="I1705" s="94" t="s">
        <v>83</v>
      </c>
      <c r="J1705" s="94" t="s">
        <v>88</v>
      </c>
      <c r="K1705" s="114">
        <f>P1705/3</f>
      </c>
      <c r="L1705" s="115">
        <v>2000</v>
      </c>
      <c r="M1705" s="116"/>
      <c r="N1705" s="117">
        <f>M1705-L1705</f>
      </c>
      <c r="O1705" s="112"/>
      <c r="P1705" s="118">
        <f>N1705+O1705</f>
      </c>
      <c r="Q1705" s="94" t="s">
        <v>856</v>
      </c>
      <c r="R1705" s="94" t="s">
        <v>63</v>
      </c>
      <c r="S1705" s="119">
        <v>46339</v>
      </c>
      <c r="T1705" s="119"/>
      <c r="U1705" s="120" t="s">
        <v>677</v>
      </c>
      <c r="V1705" s="94"/>
      <c r="W1705" s="94"/>
      <c r="X1705" s="94"/>
      <c r="Y1705" s="119">
        <v>46342</v>
      </c>
      <c r="Z1705" s="94"/>
      <c r="AA1705" s="120"/>
      <c r="AB1705" s="120"/>
      <c r="AC1705" s="120"/>
      <c r="AD1705" s="120"/>
      <c r="AE1705" s="120"/>
      <c r="AF1705" s="120"/>
      <c r="AG1705" s="94"/>
      <c r="AH1705" s="120"/>
      <c r="AI1705" s="94"/>
      <c r="AJ1705" s="94" t="s">
        <v>808</v>
      </c>
      <c r="AK1705" s="94" t="s">
        <v>89</v>
      </c>
      <c r="AL1705" s="94">
        <v>160</v>
      </c>
      <c r="AM1705" s="94" t="str">
        <f>TRIM(AJ1705)&amp;TRIM(AL1705)&amp;TRIM(AK1705)</f>
      </c>
      <c r="AN1705" s="116">
        <v>0</v>
      </c>
      <c r="AO1705" s="116" t="inlineStr">
        <is>
          <t>#NA</t>
        </is>
      </c>
      <c r="AP1705" s="116">
        <f>SUMIFS(M:M,AM:AM,AM1705)+SUMIFS(O:O,AM:AM,AM1705)</f>
      </c>
      <c r="AQ1705" s="116">
        <f>SUMIFS(L:L,AM:AM,AM1705)</f>
      </c>
      <c r="AR1705" s="116">
        <f>AQ1705-AP1705</f>
      </c>
      <c r="AS1705" s="94" t="str">
        <f>IF(AN1705&gt;=AQ1705,"ok","ck")</f>
      </c>
      <c r="AT1705" s="116">
        <f>-P1705</f>
      </c>
      <c r="AU1705" s="115">
        <f>IF(SUMIFS(AT:AT,AM:AM,AM1705)&gt;AO1705,(SUMIFS(AT:AT,AM:AM,AM1705)-AO1705))</f>
      </c>
      <c r="AV1705" s="116">
        <v>0</v>
      </c>
      <c r="AW1705" s="121">
        <v>0</v>
      </c>
      <c r="AX1705" s="115">
        <f>AN1705-AP1705</f>
      </c>
    </row>
    <row r="1706" spans="1:50" ht="15" hidden="1" customHeight="1" x14ac:dyDescent="0.3">
      <c r="A1706" s="94" t="s">
        <v>82</v>
      </c>
      <c r="B1706" s="94"/>
      <c r="C1706" s="94"/>
      <c r="D1706" s="94"/>
      <c r="E1706" s="94"/>
      <c r="F1706" s="94"/>
      <c r="G1706" s="112">
        <f>AU1706</f>
      </c>
      <c r="H1706" s="113"/>
      <c r="I1706" s="94" t="s">
        <v>83</v>
      </c>
      <c r="J1706" s="94" t="s">
        <v>88</v>
      </c>
      <c r="K1706" s="114">
        <f>P1706/3</f>
      </c>
      <c r="L1706" s="115">
        <v>2000</v>
      </c>
      <c r="M1706" s="116"/>
      <c r="N1706" s="117">
        <f>M1706-L1706</f>
      </c>
      <c r="O1706" s="112"/>
      <c r="P1706" s="118">
        <f>N1706+O1706</f>
      </c>
      <c r="Q1706" s="94" t="s">
        <v>856</v>
      </c>
      <c r="R1706" s="94" t="s">
        <v>63</v>
      </c>
      <c r="S1706" s="119">
        <v>46340</v>
      </c>
      <c r="T1706" s="119"/>
      <c r="U1706" s="120" t="s">
        <v>677</v>
      </c>
      <c r="V1706" s="94"/>
      <c r="W1706" s="94"/>
      <c r="X1706" s="94"/>
      <c r="Y1706" s="119">
        <v>46342</v>
      </c>
      <c r="Z1706" s="94"/>
      <c r="AA1706" s="120"/>
      <c r="AB1706" s="120"/>
      <c r="AC1706" s="120"/>
      <c r="AD1706" s="120"/>
      <c r="AE1706" s="120"/>
      <c r="AF1706" s="120"/>
      <c r="AG1706" s="94"/>
      <c r="AH1706" s="120"/>
      <c r="AI1706" s="94"/>
      <c r="AJ1706" s="94" t="s">
        <v>808</v>
      </c>
      <c r="AK1706" s="94" t="s">
        <v>89</v>
      </c>
      <c r="AL1706" s="94">
        <v>160</v>
      </c>
      <c r="AM1706" s="94" t="str">
        <f>TRIM(AJ1706)&amp;TRIM(AL1706)&amp;TRIM(AK1706)</f>
      </c>
      <c r="AN1706" s="116">
        <v>0</v>
      </c>
      <c r="AO1706" s="116" t="inlineStr">
        <is>
          <t>#NA</t>
        </is>
      </c>
      <c r="AP1706" s="116">
        <f>SUMIFS(M:M,AM:AM,AM1706)+SUMIFS(O:O,AM:AM,AM1706)</f>
      </c>
      <c r="AQ1706" s="116">
        <f>SUMIFS(L:L,AM:AM,AM1706)</f>
      </c>
      <c r="AR1706" s="116">
        <f>AQ1706-AP1706</f>
      </c>
      <c r="AS1706" s="94" t="str">
        <f>IF(AN1706&gt;=AQ1706,"ok","ck")</f>
      </c>
      <c r="AT1706" s="116">
        <f>-P1706</f>
      </c>
      <c r="AU1706" s="115">
        <f>IF(SUMIFS(AT:AT,AM:AM,AM1706)&gt;AO1706,(SUMIFS(AT:AT,AM:AM,AM1706)-AO1706))</f>
      </c>
      <c r="AV1706" s="116">
        <v>0</v>
      </c>
      <c r="AW1706" s="121">
        <v>0</v>
      </c>
      <c r="AX1706" s="115">
        <f>AN1706-AP1706</f>
      </c>
    </row>
    <row r="1707" spans="1:50" ht="15" hidden="1" customHeight="1" x14ac:dyDescent="0.3">
      <c r="A1707" s="94" t="s">
        <v>82</v>
      </c>
      <c r="B1707" s="94"/>
      <c r="C1707" s="94"/>
      <c r="D1707" s="94"/>
      <c r="E1707" s="94"/>
      <c r="F1707" s="94"/>
      <c r="G1707" s="112">
        <f>AU1707</f>
      </c>
      <c r="H1707" s="113"/>
      <c r="I1707" s="94" t="s">
        <v>83</v>
      </c>
      <c r="J1707" s="94" t="s">
        <v>88</v>
      </c>
      <c r="K1707" s="114">
        <f>P1707/3</f>
      </c>
      <c r="L1707" s="115">
        <v>2000</v>
      </c>
      <c r="M1707" s="116"/>
      <c r="N1707" s="117">
        <f>M1707-L1707</f>
      </c>
      <c r="O1707" s="112"/>
      <c r="P1707" s="118">
        <f>N1707+O1707</f>
      </c>
      <c r="Q1707" s="94" t="s">
        <v>856</v>
      </c>
      <c r="R1707" s="94" t="s">
        <v>63</v>
      </c>
      <c r="S1707" s="119">
        <v>46341</v>
      </c>
      <c r="T1707" s="119"/>
      <c r="U1707" s="120" t="s">
        <v>677</v>
      </c>
      <c r="V1707" s="94"/>
      <c r="W1707" s="94"/>
      <c r="X1707" s="94"/>
      <c r="Y1707" s="119">
        <v>46342</v>
      </c>
      <c r="Z1707" s="94"/>
      <c r="AA1707" s="120"/>
      <c r="AB1707" s="120"/>
      <c r="AC1707" s="120"/>
      <c r="AD1707" s="120"/>
      <c r="AE1707" s="120"/>
      <c r="AF1707" s="120"/>
      <c r="AG1707" s="94"/>
      <c r="AH1707" s="120"/>
      <c r="AI1707" s="94"/>
      <c r="AJ1707" s="94" t="s">
        <v>808</v>
      </c>
      <c r="AK1707" s="94" t="s">
        <v>89</v>
      </c>
      <c r="AL1707" s="94">
        <v>160</v>
      </c>
      <c r="AM1707" s="94" t="str">
        <f>TRIM(AJ1707)&amp;TRIM(AL1707)&amp;TRIM(AK1707)</f>
      </c>
      <c r="AN1707" s="116">
        <v>0</v>
      </c>
      <c r="AO1707" s="116" t="inlineStr">
        <is>
          <t>#NA</t>
        </is>
      </c>
      <c r="AP1707" s="116">
        <f>SUMIFS(M:M,AM:AM,AM1707)+SUMIFS(O:O,AM:AM,AM1707)</f>
      </c>
      <c r="AQ1707" s="116">
        <f>SUMIFS(L:L,AM:AM,AM1707)</f>
      </c>
      <c r="AR1707" s="116">
        <f>AQ1707-AP1707</f>
      </c>
      <c r="AS1707" s="94" t="str">
        <f>IF(AN1707&gt;=AQ1707,"ok","ck")</f>
      </c>
      <c r="AT1707" s="116">
        <f>-P1707</f>
      </c>
      <c r="AU1707" s="115">
        <f>IF(SUMIFS(AT:AT,AM:AM,AM1707)&gt;AO1707,(SUMIFS(AT:AT,AM:AM,AM1707)-AO1707))</f>
      </c>
      <c r="AV1707" s="116">
        <v>0</v>
      </c>
      <c r="AW1707" s="121">
        <v>0</v>
      </c>
      <c r="AX1707" s="115">
        <f>AN1707-AP1707</f>
      </c>
    </row>
    <row r="1708" spans="1:50" ht="15" hidden="1" customHeight="1" x14ac:dyDescent="0.3">
      <c r="A1708" s="94" t="s">
        <v>82</v>
      </c>
      <c r="B1708" s="94"/>
      <c r="C1708" s="94"/>
      <c r="D1708" s="94"/>
      <c r="E1708" s="94"/>
      <c r="F1708" s="94"/>
      <c r="G1708" s="112">
        <f>AU1708</f>
      </c>
      <c r="H1708" s="113"/>
      <c r="I1708" s="94" t="s">
        <v>83</v>
      </c>
      <c r="J1708" s="94" t="s">
        <v>88</v>
      </c>
      <c r="K1708" s="114">
        <f>P1708/3</f>
      </c>
      <c r="L1708" s="115">
        <v>2000</v>
      </c>
      <c r="M1708" s="116"/>
      <c r="N1708" s="117">
        <f>M1708-L1708</f>
      </c>
      <c r="O1708" s="112"/>
      <c r="P1708" s="118">
        <f>N1708+O1708</f>
      </c>
      <c r="Q1708" s="94" t="s">
        <v>856</v>
      </c>
      <c r="R1708" s="94" t="s">
        <v>63</v>
      </c>
      <c r="S1708" s="119">
        <v>46342</v>
      </c>
      <c r="T1708" s="119"/>
      <c r="U1708" s="120" t="s">
        <v>677</v>
      </c>
      <c r="V1708" s="94"/>
      <c r="W1708" s="94"/>
      <c r="X1708" s="94"/>
      <c r="Y1708" s="119">
        <v>46342</v>
      </c>
      <c r="Z1708" s="94"/>
      <c r="AA1708" s="120"/>
      <c r="AB1708" s="120"/>
      <c r="AC1708" s="120"/>
      <c r="AD1708" s="120"/>
      <c r="AE1708" s="120"/>
      <c r="AF1708" s="120"/>
      <c r="AG1708" s="94"/>
      <c r="AH1708" s="120"/>
      <c r="AI1708" s="94"/>
      <c r="AJ1708" s="94" t="s">
        <v>808</v>
      </c>
      <c r="AK1708" s="94" t="s">
        <v>89</v>
      </c>
      <c r="AL1708" s="94">
        <v>160</v>
      </c>
      <c r="AM1708" s="94" t="str">
        <f>TRIM(AJ1708)&amp;TRIM(AL1708)&amp;TRIM(AK1708)</f>
      </c>
      <c r="AN1708" s="116">
        <v>0</v>
      </c>
      <c r="AO1708" s="116" t="inlineStr">
        <is>
          <t>#NA</t>
        </is>
      </c>
      <c r="AP1708" s="116">
        <f>SUMIFS(M:M,AM:AM,AM1708)+SUMIFS(O:O,AM:AM,AM1708)</f>
      </c>
      <c r="AQ1708" s="116">
        <f>SUMIFS(L:L,AM:AM,AM1708)</f>
      </c>
      <c r="AR1708" s="116">
        <f>AQ1708-AP1708</f>
      </c>
      <c r="AS1708" s="94" t="str">
        <f>IF(AN1708&gt;=AQ1708,"ok","ck")</f>
      </c>
      <c r="AT1708" s="116">
        <f>-P1708</f>
      </c>
      <c r="AU1708" s="115">
        <f>IF(SUMIFS(AT:AT,AM:AM,AM1708)&gt;AO1708,(SUMIFS(AT:AT,AM:AM,AM1708)-AO1708))</f>
      </c>
      <c r="AV1708" s="116">
        <v>0</v>
      </c>
      <c r="AW1708" s="121">
        <v>0</v>
      </c>
      <c r="AX1708" s="115">
        <f>AN1708-AP1708</f>
      </c>
    </row>
    <row r="1709" spans="1:50" ht="15" hidden="1" customHeight="1" x14ac:dyDescent="0.3">
      <c r="A1709" s="94" t="s">
        <v>82</v>
      </c>
      <c r="B1709" s="94"/>
      <c r="C1709" s="94"/>
      <c r="D1709" s="94"/>
      <c r="E1709" s="94"/>
      <c r="F1709" s="94"/>
      <c r="G1709" s="112">
        <f>AU1709</f>
      </c>
      <c r="H1709" s="113"/>
      <c r="I1709" s="94" t="s">
        <v>83</v>
      </c>
      <c r="J1709" s="94" t="s">
        <v>88</v>
      </c>
      <c r="K1709" s="114">
        <f>P1709/3</f>
      </c>
      <c r="L1709" s="115">
        <v>2000</v>
      </c>
      <c r="M1709" s="116"/>
      <c r="N1709" s="117">
        <f>M1709-L1709</f>
      </c>
      <c r="O1709" s="112"/>
      <c r="P1709" s="118">
        <f>N1709+O1709</f>
      </c>
      <c r="Q1709" s="94" t="s">
        <v>856</v>
      </c>
      <c r="R1709" s="94" t="s">
        <v>63</v>
      </c>
      <c r="S1709" s="119">
        <v>46343</v>
      </c>
      <c r="T1709" s="119"/>
      <c r="U1709" s="120" t="s">
        <v>677</v>
      </c>
      <c r="V1709" s="94"/>
      <c r="W1709" s="94"/>
      <c r="X1709" s="94"/>
      <c r="Y1709" s="119">
        <v>46342</v>
      </c>
      <c r="Z1709" s="94"/>
      <c r="AA1709" s="120"/>
      <c r="AB1709" s="120"/>
      <c r="AC1709" s="120"/>
      <c r="AD1709" s="120"/>
      <c r="AE1709" s="120"/>
      <c r="AF1709" s="120"/>
      <c r="AG1709" s="94"/>
      <c r="AH1709" s="120"/>
      <c r="AI1709" s="94"/>
      <c r="AJ1709" s="94" t="s">
        <v>808</v>
      </c>
      <c r="AK1709" s="94" t="s">
        <v>89</v>
      </c>
      <c r="AL1709" s="94">
        <v>160</v>
      </c>
      <c r="AM1709" s="94" t="str">
        <f>TRIM(AJ1709)&amp;TRIM(AL1709)&amp;TRIM(AK1709)</f>
      </c>
      <c r="AN1709" s="116">
        <v>0</v>
      </c>
      <c r="AO1709" s="116" t="inlineStr">
        <is>
          <t>#NA</t>
        </is>
      </c>
      <c r="AP1709" s="116">
        <f>SUMIFS(M:M,AM:AM,AM1709)+SUMIFS(O:O,AM:AM,AM1709)</f>
      </c>
      <c r="AQ1709" s="116">
        <f>SUMIFS(L:L,AM:AM,AM1709)</f>
      </c>
      <c r="AR1709" s="116">
        <f>AQ1709-AP1709</f>
      </c>
      <c r="AS1709" s="94" t="str">
        <f>IF(AN1709&gt;=AQ1709,"ok","ck")</f>
      </c>
      <c r="AT1709" s="116">
        <f>-P1709</f>
      </c>
      <c r="AU1709" s="115">
        <f>IF(SUMIFS(AT:AT,AM:AM,AM1709)&gt;AO1709,(SUMIFS(AT:AT,AM:AM,AM1709)-AO1709))</f>
      </c>
      <c r="AV1709" s="116">
        <v>0</v>
      </c>
      <c r="AW1709" s="121">
        <v>0</v>
      </c>
      <c r="AX1709" s="115">
        <f>AN1709-AP1709</f>
      </c>
    </row>
    <row r="1710" spans="1:50" ht="15" hidden="1" customHeight="1" x14ac:dyDescent="0.3">
      <c r="A1710" s="94" t="s">
        <v>82</v>
      </c>
      <c r="B1710" s="94"/>
      <c r="C1710" s="94"/>
      <c r="D1710" s="94"/>
      <c r="E1710" s="94"/>
      <c r="F1710" s="94"/>
      <c r="G1710" s="112">
        <f>AU1710</f>
      </c>
      <c r="H1710" s="113"/>
      <c r="I1710" s="94" t="s">
        <v>83</v>
      </c>
      <c r="J1710" s="94" t="s">
        <v>88</v>
      </c>
      <c r="K1710" s="114">
        <f>P1710/3</f>
      </c>
      <c r="L1710" s="115">
        <v>2000</v>
      </c>
      <c r="M1710" s="116"/>
      <c r="N1710" s="117">
        <f>M1710-L1710</f>
      </c>
      <c r="O1710" s="112"/>
      <c r="P1710" s="118">
        <f>N1710+O1710</f>
      </c>
      <c r="Q1710" s="94" t="s">
        <v>856</v>
      </c>
      <c r="R1710" s="94" t="s">
        <v>63</v>
      </c>
      <c r="S1710" s="119">
        <v>46344</v>
      </c>
      <c r="T1710" s="119"/>
      <c r="U1710" s="119" t="s">
        <v>677</v>
      </c>
      <c r="V1710" s="94"/>
      <c r="W1710" s="94"/>
      <c r="X1710" s="94"/>
      <c r="Y1710" s="119">
        <v>46342</v>
      </c>
      <c r="Z1710" s="94"/>
      <c r="AA1710" s="120"/>
      <c r="AB1710" s="120"/>
      <c r="AC1710" s="120"/>
      <c r="AD1710" s="120"/>
      <c r="AE1710" s="120"/>
      <c r="AF1710" s="120"/>
      <c r="AG1710" s="94"/>
      <c r="AH1710" s="120"/>
      <c r="AI1710" s="94"/>
      <c r="AJ1710" s="94" t="s">
        <v>808</v>
      </c>
      <c r="AK1710" s="94" t="s">
        <v>89</v>
      </c>
      <c r="AL1710" s="94">
        <v>160</v>
      </c>
      <c r="AM1710" s="94" t="str">
        <f>TRIM(AJ1710)&amp;TRIM(AL1710)&amp;TRIM(AK1710)</f>
      </c>
      <c r="AN1710" s="116">
        <v>0</v>
      </c>
      <c r="AO1710" s="116" t="inlineStr">
        <is>
          <t>#NA</t>
        </is>
      </c>
      <c r="AP1710" s="116">
        <f>SUMIFS(M:M,AM:AM,AM1710)+SUMIFS(O:O,AM:AM,AM1710)</f>
      </c>
      <c r="AQ1710" s="116">
        <f>SUMIFS(L:L,AM:AM,AM1710)</f>
      </c>
      <c r="AR1710" s="116">
        <f>AQ1710-AP1710</f>
      </c>
      <c r="AS1710" s="94" t="str">
        <f>IF(AN1710&gt;=AQ1710,"ok","ck")</f>
      </c>
      <c r="AT1710" s="116">
        <f>-P1710</f>
      </c>
      <c r="AU1710" s="115">
        <f>IF(SUMIFS(AT:AT,AM:AM,AM1710)&gt;AO1710,(SUMIFS(AT:AT,AM:AM,AM1710)-AO1710))</f>
      </c>
      <c r="AV1710" s="116">
        <v>0</v>
      </c>
      <c r="AW1710" s="121">
        <v>0</v>
      </c>
      <c r="AX1710" s="115">
        <f>AN1710-AP1710</f>
      </c>
    </row>
    <row r="1711" spans="1:50" ht="15" hidden="1" customHeight="1" x14ac:dyDescent="0.3">
      <c r="A1711" s="94" t="s">
        <v>82</v>
      </c>
      <c r="B1711" s="94"/>
      <c r="C1711" s="94"/>
      <c r="D1711" s="94"/>
      <c r="E1711" s="94"/>
      <c r="F1711" s="94"/>
      <c r="G1711" s="112">
        <f>AU1711</f>
      </c>
      <c r="H1711" s="113"/>
      <c r="I1711" s="94" t="s">
        <v>83</v>
      </c>
      <c r="J1711" s="94" t="s">
        <v>88</v>
      </c>
      <c r="K1711" s="114">
        <f>P1711/3</f>
      </c>
      <c r="L1711" s="115">
        <v>2000</v>
      </c>
      <c r="M1711" s="116"/>
      <c r="N1711" s="117">
        <f>M1711-L1711</f>
      </c>
      <c r="O1711" s="112"/>
      <c r="P1711" s="118">
        <f>N1711+O1711</f>
      </c>
      <c r="Q1711" s="94" t="s">
        <v>856</v>
      </c>
      <c r="R1711" s="94" t="s">
        <v>63</v>
      </c>
      <c r="S1711" s="119">
        <v>46345</v>
      </c>
      <c r="T1711" s="119"/>
      <c r="U1711" s="119" t="s">
        <v>677</v>
      </c>
      <c r="V1711" s="94"/>
      <c r="W1711" s="94"/>
      <c r="X1711" s="94"/>
      <c r="Y1711" s="119">
        <v>46342</v>
      </c>
      <c r="Z1711" s="94"/>
      <c r="AA1711" s="120"/>
      <c r="AB1711" s="120"/>
      <c r="AC1711" s="120"/>
      <c r="AD1711" s="120"/>
      <c r="AE1711" s="120"/>
      <c r="AF1711" s="120"/>
      <c r="AG1711" s="94"/>
      <c r="AH1711" s="120"/>
      <c r="AI1711" s="94"/>
      <c r="AJ1711" s="94" t="s">
        <v>808</v>
      </c>
      <c r="AK1711" s="94" t="s">
        <v>89</v>
      </c>
      <c r="AL1711" s="94">
        <v>160</v>
      </c>
      <c r="AM1711" s="94" t="str">
        <f>TRIM(AJ1711)&amp;TRIM(AL1711)&amp;TRIM(AK1711)</f>
      </c>
      <c r="AN1711" s="116">
        <v>0</v>
      </c>
      <c r="AO1711" s="116" t="inlineStr">
        <is>
          <t>#NA</t>
        </is>
      </c>
      <c r="AP1711" s="116">
        <f>SUMIFS(M:M,AM:AM,AM1711)+SUMIFS(O:O,AM:AM,AM1711)</f>
      </c>
      <c r="AQ1711" s="116">
        <f>SUMIFS(L:L,AM:AM,AM1711)</f>
      </c>
      <c r="AR1711" s="116">
        <f>AQ1711-AP1711</f>
      </c>
      <c r="AS1711" s="94" t="str">
        <f>IF(AN1711&gt;=AQ1711,"ok","ck")</f>
      </c>
      <c r="AT1711" s="116">
        <f>-P1711</f>
      </c>
      <c r="AU1711" s="115">
        <f>IF(SUMIFS(AT:AT,AM:AM,AM1711)&gt;AO1711,(SUMIFS(AT:AT,AM:AM,AM1711)-AO1711))</f>
      </c>
      <c r="AV1711" s="116">
        <v>0</v>
      </c>
      <c r="AW1711" s="121">
        <v>0</v>
      </c>
      <c r="AX1711" s="115">
        <f>AN1711-AP1711</f>
      </c>
    </row>
    <row r="1712" spans="1:50" ht="15" hidden="1" customHeight="1" x14ac:dyDescent="0.3">
      <c r="A1712" s="94" t="s">
        <v>82</v>
      </c>
      <c r="B1712" s="94"/>
      <c r="C1712" s="94"/>
      <c r="D1712" s="94"/>
      <c r="E1712" s="94"/>
      <c r="F1712" s="94"/>
      <c r="G1712" s="112">
        <f>AU1712</f>
      </c>
      <c r="H1712" s="113"/>
      <c r="I1712" s="94" t="s">
        <v>83</v>
      </c>
      <c r="J1712" s="94" t="s">
        <v>88</v>
      </c>
      <c r="K1712" s="114">
        <f>P1712/3</f>
      </c>
      <c r="L1712" s="115">
        <v>2000</v>
      </c>
      <c r="M1712" s="116"/>
      <c r="N1712" s="117">
        <f>M1712-L1712</f>
      </c>
      <c r="O1712" s="112"/>
      <c r="P1712" s="118">
        <f>N1712+O1712</f>
      </c>
      <c r="Q1712" s="94" t="s">
        <v>856</v>
      </c>
      <c r="R1712" s="94" t="s">
        <v>63</v>
      </c>
      <c r="S1712" s="119">
        <v>46346</v>
      </c>
      <c r="T1712" s="119"/>
      <c r="U1712" s="119" t="s">
        <v>677</v>
      </c>
      <c r="V1712" s="94"/>
      <c r="W1712" s="94"/>
      <c r="X1712" s="94"/>
      <c r="Y1712" s="119">
        <v>46342</v>
      </c>
      <c r="Z1712" s="94"/>
      <c r="AA1712" s="120"/>
      <c r="AB1712" s="120"/>
      <c r="AC1712" s="120"/>
      <c r="AD1712" s="120"/>
      <c r="AE1712" s="120"/>
      <c r="AF1712" s="120"/>
      <c r="AG1712" s="94"/>
      <c r="AH1712" s="120"/>
      <c r="AI1712" s="94"/>
      <c r="AJ1712" s="94" t="s">
        <v>808</v>
      </c>
      <c r="AK1712" s="94" t="s">
        <v>89</v>
      </c>
      <c r="AL1712" s="94">
        <v>160</v>
      </c>
      <c r="AM1712" s="94" t="str">
        <f>TRIM(AJ1712)&amp;TRIM(AL1712)&amp;TRIM(AK1712)</f>
      </c>
      <c r="AN1712" s="116">
        <v>0</v>
      </c>
      <c r="AO1712" s="116" t="inlineStr">
        <is>
          <t>#NA</t>
        </is>
      </c>
      <c r="AP1712" s="116">
        <f>SUMIFS(M:M,AM:AM,AM1712)+SUMIFS(O:O,AM:AM,AM1712)</f>
      </c>
      <c r="AQ1712" s="116">
        <f>SUMIFS(L:L,AM:AM,AM1712)</f>
      </c>
      <c r="AR1712" s="116">
        <f>AQ1712-AP1712</f>
      </c>
      <c r="AS1712" s="94" t="str">
        <f>IF(AN1712&gt;=AQ1712,"ok","ck")</f>
      </c>
      <c r="AT1712" s="116">
        <f>-P1712</f>
      </c>
      <c r="AU1712" s="115">
        <f>IF(SUMIFS(AT:AT,AM:AM,AM1712)&gt;AO1712,(SUMIFS(AT:AT,AM:AM,AM1712)-AO1712))</f>
      </c>
      <c r="AV1712" s="116">
        <v>0</v>
      </c>
      <c r="AW1712" s="121">
        <v>0</v>
      </c>
      <c r="AX1712" s="115">
        <f>AN1712-AP1712</f>
      </c>
    </row>
    <row r="1713" spans="1:50" ht="15" hidden="1" customHeight="1" x14ac:dyDescent="0.3">
      <c r="A1713" s="94" t="s">
        <v>82</v>
      </c>
      <c r="B1713" s="94"/>
      <c r="C1713" s="94"/>
      <c r="D1713" s="94"/>
      <c r="E1713" s="94"/>
      <c r="F1713" s="94"/>
      <c r="G1713" s="112">
        <f>AU1713</f>
      </c>
      <c r="H1713" s="113"/>
      <c r="I1713" s="94" t="s">
        <v>83</v>
      </c>
      <c r="J1713" s="94" t="s">
        <v>88</v>
      </c>
      <c r="K1713" s="114">
        <f>P1713/3</f>
      </c>
      <c r="L1713" s="115">
        <v>2000</v>
      </c>
      <c r="M1713" s="116"/>
      <c r="N1713" s="117">
        <f>M1713-L1713</f>
      </c>
      <c r="O1713" s="112"/>
      <c r="P1713" s="118">
        <f>N1713+O1713</f>
      </c>
      <c r="Q1713" s="94" t="s">
        <v>856</v>
      </c>
      <c r="R1713" s="94" t="s">
        <v>63</v>
      </c>
      <c r="S1713" s="119">
        <v>46347</v>
      </c>
      <c r="T1713" s="119"/>
      <c r="U1713" s="119" t="s">
        <v>677</v>
      </c>
      <c r="V1713" s="94"/>
      <c r="W1713" s="94"/>
      <c r="X1713" s="94"/>
      <c r="Y1713" s="119">
        <v>46334</v>
      </c>
      <c r="Z1713" s="94"/>
      <c r="AA1713" s="120"/>
      <c r="AB1713" s="120"/>
      <c r="AC1713" s="120"/>
      <c r="AD1713" s="120"/>
      <c r="AE1713" s="120"/>
      <c r="AF1713" s="120"/>
      <c r="AG1713" s="94"/>
      <c r="AH1713" s="120"/>
      <c r="AI1713" s="94"/>
      <c r="AJ1713" s="94" t="s">
        <v>808</v>
      </c>
      <c r="AK1713" s="94" t="s">
        <v>89</v>
      </c>
      <c r="AL1713" s="94">
        <v>160</v>
      </c>
      <c r="AM1713" s="94" t="str">
        <f>TRIM(AJ1713)&amp;TRIM(AL1713)&amp;TRIM(AK1713)</f>
      </c>
      <c r="AN1713" s="116">
        <v>0</v>
      </c>
      <c r="AO1713" s="116" t="inlineStr">
        <is>
          <t>#NA</t>
        </is>
      </c>
      <c r="AP1713" s="116">
        <f>SUMIFS(M:M,AM:AM,AM1713)+SUMIFS(O:O,AM:AM,AM1713)</f>
      </c>
      <c r="AQ1713" s="116">
        <f>SUMIFS(L:L,AM:AM,AM1713)</f>
      </c>
      <c r="AR1713" s="116">
        <f>AQ1713-AP1713</f>
      </c>
      <c r="AS1713" s="94" t="str">
        <f>IF(AN1713&gt;=AQ1713,"ok","ck")</f>
      </c>
      <c r="AT1713" s="116">
        <f>-P1713</f>
      </c>
      <c r="AU1713" s="115">
        <f>IF(SUMIFS(AT:AT,AM:AM,AM1713)&gt;AO1713,(SUMIFS(AT:AT,AM:AM,AM1713)-AO1713))</f>
      </c>
      <c r="AV1713" s="116">
        <v>0</v>
      </c>
      <c r="AW1713" s="121">
        <v>0</v>
      </c>
      <c r="AX1713" s="115">
        <f>AN1713-AP1713</f>
      </c>
    </row>
    <row r="1714" spans="1:50" ht="15" hidden="1" customHeight="1" x14ac:dyDescent="0.3">
      <c r="A1714" s="94" t="s">
        <v>82</v>
      </c>
      <c r="B1714" s="94"/>
      <c r="C1714" s="94"/>
      <c r="D1714" s="94"/>
      <c r="E1714" s="94"/>
      <c r="F1714" s="94"/>
      <c r="G1714" s="112">
        <f>AU1714</f>
      </c>
      <c r="H1714" s="113"/>
      <c r="I1714" s="94" t="s">
        <v>83</v>
      </c>
      <c r="J1714" s="94" t="s">
        <v>88</v>
      </c>
      <c r="K1714" s="114">
        <f>P1714/3</f>
      </c>
      <c r="L1714" s="115">
        <v>2000</v>
      </c>
      <c r="M1714" s="116"/>
      <c r="N1714" s="117">
        <f>M1714-L1714</f>
      </c>
      <c r="O1714" s="112"/>
      <c r="P1714" s="118">
        <f>N1714+O1714</f>
      </c>
      <c r="Q1714" s="94" t="s">
        <v>856</v>
      </c>
      <c r="R1714" s="94" t="s">
        <v>63</v>
      </c>
      <c r="S1714" s="119">
        <v>46348</v>
      </c>
      <c r="T1714" s="119"/>
      <c r="U1714" s="119" t="s">
        <v>677</v>
      </c>
      <c r="V1714" s="94"/>
      <c r="W1714" s="94"/>
      <c r="X1714" s="94"/>
      <c r="Y1714" s="119">
        <v>46334</v>
      </c>
      <c r="Z1714" s="94"/>
      <c r="AA1714" s="120"/>
      <c r="AB1714" s="120"/>
      <c r="AC1714" s="120"/>
      <c r="AD1714" s="120"/>
      <c r="AE1714" s="120"/>
      <c r="AF1714" s="120"/>
      <c r="AG1714" s="94"/>
      <c r="AH1714" s="120"/>
      <c r="AI1714" s="94"/>
      <c r="AJ1714" s="94" t="s">
        <v>808</v>
      </c>
      <c r="AK1714" s="94" t="s">
        <v>89</v>
      </c>
      <c r="AL1714" s="94">
        <v>160</v>
      </c>
      <c r="AM1714" s="94" t="str">
        <f>TRIM(AJ1714)&amp;TRIM(AL1714)&amp;TRIM(AK1714)</f>
      </c>
      <c r="AN1714" s="116">
        <v>0</v>
      </c>
      <c r="AO1714" s="116" t="inlineStr">
        <is>
          <t>#NA</t>
        </is>
      </c>
      <c r="AP1714" s="116">
        <f>SUMIFS(M:M,AM:AM,AM1714)+SUMIFS(O:O,AM:AM,AM1714)</f>
      </c>
      <c r="AQ1714" s="116">
        <f>SUMIFS(L:L,AM:AM,AM1714)</f>
      </c>
      <c r="AR1714" s="116">
        <f>AQ1714-AP1714</f>
      </c>
      <c r="AS1714" s="94" t="str">
        <f>IF(AN1714&gt;=AQ1714,"ok","ck")</f>
      </c>
      <c r="AT1714" s="116">
        <f>-P1714</f>
      </c>
      <c r="AU1714" s="115">
        <f>IF(SUMIFS(AT:AT,AM:AM,AM1714)&gt;AO1714,(SUMIFS(AT:AT,AM:AM,AM1714)-AO1714))</f>
      </c>
      <c r="AV1714" s="116">
        <v>0</v>
      </c>
      <c r="AW1714" s="121">
        <v>0</v>
      </c>
      <c r="AX1714" s="115">
        <f>AN1714-AP1714</f>
      </c>
    </row>
    <row r="1715" spans="1:50" ht="15" hidden="1" customHeight="1" x14ac:dyDescent="0.3">
      <c r="A1715" s="94" t="s">
        <v>82</v>
      </c>
      <c r="B1715" s="94"/>
      <c r="C1715" s="94"/>
      <c r="D1715" s="94"/>
      <c r="E1715" s="94"/>
      <c r="F1715" s="94"/>
      <c r="G1715" s="112">
        <f>AU1715</f>
      </c>
      <c r="H1715" s="113"/>
      <c r="I1715" s="94" t="s">
        <v>83</v>
      </c>
      <c r="J1715" s="94" t="s">
        <v>88</v>
      </c>
      <c r="K1715" s="114">
        <f>P1715/3</f>
      </c>
      <c r="L1715" s="115">
        <v>893.34400000000005</v>
      </c>
      <c r="M1715" s="116"/>
      <c r="N1715" s="117">
        <f>M1715-L1715</f>
      </c>
      <c r="O1715" s="112"/>
      <c r="P1715" s="118">
        <f>N1715+O1715</f>
      </c>
      <c r="Q1715" s="94" t="s">
        <v>856</v>
      </c>
      <c r="R1715" s="94" t="s">
        <v>63</v>
      </c>
      <c r="S1715" s="119">
        <v>46349</v>
      </c>
      <c r="T1715" s="119"/>
      <c r="U1715" s="119" t="s">
        <v>677</v>
      </c>
      <c r="V1715" s="94"/>
      <c r="W1715" s="94"/>
      <c r="X1715" s="94"/>
      <c r="Y1715" s="119">
        <v>46334</v>
      </c>
      <c r="Z1715" s="94"/>
      <c r="AA1715" s="120"/>
      <c r="AB1715" s="120"/>
      <c r="AC1715" s="120"/>
      <c r="AD1715" s="120"/>
      <c r="AE1715" s="120"/>
      <c r="AF1715" s="120"/>
      <c r="AG1715" s="94"/>
      <c r="AH1715" s="120"/>
      <c r="AI1715" s="94"/>
      <c r="AJ1715" s="94" t="s">
        <v>808</v>
      </c>
      <c r="AK1715" s="94" t="s">
        <v>89</v>
      </c>
      <c r="AL1715" s="94">
        <v>160</v>
      </c>
      <c r="AM1715" s="94" t="str">
        <f>TRIM(AJ1715)&amp;TRIM(AL1715)&amp;TRIM(AK1715)</f>
      </c>
      <c r="AN1715" s="116">
        <v>0</v>
      </c>
      <c r="AO1715" s="116" t="inlineStr">
        <is>
          <t>#NA</t>
        </is>
      </c>
      <c r="AP1715" s="116">
        <f>SUMIFS(M:M,AM:AM,AM1715)+SUMIFS(O:O,AM:AM,AM1715)</f>
      </c>
      <c r="AQ1715" s="116">
        <f>SUMIFS(L:L,AM:AM,AM1715)</f>
      </c>
      <c r="AR1715" s="116">
        <f>AQ1715-AP1715</f>
      </c>
      <c r="AS1715" s="94" t="str">
        <f>IF(AN1715&gt;=AQ1715,"ok","ck")</f>
      </c>
      <c r="AT1715" s="116">
        <f>-P1715</f>
      </c>
      <c r="AU1715" s="115">
        <f>IF(SUMIFS(AT:AT,AM:AM,AM1715)&gt;AO1715,(SUMIFS(AT:AT,AM:AM,AM1715)-AO1715))</f>
      </c>
      <c r="AV1715" s="116">
        <v>0</v>
      </c>
      <c r="AW1715" s="121">
        <v>0</v>
      </c>
      <c r="AX1715" s="115">
        <f>AN1715-AP1715</f>
      </c>
    </row>
    <row r="1716" spans="1:50" ht="15" hidden="1" customHeight="1" x14ac:dyDescent="0.3">
      <c r="A1716" s="94" t="s">
        <v>82</v>
      </c>
      <c r="B1716" s="94"/>
      <c r="C1716" s="94"/>
      <c r="D1716" s="94"/>
      <c r="E1716" s="94"/>
      <c r="F1716" s="94"/>
      <c r="G1716" s="112">
        <f>AU1716</f>
      </c>
      <c r="H1716" s="113"/>
      <c r="I1716" s="94" t="s">
        <v>83</v>
      </c>
      <c r="J1716" s="94" t="s">
        <v>576</v>
      </c>
      <c r="K1716" s="114">
        <f>P1716/3</f>
      </c>
      <c r="L1716" s="115">
        <v>2500</v>
      </c>
      <c r="M1716" s="116"/>
      <c r="N1716" s="117">
        <f>M1716-L1716</f>
      </c>
      <c r="O1716" s="112"/>
      <c r="P1716" s="118">
        <f>N1716+O1716</f>
      </c>
      <c r="Q1716" s="94" t="s">
        <v>856</v>
      </c>
      <c r="R1716" s="94" t="s">
        <v>63</v>
      </c>
      <c r="S1716" s="119">
        <v>46341</v>
      </c>
      <c r="T1716" s="119"/>
      <c r="U1716" s="120" t="s">
        <v>678</v>
      </c>
      <c r="V1716" s="94"/>
      <c r="W1716" s="94"/>
      <c r="X1716" s="94"/>
      <c r="Y1716" s="119">
        <v>46338</v>
      </c>
      <c r="Z1716" s="94"/>
      <c r="AA1716" s="120"/>
      <c r="AB1716" s="120"/>
      <c r="AC1716" s="120"/>
      <c r="AD1716" s="120"/>
      <c r="AE1716" s="120"/>
      <c r="AF1716" s="120"/>
      <c r="AG1716" s="94"/>
      <c r="AH1716" s="120"/>
      <c r="AI1716" s="94"/>
      <c r="AJ1716" s="94" t="s">
        <v>808</v>
      </c>
      <c r="AK1716" s="94" t="s">
        <v>743</v>
      </c>
      <c r="AL1716" s="94">
        <v>160</v>
      </c>
      <c r="AM1716" s="94" t="str">
        <f>TRIM(AJ1716)&amp;TRIM(AL1716)&amp;TRIM(AK1716)</f>
      </c>
      <c r="AN1716" s="116">
        <v>101</v>
      </c>
      <c r="AO1716" s="116">
        <v>122560.97</v>
      </c>
      <c r="AP1716" s="116">
        <f>SUMIFS(M:M,AM:AM,AM1716)+SUMIFS(O:O,AM:AM,AM1716)</f>
      </c>
      <c r="AQ1716" s="116">
        <f>SUMIFS(L:L,AM:AM,AM1716)</f>
      </c>
      <c r="AR1716" s="116">
        <f>AQ1716-AP1716</f>
      </c>
      <c r="AS1716" s="94" t="str">
        <f>IF(AN1716&gt;=AQ1716,"ok","ck")</f>
      </c>
      <c r="AT1716" s="116">
        <f>-P1716</f>
      </c>
      <c r="AU1716" s="115">
        <f>IF(SUMIFS(AT:AT,AM:AM,AM1716)&gt;AO1716,(SUMIFS(AT:AT,AM:AM,AM1716)-AO1716))</f>
      </c>
      <c r="AV1716" s="116">
        <v>101</v>
      </c>
      <c r="AW1716" s="121">
        <v>0.051</v>
      </c>
      <c r="AX1716" s="115">
        <f>AN1716-AP1716</f>
      </c>
    </row>
    <row r="1717" spans="1:50" ht="15" hidden="1" customHeight="1" x14ac:dyDescent="0.3">
      <c r="A1717" s="94" t="s">
        <v>82</v>
      </c>
      <c r="B1717" s="94"/>
      <c r="C1717" s="94"/>
      <c r="D1717" s="94"/>
      <c r="E1717" s="94"/>
      <c r="F1717" s="94"/>
      <c r="G1717" s="112">
        <f>AU1717</f>
      </c>
      <c r="H1717" s="113"/>
      <c r="I1717" s="94" t="s">
        <v>83</v>
      </c>
      <c r="J1717" s="94" t="s">
        <v>576</v>
      </c>
      <c r="K1717" s="114">
        <f>P1717/3</f>
      </c>
      <c r="L1717" s="115">
        <v>2500</v>
      </c>
      <c r="M1717" s="116"/>
      <c r="N1717" s="117">
        <f>M1717-L1717</f>
      </c>
      <c r="O1717" s="112"/>
      <c r="P1717" s="118">
        <f>N1717+O1717</f>
      </c>
      <c r="Q1717" s="94" t="s">
        <v>856</v>
      </c>
      <c r="R1717" s="94" t="s">
        <v>63</v>
      </c>
      <c r="S1717" s="119">
        <v>46342</v>
      </c>
      <c r="T1717" s="119"/>
      <c r="U1717" s="120" t="s">
        <v>678</v>
      </c>
      <c r="V1717" s="94"/>
      <c r="W1717" s="94"/>
      <c r="X1717" s="94"/>
      <c r="Y1717" s="119">
        <v>46338</v>
      </c>
      <c r="Z1717" s="94"/>
      <c r="AA1717" s="120"/>
      <c r="AB1717" s="120"/>
      <c r="AC1717" s="120"/>
      <c r="AD1717" s="120"/>
      <c r="AE1717" s="120"/>
      <c r="AF1717" s="120"/>
      <c r="AG1717" s="94"/>
      <c r="AH1717" s="120"/>
      <c r="AI1717" s="94"/>
      <c r="AJ1717" s="94" t="s">
        <v>808</v>
      </c>
      <c r="AK1717" s="94" t="s">
        <v>743</v>
      </c>
      <c r="AL1717" s="94">
        <v>160</v>
      </c>
      <c r="AM1717" s="94" t="str">
        <f>TRIM(AJ1717)&amp;TRIM(AL1717)&amp;TRIM(AK1717)</f>
      </c>
      <c r="AN1717" s="116">
        <v>101</v>
      </c>
      <c r="AO1717" s="116">
        <v>122560.97</v>
      </c>
      <c r="AP1717" s="116">
        <f>SUMIFS(M:M,AM:AM,AM1717)+SUMIFS(O:O,AM:AM,AM1717)</f>
      </c>
      <c r="AQ1717" s="116">
        <f>SUMIFS(L:L,AM:AM,AM1717)</f>
      </c>
      <c r="AR1717" s="116">
        <f>AQ1717-AP1717</f>
      </c>
      <c r="AS1717" s="94" t="str">
        <f>IF(AN1717&gt;=AQ1717,"ok","ck")</f>
      </c>
      <c r="AT1717" s="116">
        <f>-P1717</f>
      </c>
      <c r="AU1717" s="115">
        <f>IF(SUMIFS(AT:AT,AM:AM,AM1717)&gt;AO1717,(SUMIFS(AT:AT,AM:AM,AM1717)-AO1717))</f>
      </c>
      <c r="AV1717" s="116">
        <v>101</v>
      </c>
      <c r="AW1717" s="121">
        <v>0.051</v>
      </c>
      <c r="AX1717" s="115">
        <f>AN1717-AP1717</f>
      </c>
    </row>
    <row r="1718" spans="1:50" ht="15" hidden="1" customHeight="1" x14ac:dyDescent="0.3">
      <c r="A1718" s="94" t="s">
        <v>82</v>
      </c>
      <c r="B1718" s="94"/>
      <c r="C1718" s="94"/>
      <c r="D1718" s="94"/>
      <c r="E1718" s="94"/>
      <c r="F1718" s="94"/>
      <c r="G1718" s="112">
        <f>AU1718</f>
      </c>
      <c r="H1718" s="113"/>
      <c r="I1718" s="94" t="s">
        <v>83</v>
      </c>
      <c r="J1718" s="94" t="s">
        <v>576</v>
      </c>
      <c r="K1718" s="114">
        <f>P1718/3</f>
      </c>
      <c r="L1718" s="115">
        <v>2500</v>
      </c>
      <c r="M1718" s="116"/>
      <c r="N1718" s="117">
        <f>M1718-L1718</f>
      </c>
      <c r="O1718" s="112"/>
      <c r="P1718" s="118">
        <f>N1718+O1718</f>
      </c>
      <c r="Q1718" s="94" t="s">
        <v>856</v>
      </c>
      <c r="R1718" s="94" t="s">
        <v>63</v>
      </c>
      <c r="S1718" s="119">
        <v>46343</v>
      </c>
      <c r="T1718" s="119"/>
      <c r="U1718" s="120" t="s">
        <v>678</v>
      </c>
      <c r="V1718" s="94"/>
      <c r="W1718" s="94"/>
      <c r="X1718" s="94"/>
      <c r="Y1718" s="119">
        <v>46338</v>
      </c>
      <c r="Z1718" s="94"/>
      <c r="AA1718" s="120"/>
      <c r="AB1718" s="120"/>
      <c r="AC1718" s="120"/>
      <c r="AD1718" s="120"/>
      <c r="AE1718" s="120"/>
      <c r="AF1718" s="120"/>
      <c r="AG1718" s="94"/>
      <c r="AH1718" s="120"/>
      <c r="AI1718" s="94"/>
      <c r="AJ1718" s="94" t="s">
        <v>808</v>
      </c>
      <c r="AK1718" s="94" t="s">
        <v>743</v>
      </c>
      <c r="AL1718" s="94">
        <v>160</v>
      </c>
      <c r="AM1718" s="94" t="str">
        <f>TRIM(AJ1718)&amp;TRIM(AL1718)&amp;TRIM(AK1718)</f>
      </c>
      <c r="AN1718" s="116">
        <v>101</v>
      </c>
      <c r="AO1718" s="116">
        <v>122560.97</v>
      </c>
      <c r="AP1718" s="116">
        <f>SUMIFS(M:M,AM:AM,AM1718)+SUMIFS(O:O,AM:AM,AM1718)</f>
      </c>
      <c r="AQ1718" s="116">
        <f>SUMIFS(L:L,AM:AM,AM1718)</f>
      </c>
      <c r="AR1718" s="116">
        <f>AQ1718-AP1718</f>
      </c>
      <c r="AS1718" s="94" t="str">
        <f>IF(AN1718&gt;=AQ1718,"ok","ck")</f>
      </c>
      <c r="AT1718" s="116">
        <f>-P1718</f>
      </c>
      <c r="AU1718" s="115">
        <f>IF(SUMIFS(AT:AT,AM:AM,AM1718)&gt;AO1718,(SUMIFS(AT:AT,AM:AM,AM1718)-AO1718))</f>
      </c>
      <c r="AV1718" s="116">
        <v>101</v>
      </c>
      <c r="AW1718" s="121">
        <v>0.051</v>
      </c>
      <c r="AX1718" s="115">
        <f>AN1718-AP1718</f>
      </c>
    </row>
    <row r="1719" spans="1:50" ht="15" hidden="1" customHeight="1" x14ac:dyDescent="0.3">
      <c r="A1719" s="94" t="s">
        <v>82</v>
      </c>
      <c r="B1719" s="94"/>
      <c r="C1719" s="94"/>
      <c r="D1719" s="94"/>
      <c r="E1719" s="94"/>
      <c r="F1719" s="94"/>
      <c r="G1719" s="112">
        <f>AU1719</f>
      </c>
      <c r="H1719" s="113"/>
      <c r="I1719" s="94" t="s">
        <v>83</v>
      </c>
      <c r="J1719" s="94" t="s">
        <v>576</v>
      </c>
      <c r="K1719" s="114">
        <f>P1719/3</f>
      </c>
      <c r="L1719" s="115">
        <v>2500</v>
      </c>
      <c r="M1719" s="116"/>
      <c r="N1719" s="117">
        <f>M1719-L1719</f>
      </c>
      <c r="O1719" s="112"/>
      <c r="P1719" s="118">
        <f>N1719+O1719</f>
      </c>
      <c r="Q1719" s="94" t="s">
        <v>856</v>
      </c>
      <c r="R1719" s="94" t="s">
        <v>63</v>
      </c>
      <c r="S1719" s="119">
        <v>46344</v>
      </c>
      <c r="T1719" s="119"/>
      <c r="U1719" s="120" t="s">
        <v>678</v>
      </c>
      <c r="V1719" s="94"/>
      <c r="W1719" s="94"/>
      <c r="X1719" s="94"/>
      <c r="Y1719" s="119">
        <v>46338</v>
      </c>
      <c r="Z1719" s="94"/>
      <c r="AA1719" s="120"/>
      <c r="AB1719" s="120"/>
      <c r="AC1719" s="120"/>
      <c r="AD1719" s="120"/>
      <c r="AE1719" s="120"/>
      <c r="AF1719" s="120"/>
      <c r="AG1719" s="94"/>
      <c r="AH1719" s="120"/>
      <c r="AI1719" s="94"/>
      <c r="AJ1719" s="94" t="s">
        <v>808</v>
      </c>
      <c r="AK1719" s="94" t="s">
        <v>743</v>
      </c>
      <c r="AL1719" s="94">
        <v>160</v>
      </c>
      <c r="AM1719" s="94" t="str">
        <f>TRIM(AJ1719)&amp;TRIM(AL1719)&amp;TRIM(AK1719)</f>
      </c>
      <c r="AN1719" s="116">
        <v>101</v>
      </c>
      <c r="AO1719" s="116">
        <v>122560.97</v>
      </c>
      <c r="AP1719" s="116">
        <f>SUMIFS(M:M,AM:AM,AM1719)+SUMIFS(O:O,AM:AM,AM1719)</f>
      </c>
      <c r="AQ1719" s="116">
        <f>SUMIFS(L:L,AM:AM,AM1719)</f>
      </c>
      <c r="AR1719" s="116">
        <f>AQ1719-AP1719</f>
      </c>
      <c r="AS1719" s="94" t="str">
        <f>IF(AN1719&gt;=AQ1719,"ok","ck")</f>
      </c>
      <c r="AT1719" s="116">
        <f>-P1719</f>
      </c>
      <c r="AU1719" s="115">
        <f>IF(SUMIFS(AT:AT,AM:AM,AM1719)&gt;AO1719,(SUMIFS(AT:AT,AM:AM,AM1719)-AO1719))</f>
      </c>
      <c r="AV1719" s="116">
        <v>101</v>
      </c>
      <c r="AW1719" s="121">
        <v>0.051</v>
      </c>
      <c r="AX1719" s="115">
        <f>AN1719-AP1719</f>
      </c>
    </row>
    <row r="1720" spans="1:50" ht="15" hidden="1" customHeight="1" x14ac:dyDescent="0.3">
      <c r="A1720" s="94" t="s">
        <v>82</v>
      </c>
      <c r="B1720" s="94"/>
      <c r="C1720" s="94"/>
      <c r="D1720" s="94"/>
      <c r="E1720" s="94"/>
      <c r="F1720" s="94"/>
      <c r="G1720" s="112">
        <f>AU1720</f>
      </c>
      <c r="H1720" s="113"/>
      <c r="I1720" s="94" t="s">
        <v>83</v>
      </c>
      <c r="J1720" s="94" t="s">
        <v>576</v>
      </c>
      <c r="K1720" s="114">
        <f>P1720/3</f>
      </c>
      <c r="L1720" s="115">
        <v>2500</v>
      </c>
      <c r="M1720" s="116"/>
      <c r="N1720" s="117">
        <f>M1720-L1720</f>
      </c>
      <c r="O1720" s="112"/>
      <c r="P1720" s="118">
        <f>N1720+O1720</f>
      </c>
      <c r="Q1720" s="94" t="s">
        <v>856</v>
      </c>
      <c r="R1720" s="94" t="s">
        <v>63</v>
      </c>
      <c r="S1720" s="119">
        <v>46345</v>
      </c>
      <c r="T1720" s="119"/>
      <c r="U1720" s="120" t="s">
        <v>678</v>
      </c>
      <c r="V1720" s="94"/>
      <c r="W1720" s="94"/>
      <c r="X1720" s="94"/>
      <c r="Y1720" s="119">
        <v>46338</v>
      </c>
      <c r="Z1720" s="94"/>
      <c r="AA1720" s="120"/>
      <c r="AB1720" s="120"/>
      <c r="AC1720" s="120"/>
      <c r="AD1720" s="120"/>
      <c r="AE1720" s="120"/>
      <c r="AF1720" s="120"/>
      <c r="AG1720" s="94"/>
      <c r="AH1720" s="120"/>
      <c r="AI1720" s="94"/>
      <c r="AJ1720" s="94" t="s">
        <v>808</v>
      </c>
      <c r="AK1720" s="94" t="s">
        <v>743</v>
      </c>
      <c r="AL1720" s="94">
        <v>160</v>
      </c>
      <c r="AM1720" s="94" t="str">
        <f>TRIM(AJ1720)&amp;TRIM(AL1720)&amp;TRIM(AK1720)</f>
      </c>
      <c r="AN1720" s="116">
        <v>101</v>
      </c>
      <c r="AO1720" s="116">
        <v>122560.97</v>
      </c>
      <c r="AP1720" s="116">
        <f>SUMIFS(M:M,AM:AM,AM1720)+SUMIFS(O:O,AM:AM,AM1720)</f>
      </c>
      <c r="AQ1720" s="116">
        <f>SUMIFS(L:L,AM:AM,AM1720)</f>
      </c>
      <c r="AR1720" s="116">
        <f>AQ1720-AP1720</f>
      </c>
      <c r="AS1720" s="94" t="str">
        <f>IF(AN1720&gt;=AQ1720,"ok","ck")</f>
      </c>
      <c r="AT1720" s="116">
        <f>-P1720</f>
      </c>
      <c r="AU1720" s="115">
        <f>IF(SUMIFS(AT:AT,AM:AM,AM1720)&gt;AO1720,(SUMIFS(AT:AT,AM:AM,AM1720)-AO1720))</f>
      </c>
      <c r="AV1720" s="116">
        <v>101</v>
      </c>
      <c r="AW1720" s="121">
        <v>0.051</v>
      </c>
      <c r="AX1720" s="115">
        <f>AN1720-AP1720</f>
      </c>
    </row>
    <row r="1721" spans="1:50" ht="15" hidden="1" customHeight="1" x14ac:dyDescent="0.3">
      <c r="A1721" s="94" t="s">
        <v>82</v>
      </c>
      <c r="B1721" s="94"/>
      <c r="C1721" s="94"/>
      <c r="D1721" s="94"/>
      <c r="E1721" s="94"/>
      <c r="F1721" s="94"/>
      <c r="G1721" s="112">
        <f>AU1721</f>
      </c>
      <c r="H1721" s="113"/>
      <c r="I1721" s="94" t="s">
        <v>83</v>
      </c>
      <c r="J1721" s="94" t="s">
        <v>576</v>
      </c>
      <c r="K1721" s="114">
        <f>P1721/3</f>
      </c>
      <c r="L1721" s="115">
        <v>2500</v>
      </c>
      <c r="M1721" s="116"/>
      <c r="N1721" s="117">
        <f>M1721-L1721</f>
      </c>
      <c r="O1721" s="112"/>
      <c r="P1721" s="118">
        <f>N1721+O1721</f>
      </c>
      <c r="Q1721" s="94" t="s">
        <v>856</v>
      </c>
      <c r="R1721" s="94" t="s">
        <v>63</v>
      </c>
      <c r="S1721" s="119">
        <v>46346</v>
      </c>
      <c r="T1721" s="119"/>
      <c r="U1721" s="120" t="s">
        <v>678</v>
      </c>
      <c r="V1721" s="94"/>
      <c r="W1721" s="94"/>
      <c r="X1721" s="94"/>
      <c r="Y1721" s="119">
        <v>46334</v>
      </c>
      <c r="Z1721" s="94"/>
      <c r="AA1721" s="120"/>
      <c r="AB1721" s="120"/>
      <c r="AC1721" s="120"/>
      <c r="AD1721" s="120"/>
      <c r="AE1721" s="120"/>
      <c r="AF1721" s="120"/>
      <c r="AG1721" s="94"/>
      <c r="AH1721" s="120"/>
      <c r="AI1721" s="94"/>
      <c r="AJ1721" s="94" t="s">
        <v>808</v>
      </c>
      <c r="AK1721" s="94" t="s">
        <v>743</v>
      </c>
      <c r="AL1721" s="94">
        <v>160</v>
      </c>
      <c r="AM1721" s="94" t="str">
        <f>TRIM(AJ1721)&amp;TRIM(AL1721)&amp;TRIM(AK1721)</f>
      </c>
      <c r="AN1721" s="116">
        <v>101</v>
      </c>
      <c r="AO1721" s="116">
        <v>122560.97</v>
      </c>
      <c r="AP1721" s="116">
        <f>SUMIFS(M:M,AM:AM,AM1721)+SUMIFS(O:O,AM:AM,AM1721)</f>
      </c>
      <c r="AQ1721" s="116">
        <f>SUMIFS(L:L,AM:AM,AM1721)</f>
      </c>
      <c r="AR1721" s="116">
        <f>AQ1721-AP1721</f>
      </c>
      <c r="AS1721" s="94" t="str">
        <f>IF(AN1721&gt;=AQ1721,"ok","ck")</f>
      </c>
      <c r="AT1721" s="116">
        <f>-P1721</f>
      </c>
      <c r="AU1721" s="115">
        <f>IF(SUMIFS(AT:AT,AM:AM,AM1721)&gt;AO1721,(SUMIFS(AT:AT,AM:AM,AM1721)-AO1721))</f>
      </c>
      <c r="AV1721" s="116">
        <v>101</v>
      </c>
      <c r="AW1721" s="121">
        <v>0.051</v>
      </c>
      <c r="AX1721" s="115">
        <f>AN1721-AP1721</f>
      </c>
    </row>
    <row r="1722" spans="1:50" ht="15" hidden="1" customHeight="1" x14ac:dyDescent="0.3">
      <c r="A1722" s="94" t="s">
        <v>82</v>
      </c>
      <c r="B1722" s="94"/>
      <c r="C1722" s="94"/>
      <c r="D1722" s="94"/>
      <c r="E1722" s="94"/>
      <c r="F1722" s="94"/>
      <c r="G1722" s="112">
        <f>AU1722</f>
      </c>
      <c r="H1722" s="113"/>
      <c r="I1722" s="94" t="s">
        <v>83</v>
      </c>
      <c r="J1722" s="94" t="s">
        <v>576</v>
      </c>
      <c r="K1722" s="114">
        <f>P1722/3</f>
      </c>
      <c r="L1722" s="115">
        <v>2500</v>
      </c>
      <c r="M1722" s="116"/>
      <c r="N1722" s="117">
        <f>M1722-L1722</f>
      </c>
      <c r="O1722" s="112"/>
      <c r="P1722" s="118">
        <f>N1722+O1722</f>
      </c>
      <c r="Q1722" s="94" t="s">
        <v>856</v>
      </c>
      <c r="R1722" s="94" t="s">
        <v>63</v>
      </c>
      <c r="S1722" s="119">
        <v>46347</v>
      </c>
      <c r="T1722" s="119"/>
      <c r="U1722" s="120" t="s">
        <v>678</v>
      </c>
      <c r="V1722" s="94"/>
      <c r="W1722" s="94"/>
      <c r="X1722" s="94"/>
      <c r="Y1722" s="119">
        <v>46334</v>
      </c>
      <c r="Z1722" s="94"/>
      <c r="AA1722" s="120"/>
      <c r="AB1722" s="120"/>
      <c r="AC1722" s="120"/>
      <c r="AD1722" s="120"/>
      <c r="AE1722" s="120"/>
      <c r="AF1722" s="120"/>
      <c r="AG1722" s="94"/>
      <c r="AH1722" s="120"/>
      <c r="AI1722" s="94"/>
      <c r="AJ1722" s="94" t="s">
        <v>808</v>
      </c>
      <c r="AK1722" s="94" t="s">
        <v>743</v>
      </c>
      <c r="AL1722" s="94">
        <v>160</v>
      </c>
      <c r="AM1722" s="94" t="str">
        <f>TRIM(AJ1722)&amp;TRIM(AL1722)&amp;TRIM(AK1722)</f>
      </c>
      <c r="AN1722" s="116">
        <v>101</v>
      </c>
      <c r="AO1722" s="116">
        <v>122560.97</v>
      </c>
      <c r="AP1722" s="116">
        <f>SUMIFS(M:M,AM:AM,AM1722)+SUMIFS(O:O,AM:AM,AM1722)</f>
      </c>
      <c r="AQ1722" s="116">
        <f>SUMIFS(L:L,AM:AM,AM1722)</f>
      </c>
      <c r="AR1722" s="116">
        <f>AQ1722-AP1722</f>
      </c>
      <c r="AS1722" s="94" t="str">
        <f>IF(AN1722&gt;=AQ1722,"ok","ck")</f>
      </c>
      <c r="AT1722" s="116">
        <f>-P1722</f>
      </c>
      <c r="AU1722" s="115">
        <f>IF(SUMIFS(AT:AT,AM:AM,AM1722)&gt;AO1722,(SUMIFS(AT:AT,AM:AM,AM1722)-AO1722))</f>
      </c>
      <c r="AV1722" s="116">
        <v>101</v>
      </c>
      <c r="AW1722" s="121">
        <v>0.051</v>
      </c>
      <c r="AX1722" s="115">
        <f>AN1722-AP1722</f>
      </c>
    </row>
    <row r="1723" spans="1:50" ht="15" hidden="1" customHeight="1" x14ac:dyDescent="0.3">
      <c r="A1723" s="94" t="s">
        <v>82</v>
      </c>
      <c r="B1723" s="94"/>
      <c r="C1723" s="94"/>
      <c r="D1723" s="94"/>
      <c r="E1723" s="94"/>
      <c r="F1723" s="94"/>
      <c r="G1723" s="112">
        <f>AU1723</f>
      </c>
      <c r="H1723" s="113"/>
      <c r="I1723" s="94" t="s">
        <v>83</v>
      </c>
      <c r="J1723" s="94" t="s">
        <v>576</v>
      </c>
      <c r="K1723" s="114">
        <f>P1723/3</f>
      </c>
      <c r="L1723" s="115">
        <v>2500</v>
      </c>
      <c r="M1723" s="116"/>
      <c r="N1723" s="117">
        <f>M1723-L1723</f>
      </c>
      <c r="O1723" s="112"/>
      <c r="P1723" s="118">
        <f>N1723+O1723</f>
      </c>
      <c r="Q1723" s="94" t="s">
        <v>856</v>
      </c>
      <c r="R1723" s="94" t="s">
        <v>63</v>
      </c>
      <c r="S1723" s="119">
        <v>46348</v>
      </c>
      <c r="T1723" s="119"/>
      <c r="U1723" s="119" t="s">
        <v>678</v>
      </c>
      <c r="V1723" s="94"/>
      <c r="W1723" s="94"/>
      <c r="X1723" s="94"/>
      <c r="Y1723" s="119">
        <v>46334</v>
      </c>
      <c r="Z1723" s="94"/>
      <c r="AA1723" s="120"/>
      <c r="AB1723" s="120"/>
      <c r="AC1723" s="120"/>
      <c r="AD1723" s="120"/>
      <c r="AE1723" s="120"/>
      <c r="AF1723" s="120"/>
      <c r="AG1723" s="94"/>
      <c r="AH1723" s="120"/>
      <c r="AI1723" s="94"/>
      <c r="AJ1723" s="94" t="s">
        <v>808</v>
      </c>
      <c r="AK1723" s="94" t="s">
        <v>743</v>
      </c>
      <c r="AL1723" s="94">
        <v>160</v>
      </c>
      <c r="AM1723" s="94" t="str">
        <f>TRIM(AJ1723)&amp;TRIM(AL1723)&amp;TRIM(AK1723)</f>
      </c>
      <c r="AN1723" s="116">
        <v>101</v>
      </c>
      <c r="AO1723" s="116">
        <v>122560.97</v>
      </c>
      <c r="AP1723" s="116">
        <f>SUMIFS(M:M,AM:AM,AM1723)+SUMIFS(O:O,AM:AM,AM1723)</f>
      </c>
      <c r="AQ1723" s="116">
        <f>SUMIFS(L:L,AM:AM,AM1723)</f>
      </c>
      <c r="AR1723" s="116">
        <f>AQ1723-AP1723</f>
      </c>
      <c r="AS1723" s="94" t="str">
        <f>IF(AN1723&gt;=AQ1723,"ok","ck")</f>
      </c>
      <c r="AT1723" s="116">
        <f>-P1723</f>
      </c>
      <c r="AU1723" s="115">
        <f>IF(SUMIFS(AT:AT,AM:AM,AM1723)&gt;AO1723,(SUMIFS(AT:AT,AM:AM,AM1723)-AO1723))</f>
      </c>
      <c r="AV1723" s="116">
        <v>101</v>
      </c>
      <c r="AW1723" s="121">
        <v>0.051</v>
      </c>
      <c r="AX1723" s="115">
        <f>AN1723-AP1723</f>
      </c>
    </row>
    <row r="1724" spans="1:50" ht="15" hidden="1" customHeight="1" x14ac:dyDescent="0.3">
      <c r="A1724" s="94" t="s">
        <v>82</v>
      </c>
      <c r="B1724" s="94"/>
      <c r="C1724" s="94"/>
      <c r="D1724" s="94"/>
      <c r="E1724" s="94"/>
      <c r="F1724" s="94"/>
      <c r="G1724" s="112">
        <f>AU1724</f>
      </c>
      <c r="H1724" s="113"/>
      <c r="I1724" s="94" t="s">
        <v>83</v>
      </c>
      <c r="J1724" s="94" t="s">
        <v>576</v>
      </c>
      <c r="K1724" s="114">
        <f>P1724/3</f>
      </c>
      <c r="L1724" s="115">
        <v>2500</v>
      </c>
      <c r="M1724" s="116"/>
      <c r="N1724" s="117">
        <f>M1724-L1724</f>
      </c>
      <c r="O1724" s="112"/>
      <c r="P1724" s="118">
        <f>N1724+O1724</f>
      </c>
      <c r="Q1724" s="94" t="s">
        <v>856</v>
      </c>
      <c r="R1724" s="94" t="s">
        <v>63</v>
      </c>
      <c r="S1724" s="119">
        <v>46349</v>
      </c>
      <c r="T1724" s="119"/>
      <c r="U1724" s="119" t="s">
        <v>678</v>
      </c>
      <c r="V1724" s="94"/>
      <c r="W1724" s="94"/>
      <c r="X1724" s="94"/>
      <c r="Y1724" s="119">
        <v>46334</v>
      </c>
      <c r="Z1724" s="94"/>
      <c r="AA1724" s="120"/>
      <c r="AB1724" s="120"/>
      <c r="AC1724" s="120"/>
      <c r="AD1724" s="120"/>
      <c r="AE1724" s="120"/>
      <c r="AF1724" s="120"/>
      <c r="AG1724" s="94"/>
      <c r="AH1724" s="120"/>
      <c r="AI1724" s="94"/>
      <c r="AJ1724" s="94" t="s">
        <v>808</v>
      </c>
      <c r="AK1724" s="94" t="s">
        <v>743</v>
      </c>
      <c r="AL1724" s="94">
        <v>160</v>
      </c>
      <c r="AM1724" s="94" t="str">
        <f>TRIM(AJ1724)&amp;TRIM(AL1724)&amp;TRIM(AK1724)</f>
      </c>
      <c r="AN1724" s="116">
        <v>101</v>
      </c>
      <c r="AO1724" s="116">
        <v>122560.97</v>
      </c>
      <c r="AP1724" s="116">
        <f>SUMIFS(M:M,AM:AM,AM1724)+SUMIFS(O:O,AM:AM,AM1724)</f>
      </c>
      <c r="AQ1724" s="116">
        <f>SUMIFS(L:L,AM:AM,AM1724)</f>
      </c>
      <c r="AR1724" s="116">
        <f>AQ1724-AP1724</f>
      </c>
      <c r="AS1724" s="94" t="str">
        <f>IF(AN1724&gt;=AQ1724,"ok","ck")</f>
      </c>
      <c r="AT1724" s="116">
        <f>-P1724</f>
      </c>
      <c r="AU1724" s="115">
        <f>IF(SUMIFS(AT:AT,AM:AM,AM1724)&gt;AO1724,(SUMIFS(AT:AT,AM:AM,AM1724)-AO1724))</f>
      </c>
      <c r="AV1724" s="116">
        <v>101</v>
      </c>
      <c r="AW1724" s="121">
        <v>0.051</v>
      </c>
      <c r="AX1724" s="115">
        <f>AN1724-AP1724</f>
      </c>
    </row>
    <row r="1725" spans="1:50" ht="15" hidden="1" customHeight="1" x14ac:dyDescent="0.3">
      <c r="A1725" s="94" t="s">
        <v>82</v>
      </c>
      <c r="B1725" s="94"/>
      <c r="C1725" s="94"/>
      <c r="D1725" s="94"/>
      <c r="E1725" s="94"/>
      <c r="F1725" s="94"/>
      <c r="G1725" s="112">
        <f>AU1725</f>
      </c>
      <c r="H1725" s="113"/>
      <c r="I1725" s="94" t="s">
        <v>83</v>
      </c>
      <c r="J1725" s="94" t="s">
        <v>576</v>
      </c>
      <c r="K1725" s="114">
        <f>P1725/3</f>
      </c>
      <c r="L1725" s="115">
        <v>2500</v>
      </c>
      <c r="M1725" s="116"/>
      <c r="N1725" s="117">
        <f>M1725-L1725</f>
      </c>
      <c r="O1725" s="112"/>
      <c r="P1725" s="118">
        <f>N1725+O1725</f>
      </c>
      <c r="Q1725" s="94" t="s">
        <v>856</v>
      </c>
      <c r="R1725" s="94" t="s">
        <v>63</v>
      </c>
      <c r="S1725" s="119">
        <v>46350</v>
      </c>
      <c r="T1725" s="119"/>
      <c r="U1725" s="120" t="s">
        <v>678</v>
      </c>
      <c r="V1725" s="94"/>
      <c r="W1725" s="94"/>
      <c r="X1725" s="94"/>
      <c r="Y1725" s="119">
        <v>46334</v>
      </c>
      <c r="Z1725" s="94"/>
      <c r="AA1725" s="120"/>
      <c r="AB1725" s="120"/>
      <c r="AC1725" s="120"/>
      <c r="AD1725" s="120"/>
      <c r="AE1725" s="120"/>
      <c r="AF1725" s="120"/>
      <c r="AG1725" s="94"/>
      <c r="AH1725" s="120"/>
      <c r="AI1725" s="94"/>
      <c r="AJ1725" s="94" t="s">
        <v>808</v>
      </c>
      <c r="AK1725" s="94" t="s">
        <v>743</v>
      </c>
      <c r="AL1725" s="94">
        <v>160</v>
      </c>
      <c r="AM1725" s="94" t="str">
        <f>TRIM(AJ1725)&amp;TRIM(AL1725)&amp;TRIM(AK1725)</f>
      </c>
      <c r="AN1725" s="116">
        <v>101</v>
      </c>
      <c r="AO1725" s="116">
        <v>122560.97</v>
      </c>
      <c r="AP1725" s="116">
        <f>SUMIFS(M:M,AM:AM,AM1725)+SUMIFS(O:O,AM:AM,AM1725)</f>
      </c>
      <c r="AQ1725" s="116">
        <f>SUMIFS(L:L,AM:AM,AM1725)</f>
      </c>
      <c r="AR1725" s="116">
        <f>AQ1725-AP1725</f>
      </c>
      <c r="AS1725" s="94" t="str">
        <f>IF(AN1725&gt;=AQ1725,"ok","ck")</f>
      </c>
      <c r="AT1725" s="116">
        <f>-P1725</f>
      </c>
      <c r="AU1725" s="115">
        <f>IF(SUMIFS(AT:AT,AM:AM,AM1725)&gt;AO1725,(SUMIFS(AT:AT,AM:AM,AM1725)-AO1725))</f>
      </c>
      <c r="AV1725" s="116">
        <v>101</v>
      </c>
      <c r="AW1725" s="121">
        <v>0.051</v>
      </c>
      <c r="AX1725" s="115">
        <f>AN1725-AP1725</f>
      </c>
    </row>
    <row r="1726" spans="1:50" ht="15" hidden="1" customHeight="1" x14ac:dyDescent="0.3">
      <c r="A1726" s="94" t="s">
        <v>82</v>
      </c>
      <c r="B1726" s="94"/>
      <c r="C1726" s="94"/>
      <c r="D1726" s="94"/>
      <c r="E1726" s="94"/>
      <c r="F1726" s="94"/>
      <c r="G1726" s="112">
        <f>AU1726</f>
      </c>
      <c r="H1726" s="113"/>
      <c r="I1726" s="94" t="s">
        <v>83</v>
      </c>
      <c r="J1726" s="94" t="s">
        <v>576</v>
      </c>
      <c r="K1726" s="114">
        <f>P1726/3</f>
      </c>
      <c r="L1726" s="115">
        <v>1206.2429999999999</v>
      </c>
      <c r="M1726" s="116"/>
      <c r="N1726" s="117">
        <f>M1726-L1726</f>
      </c>
      <c r="O1726" s="112"/>
      <c r="P1726" s="118">
        <f>N1726+O1726</f>
      </c>
      <c r="Q1726" s="94" t="s">
        <v>856</v>
      </c>
      <c r="R1726" s="94" t="s">
        <v>63</v>
      </c>
      <c r="S1726" s="119">
        <v>46351</v>
      </c>
      <c r="T1726" s="119"/>
      <c r="U1726" s="120" t="s">
        <v>678</v>
      </c>
      <c r="V1726" s="94"/>
      <c r="W1726" s="94"/>
      <c r="X1726" s="94"/>
      <c r="Y1726" s="119">
        <v>46334</v>
      </c>
      <c r="Z1726" s="94"/>
      <c r="AA1726" s="120"/>
      <c r="AB1726" s="120"/>
      <c r="AC1726" s="120"/>
      <c r="AD1726" s="120"/>
      <c r="AE1726" s="120"/>
      <c r="AF1726" s="120"/>
      <c r="AG1726" s="94"/>
      <c r="AH1726" s="120"/>
      <c r="AI1726" s="94"/>
      <c r="AJ1726" s="94" t="s">
        <v>808</v>
      </c>
      <c r="AK1726" s="94" t="s">
        <v>743</v>
      </c>
      <c r="AL1726" s="94">
        <v>160</v>
      </c>
      <c r="AM1726" s="94" t="str">
        <f>TRIM(AJ1726)&amp;TRIM(AL1726)&amp;TRIM(AK1726)</f>
      </c>
      <c r="AN1726" s="116">
        <v>101</v>
      </c>
      <c r="AO1726" s="116">
        <v>122560.97</v>
      </c>
      <c r="AP1726" s="116">
        <f>SUMIFS(M:M,AM:AM,AM1726)+SUMIFS(O:O,AM:AM,AM1726)</f>
      </c>
      <c r="AQ1726" s="116">
        <f>SUMIFS(L:L,AM:AM,AM1726)</f>
      </c>
      <c r="AR1726" s="116">
        <f>AQ1726-AP1726</f>
      </c>
      <c r="AS1726" s="94" t="str">
        <f>IF(AN1726&gt;=AQ1726,"ok","ck")</f>
      </c>
      <c r="AT1726" s="116">
        <f>-P1726</f>
      </c>
      <c r="AU1726" s="115">
        <f>IF(SUMIFS(AT:AT,AM:AM,AM1726)&gt;AO1726,(SUMIFS(AT:AT,AM:AM,AM1726)-AO1726))</f>
      </c>
      <c r="AV1726" s="116">
        <v>101</v>
      </c>
      <c r="AW1726" s="121">
        <v>0.051</v>
      </c>
      <c r="AX1726" s="115">
        <f>AN1726-AP1726</f>
      </c>
    </row>
    <row r="1727" spans="1:50" ht="15" hidden="1" customHeight="1" x14ac:dyDescent="0.3">
      <c r="A1727" s="94" t="s">
        <v>60</v>
      </c>
      <c r="B1727" s="94"/>
      <c r="C1727" s="94"/>
      <c r="D1727" s="94"/>
      <c r="E1727" s="94"/>
      <c r="F1727" s="94"/>
      <c r="G1727" s="112">
        <f>AU1727</f>
      </c>
      <c r="H1727" s="113"/>
      <c r="I1727" s="94" t="s">
        <v>65</v>
      </c>
      <c r="J1727" s="94" t="s">
        <v>66</v>
      </c>
      <c r="K1727" s="114">
        <f>P1727/3</f>
      </c>
      <c r="L1727" s="115">
        <v>149.13</v>
      </c>
      <c r="M1727" s="116"/>
      <c r="N1727" s="117">
        <f>M1727-L1727</f>
      </c>
      <c r="O1727" s="112"/>
      <c r="P1727" s="118">
        <f>N1727+O1727</f>
      </c>
      <c r="Q1727" s="94" t="s">
        <v>92</v>
      </c>
      <c r="R1727" s="94" t="s">
        <v>63</v>
      </c>
      <c r="S1727" s="119">
        <v>46327</v>
      </c>
      <c r="T1727" s="119"/>
      <c r="U1727" s="120" t="s">
        <v>676</v>
      </c>
      <c r="V1727" s="94"/>
      <c r="W1727" s="94"/>
      <c r="X1727" s="94"/>
      <c r="Y1727" s="119">
        <v>46323</v>
      </c>
      <c r="Z1727" s="94"/>
      <c r="AA1727" s="120"/>
      <c r="AB1727" s="120"/>
      <c r="AC1727" s="120"/>
      <c r="AD1727" s="120"/>
      <c r="AE1727" s="120"/>
      <c r="AF1727" s="120"/>
      <c r="AG1727" s="94"/>
      <c r="AH1727" s="120"/>
      <c r="AI1727" s="94"/>
      <c r="AJ1727" s="94" t="s">
        <v>92</v>
      </c>
      <c r="AK1727" s="94" t="s">
        <v>66</v>
      </c>
      <c r="AL1727" s="94">
        <v>110</v>
      </c>
      <c r="AM1727" s="94" t="str">
        <f>TRIM(AJ1727)&amp;TRIM(AL1727)&amp;TRIM(AK1727)</f>
      </c>
      <c r="AN1727" s="116">
        <v>594</v>
      </c>
      <c r="AO1727" s="116">
        <v>1112</v>
      </c>
      <c r="AP1727" s="116">
        <f>SUMIFS(M:M,AM:AM,AM1727)+SUMIFS(O:O,AM:AM,AM1727)</f>
      </c>
      <c r="AQ1727" s="116">
        <f>SUMIFS(L:L,AM:AM,AM1727)</f>
      </c>
      <c r="AR1727" s="116">
        <f>AQ1727-AP1727</f>
      </c>
      <c r="AS1727" s="94" t="str">
        <f>IF(AN1727&gt;=AQ1727,"ok","ck")</f>
      </c>
      <c r="AT1727" s="116">
        <f>-P1727</f>
      </c>
      <c r="AU1727" s="115">
        <f>IF(SUMIFS(AT:AT,AM:AM,AM1727)&gt;AO1727,(SUMIFS(AT:AT,AM:AM,AM1727)-AO1727))</f>
      </c>
      <c r="AV1727" s="116">
        <v>594</v>
      </c>
      <c r="AW1727" s="121">
        <v>0.999</v>
      </c>
      <c r="AX1727" s="115">
        <f>AN1727-AP1727</f>
      </c>
    </row>
    <row r="1728" spans="1:50" ht="15" hidden="1" customHeight="1" x14ac:dyDescent="0.3">
      <c r="A1728" s="94" t="s">
        <v>60</v>
      </c>
      <c r="B1728" s="94"/>
      <c r="C1728" s="94"/>
      <c r="D1728" s="94"/>
      <c r="E1728" s="94"/>
      <c r="F1728" s="94"/>
      <c r="G1728" s="112">
        <f>AU1728</f>
      </c>
      <c r="H1728" s="113"/>
      <c r="I1728" s="94" t="s">
        <v>65</v>
      </c>
      <c r="J1728" s="94" t="s">
        <v>66</v>
      </c>
      <c r="K1728" s="114">
        <f>P1728/3</f>
      </c>
      <c r="L1728" s="115">
        <v>149.13</v>
      </c>
      <c r="M1728" s="116"/>
      <c r="N1728" s="117">
        <f>M1728-L1728</f>
      </c>
      <c r="O1728" s="112"/>
      <c r="P1728" s="118">
        <f>N1728+O1728</f>
      </c>
      <c r="Q1728" s="94" t="s">
        <v>92</v>
      </c>
      <c r="R1728" s="94" t="s">
        <v>63</v>
      </c>
      <c r="S1728" s="119">
        <v>46328</v>
      </c>
      <c r="T1728" s="119"/>
      <c r="U1728" s="119" t="s">
        <v>676</v>
      </c>
      <c r="V1728" s="94"/>
      <c r="W1728" s="94"/>
      <c r="X1728" s="94"/>
      <c r="Y1728" s="119">
        <v>46323</v>
      </c>
      <c r="Z1728" s="94"/>
      <c r="AA1728" s="120"/>
      <c r="AB1728" s="120"/>
      <c r="AC1728" s="120"/>
      <c r="AD1728" s="120"/>
      <c r="AE1728" s="120"/>
      <c r="AF1728" s="120"/>
      <c r="AG1728" s="94"/>
      <c r="AH1728" s="120"/>
      <c r="AI1728" s="94"/>
      <c r="AJ1728" s="94" t="s">
        <v>92</v>
      </c>
      <c r="AK1728" s="94" t="s">
        <v>66</v>
      </c>
      <c r="AL1728" s="94">
        <v>110</v>
      </c>
      <c r="AM1728" s="94" t="str">
        <f>TRIM(AJ1728)&amp;TRIM(AL1728)&amp;TRIM(AK1728)</f>
      </c>
      <c r="AN1728" s="116">
        <v>594</v>
      </c>
      <c r="AO1728" s="116">
        <v>1112</v>
      </c>
      <c r="AP1728" s="116">
        <f>SUMIFS(M:M,AM:AM,AM1728)+SUMIFS(O:O,AM:AM,AM1728)</f>
      </c>
      <c r="AQ1728" s="116">
        <f>SUMIFS(L:L,AM:AM,AM1728)</f>
      </c>
      <c r="AR1728" s="116">
        <f>AQ1728-AP1728</f>
      </c>
      <c r="AS1728" s="94" t="str">
        <f>IF(AN1728&gt;=AQ1728,"ok","ck")</f>
      </c>
      <c r="AT1728" s="116">
        <f>-P1728</f>
      </c>
      <c r="AU1728" s="115">
        <f>IF(SUMIFS(AT:AT,AM:AM,AM1728)&gt;AO1728,(SUMIFS(AT:AT,AM:AM,AM1728)-AO1728))</f>
      </c>
      <c r="AV1728" s="116">
        <v>594</v>
      </c>
      <c r="AW1728" s="121">
        <v>0.999</v>
      </c>
      <c r="AX1728" s="115">
        <f>AN1728-AP1728</f>
      </c>
    </row>
    <row r="1729" spans="1:50" ht="15" hidden="1" customHeight="1" x14ac:dyDescent="0.3">
      <c r="A1729" s="94" t="s">
        <v>60</v>
      </c>
      <c r="B1729" s="94"/>
      <c r="C1729" s="94"/>
      <c r="D1729" s="94"/>
      <c r="E1729" s="94"/>
      <c r="F1729" s="94"/>
      <c r="G1729" s="112">
        <f>AU1729</f>
      </c>
      <c r="H1729" s="113"/>
      <c r="I1729" s="94" t="s">
        <v>65</v>
      </c>
      <c r="J1729" s="94" t="s">
        <v>66</v>
      </c>
      <c r="K1729" s="114">
        <f>P1729/3</f>
      </c>
      <c r="L1729" s="115">
        <v>149.13</v>
      </c>
      <c r="M1729" s="116"/>
      <c r="N1729" s="117">
        <f>M1729-L1729</f>
      </c>
      <c r="O1729" s="112"/>
      <c r="P1729" s="118">
        <f>N1729+O1729</f>
      </c>
      <c r="Q1729" s="94" t="s">
        <v>92</v>
      </c>
      <c r="R1729" s="94" t="s">
        <v>63</v>
      </c>
      <c r="S1729" s="119">
        <v>46329</v>
      </c>
      <c r="T1729" s="119"/>
      <c r="U1729" s="119" t="s">
        <v>676</v>
      </c>
      <c r="V1729" s="94"/>
      <c r="W1729" s="94"/>
      <c r="X1729" s="94"/>
      <c r="Y1729" s="119">
        <v>46322</v>
      </c>
      <c r="Z1729" s="94"/>
      <c r="AA1729" s="120"/>
      <c r="AB1729" s="120"/>
      <c r="AC1729" s="120"/>
      <c r="AD1729" s="120"/>
      <c r="AE1729" s="120"/>
      <c r="AF1729" s="120"/>
      <c r="AG1729" s="94"/>
      <c r="AH1729" s="120"/>
      <c r="AI1729" s="94"/>
      <c r="AJ1729" s="94" t="s">
        <v>92</v>
      </c>
      <c r="AK1729" s="94" t="s">
        <v>66</v>
      </c>
      <c r="AL1729" s="94">
        <v>110</v>
      </c>
      <c r="AM1729" s="94" t="str">
        <f>TRIM(AJ1729)&amp;TRIM(AL1729)&amp;TRIM(AK1729)</f>
      </c>
      <c r="AN1729" s="116">
        <v>594</v>
      </c>
      <c r="AO1729" s="116">
        <v>1112</v>
      </c>
      <c r="AP1729" s="116">
        <f>SUMIFS(M:M,AM:AM,AM1729)+SUMIFS(O:O,AM:AM,AM1729)</f>
      </c>
      <c r="AQ1729" s="116">
        <f>SUMIFS(L:L,AM:AM,AM1729)</f>
      </c>
      <c r="AR1729" s="116">
        <f>AQ1729-AP1729</f>
      </c>
      <c r="AS1729" s="94" t="str">
        <f>IF(AN1729&gt;=AQ1729,"ok","ck")</f>
      </c>
      <c r="AT1729" s="116">
        <f>-P1729</f>
      </c>
      <c r="AU1729" s="115">
        <f>IF(SUMIFS(AT:AT,AM:AM,AM1729)&gt;AO1729,(SUMIFS(AT:AT,AM:AM,AM1729)-AO1729))</f>
      </c>
      <c r="AV1729" s="116">
        <v>594</v>
      </c>
      <c r="AW1729" s="121">
        <v>0.999</v>
      </c>
      <c r="AX1729" s="115">
        <f>AN1729-AP1729</f>
      </c>
    </row>
    <row r="1730" spans="1:50" ht="15" hidden="1" customHeight="1" x14ac:dyDescent="0.3">
      <c r="A1730" s="94" t="s">
        <v>60</v>
      </c>
      <c r="B1730" s="94"/>
      <c r="C1730" s="94"/>
      <c r="D1730" s="94"/>
      <c r="E1730" s="94"/>
      <c r="F1730" s="94"/>
      <c r="G1730" s="112">
        <f>AU1730</f>
      </c>
      <c r="H1730" s="113"/>
      <c r="I1730" s="94" t="s">
        <v>65</v>
      </c>
      <c r="J1730" s="94" t="s">
        <v>66</v>
      </c>
      <c r="K1730" s="114">
        <f>P1730/3</f>
      </c>
      <c r="L1730" s="115">
        <v>149.13</v>
      </c>
      <c r="M1730" s="116"/>
      <c r="N1730" s="117">
        <f>M1730-L1730</f>
      </c>
      <c r="O1730" s="112"/>
      <c r="P1730" s="118">
        <f>N1730+O1730</f>
      </c>
      <c r="Q1730" s="94" t="s">
        <v>92</v>
      </c>
      <c r="R1730" s="94" t="s">
        <v>63</v>
      </c>
      <c r="S1730" s="119">
        <v>46330</v>
      </c>
      <c r="T1730" s="119"/>
      <c r="U1730" s="119" t="s">
        <v>676</v>
      </c>
      <c r="V1730" s="94"/>
      <c r="W1730" s="94"/>
      <c r="X1730" s="94"/>
      <c r="Y1730" s="119">
        <v>46322</v>
      </c>
      <c r="Z1730" s="94"/>
      <c r="AA1730" s="120"/>
      <c r="AB1730" s="120"/>
      <c r="AC1730" s="120"/>
      <c r="AD1730" s="120"/>
      <c r="AE1730" s="120"/>
      <c r="AF1730" s="120"/>
      <c r="AG1730" s="94"/>
      <c r="AH1730" s="120"/>
      <c r="AI1730" s="94"/>
      <c r="AJ1730" s="94" t="s">
        <v>92</v>
      </c>
      <c r="AK1730" s="94" t="s">
        <v>66</v>
      </c>
      <c r="AL1730" s="94">
        <v>110</v>
      </c>
      <c r="AM1730" s="94" t="str">
        <f>TRIM(AJ1730)&amp;TRIM(AL1730)&amp;TRIM(AK1730)</f>
      </c>
      <c r="AN1730" s="116">
        <v>594</v>
      </c>
      <c r="AO1730" s="116">
        <v>1112</v>
      </c>
      <c r="AP1730" s="116">
        <f>SUMIFS(M:M,AM:AM,AM1730)+SUMIFS(O:O,AM:AM,AM1730)</f>
      </c>
      <c r="AQ1730" s="116">
        <f>SUMIFS(L:L,AM:AM,AM1730)</f>
      </c>
      <c r="AR1730" s="116">
        <f>AQ1730-AP1730</f>
      </c>
      <c r="AS1730" s="94" t="str">
        <f>IF(AN1730&gt;=AQ1730,"ok","ck")</f>
      </c>
      <c r="AT1730" s="116">
        <f>-P1730</f>
      </c>
      <c r="AU1730" s="115">
        <f>IF(SUMIFS(AT:AT,AM:AM,AM1730)&gt;AO1730,(SUMIFS(AT:AT,AM:AM,AM1730)-AO1730))</f>
      </c>
      <c r="AV1730" s="116">
        <v>594</v>
      </c>
      <c r="AW1730" s="121">
        <v>0.999</v>
      </c>
      <c r="AX1730" s="115">
        <f>AN1730-AP1730</f>
      </c>
    </row>
    <row r="1731" spans="1:50" ht="15" hidden="1" customHeight="1" x14ac:dyDescent="0.3">
      <c r="A1731" s="94" t="s">
        <v>60</v>
      </c>
      <c r="B1731" s="94"/>
      <c r="C1731" s="94"/>
      <c r="D1731" s="94"/>
      <c r="E1731" s="94"/>
      <c r="F1731" s="94"/>
      <c r="G1731" s="112">
        <f>AU1731</f>
      </c>
      <c r="H1731" s="113"/>
      <c r="I1731" s="94" t="s">
        <v>65</v>
      </c>
      <c r="J1731" s="94" t="s">
        <v>66</v>
      </c>
      <c r="K1731" s="114">
        <f>P1731/3</f>
      </c>
      <c r="L1731" s="115">
        <v>149.13</v>
      </c>
      <c r="M1731" s="116"/>
      <c r="N1731" s="117">
        <f>M1731-L1731</f>
      </c>
      <c r="O1731" s="112"/>
      <c r="P1731" s="118">
        <f>N1731+O1731</f>
      </c>
      <c r="Q1731" s="94" t="s">
        <v>92</v>
      </c>
      <c r="R1731" s="94" t="s">
        <v>63</v>
      </c>
      <c r="S1731" s="119">
        <v>46331</v>
      </c>
      <c r="T1731" s="119"/>
      <c r="U1731" s="120" t="s">
        <v>676</v>
      </c>
      <c r="V1731" s="94"/>
      <c r="W1731" s="94"/>
      <c r="X1731" s="94"/>
      <c r="Y1731" s="119">
        <v>46322</v>
      </c>
      <c r="Z1731" s="94"/>
      <c r="AA1731" s="120"/>
      <c r="AB1731" s="120"/>
      <c r="AC1731" s="120"/>
      <c r="AD1731" s="120"/>
      <c r="AE1731" s="120"/>
      <c r="AF1731" s="120"/>
      <c r="AG1731" s="94"/>
      <c r="AH1731" s="120"/>
      <c r="AI1731" s="94"/>
      <c r="AJ1731" s="94" t="s">
        <v>92</v>
      </c>
      <c r="AK1731" s="94" t="s">
        <v>66</v>
      </c>
      <c r="AL1731" s="94">
        <v>110</v>
      </c>
      <c r="AM1731" s="94" t="str">
        <f>TRIM(AJ1731)&amp;TRIM(AL1731)&amp;TRIM(AK1731)</f>
      </c>
      <c r="AN1731" s="116">
        <v>594</v>
      </c>
      <c r="AO1731" s="116">
        <v>1112</v>
      </c>
      <c r="AP1731" s="116">
        <f>SUMIFS(M:M,AM:AM,AM1731)+SUMIFS(O:O,AM:AM,AM1731)</f>
      </c>
      <c r="AQ1731" s="116">
        <f>SUMIFS(L:L,AM:AM,AM1731)</f>
      </c>
      <c r="AR1731" s="116">
        <f>AQ1731-AP1731</f>
      </c>
      <c r="AS1731" s="94" t="str">
        <f>IF(AN1731&gt;=AQ1731,"ok","ck")</f>
      </c>
      <c r="AT1731" s="116">
        <f>-P1731</f>
      </c>
      <c r="AU1731" s="115">
        <f>IF(SUMIFS(AT:AT,AM:AM,AM1731)&gt;AO1731,(SUMIFS(AT:AT,AM:AM,AM1731)-AO1731))</f>
      </c>
      <c r="AV1731" s="116">
        <v>594</v>
      </c>
      <c r="AW1731" s="121">
        <v>0.999</v>
      </c>
      <c r="AX1731" s="115">
        <f>AN1731-AP1731</f>
      </c>
    </row>
    <row r="1732" spans="1:50" ht="15" hidden="1" customHeight="1" x14ac:dyDescent="0.3">
      <c r="A1732" s="94" t="s">
        <v>60</v>
      </c>
      <c r="B1732" s="94"/>
      <c r="C1732" s="94"/>
      <c r="D1732" s="94"/>
      <c r="E1732" s="94"/>
      <c r="F1732" s="94"/>
      <c r="G1732" s="112">
        <f>AU1732</f>
      </c>
      <c r="H1732" s="113"/>
      <c r="I1732" s="94" t="s">
        <v>65</v>
      </c>
      <c r="J1732" s="94" t="s">
        <v>66</v>
      </c>
      <c r="K1732" s="114">
        <f>P1732/3</f>
      </c>
      <c r="L1732" s="115">
        <v>149.13</v>
      </c>
      <c r="M1732" s="116"/>
      <c r="N1732" s="117">
        <f>M1732-L1732</f>
      </c>
      <c r="O1732" s="112"/>
      <c r="P1732" s="118">
        <f>N1732+O1732</f>
      </c>
      <c r="Q1732" s="94" t="s">
        <v>92</v>
      </c>
      <c r="R1732" s="94" t="s">
        <v>63</v>
      </c>
      <c r="S1732" s="119">
        <v>46332</v>
      </c>
      <c r="T1732" s="119"/>
      <c r="U1732" s="120" t="s">
        <v>676</v>
      </c>
      <c r="V1732" s="94"/>
      <c r="W1732" s="94"/>
      <c r="X1732" s="94"/>
      <c r="Y1732" s="119">
        <v>46322</v>
      </c>
      <c r="Z1732" s="94"/>
      <c r="AA1732" s="120"/>
      <c r="AB1732" s="120"/>
      <c r="AC1732" s="120"/>
      <c r="AD1732" s="120"/>
      <c r="AE1732" s="120"/>
      <c r="AF1732" s="120"/>
      <c r="AG1732" s="94"/>
      <c r="AH1732" s="120"/>
      <c r="AI1732" s="94"/>
      <c r="AJ1732" s="94" t="s">
        <v>92</v>
      </c>
      <c r="AK1732" s="94" t="s">
        <v>66</v>
      </c>
      <c r="AL1732" s="94">
        <v>110</v>
      </c>
      <c r="AM1732" s="94" t="str">
        <f>TRIM(AJ1732)&amp;TRIM(AL1732)&amp;TRIM(AK1732)</f>
      </c>
      <c r="AN1732" s="116">
        <v>594</v>
      </c>
      <c r="AO1732" s="116">
        <v>1112</v>
      </c>
      <c r="AP1732" s="116">
        <f>SUMIFS(M:M,AM:AM,AM1732)+SUMIFS(O:O,AM:AM,AM1732)</f>
      </c>
      <c r="AQ1732" s="116">
        <f>SUMIFS(L:L,AM:AM,AM1732)</f>
      </c>
      <c r="AR1732" s="116">
        <f>AQ1732-AP1732</f>
      </c>
      <c r="AS1732" s="94" t="str">
        <f>IF(AN1732&gt;=AQ1732,"ok","ck")</f>
      </c>
      <c r="AT1732" s="116">
        <f>-P1732</f>
      </c>
      <c r="AU1732" s="115">
        <f>IF(SUMIFS(AT:AT,AM:AM,AM1732)&gt;AO1732,(SUMIFS(AT:AT,AM:AM,AM1732)-AO1732))</f>
      </c>
      <c r="AV1732" s="116">
        <v>594</v>
      </c>
      <c r="AW1732" s="121">
        <v>0.999</v>
      </c>
      <c r="AX1732" s="115">
        <f>AN1732-AP1732</f>
      </c>
    </row>
    <row r="1733" spans="1:50" ht="15" hidden="1" customHeight="1" x14ac:dyDescent="0.3">
      <c r="A1733" s="94" t="s">
        <v>60</v>
      </c>
      <c r="B1733" s="94"/>
      <c r="C1733" s="94"/>
      <c r="D1733" s="94"/>
      <c r="E1733" s="94"/>
      <c r="F1733" s="94"/>
      <c r="G1733" s="112">
        <f>AU1733</f>
      </c>
      <c r="H1733" s="113"/>
      <c r="I1733" s="94" t="s">
        <v>65</v>
      </c>
      <c r="J1733" s="94" t="s">
        <v>66</v>
      </c>
      <c r="K1733" s="114">
        <f>P1733/3</f>
      </c>
      <c r="L1733" s="115">
        <v>149.13</v>
      </c>
      <c r="M1733" s="116"/>
      <c r="N1733" s="117">
        <f>M1733-L1733</f>
      </c>
      <c r="O1733" s="112"/>
      <c r="P1733" s="118">
        <f>N1733+O1733</f>
      </c>
      <c r="Q1733" s="94" t="s">
        <v>92</v>
      </c>
      <c r="R1733" s="94" t="s">
        <v>63</v>
      </c>
      <c r="S1733" s="119">
        <v>46333</v>
      </c>
      <c r="T1733" s="119"/>
      <c r="U1733" s="120" t="s">
        <v>676</v>
      </c>
      <c r="V1733" s="94"/>
      <c r="W1733" s="94"/>
      <c r="X1733" s="94"/>
      <c r="Y1733" s="119">
        <v>46322</v>
      </c>
      <c r="Z1733" s="94"/>
      <c r="AA1733" s="120"/>
      <c r="AB1733" s="120"/>
      <c r="AC1733" s="120"/>
      <c r="AD1733" s="120"/>
      <c r="AE1733" s="120"/>
      <c r="AF1733" s="120"/>
      <c r="AG1733" s="94"/>
      <c r="AH1733" s="120"/>
      <c r="AI1733" s="94"/>
      <c r="AJ1733" s="94" t="s">
        <v>92</v>
      </c>
      <c r="AK1733" s="94" t="s">
        <v>66</v>
      </c>
      <c r="AL1733" s="94">
        <v>110</v>
      </c>
      <c r="AM1733" s="94" t="str">
        <f>TRIM(AJ1733)&amp;TRIM(AL1733)&amp;TRIM(AK1733)</f>
      </c>
      <c r="AN1733" s="116">
        <v>594</v>
      </c>
      <c r="AO1733" s="116">
        <v>1112</v>
      </c>
      <c r="AP1733" s="116">
        <f>SUMIFS(M:M,AM:AM,AM1733)+SUMIFS(O:O,AM:AM,AM1733)</f>
      </c>
      <c r="AQ1733" s="116">
        <f>SUMIFS(L:L,AM:AM,AM1733)</f>
      </c>
      <c r="AR1733" s="116">
        <f>AQ1733-AP1733</f>
      </c>
      <c r="AS1733" s="94" t="str">
        <f>IF(AN1733&gt;=AQ1733,"ok","ck")</f>
      </c>
      <c r="AT1733" s="116">
        <f>-P1733</f>
      </c>
      <c r="AU1733" s="115">
        <f>IF(SUMIFS(AT:AT,AM:AM,AM1733)&gt;AO1733,(SUMIFS(AT:AT,AM:AM,AM1733)-AO1733))</f>
      </c>
      <c r="AV1733" s="116">
        <v>594</v>
      </c>
      <c r="AW1733" s="121">
        <v>0.999</v>
      </c>
      <c r="AX1733" s="115">
        <f>AN1733-AP1733</f>
      </c>
    </row>
    <row r="1734" spans="1:50" ht="15" hidden="1" customHeight="1" x14ac:dyDescent="0.3">
      <c r="A1734" s="94" t="s">
        <v>60</v>
      </c>
      <c r="B1734" s="94"/>
      <c r="C1734" s="94"/>
      <c r="D1734" s="94"/>
      <c r="E1734" s="94"/>
      <c r="F1734" s="94"/>
      <c r="G1734" s="112">
        <f>AU1734</f>
      </c>
      <c r="H1734" s="113"/>
      <c r="I1734" s="94" t="s">
        <v>65</v>
      </c>
      <c r="J1734" s="94" t="s">
        <v>66</v>
      </c>
      <c r="K1734" s="114">
        <f>P1734/3</f>
      </c>
      <c r="L1734" s="115">
        <v>67.67</v>
      </c>
      <c r="M1734" s="116"/>
      <c r="N1734" s="117">
        <f>M1734-L1734</f>
      </c>
      <c r="O1734" s="112"/>
      <c r="P1734" s="118">
        <f>N1734+O1734</f>
      </c>
      <c r="Q1734" s="94" t="s">
        <v>92</v>
      </c>
      <c r="R1734" s="94" t="s">
        <v>63</v>
      </c>
      <c r="S1734" s="119">
        <v>46334</v>
      </c>
      <c r="T1734" s="119"/>
      <c r="U1734" s="120" t="s">
        <v>676</v>
      </c>
      <c r="V1734" s="94"/>
      <c r="W1734" s="94"/>
      <c r="X1734" s="94"/>
      <c r="Y1734" s="119">
        <v>46331</v>
      </c>
      <c r="Z1734" s="94"/>
      <c r="AA1734" s="120"/>
      <c r="AB1734" s="120"/>
      <c r="AC1734" s="120"/>
      <c r="AD1734" s="120"/>
      <c r="AE1734" s="120"/>
      <c r="AF1734" s="120"/>
      <c r="AG1734" s="94"/>
      <c r="AH1734" s="120"/>
      <c r="AI1734" s="94"/>
      <c r="AJ1734" s="94" t="s">
        <v>92</v>
      </c>
      <c r="AK1734" s="94" t="s">
        <v>66</v>
      </c>
      <c r="AL1734" s="94">
        <v>110</v>
      </c>
      <c r="AM1734" s="94" t="str">
        <f>TRIM(AJ1734)&amp;TRIM(AL1734)&amp;TRIM(AK1734)</f>
      </c>
      <c r="AN1734" s="116">
        <v>594</v>
      </c>
      <c r="AO1734" s="116">
        <v>1112</v>
      </c>
      <c r="AP1734" s="116">
        <f>SUMIFS(M:M,AM:AM,AM1734)+SUMIFS(O:O,AM:AM,AM1734)</f>
      </c>
      <c r="AQ1734" s="116">
        <f>SUMIFS(L:L,AM:AM,AM1734)</f>
      </c>
      <c r="AR1734" s="116">
        <f>AQ1734-AP1734</f>
      </c>
      <c r="AS1734" s="94" t="str">
        <f>IF(AN1734&gt;=AQ1734,"ok","ck")</f>
      </c>
      <c r="AT1734" s="116">
        <f>-P1734</f>
      </c>
      <c r="AU1734" s="115">
        <f>IF(SUMIFS(AT:AT,AM:AM,AM1734)&gt;AO1734,(SUMIFS(AT:AT,AM:AM,AM1734)-AO1734))</f>
      </c>
      <c r="AV1734" s="116">
        <v>594</v>
      </c>
      <c r="AW1734" s="121">
        <v>0.999</v>
      </c>
      <c r="AX1734" s="115">
        <f>AN1734-AP1734</f>
      </c>
    </row>
    <row r="1735" spans="1:50" ht="15" hidden="1" customHeight="1" x14ac:dyDescent="0.3">
      <c r="A1735" s="94" t="s">
        <v>60</v>
      </c>
      <c r="B1735" s="94"/>
      <c r="C1735" s="94"/>
      <c r="D1735" s="94"/>
      <c r="E1735" s="94"/>
      <c r="F1735" s="94"/>
      <c r="G1735" s="112">
        <f>AU1735</f>
      </c>
      <c r="H1735" s="113"/>
      <c r="I1735" s="94" t="s">
        <v>65</v>
      </c>
      <c r="J1735" s="94" t="s">
        <v>68</v>
      </c>
      <c r="K1735" s="114">
        <f>P1735/3</f>
      </c>
      <c r="L1735" s="115">
        <v>96.85</v>
      </c>
      <c r="M1735" s="116"/>
      <c r="N1735" s="117">
        <f>M1735-L1735</f>
      </c>
      <c r="O1735" s="112"/>
      <c r="P1735" s="118">
        <f>N1735+O1735</f>
      </c>
      <c r="Q1735" s="94" t="s">
        <v>92</v>
      </c>
      <c r="R1735" s="94" t="s">
        <v>63</v>
      </c>
      <c r="S1735" s="119">
        <v>46327</v>
      </c>
      <c r="T1735" s="119"/>
      <c r="U1735" s="120">
        <v>46327</v>
      </c>
      <c r="V1735" s="94"/>
      <c r="W1735" s="94"/>
      <c r="X1735" s="94"/>
      <c r="Y1735" s="119">
        <v>46331</v>
      </c>
      <c r="Z1735" s="94"/>
      <c r="AA1735" s="120"/>
      <c r="AB1735" s="120"/>
      <c r="AC1735" s="120"/>
      <c r="AD1735" s="120"/>
      <c r="AE1735" s="120"/>
      <c r="AF1735" s="120"/>
      <c r="AG1735" s="94"/>
      <c r="AH1735" s="120"/>
      <c r="AI1735" s="94"/>
      <c r="AJ1735" s="94" t="s">
        <v>92</v>
      </c>
      <c r="AK1735" s="94" t="s">
        <v>69</v>
      </c>
      <c r="AL1735" s="94">
        <v>110</v>
      </c>
      <c r="AM1735" s="94" t="str">
        <f>TRIM(AJ1735)&amp;TRIM(AL1735)&amp;TRIM(AK1735)</f>
      </c>
      <c r="AN1735" s="116">
        <v>0</v>
      </c>
      <c r="AO1735" s="116" t="inlineStr">
        <is>
          <t>#NA</t>
        </is>
      </c>
      <c r="AP1735" s="116">
        <f>SUMIFS(M:M,AM:AM,AM1735)+SUMIFS(O:O,AM:AM,AM1735)</f>
      </c>
      <c r="AQ1735" s="116">
        <f>SUMIFS(L:L,AM:AM,AM1735)</f>
      </c>
      <c r="AR1735" s="116">
        <f>AQ1735-AP1735</f>
      </c>
      <c r="AS1735" s="94" t="str">
        <f>IF(AN1735&gt;=AQ1735,"ok","ck")</f>
      </c>
      <c r="AT1735" s="116">
        <f>-P1735</f>
      </c>
      <c r="AU1735" s="115">
        <f>IF(SUMIFS(AT:AT,AM:AM,AM1735)&gt;AO1735,(SUMIFS(AT:AT,AM:AM,AM1735)-AO1735))</f>
      </c>
      <c r="AV1735" s="116">
        <v>0</v>
      </c>
      <c r="AW1735" s="121">
        <v>0</v>
      </c>
      <c r="AX1735" s="115">
        <f>AN1735-AP1735</f>
      </c>
    </row>
    <row r="1736" spans="1:50" ht="15" hidden="1" customHeight="1" x14ac:dyDescent="0.3">
      <c r="A1736" s="94" t="s">
        <v>60</v>
      </c>
      <c r="B1736" s="94"/>
      <c r="C1736" s="94"/>
      <c r="D1736" s="94"/>
      <c r="E1736" s="94"/>
      <c r="F1736" s="94"/>
      <c r="G1736" s="112">
        <f>AU1736</f>
      </c>
      <c r="H1736" s="113"/>
      <c r="I1736" s="94" t="s">
        <v>65</v>
      </c>
      <c r="J1736" s="94" t="s">
        <v>68</v>
      </c>
      <c r="K1736" s="114">
        <f>P1736/3</f>
      </c>
      <c r="L1736" s="115">
        <v>120.747</v>
      </c>
      <c r="M1736" s="116"/>
      <c r="N1736" s="117">
        <f>M1736-L1736</f>
      </c>
      <c r="O1736" s="112"/>
      <c r="P1736" s="118">
        <f>N1736+O1736</f>
      </c>
      <c r="Q1736" s="94" t="s">
        <v>92</v>
      </c>
      <c r="R1736" s="94" t="s">
        <v>63</v>
      </c>
      <c r="S1736" s="119">
        <v>46327</v>
      </c>
      <c r="T1736" s="119"/>
      <c r="U1736" s="120">
        <v>46327</v>
      </c>
      <c r="V1736" s="94"/>
      <c r="W1736" s="94"/>
      <c r="X1736" s="94"/>
      <c r="Y1736" s="119">
        <v>46321</v>
      </c>
      <c r="Z1736" s="94"/>
      <c r="AA1736" s="120"/>
      <c r="AB1736" s="120"/>
      <c r="AC1736" s="120"/>
      <c r="AD1736" s="120"/>
      <c r="AE1736" s="120"/>
      <c r="AF1736" s="120"/>
      <c r="AG1736" s="94"/>
      <c r="AH1736" s="120"/>
      <c r="AI1736" s="94"/>
      <c r="AJ1736" s="94" t="s">
        <v>92</v>
      </c>
      <c r="AK1736" s="94" t="s">
        <v>69</v>
      </c>
      <c r="AL1736" s="94">
        <v>110</v>
      </c>
      <c r="AM1736" s="94" t="str">
        <f>TRIM(AJ1736)&amp;TRIM(AL1736)&amp;TRIM(AK1736)</f>
      </c>
      <c r="AN1736" s="116">
        <v>0</v>
      </c>
      <c r="AO1736" s="116" t="inlineStr">
        <is>
          <t>#NA</t>
        </is>
      </c>
      <c r="AP1736" s="116">
        <f>SUMIFS(M:M,AM:AM,AM1736)+SUMIFS(O:O,AM:AM,AM1736)</f>
      </c>
      <c r="AQ1736" s="116">
        <f>SUMIFS(L:L,AM:AM,AM1736)</f>
      </c>
      <c r="AR1736" s="116">
        <f>AQ1736-AP1736</f>
      </c>
      <c r="AS1736" s="94" t="str">
        <f>IF(AN1736&gt;=AQ1736,"ok","ck")</f>
      </c>
      <c r="AT1736" s="116">
        <f>-P1736</f>
      </c>
      <c r="AU1736" s="115">
        <f>IF(SUMIFS(AT:AT,AM:AM,AM1736)&gt;AO1736,(SUMIFS(AT:AT,AM:AM,AM1736)-AO1736))</f>
      </c>
      <c r="AV1736" s="116">
        <v>0</v>
      </c>
      <c r="AW1736" s="121">
        <v>0</v>
      </c>
      <c r="AX1736" s="115">
        <f>AN1736-AP1736</f>
      </c>
    </row>
    <row r="1737" spans="1:50" ht="15" hidden="1" customHeight="1" x14ac:dyDescent="0.3">
      <c r="A1737" s="94" t="s">
        <v>60</v>
      </c>
      <c r="B1737" s="94"/>
      <c r="C1737" s="94"/>
      <c r="D1737" s="94"/>
      <c r="E1737" s="94"/>
      <c r="F1737" s="94"/>
      <c r="G1737" s="112">
        <f>AU1737</f>
      </c>
      <c r="H1737" s="113"/>
      <c r="I1737" s="94" t="s">
        <v>65</v>
      </c>
      <c r="J1737" s="94" t="s">
        <v>71</v>
      </c>
      <c r="K1737" s="114">
        <f>P1737/3</f>
      </c>
      <c r="L1737" s="115">
        <v>77.001999999999995</v>
      </c>
      <c r="M1737" s="116"/>
      <c r="N1737" s="117">
        <f>M1737-L1737</f>
      </c>
      <c r="O1737" s="112"/>
      <c r="P1737" s="118">
        <f>N1737+O1737</f>
      </c>
      <c r="Q1737" s="94" t="s">
        <v>92</v>
      </c>
      <c r="R1737" s="94" t="s">
        <v>63</v>
      </c>
      <c r="S1737" s="119">
        <v>46329</v>
      </c>
      <c r="T1737" s="119"/>
      <c r="U1737" s="120" t="s">
        <v>669</v>
      </c>
      <c r="V1737" s="94"/>
      <c r="W1737" s="94"/>
      <c r="X1737" s="94"/>
      <c r="Y1737" s="119">
        <v>46331</v>
      </c>
      <c r="Z1737" s="94"/>
      <c r="AA1737" s="120"/>
      <c r="AB1737" s="120"/>
      <c r="AC1737" s="120"/>
      <c r="AD1737" s="120"/>
      <c r="AE1737" s="120"/>
      <c r="AF1737" s="120"/>
      <c r="AG1737" s="94"/>
      <c r="AH1737" s="120"/>
      <c r="AI1737" s="94"/>
      <c r="AJ1737" s="94" t="s">
        <v>92</v>
      </c>
      <c r="AK1737" s="94" t="s">
        <v>71</v>
      </c>
      <c r="AL1737" s="94">
        <v>110</v>
      </c>
      <c r="AM1737" s="94" t="str">
        <f>TRIM(AJ1737)&amp;TRIM(AL1737)&amp;TRIM(AK1737)</f>
      </c>
      <c r="AN1737" s="116">
        <v>0</v>
      </c>
      <c r="AO1737" s="116" t="inlineStr">
        <is>
          <t>#NA</t>
        </is>
      </c>
      <c r="AP1737" s="116">
        <f>SUMIFS(M:M,AM:AM,AM1737)+SUMIFS(O:O,AM:AM,AM1737)</f>
      </c>
      <c r="AQ1737" s="116">
        <f>SUMIFS(L:L,AM:AM,AM1737)</f>
      </c>
      <c r="AR1737" s="116">
        <f>AQ1737-AP1737</f>
      </c>
      <c r="AS1737" s="94" t="str">
        <f>IF(AN1737&gt;=AQ1737,"ok","ck")</f>
      </c>
      <c r="AT1737" s="116">
        <f>-P1737</f>
      </c>
      <c r="AU1737" s="115">
        <f>IF(SUMIFS(AT:AT,AM:AM,AM1737)&gt;AO1737,(SUMIFS(AT:AT,AM:AM,AM1737)-AO1737))</f>
      </c>
      <c r="AV1737" s="116">
        <v>0</v>
      </c>
      <c r="AW1737" s="121">
        <v>0</v>
      </c>
      <c r="AX1737" s="115">
        <f>AN1737-AP1737</f>
      </c>
    </row>
    <row r="1738" spans="1:50" ht="15" hidden="1" customHeight="1" x14ac:dyDescent="0.3">
      <c r="A1738" s="94" t="s">
        <v>60</v>
      </c>
      <c r="B1738" s="94"/>
      <c r="C1738" s="94"/>
      <c r="D1738" s="94"/>
      <c r="E1738" s="94"/>
      <c r="F1738" s="94"/>
      <c r="G1738" s="112">
        <f>AU1738</f>
      </c>
      <c r="H1738" s="113"/>
      <c r="I1738" s="94" t="s">
        <v>65</v>
      </c>
      <c r="J1738" s="94" t="s">
        <v>71</v>
      </c>
      <c r="K1738" s="114">
        <f>P1738/3</f>
      </c>
      <c r="L1738" s="115">
        <v>15.002000000000001</v>
      </c>
      <c r="M1738" s="116"/>
      <c r="N1738" s="117">
        <f>M1738-L1738</f>
      </c>
      <c r="O1738" s="112"/>
      <c r="P1738" s="118">
        <f>N1738+O1738</f>
      </c>
      <c r="Q1738" s="94" t="s">
        <v>92</v>
      </c>
      <c r="R1738" s="94" t="s">
        <v>63</v>
      </c>
      <c r="S1738" s="119">
        <v>46330</v>
      </c>
      <c r="T1738" s="119"/>
      <c r="U1738" s="120" t="s">
        <v>669</v>
      </c>
      <c r="V1738" s="94"/>
      <c r="W1738" s="94"/>
      <c r="X1738" s="94"/>
      <c r="Y1738" s="119">
        <v>46331</v>
      </c>
      <c r="Z1738" s="94"/>
      <c r="AA1738" s="120"/>
      <c r="AB1738" s="120"/>
      <c r="AC1738" s="120"/>
      <c r="AD1738" s="120"/>
      <c r="AE1738" s="120"/>
      <c r="AF1738" s="120"/>
      <c r="AG1738" s="94"/>
      <c r="AH1738" s="120"/>
      <c r="AI1738" s="94"/>
      <c r="AJ1738" s="94" t="s">
        <v>92</v>
      </c>
      <c r="AK1738" s="94" t="s">
        <v>71</v>
      </c>
      <c r="AL1738" s="94">
        <v>110</v>
      </c>
      <c r="AM1738" s="94" t="str">
        <f>TRIM(AJ1738)&amp;TRIM(AL1738)&amp;TRIM(AK1738)</f>
      </c>
      <c r="AN1738" s="116">
        <v>0</v>
      </c>
      <c r="AO1738" s="116" t="inlineStr">
        <is>
          <t>#NA</t>
        </is>
      </c>
      <c r="AP1738" s="116">
        <f>SUMIFS(M:M,AM:AM,AM1738)+SUMIFS(O:O,AM:AM,AM1738)</f>
      </c>
      <c r="AQ1738" s="116">
        <f>SUMIFS(L:L,AM:AM,AM1738)</f>
      </c>
      <c r="AR1738" s="116">
        <f>AQ1738-AP1738</f>
      </c>
      <c r="AS1738" s="94" t="str">
        <f>IF(AN1738&gt;=AQ1738,"ok","ck")</f>
      </c>
      <c r="AT1738" s="116">
        <f>-P1738</f>
      </c>
      <c r="AU1738" s="115">
        <f>IF(SUMIFS(AT:AT,AM:AM,AM1738)&gt;AO1738,(SUMIFS(AT:AT,AM:AM,AM1738)-AO1738))</f>
      </c>
      <c r="AV1738" s="116">
        <v>0</v>
      </c>
      <c r="AW1738" s="121">
        <v>0</v>
      </c>
      <c r="AX1738" s="115">
        <f>AN1738-AP1738</f>
      </c>
    </row>
    <row r="1739" spans="1:50" ht="15" hidden="1" customHeight="1" x14ac:dyDescent="0.3">
      <c r="A1739" s="94" t="s">
        <v>82</v>
      </c>
      <c r="B1739" s="94"/>
      <c r="C1739" s="94"/>
      <c r="D1739" s="94"/>
      <c r="E1739" s="94"/>
      <c r="F1739" s="94"/>
      <c r="G1739" s="112">
        <f>AU1739</f>
      </c>
      <c r="H1739" s="113"/>
      <c r="I1739" s="94" t="s">
        <v>83</v>
      </c>
      <c r="J1739" s="94" t="s">
        <v>66</v>
      </c>
      <c r="K1739" s="114">
        <f>P1739/3</f>
      </c>
      <c r="L1739" s="115">
        <v>6000</v>
      </c>
      <c r="M1739" s="116"/>
      <c r="N1739" s="117">
        <f>M1739-L1739</f>
      </c>
      <c r="O1739" s="112"/>
      <c r="P1739" s="118">
        <f>N1739+O1739</f>
      </c>
      <c r="Q1739" s="94" t="s">
        <v>85</v>
      </c>
      <c r="R1739" s="94" t="s">
        <v>63</v>
      </c>
      <c r="S1739" s="119">
        <v>46337</v>
      </c>
      <c r="T1739" s="119"/>
      <c r="U1739" s="120" t="s">
        <v>674</v>
      </c>
      <c r="V1739" s="94"/>
      <c r="W1739" s="94"/>
      <c r="X1739" s="94"/>
      <c r="Y1739" s="119">
        <v>46320</v>
      </c>
      <c r="Z1739" s="94"/>
      <c r="AA1739" s="120"/>
      <c r="AB1739" s="120"/>
      <c r="AC1739" s="120"/>
      <c r="AD1739" s="120"/>
      <c r="AE1739" s="120"/>
      <c r="AF1739" s="120"/>
      <c r="AG1739" s="94"/>
      <c r="AH1739" s="120"/>
      <c r="AI1739" s="94"/>
      <c r="AJ1739" s="94" t="s">
        <v>86</v>
      </c>
      <c r="AK1739" s="94" t="s">
        <v>66</v>
      </c>
      <c r="AL1739" s="94">
        <v>160</v>
      </c>
      <c r="AM1739" s="94" t="str">
        <f>TRIM(AJ1739)&amp;TRIM(AL1739)&amp;TRIM(AK1739)</f>
      </c>
      <c r="AN1739" s="116">
        <v>80520.24</v>
      </c>
      <c r="AO1739" s="116">
        <v>111130.73</v>
      </c>
      <c r="AP1739" s="116">
        <f>SUMIFS(M:M,AM:AM,AM1739)+SUMIFS(O:O,AM:AM,AM1739)</f>
      </c>
      <c r="AQ1739" s="116">
        <f>SUMIFS(L:L,AM:AM,AM1739)</f>
      </c>
      <c r="AR1739" s="116">
        <f>AQ1739-AP1739</f>
      </c>
      <c r="AS1739" s="94" t="str">
        <f>IF(AN1739&gt;=AQ1739,"ok","ck")</f>
      </c>
      <c r="AT1739" s="116">
        <f>-P1739</f>
      </c>
      <c r="AU1739" s="115">
        <f>IF(SUMIFS(AT:AT,AM:AM,AM1739)&gt;AO1739,(SUMIFS(AT:AT,AM:AM,AM1739)-AO1739))</f>
      </c>
      <c r="AV1739" s="116">
        <v>9703</v>
      </c>
      <c r="AW1739" s="121">
        <v>0.195</v>
      </c>
      <c r="AX1739" s="115">
        <f>AN1739-AP1739</f>
      </c>
    </row>
    <row r="1740" spans="1:50" ht="15" hidden="1" customHeight="1" x14ac:dyDescent="0.3">
      <c r="A1740" s="94" t="s">
        <v>82</v>
      </c>
      <c r="B1740" s="94"/>
      <c r="C1740" s="94"/>
      <c r="D1740" s="94"/>
      <c r="E1740" s="94"/>
      <c r="F1740" s="94"/>
      <c r="G1740" s="112">
        <f>AU1740</f>
      </c>
      <c r="H1740" s="113"/>
      <c r="I1740" s="94" t="s">
        <v>83</v>
      </c>
      <c r="J1740" s="94" t="s">
        <v>66</v>
      </c>
      <c r="K1740" s="114">
        <f>P1740/3</f>
      </c>
      <c r="L1740" s="115">
        <v>6000</v>
      </c>
      <c r="M1740" s="116"/>
      <c r="N1740" s="117">
        <f>M1740-L1740</f>
      </c>
      <c r="O1740" s="112"/>
      <c r="P1740" s="118">
        <f>N1740+O1740</f>
      </c>
      <c r="Q1740" s="94" t="s">
        <v>85</v>
      </c>
      <c r="R1740" s="94" t="s">
        <v>63</v>
      </c>
      <c r="S1740" s="119">
        <v>46338</v>
      </c>
      <c r="T1740" s="119"/>
      <c r="U1740" s="120" t="s">
        <v>674</v>
      </c>
      <c r="V1740" s="94"/>
      <c r="W1740" s="94"/>
      <c r="X1740" s="94"/>
      <c r="Y1740" s="119">
        <v>46320</v>
      </c>
      <c r="Z1740" s="94"/>
      <c r="AA1740" s="120"/>
      <c r="AB1740" s="120"/>
      <c r="AC1740" s="120"/>
      <c r="AD1740" s="120"/>
      <c r="AE1740" s="120"/>
      <c r="AF1740" s="120"/>
      <c r="AG1740" s="94"/>
      <c r="AH1740" s="120"/>
      <c r="AI1740" s="94"/>
      <c r="AJ1740" s="94" t="s">
        <v>86</v>
      </c>
      <c r="AK1740" s="94" t="s">
        <v>66</v>
      </c>
      <c r="AL1740" s="94">
        <v>160</v>
      </c>
      <c r="AM1740" s="94" t="str">
        <f>TRIM(AJ1740)&amp;TRIM(AL1740)&amp;TRIM(AK1740)</f>
      </c>
      <c r="AN1740" s="116">
        <v>80520.24</v>
      </c>
      <c r="AO1740" s="116">
        <v>111130.73</v>
      </c>
      <c r="AP1740" s="116">
        <f>SUMIFS(M:M,AM:AM,AM1740)+SUMIFS(O:O,AM:AM,AM1740)</f>
      </c>
      <c r="AQ1740" s="116">
        <f>SUMIFS(L:L,AM:AM,AM1740)</f>
      </c>
      <c r="AR1740" s="116">
        <f>AQ1740-AP1740</f>
      </c>
      <c r="AS1740" s="94" t="str">
        <f>IF(AN1740&gt;=AQ1740,"ok","ck")</f>
      </c>
      <c r="AT1740" s="116">
        <f>-P1740</f>
      </c>
      <c r="AU1740" s="115">
        <f>IF(SUMIFS(AT:AT,AM:AM,AM1740)&gt;AO1740,(SUMIFS(AT:AT,AM:AM,AM1740)-AO1740))</f>
      </c>
      <c r="AV1740" s="116">
        <v>9703</v>
      </c>
      <c r="AW1740" s="121">
        <v>0.195</v>
      </c>
      <c r="AX1740" s="115">
        <f>AN1740-AP1740</f>
      </c>
    </row>
    <row r="1741" spans="1:50" ht="15" hidden="1" customHeight="1" x14ac:dyDescent="0.3">
      <c r="A1741" s="94" t="s">
        <v>82</v>
      </c>
      <c r="B1741" s="94"/>
      <c r="C1741" s="94"/>
      <c r="D1741" s="94"/>
      <c r="E1741" s="94"/>
      <c r="F1741" s="94"/>
      <c r="G1741" s="112">
        <f>AU1741</f>
      </c>
      <c r="H1741" s="113"/>
      <c r="I1741" s="94" t="s">
        <v>83</v>
      </c>
      <c r="J1741" s="94" t="s">
        <v>66</v>
      </c>
      <c r="K1741" s="114">
        <f>P1741/3</f>
      </c>
      <c r="L1741" s="115">
        <v>6000</v>
      </c>
      <c r="M1741" s="116"/>
      <c r="N1741" s="117">
        <f>M1741-L1741</f>
      </c>
      <c r="O1741" s="112"/>
      <c r="P1741" s="118">
        <f>N1741+O1741</f>
      </c>
      <c r="Q1741" s="94" t="s">
        <v>85</v>
      </c>
      <c r="R1741" s="94" t="s">
        <v>63</v>
      </c>
      <c r="S1741" s="119">
        <v>46339</v>
      </c>
      <c r="T1741" s="119"/>
      <c r="U1741" s="120" t="s">
        <v>674</v>
      </c>
      <c r="V1741" s="94"/>
      <c r="W1741" s="94"/>
      <c r="X1741" s="94"/>
      <c r="Y1741" s="119">
        <v>46320</v>
      </c>
      <c r="Z1741" s="94"/>
      <c r="AA1741" s="120"/>
      <c r="AB1741" s="120"/>
      <c r="AC1741" s="120"/>
      <c r="AD1741" s="120"/>
      <c r="AE1741" s="120"/>
      <c r="AF1741" s="120"/>
      <c r="AG1741" s="94"/>
      <c r="AH1741" s="120"/>
      <c r="AI1741" s="94"/>
      <c r="AJ1741" s="94" t="s">
        <v>86</v>
      </c>
      <c r="AK1741" s="94" t="s">
        <v>66</v>
      </c>
      <c r="AL1741" s="94">
        <v>160</v>
      </c>
      <c r="AM1741" s="94" t="str">
        <f>TRIM(AJ1741)&amp;TRIM(AL1741)&amp;TRIM(AK1741)</f>
      </c>
      <c r="AN1741" s="116">
        <v>80520.24</v>
      </c>
      <c r="AO1741" s="116">
        <v>111130.73</v>
      </c>
      <c r="AP1741" s="116">
        <f>SUMIFS(M:M,AM:AM,AM1741)+SUMIFS(O:O,AM:AM,AM1741)</f>
      </c>
      <c r="AQ1741" s="116">
        <f>SUMIFS(L:L,AM:AM,AM1741)</f>
      </c>
      <c r="AR1741" s="116">
        <f>AQ1741-AP1741</f>
      </c>
      <c r="AS1741" s="94" t="str">
        <f>IF(AN1741&gt;=AQ1741,"ok","ck")</f>
      </c>
      <c r="AT1741" s="116">
        <f>-P1741</f>
      </c>
      <c r="AU1741" s="115">
        <f>IF(SUMIFS(AT:AT,AM:AM,AM1741)&gt;AO1741,(SUMIFS(AT:AT,AM:AM,AM1741)-AO1741))</f>
      </c>
      <c r="AV1741" s="116">
        <v>9703</v>
      </c>
      <c r="AW1741" s="121">
        <v>0.195</v>
      </c>
      <c r="AX1741" s="115">
        <f>AN1741-AP1741</f>
      </c>
    </row>
    <row r="1742" spans="1:50" ht="15" hidden="1" customHeight="1" x14ac:dyDescent="0.3">
      <c r="A1742" s="94" t="s">
        <v>82</v>
      </c>
      <c r="B1742" s="94"/>
      <c r="C1742" s="94"/>
      <c r="D1742" s="94"/>
      <c r="E1742" s="94"/>
      <c r="F1742" s="94"/>
      <c r="G1742" s="112">
        <f>AU1742</f>
      </c>
      <c r="H1742" s="113"/>
      <c r="I1742" s="94" t="s">
        <v>83</v>
      </c>
      <c r="J1742" s="94" t="s">
        <v>66</v>
      </c>
      <c r="K1742" s="114">
        <f>P1742/3</f>
      </c>
      <c r="L1742" s="115">
        <v>6000</v>
      </c>
      <c r="M1742" s="116"/>
      <c r="N1742" s="117">
        <f>M1742-L1742</f>
      </c>
      <c r="O1742" s="112"/>
      <c r="P1742" s="118">
        <f>N1742+O1742</f>
      </c>
      <c r="Q1742" s="94" t="s">
        <v>85</v>
      </c>
      <c r="R1742" s="94" t="s">
        <v>63</v>
      </c>
      <c r="S1742" s="119">
        <v>46340</v>
      </c>
      <c r="T1742" s="119"/>
      <c r="U1742" s="120" t="s">
        <v>674</v>
      </c>
      <c r="V1742" s="94"/>
      <c r="W1742" s="94"/>
      <c r="X1742" s="94"/>
      <c r="Y1742" s="119">
        <v>46320</v>
      </c>
      <c r="Z1742" s="94"/>
      <c r="AA1742" s="120"/>
      <c r="AB1742" s="120"/>
      <c r="AC1742" s="120"/>
      <c r="AD1742" s="120"/>
      <c r="AE1742" s="120"/>
      <c r="AF1742" s="120"/>
      <c r="AG1742" s="94"/>
      <c r="AH1742" s="120"/>
      <c r="AI1742" s="94"/>
      <c r="AJ1742" s="94" t="s">
        <v>86</v>
      </c>
      <c r="AK1742" s="94" t="s">
        <v>66</v>
      </c>
      <c r="AL1742" s="94">
        <v>160</v>
      </c>
      <c r="AM1742" s="94" t="str">
        <f>TRIM(AJ1742)&amp;TRIM(AL1742)&amp;TRIM(AK1742)</f>
      </c>
      <c r="AN1742" s="116">
        <v>80520.24</v>
      </c>
      <c r="AO1742" s="116">
        <v>111130.73</v>
      </c>
      <c r="AP1742" s="116">
        <f>SUMIFS(M:M,AM:AM,AM1742)+SUMIFS(O:O,AM:AM,AM1742)</f>
      </c>
      <c r="AQ1742" s="116">
        <f>SUMIFS(L:L,AM:AM,AM1742)</f>
      </c>
      <c r="AR1742" s="116">
        <f>AQ1742-AP1742</f>
      </c>
      <c r="AS1742" s="94" t="str">
        <f>IF(AN1742&gt;=AQ1742,"ok","ck")</f>
      </c>
      <c r="AT1742" s="116">
        <f>-P1742</f>
      </c>
      <c r="AU1742" s="115">
        <f>IF(SUMIFS(AT:AT,AM:AM,AM1742)&gt;AO1742,(SUMIFS(AT:AT,AM:AM,AM1742)-AO1742))</f>
      </c>
      <c r="AV1742" s="116">
        <v>9703</v>
      </c>
      <c r="AW1742" s="121">
        <v>0.195</v>
      </c>
      <c r="AX1742" s="115">
        <f>AN1742-AP1742</f>
      </c>
    </row>
    <row r="1743" spans="1:50" ht="15" hidden="1" customHeight="1" x14ac:dyDescent="0.3">
      <c r="A1743" s="94" t="s">
        <v>82</v>
      </c>
      <c r="B1743" s="94"/>
      <c r="C1743" s="94"/>
      <c r="D1743" s="94"/>
      <c r="E1743" s="94"/>
      <c r="F1743" s="94"/>
      <c r="G1743" s="112">
        <f>AU1743</f>
      </c>
      <c r="H1743" s="113"/>
      <c r="I1743" s="94" t="s">
        <v>83</v>
      </c>
      <c r="J1743" s="94" t="s">
        <v>66</v>
      </c>
      <c r="K1743" s="114">
        <f>P1743/3</f>
      </c>
      <c r="L1743" s="115">
        <v>6000</v>
      </c>
      <c r="M1743" s="116"/>
      <c r="N1743" s="117">
        <f>M1743-L1743</f>
      </c>
      <c r="O1743" s="112"/>
      <c r="P1743" s="118">
        <f>N1743+O1743</f>
      </c>
      <c r="Q1743" s="94" t="s">
        <v>85</v>
      </c>
      <c r="R1743" s="94" t="s">
        <v>63</v>
      </c>
      <c r="S1743" s="119">
        <v>46341</v>
      </c>
      <c r="T1743" s="119"/>
      <c r="U1743" s="120" t="s">
        <v>674</v>
      </c>
      <c r="V1743" s="94"/>
      <c r="W1743" s="94"/>
      <c r="X1743" s="94"/>
      <c r="Y1743" s="119">
        <v>46321</v>
      </c>
      <c r="Z1743" s="94"/>
      <c r="AA1743" s="120"/>
      <c r="AB1743" s="120"/>
      <c r="AC1743" s="120"/>
      <c r="AD1743" s="120"/>
      <c r="AE1743" s="120"/>
      <c r="AF1743" s="120"/>
      <c r="AG1743" s="94"/>
      <c r="AH1743" s="120"/>
      <c r="AI1743" s="94"/>
      <c r="AJ1743" s="94" t="s">
        <v>86</v>
      </c>
      <c r="AK1743" s="94" t="s">
        <v>66</v>
      </c>
      <c r="AL1743" s="94">
        <v>160</v>
      </c>
      <c r="AM1743" s="94" t="str">
        <f>TRIM(AJ1743)&amp;TRIM(AL1743)&amp;TRIM(AK1743)</f>
      </c>
      <c r="AN1743" s="116">
        <v>80520.24</v>
      </c>
      <c r="AO1743" s="116">
        <v>111130.73</v>
      </c>
      <c r="AP1743" s="116">
        <f>SUMIFS(M:M,AM:AM,AM1743)+SUMIFS(O:O,AM:AM,AM1743)</f>
      </c>
      <c r="AQ1743" s="116">
        <f>SUMIFS(L:L,AM:AM,AM1743)</f>
      </c>
      <c r="AR1743" s="116">
        <f>AQ1743-AP1743</f>
      </c>
      <c r="AS1743" s="94" t="str">
        <f>IF(AN1743&gt;=AQ1743,"ok","ck")</f>
      </c>
      <c r="AT1743" s="116">
        <f>-P1743</f>
      </c>
      <c r="AU1743" s="115">
        <f>IF(SUMIFS(AT:AT,AM:AM,AM1743)&gt;AO1743,(SUMIFS(AT:AT,AM:AM,AM1743)-AO1743))</f>
      </c>
      <c r="AV1743" s="116">
        <v>9703</v>
      </c>
      <c r="AW1743" s="121">
        <v>0.195</v>
      </c>
      <c r="AX1743" s="115">
        <f>AN1743-AP1743</f>
      </c>
    </row>
    <row r="1744" spans="1:50" ht="15" hidden="1" customHeight="1" x14ac:dyDescent="0.3">
      <c r="A1744" s="94" t="s">
        <v>82</v>
      </c>
      <c r="B1744" s="94"/>
      <c r="C1744" s="94"/>
      <c r="D1744" s="94"/>
      <c r="E1744" s="94"/>
      <c r="F1744" s="94"/>
      <c r="G1744" s="112">
        <f>AU1744</f>
      </c>
      <c r="H1744" s="113"/>
      <c r="I1744" s="94" t="s">
        <v>83</v>
      </c>
      <c r="J1744" s="94" t="s">
        <v>66</v>
      </c>
      <c r="K1744" s="114">
        <f>P1744/3</f>
      </c>
      <c r="L1744" s="115">
        <v>6000</v>
      </c>
      <c r="M1744" s="116"/>
      <c r="N1744" s="117">
        <f>M1744-L1744</f>
      </c>
      <c r="O1744" s="112"/>
      <c r="P1744" s="118">
        <f>N1744+O1744</f>
      </c>
      <c r="Q1744" s="94" t="s">
        <v>85</v>
      </c>
      <c r="R1744" s="94" t="s">
        <v>63</v>
      </c>
      <c r="S1744" s="119">
        <v>46342</v>
      </c>
      <c r="T1744" s="119"/>
      <c r="U1744" s="120" t="s">
        <v>674</v>
      </c>
      <c r="V1744" s="94"/>
      <c r="W1744" s="94"/>
      <c r="X1744" s="94"/>
      <c r="Y1744" s="119">
        <v>46321</v>
      </c>
      <c r="Z1744" s="94"/>
      <c r="AA1744" s="120"/>
      <c r="AB1744" s="120"/>
      <c r="AC1744" s="120"/>
      <c r="AD1744" s="120"/>
      <c r="AE1744" s="120"/>
      <c r="AF1744" s="120"/>
      <c r="AG1744" s="94"/>
      <c r="AH1744" s="120"/>
      <c r="AI1744" s="94"/>
      <c r="AJ1744" s="94" t="s">
        <v>86</v>
      </c>
      <c r="AK1744" s="94" t="s">
        <v>66</v>
      </c>
      <c r="AL1744" s="94">
        <v>160</v>
      </c>
      <c r="AM1744" s="94" t="str">
        <f>TRIM(AJ1744)&amp;TRIM(AL1744)&amp;TRIM(AK1744)</f>
      </c>
      <c r="AN1744" s="116">
        <v>80520.24</v>
      </c>
      <c r="AO1744" s="116">
        <v>111130.73</v>
      </c>
      <c r="AP1744" s="116">
        <f>SUMIFS(M:M,AM:AM,AM1744)+SUMIFS(O:O,AM:AM,AM1744)</f>
      </c>
      <c r="AQ1744" s="116">
        <f>SUMIFS(L:L,AM:AM,AM1744)</f>
      </c>
      <c r="AR1744" s="116">
        <f>AQ1744-AP1744</f>
      </c>
      <c r="AS1744" s="94" t="str">
        <f>IF(AN1744&gt;=AQ1744,"ok","ck")</f>
      </c>
      <c r="AT1744" s="116">
        <f>-P1744</f>
      </c>
      <c r="AU1744" s="115">
        <f>IF(SUMIFS(AT:AT,AM:AM,AM1744)&gt;AO1744,(SUMIFS(AT:AT,AM:AM,AM1744)-AO1744))</f>
      </c>
      <c r="AV1744" s="116">
        <v>9703</v>
      </c>
      <c r="AW1744" s="121">
        <v>0.195</v>
      </c>
      <c r="AX1744" s="115">
        <f>AN1744-AP1744</f>
      </c>
    </row>
    <row r="1745" spans="1:50" ht="15" hidden="1" customHeight="1" x14ac:dyDescent="0.3">
      <c r="A1745" s="94" t="s">
        <v>82</v>
      </c>
      <c r="B1745" s="94"/>
      <c r="C1745" s="94"/>
      <c r="D1745" s="94"/>
      <c r="E1745" s="94"/>
      <c r="F1745" s="94"/>
      <c r="G1745" s="112">
        <f>AU1745</f>
      </c>
      <c r="H1745" s="113"/>
      <c r="I1745" s="94" t="s">
        <v>83</v>
      </c>
      <c r="J1745" s="94" t="s">
        <v>66</v>
      </c>
      <c r="K1745" s="114">
        <f>P1745/3</f>
      </c>
      <c r="L1745" s="115">
        <v>6000</v>
      </c>
      <c r="M1745" s="116"/>
      <c r="N1745" s="117">
        <f>M1745-L1745</f>
      </c>
      <c r="O1745" s="112"/>
      <c r="P1745" s="118">
        <f>N1745+O1745</f>
      </c>
      <c r="Q1745" s="94" t="s">
        <v>85</v>
      </c>
      <c r="R1745" s="94" t="s">
        <v>63</v>
      </c>
      <c r="S1745" s="119">
        <v>46343</v>
      </c>
      <c r="T1745" s="119"/>
      <c r="U1745" s="120" t="s">
        <v>674</v>
      </c>
      <c r="V1745" s="94"/>
      <c r="W1745" s="94"/>
      <c r="X1745" s="94"/>
      <c r="Y1745" s="119">
        <v>46321</v>
      </c>
      <c r="Z1745" s="94"/>
      <c r="AA1745" s="120"/>
      <c r="AB1745" s="120"/>
      <c r="AC1745" s="120"/>
      <c r="AD1745" s="120"/>
      <c r="AE1745" s="120"/>
      <c r="AF1745" s="120"/>
      <c r="AG1745" s="94"/>
      <c r="AH1745" s="120"/>
      <c r="AI1745" s="94"/>
      <c r="AJ1745" s="94" t="s">
        <v>86</v>
      </c>
      <c r="AK1745" s="94" t="s">
        <v>66</v>
      </c>
      <c r="AL1745" s="94">
        <v>160</v>
      </c>
      <c r="AM1745" s="94" t="str">
        <f>TRIM(AJ1745)&amp;TRIM(AL1745)&amp;TRIM(AK1745)</f>
      </c>
      <c r="AN1745" s="116">
        <v>80520.24</v>
      </c>
      <c r="AO1745" s="116">
        <v>111130.73</v>
      </c>
      <c r="AP1745" s="116">
        <f>SUMIFS(M:M,AM:AM,AM1745)+SUMIFS(O:O,AM:AM,AM1745)</f>
      </c>
      <c r="AQ1745" s="116">
        <f>SUMIFS(L:L,AM:AM,AM1745)</f>
      </c>
      <c r="AR1745" s="116">
        <f>AQ1745-AP1745</f>
      </c>
      <c r="AS1745" s="94" t="str">
        <f>IF(AN1745&gt;=AQ1745,"ok","ck")</f>
      </c>
      <c r="AT1745" s="116">
        <f>-P1745</f>
      </c>
      <c r="AU1745" s="115">
        <f>IF(SUMIFS(AT:AT,AM:AM,AM1745)&gt;AO1745,(SUMIFS(AT:AT,AM:AM,AM1745)-AO1745))</f>
      </c>
      <c r="AV1745" s="116">
        <v>9703</v>
      </c>
      <c r="AW1745" s="121">
        <v>0.195</v>
      </c>
      <c r="AX1745" s="115">
        <f>AN1745-AP1745</f>
      </c>
    </row>
    <row r="1746" spans="1:50" ht="15" hidden="1" customHeight="1" x14ac:dyDescent="0.3">
      <c r="A1746" s="94" t="s">
        <v>82</v>
      </c>
      <c r="B1746" s="94"/>
      <c r="C1746" s="94"/>
      <c r="D1746" s="94"/>
      <c r="E1746" s="94"/>
      <c r="F1746" s="94"/>
      <c r="G1746" s="112">
        <f>AU1746</f>
      </c>
      <c r="H1746" s="113"/>
      <c r="I1746" s="94" t="s">
        <v>83</v>
      </c>
      <c r="J1746" s="94" t="s">
        <v>66</v>
      </c>
      <c r="K1746" s="114">
        <f>P1746/3</f>
      </c>
      <c r="L1746" s="115">
        <v>6000</v>
      </c>
      <c r="M1746" s="116"/>
      <c r="N1746" s="117">
        <f>M1746-L1746</f>
      </c>
      <c r="O1746" s="112"/>
      <c r="P1746" s="118">
        <f>N1746+O1746</f>
      </c>
      <c r="Q1746" s="94" t="s">
        <v>85</v>
      </c>
      <c r="R1746" s="94" t="s">
        <v>63</v>
      </c>
      <c r="S1746" s="119">
        <v>46344</v>
      </c>
      <c r="T1746" s="119"/>
      <c r="U1746" s="120" t="s">
        <v>674</v>
      </c>
      <c r="V1746" s="94"/>
      <c r="W1746" s="94"/>
      <c r="X1746" s="94"/>
      <c r="Y1746" s="119">
        <v>46321</v>
      </c>
      <c r="Z1746" s="94"/>
      <c r="AA1746" s="120"/>
      <c r="AB1746" s="120"/>
      <c r="AC1746" s="120"/>
      <c r="AD1746" s="120"/>
      <c r="AE1746" s="120"/>
      <c r="AF1746" s="120"/>
      <c r="AG1746" s="94"/>
      <c r="AH1746" s="120"/>
      <c r="AI1746" s="94"/>
      <c r="AJ1746" s="94" t="s">
        <v>86</v>
      </c>
      <c r="AK1746" s="94" t="s">
        <v>66</v>
      </c>
      <c r="AL1746" s="94">
        <v>160</v>
      </c>
      <c r="AM1746" s="94" t="str">
        <f>TRIM(AJ1746)&amp;TRIM(AL1746)&amp;TRIM(AK1746)</f>
      </c>
      <c r="AN1746" s="116">
        <v>80520.24</v>
      </c>
      <c r="AO1746" s="116">
        <v>111130.73</v>
      </c>
      <c r="AP1746" s="116">
        <f>SUMIFS(M:M,AM:AM,AM1746)+SUMIFS(O:O,AM:AM,AM1746)</f>
      </c>
      <c r="AQ1746" s="116">
        <f>SUMIFS(L:L,AM:AM,AM1746)</f>
      </c>
      <c r="AR1746" s="116">
        <f>AQ1746-AP1746</f>
      </c>
      <c r="AS1746" s="94" t="str">
        <f>IF(AN1746&gt;=AQ1746,"ok","ck")</f>
      </c>
      <c r="AT1746" s="116">
        <f>-P1746</f>
      </c>
      <c r="AU1746" s="115">
        <f>IF(SUMIFS(AT:AT,AM:AM,AM1746)&gt;AO1746,(SUMIFS(AT:AT,AM:AM,AM1746)-AO1746))</f>
      </c>
      <c r="AV1746" s="116">
        <v>9703</v>
      </c>
      <c r="AW1746" s="121">
        <v>0.195</v>
      </c>
      <c r="AX1746" s="115">
        <f>AN1746-AP1746</f>
      </c>
    </row>
    <row r="1747" spans="1:50" ht="15" hidden="1" customHeight="1" x14ac:dyDescent="0.3">
      <c r="A1747" s="94" t="s">
        <v>82</v>
      </c>
      <c r="B1747" s="94"/>
      <c r="C1747" s="94"/>
      <c r="D1747" s="94"/>
      <c r="E1747" s="94"/>
      <c r="F1747" s="94"/>
      <c r="G1747" s="112">
        <f>AU1747</f>
      </c>
      <c r="H1747" s="113"/>
      <c r="I1747" s="94" t="s">
        <v>83</v>
      </c>
      <c r="J1747" s="94" t="s">
        <v>66</v>
      </c>
      <c r="K1747" s="114">
        <f>P1747/3</f>
      </c>
      <c r="L1747" s="115">
        <v>6000</v>
      </c>
      <c r="M1747" s="116"/>
      <c r="N1747" s="117">
        <f>M1747-L1747</f>
      </c>
      <c r="O1747" s="112"/>
      <c r="P1747" s="118">
        <f>N1747+O1747</f>
      </c>
      <c r="Q1747" s="94" t="s">
        <v>85</v>
      </c>
      <c r="R1747" s="94" t="s">
        <v>63</v>
      </c>
      <c r="S1747" s="119">
        <v>46345</v>
      </c>
      <c r="T1747" s="119"/>
      <c r="U1747" s="119" t="s">
        <v>674</v>
      </c>
      <c r="V1747" s="94"/>
      <c r="W1747" s="94"/>
      <c r="X1747" s="94"/>
      <c r="Y1747" s="119">
        <v>46321</v>
      </c>
      <c r="Z1747" s="94"/>
      <c r="AA1747" s="120"/>
      <c r="AB1747" s="120"/>
      <c r="AC1747" s="120"/>
      <c r="AD1747" s="120"/>
      <c r="AE1747" s="120"/>
      <c r="AF1747" s="120"/>
      <c r="AG1747" s="94"/>
      <c r="AH1747" s="120"/>
      <c r="AI1747" s="94"/>
      <c r="AJ1747" s="94" t="s">
        <v>86</v>
      </c>
      <c r="AK1747" s="94" t="s">
        <v>66</v>
      </c>
      <c r="AL1747" s="94">
        <v>160</v>
      </c>
      <c r="AM1747" s="94" t="str">
        <f>TRIM(AJ1747)&amp;TRIM(AL1747)&amp;TRIM(AK1747)</f>
      </c>
      <c r="AN1747" s="116">
        <v>80520.24</v>
      </c>
      <c r="AO1747" s="116">
        <v>111130.73</v>
      </c>
      <c r="AP1747" s="116">
        <f>SUMIFS(M:M,AM:AM,AM1747)+SUMIFS(O:O,AM:AM,AM1747)</f>
      </c>
      <c r="AQ1747" s="116">
        <f>SUMIFS(L:L,AM:AM,AM1747)</f>
      </c>
      <c r="AR1747" s="116">
        <f>AQ1747-AP1747</f>
      </c>
      <c r="AS1747" s="94" t="str">
        <f>IF(AN1747&gt;=AQ1747,"ok","ck")</f>
      </c>
      <c r="AT1747" s="116">
        <f>-P1747</f>
      </c>
      <c r="AU1747" s="115">
        <f>IF(SUMIFS(AT:AT,AM:AM,AM1747)&gt;AO1747,(SUMIFS(AT:AT,AM:AM,AM1747)-AO1747))</f>
      </c>
      <c r="AV1747" s="116">
        <v>9703</v>
      </c>
      <c r="AW1747" s="121">
        <v>0.195</v>
      </c>
      <c r="AX1747" s="115">
        <f>AN1747-AP1747</f>
      </c>
    </row>
    <row r="1748" spans="1:50" ht="15" hidden="1" customHeight="1" x14ac:dyDescent="0.3">
      <c r="A1748" s="94" t="s">
        <v>82</v>
      </c>
      <c r="B1748" s="94"/>
      <c r="C1748" s="94"/>
      <c r="D1748" s="94"/>
      <c r="E1748" s="94"/>
      <c r="F1748" s="94"/>
      <c r="G1748" s="112">
        <f>AU1748</f>
      </c>
      <c r="H1748" s="113"/>
      <c r="I1748" s="94" t="s">
        <v>83</v>
      </c>
      <c r="J1748" s="94" t="s">
        <v>66</v>
      </c>
      <c r="K1748" s="114">
        <f>P1748/3</f>
      </c>
      <c r="L1748" s="115">
        <v>6000</v>
      </c>
      <c r="M1748" s="116"/>
      <c r="N1748" s="117">
        <f>M1748-L1748</f>
      </c>
      <c r="O1748" s="112"/>
      <c r="P1748" s="118">
        <f>N1748+O1748</f>
      </c>
      <c r="Q1748" s="94" t="s">
        <v>85</v>
      </c>
      <c r="R1748" s="94" t="s">
        <v>63</v>
      </c>
      <c r="S1748" s="119">
        <v>46346</v>
      </c>
      <c r="T1748" s="119"/>
      <c r="U1748" s="119" t="s">
        <v>674</v>
      </c>
      <c r="V1748" s="94"/>
      <c r="W1748" s="94"/>
      <c r="X1748" s="94"/>
      <c r="Y1748" s="119">
        <v>46321</v>
      </c>
      <c r="Z1748" s="94"/>
      <c r="AA1748" s="120"/>
      <c r="AB1748" s="120"/>
      <c r="AC1748" s="120"/>
      <c r="AD1748" s="120"/>
      <c r="AE1748" s="120"/>
      <c r="AF1748" s="120"/>
      <c r="AG1748" s="94"/>
      <c r="AH1748" s="120"/>
      <c r="AI1748" s="94"/>
      <c r="AJ1748" s="94" t="s">
        <v>86</v>
      </c>
      <c r="AK1748" s="94" t="s">
        <v>66</v>
      </c>
      <c r="AL1748" s="94">
        <v>160</v>
      </c>
      <c r="AM1748" s="94" t="str">
        <f>TRIM(AJ1748)&amp;TRIM(AL1748)&amp;TRIM(AK1748)</f>
      </c>
      <c r="AN1748" s="116">
        <v>80520.24</v>
      </c>
      <c r="AO1748" s="116">
        <v>111130.73</v>
      </c>
      <c r="AP1748" s="116">
        <f>SUMIFS(M:M,AM:AM,AM1748)+SUMIFS(O:O,AM:AM,AM1748)</f>
      </c>
      <c r="AQ1748" s="116">
        <f>SUMIFS(L:L,AM:AM,AM1748)</f>
      </c>
      <c r="AR1748" s="116">
        <f>AQ1748-AP1748</f>
      </c>
      <c r="AS1748" s="94" t="str">
        <f>IF(AN1748&gt;=AQ1748,"ok","ck")</f>
      </c>
      <c r="AT1748" s="116">
        <f>-P1748</f>
      </c>
      <c r="AU1748" s="115">
        <f>IF(SUMIFS(AT:AT,AM:AM,AM1748)&gt;AO1748,(SUMIFS(AT:AT,AM:AM,AM1748)-AO1748))</f>
      </c>
      <c r="AV1748" s="116">
        <v>9703</v>
      </c>
      <c r="AW1748" s="121">
        <v>0.195</v>
      </c>
      <c r="AX1748" s="115">
        <f>AN1748-AP1748</f>
      </c>
    </row>
    <row r="1749" spans="1:50" ht="15" hidden="1" customHeight="1" x14ac:dyDescent="0.3">
      <c r="A1749" s="94" t="s">
        <v>82</v>
      </c>
      <c r="B1749" s="94"/>
      <c r="C1749" s="94"/>
      <c r="D1749" s="94"/>
      <c r="E1749" s="94"/>
      <c r="F1749" s="94"/>
      <c r="G1749" s="112">
        <f>AU1749</f>
      </c>
      <c r="H1749" s="113"/>
      <c r="I1749" s="94" t="s">
        <v>83</v>
      </c>
      <c r="J1749" s="94" t="s">
        <v>66</v>
      </c>
      <c r="K1749" s="114">
        <f>P1749/3</f>
      </c>
      <c r="L1749" s="115">
        <v>6000</v>
      </c>
      <c r="M1749" s="116"/>
      <c r="N1749" s="117">
        <f>M1749-L1749</f>
      </c>
      <c r="O1749" s="112"/>
      <c r="P1749" s="118">
        <f>N1749+O1749</f>
      </c>
      <c r="Q1749" s="94" t="s">
        <v>85</v>
      </c>
      <c r="R1749" s="94" t="s">
        <v>63</v>
      </c>
      <c r="S1749" s="119">
        <v>46347</v>
      </c>
      <c r="T1749" s="119"/>
      <c r="U1749" s="119" t="s">
        <v>674</v>
      </c>
      <c r="V1749" s="94"/>
      <c r="W1749" s="94"/>
      <c r="X1749" s="94"/>
      <c r="Y1749" s="119">
        <v>46321</v>
      </c>
      <c r="Z1749" s="94"/>
      <c r="AA1749" s="120"/>
      <c r="AB1749" s="120"/>
      <c r="AC1749" s="120"/>
      <c r="AD1749" s="120"/>
      <c r="AE1749" s="120"/>
      <c r="AF1749" s="120"/>
      <c r="AG1749" s="94"/>
      <c r="AH1749" s="120"/>
      <c r="AI1749" s="94"/>
      <c r="AJ1749" s="94" t="s">
        <v>86</v>
      </c>
      <c r="AK1749" s="94" t="s">
        <v>66</v>
      </c>
      <c r="AL1749" s="94">
        <v>160</v>
      </c>
      <c r="AM1749" s="94" t="str">
        <f>TRIM(AJ1749)&amp;TRIM(AL1749)&amp;TRIM(AK1749)</f>
      </c>
      <c r="AN1749" s="116">
        <v>80520.24</v>
      </c>
      <c r="AO1749" s="116">
        <v>111130.73</v>
      </c>
      <c r="AP1749" s="116">
        <f>SUMIFS(M:M,AM:AM,AM1749)+SUMIFS(O:O,AM:AM,AM1749)</f>
      </c>
      <c r="AQ1749" s="116">
        <f>SUMIFS(L:L,AM:AM,AM1749)</f>
      </c>
      <c r="AR1749" s="116">
        <f>AQ1749-AP1749</f>
      </c>
      <c r="AS1749" s="94" t="str">
        <f>IF(AN1749&gt;=AQ1749,"ok","ck")</f>
      </c>
      <c r="AT1749" s="116">
        <f>-P1749</f>
      </c>
      <c r="AU1749" s="115">
        <f>IF(SUMIFS(AT:AT,AM:AM,AM1749)&gt;AO1749,(SUMIFS(AT:AT,AM:AM,AM1749)-AO1749))</f>
      </c>
      <c r="AV1749" s="116">
        <v>9703</v>
      </c>
      <c r="AW1749" s="121">
        <v>0.195</v>
      </c>
      <c r="AX1749" s="115">
        <f>AN1749-AP1749</f>
      </c>
    </row>
    <row r="1750" spans="1:50" ht="15" hidden="1" customHeight="1" x14ac:dyDescent="0.3">
      <c r="A1750" s="94" t="s">
        <v>82</v>
      </c>
      <c r="B1750" s="94"/>
      <c r="C1750" s="94"/>
      <c r="D1750" s="94"/>
      <c r="E1750" s="94"/>
      <c r="F1750" s="94"/>
      <c r="G1750" s="112">
        <f>AU1750</f>
      </c>
      <c r="H1750" s="113"/>
      <c r="I1750" s="94" t="s">
        <v>83</v>
      </c>
      <c r="J1750" s="94" t="s">
        <v>66</v>
      </c>
      <c r="K1750" s="114">
        <f>P1750/3</f>
      </c>
      <c r="L1750" s="115">
        <v>6000</v>
      </c>
      <c r="M1750" s="116"/>
      <c r="N1750" s="117">
        <f>M1750-L1750</f>
      </c>
      <c r="O1750" s="112"/>
      <c r="P1750" s="118">
        <f>N1750+O1750</f>
      </c>
      <c r="Q1750" s="94" t="s">
        <v>85</v>
      </c>
      <c r="R1750" s="94" t="s">
        <v>63</v>
      </c>
      <c r="S1750" s="119">
        <v>46348</v>
      </c>
      <c r="T1750" s="119"/>
      <c r="U1750" s="119" t="s">
        <v>674</v>
      </c>
      <c r="V1750" s="94"/>
      <c r="W1750" s="94"/>
      <c r="X1750" s="94"/>
      <c r="Y1750" s="119">
        <v>46321</v>
      </c>
      <c r="Z1750" s="94"/>
      <c r="AA1750" s="120"/>
      <c r="AB1750" s="120"/>
      <c r="AC1750" s="120"/>
      <c r="AD1750" s="120"/>
      <c r="AE1750" s="120"/>
      <c r="AF1750" s="120"/>
      <c r="AG1750" s="94"/>
      <c r="AH1750" s="120"/>
      <c r="AI1750" s="94"/>
      <c r="AJ1750" s="94" t="s">
        <v>86</v>
      </c>
      <c r="AK1750" s="94" t="s">
        <v>66</v>
      </c>
      <c r="AL1750" s="94">
        <v>160</v>
      </c>
      <c r="AM1750" s="94" t="str">
        <f>TRIM(AJ1750)&amp;TRIM(AL1750)&amp;TRIM(AK1750)</f>
      </c>
      <c r="AN1750" s="116">
        <v>80520.24</v>
      </c>
      <c r="AO1750" s="116">
        <v>111130.73</v>
      </c>
      <c r="AP1750" s="116">
        <f>SUMIFS(M:M,AM:AM,AM1750)+SUMIFS(O:O,AM:AM,AM1750)</f>
      </c>
      <c r="AQ1750" s="116">
        <f>SUMIFS(L:L,AM:AM,AM1750)</f>
      </c>
      <c r="AR1750" s="116">
        <f>AQ1750-AP1750</f>
      </c>
      <c r="AS1750" s="94" t="str">
        <f>IF(AN1750&gt;=AQ1750,"ok","ck")</f>
      </c>
      <c r="AT1750" s="116">
        <f>-P1750</f>
      </c>
      <c r="AU1750" s="115">
        <f>IF(SUMIFS(AT:AT,AM:AM,AM1750)&gt;AO1750,(SUMIFS(AT:AT,AM:AM,AM1750)-AO1750))</f>
      </c>
      <c r="AV1750" s="116">
        <v>9703</v>
      </c>
      <c r="AW1750" s="121">
        <v>0.195</v>
      </c>
      <c r="AX1750" s="115">
        <f>AN1750-AP1750</f>
      </c>
    </row>
    <row r="1751" spans="1:50" ht="15" hidden="1" customHeight="1" x14ac:dyDescent="0.3">
      <c r="A1751" s="94" t="s">
        <v>82</v>
      </c>
      <c r="B1751" s="94"/>
      <c r="C1751" s="94"/>
      <c r="D1751" s="94"/>
      <c r="E1751" s="94"/>
      <c r="F1751" s="94"/>
      <c r="G1751" s="112">
        <f>AU1751</f>
      </c>
      <c r="H1751" s="113"/>
      <c r="I1751" s="94" t="s">
        <v>83</v>
      </c>
      <c r="J1751" s="94" t="s">
        <v>66</v>
      </c>
      <c r="K1751" s="114">
        <f>P1751/3</f>
      </c>
      <c r="L1751" s="115">
        <v>6000</v>
      </c>
      <c r="M1751" s="116"/>
      <c r="N1751" s="117">
        <f>M1751-L1751</f>
      </c>
      <c r="O1751" s="112"/>
      <c r="P1751" s="118">
        <f>N1751+O1751</f>
      </c>
      <c r="Q1751" s="94" t="s">
        <v>85</v>
      </c>
      <c r="R1751" s="94" t="s">
        <v>63</v>
      </c>
      <c r="S1751" s="119">
        <v>46349</v>
      </c>
      <c r="T1751" s="119"/>
      <c r="U1751" s="119" t="s">
        <v>674</v>
      </c>
      <c r="V1751" s="94"/>
      <c r="W1751" s="94"/>
      <c r="X1751" s="94"/>
      <c r="Y1751" s="119">
        <v>46320</v>
      </c>
      <c r="Z1751" s="94"/>
      <c r="AA1751" s="120"/>
      <c r="AB1751" s="120"/>
      <c r="AC1751" s="120"/>
      <c r="AD1751" s="120"/>
      <c r="AE1751" s="120"/>
      <c r="AF1751" s="120"/>
      <c r="AG1751" s="94"/>
      <c r="AH1751" s="120"/>
      <c r="AI1751" s="94"/>
      <c r="AJ1751" s="94" t="s">
        <v>86</v>
      </c>
      <c r="AK1751" s="94" t="s">
        <v>66</v>
      </c>
      <c r="AL1751" s="94">
        <v>160</v>
      </c>
      <c r="AM1751" s="94" t="str">
        <f>TRIM(AJ1751)&amp;TRIM(AL1751)&amp;TRIM(AK1751)</f>
      </c>
      <c r="AN1751" s="116">
        <v>80520.24</v>
      </c>
      <c r="AO1751" s="116">
        <v>111130.73</v>
      </c>
      <c r="AP1751" s="116">
        <f>SUMIFS(M:M,AM:AM,AM1751)+SUMIFS(O:O,AM:AM,AM1751)</f>
      </c>
      <c r="AQ1751" s="116">
        <f>SUMIFS(L:L,AM:AM,AM1751)</f>
      </c>
      <c r="AR1751" s="116">
        <f>AQ1751-AP1751</f>
      </c>
      <c r="AS1751" s="94" t="str">
        <f>IF(AN1751&gt;=AQ1751,"ok","ck")</f>
      </c>
      <c r="AT1751" s="116">
        <f>-P1751</f>
      </c>
      <c r="AU1751" s="115">
        <f>IF(SUMIFS(AT:AT,AM:AM,AM1751)&gt;AO1751,(SUMIFS(AT:AT,AM:AM,AM1751)-AO1751))</f>
      </c>
      <c r="AV1751" s="116">
        <v>9703</v>
      </c>
      <c r="AW1751" s="121">
        <v>0.195</v>
      </c>
      <c r="AX1751" s="115">
        <f>AN1751-AP1751</f>
      </c>
    </row>
    <row r="1752" spans="1:50" ht="15" hidden="1" customHeight="1" x14ac:dyDescent="0.3">
      <c r="A1752" s="94" t="s">
        <v>151</v>
      </c>
      <c r="B1752" s="94"/>
      <c r="C1752" s="94"/>
      <c r="D1752" s="94"/>
      <c r="E1752" s="94"/>
      <c r="F1752" s="94"/>
      <c r="G1752" s="112">
        <f>AU1752</f>
      </c>
      <c r="H1752" s="113"/>
      <c r="I1752" s="94" t="s">
        <v>167</v>
      </c>
      <c r="J1752" s="94" t="s">
        <v>214</v>
      </c>
      <c r="K1752" s="114">
        <f>P1752/3</f>
      </c>
      <c r="L1752" s="115">
        <v>2500</v>
      </c>
      <c r="M1752" s="116"/>
      <c r="N1752" s="117">
        <f>M1752-L1752</f>
      </c>
      <c r="O1752" s="112"/>
      <c r="P1752" s="118">
        <f>N1752+O1752</f>
      </c>
      <c r="Q1752" s="94" t="s">
        <v>168</v>
      </c>
      <c r="R1752" s="94" t="s">
        <v>63</v>
      </c>
      <c r="S1752" s="119">
        <v>46331</v>
      </c>
      <c r="T1752" s="119"/>
      <c r="U1752" s="119" t="s">
        <v>679</v>
      </c>
      <c r="V1752" s="94"/>
      <c r="W1752" s="94"/>
      <c r="X1752" s="94"/>
      <c r="Y1752" s="119">
        <v>46320</v>
      </c>
      <c r="Z1752" s="94"/>
      <c r="AA1752" s="120"/>
      <c r="AB1752" s="120"/>
      <c r="AC1752" s="120"/>
      <c r="AD1752" s="120"/>
      <c r="AE1752" s="120"/>
      <c r="AF1752" s="120"/>
      <c r="AG1752" s="94"/>
      <c r="AH1752" s="120"/>
      <c r="AI1752" s="94"/>
      <c r="AJ1752" s="94" t="s">
        <v>168</v>
      </c>
      <c r="AK1752" s="94" t="s">
        <v>159</v>
      </c>
      <c r="AL1752" s="94">
        <v>210</v>
      </c>
      <c r="AM1752" s="94" t="str">
        <f>TRIM(AJ1752)&amp;TRIM(AL1752)&amp;TRIM(AK1752)</f>
      </c>
      <c r="AN1752" s="116">
        <v>1531.39</v>
      </c>
      <c r="AO1752" s="116">
        <v>28984.91</v>
      </c>
      <c r="AP1752" s="116">
        <f>SUMIFS(M:M,AM:AM,AM1752)+SUMIFS(O:O,AM:AM,AM1752)</f>
      </c>
      <c r="AQ1752" s="116">
        <f>SUMIFS(L:L,AM:AM,AM1752)</f>
      </c>
      <c r="AR1752" s="116">
        <f>AQ1752-AP1752</f>
      </c>
      <c r="AS1752" s="94" t="str">
        <f>IF(AN1752&gt;=AQ1752,"ok","ck")</f>
      </c>
      <c r="AT1752" s="116">
        <f>-P1752</f>
      </c>
      <c r="AU1752" s="115">
        <f>IF(SUMIFS(AT:AT,AM:AM,AM1752)&gt;AO1752,(SUMIFS(AT:AT,AM:AM,AM1752)-AO1752))</f>
      </c>
      <c r="AV1752" s="116">
        <v>230</v>
      </c>
      <c r="AW1752" s="121">
        <v>0.973</v>
      </c>
      <c r="AX1752" s="115">
        <f>AN1752-AP1752</f>
      </c>
    </row>
    <row r="1753" spans="1:50" ht="15" hidden="1" customHeight="1" x14ac:dyDescent="0.3">
      <c r="A1753" s="94" t="s">
        <v>151</v>
      </c>
      <c r="B1753" s="94"/>
      <c r="C1753" s="94"/>
      <c r="D1753" s="94"/>
      <c r="E1753" s="94"/>
      <c r="F1753" s="94"/>
      <c r="G1753" s="112">
        <f>AU1753</f>
      </c>
      <c r="H1753" s="113"/>
      <c r="I1753" s="94" t="s">
        <v>167</v>
      </c>
      <c r="J1753" s="94" t="s">
        <v>214</v>
      </c>
      <c r="K1753" s="114">
        <f>P1753/3</f>
      </c>
      <c r="L1753" s="115">
        <v>2500</v>
      </c>
      <c r="M1753" s="116"/>
      <c r="N1753" s="117">
        <f>M1753-L1753</f>
      </c>
      <c r="O1753" s="112"/>
      <c r="P1753" s="118">
        <f>N1753+O1753</f>
      </c>
      <c r="Q1753" s="94" t="s">
        <v>168</v>
      </c>
      <c r="R1753" s="94" t="s">
        <v>63</v>
      </c>
      <c r="S1753" s="119">
        <v>46332</v>
      </c>
      <c r="T1753" s="119"/>
      <c r="U1753" s="119" t="s">
        <v>679</v>
      </c>
      <c r="V1753" s="94"/>
      <c r="W1753" s="94"/>
      <c r="X1753" s="94"/>
      <c r="Y1753" s="119">
        <v>46320</v>
      </c>
      <c r="Z1753" s="94"/>
      <c r="AA1753" s="120"/>
      <c r="AB1753" s="120"/>
      <c r="AC1753" s="120"/>
      <c r="AD1753" s="120"/>
      <c r="AE1753" s="120"/>
      <c r="AF1753" s="120"/>
      <c r="AG1753" s="94"/>
      <c r="AH1753" s="120"/>
      <c r="AI1753" s="94"/>
      <c r="AJ1753" s="94" t="s">
        <v>168</v>
      </c>
      <c r="AK1753" s="94" t="s">
        <v>159</v>
      </c>
      <c r="AL1753" s="94">
        <v>210</v>
      </c>
      <c r="AM1753" s="94" t="str">
        <f>TRIM(AJ1753)&amp;TRIM(AL1753)&amp;TRIM(AK1753)</f>
      </c>
      <c r="AN1753" s="116">
        <v>1531.39</v>
      </c>
      <c r="AO1753" s="116">
        <v>28984.91</v>
      </c>
      <c r="AP1753" s="116">
        <f>SUMIFS(M:M,AM:AM,AM1753)+SUMIFS(O:O,AM:AM,AM1753)</f>
      </c>
      <c r="AQ1753" s="116">
        <f>SUMIFS(L:L,AM:AM,AM1753)</f>
      </c>
      <c r="AR1753" s="116">
        <f>AQ1753-AP1753</f>
      </c>
      <c r="AS1753" s="94" t="str">
        <f>IF(AN1753&gt;=AQ1753,"ok","ck")</f>
      </c>
      <c r="AT1753" s="116">
        <f>-P1753</f>
      </c>
      <c r="AU1753" s="115">
        <f>IF(SUMIFS(AT:AT,AM:AM,AM1753)&gt;AO1753,(SUMIFS(AT:AT,AM:AM,AM1753)-AO1753))</f>
      </c>
      <c r="AV1753" s="116">
        <v>230</v>
      </c>
      <c r="AW1753" s="121">
        <v>0.973</v>
      </c>
      <c r="AX1753" s="115">
        <f>AN1753-AP1753</f>
      </c>
    </row>
    <row r="1754" spans="1:50" ht="15" hidden="1" customHeight="1" x14ac:dyDescent="0.3">
      <c r="A1754" s="94" t="s">
        <v>151</v>
      </c>
      <c r="B1754" s="94"/>
      <c r="C1754" s="94"/>
      <c r="D1754" s="94"/>
      <c r="E1754" s="94"/>
      <c r="F1754" s="94"/>
      <c r="G1754" s="112">
        <f>AU1754</f>
      </c>
      <c r="H1754" s="113"/>
      <c r="I1754" s="94" t="s">
        <v>167</v>
      </c>
      <c r="J1754" s="94" t="s">
        <v>214</v>
      </c>
      <c r="K1754" s="114">
        <f>P1754/3</f>
      </c>
      <c r="L1754" s="115">
        <v>2500</v>
      </c>
      <c r="M1754" s="116"/>
      <c r="N1754" s="117">
        <f>M1754-L1754</f>
      </c>
      <c r="O1754" s="112"/>
      <c r="P1754" s="118">
        <f>N1754+O1754</f>
      </c>
      <c r="Q1754" s="94" t="s">
        <v>168</v>
      </c>
      <c r="R1754" s="94" t="s">
        <v>63</v>
      </c>
      <c r="S1754" s="119">
        <v>46333</v>
      </c>
      <c r="T1754" s="119"/>
      <c r="U1754" s="119" t="s">
        <v>679</v>
      </c>
      <c r="V1754" s="94"/>
      <c r="W1754" s="94"/>
      <c r="X1754" s="94"/>
      <c r="Y1754" s="119">
        <v>46320</v>
      </c>
      <c r="Z1754" s="94"/>
      <c r="AA1754" s="120"/>
      <c r="AB1754" s="120"/>
      <c r="AC1754" s="120"/>
      <c r="AD1754" s="120"/>
      <c r="AE1754" s="120"/>
      <c r="AF1754" s="120"/>
      <c r="AG1754" s="94"/>
      <c r="AH1754" s="120"/>
      <c r="AI1754" s="94"/>
      <c r="AJ1754" s="94" t="s">
        <v>168</v>
      </c>
      <c r="AK1754" s="94" t="s">
        <v>159</v>
      </c>
      <c r="AL1754" s="94">
        <v>210</v>
      </c>
      <c r="AM1754" s="94" t="str">
        <f>TRIM(AJ1754)&amp;TRIM(AL1754)&amp;TRIM(AK1754)</f>
      </c>
      <c r="AN1754" s="116">
        <v>1531.39</v>
      </c>
      <c r="AO1754" s="116">
        <v>28984.91</v>
      </c>
      <c r="AP1754" s="116">
        <f>SUMIFS(M:M,AM:AM,AM1754)+SUMIFS(O:O,AM:AM,AM1754)</f>
      </c>
      <c r="AQ1754" s="116">
        <f>SUMIFS(L:L,AM:AM,AM1754)</f>
      </c>
      <c r="AR1754" s="116">
        <f>AQ1754-AP1754</f>
      </c>
      <c r="AS1754" s="94" t="str">
        <f>IF(AN1754&gt;=AQ1754,"ok","ck")</f>
      </c>
      <c r="AT1754" s="116">
        <f>-P1754</f>
      </c>
      <c r="AU1754" s="115">
        <f>IF(SUMIFS(AT:AT,AM:AM,AM1754)&gt;AO1754,(SUMIFS(AT:AT,AM:AM,AM1754)-AO1754))</f>
      </c>
      <c r="AV1754" s="116">
        <v>230</v>
      </c>
      <c r="AW1754" s="121">
        <v>0.973</v>
      </c>
      <c r="AX1754" s="115">
        <f>AN1754-AP1754</f>
      </c>
    </row>
    <row r="1755" spans="1:50" ht="15" hidden="1" customHeight="1" x14ac:dyDescent="0.3">
      <c r="A1755" s="94" t="s">
        <v>151</v>
      </c>
      <c r="B1755" s="94"/>
      <c r="C1755" s="94"/>
      <c r="D1755" s="94"/>
      <c r="E1755" s="94"/>
      <c r="F1755" s="94"/>
      <c r="G1755" s="112">
        <f>AU1755</f>
      </c>
      <c r="H1755" s="113"/>
      <c r="I1755" s="94" t="s">
        <v>167</v>
      </c>
      <c r="J1755" s="94" t="s">
        <v>214</v>
      </c>
      <c r="K1755" s="114">
        <f>P1755/3</f>
      </c>
      <c r="L1755" s="115">
        <v>2500</v>
      </c>
      <c r="M1755" s="116"/>
      <c r="N1755" s="117">
        <f>M1755-L1755</f>
      </c>
      <c r="O1755" s="112"/>
      <c r="P1755" s="118">
        <f>N1755+O1755</f>
      </c>
      <c r="Q1755" s="94" t="s">
        <v>168</v>
      </c>
      <c r="R1755" s="94" t="s">
        <v>63</v>
      </c>
      <c r="S1755" s="119">
        <v>46334</v>
      </c>
      <c r="T1755" s="119"/>
      <c r="U1755" s="119" t="s">
        <v>679</v>
      </c>
      <c r="V1755" s="94"/>
      <c r="W1755" s="94"/>
      <c r="X1755" s="94"/>
      <c r="Y1755" s="119">
        <v>46320</v>
      </c>
      <c r="Z1755" s="94"/>
      <c r="AA1755" s="120"/>
      <c r="AB1755" s="120"/>
      <c r="AC1755" s="120"/>
      <c r="AD1755" s="120"/>
      <c r="AE1755" s="120"/>
      <c r="AF1755" s="120"/>
      <c r="AG1755" s="94"/>
      <c r="AH1755" s="120"/>
      <c r="AI1755" s="94"/>
      <c r="AJ1755" s="94" t="s">
        <v>168</v>
      </c>
      <c r="AK1755" s="94" t="s">
        <v>159</v>
      </c>
      <c r="AL1755" s="94">
        <v>210</v>
      </c>
      <c r="AM1755" s="94" t="str">
        <f>TRIM(AJ1755)&amp;TRIM(AL1755)&amp;TRIM(AK1755)</f>
      </c>
      <c r="AN1755" s="116">
        <v>1531.39</v>
      </c>
      <c r="AO1755" s="116">
        <v>28984.91</v>
      </c>
      <c r="AP1755" s="116">
        <f>SUMIFS(M:M,AM:AM,AM1755)+SUMIFS(O:O,AM:AM,AM1755)</f>
      </c>
      <c r="AQ1755" s="116">
        <f>SUMIFS(L:L,AM:AM,AM1755)</f>
      </c>
      <c r="AR1755" s="116">
        <f>AQ1755-AP1755</f>
      </c>
      <c r="AS1755" s="94" t="str">
        <f>IF(AN1755&gt;=AQ1755,"ok","ck")</f>
      </c>
      <c r="AT1755" s="116">
        <f>-P1755</f>
      </c>
      <c r="AU1755" s="115">
        <f>IF(SUMIFS(AT:AT,AM:AM,AM1755)&gt;AO1755,(SUMIFS(AT:AT,AM:AM,AM1755)-AO1755))</f>
      </c>
      <c r="AV1755" s="116">
        <v>230</v>
      </c>
      <c r="AW1755" s="121">
        <v>0.973</v>
      </c>
      <c r="AX1755" s="115">
        <f>AN1755-AP1755</f>
      </c>
    </row>
    <row r="1756" spans="1:50" ht="15" hidden="1" customHeight="1" x14ac:dyDescent="0.3">
      <c r="A1756" s="94" t="s">
        <v>151</v>
      </c>
      <c r="B1756" s="94"/>
      <c r="C1756" s="94"/>
      <c r="D1756" s="94"/>
      <c r="E1756" s="94"/>
      <c r="F1756" s="94"/>
      <c r="G1756" s="112">
        <f>AU1756</f>
      </c>
      <c r="H1756" s="113"/>
      <c r="I1756" s="94" t="s">
        <v>167</v>
      </c>
      <c r="J1756" s="94" t="s">
        <v>214</v>
      </c>
      <c r="K1756" s="114">
        <f>P1756/3</f>
      </c>
      <c r="L1756" s="115">
        <v>2500</v>
      </c>
      <c r="M1756" s="116"/>
      <c r="N1756" s="117">
        <f>M1756-L1756</f>
      </c>
      <c r="O1756" s="112"/>
      <c r="P1756" s="118">
        <f>N1756+O1756</f>
      </c>
      <c r="Q1756" s="94" t="s">
        <v>168</v>
      </c>
      <c r="R1756" s="94" t="s">
        <v>63</v>
      </c>
      <c r="S1756" s="119">
        <v>46335</v>
      </c>
      <c r="T1756" s="119"/>
      <c r="U1756" s="119" t="s">
        <v>679</v>
      </c>
      <c r="V1756" s="94"/>
      <c r="W1756" s="94"/>
      <c r="X1756" s="94"/>
      <c r="Y1756" s="119">
        <v>46320</v>
      </c>
      <c r="Z1756" s="94"/>
      <c r="AA1756" s="120"/>
      <c r="AB1756" s="120"/>
      <c r="AC1756" s="120"/>
      <c r="AD1756" s="120"/>
      <c r="AE1756" s="120"/>
      <c r="AF1756" s="120"/>
      <c r="AG1756" s="94"/>
      <c r="AH1756" s="120"/>
      <c r="AI1756" s="94"/>
      <c r="AJ1756" s="94" t="s">
        <v>168</v>
      </c>
      <c r="AK1756" s="94" t="s">
        <v>159</v>
      </c>
      <c r="AL1756" s="94">
        <v>210</v>
      </c>
      <c r="AM1756" s="94" t="str">
        <f>TRIM(AJ1756)&amp;TRIM(AL1756)&amp;TRIM(AK1756)</f>
      </c>
      <c r="AN1756" s="116">
        <v>1531.39</v>
      </c>
      <c r="AO1756" s="116">
        <v>28984.91</v>
      </c>
      <c r="AP1756" s="116">
        <f>SUMIFS(M:M,AM:AM,AM1756)+SUMIFS(O:O,AM:AM,AM1756)</f>
      </c>
      <c r="AQ1756" s="116">
        <f>SUMIFS(L:L,AM:AM,AM1756)</f>
      </c>
      <c r="AR1756" s="116">
        <f>AQ1756-AP1756</f>
      </c>
      <c r="AS1756" s="94" t="str">
        <f>IF(AN1756&gt;=AQ1756,"ok","ck")</f>
      </c>
      <c r="AT1756" s="116">
        <f>-P1756</f>
      </c>
      <c r="AU1756" s="115">
        <f>IF(SUMIFS(AT:AT,AM:AM,AM1756)&gt;AO1756,(SUMIFS(AT:AT,AM:AM,AM1756)-AO1756))</f>
      </c>
      <c r="AV1756" s="116">
        <v>230</v>
      </c>
      <c r="AW1756" s="121">
        <v>0.973</v>
      </c>
      <c r="AX1756" s="115">
        <f>AN1756-AP1756</f>
      </c>
    </row>
    <row r="1757" spans="1:50" ht="15" hidden="1" customHeight="1" x14ac:dyDescent="0.3">
      <c r="A1757" s="94" t="s">
        <v>151</v>
      </c>
      <c r="B1757" s="94"/>
      <c r="C1757" s="94"/>
      <c r="D1757" s="94"/>
      <c r="E1757" s="94"/>
      <c r="F1757" s="94"/>
      <c r="G1757" s="112">
        <f>AU1757</f>
      </c>
      <c r="H1757" s="113"/>
      <c r="I1757" s="94" t="s">
        <v>167</v>
      </c>
      <c r="J1757" s="94" t="s">
        <v>214</v>
      </c>
      <c r="K1757" s="114">
        <f>P1757/3</f>
      </c>
      <c r="L1757" s="115">
        <v>2500</v>
      </c>
      <c r="M1757" s="116"/>
      <c r="N1757" s="117">
        <f>M1757-L1757</f>
      </c>
      <c r="O1757" s="112"/>
      <c r="P1757" s="118">
        <f>N1757+O1757</f>
      </c>
      <c r="Q1757" s="94" t="s">
        <v>168</v>
      </c>
      <c r="R1757" s="94" t="s">
        <v>63</v>
      </c>
      <c r="S1757" s="119">
        <v>46336</v>
      </c>
      <c r="T1757" s="119"/>
      <c r="U1757" s="119" t="s">
        <v>679</v>
      </c>
      <c r="V1757" s="94"/>
      <c r="W1757" s="94"/>
      <c r="X1757" s="94"/>
      <c r="Y1757" s="119">
        <v>46320</v>
      </c>
      <c r="Z1757" s="94"/>
      <c r="AA1757" s="120"/>
      <c r="AB1757" s="120"/>
      <c r="AC1757" s="120"/>
      <c r="AD1757" s="120"/>
      <c r="AE1757" s="120"/>
      <c r="AF1757" s="120"/>
      <c r="AG1757" s="94"/>
      <c r="AH1757" s="120"/>
      <c r="AI1757" s="94"/>
      <c r="AJ1757" s="94" t="s">
        <v>168</v>
      </c>
      <c r="AK1757" s="94" t="s">
        <v>159</v>
      </c>
      <c r="AL1757" s="94">
        <v>210</v>
      </c>
      <c r="AM1757" s="94" t="str">
        <f>TRIM(AJ1757)&amp;TRIM(AL1757)&amp;TRIM(AK1757)</f>
      </c>
      <c r="AN1757" s="116">
        <v>1531.39</v>
      </c>
      <c r="AO1757" s="116">
        <v>28984.91</v>
      </c>
      <c r="AP1757" s="116">
        <f>SUMIFS(M:M,AM:AM,AM1757)+SUMIFS(O:O,AM:AM,AM1757)</f>
      </c>
      <c r="AQ1757" s="116">
        <f>SUMIFS(L:L,AM:AM,AM1757)</f>
      </c>
      <c r="AR1757" s="116">
        <f>AQ1757-AP1757</f>
      </c>
      <c r="AS1757" s="94" t="str">
        <f>IF(AN1757&gt;=AQ1757,"ok","ck")</f>
      </c>
      <c r="AT1757" s="116">
        <f>-P1757</f>
      </c>
      <c r="AU1757" s="115">
        <f>IF(SUMIFS(AT:AT,AM:AM,AM1757)&gt;AO1757,(SUMIFS(AT:AT,AM:AM,AM1757)-AO1757))</f>
      </c>
      <c r="AV1757" s="116">
        <v>230</v>
      </c>
      <c r="AW1757" s="121">
        <v>0.973</v>
      </c>
      <c r="AX1757" s="115">
        <f>AN1757-AP1757</f>
      </c>
    </row>
    <row r="1758" spans="1:50" ht="15" hidden="1" customHeight="1" x14ac:dyDescent="0.3">
      <c r="A1758" s="94" t="s">
        <v>151</v>
      </c>
      <c r="B1758" s="94"/>
      <c r="C1758" s="94"/>
      <c r="D1758" s="94"/>
      <c r="E1758" s="94"/>
      <c r="F1758" s="94"/>
      <c r="G1758" s="112">
        <f>AU1758</f>
      </c>
      <c r="H1758" s="113"/>
      <c r="I1758" s="94" t="s">
        <v>167</v>
      </c>
      <c r="J1758" s="94" t="s">
        <v>214</v>
      </c>
      <c r="K1758" s="114">
        <f>P1758/3</f>
      </c>
      <c r="L1758" s="115">
        <v>2500</v>
      </c>
      <c r="M1758" s="116"/>
      <c r="N1758" s="117">
        <f>M1758-L1758</f>
      </c>
      <c r="O1758" s="112"/>
      <c r="P1758" s="118">
        <f>N1758+O1758</f>
      </c>
      <c r="Q1758" s="94" t="s">
        <v>168</v>
      </c>
      <c r="R1758" s="94" t="s">
        <v>63</v>
      </c>
      <c r="S1758" s="119">
        <v>46337</v>
      </c>
      <c r="T1758" s="119"/>
      <c r="U1758" s="119" t="s">
        <v>679</v>
      </c>
      <c r="V1758" s="94"/>
      <c r="W1758" s="94"/>
      <c r="X1758" s="94"/>
      <c r="Y1758" s="119">
        <v>46323</v>
      </c>
      <c r="Z1758" s="94"/>
      <c r="AA1758" s="120"/>
      <c r="AB1758" s="120"/>
      <c r="AC1758" s="120"/>
      <c r="AD1758" s="120"/>
      <c r="AE1758" s="120"/>
      <c r="AF1758" s="120"/>
      <c r="AG1758" s="94"/>
      <c r="AH1758" s="120"/>
      <c r="AI1758" s="94"/>
      <c r="AJ1758" s="94" t="s">
        <v>168</v>
      </c>
      <c r="AK1758" s="94" t="s">
        <v>159</v>
      </c>
      <c r="AL1758" s="94">
        <v>210</v>
      </c>
      <c r="AM1758" s="94" t="str">
        <f>TRIM(AJ1758)&amp;TRIM(AL1758)&amp;TRIM(AK1758)</f>
      </c>
      <c r="AN1758" s="116">
        <v>1531.39</v>
      </c>
      <c r="AO1758" s="116">
        <v>28984.91</v>
      </c>
      <c r="AP1758" s="116">
        <f>SUMIFS(M:M,AM:AM,AM1758)+SUMIFS(O:O,AM:AM,AM1758)</f>
      </c>
      <c r="AQ1758" s="116">
        <f>SUMIFS(L:L,AM:AM,AM1758)</f>
      </c>
      <c r="AR1758" s="116">
        <f>AQ1758-AP1758</f>
      </c>
      <c r="AS1758" s="94" t="str">
        <f>IF(AN1758&gt;=AQ1758,"ok","ck")</f>
      </c>
      <c r="AT1758" s="116">
        <f>-P1758</f>
      </c>
      <c r="AU1758" s="115">
        <f>IF(SUMIFS(AT:AT,AM:AM,AM1758)&gt;AO1758,(SUMIFS(AT:AT,AM:AM,AM1758)-AO1758))</f>
      </c>
      <c r="AV1758" s="116">
        <v>230</v>
      </c>
      <c r="AW1758" s="121">
        <v>0.973</v>
      </c>
      <c r="AX1758" s="115">
        <f>AN1758-AP1758</f>
      </c>
    </row>
    <row r="1759" spans="1:50" ht="15" hidden="1" customHeight="1" x14ac:dyDescent="0.3">
      <c r="A1759" s="94" t="s">
        <v>151</v>
      </c>
      <c r="B1759" s="94"/>
      <c r="C1759" s="94"/>
      <c r="D1759" s="94"/>
      <c r="E1759" s="94"/>
      <c r="F1759" s="94"/>
      <c r="G1759" s="112">
        <f>AU1759</f>
      </c>
      <c r="H1759" s="113"/>
      <c r="I1759" s="94" t="s">
        <v>167</v>
      </c>
      <c r="J1759" s="94" t="s">
        <v>214</v>
      </c>
      <c r="K1759" s="114">
        <f>P1759/3</f>
      </c>
      <c r="L1759" s="115">
        <v>2500</v>
      </c>
      <c r="M1759" s="116"/>
      <c r="N1759" s="117">
        <f>M1759-L1759</f>
      </c>
      <c r="O1759" s="112"/>
      <c r="P1759" s="118">
        <f>N1759+O1759</f>
      </c>
      <c r="Q1759" s="94" t="s">
        <v>168</v>
      </c>
      <c r="R1759" s="94" t="s">
        <v>63</v>
      </c>
      <c r="S1759" s="119">
        <v>46338</v>
      </c>
      <c r="T1759" s="119"/>
      <c r="U1759" s="119" t="s">
        <v>679</v>
      </c>
      <c r="V1759" s="94"/>
      <c r="W1759" s="94"/>
      <c r="X1759" s="94"/>
      <c r="Y1759" s="119">
        <v>46323</v>
      </c>
      <c r="Z1759" s="94"/>
      <c r="AA1759" s="120"/>
      <c r="AB1759" s="120"/>
      <c r="AC1759" s="120"/>
      <c r="AD1759" s="120"/>
      <c r="AE1759" s="120"/>
      <c r="AF1759" s="120"/>
      <c r="AG1759" s="94"/>
      <c r="AH1759" s="120"/>
      <c r="AI1759" s="94"/>
      <c r="AJ1759" s="94" t="s">
        <v>168</v>
      </c>
      <c r="AK1759" s="94" t="s">
        <v>159</v>
      </c>
      <c r="AL1759" s="94">
        <v>210</v>
      </c>
      <c r="AM1759" s="94" t="str">
        <f>TRIM(AJ1759)&amp;TRIM(AL1759)&amp;TRIM(AK1759)</f>
      </c>
      <c r="AN1759" s="116">
        <v>1531.39</v>
      </c>
      <c r="AO1759" s="116">
        <v>28984.91</v>
      </c>
      <c r="AP1759" s="116">
        <f>SUMIFS(M:M,AM:AM,AM1759)+SUMIFS(O:O,AM:AM,AM1759)</f>
      </c>
      <c r="AQ1759" s="116">
        <f>SUMIFS(L:L,AM:AM,AM1759)</f>
      </c>
      <c r="AR1759" s="116">
        <f>AQ1759-AP1759</f>
      </c>
      <c r="AS1759" s="94" t="str">
        <f>IF(AN1759&gt;=AQ1759,"ok","ck")</f>
      </c>
      <c r="AT1759" s="116">
        <f>-P1759</f>
      </c>
      <c r="AU1759" s="115">
        <f>IF(SUMIFS(AT:AT,AM:AM,AM1759)&gt;AO1759,(SUMIFS(AT:AT,AM:AM,AM1759)-AO1759))</f>
      </c>
      <c r="AV1759" s="116">
        <v>230</v>
      </c>
      <c r="AW1759" s="121">
        <v>0.973</v>
      </c>
      <c r="AX1759" s="115">
        <f>AN1759-AP1759</f>
      </c>
    </row>
    <row r="1760" spans="1:50" ht="15" hidden="1" customHeight="1" x14ac:dyDescent="0.3">
      <c r="A1760" s="94" t="s">
        <v>151</v>
      </c>
      <c r="B1760" s="94"/>
      <c r="C1760" s="94"/>
      <c r="D1760" s="94"/>
      <c r="E1760" s="94"/>
      <c r="F1760" s="94"/>
      <c r="G1760" s="112">
        <f>AU1760</f>
      </c>
      <c r="H1760" s="113"/>
      <c r="I1760" s="94" t="s">
        <v>167</v>
      </c>
      <c r="J1760" s="94" t="s">
        <v>214</v>
      </c>
      <c r="K1760" s="114">
        <f>P1760/3</f>
      </c>
      <c r="L1760" s="115">
        <v>2500</v>
      </c>
      <c r="M1760" s="116"/>
      <c r="N1760" s="117">
        <f>M1760-L1760</f>
      </c>
      <c r="O1760" s="112"/>
      <c r="P1760" s="118">
        <f>N1760+O1760</f>
      </c>
      <c r="Q1760" s="94" t="s">
        <v>168</v>
      </c>
      <c r="R1760" s="94" t="s">
        <v>63</v>
      </c>
      <c r="S1760" s="119">
        <v>46339</v>
      </c>
      <c r="T1760" s="119"/>
      <c r="U1760" s="120" t="s">
        <v>679</v>
      </c>
      <c r="V1760" s="94"/>
      <c r="W1760" s="94"/>
      <c r="X1760" s="94"/>
      <c r="Y1760" s="119">
        <v>46323</v>
      </c>
      <c r="Z1760" s="94"/>
      <c r="AA1760" s="120"/>
      <c r="AB1760" s="120"/>
      <c r="AC1760" s="120"/>
      <c r="AD1760" s="120"/>
      <c r="AE1760" s="120"/>
      <c r="AF1760" s="120"/>
      <c r="AG1760" s="94"/>
      <c r="AH1760" s="120"/>
      <c r="AI1760" s="94"/>
      <c r="AJ1760" s="94" t="s">
        <v>168</v>
      </c>
      <c r="AK1760" s="94" t="s">
        <v>159</v>
      </c>
      <c r="AL1760" s="94">
        <v>210</v>
      </c>
      <c r="AM1760" s="94" t="str">
        <f>TRIM(AJ1760)&amp;TRIM(AL1760)&amp;TRIM(AK1760)</f>
      </c>
      <c r="AN1760" s="116">
        <v>1531.39</v>
      </c>
      <c r="AO1760" s="116">
        <v>28984.91</v>
      </c>
      <c r="AP1760" s="116">
        <f>SUMIFS(M:M,AM:AM,AM1760)+SUMIFS(O:O,AM:AM,AM1760)</f>
      </c>
      <c r="AQ1760" s="116">
        <f>SUMIFS(L:L,AM:AM,AM1760)</f>
      </c>
      <c r="AR1760" s="116">
        <f>AQ1760-AP1760</f>
      </c>
      <c r="AS1760" s="94" t="str">
        <f>IF(AN1760&gt;=AQ1760,"ok","ck")</f>
      </c>
      <c r="AT1760" s="116">
        <f>-P1760</f>
      </c>
      <c r="AU1760" s="115">
        <f>IF(SUMIFS(AT:AT,AM:AM,AM1760)&gt;AO1760,(SUMIFS(AT:AT,AM:AM,AM1760)-AO1760))</f>
      </c>
      <c r="AV1760" s="116">
        <v>230</v>
      </c>
      <c r="AW1760" s="121">
        <v>0.973</v>
      </c>
      <c r="AX1760" s="115">
        <f>AN1760-AP1760</f>
      </c>
    </row>
    <row r="1761" spans="1:50" ht="15" hidden="1" customHeight="1" x14ac:dyDescent="0.3">
      <c r="A1761" s="94" t="s">
        <v>151</v>
      </c>
      <c r="B1761" s="94"/>
      <c r="C1761" s="94"/>
      <c r="D1761" s="94"/>
      <c r="E1761" s="94"/>
      <c r="F1761" s="94"/>
      <c r="G1761" s="112">
        <f>AU1761</f>
      </c>
      <c r="H1761" s="113"/>
      <c r="I1761" s="94" t="s">
        <v>167</v>
      </c>
      <c r="J1761" s="94" t="s">
        <v>214</v>
      </c>
      <c r="K1761" s="114">
        <f>P1761/3</f>
      </c>
      <c r="L1761" s="115">
        <v>32.097000000000001</v>
      </c>
      <c r="M1761" s="116"/>
      <c r="N1761" s="117">
        <f>M1761-L1761</f>
      </c>
      <c r="O1761" s="112"/>
      <c r="P1761" s="118">
        <f>N1761+O1761</f>
      </c>
      <c r="Q1761" s="94" t="s">
        <v>168</v>
      </c>
      <c r="R1761" s="94" t="s">
        <v>63</v>
      </c>
      <c r="S1761" s="119">
        <v>46340</v>
      </c>
      <c r="T1761" s="119"/>
      <c r="U1761" s="120" t="s">
        <v>679</v>
      </c>
      <c r="V1761" s="94"/>
      <c r="W1761" s="94"/>
      <c r="X1761" s="94"/>
      <c r="Y1761" s="119">
        <v>46333</v>
      </c>
      <c r="Z1761" s="94"/>
      <c r="AA1761" s="120"/>
      <c r="AB1761" s="120"/>
      <c r="AC1761" s="120"/>
      <c r="AD1761" s="120"/>
      <c r="AE1761" s="120"/>
      <c r="AF1761" s="120"/>
      <c r="AG1761" s="94"/>
      <c r="AH1761" s="120"/>
      <c r="AI1761" s="94"/>
      <c r="AJ1761" s="94" t="s">
        <v>168</v>
      </c>
      <c r="AK1761" s="94" t="s">
        <v>159</v>
      </c>
      <c r="AL1761" s="94">
        <v>210</v>
      </c>
      <c r="AM1761" s="94" t="str">
        <f>TRIM(AJ1761)&amp;TRIM(AL1761)&amp;TRIM(AK1761)</f>
      </c>
      <c r="AN1761" s="116">
        <v>1531.39</v>
      </c>
      <c r="AO1761" s="116">
        <v>28984.91</v>
      </c>
      <c r="AP1761" s="116">
        <f>SUMIFS(M:M,AM:AM,AM1761)+SUMIFS(O:O,AM:AM,AM1761)</f>
      </c>
      <c r="AQ1761" s="116">
        <f>SUMIFS(L:L,AM:AM,AM1761)</f>
      </c>
      <c r="AR1761" s="116">
        <f>AQ1761-AP1761</f>
      </c>
      <c r="AS1761" s="94" t="str">
        <f>IF(AN1761&gt;=AQ1761,"ok","ck")</f>
      </c>
      <c r="AT1761" s="116">
        <f>-P1761</f>
      </c>
      <c r="AU1761" s="115">
        <f>IF(SUMIFS(AT:AT,AM:AM,AM1761)&gt;AO1761,(SUMIFS(AT:AT,AM:AM,AM1761)-AO1761))</f>
      </c>
      <c r="AV1761" s="116">
        <v>230</v>
      </c>
      <c r="AW1761" s="121">
        <v>0.973</v>
      </c>
      <c r="AX1761" s="115">
        <f>AN1761-AP1761</f>
      </c>
    </row>
    <row r="1762" spans="1:50" ht="15" hidden="1" customHeight="1" x14ac:dyDescent="0.3">
      <c r="A1762" s="94" t="s">
        <v>151</v>
      </c>
      <c r="B1762" s="94"/>
      <c r="C1762" s="94"/>
      <c r="D1762" s="94"/>
      <c r="E1762" s="94"/>
      <c r="F1762" s="94"/>
      <c r="G1762" s="112">
        <f>AU1762</f>
      </c>
      <c r="H1762" s="113"/>
      <c r="I1762" s="94" t="s">
        <v>167</v>
      </c>
      <c r="J1762" s="94" t="s">
        <v>172</v>
      </c>
      <c r="K1762" s="114">
        <f>P1762/3</f>
      </c>
      <c r="L1762" s="115">
        <v>1000</v>
      </c>
      <c r="M1762" s="116">
        <v>1000</v>
      </c>
      <c r="N1762" s="117">
        <f>M1762-L1762</f>
      </c>
      <c r="O1762" s="112"/>
      <c r="P1762" s="118">
        <f>N1762+O1762</f>
      </c>
      <c r="Q1762" s="94" t="s">
        <v>168</v>
      </c>
      <c r="R1762" s="94" t="s">
        <v>63</v>
      </c>
      <c r="S1762" s="119">
        <v>46327</v>
      </c>
      <c r="T1762" s="119"/>
      <c r="U1762" s="120" t="s">
        <v>680</v>
      </c>
      <c r="V1762" s="94"/>
      <c r="W1762" s="94"/>
      <c r="X1762" s="94"/>
      <c r="Y1762" s="119">
        <v>46320</v>
      </c>
      <c r="Z1762" s="94"/>
      <c r="AA1762" s="120"/>
      <c r="AB1762" s="120"/>
      <c r="AC1762" s="120"/>
      <c r="AD1762" s="120"/>
      <c r="AE1762" s="120"/>
      <c r="AF1762" s="120"/>
      <c r="AG1762" s="94"/>
      <c r="AH1762" s="120"/>
      <c r="AI1762" s="94"/>
      <c r="AJ1762" s="94" t="s">
        <v>168</v>
      </c>
      <c r="AK1762" s="94" t="s">
        <v>173</v>
      </c>
      <c r="AL1762" s="94">
        <v>210</v>
      </c>
      <c r="AM1762" s="94" t="str">
        <f>TRIM(AJ1762)&amp;TRIM(AL1762)&amp;TRIM(AK1762)</f>
      </c>
      <c r="AN1762" s="116">
        <v>7204.31</v>
      </c>
      <c r="AO1762" s="116">
        <v>12213.44</v>
      </c>
      <c r="AP1762" s="116">
        <f>SUMIFS(M:M,AM:AM,AM1762)+SUMIFS(O:O,AM:AM,AM1762)</f>
      </c>
      <c r="AQ1762" s="116">
        <f>SUMIFS(L:L,AM:AM,AM1762)</f>
      </c>
      <c r="AR1762" s="116">
        <f>AQ1762-AP1762</f>
      </c>
      <c r="AS1762" s="94" t="str">
        <f>IF(AN1762&gt;=AQ1762,"ok","ck")</f>
      </c>
      <c r="AT1762" s="116">
        <f>-P1762</f>
      </c>
      <c r="AU1762" s="115">
        <f>IF(SUMIFS(AT:AT,AM:AM,AM1762)&gt;AO1762,(SUMIFS(AT:AT,AM:AM,AM1762)-AO1762))</f>
      </c>
      <c r="AV1762" s="116">
        <v>7204.31</v>
      </c>
      <c r="AW1762" s="121">
        <v>0.951</v>
      </c>
      <c r="AX1762" s="115">
        <f>AN1762-AP1762</f>
      </c>
    </row>
    <row r="1763" spans="1:50" ht="15" hidden="1" customHeight="1" x14ac:dyDescent="0.3">
      <c r="A1763" s="94" t="s">
        <v>151</v>
      </c>
      <c r="B1763" s="94"/>
      <c r="C1763" s="94"/>
      <c r="D1763" s="94"/>
      <c r="E1763" s="94"/>
      <c r="F1763" s="94"/>
      <c r="G1763" s="112">
        <f>AU1763</f>
      </c>
      <c r="H1763" s="113"/>
      <c r="I1763" s="94" t="s">
        <v>167</v>
      </c>
      <c r="J1763" s="94" t="s">
        <v>172</v>
      </c>
      <c r="K1763" s="114">
        <f>P1763/3</f>
      </c>
      <c r="L1763" s="115">
        <v>3000</v>
      </c>
      <c r="M1763" s="116">
        <v>39.978999999999999</v>
      </c>
      <c r="N1763" s="117">
        <f>M1763-L1763</f>
      </c>
      <c r="O1763" s="112"/>
      <c r="P1763" s="118">
        <f>N1763+O1763</f>
      </c>
      <c r="Q1763" s="94" t="s">
        <v>168</v>
      </c>
      <c r="R1763" s="94" t="s">
        <v>63</v>
      </c>
      <c r="S1763" s="119">
        <v>46338</v>
      </c>
      <c r="T1763" s="119"/>
      <c r="U1763" s="120" t="s">
        <v>680</v>
      </c>
      <c r="V1763" s="94"/>
      <c r="W1763" s="94"/>
      <c r="X1763" s="94"/>
      <c r="Y1763" s="119">
        <v>46320</v>
      </c>
      <c r="Z1763" s="94"/>
      <c r="AA1763" s="120"/>
      <c r="AB1763" s="120"/>
      <c r="AC1763" s="120"/>
      <c r="AD1763" s="120"/>
      <c r="AE1763" s="120"/>
      <c r="AF1763" s="120"/>
      <c r="AG1763" s="94"/>
      <c r="AH1763" s="120"/>
      <c r="AI1763" s="94"/>
      <c r="AJ1763" s="94" t="s">
        <v>168</v>
      </c>
      <c r="AK1763" s="94" t="s">
        <v>173</v>
      </c>
      <c r="AL1763" s="94">
        <v>210</v>
      </c>
      <c r="AM1763" s="94" t="str">
        <f>TRIM(AJ1763)&amp;TRIM(AL1763)&amp;TRIM(AK1763)</f>
      </c>
      <c r="AN1763" s="116">
        <v>7204.31</v>
      </c>
      <c r="AO1763" s="116">
        <v>12213.44</v>
      </c>
      <c r="AP1763" s="116">
        <f>SUMIFS(M:M,AM:AM,AM1763)+SUMIFS(O:O,AM:AM,AM1763)</f>
      </c>
      <c r="AQ1763" s="116">
        <f>SUMIFS(L:L,AM:AM,AM1763)</f>
      </c>
      <c r="AR1763" s="116">
        <f>AQ1763-AP1763</f>
      </c>
      <c r="AS1763" s="94" t="str">
        <f>IF(AN1763&gt;=AQ1763,"ok","ck")</f>
      </c>
      <c r="AT1763" s="116">
        <f>-P1763</f>
      </c>
      <c r="AU1763" s="115">
        <f>IF(SUMIFS(AT:AT,AM:AM,AM1763)&gt;AO1763,(SUMIFS(AT:AT,AM:AM,AM1763)-AO1763))</f>
      </c>
      <c r="AV1763" s="116">
        <v>7204.31</v>
      </c>
      <c r="AW1763" s="121">
        <v>0.951</v>
      </c>
      <c r="AX1763" s="115">
        <f>AN1763-AP1763</f>
      </c>
    </row>
    <row r="1764" spans="1:50" ht="15" customHeight="1" x14ac:dyDescent="0.3">
      <c r="A1764" s="94" t="s">
        <v>862</v>
      </c>
      <c r="B1764" s="94"/>
      <c r="C1764" s="94"/>
      <c r="D1764" s="94"/>
      <c r="E1764" s="94"/>
      <c r="F1764" s="94"/>
      <c r="G1764" s="112">
        <f>AU1764</f>
      </c>
      <c r="H1764" s="113"/>
      <c r="I1764" s="94" t="s">
        <v>278</v>
      </c>
      <c r="J1764" s="94" t="s">
        <v>267</v>
      </c>
      <c r="K1764" s="114">
        <f>P1764/3</f>
      </c>
      <c r="L1764" s="115">
        <v>200.857</v>
      </c>
      <c r="M1764" s="116"/>
      <c r="N1764" s="117">
        <f>M1764-L1764</f>
      </c>
      <c r="O1764" s="112"/>
      <c r="P1764" s="118">
        <f>N1764+O1764</f>
      </c>
      <c r="Q1764" s="94"/>
      <c r="R1764" s="94" t="s">
        <v>63</v>
      </c>
      <c r="S1764" s="119">
        <v>46344</v>
      </c>
      <c r="T1764" s="119"/>
      <c r="U1764" s="120" t="s">
        <v>631</v>
      </c>
      <c r="V1764" s="94"/>
      <c r="W1764" s="94"/>
      <c r="X1764" s="94"/>
      <c r="Y1764" s="119">
        <v>46320</v>
      </c>
      <c r="Z1764" s="94"/>
      <c r="AA1764" s="120"/>
      <c r="AB1764" s="120"/>
      <c r="AC1764" s="120"/>
      <c r="AD1764" s="120"/>
      <c r="AE1764" s="120"/>
      <c r="AF1764" s="120"/>
      <c r="AG1764" s="94"/>
      <c r="AH1764" s="120"/>
      <c r="AI1764" s="94"/>
      <c r="AJ1764" s="94"/>
      <c r="AK1764" s="94"/>
      <c r="AL1764" s="94">
        <v>120</v>
      </c>
      <c r="AM1764" s="94" t="str">
        <f>TRIM(AJ1764)&amp;TRIM(AL1764)&amp;TRIM(AK1764)</f>
      </c>
      <c r="AN1764" s="116">
        <v>0</v>
      </c>
      <c r="AO1764" s="116" t="inlineStr">
        <is>
          <t>#NA</t>
        </is>
      </c>
      <c r="AP1764" s="116">
        <f>SUMIFS(M:M,AM:AM,AM1764)+SUMIFS(O:O,AM:AM,AM1764)</f>
      </c>
      <c r="AQ1764" s="116">
        <f>SUMIFS(L:L,AM:AM,AM1764)</f>
      </c>
      <c r="AR1764" s="116">
        <f>AQ1764-AP1764</f>
      </c>
      <c r="AS1764" s="94" t="str">
        <f>IF(AN1764&gt;=AQ1764,"ok","ck")</f>
      </c>
      <c r="AT1764" s="116">
        <f>-P1764</f>
      </c>
      <c r="AU1764" s="115">
        <f>IF(SUMIFS(AT:AT,AM:AM,AM1764)&gt;AO1764,(SUMIFS(AT:AT,AM:AM,AM1764)-AO1764))</f>
      </c>
      <c r="AV1764" s="116" t="e">
        <v>#N/A</v>
      </c>
      <c r="AW1764" s="121" t="e">
        <v>#N/A</v>
      </c>
      <c r="AX1764" s="115">
        <f>AN1764-AP1764</f>
      </c>
    </row>
    <row r="1765" spans="1:50" ht="15" customHeight="1" x14ac:dyDescent="0.3">
      <c r="A1765" s="94" t="s">
        <v>862</v>
      </c>
      <c r="B1765" s="94"/>
      <c r="C1765" s="94"/>
      <c r="D1765" s="94"/>
      <c r="E1765" s="94"/>
      <c r="F1765" s="94"/>
      <c r="G1765" s="112">
        <f>AU1765</f>
      </c>
      <c r="H1765" s="113"/>
      <c r="I1765" s="94" t="s">
        <v>278</v>
      </c>
      <c r="J1765" s="94" t="s">
        <v>267</v>
      </c>
      <c r="K1765" s="114">
        <f>P1765/3</f>
      </c>
      <c r="L1765" s="115">
        <v>200.857</v>
      </c>
      <c r="M1765" s="116"/>
      <c r="N1765" s="117">
        <f>M1765-L1765</f>
      </c>
      <c r="O1765" s="112"/>
      <c r="P1765" s="118">
        <f>N1765+O1765</f>
      </c>
      <c r="Q1765" s="94"/>
      <c r="R1765" s="94" t="s">
        <v>63</v>
      </c>
      <c r="S1765" s="119">
        <v>46345</v>
      </c>
      <c r="T1765" s="119"/>
      <c r="U1765" s="120" t="s">
        <v>631</v>
      </c>
      <c r="V1765" s="94"/>
      <c r="W1765" s="94"/>
      <c r="X1765" s="94"/>
      <c r="Y1765" s="119">
        <v>46320</v>
      </c>
      <c r="Z1765" s="94"/>
      <c r="AA1765" s="120"/>
      <c r="AB1765" s="120"/>
      <c r="AC1765" s="120"/>
      <c r="AD1765" s="120"/>
      <c r="AE1765" s="120"/>
      <c r="AF1765" s="120"/>
      <c r="AG1765" s="94"/>
      <c r="AH1765" s="120"/>
      <c r="AI1765" s="94"/>
      <c r="AJ1765" s="94"/>
      <c r="AK1765" s="94"/>
      <c r="AL1765" s="94">
        <v>120</v>
      </c>
      <c r="AM1765" s="94" t="str">
        <f>TRIM(AJ1765)&amp;TRIM(AL1765)&amp;TRIM(AK1765)</f>
      </c>
      <c r="AN1765" s="116">
        <v>0</v>
      </c>
      <c r="AO1765" s="116" t="inlineStr">
        <is>
          <t>#NA</t>
        </is>
      </c>
      <c r="AP1765" s="116">
        <f>SUMIFS(M:M,AM:AM,AM1765)+SUMIFS(O:O,AM:AM,AM1765)</f>
      </c>
      <c r="AQ1765" s="116">
        <f>SUMIFS(L:L,AM:AM,AM1765)</f>
      </c>
      <c r="AR1765" s="116">
        <f>AQ1765-AP1765</f>
      </c>
      <c r="AS1765" s="94" t="str">
        <f>IF(AN1765&gt;=AQ1765,"ok","ck")</f>
      </c>
      <c r="AT1765" s="116">
        <f>-P1765</f>
      </c>
      <c r="AU1765" s="115">
        <f>IF(SUMIFS(AT:AT,AM:AM,AM1765)&gt;AO1765,(SUMIFS(AT:AT,AM:AM,AM1765)-AO1765))</f>
      </c>
      <c r="AV1765" s="116" t="e">
        <v>#N/A</v>
      </c>
      <c r="AW1765" s="121" t="e">
        <v>#N/A</v>
      </c>
      <c r="AX1765" s="115">
        <f>AN1765-AP1765</f>
      </c>
    </row>
    <row r="1766" spans="1:50" ht="15" customHeight="1" x14ac:dyDescent="0.3">
      <c r="A1766" s="94" t="s">
        <v>862</v>
      </c>
      <c r="B1766" s="94"/>
      <c r="C1766" s="94"/>
      <c r="D1766" s="94"/>
      <c r="E1766" s="94"/>
      <c r="F1766" s="94"/>
      <c r="G1766" s="112">
        <f>AU1766</f>
      </c>
      <c r="H1766" s="113"/>
      <c r="I1766" s="94" t="s">
        <v>278</v>
      </c>
      <c r="J1766" s="94" t="s">
        <v>267</v>
      </c>
      <c r="K1766" s="114">
        <f>P1766/3</f>
      </c>
      <c r="L1766" s="115">
        <v>200.857</v>
      </c>
      <c r="M1766" s="116"/>
      <c r="N1766" s="117">
        <f>M1766-L1766</f>
      </c>
      <c r="O1766" s="112"/>
      <c r="P1766" s="118">
        <f>N1766+O1766</f>
      </c>
      <c r="Q1766" s="94"/>
      <c r="R1766" s="94" t="s">
        <v>63</v>
      </c>
      <c r="S1766" s="119">
        <v>46346</v>
      </c>
      <c r="T1766" s="119"/>
      <c r="U1766" s="119" t="s">
        <v>631</v>
      </c>
      <c r="V1766" s="94"/>
      <c r="W1766" s="94"/>
      <c r="X1766" s="94"/>
      <c r="Y1766" s="119">
        <v>46320</v>
      </c>
      <c r="Z1766" s="94"/>
      <c r="AA1766" s="120"/>
      <c r="AB1766" s="120"/>
      <c r="AC1766" s="120"/>
      <c r="AD1766" s="120"/>
      <c r="AE1766" s="120"/>
      <c r="AF1766" s="120"/>
      <c r="AG1766" s="94"/>
      <c r="AH1766" s="120"/>
      <c r="AI1766" s="94"/>
      <c r="AJ1766" s="94"/>
      <c r="AK1766" s="94"/>
      <c r="AL1766" s="94">
        <v>120</v>
      </c>
      <c r="AM1766" s="94" t="str">
        <f>TRIM(AJ1766)&amp;TRIM(AL1766)&amp;TRIM(AK1766)</f>
      </c>
      <c r="AN1766" s="116">
        <v>0</v>
      </c>
      <c r="AO1766" s="116" t="inlineStr">
        <is>
          <t>#NA</t>
        </is>
      </c>
      <c r="AP1766" s="116">
        <f>SUMIFS(M:M,AM:AM,AM1766)+SUMIFS(O:O,AM:AM,AM1766)</f>
      </c>
      <c r="AQ1766" s="116">
        <f>SUMIFS(L:L,AM:AM,AM1766)</f>
      </c>
      <c r="AR1766" s="116">
        <f>AQ1766-AP1766</f>
      </c>
      <c r="AS1766" s="94" t="str">
        <f>IF(AN1766&gt;=AQ1766,"ok","ck")</f>
      </c>
      <c r="AT1766" s="116">
        <f>-P1766</f>
      </c>
      <c r="AU1766" s="115">
        <f>IF(SUMIFS(AT:AT,AM:AM,AM1766)&gt;AO1766,(SUMIFS(AT:AT,AM:AM,AM1766)-AO1766))</f>
      </c>
      <c r="AV1766" s="116" t="e">
        <v>#N/A</v>
      </c>
      <c r="AW1766" s="121" t="e">
        <v>#N/A</v>
      </c>
      <c r="AX1766" s="115">
        <f>AN1766-AP1766</f>
      </c>
    </row>
    <row r="1767" spans="1:50" ht="15" customHeight="1" x14ac:dyDescent="0.3">
      <c r="A1767" s="94" t="s">
        <v>862</v>
      </c>
      <c r="B1767" s="94"/>
      <c r="C1767" s="94"/>
      <c r="D1767" s="94"/>
      <c r="E1767" s="94"/>
      <c r="F1767" s="94"/>
      <c r="G1767" s="112">
        <f>AU1767</f>
      </c>
      <c r="H1767" s="113"/>
      <c r="I1767" s="94" t="s">
        <v>278</v>
      </c>
      <c r="J1767" s="94" t="s">
        <v>267</v>
      </c>
      <c r="K1767" s="114">
        <f>P1767/3</f>
      </c>
      <c r="L1767" s="115">
        <v>200.857</v>
      </c>
      <c r="M1767" s="116"/>
      <c r="N1767" s="117">
        <f>M1767-L1767</f>
      </c>
      <c r="O1767" s="112"/>
      <c r="P1767" s="118">
        <f>N1767+O1767</f>
      </c>
      <c r="Q1767" s="94"/>
      <c r="R1767" s="94" t="s">
        <v>63</v>
      </c>
      <c r="S1767" s="119">
        <v>46347</v>
      </c>
      <c r="T1767" s="119"/>
      <c r="U1767" s="119" t="s">
        <v>631</v>
      </c>
      <c r="V1767" s="94"/>
      <c r="W1767" s="94"/>
      <c r="X1767" s="94"/>
      <c r="Y1767" s="119">
        <v>46320</v>
      </c>
      <c r="Z1767" s="94"/>
      <c r="AA1767" s="120"/>
      <c r="AB1767" s="120"/>
      <c r="AC1767" s="120"/>
      <c r="AD1767" s="120"/>
      <c r="AE1767" s="120"/>
      <c r="AF1767" s="120"/>
      <c r="AG1767" s="94"/>
      <c r="AH1767" s="120"/>
      <c r="AI1767" s="94"/>
      <c r="AJ1767" s="94"/>
      <c r="AK1767" s="94"/>
      <c r="AL1767" s="94">
        <v>120</v>
      </c>
      <c r="AM1767" s="94" t="str">
        <f>TRIM(AJ1767)&amp;TRIM(AL1767)&amp;TRIM(AK1767)</f>
      </c>
      <c r="AN1767" s="116">
        <v>0</v>
      </c>
      <c r="AO1767" s="116" t="inlineStr">
        <is>
          <t>#NA</t>
        </is>
      </c>
      <c r="AP1767" s="116">
        <f>SUMIFS(M:M,AM:AM,AM1767)+SUMIFS(O:O,AM:AM,AM1767)</f>
      </c>
      <c r="AQ1767" s="116">
        <f>SUMIFS(L:L,AM:AM,AM1767)</f>
      </c>
      <c r="AR1767" s="116">
        <f>AQ1767-AP1767</f>
      </c>
      <c r="AS1767" s="94" t="str">
        <f>IF(AN1767&gt;=AQ1767,"ok","ck")</f>
      </c>
      <c r="AT1767" s="116">
        <f>-P1767</f>
      </c>
      <c r="AU1767" s="115">
        <f>IF(SUMIFS(AT:AT,AM:AM,AM1767)&gt;AO1767,(SUMIFS(AT:AT,AM:AM,AM1767)-AO1767))</f>
      </c>
      <c r="AV1767" s="116" t="e">
        <v>#N/A</v>
      </c>
      <c r="AW1767" s="121" t="e">
        <v>#N/A</v>
      </c>
      <c r="AX1767" s="115">
        <f>AN1767-AP1767</f>
      </c>
    </row>
    <row r="1768" spans="1:50" ht="15" customHeight="1" x14ac:dyDescent="0.3">
      <c r="A1768" s="94" t="s">
        <v>862</v>
      </c>
      <c r="B1768" s="94"/>
      <c r="C1768" s="94"/>
      <c r="D1768" s="94"/>
      <c r="E1768" s="94"/>
      <c r="F1768" s="94"/>
      <c r="G1768" s="112">
        <f>AU1768</f>
      </c>
      <c r="H1768" s="113"/>
      <c r="I1768" s="94" t="s">
        <v>278</v>
      </c>
      <c r="J1768" s="94" t="s">
        <v>267</v>
      </c>
      <c r="K1768" s="114">
        <f>P1768/3</f>
      </c>
      <c r="L1768" s="115">
        <v>200.857</v>
      </c>
      <c r="M1768" s="116"/>
      <c r="N1768" s="117">
        <f>M1768-L1768</f>
      </c>
      <c r="O1768" s="112"/>
      <c r="P1768" s="118">
        <f>N1768+O1768</f>
      </c>
      <c r="Q1768" s="94"/>
      <c r="R1768" s="94" t="s">
        <v>63</v>
      </c>
      <c r="S1768" s="119">
        <v>46348</v>
      </c>
      <c r="T1768" s="119"/>
      <c r="U1768" s="119" t="s">
        <v>631</v>
      </c>
      <c r="V1768" s="94"/>
      <c r="W1768" s="94"/>
      <c r="X1768" s="94"/>
      <c r="Y1768" s="119">
        <v>46320</v>
      </c>
      <c r="Z1768" s="94"/>
      <c r="AA1768" s="120"/>
      <c r="AB1768" s="120"/>
      <c r="AC1768" s="120"/>
      <c r="AD1768" s="120"/>
      <c r="AE1768" s="120"/>
      <c r="AF1768" s="120"/>
      <c r="AG1768" s="94"/>
      <c r="AH1768" s="120"/>
      <c r="AI1768" s="94"/>
      <c r="AJ1768" s="94"/>
      <c r="AK1768" s="94"/>
      <c r="AL1768" s="94">
        <v>120</v>
      </c>
      <c r="AM1768" s="94" t="str">
        <f>TRIM(AJ1768)&amp;TRIM(AL1768)&amp;TRIM(AK1768)</f>
      </c>
      <c r="AN1768" s="116">
        <v>0</v>
      </c>
      <c r="AO1768" s="116" t="inlineStr">
        <is>
          <t>#NA</t>
        </is>
      </c>
      <c r="AP1768" s="116">
        <f>SUMIFS(M:M,AM:AM,AM1768)+SUMIFS(O:O,AM:AM,AM1768)</f>
      </c>
      <c r="AQ1768" s="116">
        <f>SUMIFS(L:L,AM:AM,AM1768)</f>
      </c>
      <c r="AR1768" s="116">
        <f>AQ1768-AP1768</f>
      </c>
      <c r="AS1768" s="94" t="str">
        <f>IF(AN1768&gt;=AQ1768,"ok","ck")</f>
      </c>
      <c r="AT1768" s="116">
        <f>-P1768</f>
      </c>
      <c r="AU1768" s="115">
        <f>IF(SUMIFS(AT:AT,AM:AM,AM1768)&gt;AO1768,(SUMIFS(AT:AT,AM:AM,AM1768)-AO1768))</f>
      </c>
      <c r="AV1768" s="116" t="e">
        <v>#N/A</v>
      </c>
      <c r="AW1768" s="121" t="e">
        <v>#N/A</v>
      </c>
      <c r="AX1768" s="115">
        <f>AN1768-AP1768</f>
      </c>
    </row>
    <row r="1769" spans="1:50" ht="15" customHeight="1" x14ac:dyDescent="0.3">
      <c r="A1769" s="94" t="s">
        <v>862</v>
      </c>
      <c r="B1769" s="94"/>
      <c r="C1769" s="94"/>
      <c r="D1769" s="94"/>
      <c r="E1769" s="94"/>
      <c r="F1769" s="94"/>
      <c r="G1769" s="112">
        <f>AU1769</f>
      </c>
      <c r="H1769" s="113"/>
      <c r="I1769" s="94" t="s">
        <v>390</v>
      </c>
      <c r="J1769" s="94" t="s">
        <v>281</v>
      </c>
      <c r="K1769" s="114">
        <f>P1769/3</f>
      </c>
      <c r="L1769" s="115">
        <v>2765.2939999999999</v>
      </c>
      <c r="M1769" s="116"/>
      <c r="N1769" s="117">
        <f>M1769-L1769</f>
      </c>
      <c r="O1769" s="112"/>
      <c r="P1769" s="118">
        <f>N1769+O1769</f>
      </c>
      <c r="Q1769" s="94"/>
      <c r="R1769" s="94" t="s">
        <v>63</v>
      </c>
      <c r="S1769" s="119">
        <v>46349</v>
      </c>
      <c r="T1769" s="119"/>
      <c r="U1769" s="119" t="s">
        <v>632</v>
      </c>
      <c r="V1769" s="94"/>
      <c r="W1769" s="94"/>
      <c r="X1769" s="94"/>
      <c r="Y1769" s="119">
        <v>46320</v>
      </c>
      <c r="Z1769" s="94"/>
      <c r="AA1769" s="120"/>
      <c r="AB1769" s="120"/>
      <c r="AC1769" s="120"/>
      <c r="AD1769" s="120"/>
      <c r="AE1769" s="120"/>
      <c r="AF1769" s="120"/>
      <c r="AG1769" s="94"/>
      <c r="AH1769" s="120"/>
      <c r="AI1769" s="94"/>
      <c r="AJ1769" s="94"/>
      <c r="AK1769" s="94"/>
      <c r="AL1769" s="94">
        <v>140</v>
      </c>
      <c r="AM1769" s="94" t="str">
        <f>TRIM(AJ1769)&amp;TRIM(AL1769)&amp;TRIM(AK1769)</f>
      </c>
      <c r="AN1769" s="116">
        <v>0</v>
      </c>
      <c r="AO1769" s="116" t="inlineStr">
        <is>
          <t>#NA</t>
        </is>
      </c>
      <c r="AP1769" s="116">
        <f>SUMIFS(M:M,AM:AM,AM1769)+SUMIFS(O:O,AM:AM,AM1769)</f>
      </c>
      <c r="AQ1769" s="116">
        <f>SUMIFS(L:L,AM:AM,AM1769)</f>
      </c>
      <c r="AR1769" s="116">
        <f>AQ1769-AP1769</f>
      </c>
      <c r="AS1769" s="94" t="str">
        <f>IF(AN1769&gt;=AQ1769,"ok","ck")</f>
      </c>
      <c r="AT1769" s="116">
        <f>-P1769</f>
      </c>
      <c r="AU1769" s="115">
        <f>IF(SUMIFS(AT:AT,AM:AM,AM1769)&gt;AO1769,(SUMIFS(AT:AT,AM:AM,AM1769)-AO1769))</f>
      </c>
      <c r="AV1769" s="116" t="e">
        <v>#N/A</v>
      </c>
      <c r="AW1769" s="121" t="e">
        <v>#N/A</v>
      </c>
      <c r="AX1769" s="115">
        <f>AN1769-AP1769</f>
      </c>
    </row>
    <row r="1770" spans="1:50" ht="15" customHeight="1" x14ac:dyDescent="0.3">
      <c r="A1770" s="94" t="s">
        <v>862</v>
      </c>
      <c r="B1770" s="94"/>
      <c r="C1770" s="94"/>
      <c r="D1770" s="94"/>
      <c r="E1770" s="94"/>
      <c r="F1770" s="94"/>
      <c r="G1770" s="112">
        <f>AU1770</f>
      </c>
      <c r="H1770" s="113"/>
      <c r="I1770" s="94" t="s">
        <v>390</v>
      </c>
      <c r="J1770" s="94" t="s">
        <v>281</v>
      </c>
      <c r="K1770" s="114">
        <f>P1770/3</f>
      </c>
      <c r="L1770" s="115">
        <v>2765.2939999999999</v>
      </c>
      <c r="M1770" s="116"/>
      <c r="N1770" s="117">
        <f>M1770-L1770</f>
      </c>
      <c r="O1770" s="112"/>
      <c r="P1770" s="118">
        <f>N1770+O1770</f>
      </c>
      <c r="Q1770" s="94"/>
      <c r="R1770" s="94" t="s">
        <v>63</v>
      </c>
      <c r="S1770" s="119">
        <v>46350</v>
      </c>
      <c r="T1770" s="119"/>
      <c r="U1770" s="120" t="s">
        <v>632</v>
      </c>
      <c r="V1770" s="94"/>
      <c r="W1770" s="94"/>
      <c r="X1770" s="94"/>
      <c r="Y1770" s="119">
        <v>46320</v>
      </c>
      <c r="Z1770" s="94"/>
      <c r="AA1770" s="120"/>
      <c r="AB1770" s="120"/>
      <c r="AC1770" s="120"/>
      <c r="AD1770" s="120"/>
      <c r="AE1770" s="120"/>
      <c r="AF1770" s="120"/>
      <c r="AG1770" s="94"/>
      <c r="AH1770" s="120"/>
      <c r="AI1770" s="94"/>
      <c r="AJ1770" s="94"/>
      <c r="AK1770" s="94"/>
      <c r="AL1770" s="94">
        <v>140</v>
      </c>
      <c r="AM1770" s="94" t="str">
        <f>TRIM(AJ1770)&amp;TRIM(AL1770)&amp;TRIM(AK1770)</f>
      </c>
      <c r="AN1770" s="116">
        <v>0</v>
      </c>
      <c r="AO1770" s="116" t="inlineStr">
        <is>
          <t>#NA</t>
        </is>
      </c>
      <c r="AP1770" s="116">
        <f>SUMIFS(M:M,AM:AM,AM1770)+SUMIFS(O:O,AM:AM,AM1770)</f>
      </c>
      <c r="AQ1770" s="116">
        <f>SUMIFS(L:L,AM:AM,AM1770)</f>
      </c>
      <c r="AR1770" s="116">
        <f>AQ1770-AP1770</f>
      </c>
      <c r="AS1770" s="94" t="str">
        <f>IF(AN1770&gt;=AQ1770,"ok","ck")</f>
      </c>
      <c r="AT1770" s="116">
        <f>-P1770</f>
      </c>
      <c r="AU1770" s="115">
        <f>IF(SUMIFS(AT:AT,AM:AM,AM1770)&gt;AO1770,(SUMIFS(AT:AT,AM:AM,AM1770)-AO1770))</f>
      </c>
      <c r="AV1770" s="116" t="e">
        <v>#N/A</v>
      </c>
      <c r="AW1770" s="121" t="e">
        <v>#N/A</v>
      </c>
      <c r="AX1770" s="115">
        <f>AN1770-AP1770</f>
      </c>
    </row>
    <row r="1771" spans="1:50" ht="15" customHeight="1" x14ac:dyDescent="0.3">
      <c r="A1771" s="94" t="s">
        <v>862</v>
      </c>
      <c r="B1771" s="94"/>
      <c r="C1771" s="94"/>
      <c r="D1771" s="94"/>
      <c r="E1771" s="94"/>
      <c r="F1771" s="94"/>
      <c r="G1771" s="112">
        <f>AU1771</f>
      </c>
      <c r="H1771" s="113"/>
      <c r="I1771" s="94" t="s">
        <v>390</v>
      </c>
      <c r="J1771" s="94" t="s">
        <v>281</v>
      </c>
      <c r="K1771" s="114">
        <f>P1771/3</f>
      </c>
      <c r="L1771" s="115">
        <v>2765.2939999999999</v>
      </c>
      <c r="M1771" s="116"/>
      <c r="N1771" s="117">
        <f>M1771-L1771</f>
      </c>
      <c r="O1771" s="112"/>
      <c r="P1771" s="118">
        <f>N1771+O1771</f>
      </c>
      <c r="Q1771" s="94"/>
      <c r="R1771" s="94" t="s">
        <v>63</v>
      </c>
      <c r="S1771" s="119">
        <v>46351</v>
      </c>
      <c r="T1771" s="119"/>
      <c r="U1771" s="120" t="s">
        <v>632</v>
      </c>
      <c r="V1771" s="94"/>
      <c r="W1771" s="94"/>
      <c r="X1771" s="94"/>
      <c r="Y1771" s="119">
        <v>46320</v>
      </c>
      <c r="Z1771" s="94"/>
      <c r="AA1771" s="120"/>
      <c r="AB1771" s="120"/>
      <c r="AC1771" s="120"/>
      <c r="AD1771" s="120"/>
      <c r="AE1771" s="120"/>
      <c r="AF1771" s="120"/>
      <c r="AG1771" s="94"/>
      <c r="AH1771" s="120"/>
      <c r="AI1771" s="94"/>
      <c r="AJ1771" s="94"/>
      <c r="AK1771" s="94"/>
      <c r="AL1771" s="94">
        <v>140</v>
      </c>
      <c r="AM1771" s="94" t="str">
        <f>TRIM(AJ1771)&amp;TRIM(AL1771)&amp;TRIM(AK1771)</f>
      </c>
      <c r="AN1771" s="116">
        <v>0</v>
      </c>
      <c r="AO1771" s="116" t="inlineStr">
        <is>
          <t>#NA</t>
        </is>
      </c>
      <c r="AP1771" s="116">
        <f>SUMIFS(M:M,AM:AM,AM1771)+SUMIFS(O:O,AM:AM,AM1771)</f>
      </c>
      <c r="AQ1771" s="116">
        <f>SUMIFS(L:L,AM:AM,AM1771)</f>
      </c>
      <c r="AR1771" s="116">
        <f>AQ1771-AP1771</f>
      </c>
      <c r="AS1771" s="94" t="str">
        <f>IF(AN1771&gt;=AQ1771,"ok","ck")</f>
      </c>
      <c r="AT1771" s="116">
        <f>-P1771</f>
      </c>
      <c r="AU1771" s="115">
        <f>IF(SUMIFS(AT:AT,AM:AM,AM1771)&gt;AO1771,(SUMIFS(AT:AT,AM:AM,AM1771)-AO1771))</f>
      </c>
      <c r="AV1771" s="116" t="e">
        <v>#N/A</v>
      </c>
      <c r="AW1771" s="121" t="e">
        <v>#N/A</v>
      </c>
      <c r="AX1771" s="115">
        <f>AN1771-AP1771</f>
      </c>
    </row>
    <row r="1772" spans="1:50" ht="15" customHeight="1" x14ac:dyDescent="0.3">
      <c r="A1772" s="94" t="s">
        <v>862</v>
      </c>
      <c r="B1772" s="94"/>
      <c r="C1772" s="94"/>
      <c r="D1772" s="94"/>
      <c r="E1772" s="94"/>
      <c r="F1772" s="94"/>
      <c r="G1772" s="112">
        <f>AU1772</f>
      </c>
      <c r="H1772" s="113"/>
      <c r="I1772" s="94" t="s">
        <v>390</v>
      </c>
      <c r="J1772" s="94" t="s">
        <v>281</v>
      </c>
      <c r="K1772" s="114">
        <f>P1772/3</f>
      </c>
      <c r="L1772" s="115">
        <v>2765.2939999999999</v>
      </c>
      <c r="M1772" s="116"/>
      <c r="N1772" s="117">
        <f>M1772-L1772</f>
      </c>
      <c r="O1772" s="112"/>
      <c r="P1772" s="118">
        <f>N1772+O1772</f>
      </c>
      <c r="Q1772" s="94"/>
      <c r="R1772" s="94" t="s">
        <v>63</v>
      </c>
      <c r="S1772" s="119">
        <v>46352</v>
      </c>
      <c r="T1772" s="119"/>
      <c r="U1772" s="120" t="s">
        <v>632</v>
      </c>
      <c r="V1772" s="94"/>
      <c r="W1772" s="94"/>
      <c r="X1772" s="94"/>
      <c r="Y1772" s="119">
        <v>46320</v>
      </c>
      <c r="Z1772" s="94"/>
      <c r="AA1772" s="120"/>
      <c r="AB1772" s="120"/>
      <c r="AC1772" s="120"/>
      <c r="AD1772" s="120"/>
      <c r="AE1772" s="120"/>
      <c r="AF1772" s="120"/>
      <c r="AG1772" s="94"/>
      <c r="AH1772" s="120"/>
      <c r="AI1772" s="94"/>
      <c r="AJ1772" s="94"/>
      <c r="AK1772" s="94"/>
      <c r="AL1772" s="94">
        <v>140</v>
      </c>
      <c r="AM1772" s="94" t="str">
        <f>TRIM(AJ1772)&amp;TRIM(AL1772)&amp;TRIM(AK1772)</f>
      </c>
      <c r="AN1772" s="116">
        <v>0</v>
      </c>
      <c r="AO1772" s="116" t="inlineStr">
        <is>
          <t>#NA</t>
        </is>
      </c>
      <c r="AP1772" s="116">
        <f>SUMIFS(M:M,AM:AM,AM1772)+SUMIFS(O:O,AM:AM,AM1772)</f>
      </c>
      <c r="AQ1772" s="116">
        <f>SUMIFS(L:L,AM:AM,AM1772)</f>
      </c>
      <c r="AR1772" s="116">
        <f>AQ1772-AP1772</f>
      </c>
      <c r="AS1772" s="94" t="str">
        <f>IF(AN1772&gt;=AQ1772,"ok","ck")</f>
      </c>
      <c r="AT1772" s="116">
        <f>-P1772</f>
      </c>
      <c r="AU1772" s="115">
        <f>IF(SUMIFS(AT:AT,AM:AM,AM1772)&gt;AO1772,(SUMIFS(AT:AT,AM:AM,AM1772)-AO1772))</f>
      </c>
      <c r="AV1772" s="116" t="e">
        <v>#N/A</v>
      </c>
      <c r="AW1772" s="121" t="e">
        <v>#N/A</v>
      </c>
      <c r="AX1772" s="115">
        <f>AN1772-AP1772</f>
      </c>
    </row>
    <row r="1773" spans="1:50" ht="15" hidden="1" customHeight="1" x14ac:dyDescent="0.3">
      <c r="A1773" s="94" t="s">
        <v>151</v>
      </c>
      <c r="B1773" s="94"/>
      <c r="C1773" s="94"/>
      <c r="D1773" s="94"/>
      <c r="E1773" s="94"/>
      <c r="F1773" s="94"/>
      <c r="G1773" s="112">
        <f>AU1773</f>
      </c>
      <c r="H1773" s="113"/>
      <c r="I1773" s="94" t="s">
        <v>167</v>
      </c>
      <c r="J1773" s="94" t="s">
        <v>172</v>
      </c>
      <c r="K1773" s="114">
        <f>P1773/3</f>
      </c>
      <c r="L1773" s="115">
        <v>3000</v>
      </c>
      <c r="M1773" s="116"/>
      <c r="N1773" s="117">
        <f>M1773-L1773</f>
      </c>
      <c r="O1773" s="112"/>
      <c r="P1773" s="118">
        <f>N1773+O1773</f>
      </c>
      <c r="Q1773" s="94" t="s">
        <v>168</v>
      </c>
      <c r="R1773" s="94" t="s">
        <v>63</v>
      </c>
      <c r="S1773" s="119">
        <v>46339</v>
      </c>
      <c r="T1773" s="119"/>
      <c r="U1773" s="120" t="s">
        <v>680</v>
      </c>
      <c r="V1773" s="94"/>
      <c r="W1773" s="94"/>
      <c r="X1773" s="94"/>
      <c r="Y1773" s="119">
        <v>46323</v>
      </c>
      <c r="Z1773" s="94"/>
      <c r="AA1773" s="120"/>
      <c r="AB1773" s="120"/>
      <c r="AC1773" s="120"/>
      <c r="AD1773" s="120"/>
      <c r="AE1773" s="120"/>
      <c r="AF1773" s="120"/>
      <c r="AG1773" s="94"/>
      <c r="AH1773" s="120"/>
      <c r="AI1773" s="94"/>
      <c r="AJ1773" s="94" t="s">
        <v>168</v>
      </c>
      <c r="AK1773" s="94" t="s">
        <v>173</v>
      </c>
      <c r="AL1773" s="94">
        <v>210</v>
      </c>
      <c r="AM1773" s="94" t="str">
        <f>TRIM(AJ1773)&amp;TRIM(AL1773)&amp;TRIM(AK1773)</f>
      </c>
      <c r="AN1773" s="116">
        <v>7204.31</v>
      </c>
      <c r="AO1773" s="116">
        <v>12213.44</v>
      </c>
      <c r="AP1773" s="116">
        <f>SUMIFS(M:M,AM:AM,AM1773)+SUMIFS(O:O,AM:AM,AM1773)</f>
      </c>
      <c r="AQ1773" s="116">
        <f>SUMIFS(L:L,AM:AM,AM1773)</f>
      </c>
      <c r="AR1773" s="116">
        <f>AQ1773-AP1773</f>
      </c>
      <c r="AS1773" s="94" t="str">
        <f>IF(AN1773&gt;=AQ1773,"ok","ck")</f>
      </c>
      <c r="AT1773" s="116">
        <f>-P1773</f>
      </c>
      <c r="AU1773" s="115">
        <f>IF(SUMIFS(AT:AT,AM:AM,AM1773)&gt;AO1773,(SUMIFS(AT:AT,AM:AM,AM1773)-AO1773))</f>
      </c>
      <c r="AV1773" s="116">
        <v>7204.31</v>
      </c>
      <c r="AW1773" s="121">
        <v>0.951</v>
      </c>
      <c r="AX1773" s="115">
        <f>AN1773-AP1773</f>
      </c>
    </row>
    <row r="1774" spans="1:50" ht="15" hidden="1" customHeight="1" x14ac:dyDescent="0.3">
      <c r="A1774" s="94" t="s">
        <v>151</v>
      </c>
      <c r="B1774" s="94"/>
      <c r="C1774" s="94"/>
      <c r="D1774" s="94"/>
      <c r="E1774" s="94"/>
      <c r="F1774" s="94"/>
      <c r="G1774" s="112">
        <f>AU1774</f>
      </c>
      <c r="H1774" s="113"/>
      <c r="I1774" s="94" t="s">
        <v>167</v>
      </c>
      <c r="J1774" s="94" t="s">
        <v>172</v>
      </c>
      <c r="K1774" s="114">
        <f>P1774/3</f>
      </c>
      <c r="L1774" s="115">
        <v>3000</v>
      </c>
      <c r="M1774" s="116"/>
      <c r="N1774" s="117">
        <f>M1774-L1774</f>
      </c>
      <c r="O1774" s="112"/>
      <c r="P1774" s="118">
        <f>N1774+O1774</f>
      </c>
      <c r="Q1774" s="94" t="s">
        <v>168</v>
      </c>
      <c r="R1774" s="94" t="s">
        <v>63</v>
      </c>
      <c r="S1774" s="119">
        <v>46340</v>
      </c>
      <c r="T1774" s="119"/>
      <c r="U1774" s="120" t="s">
        <v>680</v>
      </c>
      <c r="V1774" s="94"/>
      <c r="W1774" s="94"/>
      <c r="X1774" s="94"/>
      <c r="Y1774" s="119">
        <v>46323</v>
      </c>
      <c r="Z1774" s="94"/>
      <c r="AA1774" s="120"/>
      <c r="AB1774" s="120"/>
      <c r="AC1774" s="120"/>
      <c r="AD1774" s="120"/>
      <c r="AE1774" s="120"/>
      <c r="AF1774" s="120"/>
      <c r="AG1774" s="94"/>
      <c r="AH1774" s="120"/>
      <c r="AI1774" s="94"/>
      <c r="AJ1774" s="94" t="s">
        <v>168</v>
      </c>
      <c r="AK1774" s="94" t="s">
        <v>173</v>
      </c>
      <c r="AL1774" s="94">
        <v>210</v>
      </c>
      <c r="AM1774" s="94" t="str">
        <f>TRIM(AJ1774)&amp;TRIM(AL1774)&amp;TRIM(AK1774)</f>
      </c>
      <c r="AN1774" s="116">
        <v>7204.31</v>
      </c>
      <c r="AO1774" s="116">
        <v>12213.44</v>
      </c>
      <c r="AP1774" s="116">
        <f>SUMIFS(M:M,AM:AM,AM1774)+SUMIFS(O:O,AM:AM,AM1774)</f>
      </c>
      <c r="AQ1774" s="116">
        <f>SUMIFS(L:L,AM:AM,AM1774)</f>
      </c>
      <c r="AR1774" s="116">
        <f>AQ1774-AP1774</f>
      </c>
      <c r="AS1774" s="94" t="str">
        <f>IF(AN1774&gt;=AQ1774,"ok","ck")</f>
      </c>
      <c r="AT1774" s="116">
        <f>-P1774</f>
      </c>
      <c r="AU1774" s="115">
        <f>IF(SUMIFS(AT:AT,AM:AM,AM1774)&gt;AO1774,(SUMIFS(AT:AT,AM:AM,AM1774)-AO1774))</f>
      </c>
      <c r="AV1774" s="116">
        <v>7204.31</v>
      </c>
      <c r="AW1774" s="121">
        <v>0.951</v>
      </c>
      <c r="AX1774" s="115">
        <f>AN1774-AP1774</f>
      </c>
    </row>
    <row r="1775" spans="1:50" ht="15" hidden="1" customHeight="1" x14ac:dyDescent="0.3">
      <c r="A1775" s="94" t="s">
        <v>151</v>
      </c>
      <c r="B1775" s="94"/>
      <c r="C1775" s="94"/>
      <c r="D1775" s="94"/>
      <c r="E1775" s="94"/>
      <c r="F1775" s="94"/>
      <c r="G1775" s="112">
        <f>AU1775</f>
      </c>
      <c r="H1775" s="113"/>
      <c r="I1775" s="94" t="s">
        <v>167</v>
      </c>
      <c r="J1775" s="94" t="s">
        <v>172</v>
      </c>
      <c r="K1775" s="114">
        <f>P1775/3</f>
      </c>
      <c r="L1775" s="115">
        <v>3000</v>
      </c>
      <c r="M1775" s="116"/>
      <c r="N1775" s="117">
        <f>M1775-L1775</f>
      </c>
      <c r="O1775" s="112"/>
      <c r="P1775" s="118">
        <f>N1775+O1775</f>
      </c>
      <c r="Q1775" s="94" t="s">
        <v>168</v>
      </c>
      <c r="R1775" s="94" t="s">
        <v>63</v>
      </c>
      <c r="S1775" s="119">
        <v>46341</v>
      </c>
      <c r="T1775" s="119"/>
      <c r="U1775" s="120" t="s">
        <v>680</v>
      </c>
      <c r="V1775" s="94"/>
      <c r="W1775" s="94"/>
      <c r="X1775" s="94"/>
      <c r="Y1775" s="119">
        <v>46338</v>
      </c>
      <c r="Z1775" s="94"/>
      <c r="AA1775" s="120"/>
      <c r="AB1775" s="120"/>
      <c r="AC1775" s="120"/>
      <c r="AD1775" s="120"/>
      <c r="AE1775" s="120"/>
      <c r="AF1775" s="120"/>
      <c r="AG1775" s="94"/>
      <c r="AH1775" s="120"/>
      <c r="AI1775" s="94"/>
      <c r="AJ1775" s="94" t="s">
        <v>168</v>
      </c>
      <c r="AK1775" s="94" t="s">
        <v>173</v>
      </c>
      <c r="AL1775" s="94">
        <v>210</v>
      </c>
      <c r="AM1775" s="94" t="str">
        <f>TRIM(AJ1775)&amp;TRIM(AL1775)&amp;TRIM(AK1775)</f>
      </c>
      <c r="AN1775" s="116">
        <v>7204.31</v>
      </c>
      <c r="AO1775" s="116">
        <v>12213.44</v>
      </c>
      <c r="AP1775" s="116">
        <f>SUMIFS(M:M,AM:AM,AM1775)+SUMIFS(O:O,AM:AM,AM1775)</f>
      </c>
      <c r="AQ1775" s="116">
        <f>SUMIFS(L:L,AM:AM,AM1775)</f>
      </c>
      <c r="AR1775" s="116">
        <f>AQ1775-AP1775</f>
      </c>
      <c r="AS1775" s="94" t="str">
        <f>IF(AN1775&gt;=AQ1775,"ok","ck")</f>
      </c>
      <c r="AT1775" s="116">
        <f>-P1775</f>
      </c>
      <c r="AU1775" s="115">
        <f>IF(SUMIFS(AT:AT,AM:AM,AM1775)&gt;AO1775,(SUMIFS(AT:AT,AM:AM,AM1775)-AO1775))</f>
      </c>
      <c r="AV1775" s="116">
        <v>7204.31</v>
      </c>
      <c r="AW1775" s="121">
        <v>0.951</v>
      </c>
      <c r="AX1775" s="115">
        <f>AN1775-AP1775</f>
      </c>
    </row>
    <row r="1776" spans="1:50" ht="15" hidden="1" customHeight="1" x14ac:dyDescent="0.3">
      <c r="A1776" s="94" t="s">
        <v>151</v>
      </c>
      <c r="B1776" s="94"/>
      <c r="C1776" s="94"/>
      <c r="D1776" s="94"/>
      <c r="E1776" s="94"/>
      <c r="F1776" s="94"/>
      <c r="G1776" s="112">
        <f>AU1776</f>
      </c>
      <c r="H1776" s="113"/>
      <c r="I1776" s="94" t="s">
        <v>167</v>
      </c>
      <c r="J1776" s="94" t="s">
        <v>172</v>
      </c>
      <c r="K1776" s="114">
        <f>P1776/3</f>
      </c>
      <c r="L1776" s="115">
        <v>253.41900000000001</v>
      </c>
      <c r="M1776" s="116"/>
      <c r="N1776" s="117">
        <f>M1776-L1776</f>
      </c>
      <c r="O1776" s="112"/>
      <c r="P1776" s="118">
        <f>N1776+O1776</f>
      </c>
      <c r="Q1776" s="94" t="s">
        <v>168</v>
      </c>
      <c r="R1776" s="94" t="s">
        <v>63</v>
      </c>
      <c r="S1776" s="119">
        <v>46342</v>
      </c>
      <c r="T1776" s="119"/>
      <c r="U1776" s="120" t="s">
        <v>680</v>
      </c>
      <c r="V1776" s="94"/>
      <c r="W1776" s="94"/>
      <c r="X1776" s="94"/>
      <c r="Y1776" s="119">
        <v>46338</v>
      </c>
      <c r="Z1776" s="94"/>
      <c r="AA1776" s="120"/>
      <c r="AB1776" s="120"/>
      <c r="AC1776" s="120"/>
      <c r="AD1776" s="120"/>
      <c r="AE1776" s="120"/>
      <c r="AF1776" s="120"/>
      <c r="AG1776" s="94"/>
      <c r="AH1776" s="120"/>
      <c r="AI1776" s="94"/>
      <c r="AJ1776" s="94" t="s">
        <v>168</v>
      </c>
      <c r="AK1776" s="94" t="s">
        <v>173</v>
      </c>
      <c r="AL1776" s="94">
        <v>210</v>
      </c>
      <c r="AM1776" s="94" t="str">
        <f>TRIM(AJ1776)&amp;TRIM(AL1776)&amp;TRIM(AK1776)</f>
      </c>
      <c r="AN1776" s="116">
        <v>7204.31</v>
      </c>
      <c r="AO1776" s="116">
        <v>12213.44</v>
      </c>
      <c r="AP1776" s="116">
        <f>SUMIFS(M:M,AM:AM,AM1776)+SUMIFS(O:O,AM:AM,AM1776)</f>
      </c>
      <c r="AQ1776" s="116">
        <f>SUMIFS(L:L,AM:AM,AM1776)</f>
      </c>
      <c r="AR1776" s="116">
        <f>AQ1776-AP1776</f>
      </c>
      <c r="AS1776" s="94" t="str">
        <f>IF(AN1776&gt;=AQ1776,"ok","ck")</f>
      </c>
      <c r="AT1776" s="116">
        <f>-P1776</f>
      </c>
      <c r="AU1776" s="115">
        <f>IF(SUMIFS(AT:AT,AM:AM,AM1776)&gt;AO1776,(SUMIFS(AT:AT,AM:AM,AM1776)-AO1776))</f>
      </c>
      <c r="AV1776" s="116">
        <v>7204.31</v>
      </c>
      <c r="AW1776" s="121">
        <v>0.951</v>
      </c>
      <c r="AX1776" s="115">
        <f>AN1776-AP1776</f>
      </c>
    </row>
    <row r="1777" spans="1:50" ht="15" hidden="1" customHeight="1" x14ac:dyDescent="0.3">
      <c r="A1777" s="94" t="s">
        <v>93</v>
      </c>
      <c r="B1777" s="94"/>
      <c r="C1777" s="94"/>
      <c r="D1777" s="94"/>
      <c r="E1777" s="94"/>
      <c r="F1777" s="94"/>
      <c r="G1777" s="112">
        <f>AU1777</f>
      </c>
      <c r="H1777" s="113"/>
      <c r="I1777" s="94" t="s">
        <v>107</v>
      </c>
      <c r="J1777" s="94" t="s">
        <v>577</v>
      </c>
      <c r="K1777" s="114">
        <f>P1777/3</f>
      </c>
      <c r="L1777" s="115">
        <v>194.09299999999999</v>
      </c>
      <c r="M1777" s="116"/>
      <c r="N1777" s="117">
        <f>M1777-L1777</f>
      </c>
      <c r="O1777" s="112"/>
      <c r="P1777" s="118">
        <f>N1777+O1777</f>
      </c>
      <c r="Q1777" s="94" t="s">
        <v>828</v>
      </c>
      <c r="R1777" s="94" t="s">
        <v>63</v>
      </c>
      <c r="S1777" s="119">
        <v>46341</v>
      </c>
      <c r="T1777" s="119"/>
      <c r="U1777" s="120">
        <v>46341</v>
      </c>
      <c r="V1777" s="94"/>
      <c r="W1777" s="94"/>
      <c r="X1777" s="94"/>
      <c r="Y1777" s="119">
        <v>46341</v>
      </c>
      <c r="Z1777" s="94"/>
      <c r="AA1777" s="120"/>
      <c r="AB1777" s="120"/>
      <c r="AC1777" s="120"/>
      <c r="AD1777" s="120"/>
      <c r="AE1777" s="120"/>
      <c r="AF1777" s="120"/>
      <c r="AG1777" s="94"/>
      <c r="AH1777" s="120"/>
      <c r="AI1777" s="94"/>
      <c r="AJ1777" s="94" t="s">
        <v>828</v>
      </c>
      <c r="AK1777" s="94" t="s">
        <v>744</v>
      </c>
      <c r="AL1777" s="94">
        <v>140</v>
      </c>
      <c r="AM1777" s="94" t="str">
        <f>TRIM(AJ1777)&amp;TRIM(AL1777)&amp;TRIM(AK1777)</f>
      </c>
      <c r="AN1777" s="116">
        <v>0</v>
      </c>
      <c r="AO1777" s="116" t="inlineStr">
        <is>
          <t>#NA</t>
        </is>
      </c>
      <c r="AP1777" s="116">
        <f>SUMIFS(M:M,AM:AM,AM1777)+SUMIFS(O:O,AM:AM,AM1777)</f>
      </c>
      <c r="AQ1777" s="116">
        <f>SUMIFS(L:L,AM:AM,AM1777)</f>
      </c>
      <c r="AR1777" s="116">
        <f>AQ1777-AP1777</f>
      </c>
      <c r="AS1777" s="94" t="str">
        <f>IF(AN1777&gt;=AQ1777,"ok","ck")</f>
      </c>
      <c r="AT1777" s="116">
        <f>-P1777</f>
      </c>
      <c r="AU1777" s="115">
        <f>IF(SUMIFS(AT:AT,AM:AM,AM1777)&gt;AO1777,(SUMIFS(AT:AT,AM:AM,AM1777)-AO1777))</f>
      </c>
      <c r="AV1777" s="116">
        <v>0</v>
      </c>
      <c r="AW1777" s="121">
        <v>0</v>
      </c>
      <c r="AX1777" s="115">
        <f>AN1777-AP1777</f>
      </c>
    </row>
    <row r="1778" spans="1:50" ht="15" hidden="1" customHeight="1" x14ac:dyDescent="0.3">
      <c r="A1778" s="94" t="s">
        <v>93</v>
      </c>
      <c r="B1778" s="94"/>
      <c r="C1778" s="94"/>
      <c r="D1778" s="94"/>
      <c r="E1778" s="94"/>
      <c r="F1778" s="94"/>
      <c r="G1778" s="112">
        <f>AU1778</f>
      </c>
      <c r="H1778" s="113"/>
      <c r="I1778" s="94" t="s">
        <v>107</v>
      </c>
      <c r="J1778" s="94" t="s">
        <v>577</v>
      </c>
      <c r="K1778" s="114">
        <f>P1778/3</f>
      </c>
      <c r="L1778" s="115">
        <v>23.167999999999999</v>
      </c>
      <c r="M1778" s="116"/>
      <c r="N1778" s="117">
        <f>M1778-L1778</f>
      </c>
      <c r="O1778" s="112"/>
      <c r="P1778" s="118">
        <f>N1778+O1778</f>
      </c>
      <c r="Q1778" s="94" t="s">
        <v>828</v>
      </c>
      <c r="R1778" s="94" t="s">
        <v>63</v>
      </c>
      <c r="S1778" s="119">
        <v>46341</v>
      </c>
      <c r="T1778" s="119"/>
      <c r="U1778" s="120">
        <v>46341</v>
      </c>
      <c r="V1778" s="94"/>
      <c r="W1778" s="94"/>
      <c r="X1778" s="94"/>
      <c r="Y1778" s="119">
        <v>46341</v>
      </c>
      <c r="Z1778" s="94"/>
      <c r="AA1778" s="120"/>
      <c r="AB1778" s="120"/>
      <c r="AC1778" s="120"/>
      <c r="AD1778" s="120"/>
      <c r="AE1778" s="120"/>
      <c r="AF1778" s="120"/>
      <c r="AG1778" s="94"/>
      <c r="AH1778" s="120"/>
      <c r="AI1778" s="94"/>
      <c r="AJ1778" s="94" t="s">
        <v>828</v>
      </c>
      <c r="AK1778" s="94" t="s">
        <v>744</v>
      </c>
      <c r="AL1778" s="94">
        <v>140</v>
      </c>
      <c r="AM1778" s="94" t="str">
        <f>TRIM(AJ1778)&amp;TRIM(AL1778)&amp;TRIM(AK1778)</f>
      </c>
      <c r="AN1778" s="116">
        <v>0</v>
      </c>
      <c r="AO1778" s="116" t="inlineStr">
        <is>
          <t>#NA</t>
        </is>
      </c>
      <c r="AP1778" s="116">
        <f>SUMIFS(M:M,AM:AM,AM1778)+SUMIFS(O:O,AM:AM,AM1778)</f>
      </c>
      <c r="AQ1778" s="116">
        <f>SUMIFS(L:L,AM:AM,AM1778)</f>
      </c>
      <c r="AR1778" s="116">
        <f>AQ1778-AP1778</f>
      </c>
      <c r="AS1778" s="94" t="str">
        <f>IF(AN1778&gt;=AQ1778,"ok","ck")</f>
      </c>
      <c r="AT1778" s="116">
        <f>-P1778</f>
      </c>
      <c r="AU1778" s="115">
        <f>IF(SUMIFS(AT:AT,AM:AM,AM1778)&gt;AO1778,(SUMIFS(AT:AT,AM:AM,AM1778)-AO1778))</f>
      </c>
      <c r="AV1778" s="116">
        <v>0</v>
      </c>
      <c r="AW1778" s="121">
        <v>0</v>
      </c>
      <c r="AX1778" s="115">
        <f>AN1778-AP1778</f>
      </c>
    </row>
    <row r="1779" spans="1:50" ht="15" hidden="1" customHeight="1" x14ac:dyDescent="0.3">
      <c r="A1779" s="94" t="s">
        <v>93</v>
      </c>
      <c r="B1779" s="94"/>
      <c r="C1779" s="94"/>
      <c r="D1779" s="94"/>
      <c r="E1779" s="94"/>
      <c r="F1779" s="94"/>
      <c r="G1779" s="112">
        <f>AU1779</f>
      </c>
      <c r="H1779" s="113"/>
      <c r="I1779" s="94" t="s">
        <v>107</v>
      </c>
      <c r="J1779" s="94" t="s">
        <v>578</v>
      </c>
      <c r="K1779" s="114">
        <f>P1779/3</f>
      </c>
      <c r="L1779" s="115">
        <v>3.048</v>
      </c>
      <c r="M1779" s="116"/>
      <c r="N1779" s="117">
        <f>M1779-L1779</f>
      </c>
      <c r="O1779" s="112"/>
      <c r="P1779" s="118">
        <f>N1779+O1779</f>
      </c>
      <c r="Q1779" s="94" t="s">
        <v>828</v>
      </c>
      <c r="R1779" s="94" t="s">
        <v>63</v>
      </c>
      <c r="S1779" s="119">
        <v>46341</v>
      </c>
      <c r="T1779" s="119"/>
      <c r="U1779" s="120">
        <v>46341</v>
      </c>
      <c r="V1779" s="94"/>
      <c r="W1779" s="94"/>
      <c r="X1779" s="94"/>
      <c r="Y1779" s="119">
        <v>46345</v>
      </c>
      <c r="Z1779" s="94"/>
      <c r="AA1779" s="120"/>
      <c r="AB1779" s="120"/>
      <c r="AC1779" s="120"/>
      <c r="AD1779" s="120"/>
      <c r="AE1779" s="120"/>
      <c r="AF1779" s="120"/>
      <c r="AG1779" s="94"/>
      <c r="AH1779" s="120"/>
      <c r="AI1779" s="94"/>
      <c r="AJ1779" s="94" t="s">
        <v>828</v>
      </c>
      <c r="AK1779" s="94" t="s">
        <v>745</v>
      </c>
      <c r="AL1779" s="94">
        <v>140</v>
      </c>
      <c r="AM1779" s="94" t="str">
        <f>TRIM(AJ1779)&amp;TRIM(AL1779)&amp;TRIM(AK1779)</f>
      </c>
      <c r="AN1779" s="116">
        <v>0</v>
      </c>
      <c r="AO1779" s="116" t="inlineStr">
        <is>
          <t>#NA</t>
        </is>
      </c>
      <c r="AP1779" s="116">
        <f>SUMIFS(M:M,AM:AM,AM1779)+SUMIFS(O:O,AM:AM,AM1779)</f>
      </c>
      <c r="AQ1779" s="116">
        <f>SUMIFS(L:L,AM:AM,AM1779)</f>
      </c>
      <c r="AR1779" s="116">
        <f>AQ1779-AP1779</f>
      </c>
      <c r="AS1779" s="94" t="str">
        <f>IF(AN1779&gt;=AQ1779,"ok","ck")</f>
      </c>
      <c r="AT1779" s="116">
        <f>-P1779</f>
      </c>
      <c r="AU1779" s="115">
        <f>IF(SUMIFS(AT:AT,AM:AM,AM1779)&gt;AO1779,(SUMIFS(AT:AT,AM:AM,AM1779)-AO1779))</f>
      </c>
      <c r="AV1779" s="116">
        <v>0</v>
      </c>
      <c r="AW1779" s="121">
        <v>0</v>
      </c>
      <c r="AX1779" s="115">
        <f>AN1779-AP1779</f>
      </c>
    </row>
    <row r="1780" spans="1:50" ht="15" hidden="1" customHeight="1" x14ac:dyDescent="0.3">
      <c r="A1780" s="94" t="s">
        <v>93</v>
      </c>
      <c r="B1780" s="94"/>
      <c r="C1780" s="94"/>
      <c r="D1780" s="94"/>
      <c r="E1780" s="94"/>
      <c r="F1780" s="94"/>
      <c r="G1780" s="112">
        <f>AU1780</f>
      </c>
      <c r="H1780" s="113"/>
      <c r="I1780" s="94" t="s">
        <v>107</v>
      </c>
      <c r="J1780" s="94" t="s">
        <v>578</v>
      </c>
      <c r="K1780" s="114">
        <f>P1780/3</f>
      </c>
      <c r="L1780" s="115">
        <v>78.274000000000001</v>
      </c>
      <c r="M1780" s="116"/>
      <c r="N1780" s="117">
        <f>M1780-L1780</f>
      </c>
      <c r="O1780" s="112"/>
      <c r="P1780" s="118">
        <f>N1780+O1780</f>
      </c>
      <c r="Q1780" s="94" t="s">
        <v>828</v>
      </c>
      <c r="R1780" s="94" t="s">
        <v>63</v>
      </c>
      <c r="S1780" s="119">
        <v>46341</v>
      </c>
      <c r="T1780" s="119"/>
      <c r="U1780" s="120">
        <v>46341</v>
      </c>
      <c r="V1780" s="94"/>
      <c r="W1780" s="94"/>
      <c r="X1780" s="94"/>
      <c r="Y1780" s="119">
        <v>46343</v>
      </c>
      <c r="Z1780" s="94"/>
      <c r="AA1780" s="120"/>
      <c r="AB1780" s="120"/>
      <c r="AC1780" s="120"/>
      <c r="AD1780" s="120"/>
      <c r="AE1780" s="120"/>
      <c r="AF1780" s="120"/>
      <c r="AG1780" s="94"/>
      <c r="AH1780" s="120"/>
      <c r="AI1780" s="94"/>
      <c r="AJ1780" s="94" t="s">
        <v>828</v>
      </c>
      <c r="AK1780" s="94" t="s">
        <v>745</v>
      </c>
      <c r="AL1780" s="94">
        <v>140</v>
      </c>
      <c r="AM1780" s="94" t="str">
        <f>TRIM(AJ1780)&amp;TRIM(AL1780)&amp;TRIM(AK1780)</f>
      </c>
      <c r="AN1780" s="116">
        <v>0</v>
      </c>
      <c r="AO1780" s="116" t="inlineStr">
        <is>
          <t>#NA</t>
        </is>
      </c>
      <c r="AP1780" s="116">
        <f>SUMIFS(M:M,AM:AM,AM1780)+SUMIFS(O:O,AM:AM,AM1780)</f>
      </c>
      <c r="AQ1780" s="116">
        <f>SUMIFS(L:L,AM:AM,AM1780)</f>
      </c>
      <c r="AR1780" s="116">
        <f>AQ1780-AP1780</f>
      </c>
      <c r="AS1780" s="94" t="str">
        <f>IF(AN1780&gt;=AQ1780,"ok","ck")</f>
      </c>
      <c r="AT1780" s="116">
        <f>-P1780</f>
      </c>
      <c r="AU1780" s="115">
        <f>IF(SUMIFS(AT:AT,AM:AM,AM1780)&gt;AO1780,(SUMIFS(AT:AT,AM:AM,AM1780)-AO1780))</f>
      </c>
      <c r="AV1780" s="116">
        <v>0</v>
      </c>
      <c r="AW1780" s="121">
        <v>0</v>
      </c>
      <c r="AX1780" s="115">
        <f>AN1780-AP1780</f>
      </c>
    </row>
    <row r="1781" spans="1:50" ht="15" hidden="1" customHeight="1" x14ac:dyDescent="0.3">
      <c r="A1781" s="94" t="s">
        <v>93</v>
      </c>
      <c r="B1781" s="94"/>
      <c r="C1781" s="94"/>
      <c r="D1781" s="94"/>
      <c r="E1781" s="94"/>
      <c r="F1781" s="94"/>
      <c r="G1781" s="112">
        <f>AU1781</f>
      </c>
      <c r="H1781" s="113"/>
      <c r="I1781" s="94" t="s">
        <v>107</v>
      </c>
      <c r="J1781" s="94" t="s">
        <v>578</v>
      </c>
      <c r="K1781" s="114">
        <f>P1781/3</f>
      </c>
      <c r="L1781" s="115">
        <v>1.496</v>
      </c>
      <c r="M1781" s="116"/>
      <c r="N1781" s="117">
        <f>M1781-L1781</f>
      </c>
      <c r="O1781" s="112"/>
      <c r="P1781" s="118">
        <f>N1781+O1781</f>
      </c>
      <c r="Q1781" s="94" t="s">
        <v>828</v>
      </c>
      <c r="R1781" s="94" t="s">
        <v>63</v>
      </c>
      <c r="S1781" s="119">
        <v>46341</v>
      </c>
      <c r="T1781" s="119"/>
      <c r="U1781" s="120">
        <v>46341</v>
      </c>
      <c r="V1781" s="94"/>
      <c r="W1781" s="94"/>
      <c r="X1781" s="94"/>
      <c r="Y1781" s="119">
        <v>46345</v>
      </c>
      <c r="Z1781" s="94"/>
      <c r="AA1781" s="120"/>
      <c r="AB1781" s="120"/>
      <c r="AC1781" s="120"/>
      <c r="AD1781" s="120"/>
      <c r="AE1781" s="120"/>
      <c r="AF1781" s="120"/>
      <c r="AG1781" s="94"/>
      <c r="AH1781" s="120"/>
      <c r="AI1781" s="94"/>
      <c r="AJ1781" s="94" t="s">
        <v>828</v>
      </c>
      <c r="AK1781" s="94" t="s">
        <v>745</v>
      </c>
      <c r="AL1781" s="94">
        <v>140</v>
      </c>
      <c r="AM1781" s="94" t="str">
        <f>TRIM(AJ1781)&amp;TRIM(AL1781)&amp;TRIM(AK1781)</f>
      </c>
      <c r="AN1781" s="116">
        <v>0</v>
      </c>
      <c r="AO1781" s="116" t="inlineStr">
        <is>
          <t>#NA</t>
        </is>
      </c>
      <c r="AP1781" s="116">
        <f>SUMIFS(M:M,AM:AM,AM1781)+SUMIFS(O:O,AM:AM,AM1781)</f>
      </c>
      <c r="AQ1781" s="116">
        <f>SUMIFS(L:L,AM:AM,AM1781)</f>
      </c>
      <c r="AR1781" s="116">
        <f>AQ1781-AP1781</f>
      </c>
      <c r="AS1781" s="94" t="str">
        <f>IF(AN1781&gt;=AQ1781,"ok","ck")</f>
      </c>
      <c r="AT1781" s="116">
        <f>-P1781</f>
      </c>
      <c r="AU1781" s="115">
        <f>IF(SUMIFS(AT:AT,AM:AM,AM1781)&gt;AO1781,(SUMIFS(AT:AT,AM:AM,AM1781)-AO1781))</f>
      </c>
      <c r="AV1781" s="116">
        <v>0</v>
      </c>
      <c r="AW1781" s="121">
        <v>0</v>
      </c>
      <c r="AX1781" s="115">
        <f>AN1781-AP1781</f>
      </c>
    </row>
    <row r="1782" spans="1:50" ht="15" hidden="1" customHeight="1" x14ac:dyDescent="0.3">
      <c r="A1782" s="94" t="s">
        <v>82</v>
      </c>
      <c r="B1782" s="94"/>
      <c r="C1782" s="94"/>
      <c r="D1782" s="94"/>
      <c r="E1782" s="94"/>
      <c r="F1782" s="94"/>
      <c r="G1782" s="112">
        <f>AU1782</f>
      </c>
      <c r="H1782" s="113"/>
      <c r="I1782" s="94" t="s">
        <v>83</v>
      </c>
      <c r="J1782" s="94" t="s">
        <v>71</v>
      </c>
      <c r="K1782" s="114">
        <f>P1782/3</f>
      </c>
      <c r="L1782" s="115">
        <v>3507.0219999999999</v>
      </c>
      <c r="M1782" s="116">
        <v>3507.0219999999999</v>
      </c>
      <c r="N1782" s="117">
        <f>M1782-L1782</f>
      </c>
      <c r="O1782" s="112"/>
      <c r="P1782" s="118">
        <f>N1782+O1782</f>
      </c>
      <c r="Q1782" s="94" t="s">
        <v>85</v>
      </c>
      <c r="R1782" s="94" t="s">
        <v>63</v>
      </c>
      <c r="S1782" s="119">
        <v>46327</v>
      </c>
      <c r="T1782" s="119"/>
      <c r="U1782" s="120">
        <v>46327</v>
      </c>
      <c r="V1782" s="94"/>
      <c r="W1782" s="94"/>
      <c r="X1782" s="94"/>
      <c r="Y1782" s="119">
        <v>46320</v>
      </c>
      <c r="Z1782" s="94"/>
      <c r="AA1782" s="120"/>
      <c r="AB1782" s="120"/>
      <c r="AC1782" s="120"/>
      <c r="AD1782" s="120"/>
      <c r="AE1782" s="120"/>
      <c r="AF1782" s="120"/>
      <c r="AG1782" s="94"/>
      <c r="AH1782" s="120"/>
      <c r="AI1782" s="94"/>
      <c r="AJ1782" s="94" t="s">
        <v>86</v>
      </c>
      <c r="AK1782" s="94" t="s">
        <v>71</v>
      </c>
      <c r="AL1782" s="94">
        <v>160</v>
      </c>
      <c r="AM1782" s="94" t="str">
        <f>TRIM(AJ1782)&amp;TRIM(AL1782)&amp;TRIM(AK1782)</f>
      </c>
      <c r="AN1782" s="116">
        <v>15717.52</v>
      </c>
      <c r="AO1782" s="116">
        <v>5009.47</v>
      </c>
      <c r="AP1782" s="116">
        <f>SUMIFS(M:M,AM:AM,AM1782)+SUMIFS(O:O,AM:AM,AM1782)</f>
      </c>
      <c r="AQ1782" s="116">
        <f>SUMIFS(L:L,AM:AM,AM1782)</f>
      </c>
      <c r="AR1782" s="116">
        <f>AQ1782-AP1782</f>
      </c>
      <c r="AS1782" s="94" t="str">
        <f>IF(AN1782&gt;=AQ1782,"ok","ck")</f>
      </c>
      <c r="AT1782" s="116">
        <f>-P1782</f>
      </c>
      <c r="AU1782" s="115">
        <f>IF(SUMIFS(AT:AT,AM:AM,AM1782)&gt;AO1782,(SUMIFS(AT:AT,AM:AM,AM1782)-AO1782))</f>
      </c>
      <c r="AV1782" s="116">
        <v>15717.52</v>
      </c>
      <c r="AW1782" s="121">
        <v>0.758</v>
      </c>
      <c r="AX1782" s="115">
        <f>AN1782-AP1782</f>
      </c>
    </row>
    <row r="1783" spans="1:50" ht="15" hidden="1" customHeight="1" x14ac:dyDescent="0.3">
      <c r="A1783" s="94" t="s">
        <v>82</v>
      </c>
      <c r="B1783" s="94"/>
      <c r="C1783" s="94"/>
      <c r="D1783" s="94"/>
      <c r="E1783" s="94"/>
      <c r="F1783" s="94"/>
      <c r="G1783" s="112">
        <f>AU1783</f>
      </c>
      <c r="H1783" s="113"/>
      <c r="I1783" s="94" t="s">
        <v>83</v>
      </c>
      <c r="J1783" s="94" t="s">
        <v>71</v>
      </c>
      <c r="K1783" s="114">
        <f>P1783/3</f>
      </c>
      <c r="L1783" s="115">
        <v>6944.8940000000002</v>
      </c>
      <c r="M1783" s="116">
        <v>4119.1859999999997</v>
      </c>
      <c r="N1783" s="117">
        <f>M1783-L1783</f>
      </c>
      <c r="O1783" s="112"/>
      <c r="P1783" s="118">
        <f>N1783+O1783</f>
      </c>
      <c r="Q1783" s="94" t="s">
        <v>85</v>
      </c>
      <c r="R1783" s="94" t="s">
        <v>63</v>
      </c>
      <c r="S1783" s="119">
        <v>46327</v>
      </c>
      <c r="T1783" s="119"/>
      <c r="U1783" s="120">
        <v>46327</v>
      </c>
      <c r="V1783" s="94"/>
      <c r="W1783" s="94"/>
      <c r="X1783" s="94"/>
      <c r="Y1783" s="119">
        <v>46324</v>
      </c>
      <c r="Z1783" s="94"/>
      <c r="AA1783" s="120"/>
      <c r="AB1783" s="120"/>
      <c r="AC1783" s="120"/>
      <c r="AD1783" s="120"/>
      <c r="AE1783" s="120"/>
      <c r="AF1783" s="120"/>
      <c r="AG1783" s="94"/>
      <c r="AH1783" s="120"/>
      <c r="AI1783" s="94"/>
      <c r="AJ1783" s="94" t="s">
        <v>86</v>
      </c>
      <c r="AK1783" s="94" t="s">
        <v>71</v>
      </c>
      <c r="AL1783" s="94">
        <v>160</v>
      </c>
      <c r="AM1783" s="94" t="str">
        <f>TRIM(AJ1783)&amp;TRIM(AL1783)&amp;TRIM(AK1783)</f>
      </c>
      <c r="AN1783" s="116">
        <v>15717.52</v>
      </c>
      <c r="AO1783" s="116">
        <v>5009.47</v>
      </c>
      <c r="AP1783" s="116">
        <f>SUMIFS(M:M,AM:AM,AM1783)+SUMIFS(O:O,AM:AM,AM1783)</f>
      </c>
      <c r="AQ1783" s="116">
        <f>SUMIFS(L:L,AM:AM,AM1783)</f>
      </c>
      <c r="AR1783" s="116">
        <f>AQ1783-AP1783</f>
      </c>
      <c r="AS1783" s="94" t="str">
        <f>IF(AN1783&gt;=AQ1783,"ok","ck")</f>
      </c>
      <c r="AT1783" s="116">
        <f>-P1783</f>
      </c>
      <c r="AU1783" s="115">
        <f>IF(SUMIFS(AT:AT,AM:AM,AM1783)&gt;AO1783,(SUMIFS(AT:AT,AM:AM,AM1783)-AO1783))</f>
      </c>
      <c r="AV1783" s="116">
        <v>15717.52</v>
      </c>
      <c r="AW1783" s="121">
        <v>0.758</v>
      </c>
      <c r="AX1783" s="115">
        <f>AN1783-AP1783</f>
      </c>
    </row>
    <row r="1784" spans="1:50" ht="15" hidden="1" customHeight="1" x14ac:dyDescent="0.3">
      <c r="A1784" s="94" t="s">
        <v>82</v>
      </c>
      <c r="B1784" s="94"/>
      <c r="C1784" s="94"/>
      <c r="D1784" s="94"/>
      <c r="E1784" s="94"/>
      <c r="F1784" s="94"/>
      <c r="G1784" s="112">
        <f>AU1784</f>
      </c>
      <c r="H1784" s="113"/>
      <c r="I1784" s="94" t="s">
        <v>83</v>
      </c>
      <c r="J1784" s="94" t="s">
        <v>71</v>
      </c>
      <c r="K1784" s="114">
        <f>P1784/3</f>
      </c>
      <c r="L1784" s="115">
        <v>2183.7620000000002</v>
      </c>
      <c r="M1784" s="116"/>
      <c r="N1784" s="117">
        <f>M1784-L1784</f>
      </c>
      <c r="O1784" s="112"/>
      <c r="P1784" s="118">
        <f>N1784+O1784</f>
      </c>
      <c r="Q1784" s="94" t="s">
        <v>85</v>
      </c>
      <c r="R1784" s="94" t="s">
        <v>63</v>
      </c>
      <c r="S1784" s="119">
        <v>46327</v>
      </c>
      <c r="T1784" s="119"/>
      <c r="U1784" s="120">
        <v>46327</v>
      </c>
      <c r="V1784" s="94"/>
      <c r="W1784" s="94"/>
      <c r="X1784" s="94"/>
      <c r="Y1784" s="119">
        <v>46320</v>
      </c>
      <c r="Z1784" s="94"/>
      <c r="AA1784" s="120"/>
      <c r="AB1784" s="120"/>
      <c r="AC1784" s="120"/>
      <c r="AD1784" s="120"/>
      <c r="AE1784" s="120"/>
      <c r="AF1784" s="120"/>
      <c r="AG1784" s="94"/>
      <c r="AH1784" s="120"/>
      <c r="AI1784" s="94"/>
      <c r="AJ1784" s="94" t="s">
        <v>86</v>
      </c>
      <c r="AK1784" s="94" t="s">
        <v>71</v>
      </c>
      <c r="AL1784" s="94">
        <v>160</v>
      </c>
      <c r="AM1784" s="94" t="str">
        <f>TRIM(AJ1784)&amp;TRIM(AL1784)&amp;TRIM(AK1784)</f>
      </c>
      <c r="AN1784" s="116">
        <v>15717.52</v>
      </c>
      <c r="AO1784" s="116">
        <v>5009.47</v>
      </c>
      <c r="AP1784" s="116">
        <f>SUMIFS(M:M,AM:AM,AM1784)+SUMIFS(O:O,AM:AM,AM1784)</f>
      </c>
      <c r="AQ1784" s="116">
        <f>SUMIFS(L:L,AM:AM,AM1784)</f>
      </c>
      <c r="AR1784" s="116">
        <f>AQ1784-AP1784</f>
      </c>
      <c r="AS1784" s="94" t="str">
        <f>IF(AN1784&gt;=AQ1784,"ok","ck")</f>
      </c>
      <c r="AT1784" s="116">
        <f>-P1784</f>
      </c>
      <c r="AU1784" s="115">
        <f>IF(SUMIFS(AT:AT,AM:AM,AM1784)&gt;AO1784,(SUMIFS(AT:AT,AM:AM,AM1784)-AO1784))</f>
      </c>
      <c r="AV1784" s="116">
        <v>15717.52</v>
      </c>
      <c r="AW1784" s="121">
        <v>0.758</v>
      </c>
      <c r="AX1784" s="115">
        <f>AN1784-AP1784</f>
      </c>
    </row>
    <row r="1785" spans="1:50" ht="15" hidden="1" customHeight="1" x14ac:dyDescent="0.3">
      <c r="A1785" s="94" t="s">
        <v>60</v>
      </c>
      <c r="B1785" s="94"/>
      <c r="C1785" s="94"/>
      <c r="D1785" s="94"/>
      <c r="E1785" s="94"/>
      <c r="F1785" s="94"/>
      <c r="G1785" s="112">
        <f>AU1785</f>
      </c>
      <c r="H1785" s="113"/>
      <c r="I1785" s="94" t="s">
        <v>70</v>
      </c>
      <c r="J1785" s="94" t="s">
        <v>71</v>
      </c>
      <c r="K1785" s="114">
        <f>P1785/3</f>
      </c>
      <c r="L1785" s="115">
        <v>922.99800000000005</v>
      </c>
      <c r="M1785" s="116"/>
      <c r="N1785" s="117">
        <f>M1785-L1785</f>
      </c>
      <c r="O1785" s="112"/>
      <c r="P1785" s="118">
        <f>N1785+O1785</f>
      </c>
      <c r="Q1785" s="94" t="s">
        <v>92</v>
      </c>
      <c r="R1785" s="94" t="s">
        <v>63</v>
      </c>
      <c r="S1785" s="119">
        <v>46328</v>
      </c>
      <c r="T1785" s="119"/>
      <c r="U1785" s="120" t="s">
        <v>669</v>
      </c>
      <c r="V1785" s="94"/>
      <c r="W1785" s="94"/>
      <c r="X1785" s="94"/>
      <c r="Y1785" s="119">
        <v>46321</v>
      </c>
      <c r="Z1785" s="94"/>
      <c r="AA1785" s="120"/>
      <c r="AB1785" s="120"/>
      <c r="AC1785" s="120"/>
      <c r="AD1785" s="120"/>
      <c r="AE1785" s="120"/>
      <c r="AF1785" s="120"/>
      <c r="AG1785" s="94"/>
      <c r="AH1785" s="120"/>
      <c r="AI1785" s="94"/>
      <c r="AJ1785" s="94" t="s">
        <v>92</v>
      </c>
      <c r="AK1785" s="94" t="s">
        <v>71</v>
      </c>
      <c r="AL1785" s="94">
        <v>140</v>
      </c>
      <c r="AM1785" s="94" t="str">
        <f>TRIM(AJ1785)&amp;TRIM(AL1785)&amp;TRIM(AK1785)</f>
      </c>
      <c r="AN1785" s="116">
        <v>0</v>
      </c>
      <c r="AO1785" s="116" t="inlineStr">
        <is>
          <t>#NA</t>
        </is>
      </c>
      <c r="AP1785" s="116">
        <f>SUMIFS(M:M,AM:AM,AM1785)+SUMIFS(O:O,AM:AM,AM1785)</f>
      </c>
      <c r="AQ1785" s="116">
        <f>SUMIFS(L:L,AM:AM,AM1785)</f>
      </c>
      <c r="AR1785" s="116">
        <f>AQ1785-AP1785</f>
      </c>
      <c r="AS1785" s="94" t="str">
        <f>IF(AN1785&gt;=AQ1785,"ok","ck")</f>
      </c>
      <c r="AT1785" s="116">
        <f>-P1785</f>
      </c>
      <c r="AU1785" s="115">
        <f>IF(SUMIFS(AT:AT,AM:AM,AM1785)&gt;AO1785,(SUMIFS(AT:AT,AM:AM,AM1785)-AO1785))</f>
      </c>
      <c r="AV1785" s="116">
        <v>0</v>
      </c>
      <c r="AW1785" s="121">
        <v>0</v>
      </c>
      <c r="AX1785" s="115">
        <f>AN1785-AP1785</f>
      </c>
    </row>
    <row r="1786" spans="1:50" ht="15" hidden="1" customHeight="1" x14ac:dyDescent="0.3">
      <c r="A1786" s="94" t="s">
        <v>60</v>
      </c>
      <c r="B1786" s="94"/>
      <c r="C1786" s="94"/>
      <c r="D1786" s="94"/>
      <c r="E1786" s="94"/>
      <c r="F1786" s="94"/>
      <c r="G1786" s="112">
        <f>AU1786</f>
      </c>
      <c r="H1786" s="113"/>
      <c r="I1786" s="94" t="s">
        <v>70</v>
      </c>
      <c r="J1786" s="94" t="s">
        <v>71</v>
      </c>
      <c r="K1786" s="114">
        <f>P1786/3</f>
      </c>
      <c r="L1786" s="115">
        <v>922.99800000000005</v>
      </c>
      <c r="M1786" s="116"/>
      <c r="N1786" s="117">
        <f>M1786-L1786</f>
      </c>
      <c r="O1786" s="112"/>
      <c r="P1786" s="118">
        <f>N1786+O1786</f>
      </c>
      <c r="Q1786" s="94" t="s">
        <v>92</v>
      </c>
      <c r="R1786" s="94" t="s">
        <v>63</v>
      </c>
      <c r="S1786" s="119">
        <v>46329</v>
      </c>
      <c r="T1786" s="119"/>
      <c r="U1786" s="120" t="s">
        <v>669</v>
      </c>
      <c r="V1786" s="94"/>
      <c r="W1786" s="94"/>
      <c r="X1786" s="94"/>
      <c r="Y1786" s="119">
        <v>46321</v>
      </c>
      <c r="Z1786" s="94"/>
      <c r="AA1786" s="120"/>
      <c r="AB1786" s="120"/>
      <c r="AC1786" s="120"/>
      <c r="AD1786" s="120"/>
      <c r="AE1786" s="120"/>
      <c r="AF1786" s="120"/>
      <c r="AG1786" s="94"/>
      <c r="AH1786" s="120"/>
      <c r="AI1786" s="94"/>
      <c r="AJ1786" s="94" t="s">
        <v>92</v>
      </c>
      <c r="AK1786" s="94" t="s">
        <v>71</v>
      </c>
      <c r="AL1786" s="94">
        <v>140</v>
      </c>
      <c r="AM1786" s="94" t="str">
        <f>TRIM(AJ1786)&amp;TRIM(AL1786)&amp;TRIM(AK1786)</f>
      </c>
      <c r="AN1786" s="116">
        <v>0</v>
      </c>
      <c r="AO1786" s="116" t="inlineStr">
        <is>
          <t>#NA</t>
        </is>
      </c>
      <c r="AP1786" s="116">
        <f>SUMIFS(M:M,AM:AM,AM1786)+SUMIFS(O:O,AM:AM,AM1786)</f>
      </c>
      <c r="AQ1786" s="116">
        <f>SUMIFS(L:L,AM:AM,AM1786)</f>
      </c>
      <c r="AR1786" s="116">
        <f>AQ1786-AP1786</f>
      </c>
      <c r="AS1786" s="94" t="str">
        <f>IF(AN1786&gt;=AQ1786,"ok","ck")</f>
      </c>
      <c r="AT1786" s="116">
        <f>-P1786</f>
      </c>
      <c r="AU1786" s="115">
        <f>IF(SUMIFS(AT:AT,AM:AM,AM1786)&gt;AO1786,(SUMIFS(AT:AT,AM:AM,AM1786)-AO1786))</f>
      </c>
      <c r="AV1786" s="116">
        <v>0</v>
      </c>
      <c r="AW1786" s="121">
        <v>0</v>
      </c>
      <c r="AX1786" s="115">
        <f>AN1786-AP1786</f>
      </c>
    </row>
    <row r="1787" spans="1:50" ht="15" hidden="1" customHeight="1" x14ac:dyDescent="0.3">
      <c r="A1787" s="94" t="s">
        <v>60</v>
      </c>
      <c r="B1787" s="94"/>
      <c r="C1787" s="94"/>
      <c r="D1787" s="94"/>
      <c r="E1787" s="94"/>
      <c r="F1787" s="94"/>
      <c r="G1787" s="112">
        <f>AU1787</f>
      </c>
      <c r="H1787" s="113"/>
      <c r="I1787" s="94" t="s">
        <v>70</v>
      </c>
      <c r="J1787" s="94" t="s">
        <v>71</v>
      </c>
      <c r="K1787" s="114">
        <f>P1787/3</f>
      </c>
      <c r="L1787" s="115">
        <v>179.86199999999999</v>
      </c>
      <c r="M1787" s="116"/>
      <c r="N1787" s="117">
        <f>M1787-L1787</f>
      </c>
      <c r="O1787" s="112"/>
      <c r="P1787" s="118">
        <f>N1787+O1787</f>
      </c>
      <c r="Q1787" s="94" t="s">
        <v>92</v>
      </c>
      <c r="R1787" s="94" t="s">
        <v>63</v>
      </c>
      <c r="S1787" s="119">
        <v>46330</v>
      </c>
      <c r="T1787" s="119"/>
      <c r="U1787" s="120" t="s">
        <v>669</v>
      </c>
      <c r="V1787" s="94"/>
      <c r="W1787" s="94"/>
      <c r="X1787" s="94"/>
      <c r="Y1787" s="119">
        <v>46321</v>
      </c>
      <c r="Z1787" s="94"/>
      <c r="AA1787" s="120"/>
      <c r="AB1787" s="120"/>
      <c r="AC1787" s="120"/>
      <c r="AD1787" s="120"/>
      <c r="AE1787" s="120"/>
      <c r="AF1787" s="120"/>
      <c r="AG1787" s="94"/>
      <c r="AH1787" s="120"/>
      <c r="AI1787" s="94"/>
      <c r="AJ1787" s="94" t="s">
        <v>92</v>
      </c>
      <c r="AK1787" s="94" t="s">
        <v>71</v>
      </c>
      <c r="AL1787" s="94">
        <v>140</v>
      </c>
      <c r="AM1787" s="94" t="str">
        <f>TRIM(AJ1787)&amp;TRIM(AL1787)&amp;TRIM(AK1787)</f>
      </c>
      <c r="AN1787" s="116">
        <v>0</v>
      </c>
      <c r="AO1787" s="116" t="inlineStr">
        <is>
          <t>#NA</t>
        </is>
      </c>
      <c r="AP1787" s="116">
        <f>SUMIFS(M:M,AM:AM,AM1787)+SUMIFS(O:O,AM:AM,AM1787)</f>
      </c>
      <c r="AQ1787" s="116">
        <f>SUMIFS(L:L,AM:AM,AM1787)</f>
      </c>
      <c r="AR1787" s="116">
        <f>AQ1787-AP1787</f>
      </c>
      <c r="AS1787" s="94" t="str">
        <f>IF(AN1787&gt;=AQ1787,"ok","ck")</f>
      </c>
      <c r="AT1787" s="116">
        <f>-P1787</f>
      </c>
      <c r="AU1787" s="115">
        <f>IF(SUMIFS(AT:AT,AM:AM,AM1787)&gt;AO1787,(SUMIFS(AT:AT,AM:AM,AM1787)-AO1787))</f>
      </c>
      <c r="AV1787" s="116">
        <v>0</v>
      </c>
      <c r="AW1787" s="121">
        <v>0</v>
      </c>
      <c r="AX1787" s="115">
        <f>AN1787-AP1787</f>
      </c>
    </row>
    <row r="1788" spans="1:50" ht="15" hidden="1" customHeight="1" x14ac:dyDescent="0.3">
      <c r="A1788" s="94" t="s">
        <v>93</v>
      </c>
      <c r="B1788" s="94"/>
      <c r="C1788" s="94"/>
      <c r="D1788" s="94"/>
      <c r="E1788" s="94"/>
      <c r="F1788" s="94"/>
      <c r="G1788" s="112">
        <f>AU1788</f>
      </c>
      <c r="H1788" s="113"/>
      <c r="I1788" s="94" t="s">
        <v>107</v>
      </c>
      <c r="J1788" s="94" t="s">
        <v>578</v>
      </c>
      <c r="K1788" s="114">
        <f>P1788/3</f>
      </c>
      <c r="L1788" s="115">
        <v>194.035</v>
      </c>
      <c r="M1788" s="116"/>
      <c r="N1788" s="117">
        <f>M1788-L1788</f>
      </c>
      <c r="O1788" s="112"/>
      <c r="P1788" s="118">
        <f>N1788+O1788</f>
      </c>
      <c r="Q1788" s="94" t="s">
        <v>828</v>
      </c>
      <c r="R1788" s="94" t="s">
        <v>63</v>
      </c>
      <c r="S1788" s="119">
        <v>46341</v>
      </c>
      <c r="T1788" s="119"/>
      <c r="U1788" s="120">
        <v>46341</v>
      </c>
      <c r="V1788" s="94"/>
      <c r="W1788" s="94"/>
      <c r="X1788" s="94"/>
      <c r="Y1788" s="119">
        <v>46341</v>
      </c>
      <c r="Z1788" s="94"/>
      <c r="AA1788" s="120"/>
      <c r="AB1788" s="120"/>
      <c r="AC1788" s="120"/>
      <c r="AD1788" s="120"/>
      <c r="AE1788" s="120"/>
      <c r="AF1788" s="120"/>
      <c r="AG1788" s="94"/>
      <c r="AH1788" s="120"/>
      <c r="AI1788" s="94"/>
      <c r="AJ1788" s="94" t="s">
        <v>828</v>
      </c>
      <c r="AK1788" s="94" t="s">
        <v>745</v>
      </c>
      <c r="AL1788" s="94">
        <v>140</v>
      </c>
      <c r="AM1788" s="94" t="str">
        <f>TRIM(AJ1788)&amp;TRIM(AL1788)&amp;TRIM(AK1788)</f>
      </c>
      <c r="AN1788" s="116">
        <v>0</v>
      </c>
      <c r="AO1788" s="116" t="inlineStr">
        <is>
          <t>#NA</t>
        </is>
      </c>
      <c r="AP1788" s="116">
        <f>SUMIFS(M:M,AM:AM,AM1788)+SUMIFS(O:O,AM:AM,AM1788)</f>
      </c>
      <c r="AQ1788" s="116">
        <f>SUMIFS(L:L,AM:AM,AM1788)</f>
      </c>
      <c r="AR1788" s="116">
        <f>AQ1788-AP1788</f>
      </c>
      <c r="AS1788" s="94" t="str">
        <f>IF(AN1788&gt;=AQ1788,"ok","ck")</f>
      </c>
      <c r="AT1788" s="116">
        <f>-P1788</f>
      </c>
      <c r="AU1788" s="115">
        <f>IF(SUMIFS(AT:AT,AM:AM,AM1788)&gt;AO1788,(SUMIFS(AT:AT,AM:AM,AM1788)-AO1788))</f>
      </c>
      <c r="AV1788" s="116">
        <v>0</v>
      </c>
      <c r="AW1788" s="121">
        <v>0</v>
      </c>
      <c r="AX1788" s="115">
        <f>AN1788-AP1788</f>
      </c>
    </row>
    <row r="1789" spans="1:50" ht="15" hidden="1" customHeight="1" x14ac:dyDescent="0.3">
      <c r="A1789" s="94" t="s">
        <v>93</v>
      </c>
      <c r="B1789" s="94"/>
      <c r="C1789" s="94"/>
      <c r="D1789" s="94"/>
      <c r="E1789" s="94"/>
      <c r="F1789" s="94"/>
      <c r="G1789" s="112">
        <f>AU1789</f>
      </c>
      <c r="H1789" s="113"/>
      <c r="I1789" s="94" t="s">
        <v>107</v>
      </c>
      <c r="J1789" s="94" t="s">
        <v>578</v>
      </c>
      <c r="K1789" s="114">
        <f>P1789/3</f>
      </c>
      <c r="L1789" s="115">
        <v>69.475999999999999</v>
      </c>
      <c r="M1789" s="116"/>
      <c r="N1789" s="117">
        <f>M1789-L1789</f>
      </c>
      <c r="O1789" s="112"/>
      <c r="P1789" s="118">
        <f>N1789+O1789</f>
      </c>
      <c r="Q1789" s="94" t="s">
        <v>828</v>
      </c>
      <c r="R1789" s="94" t="s">
        <v>63</v>
      </c>
      <c r="S1789" s="119">
        <v>46341</v>
      </c>
      <c r="T1789" s="119"/>
      <c r="U1789" s="120">
        <v>46341</v>
      </c>
      <c r="V1789" s="94"/>
      <c r="W1789" s="94"/>
      <c r="X1789" s="94"/>
      <c r="Y1789" s="119">
        <v>46341</v>
      </c>
      <c r="Z1789" s="94"/>
      <c r="AA1789" s="120"/>
      <c r="AB1789" s="120"/>
      <c r="AC1789" s="120"/>
      <c r="AD1789" s="120"/>
      <c r="AE1789" s="120"/>
      <c r="AF1789" s="120"/>
      <c r="AG1789" s="94"/>
      <c r="AH1789" s="120"/>
      <c r="AI1789" s="94"/>
      <c r="AJ1789" s="94" t="s">
        <v>828</v>
      </c>
      <c r="AK1789" s="94" t="s">
        <v>745</v>
      </c>
      <c r="AL1789" s="94">
        <v>140</v>
      </c>
      <c r="AM1789" s="94" t="str">
        <f>TRIM(AJ1789)&amp;TRIM(AL1789)&amp;TRIM(AK1789)</f>
      </c>
      <c r="AN1789" s="116">
        <v>0</v>
      </c>
      <c r="AO1789" s="116" t="inlineStr">
        <is>
          <t>#NA</t>
        </is>
      </c>
      <c r="AP1789" s="116">
        <f>SUMIFS(M:M,AM:AM,AM1789)+SUMIFS(O:O,AM:AM,AM1789)</f>
      </c>
      <c r="AQ1789" s="116">
        <f>SUMIFS(L:L,AM:AM,AM1789)</f>
      </c>
      <c r="AR1789" s="116">
        <f>AQ1789-AP1789</f>
      </c>
      <c r="AS1789" s="94" t="str">
        <f>IF(AN1789&gt;=AQ1789,"ok","ck")</f>
      </c>
      <c r="AT1789" s="116">
        <f>-P1789</f>
      </c>
      <c r="AU1789" s="115">
        <f>IF(SUMIFS(AT:AT,AM:AM,AM1789)&gt;AO1789,(SUMIFS(AT:AT,AM:AM,AM1789)-AO1789))</f>
      </c>
      <c r="AV1789" s="116">
        <v>0</v>
      </c>
      <c r="AW1789" s="121">
        <v>0</v>
      </c>
      <c r="AX1789" s="115">
        <f>AN1789-AP1789</f>
      </c>
    </row>
    <row r="1790" spans="1:50" ht="15" hidden="1" customHeight="1" x14ac:dyDescent="0.3">
      <c r="A1790" s="94" t="s">
        <v>93</v>
      </c>
      <c r="B1790" s="94"/>
      <c r="C1790" s="94"/>
      <c r="D1790" s="94"/>
      <c r="E1790" s="94"/>
      <c r="F1790" s="94"/>
      <c r="G1790" s="112">
        <f>AU1790</f>
      </c>
      <c r="H1790" s="113"/>
      <c r="I1790" s="94" t="s">
        <v>107</v>
      </c>
      <c r="J1790" s="94" t="s">
        <v>578</v>
      </c>
      <c r="K1790" s="114">
        <f>P1790/3</f>
      </c>
      <c r="L1790" s="115">
        <v>159.42099999999999</v>
      </c>
      <c r="M1790" s="116"/>
      <c r="N1790" s="117">
        <f>M1790-L1790</f>
      </c>
      <c r="O1790" s="112"/>
      <c r="P1790" s="118">
        <f>N1790+O1790</f>
      </c>
      <c r="Q1790" s="94" t="s">
        <v>828</v>
      </c>
      <c r="R1790" s="94" t="s">
        <v>63</v>
      </c>
      <c r="S1790" s="119">
        <v>46341</v>
      </c>
      <c r="T1790" s="119"/>
      <c r="U1790" s="120">
        <v>46341</v>
      </c>
      <c r="V1790" s="94"/>
      <c r="W1790" s="94"/>
      <c r="X1790" s="94"/>
      <c r="Y1790" s="119">
        <v>46343</v>
      </c>
      <c r="Z1790" s="94"/>
      <c r="AA1790" s="120"/>
      <c r="AB1790" s="120"/>
      <c r="AC1790" s="120"/>
      <c r="AD1790" s="120"/>
      <c r="AE1790" s="120"/>
      <c r="AF1790" s="120"/>
      <c r="AG1790" s="94"/>
      <c r="AH1790" s="120"/>
      <c r="AI1790" s="94"/>
      <c r="AJ1790" s="94" t="s">
        <v>828</v>
      </c>
      <c r="AK1790" s="94" t="s">
        <v>745</v>
      </c>
      <c r="AL1790" s="94">
        <v>140</v>
      </c>
      <c r="AM1790" s="94" t="str">
        <f>TRIM(AJ1790)&amp;TRIM(AL1790)&amp;TRIM(AK1790)</f>
      </c>
      <c r="AN1790" s="116">
        <v>0</v>
      </c>
      <c r="AO1790" s="116" t="inlineStr">
        <is>
          <t>#NA</t>
        </is>
      </c>
      <c r="AP1790" s="116">
        <f>SUMIFS(M:M,AM:AM,AM1790)+SUMIFS(O:O,AM:AM,AM1790)</f>
      </c>
      <c r="AQ1790" s="116">
        <f>SUMIFS(L:L,AM:AM,AM1790)</f>
      </c>
      <c r="AR1790" s="116">
        <f>AQ1790-AP1790</f>
      </c>
      <c r="AS1790" s="94" t="str">
        <f>IF(AN1790&gt;=AQ1790,"ok","ck")</f>
      </c>
      <c r="AT1790" s="116">
        <f>-P1790</f>
      </c>
      <c r="AU1790" s="115">
        <f>IF(SUMIFS(AT:AT,AM:AM,AM1790)&gt;AO1790,(SUMIFS(AT:AT,AM:AM,AM1790)-AO1790))</f>
      </c>
      <c r="AV1790" s="116">
        <v>0</v>
      </c>
      <c r="AW1790" s="121">
        <v>0</v>
      </c>
      <c r="AX1790" s="115">
        <f>AN1790-AP1790</f>
      </c>
    </row>
    <row r="1791" spans="1:50" ht="15" hidden="1" customHeight="1" x14ac:dyDescent="0.3">
      <c r="A1791" s="94" t="s">
        <v>82</v>
      </c>
      <c r="B1791" s="94"/>
      <c r="C1791" s="94"/>
      <c r="D1791" s="94"/>
      <c r="E1791" s="94"/>
      <c r="F1791" s="94"/>
      <c r="G1791" s="112">
        <f>AU1791</f>
      </c>
      <c r="H1791" s="113"/>
      <c r="I1791" s="94" t="s">
        <v>83</v>
      </c>
      <c r="J1791" s="94" t="s">
        <v>66</v>
      </c>
      <c r="K1791" s="114">
        <f>P1791/3</f>
      </c>
      <c r="L1791" s="115">
        <v>6000</v>
      </c>
      <c r="M1791" s="116"/>
      <c r="N1791" s="117">
        <f>M1791-L1791</f>
      </c>
      <c r="O1791" s="112"/>
      <c r="P1791" s="118">
        <f>N1791+O1791</f>
      </c>
      <c r="Q1791" s="94" t="s">
        <v>85</v>
      </c>
      <c r="R1791" s="94" t="s">
        <v>63</v>
      </c>
      <c r="S1791" s="119">
        <v>46350</v>
      </c>
      <c r="T1791" s="119"/>
      <c r="U1791" s="120" t="s">
        <v>674</v>
      </c>
      <c r="V1791" s="94"/>
      <c r="W1791" s="94"/>
      <c r="X1791" s="94"/>
      <c r="Y1791" s="119">
        <v>46320</v>
      </c>
      <c r="Z1791" s="94"/>
      <c r="AA1791" s="120"/>
      <c r="AB1791" s="120"/>
      <c r="AC1791" s="120"/>
      <c r="AD1791" s="120"/>
      <c r="AE1791" s="120"/>
      <c r="AF1791" s="120"/>
      <c r="AG1791" s="94"/>
      <c r="AH1791" s="120"/>
      <c r="AI1791" s="94"/>
      <c r="AJ1791" s="94" t="s">
        <v>86</v>
      </c>
      <c r="AK1791" s="94" t="s">
        <v>66</v>
      </c>
      <c r="AL1791" s="94">
        <v>160</v>
      </c>
      <c r="AM1791" s="94" t="str">
        <f>TRIM(AJ1791)&amp;TRIM(AL1791)&amp;TRIM(AK1791)</f>
      </c>
      <c r="AN1791" s="116">
        <v>80520.24</v>
      </c>
      <c r="AO1791" s="116">
        <v>111130.73</v>
      </c>
      <c r="AP1791" s="116">
        <f>SUMIFS(M:M,AM:AM,AM1791)+SUMIFS(O:O,AM:AM,AM1791)</f>
      </c>
      <c r="AQ1791" s="116">
        <f>SUMIFS(L:L,AM:AM,AM1791)</f>
      </c>
      <c r="AR1791" s="116">
        <f>AQ1791-AP1791</f>
      </c>
      <c r="AS1791" s="94" t="str">
        <f>IF(AN1791&gt;=AQ1791,"ok","ck")</f>
      </c>
      <c r="AT1791" s="116">
        <f>-P1791</f>
      </c>
      <c r="AU1791" s="115">
        <f>IF(SUMIFS(AT:AT,AM:AM,AM1791)&gt;AO1791,(SUMIFS(AT:AT,AM:AM,AM1791)-AO1791))</f>
      </c>
      <c r="AV1791" s="116">
        <v>9703</v>
      </c>
      <c r="AW1791" s="121">
        <v>0.195</v>
      </c>
      <c r="AX1791" s="115">
        <f>AN1791-AP1791</f>
      </c>
    </row>
    <row r="1792" spans="1:50" ht="15" hidden="1" customHeight="1" x14ac:dyDescent="0.3">
      <c r="A1792" s="94" t="s">
        <v>82</v>
      </c>
      <c r="B1792" s="94"/>
      <c r="C1792" s="94"/>
      <c r="D1792" s="94"/>
      <c r="E1792" s="94"/>
      <c r="F1792" s="94"/>
      <c r="G1792" s="112">
        <f>AU1792</f>
      </c>
      <c r="H1792" s="113"/>
      <c r="I1792" s="94" t="s">
        <v>83</v>
      </c>
      <c r="J1792" s="94" t="s">
        <v>66</v>
      </c>
      <c r="K1792" s="114">
        <f>P1792/3</f>
      </c>
      <c r="L1792" s="115">
        <v>6000</v>
      </c>
      <c r="M1792" s="116"/>
      <c r="N1792" s="117">
        <f>M1792-L1792</f>
      </c>
      <c r="O1792" s="112"/>
      <c r="P1792" s="118">
        <f>N1792+O1792</f>
      </c>
      <c r="Q1792" s="94" t="s">
        <v>85</v>
      </c>
      <c r="R1792" s="94" t="s">
        <v>63</v>
      </c>
      <c r="S1792" s="119">
        <v>46351</v>
      </c>
      <c r="T1792" s="119"/>
      <c r="U1792" s="120" t="s">
        <v>674</v>
      </c>
      <c r="V1792" s="94"/>
      <c r="W1792" s="94"/>
      <c r="X1792" s="94"/>
      <c r="Y1792" s="119">
        <v>46320</v>
      </c>
      <c r="Z1792" s="94"/>
      <c r="AA1792" s="120"/>
      <c r="AB1792" s="120"/>
      <c r="AC1792" s="120"/>
      <c r="AD1792" s="120"/>
      <c r="AE1792" s="120"/>
      <c r="AF1792" s="120"/>
      <c r="AG1792" s="94"/>
      <c r="AH1792" s="120"/>
      <c r="AI1792" s="94"/>
      <c r="AJ1792" s="94" t="s">
        <v>86</v>
      </c>
      <c r="AK1792" s="94" t="s">
        <v>66</v>
      </c>
      <c r="AL1792" s="94">
        <v>160</v>
      </c>
      <c r="AM1792" s="94" t="str">
        <f>TRIM(AJ1792)&amp;TRIM(AL1792)&amp;TRIM(AK1792)</f>
      </c>
      <c r="AN1792" s="116">
        <v>80520.24</v>
      </c>
      <c r="AO1792" s="116">
        <v>111130.73</v>
      </c>
      <c r="AP1792" s="116">
        <f>SUMIFS(M:M,AM:AM,AM1792)+SUMIFS(O:O,AM:AM,AM1792)</f>
      </c>
      <c r="AQ1792" s="116">
        <f>SUMIFS(L:L,AM:AM,AM1792)</f>
      </c>
      <c r="AR1792" s="116">
        <f>AQ1792-AP1792</f>
      </c>
      <c r="AS1792" s="94" t="str">
        <f>IF(AN1792&gt;=AQ1792,"ok","ck")</f>
      </c>
      <c r="AT1792" s="116">
        <f>-P1792</f>
      </c>
      <c r="AU1792" s="115">
        <f>IF(SUMIFS(AT:AT,AM:AM,AM1792)&gt;AO1792,(SUMIFS(AT:AT,AM:AM,AM1792)-AO1792))</f>
      </c>
      <c r="AV1792" s="116">
        <v>9703</v>
      </c>
      <c r="AW1792" s="121">
        <v>0.195</v>
      </c>
      <c r="AX1792" s="115">
        <f>AN1792-AP1792</f>
      </c>
    </row>
    <row r="1793" spans="1:50" ht="15" hidden="1" customHeight="1" x14ac:dyDescent="0.3">
      <c r="A1793" s="94" t="s">
        <v>82</v>
      </c>
      <c r="B1793" s="94"/>
      <c r="C1793" s="94"/>
      <c r="D1793" s="94"/>
      <c r="E1793" s="94"/>
      <c r="F1793" s="94"/>
      <c r="G1793" s="112">
        <f>AU1793</f>
      </c>
      <c r="H1793" s="113"/>
      <c r="I1793" s="94" t="s">
        <v>83</v>
      </c>
      <c r="J1793" s="94" t="s">
        <v>66</v>
      </c>
      <c r="K1793" s="114">
        <f>P1793/3</f>
      </c>
      <c r="L1793" s="115">
        <v>1238.1089999999999</v>
      </c>
      <c r="M1793" s="116"/>
      <c r="N1793" s="117">
        <f>M1793-L1793</f>
      </c>
      <c r="O1793" s="112"/>
      <c r="P1793" s="118">
        <f>N1793+O1793</f>
      </c>
      <c r="Q1793" s="94" t="s">
        <v>85</v>
      </c>
      <c r="R1793" s="94" t="s">
        <v>63</v>
      </c>
      <c r="S1793" s="119">
        <v>46352</v>
      </c>
      <c r="T1793" s="119"/>
      <c r="U1793" s="120" t="s">
        <v>674</v>
      </c>
      <c r="V1793" s="94"/>
      <c r="W1793" s="94"/>
      <c r="X1793" s="94"/>
      <c r="Y1793" s="119">
        <v>46324</v>
      </c>
      <c r="Z1793" s="94"/>
      <c r="AA1793" s="120"/>
      <c r="AB1793" s="120"/>
      <c r="AC1793" s="120"/>
      <c r="AD1793" s="120"/>
      <c r="AE1793" s="120"/>
      <c r="AF1793" s="120"/>
      <c r="AG1793" s="94"/>
      <c r="AH1793" s="120"/>
      <c r="AI1793" s="94"/>
      <c r="AJ1793" s="94" t="s">
        <v>86</v>
      </c>
      <c r="AK1793" s="94" t="s">
        <v>66</v>
      </c>
      <c r="AL1793" s="94">
        <v>160</v>
      </c>
      <c r="AM1793" s="94" t="str">
        <f>TRIM(AJ1793)&amp;TRIM(AL1793)&amp;TRIM(AK1793)</f>
      </c>
      <c r="AN1793" s="116">
        <v>80520.24</v>
      </c>
      <c r="AO1793" s="116">
        <v>111130.73</v>
      </c>
      <c r="AP1793" s="116">
        <f>SUMIFS(M:M,AM:AM,AM1793)+SUMIFS(O:O,AM:AM,AM1793)</f>
      </c>
      <c r="AQ1793" s="116">
        <f>SUMIFS(L:L,AM:AM,AM1793)</f>
      </c>
      <c r="AR1793" s="116">
        <f>AQ1793-AP1793</f>
      </c>
      <c r="AS1793" s="94" t="str">
        <f>IF(AN1793&gt;=AQ1793,"ok","ck")</f>
      </c>
      <c r="AT1793" s="116">
        <f>-P1793</f>
      </c>
      <c r="AU1793" s="115">
        <f>IF(SUMIFS(AT:AT,AM:AM,AM1793)&gt;AO1793,(SUMIFS(AT:AT,AM:AM,AM1793)-AO1793))</f>
      </c>
      <c r="AV1793" s="116">
        <v>9703</v>
      </c>
      <c r="AW1793" s="121">
        <v>0.195</v>
      </c>
      <c r="AX1793" s="115">
        <f>AN1793-AP1793</f>
      </c>
    </row>
    <row r="1794" spans="1:50" ht="15" customHeight="1" x14ac:dyDescent="0.3">
      <c r="A1794" s="94" t="s">
        <v>862</v>
      </c>
      <c r="B1794" s="94"/>
      <c r="C1794" s="94"/>
      <c r="D1794" s="94"/>
      <c r="E1794" s="94"/>
      <c r="F1794" s="94"/>
      <c r="G1794" s="112">
        <f>AU1794</f>
      </c>
      <c r="H1794" s="113"/>
      <c r="I1794" s="94" t="s">
        <v>390</v>
      </c>
      <c r="J1794" s="94" t="s">
        <v>281</v>
      </c>
      <c r="K1794" s="114">
        <f>P1794/3</f>
      </c>
      <c r="L1794" s="115">
        <v>2765.2939999999999</v>
      </c>
      <c r="M1794" s="116"/>
      <c r="N1794" s="117">
        <f>M1794-L1794</f>
      </c>
      <c r="O1794" s="112"/>
      <c r="P1794" s="118">
        <f>N1794+O1794</f>
      </c>
      <c r="Q1794" s="94"/>
      <c r="R1794" s="94" t="s">
        <v>63</v>
      </c>
      <c r="S1794" s="119">
        <v>46353</v>
      </c>
      <c r="T1794" s="119"/>
      <c r="U1794" s="120" t="s">
        <v>632</v>
      </c>
      <c r="V1794" s="94"/>
      <c r="W1794" s="94"/>
      <c r="X1794" s="94"/>
      <c r="Y1794" s="119">
        <v>46329</v>
      </c>
      <c r="Z1794" s="94"/>
      <c r="AA1794" s="120"/>
      <c r="AB1794" s="120"/>
      <c r="AC1794" s="120"/>
      <c r="AD1794" s="120"/>
      <c r="AE1794" s="120"/>
      <c r="AF1794" s="120"/>
      <c r="AG1794" s="94"/>
      <c r="AH1794" s="120"/>
      <c r="AI1794" s="94"/>
      <c r="AJ1794" s="94"/>
      <c r="AK1794" s="94"/>
      <c r="AL1794" s="94">
        <v>140</v>
      </c>
      <c r="AM1794" s="94" t="str">
        <f>TRIM(AJ1794)&amp;TRIM(AL1794)&amp;TRIM(AK1794)</f>
      </c>
      <c r="AN1794" s="116">
        <v>0</v>
      </c>
      <c r="AO1794" s="116" t="inlineStr">
        <is>
          <t>#NA</t>
        </is>
      </c>
      <c r="AP1794" s="116">
        <f>SUMIFS(M:M,AM:AM,AM1794)+SUMIFS(O:O,AM:AM,AM1794)</f>
      </c>
      <c r="AQ1794" s="116">
        <f>SUMIFS(L:L,AM:AM,AM1794)</f>
      </c>
      <c r="AR1794" s="116">
        <f>AQ1794-AP1794</f>
      </c>
      <c r="AS1794" s="94" t="str">
        <f>IF(AN1794&gt;=AQ1794,"ok","ck")</f>
      </c>
      <c r="AT1794" s="116">
        <f>-P1794</f>
      </c>
      <c r="AU1794" s="115">
        <f>IF(SUMIFS(AT:AT,AM:AM,AM1794)&gt;AO1794,(SUMIFS(AT:AT,AM:AM,AM1794)-AO1794))</f>
      </c>
      <c r="AV1794" s="116" t="e">
        <v>#N/A</v>
      </c>
      <c r="AW1794" s="121" t="e">
        <v>#N/A</v>
      </c>
      <c r="AX1794" s="115">
        <f>AN1794-AP1794</f>
      </c>
    </row>
    <row r="1795" spans="1:50" ht="15" customHeight="1" x14ac:dyDescent="0.3">
      <c r="A1795" s="94" t="s">
        <v>862</v>
      </c>
      <c r="B1795" s="94"/>
      <c r="C1795" s="94"/>
      <c r="D1795" s="94"/>
      <c r="E1795" s="94"/>
      <c r="F1795" s="94"/>
      <c r="G1795" s="112">
        <f>AU1795</f>
      </c>
      <c r="H1795" s="113"/>
      <c r="I1795" s="94" t="s">
        <v>390</v>
      </c>
      <c r="J1795" s="94" t="s">
        <v>281</v>
      </c>
      <c r="K1795" s="114">
        <f>P1795/3</f>
      </c>
      <c r="L1795" s="115">
        <v>16201.617</v>
      </c>
      <c r="M1795" s="116"/>
      <c r="N1795" s="117">
        <f>M1795-L1795</f>
      </c>
      <c r="O1795" s="112"/>
      <c r="P1795" s="118">
        <f>N1795+O1795</f>
      </c>
      <c r="Q1795" s="94"/>
      <c r="R1795" s="94" t="s">
        <v>63</v>
      </c>
      <c r="S1795" s="119">
        <v>46354</v>
      </c>
      <c r="T1795" s="119"/>
      <c r="U1795" s="120" t="s">
        <v>632</v>
      </c>
      <c r="V1795" s="94"/>
      <c r="W1795" s="94"/>
      <c r="X1795" s="94"/>
      <c r="Y1795" s="119">
        <v>46320</v>
      </c>
      <c r="Z1795" s="94"/>
      <c r="AA1795" s="120"/>
      <c r="AB1795" s="120"/>
      <c r="AC1795" s="120"/>
      <c r="AD1795" s="120"/>
      <c r="AE1795" s="120"/>
      <c r="AF1795" s="120"/>
      <c r="AG1795" s="94"/>
      <c r="AH1795" s="120"/>
      <c r="AI1795" s="94"/>
      <c r="AJ1795" s="94"/>
      <c r="AK1795" s="94"/>
      <c r="AL1795" s="94">
        <v>140</v>
      </c>
      <c r="AM1795" s="94" t="str">
        <f>TRIM(AJ1795)&amp;TRIM(AL1795)&amp;TRIM(AK1795)</f>
      </c>
      <c r="AN1795" s="116">
        <v>0</v>
      </c>
      <c r="AO1795" s="116" t="inlineStr">
        <is>
          <t>#NA</t>
        </is>
      </c>
      <c r="AP1795" s="116">
        <f>SUMIFS(M:M,AM:AM,AM1795)+SUMIFS(O:O,AM:AM,AM1795)</f>
      </c>
      <c r="AQ1795" s="116">
        <f>SUMIFS(L:L,AM:AM,AM1795)</f>
      </c>
      <c r="AR1795" s="116">
        <f>AQ1795-AP1795</f>
      </c>
      <c r="AS1795" s="94" t="str">
        <f>IF(AN1795&gt;=AQ1795,"ok","ck")</f>
      </c>
      <c r="AT1795" s="116">
        <f>-P1795</f>
      </c>
      <c r="AU1795" s="115">
        <f>IF(SUMIFS(AT:AT,AM:AM,AM1795)&gt;AO1795,(SUMIFS(AT:AT,AM:AM,AM1795)-AO1795))</f>
      </c>
      <c r="AV1795" s="116" t="e">
        <v>#N/A</v>
      </c>
      <c r="AW1795" s="121" t="e">
        <v>#N/A</v>
      </c>
      <c r="AX1795" s="115">
        <f>AN1795-AP1795</f>
      </c>
    </row>
    <row r="1796" spans="1:50" ht="15" hidden="1" customHeight="1" x14ac:dyDescent="0.3">
      <c r="A1796" s="94" t="s">
        <v>125</v>
      </c>
      <c r="B1796" s="94"/>
      <c r="C1796" s="94"/>
      <c r="D1796" s="94"/>
      <c r="E1796" s="94"/>
      <c r="F1796" s="94"/>
      <c r="G1796" s="112">
        <f>AU1796</f>
      </c>
      <c r="H1796" s="113"/>
      <c r="I1796" s="94" t="s">
        <v>126</v>
      </c>
      <c r="J1796" s="94" t="s">
        <v>127</v>
      </c>
      <c r="K1796" s="114">
        <f>P1796/3</f>
      </c>
      <c r="L1796" s="115">
        <v>1681.4860000000001</v>
      </c>
      <c r="M1796" s="116">
        <v>1681.4860000000001</v>
      </c>
      <c r="N1796" s="117">
        <f>M1796-L1796</f>
      </c>
      <c r="O1796" s="112"/>
      <c r="P1796" s="118">
        <f>N1796+O1796</f>
      </c>
      <c r="Q1796" s="94" t="s">
        <v>128</v>
      </c>
      <c r="R1796" s="94" t="s">
        <v>63</v>
      </c>
      <c r="S1796" s="119">
        <v>46327</v>
      </c>
      <c r="T1796" s="119"/>
      <c r="U1796" s="120" t="s">
        <v>681</v>
      </c>
      <c r="V1796" s="94"/>
      <c r="W1796" s="94"/>
      <c r="X1796" s="94"/>
      <c r="Y1796" s="119">
        <v>46320</v>
      </c>
      <c r="Z1796" s="94"/>
      <c r="AA1796" s="120"/>
      <c r="AB1796" s="120"/>
      <c r="AC1796" s="120"/>
      <c r="AD1796" s="120"/>
      <c r="AE1796" s="120"/>
      <c r="AF1796" s="120"/>
      <c r="AG1796" s="94"/>
      <c r="AH1796" s="120"/>
      <c r="AI1796" s="94"/>
      <c r="AJ1796" s="94" t="s">
        <v>128</v>
      </c>
      <c r="AK1796" s="94" t="s">
        <v>129</v>
      </c>
      <c r="AL1796" s="94">
        <v>160</v>
      </c>
      <c r="AM1796" s="94" t="str">
        <f>TRIM(AJ1796)&amp;TRIM(AL1796)&amp;TRIM(AK1796)</f>
      </c>
      <c r="AN1796" s="116">
        <v>2636</v>
      </c>
      <c r="AO1796" s="116">
        <v>7744.75</v>
      </c>
      <c r="AP1796" s="116">
        <f>SUMIFS(M:M,AM:AM,AM1796)+SUMIFS(O:O,AM:AM,AM1796)</f>
      </c>
      <c r="AQ1796" s="116">
        <f>SUMIFS(L:L,AM:AM,AM1796)</f>
      </c>
      <c r="AR1796" s="116">
        <f>AQ1796-AP1796</f>
      </c>
      <c r="AS1796" s="94" t="str">
        <f>IF(AN1796&gt;=AQ1796,"ok","ck")</f>
      </c>
      <c r="AT1796" s="116">
        <f>-P1796</f>
      </c>
      <c r="AU1796" s="115">
        <f>IF(SUMIFS(AT:AT,AM:AM,AM1796)&gt;AO1796,(SUMIFS(AT:AT,AM:AM,AM1796)-AO1796))</f>
      </c>
      <c r="AV1796" s="116">
        <v>155</v>
      </c>
      <c r="AW1796" s="121">
        <v>0.808</v>
      </c>
      <c r="AX1796" s="115">
        <f>AN1796-AP1796</f>
      </c>
    </row>
    <row r="1797" spans="1:50" ht="15" hidden="1" customHeight="1" x14ac:dyDescent="0.3">
      <c r="A1797" s="94" t="s">
        <v>125</v>
      </c>
      <c r="B1797" s="94"/>
      <c r="C1797" s="94"/>
      <c r="D1797" s="94"/>
      <c r="E1797" s="94"/>
      <c r="F1797" s="94"/>
      <c r="G1797" s="112">
        <f>AU1797</f>
      </c>
      <c r="H1797" s="113"/>
      <c r="I1797" s="94" t="s">
        <v>126</v>
      </c>
      <c r="J1797" s="94" t="s">
        <v>127</v>
      </c>
      <c r="K1797" s="114">
        <f>P1797/3</f>
      </c>
      <c r="L1797" s="115">
        <v>1681.4860000000001</v>
      </c>
      <c r="M1797" s="116">
        <v>51.543999999999997</v>
      </c>
      <c r="N1797" s="117">
        <f>M1797-L1797</f>
      </c>
      <c r="O1797" s="112"/>
      <c r="P1797" s="118">
        <f>N1797+O1797</f>
      </c>
      <c r="Q1797" s="94" t="s">
        <v>128</v>
      </c>
      <c r="R1797" s="94" t="s">
        <v>63</v>
      </c>
      <c r="S1797" s="119">
        <v>46328</v>
      </c>
      <c r="T1797" s="119"/>
      <c r="U1797" s="120" t="s">
        <v>681</v>
      </c>
      <c r="V1797" s="94"/>
      <c r="W1797" s="94"/>
      <c r="X1797" s="94"/>
      <c r="Y1797" s="119">
        <v>46334</v>
      </c>
      <c r="Z1797" s="94"/>
      <c r="AA1797" s="120"/>
      <c r="AB1797" s="120"/>
      <c r="AC1797" s="120"/>
      <c r="AD1797" s="120"/>
      <c r="AE1797" s="120"/>
      <c r="AF1797" s="120"/>
      <c r="AG1797" s="94"/>
      <c r="AH1797" s="120"/>
      <c r="AI1797" s="94"/>
      <c r="AJ1797" s="94" t="s">
        <v>128</v>
      </c>
      <c r="AK1797" s="94" t="s">
        <v>129</v>
      </c>
      <c r="AL1797" s="94">
        <v>160</v>
      </c>
      <c r="AM1797" s="94" t="str">
        <f>TRIM(AJ1797)&amp;TRIM(AL1797)&amp;TRIM(AK1797)</f>
      </c>
      <c r="AN1797" s="116">
        <v>2636</v>
      </c>
      <c r="AO1797" s="116">
        <v>7744.75</v>
      </c>
      <c r="AP1797" s="116">
        <f>SUMIFS(M:M,AM:AM,AM1797)+SUMIFS(O:O,AM:AM,AM1797)</f>
      </c>
      <c r="AQ1797" s="116">
        <f>SUMIFS(L:L,AM:AM,AM1797)</f>
      </c>
      <c r="AR1797" s="116">
        <f>AQ1797-AP1797</f>
      </c>
      <c r="AS1797" s="94" t="str">
        <f>IF(AN1797&gt;=AQ1797,"ok","ck")</f>
      </c>
      <c r="AT1797" s="116">
        <f>-P1797</f>
      </c>
      <c r="AU1797" s="115">
        <f>IF(SUMIFS(AT:AT,AM:AM,AM1797)&gt;AO1797,(SUMIFS(AT:AT,AM:AM,AM1797)-AO1797))</f>
      </c>
      <c r="AV1797" s="116">
        <v>155</v>
      </c>
      <c r="AW1797" s="121">
        <v>0.808</v>
      </c>
      <c r="AX1797" s="115">
        <f>AN1797-AP1797</f>
      </c>
    </row>
    <row r="1798" spans="1:50" ht="15" hidden="1" customHeight="1" x14ac:dyDescent="0.3">
      <c r="A1798" s="94" t="s">
        <v>125</v>
      </c>
      <c r="B1798" s="94"/>
      <c r="C1798" s="94"/>
      <c r="D1798" s="94"/>
      <c r="E1798" s="94"/>
      <c r="F1798" s="94"/>
      <c r="G1798" s="112">
        <f>AU1798</f>
      </c>
      <c r="H1798" s="113"/>
      <c r="I1798" s="94" t="s">
        <v>126</v>
      </c>
      <c r="J1798" s="94" t="s">
        <v>127</v>
      </c>
      <c r="K1798" s="114">
        <f>P1798/3</f>
      </c>
      <c r="L1798" s="115">
        <v>1681.4860000000001</v>
      </c>
      <c r="M1798" s="116"/>
      <c r="N1798" s="117">
        <f>M1798-L1798</f>
      </c>
      <c r="O1798" s="112"/>
      <c r="P1798" s="118">
        <f>N1798+O1798</f>
      </c>
      <c r="Q1798" s="94" t="s">
        <v>128</v>
      </c>
      <c r="R1798" s="94" t="s">
        <v>63</v>
      </c>
      <c r="S1798" s="119">
        <v>46329</v>
      </c>
      <c r="T1798" s="119"/>
      <c r="U1798" s="120" t="s">
        <v>681</v>
      </c>
      <c r="V1798" s="94"/>
      <c r="W1798" s="94"/>
      <c r="X1798" s="94"/>
      <c r="Y1798" s="119">
        <v>46336</v>
      </c>
      <c r="Z1798" s="94"/>
      <c r="AA1798" s="120"/>
      <c r="AB1798" s="120"/>
      <c r="AC1798" s="120"/>
      <c r="AD1798" s="120"/>
      <c r="AE1798" s="120"/>
      <c r="AF1798" s="120"/>
      <c r="AG1798" s="94"/>
      <c r="AH1798" s="120"/>
      <c r="AI1798" s="94"/>
      <c r="AJ1798" s="94" t="s">
        <v>128</v>
      </c>
      <c r="AK1798" s="94" t="s">
        <v>129</v>
      </c>
      <c r="AL1798" s="94">
        <v>160</v>
      </c>
      <c r="AM1798" s="94" t="str">
        <f>TRIM(AJ1798)&amp;TRIM(AL1798)&amp;TRIM(AK1798)</f>
      </c>
      <c r="AN1798" s="116">
        <v>2636</v>
      </c>
      <c r="AO1798" s="116">
        <v>7744.75</v>
      </c>
      <c r="AP1798" s="116">
        <f>SUMIFS(M:M,AM:AM,AM1798)+SUMIFS(O:O,AM:AM,AM1798)</f>
      </c>
      <c r="AQ1798" s="116">
        <f>SUMIFS(L:L,AM:AM,AM1798)</f>
      </c>
      <c r="AR1798" s="116">
        <f>AQ1798-AP1798</f>
      </c>
      <c r="AS1798" s="94" t="str">
        <f>IF(AN1798&gt;=AQ1798,"ok","ck")</f>
      </c>
      <c r="AT1798" s="116">
        <f>-P1798</f>
      </c>
      <c r="AU1798" s="115">
        <f>IF(SUMIFS(AT:AT,AM:AM,AM1798)&gt;AO1798,(SUMIFS(AT:AT,AM:AM,AM1798)-AO1798))</f>
      </c>
      <c r="AV1798" s="116">
        <v>155</v>
      </c>
      <c r="AW1798" s="121">
        <v>0.808</v>
      </c>
      <c r="AX1798" s="115">
        <f>AN1798-AP1798</f>
      </c>
    </row>
    <row r="1799" spans="1:50" ht="15" hidden="1" customHeight="1" x14ac:dyDescent="0.3">
      <c r="A1799" s="94" t="s">
        <v>125</v>
      </c>
      <c r="B1799" s="94"/>
      <c r="C1799" s="94"/>
      <c r="D1799" s="94"/>
      <c r="E1799" s="94"/>
      <c r="F1799" s="94"/>
      <c r="G1799" s="112">
        <f>AU1799</f>
      </c>
      <c r="H1799" s="113"/>
      <c r="I1799" s="94" t="s">
        <v>126</v>
      </c>
      <c r="J1799" s="94" t="s">
        <v>127</v>
      </c>
      <c r="K1799" s="114">
        <f>P1799/3</f>
      </c>
      <c r="L1799" s="115">
        <v>1681.4860000000001</v>
      </c>
      <c r="M1799" s="116"/>
      <c r="N1799" s="117">
        <f>M1799-L1799</f>
      </c>
      <c r="O1799" s="112"/>
      <c r="P1799" s="118">
        <f>N1799+O1799</f>
      </c>
      <c r="Q1799" s="94" t="s">
        <v>128</v>
      </c>
      <c r="R1799" s="94" t="s">
        <v>63</v>
      </c>
      <c r="S1799" s="119">
        <v>46330</v>
      </c>
      <c r="T1799" s="119"/>
      <c r="U1799" s="120" t="s">
        <v>681</v>
      </c>
      <c r="V1799" s="94"/>
      <c r="W1799" s="94"/>
      <c r="X1799" s="94"/>
      <c r="Y1799" s="119">
        <v>46320</v>
      </c>
      <c r="Z1799" s="94"/>
      <c r="AA1799" s="120"/>
      <c r="AB1799" s="120"/>
      <c r="AC1799" s="120"/>
      <c r="AD1799" s="120"/>
      <c r="AE1799" s="120"/>
      <c r="AF1799" s="120"/>
      <c r="AG1799" s="94"/>
      <c r="AH1799" s="120"/>
      <c r="AI1799" s="94"/>
      <c r="AJ1799" s="94" t="s">
        <v>128</v>
      </c>
      <c r="AK1799" s="94" t="s">
        <v>129</v>
      </c>
      <c r="AL1799" s="94">
        <v>160</v>
      </c>
      <c r="AM1799" s="94" t="str">
        <f>TRIM(AJ1799)&amp;TRIM(AL1799)&amp;TRIM(AK1799)</f>
      </c>
      <c r="AN1799" s="116">
        <v>2636</v>
      </c>
      <c r="AO1799" s="116">
        <v>7744.75</v>
      </c>
      <c r="AP1799" s="116">
        <f>SUMIFS(M:M,AM:AM,AM1799)+SUMIFS(O:O,AM:AM,AM1799)</f>
      </c>
      <c r="AQ1799" s="116">
        <f>SUMIFS(L:L,AM:AM,AM1799)</f>
      </c>
      <c r="AR1799" s="116">
        <f>AQ1799-AP1799</f>
      </c>
      <c r="AS1799" s="94" t="str">
        <f>IF(AN1799&gt;=AQ1799,"ok","ck")</f>
      </c>
      <c r="AT1799" s="116">
        <f>-P1799</f>
      </c>
      <c r="AU1799" s="115">
        <f>IF(SUMIFS(AT:AT,AM:AM,AM1799)&gt;AO1799,(SUMIFS(AT:AT,AM:AM,AM1799)-AO1799))</f>
      </c>
      <c r="AV1799" s="116">
        <v>155</v>
      </c>
      <c r="AW1799" s="121">
        <v>0.808</v>
      </c>
      <c r="AX1799" s="115">
        <f>AN1799-AP1799</f>
      </c>
    </row>
    <row r="1800" spans="1:50" ht="15" hidden="1" customHeight="1" x14ac:dyDescent="0.3">
      <c r="A1800" s="94" t="s">
        <v>125</v>
      </c>
      <c r="B1800" s="94"/>
      <c r="C1800" s="94"/>
      <c r="D1800" s="94"/>
      <c r="E1800" s="94"/>
      <c r="F1800" s="94"/>
      <c r="G1800" s="112">
        <f>AU1800</f>
      </c>
      <c r="H1800" s="113"/>
      <c r="I1800" s="94" t="s">
        <v>133</v>
      </c>
      <c r="J1800" s="94" t="s">
        <v>71</v>
      </c>
      <c r="K1800" s="114">
        <f>P1800/3</f>
      </c>
      <c r="L1800" s="115">
        <v>427.68</v>
      </c>
      <c r="M1800" s="116"/>
      <c r="N1800" s="117">
        <f>M1800-L1800</f>
      </c>
      <c r="O1800" s="112"/>
      <c r="P1800" s="118">
        <f>N1800+O1800</f>
      </c>
      <c r="Q1800" s="94" t="s">
        <v>829</v>
      </c>
      <c r="R1800" s="94" t="s">
        <v>63</v>
      </c>
      <c r="S1800" s="119">
        <v>46341</v>
      </c>
      <c r="T1800" s="119"/>
      <c r="U1800" s="120">
        <v>46341</v>
      </c>
      <c r="V1800" s="94"/>
      <c r="W1800" s="94"/>
      <c r="X1800" s="94"/>
      <c r="Y1800" s="119">
        <v>46320</v>
      </c>
      <c r="Z1800" s="94"/>
      <c r="AA1800" s="120"/>
      <c r="AB1800" s="120"/>
      <c r="AC1800" s="120"/>
      <c r="AD1800" s="120"/>
      <c r="AE1800" s="120"/>
      <c r="AF1800" s="120"/>
      <c r="AG1800" s="94"/>
      <c r="AH1800" s="120"/>
      <c r="AI1800" s="94"/>
      <c r="AJ1800" s="94" t="s">
        <v>829</v>
      </c>
      <c r="AK1800" s="94" t="s">
        <v>71</v>
      </c>
      <c r="AL1800" s="94">
        <v>160</v>
      </c>
      <c r="AM1800" s="94" t="str">
        <f>TRIM(AJ1800)&amp;TRIM(AL1800)&amp;TRIM(AK1800)</f>
      </c>
      <c r="AN1800" s="116">
        <v>0</v>
      </c>
      <c r="AO1800" s="116" t="inlineStr">
        <is>
          <t>#NA</t>
        </is>
      </c>
      <c r="AP1800" s="116">
        <f>SUMIFS(M:M,AM:AM,AM1800)+SUMIFS(O:O,AM:AM,AM1800)</f>
      </c>
      <c r="AQ1800" s="116">
        <f>SUMIFS(L:L,AM:AM,AM1800)</f>
      </c>
      <c r="AR1800" s="116">
        <f>AQ1800-AP1800</f>
      </c>
      <c r="AS1800" s="94" t="str">
        <f>IF(AN1800&gt;=AQ1800,"ok","ck")</f>
      </c>
      <c r="AT1800" s="116">
        <f>-P1800</f>
      </c>
      <c r="AU1800" s="115">
        <f>IF(SUMIFS(AT:AT,AM:AM,AM1800)&gt;AO1800,(SUMIFS(AT:AT,AM:AM,AM1800)-AO1800))</f>
      </c>
      <c r="AV1800" s="116">
        <v>0</v>
      </c>
      <c r="AW1800" s="121">
        <v>0</v>
      </c>
      <c r="AX1800" s="115">
        <f>AN1800-AP1800</f>
      </c>
    </row>
    <row r="1801" spans="1:50" ht="15" hidden="1" customHeight="1" x14ac:dyDescent="0.3">
      <c r="A1801" s="94" t="s">
        <v>125</v>
      </c>
      <c r="B1801" s="94"/>
      <c r="C1801" s="94"/>
      <c r="D1801" s="94"/>
      <c r="E1801" s="94"/>
      <c r="F1801" s="94"/>
      <c r="G1801" s="112">
        <f>AU1801</f>
      </c>
      <c r="H1801" s="113"/>
      <c r="I1801" s="94" t="s">
        <v>132</v>
      </c>
      <c r="J1801" s="94" t="s">
        <v>130</v>
      </c>
      <c r="K1801" s="114">
        <f>P1801/3</f>
      </c>
      <c r="L1801" s="115">
        <v>318.51400000000001</v>
      </c>
      <c r="M1801" s="116">
        <v>318.51400000000001</v>
      </c>
      <c r="N1801" s="117">
        <f>M1801-L1801</f>
      </c>
      <c r="O1801" s="112"/>
      <c r="P1801" s="118">
        <f>N1801+O1801</f>
      </c>
      <c r="Q1801" s="94" t="s">
        <v>128</v>
      </c>
      <c r="R1801" s="94" t="s">
        <v>63</v>
      </c>
      <c r="S1801" s="119">
        <v>46327</v>
      </c>
      <c r="T1801" s="119"/>
      <c r="U1801" s="120" t="s">
        <v>681</v>
      </c>
      <c r="V1801" s="94"/>
      <c r="W1801" s="94"/>
      <c r="X1801" s="94"/>
      <c r="Y1801" s="119">
        <v>46336</v>
      </c>
      <c r="Z1801" s="94"/>
      <c r="AA1801" s="120"/>
      <c r="AB1801" s="120"/>
      <c r="AC1801" s="120"/>
      <c r="AD1801" s="120"/>
      <c r="AE1801" s="120"/>
      <c r="AF1801" s="120"/>
      <c r="AG1801" s="94"/>
      <c r="AH1801" s="120"/>
      <c r="AI1801" s="94"/>
      <c r="AJ1801" s="94" t="s">
        <v>128</v>
      </c>
      <c r="AK1801" s="94" t="s">
        <v>131</v>
      </c>
      <c r="AL1801" s="94">
        <v>140</v>
      </c>
      <c r="AM1801" s="94" t="str">
        <f>TRIM(AJ1801)&amp;TRIM(AL1801)&amp;TRIM(AK1801)</f>
      </c>
      <c r="AN1801" s="116">
        <v>1829.85</v>
      </c>
      <c r="AO1801" s="116">
        <v>323.9</v>
      </c>
      <c r="AP1801" s="116">
        <f>SUMIFS(M:M,AM:AM,AM1801)+SUMIFS(O:O,AM:AM,AM1801)</f>
      </c>
      <c r="AQ1801" s="116">
        <f>SUMIFS(L:L,AM:AM,AM1801)</f>
      </c>
      <c r="AR1801" s="116">
        <f>AQ1801-AP1801</f>
      </c>
      <c r="AS1801" s="94" t="str">
        <f>IF(AN1801&gt;=AQ1801,"ok","ck")</f>
      </c>
      <c r="AT1801" s="116">
        <f>-P1801</f>
      </c>
      <c r="AU1801" s="115">
        <f>IF(SUMIFS(AT:AT,AM:AM,AM1801)&gt;AO1801,(SUMIFS(AT:AT,AM:AM,AM1801)-AO1801))</f>
      </c>
      <c r="AV1801" s="116">
        <v>0</v>
      </c>
      <c r="AW1801" s="121">
        <v>0</v>
      </c>
      <c r="AX1801" s="115">
        <f>AN1801-AP1801</f>
      </c>
    </row>
    <row r="1802" spans="1:50" ht="15" hidden="1" customHeight="1" x14ac:dyDescent="0.3">
      <c r="A1802" s="94" t="s">
        <v>125</v>
      </c>
      <c r="B1802" s="94"/>
      <c r="C1802" s="94"/>
      <c r="D1802" s="94"/>
      <c r="E1802" s="94"/>
      <c r="F1802" s="94"/>
      <c r="G1802" s="112">
        <f>AU1802</f>
      </c>
      <c r="H1802" s="113"/>
      <c r="I1802" s="94" t="s">
        <v>132</v>
      </c>
      <c r="J1802" s="94" t="s">
        <v>130</v>
      </c>
      <c r="K1802" s="114">
        <f>P1802/3</f>
      </c>
      <c r="L1802" s="115">
        <v>318.51400000000001</v>
      </c>
      <c r="M1802" s="116">
        <v>318.51400000000001</v>
      </c>
      <c r="N1802" s="117">
        <f>M1802-L1802</f>
      </c>
      <c r="O1802" s="112"/>
      <c r="P1802" s="118">
        <f>N1802+O1802</f>
      </c>
      <c r="Q1802" s="94" t="s">
        <v>128</v>
      </c>
      <c r="R1802" s="94" t="s">
        <v>63</v>
      </c>
      <c r="S1802" s="119">
        <v>46328</v>
      </c>
      <c r="T1802" s="119"/>
      <c r="U1802" s="120" t="s">
        <v>681</v>
      </c>
      <c r="V1802" s="94"/>
      <c r="W1802" s="94"/>
      <c r="X1802" s="94"/>
      <c r="Y1802" s="119">
        <v>46320</v>
      </c>
      <c r="Z1802" s="94"/>
      <c r="AA1802" s="120"/>
      <c r="AB1802" s="120"/>
      <c r="AC1802" s="120"/>
      <c r="AD1802" s="120"/>
      <c r="AE1802" s="120"/>
      <c r="AF1802" s="120"/>
      <c r="AG1802" s="94"/>
      <c r="AH1802" s="120"/>
      <c r="AI1802" s="94"/>
      <c r="AJ1802" s="94" t="s">
        <v>128</v>
      </c>
      <c r="AK1802" s="94" t="s">
        <v>131</v>
      </c>
      <c r="AL1802" s="94">
        <v>140</v>
      </c>
      <c r="AM1802" s="94" t="str">
        <f>TRIM(AJ1802)&amp;TRIM(AL1802)&amp;TRIM(AK1802)</f>
      </c>
      <c r="AN1802" s="116">
        <v>1829.85</v>
      </c>
      <c r="AO1802" s="116">
        <v>323.9</v>
      </c>
      <c r="AP1802" s="116">
        <f>SUMIFS(M:M,AM:AM,AM1802)+SUMIFS(O:O,AM:AM,AM1802)</f>
      </c>
      <c r="AQ1802" s="116">
        <f>SUMIFS(L:L,AM:AM,AM1802)</f>
      </c>
      <c r="AR1802" s="116">
        <f>AQ1802-AP1802</f>
      </c>
      <c r="AS1802" s="94" t="str">
        <f>IF(AN1802&gt;=AQ1802,"ok","ck")</f>
      </c>
      <c r="AT1802" s="116">
        <f>-P1802</f>
      </c>
      <c r="AU1802" s="115">
        <f>IF(SUMIFS(AT:AT,AM:AM,AM1802)&gt;AO1802,(SUMIFS(AT:AT,AM:AM,AM1802)-AO1802))</f>
      </c>
      <c r="AV1802" s="116">
        <v>0</v>
      </c>
      <c r="AW1802" s="121">
        <v>0</v>
      </c>
      <c r="AX1802" s="115">
        <f>AN1802-AP1802</f>
      </c>
    </row>
    <row r="1803" spans="1:50" ht="15" hidden="1" customHeight="1" x14ac:dyDescent="0.3">
      <c r="A1803" s="94" t="s">
        <v>125</v>
      </c>
      <c r="B1803" s="94"/>
      <c r="C1803" s="94"/>
      <c r="D1803" s="94"/>
      <c r="E1803" s="94"/>
      <c r="F1803" s="94"/>
      <c r="G1803" s="112">
        <f>AU1803</f>
      </c>
      <c r="H1803" s="113"/>
      <c r="I1803" s="94" t="s">
        <v>132</v>
      </c>
      <c r="J1803" s="94" t="s">
        <v>130</v>
      </c>
      <c r="K1803" s="114">
        <f>P1803/3</f>
      </c>
      <c r="L1803" s="115">
        <v>318.51400000000001</v>
      </c>
      <c r="M1803" s="116">
        <v>318.51400000000001</v>
      </c>
      <c r="N1803" s="117">
        <f>M1803-L1803</f>
      </c>
      <c r="O1803" s="112"/>
      <c r="P1803" s="118">
        <f>N1803+O1803</f>
      </c>
      <c r="Q1803" s="94" t="s">
        <v>128</v>
      </c>
      <c r="R1803" s="94" t="s">
        <v>63</v>
      </c>
      <c r="S1803" s="119">
        <v>46329</v>
      </c>
      <c r="T1803" s="119"/>
      <c r="U1803" s="120" t="s">
        <v>681</v>
      </c>
      <c r="V1803" s="94"/>
      <c r="W1803" s="94"/>
      <c r="X1803" s="94"/>
      <c r="Y1803" s="119">
        <v>46320</v>
      </c>
      <c r="Z1803" s="94"/>
      <c r="AA1803" s="120"/>
      <c r="AB1803" s="120"/>
      <c r="AC1803" s="120"/>
      <c r="AD1803" s="120"/>
      <c r="AE1803" s="120"/>
      <c r="AF1803" s="120"/>
      <c r="AG1803" s="94"/>
      <c r="AH1803" s="120"/>
      <c r="AI1803" s="94"/>
      <c r="AJ1803" s="94" t="s">
        <v>128</v>
      </c>
      <c r="AK1803" s="94" t="s">
        <v>131</v>
      </c>
      <c r="AL1803" s="94">
        <v>140</v>
      </c>
      <c r="AM1803" s="94" t="str">
        <f>TRIM(AJ1803)&amp;TRIM(AL1803)&amp;TRIM(AK1803)</f>
      </c>
      <c r="AN1803" s="116">
        <v>1829.85</v>
      </c>
      <c r="AO1803" s="116">
        <v>323.9</v>
      </c>
      <c r="AP1803" s="116">
        <f>SUMIFS(M:M,AM:AM,AM1803)+SUMIFS(O:O,AM:AM,AM1803)</f>
      </c>
      <c r="AQ1803" s="116">
        <f>SUMIFS(L:L,AM:AM,AM1803)</f>
      </c>
      <c r="AR1803" s="116">
        <f>AQ1803-AP1803</f>
      </c>
      <c r="AS1803" s="94" t="str">
        <f>IF(AN1803&gt;=AQ1803,"ok","ck")</f>
      </c>
      <c r="AT1803" s="116">
        <f>-P1803</f>
      </c>
      <c r="AU1803" s="115">
        <f>IF(SUMIFS(AT:AT,AM:AM,AM1803)&gt;AO1803,(SUMIFS(AT:AT,AM:AM,AM1803)-AO1803))</f>
      </c>
      <c r="AV1803" s="116">
        <v>0</v>
      </c>
      <c r="AW1803" s="121">
        <v>0</v>
      </c>
      <c r="AX1803" s="115">
        <f>AN1803-AP1803</f>
      </c>
    </row>
    <row r="1804" spans="1:50" ht="15" hidden="1" customHeight="1" x14ac:dyDescent="0.3">
      <c r="A1804" s="94" t="s">
        <v>125</v>
      </c>
      <c r="B1804" s="94"/>
      <c r="C1804" s="94"/>
      <c r="D1804" s="94"/>
      <c r="E1804" s="94"/>
      <c r="F1804" s="94"/>
      <c r="G1804" s="112">
        <f>AU1804</f>
      </c>
      <c r="H1804" s="113"/>
      <c r="I1804" s="94" t="s">
        <v>132</v>
      </c>
      <c r="J1804" s="94" t="s">
        <v>130</v>
      </c>
      <c r="K1804" s="114">
        <f>P1804/3</f>
      </c>
      <c r="L1804" s="115">
        <v>318.51400000000001</v>
      </c>
      <c r="M1804" s="116">
        <v>318.51400000000001</v>
      </c>
      <c r="N1804" s="117">
        <f>M1804-L1804</f>
      </c>
      <c r="O1804" s="112"/>
      <c r="P1804" s="118">
        <f>N1804+O1804</f>
      </c>
      <c r="Q1804" s="94" t="s">
        <v>128</v>
      </c>
      <c r="R1804" s="94" t="s">
        <v>63</v>
      </c>
      <c r="S1804" s="119">
        <v>46330</v>
      </c>
      <c r="T1804" s="119"/>
      <c r="U1804" s="120" t="s">
        <v>681</v>
      </c>
      <c r="V1804" s="94"/>
      <c r="W1804" s="94"/>
      <c r="X1804" s="94"/>
      <c r="Y1804" s="119">
        <v>46320</v>
      </c>
      <c r="Z1804" s="94"/>
      <c r="AA1804" s="120"/>
      <c r="AB1804" s="120"/>
      <c r="AC1804" s="120"/>
      <c r="AD1804" s="120"/>
      <c r="AE1804" s="120"/>
      <c r="AF1804" s="120"/>
      <c r="AG1804" s="94"/>
      <c r="AH1804" s="120"/>
      <c r="AI1804" s="94"/>
      <c r="AJ1804" s="94" t="s">
        <v>128</v>
      </c>
      <c r="AK1804" s="94" t="s">
        <v>131</v>
      </c>
      <c r="AL1804" s="94">
        <v>140</v>
      </c>
      <c r="AM1804" s="94" t="str">
        <f>TRIM(AJ1804)&amp;TRIM(AL1804)&amp;TRIM(AK1804)</f>
      </c>
      <c r="AN1804" s="116">
        <v>1829.85</v>
      </c>
      <c r="AO1804" s="116">
        <v>323.9</v>
      </c>
      <c r="AP1804" s="116">
        <f>SUMIFS(M:M,AM:AM,AM1804)+SUMIFS(O:O,AM:AM,AM1804)</f>
      </c>
      <c r="AQ1804" s="116">
        <f>SUMIFS(L:L,AM:AM,AM1804)</f>
      </c>
      <c r="AR1804" s="116">
        <f>AQ1804-AP1804</f>
      </c>
      <c r="AS1804" s="94" t="str">
        <f>IF(AN1804&gt;=AQ1804,"ok","ck")</f>
      </c>
      <c r="AT1804" s="116">
        <f>-P1804</f>
      </c>
      <c r="AU1804" s="115">
        <f>IF(SUMIFS(AT:AT,AM:AM,AM1804)&gt;AO1804,(SUMIFS(AT:AT,AM:AM,AM1804)-AO1804))</f>
      </c>
      <c r="AV1804" s="116">
        <v>0</v>
      </c>
      <c r="AW1804" s="121">
        <v>0</v>
      </c>
      <c r="AX1804" s="115">
        <f>AN1804-AP1804</f>
      </c>
    </row>
    <row r="1805" spans="1:50" ht="15" hidden="1" customHeight="1" x14ac:dyDescent="0.3">
      <c r="A1805" s="94" t="s">
        <v>125</v>
      </c>
      <c r="B1805" s="94"/>
      <c r="C1805" s="94"/>
      <c r="D1805" s="94"/>
      <c r="E1805" s="94"/>
      <c r="F1805" s="94"/>
      <c r="G1805" s="112">
        <f>AU1805</f>
      </c>
      <c r="H1805" s="113"/>
      <c r="I1805" s="94" t="s">
        <v>126</v>
      </c>
      <c r="J1805" s="94" t="s">
        <v>127</v>
      </c>
      <c r="K1805" s="114">
        <f>P1805/3</f>
      </c>
      <c r="L1805" s="115">
        <v>2751.8359999999998</v>
      </c>
      <c r="M1805" s="116"/>
      <c r="N1805" s="117">
        <f>M1805-L1805</f>
      </c>
      <c r="O1805" s="112"/>
      <c r="P1805" s="118">
        <f>N1805+O1805</f>
      </c>
      <c r="Q1805" s="94" t="s">
        <v>128</v>
      </c>
      <c r="R1805" s="94" t="s">
        <v>63</v>
      </c>
      <c r="S1805" s="119">
        <v>46331</v>
      </c>
      <c r="T1805" s="119"/>
      <c r="U1805" s="120" t="s">
        <v>681</v>
      </c>
      <c r="V1805" s="94"/>
      <c r="W1805" s="94"/>
      <c r="X1805" s="94"/>
      <c r="Y1805" s="119">
        <v>46320</v>
      </c>
      <c r="Z1805" s="94"/>
      <c r="AA1805" s="120"/>
      <c r="AB1805" s="120"/>
      <c r="AC1805" s="120"/>
      <c r="AD1805" s="120"/>
      <c r="AE1805" s="120"/>
      <c r="AF1805" s="120"/>
      <c r="AG1805" s="94"/>
      <c r="AH1805" s="120"/>
      <c r="AI1805" s="94"/>
      <c r="AJ1805" s="94" t="s">
        <v>128</v>
      </c>
      <c r="AK1805" s="94" t="s">
        <v>129</v>
      </c>
      <c r="AL1805" s="94">
        <v>160</v>
      </c>
      <c r="AM1805" s="94" t="str">
        <f>TRIM(AJ1805)&amp;TRIM(AL1805)&amp;TRIM(AK1805)</f>
      </c>
      <c r="AN1805" s="116">
        <v>2636</v>
      </c>
      <c r="AO1805" s="116">
        <v>7744.75</v>
      </c>
      <c r="AP1805" s="116">
        <f>SUMIFS(M:M,AM:AM,AM1805)+SUMIFS(O:O,AM:AM,AM1805)</f>
      </c>
      <c r="AQ1805" s="116">
        <f>SUMIFS(L:L,AM:AM,AM1805)</f>
      </c>
      <c r="AR1805" s="116">
        <f>AQ1805-AP1805</f>
      </c>
      <c r="AS1805" s="94" t="str">
        <f>IF(AN1805&gt;=AQ1805,"ok","ck")</f>
      </c>
      <c r="AT1805" s="116">
        <f>-P1805</f>
      </c>
      <c r="AU1805" s="115">
        <f>IF(SUMIFS(AT:AT,AM:AM,AM1805)&gt;AO1805,(SUMIFS(AT:AT,AM:AM,AM1805)-AO1805))</f>
      </c>
      <c r="AV1805" s="116">
        <v>155</v>
      </c>
      <c r="AW1805" s="121">
        <v>0.808</v>
      </c>
      <c r="AX1805" s="115">
        <f>AN1805-AP1805</f>
      </c>
    </row>
    <row r="1806" spans="1:50" ht="15" hidden="1" customHeight="1" x14ac:dyDescent="0.3">
      <c r="A1806" s="94" t="s">
        <v>125</v>
      </c>
      <c r="B1806" s="94"/>
      <c r="C1806" s="94"/>
      <c r="D1806" s="94"/>
      <c r="E1806" s="94"/>
      <c r="F1806" s="94"/>
      <c r="G1806" s="112">
        <f>AU1806</f>
      </c>
      <c r="H1806" s="113"/>
      <c r="I1806" s="94" t="s">
        <v>126</v>
      </c>
      <c r="J1806" s="94" t="s">
        <v>130</v>
      </c>
      <c r="K1806" s="114">
        <f>P1806/3</f>
      </c>
      <c r="L1806" s="115">
        <v>1681.4860000000001</v>
      </c>
      <c r="M1806" s="116">
        <v>1681.4860000000001</v>
      </c>
      <c r="N1806" s="117">
        <f>M1806-L1806</f>
      </c>
      <c r="O1806" s="112"/>
      <c r="P1806" s="118">
        <f>N1806+O1806</f>
      </c>
      <c r="Q1806" s="94" t="s">
        <v>128</v>
      </c>
      <c r="R1806" s="94" t="s">
        <v>63</v>
      </c>
      <c r="S1806" s="119">
        <v>46327</v>
      </c>
      <c r="T1806" s="119"/>
      <c r="U1806" s="120" t="s">
        <v>681</v>
      </c>
      <c r="V1806" s="94"/>
      <c r="W1806" s="94"/>
      <c r="X1806" s="94"/>
      <c r="Y1806" s="119">
        <v>46323</v>
      </c>
      <c r="Z1806" s="94"/>
      <c r="AA1806" s="120"/>
      <c r="AB1806" s="120"/>
      <c r="AC1806" s="120"/>
      <c r="AD1806" s="120"/>
      <c r="AE1806" s="120"/>
      <c r="AF1806" s="120"/>
      <c r="AG1806" s="94"/>
      <c r="AH1806" s="120"/>
      <c r="AI1806" s="94"/>
      <c r="AJ1806" s="94" t="s">
        <v>128</v>
      </c>
      <c r="AK1806" s="94" t="s">
        <v>131</v>
      </c>
      <c r="AL1806" s="94">
        <v>160</v>
      </c>
      <c r="AM1806" s="94" t="str">
        <f>TRIM(AJ1806)&amp;TRIM(AL1806)&amp;TRIM(AK1806)</f>
      </c>
      <c r="AN1806" s="116">
        <v>9105</v>
      </c>
      <c r="AO1806" s="116">
        <v>1275.23</v>
      </c>
      <c r="AP1806" s="116">
        <f>SUMIFS(M:M,AM:AM,AM1806)+SUMIFS(O:O,AM:AM,AM1806)</f>
      </c>
      <c r="AQ1806" s="116">
        <f>SUMIFS(L:L,AM:AM,AM1806)</f>
      </c>
      <c r="AR1806" s="116">
        <f>AQ1806-AP1806</f>
      </c>
      <c r="AS1806" s="94" t="str">
        <f>IF(AN1806&gt;=AQ1806,"ok","ck")</f>
      </c>
      <c r="AT1806" s="116">
        <f>-P1806</f>
      </c>
      <c r="AU1806" s="115">
        <f>IF(SUMIFS(AT:AT,AM:AM,AM1806)&gt;AO1806,(SUMIFS(AT:AT,AM:AM,AM1806)-AO1806))</f>
      </c>
      <c r="AV1806" s="116">
        <v>9105</v>
      </c>
      <c r="AW1806" s="121">
        <v>0.877</v>
      </c>
      <c r="AX1806" s="115">
        <f>AN1806-AP1806</f>
      </c>
    </row>
    <row r="1807" spans="1:50" ht="15" hidden="1" customHeight="1" x14ac:dyDescent="0.3">
      <c r="A1807" s="94" t="s">
        <v>125</v>
      </c>
      <c r="B1807" s="94"/>
      <c r="C1807" s="94"/>
      <c r="D1807" s="94"/>
      <c r="E1807" s="94"/>
      <c r="F1807" s="94"/>
      <c r="G1807" s="112">
        <f>AU1807</f>
      </c>
      <c r="H1807" s="113"/>
      <c r="I1807" s="94" t="s">
        <v>126</v>
      </c>
      <c r="J1807" s="94" t="s">
        <v>130</v>
      </c>
      <c r="K1807" s="114">
        <f>P1807/3</f>
      </c>
      <c r="L1807" s="115">
        <v>1681.4860000000001</v>
      </c>
      <c r="M1807" s="116">
        <v>1681.4860000000001</v>
      </c>
      <c r="N1807" s="117">
        <f>M1807-L1807</f>
      </c>
      <c r="O1807" s="112"/>
      <c r="P1807" s="118">
        <f>N1807+O1807</f>
      </c>
      <c r="Q1807" s="94" t="s">
        <v>128</v>
      </c>
      <c r="R1807" s="94" t="s">
        <v>63</v>
      </c>
      <c r="S1807" s="119">
        <v>46328</v>
      </c>
      <c r="T1807" s="119"/>
      <c r="U1807" s="120" t="s">
        <v>681</v>
      </c>
      <c r="V1807" s="94"/>
      <c r="W1807" s="94"/>
      <c r="X1807" s="94"/>
      <c r="Y1807" s="119">
        <v>46334</v>
      </c>
      <c r="Z1807" s="94"/>
      <c r="AA1807" s="120"/>
      <c r="AB1807" s="120"/>
      <c r="AC1807" s="120"/>
      <c r="AD1807" s="120"/>
      <c r="AE1807" s="120"/>
      <c r="AF1807" s="120"/>
      <c r="AG1807" s="94"/>
      <c r="AH1807" s="120"/>
      <c r="AI1807" s="94"/>
      <c r="AJ1807" s="94" t="s">
        <v>128</v>
      </c>
      <c r="AK1807" s="94" t="s">
        <v>131</v>
      </c>
      <c r="AL1807" s="94">
        <v>160</v>
      </c>
      <c r="AM1807" s="94" t="str">
        <f>TRIM(AJ1807)&amp;TRIM(AL1807)&amp;TRIM(AK1807)</f>
      </c>
      <c r="AN1807" s="116">
        <v>9105</v>
      </c>
      <c r="AO1807" s="116">
        <v>1275.23</v>
      </c>
      <c r="AP1807" s="116">
        <f>SUMIFS(M:M,AM:AM,AM1807)+SUMIFS(O:O,AM:AM,AM1807)</f>
      </c>
      <c r="AQ1807" s="116">
        <f>SUMIFS(L:L,AM:AM,AM1807)</f>
      </c>
      <c r="AR1807" s="116">
        <f>AQ1807-AP1807</f>
      </c>
      <c r="AS1807" s="94" t="str">
        <f>IF(AN1807&gt;=AQ1807,"ok","ck")</f>
      </c>
      <c r="AT1807" s="116">
        <f>-P1807</f>
      </c>
      <c r="AU1807" s="115">
        <f>IF(SUMIFS(AT:AT,AM:AM,AM1807)&gt;AO1807,(SUMIFS(AT:AT,AM:AM,AM1807)-AO1807))</f>
      </c>
      <c r="AV1807" s="116">
        <v>9105</v>
      </c>
      <c r="AW1807" s="121">
        <v>0.877</v>
      </c>
      <c r="AX1807" s="115">
        <f>AN1807-AP1807</f>
      </c>
    </row>
    <row r="1808" spans="1:50" ht="15" hidden="1" customHeight="1" x14ac:dyDescent="0.3">
      <c r="A1808" s="94" t="s">
        <v>125</v>
      </c>
      <c r="B1808" s="94"/>
      <c r="C1808" s="94"/>
      <c r="D1808" s="94"/>
      <c r="E1808" s="94"/>
      <c r="F1808" s="94"/>
      <c r="G1808" s="112">
        <f>AU1808</f>
      </c>
      <c r="H1808" s="113"/>
      <c r="I1808" s="94" t="s">
        <v>126</v>
      </c>
      <c r="J1808" s="94" t="s">
        <v>141</v>
      </c>
      <c r="K1808" s="114">
        <f>P1808/3</f>
      </c>
      <c r="L1808" s="115">
        <v>1681.4860000000001</v>
      </c>
      <c r="M1808" s="116">
        <v>1681.4860000000001</v>
      </c>
      <c r="N1808" s="117">
        <f>M1808-L1808</f>
      </c>
      <c r="O1808" s="112"/>
      <c r="P1808" s="118">
        <f>N1808+O1808</f>
      </c>
      <c r="Q1808" s="94" t="s">
        <v>128</v>
      </c>
      <c r="R1808" s="94" t="s">
        <v>63</v>
      </c>
      <c r="S1808" s="119">
        <v>46327</v>
      </c>
      <c r="T1808" s="119"/>
      <c r="U1808" s="120" t="s">
        <v>681</v>
      </c>
      <c r="V1808" s="94"/>
      <c r="W1808" s="94"/>
      <c r="X1808" s="94"/>
      <c r="Y1808" s="119">
        <v>46331</v>
      </c>
      <c r="Z1808" s="94"/>
      <c r="AA1808" s="120"/>
      <c r="AB1808" s="120"/>
      <c r="AC1808" s="120"/>
      <c r="AD1808" s="120"/>
      <c r="AE1808" s="120"/>
      <c r="AF1808" s="120"/>
      <c r="AG1808" s="94"/>
      <c r="AH1808" s="120"/>
      <c r="AI1808" s="94"/>
      <c r="AJ1808" s="94" t="s">
        <v>128</v>
      </c>
      <c r="AK1808" s="94" t="s">
        <v>131</v>
      </c>
      <c r="AL1808" s="94">
        <v>160</v>
      </c>
      <c r="AM1808" s="94" t="str">
        <f>TRIM(AJ1808)&amp;TRIM(AL1808)&amp;TRIM(AK1808)</f>
      </c>
      <c r="AN1808" s="116">
        <v>9105</v>
      </c>
      <c r="AO1808" s="116">
        <v>1275.23</v>
      </c>
      <c r="AP1808" s="116">
        <f>SUMIFS(M:M,AM:AM,AM1808)+SUMIFS(O:O,AM:AM,AM1808)</f>
      </c>
      <c r="AQ1808" s="116">
        <f>SUMIFS(L:L,AM:AM,AM1808)</f>
      </c>
      <c r="AR1808" s="116">
        <f>AQ1808-AP1808</f>
      </c>
      <c r="AS1808" s="94" t="str">
        <f>IF(AN1808&gt;=AQ1808,"ok","ck")</f>
      </c>
      <c r="AT1808" s="116">
        <f>-P1808</f>
      </c>
      <c r="AU1808" s="115">
        <f>IF(SUMIFS(AT:AT,AM:AM,AM1808)&gt;AO1808,(SUMIFS(AT:AT,AM:AM,AM1808)-AO1808))</f>
      </c>
      <c r="AV1808" s="116">
        <v>9105</v>
      </c>
      <c r="AW1808" s="121">
        <v>0.877</v>
      </c>
      <c r="AX1808" s="115">
        <f>AN1808-AP1808</f>
      </c>
    </row>
    <row r="1809" spans="1:50" ht="15" hidden="1" customHeight="1" x14ac:dyDescent="0.3">
      <c r="A1809" s="94" t="s">
        <v>125</v>
      </c>
      <c r="B1809" s="94"/>
      <c r="C1809" s="94"/>
      <c r="D1809" s="94"/>
      <c r="E1809" s="94"/>
      <c r="F1809" s="94"/>
      <c r="G1809" s="112">
        <f>AU1809</f>
      </c>
      <c r="H1809" s="113"/>
      <c r="I1809" s="94" t="s">
        <v>126</v>
      </c>
      <c r="J1809" s="94" t="s">
        <v>141</v>
      </c>
      <c r="K1809" s="114">
        <f>P1809/3</f>
      </c>
      <c r="L1809" s="115">
        <v>1681.4860000000001</v>
      </c>
      <c r="M1809" s="116">
        <v>1681.4860000000001</v>
      </c>
      <c r="N1809" s="117">
        <f>M1809-L1809</f>
      </c>
      <c r="O1809" s="112"/>
      <c r="P1809" s="118">
        <f>N1809+O1809</f>
      </c>
      <c r="Q1809" s="94" t="s">
        <v>128</v>
      </c>
      <c r="R1809" s="94" t="s">
        <v>63</v>
      </c>
      <c r="S1809" s="119">
        <v>46328</v>
      </c>
      <c r="T1809" s="119"/>
      <c r="U1809" s="120" t="s">
        <v>681</v>
      </c>
      <c r="V1809" s="94"/>
      <c r="W1809" s="94"/>
      <c r="X1809" s="94"/>
      <c r="Y1809" s="119">
        <v>46333</v>
      </c>
      <c r="Z1809" s="94"/>
      <c r="AA1809" s="120"/>
      <c r="AB1809" s="120"/>
      <c r="AC1809" s="120"/>
      <c r="AD1809" s="120"/>
      <c r="AE1809" s="120"/>
      <c r="AF1809" s="120"/>
      <c r="AG1809" s="94"/>
      <c r="AH1809" s="120"/>
      <c r="AI1809" s="94"/>
      <c r="AJ1809" s="94" t="s">
        <v>128</v>
      </c>
      <c r="AK1809" s="94" t="s">
        <v>131</v>
      </c>
      <c r="AL1809" s="94">
        <v>160</v>
      </c>
      <c r="AM1809" s="94" t="str">
        <f>TRIM(AJ1809)&amp;TRIM(AL1809)&amp;TRIM(AK1809)</f>
      </c>
      <c r="AN1809" s="116">
        <v>9105</v>
      </c>
      <c r="AO1809" s="116">
        <v>1275.23</v>
      </c>
      <c r="AP1809" s="116">
        <f>SUMIFS(M:M,AM:AM,AM1809)+SUMIFS(O:O,AM:AM,AM1809)</f>
      </c>
      <c r="AQ1809" s="116">
        <f>SUMIFS(L:L,AM:AM,AM1809)</f>
      </c>
      <c r="AR1809" s="116">
        <f>AQ1809-AP1809</f>
      </c>
      <c r="AS1809" s="94" t="str">
        <f>IF(AN1809&gt;=AQ1809,"ok","ck")</f>
      </c>
      <c r="AT1809" s="116">
        <f>-P1809</f>
      </c>
      <c r="AU1809" s="115">
        <f>IF(SUMIFS(AT:AT,AM:AM,AM1809)&gt;AO1809,(SUMIFS(AT:AT,AM:AM,AM1809)-AO1809))</f>
      </c>
      <c r="AV1809" s="116">
        <v>9105</v>
      </c>
      <c r="AW1809" s="121">
        <v>0.877</v>
      </c>
      <c r="AX1809" s="115">
        <f>AN1809-AP1809</f>
      </c>
    </row>
    <row r="1810" spans="1:50" ht="15" hidden="1" customHeight="1" x14ac:dyDescent="0.3">
      <c r="A1810" s="94" t="s">
        <v>125</v>
      </c>
      <c r="B1810" s="94"/>
      <c r="C1810" s="94"/>
      <c r="D1810" s="94"/>
      <c r="E1810" s="94"/>
      <c r="F1810" s="94"/>
      <c r="G1810" s="112">
        <f>AU1810</f>
      </c>
      <c r="H1810" s="113"/>
      <c r="I1810" s="94" t="s">
        <v>126</v>
      </c>
      <c r="J1810" s="94" t="s">
        <v>141</v>
      </c>
      <c r="K1810" s="114">
        <f>P1810/3</f>
      </c>
      <c r="L1810" s="115">
        <v>1681.4860000000001</v>
      </c>
      <c r="M1810" s="116">
        <v>1681.4860000000001</v>
      </c>
      <c r="N1810" s="117">
        <f>M1810-L1810</f>
      </c>
      <c r="O1810" s="112"/>
      <c r="P1810" s="118">
        <f>N1810+O1810</f>
      </c>
      <c r="Q1810" s="94" t="s">
        <v>128</v>
      </c>
      <c r="R1810" s="94" t="s">
        <v>63</v>
      </c>
      <c r="S1810" s="119">
        <v>46329</v>
      </c>
      <c r="T1810" s="119"/>
      <c r="U1810" s="120" t="s">
        <v>681</v>
      </c>
      <c r="V1810" s="94"/>
      <c r="W1810" s="94"/>
      <c r="X1810" s="94"/>
      <c r="Y1810" s="119">
        <v>46336</v>
      </c>
      <c r="Z1810" s="94"/>
      <c r="AA1810" s="120"/>
      <c r="AB1810" s="120"/>
      <c r="AC1810" s="120"/>
      <c r="AD1810" s="120"/>
      <c r="AE1810" s="120"/>
      <c r="AF1810" s="120"/>
      <c r="AG1810" s="94"/>
      <c r="AH1810" s="120"/>
      <c r="AI1810" s="94"/>
      <c r="AJ1810" s="94" t="s">
        <v>128</v>
      </c>
      <c r="AK1810" s="94" t="s">
        <v>131</v>
      </c>
      <c r="AL1810" s="94">
        <v>160</v>
      </c>
      <c r="AM1810" s="94" t="str">
        <f>TRIM(AJ1810)&amp;TRIM(AL1810)&amp;TRIM(AK1810)</f>
      </c>
      <c r="AN1810" s="116">
        <v>9105</v>
      </c>
      <c r="AO1810" s="116">
        <v>1275.23</v>
      </c>
      <c r="AP1810" s="116">
        <f>SUMIFS(M:M,AM:AM,AM1810)+SUMIFS(O:O,AM:AM,AM1810)</f>
      </c>
      <c r="AQ1810" s="116">
        <f>SUMIFS(L:L,AM:AM,AM1810)</f>
      </c>
      <c r="AR1810" s="116">
        <f>AQ1810-AP1810</f>
      </c>
      <c r="AS1810" s="94" t="str">
        <f>IF(AN1810&gt;=AQ1810,"ok","ck")</f>
      </c>
      <c r="AT1810" s="116">
        <f>-P1810</f>
      </c>
      <c r="AU1810" s="115">
        <f>IF(SUMIFS(AT:AT,AM:AM,AM1810)&gt;AO1810,(SUMIFS(AT:AT,AM:AM,AM1810)-AO1810))</f>
      </c>
      <c r="AV1810" s="116">
        <v>9105</v>
      </c>
      <c r="AW1810" s="121">
        <v>0.877</v>
      </c>
      <c r="AX1810" s="115">
        <f>AN1810-AP1810</f>
      </c>
    </row>
    <row r="1811" spans="1:50" ht="15" hidden="1" customHeight="1" x14ac:dyDescent="0.3">
      <c r="A1811" s="94" t="s">
        <v>125</v>
      </c>
      <c r="B1811" s="94"/>
      <c r="C1811" s="94"/>
      <c r="D1811" s="94"/>
      <c r="E1811" s="94"/>
      <c r="F1811" s="94"/>
      <c r="G1811" s="112">
        <f>AU1811</f>
      </c>
      <c r="H1811" s="113"/>
      <c r="I1811" s="94" t="s">
        <v>133</v>
      </c>
      <c r="J1811" s="94" t="s">
        <v>66</v>
      </c>
      <c r="K1811" s="114">
        <f>P1811/3</f>
      </c>
      <c r="L1811" s="115">
        <v>911.803</v>
      </c>
      <c r="M1811" s="116"/>
      <c r="N1811" s="117">
        <f>M1811-L1811</f>
      </c>
      <c r="O1811" s="112"/>
      <c r="P1811" s="118">
        <f>N1811+O1811</f>
      </c>
      <c r="Q1811" s="94" t="s">
        <v>830</v>
      </c>
      <c r="R1811" s="94" t="s">
        <v>63</v>
      </c>
      <c r="S1811" s="119">
        <v>46327</v>
      </c>
      <c r="T1811" s="119"/>
      <c r="U1811" s="120" t="s">
        <v>668</v>
      </c>
      <c r="V1811" s="94"/>
      <c r="W1811" s="94"/>
      <c r="X1811" s="94"/>
      <c r="Y1811" s="119">
        <v>46320</v>
      </c>
      <c r="Z1811" s="94"/>
      <c r="AA1811" s="120"/>
      <c r="AB1811" s="120"/>
      <c r="AC1811" s="120"/>
      <c r="AD1811" s="120"/>
      <c r="AE1811" s="120"/>
      <c r="AF1811" s="120"/>
      <c r="AG1811" s="94"/>
      <c r="AH1811" s="120"/>
      <c r="AI1811" s="94"/>
      <c r="AJ1811" s="94" t="s">
        <v>830</v>
      </c>
      <c r="AK1811" s="94" t="s">
        <v>66</v>
      </c>
      <c r="AL1811" s="94">
        <v>160</v>
      </c>
      <c r="AM1811" s="94" t="str">
        <f>TRIM(AJ1811)&amp;TRIM(AL1811)&amp;TRIM(AK1811)</f>
      </c>
      <c r="AN1811" s="116">
        <v>0</v>
      </c>
      <c r="AO1811" s="116" t="inlineStr">
        <is>
          <t>#NA</t>
        </is>
      </c>
      <c r="AP1811" s="116">
        <f>SUMIFS(M:M,AM:AM,AM1811)+SUMIFS(O:O,AM:AM,AM1811)</f>
      </c>
      <c r="AQ1811" s="116">
        <f>SUMIFS(L:L,AM:AM,AM1811)</f>
      </c>
      <c r="AR1811" s="116">
        <f>AQ1811-AP1811</f>
      </c>
      <c r="AS1811" s="94" t="str">
        <f>IF(AN1811&gt;=AQ1811,"ok","ck")</f>
      </c>
      <c r="AT1811" s="116">
        <f>-P1811</f>
      </c>
      <c r="AU1811" s="115">
        <f>IF(SUMIFS(AT:AT,AM:AM,AM1811)&gt;AO1811,(SUMIFS(AT:AT,AM:AM,AM1811)-AO1811))</f>
      </c>
      <c r="AV1811" s="116">
        <v>0</v>
      </c>
      <c r="AW1811" s="121">
        <v>0</v>
      </c>
      <c r="AX1811" s="115">
        <f>AN1811-AP1811</f>
      </c>
    </row>
    <row r="1812" spans="1:50" ht="15" hidden="1" customHeight="1" x14ac:dyDescent="0.3">
      <c r="A1812" s="94" t="s">
        <v>125</v>
      </c>
      <c r="B1812" s="94"/>
      <c r="C1812" s="94"/>
      <c r="D1812" s="94"/>
      <c r="E1812" s="94"/>
      <c r="F1812" s="94"/>
      <c r="G1812" s="112">
        <f>AU1812</f>
      </c>
      <c r="H1812" s="113"/>
      <c r="I1812" s="94" t="s">
        <v>133</v>
      </c>
      <c r="J1812" s="94" t="s">
        <v>66</v>
      </c>
      <c r="K1812" s="114">
        <f>P1812/3</f>
      </c>
      <c r="L1812" s="115">
        <v>911.803</v>
      </c>
      <c r="M1812" s="116"/>
      <c r="N1812" s="117">
        <f>M1812-L1812</f>
      </c>
      <c r="O1812" s="112"/>
      <c r="P1812" s="118">
        <f>N1812+O1812</f>
      </c>
      <c r="Q1812" s="94" t="s">
        <v>830</v>
      </c>
      <c r="R1812" s="94" t="s">
        <v>63</v>
      </c>
      <c r="S1812" s="119">
        <v>46328</v>
      </c>
      <c r="T1812" s="119"/>
      <c r="U1812" s="120" t="s">
        <v>668</v>
      </c>
      <c r="V1812" s="94"/>
      <c r="W1812" s="94"/>
      <c r="X1812" s="94"/>
      <c r="Y1812" s="119">
        <v>46320</v>
      </c>
      <c r="Z1812" s="94"/>
      <c r="AA1812" s="120"/>
      <c r="AB1812" s="120"/>
      <c r="AC1812" s="120"/>
      <c r="AD1812" s="120"/>
      <c r="AE1812" s="120"/>
      <c r="AF1812" s="120"/>
      <c r="AG1812" s="94"/>
      <c r="AH1812" s="120"/>
      <c r="AI1812" s="94"/>
      <c r="AJ1812" s="94" t="s">
        <v>830</v>
      </c>
      <c r="AK1812" s="94" t="s">
        <v>66</v>
      </c>
      <c r="AL1812" s="94">
        <v>160</v>
      </c>
      <c r="AM1812" s="94" t="str">
        <f>TRIM(AJ1812)&amp;TRIM(AL1812)&amp;TRIM(AK1812)</f>
      </c>
      <c r="AN1812" s="116">
        <v>0</v>
      </c>
      <c r="AO1812" s="116" t="inlineStr">
        <is>
          <t>#NA</t>
        </is>
      </c>
      <c r="AP1812" s="116">
        <f>SUMIFS(M:M,AM:AM,AM1812)+SUMIFS(O:O,AM:AM,AM1812)</f>
      </c>
      <c r="AQ1812" s="116">
        <f>SUMIFS(L:L,AM:AM,AM1812)</f>
      </c>
      <c r="AR1812" s="116">
        <f>AQ1812-AP1812</f>
      </c>
      <c r="AS1812" s="94" t="str">
        <f>IF(AN1812&gt;=AQ1812,"ok","ck")</f>
      </c>
      <c r="AT1812" s="116">
        <f>-P1812</f>
      </c>
      <c r="AU1812" s="115">
        <f>IF(SUMIFS(AT:AT,AM:AM,AM1812)&gt;AO1812,(SUMIFS(AT:AT,AM:AM,AM1812)-AO1812))</f>
      </c>
      <c r="AV1812" s="116">
        <v>0</v>
      </c>
      <c r="AW1812" s="121">
        <v>0</v>
      </c>
      <c r="AX1812" s="115">
        <f>AN1812-AP1812</f>
      </c>
    </row>
    <row r="1813" spans="1:50" ht="15" hidden="1" customHeight="1" x14ac:dyDescent="0.3">
      <c r="A1813" s="94" t="s">
        <v>125</v>
      </c>
      <c r="B1813" s="94"/>
      <c r="C1813" s="94"/>
      <c r="D1813" s="94"/>
      <c r="E1813" s="94"/>
      <c r="F1813" s="94"/>
      <c r="G1813" s="112">
        <f>AU1813</f>
      </c>
      <c r="H1813" s="113"/>
      <c r="I1813" s="94" t="s">
        <v>132</v>
      </c>
      <c r="J1813" s="94" t="s">
        <v>135</v>
      </c>
      <c r="K1813" s="114">
        <f>P1813/3</f>
      </c>
      <c r="L1813" s="115">
        <v>318.51400000000001</v>
      </c>
      <c r="M1813" s="116">
        <v>318.51400000000001</v>
      </c>
      <c r="N1813" s="117">
        <f>M1813-L1813</f>
      </c>
      <c r="O1813" s="112"/>
      <c r="P1813" s="118">
        <f>N1813+O1813</f>
      </c>
      <c r="Q1813" s="94" t="s">
        <v>128</v>
      </c>
      <c r="R1813" s="94" t="s">
        <v>63</v>
      </c>
      <c r="S1813" s="119">
        <v>46327</v>
      </c>
      <c r="T1813" s="119"/>
      <c r="U1813" s="120" t="s">
        <v>681</v>
      </c>
      <c r="V1813" s="94"/>
      <c r="W1813" s="94"/>
      <c r="X1813" s="94"/>
      <c r="Y1813" s="119">
        <v>46320</v>
      </c>
      <c r="Z1813" s="94"/>
      <c r="AA1813" s="120"/>
      <c r="AB1813" s="120"/>
      <c r="AC1813" s="120"/>
      <c r="AD1813" s="120"/>
      <c r="AE1813" s="120"/>
      <c r="AF1813" s="120"/>
      <c r="AG1813" s="94"/>
      <c r="AH1813" s="120"/>
      <c r="AI1813" s="94"/>
      <c r="AJ1813" s="94" t="s">
        <v>128</v>
      </c>
      <c r="AK1813" s="94" t="s">
        <v>136</v>
      </c>
      <c r="AL1813" s="94">
        <v>140</v>
      </c>
      <c r="AM1813" s="94" t="str">
        <f>TRIM(AJ1813)&amp;TRIM(AL1813)&amp;TRIM(AK1813)</f>
      </c>
      <c r="AN1813" s="116">
        <v>1869.29</v>
      </c>
      <c r="AO1813" s="116">
        <v>312.46</v>
      </c>
      <c r="AP1813" s="116">
        <f>SUMIFS(M:M,AM:AM,AM1813)+SUMIFS(O:O,AM:AM,AM1813)</f>
      </c>
      <c r="AQ1813" s="116">
        <f>SUMIFS(L:L,AM:AM,AM1813)</f>
      </c>
      <c r="AR1813" s="116">
        <f>AQ1813-AP1813</f>
      </c>
      <c r="AS1813" s="94" t="str">
        <f>IF(AN1813&gt;=AQ1813,"ok","ck")</f>
      </c>
      <c r="AT1813" s="116">
        <f>-P1813</f>
      </c>
      <c r="AU1813" s="115">
        <f>IF(SUMIFS(AT:AT,AM:AM,AM1813)&gt;AO1813,(SUMIFS(AT:AT,AM:AM,AM1813)-AO1813))</f>
      </c>
      <c r="AV1813" s="116">
        <v>27</v>
      </c>
      <c r="AW1813" s="121">
        <v>0.96</v>
      </c>
      <c r="AX1813" s="115">
        <f>AN1813-AP1813</f>
      </c>
    </row>
    <row r="1814" spans="1:50" ht="15" hidden="1" customHeight="1" x14ac:dyDescent="0.3">
      <c r="A1814" s="94" t="s">
        <v>125</v>
      </c>
      <c r="B1814" s="94"/>
      <c r="C1814" s="94"/>
      <c r="D1814" s="94"/>
      <c r="E1814" s="94"/>
      <c r="F1814" s="94"/>
      <c r="G1814" s="112">
        <f>AU1814</f>
      </c>
      <c r="H1814" s="113"/>
      <c r="I1814" s="94" t="s">
        <v>132</v>
      </c>
      <c r="J1814" s="94" t="s">
        <v>135</v>
      </c>
      <c r="K1814" s="114">
        <f>P1814/3</f>
      </c>
      <c r="L1814" s="115">
        <v>318.51400000000001</v>
      </c>
      <c r="M1814" s="116">
        <v>318.51400000000001</v>
      </c>
      <c r="N1814" s="117">
        <f>M1814-L1814</f>
      </c>
      <c r="O1814" s="112"/>
      <c r="P1814" s="118">
        <f>N1814+O1814</f>
      </c>
      <c r="Q1814" s="94" t="s">
        <v>128</v>
      </c>
      <c r="R1814" s="94" t="s">
        <v>63</v>
      </c>
      <c r="S1814" s="119">
        <v>46328</v>
      </c>
      <c r="T1814" s="119"/>
      <c r="U1814" s="120" t="s">
        <v>681</v>
      </c>
      <c r="V1814" s="94"/>
      <c r="W1814" s="94"/>
      <c r="X1814" s="94"/>
      <c r="Y1814" s="119">
        <v>46320</v>
      </c>
      <c r="Z1814" s="94"/>
      <c r="AA1814" s="120"/>
      <c r="AB1814" s="120"/>
      <c r="AC1814" s="120"/>
      <c r="AD1814" s="120"/>
      <c r="AE1814" s="120"/>
      <c r="AF1814" s="120"/>
      <c r="AG1814" s="94"/>
      <c r="AH1814" s="120"/>
      <c r="AI1814" s="94"/>
      <c r="AJ1814" s="94" t="s">
        <v>128</v>
      </c>
      <c r="AK1814" s="94" t="s">
        <v>136</v>
      </c>
      <c r="AL1814" s="94">
        <v>140</v>
      </c>
      <c r="AM1814" s="94" t="str">
        <f>TRIM(AJ1814)&amp;TRIM(AL1814)&amp;TRIM(AK1814)</f>
      </c>
      <c r="AN1814" s="116">
        <v>1869.29</v>
      </c>
      <c r="AO1814" s="116">
        <v>312.46</v>
      </c>
      <c r="AP1814" s="116">
        <f>SUMIFS(M:M,AM:AM,AM1814)+SUMIFS(O:O,AM:AM,AM1814)</f>
      </c>
      <c r="AQ1814" s="116">
        <f>SUMIFS(L:L,AM:AM,AM1814)</f>
      </c>
      <c r="AR1814" s="116">
        <f>AQ1814-AP1814</f>
      </c>
      <c r="AS1814" s="94" t="str">
        <f>IF(AN1814&gt;=AQ1814,"ok","ck")</f>
      </c>
      <c r="AT1814" s="116">
        <f>-P1814</f>
      </c>
      <c r="AU1814" s="115">
        <f>IF(SUMIFS(AT:AT,AM:AM,AM1814)&gt;AO1814,(SUMIFS(AT:AT,AM:AM,AM1814)-AO1814))</f>
      </c>
      <c r="AV1814" s="116">
        <v>27</v>
      </c>
      <c r="AW1814" s="121">
        <v>0.96</v>
      </c>
      <c r="AX1814" s="115">
        <f>AN1814-AP1814</f>
      </c>
    </row>
    <row r="1815" spans="1:50" ht="15" hidden="1" customHeight="1" x14ac:dyDescent="0.3">
      <c r="A1815" s="94" t="s">
        <v>125</v>
      </c>
      <c r="B1815" s="94"/>
      <c r="C1815" s="94"/>
      <c r="D1815" s="94"/>
      <c r="E1815" s="94"/>
      <c r="F1815" s="94"/>
      <c r="G1815" s="112">
        <f>AU1815</f>
      </c>
      <c r="H1815" s="113"/>
      <c r="I1815" s="94" t="s">
        <v>132</v>
      </c>
      <c r="J1815" s="94" t="s">
        <v>148</v>
      </c>
      <c r="K1815" s="114">
        <f>P1815/3</f>
      </c>
      <c r="L1815" s="115">
        <v>318.51400000000001</v>
      </c>
      <c r="M1815" s="116"/>
      <c r="N1815" s="117">
        <f>M1815-L1815</f>
      </c>
      <c r="O1815" s="112"/>
      <c r="P1815" s="118">
        <f>N1815+O1815</f>
      </c>
      <c r="Q1815" s="94" t="s">
        <v>128</v>
      </c>
      <c r="R1815" s="94" t="s">
        <v>63</v>
      </c>
      <c r="S1815" s="119">
        <v>46327</v>
      </c>
      <c r="T1815" s="119"/>
      <c r="U1815" s="120" t="s">
        <v>681</v>
      </c>
      <c r="V1815" s="94"/>
      <c r="W1815" s="94"/>
      <c r="X1815" s="94"/>
      <c r="Y1815" s="119">
        <v>46334</v>
      </c>
      <c r="Z1815" s="94"/>
      <c r="AA1815" s="120"/>
      <c r="AB1815" s="120"/>
      <c r="AC1815" s="120"/>
      <c r="AD1815" s="120"/>
      <c r="AE1815" s="120"/>
      <c r="AF1815" s="120"/>
      <c r="AG1815" s="94"/>
      <c r="AH1815" s="120"/>
      <c r="AI1815" s="94"/>
      <c r="AJ1815" s="94" t="s">
        <v>128</v>
      </c>
      <c r="AK1815" s="94" t="s">
        <v>149</v>
      </c>
      <c r="AL1815" s="94">
        <v>140</v>
      </c>
      <c r="AM1815" s="94" t="str">
        <f>TRIM(AJ1815)&amp;TRIM(AL1815)&amp;TRIM(AK1815)</f>
      </c>
      <c r="AN1815" s="116">
        <v>65.77</v>
      </c>
      <c r="AO1815" s="116">
        <v>2059.86</v>
      </c>
      <c r="AP1815" s="116">
        <f>SUMIFS(M:M,AM:AM,AM1815)+SUMIFS(O:O,AM:AM,AM1815)</f>
      </c>
      <c r="AQ1815" s="116">
        <f>SUMIFS(L:L,AM:AM,AM1815)</f>
      </c>
      <c r="AR1815" s="116">
        <f>AQ1815-AP1815</f>
      </c>
      <c r="AS1815" s="94" t="str">
        <f>IF(AN1815&gt;=AQ1815,"ok","ck")</f>
      </c>
      <c r="AT1815" s="116">
        <f>-P1815</f>
      </c>
      <c r="AU1815" s="115">
        <f>IF(SUMIFS(AT:AT,AM:AM,AM1815)&gt;AO1815,(SUMIFS(AT:AT,AM:AM,AM1815)-AO1815))</f>
      </c>
      <c r="AV1815" s="116">
        <v>65.77</v>
      </c>
      <c r="AW1815" s="121">
        <v>0.031</v>
      </c>
      <c r="AX1815" s="115">
        <f>AN1815-AP1815</f>
      </c>
    </row>
    <row r="1816" spans="1:50" ht="15" hidden="1" customHeight="1" x14ac:dyDescent="0.3">
      <c r="A1816" s="94" t="s">
        <v>125</v>
      </c>
      <c r="B1816" s="94"/>
      <c r="C1816" s="94"/>
      <c r="D1816" s="94"/>
      <c r="E1816" s="94"/>
      <c r="F1816" s="94"/>
      <c r="G1816" s="112">
        <f>AU1816</f>
      </c>
      <c r="H1816" s="113"/>
      <c r="I1816" s="94" t="s">
        <v>132</v>
      </c>
      <c r="J1816" s="94" t="s">
        <v>148</v>
      </c>
      <c r="K1816" s="114">
        <f>P1816/3</f>
      </c>
      <c r="L1816" s="115">
        <v>318.51400000000001</v>
      </c>
      <c r="M1816" s="116"/>
      <c r="N1816" s="117">
        <f>M1816-L1816</f>
      </c>
      <c r="O1816" s="112"/>
      <c r="P1816" s="118">
        <f>N1816+O1816</f>
      </c>
      <c r="Q1816" s="94" t="s">
        <v>128</v>
      </c>
      <c r="R1816" s="94" t="s">
        <v>63</v>
      </c>
      <c r="S1816" s="119">
        <v>46328</v>
      </c>
      <c r="T1816" s="119"/>
      <c r="U1816" s="120" t="s">
        <v>681</v>
      </c>
      <c r="V1816" s="94"/>
      <c r="W1816" s="94"/>
      <c r="X1816" s="94"/>
      <c r="Y1816" s="119">
        <v>46334</v>
      </c>
      <c r="Z1816" s="94"/>
      <c r="AA1816" s="120"/>
      <c r="AB1816" s="120"/>
      <c r="AC1816" s="120"/>
      <c r="AD1816" s="120"/>
      <c r="AE1816" s="120"/>
      <c r="AF1816" s="120"/>
      <c r="AG1816" s="94"/>
      <c r="AH1816" s="120"/>
      <c r="AI1816" s="94"/>
      <c r="AJ1816" s="94" t="s">
        <v>128</v>
      </c>
      <c r="AK1816" s="94" t="s">
        <v>149</v>
      </c>
      <c r="AL1816" s="94">
        <v>140</v>
      </c>
      <c r="AM1816" s="94" t="str">
        <f>TRIM(AJ1816)&amp;TRIM(AL1816)&amp;TRIM(AK1816)</f>
      </c>
      <c r="AN1816" s="116">
        <v>65.77</v>
      </c>
      <c r="AO1816" s="116">
        <v>2059.86</v>
      </c>
      <c r="AP1816" s="116">
        <f>SUMIFS(M:M,AM:AM,AM1816)+SUMIFS(O:O,AM:AM,AM1816)</f>
      </c>
      <c r="AQ1816" s="116">
        <f>SUMIFS(L:L,AM:AM,AM1816)</f>
      </c>
      <c r="AR1816" s="116">
        <f>AQ1816-AP1816</f>
      </c>
      <c r="AS1816" s="94" t="str">
        <f>IF(AN1816&gt;=AQ1816,"ok","ck")</f>
      </c>
      <c r="AT1816" s="116">
        <f>-P1816</f>
      </c>
      <c r="AU1816" s="115">
        <f>IF(SUMIFS(AT:AT,AM:AM,AM1816)&gt;AO1816,(SUMIFS(AT:AT,AM:AM,AM1816)-AO1816))</f>
      </c>
      <c r="AV1816" s="116">
        <v>65.77</v>
      </c>
      <c r="AW1816" s="121">
        <v>0.031</v>
      </c>
      <c r="AX1816" s="115">
        <f>AN1816-AP1816</f>
      </c>
    </row>
    <row r="1817" spans="1:50" ht="15" hidden="1" customHeight="1" x14ac:dyDescent="0.3">
      <c r="A1817" s="94" t="s">
        <v>125</v>
      </c>
      <c r="B1817" s="94"/>
      <c r="C1817" s="94"/>
      <c r="D1817" s="94"/>
      <c r="E1817" s="94"/>
      <c r="F1817" s="94"/>
      <c r="G1817" s="112">
        <f>AU1817</f>
      </c>
      <c r="H1817" s="113"/>
      <c r="I1817" s="94" t="s">
        <v>132</v>
      </c>
      <c r="J1817" s="94" t="s">
        <v>148</v>
      </c>
      <c r="K1817" s="114">
        <f>P1817/3</f>
      </c>
      <c r="L1817" s="115">
        <v>318.51400000000001</v>
      </c>
      <c r="M1817" s="116"/>
      <c r="N1817" s="117">
        <f>M1817-L1817</f>
      </c>
      <c r="O1817" s="112"/>
      <c r="P1817" s="118">
        <f>N1817+O1817</f>
      </c>
      <c r="Q1817" s="94" t="s">
        <v>128</v>
      </c>
      <c r="R1817" s="94" t="s">
        <v>63</v>
      </c>
      <c r="S1817" s="119">
        <v>46329</v>
      </c>
      <c r="T1817" s="119"/>
      <c r="U1817" s="120" t="s">
        <v>681</v>
      </c>
      <c r="V1817" s="94"/>
      <c r="W1817" s="94"/>
      <c r="X1817" s="94"/>
      <c r="Y1817" s="119">
        <v>46320</v>
      </c>
      <c r="Z1817" s="94"/>
      <c r="AA1817" s="120"/>
      <c r="AB1817" s="120"/>
      <c r="AC1817" s="120"/>
      <c r="AD1817" s="120"/>
      <c r="AE1817" s="120"/>
      <c r="AF1817" s="120"/>
      <c r="AG1817" s="94"/>
      <c r="AH1817" s="120"/>
      <c r="AI1817" s="94"/>
      <c r="AJ1817" s="94" t="s">
        <v>128</v>
      </c>
      <c r="AK1817" s="94" t="s">
        <v>149</v>
      </c>
      <c r="AL1817" s="94">
        <v>140</v>
      </c>
      <c r="AM1817" s="94" t="str">
        <f>TRIM(AJ1817)&amp;TRIM(AL1817)&amp;TRIM(AK1817)</f>
      </c>
      <c r="AN1817" s="116">
        <v>65.77</v>
      </c>
      <c r="AO1817" s="116">
        <v>2059.86</v>
      </c>
      <c r="AP1817" s="116">
        <f>SUMIFS(M:M,AM:AM,AM1817)+SUMIFS(O:O,AM:AM,AM1817)</f>
      </c>
      <c r="AQ1817" s="116">
        <f>SUMIFS(L:L,AM:AM,AM1817)</f>
      </c>
      <c r="AR1817" s="116">
        <f>AQ1817-AP1817</f>
      </c>
      <c r="AS1817" s="94" t="str">
        <f>IF(AN1817&gt;=AQ1817,"ok","ck")</f>
      </c>
      <c r="AT1817" s="116">
        <f>-P1817</f>
      </c>
      <c r="AU1817" s="115">
        <f>IF(SUMIFS(AT:AT,AM:AM,AM1817)&gt;AO1817,(SUMIFS(AT:AT,AM:AM,AM1817)-AO1817))</f>
      </c>
      <c r="AV1817" s="116">
        <v>65.77</v>
      </c>
      <c r="AW1817" s="121">
        <v>0.031</v>
      </c>
      <c r="AX1817" s="115">
        <f>AN1817-AP1817</f>
      </c>
    </row>
    <row r="1818" spans="1:50" ht="15" hidden="1" customHeight="1" x14ac:dyDescent="0.3">
      <c r="A1818" s="94" t="s">
        <v>125</v>
      </c>
      <c r="B1818" s="94"/>
      <c r="C1818" s="94"/>
      <c r="D1818" s="94"/>
      <c r="E1818" s="94"/>
      <c r="F1818" s="94"/>
      <c r="G1818" s="112">
        <f>AU1818</f>
      </c>
      <c r="H1818" s="113"/>
      <c r="I1818" s="94" t="s">
        <v>132</v>
      </c>
      <c r="J1818" s="94" t="s">
        <v>148</v>
      </c>
      <c r="K1818" s="114">
        <f>P1818/3</f>
      </c>
      <c r="L1818" s="115">
        <v>318.51400000000001</v>
      </c>
      <c r="M1818" s="116"/>
      <c r="N1818" s="117">
        <f>M1818-L1818</f>
      </c>
      <c r="O1818" s="112"/>
      <c r="P1818" s="118">
        <f>N1818+O1818</f>
      </c>
      <c r="Q1818" s="94" t="s">
        <v>128</v>
      </c>
      <c r="R1818" s="94" t="s">
        <v>63</v>
      </c>
      <c r="S1818" s="119">
        <v>46330</v>
      </c>
      <c r="T1818" s="119"/>
      <c r="U1818" s="120" t="s">
        <v>681</v>
      </c>
      <c r="V1818" s="94"/>
      <c r="W1818" s="94"/>
      <c r="X1818" s="94"/>
      <c r="Y1818" s="119">
        <v>46320</v>
      </c>
      <c r="Z1818" s="94"/>
      <c r="AA1818" s="120"/>
      <c r="AB1818" s="120"/>
      <c r="AC1818" s="120"/>
      <c r="AD1818" s="120"/>
      <c r="AE1818" s="120"/>
      <c r="AF1818" s="120"/>
      <c r="AG1818" s="94"/>
      <c r="AH1818" s="120"/>
      <c r="AI1818" s="94"/>
      <c r="AJ1818" s="94" t="s">
        <v>128</v>
      </c>
      <c r="AK1818" s="94" t="s">
        <v>149</v>
      </c>
      <c r="AL1818" s="94">
        <v>140</v>
      </c>
      <c r="AM1818" s="94" t="str">
        <f>TRIM(AJ1818)&amp;TRIM(AL1818)&amp;TRIM(AK1818)</f>
      </c>
      <c r="AN1818" s="116">
        <v>65.77</v>
      </c>
      <c r="AO1818" s="116">
        <v>2059.86</v>
      </c>
      <c r="AP1818" s="116">
        <f>SUMIFS(M:M,AM:AM,AM1818)+SUMIFS(O:O,AM:AM,AM1818)</f>
      </c>
      <c r="AQ1818" s="116">
        <f>SUMIFS(L:L,AM:AM,AM1818)</f>
      </c>
      <c r="AR1818" s="116">
        <f>AQ1818-AP1818</f>
      </c>
      <c r="AS1818" s="94" t="str">
        <f>IF(AN1818&gt;=AQ1818,"ok","ck")</f>
      </c>
      <c r="AT1818" s="116">
        <f>-P1818</f>
      </c>
      <c r="AU1818" s="115">
        <f>IF(SUMIFS(AT:AT,AM:AM,AM1818)&gt;AO1818,(SUMIFS(AT:AT,AM:AM,AM1818)-AO1818))</f>
      </c>
      <c r="AV1818" s="116">
        <v>65.77</v>
      </c>
      <c r="AW1818" s="121">
        <v>0.031</v>
      </c>
      <c r="AX1818" s="115">
        <f>AN1818-AP1818</f>
      </c>
    </row>
    <row r="1819" spans="1:50" ht="15" hidden="1" customHeight="1" x14ac:dyDescent="0.3">
      <c r="A1819" s="94" t="s">
        <v>125</v>
      </c>
      <c r="B1819" s="94"/>
      <c r="C1819" s="94"/>
      <c r="D1819" s="94"/>
      <c r="E1819" s="94"/>
      <c r="F1819" s="94"/>
      <c r="G1819" s="112">
        <f>AU1819</f>
      </c>
      <c r="H1819" s="113"/>
      <c r="I1819" s="94" t="s">
        <v>132</v>
      </c>
      <c r="J1819" s="94" t="s">
        <v>148</v>
      </c>
      <c r="K1819" s="114">
        <f>P1819/3</f>
      </c>
      <c r="L1819" s="115">
        <v>521.26499999999999</v>
      </c>
      <c r="M1819" s="116"/>
      <c r="N1819" s="117">
        <f>M1819-L1819</f>
      </c>
      <c r="O1819" s="112"/>
      <c r="P1819" s="118">
        <f>N1819+O1819</f>
      </c>
      <c r="Q1819" s="94" t="s">
        <v>128</v>
      </c>
      <c r="R1819" s="94" t="s">
        <v>63</v>
      </c>
      <c r="S1819" s="119">
        <v>46331</v>
      </c>
      <c r="T1819" s="119"/>
      <c r="U1819" s="120" t="s">
        <v>681</v>
      </c>
      <c r="V1819" s="94"/>
      <c r="W1819" s="94"/>
      <c r="X1819" s="94"/>
      <c r="Y1819" s="119">
        <v>46320</v>
      </c>
      <c r="Z1819" s="94"/>
      <c r="AA1819" s="120"/>
      <c r="AB1819" s="120"/>
      <c r="AC1819" s="120"/>
      <c r="AD1819" s="120"/>
      <c r="AE1819" s="120"/>
      <c r="AF1819" s="120"/>
      <c r="AG1819" s="94"/>
      <c r="AH1819" s="120"/>
      <c r="AI1819" s="94"/>
      <c r="AJ1819" s="94" t="s">
        <v>128</v>
      </c>
      <c r="AK1819" s="94" t="s">
        <v>149</v>
      </c>
      <c r="AL1819" s="94">
        <v>140</v>
      </c>
      <c r="AM1819" s="94" t="str">
        <f>TRIM(AJ1819)&amp;TRIM(AL1819)&amp;TRIM(AK1819)</f>
      </c>
      <c r="AN1819" s="116">
        <v>65.77</v>
      </c>
      <c r="AO1819" s="116">
        <v>2059.86</v>
      </c>
      <c r="AP1819" s="116">
        <f>SUMIFS(M:M,AM:AM,AM1819)+SUMIFS(O:O,AM:AM,AM1819)</f>
      </c>
      <c r="AQ1819" s="116">
        <f>SUMIFS(L:L,AM:AM,AM1819)</f>
      </c>
      <c r="AR1819" s="116">
        <f>AQ1819-AP1819</f>
      </c>
      <c r="AS1819" s="94" t="str">
        <f>IF(AN1819&gt;=AQ1819,"ok","ck")</f>
      </c>
      <c r="AT1819" s="116">
        <f>-P1819</f>
      </c>
      <c r="AU1819" s="115">
        <f>IF(SUMIFS(AT:AT,AM:AM,AM1819)&gt;AO1819,(SUMIFS(AT:AT,AM:AM,AM1819)-AO1819))</f>
      </c>
      <c r="AV1819" s="116">
        <v>65.77</v>
      </c>
      <c r="AW1819" s="121">
        <v>0.031</v>
      </c>
      <c r="AX1819" s="115">
        <f>AN1819-AP1819</f>
      </c>
    </row>
    <row r="1820" spans="1:50" ht="15" hidden="1" customHeight="1" x14ac:dyDescent="0.3">
      <c r="A1820" s="94" t="s">
        <v>125</v>
      </c>
      <c r="B1820" s="94"/>
      <c r="C1820" s="94"/>
      <c r="D1820" s="94"/>
      <c r="E1820" s="94"/>
      <c r="F1820" s="94"/>
      <c r="G1820" s="112">
        <f>AU1820</f>
      </c>
      <c r="H1820" s="113"/>
      <c r="I1820" s="94" t="s">
        <v>126</v>
      </c>
      <c r="J1820" s="94" t="s">
        <v>130</v>
      </c>
      <c r="K1820" s="114">
        <f>P1820/3</f>
      </c>
      <c r="L1820" s="115">
        <v>1681.4860000000001</v>
      </c>
      <c r="M1820" s="116">
        <v>1681.4860000000001</v>
      </c>
      <c r="N1820" s="117">
        <f>M1820-L1820</f>
      </c>
      <c r="O1820" s="112"/>
      <c r="P1820" s="118">
        <f>N1820+O1820</f>
      </c>
      <c r="Q1820" s="94" t="s">
        <v>128</v>
      </c>
      <c r="R1820" s="94" t="s">
        <v>63</v>
      </c>
      <c r="S1820" s="119">
        <v>46329</v>
      </c>
      <c r="T1820" s="119"/>
      <c r="U1820" s="120" t="s">
        <v>681</v>
      </c>
      <c r="V1820" s="94"/>
      <c r="W1820" s="94"/>
      <c r="X1820" s="94"/>
      <c r="Y1820" s="119">
        <v>46320</v>
      </c>
      <c r="Z1820" s="94"/>
      <c r="AA1820" s="120"/>
      <c r="AB1820" s="120"/>
      <c r="AC1820" s="120"/>
      <c r="AD1820" s="120"/>
      <c r="AE1820" s="120"/>
      <c r="AF1820" s="120"/>
      <c r="AG1820" s="94"/>
      <c r="AH1820" s="120"/>
      <c r="AI1820" s="94"/>
      <c r="AJ1820" s="94" t="s">
        <v>128</v>
      </c>
      <c r="AK1820" s="94" t="s">
        <v>131</v>
      </c>
      <c r="AL1820" s="94">
        <v>160</v>
      </c>
      <c r="AM1820" s="94" t="str">
        <f>TRIM(AJ1820)&amp;TRIM(AL1820)&amp;TRIM(AK1820)</f>
      </c>
      <c r="AN1820" s="116">
        <v>9105</v>
      </c>
      <c r="AO1820" s="116">
        <v>1275.23</v>
      </c>
      <c r="AP1820" s="116">
        <f>SUMIFS(M:M,AM:AM,AM1820)+SUMIFS(O:O,AM:AM,AM1820)</f>
      </c>
      <c r="AQ1820" s="116">
        <f>SUMIFS(L:L,AM:AM,AM1820)</f>
      </c>
      <c r="AR1820" s="116">
        <f>AQ1820-AP1820</f>
      </c>
      <c r="AS1820" s="94" t="str">
        <f>IF(AN1820&gt;=AQ1820,"ok","ck")</f>
      </c>
      <c r="AT1820" s="116">
        <f>-P1820</f>
      </c>
      <c r="AU1820" s="115">
        <f>IF(SUMIFS(AT:AT,AM:AM,AM1820)&gt;AO1820,(SUMIFS(AT:AT,AM:AM,AM1820)-AO1820))</f>
      </c>
      <c r="AV1820" s="116">
        <v>9105</v>
      </c>
      <c r="AW1820" s="121">
        <v>0.877</v>
      </c>
      <c r="AX1820" s="115">
        <f>AN1820-AP1820</f>
      </c>
    </row>
    <row r="1821" spans="1:50" ht="15" hidden="1" customHeight="1" x14ac:dyDescent="0.3">
      <c r="A1821" s="94" t="s">
        <v>125</v>
      </c>
      <c r="B1821" s="94"/>
      <c r="C1821" s="94"/>
      <c r="D1821" s="94"/>
      <c r="E1821" s="94"/>
      <c r="F1821" s="94"/>
      <c r="G1821" s="112">
        <f>AU1821</f>
      </c>
      <c r="H1821" s="113"/>
      <c r="I1821" s="94" t="s">
        <v>126</v>
      </c>
      <c r="J1821" s="94" t="s">
        <v>130</v>
      </c>
      <c r="K1821" s="114">
        <f>P1821/3</f>
      </c>
      <c r="L1821" s="115">
        <v>1681.4860000000001</v>
      </c>
      <c r="M1821" s="116">
        <v>1681.4860000000001</v>
      </c>
      <c r="N1821" s="117">
        <f>M1821-L1821</f>
      </c>
      <c r="O1821" s="112"/>
      <c r="P1821" s="118">
        <f>N1821+O1821</f>
      </c>
      <c r="Q1821" s="94" t="s">
        <v>128</v>
      </c>
      <c r="R1821" s="94" t="s">
        <v>63</v>
      </c>
      <c r="S1821" s="119">
        <v>46330</v>
      </c>
      <c r="T1821" s="119"/>
      <c r="U1821" s="120" t="s">
        <v>681</v>
      </c>
      <c r="V1821" s="94"/>
      <c r="W1821" s="94"/>
      <c r="X1821" s="94"/>
      <c r="Y1821" s="119">
        <v>46320</v>
      </c>
      <c r="Z1821" s="94"/>
      <c r="AA1821" s="120"/>
      <c r="AB1821" s="120"/>
      <c r="AC1821" s="120"/>
      <c r="AD1821" s="120"/>
      <c r="AE1821" s="120"/>
      <c r="AF1821" s="120"/>
      <c r="AG1821" s="94"/>
      <c r="AH1821" s="120"/>
      <c r="AI1821" s="94"/>
      <c r="AJ1821" s="94" t="s">
        <v>128</v>
      </c>
      <c r="AK1821" s="94" t="s">
        <v>131</v>
      </c>
      <c r="AL1821" s="94">
        <v>160</v>
      </c>
      <c r="AM1821" s="94" t="str">
        <f>TRIM(AJ1821)&amp;TRIM(AL1821)&amp;TRIM(AK1821)</f>
      </c>
      <c r="AN1821" s="116">
        <v>9105</v>
      </c>
      <c r="AO1821" s="116">
        <v>1275.23</v>
      </c>
      <c r="AP1821" s="116">
        <f>SUMIFS(M:M,AM:AM,AM1821)+SUMIFS(O:O,AM:AM,AM1821)</f>
      </c>
      <c r="AQ1821" s="116">
        <f>SUMIFS(L:L,AM:AM,AM1821)</f>
      </c>
      <c r="AR1821" s="116">
        <f>AQ1821-AP1821</f>
      </c>
      <c r="AS1821" s="94" t="str">
        <f>IF(AN1821&gt;=AQ1821,"ok","ck")</f>
      </c>
      <c r="AT1821" s="116">
        <f>-P1821</f>
      </c>
      <c r="AU1821" s="115">
        <f>IF(SUMIFS(AT:AT,AM:AM,AM1821)&gt;AO1821,(SUMIFS(AT:AT,AM:AM,AM1821)-AO1821))</f>
      </c>
      <c r="AV1821" s="116">
        <v>9105</v>
      </c>
      <c r="AW1821" s="121">
        <v>0.877</v>
      </c>
      <c r="AX1821" s="115">
        <f>AN1821-AP1821</f>
      </c>
    </row>
    <row r="1822" spans="1:50" ht="15" hidden="1" customHeight="1" x14ac:dyDescent="0.3">
      <c r="A1822" s="94" t="s">
        <v>125</v>
      </c>
      <c r="B1822" s="94"/>
      <c r="C1822" s="94"/>
      <c r="D1822" s="94"/>
      <c r="E1822" s="94"/>
      <c r="F1822" s="94"/>
      <c r="G1822" s="112">
        <f>AU1822</f>
      </c>
      <c r="H1822" s="113"/>
      <c r="I1822" s="94" t="s">
        <v>132</v>
      </c>
      <c r="J1822" s="94" t="s">
        <v>71</v>
      </c>
      <c r="K1822" s="114">
        <f>P1822/3</f>
      </c>
      <c r="L1822" s="115">
        <v>5.6840000000000002</v>
      </c>
      <c r="M1822" s="116"/>
      <c r="N1822" s="117">
        <f>M1822-L1822</f>
      </c>
      <c r="O1822" s="112"/>
      <c r="P1822" s="118">
        <f>N1822+O1822</f>
      </c>
      <c r="Q1822" s="94" t="s">
        <v>145</v>
      </c>
      <c r="R1822" s="94" t="s">
        <v>63</v>
      </c>
      <c r="S1822" s="119">
        <v>46326</v>
      </c>
      <c r="T1822" s="119"/>
      <c r="U1822" s="120">
        <v>46326</v>
      </c>
      <c r="V1822" s="94"/>
      <c r="W1822" s="94"/>
      <c r="X1822" s="94"/>
      <c r="Y1822" s="119">
        <v>46320</v>
      </c>
      <c r="Z1822" s="94"/>
      <c r="AA1822" s="120"/>
      <c r="AB1822" s="120"/>
      <c r="AC1822" s="120"/>
      <c r="AD1822" s="120"/>
      <c r="AE1822" s="120"/>
      <c r="AF1822" s="120"/>
      <c r="AG1822" s="94"/>
      <c r="AH1822" s="120"/>
      <c r="AI1822" s="94"/>
      <c r="AJ1822" s="94" t="s">
        <v>145</v>
      </c>
      <c r="AK1822" s="94" t="s">
        <v>71</v>
      </c>
      <c r="AL1822" s="94">
        <v>140</v>
      </c>
      <c r="AM1822" s="94" t="str">
        <f>TRIM(AJ1822)&amp;TRIM(AL1822)&amp;TRIM(AK1822)</f>
      </c>
      <c r="AN1822" s="116">
        <v>0</v>
      </c>
      <c r="AO1822" s="116" t="inlineStr">
        <is>
          <t>#NA</t>
        </is>
      </c>
      <c r="AP1822" s="116">
        <f>SUMIFS(M:M,AM:AM,AM1822)+SUMIFS(O:O,AM:AM,AM1822)</f>
      </c>
      <c r="AQ1822" s="116">
        <f>SUMIFS(L:L,AM:AM,AM1822)</f>
      </c>
      <c r="AR1822" s="116">
        <f>AQ1822-AP1822</f>
      </c>
      <c r="AS1822" s="94" t="str">
        <f>IF(AN1822&gt;=AQ1822,"ok","ck")</f>
      </c>
      <c r="AT1822" s="116">
        <f>-P1822</f>
      </c>
      <c r="AU1822" s="115">
        <f>IF(SUMIFS(AT:AT,AM:AM,AM1822)&gt;AO1822,(SUMIFS(AT:AT,AM:AM,AM1822)-AO1822))</f>
      </c>
      <c r="AV1822" s="116">
        <v>0</v>
      </c>
      <c r="AW1822" s="121">
        <v>0</v>
      </c>
      <c r="AX1822" s="115">
        <f>AN1822-AP1822</f>
      </c>
    </row>
    <row r="1823" spans="1:50" ht="15" hidden="1" customHeight="1" x14ac:dyDescent="0.3">
      <c r="A1823" s="94" t="s">
        <v>125</v>
      </c>
      <c r="B1823" s="94"/>
      <c r="C1823" s="94"/>
      <c r="D1823" s="94"/>
      <c r="E1823" s="94"/>
      <c r="F1823" s="94"/>
      <c r="G1823" s="112">
        <f>AU1823</f>
      </c>
      <c r="H1823" s="113"/>
      <c r="I1823" s="94" t="s">
        <v>132</v>
      </c>
      <c r="J1823" s="94" t="s">
        <v>71</v>
      </c>
      <c r="K1823" s="114">
        <f>P1823/3</f>
      </c>
      <c r="L1823" s="115">
        <v>35.281999999999996</v>
      </c>
      <c r="M1823" s="116"/>
      <c r="N1823" s="117">
        <f>M1823-L1823</f>
      </c>
      <c r="O1823" s="112"/>
      <c r="P1823" s="118">
        <f>N1823+O1823</f>
      </c>
      <c r="Q1823" s="94" t="s">
        <v>829</v>
      </c>
      <c r="R1823" s="94" t="s">
        <v>63</v>
      </c>
      <c r="S1823" s="119">
        <v>46341</v>
      </c>
      <c r="T1823" s="119"/>
      <c r="U1823" s="120">
        <v>46341</v>
      </c>
      <c r="V1823" s="94"/>
      <c r="W1823" s="94"/>
      <c r="X1823" s="94"/>
      <c r="Y1823" s="119">
        <v>46320</v>
      </c>
      <c r="Z1823" s="94"/>
      <c r="AA1823" s="120"/>
      <c r="AB1823" s="120"/>
      <c r="AC1823" s="120"/>
      <c r="AD1823" s="120"/>
      <c r="AE1823" s="120"/>
      <c r="AF1823" s="120"/>
      <c r="AG1823" s="94"/>
      <c r="AH1823" s="120"/>
      <c r="AI1823" s="94"/>
      <c r="AJ1823" s="94" t="s">
        <v>829</v>
      </c>
      <c r="AK1823" s="94" t="s">
        <v>71</v>
      </c>
      <c r="AL1823" s="94">
        <v>140</v>
      </c>
      <c r="AM1823" s="94" t="str">
        <f>TRIM(AJ1823)&amp;TRIM(AL1823)&amp;TRIM(AK1823)</f>
      </c>
      <c r="AN1823" s="116">
        <v>0</v>
      </c>
      <c r="AO1823" s="116" t="inlineStr">
        <is>
          <t>#NA</t>
        </is>
      </c>
      <c r="AP1823" s="116">
        <f>SUMIFS(M:M,AM:AM,AM1823)+SUMIFS(O:O,AM:AM,AM1823)</f>
      </c>
      <c r="AQ1823" s="116">
        <f>SUMIFS(L:L,AM:AM,AM1823)</f>
      </c>
      <c r="AR1823" s="116">
        <f>AQ1823-AP1823</f>
      </c>
      <c r="AS1823" s="94" t="str">
        <f>IF(AN1823&gt;=AQ1823,"ok","ck")</f>
      </c>
      <c r="AT1823" s="116">
        <f>-P1823</f>
      </c>
      <c r="AU1823" s="115">
        <f>IF(SUMIFS(AT:AT,AM:AM,AM1823)&gt;AO1823,(SUMIFS(AT:AT,AM:AM,AM1823)-AO1823))</f>
      </c>
      <c r="AV1823" s="116">
        <v>0</v>
      </c>
      <c r="AW1823" s="121">
        <v>0</v>
      </c>
      <c r="AX1823" s="115">
        <f>AN1823-AP1823</f>
      </c>
    </row>
    <row r="1824" spans="1:50" ht="15" hidden="1" customHeight="1" x14ac:dyDescent="0.3">
      <c r="A1824" s="94" t="s">
        <v>125</v>
      </c>
      <c r="B1824" s="94"/>
      <c r="C1824" s="94"/>
      <c r="D1824" s="94"/>
      <c r="E1824" s="94"/>
      <c r="F1824" s="94"/>
      <c r="G1824" s="112">
        <f>AU1824</f>
      </c>
      <c r="H1824" s="113"/>
      <c r="I1824" s="94" t="s">
        <v>132</v>
      </c>
      <c r="J1824" s="94" t="s">
        <v>71</v>
      </c>
      <c r="K1824" s="114">
        <f>P1824/3</f>
      </c>
      <c r="L1824" s="115">
        <v>42.337000000000003</v>
      </c>
      <c r="M1824" s="116"/>
      <c r="N1824" s="117">
        <f>M1824-L1824</f>
      </c>
      <c r="O1824" s="112"/>
      <c r="P1824" s="118">
        <f>N1824+O1824</f>
      </c>
      <c r="Q1824" s="94" t="s">
        <v>829</v>
      </c>
      <c r="R1824" s="94" t="s">
        <v>63</v>
      </c>
      <c r="S1824" s="119">
        <v>46341</v>
      </c>
      <c r="T1824" s="119"/>
      <c r="U1824" s="120">
        <v>46341</v>
      </c>
      <c r="V1824" s="94"/>
      <c r="W1824" s="94"/>
      <c r="X1824" s="94"/>
      <c r="Y1824" s="119">
        <v>46320</v>
      </c>
      <c r="Z1824" s="94"/>
      <c r="AA1824" s="120"/>
      <c r="AB1824" s="120"/>
      <c r="AC1824" s="120"/>
      <c r="AD1824" s="120"/>
      <c r="AE1824" s="120"/>
      <c r="AF1824" s="120"/>
      <c r="AG1824" s="94"/>
      <c r="AH1824" s="120"/>
      <c r="AI1824" s="94"/>
      <c r="AJ1824" s="94" t="s">
        <v>829</v>
      </c>
      <c r="AK1824" s="94" t="s">
        <v>71</v>
      </c>
      <c r="AL1824" s="94">
        <v>140</v>
      </c>
      <c r="AM1824" s="94" t="str">
        <f>TRIM(AJ1824)&amp;TRIM(AL1824)&amp;TRIM(AK1824)</f>
      </c>
      <c r="AN1824" s="116">
        <v>0</v>
      </c>
      <c r="AO1824" s="116" t="inlineStr">
        <is>
          <t>#NA</t>
        </is>
      </c>
      <c r="AP1824" s="116">
        <f>SUMIFS(M:M,AM:AM,AM1824)+SUMIFS(O:O,AM:AM,AM1824)</f>
      </c>
      <c r="AQ1824" s="116">
        <f>SUMIFS(L:L,AM:AM,AM1824)</f>
      </c>
      <c r="AR1824" s="116">
        <f>AQ1824-AP1824</f>
      </c>
      <c r="AS1824" s="94" t="str">
        <f>IF(AN1824&gt;=AQ1824,"ok","ck")</f>
      </c>
      <c r="AT1824" s="116">
        <f>-P1824</f>
      </c>
      <c r="AU1824" s="115">
        <f>IF(SUMIFS(AT:AT,AM:AM,AM1824)&gt;AO1824,(SUMIFS(AT:AT,AM:AM,AM1824)-AO1824))</f>
      </c>
      <c r="AV1824" s="116">
        <v>0</v>
      </c>
      <c r="AW1824" s="121">
        <v>0</v>
      </c>
      <c r="AX1824" s="115">
        <f>AN1824-AP1824</f>
      </c>
    </row>
    <row r="1825" spans="1:50" ht="15" hidden="1" customHeight="1" x14ac:dyDescent="0.3">
      <c r="A1825" s="94" t="s">
        <v>125</v>
      </c>
      <c r="B1825" s="94"/>
      <c r="C1825" s="94"/>
      <c r="D1825" s="94"/>
      <c r="E1825" s="94"/>
      <c r="F1825" s="94"/>
      <c r="G1825" s="112">
        <f>AU1825</f>
      </c>
      <c r="H1825" s="113"/>
      <c r="I1825" s="94" t="s">
        <v>132</v>
      </c>
      <c r="J1825" s="94" t="s">
        <v>71</v>
      </c>
      <c r="K1825" s="114">
        <f>P1825/3</f>
      </c>
      <c r="L1825" s="115">
        <v>11.762</v>
      </c>
      <c r="M1825" s="116"/>
      <c r="N1825" s="117">
        <f>M1825-L1825</f>
      </c>
      <c r="O1825" s="112"/>
      <c r="P1825" s="118">
        <f>N1825+O1825</f>
      </c>
      <c r="Q1825" s="94" t="s">
        <v>829</v>
      </c>
      <c r="R1825" s="94" t="s">
        <v>63</v>
      </c>
      <c r="S1825" s="119">
        <v>46341</v>
      </c>
      <c r="T1825" s="119"/>
      <c r="U1825" s="120">
        <v>46341</v>
      </c>
      <c r="V1825" s="94"/>
      <c r="W1825" s="94"/>
      <c r="X1825" s="94"/>
      <c r="Y1825" s="119">
        <v>46320</v>
      </c>
      <c r="Z1825" s="94"/>
      <c r="AA1825" s="120"/>
      <c r="AB1825" s="120"/>
      <c r="AC1825" s="120"/>
      <c r="AD1825" s="120"/>
      <c r="AE1825" s="120"/>
      <c r="AF1825" s="120"/>
      <c r="AG1825" s="94"/>
      <c r="AH1825" s="120"/>
      <c r="AI1825" s="94"/>
      <c r="AJ1825" s="94" t="s">
        <v>829</v>
      </c>
      <c r="AK1825" s="94" t="s">
        <v>71</v>
      </c>
      <c r="AL1825" s="94">
        <v>140</v>
      </c>
      <c r="AM1825" s="94" t="str">
        <f>TRIM(AJ1825)&amp;TRIM(AL1825)&amp;TRIM(AK1825)</f>
      </c>
      <c r="AN1825" s="116">
        <v>0</v>
      </c>
      <c r="AO1825" s="116" t="inlineStr">
        <is>
          <t>#NA</t>
        </is>
      </c>
      <c r="AP1825" s="116">
        <f>SUMIFS(M:M,AM:AM,AM1825)+SUMIFS(O:O,AM:AM,AM1825)</f>
      </c>
      <c r="AQ1825" s="116">
        <f>SUMIFS(L:L,AM:AM,AM1825)</f>
      </c>
      <c r="AR1825" s="116">
        <f>AQ1825-AP1825</f>
      </c>
      <c r="AS1825" s="94" t="str">
        <f>IF(AN1825&gt;=AQ1825,"ok","ck")</f>
      </c>
      <c r="AT1825" s="116">
        <f>-P1825</f>
      </c>
      <c r="AU1825" s="115">
        <f>IF(SUMIFS(AT:AT,AM:AM,AM1825)&gt;AO1825,(SUMIFS(AT:AT,AM:AM,AM1825)-AO1825))</f>
      </c>
      <c r="AV1825" s="116">
        <v>0</v>
      </c>
      <c r="AW1825" s="121">
        <v>0</v>
      </c>
      <c r="AX1825" s="115">
        <f>AN1825-AP1825</f>
      </c>
    </row>
    <row r="1826" spans="1:50" ht="15" hidden="1" customHeight="1" x14ac:dyDescent="0.3">
      <c r="A1826" s="94" t="s">
        <v>125</v>
      </c>
      <c r="B1826" s="94"/>
      <c r="C1826" s="94"/>
      <c r="D1826" s="94"/>
      <c r="E1826" s="94"/>
      <c r="F1826" s="94"/>
      <c r="G1826" s="112">
        <f>AU1826</f>
      </c>
      <c r="H1826" s="113"/>
      <c r="I1826" s="94" t="s">
        <v>133</v>
      </c>
      <c r="J1826" s="94" t="s">
        <v>71</v>
      </c>
      <c r="K1826" s="114">
        <f>P1826/3</f>
      </c>
      <c r="L1826" s="115">
        <v>356.4</v>
      </c>
      <c r="M1826" s="116"/>
      <c r="N1826" s="117">
        <f>M1826-L1826</f>
      </c>
      <c r="O1826" s="112"/>
      <c r="P1826" s="118">
        <f>N1826+O1826</f>
      </c>
      <c r="Q1826" s="94" t="s">
        <v>829</v>
      </c>
      <c r="R1826" s="94" t="s">
        <v>63</v>
      </c>
      <c r="S1826" s="119">
        <v>46341</v>
      </c>
      <c r="T1826" s="119"/>
      <c r="U1826" s="120">
        <v>46341</v>
      </c>
      <c r="V1826" s="94"/>
      <c r="W1826" s="94"/>
      <c r="X1826" s="94"/>
      <c r="Y1826" s="119">
        <v>46320</v>
      </c>
      <c r="Z1826" s="94"/>
      <c r="AA1826" s="120"/>
      <c r="AB1826" s="120"/>
      <c r="AC1826" s="120"/>
      <c r="AD1826" s="120"/>
      <c r="AE1826" s="120"/>
      <c r="AF1826" s="120"/>
      <c r="AG1826" s="94"/>
      <c r="AH1826" s="120"/>
      <c r="AI1826" s="94"/>
      <c r="AJ1826" s="94" t="s">
        <v>829</v>
      </c>
      <c r="AK1826" s="94" t="s">
        <v>71</v>
      </c>
      <c r="AL1826" s="94">
        <v>160</v>
      </c>
      <c r="AM1826" s="94" t="str">
        <f>TRIM(AJ1826)&amp;TRIM(AL1826)&amp;TRIM(AK1826)</f>
      </c>
      <c r="AN1826" s="116">
        <v>0</v>
      </c>
      <c r="AO1826" s="116" t="inlineStr">
        <is>
          <t>#NA</t>
        </is>
      </c>
      <c r="AP1826" s="116">
        <f>SUMIFS(M:M,AM:AM,AM1826)+SUMIFS(O:O,AM:AM,AM1826)</f>
      </c>
      <c r="AQ1826" s="116">
        <f>SUMIFS(L:L,AM:AM,AM1826)</f>
      </c>
      <c r="AR1826" s="116">
        <f>AQ1826-AP1826</f>
      </c>
      <c r="AS1826" s="94" t="str">
        <f>IF(AN1826&gt;=AQ1826,"ok","ck")</f>
      </c>
      <c r="AT1826" s="116">
        <f>-P1826</f>
      </c>
      <c r="AU1826" s="115">
        <f>IF(SUMIFS(AT:AT,AM:AM,AM1826)&gt;AO1826,(SUMIFS(AT:AT,AM:AM,AM1826)-AO1826))</f>
      </c>
      <c r="AV1826" s="116">
        <v>0</v>
      </c>
      <c r="AW1826" s="121">
        <v>0</v>
      </c>
      <c r="AX1826" s="115">
        <f>AN1826-AP1826</f>
      </c>
    </row>
    <row r="1827" spans="1:50" ht="15" hidden="1" customHeight="1" x14ac:dyDescent="0.3">
      <c r="A1827" s="94" t="s">
        <v>125</v>
      </c>
      <c r="B1827" s="94"/>
      <c r="C1827" s="94"/>
      <c r="D1827" s="94"/>
      <c r="E1827" s="94"/>
      <c r="F1827" s="94"/>
      <c r="G1827" s="112">
        <f>AU1827</f>
      </c>
      <c r="H1827" s="113"/>
      <c r="I1827" s="94" t="s">
        <v>126</v>
      </c>
      <c r="J1827" s="94" t="s">
        <v>135</v>
      </c>
      <c r="K1827" s="114">
        <f>P1827/3</f>
      </c>
      <c r="L1827" s="115">
        <v>1681.4860000000001</v>
      </c>
      <c r="M1827" s="116">
        <v>1681.4860000000001</v>
      </c>
      <c r="N1827" s="117">
        <f>M1827-L1827</f>
      </c>
      <c r="O1827" s="112"/>
      <c r="P1827" s="118">
        <f>N1827+O1827</f>
      </c>
      <c r="Q1827" s="94" t="s">
        <v>128</v>
      </c>
      <c r="R1827" s="94" t="s">
        <v>63</v>
      </c>
      <c r="S1827" s="119">
        <v>46327</v>
      </c>
      <c r="T1827" s="119"/>
      <c r="U1827" s="120" t="s">
        <v>681</v>
      </c>
      <c r="V1827" s="94"/>
      <c r="W1827" s="94"/>
      <c r="X1827" s="94"/>
      <c r="Y1827" s="119">
        <v>46323</v>
      </c>
      <c r="Z1827" s="94"/>
      <c r="AA1827" s="120"/>
      <c r="AB1827" s="120"/>
      <c r="AC1827" s="120"/>
      <c r="AD1827" s="120"/>
      <c r="AE1827" s="120"/>
      <c r="AF1827" s="120"/>
      <c r="AG1827" s="94"/>
      <c r="AH1827" s="120"/>
      <c r="AI1827" s="94"/>
      <c r="AJ1827" s="94" t="s">
        <v>128</v>
      </c>
      <c r="AK1827" s="94" t="s">
        <v>136</v>
      </c>
      <c r="AL1827" s="94">
        <v>160</v>
      </c>
      <c r="AM1827" s="94" t="str">
        <f>TRIM(AJ1827)&amp;TRIM(AL1827)&amp;TRIM(AK1827)</f>
      </c>
      <c r="AN1827" s="116">
        <v>9091</v>
      </c>
      <c r="AO1827" s="116">
        <v>1307.98</v>
      </c>
      <c r="AP1827" s="116">
        <f>SUMIFS(M:M,AM:AM,AM1827)+SUMIFS(O:O,AM:AM,AM1827)</f>
      </c>
      <c r="AQ1827" s="116">
        <f>SUMIFS(L:L,AM:AM,AM1827)</f>
      </c>
      <c r="AR1827" s="116">
        <f>AQ1827-AP1827</f>
      </c>
      <c r="AS1827" s="94" t="str">
        <f>IF(AN1827&gt;=AQ1827,"ok","ck")</f>
      </c>
      <c r="AT1827" s="116">
        <f>-P1827</f>
      </c>
      <c r="AU1827" s="115">
        <f>IF(SUMIFS(AT:AT,AM:AM,AM1827)&gt;AO1827,(SUMIFS(AT:AT,AM:AM,AM1827)-AO1827))</f>
      </c>
      <c r="AV1827" s="116">
        <v>166</v>
      </c>
      <c r="AW1827" s="121">
        <v>0.866</v>
      </c>
      <c r="AX1827" s="115">
        <f>AN1827-AP1827</f>
      </c>
    </row>
    <row r="1828" spans="1:50" ht="15" hidden="1" customHeight="1" x14ac:dyDescent="0.3">
      <c r="A1828" s="94" t="s">
        <v>125</v>
      </c>
      <c r="B1828" s="94"/>
      <c r="C1828" s="94"/>
      <c r="D1828" s="94"/>
      <c r="E1828" s="94"/>
      <c r="F1828" s="94"/>
      <c r="G1828" s="112">
        <f>AU1828</f>
      </c>
      <c r="H1828" s="113"/>
      <c r="I1828" s="94" t="s">
        <v>126</v>
      </c>
      <c r="J1828" s="94" t="s">
        <v>135</v>
      </c>
      <c r="K1828" s="114">
        <f>P1828/3</f>
      </c>
      <c r="L1828" s="115">
        <v>1681.4860000000001</v>
      </c>
      <c r="M1828" s="116">
        <v>1681.4860000000001</v>
      </c>
      <c r="N1828" s="117">
        <f>M1828-L1828</f>
      </c>
      <c r="O1828" s="112"/>
      <c r="P1828" s="118">
        <f>N1828+O1828</f>
      </c>
      <c r="Q1828" s="94" t="s">
        <v>128</v>
      </c>
      <c r="R1828" s="94" t="s">
        <v>63</v>
      </c>
      <c r="S1828" s="119">
        <v>46328</v>
      </c>
      <c r="T1828" s="119"/>
      <c r="U1828" s="120" t="s">
        <v>681</v>
      </c>
      <c r="V1828" s="94"/>
      <c r="W1828" s="94"/>
      <c r="X1828" s="94"/>
      <c r="Y1828" s="119">
        <v>46334</v>
      </c>
      <c r="Z1828" s="94"/>
      <c r="AA1828" s="120"/>
      <c r="AB1828" s="120"/>
      <c r="AC1828" s="120"/>
      <c r="AD1828" s="120"/>
      <c r="AE1828" s="120"/>
      <c r="AF1828" s="120"/>
      <c r="AG1828" s="94"/>
      <c r="AH1828" s="120"/>
      <c r="AI1828" s="94"/>
      <c r="AJ1828" s="94" t="s">
        <v>128</v>
      </c>
      <c r="AK1828" s="94" t="s">
        <v>136</v>
      </c>
      <c r="AL1828" s="94">
        <v>160</v>
      </c>
      <c r="AM1828" s="94" t="str">
        <f>TRIM(AJ1828)&amp;TRIM(AL1828)&amp;TRIM(AK1828)</f>
      </c>
      <c r="AN1828" s="116">
        <v>9091</v>
      </c>
      <c r="AO1828" s="116">
        <v>1307.98</v>
      </c>
      <c r="AP1828" s="116">
        <f>SUMIFS(M:M,AM:AM,AM1828)+SUMIFS(O:O,AM:AM,AM1828)</f>
      </c>
      <c r="AQ1828" s="116">
        <f>SUMIFS(L:L,AM:AM,AM1828)</f>
      </c>
      <c r="AR1828" s="116">
        <f>AQ1828-AP1828</f>
      </c>
      <c r="AS1828" s="94" t="str">
        <f>IF(AN1828&gt;=AQ1828,"ok","ck")</f>
      </c>
      <c r="AT1828" s="116">
        <f>-P1828</f>
      </c>
      <c r="AU1828" s="115">
        <f>IF(SUMIFS(AT:AT,AM:AM,AM1828)&gt;AO1828,(SUMIFS(AT:AT,AM:AM,AM1828)-AO1828))</f>
      </c>
      <c r="AV1828" s="116">
        <v>166</v>
      </c>
      <c r="AW1828" s="121">
        <v>0.866</v>
      </c>
      <c r="AX1828" s="115">
        <f>AN1828-AP1828</f>
      </c>
    </row>
    <row r="1829" spans="1:50" ht="15" hidden="1" customHeight="1" x14ac:dyDescent="0.3">
      <c r="A1829" s="94" t="s">
        <v>125</v>
      </c>
      <c r="B1829" s="94"/>
      <c r="C1829" s="94"/>
      <c r="D1829" s="94"/>
      <c r="E1829" s="94"/>
      <c r="F1829" s="94"/>
      <c r="G1829" s="112">
        <f>AU1829</f>
      </c>
      <c r="H1829" s="113"/>
      <c r="I1829" s="94" t="s">
        <v>133</v>
      </c>
      <c r="J1829" s="94" t="s">
        <v>71</v>
      </c>
      <c r="K1829" s="114">
        <f>P1829/3</f>
      </c>
      <c r="L1829" s="115">
        <v>443.7</v>
      </c>
      <c r="M1829" s="116"/>
      <c r="N1829" s="117">
        <f>M1829-L1829</f>
      </c>
      <c r="O1829" s="112"/>
      <c r="P1829" s="118">
        <f>N1829+O1829</f>
      </c>
      <c r="Q1829" s="94" t="s">
        <v>831</v>
      </c>
      <c r="R1829" s="94" t="s">
        <v>63</v>
      </c>
      <c r="S1829" s="119">
        <v>46338</v>
      </c>
      <c r="T1829" s="119"/>
      <c r="U1829" s="120">
        <v>46338</v>
      </c>
      <c r="V1829" s="94"/>
      <c r="W1829" s="94"/>
      <c r="X1829" s="94"/>
      <c r="Y1829" s="119">
        <v>46320</v>
      </c>
      <c r="Z1829" s="94"/>
      <c r="AA1829" s="120"/>
      <c r="AB1829" s="120"/>
      <c r="AC1829" s="120"/>
      <c r="AD1829" s="120"/>
      <c r="AE1829" s="120"/>
      <c r="AF1829" s="120"/>
      <c r="AG1829" s="94"/>
      <c r="AH1829" s="120"/>
      <c r="AI1829" s="94"/>
      <c r="AJ1829" s="94" t="s">
        <v>831</v>
      </c>
      <c r="AK1829" s="94" t="s">
        <v>71</v>
      </c>
      <c r="AL1829" s="94">
        <v>160</v>
      </c>
      <c r="AM1829" s="94" t="str">
        <f>TRIM(AJ1829)&amp;TRIM(AL1829)&amp;TRIM(AK1829)</f>
      </c>
      <c r="AN1829" s="116">
        <v>0</v>
      </c>
      <c r="AO1829" s="116" t="inlineStr">
        <is>
          <t>#NA</t>
        </is>
      </c>
      <c r="AP1829" s="116">
        <f>SUMIFS(M:M,AM:AM,AM1829)+SUMIFS(O:O,AM:AM,AM1829)</f>
      </c>
      <c r="AQ1829" s="116">
        <f>SUMIFS(L:L,AM:AM,AM1829)</f>
      </c>
      <c r="AR1829" s="116">
        <f>AQ1829-AP1829</f>
      </c>
      <c r="AS1829" s="94" t="str">
        <f>IF(AN1829&gt;=AQ1829,"ok","ck")</f>
      </c>
      <c r="AT1829" s="116">
        <f>-P1829</f>
      </c>
      <c r="AU1829" s="115">
        <f>IF(SUMIFS(AT:AT,AM:AM,AM1829)&gt;AO1829,(SUMIFS(AT:AT,AM:AM,AM1829)-AO1829))</f>
      </c>
      <c r="AV1829" s="116">
        <v>0</v>
      </c>
      <c r="AW1829" s="121">
        <v>0</v>
      </c>
      <c r="AX1829" s="115">
        <f>AN1829-AP1829</f>
      </c>
    </row>
    <row r="1830" spans="1:50" ht="15" hidden="1" customHeight="1" x14ac:dyDescent="0.3">
      <c r="A1830" s="94" t="s">
        <v>125</v>
      </c>
      <c r="B1830" s="94"/>
      <c r="C1830" s="94"/>
      <c r="D1830" s="94"/>
      <c r="E1830" s="94"/>
      <c r="F1830" s="94"/>
      <c r="G1830" s="112">
        <f>AU1830</f>
      </c>
      <c r="H1830" s="113"/>
      <c r="I1830" s="94" t="s">
        <v>132</v>
      </c>
      <c r="J1830" s="94" t="s">
        <v>141</v>
      </c>
      <c r="K1830" s="114">
        <f>P1830/3</f>
      </c>
      <c r="L1830" s="115">
        <v>318.51400000000001</v>
      </c>
      <c r="M1830" s="116">
        <v>318.51400000000001</v>
      </c>
      <c r="N1830" s="117">
        <f>M1830-L1830</f>
      </c>
      <c r="O1830" s="112"/>
      <c r="P1830" s="118">
        <f>N1830+O1830</f>
      </c>
      <c r="Q1830" s="94" t="s">
        <v>128</v>
      </c>
      <c r="R1830" s="94" t="s">
        <v>63</v>
      </c>
      <c r="S1830" s="119">
        <v>46327</v>
      </c>
      <c r="T1830" s="119"/>
      <c r="U1830" s="120" t="s">
        <v>681</v>
      </c>
      <c r="V1830" s="94"/>
      <c r="W1830" s="94"/>
      <c r="X1830" s="94"/>
      <c r="Y1830" s="119">
        <v>46323</v>
      </c>
      <c r="Z1830" s="94"/>
      <c r="AA1830" s="120"/>
      <c r="AB1830" s="120"/>
      <c r="AC1830" s="120"/>
      <c r="AD1830" s="120"/>
      <c r="AE1830" s="120"/>
      <c r="AF1830" s="120"/>
      <c r="AG1830" s="94"/>
      <c r="AH1830" s="120"/>
      <c r="AI1830" s="94"/>
      <c r="AJ1830" s="94" t="s">
        <v>128</v>
      </c>
      <c r="AK1830" s="94" t="s">
        <v>131</v>
      </c>
      <c r="AL1830" s="94">
        <v>140</v>
      </c>
      <c r="AM1830" s="94" t="str">
        <f>TRIM(AJ1830)&amp;TRIM(AL1830)&amp;TRIM(AK1830)</f>
      </c>
      <c r="AN1830" s="116">
        <v>1829.85</v>
      </c>
      <c r="AO1830" s="116">
        <v>323.9</v>
      </c>
      <c r="AP1830" s="116">
        <f>SUMIFS(M:M,AM:AM,AM1830)+SUMIFS(O:O,AM:AM,AM1830)</f>
      </c>
      <c r="AQ1830" s="116">
        <f>SUMIFS(L:L,AM:AM,AM1830)</f>
      </c>
      <c r="AR1830" s="116">
        <f>AQ1830-AP1830</f>
      </c>
      <c r="AS1830" s="94" t="str">
        <f>IF(AN1830&gt;=AQ1830,"ok","ck")</f>
      </c>
      <c r="AT1830" s="116">
        <f>-P1830</f>
      </c>
      <c r="AU1830" s="115">
        <f>IF(SUMIFS(AT:AT,AM:AM,AM1830)&gt;AO1830,(SUMIFS(AT:AT,AM:AM,AM1830)-AO1830))</f>
      </c>
      <c r="AV1830" s="116">
        <v>0</v>
      </c>
      <c r="AW1830" s="121">
        <v>0</v>
      </c>
      <c r="AX1830" s="115">
        <f>AN1830-AP1830</f>
      </c>
    </row>
    <row r="1831" spans="1:50" ht="15" hidden="1" customHeight="1" x14ac:dyDescent="0.3">
      <c r="A1831" s="94" t="s">
        <v>125</v>
      </c>
      <c r="B1831" s="94"/>
      <c r="C1831" s="94"/>
      <c r="D1831" s="94"/>
      <c r="E1831" s="94"/>
      <c r="F1831" s="94"/>
      <c r="G1831" s="112">
        <f>AU1831</f>
      </c>
      <c r="H1831" s="113"/>
      <c r="I1831" s="94" t="s">
        <v>132</v>
      </c>
      <c r="J1831" s="94" t="s">
        <v>141</v>
      </c>
      <c r="K1831" s="114">
        <f>P1831/3</f>
      </c>
      <c r="L1831" s="115">
        <v>318.51400000000001</v>
      </c>
      <c r="M1831" s="116">
        <v>318.51400000000001</v>
      </c>
      <c r="N1831" s="117">
        <f>M1831-L1831</f>
      </c>
      <c r="O1831" s="112"/>
      <c r="P1831" s="118">
        <f>N1831+O1831</f>
      </c>
      <c r="Q1831" s="94" t="s">
        <v>128</v>
      </c>
      <c r="R1831" s="94" t="s">
        <v>63</v>
      </c>
      <c r="S1831" s="119">
        <v>46328</v>
      </c>
      <c r="T1831" s="119"/>
      <c r="U1831" s="120" t="s">
        <v>681</v>
      </c>
      <c r="V1831" s="94"/>
      <c r="W1831" s="94"/>
      <c r="X1831" s="94"/>
      <c r="Y1831" s="119">
        <v>46334</v>
      </c>
      <c r="Z1831" s="94"/>
      <c r="AA1831" s="120"/>
      <c r="AB1831" s="120"/>
      <c r="AC1831" s="120"/>
      <c r="AD1831" s="120"/>
      <c r="AE1831" s="120"/>
      <c r="AF1831" s="120"/>
      <c r="AG1831" s="94"/>
      <c r="AH1831" s="120"/>
      <c r="AI1831" s="94"/>
      <c r="AJ1831" s="94" t="s">
        <v>128</v>
      </c>
      <c r="AK1831" s="94" t="s">
        <v>131</v>
      </c>
      <c r="AL1831" s="94">
        <v>140</v>
      </c>
      <c r="AM1831" s="94" t="str">
        <f>TRIM(AJ1831)&amp;TRIM(AL1831)&amp;TRIM(AK1831)</f>
      </c>
      <c r="AN1831" s="116">
        <v>1829.85</v>
      </c>
      <c r="AO1831" s="116">
        <v>323.9</v>
      </c>
      <c r="AP1831" s="116">
        <f>SUMIFS(M:M,AM:AM,AM1831)+SUMIFS(O:O,AM:AM,AM1831)</f>
      </c>
      <c r="AQ1831" s="116">
        <f>SUMIFS(L:L,AM:AM,AM1831)</f>
      </c>
      <c r="AR1831" s="116">
        <f>AQ1831-AP1831</f>
      </c>
      <c r="AS1831" s="94" t="str">
        <f>IF(AN1831&gt;=AQ1831,"ok","ck")</f>
      </c>
      <c r="AT1831" s="116">
        <f>-P1831</f>
      </c>
      <c r="AU1831" s="115">
        <f>IF(SUMIFS(AT:AT,AM:AM,AM1831)&gt;AO1831,(SUMIFS(AT:AT,AM:AM,AM1831)-AO1831))</f>
      </c>
      <c r="AV1831" s="116">
        <v>0</v>
      </c>
      <c r="AW1831" s="121">
        <v>0</v>
      </c>
      <c r="AX1831" s="115">
        <f>AN1831-AP1831</f>
      </c>
    </row>
    <row r="1832" spans="1:50" ht="15" hidden="1" customHeight="1" x14ac:dyDescent="0.3">
      <c r="A1832" s="94" t="s">
        <v>125</v>
      </c>
      <c r="B1832" s="94"/>
      <c r="C1832" s="94"/>
      <c r="D1832" s="94"/>
      <c r="E1832" s="94"/>
      <c r="F1832" s="94"/>
      <c r="G1832" s="112">
        <f>AU1832</f>
      </c>
      <c r="H1832" s="113"/>
      <c r="I1832" s="94" t="s">
        <v>132</v>
      </c>
      <c r="J1832" s="94" t="s">
        <v>135</v>
      </c>
      <c r="K1832" s="114">
        <f>P1832/3</f>
      </c>
      <c r="L1832" s="115">
        <v>318.51400000000001</v>
      </c>
      <c r="M1832" s="116">
        <v>318.51400000000001</v>
      </c>
      <c r="N1832" s="117">
        <f>M1832-L1832</f>
      </c>
      <c r="O1832" s="112"/>
      <c r="P1832" s="118">
        <f>N1832+O1832</f>
      </c>
      <c r="Q1832" s="94" t="s">
        <v>128</v>
      </c>
      <c r="R1832" s="94" t="s">
        <v>63</v>
      </c>
      <c r="S1832" s="119">
        <v>46329</v>
      </c>
      <c r="T1832" s="119"/>
      <c r="U1832" s="120" t="s">
        <v>681</v>
      </c>
      <c r="V1832" s="94"/>
      <c r="W1832" s="94"/>
      <c r="X1832" s="94"/>
      <c r="Y1832" s="119">
        <v>46336</v>
      </c>
      <c r="Z1832" s="94"/>
      <c r="AA1832" s="120"/>
      <c r="AB1832" s="120"/>
      <c r="AC1832" s="120"/>
      <c r="AD1832" s="120"/>
      <c r="AE1832" s="120"/>
      <c r="AF1832" s="120"/>
      <c r="AG1832" s="94"/>
      <c r="AH1832" s="120"/>
      <c r="AI1832" s="94"/>
      <c r="AJ1832" s="94" t="s">
        <v>128</v>
      </c>
      <c r="AK1832" s="94" t="s">
        <v>136</v>
      </c>
      <c r="AL1832" s="94">
        <v>140</v>
      </c>
      <c r="AM1832" s="94" t="str">
        <f>TRIM(AJ1832)&amp;TRIM(AL1832)&amp;TRIM(AK1832)</f>
      </c>
      <c r="AN1832" s="116">
        <v>1869.29</v>
      </c>
      <c r="AO1832" s="116">
        <v>312.46</v>
      </c>
      <c r="AP1832" s="116">
        <f>SUMIFS(M:M,AM:AM,AM1832)+SUMIFS(O:O,AM:AM,AM1832)</f>
      </c>
      <c r="AQ1832" s="116">
        <f>SUMIFS(L:L,AM:AM,AM1832)</f>
      </c>
      <c r="AR1832" s="116">
        <f>AQ1832-AP1832</f>
      </c>
      <c r="AS1832" s="94" t="str">
        <f>IF(AN1832&gt;=AQ1832,"ok","ck")</f>
      </c>
      <c r="AT1832" s="116">
        <f>-P1832</f>
      </c>
      <c r="AU1832" s="115">
        <f>IF(SUMIFS(AT:AT,AM:AM,AM1832)&gt;AO1832,(SUMIFS(AT:AT,AM:AM,AM1832)-AO1832))</f>
      </c>
      <c r="AV1832" s="116">
        <v>27</v>
      </c>
      <c r="AW1832" s="121">
        <v>0.96</v>
      </c>
      <c r="AX1832" s="115">
        <f>AN1832-AP1832</f>
      </c>
    </row>
    <row r="1833" spans="1:50" ht="15" hidden="1" customHeight="1" x14ac:dyDescent="0.3">
      <c r="A1833" s="94" t="s">
        <v>125</v>
      </c>
      <c r="B1833" s="94"/>
      <c r="C1833" s="94"/>
      <c r="D1833" s="94"/>
      <c r="E1833" s="94"/>
      <c r="F1833" s="94"/>
      <c r="G1833" s="112">
        <f>AU1833</f>
      </c>
      <c r="H1833" s="113"/>
      <c r="I1833" s="94" t="s">
        <v>132</v>
      </c>
      <c r="J1833" s="94" t="s">
        <v>135</v>
      </c>
      <c r="K1833" s="114">
        <f>P1833/3</f>
      </c>
      <c r="L1833" s="115">
        <v>318.51400000000001</v>
      </c>
      <c r="M1833" s="116">
        <v>318.51400000000001</v>
      </c>
      <c r="N1833" s="117">
        <f>M1833-L1833</f>
      </c>
      <c r="O1833" s="112"/>
      <c r="P1833" s="118">
        <f>N1833+O1833</f>
      </c>
      <c r="Q1833" s="94" t="s">
        <v>128</v>
      </c>
      <c r="R1833" s="94" t="s">
        <v>63</v>
      </c>
      <c r="S1833" s="119">
        <v>46330</v>
      </c>
      <c r="T1833" s="119"/>
      <c r="U1833" s="120" t="s">
        <v>681</v>
      </c>
      <c r="V1833" s="94"/>
      <c r="W1833" s="94"/>
      <c r="X1833" s="94"/>
      <c r="Y1833" s="119">
        <v>46320</v>
      </c>
      <c r="Z1833" s="94"/>
      <c r="AA1833" s="120"/>
      <c r="AB1833" s="120"/>
      <c r="AC1833" s="120"/>
      <c r="AD1833" s="120"/>
      <c r="AE1833" s="120"/>
      <c r="AF1833" s="120"/>
      <c r="AG1833" s="94"/>
      <c r="AH1833" s="120"/>
      <c r="AI1833" s="94"/>
      <c r="AJ1833" s="94" t="s">
        <v>128</v>
      </c>
      <c r="AK1833" s="94" t="s">
        <v>136</v>
      </c>
      <c r="AL1833" s="94">
        <v>140</v>
      </c>
      <c r="AM1833" s="94" t="str">
        <f>TRIM(AJ1833)&amp;TRIM(AL1833)&amp;TRIM(AK1833)</f>
      </c>
      <c r="AN1833" s="116">
        <v>1869.29</v>
      </c>
      <c r="AO1833" s="116">
        <v>312.46</v>
      </c>
      <c r="AP1833" s="116">
        <f>SUMIFS(M:M,AM:AM,AM1833)+SUMIFS(O:O,AM:AM,AM1833)</f>
      </c>
      <c r="AQ1833" s="116">
        <f>SUMIFS(L:L,AM:AM,AM1833)</f>
      </c>
      <c r="AR1833" s="116">
        <f>AQ1833-AP1833</f>
      </c>
      <c r="AS1833" s="94" t="str">
        <f>IF(AN1833&gt;=AQ1833,"ok","ck")</f>
      </c>
      <c r="AT1833" s="116">
        <f>-P1833</f>
      </c>
      <c r="AU1833" s="115">
        <f>IF(SUMIFS(AT:AT,AM:AM,AM1833)&gt;AO1833,(SUMIFS(AT:AT,AM:AM,AM1833)-AO1833))</f>
      </c>
      <c r="AV1833" s="116">
        <v>27</v>
      </c>
      <c r="AW1833" s="121">
        <v>0.96</v>
      </c>
      <c r="AX1833" s="115">
        <f>AN1833-AP1833</f>
      </c>
    </row>
    <row r="1834" spans="1:50" ht="15" hidden="1" customHeight="1" x14ac:dyDescent="0.3">
      <c r="A1834" s="94" t="s">
        <v>125</v>
      </c>
      <c r="B1834" s="94"/>
      <c r="C1834" s="94"/>
      <c r="D1834" s="94"/>
      <c r="E1834" s="94"/>
      <c r="F1834" s="94"/>
      <c r="G1834" s="112">
        <f>AU1834</f>
      </c>
      <c r="H1834" s="113"/>
      <c r="I1834" s="94" t="s">
        <v>126</v>
      </c>
      <c r="J1834" s="94" t="s">
        <v>130</v>
      </c>
      <c r="K1834" s="114">
        <f>P1834/3</f>
      </c>
      <c r="L1834" s="115">
        <v>2751.8359999999998</v>
      </c>
      <c r="M1834" s="116">
        <v>2751.8359999999998</v>
      </c>
      <c r="N1834" s="117">
        <f>M1834-L1834</f>
      </c>
      <c r="O1834" s="112"/>
      <c r="P1834" s="118">
        <f>N1834+O1834</f>
      </c>
      <c r="Q1834" s="94" t="s">
        <v>128</v>
      </c>
      <c r="R1834" s="94" t="s">
        <v>63</v>
      </c>
      <c r="S1834" s="119">
        <v>46331</v>
      </c>
      <c r="T1834" s="119"/>
      <c r="U1834" s="120" t="s">
        <v>681</v>
      </c>
      <c r="V1834" s="94"/>
      <c r="W1834" s="94"/>
      <c r="X1834" s="94"/>
      <c r="Y1834" s="119">
        <v>46320</v>
      </c>
      <c r="Z1834" s="94"/>
      <c r="AA1834" s="120"/>
      <c r="AB1834" s="120"/>
      <c r="AC1834" s="120"/>
      <c r="AD1834" s="120"/>
      <c r="AE1834" s="120"/>
      <c r="AF1834" s="120"/>
      <c r="AG1834" s="94"/>
      <c r="AH1834" s="120"/>
      <c r="AI1834" s="94"/>
      <c r="AJ1834" s="94" t="s">
        <v>128</v>
      </c>
      <c r="AK1834" s="94" t="s">
        <v>131</v>
      </c>
      <c r="AL1834" s="94">
        <v>160</v>
      </c>
      <c r="AM1834" s="94" t="str">
        <f>TRIM(AJ1834)&amp;TRIM(AL1834)&amp;TRIM(AK1834)</f>
      </c>
      <c r="AN1834" s="116">
        <v>9105</v>
      </c>
      <c r="AO1834" s="116">
        <v>1275.23</v>
      </c>
      <c r="AP1834" s="116">
        <f>SUMIFS(M:M,AM:AM,AM1834)+SUMIFS(O:O,AM:AM,AM1834)</f>
      </c>
      <c r="AQ1834" s="116">
        <f>SUMIFS(L:L,AM:AM,AM1834)</f>
      </c>
      <c r="AR1834" s="116">
        <f>AQ1834-AP1834</f>
      </c>
      <c r="AS1834" s="94" t="str">
        <f>IF(AN1834&gt;=AQ1834,"ok","ck")</f>
      </c>
      <c r="AT1834" s="116">
        <f>-P1834</f>
      </c>
      <c r="AU1834" s="115">
        <f>IF(SUMIFS(AT:AT,AM:AM,AM1834)&gt;AO1834,(SUMIFS(AT:AT,AM:AM,AM1834)-AO1834))</f>
      </c>
      <c r="AV1834" s="116">
        <v>9105</v>
      </c>
      <c r="AW1834" s="121">
        <v>0.877</v>
      </c>
      <c r="AX1834" s="115">
        <f>AN1834-AP1834</f>
      </c>
    </row>
    <row r="1835" spans="1:50" ht="15" hidden="1" customHeight="1" x14ac:dyDescent="0.3">
      <c r="A1835" s="94" t="s">
        <v>125</v>
      </c>
      <c r="B1835" s="94"/>
      <c r="C1835" s="94"/>
      <c r="D1835" s="94"/>
      <c r="E1835" s="94"/>
      <c r="F1835" s="94"/>
      <c r="G1835" s="112">
        <f>AU1835</f>
      </c>
      <c r="H1835" s="113"/>
      <c r="I1835" s="94" t="s">
        <v>132</v>
      </c>
      <c r="J1835" s="94" t="s">
        <v>141</v>
      </c>
      <c r="K1835" s="114">
        <f>P1835/3</f>
      </c>
      <c r="L1835" s="115">
        <v>318.51400000000001</v>
      </c>
      <c r="M1835" s="116">
        <v>318.51400000000001</v>
      </c>
      <c r="N1835" s="117">
        <f>M1835-L1835</f>
      </c>
      <c r="O1835" s="112"/>
      <c r="P1835" s="118">
        <f>N1835+O1835</f>
      </c>
      <c r="Q1835" s="94" t="s">
        <v>128</v>
      </c>
      <c r="R1835" s="94" t="s">
        <v>63</v>
      </c>
      <c r="S1835" s="119">
        <v>46329</v>
      </c>
      <c r="T1835" s="119"/>
      <c r="U1835" s="120" t="s">
        <v>681</v>
      </c>
      <c r="V1835" s="94"/>
      <c r="W1835" s="94"/>
      <c r="X1835" s="94"/>
      <c r="Y1835" s="119">
        <v>46336</v>
      </c>
      <c r="Z1835" s="94"/>
      <c r="AA1835" s="120"/>
      <c r="AB1835" s="120"/>
      <c r="AC1835" s="120"/>
      <c r="AD1835" s="120"/>
      <c r="AE1835" s="120"/>
      <c r="AF1835" s="120"/>
      <c r="AG1835" s="94"/>
      <c r="AH1835" s="120"/>
      <c r="AI1835" s="94"/>
      <c r="AJ1835" s="94" t="s">
        <v>128</v>
      </c>
      <c r="AK1835" s="94" t="s">
        <v>131</v>
      </c>
      <c r="AL1835" s="94">
        <v>140</v>
      </c>
      <c r="AM1835" s="94" t="str">
        <f>TRIM(AJ1835)&amp;TRIM(AL1835)&amp;TRIM(AK1835)</f>
      </c>
      <c r="AN1835" s="116">
        <v>1829.85</v>
      </c>
      <c r="AO1835" s="116">
        <v>323.9</v>
      </c>
      <c r="AP1835" s="116">
        <f>SUMIFS(M:M,AM:AM,AM1835)+SUMIFS(O:O,AM:AM,AM1835)</f>
      </c>
      <c r="AQ1835" s="116">
        <f>SUMIFS(L:L,AM:AM,AM1835)</f>
      </c>
      <c r="AR1835" s="116">
        <f>AQ1835-AP1835</f>
      </c>
      <c r="AS1835" s="94" t="str">
        <f>IF(AN1835&gt;=AQ1835,"ok","ck")</f>
      </c>
      <c r="AT1835" s="116">
        <f>-P1835</f>
      </c>
      <c r="AU1835" s="115">
        <f>IF(SUMIFS(AT:AT,AM:AM,AM1835)&gt;AO1835,(SUMIFS(AT:AT,AM:AM,AM1835)-AO1835))</f>
      </c>
      <c r="AV1835" s="116">
        <v>0</v>
      </c>
      <c r="AW1835" s="121">
        <v>0</v>
      </c>
      <c r="AX1835" s="115">
        <f>AN1835-AP1835</f>
      </c>
    </row>
    <row r="1836" spans="1:50" ht="15" hidden="1" customHeight="1" x14ac:dyDescent="0.3">
      <c r="A1836" s="94" t="s">
        <v>125</v>
      </c>
      <c r="B1836" s="94"/>
      <c r="C1836" s="94"/>
      <c r="D1836" s="94"/>
      <c r="E1836" s="94"/>
      <c r="F1836" s="94"/>
      <c r="G1836" s="112">
        <f>AU1836</f>
      </c>
      <c r="H1836" s="113"/>
      <c r="I1836" s="94" t="s">
        <v>132</v>
      </c>
      <c r="J1836" s="94" t="s">
        <v>141</v>
      </c>
      <c r="K1836" s="114">
        <f>P1836/3</f>
      </c>
      <c r="L1836" s="115">
        <v>318.51400000000001</v>
      </c>
      <c r="M1836" s="116">
        <v>318.51400000000001</v>
      </c>
      <c r="N1836" s="117">
        <f>M1836-L1836</f>
      </c>
      <c r="O1836" s="112"/>
      <c r="P1836" s="118">
        <f>N1836+O1836</f>
      </c>
      <c r="Q1836" s="94" t="s">
        <v>128</v>
      </c>
      <c r="R1836" s="94" t="s">
        <v>63</v>
      </c>
      <c r="S1836" s="119">
        <v>46330</v>
      </c>
      <c r="T1836" s="119"/>
      <c r="U1836" s="120" t="s">
        <v>681</v>
      </c>
      <c r="V1836" s="94"/>
      <c r="W1836" s="94"/>
      <c r="X1836" s="94"/>
      <c r="Y1836" s="119">
        <v>46320</v>
      </c>
      <c r="Z1836" s="94"/>
      <c r="AA1836" s="120"/>
      <c r="AB1836" s="120"/>
      <c r="AC1836" s="120"/>
      <c r="AD1836" s="120"/>
      <c r="AE1836" s="120"/>
      <c r="AF1836" s="120"/>
      <c r="AG1836" s="94"/>
      <c r="AH1836" s="120"/>
      <c r="AI1836" s="94"/>
      <c r="AJ1836" s="94" t="s">
        <v>128</v>
      </c>
      <c r="AK1836" s="94" t="s">
        <v>131</v>
      </c>
      <c r="AL1836" s="94">
        <v>140</v>
      </c>
      <c r="AM1836" s="94" t="str">
        <f>TRIM(AJ1836)&amp;TRIM(AL1836)&amp;TRIM(AK1836)</f>
      </c>
      <c r="AN1836" s="116">
        <v>1829.85</v>
      </c>
      <c r="AO1836" s="116">
        <v>323.9</v>
      </c>
      <c r="AP1836" s="116">
        <f>SUMIFS(M:M,AM:AM,AM1836)+SUMIFS(O:O,AM:AM,AM1836)</f>
      </c>
      <c r="AQ1836" s="116">
        <f>SUMIFS(L:L,AM:AM,AM1836)</f>
      </c>
      <c r="AR1836" s="116">
        <f>AQ1836-AP1836</f>
      </c>
      <c r="AS1836" s="94" t="str">
        <f>IF(AN1836&gt;=AQ1836,"ok","ck")</f>
      </c>
      <c r="AT1836" s="116">
        <f>-P1836</f>
      </c>
      <c r="AU1836" s="115">
        <f>IF(SUMIFS(AT:AT,AM:AM,AM1836)&gt;AO1836,(SUMIFS(AT:AT,AM:AM,AM1836)-AO1836))</f>
      </c>
      <c r="AV1836" s="116">
        <v>0</v>
      </c>
      <c r="AW1836" s="121">
        <v>0</v>
      </c>
      <c r="AX1836" s="115">
        <f>AN1836-AP1836</f>
      </c>
    </row>
    <row r="1837" spans="1:50" ht="15" hidden="1" customHeight="1" x14ac:dyDescent="0.3">
      <c r="A1837" s="94" t="s">
        <v>125</v>
      </c>
      <c r="B1837" s="94"/>
      <c r="C1837" s="94"/>
      <c r="D1837" s="94"/>
      <c r="E1837" s="94"/>
      <c r="F1837" s="94"/>
      <c r="G1837" s="112">
        <f>AU1837</f>
      </c>
      <c r="H1837" s="113"/>
      <c r="I1837" s="94" t="s">
        <v>132</v>
      </c>
      <c r="J1837" s="94" t="s">
        <v>141</v>
      </c>
      <c r="K1837" s="114">
        <f>P1837/3</f>
      </c>
      <c r="L1837" s="115">
        <v>521.26499999999999</v>
      </c>
      <c r="M1837" s="116">
        <v>521.26499999999999</v>
      </c>
      <c r="N1837" s="117">
        <f>M1837-L1837</f>
      </c>
      <c r="O1837" s="112"/>
      <c r="P1837" s="118">
        <f>N1837+O1837</f>
      </c>
      <c r="Q1837" s="94" t="s">
        <v>128</v>
      </c>
      <c r="R1837" s="94" t="s">
        <v>63</v>
      </c>
      <c r="S1837" s="119">
        <v>46331</v>
      </c>
      <c r="T1837" s="119"/>
      <c r="U1837" s="120" t="s">
        <v>681</v>
      </c>
      <c r="V1837" s="94"/>
      <c r="W1837" s="94"/>
      <c r="X1837" s="94"/>
      <c r="Y1837" s="119">
        <v>46320</v>
      </c>
      <c r="Z1837" s="94"/>
      <c r="AA1837" s="120"/>
      <c r="AB1837" s="120"/>
      <c r="AC1837" s="120"/>
      <c r="AD1837" s="120"/>
      <c r="AE1837" s="120"/>
      <c r="AF1837" s="120"/>
      <c r="AG1837" s="94"/>
      <c r="AH1837" s="120"/>
      <c r="AI1837" s="94"/>
      <c r="AJ1837" s="94" t="s">
        <v>128</v>
      </c>
      <c r="AK1837" s="94" t="s">
        <v>131</v>
      </c>
      <c r="AL1837" s="94">
        <v>140</v>
      </c>
      <c r="AM1837" s="94" t="str">
        <f>TRIM(AJ1837)&amp;TRIM(AL1837)&amp;TRIM(AK1837)</f>
      </c>
      <c r="AN1837" s="116">
        <v>1829.85</v>
      </c>
      <c r="AO1837" s="116">
        <v>323.9</v>
      </c>
      <c r="AP1837" s="116">
        <f>SUMIFS(M:M,AM:AM,AM1837)+SUMIFS(O:O,AM:AM,AM1837)</f>
      </c>
      <c r="AQ1837" s="116">
        <f>SUMIFS(L:L,AM:AM,AM1837)</f>
      </c>
      <c r="AR1837" s="116">
        <f>AQ1837-AP1837</f>
      </c>
      <c r="AS1837" s="94" t="str">
        <f>IF(AN1837&gt;=AQ1837,"ok","ck")</f>
      </c>
      <c r="AT1837" s="116">
        <f>-P1837</f>
      </c>
      <c r="AU1837" s="115">
        <f>IF(SUMIFS(AT:AT,AM:AM,AM1837)&gt;AO1837,(SUMIFS(AT:AT,AM:AM,AM1837)-AO1837))</f>
      </c>
      <c r="AV1837" s="116">
        <v>0</v>
      </c>
      <c r="AW1837" s="121">
        <v>0</v>
      </c>
      <c r="AX1837" s="115">
        <f>AN1837-AP1837</f>
      </c>
    </row>
    <row r="1838" spans="1:50" ht="15" hidden="1" customHeight="1" x14ac:dyDescent="0.3">
      <c r="A1838" s="94" t="s">
        <v>125</v>
      </c>
      <c r="B1838" s="94"/>
      <c r="C1838" s="94"/>
      <c r="D1838" s="94"/>
      <c r="E1838" s="94"/>
      <c r="F1838" s="94"/>
      <c r="G1838" s="112">
        <f>AU1838</f>
      </c>
      <c r="H1838" s="113"/>
      <c r="I1838" s="94" t="s">
        <v>132</v>
      </c>
      <c r="J1838" s="94" t="s">
        <v>66</v>
      </c>
      <c r="K1838" s="114">
        <f>P1838/3</f>
      </c>
      <c r="L1838" s="115">
        <v>414.58600000000001</v>
      </c>
      <c r="M1838" s="116"/>
      <c r="N1838" s="117">
        <f>M1838-L1838</f>
      </c>
      <c r="O1838" s="112"/>
      <c r="P1838" s="118">
        <f>N1838+O1838</f>
      </c>
      <c r="Q1838" s="94" t="s">
        <v>832</v>
      </c>
      <c r="R1838" s="94" t="s">
        <v>63</v>
      </c>
      <c r="S1838" s="119">
        <v>46342</v>
      </c>
      <c r="T1838" s="119"/>
      <c r="U1838" s="120">
        <v>46342</v>
      </c>
      <c r="V1838" s="94"/>
      <c r="W1838" s="94"/>
      <c r="X1838" s="94"/>
      <c r="Y1838" s="119">
        <v>46342</v>
      </c>
      <c r="Z1838" s="94"/>
      <c r="AA1838" s="120"/>
      <c r="AB1838" s="120"/>
      <c r="AC1838" s="120"/>
      <c r="AD1838" s="120"/>
      <c r="AE1838" s="120"/>
      <c r="AF1838" s="120"/>
      <c r="AG1838" s="94"/>
      <c r="AH1838" s="120"/>
      <c r="AI1838" s="94"/>
      <c r="AJ1838" s="94" t="s">
        <v>832</v>
      </c>
      <c r="AK1838" s="94" t="s">
        <v>66</v>
      </c>
      <c r="AL1838" s="94">
        <v>140</v>
      </c>
      <c r="AM1838" s="94" t="str">
        <f>TRIM(AJ1838)&amp;TRIM(AL1838)&amp;TRIM(AK1838)</f>
      </c>
      <c r="AN1838" s="116">
        <v>0</v>
      </c>
      <c r="AO1838" s="116" t="inlineStr">
        <is>
          <t>#NA</t>
        </is>
      </c>
      <c r="AP1838" s="116">
        <f>SUMIFS(M:M,AM:AM,AM1838)+SUMIFS(O:O,AM:AM,AM1838)</f>
      </c>
      <c r="AQ1838" s="116">
        <f>SUMIFS(L:L,AM:AM,AM1838)</f>
      </c>
      <c r="AR1838" s="116">
        <f>AQ1838-AP1838</f>
      </c>
      <c r="AS1838" s="94" t="str">
        <f>IF(AN1838&gt;=AQ1838,"ok","ck")</f>
      </c>
      <c r="AT1838" s="116">
        <f>-P1838</f>
      </c>
      <c r="AU1838" s="115">
        <f>IF(SUMIFS(AT:AT,AM:AM,AM1838)&gt;AO1838,(SUMIFS(AT:AT,AM:AM,AM1838)-AO1838))</f>
      </c>
      <c r="AV1838" s="116">
        <v>0</v>
      </c>
      <c r="AW1838" s="121">
        <v>0</v>
      </c>
      <c r="AX1838" s="115">
        <f>AN1838-AP1838</f>
      </c>
    </row>
    <row r="1839" spans="1:50" ht="15" hidden="1" customHeight="1" x14ac:dyDescent="0.3">
      <c r="A1839" s="94" t="s">
        <v>125</v>
      </c>
      <c r="B1839" s="94"/>
      <c r="C1839" s="94"/>
      <c r="D1839" s="94"/>
      <c r="E1839" s="94"/>
      <c r="F1839" s="94"/>
      <c r="G1839" s="112">
        <f>AU1839</f>
      </c>
      <c r="H1839" s="113"/>
      <c r="I1839" s="94" t="s">
        <v>133</v>
      </c>
      <c r="J1839" s="94" t="s">
        <v>66</v>
      </c>
      <c r="K1839" s="114">
        <f>P1839/3</f>
      </c>
      <c r="L1839" s="115">
        <v>4345.6499999999996</v>
      </c>
      <c r="M1839" s="116"/>
      <c r="N1839" s="117">
        <f>M1839-L1839</f>
      </c>
      <c r="O1839" s="112"/>
      <c r="P1839" s="118">
        <f>N1839+O1839</f>
      </c>
      <c r="Q1839" s="94" t="s">
        <v>832</v>
      </c>
      <c r="R1839" s="94" t="s">
        <v>63</v>
      </c>
      <c r="S1839" s="119">
        <v>46342</v>
      </c>
      <c r="T1839" s="119"/>
      <c r="U1839" s="120">
        <v>46342</v>
      </c>
      <c r="V1839" s="94"/>
      <c r="W1839" s="94"/>
      <c r="X1839" s="94"/>
      <c r="Y1839" s="119">
        <v>46342</v>
      </c>
      <c r="Z1839" s="94"/>
      <c r="AA1839" s="120"/>
      <c r="AB1839" s="120"/>
      <c r="AC1839" s="120"/>
      <c r="AD1839" s="120"/>
      <c r="AE1839" s="120"/>
      <c r="AF1839" s="120"/>
      <c r="AG1839" s="94"/>
      <c r="AH1839" s="120"/>
      <c r="AI1839" s="94"/>
      <c r="AJ1839" s="94" t="s">
        <v>832</v>
      </c>
      <c r="AK1839" s="94" t="s">
        <v>66</v>
      </c>
      <c r="AL1839" s="94">
        <v>160</v>
      </c>
      <c r="AM1839" s="94" t="str">
        <f>TRIM(AJ1839)&amp;TRIM(AL1839)&amp;TRIM(AK1839)</f>
      </c>
      <c r="AN1839" s="116">
        <v>0</v>
      </c>
      <c r="AO1839" s="116" t="inlineStr">
        <is>
          <t>#NA</t>
        </is>
      </c>
      <c r="AP1839" s="116">
        <f>SUMIFS(M:M,AM:AM,AM1839)+SUMIFS(O:O,AM:AM,AM1839)</f>
      </c>
      <c r="AQ1839" s="116">
        <f>SUMIFS(L:L,AM:AM,AM1839)</f>
      </c>
      <c r="AR1839" s="116">
        <f>AQ1839-AP1839</f>
      </c>
      <c r="AS1839" s="94" t="str">
        <f>IF(AN1839&gt;=AQ1839,"ok","ck")</f>
      </c>
      <c r="AT1839" s="116">
        <f>-P1839</f>
      </c>
      <c r="AU1839" s="115">
        <f>IF(SUMIFS(AT:AT,AM:AM,AM1839)&gt;AO1839,(SUMIFS(AT:AT,AM:AM,AM1839)-AO1839))</f>
      </c>
      <c r="AV1839" s="116">
        <v>0</v>
      </c>
      <c r="AW1839" s="121">
        <v>0</v>
      </c>
      <c r="AX1839" s="115">
        <f>AN1839-AP1839</f>
      </c>
    </row>
    <row r="1840" spans="1:50" ht="15" hidden="1" customHeight="1" x14ac:dyDescent="0.3">
      <c r="A1840" s="94" t="s">
        <v>125</v>
      </c>
      <c r="B1840" s="94"/>
      <c r="C1840" s="94"/>
      <c r="D1840" s="94"/>
      <c r="E1840" s="94"/>
      <c r="F1840" s="94"/>
      <c r="G1840" s="112">
        <f>AU1840</f>
      </c>
      <c r="H1840" s="113"/>
      <c r="I1840" s="94" t="s">
        <v>126</v>
      </c>
      <c r="J1840" s="94" t="s">
        <v>148</v>
      </c>
      <c r="K1840" s="114">
        <f>P1840/3</f>
      </c>
      <c r="L1840" s="115">
        <v>1681.4860000000001</v>
      </c>
      <c r="M1840" s="116"/>
      <c r="N1840" s="117">
        <f>M1840-L1840</f>
      </c>
      <c r="O1840" s="112"/>
      <c r="P1840" s="118">
        <f>N1840+O1840</f>
      </c>
      <c r="Q1840" s="94" t="s">
        <v>128</v>
      </c>
      <c r="R1840" s="94" t="s">
        <v>63</v>
      </c>
      <c r="S1840" s="119">
        <v>46327</v>
      </c>
      <c r="T1840" s="119"/>
      <c r="U1840" s="120" t="s">
        <v>681</v>
      </c>
      <c r="V1840" s="94"/>
      <c r="W1840" s="94"/>
      <c r="X1840" s="94"/>
      <c r="Y1840" s="119">
        <v>46334</v>
      </c>
      <c r="Z1840" s="94"/>
      <c r="AA1840" s="120"/>
      <c r="AB1840" s="120"/>
      <c r="AC1840" s="120"/>
      <c r="AD1840" s="120"/>
      <c r="AE1840" s="120"/>
      <c r="AF1840" s="120"/>
      <c r="AG1840" s="94"/>
      <c r="AH1840" s="120"/>
      <c r="AI1840" s="94"/>
      <c r="AJ1840" s="94" t="s">
        <v>128</v>
      </c>
      <c r="AK1840" s="94" t="s">
        <v>149</v>
      </c>
      <c r="AL1840" s="94">
        <v>160</v>
      </c>
      <c r="AM1840" s="94" t="str">
        <f>TRIM(AJ1840)&amp;TRIM(AL1840)&amp;TRIM(AK1840)</f>
      </c>
      <c r="AN1840" s="116">
        <v>150</v>
      </c>
      <c r="AO1840" s="116">
        <v>10230.75</v>
      </c>
      <c r="AP1840" s="116">
        <f>SUMIFS(M:M,AM:AM,AM1840)+SUMIFS(O:O,AM:AM,AM1840)</f>
      </c>
      <c r="AQ1840" s="116">
        <f>SUMIFS(L:L,AM:AM,AM1840)</f>
      </c>
      <c r="AR1840" s="116">
        <f>AQ1840-AP1840</f>
      </c>
      <c r="AS1840" s="94" t="str">
        <f>IF(AN1840&gt;=AQ1840,"ok","ck")</f>
      </c>
      <c r="AT1840" s="116">
        <f>-P1840</f>
      </c>
      <c r="AU1840" s="115">
        <f>IF(SUMIFS(AT:AT,AM:AM,AM1840)&gt;AO1840,(SUMIFS(AT:AT,AM:AM,AM1840)-AO1840))</f>
      </c>
      <c r="AV1840" s="116">
        <v>150</v>
      </c>
      <c r="AW1840" s="121">
        <v>0.782</v>
      </c>
      <c r="AX1840" s="115">
        <f>AN1840-AP1840</f>
      </c>
    </row>
    <row r="1841" spans="1:50" ht="15" hidden="1" customHeight="1" x14ac:dyDescent="0.3">
      <c r="A1841" s="94" t="s">
        <v>125</v>
      </c>
      <c r="B1841" s="94"/>
      <c r="C1841" s="94"/>
      <c r="D1841" s="94"/>
      <c r="E1841" s="94"/>
      <c r="F1841" s="94"/>
      <c r="G1841" s="112">
        <f>AU1841</f>
      </c>
      <c r="H1841" s="113"/>
      <c r="I1841" s="94" t="s">
        <v>126</v>
      </c>
      <c r="J1841" s="94" t="s">
        <v>148</v>
      </c>
      <c r="K1841" s="114">
        <f>P1841/3</f>
      </c>
      <c r="L1841" s="115">
        <v>1681.4860000000001</v>
      </c>
      <c r="M1841" s="116"/>
      <c r="N1841" s="117">
        <f>M1841-L1841</f>
      </c>
      <c r="O1841" s="112"/>
      <c r="P1841" s="118">
        <f>N1841+O1841</f>
      </c>
      <c r="Q1841" s="94" t="s">
        <v>128</v>
      </c>
      <c r="R1841" s="94" t="s">
        <v>63</v>
      </c>
      <c r="S1841" s="119">
        <v>46328</v>
      </c>
      <c r="T1841" s="119"/>
      <c r="U1841" s="120" t="s">
        <v>681</v>
      </c>
      <c r="V1841" s="94"/>
      <c r="W1841" s="94"/>
      <c r="X1841" s="94"/>
      <c r="Y1841" s="119">
        <v>46320</v>
      </c>
      <c r="Z1841" s="94"/>
      <c r="AA1841" s="120"/>
      <c r="AB1841" s="120"/>
      <c r="AC1841" s="120"/>
      <c r="AD1841" s="120"/>
      <c r="AE1841" s="120"/>
      <c r="AF1841" s="120"/>
      <c r="AG1841" s="94"/>
      <c r="AH1841" s="120"/>
      <c r="AI1841" s="94"/>
      <c r="AJ1841" s="94" t="s">
        <v>128</v>
      </c>
      <c r="AK1841" s="94" t="s">
        <v>149</v>
      </c>
      <c r="AL1841" s="94">
        <v>160</v>
      </c>
      <c r="AM1841" s="94" t="str">
        <f>TRIM(AJ1841)&amp;TRIM(AL1841)&amp;TRIM(AK1841)</f>
      </c>
      <c r="AN1841" s="116">
        <v>150</v>
      </c>
      <c r="AO1841" s="116">
        <v>10230.75</v>
      </c>
      <c r="AP1841" s="116">
        <f>SUMIFS(M:M,AM:AM,AM1841)+SUMIFS(O:O,AM:AM,AM1841)</f>
      </c>
      <c r="AQ1841" s="116">
        <f>SUMIFS(L:L,AM:AM,AM1841)</f>
      </c>
      <c r="AR1841" s="116">
        <f>AQ1841-AP1841</f>
      </c>
      <c r="AS1841" s="94" t="str">
        <f>IF(AN1841&gt;=AQ1841,"ok","ck")</f>
      </c>
      <c r="AT1841" s="116">
        <f>-P1841</f>
      </c>
      <c r="AU1841" s="115">
        <f>IF(SUMIFS(AT:AT,AM:AM,AM1841)&gt;AO1841,(SUMIFS(AT:AT,AM:AM,AM1841)-AO1841))</f>
      </c>
      <c r="AV1841" s="116">
        <v>150</v>
      </c>
      <c r="AW1841" s="121">
        <v>0.782</v>
      </c>
      <c r="AX1841" s="115">
        <f>AN1841-AP1841</f>
      </c>
    </row>
    <row r="1842" spans="1:50" ht="15" hidden="1" customHeight="1" x14ac:dyDescent="0.3">
      <c r="A1842" s="94" t="s">
        <v>125</v>
      </c>
      <c r="B1842" s="94"/>
      <c r="C1842" s="94"/>
      <c r="D1842" s="94"/>
      <c r="E1842" s="94"/>
      <c r="F1842" s="94"/>
      <c r="G1842" s="112">
        <f>AU1842</f>
      </c>
      <c r="H1842" s="113"/>
      <c r="I1842" s="94" t="s">
        <v>126</v>
      </c>
      <c r="J1842" s="94" t="s">
        <v>148</v>
      </c>
      <c r="K1842" s="114">
        <f>P1842/3</f>
      </c>
      <c r="L1842" s="115">
        <v>1681.4860000000001</v>
      </c>
      <c r="M1842" s="116"/>
      <c r="N1842" s="117">
        <f>M1842-L1842</f>
      </c>
      <c r="O1842" s="112"/>
      <c r="P1842" s="118">
        <f>N1842+O1842</f>
      </c>
      <c r="Q1842" s="94" t="s">
        <v>128</v>
      </c>
      <c r="R1842" s="94" t="s">
        <v>63</v>
      </c>
      <c r="S1842" s="119">
        <v>46329</v>
      </c>
      <c r="T1842" s="119"/>
      <c r="U1842" s="120" t="s">
        <v>681</v>
      </c>
      <c r="V1842" s="94"/>
      <c r="W1842" s="94"/>
      <c r="X1842" s="94"/>
      <c r="Y1842" s="119">
        <v>46320</v>
      </c>
      <c r="Z1842" s="94"/>
      <c r="AA1842" s="120"/>
      <c r="AB1842" s="120"/>
      <c r="AC1842" s="120"/>
      <c r="AD1842" s="120"/>
      <c r="AE1842" s="120"/>
      <c r="AF1842" s="120"/>
      <c r="AG1842" s="94"/>
      <c r="AH1842" s="120"/>
      <c r="AI1842" s="94"/>
      <c r="AJ1842" s="94" t="s">
        <v>128</v>
      </c>
      <c r="AK1842" s="94" t="s">
        <v>149</v>
      </c>
      <c r="AL1842" s="94">
        <v>160</v>
      </c>
      <c r="AM1842" s="94" t="str">
        <f>TRIM(AJ1842)&amp;TRIM(AL1842)&amp;TRIM(AK1842)</f>
      </c>
      <c r="AN1842" s="116">
        <v>150</v>
      </c>
      <c r="AO1842" s="116">
        <v>10230.75</v>
      </c>
      <c r="AP1842" s="116">
        <f>SUMIFS(M:M,AM:AM,AM1842)+SUMIFS(O:O,AM:AM,AM1842)</f>
      </c>
      <c r="AQ1842" s="116">
        <f>SUMIFS(L:L,AM:AM,AM1842)</f>
      </c>
      <c r="AR1842" s="116">
        <f>AQ1842-AP1842</f>
      </c>
      <c r="AS1842" s="94" t="str">
        <f>IF(AN1842&gt;=AQ1842,"ok","ck")</f>
      </c>
      <c r="AT1842" s="116">
        <f>-P1842</f>
      </c>
      <c r="AU1842" s="115">
        <f>IF(SUMIFS(AT:AT,AM:AM,AM1842)&gt;AO1842,(SUMIFS(AT:AT,AM:AM,AM1842)-AO1842))</f>
      </c>
      <c r="AV1842" s="116">
        <v>150</v>
      </c>
      <c r="AW1842" s="121">
        <v>0.782</v>
      </c>
      <c r="AX1842" s="115">
        <f>AN1842-AP1842</f>
      </c>
    </row>
    <row r="1843" spans="1:50" ht="15" hidden="1" customHeight="1" x14ac:dyDescent="0.3">
      <c r="A1843" s="94" t="s">
        <v>125</v>
      </c>
      <c r="B1843" s="94"/>
      <c r="C1843" s="94"/>
      <c r="D1843" s="94"/>
      <c r="E1843" s="94"/>
      <c r="F1843" s="94"/>
      <c r="G1843" s="112">
        <f>AU1843</f>
      </c>
      <c r="H1843" s="113"/>
      <c r="I1843" s="94" t="s">
        <v>132</v>
      </c>
      <c r="J1843" s="94" t="s">
        <v>66</v>
      </c>
      <c r="K1843" s="114">
        <f>P1843/3</f>
      </c>
      <c r="L1843" s="115">
        <v>88.197000000000003</v>
      </c>
      <c r="M1843" s="116"/>
      <c r="N1843" s="117">
        <f>M1843-L1843</f>
      </c>
      <c r="O1843" s="112"/>
      <c r="P1843" s="118">
        <f>N1843+O1843</f>
      </c>
      <c r="Q1843" s="94" t="s">
        <v>830</v>
      </c>
      <c r="R1843" s="94" t="s">
        <v>63</v>
      </c>
      <c r="S1843" s="119">
        <v>46327</v>
      </c>
      <c r="T1843" s="119"/>
      <c r="U1843" s="120" t="s">
        <v>668</v>
      </c>
      <c r="V1843" s="94"/>
      <c r="W1843" s="94"/>
      <c r="X1843" s="94"/>
      <c r="Y1843" s="119">
        <v>46320</v>
      </c>
      <c r="Z1843" s="94"/>
      <c r="AA1843" s="120"/>
      <c r="AB1843" s="120"/>
      <c r="AC1843" s="120"/>
      <c r="AD1843" s="120"/>
      <c r="AE1843" s="120"/>
      <c r="AF1843" s="120"/>
      <c r="AG1843" s="94"/>
      <c r="AH1843" s="120"/>
      <c r="AI1843" s="94"/>
      <c r="AJ1843" s="94" t="s">
        <v>830</v>
      </c>
      <c r="AK1843" s="94" t="s">
        <v>66</v>
      </c>
      <c r="AL1843" s="94">
        <v>140</v>
      </c>
      <c r="AM1843" s="94" t="str">
        <f>TRIM(AJ1843)&amp;TRIM(AL1843)&amp;TRIM(AK1843)</f>
      </c>
      <c r="AN1843" s="116">
        <v>0</v>
      </c>
      <c r="AO1843" s="116" t="inlineStr">
        <is>
          <t>#NA</t>
        </is>
      </c>
      <c r="AP1843" s="116">
        <f>SUMIFS(M:M,AM:AM,AM1843)+SUMIFS(O:O,AM:AM,AM1843)</f>
      </c>
      <c r="AQ1843" s="116">
        <f>SUMIFS(L:L,AM:AM,AM1843)</f>
      </c>
      <c r="AR1843" s="116">
        <f>AQ1843-AP1843</f>
      </c>
      <c r="AS1843" s="94" t="str">
        <f>IF(AN1843&gt;=AQ1843,"ok","ck")</f>
      </c>
      <c r="AT1843" s="116">
        <f>-P1843</f>
      </c>
      <c r="AU1843" s="115">
        <f>IF(SUMIFS(AT:AT,AM:AM,AM1843)&gt;AO1843,(SUMIFS(AT:AT,AM:AM,AM1843)-AO1843))</f>
      </c>
      <c r="AV1843" s="116">
        <v>0</v>
      </c>
      <c r="AW1843" s="121">
        <v>0</v>
      </c>
      <c r="AX1843" s="115">
        <f>AN1843-AP1843</f>
      </c>
    </row>
    <row r="1844" spans="1:50" ht="15" hidden="1" customHeight="1" x14ac:dyDescent="0.3">
      <c r="A1844" s="94" t="s">
        <v>125</v>
      </c>
      <c r="B1844" s="94"/>
      <c r="C1844" s="94"/>
      <c r="D1844" s="94"/>
      <c r="E1844" s="94"/>
      <c r="F1844" s="94"/>
      <c r="G1844" s="112">
        <f>AU1844</f>
      </c>
      <c r="H1844" s="113"/>
      <c r="I1844" s="94" t="s">
        <v>132</v>
      </c>
      <c r="J1844" s="94" t="s">
        <v>66</v>
      </c>
      <c r="K1844" s="114">
        <f>P1844/3</f>
      </c>
      <c r="L1844" s="115">
        <v>88.197000000000003</v>
      </c>
      <c r="M1844" s="116"/>
      <c r="N1844" s="117">
        <f>M1844-L1844</f>
      </c>
      <c r="O1844" s="112"/>
      <c r="P1844" s="118">
        <f>N1844+O1844</f>
      </c>
      <c r="Q1844" s="94" t="s">
        <v>830</v>
      </c>
      <c r="R1844" s="94" t="s">
        <v>63</v>
      </c>
      <c r="S1844" s="119">
        <v>46328</v>
      </c>
      <c r="T1844" s="119"/>
      <c r="U1844" s="120" t="s">
        <v>668</v>
      </c>
      <c r="V1844" s="94"/>
      <c r="W1844" s="94"/>
      <c r="X1844" s="94"/>
      <c r="Y1844" s="119">
        <v>46320</v>
      </c>
      <c r="Z1844" s="94"/>
      <c r="AA1844" s="120"/>
      <c r="AB1844" s="120"/>
      <c r="AC1844" s="120"/>
      <c r="AD1844" s="120"/>
      <c r="AE1844" s="120"/>
      <c r="AF1844" s="120"/>
      <c r="AG1844" s="94"/>
      <c r="AH1844" s="120"/>
      <c r="AI1844" s="94"/>
      <c r="AJ1844" s="94" t="s">
        <v>830</v>
      </c>
      <c r="AK1844" s="94" t="s">
        <v>66</v>
      </c>
      <c r="AL1844" s="94">
        <v>140</v>
      </c>
      <c r="AM1844" s="94" t="str">
        <f>TRIM(AJ1844)&amp;TRIM(AL1844)&amp;TRIM(AK1844)</f>
      </c>
      <c r="AN1844" s="116">
        <v>0</v>
      </c>
      <c r="AO1844" s="116" t="inlineStr">
        <is>
          <t>#NA</t>
        </is>
      </c>
      <c r="AP1844" s="116">
        <f>SUMIFS(M:M,AM:AM,AM1844)+SUMIFS(O:O,AM:AM,AM1844)</f>
      </c>
      <c r="AQ1844" s="116">
        <f>SUMIFS(L:L,AM:AM,AM1844)</f>
      </c>
      <c r="AR1844" s="116">
        <f>AQ1844-AP1844</f>
      </c>
      <c r="AS1844" s="94" t="str">
        <f>IF(AN1844&gt;=AQ1844,"ok","ck")</f>
      </c>
      <c r="AT1844" s="116">
        <f>-P1844</f>
      </c>
      <c r="AU1844" s="115">
        <f>IF(SUMIFS(AT:AT,AM:AM,AM1844)&gt;AO1844,(SUMIFS(AT:AT,AM:AM,AM1844)-AO1844))</f>
      </c>
      <c r="AV1844" s="116">
        <v>0</v>
      </c>
      <c r="AW1844" s="121">
        <v>0</v>
      </c>
      <c r="AX1844" s="115">
        <f>AN1844-AP1844</f>
      </c>
    </row>
    <row r="1845" spans="1:50" ht="15" hidden="1" customHeight="1" x14ac:dyDescent="0.3">
      <c r="A1845" s="94" t="s">
        <v>125</v>
      </c>
      <c r="B1845" s="94"/>
      <c r="C1845" s="94"/>
      <c r="D1845" s="94"/>
      <c r="E1845" s="94"/>
      <c r="F1845" s="94"/>
      <c r="G1845" s="112">
        <f>AU1845</f>
      </c>
      <c r="H1845" s="113"/>
      <c r="I1845" s="94" t="s">
        <v>132</v>
      </c>
      <c r="J1845" s="94" t="s">
        <v>66</v>
      </c>
      <c r="K1845" s="114">
        <f>P1845/3</f>
      </c>
      <c r="L1845" s="115">
        <v>88.197000000000003</v>
      </c>
      <c r="M1845" s="116"/>
      <c r="N1845" s="117">
        <f>M1845-L1845</f>
      </c>
      <c r="O1845" s="112"/>
      <c r="P1845" s="118">
        <f>N1845+O1845</f>
      </c>
      <c r="Q1845" s="94" t="s">
        <v>830</v>
      </c>
      <c r="R1845" s="94" t="s">
        <v>63</v>
      </c>
      <c r="S1845" s="119">
        <v>46329</v>
      </c>
      <c r="T1845" s="119"/>
      <c r="U1845" s="120" t="s">
        <v>668</v>
      </c>
      <c r="V1845" s="94"/>
      <c r="W1845" s="94"/>
      <c r="X1845" s="94"/>
      <c r="Y1845" s="119">
        <v>46320</v>
      </c>
      <c r="Z1845" s="94"/>
      <c r="AA1845" s="120"/>
      <c r="AB1845" s="120"/>
      <c r="AC1845" s="120"/>
      <c r="AD1845" s="120"/>
      <c r="AE1845" s="120"/>
      <c r="AF1845" s="120"/>
      <c r="AG1845" s="94"/>
      <c r="AH1845" s="120"/>
      <c r="AI1845" s="94"/>
      <c r="AJ1845" s="94" t="s">
        <v>830</v>
      </c>
      <c r="AK1845" s="94" t="s">
        <v>66</v>
      </c>
      <c r="AL1845" s="94">
        <v>140</v>
      </c>
      <c r="AM1845" s="94" t="str">
        <f>TRIM(AJ1845)&amp;TRIM(AL1845)&amp;TRIM(AK1845)</f>
      </c>
      <c r="AN1845" s="116">
        <v>0</v>
      </c>
      <c r="AO1845" s="116" t="inlineStr">
        <is>
          <t>#NA</t>
        </is>
      </c>
      <c r="AP1845" s="116">
        <f>SUMIFS(M:M,AM:AM,AM1845)+SUMIFS(O:O,AM:AM,AM1845)</f>
      </c>
      <c r="AQ1845" s="116">
        <f>SUMIFS(L:L,AM:AM,AM1845)</f>
      </c>
      <c r="AR1845" s="116">
        <f>AQ1845-AP1845</f>
      </c>
      <c r="AS1845" s="94" t="str">
        <f>IF(AN1845&gt;=AQ1845,"ok","ck")</f>
      </c>
      <c r="AT1845" s="116">
        <f>-P1845</f>
      </c>
      <c r="AU1845" s="115">
        <f>IF(SUMIFS(AT:AT,AM:AM,AM1845)&gt;AO1845,(SUMIFS(AT:AT,AM:AM,AM1845)-AO1845))</f>
      </c>
      <c r="AV1845" s="116">
        <v>0</v>
      </c>
      <c r="AW1845" s="121">
        <v>0</v>
      </c>
      <c r="AX1845" s="115">
        <f>AN1845-AP1845</f>
      </c>
    </row>
    <row r="1846" spans="1:50" ht="15" hidden="1" customHeight="1" x14ac:dyDescent="0.3">
      <c r="A1846" s="94" t="s">
        <v>125</v>
      </c>
      <c r="B1846" s="94"/>
      <c r="C1846" s="94"/>
      <c r="D1846" s="94"/>
      <c r="E1846" s="94"/>
      <c r="F1846" s="94"/>
      <c r="G1846" s="112">
        <f>AU1846</f>
      </c>
      <c r="H1846" s="113"/>
      <c r="I1846" s="94" t="s">
        <v>133</v>
      </c>
      <c r="J1846" s="94" t="s">
        <v>66</v>
      </c>
      <c r="K1846" s="114">
        <f>P1846/3</f>
      </c>
      <c r="L1846" s="115">
        <v>911.803</v>
      </c>
      <c r="M1846" s="116"/>
      <c r="N1846" s="117">
        <f>M1846-L1846</f>
      </c>
      <c r="O1846" s="112"/>
      <c r="P1846" s="118">
        <f>N1846+O1846</f>
      </c>
      <c r="Q1846" s="94" t="s">
        <v>830</v>
      </c>
      <c r="R1846" s="94" t="s">
        <v>63</v>
      </c>
      <c r="S1846" s="119">
        <v>46329</v>
      </c>
      <c r="T1846" s="119"/>
      <c r="U1846" s="120" t="s">
        <v>668</v>
      </c>
      <c r="V1846" s="94"/>
      <c r="W1846" s="94"/>
      <c r="X1846" s="94"/>
      <c r="Y1846" s="119">
        <v>46333</v>
      </c>
      <c r="Z1846" s="94"/>
      <c r="AA1846" s="120"/>
      <c r="AB1846" s="120"/>
      <c r="AC1846" s="120"/>
      <c r="AD1846" s="120"/>
      <c r="AE1846" s="120"/>
      <c r="AF1846" s="120"/>
      <c r="AG1846" s="94"/>
      <c r="AH1846" s="120"/>
      <c r="AI1846" s="94"/>
      <c r="AJ1846" s="94" t="s">
        <v>830</v>
      </c>
      <c r="AK1846" s="94" t="s">
        <v>66</v>
      </c>
      <c r="AL1846" s="94">
        <v>160</v>
      </c>
      <c r="AM1846" s="94" t="str">
        <f>TRIM(AJ1846)&amp;TRIM(AL1846)&amp;TRIM(AK1846)</f>
      </c>
      <c r="AN1846" s="116">
        <v>0</v>
      </c>
      <c r="AO1846" s="116" t="inlineStr">
        <is>
          <t>#NA</t>
        </is>
      </c>
      <c r="AP1846" s="116">
        <f>SUMIFS(M:M,AM:AM,AM1846)+SUMIFS(O:O,AM:AM,AM1846)</f>
      </c>
      <c r="AQ1846" s="116">
        <f>SUMIFS(L:L,AM:AM,AM1846)</f>
      </c>
      <c r="AR1846" s="116">
        <f>AQ1846-AP1846</f>
      </c>
      <c r="AS1846" s="94" t="str">
        <f>IF(AN1846&gt;=AQ1846,"ok","ck")</f>
      </c>
      <c r="AT1846" s="116">
        <f>-P1846</f>
      </c>
      <c r="AU1846" s="115">
        <f>IF(SUMIFS(AT:AT,AM:AM,AM1846)&gt;AO1846,(SUMIFS(AT:AT,AM:AM,AM1846)-AO1846))</f>
      </c>
      <c r="AV1846" s="116">
        <v>0</v>
      </c>
      <c r="AW1846" s="121">
        <v>0</v>
      </c>
      <c r="AX1846" s="115">
        <f>AN1846-AP1846</f>
      </c>
    </row>
    <row r="1847" spans="1:50" ht="15" hidden="1" customHeight="1" x14ac:dyDescent="0.3">
      <c r="A1847" s="94" t="s">
        <v>125</v>
      </c>
      <c r="B1847" s="94"/>
      <c r="C1847" s="94"/>
      <c r="D1847" s="94"/>
      <c r="E1847" s="94"/>
      <c r="F1847" s="94"/>
      <c r="G1847" s="112">
        <f>AU1847</f>
      </c>
      <c r="H1847" s="113"/>
      <c r="I1847" s="94" t="s">
        <v>133</v>
      </c>
      <c r="J1847" s="94" t="s">
        <v>66</v>
      </c>
      <c r="K1847" s="114">
        <f>P1847/3</f>
      </c>
      <c r="L1847" s="115">
        <v>911.803</v>
      </c>
      <c r="M1847" s="116"/>
      <c r="N1847" s="117">
        <f>M1847-L1847</f>
      </c>
      <c r="O1847" s="112"/>
      <c r="P1847" s="118">
        <f>N1847+O1847</f>
      </c>
      <c r="Q1847" s="94" t="s">
        <v>830</v>
      </c>
      <c r="R1847" s="94" t="s">
        <v>63</v>
      </c>
      <c r="S1847" s="119">
        <v>46330</v>
      </c>
      <c r="T1847" s="119"/>
      <c r="U1847" s="120" t="s">
        <v>668</v>
      </c>
      <c r="V1847" s="94"/>
      <c r="W1847" s="94"/>
      <c r="X1847" s="94"/>
      <c r="Y1847" s="119">
        <v>46333</v>
      </c>
      <c r="Z1847" s="94"/>
      <c r="AA1847" s="120"/>
      <c r="AB1847" s="120"/>
      <c r="AC1847" s="120"/>
      <c r="AD1847" s="120"/>
      <c r="AE1847" s="120"/>
      <c r="AF1847" s="120"/>
      <c r="AG1847" s="94"/>
      <c r="AH1847" s="120"/>
      <c r="AI1847" s="94"/>
      <c r="AJ1847" s="94" t="s">
        <v>830</v>
      </c>
      <c r="AK1847" s="94" t="s">
        <v>66</v>
      </c>
      <c r="AL1847" s="94">
        <v>160</v>
      </c>
      <c r="AM1847" s="94" t="str">
        <f>TRIM(AJ1847)&amp;TRIM(AL1847)&amp;TRIM(AK1847)</f>
      </c>
      <c r="AN1847" s="116">
        <v>0</v>
      </c>
      <c r="AO1847" s="116" t="inlineStr">
        <is>
          <t>#NA</t>
        </is>
      </c>
      <c r="AP1847" s="116">
        <f>SUMIFS(M:M,AM:AM,AM1847)+SUMIFS(O:O,AM:AM,AM1847)</f>
      </c>
      <c r="AQ1847" s="116">
        <f>SUMIFS(L:L,AM:AM,AM1847)</f>
      </c>
      <c r="AR1847" s="116">
        <f>AQ1847-AP1847</f>
      </c>
      <c r="AS1847" s="94" t="str">
        <f>IF(AN1847&gt;=AQ1847,"ok","ck")</f>
      </c>
      <c r="AT1847" s="116">
        <f>-P1847</f>
      </c>
      <c r="AU1847" s="115">
        <f>IF(SUMIFS(AT:AT,AM:AM,AM1847)&gt;AO1847,(SUMIFS(AT:AT,AM:AM,AM1847)-AO1847))</f>
      </c>
      <c r="AV1847" s="116">
        <v>0</v>
      </c>
      <c r="AW1847" s="121">
        <v>0</v>
      </c>
      <c r="AX1847" s="115">
        <f>AN1847-AP1847</f>
      </c>
    </row>
    <row r="1848" spans="1:50" ht="15" hidden="1" customHeight="1" x14ac:dyDescent="0.3">
      <c r="A1848" s="94" t="s">
        <v>125</v>
      </c>
      <c r="B1848" s="94"/>
      <c r="C1848" s="94"/>
      <c r="D1848" s="94"/>
      <c r="E1848" s="94"/>
      <c r="F1848" s="94"/>
      <c r="G1848" s="112">
        <f>AU1848</f>
      </c>
      <c r="H1848" s="113"/>
      <c r="I1848" s="94" t="s">
        <v>133</v>
      </c>
      <c r="J1848" s="94" t="s">
        <v>66</v>
      </c>
      <c r="K1848" s="114">
        <f>P1848/3</f>
      </c>
      <c r="L1848" s="115">
        <v>911.803</v>
      </c>
      <c r="M1848" s="116"/>
      <c r="N1848" s="117">
        <f>M1848-L1848</f>
      </c>
      <c r="O1848" s="112"/>
      <c r="P1848" s="118">
        <f>N1848+O1848</f>
      </c>
      <c r="Q1848" s="94" t="s">
        <v>830</v>
      </c>
      <c r="R1848" s="94" t="s">
        <v>63</v>
      </c>
      <c r="S1848" s="119">
        <v>46331</v>
      </c>
      <c r="T1848" s="119"/>
      <c r="U1848" s="120" t="s">
        <v>668</v>
      </c>
      <c r="V1848" s="94"/>
      <c r="W1848" s="94"/>
      <c r="X1848" s="94"/>
      <c r="Y1848" s="119">
        <v>46333</v>
      </c>
      <c r="Z1848" s="94"/>
      <c r="AA1848" s="120"/>
      <c r="AB1848" s="120"/>
      <c r="AC1848" s="120"/>
      <c r="AD1848" s="120"/>
      <c r="AE1848" s="120"/>
      <c r="AF1848" s="120"/>
      <c r="AG1848" s="94"/>
      <c r="AH1848" s="120"/>
      <c r="AI1848" s="94"/>
      <c r="AJ1848" s="94" t="s">
        <v>830</v>
      </c>
      <c r="AK1848" s="94" t="s">
        <v>66</v>
      </c>
      <c r="AL1848" s="94">
        <v>160</v>
      </c>
      <c r="AM1848" s="94" t="str">
        <f>TRIM(AJ1848)&amp;TRIM(AL1848)&amp;TRIM(AK1848)</f>
      </c>
      <c r="AN1848" s="116">
        <v>0</v>
      </c>
      <c r="AO1848" s="116" t="inlineStr">
        <is>
          <t>#NA</t>
        </is>
      </c>
      <c r="AP1848" s="116">
        <f>SUMIFS(M:M,AM:AM,AM1848)+SUMIFS(O:O,AM:AM,AM1848)</f>
      </c>
      <c r="AQ1848" s="116">
        <f>SUMIFS(L:L,AM:AM,AM1848)</f>
      </c>
      <c r="AR1848" s="116">
        <f>AQ1848-AP1848</f>
      </c>
      <c r="AS1848" s="94" t="str">
        <f>IF(AN1848&gt;=AQ1848,"ok","ck")</f>
      </c>
      <c r="AT1848" s="116">
        <f>-P1848</f>
      </c>
      <c r="AU1848" s="115">
        <f>IF(SUMIFS(AT:AT,AM:AM,AM1848)&gt;AO1848,(SUMIFS(AT:AT,AM:AM,AM1848)-AO1848))</f>
      </c>
      <c r="AV1848" s="116">
        <v>0</v>
      </c>
      <c r="AW1848" s="121">
        <v>0</v>
      </c>
      <c r="AX1848" s="115">
        <f>AN1848-AP1848</f>
      </c>
    </row>
    <row r="1849" spans="1:50" ht="15" hidden="1" customHeight="1" x14ac:dyDescent="0.3">
      <c r="A1849" s="94" t="s">
        <v>125</v>
      </c>
      <c r="B1849" s="94"/>
      <c r="C1849" s="94"/>
      <c r="D1849" s="94"/>
      <c r="E1849" s="94"/>
      <c r="F1849" s="94"/>
      <c r="G1849" s="112">
        <f>AU1849</f>
      </c>
      <c r="H1849" s="113"/>
      <c r="I1849" s="94" t="s">
        <v>133</v>
      </c>
      <c r="J1849" s="94" t="s">
        <v>66</v>
      </c>
      <c r="K1849" s="114">
        <f>P1849/3</f>
      </c>
      <c r="L1849" s="115">
        <v>911.803</v>
      </c>
      <c r="M1849" s="116"/>
      <c r="N1849" s="117">
        <f>M1849-L1849</f>
      </c>
      <c r="O1849" s="112"/>
      <c r="P1849" s="118">
        <f>N1849+O1849</f>
      </c>
      <c r="Q1849" s="94" t="s">
        <v>830</v>
      </c>
      <c r="R1849" s="94" t="s">
        <v>63</v>
      </c>
      <c r="S1849" s="119">
        <v>46332</v>
      </c>
      <c r="T1849" s="119"/>
      <c r="U1849" s="120" t="s">
        <v>668</v>
      </c>
      <c r="V1849" s="94"/>
      <c r="W1849" s="94"/>
      <c r="X1849" s="94"/>
      <c r="Y1849" s="119">
        <v>46333</v>
      </c>
      <c r="Z1849" s="94"/>
      <c r="AA1849" s="120"/>
      <c r="AB1849" s="120"/>
      <c r="AC1849" s="120"/>
      <c r="AD1849" s="120"/>
      <c r="AE1849" s="120"/>
      <c r="AF1849" s="120"/>
      <c r="AG1849" s="94"/>
      <c r="AH1849" s="120"/>
      <c r="AI1849" s="94"/>
      <c r="AJ1849" s="94" t="s">
        <v>830</v>
      </c>
      <c r="AK1849" s="94" t="s">
        <v>66</v>
      </c>
      <c r="AL1849" s="94">
        <v>160</v>
      </c>
      <c r="AM1849" s="94" t="str">
        <f>TRIM(AJ1849)&amp;TRIM(AL1849)&amp;TRIM(AK1849)</f>
      </c>
      <c r="AN1849" s="116">
        <v>0</v>
      </c>
      <c r="AO1849" s="116" t="inlineStr">
        <is>
          <t>#NA</t>
        </is>
      </c>
      <c r="AP1849" s="116">
        <f>SUMIFS(M:M,AM:AM,AM1849)+SUMIFS(O:O,AM:AM,AM1849)</f>
      </c>
      <c r="AQ1849" s="116">
        <f>SUMIFS(L:L,AM:AM,AM1849)</f>
      </c>
      <c r="AR1849" s="116">
        <f>AQ1849-AP1849</f>
      </c>
      <c r="AS1849" s="94" t="str">
        <f>IF(AN1849&gt;=AQ1849,"ok","ck")</f>
      </c>
      <c r="AT1849" s="116">
        <f>-P1849</f>
      </c>
      <c r="AU1849" s="115">
        <f>IF(SUMIFS(AT:AT,AM:AM,AM1849)&gt;AO1849,(SUMIFS(AT:AT,AM:AM,AM1849)-AO1849))</f>
      </c>
      <c r="AV1849" s="116">
        <v>0</v>
      </c>
      <c r="AW1849" s="121">
        <v>0</v>
      </c>
      <c r="AX1849" s="115">
        <f>AN1849-AP1849</f>
      </c>
    </row>
    <row r="1850" spans="1:50" ht="15" hidden="1" customHeight="1" x14ac:dyDescent="0.3">
      <c r="A1850" s="94" t="s">
        <v>125</v>
      </c>
      <c r="B1850" s="94"/>
      <c r="C1850" s="94"/>
      <c r="D1850" s="94"/>
      <c r="E1850" s="94"/>
      <c r="F1850" s="94"/>
      <c r="G1850" s="112">
        <f>AU1850</f>
      </c>
      <c r="H1850" s="113"/>
      <c r="I1850" s="94" t="s">
        <v>133</v>
      </c>
      <c r="J1850" s="94" t="s">
        <v>66</v>
      </c>
      <c r="K1850" s="114">
        <f>P1850/3</f>
      </c>
      <c r="L1850" s="115">
        <v>911.803</v>
      </c>
      <c r="M1850" s="116"/>
      <c r="N1850" s="117">
        <f>M1850-L1850</f>
      </c>
      <c r="O1850" s="112"/>
      <c r="P1850" s="118">
        <f>N1850+O1850</f>
      </c>
      <c r="Q1850" s="94" t="s">
        <v>830</v>
      </c>
      <c r="R1850" s="94" t="s">
        <v>63</v>
      </c>
      <c r="S1850" s="119">
        <v>46333</v>
      </c>
      <c r="T1850" s="119"/>
      <c r="U1850" s="120" t="s">
        <v>668</v>
      </c>
      <c r="V1850" s="94"/>
      <c r="W1850" s="94"/>
      <c r="X1850" s="94"/>
      <c r="Y1850" s="119">
        <v>46333</v>
      </c>
      <c r="Z1850" s="94"/>
      <c r="AA1850" s="120"/>
      <c r="AB1850" s="120"/>
      <c r="AC1850" s="120"/>
      <c r="AD1850" s="120"/>
      <c r="AE1850" s="120"/>
      <c r="AF1850" s="120"/>
      <c r="AG1850" s="94"/>
      <c r="AH1850" s="120"/>
      <c r="AI1850" s="94"/>
      <c r="AJ1850" s="94" t="s">
        <v>830</v>
      </c>
      <c r="AK1850" s="94" t="s">
        <v>66</v>
      </c>
      <c r="AL1850" s="94">
        <v>160</v>
      </c>
      <c r="AM1850" s="94" t="str">
        <f>TRIM(AJ1850)&amp;TRIM(AL1850)&amp;TRIM(AK1850)</f>
      </c>
      <c r="AN1850" s="116">
        <v>0</v>
      </c>
      <c r="AO1850" s="116" t="inlineStr">
        <is>
          <t>#NA</t>
        </is>
      </c>
      <c r="AP1850" s="116">
        <f>SUMIFS(M:M,AM:AM,AM1850)+SUMIFS(O:O,AM:AM,AM1850)</f>
      </c>
      <c r="AQ1850" s="116">
        <f>SUMIFS(L:L,AM:AM,AM1850)</f>
      </c>
      <c r="AR1850" s="116">
        <f>AQ1850-AP1850</f>
      </c>
      <c r="AS1850" s="94" t="str">
        <f>IF(AN1850&gt;=AQ1850,"ok","ck")</f>
      </c>
      <c r="AT1850" s="116">
        <f>-P1850</f>
      </c>
      <c r="AU1850" s="115">
        <f>IF(SUMIFS(AT:AT,AM:AM,AM1850)&gt;AO1850,(SUMIFS(AT:AT,AM:AM,AM1850)-AO1850))</f>
      </c>
      <c r="AV1850" s="116">
        <v>0</v>
      </c>
      <c r="AW1850" s="121">
        <v>0</v>
      </c>
      <c r="AX1850" s="115">
        <f>AN1850-AP1850</f>
      </c>
    </row>
    <row r="1851" spans="1:50" ht="15" hidden="1" customHeight="1" x14ac:dyDescent="0.3">
      <c r="A1851" s="94" t="s">
        <v>125</v>
      </c>
      <c r="B1851" s="94"/>
      <c r="C1851" s="94"/>
      <c r="D1851" s="94"/>
      <c r="E1851" s="94"/>
      <c r="F1851" s="94"/>
      <c r="G1851" s="112">
        <f>AU1851</f>
      </c>
      <c r="H1851" s="113"/>
      <c r="I1851" s="94" t="s">
        <v>133</v>
      </c>
      <c r="J1851" s="94" t="s">
        <v>66</v>
      </c>
      <c r="K1851" s="114">
        <f>P1851/3</f>
      </c>
      <c r="L1851" s="115">
        <v>911.803</v>
      </c>
      <c r="M1851" s="116"/>
      <c r="N1851" s="117">
        <f>M1851-L1851</f>
      </c>
      <c r="O1851" s="112"/>
      <c r="P1851" s="118">
        <f>N1851+O1851</f>
      </c>
      <c r="Q1851" s="94" t="s">
        <v>830</v>
      </c>
      <c r="R1851" s="94" t="s">
        <v>63</v>
      </c>
      <c r="S1851" s="119">
        <v>46334</v>
      </c>
      <c r="T1851" s="119"/>
      <c r="U1851" s="120" t="s">
        <v>668</v>
      </c>
      <c r="V1851" s="94"/>
      <c r="W1851" s="94"/>
      <c r="X1851" s="94"/>
      <c r="Y1851" s="119">
        <v>46333</v>
      </c>
      <c r="Z1851" s="94"/>
      <c r="AA1851" s="120"/>
      <c r="AB1851" s="120"/>
      <c r="AC1851" s="120"/>
      <c r="AD1851" s="120"/>
      <c r="AE1851" s="120"/>
      <c r="AF1851" s="120"/>
      <c r="AG1851" s="94"/>
      <c r="AH1851" s="120"/>
      <c r="AI1851" s="94"/>
      <c r="AJ1851" s="94" t="s">
        <v>830</v>
      </c>
      <c r="AK1851" s="94" t="s">
        <v>66</v>
      </c>
      <c r="AL1851" s="94">
        <v>160</v>
      </c>
      <c r="AM1851" s="94" t="str">
        <f>TRIM(AJ1851)&amp;TRIM(AL1851)&amp;TRIM(AK1851)</f>
      </c>
      <c r="AN1851" s="116">
        <v>0</v>
      </c>
      <c r="AO1851" s="116" t="inlineStr">
        <is>
          <t>#NA</t>
        </is>
      </c>
      <c r="AP1851" s="116">
        <f>SUMIFS(M:M,AM:AM,AM1851)+SUMIFS(O:O,AM:AM,AM1851)</f>
      </c>
      <c r="AQ1851" s="116">
        <f>SUMIFS(L:L,AM:AM,AM1851)</f>
      </c>
      <c r="AR1851" s="116">
        <f>AQ1851-AP1851</f>
      </c>
      <c r="AS1851" s="94" t="str">
        <f>IF(AN1851&gt;=AQ1851,"ok","ck")</f>
      </c>
      <c r="AT1851" s="116">
        <f>-P1851</f>
      </c>
      <c r="AU1851" s="115">
        <f>IF(SUMIFS(AT:AT,AM:AM,AM1851)&gt;AO1851,(SUMIFS(AT:AT,AM:AM,AM1851)-AO1851))</f>
      </c>
      <c r="AV1851" s="116">
        <v>0</v>
      </c>
      <c r="AW1851" s="121">
        <v>0</v>
      </c>
      <c r="AX1851" s="115">
        <f>AN1851-AP1851</f>
      </c>
    </row>
    <row r="1852" spans="1:50" ht="15" hidden="1" customHeight="1" x14ac:dyDescent="0.3">
      <c r="A1852" s="94" t="s">
        <v>125</v>
      </c>
      <c r="B1852" s="94"/>
      <c r="C1852" s="94"/>
      <c r="D1852" s="94"/>
      <c r="E1852" s="94"/>
      <c r="F1852" s="94"/>
      <c r="G1852" s="112">
        <f>AU1852</f>
      </c>
      <c r="H1852" s="113"/>
      <c r="I1852" s="94" t="s">
        <v>133</v>
      </c>
      <c r="J1852" s="94" t="s">
        <v>66</v>
      </c>
      <c r="K1852" s="114">
        <f>P1852/3</f>
      </c>
      <c r="L1852" s="115">
        <v>911.803</v>
      </c>
      <c r="M1852" s="116"/>
      <c r="N1852" s="117">
        <f>M1852-L1852</f>
      </c>
      <c r="O1852" s="112"/>
      <c r="P1852" s="118">
        <f>N1852+O1852</f>
      </c>
      <c r="Q1852" s="94" t="s">
        <v>830</v>
      </c>
      <c r="R1852" s="94" t="s">
        <v>63</v>
      </c>
      <c r="S1852" s="119">
        <v>46335</v>
      </c>
      <c r="T1852" s="119"/>
      <c r="U1852" s="120" t="s">
        <v>668</v>
      </c>
      <c r="V1852" s="94"/>
      <c r="W1852" s="94"/>
      <c r="X1852" s="94"/>
      <c r="Y1852" s="119">
        <v>46333</v>
      </c>
      <c r="Z1852" s="94"/>
      <c r="AA1852" s="120"/>
      <c r="AB1852" s="120"/>
      <c r="AC1852" s="120"/>
      <c r="AD1852" s="120"/>
      <c r="AE1852" s="120"/>
      <c r="AF1852" s="120"/>
      <c r="AG1852" s="94"/>
      <c r="AH1852" s="120"/>
      <c r="AI1852" s="94"/>
      <c r="AJ1852" s="94" t="s">
        <v>830</v>
      </c>
      <c r="AK1852" s="94" t="s">
        <v>66</v>
      </c>
      <c r="AL1852" s="94">
        <v>160</v>
      </c>
      <c r="AM1852" s="94" t="str">
        <f>TRIM(AJ1852)&amp;TRIM(AL1852)&amp;TRIM(AK1852)</f>
      </c>
      <c r="AN1852" s="116">
        <v>0</v>
      </c>
      <c r="AO1852" s="116" t="inlineStr">
        <is>
          <t>#NA</t>
        </is>
      </c>
      <c r="AP1852" s="116">
        <f>SUMIFS(M:M,AM:AM,AM1852)+SUMIFS(O:O,AM:AM,AM1852)</f>
      </c>
      <c r="AQ1852" s="116">
        <f>SUMIFS(L:L,AM:AM,AM1852)</f>
      </c>
      <c r="AR1852" s="116">
        <f>AQ1852-AP1852</f>
      </c>
      <c r="AS1852" s="94" t="str">
        <f>IF(AN1852&gt;=AQ1852,"ok","ck")</f>
      </c>
      <c r="AT1852" s="116">
        <f>-P1852</f>
      </c>
      <c r="AU1852" s="115">
        <f>IF(SUMIFS(AT:AT,AM:AM,AM1852)&gt;AO1852,(SUMIFS(AT:AT,AM:AM,AM1852)-AO1852))</f>
      </c>
      <c r="AV1852" s="116">
        <v>0</v>
      </c>
      <c r="AW1852" s="121">
        <v>0</v>
      </c>
      <c r="AX1852" s="115">
        <f>AN1852-AP1852</f>
      </c>
    </row>
    <row r="1853" spans="1:50" ht="15" hidden="1" customHeight="1" x14ac:dyDescent="0.3">
      <c r="A1853" s="94" t="s">
        <v>125</v>
      </c>
      <c r="B1853" s="94"/>
      <c r="C1853" s="94"/>
      <c r="D1853" s="94"/>
      <c r="E1853" s="94"/>
      <c r="F1853" s="94"/>
      <c r="G1853" s="112">
        <f>AU1853</f>
      </c>
      <c r="H1853" s="113"/>
      <c r="I1853" s="94" t="s">
        <v>133</v>
      </c>
      <c r="J1853" s="94" t="s">
        <v>66</v>
      </c>
      <c r="K1853" s="114">
        <f>P1853/3</f>
      </c>
      <c r="L1853" s="115">
        <v>911.803</v>
      </c>
      <c r="M1853" s="116"/>
      <c r="N1853" s="117">
        <f>M1853-L1853</f>
      </c>
      <c r="O1853" s="112"/>
      <c r="P1853" s="118">
        <f>N1853+O1853</f>
      </c>
      <c r="Q1853" s="94" t="s">
        <v>830</v>
      </c>
      <c r="R1853" s="94" t="s">
        <v>63</v>
      </c>
      <c r="S1853" s="119">
        <v>46336</v>
      </c>
      <c r="T1853" s="119"/>
      <c r="U1853" s="120" t="s">
        <v>668</v>
      </c>
      <c r="V1853" s="94"/>
      <c r="W1853" s="94"/>
      <c r="X1853" s="94"/>
      <c r="Y1853" s="119">
        <v>46333</v>
      </c>
      <c r="Z1853" s="94"/>
      <c r="AA1853" s="120"/>
      <c r="AB1853" s="120"/>
      <c r="AC1853" s="120"/>
      <c r="AD1853" s="120"/>
      <c r="AE1853" s="120"/>
      <c r="AF1853" s="120"/>
      <c r="AG1853" s="94"/>
      <c r="AH1853" s="120"/>
      <c r="AI1853" s="94"/>
      <c r="AJ1853" s="94" t="s">
        <v>830</v>
      </c>
      <c r="AK1853" s="94" t="s">
        <v>66</v>
      </c>
      <c r="AL1853" s="94">
        <v>160</v>
      </c>
      <c r="AM1853" s="94" t="str">
        <f>TRIM(AJ1853)&amp;TRIM(AL1853)&amp;TRIM(AK1853)</f>
      </c>
      <c r="AN1853" s="116">
        <v>0</v>
      </c>
      <c r="AO1853" s="116" t="inlineStr">
        <is>
          <t>#NA</t>
        </is>
      </c>
      <c r="AP1853" s="116">
        <f>SUMIFS(M:M,AM:AM,AM1853)+SUMIFS(O:O,AM:AM,AM1853)</f>
      </c>
      <c r="AQ1853" s="116">
        <f>SUMIFS(L:L,AM:AM,AM1853)</f>
      </c>
      <c r="AR1853" s="116">
        <f>AQ1853-AP1853</f>
      </c>
      <c r="AS1853" s="94" t="str">
        <f>IF(AN1853&gt;=AQ1853,"ok","ck")</f>
      </c>
      <c r="AT1853" s="116">
        <f>-P1853</f>
      </c>
      <c r="AU1853" s="115">
        <f>IF(SUMIFS(AT:AT,AM:AM,AM1853)&gt;AO1853,(SUMIFS(AT:AT,AM:AM,AM1853)-AO1853))</f>
      </c>
      <c r="AV1853" s="116">
        <v>0</v>
      </c>
      <c r="AW1853" s="121">
        <v>0</v>
      </c>
      <c r="AX1853" s="115">
        <f>AN1853-AP1853</f>
      </c>
    </row>
    <row r="1854" spans="1:50" ht="15" hidden="1" customHeight="1" x14ac:dyDescent="0.3">
      <c r="A1854" s="94" t="s">
        <v>125</v>
      </c>
      <c r="B1854" s="94"/>
      <c r="C1854" s="94"/>
      <c r="D1854" s="94"/>
      <c r="E1854" s="94"/>
      <c r="F1854" s="94"/>
      <c r="G1854" s="112">
        <f>AU1854</f>
      </c>
      <c r="H1854" s="113"/>
      <c r="I1854" s="94" t="s">
        <v>133</v>
      </c>
      <c r="J1854" s="94" t="s">
        <v>66</v>
      </c>
      <c r="K1854" s="114">
        <f>P1854/3</f>
      </c>
      <c r="L1854" s="115">
        <v>911.803</v>
      </c>
      <c r="M1854" s="116"/>
      <c r="N1854" s="117">
        <f>M1854-L1854</f>
      </c>
      <c r="O1854" s="112"/>
      <c r="P1854" s="118">
        <f>N1854+O1854</f>
      </c>
      <c r="Q1854" s="94" t="s">
        <v>830</v>
      </c>
      <c r="R1854" s="94" t="s">
        <v>63</v>
      </c>
      <c r="S1854" s="119">
        <v>46337</v>
      </c>
      <c r="T1854" s="119"/>
      <c r="U1854" s="120" t="s">
        <v>668</v>
      </c>
      <c r="V1854" s="94"/>
      <c r="W1854" s="94"/>
      <c r="X1854" s="94"/>
      <c r="Y1854" s="119">
        <v>46333</v>
      </c>
      <c r="Z1854" s="94"/>
      <c r="AA1854" s="120"/>
      <c r="AB1854" s="120"/>
      <c r="AC1854" s="120"/>
      <c r="AD1854" s="120"/>
      <c r="AE1854" s="120"/>
      <c r="AF1854" s="120"/>
      <c r="AG1854" s="94"/>
      <c r="AH1854" s="120"/>
      <c r="AI1854" s="94"/>
      <c r="AJ1854" s="94" t="s">
        <v>830</v>
      </c>
      <c r="AK1854" s="94" t="s">
        <v>66</v>
      </c>
      <c r="AL1854" s="94">
        <v>160</v>
      </c>
      <c r="AM1854" s="94" t="str">
        <f>TRIM(AJ1854)&amp;TRIM(AL1854)&amp;TRIM(AK1854)</f>
      </c>
      <c r="AN1854" s="116">
        <v>0</v>
      </c>
      <c r="AO1854" s="116" t="inlineStr">
        <is>
          <t>#NA</t>
        </is>
      </c>
      <c r="AP1854" s="116">
        <f>SUMIFS(M:M,AM:AM,AM1854)+SUMIFS(O:O,AM:AM,AM1854)</f>
      </c>
      <c r="AQ1854" s="116">
        <f>SUMIFS(L:L,AM:AM,AM1854)</f>
      </c>
      <c r="AR1854" s="116">
        <f>AQ1854-AP1854</f>
      </c>
      <c r="AS1854" s="94" t="str">
        <f>IF(AN1854&gt;=AQ1854,"ok","ck")</f>
      </c>
      <c r="AT1854" s="116">
        <f>-P1854</f>
      </c>
      <c r="AU1854" s="115">
        <f>IF(SUMIFS(AT:AT,AM:AM,AM1854)&gt;AO1854,(SUMIFS(AT:AT,AM:AM,AM1854)-AO1854))</f>
      </c>
      <c r="AV1854" s="116">
        <v>0</v>
      </c>
      <c r="AW1854" s="121">
        <v>0</v>
      </c>
      <c r="AX1854" s="115">
        <f>AN1854-AP1854</f>
      </c>
    </row>
    <row r="1855" spans="1:50" ht="15" hidden="1" customHeight="1" x14ac:dyDescent="0.3">
      <c r="A1855" s="94" t="s">
        <v>125</v>
      </c>
      <c r="B1855" s="94"/>
      <c r="C1855" s="94"/>
      <c r="D1855" s="94"/>
      <c r="E1855" s="94"/>
      <c r="F1855" s="94"/>
      <c r="G1855" s="112">
        <f>AU1855</f>
      </c>
      <c r="H1855" s="113"/>
      <c r="I1855" s="94" t="s">
        <v>133</v>
      </c>
      <c r="J1855" s="94" t="s">
        <v>66</v>
      </c>
      <c r="K1855" s="114">
        <f>P1855/3</f>
      </c>
      <c r="L1855" s="115">
        <v>911.803</v>
      </c>
      <c r="M1855" s="116"/>
      <c r="N1855" s="117">
        <f>M1855-L1855</f>
      </c>
      <c r="O1855" s="112"/>
      <c r="P1855" s="118">
        <f>N1855+O1855</f>
      </c>
      <c r="Q1855" s="94" t="s">
        <v>830</v>
      </c>
      <c r="R1855" s="94" t="s">
        <v>63</v>
      </c>
      <c r="S1855" s="119">
        <v>46338</v>
      </c>
      <c r="T1855" s="119"/>
      <c r="U1855" s="120" t="s">
        <v>668</v>
      </c>
      <c r="V1855" s="94"/>
      <c r="W1855" s="94"/>
      <c r="X1855" s="94"/>
      <c r="Y1855" s="119">
        <v>46333</v>
      </c>
      <c r="Z1855" s="94"/>
      <c r="AA1855" s="120"/>
      <c r="AB1855" s="120"/>
      <c r="AC1855" s="120"/>
      <c r="AD1855" s="120"/>
      <c r="AE1855" s="120"/>
      <c r="AF1855" s="120"/>
      <c r="AG1855" s="94"/>
      <c r="AH1855" s="120"/>
      <c r="AI1855" s="94"/>
      <c r="AJ1855" s="94" t="s">
        <v>830</v>
      </c>
      <c r="AK1855" s="94" t="s">
        <v>66</v>
      </c>
      <c r="AL1855" s="94">
        <v>160</v>
      </c>
      <c r="AM1855" s="94" t="str">
        <f>TRIM(AJ1855)&amp;TRIM(AL1855)&amp;TRIM(AK1855)</f>
      </c>
      <c r="AN1855" s="116">
        <v>0</v>
      </c>
      <c r="AO1855" s="116" t="inlineStr">
        <is>
          <t>#NA</t>
        </is>
      </c>
      <c r="AP1855" s="116">
        <f>SUMIFS(M:M,AM:AM,AM1855)+SUMIFS(O:O,AM:AM,AM1855)</f>
      </c>
      <c r="AQ1855" s="116">
        <f>SUMIFS(L:L,AM:AM,AM1855)</f>
      </c>
      <c r="AR1855" s="116">
        <f>AQ1855-AP1855</f>
      </c>
      <c r="AS1855" s="94" t="str">
        <f>IF(AN1855&gt;=AQ1855,"ok","ck")</f>
      </c>
      <c r="AT1855" s="116">
        <f>-P1855</f>
      </c>
      <c r="AU1855" s="115">
        <f>IF(SUMIFS(AT:AT,AM:AM,AM1855)&gt;AO1855,(SUMIFS(AT:AT,AM:AM,AM1855)-AO1855))</f>
      </c>
      <c r="AV1855" s="116">
        <v>0</v>
      </c>
      <c r="AW1855" s="121">
        <v>0</v>
      </c>
      <c r="AX1855" s="115">
        <f>AN1855-AP1855</f>
      </c>
    </row>
    <row r="1856" spans="1:50" ht="15" hidden="1" customHeight="1" x14ac:dyDescent="0.3">
      <c r="A1856" s="94" t="s">
        <v>125</v>
      </c>
      <c r="B1856" s="94"/>
      <c r="C1856" s="94"/>
      <c r="D1856" s="94"/>
      <c r="E1856" s="94"/>
      <c r="F1856" s="94"/>
      <c r="G1856" s="112">
        <f>AU1856</f>
      </c>
      <c r="H1856" s="113"/>
      <c r="I1856" s="94" t="s">
        <v>126</v>
      </c>
      <c r="J1856" s="94" t="s">
        <v>148</v>
      </c>
      <c r="K1856" s="114">
        <f>P1856/3</f>
      </c>
      <c r="L1856" s="115">
        <v>1681.4860000000001</v>
      </c>
      <c r="M1856" s="116"/>
      <c r="N1856" s="117">
        <f>M1856-L1856</f>
      </c>
      <c r="O1856" s="112"/>
      <c r="P1856" s="118">
        <f>N1856+O1856</f>
      </c>
      <c r="Q1856" s="94" t="s">
        <v>128</v>
      </c>
      <c r="R1856" s="94" t="s">
        <v>63</v>
      </c>
      <c r="S1856" s="119">
        <v>46330</v>
      </c>
      <c r="T1856" s="119"/>
      <c r="U1856" s="120" t="s">
        <v>681</v>
      </c>
      <c r="V1856" s="94"/>
      <c r="W1856" s="94"/>
      <c r="X1856" s="94"/>
      <c r="Y1856" s="119">
        <v>46333</v>
      </c>
      <c r="Z1856" s="94"/>
      <c r="AA1856" s="120"/>
      <c r="AB1856" s="120"/>
      <c r="AC1856" s="120"/>
      <c r="AD1856" s="120"/>
      <c r="AE1856" s="120"/>
      <c r="AF1856" s="120"/>
      <c r="AG1856" s="94"/>
      <c r="AH1856" s="120"/>
      <c r="AI1856" s="94"/>
      <c r="AJ1856" s="94" t="s">
        <v>128</v>
      </c>
      <c r="AK1856" s="94" t="s">
        <v>149</v>
      </c>
      <c r="AL1856" s="94">
        <v>160</v>
      </c>
      <c r="AM1856" s="94" t="str">
        <f>TRIM(AJ1856)&amp;TRIM(AL1856)&amp;TRIM(AK1856)</f>
      </c>
      <c r="AN1856" s="116">
        <v>150</v>
      </c>
      <c r="AO1856" s="116">
        <v>10230.75</v>
      </c>
      <c r="AP1856" s="116">
        <f>SUMIFS(M:M,AM:AM,AM1856)+SUMIFS(O:O,AM:AM,AM1856)</f>
      </c>
      <c r="AQ1856" s="116">
        <f>SUMIFS(L:L,AM:AM,AM1856)</f>
      </c>
      <c r="AR1856" s="116">
        <f>AQ1856-AP1856</f>
      </c>
      <c r="AS1856" s="94" t="str">
        <f>IF(AN1856&gt;=AQ1856,"ok","ck")</f>
      </c>
      <c r="AT1856" s="116">
        <f>-P1856</f>
      </c>
      <c r="AU1856" s="115">
        <f>IF(SUMIFS(AT:AT,AM:AM,AM1856)&gt;AO1856,(SUMIFS(AT:AT,AM:AM,AM1856)-AO1856))</f>
      </c>
      <c r="AV1856" s="116">
        <v>150</v>
      </c>
      <c r="AW1856" s="121">
        <v>0.782</v>
      </c>
      <c r="AX1856" s="115">
        <f>AN1856-AP1856</f>
      </c>
    </row>
    <row r="1857" spans="1:50" ht="15" hidden="1" customHeight="1" x14ac:dyDescent="0.3">
      <c r="A1857" s="94" t="s">
        <v>125</v>
      </c>
      <c r="B1857" s="94"/>
      <c r="C1857" s="94"/>
      <c r="D1857" s="94"/>
      <c r="E1857" s="94"/>
      <c r="F1857" s="94"/>
      <c r="G1857" s="112">
        <f>AU1857</f>
      </c>
      <c r="H1857" s="113"/>
      <c r="I1857" s="94" t="s">
        <v>126</v>
      </c>
      <c r="J1857" s="94" t="s">
        <v>148</v>
      </c>
      <c r="K1857" s="114">
        <f>P1857/3</f>
      </c>
      <c r="L1857" s="115">
        <v>2819.808</v>
      </c>
      <c r="M1857" s="116"/>
      <c r="N1857" s="117">
        <f>M1857-L1857</f>
      </c>
      <c r="O1857" s="112"/>
      <c r="P1857" s="118">
        <f>N1857+O1857</f>
      </c>
      <c r="Q1857" s="94" t="s">
        <v>128</v>
      </c>
      <c r="R1857" s="94" t="s">
        <v>63</v>
      </c>
      <c r="S1857" s="119">
        <v>46331</v>
      </c>
      <c r="T1857" s="119"/>
      <c r="U1857" s="120" t="s">
        <v>681</v>
      </c>
      <c r="V1857" s="94"/>
      <c r="W1857" s="94"/>
      <c r="X1857" s="94"/>
      <c r="Y1857" s="119">
        <v>46334</v>
      </c>
      <c r="Z1857" s="94"/>
      <c r="AA1857" s="120"/>
      <c r="AB1857" s="120"/>
      <c r="AC1857" s="120"/>
      <c r="AD1857" s="120"/>
      <c r="AE1857" s="120"/>
      <c r="AF1857" s="120"/>
      <c r="AG1857" s="94"/>
      <c r="AH1857" s="120"/>
      <c r="AI1857" s="94"/>
      <c r="AJ1857" s="94" t="s">
        <v>128</v>
      </c>
      <c r="AK1857" s="94" t="s">
        <v>149</v>
      </c>
      <c r="AL1857" s="94">
        <v>160</v>
      </c>
      <c r="AM1857" s="94" t="str">
        <f>TRIM(AJ1857)&amp;TRIM(AL1857)&amp;TRIM(AK1857)</f>
      </c>
      <c r="AN1857" s="116">
        <v>150</v>
      </c>
      <c r="AO1857" s="116">
        <v>10230.75</v>
      </c>
      <c r="AP1857" s="116">
        <f>SUMIFS(M:M,AM:AM,AM1857)+SUMIFS(O:O,AM:AM,AM1857)</f>
      </c>
      <c r="AQ1857" s="116">
        <f>SUMIFS(L:L,AM:AM,AM1857)</f>
      </c>
      <c r="AR1857" s="116">
        <f>AQ1857-AP1857</f>
      </c>
      <c r="AS1857" s="94" t="str">
        <f>IF(AN1857&gt;=AQ1857,"ok","ck")</f>
      </c>
      <c r="AT1857" s="116">
        <f>-P1857</f>
      </c>
      <c r="AU1857" s="115">
        <f>IF(SUMIFS(AT:AT,AM:AM,AM1857)&gt;AO1857,(SUMIFS(AT:AT,AM:AM,AM1857)-AO1857))</f>
      </c>
      <c r="AV1857" s="116">
        <v>150</v>
      </c>
      <c r="AW1857" s="121">
        <v>0.782</v>
      </c>
      <c r="AX1857" s="115">
        <f>AN1857-AP1857</f>
      </c>
    </row>
    <row r="1858" spans="1:50" ht="15" hidden="1" customHeight="1" x14ac:dyDescent="0.3">
      <c r="A1858" s="94" t="s">
        <v>125</v>
      </c>
      <c r="B1858" s="94"/>
      <c r="C1858" s="94"/>
      <c r="D1858" s="94"/>
      <c r="E1858" s="94"/>
      <c r="F1858" s="94"/>
      <c r="G1858" s="112">
        <f>AU1858</f>
      </c>
      <c r="H1858" s="113"/>
      <c r="I1858" s="94" t="s">
        <v>126</v>
      </c>
      <c r="J1858" s="94" t="s">
        <v>135</v>
      </c>
      <c r="K1858" s="114">
        <f>P1858/3</f>
      </c>
      <c r="L1858" s="115">
        <v>1681.4860000000001</v>
      </c>
      <c r="M1858" s="116">
        <v>1681.4860000000001</v>
      </c>
      <c r="N1858" s="117">
        <f>M1858-L1858</f>
      </c>
      <c r="O1858" s="112"/>
      <c r="P1858" s="118">
        <f>N1858+O1858</f>
      </c>
      <c r="Q1858" s="94" t="s">
        <v>128</v>
      </c>
      <c r="R1858" s="94" t="s">
        <v>63</v>
      </c>
      <c r="S1858" s="119">
        <v>46329</v>
      </c>
      <c r="T1858" s="119"/>
      <c r="U1858" s="120" t="s">
        <v>681</v>
      </c>
      <c r="V1858" s="94"/>
      <c r="W1858" s="94"/>
      <c r="X1858" s="94"/>
      <c r="Y1858" s="119">
        <v>46336</v>
      </c>
      <c r="Z1858" s="94"/>
      <c r="AA1858" s="120"/>
      <c r="AB1858" s="120"/>
      <c r="AC1858" s="120"/>
      <c r="AD1858" s="120"/>
      <c r="AE1858" s="120"/>
      <c r="AF1858" s="120"/>
      <c r="AG1858" s="94"/>
      <c r="AH1858" s="120"/>
      <c r="AI1858" s="94"/>
      <c r="AJ1858" s="94" t="s">
        <v>128</v>
      </c>
      <c r="AK1858" s="94" t="s">
        <v>136</v>
      </c>
      <c r="AL1858" s="94">
        <v>160</v>
      </c>
      <c r="AM1858" s="94" t="str">
        <f>TRIM(AJ1858)&amp;TRIM(AL1858)&amp;TRIM(AK1858)</f>
      </c>
      <c r="AN1858" s="116">
        <v>9091</v>
      </c>
      <c r="AO1858" s="116">
        <v>1307.98</v>
      </c>
      <c r="AP1858" s="116">
        <f>SUMIFS(M:M,AM:AM,AM1858)+SUMIFS(O:O,AM:AM,AM1858)</f>
      </c>
      <c r="AQ1858" s="116">
        <f>SUMIFS(L:L,AM:AM,AM1858)</f>
      </c>
      <c r="AR1858" s="116">
        <f>AQ1858-AP1858</f>
      </c>
      <c r="AS1858" s="94" t="str">
        <f>IF(AN1858&gt;=AQ1858,"ok","ck")</f>
      </c>
      <c r="AT1858" s="116">
        <f>-P1858</f>
      </c>
      <c r="AU1858" s="115">
        <f>IF(SUMIFS(AT:AT,AM:AM,AM1858)&gt;AO1858,(SUMIFS(AT:AT,AM:AM,AM1858)-AO1858))</f>
      </c>
      <c r="AV1858" s="116">
        <v>166</v>
      </c>
      <c r="AW1858" s="121">
        <v>0.866</v>
      </c>
      <c r="AX1858" s="115">
        <f>AN1858-AP1858</f>
      </c>
    </row>
    <row r="1859" spans="1:50" ht="15" hidden="1" customHeight="1" x14ac:dyDescent="0.3">
      <c r="A1859" s="94" t="s">
        <v>125</v>
      </c>
      <c r="B1859" s="94"/>
      <c r="C1859" s="94"/>
      <c r="D1859" s="94"/>
      <c r="E1859" s="94"/>
      <c r="F1859" s="94"/>
      <c r="G1859" s="112">
        <f>AU1859</f>
      </c>
      <c r="H1859" s="113"/>
      <c r="I1859" s="94" t="s">
        <v>126</v>
      </c>
      <c r="J1859" s="94" t="s">
        <v>135</v>
      </c>
      <c r="K1859" s="114">
        <f>P1859/3</f>
      </c>
      <c r="L1859" s="115">
        <v>1681.4860000000001</v>
      </c>
      <c r="M1859" s="116">
        <v>1681.4860000000001</v>
      </c>
      <c r="N1859" s="117">
        <f>M1859-L1859</f>
      </c>
      <c r="O1859" s="112"/>
      <c r="P1859" s="118">
        <f>N1859+O1859</f>
      </c>
      <c r="Q1859" s="94" t="s">
        <v>128</v>
      </c>
      <c r="R1859" s="94" t="s">
        <v>63</v>
      </c>
      <c r="S1859" s="119">
        <v>46330</v>
      </c>
      <c r="T1859" s="119"/>
      <c r="U1859" s="120" t="s">
        <v>681</v>
      </c>
      <c r="V1859" s="94"/>
      <c r="W1859" s="94"/>
      <c r="X1859" s="94"/>
      <c r="Y1859" s="119">
        <v>46320</v>
      </c>
      <c r="Z1859" s="94"/>
      <c r="AA1859" s="120"/>
      <c r="AB1859" s="120"/>
      <c r="AC1859" s="120"/>
      <c r="AD1859" s="120"/>
      <c r="AE1859" s="120"/>
      <c r="AF1859" s="120"/>
      <c r="AG1859" s="94"/>
      <c r="AH1859" s="120"/>
      <c r="AI1859" s="94"/>
      <c r="AJ1859" s="94" t="s">
        <v>128</v>
      </c>
      <c r="AK1859" s="94" t="s">
        <v>136</v>
      </c>
      <c r="AL1859" s="94">
        <v>160</v>
      </c>
      <c r="AM1859" s="94" t="str">
        <f>TRIM(AJ1859)&amp;TRIM(AL1859)&amp;TRIM(AK1859)</f>
      </c>
      <c r="AN1859" s="116">
        <v>9091</v>
      </c>
      <c r="AO1859" s="116">
        <v>1307.98</v>
      </c>
      <c r="AP1859" s="116">
        <f>SUMIFS(M:M,AM:AM,AM1859)+SUMIFS(O:O,AM:AM,AM1859)</f>
      </c>
      <c r="AQ1859" s="116">
        <f>SUMIFS(L:L,AM:AM,AM1859)</f>
      </c>
      <c r="AR1859" s="116">
        <f>AQ1859-AP1859</f>
      </c>
      <c r="AS1859" s="94" t="str">
        <f>IF(AN1859&gt;=AQ1859,"ok","ck")</f>
      </c>
      <c r="AT1859" s="116">
        <f>-P1859</f>
      </c>
      <c r="AU1859" s="115">
        <f>IF(SUMIFS(AT:AT,AM:AM,AM1859)&gt;AO1859,(SUMIFS(AT:AT,AM:AM,AM1859)-AO1859))</f>
      </c>
      <c r="AV1859" s="116">
        <v>166</v>
      </c>
      <c r="AW1859" s="121">
        <v>0.866</v>
      </c>
      <c r="AX1859" s="115">
        <f>AN1859-AP1859</f>
      </c>
    </row>
    <row r="1860" spans="1:50" ht="15" hidden="1" customHeight="1" x14ac:dyDescent="0.3">
      <c r="A1860" s="94" t="s">
        <v>125</v>
      </c>
      <c r="B1860" s="94"/>
      <c r="C1860" s="94"/>
      <c r="D1860" s="94"/>
      <c r="E1860" s="94"/>
      <c r="F1860" s="94"/>
      <c r="G1860" s="112">
        <f>AU1860</f>
      </c>
      <c r="H1860" s="113"/>
      <c r="I1860" s="94" t="s">
        <v>126</v>
      </c>
      <c r="J1860" s="94" t="s">
        <v>135</v>
      </c>
      <c r="K1860" s="114">
        <f>P1860/3</f>
      </c>
      <c r="L1860" s="115">
        <v>2751.8359999999998</v>
      </c>
      <c r="M1860" s="116">
        <v>1443.856</v>
      </c>
      <c r="N1860" s="117">
        <f>M1860-L1860</f>
      </c>
      <c r="O1860" s="112"/>
      <c r="P1860" s="118">
        <f>N1860+O1860</f>
      </c>
      <c r="Q1860" s="94" t="s">
        <v>128</v>
      </c>
      <c r="R1860" s="94" t="s">
        <v>63</v>
      </c>
      <c r="S1860" s="119">
        <v>46331</v>
      </c>
      <c r="T1860" s="119"/>
      <c r="U1860" s="120" t="s">
        <v>681</v>
      </c>
      <c r="V1860" s="94"/>
      <c r="W1860" s="94"/>
      <c r="X1860" s="94"/>
      <c r="Y1860" s="119">
        <v>46320</v>
      </c>
      <c r="Z1860" s="94"/>
      <c r="AA1860" s="120"/>
      <c r="AB1860" s="120"/>
      <c r="AC1860" s="120"/>
      <c r="AD1860" s="120"/>
      <c r="AE1860" s="120"/>
      <c r="AF1860" s="120"/>
      <c r="AG1860" s="94"/>
      <c r="AH1860" s="120"/>
      <c r="AI1860" s="94"/>
      <c r="AJ1860" s="94" t="s">
        <v>128</v>
      </c>
      <c r="AK1860" s="94" t="s">
        <v>136</v>
      </c>
      <c r="AL1860" s="94">
        <v>160</v>
      </c>
      <c r="AM1860" s="94" t="str">
        <f>TRIM(AJ1860)&amp;TRIM(AL1860)&amp;TRIM(AK1860)</f>
      </c>
      <c r="AN1860" s="116">
        <v>9091</v>
      </c>
      <c r="AO1860" s="116">
        <v>1307.98</v>
      </c>
      <c r="AP1860" s="116">
        <f>SUMIFS(M:M,AM:AM,AM1860)+SUMIFS(O:O,AM:AM,AM1860)</f>
      </c>
      <c r="AQ1860" s="116">
        <f>SUMIFS(L:L,AM:AM,AM1860)</f>
      </c>
      <c r="AR1860" s="116">
        <f>AQ1860-AP1860</f>
      </c>
      <c r="AS1860" s="94" t="str">
        <f>IF(AN1860&gt;=AQ1860,"ok","ck")</f>
      </c>
      <c r="AT1860" s="116">
        <f>-P1860</f>
      </c>
      <c r="AU1860" s="115">
        <f>IF(SUMIFS(AT:AT,AM:AM,AM1860)&gt;AO1860,(SUMIFS(AT:AT,AM:AM,AM1860)-AO1860))</f>
      </c>
      <c r="AV1860" s="116">
        <v>166</v>
      </c>
      <c r="AW1860" s="121">
        <v>0.866</v>
      </c>
      <c r="AX1860" s="115">
        <f>AN1860-AP1860</f>
      </c>
    </row>
    <row r="1861" spans="1:50" ht="15" hidden="1" customHeight="1" x14ac:dyDescent="0.3">
      <c r="A1861" s="94" t="s">
        <v>125</v>
      </c>
      <c r="B1861" s="94"/>
      <c r="C1861" s="94"/>
      <c r="D1861" s="94"/>
      <c r="E1861" s="94"/>
      <c r="F1861" s="94"/>
      <c r="G1861" s="112">
        <f>AU1861</f>
      </c>
      <c r="H1861" s="113"/>
      <c r="I1861" s="94" t="s">
        <v>132</v>
      </c>
      <c r="J1861" s="94" t="s">
        <v>127</v>
      </c>
      <c r="K1861" s="114">
        <f>P1861/3</f>
      </c>
      <c r="L1861" s="115">
        <v>318.51400000000001</v>
      </c>
      <c r="M1861" s="116">
        <v>233.691</v>
      </c>
      <c r="N1861" s="117">
        <f>M1861-L1861</f>
      </c>
      <c r="O1861" s="112"/>
      <c r="P1861" s="118">
        <f>N1861+O1861</f>
      </c>
      <c r="Q1861" s="94" t="s">
        <v>128</v>
      </c>
      <c r="R1861" s="94" t="s">
        <v>63</v>
      </c>
      <c r="S1861" s="119">
        <v>46327</v>
      </c>
      <c r="T1861" s="119"/>
      <c r="U1861" s="120" t="s">
        <v>681</v>
      </c>
      <c r="V1861" s="94"/>
      <c r="W1861" s="94"/>
      <c r="X1861" s="94"/>
      <c r="Y1861" s="119">
        <v>46327</v>
      </c>
      <c r="Z1861" s="94"/>
      <c r="AA1861" s="120"/>
      <c r="AB1861" s="120"/>
      <c r="AC1861" s="120"/>
      <c r="AD1861" s="120"/>
      <c r="AE1861" s="120"/>
      <c r="AF1861" s="120"/>
      <c r="AG1861" s="94"/>
      <c r="AH1861" s="120"/>
      <c r="AI1861" s="94"/>
      <c r="AJ1861" s="94" t="s">
        <v>128</v>
      </c>
      <c r="AK1861" s="94" t="s">
        <v>129</v>
      </c>
      <c r="AL1861" s="94">
        <v>140</v>
      </c>
      <c r="AM1861" s="94" t="str">
        <f>TRIM(AJ1861)&amp;TRIM(AL1861)&amp;TRIM(AK1861)</f>
      </c>
      <c r="AN1861" s="116">
        <v>564</v>
      </c>
      <c r="AO1861" s="116">
        <v>1561.63</v>
      </c>
      <c r="AP1861" s="116">
        <f>SUMIFS(M:M,AM:AM,AM1861)+SUMIFS(O:O,AM:AM,AM1861)</f>
      </c>
      <c r="AQ1861" s="116">
        <f>SUMIFS(L:L,AM:AM,AM1861)</f>
      </c>
      <c r="AR1861" s="116">
        <f>AQ1861-AP1861</f>
      </c>
      <c r="AS1861" s="94" t="str">
        <f>IF(AN1861&gt;=AQ1861,"ok","ck")</f>
      </c>
      <c r="AT1861" s="116">
        <f>-P1861</f>
      </c>
      <c r="AU1861" s="115">
        <f>IF(SUMIFS(AT:AT,AM:AM,AM1861)&gt;AO1861,(SUMIFS(AT:AT,AM:AM,AM1861)-AO1861))</f>
      </c>
      <c r="AV1861" s="116">
        <v>564</v>
      </c>
      <c r="AW1861" s="121">
        <v>0.265</v>
      </c>
      <c r="AX1861" s="115">
        <f>AN1861-AP1861</f>
      </c>
    </row>
    <row r="1862" spans="1:50" ht="15" hidden="1" customHeight="1" x14ac:dyDescent="0.3">
      <c r="A1862" s="94" t="s">
        <v>125</v>
      </c>
      <c r="B1862" s="94"/>
      <c r="C1862" s="94"/>
      <c r="D1862" s="94"/>
      <c r="E1862" s="94"/>
      <c r="F1862" s="94"/>
      <c r="G1862" s="112">
        <f>AU1862</f>
      </c>
      <c r="H1862" s="113"/>
      <c r="I1862" s="94" t="s">
        <v>132</v>
      </c>
      <c r="J1862" s="94" t="s">
        <v>127</v>
      </c>
      <c r="K1862" s="114">
        <f>P1862/3</f>
      </c>
      <c r="L1862" s="115">
        <v>318.51400000000001</v>
      </c>
      <c r="M1862" s="116"/>
      <c r="N1862" s="117">
        <f>M1862-L1862</f>
      </c>
      <c r="O1862" s="112"/>
      <c r="P1862" s="118">
        <f>N1862+O1862</f>
      </c>
      <c r="Q1862" s="94" t="s">
        <v>128</v>
      </c>
      <c r="R1862" s="94" t="s">
        <v>63</v>
      </c>
      <c r="S1862" s="119">
        <v>46328</v>
      </c>
      <c r="T1862" s="119"/>
      <c r="U1862" s="120" t="s">
        <v>681</v>
      </c>
      <c r="V1862" s="94"/>
      <c r="W1862" s="94"/>
      <c r="X1862" s="94"/>
      <c r="Y1862" s="119">
        <v>46320</v>
      </c>
      <c r="Z1862" s="94"/>
      <c r="AA1862" s="120"/>
      <c r="AB1862" s="120"/>
      <c r="AC1862" s="120"/>
      <c r="AD1862" s="120"/>
      <c r="AE1862" s="120"/>
      <c r="AF1862" s="120"/>
      <c r="AG1862" s="94"/>
      <c r="AH1862" s="120"/>
      <c r="AI1862" s="94"/>
      <c r="AJ1862" s="94" t="s">
        <v>128</v>
      </c>
      <c r="AK1862" s="94" t="s">
        <v>129</v>
      </c>
      <c r="AL1862" s="94">
        <v>140</v>
      </c>
      <c r="AM1862" s="94" t="str">
        <f>TRIM(AJ1862)&amp;TRIM(AL1862)&amp;TRIM(AK1862)</f>
      </c>
      <c r="AN1862" s="116">
        <v>564</v>
      </c>
      <c r="AO1862" s="116">
        <v>1561.63</v>
      </c>
      <c r="AP1862" s="116">
        <f>SUMIFS(M:M,AM:AM,AM1862)+SUMIFS(O:O,AM:AM,AM1862)</f>
      </c>
      <c r="AQ1862" s="116">
        <f>SUMIFS(L:L,AM:AM,AM1862)</f>
      </c>
      <c r="AR1862" s="116">
        <f>AQ1862-AP1862</f>
      </c>
      <c r="AS1862" s="94" t="str">
        <f>IF(AN1862&gt;=AQ1862,"ok","ck")</f>
      </c>
      <c r="AT1862" s="116">
        <f>-P1862</f>
      </c>
      <c r="AU1862" s="115">
        <f>IF(SUMIFS(AT:AT,AM:AM,AM1862)&gt;AO1862,(SUMIFS(AT:AT,AM:AM,AM1862)-AO1862))</f>
      </c>
      <c r="AV1862" s="116">
        <v>564</v>
      </c>
      <c r="AW1862" s="121">
        <v>0.265</v>
      </c>
      <c r="AX1862" s="115">
        <f>AN1862-AP1862</f>
      </c>
    </row>
    <row r="1863" spans="1:50" ht="15" hidden="1" customHeight="1" x14ac:dyDescent="0.3">
      <c r="A1863" s="94" t="s">
        <v>125</v>
      </c>
      <c r="B1863" s="94"/>
      <c r="C1863" s="94"/>
      <c r="D1863" s="94"/>
      <c r="E1863" s="94"/>
      <c r="F1863" s="94"/>
      <c r="G1863" s="112">
        <f>AU1863</f>
      </c>
      <c r="H1863" s="113"/>
      <c r="I1863" s="94" t="s">
        <v>132</v>
      </c>
      <c r="J1863" s="94" t="s">
        <v>130</v>
      </c>
      <c r="K1863" s="114">
        <f>P1863/3</f>
      </c>
      <c r="L1863" s="115">
        <v>521.26499999999999</v>
      </c>
      <c r="M1863" s="116">
        <v>197.36500000000001</v>
      </c>
      <c r="N1863" s="117">
        <f>M1863-L1863</f>
      </c>
      <c r="O1863" s="112"/>
      <c r="P1863" s="118">
        <f>N1863+O1863</f>
      </c>
      <c r="Q1863" s="94" t="s">
        <v>128</v>
      </c>
      <c r="R1863" s="94" t="s">
        <v>63</v>
      </c>
      <c r="S1863" s="119">
        <v>46331</v>
      </c>
      <c r="T1863" s="119"/>
      <c r="U1863" s="120" t="s">
        <v>681</v>
      </c>
      <c r="V1863" s="94"/>
      <c r="W1863" s="94"/>
      <c r="X1863" s="94"/>
      <c r="Y1863" s="119">
        <v>46334</v>
      </c>
      <c r="Z1863" s="94"/>
      <c r="AA1863" s="120"/>
      <c r="AB1863" s="120"/>
      <c r="AC1863" s="120"/>
      <c r="AD1863" s="120"/>
      <c r="AE1863" s="120"/>
      <c r="AF1863" s="120"/>
      <c r="AG1863" s="94"/>
      <c r="AH1863" s="120"/>
      <c r="AI1863" s="94"/>
      <c r="AJ1863" s="94" t="s">
        <v>128</v>
      </c>
      <c r="AK1863" s="94" t="s">
        <v>131</v>
      </c>
      <c r="AL1863" s="94">
        <v>140</v>
      </c>
      <c r="AM1863" s="94" t="str">
        <f>TRIM(AJ1863)&amp;TRIM(AL1863)&amp;TRIM(AK1863)</f>
      </c>
      <c r="AN1863" s="116">
        <v>1829.85</v>
      </c>
      <c r="AO1863" s="116">
        <v>323.9</v>
      </c>
      <c r="AP1863" s="116">
        <f>SUMIFS(M:M,AM:AM,AM1863)+SUMIFS(O:O,AM:AM,AM1863)</f>
      </c>
      <c r="AQ1863" s="116">
        <f>SUMIFS(L:L,AM:AM,AM1863)</f>
      </c>
      <c r="AR1863" s="116">
        <f>AQ1863-AP1863</f>
      </c>
      <c r="AS1863" s="94" t="str">
        <f>IF(AN1863&gt;=AQ1863,"ok","ck")</f>
      </c>
      <c r="AT1863" s="116">
        <f>-P1863</f>
      </c>
      <c r="AU1863" s="115">
        <f>IF(SUMIFS(AT:AT,AM:AM,AM1863)&gt;AO1863,(SUMIFS(AT:AT,AM:AM,AM1863)-AO1863))</f>
      </c>
      <c r="AV1863" s="116">
        <v>0</v>
      </c>
      <c r="AW1863" s="121">
        <v>0</v>
      </c>
      <c r="AX1863" s="115">
        <f>AN1863-AP1863</f>
      </c>
    </row>
    <row r="1864" spans="1:50" ht="15" hidden="1" customHeight="1" x14ac:dyDescent="0.3">
      <c r="A1864" s="94" t="s">
        <v>125</v>
      </c>
      <c r="B1864" s="94"/>
      <c r="C1864" s="94"/>
      <c r="D1864" s="94"/>
      <c r="E1864" s="94"/>
      <c r="F1864" s="94"/>
      <c r="G1864" s="112">
        <f>AU1864</f>
      </c>
      <c r="H1864" s="113"/>
      <c r="I1864" s="94" t="s">
        <v>132</v>
      </c>
      <c r="J1864" s="94" t="s">
        <v>66</v>
      </c>
      <c r="K1864" s="114">
        <f>P1864/3</f>
      </c>
      <c r="L1864" s="115">
        <v>88.197000000000003</v>
      </c>
      <c r="M1864" s="116"/>
      <c r="N1864" s="117">
        <f>M1864-L1864</f>
      </c>
      <c r="O1864" s="112"/>
      <c r="P1864" s="118">
        <f>N1864+O1864</f>
      </c>
      <c r="Q1864" s="94" t="s">
        <v>830</v>
      </c>
      <c r="R1864" s="94" t="s">
        <v>63</v>
      </c>
      <c r="S1864" s="119">
        <v>46330</v>
      </c>
      <c r="T1864" s="119"/>
      <c r="U1864" s="120" t="s">
        <v>668</v>
      </c>
      <c r="V1864" s="94"/>
      <c r="W1864" s="94"/>
      <c r="X1864" s="94"/>
      <c r="Y1864" s="119">
        <v>46333</v>
      </c>
      <c r="Z1864" s="94"/>
      <c r="AA1864" s="120"/>
      <c r="AB1864" s="120"/>
      <c r="AC1864" s="120"/>
      <c r="AD1864" s="120"/>
      <c r="AE1864" s="120"/>
      <c r="AF1864" s="120"/>
      <c r="AG1864" s="94"/>
      <c r="AH1864" s="120"/>
      <c r="AI1864" s="94"/>
      <c r="AJ1864" s="94" t="s">
        <v>830</v>
      </c>
      <c r="AK1864" s="94" t="s">
        <v>66</v>
      </c>
      <c r="AL1864" s="94">
        <v>140</v>
      </c>
      <c r="AM1864" s="94" t="str">
        <f>TRIM(AJ1864)&amp;TRIM(AL1864)&amp;TRIM(AK1864)</f>
      </c>
      <c r="AN1864" s="116">
        <v>0</v>
      </c>
      <c r="AO1864" s="116" t="inlineStr">
        <is>
          <t>#NA</t>
        </is>
      </c>
      <c r="AP1864" s="116">
        <f>SUMIFS(M:M,AM:AM,AM1864)+SUMIFS(O:O,AM:AM,AM1864)</f>
      </c>
      <c r="AQ1864" s="116">
        <f>SUMIFS(L:L,AM:AM,AM1864)</f>
      </c>
      <c r="AR1864" s="116">
        <f>AQ1864-AP1864</f>
      </c>
      <c r="AS1864" s="94" t="str">
        <f>IF(AN1864&gt;=AQ1864,"ok","ck")</f>
      </c>
      <c r="AT1864" s="116">
        <f>-P1864</f>
      </c>
      <c r="AU1864" s="115">
        <f>IF(SUMIFS(AT:AT,AM:AM,AM1864)&gt;AO1864,(SUMIFS(AT:AT,AM:AM,AM1864)-AO1864))</f>
      </c>
      <c r="AV1864" s="116">
        <v>0</v>
      </c>
      <c r="AW1864" s="121">
        <v>0</v>
      </c>
      <c r="AX1864" s="115">
        <f>AN1864-AP1864</f>
      </c>
    </row>
    <row r="1865" spans="1:50" ht="15" hidden="1" customHeight="1" x14ac:dyDescent="0.3">
      <c r="A1865" s="94" t="s">
        <v>125</v>
      </c>
      <c r="B1865" s="94"/>
      <c r="C1865" s="94"/>
      <c r="D1865" s="94"/>
      <c r="E1865" s="94"/>
      <c r="F1865" s="94"/>
      <c r="G1865" s="112">
        <f>AU1865</f>
      </c>
      <c r="H1865" s="113"/>
      <c r="I1865" s="94" t="s">
        <v>132</v>
      </c>
      <c r="J1865" s="94" t="s">
        <v>66</v>
      </c>
      <c r="K1865" s="114">
        <f>P1865/3</f>
      </c>
      <c r="L1865" s="115">
        <v>88.197000000000003</v>
      </c>
      <c r="M1865" s="116"/>
      <c r="N1865" s="117">
        <f>M1865-L1865</f>
      </c>
      <c r="O1865" s="112"/>
      <c r="P1865" s="118">
        <f>N1865+O1865</f>
      </c>
      <c r="Q1865" s="94" t="s">
        <v>830</v>
      </c>
      <c r="R1865" s="94" t="s">
        <v>63</v>
      </c>
      <c r="S1865" s="119">
        <v>46331</v>
      </c>
      <c r="T1865" s="119"/>
      <c r="U1865" s="120" t="s">
        <v>668</v>
      </c>
      <c r="V1865" s="94"/>
      <c r="W1865" s="94"/>
      <c r="X1865" s="94"/>
      <c r="Y1865" s="119">
        <v>46333</v>
      </c>
      <c r="Z1865" s="94"/>
      <c r="AA1865" s="120"/>
      <c r="AB1865" s="120"/>
      <c r="AC1865" s="120"/>
      <c r="AD1865" s="120"/>
      <c r="AE1865" s="120"/>
      <c r="AF1865" s="120"/>
      <c r="AG1865" s="94"/>
      <c r="AH1865" s="120"/>
      <c r="AI1865" s="94"/>
      <c r="AJ1865" s="94" t="s">
        <v>830</v>
      </c>
      <c r="AK1865" s="94" t="s">
        <v>66</v>
      </c>
      <c r="AL1865" s="94">
        <v>140</v>
      </c>
      <c r="AM1865" s="94" t="str">
        <f>TRIM(AJ1865)&amp;TRIM(AL1865)&amp;TRIM(AK1865)</f>
      </c>
      <c r="AN1865" s="116">
        <v>0</v>
      </c>
      <c r="AO1865" s="116" t="inlineStr">
        <is>
          <t>#NA</t>
        </is>
      </c>
      <c r="AP1865" s="116">
        <f>SUMIFS(M:M,AM:AM,AM1865)+SUMIFS(O:O,AM:AM,AM1865)</f>
      </c>
      <c r="AQ1865" s="116">
        <f>SUMIFS(L:L,AM:AM,AM1865)</f>
      </c>
      <c r="AR1865" s="116">
        <f>AQ1865-AP1865</f>
      </c>
      <c r="AS1865" s="94" t="str">
        <f>IF(AN1865&gt;=AQ1865,"ok","ck")</f>
      </c>
      <c r="AT1865" s="116">
        <f>-P1865</f>
      </c>
      <c r="AU1865" s="115">
        <f>IF(SUMIFS(AT:AT,AM:AM,AM1865)&gt;AO1865,(SUMIFS(AT:AT,AM:AM,AM1865)-AO1865))</f>
      </c>
      <c r="AV1865" s="116">
        <v>0</v>
      </c>
      <c r="AW1865" s="121">
        <v>0</v>
      </c>
      <c r="AX1865" s="115">
        <f>AN1865-AP1865</f>
      </c>
    </row>
    <row r="1866" spans="1:50" ht="15" hidden="1" customHeight="1" x14ac:dyDescent="0.3">
      <c r="A1866" s="94" t="s">
        <v>125</v>
      </c>
      <c r="B1866" s="94"/>
      <c r="C1866" s="94"/>
      <c r="D1866" s="94"/>
      <c r="E1866" s="94"/>
      <c r="F1866" s="94"/>
      <c r="G1866" s="112">
        <f>AU1866</f>
      </c>
      <c r="H1866" s="113"/>
      <c r="I1866" s="94" t="s">
        <v>132</v>
      </c>
      <c r="J1866" s="94" t="s">
        <v>66</v>
      </c>
      <c r="K1866" s="114">
        <f>P1866/3</f>
      </c>
      <c r="L1866" s="115">
        <v>88.197000000000003</v>
      </c>
      <c r="M1866" s="116"/>
      <c r="N1866" s="117">
        <f>M1866-L1866</f>
      </c>
      <c r="O1866" s="112"/>
      <c r="P1866" s="118">
        <f>N1866+O1866</f>
      </c>
      <c r="Q1866" s="94" t="s">
        <v>830</v>
      </c>
      <c r="R1866" s="94" t="s">
        <v>63</v>
      </c>
      <c r="S1866" s="119">
        <v>46332</v>
      </c>
      <c r="T1866" s="119"/>
      <c r="U1866" s="120" t="s">
        <v>668</v>
      </c>
      <c r="V1866" s="94"/>
      <c r="W1866" s="94"/>
      <c r="X1866" s="94"/>
      <c r="Y1866" s="119">
        <v>46333</v>
      </c>
      <c r="Z1866" s="94"/>
      <c r="AA1866" s="120"/>
      <c r="AB1866" s="120"/>
      <c r="AC1866" s="120"/>
      <c r="AD1866" s="120"/>
      <c r="AE1866" s="120"/>
      <c r="AF1866" s="120"/>
      <c r="AG1866" s="94"/>
      <c r="AH1866" s="120"/>
      <c r="AI1866" s="94"/>
      <c r="AJ1866" s="94" t="s">
        <v>830</v>
      </c>
      <c r="AK1866" s="94" t="s">
        <v>66</v>
      </c>
      <c r="AL1866" s="94">
        <v>140</v>
      </c>
      <c r="AM1866" s="94" t="str">
        <f>TRIM(AJ1866)&amp;TRIM(AL1866)&amp;TRIM(AK1866)</f>
      </c>
      <c r="AN1866" s="116">
        <v>0</v>
      </c>
      <c r="AO1866" s="116" t="inlineStr">
        <is>
          <t>#NA</t>
        </is>
      </c>
      <c r="AP1866" s="116">
        <f>SUMIFS(M:M,AM:AM,AM1866)+SUMIFS(O:O,AM:AM,AM1866)</f>
      </c>
      <c r="AQ1866" s="116">
        <f>SUMIFS(L:L,AM:AM,AM1866)</f>
      </c>
      <c r="AR1866" s="116">
        <f>AQ1866-AP1866</f>
      </c>
      <c r="AS1866" s="94" t="str">
        <f>IF(AN1866&gt;=AQ1866,"ok","ck")</f>
      </c>
      <c r="AT1866" s="116">
        <f>-P1866</f>
      </c>
      <c r="AU1866" s="115">
        <f>IF(SUMIFS(AT:AT,AM:AM,AM1866)&gt;AO1866,(SUMIFS(AT:AT,AM:AM,AM1866)-AO1866))</f>
      </c>
      <c r="AV1866" s="116">
        <v>0</v>
      </c>
      <c r="AW1866" s="121">
        <v>0</v>
      </c>
      <c r="AX1866" s="115">
        <f>AN1866-AP1866</f>
      </c>
    </row>
    <row r="1867" spans="1:50" ht="15" hidden="1" customHeight="1" x14ac:dyDescent="0.3">
      <c r="A1867" s="94" t="s">
        <v>125</v>
      </c>
      <c r="B1867" s="94"/>
      <c r="C1867" s="94"/>
      <c r="D1867" s="94"/>
      <c r="E1867" s="94"/>
      <c r="F1867" s="94"/>
      <c r="G1867" s="112">
        <f>AU1867</f>
      </c>
      <c r="H1867" s="113"/>
      <c r="I1867" s="94" t="s">
        <v>132</v>
      </c>
      <c r="J1867" s="94" t="s">
        <v>66</v>
      </c>
      <c r="K1867" s="114">
        <f>P1867/3</f>
      </c>
      <c r="L1867" s="115">
        <v>88.197000000000003</v>
      </c>
      <c r="M1867" s="116"/>
      <c r="N1867" s="117">
        <f>M1867-L1867</f>
      </c>
      <c r="O1867" s="112"/>
      <c r="P1867" s="118">
        <f>N1867+O1867</f>
      </c>
      <c r="Q1867" s="94" t="s">
        <v>830</v>
      </c>
      <c r="R1867" s="94" t="s">
        <v>63</v>
      </c>
      <c r="S1867" s="119">
        <v>46333</v>
      </c>
      <c r="T1867" s="119"/>
      <c r="U1867" s="120" t="s">
        <v>668</v>
      </c>
      <c r="V1867" s="94"/>
      <c r="W1867" s="94"/>
      <c r="X1867" s="94"/>
      <c r="Y1867" s="119">
        <v>46333</v>
      </c>
      <c r="Z1867" s="94"/>
      <c r="AA1867" s="120"/>
      <c r="AB1867" s="120"/>
      <c r="AC1867" s="120"/>
      <c r="AD1867" s="120"/>
      <c r="AE1867" s="120"/>
      <c r="AF1867" s="120"/>
      <c r="AG1867" s="94"/>
      <c r="AH1867" s="120"/>
      <c r="AI1867" s="94"/>
      <c r="AJ1867" s="94" t="s">
        <v>830</v>
      </c>
      <c r="AK1867" s="94" t="s">
        <v>66</v>
      </c>
      <c r="AL1867" s="94">
        <v>140</v>
      </c>
      <c r="AM1867" s="94" t="str">
        <f>TRIM(AJ1867)&amp;TRIM(AL1867)&amp;TRIM(AK1867)</f>
      </c>
      <c r="AN1867" s="116">
        <v>0</v>
      </c>
      <c r="AO1867" s="116" t="inlineStr">
        <is>
          <t>#NA</t>
        </is>
      </c>
      <c r="AP1867" s="116">
        <f>SUMIFS(M:M,AM:AM,AM1867)+SUMIFS(O:O,AM:AM,AM1867)</f>
      </c>
      <c r="AQ1867" s="116">
        <f>SUMIFS(L:L,AM:AM,AM1867)</f>
      </c>
      <c r="AR1867" s="116">
        <f>AQ1867-AP1867</f>
      </c>
      <c r="AS1867" s="94" t="str">
        <f>IF(AN1867&gt;=AQ1867,"ok","ck")</f>
      </c>
      <c r="AT1867" s="116">
        <f>-P1867</f>
      </c>
      <c r="AU1867" s="115">
        <f>IF(SUMIFS(AT:AT,AM:AM,AM1867)&gt;AO1867,(SUMIFS(AT:AT,AM:AM,AM1867)-AO1867))</f>
      </c>
      <c r="AV1867" s="116">
        <v>0</v>
      </c>
      <c r="AW1867" s="121">
        <v>0</v>
      </c>
      <c r="AX1867" s="115">
        <f>AN1867-AP1867</f>
      </c>
    </row>
    <row r="1868" spans="1:50" ht="15" hidden="1" customHeight="1" x14ac:dyDescent="0.3">
      <c r="A1868" s="94" t="s">
        <v>125</v>
      </c>
      <c r="B1868" s="94"/>
      <c r="C1868" s="94"/>
      <c r="D1868" s="94"/>
      <c r="E1868" s="94"/>
      <c r="F1868" s="94"/>
      <c r="G1868" s="112">
        <f>AU1868</f>
      </c>
      <c r="H1868" s="113"/>
      <c r="I1868" s="94" t="s">
        <v>132</v>
      </c>
      <c r="J1868" s="94" t="s">
        <v>66</v>
      </c>
      <c r="K1868" s="114">
        <f>P1868/3</f>
      </c>
      <c r="L1868" s="115">
        <v>88.197000000000003</v>
      </c>
      <c r="M1868" s="116"/>
      <c r="N1868" s="117">
        <f>M1868-L1868</f>
      </c>
      <c r="O1868" s="112"/>
      <c r="P1868" s="118">
        <f>N1868+O1868</f>
      </c>
      <c r="Q1868" s="94" t="s">
        <v>830</v>
      </c>
      <c r="R1868" s="94" t="s">
        <v>63</v>
      </c>
      <c r="S1868" s="119">
        <v>46334</v>
      </c>
      <c r="T1868" s="119"/>
      <c r="U1868" s="120" t="s">
        <v>668</v>
      </c>
      <c r="V1868" s="94"/>
      <c r="W1868" s="94"/>
      <c r="X1868" s="94"/>
      <c r="Y1868" s="119">
        <v>46333</v>
      </c>
      <c r="Z1868" s="94"/>
      <c r="AA1868" s="120"/>
      <c r="AB1868" s="120"/>
      <c r="AC1868" s="120"/>
      <c r="AD1868" s="120"/>
      <c r="AE1868" s="120"/>
      <c r="AF1868" s="120"/>
      <c r="AG1868" s="94"/>
      <c r="AH1868" s="120"/>
      <c r="AI1868" s="94"/>
      <c r="AJ1868" s="94" t="s">
        <v>830</v>
      </c>
      <c r="AK1868" s="94" t="s">
        <v>66</v>
      </c>
      <c r="AL1868" s="94">
        <v>140</v>
      </c>
      <c r="AM1868" s="94" t="str">
        <f>TRIM(AJ1868)&amp;TRIM(AL1868)&amp;TRIM(AK1868)</f>
      </c>
      <c r="AN1868" s="116">
        <v>0</v>
      </c>
      <c r="AO1868" s="116" t="inlineStr">
        <is>
          <t>#NA</t>
        </is>
      </c>
      <c r="AP1868" s="116">
        <f>SUMIFS(M:M,AM:AM,AM1868)+SUMIFS(O:O,AM:AM,AM1868)</f>
      </c>
      <c r="AQ1868" s="116">
        <f>SUMIFS(L:L,AM:AM,AM1868)</f>
      </c>
      <c r="AR1868" s="116">
        <f>AQ1868-AP1868</f>
      </c>
      <c r="AS1868" s="94" t="str">
        <f>IF(AN1868&gt;=AQ1868,"ok","ck")</f>
      </c>
      <c r="AT1868" s="116">
        <f>-P1868</f>
      </c>
      <c r="AU1868" s="115">
        <f>IF(SUMIFS(AT:AT,AM:AM,AM1868)&gt;AO1868,(SUMIFS(AT:AT,AM:AM,AM1868)-AO1868))</f>
      </c>
      <c r="AV1868" s="116">
        <v>0</v>
      </c>
      <c r="AW1868" s="121">
        <v>0</v>
      </c>
      <c r="AX1868" s="115">
        <f>AN1868-AP1868</f>
      </c>
    </row>
    <row r="1869" spans="1:50" ht="15" hidden="1" customHeight="1" x14ac:dyDescent="0.3">
      <c r="A1869" s="94" t="s">
        <v>125</v>
      </c>
      <c r="B1869" s="94"/>
      <c r="C1869" s="94"/>
      <c r="D1869" s="94"/>
      <c r="E1869" s="94"/>
      <c r="F1869" s="94"/>
      <c r="G1869" s="112">
        <f>AU1869</f>
      </c>
      <c r="H1869" s="113"/>
      <c r="I1869" s="94" t="s">
        <v>132</v>
      </c>
      <c r="J1869" s="94" t="s">
        <v>66</v>
      </c>
      <c r="K1869" s="114">
        <f>P1869/3</f>
      </c>
      <c r="L1869" s="115">
        <v>88.197000000000003</v>
      </c>
      <c r="M1869" s="116"/>
      <c r="N1869" s="117">
        <f>M1869-L1869</f>
      </c>
      <c r="O1869" s="112"/>
      <c r="P1869" s="118">
        <f>N1869+O1869</f>
      </c>
      <c r="Q1869" s="94" t="s">
        <v>830</v>
      </c>
      <c r="R1869" s="94" t="s">
        <v>63</v>
      </c>
      <c r="S1869" s="119">
        <v>46335</v>
      </c>
      <c r="T1869" s="119"/>
      <c r="U1869" s="120" t="s">
        <v>668</v>
      </c>
      <c r="V1869" s="94"/>
      <c r="W1869" s="94"/>
      <c r="X1869" s="94"/>
      <c r="Y1869" s="119">
        <v>46333</v>
      </c>
      <c r="Z1869" s="94"/>
      <c r="AA1869" s="120"/>
      <c r="AB1869" s="120"/>
      <c r="AC1869" s="120"/>
      <c r="AD1869" s="120"/>
      <c r="AE1869" s="120"/>
      <c r="AF1869" s="120"/>
      <c r="AG1869" s="94"/>
      <c r="AH1869" s="120"/>
      <c r="AI1869" s="94"/>
      <c r="AJ1869" s="94" t="s">
        <v>830</v>
      </c>
      <c r="AK1869" s="94" t="s">
        <v>66</v>
      </c>
      <c r="AL1869" s="94">
        <v>140</v>
      </c>
      <c r="AM1869" s="94" t="str">
        <f>TRIM(AJ1869)&amp;TRIM(AL1869)&amp;TRIM(AK1869)</f>
      </c>
      <c r="AN1869" s="116">
        <v>0</v>
      </c>
      <c r="AO1869" s="116" t="inlineStr">
        <is>
          <t>#NA</t>
        </is>
      </c>
      <c r="AP1869" s="116">
        <f>SUMIFS(M:M,AM:AM,AM1869)+SUMIFS(O:O,AM:AM,AM1869)</f>
      </c>
      <c r="AQ1869" s="116">
        <f>SUMIFS(L:L,AM:AM,AM1869)</f>
      </c>
      <c r="AR1869" s="116">
        <f>AQ1869-AP1869</f>
      </c>
      <c r="AS1869" s="94" t="str">
        <f>IF(AN1869&gt;=AQ1869,"ok","ck")</f>
      </c>
      <c r="AT1869" s="116">
        <f>-P1869</f>
      </c>
      <c r="AU1869" s="115">
        <f>IF(SUMIFS(AT:AT,AM:AM,AM1869)&gt;AO1869,(SUMIFS(AT:AT,AM:AM,AM1869)-AO1869))</f>
      </c>
      <c r="AV1869" s="116">
        <v>0</v>
      </c>
      <c r="AW1869" s="121">
        <v>0</v>
      </c>
      <c r="AX1869" s="115">
        <f>AN1869-AP1869</f>
      </c>
    </row>
    <row r="1870" spans="1:50" ht="15" hidden="1" customHeight="1" x14ac:dyDescent="0.3">
      <c r="A1870" s="94" t="s">
        <v>125</v>
      </c>
      <c r="B1870" s="94"/>
      <c r="C1870" s="94"/>
      <c r="D1870" s="94"/>
      <c r="E1870" s="94"/>
      <c r="F1870" s="94"/>
      <c r="G1870" s="112">
        <f>AU1870</f>
      </c>
      <c r="H1870" s="113"/>
      <c r="I1870" s="94" t="s">
        <v>132</v>
      </c>
      <c r="J1870" s="94" t="s">
        <v>66</v>
      </c>
      <c r="K1870" s="114">
        <f>P1870/3</f>
      </c>
      <c r="L1870" s="115">
        <v>88.197000000000003</v>
      </c>
      <c r="M1870" s="116"/>
      <c r="N1870" s="117">
        <f>M1870-L1870</f>
      </c>
      <c r="O1870" s="112"/>
      <c r="P1870" s="118">
        <f>N1870+O1870</f>
      </c>
      <c r="Q1870" s="94" t="s">
        <v>830</v>
      </c>
      <c r="R1870" s="94" t="s">
        <v>63</v>
      </c>
      <c r="S1870" s="119">
        <v>46336</v>
      </c>
      <c r="T1870" s="119"/>
      <c r="U1870" s="120" t="s">
        <v>668</v>
      </c>
      <c r="V1870" s="94"/>
      <c r="W1870" s="94"/>
      <c r="X1870" s="94"/>
      <c r="Y1870" s="119">
        <v>46333</v>
      </c>
      <c r="Z1870" s="94"/>
      <c r="AA1870" s="120"/>
      <c r="AB1870" s="120"/>
      <c r="AC1870" s="120"/>
      <c r="AD1870" s="120"/>
      <c r="AE1870" s="120"/>
      <c r="AF1870" s="120"/>
      <c r="AG1870" s="94"/>
      <c r="AH1870" s="120"/>
      <c r="AI1870" s="94"/>
      <c r="AJ1870" s="94" t="s">
        <v>830</v>
      </c>
      <c r="AK1870" s="94" t="s">
        <v>66</v>
      </c>
      <c r="AL1870" s="94">
        <v>140</v>
      </c>
      <c r="AM1870" s="94" t="str">
        <f>TRIM(AJ1870)&amp;TRIM(AL1870)&amp;TRIM(AK1870)</f>
      </c>
      <c r="AN1870" s="116">
        <v>0</v>
      </c>
      <c r="AO1870" s="116" t="inlineStr">
        <is>
          <t>#NA</t>
        </is>
      </c>
      <c r="AP1870" s="116">
        <f>SUMIFS(M:M,AM:AM,AM1870)+SUMIFS(O:O,AM:AM,AM1870)</f>
      </c>
      <c r="AQ1870" s="116">
        <f>SUMIFS(L:L,AM:AM,AM1870)</f>
      </c>
      <c r="AR1870" s="116">
        <f>AQ1870-AP1870</f>
      </c>
      <c r="AS1870" s="94" t="str">
        <f>IF(AN1870&gt;=AQ1870,"ok","ck")</f>
      </c>
      <c r="AT1870" s="116">
        <f>-P1870</f>
      </c>
      <c r="AU1870" s="115">
        <f>IF(SUMIFS(AT:AT,AM:AM,AM1870)&gt;AO1870,(SUMIFS(AT:AT,AM:AM,AM1870)-AO1870))</f>
      </c>
      <c r="AV1870" s="116">
        <v>0</v>
      </c>
      <c r="AW1870" s="121">
        <v>0</v>
      </c>
      <c r="AX1870" s="115">
        <f>AN1870-AP1870</f>
      </c>
    </row>
    <row r="1871" spans="1:50" ht="15" hidden="1" customHeight="1" x14ac:dyDescent="0.3">
      <c r="A1871" s="94" t="s">
        <v>125</v>
      </c>
      <c r="B1871" s="94"/>
      <c r="C1871" s="94"/>
      <c r="D1871" s="94"/>
      <c r="E1871" s="94"/>
      <c r="F1871" s="94"/>
      <c r="G1871" s="112">
        <f>AU1871</f>
      </c>
      <c r="H1871" s="113"/>
      <c r="I1871" s="94" t="s">
        <v>132</v>
      </c>
      <c r="J1871" s="94" t="s">
        <v>66</v>
      </c>
      <c r="K1871" s="114">
        <f>P1871/3</f>
      </c>
      <c r="L1871" s="115">
        <v>88.197000000000003</v>
      </c>
      <c r="M1871" s="116"/>
      <c r="N1871" s="117">
        <f>M1871-L1871</f>
      </c>
      <c r="O1871" s="112"/>
      <c r="P1871" s="118">
        <f>N1871+O1871</f>
      </c>
      <c r="Q1871" s="94" t="s">
        <v>830</v>
      </c>
      <c r="R1871" s="94" t="s">
        <v>63</v>
      </c>
      <c r="S1871" s="119">
        <v>46337</v>
      </c>
      <c r="T1871" s="119"/>
      <c r="U1871" s="120" t="s">
        <v>668</v>
      </c>
      <c r="V1871" s="94"/>
      <c r="W1871" s="94"/>
      <c r="X1871" s="94"/>
      <c r="Y1871" s="119">
        <v>46333</v>
      </c>
      <c r="Z1871" s="94"/>
      <c r="AA1871" s="120"/>
      <c r="AB1871" s="120"/>
      <c r="AC1871" s="120"/>
      <c r="AD1871" s="120"/>
      <c r="AE1871" s="120"/>
      <c r="AF1871" s="120"/>
      <c r="AG1871" s="94"/>
      <c r="AH1871" s="120"/>
      <c r="AI1871" s="94"/>
      <c r="AJ1871" s="94" t="s">
        <v>830</v>
      </c>
      <c r="AK1871" s="94" t="s">
        <v>66</v>
      </c>
      <c r="AL1871" s="94">
        <v>140</v>
      </c>
      <c r="AM1871" s="94" t="str">
        <f>TRIM(AJ1871)&amp;TRIM(AL1871)&amp;TRIM(AK1871)</f>
      </c>
      <c r="AN1871" s="116">
        <v>0</v>
      </c>
      <c r="AO1871" s="116" t="inlineStr">
        <is>
          <t>#NA</t>
        </is>
      </c>
      <c r="AP1871" s="116">
        <f>SUMIFS(M:M,AM:AM,AM1871)+SUMIFS(O:O,AM:AM,AM1871)</f>
      </c>
      <c r="AQ1871" s="116">
        <f>SUMIFS(L:L,AM:AM,AM1871)</f>
      </c>
      <c r="AR1871" s="116">
        <f>AQ1871-AP1871</f>
      </c>
      <c r="AS1871" s="94" t="str">
        <f>IF(AN1871&gt;=AQ1871,"ok","ck")</f>
      </c>
      <c r="AT1871" s="116">
        <f>-P1871</f>
      </c>
      <c r="AU1871" s="115">
        <f>IF(SUMIFS(AT:AT,AM:AM,AM1871)&gt;AO1871,(SUMIFS(AT:AT,AM:AM,AM1871)-AO1871))</f>
      </c>
      <c r="AV1871" s="116">
        <v>0</v>
      </c>
      <c r="AW1871" s="121">
        <v>0</v>
      </c>
      <c r="AX1871" s="115">
        <f>AN1871-AP1871</f>
      </c>
    </row>
    <row r="1872" spans="1:50" ht="15" hidden="1" customHeight="1" x14ac:dyDescent="0.3">
      <c r="A1872" s="94" t="s">
        <v>125</v>
      </c>
      <c r="B1872" s="94"/>
      <c r="C1872" s="94"/>
      <c r="D1872" s="94"/>
      <c r="E1872" s="94"/>
      <c r="F1872" s="94"/>
      <c r="G1872" s="112">
        <f>AU1872</f>
      </c>
      <c r="H1872" s="113"/>
      <c r="I1872" s="94" t="s">
        <v>132</v>
      </c>
      <c r="J1872" s="94" t="s">
        <v>66</v>
      </c>
      <c r="K1872" s="114">
        <f>P1872/3</f>
      </c>
      <c r="L1872" s="115">
        <v>88.197000000000003</v>
      </c>
      <c r="M1872" s="116"/>
      <c r="N1872" s="117">
        <f>M1872-L1872</f>
      </c>
      <c r="O1872" s="112"/>
      <c r="P1872" s="118">
        <f>N1872+O1872</f>
      </c>
      <c r="Q1872" s="94" t="s">
        <v>830</v>
      </c>
      <c r="R1872" s="94" t="s">
        <v>63</v>
      </c>
      <c r="S1872" s="119">
        <v>46338</v>
      </c>
      <c r="T1872" s="119"/>
      <c r="U1872" s="120" t="s">
        <v>668</v>
      </c>
      <c r="V1872" s="94"/>
      <c r="W1872" s="94"/>
      <c r="X1872" s="94"/>
      <c r="Y1872" s="119">
        <v>46333</v>
      </c>
      <c r="Z1872" s="94"/>
      <c r="AA1872" s="120"/>
      <c r="AB1872" s="120"/>
      <c r="AC1872" s="120"/>
      <c r="AD1872" s="120"/>
      <c r="AE1872" s="120"/>
      <c r="AF1872" s="120"/>
      <c r="AG1872" s="94"/>
      <c r="AH1872" s="120"/>
      <c r="AI1872" s="94"/>
      <c r="AJ1872" s="94" t="s">
        <v>830</v>
      </c>
      <c r="AK1872" s="94" t="s">
        <v>66</v>
      </c>
      <c r="AL1872" s="94">
        <v>140</v>
      </c>
      <c r="AM1872" s="94" t="str">
        <f>TRIM(AJ1872)&amp;TRIM(AL1872)&amp;TRIM(AK1872)</f>
      </c>
      <c r="AN1872" s="116">
        <v>0</v>
      </c>
      <c r="AO1872" s="116" t="inlineStr">
        <is>
          <t>#NA</t>
        </is>
      </c>
      <c r="AP1872" s="116">
        <f>SUMIFS(M:M,AM:AM,AM1872)+SUMIFS(O:O,AM:AM,AM1872)</f>
      </c>
      <c r="AQ1872" s="116">
        <f>SUMIFS(L:L,AM:AM,AM1872)</f>
      </c>
      <c r="AR1872" s="116">
        <f>AQ1872-AP1872</f>
      </c>
      <c r="AS1872" s="94" t="str">
        <f>IF(AN1872&gt;=AQ1872,"ok","ck")</f>
      </c>
      <c r="AT1872" s="116">
        <f>-P1872</f>
      </c>
      <c r="AU1872" s="115">
        <f>IF(SUMIFS(AT:AT,AM:AM,AM1872)&gt;AO1872,(SUMIFS(AT:AT,AM:AM,AM1872)-AO1872))</f>
      </c>
      <c r="AV1872" s="116">
        <v>0</v>
      </c>
      <c r="AW1872" s="121">
        <v>0</v>
      </c>
      <c r="AX1872" s="115">
        <f>AN1872-AP1872</f>
      </c>
    </row>
    <row r="1873" spans="1:50" ht="15" hidden="1" customHeight="1" x14ac:dyDescent="0.3">
      <c r="A1873" s="94" t="s">
        <v>125</v>
      </c>
      <c r="B1873" s="94"/>
      <c r="C1873" s="94"/>
      <c r="D1873" s="94"/>
      <c r="E1873" s="94"/>
      <c r="F1873" s="94"/>
      <c r="G1873" s="112">
        <f>AU1873</f>
      </c>
      <c r="H1873" s="113"/>
      <c r="I1873" s="94" t="s">
        <v>132</v>
      </c>
      <c r="J1873" s="94" t="s">
        <v>127</v>
      </c>
      <c r="K1873" s="114">
        <f>P1873/3</f>
      </c>
      <c r="L1873" s="115">
        <v>318.51400000000001</v>
      </c>
      <c r="M1873" s="116"/>
      <c r="N1873" s="117">
        <f>M1873-L1873</f>
      </c>
      <c r="O1873" s="112"/>
      <c r="P1873" s="118">
        <f>N1873+O1873</f>
      </c>
      <c r="Q1873" s="94" t="s">
        <v>128</v>
      </c>
      <c r="R1873" s="94" t="s">
        <v>63</v>
      </c>
      <c r="S1873" s="119">
        <v>46329</v>
      </c>
      <c r="T1873" s="119"/>
      <c r="U1873" s="120" t="s">
        <v>681</v>
      </c>
      <c r="V1873" s="94"/>
      <c r="W1873" s="94"/>
      <c r="X1873" s="94"/>
      <c r="Y1873" s="119">
        <v>46333</v>
      </c>
      <c r="Z1873" s="94"/>
      <c r="AA1873" s="120"/>
      <c r="AB1873" s="120"/>
      <c r="AC1873" s="120"/>
      <c r="AD1873" s="120"/>
      <c r="AE1873" s="120"/>
      <c r="AF1873" s="120"/>
      <c r="AG1873" s="94"/>
      <c r="AH1873" s="120"/>
      <c r="AI1873" s="94"/>
      <c r="AJ1873" s="94" t="s">
        <v>128</v>
      </c>
      <c r="AK1873" s="94" t="s">
        <v>129</v>
      </c>
      <c r="AL1873" s="94">
        <v>140</v>
      </c>
      <c r="AM1873" s="94" t="str">
        <f>TRIM(AJ1873)&amp;TRIM(AL1873)&amp;TRIM(AK1873)</f>
      </c>
      <c r="AN1873" s="116">
        <v>564</v>
      </c>
      <c r="AO1873" s="116">
        <v>1561.63</v>
      </c>
      <c r="AP1873" s="116">
        <f>SUMIFS(M:M,AM:AM,AM1873)+SUMIFS(O:O,AM:AM,AM1873)</f>
      </c>
      <c r="AQ1873" s="116">
        <f>SUMIFS(L:L,AM:AM,AM1873)</f>
      </c>
      <c r="AR1873" s="116">
        <f>AQ1873-AP1873</f>
      </c>
      <c r="AS1873" s="94" t="str">
        <f>IF(AN1873&gt;=AQ1873,"ok","ck")</f>
      </c>
      <c r="AT1873" s="116">
        <f>-P1873</f>
      </c>
      <c r="AU1873" s="115">
        <f>IF(SUMIFS(AT:AT,AM:AM,AM1873)&gt;AO1873,(SUMIFS(AT:AT,AM:AM,AM1873)-AO1873))</f>
      </c>
      <c r="AV1873" s="116">
        <v>564</v>
      </c>
      <c r="AW1873" s="121">
        <v>0.265</v>
      </c>
      <c r="AX1873" s="115">
        <f>AN1873-AP1873</f>
      </c>
    </row>
    <row r="1874" spans="1:50" ht="15" hidden="1" customHeight="1" x14ac:dyDescent="0.3">
      <c r="A1874" s="94" t="s">
        <v>125</v>
      </c>
      <c r="B1874" s="94"/>
      <c r="C1874" s="94"/>
      <c r="D1874" s="94"/>
      <c r="E1874" s="94"/>
      <c r="F1874" s="94"/>
      <c r="G1874" s="112">
        <f>AU1874</f>
      </c>
      <c r="H1874" s="113"/>
      <c r="I1874" s="94" t="s">
        <v>132</v>
      </c>
      <c r="J1874" s="94" t="s">
        <v>66</v>
      </c>
      <c r="K1874" s="114">
        <f>P1874/3</f>
      </c>
      <c r="L1874" s="115">
        <v>88.197000000000003</v>
      </c>
      <c r="M1874" s="116"/>
      <c r="N1874" s="117">
        <f>M1874-L1874</f>
      </c>
      <c r="O1874" s="112"/>
      <c r="P1874" s="118">
        <f>N1874+O1874</f>
      </c>
      <c r="Q1874" s="94" t="s">
        <v>830</v>
      </c>
      <c r="R1874" s="94" t="s">
        <v>63</v>
      </c>
      <c r="S1874" s="119">
        <v>46339</v>
      </c>
      <c r="T1874" s="119"/>
      <c r="U1874" s="120" t="s">
        <v>668</v>
      </c>
      <c r="V1874" s="94"/>
      <c r="W1874" s="94"/>
      <c r="X1874" s="94"/>
      <c r="Y1874" s="119">
        <v>46323</v>
      </c>
      <c r="Z1874" s="94"/>
      <c r="AA1874" s="120"/>
      <c r="AB1874" s="120"/>
      <c r="AC1874" s="120"/>
      <c r="AD1874" s="120"/>
      <c r="AE1874" s="120"/>
      <c r="AF1874" s="120"/>
      <c r="AG1874" s="94"/>
      <c r="AH1874" s="120"/>
      <c r="AI1874" s="94"/>
      <c r="AJ1874" s="94" t="s">
        <v>830</v>
      </c>
      <c r="AK1874" s="94" t="s">
        <v>66</v>
      </c>
      <c r="AL1874" s="94">
        <v>140</v>
      </c>
      <c r="AM1874" s="94" t="str">
        <f>TRIM(AJ1874)&amp;TRIM(AL1874)&amp;TRIM(AK1874)</f>
      </c>
      <c r="AN1874" s="116">
        <v>0</v>
      </c>
      <c r="AO1874" s="116" t="inlineStr">
        <is>
          <t>#NA</t>
        </is>
      </c>
      <c r="AP1874" s="116">
        <f>SUMIFS(M:M,AM:AM,AM1874)+SUMIFS(O:O,AM:AM,AM1874)</f>
      </c>
      <c r="AQ1874" s="116">
        <f>SUMIFS(L:L,AM:AM,AM1874)</f>
      </c>
      <c r="AR1874" s="116">
        <f>AQ1874-AP1874</f>
      </c>
      <c r="AS1874" s="94" t="str">
        <f>IF(AN1874&gt;=AQ1874,"ok","ck")</f>
      </c>
      <c r="AT1874" s="116">
        <f>-P1874</f>
      </c>
      <c r="AU1874" s="115">
        <f>IF(SUMIFS(AT:AT,AM:AM,AM1874)&gt;AO1874,(SUMIFS(AT:AT,AM:AM,AM1874)-AO1874))</f>
      </c>
      <c r="AV1874" s="116">
        <v>0</v>
      </c>
      <c r="AW1874" s="121">
        <v>0</v>
      </c>
      <c r="AX1874" s="115">
        <f>AN1874-AP1874</f>
      </c>
    </row>
    <row r="1875" spans="1:50" ht="15" hidden="1" customHeight="1" x14ac:dyDescent="0.3">
      <c r="A1875" s="94" t="s">
        <v>125</v>
      </c>
      <c r="B1875" s="94"/>
      <c r="C1875" s="94"/>
      <c r="D1875" s="94"/>
      <c r="E1875" s="94"/>
      <c r="F1875" s="94"/>
      <c r="G1875" s="112">
        <f>AU1875</f>
      </c>
      <c r="H1875" s="113"/>
      <c r="I1875" s="94" t="s">
        <v>132</v>
      </c>
      <c r="J1875" s="94" t="s">
        <v>66</v>
      </c>
      <c r="K1875" s="114">
        <f>P1875/3</f>
      </c>
      <c r="L1875" s="115">
        <v>88.197000000000003</v>
      </c>
      <c r="M1875" s="116"/>
      <c r="N1875" s="117">
        <f>M1875-L1875</f>
      </c>
      <c r="O1875" s="112"/>
      <c r="P1875" s="118">
        <f>N1875+O1875</f>
      </c>
      <c r="Q1875" s="94" t="s">
        <v>830</v>
      </c>
      <c r="R1875" s="94" t="s">
        <v>63</v>
      </c>
      <c r="S1875" s="119">
        <v>46340</v>
      </c>
      <c r="T1875" s="119"/>
      <c r="U1875" s="120" t="s">
        <v>668</v>
      </c>
      <c r="V1875" s="94"/>
      <c r="W1875" s="94"/>
      <c r="X1875" s="94"/>
      <c r="Y1875" s="119">
        <v>46323</v>
      </c>
      <c r="Z1875" s="94"/>
      <c r="AA1875" s="120"/>
      <c r="AB1875" s="120"/>
      <c r="AC1875" s="120"/>
      <c r="AD1875" s="120"/>
      <c r="AE1875" s="120"/>
      <c r="AF1875" s="120"/>
      <c r="AG1875" s="94"/>
      <c r="AH1875" s="120"/>
      <c r="AI1875" s="94"/>
      <c r="AJ1875" s="94" t="s">
        <v>830</v>
      </c>
      <c r="AK1875" s="94" t="s">
        <v>66</v>
      </c>
      <c r="AL1875" s="94">
        <v>140</v>
      </c>
      <c r="AM1875" s="94" t="str">
        <f>TRIM(AJ1875)&amp;TRIM(AL1875)&amp;TRIM(AK1875)</f>
      </c>
      <c r="AN1875" s="116">
        <v>0</v>
      </c>
      <c r="AO1875" s="116" t="inlineStr">
        <is>
          <t>#NA</t>
        </is>
      </c>
      <c r="AP1875" s="116">
        <f>SUMIFS(M:M,AM:AM,AM1875)+SUMIFS(O:O,AM:AM,AM1875)</f>
      </c>
      <c r="AQ1875" s="116">
        <f>SUMIFS(L:L,AM:AM,AM1875)</f>
      </c>
      <c r="AR1875" s="116">
        <f>AQ1875-AP1875</f>
      </c>
      <c r="AS1875" s="94" t="str">
        <f>IF(AN1875&gt;=AQ1875,"ok","ck")</f>
      </c>
      <c r="AT1875" s="116">
        <f>-P1875</f>
      </c>
      <c r="AU1875" s="115">
        <f>IF(SUMIFS(AT:AT,AM:AM,AM1875)&gt;AO1875,(SUMIFS(AT:AT,AM:AM,AM1875)-AO1875))</f>
      </c>
      <c r="AV1875" s="116">
        <v>0</v>
      </c>
      <c r="AW1875" s="121">
        <v>0</v>
      </c>
      <c r="AX1875" s="115">
        <f>AN1875-AP1875</f>
      </c>
    </row>
    <row r="1876" spans="1:50" ht="15" hidden="1" customHeight="1" x14ac:dyDescent="0.3">
      <c r="A1876" s="94" t="s">
        <v>125</v>
      </c>
      <c r="B1876" s="94"/>
      <c r="C1876" s="94"/>
      <c r="D1876" s="94"/>
      <c r="E1876" s="94"/>
      <c r="F1876" s="94"/>
      <c r="G1876" s="112">
        <f>AU1876</f>
      </c>
      <c r="H1876" s="113"/>
      <c r="I1876" s="94" t="s">
        <v>132</v>
      </c>
      <c r="J1876" s="94" t="s">
        <v>66</v>
      </c>
      <c r="K1876" s="114">
        <f>P1876/3</f>
      </c>
      <c r="L1876" s="115">
        <v>126.58499999999999</v>
      </c>
      <c r="M1876" s="116"/>
      <c r="N1876" s="117">
        <f>M1876-L1876</f>
      </c>
      <c r="O1876" s="112"/>
      <c r="P1876" s="118">
        <f>N1876+O1876</f>
      </c>
      <c r="Q1876" s="94" t="s">
        <v>830</v>
      </c>
      <c r="R1876" s="94" t="s">
        <v>63</v>
      </c>
      <c r="S1876" s="119">
        <v>46341</v>
      </c>
      <c r="T1876" s="119"/>
      <c r="U1876" s="120" t="s">
        <v>668</v>
      </c>
      <c r="V1876" s="94"/>
      <c r="W1876" s="94"/>
      <c r="X1876" s="94"/>
      <c r="Y1876" s="119">
        <v>46323</v>
      </c>
      <c r="Z1876" s="94"/>
      <c r="AA1876" s="120"/>
      <c r="AB1876" s="120"/>
      <c r="AC1876" s="120"/>
      <c r="AD1876" s="120"/>
      <c r="AE1876" s="120"/>
      <c r="AF1876" s="120"/>
      <c r="AG1876" s="94"/>
      <c r="AH1876" s="120"/>
      <c r="AI1876" s="94"/>
      <c r="AJ1876" s="94" t="s">
        <v>830</v>
      </c>
      <c r="AK1876" s="94" t="s">
        <v>66</v>
      </c>
      <c r="AL1876" s="94">
        <v>140</v>
      </c>
      <c r="AM1876" s="94" t="str">
        <f>TRIM(AJ1876)&amp;TRIM(AL1876)&amp;TRIM(AK1876)</f>
      </c>
      <c r="AN1876" s="116">
        <v>0</v>
      </c>
      <c r="AO1876" s="116" t="inlineStr">
        <is>
          <t>#NA</t>
        </is>
      </c>
      <c r="AP1876" s="116">
        <f>SUMIFS(M:M,AM:AM,AM1876)+SUMIFS(O:O,AM:AM,AM1876)</f>
      </c>
      <c r="AQ1876" s="116">
        <f>SUMIFS(L:L,AM:AM,AM1876)</f>
      </c>
      <c r="AR1876" s="116">
        <f>AQ1876-AP1876</f>
      </c>
      <c r="AS1876" s="94" t="str">
        <f>IF(AN1876&gt;=AQ1876,"ok","ck")</f>
      </c>
      <c r="AT1876" s="116">
        <f>-P1876</f>
      </c>
      <c r="AU1876" s="115">
        <f>IF(SUMIFS(AT:AT,AM:AM,AM1876)&gt;AO1876,(SUMIFS(AT:AT,AM:AM,AM1876)-AO1876))</f>
      </c>
      <c r="AV1876" s="116">
        <v>0</v>
      </c>
      <c r="AW1876" s="121">
        <v>0</v>
      </c>
      <c r="AX1876" s="115">
        <f>AN1876-AP1876</f>
      </c>
    </row>
    <row r="1877" spans="1:50" ht="15" hidden="1" customHeight="1" x14ac:dyDescent="0.3">
      <c r="A1877" s="94" t="s">
        <v>125</v>
      </c>
      <c r="B1877" s="94"/>
      <c r="C1877" s="94"/>
      <c r="D1877" s="94"/>
      <c r="E1877" s="94"/>
      <c r="F1877" s="94"/>
      <c r="G1877" s="112">
        <f>AU1877</f>
      </c>
      <c r="H1877" s="113"/>
      <c r="I1877" s="94" t="s">
        <v>132</v>
      </c>
      <c r="J1877" s="94" t="s">
        <v>127</v>
      </c>
      <c r="K1877" s="114">
        <f>P1877/3</f>
      </c>
      <c r="L1877" s="115">
        <v>318.51400000000001</v>
      </c>
      <c r="M1877" s="116"/>
      <c r="N1877" s="117">
        <f>M1877-L1877</f>
      </c>
      <c r="O1877" s="112"/>
      <c r="P1877" s="118">
        <f>N1877+O1877</f>
      </c>
      <c r="Q1877" s="94" t="s">
        <v>128</v>
      </c>
      <c r="R1877" s="94" t="s">
        <v>63</v>
      </c>
      <c r="S1877" s="119">
        <v>46330</v>
      </c>
      <c r="T1877" s="119"/>
      <c r="U1877" s="120" t="s">
        <v>681</v>
      </c>
      <c r="V1877" s="94"/>
      <c r="W1877" s="94"/>
      <c r="X1877" s="94"/>
      <c r="Y1877" s="119">
        <v>46334</v>
      </c>
      <c r="Z1877" s="94"/>
      <c r="AA1877" s="120"/>
      <c r="AB1877" s="120"/>
      <c r="AC1877" s="120"/>
      <c r="AD1877" s="120"/>
      <c r="AE1877" s="120"/>
      <c r="AF1877" s="120"/>
      <c r="AG1877" s="94"/>
      <c r="AH1877" s="120"/>
      <c r="AI1877" s="94"/>
      <c r="AJ1877" s="94" t="s">
        <v>128</v>
      </c>
      <c r="AK1877" s="94" t="s">
        <v>129</v>
      </c>
      <c r="AL1877" s="94">
        <v>140</v>
      </c>
      <c r="AM1877" s="94" t="str">
        <f>TRIM(AJ1877)&amp;TRIM(AL1877)&amp;TRIM(AK1877)</f>
      </c>
      <c r="AN1877" s="116">
        <v>564</v>
      </c>
      <c r="AO1877" s="116">
        <v>1561.63</v>
      </c>
      <c r="AP1877" s="116">
        <f>SUMIFS(M:M,AM:AM,AM1877)+SUMIFS(O:O,AM:AM,AM1877)</f>
      </c>
      <c r="AQ1877" s="116">
        <f>SUMIFS(L:L,AM:AM,AM1877)</f>
      </c>
      <c r="AR1877" s="116">
        <f>AQ1877-AP1877</f>
      </c>
      <c r="AS1877" s="94" t="str">
        <f>IF(AN1877&gt;=AQ1877,"ok","ck")</f>
      </c>
      <c r="AT1877" s="116">
        <f>-P1877</f>
      </c>
      <c r="AU1877" s="115">
        <f>IF(SUMIFS(AT:AT,AM:AM,AM1877)&gt;AO1877,(SUMIFS(AT:AT,AM:AM,AM1877)-AO1877))</f>
      </c>
      <c r="AV1877" s="116">
        <v>564</v>
      </c>
      <c r="AW1877" s="121">
        <v>0.265</v>
      </c>
      <c r="AX1877" s="115">
        <f>AN1877-AP1877</f>
      </c>
    </row>
    <row r="1878" spans="1:50" ht="15" hidden="1" customHeight="1" x14ac:dyDescent="0.3">
      <c r="A1878" s="94" t="s">
        <v>125</v>
      </c>
      <c r="B1878" s="94"/>
      <c r="C1878" s="94"/>
      <c r="D1878" s="94"/>
      <c r="E1878" s="94"/>
      <c r="F1878" s="94"/>
      <c r="G1878" s="112">
        <f>AU1878</f>
      </c>
      <c r="H1878" s="113"/>
      <c r="I1878" s="94" t="s">
        <v>132</v>
      </c>
      <c r="J1878" s="94" t="s">
        <v>127</v>
      </c>
      <c r="K1878" s="114">
        <f>P1878/3</f>
      </c>
      <c r="L1878" s="115">
        <v>521.26499999999999</v>
      </c>
      <c r="M1878" s="116"/>
      <c r="N1878" s="117">
        <f>M1878-L1878</f>
      </c>
      <c r="O1878" s="112"/>
      <c r="P1878" s="118">
        <f>N1878+O1878</f>
      </c>
      <c r="Q1878" s="94" t="s">
        <v>128</v>
      </c>
      <c r="R1878" s="94" t="s">
        <v>63</v>
      </c>
      <c r="S1878" s="119">
        <v>46331</v>
      </c>
      <c r="T1878" s="119"/>
      <c r="U1878" s="120" t="s">
        <v>681</v>
      </c>
      <c r="V1878" s="94"/>
      <c r="W1878" s="94"/>
      <c r="X1878" s="94"/>
      <c r="Y1878" s="119">
        <v>46320</v>
      </c>
      <c r="Z1878" s="94"/>
      <c r="AA1878" s="120"/>
      <c r="AB1878" s="120"/>
      <c r="AC1878" s="120"/>
      <c r="AD1878" s="120"/>
      <c r="AE1878" s="120"/>
      <c r="AF1878" s="120"/>
      <c r="AG1878" s="94"/>
      <c r="AH1878" s="120"/>
      <c r="AI1878" s="94"/>
      <c r="AJ1878" s="94" t="s">
        <v>128</v>
      </c>
      <c r="AK1878" s="94" t="s">
        <v>129</v>
      </c>
      <c r="AL1878" s="94">
        <v>140</v>
      </c>
      <c r="AM1878" s="94" t="str">
        <f>TRIM(AJ1878)&amp;TRIM(AL1878)&amp;TRIM(AK1878)</f>
      </c>
      <c r="AN1878" s="116">
        <v>564</v>
      </c>
      <c r="AO1878" s="116">
        <v>1561.63</v>
      </c>
      <c r="AP1878" s="116">
        <f>SUMIFS(M:M,AM:AM,AM1878)+SUMIFS(O:O,AM:AM,AM1878)</f>
      </c>
      <c r="AQ1878" s="116">
        <f>SUMIFS(L:L,AM:AM,AM1878)</f>
      </c>
      <c r="AR1878" s="116">
        <f>AQ1878-AP1878</f>
      </c>
      <c r="AS1878" s="94" t="str">
        <f>IF(AN1878&gt;=AQ1878,"ok","ck")</f>
      </c>
      <c r="AT1878" s="116">
        <f>-P1878</f>
      </c>
      <c r="AU1878" s="115">
        <f>IF(SUMIFS(AT:AT,AM:AM,AM1878)&gt;AO1878,(SUMIFS(AT:AT,AM:AM,AM1878)-AO1878))</f>
      </c>
      <c r="AV1878" s="116">
        <v>564</v>
      </c>
      <c r="AW1878" s="121">
        <v>0.265</v>
      </c>
      <c r="AX1878" s="115">
        <f>AN1878-AP1878</f>
      </c>
    </row>
    <row r="1879" spans="1:50" ht="15" hidden="1" customHeight="1" x14ac:dyDescent="0.3">
      <c r="A1879" s="94" t="s">
        <v>125</v>
      </c>
      <c r="B1879" s="94"/>
      <c r="C1879" s="94"/>
      <c r="D1879" s="94"/>
      <c r="E1879" s="94"/>
      <c r="F1879" s="94"/>
      <c r="G1879" s="112">
        <f>AU1879</f>
      </c>
      <c r="H1879" s="113"/>
      <c r="I1879" s="94" t="s">
        <v>126</v>
      </c>
      <c r="J1879" s="94" t="s">
        <v>141</v>
      </c>
      <c r="K1879" s="114">
        <f>P1879/3</f>
      </c>
      <c r="L1879" s="115">
        <v>1681.4860000000001</v>
      </c>
      <c r="M1879" s="116">
        <v>1681.4860000000001</v>
      </c>
      <c r="N1879" s="117">
        <f>M1879-L1879</f>
      </c>
      <c r="O1879" s="112"/>
      <c r="P1879" s="118">
        <f>N1879+O1879</f>
      </c>
      <c r="Q1879" s="94" t="s">
        <v>128</v>
      </c>
      <c r="R1879" s="94" t="s">
        <v>63</v>
      </c>
      <c r="S1879" s="119">
        <v>46330</v>
      </c>
      <c r="T1879" s="119"/>
      <c r="U1879" s="120" t="s">
        <v>681</v>
      </c>
      <c r="V1879" s="94"/>
      <c r="W1879" s="94"/>
      <c r="X1879" s="94"/>
      <c r="Y1879" s="119">
        <v>46320</v>
      </c>
      <c r="Z1879" s="94"/>
      <c r="AA1879" s="120"/>
      <c r="AB1879" s="120"/>
      <c r="AC1879" s="120"/>
      <c r="AD1879" s="120"/>
      <c r="AE1879" s="120"/>
      <c r="AF1879" s="120"/>
      <c r="AG1879" s="94"/>
      <c r="AH1879" s="120"/>
      <c r="AI1879" s="94"/>
      <c r="AJ1879" s="94" t="s">
        <v>128</v>
      </c>
      <c r="AK1879" s="94" t="s">
        <v>131</v>
      </c>
      <c r="AL1879" s="94">
        <v>160</v>
      </c>
      <c r="AM1879" s="94" t="str">
        <f>TRIM(AJ1879)&amp;TRIM(AL1879)&amp;TRIM(AK1879)</f>
      </c>
      <c r="AN1879" s="116">
        <v>9105</v>
      </c>
      <c r="AO1879" s="116">
        <v>1275.23</v>
      </c>
      <c r="AP1879" s="116">
        <f>SUMIFS(M:M,AM:AM,AM1879)+SUMIFS(O:O,AM:AM,AM1879)</f>
      </c>
      <c r="AQ1879" s="116">
        <f>SUMIFS(L:L,AM:AM,AM1879)</f>
      </c>
      <c r="AR1879" s="116">
        <f>AQ1879-AP1879</f>
      </c>
      <c r="AS1879" s="94" t="str">
        <f>IF(AN1879&gt;=AQ1879,"ok","ck")</f>
      </c>
      <c r="AT1879" s="116">
        <f>-P1879</f>
      </c>
      <c r="AU1879" s="115">
        <f>IF(SUMIFS(AT:AT,AM:AM,AM1879)&gt;AO1879,(SUMIFS(AT:AT,AM:AM,AM1879)-AO1879))</f>
      </c>
      <c r="AV1879" s="116">
        <v>9105</v>
      </c>
      <c r="AW1879" s="121">
        <v>0.877</v>
      </c>
      <c r="AX1879" s="115">
        <f>AN1879-AP1879</f>
      </c>
    </row>
    <row r="1880" spans="1:50" ht="15" hidden="1" customHeight="1" x14ac:dyDescent="0.3">
      <c r="A1880" s="94" t="s">
        <v>125</v>
      </c>
      <c r="B1880" s="94"/>
      <c r="C1880" s="94"/>
      <c r="D1880" s="94"/>
      <c r="E1880" s="94"/>
      <c r="F1880" s="94"/>
      <c r="G1880" s="112">
        <f>AU1880</f>
      </c>
      <c r="H1880" s="113"/>
      <c r="I1880" s="94" t="s">
        <v>126</v>
      </c>
      <c r="J1880" s="94" t="s">
        <v>141</v>
      </c>
      <c r="K1880" s="114">
        <f>P1880/3</f>
      </c>
      <c r="L1880" s="115">
        <v>2751.8359999999998</v>
      </c>
      <c r="M1880" s="116">
        <v>1476.606</v>
      </c>
      <c r="N1880" s="117">
        <f>M1880-L1880</f>
      </c>
      <c r="O1880" s="112"/>
      <c r="P1880" s="118">
        <f>N1880+O1880</f>
      </c>
      <c r="Q1880" s="94" t="s">
        <v>128</v>
      </c>
      <c r="R1880" s="94" t="s">
        <v>63</v>
      </c>
      <c r="S1880" s="119">
        <v>46331</v>
      </c>
      <c r="T1880" s="119"/>
      <c r="U1880" s="120" t="s">
        <v>681</v>
      </c>
      <c r="V1880" s="94"/>
      <c r="W1880" s="94"/>
      <c r="X1880" s="94"/>
      <c r="Y1880" s="119">
        <v>46320</v>
      </c>
      <c r="Z1880" s="94"/>
      <c r="AA1880" s="120"/>
      <c r="AB1880" s="120"/>
      <c r="AC1880" s="120"/>
      <c r="AD1880" s="120"/>
      <c r="AE1880" s="120"/>
      <c r="AF1880" s="120"/>
      <c r="AG1880" s="94"/>
      <c r="AH1880" s="120"/>
      <c r="AI1880" s="94"/>
      <c r="AJ1880" s="94" t="s">
        <v>128</v>
      </c>
      <c r="AK1880" s="94" t="s">
        <v>131</v>
      </c>
      <c r="AL1880" s="94">
        <v>160</v>
      </c>
      <c r="AM1880" s="94" t="str">
        <f>TRIM(AJ1880)&amp;TRIM(AL1880)&amp;TRIM(AK1880)</f>
      </c>
      <c r="AN1880" s="116">
        <v>9105</v>
      </c>
      <c r="AO1880" s="116">
        <v>1275.23</v>
      </c>
      <c r="AP1880" s="116">
        <f>SUMIFS(M:M,AM:AM,AM1880)+SUMIFS(O:O,AM:AM,AM1880)</f>
      </c>
      <c r="AQ1880" s="116">
        <f>SUMIFS(L:L,AM:AM,AM1880)</f>
      </c>
      <c r="AR1880" s="116">
        <f>AQ1880-AP1880</f>
      </c>
      <c r="AS1880" s="94" t="str">
        <f>IF(AN1880&gt;=AQ1880,"ok","ck")</f>
      </c>
      <c r="AT1880" s="116">
        <f>-P1880</f>
      </c>
      <c r="AU1880" s="115">
        <f>IF(SUMIFS(AT:AT,AM:AM,AM1880)&gt;AO1880,(SUMIFS(AT:AT,AM:AM,AM1880)-AO1880))</f>
      </c>
      <c r="AV1880" s="116">
        <v>9105</v>
      </c>
      <c r="AW1880" s="121">
        <v>0.877</v>
      </c>
      <c r="AX1880" s="115">
        <f>AN1880-AP1880</f>
      </c>
    </row>
    <row r="1881" spans="1:50" ht="15" hidden="1" customHeight="1" x14ac:dyDescent="0.3">
      <c r="A1881" s="94" t="s">
        <v>125</v>
      </c>
      <c r="B1881" s="94"/>
      <c r="C1881" s="94"/>
      <c r="D1881" s="94"/>
      <c r="E1881" s="94"/>
      <c r="F1881" s="94"/>
      <c r="G1881" s="112">
        <f>AU1881</f>
      </c>
      <c r="H1881" s="113"/>
      <c r="I1881" s="94" t="s">
        <v>132</v>
      </c>
      <c r="J1881" s="94" t="s">
        <v>135</v>
      </c>
      <c r="K1881" s="114">
        <f>P1881/3</f>
      </c>
      <c r="L1881" s="115">
        <v>521.26499999999999</v>
      </c>
      <c r="M1881" s="116">
        <v>208.80500000000001</v>
      </c>
      <c r="N1881" s="117">
        <f>M1881-L1881</f>
      </c>
      <c r="O1881" s="112"/>
      <c r="P1881" s="118">
        <f>N1881+O1881</f>
      </c>
      <c r="Q1881" s="94" t="s">
        <v>128</v>
      </c>
      <c r="R1881" s="94" t="s">
        <v>63</v>
      </c>
      <c r="S1881" s="119">
        <v>46331</v>
      </c>
      <c r="T1881" s="119"/>
      <c r="U1881" s="120" t="s">
        <v>681</v>
      </c>
      <c r="V1881" s="94"/>
      <c r="W1881" s="94"/>
      <c r="X1881" s="94"/>
      <c r="Y1881" s="119">
        <v>46331</v>
      </c>
      <c r="Z1881" s="94"/>
      <c r="AA1881" s="120"/>
      <c r="AB1881" s="120"/>
      <c r="AC1881" s="120"/>
      <c r="AD1881" s="120"/>
      <c r="AE1881" s="120"/>
      <c r="AF1881" s="120"/>
      <c r="AG1881" s="94"/>
      <c r="AH1881" s="120"/>
      <c r="AI1881" s="94"/>
      <c r="AJ1881" s="94" t="s">
        <v>128</v>
      </c>
      <c r="AK1881" s="94" t="s">
        <v>136</v>
      </c>
      <c r="AL1881" s="94">
        <v>140</v>
      </c>
      <c r="AM1881" s="94" t="str">
        <f>TRIM(AJ1881)&amp;TRIM(AL1881)&amp;TRIM(AK1881)</f>
      </c>
      <c r="AN1881" s="116">
        <v>1869.29</v>
      </c>
      <c r="AO1881" s="116">
        <v>312.46</v>
      </c>
      <c r="AP1881" s="116">
        <f>SUMIFS(M:M,AM:AM,AM1881)+SUMIFS(O:O,AM:AM,AM1881)</f>
      </c>
      <c r="AQ1881" s="116">
        <f>SUMIFS(L:L,AM:AM,AM1881)</f>
      </c>
      <c r="AR1881" s="116">
        <f>AQ1881-AP1881</f>
      </c>
      <c r="AS1881" s="94" t="str">
        <f>IF(AN1881&gt;=AQ1881,"ok","ck")</f>
      </c>
      <c r="AT1881" s="116">
        <f>-P1881</f>
      </c>
      <c r="AU1881" s="115">
        <f>IF(SUMIFS(AT:AT,AM:AM,AM1881)&gt;AO1881,(SUMIFS(AT:AT,AM:AM,AM1881)-AO1881))</f>
      </c>
      <c r="AV1881" s="116">
        <v>27</v>
      </c>
      <c r="AW1881" s="121">
        <v>0.96</v>
      </c>
      <c r="AX1881" s="115">
        <f>AN1881-AP1881</f>
      </c>
    </row>
    <row r="1882" spans="1:50" ht="15" hidden="1" customHeight="1" x14ac:dyDescent="0.3">
      <c r="A1882" s="94" t="s">
        <v>125</v>
      </c>
      <c r="B1882" s="94"/>
      <c r="C1882" s="94"/>
      <c r="D1882" s="94"/>
      <c r="E1882" s="94"/>
      <c r="F1882" s="94"/>
      <c r="G1882" s="112">
        <f>AU1882</f>
      </c>
      <c r="H1882" s="113"/>
      <c r="I1882" s="94" t="s">
        <v>133</v>
      </c>
      <c r="J1882" s="94" t="s">
        <v>71</v>
      </c>
      <c r="K1882" s="114">
        <f>P1882/3</f>
      </c>
      <c r="L1882" s="115">
        <v>118.8</v>
      </c>
      <c r="M1882" s="116"/>
      <c r="N1882" s="117">
        <f>M1882-L1882</f>
      </c>
      <c r="O1882" s="112"/>
      <c r="P1882" s="118">
        <f>N1882+O1882</f>
      </c>
      <c r="Q1882" s="94" t="s">
        <v>829</v>
      </c>
      <c r="R1882" s="94" t="s">
        <v>63</v>
      </c>
      <c r="S1882" s="119">
        <v>46341</v>
      </c>
      <c r="T1882" s="119"/>
      <c r="U1882" s="120">
        <v>46341</v>
      </c>
      <c r="V1882" s="94"/>
      <c r="W1882" s="94"/>
      <c r="X1882" s="94"/>
      <c r="Y1882" s="119">
        <v>46320</v>
      </c>
      <c r="Z1882" s="94"/>
      <c r="AA1882" s="120"/>
      <c r="AB1882" s="120"/>
      <c r="AC1882" s="120"/>
      <c r="AD1882" s="120"/>
      <c r="AE1882" s="120"/>
      <c r="AF1882" s="120"/>
      <c r="AG1882" s="94"/>
      <c r="AH1882" s="120"/>
      <c r="AI1882" s="94"/>
      <c r="AJ1882" s="94" t="s">
        <v>829</v>
      </c>
      <c r="AK1882" s="94" t="s">
        <v>71</v>
      </c>
      <c r="AL1882" s="94">
        <v>160</v>
      </c>
      <c r="AM1882" s="94" t="str">
        <f>TRIM(AJ1882)&amp;TRIM(AL1882)&amp;TRIM(AK1882)</f>
      </c>
      <c r="AN1882" s="116">
        <v>0</v>
      </c>
      <c r="AO1882" s="116" t="inlineStr">
        <is>
          <t>#NA</t>
        </is>
      </c>
      <c r="AP1882" s="116">
        <f>SUMIFS(M:M,AM:AM,AM1882)+SUMIFS(O:O,AM:AM,AM1882)</f>
      </c>
      <c r="AQ1882" s="116">
        <f>SUMIFS(L:L,AM:AM,AM1882)</f>
      </c>
      <c r="AR1882" s="116">
        <f>AQ1882-AP1882</f>
      </c>
      <c r="AS1882" s="94" t="str">
        <f>IF(AN1882&gt;=AQ1882,"ok","ck")</f>
      </c>
      <c r="AT1882" s="116">
        <f>-P1882</f>
      </c>
      <c r="AU1882" s="115">
        <f>IF(SUMIFS(AT:AT,AM:AM,AM1882)&gt;AO1882,(SUMIFS(AT:AT,AM:AM,AM1882)-AO1882))</f>
      </c>
      <c r="AV1882" s="116">
        <v>0</v>
      </c>
      <c r="AW1882" s="121">
        <v>0</v>
      </c>
      <c r="AX1882" s="115">
        <f>AN1882-AP1882</f>
      </c>
    </row>
    <row r="1883" spans="1:50" ht="15" hidden="1" customHeight="1" x14ac:dyDescent="0.3">
      <c r="A1883" s="94" t="s">
        <v>125</v>
      </c>
      <c r="B1883" s="94"/>
      <c r="C1883" s="94"/>
      <c r="D1883" s="94"/>
      <c r="E1883" s="94"/>
      <c r="F1883" s="94"/>
      <c r="G1883" s="112">
        <f>AU1883</f>
      </c>
      <c r="H1883" s="113"/>
      <c r="I1883" s="94" t="s">
        <v>132</v>
      </c>
      <c r="J1883" s="94" t="s">
        <v>71</v>
      </c>
      <c r="K1883" s="114">
        <f>P1883/3</f>
      </c>
      <c r="L1883" s="115">
        <v>42.33</v>
      </c>
      <c r="M1883" s="116"/>
      <c r="N1883" s="117">
        <f>M1883-L1883</f>
      </c>
      <c r="O1883" s="112"/>
      <c r="P1883" s="118">
        <f>N1883+O1883</f>
      </c>
      <c r="Q1883" s="94" t="s">
        <v>831</v>
      </c>
      <c r="R1883" s="94" t="s">
        <v>63</v>
      </c>
      <c r="S1883" s="119">
        <v>46338</v>
      </c>
      <c r="T1883" s="119"/>
      <c r="U1883" s="120">
        <v>46338</v>
      </c>
      <c r="V1883" s="94"/>
      <c r="W1883" s="94"/>
      <c r="X1883" s="94"/>
      <c r="Y1883" s="119">
        <v>46320</v>
      </c>
      <c r="Z1883" s="94"/>
      <c r="AA1883" s="120"/>
      <c r="AB1883" s="120"/>
      <c r="AC1883" s="120"/>
      <c r="AD1883" s="120"/>
      <c r="AE1883" s="120"/>
      <c r="AF1883" s="120"/>
      <c r="AG1883" s="94"/>
      <c r="AH1883" s="120"/>
      <c r="AI1883" s="94"/>
      <c r="AJ1883" s="94" t="s">
        <v>831</v>
      </c>
      <c r="AK1883" s="94" t="s">
        <v>71</v>
      </c>
      <c r="AL1883" s="94">
        <v>140</v>
      </c>
      <c r="AM1883" s="94" t="str">
        <f>TRIM(AJ1883)&amp;TRIM(AL1883)&amp;TRIM(AK1883)</f>
      </c>
      <c r="AN1883" s="116">
        <v>0</v>
      </c>
      <c r="AO1883" s="116" t="inlineStr">
        <is>
          <t>#NA</t>
        </is>
      </c>
      <c r="AP1883" s="116">
        <f>SUMIFS(M:M,AM:AM,AM1883)+SUMIFS(O:O,AM:AM,AM1883)</f>
      </c>
      <c r="AQ1883" s="116">
        <f>SUMIFS(L:L,AM:AM,AM1883)</f>
      </c>
      <c r="AR1883" s="116">
        <f>AQ1883-AP1883</f>
      </c>
      <c r="AS1883" s="94" t="str">
        <f>IF(AN1883&gt;=AQ1883,"ok","ck")</f>
      </c>
      <c r="AT1883" s="116">
        <f>-P1883</f>
      </c>
      <c r="AU1883" s="115">
        <f>IF(SUMIFS(AT:AT,AM:AM,AM1883)&gt;AO1883,(SUMIFS(AT:AT,AM:AM,AM1883)-AO1883))</f>
      </c>
      <c r="AV1883" s="116">
        <v>0</v>
      </c>
      <c r="AW1883" s="121">
        <v>0</v>
      </c>
      <c r="AX1883" s="115">
        <f>AN1883-AP1883</f>
      </c>
    </row>
    <row r="1884" spans="1:50" ht="15" hidden="1" customHeight="1" x14ac:dyDescent="0.3">
      <c r="A1884" s="94" t="s">
        <v>125</v>
      </c>
      <c r="B1884" s="94"/>
      <c r="C1884" s="94"/>
      <c r="D1884" s="94"/>
      <c r="E1884" s="94"/>
      <c r="F1884" s="94"/>
      <c r="G1884" s="112">
        <f>AU1884</f>
      </c>
      <c r="H1884" s="113"/>
      <c r="I1884" s="94" t="s">
        <v>133</v>
      </c>
      <c r="J1884" s="94" t="s">
        <v>66</v>
      </c>
      <c r="K1884" s="114">
        <f>P1884/3</f>
      </c>
      <c r="L1884" s="115">
        <v>911.803</v>
      </c>
      <c r="M1884" s="116"/>
      <c r="N1884" s="117">
        <f>M1884-L1884</f>
      </c>
      <c r="O1884" s="112"/>
      <c r="P1884" s="118">
        <f>N1884+O1884</f>
      </c>
      <c r="Q1884" s="94" t="s">
        <v>830</v>
      </c>
      <c r="R1884" s="94" t="s">
        <v>63</v>
      </c>
      <c r="S1884" s="119">
        <v>46339</v>
      </c>
      <c r="T1884" s="119"/>
      <c r="U1884" s="120" t="s">
        <v>668</v>
      </c>
      <c r="V1884" s="94"/>
      <c r="W1884" s="94"/>
      <c r="X1884" s="94"/>
      <c r="Y1884" s="119">
        <v>46323</v>
      </c>
      <c r="Z1884" s="94"/>
      <c r="AA1884" s="120"/>
      <c r="AB1884" s="120"/>
      <c r="AC1884" s="120"/>
      <c r="AD1884" s="120"/>
      <c r="AE1884" s="120"/>
      <c r="AF1884" s="120"/>
      <c r="AG1884" s="94"/>
      <c r="AH1884" s="120"/>
      <c r="AI1884" s="94"/>
      <c r="AJ1884" s="94" t="s">
        <v>830</v>
      </c>
      <c r="AK1884" s="94" t="s">
        <v>66</v>
      </c>
      <c r="AL1884" s="94">
        <v>160</v>
      </c>
      <c r="AM1884" s="94" t="str">
        <f>TRIM(AJ1884)&amp;TRIM(AL1884)&amp;TRIM(AK1884)</f>
      </c>
      <c r="AN1884" s="116">
        <v>0</v>
      </c>
      <c r="AO1884" s="116" t="inlineStr">
        <is>
          <t>#NA</t>
        </is>
      </c>
      <c r="AP1884" s="116">
        <f>SUMIFS(M:M,AM:AM,AM1884)+SUMIFS(O:O,AM:AM,AM1884)</f>
      </c>
      <c r="AQ1884" s="116">
        <f>SUMIFS(L:L,AM:AM,AM1884)</f>
      </c>
      <c r="AR1884" s="116">
        <f>AQ1884-AP1884</f>
      </c>
      <c r="AS1884" s="94" t="str">
        <f>IF(AN1884&gt;=AQ1884,"ok","ck")</f>
      </c>
      <c r="AT1884" s="116">
        <f>-P1884</f>
      </c>
      <c r="AU1884" s="115">
        <f>IF(SUMIFS(AT:AT,AM:AM,AM1884)&gt;AO1884,(SUMIFS(AT:AT,AM:AM,AM1884)-AO1884))</f>
      </c>
      <c r="AV1884" s="116">
        <v>0</v>
      </c>
      <c r="AW1884" s="121">
        <v>0</v>
      </c>
      <c r="AX1884" s="115">
        <f>AN1884-AP1884</f>
      </c>
    </row>
    <row r="1885" spans="1:50" ht="15" hidden="1" customHeight="1" x14ac:dyDescent="0.3">
      <c r="A1885" s="94" t="s">
        <v>125</v>
      </c>
      <c r="B1885" s="94"/>
      <c r="C1885" s="94"/>
      <c r="D1885" s="94"/>
      <c r="E1885" s="94"/>
      <c r="F1885" s="94"/>
      <c r="G1885" s="112">
        <f>AU1885</f>
      </c>
      <c r="H1885" s="113"/>
      <c r="I1885" s="94" t="s">
        <v>133</v>
      </c>
      <c r="J1885" s="94" t="s">
        <v>66</v>
      </c>
      <c r="K1885" s="114">
        <f>P1885/3</f>
      </c>
      <c r="L1885" s="115">
        <v>911.803</v>
      </c>
      <c r="M1885" s="116"/>
      <c r="N1885" s="117">
        <f>M1885-L1885</f>
      </c>
      <c r="O1885" s="112"/>
      <c r="P1885" s="118">
        <f>N1885+O1885</f>
      </c>
      <c r="Q1885" s="94" t="s">
        <v>830</v>
      </c>
      <c r="R1885" s="94" t="s">
        <v>63</v>
      </c>
      <c r="S1885" s="119">
        <v>46340</v>
      </c>
      <c r="T1885" s="119"/>
      <c r="U1885" s="120" t="s">
        <v>668</v>
      </c>
      <c r="V1885" s="94"/>
      <c r="W1885" s="94"/>
      <c r="X1885" s="94"/>
      <c r="Y1885" s="119">
        <v>46323</v>
      </c>
      <c r="Z1885" s="94"/>
      <c r="AA1885" s="120"/>
      <c r="AB1885" s="120"/>
      <c r="AC1885" s="120"/>
      <c r="AD1885" s="120"/>
      <c r="AE1885" s="120"/>
      <c r="AF1885" s="120"/>
      <c r="AG1885" s="94"/>
      <c r="AH1885" s="120"/>
      <c r="AI1885" s="94"/>
      <c r="AJ1885" s="94" t="s">
        <v>830</v>
      </c>
      <c r="AK1885" s="94" t="s">
        <v>66</v>
      </c>
      <c r="AL1885" s="94">
        <v>160</v>
      </c>
      <c r="AM1885" s="94" t="str">
        <f>TRIM(AJ1885)&amp;TRIM(AL1885)&amp;TRIM(AK1885)</f>
      </c>
      <c r="AN1885" s="116">
        <v>0</v>
      </c>
      <c r="AO1885" s="116" t="inlineStr">
        <is>
          <t>#NA</t>
        </is>
      </c>
      <c r="AP1885" s="116">
        <f>SUMIFS(M:M,AM:AM,AM1885)+SUMIFS(O:O,AM:AM,AM1885)</f>
      </c>
      <c r="AQ1885" s="116">
        <f>SUMIFS(L:L,AM:AM,AM1885)</f>
      </c>
      <c r="AR1885" s="116">
        <f>AQ1885-AP1885</f>
      </c>
      <c r="AS1885" s="94" t="str">
        <f>IF(AN1885&gt;=AQ1885,"ok","ck")</f>
      </c>
      <c r="AT1885" s="116">
        <f>-P1885</f>
      </c>
      <c r="AU1885" s="115">
        <f>IF(SUMIFS(AT:AT,AM:AM,AM1885)&gt;AO1885,(SUMIFS(AT:AT,AM:AM,AM1885)-AO1885))</f>
      </c>
      <c r="AV1885" s="116">
        <v>0</v>
      </c>
      <c r="AW1885" s="121">
        <v>0</v>
      </c>
      <c r="AX1885" s="115">
        <f>AN1885-AP1885</f>
      </c>
    </row>
    <row r="1886" spans="1:50" ht="15" hidden="1" customHeight="1" x14ac:dyDescent="0.3">
      <c r="A1886" s="94" t="s">
        <v>125</v>
      </c>
      <c r="B1886" s="94"/>
      <c r="C1886" s="94"/>
      <c r="D1886" s="94"/>
      <c r="E1886" s="94"/>
      <c r="F1886" s="94"/>
      <c r="G1886" s="112">
        <f>AU1886</f>
      </c>
      <c r="H1886" s="113"/>
      <c r="I1886" s="94" t="s">
        <v>133</v>
      </c>
      <c r="J1886" s="94" t="s">
        <v>66</v>
      </c>
      <c r="K1886" s="114">
        <f>P1886/3</f>
      </c>
      <c r="L1886" s="115">
        <v>1308.7380000000001</v>
      </c>
      <c r="M1886" s="116"/>
      <c r="N1886" s="117">
        <f>M1886-L1886</f>
      </c>
      <c r="O1886" s="112"/>
      <c r="P1886" s="118">
        <f>N1886+O1886</f>
      </c>
      <c r="Q1886" s="94" t="s">
        <v>830</v>
      </c>
      <c r="R1886" s="94" t="s">
        <v>63</v>
      </c>
      <c r="S1886" s="119">
        <v>46341</v>
      </c>
      <c r="T1886" s="119"/>
      <c r="U1886" s="120" t="s">
        <v>668</v>
      </c>
      <c r="V1886" s="94"/>
      <c r="W1886" s="94"/>
      <c r="X1886" s="94"/>
      <c r="Y1886" s="119">
        <v>46323</v>
      </c>
      <c r="Z1886" s="94"/>
      <c r="AA1886" s="120"/>
      <c r="AB1886" s="120"/>
      <c r="AC1886" s="120"/>
      <c r="AD1886" s="120"/>
      <c r="AE1886" s="120"/>
      <c r="AF1886" s="120"/>
      <c r="AG1886" s="94"/>
      <c r="AH1886" s="120"/>
      <c r="AI1886" s="94"/>
      <c r="AJ1886" s="94" t="s">
        <v>830</v>
      </c>
      <c r="AK1886" s="94" t="s">
        <v>66</v>
      </c>
      <c r="AL1886" s="94">
        <v>160</v>
      </c>
      <c r="AM1886" s="94" t="str">
        <f>TRIM(AJ1886)&amp;TRIM(AL1886)&amp;TRIM(AK1886)</f>
      </c>
      <c r="AN1886" s="116">
        <v>0</v>
      </c>
      <c r="AO1886" s="116" t="inlineStr">
        <is>
          <t>#NA</t>
        </is>
      </c>
      <c r="AP1886" s="116">
        <f>SUMIFS(M:M,AM:AM,AM1886)+SUMIFS(O:O,AM:AM,AM1886)</f>
      </c>
      <c r="AQ1886" s="116">
        <f>SUMIFS(L:L,AM:AM,AM1886)</f>
      </c>
      <c r="AR1886" s="116">
        <f>AQ1886-AP1886</f>
      </c>
      <c r="AS1886" s="94" t="str">
        <f>IF(AN1886&gt;=AQ1886,"ok","ck")</f>
      </c>
      <c r="AT1886" s="116">
        <f>-P1886</f>
      </c>
      <c r="AU1886" s="115">
        <f>IF(SUMIFS(AT:AT,AM:AM,AM1886)&gt;AO1886,(SUMIFS(AT:AT,AM:AM,AM1886)-AO1886))</f>
      </c>
      <c r="AV1886" s="116">
        <v>0</v>
      </c>
      <c r="AW1886" s="121">
        <v>0</v>
      </c>
      <c r="AX1886" s="115">
        <f>AN1886-AP1886</f>
      </c>
    </row>
    <row r="1887" spans="1:50" ht="15" customHeight="1" x14ac:dyDescent="0.3">
      <c r="A1887" s="94" t="s">
        <v>862</v>
      </c>
      <c r="B1887" s="94"/>
      <c r="C1887" s="94"/>
      <c r="D1887" s="94"/>
      <c r="E1887" s="94"/>
      <c r="F1887" s="94"/>
      <c r="G1887" s="112">
        <f>AU1887</f>
      </c>
      <c r="H1887" s="113"/>
      <c r="I1887" s="94" t="s">
        <v>390</v>
      </c>
      <c r="J1887" s="94" t="s">
        <v>267</v>
      </c>
      <c r="K1887" s="114">
        <f>P1887/3</f>
      </c>
      <c r="L1887" s="115">
        <v>2299.143</v>
      </c>
      <c r="M1887" s="116"/>
      <c r="N1887" s="117">
        <f>M1887-L1887</f>
      </c>
      <c r="O1887" s="112"/>
      <c r="P1887" s="118">
        <f>N1887+O1887</f>
      </c>
      <c r="Q1887" s="94"/>
      <c r="R1887" s="94" t="s">
        <v>63</v>
      </c>
      <c r="S1887" s="119">
        <v>46350</v>
      </c>
      <c r="T1887" s="119"/>
      <c r="U1887" s="120" t="s">
        <v>631</v>
      </c>
      <c r="V1887" s="94"/>
      <c r="W1887" s="94"/>
      <c r="X1887" s="94"/>
      <c r="Y1887" s="119">
        <v>46327</v>
      </c>
      <c r="Z1887" s="94"/>
      <c r="AA1887" s="120"/>
      <c r="AB1887" s="120"/>
      <c r="AC1887" s="120"/>
      <c r="AD1887" s="120"/>
      <c r="AE1887" s="120"/>
      <c r="AF1887" s="120"/>
      <c r="AG1887" s="94"/>
      <c r="AH1887" s="120"/>
      <c r="AI1887" s="94"/>
      <c r="AJ1887" s="94"/>
      <c r="AK1887" s="94"/>
      <c r="AL1887" s="94">
        <v>140</v>
      </c>
      <c r="AM1887" s="94" t="str">
        <f>TRIM(AJ1887)&amp;TRIM(AL1887)&amp;TRIM(AK1887)</f>
      </c>
      <c r="AN1887" s="116">
        <v>0</v>
      </c>
      <c r="AO1887" s="116" t="inlineStr">
        <is>
          <t>#NA</t>
        </is>
      </c>
      <c r="AP1887" s="116">
        <f>SUMIFS(M:M,AM:AM,AM1887)+SUMIFS(O:O,AM:AM,AM1887)</f>
      </c>
      <c r="AQ1887" s="116">
        <f>SUMIFS(L:L,AM:AM,AM1887)</f>
      </c>
      <c r="AR1887" s="116">
        <f>AQ1887-AP1887</f>
      </c>
      <c r="AS1887" s="94" t="str">
        <f>IF(AN1887&gt;=AQ1887,"ok","ck")</f>
      </c>
      <c r="AT1887" s="116">
        <f>-P1887</f>
      </c>
      <c r="AU1887" s="115">
        <f>IF(SUMIFS(AT:AT,AM:AM,AM1887)&gt;AO1887,(SUMIFS(AT:AT,AM:AM,AM1887)-AO1887))</f>
      </c>
      <c r="AV1887" s="116" t="e">
        <v>#N/A</v>
      </c>
      <c r="AW1887" s="121" t="e">
        <v>#N/A</v>
      </c>
      <c r="AX1887" s="115">
        <f>AN1887-AP1887</f>
      </c>
    </row>
    <row r="1888" spans="1:50" ht="15" customHeight="1" x14ac:dyDescent="0.3">
      <c r="A1888" s="94" t="s">
        <v>862</v>
      </c>
      <c r="B1888" s="94"/>
      <c r="C1888" s="94"/>
      <c r="D1888" s="94"/>
      <c r="E1888" s="94"/>
      <c r="F1888" s="94"/>
      <c r="G1888" s="112">
        <f>AU1888</f>
      </c>
      <c r="H1888" s="113"/>
      <c r="I1888" s="94" t="s">
        <v>390</v>
      </c>
      <c r="J1888" s="94" t="s">
        <v>267</v>
      </c>
      <c r="K1888" s="114">
        <f>P1888/3</f>
      </c>
      <c r="L1888" s="115">
        <v>31640.798999999999</v>
      </c>
      <c r="M1888" s="116"/>
      <c r="N1888" s="117">
        <f>M1888-L1888</f>
      </c>
      <c r="O1888" s="112"/>
      <c r="P1888" s="118">
        <f>N1888+O1888</f>
      </c>
      <c r="Q1888" s="94"/>
      <c r="R1888" s="94" t="s">
        <v>63</v>
      </c>
      <c r="S1888" s="119">
        <v>46351</v>
      </c>
      <c r="T1888" s="119"/>
      <c r="U1888" s="120" t="s">
        <v>631</v>
      </c>
      <c r="V1888" s="94"/>
      <c r="W1888" s="94"/>
      <c r="X1888" s="94"/>
      <c r="Y1888" s="119">
        <v>46327</v>
      </c>
      <c r="Z1888" s="94"/>
      <c r="AA1888" s="120"/>
      <c r="AB1888" s="120"/>
      <c r="AC1888" s="120"/>
      <c r="AD1888" s="120"/>
      <c r="AE1888" s="120"/>
      <c r="AF1888" s="120"/>
      <c r="AG1888" s="94"/>
      <c r="AH1888" s="120"/>
      <c r="AI1888" s="94"/>
      <c r="AJ1888" s="94"/>
      <c r="AK1888" s="94"/>
      <c r="AL1888" s="94">
        <v>140</v>
      </c>
      <c r="AM1888" s="94" t="str">
        <f>TRIM(AJ1888)&amp;TRIM(AL1888)&amp;TRIM(AK1888)</f>
      </c>
      <c r="AN1888" s="116">
        <v>0</v>
      </c>
      <c r="AO1888" s="116" t="inlineStr">
        <is>
          <t>#NA</t>
        </is>
      </c>
      <c r="AP1888" s="116">
        <f>SUMIFS(M:M,AM:AM,AM1888)+SUMIFS(O:O,AM:AM,AM1888)</f>
      </c>
      <c r="AQ1888" s="116">
        <f>SUMIFS(L:L,AM:AM,AM1888)</f>
      </c>
      <c r="AR1888" s="116">
        <f>AQ1888-AP1888</f>
      </c>
      <c r="AS1888" s="94" t="str">
        <f>IF(AN1888&gt;=AQ1888,"ok","ck")</f>
      </c>
      <c r="AT1888" s="116">
        <f>-P1888</f>
      </c>
      <c r="AU1888" s="115">
        <f>IF(SUMIFS(AT:AT,AM:AM,AM1888)&gt;AO1888,(SUMIFS(AT:AT,AM:AM,AM1888)-AO1888))</f>
      </c>
      <c r="AV1888" s="116" t="e">
        <v>#N/A</v>
      </c>
      <c r="AW1888" s="121" t="e">
        <v>#N/A</v>
      </c>
      <c r="AX1888" s="115">
        <f>AN1888-AP1888</f>
      </c>
    </row>
    <row r="1889" spans="1:50" ht="15" customHeight="1" x14ac:dyDescent="0.3">
      <c r="A1889" s="94" t="s">
        <v>862</v>
      </c>
      <c r="B1889" s="94"/>
      <c r="C1889" s="94"/>
      <c r="D1889" s="94"/>
      <c r="E1889" s="94"/>
      <c r="F1889" s="94"/>
      <c r="G1889" s="112">
        <f>AU1889</f>
      </c>
      <c r="H1889" s="113"/>
      <c r="I1889" s="94" t="s">
        <v>278</v>
      </c>
      <c r="J1889" s="94" t="s">
        <v>267</v>
      </c>
      <c r="K1889" s="114">
        <f>P1889/3</f>
      </c>
      <c r="L1889" s="115">
        <v>200.857</v>
      </c>
      <c r="M1889" s="116"/>
      <c r="N1889" s="117">
        <f>M1889-L1889</f>
      </c>
      <c r="O1889" s="112"/>
      <c r="P1889" s="118">
        <f>N1889+O1889</f>
      </c>
      <c r="Q1889" s="94"/>
      <c r="R1889" s="94" t="s">
        <v>63</v>
      </c>
      <c r="S1889" s="119">
        <v>46349</v>
      </c>
      <c r="T1889" s="119"/>
      <c r="U1889" s="120" t="s">
        <v>631</v>
      </c>
      <c r="V1889" s="94"/>
      <c r="W1889" s="94"/>
      <c r="X1889" s="94"/>
      <c r="Y1889" s="119">
        <v>46327</v>
      </c>
      <c r="Z1889" s="94"/>
      <c r="AA1889" s="120"/>
      <c r="AB1889" s="120"/>
      <c r="AC1889" s="120"/>
      <c r="AD1889" s="120"/>
      <c r="AE1889" s="120"/>
      <c r="AF1889" s="120"/>
      <c r="AG1889" s="94"/>
      <c r="AH1889" s="120"/>
      <c r="AI1889" s="94"/>
      <c r="AJ1889" s="94"/>
      <c r="AK1889" s="94"/>
      <c r="AL1889" s="94">
        <v>120</v>
      </c>
      <c r="AM1889" s="94" t="str">
        <f>TRIM(AJ1889)&amp;TRIM(AL1889)&amp;TRIM(AK1889)</f>
      </c>
      <c r="AN1889" s="116">
        <v>0</v>
      </c>
      <c r="AO1889" s="116" t="inlineStr">
        <is>
          <t>#NA</t>
        </is>
      </c>
      <c r="AP1889" s="116">
        <f>SUMIFS(M:M,AM:AM,AM1889)+SUMIFS(O:O,AM:AM,AM1889)</f>
      </c>
      <c r="AQ1889" s="116">
        <f>SUMIFS(L:L,AM:AM,AM1889)</f>
      </c>
      <c r="AR1889" s="116">
        <f>AQ1889-AP1889</f>
      </c>
      <c r="AS1889" s="94" t="str">
        <f>IF(AN1889&gt;=AQ1889,"ok","ck")</f>
      </c>
      <c r="AT1889" s="116">
        <f>-P1889</f>
      </c>
      <c r="AU1889" s="115">
        <f>IF(SUMIFS(AT:AT,AM:AM,AM1889)&gt;AO1889,(SUMIFS(AT:AT,AM:AM,AM1889)-AO1889))</f>
      </c>
      <c r="AV1889" s="116" t="e">
        <v>#N/A</v>
      </c>
      <c r="AW1889" s="121" t="e">
        <v>#N/A</v>
      </c>
      <c r="AX1889" s="115">
        <f>AN1889-AP1889</f>
      </c>
    </row>
    <row r="1890" spans="1:50" ht="15" customHeight="1" x14ac:dyDescent="0.3">
      <c r="A1890" s="94" t="s">
        <v>862</v>
      </c>
      <c r="B1890" s="94"/>
      <c r="C1890" s="94"/>
      <c r="D1890" s="94"/>
      <c r="E1890" s="94"/>
      <c r="F1890" s="94"/>
      <c r="G1890" s="112">
        <f>AU1890</f>
      </c>
      <c r="H1890" s="113"/>
      <c r="I1890" s="94" t="s">
        <v>278</v>
      </c>
      <c r="J1890" s="94" t="s">
        <v>267</v>
      </c>
      <c r="K1890" s="114">
        <f>P1890/3</f>
      </c>
      <c r="L1890" s="115">
        <v>200.857</v>
      </c>
      <c r="M1890" s="116"/>
      <c r="N1890" s="117">
        <f>M1890-L1890</f>
      </c>
      <c r="O1890" s="112"/>
      <c r="P1890" s="118">
        <f>N1890+O1890</f>
      </c>
      <c r="Q1890" s="94"/>
      <c r="R1890" s="94" t="s">
        <v>63</v>
      </c>
      <c r="S1890" s="119">
        <v>46350</v>
      </c>
      <c r="T1890" s="119"/>
      <c r="U1890" s="120" t="s">
        <v>631</v>
      </c>
      <c r="V1890" s="94"/>
      <c r="W1890" s="94"/>
      <c r="X1890" s="94"/>
      <c r="Y1890" s="119">
        <v>46327</v>
      </c>
      <c r="Z1890" s="94"/>
      <c r="AA1890" s="120"/>
      <c r="AB1890" s="120"/>
      <c r="AC1890" s="120"/>
      <c r="AD1890" s="120"/>
      <c r="AE1890" s="120"/>
      <c r="AF1890" s="120"/>
      <c r="AG1890" s="94"/>
      <c r="AH1890" s="120"/>
      <c r="AI1890" s="94"/>
      <c r="AJ1890" s="94"/>
      <c r="AK1890" s="94"/>
      <c r="AL1890" s="94">
        <v>120</v>
      </c>
      <c r="AM1890" s="94" t="str">
        <f>TRIM(AJ1890)&amp;TRIM(AL1890)&amp;TRIM(AK1890)</f>
      </c>
      <c r="AN1890" s="116">
        <v>0</v>
      </c>
      <c r="AO1890" s="116" t="inlineStr">
        <is>
          <t>#NA</t>
        </is>
      </c>
      <c r="AP1890" s="116">
        <f>SUMIFS(M:M,AM:AM,AM1890)+SUMIFS(O:O,AM:AM,AM1890)</f>
      </c>
      <c r="AQ1890" s="116">
        <f>SUMIFS(L:L,AM:AM,AM1890)</f>
      </c>
      <c r="AR1890" s="116">
        <f>AQ1890-AP1890</f>
      </c>
      <c r="AS1890" s="94" t="str">
        <f>IF(AN1890&gt;=AQ1890,"ok","ck")</f>
      </c>
      <c r="AT1890" s="116">
        <f>-P1890</f>
      </c>
      <c r="AU1890" s="115">
        <f>IF(SUMIFS(AT:AT,AM:AM,AM1890)&gt;AO1890,(SUMIFS(AT:AT,AM:AM,AM1890)-AO1890))</f>
      </c>
      <c r="AV1890" s="116" t="e">
        <v>#N/A</v>
      </c>
      <c r="AW1890" s="121" t="e">
        <v>#N/A</v>
      </c>
      <c r="AX1890" s="115">
        <f>AN1890-AP1890</f>
      </c>
    </row>
    <row r="1891" spans="1:50" ht="15" customHeight="1" x14ac:dyDescent="0.3">
      <c r="A1891" s="94" t="s">
        <v>862</v>
      </c>
      <c r="B1891" s="94"/>
      <c r="C1891" s="94"/>
      <c r="D1891" s="94"/>
      <c r="E1891" s="94"/>
      <c r="F1891" s="94"/>
      <c r="G1891" s="112">
        <f>AU1891</f>
      </c>
      <c r="H1891" s="113"/>
      <c r="I1891" s="94" t="s">
        <v>278</v>
      </c>
      <c r="J1891" s="94" t="s">
        <v>267</v>
      </c>
      <c r="K1891" s="114">
        <f>P1891/3</f>
      </c>
      <c r="L1891" s="115">
        <v>2764.18</v>
      </c>
      <c r="M1891" s="116"/>
      <c r="N1891" s="117">
        <f>M1891-L1891</f>
      </c>
      <c r="O1891" s="112"/>
      <c r="P1891" s="118">
        <f>N1891+O1891</f>
      </c>
      <c r="Q1891" s="94"/>
      <c r="R1891" s="94" t="s">
        <v>63</v>
      </c>
      <c r="S1891" s="119">
        <v>46351</v>
      </c>
      <c r="T1891" s="119"/>
      <c r="U1891" s="120" t="s">
        <v>631</v>
      </c>
      <c r="V1891" s="94"/>
      <c r="W1891" s="94"/>
      <c r="X1891" s="94"/>
      <c r="Y1891" s="119">
        <v>46327</v>
      </c>
      <c r="Z1891" s="94"/>
      <c r="AA1891" s="120"/>
      <c r="AB1891" s="120"/>
      <c r="AC1891" s="120"/>
      <c r="AD1891" s="120"/>
      <c r="AE1891" s="120"/>
      <c r="AF1891" s="120"/>
      <c r="AG1891" s="94"/>
      <c r="AH1891" s="120"/>
      <c r="AI1891" s="94"/>
      <c r="AJ1891" s="94"/>
      <c r="AK1891" s="94"/>
      <c r="AL1891" s="94">
        <v>120</v>
      </c>
      <c r="AM1891" s="94" t="str">
        <f>TRIM(AJ1891)&amp;TRIM(AL1891)&amp;TRIM(AK1891)</f>
      </c>
      <c r="AN1891" s="116">
        <v>0</v>
      </c>
      <c r="AO1891" s="116" t="inlineStr">
        <is>
          <t>#NA</t>
        </is>
      </c>
      <c r="AP1891" s="116">
        <f>SUMIFS(M:M,AM:AM,AM1891)+SUMIFS(O:O,AM:AM,AM1891)</f>
      </c>
      <c r="AQ1891" s="116">
        <f>SUMIFS(L:L,AM:AM,AM1891)</f>
      </c>
      <c r="AR1891" s="116">
        <f>AQ1891-AP1891</f>
      </c>
      <c r="AS1891" s="94" t="str">
        <f>IF(AN1891&gt;=AQ1891,"ok","ck")</f>
      </c>
      <c r="AT1891" s="116">
        <f>-P1891</f>
      </c>
      <c r="AU1891" s="115">
        <f>IF(SUMIFS(AT:AT,AM:AM,AM1891)&gt;AO1891,(SUMIFS(AT:AT,AM:AM,AM1891)-AO1891))</f>
      </c>
      <c r="AV1891" s="116" t="e">
        <v>#N/A</v>
      </c>
      <c r="AW1891" s="121" t="e">
        <v>#N/A</v>
      </c>
      <c r="AX1891" s="115">
        <f>AN1891-AP1891</f>
      </c>
    </row>
    <row r="1892" spans="1:50" ht="15" hidden="1" customHeight="1" x14ac:dyDescent="0.3">
      <c r="A1892" s="94" t="s">
        <v>60</v>
      </c>
      <c r="B1892" s="94"/>
      <c r="C1892" s="94"/>
      <c r="D1892" s="94"/>
      <c r="E1892" s="94"/>
      <c r="F1892" s="94"/>
      <c r="G1892" s="112">
        <f>AU1892</f>
      </c>
      <c r="H1892" s="113"/>
      <c r="I1892" s="94" t="s">
        <v>490</v>
      </c>
      <c r="J1892" s="94" t="s">
        <v>579</v>
      </c>
      <c r="K1892" s="114">
        <f>P1892/3</f>
      </c>
      <c r="L1892" s="115">
        <v>-0.71</v>
      </c>
      <c r="M1892" s="116"/>
      <c r="N1892" s="117">
        <f>M1892-L1892</f>
      </c>
      <c r="O1892" s="112"/>
      <c r="P1892" s="118">
        <f>N1892+O1892</f>
      </c>
      <c r="Q1892" s="94" t="s">
        <v>117</v>
      </c>
      <c r="R1892" s="94" t="s">
        <v>392</v>
      </c>
      <c r="S1892" s="119">
        <v>46326</v>
      </c>
      <c r="T1892" s="119"/>
      <c r="U1892" s="120">
        <v>46326</v>
      </c>
      <c r="V1892" s="94"/>
      <c r="W1892" s="94"/>
      <c r="X1892" s="94"/>
      <c r="Y1892" s="119">
        <v>46326</v>
      </c>
      <c r="Z1892" s="94"/>
      <c r="AA1892" s="120"/>
      <c r="AB1892" s="120"/>
      <c r="AC1892" s="120"/>
      <c r="AD1892" s="120"/>
      <c r="AE1892" s="120"/>
      <c r="AF1892" s="120"/>
      <c r="AG1892" s="94"/>
      <c r="AH1892" s="120"/>
      <c r="AI1892" s="94"/>
      <c r="AJ1892" s="94" t="s">
        <v>117</v>
      </c>
      <c r="AK1892" s="94" t="s">
        <v>746</v>
      </c>
      <c r="AL1892" s="94">
        <v>140</v>
      </c>
      <c r="AM1892" s="94" t="str">
        <f>TRIM(AJ1892)&amp;TRIM(AL1892)&amp;TRIM(AK1892)</f>
      </c>
      <c r="AN1892" s="116">
        <v>0</v>
      </c>
      <c r="AO1892" s="116" t="inlineStr">
        <is>
          <t>#NA</t>
        </is>
      </c>
      <c r="AP1892" s="116">
        <f>SUMIFS(M:M,AM:AM,AM1892)+SUMIFS(O:O,AM:AM,AM1892)</f>
      </c>
      <c r="AQ1892" s="116">
        <f>SUMIFS(L:L,AM:AM,AM1892)</f>
      </c>
      <c r="AR1892" s="116">
        <f>AQ1892-AP1892</f>
      </c>
      <c r="AS1892" s="94" t="str">
        <f>IF(AN1892&gt;=AQ1892,"ok","ck")</f>
      </c>
      <c r="AT1892" s="116">
        <f>-P1892</f>
      </c>
      <c r="AU1892" s="115">
        <f>IF(SUMIFS(AT:AT,AM:AM,AM1892)&gt;AO1892,(SUMIFS(AT:AT,AM:AM,AM1892)-AO1892))</f>
      </c>
      <c r="AV1892" s="116">
        <v>0</v>
      </c>
      <c r="AW1892" s="121">
        <v>1.015</v>
      </c>
      <c r="AX1892" s="115">
        <f>AN1892-AP1892</f>
      </c>
    </row>
    <row r="1893" spans="1:50" ht="15" hidden="1" customHeight="1" x14ac:dyDescent="0.3">
      <c r="A1893" s="94" t="s">
        <v>151</v>
      </c>
      <c r="B1893" s="94"/>
      <c r="C1893" s="94"/>
      <c r="D1893" s="94"/>
      <c r="E1893" s="94"/>
      <c r="F1893" s="94"/>
      <c r="G1893" s="112">
        <f>AU1893</f>
      </c>
      <c r="H1893" s="113"/>
      <c r="I1893" s="94" t="s">
        <v>442</v>
      </c>
      <c r="J1893" s="94" t="s">
        <v>443</v>
      </c>
      <c r="K1893" s="114">
        <f>P1893/3</f>
      </c>
      <c r="L1893" s="115">
        <v>0</v>
      </c>
      <c r="M1893" s="116"/>
      <c r="N1893" s="117">
        <f>M1893-L1893</f>
      </c>
      <c r="O1893" s="112"/>
      <c r="P1893" s="118">
        <f>N1893+O1893</f>
      </c>
      <c r="Q1893" s="94" t="s">
        <v>160</v>
      </c>
      <c r="R1893" s="94" t="s">
        <v>392</v>
      </c>
      <c r="S1893" s="119">
        <v>46320</v>
      </c>
      <c r="T1893" s="119"/>
      <c r="U1893" s="120">
        <v>46320</v>
      </c>
      <c r="V1893" s="94"/>
      <c r="W1893" s="94"/>
      <c r="X1893" s="94"/>
      <c r="Y1893" s="119">
        <v>46320</v>
      </c>
      <c r="Z1893" s="94"/>
      <c r="AA1893" s="120"/>
      <c r="AB1893" s="120"/>
      <c r="AC1893" s="120"/>
      <c r="AD1893" s="120"/>
      <c r="AE1893" s="120"/>
      <c r="AF1893" s="120"/>
      <c r="AG1893" s="94"/>
      <c r="AH1893" s="120"/>
      <c r="AI1893" s="94"/>
      <c r="AJ1893" s="94" t="s">
        <v>160</v>
      </c>
      <c r="AK1893" s="94" t="s">
        <v>747</v>
      </c>
      <c r="AL1893" s="94">
        <v>160</v>
      </c>
      <c r="AM1893" s="94" t="str">
        <f>TRIM(AJ1893)&amp;TRIM(AL1893)&amp;TRIM(AK1893)</f>
      </c>
      <c r="AN1893" s="116">
        <v>0</v>
      </c>
      <c r="AO1893" s="116" t="inlineStr">
        <is>
          <t>#NA</t>
        </is>
      </c>
      <c r="AP1893" s="116">
        <f>SUMIFS(M:M,AM:AM,AM1893)+SUMIFS(O:O,AM:AM,AM1893)</f>
      </c>
      <c r="AQ1893" s="116">
        <f>SUMIFS(L:L,AM:AM,AM1893)</f>
      </c>
      <c r="AR1893" s="116">
        <f>AQ1893-AP1893</f>
      </c>
      <c r="AS1893" s="94" t="str">
        <f>IF(AN1893&gt;=AQ1893,"ok","ck")</f>
      </c>
      <c r="AT1893" s="116">
        <f>-P1893</f>
      </c>
      <c r="AU1893" s="115">
        <f>IF(SUMIFS(AT:AT,AM:AM,AM1893)&gt;AO1893,(SUMIFS(AT:AT,AM:AM,AM1893)-AO1893))</f>
      </c>
      <c r="AV1893" s="116">
        <v>0</v>
      </c>
      <c r="AW1893" s="121">
        <v>0.41</v>
      </c>
      <c r="AX1893" s="115">
        <f>AN1893-AP1893</f>
      </c>
    </row>
    <row r="1894" spans="1:50" ht="15" hidden="1" customHeight="1" x14ac:dyDescent="0.3">
      <c r="A1894" s="94" t="s">
        <v>151</v>
      </c>
      <c r="B1894" s="94"/>
      <c r="C1894" s="94"/>
      <c r="D1894" s="94"/>
      <c r="E1894" s="94"/>
      <c r="F1894" s="94"/>
      <c r="G1894" s="112">
        <f>AU1894</f>
      </c>
      <c r="H1894" s="113"/>
      <c r="I1894" s="94" t="s">
        <v>442</v>
      </c>
      <c r="J1894" s="94" t="s">
        <v>443</v>
      </c>
      <c r="K1894" s="114">
        <f>P1894/3</f>
      </c>
      <c r="L1894" s="115">
        <v>0</v>
      </c>
      <c r="M1894" s="116"/>
      <c r="N1894" s="117">
        <f>M1894-L1894</f>
      </c>
      <c r="O1894" s="112"/>
      <c r="P1894" s="118">
        <f>N1894+O1894</f>
      </c>
      <c r="Q1894" s="94" t="s">
        <v>160</v>
      </c>
      <c r="R1894" s="94" t="s">
        <v>392</v>
      </c>
      <c r="S1894" s="119">
        <v>46330</v>
      </c>
      <c r="T1894" s="119"/>
      <c r="U1894" s="120">
        <v>46330</v>
      </c>
      <c r="V1894" s="94"/>
      <c r="W1894" s="94"/>
      <c r="X1894" s="94"/>
      <c r="Y1894" s="119">
        <v>46330</v>
      </c>
      <c r="Z1894" s="94"/>
      <c r="AA1894" s="120"/>
      <c r="AB1894" s="120"/>
      <c r="AC1894" s="120"/>
      <c r="AD1894" s="120"/>
      <c r="AE1894" s="120"/>
      <c r="AF1894" s="120"/>
      <c r="AG1894" s="94"/>
      <c r="AH1894" s="120"/>
      <c r="AI1894" s="94"/>
      <c r="AJ1894" s="94" t="s">
        <v>160</v>
      </c>
      <c r="AK1894" s="94" t="s">
        <v>747</v>
      </c>
      <c r="AL1894" s="94">
        <v>160</v>
      </c>
      <c r="AM1894" s="94" t="str">
        <f>TRIM(AJ1894)&amp;TRIM(AL1894)&amp;TRIM(AK1894)</f>
      </c>
      <c r="AN1894" s="116">
        <v>0</v>
      </c>
      <c r="AO1894" s="116" t="inlineStr">
        <is>
          <t>#NA</t>
        </is>
      </c>
      <c r="AP1894" s="116">
        <f>SUMIFS(M:M,AM:AM,AM1894)+SUMIFS(O:O,AM:AM,AM1894)</f>
      </c>
      <c r="AQ1894" s="116">
        <f>SUMIFS(L:L,AM:AM,AM1894)</f>
      </c>
      <c r="AR1894" s="116">
        <f>AQ1894-AP1894</f>
      </c>
      <c r="AS1894" s="94" t="str">
        <f>IF(AN1894&gt;=AQ1894,"ok","ck")</f>
      </c>
      <c r="AT1894" s="116">
        <f>-P1894</f>
      </c>
      <c r="AU1894" s="115">
        <f>IF(SUMIFS(AT:AT,AM:AM,AM1894)&gt;AO1894,(SUMIFS(AT:AT,AM:AM,AM1894)-AO1894))</f>
      </c>
      <c r="AV1894" s="116">
        <v>0</v>
      </c>
      <c r="AW1894" s="121">
        <v>0.41</v>
      </c>
      <c r="AX1894" s="115">
        <f>AN1894-AP1894</f>
      </c>
    </row>
    <row r="1895" spans="1:50" ht="15" hidden="1" customHeight="1" x14ac:dyDescent="0.3">
      <c r="A1895" s="94" t="s">
        <v>151</v>
      </c>
      <c r="B1895" s="94"/>
      <c r="C1895" s="94"/>
      <c r="D1895" s="94"/>
      <c r="E1895" s="94"/>
      <c r="F1895" s="94"/>
      <c r="G1895" s="112">
        <f>AU1895</f>
      </c>
      <c r="H1895" s="113"/>
      <c r="I1895" s="94" t="s">
        <v>442</v>
      </c>
      <c r="J1895" s="94" t="s">
        <v>443</v>
      </c>
      <c r="K1895" s="114">
        <f>P1895/3</f>
      </c>
      <c r="L1895" s="115">
        <v>0</v>
      </c>
      <c r="M1895" s="116"/>
      <c r="N1895" s="117">
        <f>M1895-L1895</f>
      </c>
      <c r="O1895" s="112"/>
      <c r="P1895" s="118">
        <f>N1895+O1895</f>
      </c>
      <c r="Q1895" s="94" t="s">
        <v>160</v>
      </c>
      <c r="R1895" s="94" t="s">
        <v>392</v>
      </c>
      <c r="S1895" s="119">
        <v>46334</v>
      </c>
      <c r="T1895" s="119"/>
      <c r="U1895" s="120">
        <v>46334</v>
      </c>
      <c r="V1895" s="94"/>
      <c r="W1895" s="94"/>
      <c r="X1895" s="94"/>
      <c r="Y1895" s="119">
        <v>46334</v>
      </c>
      <c r="Z1895" s="94"/>
      <c r="AA1895" s="120"/>
      <c r="AB1895" s="120"/>
      <c r="AC1895" s="120"/>
      <c r="AD1895" s="120"/>
      <c r="AE1895" s="120"/>
      <c r="AF1895" s="120"/>
      <c r="AG1895" s="94"/>
      <c r="AH1895" s="120"/>
      <c r="AI1895" s="94"/>
      <c r="AJ1895" s="94" t="s">
        <v>160</v>
      </c>
      <c r="AK1895" s="94" t="s">
        <v>747</v>
      </c>
      <c r="AL1895" s="94">
        <v>160</v>
      </c>
      <c r="AM1895" s="94" t="str">
        <f>TRIM(AJ1895)&amp;TRIM(AL1895)&amp;TRIM(AK1895)</f>
      </c>
      <c r="AN1895" s="116">
        <v>0</v>
      </c>
      <c r="AO1895" s="116" t="inlineStr">
        <is>
          <t>#NA</t>
        </is>
      </c>
      <c r="AP1895" s="116">
        <f>SUMIFS(M:M,AM:AM,AM1895)+SUMIFS(O:O,AM:AM,AM1895)</f>
      </c>
      <c r="AQ1895" s="116">
        <f>SUMIFS(L:L,AM:AM,AM1895)</f>
      </c>
      <c r="AR1895" s="116">
        <f>AQ1895-AP1895</f>
      </c>
      <c r="AS1895" s="94" t="str">
        <f>IF(AN1895&gt;=AQ1895,"ok","ck")</f>
      </c>
      <c r="AT1895" s="116">
        <f>-P1895</f>
      </c>
      <c r="AU1895" s="115">
        <f>IF(SUMIFS(AT:AT,AM:AM,AM1895)&gt;AO1895,(SUMIFS(AT:AT,AM:AM,AM1895)-AO1895))</f>
      </c>
      <c r="AV1895" s="116">
        <v>0</v>
      </c>
      <c r="AW1895" s="121">
        <v>0.41</v>
      </c>
      <c r="AX1895" s="115">
        <f>AN1895-AP1895</f>
      </c>
    </row>
    <row r="1896" spans="1:50" ht="15" hidden="1" customHeight="1" x14ac:dyDescent="0.3">
      <c r="A1896" s="94" t="s">
        <v>151</v>
      </c>
      <c r="B1896" s="94"/>
      <c r="C1896" s="94"/>
      <c r="D1896" s="94"/>
      <c r="E1896" s="94"/>
      <c r="F1896" s="94"/>
      <c r="G1896" s="112">
        <f>AU1896</f>
      </c>
      <c r="H1896" s="113"/>
      <c r="I1896" s="94" t="s">
        <v>442</v>
      </c>
      <c r="J1896" s="94" t="s">
        <v>443</v>
      </c>
      <c r="K1896" s="114">
        <f>P1896/3</f>
      </c>
      <c r="L1896" s="115">
        <v>0</v>
      </c>
      <c r="M1896" s="116"/>
      <c r="N1896" s="117">
        <f>M1896-L1896</f>
      </c>
      <c r="O1896" s="112"/>
      <c r="P1896" s="118">
        <f>N1896+O1896</f>
      </c>
      <c r="Q1896" s="94" t="s">
        <v>160</v>
      </c>
      <c r="R1896" s="94" t="s">
        <v>392</v>
      </c>
      <c r="S1896" s="119">
        <v>46320</v>
      </c>
      <c r="T1896" s="119"/>
      <c r="U1896" s="120">
        <v>46320</v>
      </c>
      <c r="V1896" s="94"/>
      <c r="W1896" s="94"/>
      <c r="X1896" s="94"/>
      <c r="Y1896" s="119">
        <v>46320</v>
      </c>
      <c r="Z1896" s="94"/>
      <c r="AA1896" s="120"/>
      <c r="AB1896" s="120"/>
      <c r="AC1896" s="120"/>
      <c r="AD1896" s="120"/>
      <c r="AE1896" s="120"/>
      <c r="AF1896" s="120"/>
      <c r="AG1896" s="94"/>
      <c r="AH1896" s="120"/>
      <c r="AI1896" s="94"/>
      <c r="AJ1896" s="94" t="s">
        <v>160</v>
      </c>
      <c r="AK1896" s="94" t="s">
        <v>747</v>
      </c>
      <c r="AL1896" s="94">
        <v>160</v>
      </c>
      <c r="AM1896" s="94" t="str">
        <f>TRIM(AJ1896)&amp;TRIM(AL1896)&amp;TRIM(AK1896)</f>
      </c>
      <c r="AN1896" s="116">
        <v>0</v>
      </c>
      <c r="AO1896" s="116" t="inlineStr">
        <is>
          <t>#NA</t>
        </is>
      </c>
      <c r="AP1896" s="116">
        <f>SUMIFS(M:M,AM:AM,AM1896)+SUMIFS(O:O,AM:AM,AM1896)</f>
      </c>
      <c r="AQ1896" s="116">
        <f>SUMIFS(L:L,AM:AM,AM1896)</f>
      </c>
      <c r="AR1896" s="116">
        <f>AQ1896-AP1896</f>
      </c>
      <c r="AS1896" s="94" t="str">
        <f>IF(AN1896&gt;=AQ1896,"ok","ck")</f>
      </c>
      <c r="AT1896" s="116">
        <f>-P1896</f>
      </c>
      <c r="AU1896" s="115">
        <f>IF(SUMIFS(AT:AT,AM:AM,AM1896)&gt;AO1896,(SUMIFS(AT:AT,AM:AM,AM1896)-AO1896))</f>
      </c>
      <c r="AV1896" s="116">
        <v>0</v>
      </c>
      <c r="AW1896" s="121">
        <v>0.41</v>
      </c>
      <c r="AX1896" s="115">
        <f>AN1896-AP1896</f>
      </c>
    </row>
    <row r="1897" spans="1:50" ht="15" hidden="1" customHeight="1" x14ac:dyDescent="0.3">
      <c r="A1897" s="94" t="s">
        <v>151</v>
      </c>
      <c r="B1897" s="94"/>
      <c r="C1897" s="94"/>
      <c r="D1897" s="94"/>
      <c r="E1897" s="94"/>
      <c r="F1897" s="94"/>
      <c r="G1897" s="112">
        <f>AU1897</f>
      </c>
      <c r="H1897" s="113"/>
      <c r="I1897" s="94" t="s">
        <v>442</v>
      </c>
      <c r="J1897" s="94" t="s">
        <v>443</v>
      </c>
      <c r="K1897" s="114">
        <f>P1897/3</f>
      </c>
      <c r="L1897" s="115">
        <v>0</v>
      </c>
      <c r="M1897" s="116"/>
      <c r="N1897" s="117">
        <f>M1897-L1897</f>
      </c>
      <c r="O1897" s="112"/>
      <c r="P1897" s="118">
        <f>N1897+O1897</f>
      </c>
      <c r="Q1897" s="94" t="s">
        <v>160</v>
      </c>
      <c r="R1897" s="94" t="s">
        <v>392</v>
      </c>
      <c r="S1897" s="119">
        <v>46320</v>
      </c>
      <c r="T1897" s="119"/>
      <c r="U1897" s="120">
        <v>46320</v>
      </c>
      <c r="V1897" s="94"/>
      <c r="W1897" s="94"/>
      <c r="X1897" s="94"/>
      <c r="Y1897" s="119">
        <v>46320</v>
      </c>
      <c r="Z1897" s="94"/>
      <c r="AA1897" s="120"/>
      <c r="AB1897" s="120"/>
      <c r="AC1897" s="120"/>
      <c r="AD1897" s="120"/>
      <c r="AE1897" s="120"/>
      <c r="AF1897" s="120"/>
      <c r="AG1897" s="94"/>
      <c r="AH1897" s="120"/>
      <c r="AI1897" s="94"/>
      <c r="AJ1897" s="94" t="s">
        <v>160</v>
      </c>
      <c r="AK1897" s="94" t="s">
        <v>747</v>
      </c>
      <c r="AL1897" s="94">
        <v>160</v>
      </c>
      <c r="AM1897" s="94" t="str">
        <f>TRIM(AJ1897)&amp;TRIM(AL1897)&amp;TRIM(AK1897)</f>
      </c>
      <c r="AN1897" s="116">
        <v>0</v>
      </c>
      <c r="AO1897" s="116" t="inlineStr">
        <is>
          <t>#NA</t>
        </is>
      </c>
      <c r="AP1897" s="116">
        <f>SUMIFS(M:M,AM:AM,AM1897)+SUMIFS(O:O,AM:AM,AM1897)</f>
      </c>
      <c r="AQ1897" s="116">
        <f>SUMIFS(L:L,AM:AM,AM1897)</f>
      </c>
      <c r="AR1897" s="116">
        <f>AQ1897-AP1897</f>
      </c>
      <c r="AS1897" s="94" t="str">
        <f>IF(AN1897&gt;=AQ1897,"ok","ck")</f>
      </c>
      <c r="AT1897" s="116">
        <f>-P1897</f>
      </c>
      <c r="AU1897" s="115">
        <f>IF(SUMIFS(AT:AT,AM:AM,AM1897)&gt;AO1897,(SUMIFS(AT:AT,AM:AM,AM1897)-AO1897))</f>
      </c>
      <c r="AV1897" s="116">
        <v>0</v>
      </c>
      <c r="AW1897" s="121">
        <v>0.41</v>
      </c>
      <c r="AX1897" s="115">
        <f>AN1897-AP1897</f>
      </c>
    </row>
    <row r="1898" spans="1:50" ht="15" hidden="1" customHeight="1" x14ac:dyDescent="0.3">
      <c r="A1898" s="94" t="s">
        <v>151</v>
      </c>
      <c r="B1898" s="94"/>
      <c r="C1898" s="94"/>
      <c r="D1898" s="94"/>
      <c r="E1898" s="94"/>
      <c r="F1898" s="94"/>
      <c r="G1898" s="112">
        <f>AU1898</f>
      </c>
      <c r="H1898" s="113"/>
      <c r="I1898" s="94" t="s">
        <v>442</v>
      </c>
      <c r="J1898" s="94" t="s">
        <v>443</v>
      </c>
      <c r="K1898" s="114">
        <f>P1898/3</f>
      </c>
      <c r="L1898" s="115">
        <v>0</v>
      </c>
      <c r="M1898" s="116"/>
      <c r="N1898" s="117">
        <f>M1898-L1898</f>
      </c>
      <c r="O1898" s="112"/>
      <c r="P1898" s="118">
        <f>N1898+O1898</f>
      </c>
      <c r="Q1898" s="94" t="s">
        <v>160</v>
      </c>
      <c r="R1898" s="94" t="s">
        <v>392</v>
      </c>
      <c r="S1898" s="119">
        <v>46327</v>
      </c>
      <c r="T1898" s="119"/>
      <c r="U1898" s="120">
        <v>46327</v>
      </c>
      <c r="V1898" s="94"/>
      <c r="W1898" s="94"/>
      <c r="X1898" s="94"/>
      <c r="Y1898" s="119">
        <v>46327</v>
      </c>
      <c r="Z1898" s="94"/>
      <c r="AA1898" s="120"/>
      <c r="AB1898" s="120"/>
      <c r="AC1898" s="120"/>
      <c r="AD1898" s="120"/>
      <c r="AE1898" s="120"/>
      <c r="AF1898" s="120"/>
      <c r="AG1898" s="94"/>
      <c r="AH1898" s="120"/>
      <c r="AI1898" s="94"/>
      <c r="AJ1898" s="94" t="s">
        <v>160</v>
      </c>
      <c r="AK1898" s="94" t="s">
        <v>747</v>
      </c>
      <c r="AL1898" s="94">
        <v>160</v>
      </c>
      <c r="AM1898" s="94" t="str">
        <f>TRIM(AJ1898)&amp;TRIM(AL1898)&amp;TRIM(AK1898)</f>
      </c>
      <c r="AN1898" s="116">
        <v>0</v>
      </c>
      <c r="AO1898" s="116" t="inlineStr">
        <is>
          <t>#NA</t>
        </is>
      </c>
      <c r="AP1898" s="116">
        <f>SUMIFS(M:M,AM:AM,AM1898)+SUMIFS(O:O,AM:AM,AM1898)</f>
      </c>
      <c r="AQ1898" s="116">
        <f>SUMIFS(L:L,AM:AM,AM1898)</f>
      </c>
      <c r="AR1898" s="116">
        <f>AQ1898-AP1898</f>
      </c>
      <c r="AS1898" s="94" t="str">
        <f>IF(AN1898&gt;=AQ1898,"ok","ck")</f>
      </c>
      <c r="AT1898" s="116">
        <f>-P1898</f>
      </c>
      <c r="AU1898" s="115">
        <f>IF(SUMIFS(AT:AT,AM:AM,AM1898)&gt;AO1898,(SUMIFS(AT:AT,AM:AM,AM1898)-AO1898))</f>
      </c>
      <c r="AV1898" s="116">
        <v>0</v>
      </c>
      <c r="AW1898" s="121">
        <v>0.41</v>
      </c>
      <c r="AX1898" s="115">
        <f>AN1898-AP1898</f>
      </c>
    </row>
    <row r="1899" spans="1:50" ht="15" hidden="1" customHeight="1" x14ac:dyDescent="0.3">
      <c r="A1899" s="94" t="s">
        <v>151</v>
      </c>
      <c r="B1899" s="94"/>
      <c r="C1899" s="94"/>
      <c r="D1899" s="94"/>
      <c r="E1899" s="94"/>
      <c r="F1899" s="94"/>
      <c r="G1899" s="112">
        <f>AU1899</f>
      </c>
      <c r="H1899" s="113"/>
      <c r="I1899" s="94" t="s">
        <v>442</v>
      </c>
      <c r="J1899" s="94" t="s">
        <v>443</v>
      </c>
      <c r="K1899" s="114">
        <f>P1899/3</f>
      </c>
      <c r="L1899" s="115">
        <v>363.12</v>
      </c>
      <c r="M1899" s="116"/>
      <c r="N1899" s="117">
        <f>M1899-L1899</f>
      </c>
      <c r="O1899" s="112"/>
      <c r="P1899" s="118">
        <f>N1899+O1899</f>
      </c>
      <c r="Q1899" s="94" t="s">
        <v>160</v>
      </c>
      <c r="R1899" s="94" t="s">
        <v>392</v>
      </c>
      <c r="S1899" s="119">
        <v>46342</v>
      </c>
      <c r="T1899" s="119"/>
      <c r="U1899" s="120">
        <v>46342</v>
      </c>
      <c r="V1899" s="94"/>
      <c r="W1899" s="94"/>
      <c r="X1899" s="94"/>
      <c r="Y1899" s="119">
        <v>46342</v>
      </c>
      <c r="Z1899" s="94"/>
      <c r="AA1899" s="120"/>
      <c r="AB1899" s="120"/>
      <c r="AC1899" s="120"/>
      <c r="AD1899" s="120"/>
      <c r="AE1899" s="120"/>
      <c r="AF1899" s="120"/>
      <c r="AG1899" s="94"/>
      <c r="AH1899" s="120"/>
      <c r="AI1899" s="94"/>
      <c r="AJ1899" s="94" t="s">
        <v>160</v>
      </c>
      <c r="AK1899" s="94" t="s">
        <v>747</v>
      </c>
      <c r="AL1899" s="94">
        <v>160</v>
      </c>
      <c r="AM1899" s="94" t="str">
        <f>TRIM(AJ1899)&amp;TRIM(AL1899)&amp;TRIM(AK1899)</f>
      </c>
      <c r="AN1899" s="116">
        <v>0</v>
      </c>
      <c r="AO1899" s="116" t="inlineStr">
        <is>
          <t>#NA</t>
        </is>
      </c>
      <c r="AP1899" s="116">
        <f>SUMIFS(M:M,AM:AM,AM1899)+SUMIFS(O:O,AM:AM,AM1899)</f>
      </c>
      <c r="AQ1899" s="116">
        <f>SUMIFS(L:L,AM:AM,AM1899)</f>
      </c>
      <c r="AR1899" s="116">
        <f>AQ1899-AP1899</f>
      </c>
      <c r="AS1899" s="94" t="str">
        <f>IF(AN1899&gt;=AQ1899,"ok","ck")</f>
      </c>
      <c r="AT1899" s="116">
        <f>-P1899</f>
      </c>
      <c r="AU1899" s="115">
        <f>IF(SUMIFS(AT:AT,AM:AM,AM1899)&gt;AO1899,(SUMIFS(AT:AT,AM:AM,AM1899)-AO1899))</f>
      </c>
      <c r="AV1899" s="116">
        <v>0</v>
      </c>
      <c r="AW1899" s="121">
        <v>0.41</v>
      </c>
      <c r="AX1899" s="115">
        <f>AN1899-AP1899</f>
      </c>
    </row>
    <row r="1900" spans="1:50" ht="15" hidden="1" customHeight="1" x14ac:dyDescent="0.3">
      <c r="A1900" s="94" t="s">
        <v>311</v>
      </c>
      <c r="B1900" s="94"/>
      <c r="C1900" s="94"/>
      <c r="D1900" s="94"/>
      <c r="E1900" s="94"/>
      <c r="F1900" s="94"/>
      <c r="G1900" s="112">
        <f>AU1900</f>
      </c>
      <c r="H1900" s="113"/>
      <c r="I1900" s="94" t="s">
        <v>409</v>
      </c>
      <c r="J1900" s="94" t="s">
        <v>428</v>
      </c>
      <c r="K1900" s="114">
        <f>P1900/3</f>
      </c>
      <c r="L1900" s="115">
        <v>170</v>
      </c>
      <c r="M1900" s="116"/>
      <c r="N1900" s="117">
        <f>M1900-L1900</f>
      </c>
      <c r="O1900" s="112"/>
      <c r="P1900" s="118">
        <f>N1900+O1900</f>
      </c>
      <c r="Q1900" s="94" t="s">
        <v>346</v>
      </c>
      <c r="R1900" s="94" t="s">
        <v>392</v>
      </c>
      <c r="S1900" s="119">
        <v>46320</v>
      </c>
      <c r="T1900" s="119"/>
      <c r="U1900" s="120">
        <v>46320</v>
      </c>
      <c r="V1900" s="94"/>
      <c r="W1900" s="94"/>
      <c r="X1900" s="94"/>
      <c r="Y1900" s="119">
        <v>46320</v>
      </c>
      <c r="Z1900" s="94"/>
      <c r="AA1900" s="120"/>
      <c r="AB1900" s="120"/>
      <c r="AC1900" s="120"/>
      <c r="AD1900" s="120"/>
      <c r="AE1900" s="120"/>
      <c r="AF1900" s="120"/>
      <c r="AG1900" s="94"/>
      <c r="AH1900" s="120"/>
      <c r="AI1900" s="94"/>
      <c r="AJ1900" s="94" t="s">
        <v>346</v>
      </c>
      <c r="AK1900" s="94" t="s">
        <v>377</v>
      </c>
      <c r="AL1900" s="94">
        <v>150</v>
      </c>
      <c r="AM1900" s="94" t="str">
        <f>TRIM(AJ1900)&amp;TRIM(AL1900)&amp;TRIM(AK1900)</f>
      </c>
      <c r="AN1900" s="116">
        <v>0</v>
      </c>
      <c r="AO1900" s="116" t="inlineStr">
        <is>
          <t>#NA</t>
        </is>
      </c>
      <c r="AP1900" s="116">
        <f>SUMIFS(M:M,AM:AM,AM1900)+SUMIFS(O:O,AM:AM,AM1900)</f>
      </c>
      <c r="AQ1900" s="116">
        <f>SUMIFS(L:L,AM:AM,AM1900)</f>
      </c>
      <c r="AR1900" s="116">
        <f>AQ1900-AP1900</f>
      </c>
      <c r="AS1900" s="94" t="str">
        <f>IF(AN1900&gt;=AQ1900,"ok","ck")</f>
      </c>
      <c r="AT1900" s="116">
        <f>-P1900</f>
      </c>
      <c r="AU1900" s="115">
        <f>IF(SUMIFS(AT:AT,AM:AM,AM1900)&gt;AO1900,(SUMIFS(AT:AT,AM:AM,AM1900)-AO1900))</f>
      </c>
      <c r="AV1900" s="116">
        <v>0</v>
      </c>
      <c r="AW1900" s="121">
        <v>0.994</v>
      </c>
      <c r="AX1900" s="115">
        <f>AN1900-AP1900</f>
      </c>
    </row>
    <row r="1901" spans="1:50" ht="15" hidden="1" customHeight="1" x14ac:dyDescent="0.3">
      <c r="A1901" s="94" t="s">
        <v>311</v>
      </c>
      <c r="B1901" s="94"/>
      <c r="C1901" s="94"/>
      <c r="D1901" s="94"/>
      <c r="E1901" s="94"/>
      <c r="F1901" s="94"/>
      <c r="G1901" s="112">
        <f>AU1901</f>
      </c>
      <c r="H1901" s="113"/>
      <c r="I1901" s="94" t="s">
        <v>409</v>
      </c>
      <c r="J1901" s="94" t="s">
        <v>428</v>
      </c>
      <c r="K1901" s="114">
        <f>P1901/3</f>
      </c>
      <c r="L1901" s="115">
        <v>169.98</v>
      </c>
      <c r="M1901" s="116"/>
      <c r="N1901" s="117">
        <f>M1901-L1901</f>
      </c>
      <c r="O1901" s="112"/>
      <c r="P1901" s="118">
        <f>N1901+O1901</f>
      </c>
      <c r="Q1901" s="94" t="s">
        <v>346</v>
      </c>
      <c r="R1901" s="94" t="s">
        <v>392</v>
      </c>
      <c r="S1901" s="119">
        <v>46322</v>
      </c>
      <c r="T1901" s="119"/>
      <c r="U1901" s="120">
        <v>46322</v>
      </c>
      <c r="V1901" s="94"/>
      <c r="W1901" s="94"/>
      <c r="X1901" s="94"/>
      <c r="Y1901" s="119">
        <v>46322</v>
      </c>
      <c r="Z1901" s="94"/>
      <c r="AA1901" s="120"/>
      <c r="AB1901" s="120"/>
      <c r="AC1901" s="120"/>
      <c r="AD1901" s="120"/>
      <c r="AE1901" s="120"/>
      <c r="AF1901" s="120"/>
      <c r="AG1901" s="94"/>
      <c r="AH1901" s="120"/>
      <c r="AI1901" s="94"/>
      <c r="AJ1901" s="94" t="s">
        <v>346</v>
      </c>
      <c r="AK1901" s="94" t="s">
        <v>377</v>
      </c>
      <c r="AL1901" s="94">
        <v>150</v>
      </c>
      <c r="AM1901" s="94" t="str">
        <f>TRIM(AJ1901)&amp;TRIM(AL1901)&amp;TRIM(AK1901)</f>
      </c>
      <c r="AN1901" s="116">
        <v>0</v>
      </c>
      <c r="AO1901" s="116" t="inlineStr">
        <is>
          <t>#NA</t>
        </is>
      </c>
      <c r="AP1901" s="116">
        <f>SUMIFS(M:M,AM:AM,AM1901)+SUMIFS(O:O,AM:AM,AM1901)</f>
      </c>
      <c r="AQ1901" s="116">
        <f>SUMIFS(L:L,AM:AM,AM1901)</f>
      </c>
      <c r="AR1901" s="116">
        <f>AQ1901-AP1901</f>
      </c>
      <c r="AS1901" s="94" t="str">
        <f>IF(AN1901&gt;=AQ1901,"ok","ck")</f>
      </c>
      <c r="AT1901" s="116">
        <f>-P1901</f>
      </c>
      <c r="AU1901" s="115">
        <f>IF(SUMIFS(AT:AT,AM:AM,AM1901)&gt;AO1901,(SUMIFS(AT:AT,AM:AM,AM1901)-AO1901))</f>
      </c>
      <c r="AV1901" s="116">
        <v>0</v>
      </c>
      <c r="AW1901" s="121">
        <v>0.994</v>
      </c>
      <c r="AX1901" s="115">
        <f>AN1901-AP1901</f>
      </c>
    </row>
    <row r="1902" spans="1:50" ht="15" hidden="1" customHeight="1" x14ac:dyDescent="0.3">
      <c r="A1902" s="94" t="s">
        <v>76</v>
      </c>
      <c r="B1902" s="94"/>
      <c r="C1902" s="94"/>
      <c r="D1902" s="94"/>
      <c r="E1902" s="94"/>
      <c r="F1902" s="94"/>
      <c r="G1902" s="112">
        <f>AU1902</f>
      </c>
      <c r="H1902" s="113"/>
      <c r="I1902" s="94" t="s">
        <v>393</v>
      </c>
      <c r="J1902" s="94" t="s">
        <v>426</v>
      </c>
      <c r="K1902" s="114">
        <f>P1902/3</f>
      </c>
      <c r="L1902" s="115">
        <v>154.65700000000001</v>
      </c>
      <c r="M1902" s="116"/>
      <c r="N1902" s="117">
        <f>M1902-L1902</f>
      </c>
      <c r="O1902" s="112"/>
      <c r="P1902" s="118">
        <f>N1902+O1902</f>
      </c>
      <c r="Q1902" s="94" t="s">
        <v>395</v>
      </c>
      <c r="R1902" s="94" t="s">
        <v>392</v>
      </c>
      <c r="S1902" s="119">
        <v>46336</v>
      </c>
      <c r="T1902" s="119"/>
      <c r="U1902" s="120">
        <v>46336</v>
      </c>
      <c r="V1902" s="94"/>
      <c r="W1902" s="94"/>
      <c r="X1902" s="94"/>
      <c r="Y1902" s="119">
        <v>46320</v>
      </c>
      <c r="Z1902" s="94"/>
      <c r="AA1902" s="120"/>
      <c r="AB1902" s="120"/>
      <c r="AC1902" s="120"/>
      <c r="AD1902" s="120"/>
      <c r="AE1902" s="120"/>
      <c r="AF1902" s="120"/>
      <c r="AG1902" s="94"/>
      <c r="AH1902" s="120"/>
      <c r="AI1902" s="94"/>
      <c r="AJ1902" s="94" t="s">
        <v>395</v>
      </c>
      <c r="AK1902" s="94" t="s">
        <v>748</v>
      </c>
      <c r="AL1902" s="94">
        <v>150</v>
      </c>
      <c r="AM1902" s="94" t="str">
        <f>TRIM(AJ1902)&amp;TRIM(AL1902)&amp;TRIM(AK1902)</f>
      </c>
      <c r="AN1902" s="116">
        <v>0</v>
      </c>
      <c r="AO1902" s="116" t="inlineStr">
        <is>
          <t>#NA</t>
        </is>
      </c>
      <c r="AP1902" s="116">
        <f>SUMIFS(M:M,AM:AM,AM1902)+SUMIFS(O:O,AM:AM,AM1902)</f>
      </c>
      <c r="AQ1902" s="116">
        <f>SUMIFS(L:L,AM:AM,AM1902)</f>
      </c>
      <c r="AR1902" s="116">
        <f>AQ1902-AP1902</f>
      </c>
      <c r="AS1902" s="94" t="str">
        <f>IF(AN1902&gt;=AQ1902,"ok","ck")</f>
      </c>
      <c r="AT1902" s="116">
        <f>-P1902</f>
      </c>
      <c r="AU1902" s="115">
        <f>IF(SUMIFS(AT:AT,AM:AM,AM1902)&gt;AO1902,(SUMIFS(AT:AT,AM:AM,AM1902)-AO1902))</f>
      </c>
      <c r="AV1902" s="116">
        <v>0</v>
      </c>
      <c r="AW1902" s="121">
        <v>0.914</v>
      </c>
      <c r="AX1902" s="115">
        <f>AN1902-AP1902</f>
      </c>
    </row>
    <row r="1903" spans="1:50" ht="15" hidden="1" customHeight="1" x14ac:dyDescent="0.3">
      <c r="A1903" s="94" t="s">
        <v>76</v>
      </c>
      <c r="B1903" s="94"/>
      <c r="C1903" s="94"/>
      <c r="D1903" s="94"/>
      <c r="E1903" s="94"/>
      <c r="F1903" s="94"/>
      <c r="G1903" s="112">
        <f>AU1903</f>
      </c>
      <c r="H1903" s="113"/>
      <c r="I1903" s="94" t="s">
        <v>393</v>
      </c>
      <c r="J1903" s="94" t="s">
        <v>426</v>
      </c>
      <c r="K1903" s="114">
        <f>P1903/3</f>
      </c>
      <c r="L1903" s="115">
        <v>0.31900000000000001</v>
      </c>
      <c r="M1903" s="116"/>
      <c r="N1903" s="117">
        <f>M1903-L1903</f>
      </c>
      <c r="O1903" s="112"/>
      <c r="P1903" s="118">
        <f>N1903+O1903</f>
      </c>
      <c r="Q1903" s="94" t="s">
        <v>395</v>
      </c>
      <c r="R1903" s="94" t="s">
        <v>392</v>
      </c>
      <c r="S1903" s="119">
        <v>46336</v>
      </c>
      <c r="T1903" s="119"/>
      <c r="U1903" s="120">
        <v>46336</v>
      </c>
      <c r="V1903" s="94"/>
      <c r="W1903" s="94"/>
      <c r="X1903" s="94"/>
      <c r="Y1903" s="119">
        <v>46320</v>
      </c>
      <c r="Z1903" s="94"/>
      <c r="AA1903" s="120"/>
      <c r="AB1903" s="120"/>
      <c r="AC1903" s="120"/>
      <c r="AD1903" s="120"/>
      <c r="AE1903" s="120"/>
      <c r="AF1903" s="120"/>
      <c r="AG1903" s="94"/>
      <c r="AH1903" s="120"/>
      <c r="AI1903" s="94"/>
      <c r="AJ1903" s="94" t="s">
        <v>395</v>
      </c>
      <c r="AK1903" s="94" t="s">
        <v>748</v>
      </c>
      <c r="AL1903" s="94">
        <v>150</v>
      </c>
      <c r="AM1903" s="94" t="str">
        <f>TRIM(AJ1903)&amp;TRIM(AL1903)&amp;TRIM(AK1903)</f>
      </c>
      <c r="AN1903" s="116">
        <v>0</v>
      </c>
      <c r="AO1903" s="116" t="inlineStr">
        <is>
          <t>#NA</t>
        </is>
      </c>
      <c r="AP1903" s="116">
        <f>SUMIFS(M:M,AM:AM,AM1903)+SUMIFS(O:O,AM:AM,AM1903)</f>
      </c>
      <c r="AQ1903" s="116">
        <f>SUMIFS(L:L,AM:AM,AM1903)</f>
      </c>
      <c r="AR1903" s="116">
        <f>AQ1903-AP1903</f>
      </c>
      <c r="AS1903" s="94" t="str">
        <f>IF(AN1903&gt;=AQ1903,"ok","ck")</f>
      </c>
      <c r="AT1903" s="116">
        <f>-P1903</f>
      </c>
      <c r="AU1903" s="115">
        <f>IF(SUMIFS(AT:AT,AM:AM,AM1903)&gt;AO1903,(SUMIFS(AT:AT,AM:AM,AM1903)-AO1903))</f>
      </c>
      <c r="AV1903" s="116">
        <v>0</v>
      </c>
      <c r="AW1903" s="121">
        <v>0.914</v>
      </c>
      <c r="AX1903" s="115">
        <f>AN1903-AP1903</f>
      </c>
    </row>
    <row r="1904" spans="1:50" ht="15" hidden="1" customHeight="1" x14ac:dyDescent="0.3">
      <c r="A1904" s="94" t="s">
        <v>151</v>
      </c>
      <c r="B1904" s="94"/>
      <c r="C1904" s="94"/>
      <c r="D1904" s="94"/>
      <c r="E1904" s="94"/>
      <c r="F1904" s="94"/>
      <c r="G1904" s="112">
        <f>AU1904</f>
      </c>
      <c r="H1904" s="113"/>
      <c r="I1904" s="94" t="s">
        <v>442</v>
      </c>
      <c r="J1904" s="94" t="s">
        <v>443</v>
      </c>
      <c r="K1904" s="114">
        <f>P1904/3</f>
      </c>
      <c r="L1904" s="115">
        <v>0</v>
      </c>
      <c r="M1904" s="116"/>
      <c r="N1904" s="117">
        <f>M1904-L1904</f>
      </c>
      <c r="O1904" s="112"/>
      <c r="P1904" s="118">
        <f>N1904+O1904</f>
      </c>
      <c r="Q1904" s="94" t="s">
        <v>160</v>
      </c>
      <c r="R1904" s="94" t="s">
        <v>392</v>
      </c>
      <c r="S1904" s="119">
        <v>46322</v>
      </c>
      <c r="T1904" s="119"/>
      <c r="U1904" s="120">
        <v>46322</v>
      </c>
      <c r="V1904" s="94"/>
      <c r="W1904" s="94"/>
      <c r="X1904" s="94"/>
      <c r="Y1904" s="119">
        <v>46322</v>
      </c>
      <c r="Z1904" s="94"/>
      <c r="AA1904" s="120"/>
      <c r="AB1904" s="120"/>
      <c r="AC1904" s="120"/>
      <c r="AD1904" s="120"/>
      <c r="AE1904" s="120"/>
      <c r="AF1904" s="120"/>
      <c r="AG1904" s="94"/>
      <c r="AH1904" s="120"/>
      <c r="AI1904" s="94"/>
      <c r="AJ1904" s="94" t="s">
        <v>160</v>
      </c>
      <c r="AK1904" s="94" t="s">
        <v>747</v>
      </c>
      <c r="AL1904" s="94">
        <v>160</v>
      </c>
      <c r="AM1904" s="94" t="str">
        <f>TRIM(AJ1904)&amp;TRIM(AL1904)&amp;TRIM(AK1904)</f>
      </c>
      <c r="AN1904" s="116">
        <v>0</v>
      </c>
      <c r="AO1904" s="116" t="inlineStr">
        <is>
          <t>#NA</t>
        </is>
      </c>
      <c r="AP1904" s="116">
        <f>SUMIFS(M:M,AM:AM,AM1904)+SUMIFS(O:O,AM:AM,AM1904)</f>
      </c>
      <c r="AQ1904" s="116">
        <f>SUMIFS(L:L,AM:AM,AM1904)</f>
      </c>
      <c r="AR1904" s="116">
        <f>AQ1904-AP1904</f>
      </c>
      <c r="AS1904" s="94" t="str">
        <f>IF(AN1904&gt;=AQ1904,"ok","ck")</f>
      </c>
      <c r="AT1904" s="116">
        <f>-P1904</f>
      </c>
      <c r="AU1904" s="115">
        <f>IF(SUMIFS(AT:AT,AM:AM,AM1904)&gt;AO1904,(SUMIFS(AT:AT,AM:AM,AM1904)-AO1904))</f>
      </c>
      <c r="AV1904" s="116">
        <v>0</v>
      </c>
      <c r="AW1904" s="121">
        <v>0.41</v>
      </c>
      <c r="AX1904" s="115">
        <f>AN1904-AP1904</f>
      </c>
    </row>
    <row r="1905" spans="1:50" ht="15" hidden="1" customHeight="1" x14ac:dyDescent="0.3">
      <c r="A1905" s="94" t="s">
        <v>151</v>
      </c>
      <c r="B1905" s="94"/>
      <c r="C1905" s="94"/>
      <c r="D1905" s="94"/>
      <c r="E1905" s="94"/>
      <c r="F1905" s="94"/>
      <c r="G1905" s="112">
        <f>AU1905</f>
      </c>
      <c r="H1905" s="113"/>
      <c r="I1905" s="94" t="s">
        <v>442</v>
      </c>
      <c r="J1905" s="94" t="s">
        <v>443</v>
      </c>
      <c r="K1905" s="114">
        <f>P1905/3</f>
      </c>
      <c r="L1905" s="115">
        <v>0</v>
      </c>
      <c r="M1905" s="116"/>
      <c r="N1905" s="117">
        <f>M1905-L1905</f>
      </c>
      <c r="O1905" s="112"/>
      <c r="P1905" s="118">
        <f>N1905+O1905</f>
      </c>
      <c r="Q1905" s="94" t="s">
        <v>160</v>
      </c>
      <c r="R1905" s="94" t="s">
        <v>392</v>
      </c>
      <c r="S1905" s="119">
        <v>46335</v>
      </c>
      <c r="T1905" s="119"/>
      <c r="U1905" s="120">
        <v>46335</v>
      </c>
      <c r="V1905" s="94"/>
      <c r="W1905" s="94"/>
      <c r="X1905" s="94"/>
      <c r="Y1905" s="119">
        <v>46335</v>
      </c>
      <c r="Z1905" s="94"/>
      <c r="AA1905" s="120"/>
      <c r="AB1905" s="120"/>
      <c r="AC1905" s="120"/>
      <c r="AD1905" s="120"/>
      <c r="AE1905" s="120"/>
      <c r="AF1905" s="120"/>
      <c r="AG1905" s="94"/>
      <c r="AH1905" s="120"/>
      <c r="AI1905" s="94"/>
      <c r="AJ1905" s="94" t="s">
        <v>160</v>
      </c>
      <c r="AK1905" s="94" t="s">
        <v>747</v>
      </c>
      <c r="AL1905" s="94">
        <v>160</v>
      </c>
      <c r="AM1905" s="94" t="str">
        <f>TRIM(AJ1905)&amp;TRIM(AL1905)&amp;TRIM(AK1905)</f>
      </c>
      <c r="AN1905" s="116">
        <v>0</v>
      </c>
      <c r="AO1905" s="116" t="inlineStr">
        <is>
          <t>#NA</t>
        </is>
      </c>
      <c r="AP1905" s="116">
        <f>SUMIFS(M:M,AM:AM,AM1905)+SUMIFS(O:O,AM:AM,AM1905)</f>
      </c>
      <c r="AQ1905" s="116">
        <f>SUMIFS(L:L,AM:AM,AM1905)</f>
      </c>
      <c r="AR1905" s="116">
        <f>AQ1905-AP1905</f>
      </c>
      <c r="AS1905" s="94" t="str">
        <f>IF(AN1905&gt;=AQ1905,"ok","ck")</f>
      </c>
      <c r="AT1905" s="116">
        <f>-P1905</f>
      </c>
      <c r="AU1905" s="115">
        <f>IF(SUMIFS(AT:AT,AM:AM,AM1905)&gt;AO1905,(SUMIFS(AT:AT,AM:AM,AM1905)-AO1905))</f>
      </c>
      <c r="AV1905" s="116">
        <v>0</v>
      </c>
      <c r="AW1905" s="121">
        <v>0.41</v>
      </c>
      <c r="AX1905" s="115">
        <f>AN1905-AP1905</f>
      </c>
    </row>
    <row r="1906" spans="1:50" ht="15" hidden="1" customHeight="1" x14ac:dyDescent="0.3">
      <c r="A1906" s="94" t="s">
        <v>76</v>
      </c>
      <c r="B1906" s="94"/>
      <c r="C1906" s="94"/>
      <c r="D1906" s="94"/>
      <c r="E1906" s="94"/>
      <c r="F1906" s="94"/>
      <c r="G1906" s="112">
        <f>AU1906</f>
      </c>
      <c r="H1906" s="113"/>
      <c r="I1906" s="94" t="s">
        <v>393</v>
      </c>
      <c r="J1906" s="94" t="s">
        <v>580</v>
      </c>
      <c r="K1906" s="114">
        <f>P1906/3</f>
      </c>
      <c r="L1906" s="115">
        <v>380.62099999999998</v>
      </c>
      <c r="M1906" s="116"/>
      <c r="N1906" s="117">
        <f>M1906-L1906</f>
      </c>
      <c r="O1906" s="112"/>
      <c r="P1906" s="118">
        <f>N1906+O1906</f>
      </c>
      <c r="Q1906" s="94" t="s">
        <v>833</v>
      </c>
      <c r="R1906" s="94" t="s">
        <v>392</v>
      </c>
      <c r="S1906" s="119">
        <v>46347</v>
      </c>
      <c r="T1906" s="119"/>
      <c r="U1906" s="120">
        <v>46347</v>
      </c>
      <c r="V1906" s="94"/>
      <c r="W1906" s="94"/>
      <c r="X1906" s="94"/>
      <c r="Y1906" s="119">
        <v>46343</v>
      </c>
      <c r="Z1906" s="94"/>
      <c r="AA1906" s="120"/>
      <c r="AB1906" s="120"/>
      <c r="AC1906" s="120"/>
      <c r="AD1906" s="120"/>
      <c r="AE1906" s="120"/>
      <c r="AF1906" s="120"/>
      <c r="AG1906" s="94"/>
      <c r="AH1906" s="120"/>
      <c r="AI1906" s="94"/>
      <c r="AJ1906" s="94" t="s">
        <v>833</v>
      </c>
      <c r="AK1906" s="94" t="s">
        <v>115</v>
      </c>
      <c r="AL1906" s="94">
        <v>150</v>
      </c>
      <c r="AM1906" s="94" t="str">
        <f>TRIM(AJ1906)&amp;TRIM(AL1906)&amp;TRIM(AK1906)</f>
      </c>
      <c r="AN1906" s="116">
        <v>0</v>
      </c>
      <c r="AO1906" s="116" t="inlineStr">
        <is>
          <t>#NA</t>
        </is>
      </c>
      <c r="AP1906" s="116">
        <f>SUMIFS(M:M,AM:AM,AM1906)+SUMIFS(O:O,AM:AM,AM1906)</f>
      </c>
      <c r="AQ1906" s="116">
        <f>SUMIFS(L:L,AM:AM,AM1906)</f>
      </c>
      <c r="AR1906" s="116">
        <f>AQ1906-AP1906</f>
      </c>
      <c r="AS1906" s="94" t="str">
        <f>IF(AN1906&gt;=AQ1906,"ok","ck")</f>
      </c>
      <c r="AT1906" s="116">
        <f>-P1906</f>
      </c>
      <c r="AU1906" s="115">
        <f>IF(SUMIFS(AT:AT,AM:AM,AM1906)&gt;AO1906,(SUMIFS(AT:AT,AM:AM,AM1906)-AO1906))</f>
      </c>
      <c r="AV1906" s="116">
        <v>0</v>
      </c>
      <c r="AW1906" s="121">
        <v>0</v>
      </c>
      <c r="AX1906" s="115">
        <f>AN1906-AP1906</f>
      </c>
    </row>
    <row r="1907" spans="1:50" ht="15" hidden="1" customHeight="1" x14ac:dyDescent="0.3">
      <c r="A1907" s="94" t="s">
        <v>268</v>
      </c>
      <c r="B1907" s="94"/>
      <c r="C1907" s="94"/>
      <c r="D1907" s="94"/>
      <c r="E1907" s="94"/>
      <c r="F1907" s="94"/>
      <c r="G1907" s="112">
        <f>AU1907</f>
      </c>
      <c r="H1907" s="113"/>
      <c r="I1907" s="94" t="s">
        <v>390</v>
      </c>
      <c r="J1907" s="94" t="s">
        <v>581</v>
      </c>
      <c r="K1907" s="114">
        <f>P1907/3</f>
      </c>
      <c r="L1907" s="115">
        <v>-1.371</v>
      </c>
      <c r="M1907" s="116"/>
      <c r="N1907" s="117">
        <f>M1907-L1907</f>
      </c>
      <c r="O1907" s="112"/>
      <c r="P1907" s="118">
        <f>N1907+O1907</f>
      </c>
      <c r="Q1907" s="94" t="s">
        <v>309</v>
      </c>
      <c r="R1907" s="94" t="s">
        <v>392</v>
      </c>
      <c r="S1907" s="119">
        <v>46320</v>
      </c>
      <c r="T1907" s="119"/>
      <c r="U1907" s="120">
        <v>46320</v>
      </c>
      <c r="V1907" s="94"/>
      <c r="W1907" s="94"/>
      <c r="X1907" s="94"/>
      <c r="Y1907" s="119">
        <v>46320</v>
      </c>
      <c r="Z1907" s="94"/>
      <c r="AA1907" s="120"/>
      <c r="AB1907" s="120"/>
      <c r="AC1907" s="120"/>
      <c r="AD1907" s="120"/>
      <c r="AE1907" s="120"/>
      <c r="AF1907" s="120"/>
      <c r="AG1907" s="94"/>
      <c r="AH1907" s="120"/>
      <c r="AI1907" s="94"/>
      <c r="AJ1907" s="94" t="s">
        <v>309</v>
      </c>
      <c r="AK1907" s="94" t="s">
        <v>281</v>
      </c>
      <c r="AL1907" s="94">
        <v>140</v>
      </c>
      <c r="AM1907" s="94" t="str">
        <f>TRIM(AJ1907)&amp;TRIM(AL1907)&amp;TRIM(AK1907)</f>
      </c>
      <c r="AN1907" s="116">
        <v>4254</v>
      </c>
      <c r="AO1907" s="116">
        <v>141</v>
      </c>
      <c r="AP1907" s="116">
        <f>SUMIFS(M:M,AM:AM,AM1907)+SUMIFS(O:O,AM:AM,AM1907)</f>
      </c>
      <c r="AQ1907" s="116">
        <f>SUMIFS(L:L,AM:AM,AM1907)</f>
      </c>
      <c r="AR1907" s="116">
        <f>AQ1907-AP1907</f>
      </c>
      <c r="AS1907" s="94" t="str">
        <f>IF(AN1907&gt;=AQ1907,"ok","ck")</f>
      </c>
      <c r="AT1907" s="116">
        <f>-P1907</f>
      </c>
      <c r="AU1907" s="115">
        <f>IF(SUMIFS(AT:AT,AM:AM,AM1907)&gt;AO1907,(SUMIFS(AT:AT,AM:AM,AM1907)-AO1907))</f>
      </c>
      <c r="AV1907" s="116">
        <v>4254</v>
      </c>
      <c r="AW1907" s="121">
        <v>0.968</v>
      </c>
      <c r="AX1907" s="115">
        <f>AN1907-AP1907</f>
      </c>
    </row>
    <row r="1908" spans="1:50" ht="15" hidden="1" customHeight="1" x14ac:dyDescent="0.3">
      <c r="A1908" s="94" t="s">
        <v>268</v>
      </c>
      <c r="B1908" s="94"/>
      <c r="C1908" s="94"/>
      <c r="D1908" s="94"/>
      <c r="E1908" s="94"/>
      <c r="F1908" s="94"/>
      <c r="G1908" s="112">
        <f>AU1908</f>
      </c>
      <c r="H1908" s="113"/>
      <c r="I1908" s="94" t="s">
        <v>390</v>
      </c>
      <c r="J1908" s="94" t="s">
        <v>581</v>
      </c>
      <c r="K1908" s="114">
        <f>P1908/3</f>
      </c>
      <c r="L1908" s="115">
        <v>-1.9E-2</v>
      </c>
      <c r="M1908" s="116"/>
      <c r="N1908" s="117">
        <f>M1908-L1908</f>
      </c>
      <c r="O1908" s="112"/>
      <c r="P1908" s="118">
        <f>N1908+O1908</f>
      </c>
      <c r="Q1908" s="94" t="s">
        <v>309</v>
      </c>
      <c r="R1908" s="94" t="s">
        <v>392</v>
      </c>
      <c r="S1908" s="119">
        <v>46323</v>
      </c>
      <c r="T1908" s="119"/>
      <c r="U1908" s="120">
        <v>46323</v>
      </c>
      <c r="V1908" s="94"/>
      <c r="W1908" s="94"/>
      <c r="X1908" s="94"/>
      <c r="Y1908" s="119">
        <v>46323</v>
      </c>
      <c r="Z1908" s="94"/>
      <c r="AA1908" s="120"/>
      <c r="AB1908" s="120"/>
      <c r="AC1908" s="120"/>
      <c r="AD1908" s="120"/>
      <c r="AE1908" s="120"/>
      <c r="AF1908" s="120"/>
      <c r="AG1908" s="94"/>
      <c r="AH1908" s="120"/>
      <c r="AI1908" s="94"/>
      <c r="AJ1908" s="94" t="s">
        <v>309</v>
      </c>
      <c r="AK1908" s="94" t="s">
        <v>281</v>
      </c>
      <c r="AL1908" s="94">
        <v>140</v>
      </c>
      <c r="AM1908" s="94" t="str">
        <f>TRIM(AJ1908)&amp;TRIM(AL1908)&amp;TRIM(AK1908)</f>
      </c>
      <c r="AN1908" s="116">
        <v>4254</v>
      </c>
      <c r="AO1908" s="116">
        <v>141</v>
      </c>
      <c r="AP1908" s="116">
        <f>SUMIFS(M:M,AM:AM,AM1908)+SUMIFS(O:O,AM:AM,AM1908)</f>
      </c>
      <c r="AQ1908" s="116">
        <f>SUMIFS(L:L,AM:AM,AM1908)</f>
      </c>
      <c r="AR1908" s="116">
        <f>AQ1908-AP1908</f>
      </c>
      <c r="AS1908" s="94" t="str">
        <f>IF(AN1908&gt;=AQ1908,"ok","ck")</f>
      </c>
      <c r="AT1908" s="116">
        <f>-P1908</f>
      </c>
      <c r="AU1908" s="115">
        <f>IF(SUMIFS(AT:AT,AM:AM,AM1908)&gt;AO1908,(SUMIFS(AT:AT,AM:AM,AM1908)-AO1908))</f>
      </c>
      <c r="AV1908" s="116">
        <v>4254</v>
      </c>
      <c r="AW1908" s="121">
        <v>0.968</v>
      </c>
      <c r="AX1908" s="115">
        <f>AN1908-AP1908</f>
      </c>
    </row>
    <row r="1909" spans="1:50" ht="15" hidden="1" customHeight="1" x14ac:dyDescent="0.3">
      <c r="A1909" s="94" t="s">
        <v>151</v>
      </c>
      <c r="B1909" s="94"/>
      <c r="C1909" s="94"/>
      <c r="D1909" s="94"/>
      <c r="E1909" s="94"/>
      <c r="F1909" s="94"/>
      <c r="G1909" s="112">
        <f>AU1909</f>
      </c>
      <c r="H1909" s="113"/>
      <c r="I1909" s="94" t="s">
        <v>442</v>
      </c>
      <c r="J1909" s="94" t="s">
        <v>443</v>
      </c>
      <c r="K1909" s="114">
        <f>P1909/3</f>
      </c>
      <c r="L1909" s="115">
        <v>0</v>
      </c>
      <c r="M1909" s="116"/>
      <c r="N1909" s="117">
        <f>M1909-L1909</f>
      </c>
      <c r="O1909" s="112"/>
      <c r="P1909" s="118">
        <f>N1909+O1909</f>
      </c>
      <c r="Q1909" s="94" t="s">
        <v>160</v>
      </c>
      <c r="R1909" s="94" t="s">
        <v>392</v>
      </c>
      <c r="S1909" s="119">
        <v>46320</v>
      </c>
      <c r="T1909" s="119"/>
      <c r="U1909" s="120">
        <v>46320</v>
      </c>
      <c r="V1909" s="94"/>
      <c r="W1909" s="94"/>
      <c r="X1909" s="94"/>
      <c r="Y1909" s="119">
        <v>46320</v>
      </c>
      <c r="Z1909" s="94"/>
      <c r="AA1909" s="120"/>
      <c r="AB1909" s="120"/>
      <c r="AC1909" s="120"/>
      <c r="AD1909" s="120"/>
      <c r="AE1909" s="120"/>
      <c r="AF1909" s="120"/>
      <c r="AG1909" s="94"/>
      <c r="AH1909" s="120"/>
      <c r="AI1909" s="94"/>
      <c r="AJ1909" s="94" t="s">
        <v>160</v>
      </c>
      <c r="AK1909" s="94" t="s">
        <v>747</v>
      </c>
      <c r="AL1909" s="94">
        <v>160</v>
      </c>
      <c r="AM1909" s="94" t="str">
        <f>TRIM(AJ1909)&amp;TRIM(AL1909)&amp;TRIM(AK1909)</f>
      </c>
      <c r="AN1909" s="116">
        <v>0</v>
      </c>
      <c r="AO1909" s="116" t="inlineStr">
        <is>
          <t>#NA</t>
        </is>
      </c>
      <c r="AP1909" s="116">
        <f>SUMIFS(M:M,AM:AM,AM1909)+SUMIFS(O:O,AM:AM,AM1909)</f>
      </c>
      <c r="AQ1909" s="116">
        <f>SUMIFS(L:L,AM:AM,AM1909)</f>
      </c>
      <c r="AR1909" s="116">
        <f>AQ1909-AP1909</f>
      </c>
      <c r="AS1909" s="94" t="str">
        <f>IF(AN1909&gt;=AQ1909,"ok","ck")</f>
      </c>
      <c r="AT1909" s="116">
        <f>-P1909</f>
      </c>
      <c r="AU1909" s="115">
        <f>IF(SUMIFS(AT:AT,AM:AM,AM1909)&gt;AO1909,(SUMIFS(AT:AT,AM:AM,AM1909)-AO1909))</f>
      </c>
      <c r="AV1909" s="116">
        <v>0</v>
      </c>
      <c r="AW1909" s="121">
        <v>0.41</v>
      </c>
      <c r="AX1909" s="115">
        <f>AN1909-AP1909</f>
      </c>
    </row>
    <row r="1910" spans="1:50" ht="15" hidden="1" customHeight="1" x14ac:dyDescent="0.3">
      <c r="A1910" s="94" t="s">
        <v>311</v>
      </c>
      <c r="B1910" s="94"/>
      <c r="C1910" s="94"/>
      <c r="D1910" s="94"/>
      <c r="E1910" s="94"/>
      <c r="F1910" s="94"/>
      <c r="G1910" s="112">
        <f>AU1910</f>
      </c>
      <c r="H1910" s="113"/>
      <c r="I1910" s="94" t="s">
        <v>409</v>
      </c>
      <c r="J1910" s="94" t="s">
        <v>428</v>
      </c>
      <c r="K1910" s="114">
        <f>P1910/3</f>
      </c>
      <c r="L1910" s="115">
        <v>1.02</v>
      </c>
      <c r="M1910" s="116"/>
      <c r="N1910" s="117">
        <f>M1910-L1910</f>
      </c>
      <c r="O1910" s="112"/>
      <c r="P1910" s="118">
        <f>N1910+O1910</f>
      </c>
      <c r="Q1910" s="94" t="s">
        <v>346</v>
      </c>
      <c r="R1910" s="94" t="s">
        <v>392</v>
      </c>
      <c r="S1910" s="119">
        <v>46320</v>
      </c>
      <c r="T1910" s="119"/>
      <c r="U1910" s="120">
        <v>46320</v>
      </c>
      <c r="V1910" s="94"/>
      <c r="W1910" s="94"/>
      <c r="X1910" s="94"/>
      <c r="Y1910" s="119">
        <v>46320</v>
      </c>
      <c r="Z1910" s="94"/>
      <c r="AA1910" s="120"/>
      <c r="AB1910" s="120"/>
      <c r="AC1910" s="120"/>
      <c r="AD1910" s="120"/>
      <c r="AE1910" s="120"/>
      <c r="AF1910" s="120"/>
      <c r="AG1910" s="94"/>
      <c r="AH1910" s="120"/>
      <c r="AI1910" s="94"/>
      <c r="AJ1910" s="94" t="s">
        <v>346</v>
      </c>
      <c r="AK1910" s="94" t="s">
        <v>377</v>
      </c>
      <c r="AL1910" s="94">
        <v>150</v>
      </c>
      <c r="AM1910" s="94" t="str">
        <f>TRIM(AJ1910)&amp;TRIM(AL1910)&amp;TRIM(AK1910)</f>
      </c>
      <c r="AN1910" s="116">
        <v>0</v>
      </c>
      <c r="AO1910" s="116" t="inlineStr">
        <is>
          <t>#NA</t>
        </is>
      </c>
      <c r="AP1910" s="116">
        <f>SUMIFS(M:M,AM:AM,AM1910)+SUMIFS(O:O,AM:AM,AM1910)</f>
      </c>
      <c r="AQ1910" s="116">
        <f>SUMIFS(L:L,AM:AM,AM1910)</f>
      </c>
      <c r="AR1910" s="116">
        <f>AQ1910-AP1910</f>
      </c>
      <c r="AS1910" s="94" t="str">
        <f>IF(AN1910&gt;=AQ1910,"ok","ck")</f>
      </c>
      <c r="AT1910" s="116">
        <f>-P1910</f>
      </c>
      <c r="AU1910" s="115">
        <f>IF(SUMIFS(AT:AT,AM:AM,AM1910)&gt;AO1910,(SUMIFS(AT:AT,AM:AM,AM1910)-AO1910))</f>
      </c>
      <c r="AV1910" s="116">
        <v>0</v>
      </c>
      <c r="AW1910" s="121">
        <v>0.994</v>
      </c>
      <c r="AX1910" s="115">
        <f>AN1910-AP1910</f>
      </c>
    </row>
    <row r="1911" spans="1:50" ht="15" hidden="1" customHeight="1" x14ac:dyDescent="0.3">
      <c r="A1911" s="94" t="s">
        <v>76</v>
      </c>
      <c r="B1911" s="94"/>
      <c r="C1911" s="94"/>
      <c r="D1911" s="94"/>
      <c r="E1911" s="94"/>
      <c r="F1911" s="94"/>
      <c r="G1911" s="112">
        <f>AU1911</f>
      </c>
      <c r="H1911" s="113"/>
      <c r="I1911" s="94" t="s">
        <v>393</v>
      </c>
      <c r="J1911" s="94" t="s">
        <v>441</v>
      </c>
      <c r="K1911" s="114">
        <f>P1911/3</f>
      </c>
      <c r="L1911" s="115">
        <v>0.26900000000000002</v>
      </c>
      <c r="M1911" s="116">
        <f>L1911</f>
      </c>
      <c r="N1911" s="117">
        <f>M1911-L1911</f>
      </c>
      <c r="O1911" s="112"/>
      <c r="P1911" s="118">
        <f>N1911+O1911</f>
      </c>
      <c r="Q1911" s="94" t="s">
        <v>440</v>
      </c>
      <c r="R1911" s="94" t="s">
        <v>392</v>
      </c>
      <c r="S1911" s="119">
        <v>46330</v>
      </c>
      <c r="T1911" s="119"/>
      <c r="U1911" s="120">
        <v>46330</v>
      </c>
      <c r="V1911" s="94"/>
      <c r="W1911" s="94"/>
      <c r="X1911" s="94"/>
      <c r="Y1911" s="119">
        <v>46327</v>
      </c>
      <c r="Z1911" s="94"/>
      <c r="AA1911" s="120"/>
      <c r="AB1911" s="120"/>
      <c r="AC1911" s="120"/>
      <c r="AD1911" s="120"/>
      <c r="AE1911" s="120"/>
      <c r="AF1911" s="120"/>
      <c r="AG1911" s="94"/>
      <c r="AH1911" s="120"/>
      <c r="AI1911" s="94"/>
      <c r="AJ1911" s="94" t="s">
        <v>440</v>
      </c>
      <c r="AK1911" s="94" t="s">
        <v>749</v>
      </c>
      <c r="AL1911" s="94">
        <v>150</v>
      </c>
      <c r="AM1911" s="94" t="str">
        <f>TRIM(AJ1911)&amp;TRIM(AL1911)&amp;TRIM(AK1911)</f>
      </c>
      <c r="AN1911" s="116">
        <v>74.09</v>
      </c>
      <c r="AO1911" s="116">
        <v>-4.32</v>
      </c>
      <c r="AP1911" s="116">
        <f>SUMIFS(M:M,AM:AM,AM1911)+SUMIFS(O:O,AM:AM,AM1911)</f>
      </c>
      <c r="AQ1911" s="116">
        <f>SUMIFS(L:L,AM:AM,AM1911)</f>
      </c>
      <c r="AR1911" s="116">
        <f>AQ1911-AP1911</f>
      </c>
      <c r="AS1911" s="94" t="str">
        <f>IF(AN1911&gt;=AQ1911,"ok","ck")</f>
      </c>
      <c r="AT1911" s="116">
        <f>-P1911</f>
      </c>
      <c r="AU1911" s="115">
        <f>IF(SUMIFS(AT:AT,AM:AM,AM1911)&gt;AO1911,(SUMIFS(AT:AT,AM:AM,AM1911)-AO1911))</f>
      </c>
      <c r="AV1911" s="116">
        <v>0</v>
      </c>
      <c r="AW1911" s="121">
        <v>1.027</v>
      </c>
      <c r="AX1911" s="115">
        <f>AN1911-AP1911</f>
      </c>
    </row>
    <row r="1912" spans="1:50" ht="15" hidden="1" customHeight="1" x14ac:dyDescent="0.3">
      <c r="A1912" s="94" t="s">
        <v>76</v>
      </c>
      <c r="B1912" s="94"/>
      <c r="C1912" s="94"/>
      <c r="D1912" s="94"/>
      <c r="E1912" s="94"/>
      <c r="F1912" s="94"/>
      <c r="G1912" s="112">
        <f>AU1912</f>
      </c>
      <c r="H1912" s="113"/>
      <c r="I1912" s="94" t="s">
        <v>393</v>
      </c>
      <c r="J1912" s="94" t="s">
        <v>425</v>
      </c>
      <c r="K1912" s="114">
        <f>P1912/3</f>
      </c>
      <c r="L1912" s="115">
        <v>808.70600000000002</v>
      </c>
      <c r="M1912" s="116">
        <f>L1912</f>
      </c>
      <c r="N1912" s="117">
        <f>M1912-L1912</f>
      </c>
      <c r="O1912" s="112"/>
      <c r="P1912" s="118">
        <f>N1912+O1912</f>
      </c>
      <c r="Q1912" s="94" t="s">
        <v>395</v>
      </c>
      <c r="R1912" s="94" t="s">
        <v>392</v>
      </c>
      <c r="S1912" s="119">
        <v>46336</v>
      </c>
      <c r="T1912" s="119"/>
      <c r="U1912" s="120">
        <v>46336</v>
      </c>
      <c r="V1912" s="94"/>
      <c r="W1912" s="94"/>
      <c r="X1912" s="94"/>
      <c r="Y1912" s="119">
        <v>46336</v>
      </c>
      <c r="Z1912" s="94"/>
      <c r="AA1912" s="120"/>
      <c r="AB1912" s="120"/>
      <c r="AC1912" s="120"/>
      <c r="AD1912" s="120"/>
      <c r="AE1912" s="120"/>
      <c r="AF1912" s="120"/>
      <c r="AG1912" s="94"/>
      <c r="AH1912" s="120"/>
      <c r="AI1912" s="94"/>
      <c r="AJ1912" s="94" t="s">
        <v>395</v>
      </c>
      <c r="AK1912" s="94" t="s">
        <v>120</v>
      </c>
      <c r="AL1912" s="94">
        <v>150</v>
      </c>
      <c r="AM1912" s="94" t="str">
        <f>TRIM(AJ1912)&amp;TRIM(AL1912)&amp;TRIM(AK1912)</f>
      </c>
      <c r="AN1912" s="116">
        <v>347</v>
      </c>
      <c r="AO1912" s="116">
        <v>-7.4</v>
      </c>
      <c r="AP1912" s="116">
        <f>SUMIFS(M:M,AM:AM,AM1912)+SUMIFS(O:O,AM:AM,AM1912)</f>
      </c>
      <c r="AQ1912" s="116">
        <f>SUMIFS(L:L,AM:AM,AM1912)</f>
      </c>
      <c r="AR1912" s="116">
        <f>AQ1912-AP1912</f>
      </c>
      <c r="AS1912" s="94" t="str">
        <f>IF(AN1912&gt;=AQ1912,"ok","ck")</f>
      </c>
      <c r="AT1912" s="116">
        <f>-P1912</f>
      </c>
      <c r="AU1912" s="115">
        <f>IF(SUMIFS(AT:AT,AM:AM,AM1912)&gt;AO1912,(SUMIFS(AT:AT,AM:AM,AM1912)-AO1912))</f>
      </c>
      <c r="AV1912" s="116">
        <v>347</v>
      </c>
      <c r="AW1912" s="121">
        <v>1.022</v>
      </c>
      <c r="AX1912" s="115">
        <f>AN1912-AP1912</f>
      </c>
    </row>
    <row r="1913" spans="1:50" ht="15" hidden="1" customHeight="1" x14ac:dyDescent="0.3">
      <c r="A1913" s="94" t="s">
        <v>76</v>
      </c>
      <c r="B1913" s="94"/>
      <c r="C1913" s="94"/>
      <c r="D1913" s="94"/>
      <c r="E1913" s="94"/>
      <c r="F1913" s="94"/>
      <c r="G1913" s="112">
        <f>AU1913</f>
      </c>
      <c r="H1913" s="113"/>
      <c r="I1913" s="94" t="s">
        <v>393</v>
      </c>
      <c r="J1913" s="94" t="s">
        <v>425</v>
      </c>
      <c r="K1913" s="114">
        <f>P1913/3</f>
      </c>
      <c r="L1913" s="115">
        <v>1369.8810000000001</v>
      </c>
      <c r="M1913" s="116">
        <f>L1913</f>
      </c>
      <c r="N1913" s="117">
        <f>M1913-L1913</f>
      </c>
      <c r="O1913" s="112"/>
      <c r="P1913" s="118">
        <f>N1913+O1913</f>
      </c>
      <c r="Q1913" s="94" t="s">
        <v>395</v>
      </c>
      <c r="R1913" s="94" t="s">
        <v>392</v>
      </c>
      <c r="S1913" s="119">
        <v>46337</v>
      </c>
      <c r="T1913" s="119"/>
      <c r="U1913" s="120">
        <v>46337</v>
      </c>
      <c r="V1913" s="94"/>
      <c r="W1913" s="94"/>
      <c r="X1913" s="94"/>
      <c r="Y1913" s="119">
        <v>46337</v>
      </c>
      <c r="Z1913" s="94"/>
      <c r="AA1913" s="120"/>
      <c r="AB1913" s="120"/>
      <c r="AC1913" s="120"/>
      <c r="AD1913" s="120"/>
      <c r="AE1913" s="120"/>
      <c r="AF1913" s="120"/>
      <c r="AG1913" s="94"/>
      <c r="AH1913" s="120"/>
      <c r="AI1913" s="94"/>
      <c r="AJ1913" s="94" t="s">
        <v>395</v>
      </c>
      <c r="AK1913" s="94" t="s">
        <v>120</v>
      </c>
      <c r="AL1913" s="94">
        <v>150</v>
      </c>
      <c r="AM1913" s="94" t="str">
        <f>TRIM(AJ1913)&amp;TRIM(AL1913)&amp;TRIM(AK1913)</f>
      </c>
      <c r="AN1913" s="116">
        <v>347</v>
      </c>
      <c r="AO1913" s="116">
        <v>-7.4</v>
      </c>
      <c r="AP1913" s="116">
        <f>SUMIFS(M:M,AM:AM,AM1913)+SUMIFS(O:O,AM:AM,AM1913)</f>
      </c>
      <c r="AQ1913" s="116">
        <f>SUMIFS(L:L,AM:AM,AM1913)</f>
      </c>
      <c r="AR1913" s="116">
        <f>AQ1913-AP1913</f>
      </c>
      <c r="AS1913" s="94" t="str">
        <f>IF(AN1913&gt;=AQ1913,"ok","ck")</f>
      </c>
      <c r="AT1913" s="116">
        <f>-P1913</f>
      </c>
      <c r="AU1913" s="115">
        <f>IF(SUMIFS(AT:AT,AM:AM,AM1913)&gt;AO1913,(SUMIFS(AT:AT,AM:AM,AM1913)-AO1913))</f>
      </c>
      <c r="AV1913" s="116">
        <v>347</v>
      </c>
      <c r="AW1913" s="121">
        <v>1.022</v>
      </c>
      <c r="AX1913" s="115">
        <f>AN1913-AP1913</f>
      </c>
    </row>
    <row r="1914" spans="1:50" ht="15" hidden="1" customHeight="1" x14ac:dyDescent="0.3">
      <c r="A1914" s="94" t="s">
        <v>76</v>
      </c>
      <c r="B1914" s="94"/>
      <c r="C1914" s="94"/>
      <c r="D1914" s="94"/>
      <c r="E1914" s="94"/>
      <c r="F1914" s="94"/>
      <c r="G1914" s="112">
        <f>AU1914</f>
      </c>
      <c r="H1914" s="113"/>
      <c r="I1914" s="94" t="s">
        <v>393</v>
      </c>
      <c r="J1914" s="94" t="s">
        <v>425</v>
      </c>
      <c r="K1914" s="114">
        <f>P1914/3</f>
      </c>
      <c r="L1914" s="115">
        <v>3.339</v>
      </c>
      <c r="M1914" s="116">
        <f>L1914</f>
      </c>
      <c r="N1914" s="117">
        <f>M1914-L1914</f>
      </c>
      <c r="O1914" s="112"/>
      <c r="P1914" s="118">
        <f>N1914+O1914</f>
      </c>
      <c r="Q1914" s="94" t="s">
        <v>395</v>
      </c>
      <c r="R1914" s="94" t="s">
        <v>392</v>
      </c>
      <c r="S1914" s="119">
        <v>46338</v>
      </c>
      <c r="T1914" s="119"/>
      <c r="U1914" s="120">
        <v>46338</v>
      </c>
      <c r="V1914" s="94"/>
      <c r="W1914" s="94"/>
      <c r="X1914" s="94"/>
      <c r="Y1914" s="119">
        <v>46338</v>
      </c>
      <c r="Z1914" s="94"/>
      <c r="AA1914" s="120"/>
      <c r="AB1914" s="120"/>
      <c r="AC1914" s="120"/>
      <c r="AD1914" s="120"/>
      <c r="AE1914" s="120"/>
      <c r="AF1914" s="120"/>
      <c r="AG1914" s="94"/>
      <c r="AH1914" s="120"/>
      <c r="AI1914" s="94"/>
      <c r="AJ1914" s="94" t="s">
        <v>395</v>
      </c>
      <c r="AK1914" s="94" t="s">
        <v>120</v>
      </c>
      <c r="AL1914" s="94">
        <v>150</v>
      </c>
      <c r="AM1914" s="94" t="str">
        <f>TRIM(AJ1914)&amp;TRIM(AL1914)&amp;TRIM(AK1914)</f>
      </c>
      <c r="AN1914" s="116">
        <v>347</v>
      </c>
      <c r="AO1914" s="116">
        <v>-7.4</v>
      </c>
      <c r="AP1914" s="116">
        <f>SUMIFS(M:M,AM:AM,AM1914)+SUMIFS(O:O,AM:AM,AM1914)</f>
      </c>
      <c r="AQ1914" s="116">
        <f>SUMIFS(L:L,AM:AM,AM1914)</f>
      </c>
      <c r="AR1914" s="116">
        <f>AQ1914-AP1914</f>
      </c>
      <c r="AS1914" s="94" t="str">
        <f>IF(AN1914&gt;=AQ1914,"ok","ck")</f>
      </c>
      <c r="AT1914" s="116">
        <f>-P1914</f>
      </c>
      <c r="AU1914" s="115">
        <f>IF(SUMIFS(AT:AT,AM:AM,AM1914)&gt;AO1914,(SUMIFS(AT:AT,AM:AM,AM1914)-AO1914))</f>
      </c>
      <c r="AV1914" s="116">
        <v>347</v>
      </c>
      <c r="AW1914" s="121">
        <v>1.022</v>
      </c>
      <c r="AX1914" s="115">
        <f>AN1914-AP1914</f>
      </c>
    </row>
    <row r="1915" spans="1:50" ht="15" hidden="1" customHeight="1" x14ac:dyDescent="0.3">
      <c r="A1915" s="94" t="s">
        <v>76</v>
      </c>
      <c r="B1915" s="94"/>
      <c r="C1915" s="94"/>
      <c r="D1915" s="94"/>
      <c r="E1915" s="94"/>
      <c r="F1915" s="94"/>
      <c r="G1915" s="112">
        <f>AU1915</f>
      </c>
      <c r="H1915" s="113"/>
      <c r="I1915" s="94" t="s">
        <v>393</v>
      </c>
      <c r="J1915" s="94" t="s">
        <v>425</v>
      </c>
      <c r="K1915" s="114">
        <f>P1915/3</f>
      </c>
      <c r="L1915" s="115">
        <v>668.92399999999998</v>
      </c>
      <c r="M1915" s="116">
        <f>L1915</f>
      </c>
      <c r="N1915" s="117">
        <f>M1915-L1915</f>
      </c>
      <c r="O1915" s="112"/>
      <c r="P1915" s="118">
        <f>N1915+O1915</f>
      </c>
      <c r="Q1915" s="94" t="s">
        <v>395</v>
      </c>
      <c r="R1915" s="94" t="s">
        <v>392</v>
      </c>
      <c r="S1915" s="119">
        <v>46341</v>
      </c>
      <c r="T1915" s="119"/>
      <c r="U1915" s="120">
        <v>46341</v>
      </c>
      <c r="V1915" s="94"/>
      <c r="W1915" s="94"/>
      <c r="X1915" s="94"/>
      <c r="Y1915" s="119">
        <v>46341</v>
      </c>
      <c r="Z1915" s="94"/>
      <c r="AA1915" s="120"/>
      <c r="AB1915" s="120"/>
      <c r="AC1915" s="120"/>
      <c r="AD1915" s="120"/>
      <c r="AE1915" s="120"/>
      <c r="AF1915" s="120"/>
      <c r="AG1915" s="94"/>
      <c r="AH1915" s="120"/>
      <c r="AI1915" s="94"/>
      <c r="AJ1915" s="94" t="s">
        <v>395</v>
      </c>
      <c r="AK1915" s="94" t="s">
        <v>120</v>
      </c>
      <c r="AL1915" s="94">
        <v>150</v>
      </c>
      <c r="AM1915" s="94" t="str">
        <f>TRIM(AJ1915)&amp;TRIM(AL1915)&amp;TRIM(AK1915)</f>
      </c>
      <c r="AN1915" s="116">
        <v>347</v>
      </c>
      <c r="AO1915" s="116">
        <v>-7.4</v>
      </c>
      <c r="AP1915" s="116">
        <f>SUMIFS(M:M,AM:AM,AM1915)+SUMIFS(O:O,AM:AM,AM1915)</f>
      </c>
      <c r="AQ1915" s="116">
        <f>SUMIFS(L:L,AM:AM,AM1915)</f>
      </c>
      <c r="AR1915" s="116">
        <f>AQ1915-AP1915</f>
      </c>
      <c r="AS1915" s="94" t="str">
        <f>IF(AN1915&gt;=AQ1915,"ok","ck")</f>
      </c>
      <c r="AT1915" s="116">
        <f>-P1915</f>
      </c>
      <c r="AU1915" s="115">
        <f>IF(SUMIFS(AT:AT,AM:AM,AM1915)&gt;AO1915,(SUMIFS(AT:AT,AM:AM,AM1915)-AO1915))</f>
      </c>
      <c r="AV1915" s="116">
        <v>347</v>
      </c>
      <c r="AW1915" s="121">
        <v>1.022</v>
      </c>
      <c r="AX1915" s="115">
        <f>AN1915-AP1915</f>
      </c>
    </row>
    <row r="1916" spans="1:50" ht="15" hidden="1" customHeight="1" x14ac:dyDescent="0.3">
      <c r="A1916" s="94" t="s">
        <v>76</v>
      </c>
      <c r="B1916" s="94"/>
      <c r="C1916" s="94"/>
      <c r="D1916" s="94"/>
      <c r="E1916" s="94"/>
      <c r="F1916" s="94"/>
      <c r="G1916" s="112">
        <f>AU1916</f>
      </c>
      <c r="H1916" s="113"/>
      <c r="I1916" s="94" t="s">
        <v>393</v>
      </c>
      <c r="J1916" s="94" t="s">
        <v>425</v>
      </c>
      <c r="K1916" s="114">
        <f>P1916/3</f>
      </c>
      <c r="L1916" s="115">
        <v>1057.5429999999999</v>
      </c>
      <c r="M1916" s="116">
        <f>L1916</f>
      </c>
      <c r="N1916" s="117">
        <f>M1916-L1916</f>
      </c>
      <c r="O1916" s="112"/>
      <c r="P1916" s="118">
        <f>N1916+O1916</f>
      </c>
      <c r="Q1916" s="94" t="s">
        <v>395</v>
      </c>
      <c r="R1916" s="94" t="s">
        <v>392</v>
      </c>
      <c r="S1916" s="119">
        <v>46343</v>
      </c>
      <c r="T1916" s="119"/>
      <c r="U1916" s="120">
        <v>46343</v>
      </c>
      <c r="V1916" s="94"/>
      <c r="W1916" s="94"/>
      <c r="X1916" s="94"/>
      <c r="Y1916" s="119">
        <v>46343</v>
      </c>
      <c r="Z1916" s="94"/>
      <c r="AA1916" s="120"/>
      <c r="AB1916" s="120"/>
      <c r="AC1916" s="120"/>
      <c r="AD1916" s="120"/>
      <c r="AE1916" s="120"/>
      <c r="AF1916" s="120"/>
      <c r="AG1916" s="94"/>
      <c r="AH1916" s="120"/>
      <c r="AI1916" s="94"/>
      <c r="AJ1916" s="94" t="s">
        <v>395</v>
      </c>
      <c r="AK1916" s="94" t="s">
        <v>120</v>
      </c>
      <c r="AL1916" s="94">
        <v>150</v>
      </c>
      <c r="AM1916" s="94" t="str">
        <f>TRIM(AJ1916)&amp;TRIM(AL1916)&amp;TRIM(AK1916)</f>
      </c>
      <c r="AN1916" s="116">
        <v>347</v>
      </c>
      <c r="AO1916" s="116">
        <v>-7.4</v>
      </c>
      <c r="AP1916" s="116">
        <f>SUMIFS(M:M,AM:AM,AM1916)+SUMIFS(O:O,AM:AM,AM1916)</f>
      </c>
      <c r="AQ1916" s="116">
        <f>SUMIFS(L:L,AM:AM,AM1916)</f>
      </c>
      <c r="AR1916" s="116">
        <f>AQ1916-AP1916</f>
      </c>
      <c r="AS1916" s="94" t="str">
        <f>IF(AN1916&gt;=AQ1916,"ok","ck")</f>
      </c>
      <c r="AT1916" s="116">
        <f>-P1916</f>
      </c>
      <c r="AU1916" s="115">
        <f>IF(SUMIFS(AT:AT,AM:AM,AM1916)&gt;AO1916,(SUMIFS(AT:AT,AM:AM,AM1916)-AO1916))</f>
      </c>
      <c r="AV1916" s="116">
        <v>347</v>
      </c>
      <c r="AW1916" s="121">
        <v>1.022</v>
      </c>
      <c r="AX1916" s="115">
        <f>AN1916-AP1916</f>
      </c>
    </row>
    <row r="1917" spans="1:50" ht="15" hidden="1" customHeight="1" x14ac:dyDescent="0.3">
      <c r="A1917" s="94" t="s">
        <v>76</v>
      </c>
      <c r="B1917" s="94"/>
      <c r="C1917" s="94"/>
      <c r="D1917" s="94"/>
      <c r="E1917" s="94"/>
      <c r="F1917" s="94"/>
      <c r="G1917" s="112">
        <f>AU1917</f>
      </c>
      <c r="H1917" s="113"/>
      <c r="I1917" s="94" t="s">
        <v>393</v>
      </c>
      <c r="J1917" s="94" t="s">
        <v>425</v>
      </c>
      <c r="K1917" s="114">
        <f>P1917/3</f>
      </c>
      <c r="L1917" s="115">
        <v>2.4929999999999999</v>
      </c>
      <c r="M1917" s="116">
        <f>L1917</f>
      </c>
      <c r="N1917" s="117">
        <f>M1917-L1917</f>
      </c>
      <c r="O1917" s="112"/>
      <c r="P1917" s="118">
        <f>N1917+O1917</f>
      </c>
      <c r="Q1917" s="94" t="s">
        <v>395</v>
      </c>
      <c r="R1917" s="94" t="s">
        <v>392</v>
      </c>
      <c r="S1917" s="119">
        <v>46344</v>
      </c>
      <c r="T1917" s="119"/>
      <c r="U1917" s="120">
        <v>46344</v>
      </c>
      <c r="V1917" s="94"/>
      <c r="W1917" s="94"/>
      <c r="X1917" s="94"/>
      <c r="Y1917" s="119">
        <v>46344</v>
      </c>
      <c r="Z1917" s="94"/>
      <c r="AA1917" s="120"/>
      <c r="AB1917" s="120"/>
      <c r="AC1917" s="120"/>
      <c r="AD1917" s="120"/>
      <c r="AE1917" s="120"/>
      <c r="AF1917" s="120"/>
      <c r="AG1917" s="94"/>
      <c r="AH1917" s="120"/>
      <c r="AI1917" s="94"/>
      <c r="AJ1917" s="94" t="s">
        <v>395</v>
      </c>
      <c r="AK1917" s="94" t="s">
        <v>120</v>
      </c>
      <c r="AL1917" s="94">
        <v>150</v>
      </c>
      <c r="AM1917" s="94" t="str">
        <f>TRIM(AJ1917)&amp;TRIM(AL1917)&amp;TRIM(AK1917)</f>
      </c>
      <c r="AN1917" s="116">
        <v>347</v>
      </c>
      <c r="AO1917" s="116">
        <v>-7.4</v>
      </c>
      <c r="AP1917" s="116">
        <f>SUMIFS(M:M,AM:AM,AM1917)+SUMIFS(O:O,AM:AM,AM1917)</f>
      </c>
      <c r="AQ1917" s="116">
        <f>SUMIFS(L:L,AM:AM,AM1917)</f>
      </c>
      <c r="AR1917" s="116">
        <f>AQ1917-AP1917</f>
      </c>
      <c r="AS1917" s="94" t="str">
        <f>IF(AN1917&gt;=AQ1917,"ok","ck")</f>
      </c>
      <c r="AT1917" s="116">
        <f>-P1917</f>
      </c>
      <c r="AU1917" s="115">
        <f>IF(SUMIFS(AT:AT,AM:AM,AM1917)&gt;AO1917,(SUMIFS(AT:AT,AM:AM,AM1917)-AO1917))</f>
      </c>
      <c r="AV1917" s="116">
        <v>347</v>
      </c>
      <c r="AW1917" s="121">
        <v>1.022</v>
      </c>
      <c r="AX1917" s="115">
        <f>AN1917-AP1917</f>
      </c>
    </row>
    <row r="1918" spans="1:50" ht="15" hidden="1" customHeight="1" x14ac:dyDescent="0.3">
      <c r="A1918" s="94" t="s">
        <v>60</v>
      </c>
      <c r="B1918" s="94"/>
      <c r="C1918" s="94"/>
      <c r="D1918" s="94"/>
      <c r="E1918" s="94"/>
      <c r="F1918" s="94"/>
      <c r="G1918" s="112">
        <f>AU1918</f>
      </c>
      <c r="H1918" s="113"/>
      <c r="I1918" s="94" t="s">
        <v>490</v>
      </c>
      <c r="J1918" s="94" t="s">
        <v>582</v>
      </c>
      <c r="K1918" s="114">
        <f>P1918/3</f>
      </c>
      <c r="L1918" s="115">
        <v>-0.63</v>
      </c>
      <c r="M1918" s="116"/>
      <c r="N1918" s="117">
        <f>M1918-L1918</f>
      </c>
      <c r="O1918" s="112"/>
      <c r="P1918" s="118">
        <f>N1918+O1918</f>
      </c>
      <c r="Q1918" s="94" t="s">
        <v>117</v>
      </c>
      <c r="R1918" s="94" t="s">
        <v>392</v>
      </c>
      <c r="S1918" s="119">
        <v>46326</v>
      </c>
      <c r="T1918" s="119"/>
      <c r="U1918" s="120">
        <v>46326</v>
      </c>
      <c r="V1918" s="94"/>
      <c r="W1918" s="94"/>
      <c r="X1918" s="94"/>
      <c r="Y1918" s="119">
        <v>46326</v>
      </c>
      <c r="Z1918" s="94"/>
      <c r="AA1918" s="120"/>
      <c r="AB1918" s="120"/>
      <c r="AC1918" s="120"/>
      <c r="AD1918" s="120"/>
      <c r="AE1918" s="120"/>
      <c r="AF1918" s="120"/>
      <c r="AG1918" s="94"/>
      <c r="AH1918" s="120"/>
      <c r="AI1918" s="94"/>
      <c r="AJ1918" s="94" t="s">
        <v>117</v>
      </c>
      <c r="AK1918" s="94" t="s">
        <v>746</v>
      </c>
      <c r="AL1918" s="94">
        <v>140</v>
      </c>
      <c r="AM1918" s="94" t="str">
        <f>TRIM(AJ1918)&amp;TRIM(AL1918)&amp;TRIM(AK1918)</f>
      </c>
      <c r="AN1918" s="116">
        <v>0</v>
      </c>
      <c r="AO1918" s="116" t="inlineStr">
        <is>
          <t>#NA</t>
        </is>
      </c>
      <c r="AP1918" s="116">
        <f>SUMIFS(M:M,AM:AM,AM1918)+SUMIFS(O:O,AM:AM,AM1918)</f>
      </c>
      <c r="AQ1918" s="116">
        <f>SUMIFS(L:L,AM:AM,AM1918)</f>
      </c>
      <c r="AR1918" s="116">
        <f>AQ1918-AP1918</f>
      </c>
      <c r="AS1918" s="94" t="str">
        <f>IF(AN1918&gt;=AQ1918,"ok","ck")</f>
      </c>
      <c r="AT1918" s="116">
        <f>-P1918</f>
      </c>
      <c r="AU1918" s="115">
        <f>IF(SUMIFS(AT:AT,AM:AM,AM1918)&gt;AO1918,(SUMIFS(AT:AT,AM:AM,AM1918)-AO1918))</f>
      </c>
      <c r="AV1918" s="116">
        <v>0</v>
      </c>
      <c r="AW1918" s="121">
        <v>1.015</v>
      </c>
      <c r="AX1918" s="115">
        <f>AN1918-AP1918</f>
      </c>
    </row>
    <row r="1919" spans="1:50" ht="15" hidden="1" customHeight="1" x14ac:dyDescent="0.3">
      <c r="A1919" s="94" t="s">
        <v>268</v>
      </c>
      <c r="B1919" s="94"/>
      <c r="C1919" s="94"/>
      <c r="D1919" s="94"/>
      <c r="E1919" s="94"/>
      <c r="F1919" s="94"/>
      <c r="G1919" s="112">
        <f>AU1919</f>
      </c>
      <c r="H1919" s="113"/>
      <c r="I1919" s="94" t="s">
        <v>390</v>
      </c>
      <c r="J1919" s="94" t="s">
        <v>401</v>
      </c>
      <c r="K1919" s="114">
        <f>P1919/3</f>
      </c>
      <c r="L1919" s="115">
        <v>57.106999999999999</v>
      </c>
      <c r="M1919" s="116"/>
      <c r="N1919" s="117">
        <f>M1919-L1919</f>
      </c>
      <c r="O1919" s="112"/>
      <c r="P1919" s="118">
        <f>N1919+O1919</f>
      </c>
      <c r="Q1919" s="94" t="s">
        <v>778</v>
      </c>
      <c r="R1919" s="94" t="s">
        <v>392</v>
      </c>
      <c r="S1919" s="119">
        <v>46343</v>
      </c>
      <c r="T1919" s="119"/>
      <c r="U1919" s="120">
        <v>46343</v>
      </c>
      <c r="V1919" s="94"/>
      <c r="W1919" s="94"/>
      <c r="X1919" s="94"/>
      <c r="Y1919" s="119">
        <v>46338</v>
      </c>
      <c r="Z1919" s="94"/>
      <c r="AA1919" s="120"/>
      <c r="AB1919" s="120"/>
      <c r="AC1919" s="120"/>
      <c r="AD1919" s="120"/>
      <c r="AE1919" s="120"/>
      <c r="AF1919" s="120"/>
      <c r="AG1919" s="94"/>
      <c r="AH1919" s="120"/>
      <c r="AI1919" s="94"/>
      <c r="AJ1919" s="94" t="s">
        <v>778</v>
      </c>
      <c r="AK1919" s="94" t="s">
        <v>389</v>
      </c>
      <c r="AL1919" s="94">
        <v>140</v>
      </c>
      <c r="AM1919" s="94" t="str">
        <f>TRIM(AJ1919)&amp;TRIM(AL1919)&amp;TRIM(AK1919)</f>
      </c>
      <c r="AN1919" s="116">
        <v>0</v>
      </c>
      <c r="AO1919" s="116" t="inlineStr">
        <is>
          <t>#NA</t>
        </is>
      </c>
      <c r="AP1919" s="116">
        <f>SUMIFS(M:M,AM:AM,AM1919)+SUMIFS(O:O,AM:AM,AM1919)</f>
      </c>
      <c r="AQ1919" s="116">
        <f>SUMIFS(L:L,AM:AM,AM1919)</f>
      </c>
      <c r="AR1919" s="116">
        <f>AQ1919-AP1919</f>
      </c>
      <c r="AS1919" s="94" t="str">
        <f>IF(AN1919&gt;=AQ1919,"ok","ck")</f>
      </c>
      <c r="AT1919" s="116">
        <f>-P1919</f>
      </c>
      <c r="AU1919" s="115">
        <f>IF(SUMIFS(AT:AT,AM:AM,AM1919)&gt;AO1919,(SUMIFS(AT:AT,AM:AM,AM1919)-AO1919))</f>
      </c>
      <c r="AV1919" s="116">
        <v>0</v>
      </c>
      <c r="AW1919" s="121">
        <v>0</v>
      </c>
      <c r="AX1919" s="115">
        <f>AN1919-AP1919</f>
      </c>
    </row>
    <row r="1920" spans="1:50" ht="15" hidden="1" customHeight="1" x14ac:dyDescent="0.3">
      <c r="A1920" s="94" t="s">
        <v>268</v>
      </c>
      <c r="B1920" s="94"/>
      <c r="C1920" s="94"/>
      <c r="D1920" s="94"/>
      <c r="E1920" s="94"/>
      <c r="F1920" s="94"/>
      <c r="G1920" s="112">
        <f>AU1920</f>
      </c>
      <c r="H1920" s="113"/>
      <c r="I1920" s="94" t="s">
        <v>390</v>
      </c>
      <c r="J1920" s="94" t="s">
        <v>401</v>
      </c>
      <c r="K1920" s="114">
        <f>P1920/3</f>
      </c>
      <c r="L1920" s="115">
        <v>84.28</v>
      </c>
      <c r="M1920" s="116"/>
      <c r="N1920" s="117">
        <f>M1920-L1920</f>
      </c>
      <c r="O1920" s="112"/>
      <c r="P1920" s="118">
        <f>N1920+O1920</f>
      </c>
      <c r="Q1920" s="94" t="s">
        <v>778</v>
      </c>
      <c r="R1920" s="94" t="s">
        <v>392</v>
      </c>
      <c r="S1920" s="119">
        <v>46343</v>
      </c>
      <c r="T1920" s="119"/>
      <c r="U1920" s="120">
        <v>46343</v>
      </c>
      <c r="V1920" s="94"/>
      <c r="W1920" s="94"/>
      <c r="X1920" s="94"/>
      <c r="Y1920" s="119">
        <v>46333</v>
      </c>
      <c r="Z1920" s="94"/>
      <c r="AA1920" s="120"/>
      <c r="AB1920" s="120"/>
      <c r="AC1920" s="120"/>
      <c r="AD1920" s="120"/>
      <c r="AE1920" s="120"/>
      <c r="AF1920" s="120"/>
      <c r="AG1920" s="94"/>
      <c r="AH1920" s="120"/>
      <c r="AI1920" s="94"/>
      <c r="AJ1920" s="94" t="s">
        <v>778</v>
      </c>
      <c r="AK1920" s="94" t="s">
        <v>389</v>
      </c>
      <c r="AL1920" s="94">
        <v>140</v>
      </c>
      <c r="AM1920" s="94" t="str">
        <f>TRIM(AJ1920)&amp;TRIM(AL1920)&amp;TRIM(AK1920)</f>
      </c>
      <c r="AN1920" s="116">
        <v>0</v>
      </c>
      <c r="AO1920" s="116" t="inlineStr">
        <is>
          <t>#NA</t>
        </is>
      </c>
      <c r="AP1920" s="116">
        <f>SUMIFS(M:M,AM:AM,AM1920)+SUMIFS(O:O,AM:AM,AM1920)</f>
      </c>
      <c r="AQ1920" s="116">
        <f>SUMIFS(L:L,AM:AM,AM1920)</f>
      </c>
      <c r="AR1920" s="116">
        <f>AQ1920-AP1920</f>
      </c>
      <c r="AS1920" s="94" t="str">
        <f>IF(AN1920&gt;=AQ1920,"ok","ck")</f>
      </c>
      <c r="AT1920" s="116">
        <f>-P1920</f>
      </c>
      <c r="AU1920" s="115">
        <f>IF(SUMIFS(AT:AT,AM:AM,AM1920)&gt;AO1920,(SUMIFS(AT:AT,AM:AM,AM1920)-AO1920))</f>
      </c>
      <c r="AV1920" s="116">
        <v>0</v>
      </c>
      <c r="AW1920" s="121">
        <v>0</v>
      </c>
      <c r="AX1920" s="115">
        <f>AN1920-AP1920</f>
      </c>
    </row>
    <row r="1921" spans="1:50" ht="15" hidden="1" customHeight="1" x14ac:dyDescent="0.3">
      <c r="A1921" s="94" t="s">
        <v>268</v>
      </c>
      <c r="B1921" s="94"/>
      <c r="C1921" s="94"/>
      <c r="D1921" s="94"/>
      <c r="E1921" s="94"/>
      <c r="F1921" s="94"/>
      <c r="G1921" s="112">
        <f>AU1921</f>
      </c>
      <c r="H1921" s="113"/>
      <c r="I1921" s="94" t="s">
        <v>390</v>
      </c>
      <c r="J1921" s="94" t="s">
        <v>401</v>
      </c>
      <c r="K1921" s="114">
        <f>P1921/3</f>
      </c>
      <c r="L1921" s="115">
        <v>60.02</v>
      </c>
      <c r="M1921" s="116"/>
      <c r="N1921" s="117">
        <f>M1921-L1921</f>
      </c>
      <c r="O1921" s="112"/>
      <c r="P1921" s="118">
        <f>N1921+O1921</f>
      </c>
      <c r="Q1921" s="94" t="s">
        <v>778</v>
      </c>
      <c r="R1921" s="94" t="s">
        <v>392</v>
      </c>
      <c r="S1921" s="119">
        <v>46343</v>
      </c>
      <c r="T1921" s="119"/>
      <c r="U1921" s="120">
        <v>46343</v>
      </c>
      <c r="V1921" s="94"/>
      <c r="W1921" s="94"/>
      <c r="X1921" s="94"/>
      <c r="Y1921" s="119">
        <v>46335</v>
      </c>
      <c r="Z1921" s="94"/>
      <c r="AA1921" s="120"/>
      <c r="AB1921" s="120"/>
      <c r="AC1921" s="120"/>
      <c r="AD1921" s="120"/>
      <c r="AE1921" s="120"/>
      <c r="AF1921" s="120"/>
      <c r="AG1921" s="94"/>
      <c r="AH1921" s="120"/>
      <c r="AI1921" s="94"/>
      <c r="AJ1921" s="94" t="s">
        <v>778</v>
      </c>
      <c r="AK1921" s="94" t="s">
        <v>389</v>
      </c>
      <c r="AL1921" s="94">
        <v>140</v>
      </c>
      <c r="AM1921" s="94" t="str">
        <f>TRIM(AJ1921)&amp;TRIM(AL1921)&amp;TRIM(AK1921)</f>
      </c>
      <c r="AN1921" s="116">
        <v>0</v>
      </c>
      <c r="AO1921" s="116" t="inlineStr">
        <is>
          <t>#NA</t>
        </is>
      </c>
      <c r="AP1921" s="116">
        <f>SUMIFS(M:M,AM:AM,AM1921)+SUMIFS(O:O,AM:AM,AM1921)</f>
      </c>
      <c r="AQ1921" s="116">
        <f>SUMIFS(L:L,AM:AM,AM1921)</f>
      </c>
      <c r="AR1921" s="116">
        <f>AQ1921-AP1921</f>
      </c>
      <c r="AS1921" s="94" t="str">
        <f>IF(AN1921&gt;=AQ1921,"ok","ck")</f>
      </c>
      <c r="AT1921" s="116">
        <f>-P1921</f>
      </c>
      <c r="AU1921" s="115">
        <f>IF(SUMIFS(AT:AT,AM:AM,AM1921)&gt;AO1921,(SUMIFS(AT:AT,AM:AM,AM1921)-AO1921))</f>
      </c>
      <c r="AV1921" s="116">
        <v>0</v>
      </c>
      <c r="AW1921" s="121">
        <v>0</v>
      </c>
      <c r="AX1921" s="115">
        <f>AN1921-AP1921</f>
      </c>
    </row>
    <row r="1922" spans="1:50" ht="15" hidden="1" customHeight="1" x14ac:dyDescent="0.3">
      <c r="A1922" s="94" t="s">
        <v>268</v>
      </c>
      <c r="B1922" s="94"/>
      <c r="C1922" s="94"/>
      <c r="D1922" s="94"/>
      <c r="E1922" s="94"/>
      <c r="F1922" s="94"/>
      <c r="G1922" s="112">
        <f>AU1922</f>
      </c>
      <c r="H1922" s="113"/>
      <c r="I1922" s="94" t="s">
        <v>390</v>
      </c>
      <c r="J1922" s="94" t="s">
        <v>401</v>
      </c>
      <c r="K1922" s="114">
        <f>P1922/3</f>
      </c>
      <c r="L1922" s="115">
        <v>1.26</v>
      </c>
      <c r="M1922" s="116"/>
      <c r="N1922" s="117">
        <f>M1922-L1922</f>
      </c>
      <c r="O1922" s="112"/>
      <c r="P1922" s="118">
        <f>N1922+O1922</f>
      </c>
      <c r="Q1922" s="94" t="s">
        <v>778</v>
      </c>
      <c r="R1922" s="94" t="s">
        <v>392</v>
      </c>
      <c r="S1922" s="119">
        <v>46343</v>
      </c>
      <c r="T1922" s="119"/>
      <c r="U1922" s="120">
        <v>46343</v>
      </c>
      <c r="V1922" s="94"/>
      <c r="W1922" s="94"/>
      <c r="X1922" s="94"/>
      <c r="Y1922" s="119">
        <v>46341</v>
      </c>
      <c r="Z1922" s="94"/>
      <c r="AA1922" s="120"/>
      <c r="AB1922" s="120"/>
      <c r="AC1922" s="120"/>
      <c r="AD1922" s="120"/>
      <c r="AE1922" s="120"/>
      <c r="AF1922" s="120"/>
      <c r="AG1922" s="94"/>
      <c r="AH1922" s="120"/>
      <c r="AI1922" s="94"/>
      <c r="AJ1922" s="94" t="s">
        <v>778</v>
      </c>
      <c r="AK1922" s="94" t="s">
        <v>389</v>
      </c>
      <c r="AL1922" s="94">
        <v>140</v>
      </c>
      <c r="AM1922" s="94" t="str">
        <f>TRIM(AJ1922)&amp;TRIM(AL1922)&amp;TRIM(AK1922)</f>
      </c>
      <c r="AN1922" s="116">
        <v>0</v>
      </c>
      <c r="AO1922" s="116" t="inlineStr">
        <is>
          <t>#NA</t>
        </is>
      </c>
      <c r="AP1922" s="116">
        <f>SUMIFS(M:M,AM:AM,AM1922)+SUMIFS(O:O,AM:AM,AM1922)</f>
      </c>
      <c r="AQ1922" s="116">
        <f>SUMIFS(L:L,AM:AM,AM1922)</f>
      </c>
      <c r="AR1922" s="116">
        <f>AQ1922-AP1922</f>
      </c>
      <c r="AS1922" s="94" t="str">
        <f>IF(AN1922&gt;=AQ1922,"ok","ck")</f>
      </c>
      <c r="AT1922" s="116">
        <f>-P1922</f>
      </c>
      <c r="AU1922" s="115">
        <f>IF(SUMIFS(AT:AT,AM:AM,AM1922)&gt;AO1922,(SUMIFS(AT:AT,AM:AM,AM1922)-AO1922))</f>
      </c>
      <c r="AV1922" s="116">
        <v>0</v>
      </c>
      <c r="AW1922" s="121">
        <v>0</v>
      </c>
      <c r="AX1922" s="115">
        <f>AN1922-AP1922</f>
      </c>
    </row>
    <row r="1923" spans="1:50" ht="15" hidden="1" customHeight="1" x14ac:dyDescent="0.3">
      <c r="A1923" s="94" t="s">
        <v>268</v>
      </c>
      <c r="B1923" s="94"/>
      <c r="C1923" s="94"/>
      <c r="D1923" s="94"/>
      <c r="E1923" s="94"/>
      <c r="F1923" s="94"/>
      <c r="G1923" s="112">
        <f>AU1923</f>
      </c>
      <c r="H1923" s="113"/>
      <c r="I1923" s="94" t="s">
        <v>390</v>
      </c>
      <c r="J1923" s="94" t="s">
        <v>401</v>
      </c>
      <c r="K1923" s="114">
        <f>P1923/3</f>
      </c>
      <c r="L1923" s="115">
        <v>78.12</v>
      </c>
      <c r="M1923" s="116"/>
      <c r="N1923" s="117">
        <f>M1923-L1923</f>
      </c>
      <c r="O1923" s="112"/>
      <c r="P1923" s="118">
        <f>N1923+O1923</f>
      </c>
      <c r="Q1923" s="94" t="s">
        <v>778</v>
      </c>
      <c r="R1923" s="94" t="s">
        <v>392</v>
      </c>
      <c r="S1923" s="119">
        <v>46343</v>
      </c>
      <c r="T1923" s="119"/>
      <c r="U1923" s="120">
        <v>46343</v>
      </c>
      <c r="V1923" s="94"/>
      <c r="W1923" s="94"/>
      <c r="X1923" s="94"/>
      <c r="Y1923" s="119">
        <v>46329</v>
      </c>
      <c r="Z1923" s="94"/>
      <c r="AA1923" s="120"/>
      <c r="AB1923" s="120"/>
      <c r="AC1923" s="120"/>
      <c r="AD1923" s="120"/>
      <c r="AE1923" s="120"/>
      <c r="AF1923" s="120"/>
      <c r="AG1923" s="94"/>
      <c r="AH1923" s="120"/>
      <c r="AI1923" s="94"/>
      <c r="AJ1923" s="94" t="s">
        <v>778</v>
      </c>
      <c r="AK1923" s="94" t="s">
        <v>389</v>
      </c>
      <c r="AL1923" s="94">
        <v>140</v>
      </c>
      <c r="AM1923" s="94" t="str">
        <f>TRIM(AJ1923)&amp;TRIM(AL1923)&amp;TRIM(AK1923)</f>
      </c>
      <c r="AN1923" s="116">
        <v>0</v>
      </c>
      <c r="AO1923" s="116" t="inlineStr">
        <is>
          <t>#NA</t>
        </is>
      </c>
      <c r="AP1923" s="116">
        <f>SUMIFS(M:M,AM:AM,AM1923)+SUMIFS(O:O,AM:AM,AM1923)</f>
      </c>
      <c r="AQ1923" s="116">
        <f>SUMIFS(L:L,AM:AM,AM1923)</f>
      </c>
      <c r="AR1923" s="116">
        <f>AQ1923-AP1923</f>
      </c>
      <c r="AS1923" s="94" t="str">
        <f>IF(AN1923&gt;=AQ1923,"ok","ck")</f>
      </c>
      <c r="AT1923" s="116">
        <f>-P1923</f>
      </c>
      <c r="AU1923" s="115">
        <f>IF(SUMIFS(AT:AT,AM:AM,AM1923)&gt;AO1923,(SUMIFS(AT:AT,AM:AM,AM1923)-AO1923))</f>
      </c>
      <c r="AV1923" s="116">
        <v>0</v>
      </c>
      <c r="AW1923" s="121">
        <v>0</v>
      </c>
      <c r="AX1923" s="115">
        <f>AN1923-AP1923</f>
      </c>
    </row>
    <row r="1924" spans="1:50" ht="15" hidden="1" customHeight="1" x14ac:dyDescent="0.3">
      <c r="A1924" s="94" t="s">
        <v>268</v>
      </c>
      <c r="B1924" s="94"/>
      <c r="C1924" s="94"/>
      <c r="D1924" s="94"/>
      <c r="E1924" s="94"/>
      <c r="F1924" s="94"/>
      <c r="G1924" s="112">
        <f>AU1924</f>
      </c>
      <c r="H1924" s="113"/>
      <c r="I1924" s="94" t="s">
        <v>390</v>
      </c>
      <c r="J1924" s="94" t="s">
        <v>401</v>
      </c>
      <c r="K1924" s="114">
        <f>P1924/3</f>
      </c>
      <c r="L1924" s="115">
        <v>0.75600000000000001</v>
      </c>
      <c r="M1924" s="116"/>
      <c r="N1924" s="117">
        <f>M1924-L1924</f>
      </c>
      <c r="O1924" s="112"/>
      <c r="P1924" s="118">
        <f>N1924+O1924</f>
      </c>
      <c r="Q1924" s="94" t="s">
        <v>778</v>
      </c>
      <c r="R1924" s="94" t="s">
        <v>392</v>
      </c>
      <c r="S1924" s="119">
        <v>46343</v>
      </c>
      <c r="T1924" s="119"/>
      <c r="U1924" s="120">
        <v>46343</v>
      </c>
      <c r="V1924" s="94"/>
      <c r="W1924" s="94"/>
      <c r="X1924" s="94"/>
      <c r="Y1924" s="119">
        <v>46335</v>
      </c>
      <c r="Z1924" s="94"/>
      <c r="AA1924" s="120"/>
      <c r="AB1924" s="120"/>
      <c r="AC1924" s="120"/>
      <c r="AD1924" s="120"/>
      <c r="AE1924" s="120"/>
      <c r="AF1924" s="120"/>
      <c r="AG1924" s="94"/>
      <c r="AH1924" s="120"/>
      <c r="AI1924" s="94"/>
      <c r="AJ1924" s="94" t="s">
        <v>778</v>
      </c>
      <c r="AK1924" s="94" t="s">
        <v>389</v>
      </c>
      <c r="AL1924" s="94">
        <v>140</v>
      </c>
      <c r="AM1924" s="94" t="str">
        <f>TRIM(AJ1924)&amp;TRIM(AL1924)&amp;TRIM(AK1924)</f>
      </c>
      <c r="AN1924" s="116">
        <v>0</v>
      </c>
      <c r="AO1924" s="116" t="inlineStr">
        <is>
          <t>#NA</t>
        </is>
      </c>
      <c r="AP1924" s="116">
        <f>SUMIFS(M:M,AM:AM,AM1924)+SUMIFS(O:O,AM:AM,AM1924)</f>
      </c>
      <c r="AQ1924" s="116">
        <f>SUMIFS(L:L,AM:AM,AM1924)</f>
      </c>
      <c r="AR1924" s="116">
        <f>AQ1924-AP1924</f>
      </c>
      <c r="AS1924" s="94" t="str">
        <f>IF(AN1924&gt;=AQ1924,"ok","ck")</f>
      </c>
      <c r="AT1924" s="116">
        <f>-P1924</f>
      </c>
      <c r="AU1924" s="115">
        <f>IF(SUMIFS(AT:AT,AM:AM,AM1924)&gt;AO1924,(SUMIFS(AT:AT,AM:AM,AM1924)-AO1924))</f>
      </c>
      <c r="AV1924" s="116">
        <v>0</v>
      </c>
      <c r="AW1924" s="121">
        <v>0</v>
      </c>
      <c r="AX1924" s="115">
        <f>AN1924-AP1924</f>
      </c>
    </row>
    <row r="1925" spans="1:50" ht="15" hidden="1" customHeight="1" x14ac:dyDescent="0.3">
      <c r="A1925" s="94" t="s">
        <v>268</v>
      </c>
      <c r="B1925" s="94"/>
      <c r="C1925" s="94"/>
      <c r="D1925" s="94"/>
      <c r="E1925" s="94"/>
      <c r="F1925" s="94"/>
      <c r="G1925" s="112">
        <f>AU1925</f>
      </c>
      <c r="H1925" s="113"/>
      <c r="I1925" s="94" t="s">
        <v>390</v>
      </c>
      <c r="J1925" s="94" t="s">
        <v>401</v>
      </c>
      <c r="K1925" s="114">
        <f>P1925/3</f>
      </c>
      <c r="L1925" s="115">
        <v>171.18</v>
      </c>
      <c r="M1925" s="116"/>
      <c r="N1925" s="117">
        <f>M1925-L1925</f>
      </c>
      <c r="O1925" s="112"/>
      <c r="P1925" s="118">
        <f>N1925+O1925</f>
      </c>
      <c r="Q1925" s="94" t="s">
        <v>778</v>
      </c>
      <c r="R1925" s="94" t="s">
        <v>392</v>
      </c>
      <c r="S1925" s="119">
        <v>46343</v>
      </c>
      <c r="T1925" s="119"/>
      <c r="U1925" s="120">
        <v>46343</v>
      </c>
      <c r="V1925" s="94"/>
      <c r="W1925" s="94"/>
      <c r="X1925" s="94"/>
      <c r="Y1925" s="119">
        <v>46334</v>
      </c>
      <c r="Z1925" s="94"/>
      <c r="AA1925" s="120"/>
      <c r="AB1925" s="120"/>
      <c r="AC1925" s="120"/>
      <c r="AD1925" s="120"/>
      <c r="AE1925" s="120"/>
      <c r="AF1925" s="120"/>
      <c r="AG1925" s="94"/>
      <c r="AH1925" s="120"/>
      <c r="AI1925" s="94"/>
      <c r="AJ1925" s="94" t="s">
        <v>778</v>
      </c>
      <c r="AK1925" s="94" t="s">
        <v>389</v>
      </c>
      <c r="AL1925" s="94">
        <v>140</v>
      </c>
      <c r="AM1925" s="94" t="str">
        <f>TRIM(AJ1925)&amp;TRIM(AL1925)&amp;TRIM(AK1925)</f>
      </c>
      <c r="AN1925" s="116">
        <v>0</v>
      </c>
      <c r="AO1925" s="116" t="inlineStr">
        <is>
          <t>#NA</t>
        </is>
      </c>
      <c r="AP1925" s="116">
        <f>SUMIFS(M:M,AM:AM,AM1925)+SUMIFS(O:O,AM:AM,AM1925)</f>
      </c>
      <c r="AQ1925" s="116">
        <f>SUMIFS(L:L,AM:AM,AM1925)</f>
      </c>
      <c r="AR1925" s="116">
        <f>AQ1925-AP1925</f>
      </c>
      <c r="AS1925" s="94" t="str">
        <f>IF(AN1925&gt;=AQ1925,"ok","ck")</f>
      </c>
      <c r="AT1925" s="116">
        <f>-P1925</f>
      </c>
      <c r="AU1925" s="115">
        <f>IF(SUMIFS(AT:AT,AM:AM,AM1925)&gt;AO1925,(SUMIFS(AT:AT,AM:AM,AM1925)-AO1925))</f>
      </c>
      <c r="AV1925" s="116">
        <v>0</v>
      </c>
      <c r="AW1925" s="121">
        <v>0</v>
      </c>
      <c r="AX1925" s="115">
        <f>AN1925-AP1925</f>
      </c>
    </row>
    <row r="1926" spans="1:50" ht="15" hidden="1" customHeight="1" x14ac:dyDescent="0.3">
      <c r="A1926" s="94" t="s">
        <v>268</v>
      </c>
      <c r="B1926" s="94"/>
      <c r="C1926" s="94"/>
      <c r="D1926" s="94"/>
      <c r="E1926" s="94"/>
      <c r="F1926" s="94"/>
      <c r="G1926" s="112">
        <f>AU1926</f>
      </c>
      <c r="H1926" s="113"/>
      <c r="I1926" s="94" t="s">
        <v>390</v>
      </c>
      <c r="J1926" s="94" t="s">
        <v>401</v>
      </c>
      <c r="K1926" s="114">
        <f>P1926/3</f>
      </c>
      <c r="L1926" s="115">
        <v>57.06</v>
      </c>
      <c r="M1926" s="116"/>
      <c r="N1926" s="117">
        <f>M1926-L1926</f>
      </c>
      <c r="O1926" s="112"/>
      <c r="P1926" s="118">
        <f>N1926+O1926</f>
      </c>
      <c r="Q1926" s="94" t="s">
        <v>778</v>
      </c>
      <c r="R1926" s="94" t="s">
        <v>392</v>
      </c>
      <c r="S1926" s="119">
        <v>46343</v>
      </c>
      <c r="T1926" s="119"/>
      <c r="U1926" s="120">
        <v>46343</v>
      </c>
      <c r="V1926" s="94"/>
      <c r="W1926" s="94"/>
      <c r="X1926" s="94"/>
      <c r="Y1926" s="119">
        <v>46337</v>
      </c>
      <c r="Z1926" s="94"/>
      <c r="AA1926" s="120"/>
      <c r="AB1926" s="120"/>
      <c r="AC1926" s="120"/>
      <c r="AD1926" s="120"/>
      <c r="AE1926" s="120"/>
      <c r="AF1926" s="120"/>
      <c r="AG1926" s="94"/>
      <c r="AH1926" s="120"/>
      <c r="AI1926" s="94"/>
      <c r="AJ1926" s="94" t="s">
        <v>778</v>
      </c>
      <c r="AK1926" s="94" t="s">
        <v>389</v>
      </c>
      <c r="AL1926" s="94">
        <v>140</v>
      </c>
      <c r="AM1926" s="94" t="str">
        <f>TRIM(AJ1926)&amp;TRIM(AL1926)&amp;TRIM(AK1926)</f>
      </c>
      <c r="AN1926" s="116">
        <v>0</v>
      </c>
      <c r="AO1926" s="116" t="inlineStr">
        <is>
          <t>#NA</t>
        </is>
      </c>
      <c r="AP1926" s="116">
        <f>SUMIFS(M:M,AM:AM,AM1926)+SUMIFS(O:O,AM:AM,AM1926)</f>
      </c>
      <c r="AQ1926" s="116">
        <f>SUMIFS(L:L,AM:AM,AM1926)</f>
      </c>
      <c r="AR1926" s="116">
        <f>AQ1926-AP1926</f>
      </c>
      <c r="AS1926" s="94" t="str">
        <f>IF(AN1926&gt;=AQ1926,"ok","ck")</f>
      </c>
      <c r="AT1926" s="116">
        <f>-P1926</f>
      </c>
      <c r="AU1926" s="115">
        <f>IF(SUMIFS(AT:AT,AM:AM,AM1926)&gt;AO1926,(SUMIFS(AT:AT,AM:AM,AM1926)-AO1926))</f>
      </c>
      <c r="AV1926" s="116">
        <v>0</v>
      </c>
      <c r="AW1926" s="121">
        <v>0</v>
      </c>
      <c r="AX1926" s="115">
        <f>AN1926-AP1926</f>
      </c>
    </row>
    <row r="1927" spans="1:50" ht="15" hidden="1" customHeight="1" x14ac:dyDescent="0.3">
      <c r="A1927" s="94" t="s">
        <v>76</v>
      </c>
      <c r="B1927" s="94"/>
      <c r="C1927" s="94"/>
      <c r="D1927" s="94"/>
      <c r="E1927" s="94"/>
      <c r="F1927" s="94"/>
      <c r="G1927" s="112">
        <f>AU1927</f>
      </c>
      <c r="H1927" s="113"/>
      <c r="I1927" s="94" t="s">
        <v>393</v>
      </c>
      <c r="J1927" s="94" t="s">
        <v>424</v>
      </c>
      <c r="K1927" s="114">
        <f>P1927/3</f>
      </c>
      <c r="L1927" s="115">
        <v>2.6389999999999998</v>
      </c>
      <c r="M1927" s="116"/>
      <c r="N1927" s="117">
        <f>M1927-L1927</f>
      </c>
      <c r="O1927" s="112"/>
      <c r="P1927" s="118">
        <f>N1927+O1927</f>
      </c>
      <c r="Q1927" s="94" t="s">
        <v>395</v>
      </c>
      <c r="R1927" s="94" t="s">
        <v>392</v>
      </c>
      <c r="S1927" s="119">
        <v>46331</v>
      </c>
      <c r="T1927" s="119"/>
      <c r="U1927" s="120">
        <v>46331</v>
      </c>
      <c r="V1927" s="94"/>
      <c r="W1927" s="94"/>
      <c r="X1927" s="94"/>
      <c r="Y1927" s="119">
        <v>46326</v>
      </c>
      <c r="Z1927" s="94"/>
      <c r="AA1927" s="120"/>
      <c r="AB1927" s="120"/>
      <c r="AC1927" s="120"/>
      <c r="AD1927" s="120"/>
      <c r="AE1927" s="120"/>
      <c r="AF1927" s="120"/>
      <c r="AG1927" s="94"/>
      <c r="AH1927" s="120"/>
      <c r="AI1927" s="94"/>
      <c r="AJ1927" s="94" t="s">
        <v>395</v>
      </c>
      <c r="AK1927" s="94" t="s">
        <v>748</v>
      </c>
      <c r="AL1927" s="94">
        <v>150</v>
      </c>
      <c r="AM1927" s="94" t="str">
        <f>TRIM(AJ1927)&amp;TRIM(AL1927)&amp;TRIM(AK1927)</f>
      </c>
      <c r="AN1927" s="116">
        <v>0</v>
      </c>
      <c r="AO1927" s="116" t="inlineStr">
        <is>
          <t>#NA</t>
        </is>
      </c>
      <c r="AP1927" s="116">
        <f>SUMIFS(M:M,AM:AM,AM1927)+SUMIFS(O:O,AM:AM,AM1927)</f>
      </c>
      <c r="AQ1927" s="116">
        <f>SUMIFS(L:L,AM:AM,AM1927)</f>
      </c>
      <c r="AR1927" s="116">
        <f>AQ1927-AP1927</f>
      </c>
      <c r="AS1927" s="94" t="str">
        <f>IF(AN1927&gt;=AQ1927,"ok","ck")</f>
      </c>
      <c r="AT1927" s="116">
        <f>-P1927</f>
      </c>
      <c r="AU1927" s="115">
        <f>IF(SUMIFS(AT:AT,AM:AM,AM1927)&gt;AO1927,(SUMIFS(AT:AT,AM:AM,AM1927)-AO1927))</f>
      </c>
      <c r="AV1927" s="116">
        <v>0</v>
      </c>
      <c r="AW1927" s="121">
        <v>0.914</v>
      </c>
      <c r="AX1927" s="115">
        <f>AN1927-AP1927</f>
      </c>
    </row>
    <row r="1928" spans="1:50" ht="15" hidden="1" customHeight="1" x14ac:dyDescent="0.3">
      <c r="A1928" s="94" t="s">
        <v>268</v>
      </c>
      <c r="B1928" s="94"/>
      <c r="C1928" s="94"/>
      <c r="D1928" s="94"/>
      <c r="E1928" s="94"/>
      <c r="F1928" s="94"/>
      <c r="G1928" s="112">
        <f>AU1928</f>
      </c>
      <c r="H1928" s="113"/>
      <c r="I1928" s="94" t="s">
        <v>390</v>
      </c>
      <c r="J1928" s="94" t="s">
        <v>401</v>
      </c>
      <c r="K1928" s="114">
        <f>P1928/3</f>
      </c>
      <c r="L1928" s="115">
        <v>580.4</v>
      </c>
      <c r="M1928" s="116"/>
      <c r="N1928" s="117">
        <f>M1928-L1928</f>
      </c>
      <c r="O1928" s="112"/>
      <c r="P1928" s="118">
        <f>N1928+O1928</f>
      </c>
      <c r="Q1928" s="94" t="s">
        <v>305</v>
      </c>
      <c r="R1928" s="94" t="s">
        <v>392</v>
      </c>
      <c r="S1928" s="119">
        <v>46345</v>
      </c>
      <c r="T1928" s="119"/>
      <c r="U1928" s="120">
        <v>46345</v>
      </c>
      <c r="V1928" s="94"/>
      <c r="W1928" s="94"/>
      <c r="X1928" s="94"/>
      <c r="Y1928" s="119">
        <v>46345</v>
      </c>
      <c r="Z1928" s="94"/>
      <c r="AA1928" s="120"/>
      <c r="AB1928" s="120"/>
      <c r="AC1928" s="120"/>
      <c r="AD1928" s="120"/>
      <c r="AE1928" s="120"/>
      <c r="AF1928" s="120"/>
      <c r="AG1928" s="94"/>
      <c r="AH1928" s="120"/>
      <c r="AI1928" s="94"/>
      <c r="AJ1928" s="94" t="s">
        <v>305</v>
      </c>
      <c r="AK1928" s="94" t="s">
        <v>389</v>
      </c>
      <c r="AL1928" s="94">
        <v>140</v>
      </c>
      <c r="AM1928" s="94" t="str">
        <f>TRIM(AJ1928)&amp;TRIM(AL1928)&amp;TRIM(AK1928)</f>
      </c>
      <c r="AN1928" s="116">
        <v>0</v>
      </c>
      <c r="AO1928" s="116" t="inlineStr">
        <is>
          <t>#NA</t>
        </is>
      </c>
      <c r="AP1928" s="116">
        <f>SUMIFS(M:M,AM:AM,AM1928)+SUMIFS(O:O,AM:AM,AM1928)</f>
      </c>
      <c r="AQ1928" s="116">
        <f>SUMIFS(L:L,AM:AM,AM1928)</f>
      </c>
      <c r="AR1928" s="116">
        <f>AQ1928-AP1928</f>
      </c>
      <c r="AS1928" s="94" t="str">
        <f>IF(AN1928&gt;=AQ1928,"ok","ck")</f>
      </c>
      <c r="AT1928" s="116">
        <f>-P1928</f>
      </c>
      <c r="AU1928" s="115">
        <f>IF(SUMIFS(AT:AT,AM:AM,AM1928)&gt;AO1928,(SUMIFS(AT:AT,AM:AM,AM1928)-AO1928))</f>
      </c>
      <c r="AV1928" s="116">
        <v>0</v>
      </c>
      <c r="AW1928" s="121">
        <v>0</v>
      </c>
      <c r="AX1928" s="115">
        <f>AN1928-AP1928</f>
      </c>
    </row>
    <row r="1929" spans="1:50" ht="15" hidden="1" customHeight="1" x14ac:dyDescent="0.3">
      <c r="A1929" s="94" t="s">
        <v>268</v>
      </c>
      <c r="B1929" s="94"/>
      <c r="C1929" s="94"/>
      <c r="D1929" s="94"/>
      <c r="E1929" s="94"/>
      <c r="F1929" s="94"/>
      <c r="G1929" s="112">
        <f>AU1929</f>
      </c>
      <c r="H1929" s="113"/>
      <c r="I1929" s="94" t="s">
        <v>390</v>
      </c>
      <c r="J1929" s="94" t="s">
        <v>401</v>
      </c>
      <c r="K1929" s="114">
        <f>P1929/3</f>
      </c>
      <c r="L1929" s="115">
        <v>120.4</v>
      </c>
      <c r="M1929" s="116"/>
      <c r="N1929" s="117">
        <f>M1929-L1929</f>
      </c>
      <c r="O1929" s="112"/>
      <c r="P1929" s="118">
        <f>N1929+O1929</f>
      </c>
      <c r="Q1929" s="94" t="s">
        <v>305</v>
      </c>
      <c r="R1929" s="94" t="s">
        <v>392</v>
      </c>
      <c r="S1929" s="119">
        <v>46336</v>
      </c>
      <c r="T1929" s="119"/>
      <c r="U1929" s="120">
        <v>46336</v>
      </c>
      <c r="V1929" s="94"/>
      <c r="W1929" s="94"/>
      <c r="X1929" s="94"/>
      <c r="Y1929" s="119">
        <v>46336</v>
      </c>
      <c r="Z1929" s="94"/>
      <c r="AA1929" s="120"/>
      <c r="AB1929" s="120"/>
      <c r="AC1929" s="120"/>
      <c r="AD1929" s="120"/>
      <c r="AE1929" s="120"/>
      <c r="AF1929" s="120"/>
      <c r="AG1929" s="94"/>
      <c r="AH1929" s="120"/>
      <c r="AI1929" s="94"/>
      <c r="AJ1929" s="94" t="s">
        <v>305</v>
      </c>
      <c r="AK1929" s="94" t="s">
        <v>389</v>
      </c>
      <c r="AL1929" s="94">
        <v>140</v>
      </c>
      <c r="AM1929" s="94" t="str">
        <f>TRIM(AJ1929)&amp;TRIM(AL1929)&amp;TRIM(AK1929)</f>
      </c>
      <c r="AN1929" s="116">
        <v>0</v>
      </c>
      <c r="AO1929" s="116" t="inlineStr">
        <is>
          <t>#NA</t>
        </is>
      </c>
      <c r="AP1929" s="116">
        <f>SUMIFS(M:M,AM:AM,AM1929)+SUMIFS(O:O,AM:AM,AM1929)</f>
      </c>
      <c r="AQ1929" s="116">
        <f>SUMIFS(L:L,AM:AM,AM1929)</f>
      </c>
      <c r="AR1929" s="116">
        <f>AQ1929-AP1929</f>
      </c>
      <c r="AS1929" s="94" t="str">
        <f>IF(AN1929&gt;=AQ1929,"ok","ck")</f>
      </c>
      <c r="AT1929" s="116">
        <f>-P1929</f>
      </c>
      <c r="AU1929" s="115">
        <f>IF(SUMIFS(AT:AT,AM:AM,AM1929)&gt;AO1929,(SUMIFS(AT:AT,AM:AM,AM1929)-AO1929))</f>
      </c>
      <c r="AV1929" s="116">
        <v>0</v>
      </c>
      <c r="AW1929" s="121">
        <v>0</v>
      </c>
      <c r="AX1929" s="115">
        <f>AN1929-AP1929</f>
      </c>
    </row>
    <row r="1930" spans="1:50" ht="15" hidden="1" customHeight="1" x14ac:dyDescent="0.3">
      <c r="A1930" s="94" t="s">
        <v>268</v>
      </c>
      <c r="B1930" s="94"/>
      <c r="C1930" s="94"/>
      <c r="D1930" s="94"/>
      <c r="E1930" s="94"/>
      <c r="F1930" s="94"/>
      <c r="G1930" s="112">
        <f>AU1930</f>
      </c>
      <c r="H1930" s="113"/>
      <c r="I1930" s="94" t="s">
        <v>390</v>
      </c>
      <c r="J1930" s="94" t="s">
        <v>401</v>
      </c>
      <c r="K1930" s="114">
        <f>P1930/3</f>
      </c>
      <c r="L1930" s="115">
        <v>150.5</v>
      </c>
      <c r="M1930" s="116"/>
      <c r="N1930" s="117">
        <f>M1930-L1930</f>
      </c>
      <c r="O1930" s="112"/>
      <c r="P1930" s="118">
        <f>N1930+O1930</f>
      </c>
      <c r="Q1930" s="94" t="s">
        <v>305</v>
      </c>
      <c r="R1930" s="94" t="s">
        <v>392</v>
      </c>
      <c r="S1930" s="119">
        <v>46338</v>
      </c>
      <c r="T1930" s="119"/>
      <c r="U1930" s="120">
        <v>46338</v>
      </c>
      <c r="V1930" s="94"/>
      <c r="W1930" s="94"/>
      <c r="X1930" s="94"/>
      <c r="Y1930" s="119">
        <v>46338</v>
      </c>
      <c r="Z1930" s="94"/>
      <c r="AA1930" s="120"/>
      <c r="AB1930" s="120"/>
      <c r="AC1930" s="120"/>
      <c r="AD1930" s="120"/>
      <c r="AE1930" s="120"/>
      <c r="AF1930" s="120"/>
      <c r="AG1930" s="94"/>
      <c r="AH1930" s="120"/>
      <c r="AI1930" s="94"/>
      <c r="AJ1930" s="94" t="s">
        <v>305</v>
      </c>
      <c r="AK1930" s="94" t="s">
        <v>389</v>
      </c>
      <c r="AL1930" s="94">
        <v>140</v>
      </c>
      <c r="AM1930" s="94" t="str">
        <f>TRIM(AJ1930)&amp;TRIM(AL1930)&amp;TRIM(AK1930)</f>
      </c>
      <c r="AN1930" s="116">
        <v>0</v>
      </c>
      <c r="AO1930" s="116" t="inlineStr">
        <is>
          <t>#NA</t>
        </is>
      </c>
      <c r="AP1930" s="116">
        <f>SUMIFS(M:M,AM:AM,AM1930)+SUMIFS(O:O,AM:AM,AM1930)</f>
      </c>
      <c r="AQ1930" s="116">
        <f>SUMIFS(L:L,AM:AM,AM1930)</f>
      </c>
      <c r="AR1930" s="116">
        <f>AQ1930-AP1930</f>
      </c>
      <c r="AS1930" s="94" t="str">
        <f>IF(AN1930&gt;=AQ1930,"ok","ck")</f>
      </c>
      <c r="AT1930" s="116">
        <f>-P1930</f>
      </c>
      <c r="AU1930" s="115">
        <f>IF(SUMIFS(AT:AT,AM:AM,AM1930)&gt;AO1930,(SUMIFS(AT:AT,AM:AM,AM1930)-AO1930))</f>
      </c>
      <c r="AV1930" s="116">
        <v>0</v>
      </c>
      <c r="AW1930" s="121">
        <v>0</v>
      </c>
      <c r="AX1930" s="115">
        <f>AN1930-AP1930</f>
      </c>
    </row>
    <row r="1931" spans="1:50" ht="15" hidden="1" customHeight="1" x14ac:dyDescent="0.3">
      <c r="A1931" s="94" t="s">
        <v>268</v>
      </c>
      <c r="B1931" s="94"/>
      <c r="C1931" s="94"/>
      <c r="D1931" s="94"/>
      <c r="E1931" s="94"/>
      <c r="F1931" s="94"/>
      <c r="G1931" s="112">
        <f>AU1931</f>
      </c>
      <c r="H1931" s="113"/>
      <c r="I1931" s="94" t="s">
        <v>390</v>
      </c>
      <c r="J1931" s="94" t="s">
        <v>401</v>
      </c>
      <c r="K1931" s="114">
        <f>P1931/3</f>
      </c>
      <c r="L1931" s="115">
        <v>309.39999999999998</v>
      </c>
      <c r="M1931" s="116"/>
      <c r="N1931" s="117">
        <f>M1931-L1931</f>
      </c>
      <c r="O1931" s="112"/>
      <c r="P1931" s="118">
        <f>N1931+O1931</f>
      </c>
      <c r="Q1931" s="94" t="s">
        <v>305</v>
      </c>
      <c r="R1931" s="94" t="s">
        <v>392</v>
      </c>
      <c r="S1931" s="119">
        <v>46334</v>
      </c>
      <c r="T1931" s="119"/>
      <c r="U1931" s="120">
        <v>46334</v>
      </c>
      <c r="V1931" s="94"/>
      <c r="W1931" s="94"/>
      <c r="X1931" s="94"/>
      <c r="Y1931" s="119">
        <v>46324</v>
      </c>
      <c r="Z1931" s="94"/>
      <c r="AA1931" s="120"/>
      <c r="AB1931" s="120"/>
      <c r="AC1931" s="120"/>
      <c r="AD1931" s="120"/>
      <c r="AE1931" s="120"/>
      <c r="AF1931" s="120"/>
      <c r="AG1931" s="94"/>
      <c r="AH1931" s="120"/>
      <c r="AI1931" s="94"/>
      <c r="AJ1931" s="94" t="s">
        <v>305</v>
      </c>
      <c r="AK1931" s="94" t="s">
        <v>389</v>
      </c>
      <c r="AL1931" s="94">
        <v>140</v>
      </c>
      <c r="AM1931" s="94" t="str">
        <f>TRIM(AJ1931)&amp;TRIM(AL1931)&amp;TRIM(AK1931)</f>
      </c>
      <c r="AN1931" s="116">
        <v>0</v>
      </c>
      <c r="AO1931" s="116" t="inlineStr">
        <is>
          <t>#NA</t>
        </is>
      </c>
      <c r="AP1931" s="116">
        <f>SUMIFS(M:M,AM:AM,AM1931)+SUMIFS(O:O,AM:AM,AM1931)</f>
      </c>
      <c r="AQ1931" s="116">
        <f>SUMIFS(L:L,AM:AM,AM1931)</f>
      </c>
      <c r="AR1931" s="116">
        <f>AQ1931-AP1931</f>
      </c>
      <c r="AS1931" s="94" t="str">
        <f>IF(AN1931&gt;=AQ1931,"ok","ck")</f>
      </c>
      <c r="AT1931" s="116">
        <f>-P1931</f>
      </c>
      <c r="AU1931" s="115">
        <f>IF(SUMIFS(AT:AT,AM:AM,AM1931)&gt;AO1931,(SUMIFS(AT:AT,AM:AM,AM1931)-AO1931))</f>
      </c>
      <c r="AV1931" s="116">
        <v>0</v>
      </c>
      <c r="AW1931" s="121">
        <v>0</v>
      </c>
      <c r="AX1931" s="115">
        <f>AN1931-AP1931</f>
      </c>
    </row>
    <row r="1932" spans="1:50" ht="15" hidden="1" customHeight="1" x14ac:dyDescent="0.3">
      <c r="A1932" s="94" t="s">
        <v>268</v>
      </c>
      <c r="B1932" s="94"/>
      <c r="C1932" s="94"/>
      <c r="D1932" s="94"/>
      <c r="E1932" s="94"/>
      <c r="F1932" s="94"/>
      <c r="G1932" s="112">
        <f>AU1932</f>
      </c>
      <c r="H1932" s="113"/>
      <c r="I1932" s="94" t="s">
        <v>390</v>
      </c>
      <c r="J1932" s="94" t="s">
        <v>401</v>
      </c>
      <c r="K1932" s="114">
        <f>P1932/3</f>
      </c>
      <c r="L1932" s="115">
        <v>261.52499999999998</v>
      </c>
      <c r="M1932" s="116"/>
      <c r="N1932" s="117">
        <f>M1932-L1932</f>
      </c>
      <c r="O1932" s="112"/>
      <c r="P1932" s="118">
        <f>N1932+O1932</f>
      </c>
      <c r="Q1932" s="94" t="s">
        <v>305</v>
      </c>
      <c r="R1932" s="94" t="s">
        <v>392</v>
      </c>
      <c r="S1932" s="119">
        <v>46334</v>
      </c>
      <c r="T1932" s="119"/>
      <c r="U1932" s="120">
        <v>46334</v>
      </c>
      <c r="V1932" s="94"/>
      <c r="W1932" s="94"/>
      <c r="X1932" s="94"/>
      <c r="Y1932" s="119">
        <v>46323</v>
      </c>
      <c r="Z1932" s="94"/>
      <c r="AA1932" s="120"/>
      <c r="AB1932" s="120"/>
      <c r="AC1932" s="120"/>
      <c r="AD1932" s="120"/>
      <c r="AE1932" s="120"/>
      <c r="AF1932" s="120"/>
      <c r="AG1932" s="94"/>
      <c r="AH1932" s="120"/>
      <c r="AI1932" s="94"/>
      <c r="AJ1932" s="94" t="s">
        <v>305</v>
      </c>
      <c r="AK1932" s="94" t="s">
        <v>389</v>
      </c>
      <c r="AL1932" s="94">
        <v>140</v>
      </c>
      <c r="AM1932" s="94" t="str">
        <f>TRIM(AJ1932)&amp;TRIM(AL1932)&amp;TRIM(AK1932)</f>
      </c>
      <c r="AN1932" s="116">
        <v>0</v>
      </c>
      <c r="AO1932" s="116" t="inlineStr">
        <is>
          <t>#NA</t>
        </is>
      </c>
      <c r="AP1932" s="116">
        <f>SUMIFS(M:M,AM:AM,AM1932)+SUMIFS(O:O,AM:AM,AM1932)</f>
      </c>
      <c r="AQ1932" s="116">
        <f>SUMIFS(L:L,AM:AM,AM1932)</f>
      </c>
      <c r="AR1932" s="116">
        <f>AQ1932-AP1932</f>
      </c>
      <c r="AS1932" s="94" t="str">
        <f>IF(AN1932&gt;=AQ1932,"ok","ck")</f>
      </c>
      <c r="AT1932" s="116">
        <f>-P1932</f>
      </c>
      <c r="AU1932" s="115">
        <f>IF(SUMIFS(AT:AT,AM:AM,AM1932)&gt;AO1932,(SUMIFS(AT:AT,AM:AM,AM1932)-AO1932))</f>
      </c>
      <c r="AV1932" s="116">
        <v>0</v>
      </c>
      <c r="AW1932" s="121">
        <v>0</v>
      </c>
      <c r="AX1932" s="115">
        <f>AN1932-AP1932</f>
      </c>
    </row>
    <row r="1933" spans="1:50" ht="15" hidden="1" customHeight="1" x14ac:dyDescent="0.3">
      <c r="A1933" s="94" t="s">
        <v>76</v>
      </c>
      <c r="B1933" s="94"/>
      <c r="C1933" s="94"/>
      <c r="D1933" s="94"/>
      <c r="E1933" s="94"/>
      <c r="F1933" s="94"/>
      <c r="G1933" s="112">
        <f>AU1933</f>
      </c>
      <c r="H1933" s="113"/>
      <c r="I1933" s="94" t="s">
        <v>393</v>
      </c>
      <c r="J1933" s="94" t="s">
        <v>394</v>
      </c>
      <c r="K1933" s="114">
        <f>P1933/3</f>
      </c>
      <c r="L1933" s="115">
        <v>979.47799999999995</v>
      </c>
      <c r="M1933" s="116"/>
      <c r="N1933" s="117">
        <f>M1933-L1933</f>
      </c>
      <c r="O1933" s="112"/>
      <c r="P1933" s="118">
        <f>N1933+O1933</f>
      </c>
      <c r="Q1933" s="94" t="s">
        <v>395</v>
      </c>
      <c r="R1933" s="94" t="s">
        <v>392</v>
      </c>
      <c r="S1933" s="119">
        <v>46338</v>
      </c>
      <c r="T1933" s="119"/>
      <c r="U1933" s="120">
        <v>46338</v>
      </c>
      <c r="V1933" s="94"/>
      <c r="W1933" s="94"/>
      <c r="X1933" s="94"/>
      <c r="Y1933" s="119">
        <v>46338</v>
      </c>
      <c r="Z1933" s="94"/>
      <c r="AA1933" s="120"/>
      <c r="AB1933" s="120"/>
      <c r="AC1933" s="120"/>
      <c r="AD1933" s="120"/>
      <c r="AE1933" s="120"/>
      <c r="AF1933" s="120"/>
      <c r="AG1933" s="94"/>
      <c r="AH1933" s="120"/>
      <c r="AI1933" s="94"/>
      <c r="AJ1933" s="94" t="s">
        <v>395</v>
      </c>
      <c r="AK1933" s="94" t="s">
        <v>748</v>
      </c>
      <c r="AL1933" s="94">
        <v>150</v>
      </c>
      <c r="AM1933" s="94" t="str">
        <f>TRIM(AJ1933)&amp;TRIM(AL1933)&amp;TRIM(AK1933)</f>
      </c>
      <c r="AN1933" s="116">
        <v>0</v>
      </c>
      <c r="AO1933" s="116" t="inlineStr">
        <is>
          <t>#NA</t>
        </is>
      </c>
      <c r="AP1933" s="116">
        <f>SUMIFS(M:M,AM:AM,AM1933)+SUMIFS(O:O,AM:AM,AM1933)</f>
      </c>
      <c r="AQ1933" s="116">
        <f>SUMIFS(L:L,AM:AM,AM1933)</f>
      </c>
      <c r="AR1933" s="116">
        <f>AQ1933-AP1933</f>
      </c>
      <c r="AS1933" s="94" t="str">
        <f>IF(AN1933&gt;=AQ1933,"ok","ck")</f>
      </c>
      <c r="AT1933" s="116">
        <f>-P1933</f>
      </c>
      <c r="AU1933" s="115">
        <f>IF(SUMIFS(AT:AT,AM:AM,AM1933)&gt;AO1933,(SUMIFS(AT:AT,AM:AM,AM1933)-AO1933))</f>
      </c>
      <c r="AV1933" s="116">
        <v>0</v>
      </c>
      <c r="AW1933" s="121">
        <v>0.914</v>
      </c>
      <c r="AX1933" s="115">
        <f>AN1933-AP1933</f>
      </c>
    </row>
    <row r="1934" spans="1:50" ht="15" hidden="1" customHeight="1" x14ac:dyDescent="0.3">
      <c r="A1934" s="94" t="s">
        <v>76</v>
      </c>
      <c r="B1934" s="94"/>
      <c r="C1934" s="94"/>
      <c r="D1934" s="94"/>
      <c r="E1934" s="94"/>
      <c r="F1934" s="94"/>
      <c r="G1934" s="112">
        <f>AU1934</f>
      </c>
      <c r="H1934" s="113"/>
      <c r="I1934" s="94" t="s">
        <v>393</v>
      </c>
      <c r="J1934" s="94" t="s">
        <v>394</v>
      </c>
      <c r="K1934" s="114">
        <f>P1934/3</f>
      </c>
      <c r="L1934" s="115">
        <v>1459.2670000000001</v>
      </c>
      <c r="M1934" s="116"/>
      <c r="N1934" s="117">
        <f>M1934-L1934</f>
      </c>
      <c r="O1934" s="112"/>
      <c r="P1934" s="118">
        <f>N1934+O1934</f>
      </c>
      <c r="Q1934" s="94" t="s">
        <v>395</v>
      </c>
      <c r="R1934" s="94" t="s">
        <v>392</v>
      </c>
      <c r="S1934" s="119">
        <v>46340</v>
      </c>
      <c r="T1934" s="119"/>
      <c r="U1934" s="120">
        <v>46340</v>
      </c>
      <c r="V1934" s="94"/>
      <c r="W1934" s="94"/>
      <c r="X1934" s="94"/>
      <c r="Y1934" s="119">
        <v>46340</v>
      </c>
      <c r="Z1934" s="94"/>
      <c r="AA1934" s="120"/>
      <c r="AB1934" s="120"/>
      <c r="AC1934" s="120"/>
      <c r="AD1934" s="120"/>
      <c r="AE1934" s="120"/>
      <c r="AF1934" s="120"/>
      <c r="AG1934" s="94"/>
      <c r="AH1934" s="120"/>
      <c r="AI1934" s="94"/>
      <c r="AJ1934" s="94" t="s">
        <v>395</v>
      </c>
      <c r="AK1934" s="94" t="s">
        <v>748</v>
      </c>
      <c r="AL1934" s="94">
        <v>150</v>
      </c>
      <c r="AM1934" s="94" t="str">
        <f>TRIM(AJ1934)&amp;TRIM(AL1934)&amp;TRIM(AK1934)</f>
      </c>
      <c r="AN1934" s="116">
        <v>0</v>
      </c>
      <c r="AO1934" s="116" t="inlineStr">
        <is>
          <t>#NA</t>
        </is>
      </c>
      <c r="AP1934" s="116">
        <f>SUMIFS(M:M,AM:AM,AM1934)+SUMIFS(O:O,AM:AM,AM1934)</f>
      </c>
      <c r="AQ1934" s="116">
        <f>SUMIFS(L:L,AM:AM,AM1934)</f>
      </c>
      <c r="AR1934" s="116">
        <f>AQ1934-AP1934</f>
      </c>
      <c r="AS1934" s="94" t="str">
        <f>IF(AN1934&gt;=AQ1934,"ok","ck")</f>
      </c>
      <c r="AT1934" s="116">
        <f>-P1934</f>
      </c>
      <c r="AU1934" s="115">
        <f>IF(SUMIFS(AT:AT,AM:AM,AM1934)&gt;AO1934,(SUMIFS(AT:AT,AM:AM,AM1934)-AO1934))</f>
      </c>
      <c r="AV1934" s="116">
        <v>0</v>
      </c>
      <c r="AW1934" s="121">
        <v>0.914</v>
      </c>
      <c r="AX1934" s="115">
        <f>AN1934-AP1934</f>
      </c>
    </row>
    <row r="1935" spans="1:50" ht="15" hidden="1" customHeight="1" x14ac:dyDescent="0.3">
      <c r="A1935" s="94" t="s">
        <v>76</v>
      </c>
      <c r="B1935" s="94"/>
      <c r="C1935" s="94"/>
      <c r="D1935" s="94"/>
      <c r="E1935" s="94"/>
      <c r="F1935" s="94"/>
      <c r="G1935" s="112">
        <f>AU1935</f>
      </c>
      <c r="H1935" s="113"/>
      <c r="I1935" s="94" t="s">
        <v>393</v>
      </c>
      <c r="J1935" s="94" t="s">
        <v>394</v>
      </c>
      <c r="K1935" s="114">
        <f>P1935/3</f>
      </c>
      <c r="L1935" s="115">
        <v>2.5870000000000002</v>
      </c>
      <c r="M1935" s="116"/>
      <c r="N1935" s="117">
        <f>M1935-L1935</f>
      </c>
      <c r="O1935" s="112"/>
      <c r="P1935" s="118">
        <f>N1935+O1935</f>
      </c>
      <c r="Q1935" s="94" t="s">
        <v>395</v>
      </c>
      <c r="R1935" s="94" t="s">
        <v>392</v>
      </c>
      <c r="S1935" s="119">
        <v>46340</v>
      </c>
      <c r="T1935" s="119"/>
      <c r="U1935" s="120">
        <v>46340</v>
      </c>
      <c r="V1935" s="94"/>
      <c r="W1935" s="94"/>
      <c r="X1935" s="94"/>
      <c r="Y1935" s="119">
        <v>46340</v>
      </c>
      <c r="Z1935" s="94"/>
      <c r="AA1935" s="120"/>
      <c r="AB1935" s="120"/>
      <c r="AC1935" s="120"/>
      <c r="AD1935" s="120"/>
      <c r="AE1935" s="120"/>
      <c r="AF1935" s="120"/>
      <c r="AG1935" s="94"/>
      <c r="AH1935" s="120"/>
      <c r="AI1935" s="94"/>
      <c r="AJ1935" s="94" t="s">
        <v>395</v>
      </c>
      <c r="AK1935" s="94" t="s">
        <v>748</v>
      </c>
      <c r="AL1935" s="94">
        <v>150</v>
      </c>
      <c r="AM1935" s="94" t="str">
        <f>TRIM(AJ1935)&amp;TRIM(AL1935)&amp;TRIM(AK1935)</f>
      </c>
      <c r="AN1935" s="116">
        <v>0</v>
      </c>
      <c r="AO1935" s="116" t="inlineStr">
        <is>
          <t>#NA</t>
        </is>
      </c>
      <c r="AP1935" s="116">
        <f>SUMIFS(M:M,AM:AM,AM1935)+SUMIFS(O:O,AM:AM,AM1935)</f>
      </c>
      <c r="AQ1935" s="116">
        <f>SUMIFS(L:L,AM:AM,AM1935)</f>
      </c>
      <c r="AR1935" s="116">
        <f>AQ1935-AP1935</f>
      </c>
      <c r="AS1935" s="94" t="str">
        <f>IF(AN1935&gt;=AQ1935,"ok","ck")</f>
      </c>
      <c r="AT1935" s="116">
        <f>-P1935</f>
      </c>
      <c r="AU1935" s="115">
        <f>IF(SUMIFS(AT:AT,AM:AM,AM1935)&gt;AO1935,(SUMIFS(AT:AT,AM:AM,AM1935)-AO1935))</f>
      </c>
      <c r="AV1935" s="116">
        <v>0</v>
      </c>
      <c r="AW1935" s="121">
        <v>0.914</v>
      </c>
      <c r="AX1935" s="115">
        <f>AN1935-AP1935</f>
      </c>
    </row>
    <row r="1936" spans="1:50" ht="15" hidden="1" customHeight="1" x14ac:dyDescent="0.3">
      <c r="A1936" s="94" t="s">
        <v>480</v>
      </c>
      <c r="B1936" s="94"/>
      <c r="C1936" s="94"/>
      <c r="D1936" s="94"/>
      <c r="E1936" s="94"/>
      <c r="F1936" s="94"/>
      <c r="G1936" s="112">
        <f>AU1936</f>
      </c>
      <c r="H1936" s="113"/>
      <c r="I1936" s="94" t="s">
        <v>483</v>
      </c>
      <c r="J1936" s="94" t="s">
        <v>583</v>
      </c>
      <c r="K1936" s="114">
        <f>P1936/3</f>
      </c>
      <c r="L1936" s="115">
        <v>8.2279999999999998</v>
      </c>
      <c r="M1936" s="116"/>
      <c r="N1936" s="117">
        <f>M1936-L1936</f>
      </c>
      <c r="O1936" s="112"/>
      <c r="P1936" s="118">
        <f>N1936+O1936</f>
      </c>
      <c r="Q1936" s="94" t="s">
        <v>782</v>
      </c>
      <c r="R1936" s="94" t="s">
        <v>392</v>
      </c>
      <c r="S1936" s="119">
        <v>46329</v>
      </c>
      <c r="T1936" s="119"/>
      <c r="U1936" s="120">
        <v>46329</v>
      </c>
      <c r="V1936" s="94"/>
      <c r="W1936" s="94"/>
      <c r="X1936" s="94"/>
      <c r="Y1936" s="119">
        <v>46327</v>
      </c>
      <c r="Z1936" s="94"/>
      <c r="AA1936" s="120"/>
      <c r="AB1936" s="120"/>
      <c r="AC1936" s="120"/>
      <c r="AD1936" s="120"/>
      <c r="AE1936" s="120"/>
      <c r="AF1936" s="120"/>
      <c r="AG1936" s="94"/>
      <c r="AH1936" s="120"/>
      <c r="AI1936" s="94"/>
      <c r="AJ1936" s="94" t="s">
        <v>782</v>
      </c>
      <c r="AK1936" s="94" t="s">
        <v>750</v>
      </c>
      <c r="AL1936" s="94">
        <v>165</v>
      </c>
      <c r="AM1936" s="94" t="str">
        <f>TRIM(AJ1936)&amp;TRIM(AL1936)&amp;TRIM(AK1936)</f>
      </c>
      <c r="AN1936" s="116">
        <v>0</v>
      </c>
      <c r="AO1936" s="116" t="inlineStr">
        <is>
          <t>#NA</t>
        </is>
      </c>
      <c r="AP1936" s="116">
        <f>SUMIFS(M:M,AM:AM,AM1936)+SUMIFS(O:O,AM:AM,AM1936)</f>
      </c>
      <c r="AQ1936" s="116">
        <f>SUMIFS(L:L,AM:AM,AM1936)</f>
      </c>
      <c r="AR1936" s="116">
        <f>AQ1936-AP1936</f>
      </c>
      <c r="AS1936" s="94" t="str">
        <f>IF(AN1936&gt;=AQ1936,"ok","ck")</f>
      </c>
      <c r="AT1936" s="116">
        <f>-P1936</f>
      </c>
      <c r="AU1936" s="115">
        <f>IF(SUMIFS(AT:AT,AM:AM,AM1936)&gt;AO1936,(SUMIFS(AT:AT,AM:AM,AM1936)-AO1936))</f>
      </c>
      <c r="AV1936" s="116">
        <v>0</v>
      </c>
      <c r="AW1936" s="121">
        <v>1.088</v>
      </c>
      <c r="AX1936" s="115">
        <f>AN1936-AP1936</f>
      </c>
    </row>
    <row r="1937" spans="1:50" ht="15" hidden="1" customHeight="1" x14ac:dyDescent="0.3">
      <c r="A1937" s="94" t="s">
        <v>480</v>
      </c>
      <c r="B1937" s="94"/>
      <c r="C1937" s="94"/>
      <c r="D1937" s="94"/>
      <c r="E1937" s="94"/>
      <c r="F1937" s="94"/>
      <c r="G1937" s="112">
        <f>AU1937</f>
      </c>
      <c r="H1937" s="113"/>
      <c r="I1937" s="94" t="s">
        <v>483</v>
      </c>
      <c r="J1937" s="94" t="s">
        <v>583</v>
      </c>
      <c r="K1937" s="114">
        <f>P1937/3</f>
      </c>
      <c r="L1937" s="115">
        <v>4.9370000000000003</v>
      </c>
      <c r="M1937" s="116"/>
      <c r="N1937" s="117">
        <f>M1937-L1937</f>
      </c>
      <c r="O1937" s="112"/>
      <c r="P1937" s="118">
        <f>N1937+O1937</f>
      </c>
      <c r="Q1937" s="94" t="s">
        <v>782</v>
      </c>
      <c r="R1937" s="94" t="s">
        <v>392</v>
      </c>
      <c r="S1937" s="119">
        <v>46329</v>
      </c>
      <c r="T1937" s="119"/>
      <c r="U1937" s="120">
        <v>46329</v>
      </c>
      <c r="V1937" s="94"/>
      <c r="W1937" s="94"/>
      <c r="X1937" s="94"/>
      <c r="Y1937" s="119">
        <v>46327</v>
      </c>
      <c r="Z1937" s="94"/>
      <c r="AA1937" s="120"/>
      <c r="AB1937" s="120"/>
      <c r="AC1937" s="120"/>
      <c r="AD1937" s="120"/>
      <c r="AE1937" s="120"/>
      <c r="AF1937" s="120"/>
      <c r="AG1937" s="94"/>
      <c r="AH1937" s="120"/>
      <c r="AI1937" s="94"/>
      <c r="AJ1937" s="94" t="s">
        <v>782</v>
      </c>
      <c r="AK1937" s="94" t="s">
        <v>750</v>
      </c>
      <c r="AL1937" s="94">
        <v>165</v>
      </c>
      <c r="AM1937" s="94" t="str">
        <f>TRIM(AJ1937)&amp;TRIM(AL1937)&amp;TRIM(AK1937)</f>
      </c>
      <c r="AN1937" s="116">
        <v>0</v>
      </c>
      <c r="AO1937" s="116" t="inlineStr">
        <is>
          <t>#NA</t>
        </is>
      </c>
      <c r="AP1937" s="116">
        <f>SUMIFS(M:M,AM:AM,AM1937)+SUMIFS(O:O,AM:AM,AM1937)</f>
      </c>
      <c r="AQ1937" s="116">
        <f>SUMIFS(L:L,AM:AM,AM1937)</f>
      </c>
      <c r="AR1937" s="116">
        <f>AQ1937-AP1937</f>
      </c>
      <c r="AS1937" s="94" t="str">
        <f>IF(AN1937&gt;=AQ1937,"ok","ck")</f>
      </c>
      <c r="AT1937" s="116">
        <f>-P1937</f>
      </c>
      <c r="AU1937" s="115">
        <f>IF(SUMIFS(AT:AT,AM:AM,AM1937)&gt;AO1937,(SUMIFS(AT:AT,AM:AM,AM1937)-AO1937))</f>
      </c>
      <c r="AV1937" s="116">
        <v>0</v>
      </c>
      <c r="AW1937" s="121">
        <v>1.088</v>
      </c>
      <c r="AX1937" s="115">
        <f>AN1937-AP1937</f>
      </c>
    </row>
    <row r="1938" spans="1:50" ht="15" hidden="1" customHeight="1" x14ac:dyDescent="0.3">
      <c r="A1938" s="94" t="s">
        <v>480</v>
      </c>
      <c r="B1938" s="94"/>
      <c r="C1938" s="94"/>
      <c r="D1938" s="94"/>
      <c r="E1938" s="94"/>
      <c r="F1938" s="94"/>
      <c r="G1938" s="112">
        <f>AU1938</f>
      </c>
      <c r="H1938" s="113"/>
      <c r="I1938" s="94" t="s">
        <v>483</v>
      </c>
      <c r="J1938" s="94" t="s">
        <v>583</v>
      </c>
      <c r="K1938" s="114">
        <f>P1938/3</f>
      </c>
      <c r="L1938" s="115">
        <v>4.2720000000000002</v>
      </c>
      <c r="M1938" s="116"/>
      <c r="N1938" s="117">
        <f>M1938-L1938</f>
      </c>
      <c r="O1938" s="112"/>
      <c r="P1938" s="118">
        <f>N1938+O1938</f>
      </c>
      <c r="Q1938" s="94" t="s">
        <v>782</v>
      </c>
      <c r="R1938" s="94" t="s">
        <v>392</v>
      </c>
      <c r="S1938" s="119">
        <v>46329</v>
      </c>
      <c r="T1938" s="119"/>
      <c r="U1938" s="120">
        <v>46329</v>
      </c>
      <c r="V1938" s="94"/>
      <c r="W1938" s="94"/>
      <c r="X1938" s="94"/>
      <c r="Y1938" s="119">
        <v>46327</v>
      </c>
      <c r="Z1938" s="94"/>
      <c r="AA1938" s="120"/>
      <c r="AB1938" s="120"/>
      <c r="AC1938" s="120"/>
      <c r="AD1938" s="120"/>
      <c r="AE1938" s="120"/>
      <c r="AF1938" s="120"/>
      <c r="AG1938" s="94"/>
      <c r="AH1938" s="120"/>
      <c r="AI1938" s="94"/>
      <c r="AJ1938" s="94" t="s">
        <v>782</v>
      </c>
      <c r="AK1938" s="94" t="s">
        <v>750</v>
      </c>
      <c r="AL1938" s="94">
        <v>165</v>
      </c>
      <c r="AM1938" s="94" t="str">
        <f>TRIM(AJ1938)&amp;TRIM(AL1938)&amp;TRIM(AK1938)</f>
      </c>
      <c r="AN1938" s="116">
        <v>0</v>
      </c>
      <c r="AO1938" s="116" t="inlineStr">
        <is>
          <t>#NA</t>
        </is>
      </c>
      <c r="AP1938" s="116">
        <f>SUMIFS(M:M,AM:AM,AM1938)+SUMIFS(O:O,AM:AM,AM1938)</f>
      </c>
      <c r="AQ1938" s="116">
        <f>SUMIFS(L:L,AM:AM,AM1938)</f>
      </c>
      <c r="AR1938" s="116">
        <f>AQ1938-AP1938</f>
      </c>
      <c r="AS1938" s="94" t="str">
        <f>IF(AN1938&gt;=AQ1938,"ok","ck")</f>
      </c>
      <c r="AT1938" s="116">
        <f>-P1938</f>
      </c>
      <c r="AU1938" s="115">
        <f>IF(SUMIFS(AT:AT,AM:AM,AM1938)&gt;AO1938,(SUMIFS(AT:AT,AM:AM,AM1938)-AO1938))</f>
      </c>
      <c r="AV1938" s="116">
        <v>0</v>
      </c>
      <c r="AW1938" s="121">
        <v>1.088</v>
      </c>
      <c r="AX1938" s="115">
        <f>AN1938-AP1938</f>
      </c>
    </row>
    <row r="1939" spans="1:50" ht="15" hidden="1" customHeight="1" x14ac:dyDescent="0.3">
      <c r="A1939" s="94" t="s">
        <v>480</v>
      </c>
      <c r="B1939" s="94"/>
      <c r="C1939" s="94"/>
      <c r="D1939" s="94"/>
      <c r="E1939" s="94"/>
      <c r="F1939" s="94"/>
      <c r="G1939" s="112">
        <f>AU1939</f>
      </c>
      <c r="H1939" s="113"/>
      <c r="I1939" s="94" t="s">
        <v>483</v>
      </c>
      <c r="J1939" s="94" t="s">
        <v>583</v>
      </c>
      <c r="K1939" s="114">
        <f>P1939/3</f>
      </c>
      <c r="L1939" s="115">
        <v>2.5630000000000002</v>
      </c>
      <c r="M1939" s="116"/>
      <c r="N1939" s="117">
        <f>M1939-L1939</f>
      </c>
      <c r="O1939" s="112"/>
      <c r="P1939" s="118">
        <f>N1939+O1939</f>
      </c>
      <c r="Q1939" s="94" t="s">
        <v>782</v>
      </c>
      <c r="R1939" s="94" t="s">
        <v>392</v>
      </c>
      <c r="S1939" s="119">
        <v>46329</v>
      </c>
      <c r="T1939" s="119"/>
      <c r="U1939" s="120">
        <v>46329</v>
      </c>
      <c r="V1939" s="94"/>
      <c r="W1939" s="94"/>
      <c r="X1939" s="94"/>
      <c r="Y1939" s="119">
        <v>46327</v>
      </c>
      <c r="Z1939" s="94"/>
      <c r="AA1939" s="120"/>
      <c r="AB1939" s="120"/>
      <c r="AC1939" s="120"/>
      <c r="AD1939" s="120"/>
      <c r="AE1939" s="120"/>
      <c r="AF1939" s="120"/>
      <c r="AG1939" s="94"/>
      <c r="AH1939" s="120"/>
      <c r="AI1939" s="94"/>
      <c r="AJ1939" s="94" t="s">
        <v>782</v>
      </c>
      <c r="AK1939" s="94" t="s">
        <v>750</v>
      </c>
      <c r="AL1939" s="94">
        <v>165</v>
      </c>
      <c r="AM1939" s="94" t="str">
        <f>TRIM(AJ1939)&amp;TRIM(AL1939)&amp;TRIM(AK1939)</f>
      </c>
      <c r="AN1939" s="116">
        <v>0</v>
      </c>
      <c r="AO1939" s="116" t="inlineStr">
        <is>
          <t>#NA</t>
        </is>
      </c>
      <c r="AP1939" s="116">
        <f>SUMIFS(M:M,AM:AM,AM1939)+SUMIFS(O:O,AM:AM,AM1939)</f>
      </c>
      <c r="AQ1939" s="116">
        <f>SUMIFS(L:L,AM:AM,AM1939)</f>
      </c>
      <c r="AR1939" s="116">
        <f>AQ1939-AP1939</f>
      </c>
      <c r="AS1939" s="94" t="str">
        <f>IF(AN1939&gt;=AQ1939,"ok","ck")</f>
      </c>
      <c r="AT1939" s="116">
        <f>-P1939</f>
      </c>
      <c r="AU1939" s="115">
        <f>IF(SUMIFS(AT:AT,AM:AM,AM1939)&gt;AO1939,(SUMIFS(AT:AT,AM:AM,AM1939)-AO1939))</f>
      </c>
      <c r="AV1939" s="116">
        <v>0</v>
      </c>
      <c r="AW1939" s="121">
        <v>1.088</v>
      </c>
      <c r="AX1939" s="115">
        <f>AN1939-AP1939</f>
      </c>
    </row>
    <row r="1940" spans="1:50" ht="15" hidden="1" customHeight="1" x14ac:dyDescent="0.3">
      <c r="A1940" s="94" t="s">
        <v>311</v>
      </c>
      <c r="B1940" s="94"/>
      <c r="C1940" s="94"/>
      <c r="D1940" s="94"/>
      <c r="E1940" s="94"/>
      <c r="F1940" s="94"/>
      <c r="G1940" s="112">
        <f>AU1940</f>
      </c>
      <c r="H1940" s="113"/>
      <c r="I1940" s="94" t="s">
        <v>409</v>
      </c>
      <c r="J1940" s="94" t="s">
        <v>410</v>
      </c>
      <c r="K1940" s="114">
        <f>P1940/3</f>
      </c>
      <c r="L1940" s="115">
        <v>340</v>
      </c>
      <c r="M1940" s="116"/>
      <c r="N1940" s="117">
        <f>M1940-L1940</f>
      </c>
      <c r="O1940" s="112"/>
      <c r="P1940" s="118">
        <f>N1940+O1940</f>
      </c>
      <c r="Q1940" s="94" t="s">
        <v>346</v>
      </c>
      <c r="R1940" s="94" t="s">
        <v>392</v>
      </c>
      <c r="S1940" s="119">
        <v>46320</v>
      </c>
      <c r="T1940" s="119"/>
      <c r="U1940" s="120">
        <v>46320</v>
      </c>
      <c r="V1940" s="94"/>
      <c r="W1940" s="94"/>
      <c r="X1940" s="94"/>
      <c r="Y1940" s="119">
        <v>46320</v>
      </c>
      <c r="Z1940" s="94"/>
      <c r="AA1940" s="120"/>
      <c r="AB1940" s="120"/>
      <c r="AC1940" s="120"/>
      <c r="AD1940" s="120"/>
      <c r="AE1940" s="120"/>
      <c r="AF1940" s="120"/>
      <c r="AG1940" s="94"/>
      <c r="AH1940" s="120"/>
      <c r="AI1940" s="94"/>
      <c r="AJ1940" s="94" t="s">
        <v>346</v>
      </c>
      <c r="AK1940" s="94" t="s">
        <v>347</v>
      </c>
      <c r="AL1940" s="94">
        <v>150</v>
      </c>
      <c r="AM1940" s="94" t="str">
        <f>TRIM(AJ1940)&amp;TRIM(AL1940)&amp;TRIM(AK1940)</f>
      </c>
      <c r="AN1940" s="116">
        <v>0</v>
      </c>
      <c r="AO1940" s="116" t="inlineStr">
        <is>
          <t>#NA</t>
        </is>
      </c>
      <c r="AP1940" s="116">
        <f>SUMIFS(M:M,AM:AM,AM1940)+SUMIFS(O:O,AM:AM,AM1940)</f>
      </c>
      <c r="AQ1940" s="116">
        <f>SUMIFS(L:L,AM:AM,AM1940)</f>
      </c>
      <c r="AR1940" s="116">
        <f>AQ1940-AP1940</f>
      </c>
      <c r="AS1940" s="94" t="str">
        <f>IF(AN1940&gt;=AQ1940,"ok","ck")</f>
      </c>
      <c r="AT1940" s="116">
        <f>-P1940</f>
      </c>
      <c r="AU1940" s="115">
        <f>IF(SUMIFS(AT:AT,AM:AM,AM1940)&gt;AO1940,(SUMIFS(AT:AT,AM:AM,AM1940)-AO1940))</f>
      </c>
      <c r="AV1940" s="116">
        <v>0</v>
      </c>
      <c r="AW1940" s="121">
        <v>0.97</v>
      </c>
      <c r="AX1940" s="115">
        <f>AN1940-AP1940</f>
      </c>
    </row>
    <row r="1941" spans="1:50" ht="15" hidden="1" customHeight="1" x14ac:dyDescent="0.3">
      <c r="A1941" s="94" t="s">
        <v>311</v>
      </c>
      <c r="B1941" s="94"/>
      <c r="C1941" s="94"/>
      <c r="D1941" s="94"/>
      <c r="E1941" s="94"/>
      <c r="F1941" s="94"/>
      <c r="G1941" s="112">
        <f>AU1941</f>
      </c>
      <c r="H1941" s="113"/>
      <c r="I1941" s="94" t="s">
        <v>409</v>
      </c>
      <c r="J1941" s="94" t="s">
        <v>410</v>
      </c>
      <c r="K1941" s="114">
        <f>P1941/3</f>
      </c>
      <c r="L1941" s="115">
        <v>339.96</v>
      </c>
      <c r="M1941" s="116"/>
      <c r="N1941" s="117">
        <f>M1941-L1941</f>
      </c>
      <c r="O1941" s="112"/>
      <c r="P1941" s="118">
        <f>N1941+O1941</f>
      </c>
      <c r="Q1941" s="94" t="s">
        <v>346</v>
      </c>
      <c r="R1941" s="94" t="s">
        <v>392</v>
      </c>
      <c r="S1941" s="119">
        <v>46322</v>
      </c>
      <c r="T1941" s="119"/>
      <c r="U1941" s="120">
        <v>46322</v>
      </c>
      <c r="V1941" s="94"/>
      <c r="W1941" s="94"/>
      <c r="X1941" s="94"/>
      <c r="Y1941" s="119">
        <v>46322</v>
      </c>
      <c r="Z1941" s="94"/>
      <c r="AA1941" s="120"/>
      <c r="AB1941" s="120"/>
      <c r="AC1941" s="120"/>
      <c r="AD1941" s="120"/>
      <c r="AE1941" s="120"/>
      <c r="AF1941" s="120"/>
      <c r="AG1941" s="94"/>
      <c r="AH1941" s="120"/>
      <c r="AI1941" s="94"/>
      <c r="AJ1941" s="94" t="s">
        <v>346</v>
      </c>
      <c r="AK1941" s="94" t="s">
        <v>347</v>
      </c>
      <c r="AL1941" s="94">
        <v>150</v>
      </c>
      <c r="AM1941" s="94" t="str">
        <f>TRIM(AJ1941)&amp;TRIM(AL1941)&amp;TRIM(AK1941)</f>
      </c>
      <c r="AN1941" s="116">
        <v>0</v>
      </c>
      <c r="AO1941" s="116" t="inlineStr">
        <is>
          <t>#NA</t>
        </is>
      </c>
      <c r="AP1941" s="116">
        <f>SUMIFS(M:M,AM:AM,AM1941)+SUMIFS(O:O,AM:AM,AM1941)</f>
      </c>
      <c r="AQ1941" s="116">
        <f>SUMIFS(L:L,AM:AM,AM1941)</f>
      </c>
      <c r="AR1941" s="116">
        <f>AQ1941-AP1941</f>
      </c>
      <c r="AS1941" s="94" t="str">
        <f>IF(AN1941&gt;=AQ1941,"ok","ck")</f>
      </c>
      <c r="AT1941" s="116">
        <f>-P1941</f>
      </c>
      <c r="AU1941" s="115">
        <f>IF(SUMIFS(AT:AT,AM:AM,AM1941)&gt;AO1941,(SUMIFS(AT:AT,AM:AM,AM1941)-AO1941))</f>
      </c>
      <c r="AV1941" s="116">
        <v>0</v>
      </c>
      <c r="AW1941" s="121">
        <v>0.97</v>
      </c>
      <c r="AX1941" s="115">
        <f>AN1941-AP1941</f>
      </c>
    </row>
    <row r="1942" spans="1:50" ht="15" hidden="1" customHeight="1" x14ac:dyDescent="0.3">
      <c r="A1942" s="94" t="s">
        <v>76</v>
      </c>
      <c r="B1942" s="94"/>
      <c r="C1942" s="94"/>
      <c r="D1942" s="94"/>
      <c r="E1942" s="94"/>
      <c r="F1942" s="94"/>
      <c r="G1942" s="112">
        <f>AU1942</f>
      </c>
      <c r="H1942" s="113"/>
      <c r="I1942" s="94" t="s">
        <v>393</v>
      </c>
      <c r="J1942" s="94" t="s">
        <v>400</v>
      </c>
      <c r="K1942" s="114">
        <f>P1942/3</f>
      </c>
      <c r="L1942" s="115">
        <v>599.25599999999997</v>
      </c>
      <c r="M1942" s="116">
        <f>L1942</f>
      </c>
      <c r="N1942" s="117">
        <f>M1942-L1942</f>
      </c>
      <c r="O1942" s="112"/>
      <c r="P1942" s="118">
        <f>N1942+O1942</f>
      </c>
      <c r="Q1942" s="94" t="s">
        <v>395</v>
      </c>
      <c r="R1942" s="94" t="s">
        <v>392</v>
      </c>
      <c r="S1942" s="119">
        <v>46329</v>
      </c>
      <c r="T1942" s="119"/>
      <c r="U1942" s="120">
        <v>46329</v>
      </c>
      <c r="V1942" s="94"/>
      <c r="W1942" s="94"/>
      <c r="X1942" s="94"/>
      <c r="Y1942" s="119">
        <v>46320</v>
      </c>
      <c r="Z1942" s="94"/>
      <c r="AA1942" s="120"/>
      <c r="AB1942" s="120"/>
      <c r="AC1942" s="120"/>
      <c r="AD1942" s="120"/>
      <c r="AE1942" s="120"/>
      <c r="AF1942" s="120"/>
      <c r="AG1942" s="94"/>
      <c r="AH1942" s="120"/>
      <c r="AI1942" s="94"/>
      <c r="AJ1942" s="94" t="s">
        <v>395</v>
      </c>
      <c r="AK1942" s="94" t="s">
        <v>120</v>
      </c>
      <c r="AL1942" s="94">
        <v>150</v>
      </c>
      <c r="AM1942" s="94" t="str">
        <f>TRIM(AJ1942)&amp;TRIM(AL1942)&amp;TRIM(AK1942)</f>
      </c>
      <c r="AN1942" s="116">
        <v>347</v>
      </c>
      <c r="AO1942" s="116">
        <v>-7.4</v>
      </c>
      <c r="AP1942" s="116">
        <f>SUMIFS(M:M,AM:AM,AM1942)+SUMIFS(O:O,AM:AM,AM1942)</f>
      </c>
      <c r="AQ1942" s="116">
        <f>SUMIFS(L:L,AM:AM,AM1942)</f>
      </c>
      <c r="AR1942" s="116">
        <f>AQ1942-AP1942</f>
      </c>
      <c r="AS1942" s="94" t="str">
        <f>IF(AN1942&gt;=AQ1942,"ok","ck")</f>
      </c>
      <c r="AT1942" s="116">
        <f>-P1942</f>
      </c>
      <c r="AU1942" s="115">
        <f>IF(SUMIFS(AT:AT,AM:AM,AM1942)&gt;AO1942,(SUMIFS(AT:AT,AM:AM,AM1942)-AO1942))</f>
      </c>
      <c r="AV1942" s="116">
        <v>347</v>
      </c>
      <c r="AW1942" s="121">
        <v>1.022</v>
      </c>
      <c r="AX1942" s="115">
        <f>AN1942-AP1942</f>
      </c>
    </row>
    <row r="1943" spans="1:50" ht="15" hidden="1" customHeight="1" x14ac:dyDescent="0.3">
      <c r="A1943" s="94" t="s">
        <v>76</v>
      </c>
      <c r="B1943" s="94"/>
      <c r="C1943" s="94"/>
      <c r="D1943" s="94"/>
      <c r="E1943" s="94"/>
      <c r="F1943" s="94"/>
      <c r="G1943" s="112">
        <f>AU1943</f>
      </c>
      <c r="H1943" s="113"/>
      <c r="I1943" s="94" t="s">
        <v>393</v>
      </c>
      <c r="J1943" s="94" t="s">
        <v>400</v>
      </c>
      <c r="K1943" s="114">
        <f>P1943/3</f>
      </c>
      <c r="L1943" s="115">
        <v>1218</v>
      </c>
      <c r="M1943" s="116">
        <f>L1943</f>
      </c>
      <c r="N1943" s="117">
        <f>M1943-L1943</f>
      </c>
      <c r="O1943" s="112"/>
      <c r="P1943" s="118">
        <f>N1943+O1943</f>
      </c>
      <c r="Q1943" s="94" t="s">
        <v>395</v>
      </c>
      <c r="R1943" s="94" t="s">
        <v>392</v>
      </c>
      <c r="S1943" s="119">
        <v>46329</v>
      </c>
      <c r="T1943" s="119"/>
      <c r="U1943" s="120">
        <v>46329</v>
      </c>
      <c r="V1943" s="94"/>
      <c r="W1943" s="94"/>
      <c r="X1943" s="94"/>
      <c r="Y1943" s="119">
        <v>46320</v>
      </c>
      <c r="Z1943" s="94"/>
      <c r="AA1943" s="120"/>
      <c r="AB1943" s="120"/>
      <c r="AC1943" s="120"/>
      <c r="AD1943" s="120"/>
      <c r="AE1943" s="120"/>
      <c r="AF1943" s="120"/>
      <c r="AG1943" s="94"/>
      <c r="AH1943" s="120"/>
      <c r="AI1943" s="94"/>
      <c r="AJ1943" s="94" t="s">
        <v>395</v>
      </c>
      <c r="AK1943" s="94" t="s">
        <v>120</v>
      </c>
      <c r="AL1943" s="94">
        <v>150</v>
      </c>
      <c r="AM1943" s="94" t="str">
        <f>TRIM(AJ1943)&amp;TRIM(AL1943)&amp;TRIM(AK1943)</f>
      </c>
      <c r="AN1943" s="116">
        <v>347</v>
      </c>
      <c r="AO1943" s="116">
        <v>-7.4</v>
      </c>
      <c r="AP1943" s="116">
        <f>SUMIFS(M:M,AM:AM,AM1943)+SUMIFS(O:O,AM:AM,AM1943)</f>
      </c>
      <c r="AQ1943" s="116">
        <f>SUMIFS(L:L,AM:AM,AM1943)</f>
      </c>
      <c r="AR1943" s="116">
        <f>AQ1943-AP1943</f>
      </c>
      <c r="AS1943" s="94" t="str">
        <f>IF(AN1943&gt;=AQ1943,"ok","ck")</f>
      </c>
      <c r="AT1943" s="116">
        <f>-P1943</f>
      </c>
      <c r="AU1943" s="115">
        <f>IF(SUMIFS(AT:AT,AM:AM,AM1943)&gt;AO1943,(SUMIFS(AT:AT,AM:AM,AM1943)-AO1943))</f>
      </c>
      <c r="AV1943" s="116">
        <v>347</v>
      </c>
      <c r="AW1943" s="121">
        <v>1.022</v>
      </c>
      <c r="AX1943" s="115">
        <f>AN1943-AP1943</f>
      </c>
    </row>
    <row r="1944" spans="1:50" ht="15" hidden="1" customHeight="1" x14ac:dyDescent="0.3">
      <c r="A1944" s="94" t="s">
        <v>76</v>
      </c>
      <c r="B1944" s="94"/>
      <c r="C1944" s="94"/>
      <c r="D1944" s="94"/>
      <c r="E1944" s="94"/>
      <c r="F1944" s="94"/>
      <c r="G1944" s="112">
        <f>AU1944</f>
      </c>
      <c r="H1944" s="113"/>
      <c r="I1944" s="94" t="s">
        <v>393</v>
      </c>
      <c r="J1944" s="94" t="s">
        <v>400</v>
      </c>
      <c r="K1944" s="114">
        <f>P1944/3</f>
      </c>
      <c r="L1944" s="115">
        <v>2.2330000000000001</v>
      </c>
      <c r="M1944" s="116">
        <f>L1944</f>
      </c>
      <c r="N1944" s="117">
        <f>M1944-L1944</f>
      </c>
      <c r="O1944" s="112"/>
      <c r="P1944" s="118">
        <f>N1944+O1944</f>
      </c>
      <c r="Q1944" s="94" t="s">
        <v>395</v>
      </c>
      <c r="R1944" s="94" t="s">
        <v>392</v>
      </c>
      <c r="S1944" s="119">
        <v>46329</v>
      </c>
      <c r="T1944" s="119"/>
      <c r="U1944" s="120">
        <v>46329</v>
      </c>
      <c r="V1944" s="94"/>
      <c r="W1944" s="94"/>
      <c r="X1944" s="94"/>
      <c r="Y1944" s="119">
        <v>46320</v>
      </c>
      <c r="Z1944" s="94"/>
      <c r="AA1944" s="120"/>
      <c r="AB1944" s="120"/>
      <c r="AC1944" s="120"/>
      <c r="AD1944" s="120"/>
      <c r="AE1944" s="120"/>
      <c r="AF1944" s="120"/>
      <c r="AG1944" s="94"/>
      <c r="AH1944" s="120"/>
      <c r="AI1944" s="94"/>
      <c r="AJ1944" s="94" t="s">
        <v>395</v>
      </c>
      <c r="AK1944" s="94" t="s">
        <v>120</v>
      </c>
      <c r="AL1944" s="94">
        <v>150</v>
      </c>
      <c r="AM1944" s="94" t="str">
        <f>TRIM(AJ1944)&amp;TRIM(AL1944)&amp;TRIM(AK1944)</f>
      </c>
      <c r="AN1944" s="116">
        <v>347</v>
      </c>
      <c r="AO1944" s="116">
        <v>-7.4</v>
      </c>
      <c r="AP1944" s="116">
        <f>SUMIFS(M:M,AM:AM,AM1944)+SUMIFS(O:O,AM:AM,AM1944)</f>
      </c>
      <c r="AQ1944" s="116">
        <f>SUMIFS(L:L,AM:AM,AM1944)</f>
      </c>
      <c r="AR1944" s="116">
        <f>AQ1944-AP1944</f>
      </c>
      <c r="AS1944" s="94" t="str">
        <f>IF(AN1944&gt;=AQ1944,"ok","ck")</f>
      </c>
      <c r="AT1944" s="116">
        <f>-P1944</f>
      </c>
      <c r="AU1944" s="115">
        <f>IF(SUMIFS(AT:AT,AM:AM,AM1944)&gt;AO1944,(SUMIFS(AT:AT,AM:AM,AM1944)-AO1944))</f>
      </c>
      <c r="AV1944" s="116">
        <v>347</v>
      </c>
      <c r="AW1944" s="121">
        <v>1.022</v>
      </c>
      <c r="AX1944" s="115">
        <f>AN1944-AP1944</f>
      </c>
    </row>
    <row r="1945" spans="1:50" ht="15" hidden="1" customHeight="1" x14ac:dyDescent="0.3">
      <c r="A1945" s="94" t="s">
        <v>76</v>
      </c>
      <c r="B1945" s="94"/>
      <c r="C1945" s="94"/>
      <c r="D1945" s="94"/>
      <c r="E1945" s="94"/>
      <c r="F1945" s="94"/>
      <c r="G1945" s="112">
        <f>AU1945</f>
      </c>
      <c r="H1945" s="113"/>
      <c r="I1945" s="94" t="s">
        <v>393</v>
      </c>
      <c r="J1945" s="94" t="s">
        <v>400</v>
      </c>
      <c r="K1945" s="114">
        <f>P1945/3</f>
      </c>
      <c r="L1945" s="115">
        <v>515.63400000000001</v>
      </c>
      <c r="M1945" s="116">
        <f>L1945</f>
      </c>
      <c r="N1945" s="117">
        <f>M1945-L1945</f>
      </c>
      <c r="O1945" s="112"/>
      <c r="P1945" s="118">
        <f>N1945+O1945</f>
      </c>
      <c r="Q1945" s="94" t="s">
        <v>395</v>
      </c>
      <c r="R1945" s="94" t="s">
        <v>392</v>
      </c>
      <c r="S1945" s="119">
        <v>46329</v>
      </c>
      <c r="T1945" s="119"/>
      <c r="U1945" s="120">
        <v>46329</v>
      </c>
      <c r="V1945" s="94"/>
      <c r="W1945" s="94"/>
      <c r="X1945" s="94"/>
      <c r="Y1945" s="119">
        <v>46345</v>
      </c>
      <c r="Z1945" s="94"/>
      <c r="AA1945" s="120"/>
      <c r="AB1945" s="120"/>
      <c r="AC1945" s="120"/>
      <c r="AD1945" s="120"/>
      <c r="AE1945" s="120"/>
      <c r="AF1945" s="120"/>
      <c r="AG1945" s="94"/>
      <c r="AH1945" s="120"/>
      <c r="AI1945" s="94"/>
      <c r="AJ1945" s="94" t="s">
        <v>395</v>
      </c>
      <c r="AK1945" s="94" t="s">
        <v>120</v>
      </c>
      <c r="AL1945" s="94">
        <v>150</v>
      </c>
      <c r="AM1945" s="94" t="str">
        <f>TRIM(AJ1945)&amp;TRIM(AL1945)&amp;TRIM(AK1945)</f>
      </c>
      <c r="AN1945" s="116">
        <v>347</v>
      </c>
      <c r="AO1945" s="116">
        <v>-7.4</v>
      </c>
      <c r="AP1945" s="116">
        <f>SUMIFS(M:M,AM:AM,AM1945)+SUMIFS(O:O,AM:AM,AM1945)</f>
      </c>
      <c r="AQ1945" s="116">
        <f>SUMIFS(L:L,AM:AM,AM1945)</f>
      </c>
      <c r="AR1945" s="116">
        <f>AQ1945-AP1945</f>
      </c>
      <c r="AS1945" s="94" t="str">
        <f>IF(AN1945&gt;=AQ1945,"ok","ck")</f>
      </c>
      <c r="AT1945" s="116">
        <f>-P1945</f>
      </c>
      <c r="AU1945" s="115">
        <f>IF(SUMIFS(AT:AT,AM:AM,AM1945)&gt;AO1945,(SUMIFS(AT:AT,AM:AM,AM1945)-AO1945))</f>
      </c>
      <c r="AV1945" s="116">
        <v>347</v>
      </c>
      <c r="AW1945" s="121">
        <v>1.022</v>
      </c>
      <c r="AX1945" s="115">
        <f>AN1945-AP1945</f>
      </c>
    </row>
    <row r="1946" spans="1:50" ht="15" hidden="1" customHeight="1" x14ac:dyDescent="0.3">
      <c r="A1946" s="94" t="s">
        <v>311</v>
      </c>
      <c r="B1946" s="94"/>
      <c r="C1946" s="94"/>
      <c r="D1946" s="94"/>
      <c r="E1946" s="94"/>
      <c r="F1946" s="94"/>
      <c r="G1946" s="112">
        <f>AU1946</f>
      </c>
      <c r="H1946" s="113"/>
      <c r="I1946" s="94" t="s">
        <v>409</v>
      </c>
      <c r="J1946" s="94" t="s">
        <v>410</v>
      </c>
      <c r="K1946" s="114">
        <f>P1946/3</f>
      </c>
      <c r="L1946" s="115">
        <v>2.04</v>
      </c>
      <c r="M1946" s="116"/>
      <c r="N1946" s="117">
        <f>M1946-L1946</f>
      </c>
      <c r="O1946" s="112"/>
      <c r="P1946" s="118">
        <f>N1946+O1946</f>
      </c>
      <c r="Q1946" s="94" t="s">
        <v>346</v>
      </c>
      <c r="R1946" s="94" t="s">
        <v>392</v>
      </c>
      <c r="S1946" s="119">
        <v>46320</v>
      </c>
      <c r="T1946" s="119"/>
      <c r="U1946" s="120">
        <v>46320</v>
      </c>
      <c r="V1946" s="94"/>
      <c r="W1946" s="94"/>
      <c r="X1946" s="94"/>
      <c r="Y1946" s="119">
        <v>46320</v>
      </c>
      <c r="Z1946" s="94"/>
      <c r="AA1946" s="120"/>
      <c r="AB1946" s="120"/>
      <c r="AC1946" s="120"/>
      <c r="AD1946" s="120"/>
      <c r="AE1946" s="120"/>
      <c r="AF1946" s="120"/>
      <c r="AG1946" s="94"/>
      <c r="AH1946" s="120"/>
      <c r="AI1946" s="94"/>
      <c r="AJ1946" s="94" t="s">
        <v>346</v>
      </c>
      <c r="AK1946" s="94" t="s">
        <v>347</v>
      </c>
      <c r="AL1946" s="94">
        <v>150</v>
      </c>
      <c r="AM1946" s="94" t="str">
        <f>TRIM(AJ1946)&amp;TRIM(AL1946)&amp;TRIM(AK1946)</f>
      </c>
      <c r="AN1946" s="116">
        <v>0</v>
      </c>
      <c r="AO1946" s="116" t="inlineStr">
        <is>
          <t>#NA</t>
        </is>
      </c>
      <c r="AP1946" s="116">
        <f>SUMIFS(M:M,AM:AM,AM1946)+SUMIFS(O:O,AM:AM,AM1946)</f>
      </c>
      <c r="AQ1946" s="116">
        <f>SUMIFS(L:L,AM:AM,AM1946)</f>
      </c>
      <c r="AR1946" s="116">
        <f>AQ1946-AP1946</f>
      </c>
      <c r="AS1946" s="94" t="str">
        <f>IF(AN1946&gt;=AQ1946,"ok","ck")</f>
      </c>
      <c r="AT1946" s="116">
        <f>-P1946</f>
      </c>
      <c r="AU1946" s="115">
        <f>IF(SUMIFS(AT:AT,AM:AM,AM1946)&gt;AO1946,(SUMIFS(AT:AT,AM:AM,AM1946)-AO1946))</f>
      </c>
      <c r="AV1946" s="116">
        <v>0</v>
      </c>
      <c r="AW1946" s="121">
        <v>0.97</v>
      </c>
      <c r="AX1946" s="115">
        <f>AN1946-AP1946</f>
      </c>
    </row>
    <row r="1947" spans="1:50" ht="15" hidden="1" customHeight="1" x14ac:dyDescent="0.3">
      <c r="A1947" s="94" t="s">
        <v>311</v>
      </c>
      <c r="B1947" s="94"/>
      <c r="C1947" s="94"/>
      <c r="D1947" s="94"/>
      <c r="E1947" s="94"/>
      <c r="F1947" s="94"/>
      <c r="G1947" s="112">
        <f>AU1947</f>
      </c>
      <c r="H1947" s="113"/>
      <c r="I1947" s="94" t="s">
        <v>409</v>
      </c>
      <c r="J1947" s="94" t="s">
        <v>411</v>
      </c>
      <c r="K1947" s="114">
        <f>P1947/3</f>
      </c>
      <c r="L1947" s="115">
        <v>340</v>
      </c>
      <c r="M1947" s="116"/>
      <c r="N1947" s="117">
        <f>M1947-L1947</f>
      </c>
      <c r="O1947" s="112"/>
      <c r="P1947" s="118">
        <f>N1947+O1947</f>
      </c>
      <c r="Q1947" s="94" t="s">
        <v>346</v>
      </c>
      <c r="R1947" s="94" t="s">
        <v>392</v>
      </c>
      <c r="S1947" s="119">
        <v>46320</v>
      </c>
      <c r="T1947" s="119"/>
      <c r="U1947" s="120">
        <v>46320</v>
      </c>
      <c r="V1947" s="94"/>
      <c r="W1947" s="94"/>
      <c r="X1947" s="94"/>
      <c r="Y1947" s="119">
        <v>46320</v>
      </c>
      <c r="Z1947" s="94"/>
      <c r="AA1947" s="120"/>
      <c r="AB1947" s="120"/>
      <c r="AC1947" s="120"/>
      <c r="AD1947" s="120"/>
      <c r="AE1947" s="120"/>
      <c r="AF1947" s="120"/>
      <c r="AG1947" s="94"/>
      <c r="AH1947" s="120"/>
      <c r="AI1947" s="94"/>
      <c r="AJ1947" s="94" t="s">
        <v>346</v>
      </c>
      <c r="AK1947" s="94" t="s">
        <v>386</v>
      </c>
      <c r="AL1947" s="94">
        <v>150</v>
      </c>
      <c r="AM1947" s="94" t="str">
        <f>TRIM(AJ1947)&amp;TRIM(AL1947)&amp;TRIM(AK1947)</f>
      </c>
      <c r="AN1947" s="116">
        <v>0</v>
      </c>
      <c r="AO1947" s="116" t="inlineStr">
        <is>
          <t>#NA</t>
        </is>
      </c>
      <c r="AP1947" s="116">
        <f>SUMIFS(M:M,AM:AM,AM1947)+SUMIFS(O:O,AM:AM,AM1947)</f>
      </c>
      <c r="AQ1947" s="116">
        <f>SUMIFS(L:L,AM:AM,AM1947)</f>
      </c>
      <c r="AR1947" s="116">
        <f>AQ1947-AP1947</f>
      </c>
      <c r="AS1947" s="94" t="str">
        <f>IF(AN1947&gt;=AQ1947,"ok","ck")</f>
      </c>
      <c r="AT1947" s="116">
        <f>-P1947</f>
      </c>
      <c r="AU1947" s="115">
        <f>IF(SUMIFS(AT:AT,AM:AM,AM1947)&gt;AO1947,(SUMIFS(AT:AT,AM:AM,AM1947)-AO1947))</f>
      </c>
      <c r="AV1947" s="116">
        <v>0</v>
      </c>
      <c r="AW1947" s="121">
        <v>0.913</v>
      </c>
      <c r="AX1947" s="115">
        <f>AN1947-AP1947</f>
      </c>
    </row>
    <row r="1948" spans="1:50" ht="15" hidden="1" customHeight="1" x14ac:dyDescent="0.3">
      <c r="A1948" s="94" t="s">
        <v>311</v>
      </c>
      <c r="B1948" s="94"/>
      <c r="C1948" s="94"/>
      <c r="D1948" s="94"/>
      <c r="E1948" s="94"/>
      <c r="F1948" s="94"/>
      <c r="G1948" s="112">
        <f>AU1948</f>
      </c>
      <c r="H1948" s="113"/>
      <c r="I1948" s="94" t="s">
        <v>409</v>
      </c>
      <c r="J1948" s="94" t="s">
        <v>411</v>
      </c>
      <c r="K1948" s="114">
        <f>P1948/3</f>
      </c>
      <c r="L1948" s="115">
        <v>339.96</v>
      </c>
      <c r="M1948" s="116"/>
      <c r="N1948" s="117">
        <f>M1948-L1948</f>
      </c>
      <c r="O1948" s="112"/>
      <c r="P1948" s="118">
        <f>N1948+O1948</f>
      </c>
      <c r="Q1948" s="94" t="s">
        <v>346</v>
      </c>
      <c r="R1948" s="94" t="s">
        <v>392</v>
      </c>
      <c r="S1948" s="119">
        <v>46322</v>
      </c>
      <c r="T1948" s="119"/>
      <c r="U1948" s="120">
        <v>46322</v>
      </c>
      <c r="V1948" s="94"/>
      <c r="W1948" s="94"/>
      <c r="X1948" s="94"/>
      <c r="Y1948" s="119">
        <v>46322</v>
      </c>
      <c r="Z1948" s="94"/>
      <c r="AA1948" s="120"/>
      <c r="AB1948" s="120"/>
      <c r="AC1948" s="120"/>
      <c r="AD1948" s="120"/>
      <c r="AE1948" s="120"/>
      <c r="AF1948" s="120"/>
      <c r="AG1948" s="94"/>
      <c r="AH1948" s="120"/>
      <c r="AI1948" s="94"/>
      <c r="AJ1948" s="94" t="s">
        <v>346</v>
      </c>
      <c r="AK1948" s="94" t="s">
        <v>386</v>
      </c>
      <c r="AL1948" s="94">
        <v>150</v>
      </c>
      <c r="AM1948" s="94" t="str">
        <f>TRIM(AJ1948)&amp;TRIM(AL1948)&amp;TRIM(AK1948)</f>
      </c>
      <c r="AN1948" s="116">
        <v>0</v>
      </c>
      <c r="AO1948" s="116" t="inlineStr">
        <is>
          <t>#NA</t>
        </is>
      </c>
      <c r="AP1948" s="116">
        <f>SUMIFS(M:M,AM:AM,AM1948)+SUMIFS(O:O,AM:AM,AM1948)</f>
      </c>
      <c r="AQ1948" s="116">
        <f>SUMIFS(L:L,AM:AM,AM1948)</f>
      </c>
      <c r="AR1948" s="116">
        <f>AQ1948-AP1948</f>
      </c>
      <c r="AS1948" s="94" t="str">
        <f>IF(AN1948&gt;=AQ1948,"ok","ck")</f>
      </c>
      <c r="AT1948" s="116">
        <f>-P1948</f>
      </c>
      <c r="AU1948" s="115">
        <f>IF(SUMIFS(AT:AT,AM:AM,AM1948)&gt;AO1948,(SUMIFS(AT:AT,AM:AM,AM1948)-AO1948))</f>
      </c>
      <c r="AV1948" s="116">
        <v>0</v>
      </c>
      <c r="AW1948" s="121">
        <v>0.913</v>
      </c>
      <c r="AX1948" s="115">
        <f>AN1948-AP1948</f>
      </c>
    </row>
    <row r="1949" spans="1:50" ht="15" hidden="1" customHeight="1" x14ac:dyDescent="0.3">
      <c r="A1949" s="94" t="s">
        <v>311</v>
      </c>
      <c r="B1949" s="94"/>
      <c r="C1949" s="94"/>
      <c r="D1949" s="94"/>
      <c r="E1949" s="94"/>
      <c r="F1949" s="94"/>
      <c r="G1949" s="112">
        <f>AU1949</f>
      </c>
      <c r="H1949" s="113"/>
      <c r="I1949" s="94" t="s">
        <v>409</v>
      </c>
      <c r="J1949" s="94" t="s">
        <v>411</v>
      </c>
      <c r="K1949" s="114">
        <f>P1949/3</f>
      </c>
      <c r="L1949" s="115">
        <v>2.04</v>
      </c>
      <c r="M1949" s="116"/>
      <c r="N1949" s="117">
        <f>M1949-L1949</f>
      </c>
      <c r="O1949" s="112"/>
      <c r="P1949" s="118">
        <f>N1949+O1949</f>
      </c>
      <c r="Q1949" s="94" t="s">
        <v>346</v>
      </c>
      <c r="R1949" s="94" t="s">
        <v>392</v>
      </c>
      <c r="S1949" s="119">
        <v>46320</v>
      </c>
      <c r="T1949" s="119"/>
      <c r="U1949" s="120">
        <v>46320</v>
      </c>
      <c r="V1949" s="94"/>
      <c r="W1949" s="94"/>
      <c r="X1949" s="94"/>
      <c r="Y1949" s="119">
        <v>46320</v>
      </c>
      <c r="Z1949" s="94"/>
      <c r="AA1949" s="120"/>
      <c r="AB1949" s="120"/>
      <c r="AC1949" s="120"/>
      <c r="AD1949" s="120"/>
      <c r="AE1949" s="120"/>
      <c r="AF1949" s="120"/>
      <c r="AG1949" s="94"/>
      <c r="AH1949" s="120"/>
      <c r="AI1949" s="94"/>
      <c r="AJ1949" s="94" t="s">
        <v>346</v>
      </c>
      <c r="AK1949" s="94" t="s">
        <v>386</v>
      </c>
      <c r="AL1949" s="94">
        <v>150</v>
      </c>
      <c r="AM1949" s="94" t="str">
        <f>TRIM(AJ1949)&amp;TRIM(AL1949)&amp;TRIM(AK1949)</f>
      </c>
      <c r="AN1949" s="116">
        <v>0</v>
      </c>
      <c r="AO1949" s="116" t="inlineStr">
        <is>
          <t>#NA</t>
        </is>
      </c>
      <c r="AP1949" s="116">
        <f>SUMIFS(M:M,AM:AM,AM1949)+SUMIFS(O:O,AM:AM,AM1949)</f>
      </c>
      <c r="AQ1949" s="116">
        <f>SUMIFS(L:L,AM:AM,AM1949)</f>
      </c>
      <c r="AR1949" s="116">
        <f>AQ1949-AP1949</f>
      </c>
      <c r="AS1949" s="94" t="str">
        <f>IF(AN1949&gt;=AQ1949,"ok","ck")</f>
      </c>
      <c r="AT1949" s="116">
        <f>-P1949</f>
      </c>
      <c r="AU1949" s="115">
        <f>IF(SUMIFS(AT:AT,AM:AM,AM1949)&gt;AO1949,(SUMIFS(AT:AT,AM:AM,AM1949)-AO1949))</f>
      </c>
      <c r="AV1949" s="116">
        <v>0</v>
      </c>
      <c r="AW1949" s="121">
        <v>0.913</v>
      </c>
      <c r="AX1949" s="115">
        <f>AN1949-AP1949</f>
      </c>
    </row>
    <row r="1950" spans="1:50" ht="15" hidden="1" customHeight="1" x14ac:dyDescent="0.3">
      <c r="A1950" s="94" t="s">
        <v>311</v>
      </c>
      <c r="B1950" s="94"/>
      <c r="C1950" s="94"/>
      <c r="D1950" s="94"/>
      <c r="E1950" s="94"/>
      <c r="F1950" s="94"/>
      <c r="G1950" s="112">
        <f>AU1950</f>
      </c>
      <c r="H1950" s="113"/>
      <c r="I1950" s="94" t="s">
        <v>409</v>
      </c>
      <c r="J1950" s="94" t="s">
        <v>414</v>
      </c>
      <c r="K1950" s="114">
        <f>P1950/3</f>
      </c>
      <c r="L1950" s="115">
        <v>340</v>
      </c>
      <c r="M1950" s="116"/>
      <c r="N1950" s="117">
        <f>M1950-L1950</f>
      </c>
      <c r="O1950" s="112"/>
      <c r="P1950" s="118">
        <f>N1950+O1950</f>
      </c>
      <c r="Q1950" s="94" t="s">
        <v>346</v>
      </c>
      <c r="R1950" s="94" t="s">
        <v>392</v>
      </c>
      <c r="S1950" s="119">
        <v>46320</v>
      </c>
      <c r="T1950" s="119"/>
      <c r="U1950" s="120">
        <v>46320</v>
      </c>
      <c r="V1950" s="94"/>
      <c r="W1950" s="94"/>
      <c r="X1950" s="94"/>
      <c r="Y1950" s="119">
        <v>46320</v>
      </c>
      <c r="Z1950" s="94"/>
      <c r="AA1950" s="120"/>
      <c r="AB1950" s="120"/>
      <c r="AC1950" s="120"/>
      <c r="AD1950" s="120"/>
      <c r="AE1950" s="120"/>
      <c r="AF1950" s="120"/>
      <c r="AG1950" s="94"/>
      <c r="AH1950" s="120"/>
      <c r="AI1950" s="94"/>
      <c r="AJ1950" s="94" t="s">
        <v>346</v>
      </c>
      <c r="AK1950" s="94" t="s">
        <v>386</v>
      </c>
      <c r="AL1950" s="94">
        <v>150</v>
      </c>
      <c r="AM1950" s="94" t="str">
        <f>TRIM(AJ1950)&amp;TRIM(AL1950)&amp;TRIM(AK1950)</f>
      </c>
      <c r="AN1950" s="116">
        <v>0</v>
      </c>
      <c r="AO1950" s="116" t="inlineStr">
        <is>
          <t>#NA</t>
        </is>
      </c>
      <c r="AP1950" s="116">
        <f>SUMIFS(M:M,AM:AM,AM1950)+SUMIFS(O:O,AM:AM,AM1950)</f>
      </c>
      <c r="AQ1950" s="116">
        <f>SUMIFS(L:L,AM:AM,AM1950)</f>
      </c>
      <c r="AR1950" s="116">
        <f>AQ1950-AP1950</f>
      </c>
      <c r="AS1950" s="94" t="str">
        <f>IF(AN1950&gt;=AQ1950,"ok","ck")</f>
      </c>
      <c r="AT1950" s="116">
        <f>-P1950</f>
      </c>
      <c r="AU1950" s="115">
        <f>IF(SUMIFS(AT:AT,AM:AM,AM1950)&gt;AO1950,(SUMIFS(AT:AT,AM:AM,AM1950)-AO1950))</f>
      </c>
      <c r="AV1950" s="116">
        <v>0</v>
      </c>
      <c r="AW1950" s="121">
        <v>0.913</v>
      </c>
      <c r="AX1950" s="115">
        <f>AN1950-AP1950</f>
      </c>
    </row>
    <row r="1951" spans="1:50" ht="15" hidden="1" customHeight="1" x14ac:dyDescent="0.3">
      <c r="A1951" s="94" t="s">
        <v>311</v>
      </c>
      <c r="B1951" s="94"/>
      <c r="C1951" s="94"/>
      <c r="D1951" s="94"/>
      <c r="E1951" s="94"/>
      <c r="F1951" s="94"/>
      <c r="G1951" s="112">
        <f>AU1951</f>
      </c>
      <c r="H1951" s="113"/>
      <c r="I1951" s="94" t="s">
        <v>409</v>
      </c>
      <c r="J1951" s="94" t="s">
        <v>414</v>
      </c>
      <c r="K1951" s="114">
        <f>P1951/3</f>
      </c>
      <c r="L1951" s="115">
        <v>339.96</v>
      </c>
      <c r="M1951" s="116"/>
      <c r="N1951" s="117">
        <f>M1951-L1951</f>
      </c>
      <c r="O1951" s="112"/>
      <c r="P1951" s="118">
        <f>N1951+O1951</f>
      </c>
      <c r="Q1951" s="94" t="s">
        <v>346</v>
      </c>
      <c r="R1951" s="94" t="s">
        <v>392</v>
      </c>
      <c r="S1951" s="119">
        <v>46322</v>
      </c>
      <c r="T1951" s="119"/>
      <c r="U1951" s="120">
        <v>46322</v>
      </c>
      <c r="V1951" s="94"/>
      <c r="W1951" s="94"/>
      <c r="X1951" s="94"/>
      <c r="Y1951" s="119">
        <v>46322</v>
      </c>
      <c r="Z1951" s="94"/>
      <c r="AA1951" s="120"/>
      <c r="AB1951" s="120"/>
      <c r="AC1951" s="120"/>
      <c r="AD1951" s="120"/>
      <c r="AE1951" s="120"/>
      <c r="AF1951" s="120"/>
      <c r="AG1951" s="94"/>
      <c r="AH1951" s="120"/>
      <c r="AI1951" s="94"/>
      <c r="AJ1951" s="94" t="s">
        <v>346</v>
      </c>
      <c r="AK1951" s="94" t="s">
        <v>386</v>
      </c>
      <c r="AL1951" s="94">
        <v>150</v>
      </c>
      <c r="AM1951" s="94" t="str">
        <f>TRIM(AJ1951)&amp;TRIM(AL1951)&amp;TRIM(AK1951)</f>
      </c>
      <c r="AN1951" s="116">
        <v>0</v>
      </c>
      <c r="AO1951" s="116" t="inlineStr">
        <is>
          <t>#NA</t>
        </is>
      </c>
      <c r="AP1951" s="116">
        <f>SUMIFS(M:M,AM:AM,AM1951)+SUMIFS(O:O,AM:AM,AM1951)</f>
      </c>
      <c r="AQ1951" s="116">
        <f>SUMIFS(L:L,AM:AM,AM1951)</f>
      </c>
      <c r="AR1951" s="116">
        <f>AQ1951-AP1951</f>
      </c>
      <c r="AS1951" s="94" t="str">
        <f>IF(AN1951&gt;=AQ1951,"ok","ck")</f>
      </c>
      <c r="AT1951" s="116">
        <f>-P1951</f>
      </c>
      <c r="AU1951" s="115">
        <f>IF(SUMIFS(AT:AT,AM:AM,AM1951)&gt;AO1951,(SUMIFS(AT:AT,AM:AM,AM1951)-AO1951))</f>
      </c>
      <c r="AV1951" s="116">
        <v>0</v>
      </c>
      <c r="AW1951" s="121">
        <v>0.913</v>
      </c>
      <c r="AX1951" s="115">
        <f>AN1951-AP1951</f>
      </c>
    </row>
    <row r="1952" spans="1:50" ht="15" hidden="1" customHeight="1" x14ac:dyDescent="0.3">
      <c r="A1952" s="94" t="s">
        <v>311</v>
      </c>
      <c r="B1952" s="94"/>
      <c r="C1952" s="94"/>
      <c r="D1952" s="94"/>
      <c r="E1952" s="94"/>
      <c r="F1952" s="94"/>
      <c r="G1952" s="112">
        <f>AU1952</f>
      </c>
      <c r="H1952" s="113"/>
      <c r="I1952" s="94" t="s">
        <v>409</v>
      </c>
      <c r="J1952" s="94" t="s">
        <v>414</v>
      </c>
      <c r="K1952" s="114">
        <f>P1952/3</f>
      </c>
      <c r="L1952" s="115">
        <v>2.04</v>
      </c>
      <c r="M1952" s="116"/>
      <c r="N1952" s="117">
        <f>M1952-L1952</f>
      </c>
      <c r="O1952" s="112"/>
      <c r="P1952" s="118">
        <f>N1952+O1952</f>
      </c>
      <c r="Q1952" s="94" t="s">
        <v>346</v>
      </c>
      <c r="R1952" s="94" t="s">
        <v>392</v>
      </c>
      <c r="S1952" s="119">
        <v>46320</v>
      </c>
      <c r="T1952" s="119"/>
      <c r="U1952" s="120">
        <v>46320</v>
      </c>
      <c r="V1952" s="94"/>
      <c r="W1952" s="94"/>
      <c r="X1952" s="94"/>
      <c r="Y1952" s="119">
        <v>46320</v>
      </c>
      <c r="Z1952" s="94"/>
      <c r="AA1952" s="120"/>
      <c r="AB1952" s="120"/>
      <c r="AC1952" s="120"/>
      <c r="AD1952" s="120"/>
      <c r="AE1952" s="120"/>
      <c r="AF1952" s="120"/>
      <c r="AG1952" s="94"/>
      <c r="AH1952" s="120"/>
      <c r="AI1952" s="94"/>
      <c r="AJ1952" s="94" t="s">
        <v>346</v>
      </c>
      <c r="AK1952" s="94" t="s">
        <v>386</v>
      </c>
      <c r="AL1952" s="94">
        <v>150</v>
      </c>
      <c r="AM1952" s="94" t="str">
        <f>TRIM(AJ1952)&amp;TRIM(AL1952)&amp;TRIM(AK1952)</f>
      </c>
      <c r="AN1952" s="116">
        <v>0</v>
      </c>
      <c r="AO1952" s="116" t="inlineStr">
        <is>
          <t>#NA</t>
        </is>
      </c>
      <c r="AP1952" s="116">
        <f>SUMIFS(M:M,AM:AM,AM1952)+SUMIFS(O:O,AM:AM,AM1952)</f>
      </c>
      <c r="AQ1952" s="116">
        <f>SUMIFS(L:L,AM:AM,AM1952)</f>
      </c>
      <c r="AR1952" s="116">
        <f>AQ1952-AP1952</f>
      </c>
      <c r="AS1952" s="94" t="str">
        <f>IF(AN1952&gt;=AQ1952,"ok","ck")</f>
      </c>
      <c r="AT1952" s="116">
        <f>-P1952</f>
      </c>
      <c r="AU1952" s="115">
        <f>IF(SUMIFS(AT:AT,AM:AM,AM1952)&gt;AO1952,(SUMIFS(AT:AT,AM:AM,AM1952)-AO1952))</f>
      </c>
      <c r="AV1952" s="116">
        <v>0</v>
      </c>
      <c r="AW1952" s="121">
        <v>0.913</v>
      </c>
      <c r="AX1952" s="115">
        <f>AN1952-AP1952</f>
      </c>
    </row>
    <row r="1953" spans="1:50" ht="15" hidden="1" customHeight="1" x14ac:dyDescent="0.3">
      <c r="A1953" s="94" t="s">
        <v>268</v>
      </c>
      <c r="B1953" s="94"/>
      <c r="C1953" s="94"/>
      <c r="D1953" s="94"/>
      <c r="E1953" s="94"/>
      <c r="F1953" s="94"/>
      <c r="G1953" s="112">
        <f>AU1953</f>
      </c>
      <c r="H1953" s="113"/>
      <c r="I1953" s="94" t="s">
        <v>390</v>
      </c>
      <c r="J1953" s="94" t="s">
        <v>401</v>
      </c>
      <c r="K1953" s="114">
        <f>P1953/3</f>
      </c>
      <c r="L1953" s="115">
        <v>42.64</v>
      </c>
      <c r="M1953" s="116"/>
      <c r="N1953" s="117">
        <f>M1953-L1953</f>
      </c>
      <c r="O1953" s="112"/>
      <c r="P1953" s="118">
        <f>N1953+O1953</f>
      </c>
      <c r="Q1953" s="94" t="s">
        <v>316</v>
      </c>
      <c r="R1953" s="94" t="s">
        <v>392</v>
      </c>
      <c r="S1953" s="119">
        <v>46320</v>
      </c>
      <c r="T1953" s="119"/>
      <c r="U1953" s="120">
        <v>46320</v>
      </c>
      <c r="V1953" s="94"/>
      <c r="W1953" s="94"/>
      <c r="X1953" s="94"/>
      <c r="Y1953" s="119">
        <v>46320</v>
      </c>
      <c r="Z1953" s="94"/>
      <c r="AA1953" s="120"/>
      <c r="AB1953" s="120"/>
      <c r="AC1953" s="120"/>
      <c r="AD1953" s="120"/>
      <c r="AE1953" s="120"/>
      <c r="AF1953" s="120"/>
      <c r="AG1953" s="94"/>
      <c r="AH1953" s="120"/>
      <c r="AI1953" s="94"/>
      <c r="AJ1953" s="94" t="s">
        <v>316</v>
      </c>
      <c r="AK1953" s="94" t="s">
        <v>389</v>
      </c>
      <c r="AL1953" s="94">
        <v>140</v>
      </c>
      <c r="AM1953" s="94" t="str">
        <f>TRIM(AJ1953)&amp;TRIM(AL1953)&amp;TRIM(AK1953)</f>
      </c>
      <c r="AN1953" s="116">
        <v>0</v>
      </c>
      <c r="AO1953" s="116" t="inlineStr">
        <is>
          <t>#NA</t>
        </is>
      </c>
      <c r="AP1953" s="116">
        <f>SUMIFS(M:M,AM:AM,AM1953)+SUMIFS(O:O,AM:AM,AM1953)</f>
      </c>
      <c r="AQ1953" s="116">
        <f>SUMIFS(L:L,AM:AM,AM1953)</f>
      </c>
      <c r="AR1953" s="116">
        <f>AQ1953-AP1953</f>
      </c>
      <c r="AS1953" s="94" t="str">
        <f>IF(AN1953&gt;=AQ1953,"ok","ck")</f>
      </c>
      <c r="AT1953" s="116">
        <f>-P1953</f>
      </c>
      <c r="AU1953" s="115">
        <f>IF(SUMIFS(AT:AT,AM:AM,AM1953)&gt;AO1953,(SUMIFS(AT:AT,AM:AM,AM1953)-AO1953))</f>
      </c>
      <c r="AV1953" s="116">
        <v>0</v>
      </c>
      <c r="AW1953" s="121">
        <v>0.997</v>
      </c>
      <c r="AX1953" s="115">
        <f>AN1953-AP1953</f>
      </c>
    </row>
    <row r="1954" spans="1:50" ht="15" hidden="1" customHeight="1" x14ac:dyDescent="0.3">
      <c r="A1954" s="94" t="s">
        <v>480</v>
      </c>
      <c r="B1954" s="94"/>
      <c r="C1954" s="94"/>
      <c r="D1954" s="94"/>
      <c r="E1954" s="94"/>
      <c r="F1954" s="94"/>
      <c r="G1954" s="112">
        <f>AU1954</f>
      </c>
      <c r="H1954" s="113"/>
      <c r="I1954" s="94" t="s">
        <v>486</v>
      </c>
      <c r="J1954" s="94" t="s">
        <v>583</v>
      </c>
      <c r="K1954" s="114">
        <f>P1954/3</f>
      </c>
      <c r="L1954" s="115">
        <v>37.853999999999999</v>
      </c>
      <c r="M1954" s="116"/>
      <c r="N1954" s="117">
        <f>M1954-L1954</f>
      </c>
      <c r="O1954" s="112"/>
      <c r="P1954" s="118">
        <f>N1954+O1954</f>
      </c>
      <c r="Q1954" s="94" t="s">
        <v>782</v>
      </c>
      <c r="R1954" s="94" t="s">
        <v>392</v>
      </c>
      <c r="S1954" s="119">
        <v>46329</v>
      </c>
      <c r="T1954" s="119"/>
      <c r="U1954" s="120">
        <v>46329</v>
      </c>
      <c r="V1954" s="94"/>
      <c r="W1954" s="94"/>
      <c r="X1954" s="94"/>
      <c r="Y1954" s="119">
        <v>46326</v>
      </c>
      <c r="Z1954" s="94"/>
      <c r="AA1954" s="120"/>
      <c r="AB1954" s="120"/>
      <c r="AC1954" s="120"/>
      <c r="AD1954" s="120"/>
      <c r="AE1954" s="120"/>
      <c r="AF1954" s="120"/>
      <c r="AG1954" s="94"/>
      <c r="AH1954" s="120"/>
      <c r="AI1954" s="94"/>
      <c r="AJ1954" s="94" t="s">
        <v>782</v>
      </c>
      <c r="AK1954" s="94" t="s">
        <v>750</v>
      </c>
      <c r="AL1954" s="94">
        <v>165</v>
      </c>
      <c r="AM1954" s="94" t="str">
        <f>TRIM(AJ1954)&amp;TRIM(AL1954)&amp;TRIM(AK1954)</f>
      </c>
      <c r="AN1954" s="116">
        <v>0</v>
      </c>
      <c r="AO1954" s="116" t="inlineStr">
        <is>
          <t>#NA</t>
        </is>
      </c>
      <c r="AP1954" s="116">
        <f>SUMIFS(M:M,AM:AM,AM1954)+SUMIFS(O:O,AM:AM,AM1954)</f>
      </c>
      <c r="AQ1954" s="116">
        <f>SUMIFS(L:L,AM:AM,AM1954)</f>
      </c>
      <c r="AR1954" s="116">
        <f>AQ1954-AP1954</f>
      </c>
      <c r="AS1954" s="94" t="str">
        <f>IF(AN1954&gt;=AQ1954,"ok","ck")</f>
      </c>
      <c r="AT1954" s="116">
        <f>-P1954</f>
      </c>
      <c r="AU1954" s="115">
        <f>IF(SUMIFS(AT:AT,AM:AM,AM1954)&gt;AO1954,(SUMIFS(AT:AT,AM:AM,AM1954)-AO1954))</f>
      </c>
      <c r="AV1954" s="116">
        <v>0</v>
      </c>
      <c r="AW1954" s="121">
        <v>1.088</v>
      </c>
      <c r="AX1954" s="115">
        <f>AN1954-AP1954</f>
      </c>
    </row>
    <row r="1955" spans="1:50" ht="15" hidden="1" customHeight="1" x14ac:dyDescent="0.3">
      <c r="A1955" s="94" t="s">
        <v>480</v>
      </c>
      <c r="B1955" s="94"/>
      <c r="C1955" s="94"/>
      <c r="D1955" s="94"/>
      <c r="E1955" s="94"/>
      <c r="F1955" s="94"/>
      <c r="G1955" s="112">
        <f>AU1955</f>
      </c>
      <c r="H1955" s="113"/>
      <c r="I1955" s="94" t="s">
        <v>486</v>
      </c>
      <c r="J1955" s="94" t="s">
        <v>583</v>
      </c>
      <c r="K1955" s="114">
        <f>P1955/3</f>
      </c>
      <c r="L1955" s="115">
        <v>10.324</v>
      </c>
      <c r="M1955" s="116"/>
      <c r="N1955" s="117">
        <f>M1955-L1955</f>
      </c>
      <c r="O1955" s="112"/>
      <c r="P1955" s="118">
        <f>N1955+O1955</f>
      </c>
      <c r="Q1955" s="94" t="s">
        <v>782</v>
      </c>
      <c r="R1955" s="94" t="s">
        <v>392</v>
      </c>
      <c r="S1955" s="119">
        <v>46329</v>
      </c>
      <c r="T1955" s="119"/>
      <c r="U1955" s="120">
        <v>46329</v>
      </c>
      <c r="V1955" s="94"/>
      <c r="W1955" s="94"/>
      <c r="X1955" s="94"/>
      <c r="Y1955" s="119">
        <v>46326</v>
      </c>
      <c r="Z1955" s="94"/>
      <c r="AA1955" s="120"/>
      <c r="AB1955" s="120"/>
      <c r="AC1955" s="120"/>
      <c r="AD1955" s="120"/>
      <c r="AE1955" s="120"/>
      <c r="AF1955" s="120"/>
      <c r="AG1955" s="94"/>
      <c r="AH1955" s="120"/>
      <c r="AI1955" s="94"/>
      <c r="AJ1955" s="94" t="s">
        <v>782</v>
      </c>
      <c r="AK1955" s="94" t="s">
        <v>750</v>
      </c>
      <c r="AL1955" s="94">
        <v>165</v>
      </c>
      <c r="AM1955" s="94" t="str">
        <f>TRIM(AJ1955)&amp;TRIM(AL1955)&amp;TRIM(AK1955)</f>
      </c>
      <c r="AN1955" s="116">
        <v>0</v>
      </c>
      <c r="AO1955" s="116" t="inlineStr">
        <is>
          <t>#NA</t>
        </is>
      </c>
      <c r="AP1955" s="116">
        <f>SUMIFS(M:M,AM:AM,AM1955)+SUMIFS(O:O,AM:AM,AM1955)</f>
      </c>
      <c r="AQ1955" s="116">
        <f>SUMIFS(L:L,AM:AM,AM1955)</f>
      </c>
      <c r="AR1955" s="116">
        <f>AQ1955-AP1955</f>
      </c>
      <c r="AS1955" s="94" t="str">
        <f>IF(AN1955&gt;=AQ1955,"ok","ck")</f>
      </c>
      <c r="AT1955" s="116">
        <f>-P1955</f>
      </c>
      <c r="AU1955" s="115">
        <f>IF(SUMIFS(AT:AT,AM:AM,AM1955)&gt;AO1955,(SUMIFS(AT:AT,AM:AM,AM1955)-AO1955))</f>
      </c>
      <c r="AV1955" s="116">
        <v>0</v>
      </c>
      <c r="AW1955" s="121">
        <v>1.088</v>
      </c>
      <c r="AX1955" s="115">
        <f>AN1955-AP1955</f>
      </c>
    </row>
    <row r="1956" spans="1:50" ht="15" hidden="1" customHeight="1" x14ac:dyDescent="0.3">
      <c r="A1956" s="94" t="s">
        <v>480</v>
      </c>
      <c r="B1956" s="94"/>
      <c r="C1956" s="94"/>
      <c r="D1956" s="94"/>
      <c r="E1956" s="94"/>
      <c r="F1956" s="94"/>
      <c r="G1956" s="112">
        <f>AU1956</f>
      </c>
      <c r="H1956" s="113"/>
      <c r="I1956" s="94" t="s">
        <v>486</v>
      </c>
      <c r="J1956" s="94" t="s">
        <v>583</v>
      </c>
      <c r="K1956" s="114">
        <f>P1956/3</f>
      </c>
      <c r="L1956" s="115">
        <v>6.8239999999999998</v>
      </c>
      <c r="M1956" s="116"/>
      <c r="N1956" s="117">
        <f>M1956-L1956</f>
      </c>
      <c r="O1956" s="112"/>
      <c r="P1956" s="118">
        <f>N1956+O1956</f>
      </c>
      <c r="Q1956" s="94" t="s">
        <v>782</v>
      </c>
      <c r="R1956" s="94" t="s">
        <v>392</v>
      </c>
      <c r="S1956" s="119">
        <v>46329</v>
      </c>
      <c r="T1956" s="119"/>
      <c r="U1956" s="119">
        <v>46329</v>
      </c>
      <c r="V1956" s="94"/>
      <c r="W1956" s="94"/>
      <c r="X1956" s="94"/>
      <c r="Y1956" s="119">
        <v>46327</v>
      </c>
      <c r="Z1956" s="94"/>
      <c r="AA1956" s="120"/>
      <c r="AB1956" s="120"/>
      <c r="AC1956" s="120"/>
      <c r="AD1956" s="120"/>
      <c r="AE1956" s="120"/>
      <c r="AF1956" s="120"/>
      <c r="AG1956" s="94"/>
      <c r="AH1956" s="120"/>
      <c r="AI1956" s="94"/>
      <c r="AJ1956" s="94" t="s">
        <v>782</v>
      </c>
      <c r="AK1956" s="94" t="s">
        <v>750</v>
      </c>
      <c r="AL1956" s="94">
        <v>165</v>
      </c>
      <c r="AM1956" s="94" t="str">
        <f>TRIM(AJ1956)&amp;TRIM(AL1956)&amp;TRIM(AK1956)</f>
      </c>
      <c r="AN1956" s="116">
        <v>0</v>
      </c>
      <c r="AO1956" s="116" t="inlineStr">
        <is>
          <t>#NA</t>
        </is>
      </c>
      <c r="AP1956" s="116">
        <f>SUMIFS(M:M,AM:AM,AM1956)+SUMIFS(O:O,AM:AM,AM1956)</f>
      </c>
      <c r="AQ1956" s="116">
        <f>SUMIFS(L:L,AM:AM,AM1956)</f>
      </c>
      <c r="AR1956" s="116">
        <f>AQ1956-AP1956</f>
      </c>
      <c r="AS1956" s="94" t="str">
        <f>IF(AN1956&gt;=AQ1956,"ok","ck")</f>
      </c>
      <c r="AT1956" s="116">
        <f>-P1956</f>
      </c>
      <c r="AU1956" s="115">
        <f>IF(SUMIFS(AT:AT,AM:AM,AM1956)&gt;AO1956,(SUMIFS(AT:AT,AM:AM,AM1956)-AO1956))</f>
      </c>
      <c r="AV1956" s="116">
        <v>0</v>
      </c>
      <c r="AW1956" s="121">
        <v>1.088</v>
      </c>
      <c r="AX1956" s="115">
        <f>AN1956-AP1956</f>
      </c>
    </row>
    <row r="1957" spans="1:50" ht="15" hidden="1" customHeight="1" x14ac:dyDescent="0.3">
      <c r="A1957" s="94" t="s">
        <v>480</v>
      </c>
      <c r="B1957" s="94"/>
      <c r="C1957" s="94"/>
      <c r="D1957" s="94"/>
      <c r="E1957" s="94"/>
      <c r="F1957" s="94"/>
      <c r="G1957" s="112">
        <f>AU1957</f>
      </c>
      <c r="H1957" s="113"/>
      <c r="I1957" s="94" t="s">
        <v>486</v>
      </c>
      <c r="J1957" s="94" t="s">
        <v>583</v>
      </c>
      <c r="K1957" s="114">
        <f>P1957/3</f>
      </c>
      <c r="L1957" s="115">
        <v>4.0940000000000003</v>
      </c>
      <c r="M1957" s="116"/>
      <c r="N1957" s="117">
        <f>M1957-L1957</f>
      </c>
      <c r="O1957" s="112"/>
      <c r="P1957" s="118">
        <f>N1957+O1957</f>
      </c>
      <c r="Q1957" s="94" t="s">
        <v>782</v>
      </c>
      <c r="R1957" s="94" t="s">
        <v>392</v>
      </c>
      <c r="S1957" s="119">
        <v>46329</v>
      </c>
      <c r="T1957" s="119"/>
      <c r="U1957" s="119">
        <v>46329</v>
      </c>
      <c r="V1957" s="94"/>
      <c r="W1957" s="94"/>
      <c r="X1957" s="94"/>
      <c r="Y1957" s="119">
        <v>46327</v>
      </c>
      <c r="Z1957" s="94"/>
      <c r="AA1957" s="120"/>
      <c r="AB1957" s="120"/>
      <c r="AC1957" s="120"/>
      <c r="AD1957" s="120"/>
      <c r="AE1957" s="120"/>
      <c r="AF1957" s="120"/>
      <c r="AG1957" s="94"/>
      <c r="AH1957" s="120"/>
      <c r="AI1957" s="94"/>
      <c r="AJ1957" s="94" t="s">
        <v>782</v>
      </c>
      <c r="AK1957" s="94" t="s">
        <v>750</v>
      </c>
      <c r="AL1957" s="94">
        <v>165</v>
      </c>
      <c r="AM1957" s="94" t="str">
        <f>TRIM(AJ1957)&amp;TRIM(AL1957)&amp;TRIM(AK1957)</f>
      </c>
      <c r="AN1957" s="116">
        <v>0</v>
      </c>
      <c r="AO1957" s="116" t="inlineStr">
        <is>
          <t>#NA</t>
        </is>
      </c>
      <c r="AP1957" s="116">
        <f>SUMIFS(M:M,AM:AM,AM1957)+SUMIFS(O:O,AM:AM,AM1957)</f>
      </c>
      <c r="AQ1957" s="116">
        <f>SUMIFS(L:L,AM:AM,AM1957)</f>
      </c>
      <c r="AR1957" s="116">
        <f>AQ1957-AP1957</f>
      </c>
      <c r="AS1957" s="94" t="str">
        <f>IF(AN1957&gt;=AQ1957,"ok","ck")</f>
      </c>
      <c r="AT1957" s="116">
        <f>-P1957</f>
      </c>
      <c r="AU1957" s="115">
        <f>IF(SUMIFS(AT:AT,AM:AM,AM1957)&gt;AO1957,(SUMIFS(AT:AT,AM:AM,AM1957)-AO1957))</f>
      </c>
      <c r="AV1957" s="116">
        <v>0</v>
      </c>
      <c r="AW1957" s="121">
        <v>1.088</v>
      </c>
      <c r="AX1957" s="115">
        <f>AN1957-AP1957</f>
      </c>
    </row>
    <row r="1958" spans="1:50" ht="15" hidden="1" customHeight="1" x14ac:dyDescent="0.3">
      <c r="A1958" s="94" t="s">
        <v>480</v>
      </c>
      <c r="B1958" s="94"/>
      <c r="C1958" s="94"/>
      <c r="D1958" s="94"/>
      <c r="E1958" s="94"/>
      <c r="F1958" s="94"/>
      <c r="G1958" s="112">
        <f>AU1958</f>
      </c>
      <c r="H1958" s="113"/>
      <c r="I1958" s="94" t="s">
        <v>486</v>
      </c>
      <c r="J1958" s="94" t="s">
        <v>583</v>
      </c>
      <c r="K1958" s="114">
        <f>P1958/3</f>
      </c>
      <c r="L1958" s="115">
        <v>23.783000000000001</v>
      </c>
      <c r="M1958" s="116"/>
      <c r="N1958" s="117">
        <f>M1958-L1958</f>
      </c>
      <c r="O1958" s="112"/>
      <c r="P1958" s="118">
        <f>N1958+O1958</f>
      </c>
      <c r="Q1958" s="94" t="s">
        <v>782</v>
      </c>
      <c r="R1958" s="94" t="s">
        <v>392</v>
      </c>
      <c r="S1958" s="119">
        <v>46329</v>
      </c>
      <c r="T1958" s="119"/>
      <c r="U1958" s="119">
        <v>46329</v>
      </c>
      <c r="V1958" s="94"/>
      <c r="W1958" s="94"/>
      <c r="X1958" s="94"/>
      <c r="Y1958" s="119">
        <v>46326</v>
      </c>
      <c r="Z1958" s="94"/>
      <c r="AA1958" s="120"/>
      <c r="AB1958" s="120"/>
      <c r="AC1958" s="120"/>
      <c r="AD1958" s="120"/>
      <c r="AE1958" s="120"/>
      <c r="AF1958" s="120"/>
      <c r="AG1958" s="94"/>
      <c r="AH1958" s="120"/>
      <c r="AI1958" s="94"/>
      <c r="AJ1958" s="94" t="s">
        <v>782</v>
      </c>
      <c r="AK1958" s="94" t="s">
        <v>750</v>
      </c>
      <c r="AL1958" s="94">
        <v>165</v>
      </c>
      <c r="AM1958" s="94" t="str">
        <f>TRIM(AJ1958)&amp;TRIM(AL1958)&amp;TRIM(AK1958)</f>
      </c>
      <c r="AN1958" s="116">
        <v>0</v>
      </c>
      <c r="AO1958" s="116" t="inlineStr">
        <is>
          <t>#NA</t>
        </is>
      </c>
      <c r="AP1958" s="116">
        <f>SUMIFS(M:M,AM:AM,AM1958)+SUMIFS(O:O,AM:AM,AM1958)</f>
      </c>
      <c r="AQ1958" s="116">
        <f>SUMIFS(L:L,AM:AM,AM1958)</f>
      </c>
      <c r="AR1958" s="116">
        <f>AQ1958-AP1958</f>
      </c>
      <c r="AS1958" s="94" t="str">
        <f>IF(AN1958&gt;=AQ1958,"ok","ck")</f>
      </c>
      <c r="AT1958" s="116">
        <f>-P1958</f>
      </c>
      <c r="AU1958" s="115">
        <f>IF(SUMIFS(AT:AT,AM:AM,AM1958)&gt;AO1958,(SUMIFS(AT:AT,AM:AM,AM1958)-AO1958))</f>
      </c>
      <c r="AV1958" s="116">
        <v>0</v>
      </c>
      <c r="AW1958" s="121">
        <v>1.088</v>
      </c>
      <c r="AX1958" s="115">
        <f>AN1958-AP1958</f>
      </c>
    </row>
    <row r="1959" spans="1:50" ht="15" hidden="1" customHeight="1" x14ac:dyDescent="0.3">
      <c r="A1959" s="94" t="s">
        <v>480</v>
      </c>
      <c r="B1959" s="94"/>
      <c r="C1959" s="94"/>
      <c r="D1959" s="94"/>
      <c r="E1959" s="94"/>
      <c r="F1959" s="94"/>
      <c r="G1959" s="112">
        <f>AU1959</f>
      </c>
      <c r="H1959" s="113"/>
      <c r="I1959" s="94" t="s">
        <v>486</v>
      </c>
      <c r="J1959" s="94" t="s">
        <v>583</v>
      </c>
      <c r="K1959" s="114">
        <f>P1959/3</f>
      </c>
      <c r="L1959" s="115">
        <v>6.2050000000000001</v>
      </c>
      <c r="M1959" s="116"/>
      <c r="N1959" s="117">
        <f>M1959-L1959</f>
      </c>
      <c r="O1959" s="112"/>
      <c r="P1959" s="118">
        <f>N1959+O1959</f>
      </c>
      <c r="Q1959" s="94" t="s">
        <v>782</v>
      </c>
      <c r="R1959" s="94" t="s">
        <v>392</v>
      </c>
      <c r="S1959" s="119">
        <v>46329</v>
      </c>
      <c r="T1959" s="119"/>
      <c r="U1959" s="119">
        <v>46329</v>
      </c>
      <c r="V1959" s="94"/>
      <c r="W1959" s="94"/>
      <c r="X1959" s="94"/>
      <c r="Y1959" s="119">
        <v>46327</v>
      </c>
      <c r="Z1959" s="94"/>
      <c r="AA1959" s="120"/>
      <c r="AB1959" s="120"/>
      <c r="AC1959" s="120"/>
      <c r="AD1959" s="120"/>
      <c r="AE1959" s="120"/>
      <c r="AF1959" s="120"/>
      <c r="AG1959" s="94"/>
      <c r="AH1959" s="120"/>
      <c r="AI1959" s="94"/>
      <c r="AJ1959" s="94" t="s">
        <v>782</v>
      </c>
      <c r="AK1959" s="94" t="s">
        <v>750</v>
      </c>
      <c r="AL1959" s="94">
        <v>165</v>
      </c>
      <c r="AM1959" s="94" t="str">
        <f>TRIM(AJ1959)&amp;TRIM(AL1959)&amp;TRIM(AK1959)</f>
      </c>
      <c r="AN1959" s="116">
        <v>0</v>
      </c>
      <c r="AO1959" s="116" t="inlineStr">
        <is>
          <t>#NA</t>
        </is>
      </c>
      <c r="AP1959" s="116">
        <f>SUMIFS(M:M,AM:AM,AM1959)+SUMIFS(O:O,AM:AM,AM1959)</f>
      </c>
      <c r="AQ1959" s="116">
        <f>SUMIFS(L:L,AM:AM,AM1959)</f>
      </c>
      <c r="AR1959" s="116">
        <f>AQ1959-AP1959</f>
      </c>
      <c r="AS1959" s="94" t="str">
        <f>IF(AN1959&gt;=AQ1959,"ok","ck")</f>
      </c>
      <c r="AT1959" s="116">
        <f>-P1959</f>
      </c>
      <c r="AU1959" s="115">
        <f>IF(SUMIFS(AT:AT,AM:AM,AM1959)&gt;AO1959,(SUMIFS(AT:AT,AM:AM,AM1959)-AO1959))</f>
      </c>
      <c r="AV1959" s="116">
        <v>0</v>
      </c>
      <c r="AW1959" s="121">
        <v>1.088</v>
      </c>
      <c r="AX1959" s="115">
        <f>AN1959-AP1959</f>
      </c>
    </row>
    <row r="1960" spans="1:50" ht="15" hidden="1" customHeight="1" x14ac:dyDescent="0.3">
      <c r="A1960" s="94" t="s">
        <v>480</v>
      </c>
      <c r="B1960" s="94"/>
      <c r="C1960" s="94"/>
      <c r="D1960" s="94"/>
      <c r="E1960" s="94"/>
      <c r="F1960" s="94"/>
      <c r="G1960" s="112">
        <f>AU1960</f>
      </c>
      <c r="H1960" s="113"/>
      <c r="I1960" s="94" t="s">
        <v>486</v>
      </c>
      <c r="J1960" s="94" t="s">
        <v>583</v>
      </c>
      <c r="K1960" s="114">
        <f>P1960/3</f>
      </c>
      <c r="L1960" s="115">
        <v>6.8230000000000004</v>
      </c>
      <c r="M1960" s="116"/>
      <c r="N1960" s="117">
        <f>M1960-L1960</f>
      </c>
      <c r="O1960" s="112"/>
      <c r="P1960" s="118">
        <f>N1960+O1960</f>
      </c>
      <c r="Q1960" s="94" t="s">
        <v>782</v>
      </c>
      <c r="R1960" s="94" t="s">
        <v>392</v>
      </c>
      <c r="S1960" s="119">
        <v>46329</v>
      </c>
      <c r="T1960" s="119"/>
      <c r="U1960" s="119">
        <v>46329</v>
      </c>
      <c r="V1960" s="94"/>
      <c r="W1960" s="94"/>
      <c r="X1960" s="94"/>
      <c r="Y1960" s="119">
        <v>46327</v>
      </c>
      <c r="Z1960" s="94"/>
      <c r="AA1960" s="120"/>
      <c r="AB1960" s="120"/>
      <c r="AC1960" s="120"/>
      <c r="AD1960" s="120"/>
      <c r="AE1960" s="120"/>
      <c r="AF1960" s="120"/>
      <c r="AG1960" s="94"/>
      <c r="AH1960" s="120"/>
      <c r="AI1960" s="94"/>
      <c r="AJ1960" s="94" t="s">
        <v>782</v>
      </c>
      <c r="AK1960" s="94" t="s">
        <v>750</v>
      </c>
      <c r="AL1960" s="94">
        <v>165</v>
      </c>
      <c r="AM1960" s="94" t="str">
        <f>TRIM(AJ1960)&amp;TRIM(AL1960)&amp;TRIM(AK1960)</f>
      </c>
      <c r="AN1960" s="116">
        <v>0</v>
      </c>
      <c r="AO1960" s="116" t="inlineStr">
        <is>
          <t>#NA</t>
        </is>
      </c>
      <c r="AP1960" s="116">
        <f>SUMIFS(M:M,AM:AM,AM1960)+SUMIFS(O:O,AM:AM,AM1960)</f>
      </c>
      <c r="AQ1960" s="116">
        <f>SUMIFS(L:L,AM:AM,AM1960)</f>
      </c>
      <c r="AR1960" s="116">
        <f>AQ1960-AP1960</f>
      </c>
      <c r="AS1960" s="94" t="str">
        <f>IF(AN1960&gt;=AQ1960,"ok","ck")</f>
      </c>
      <c r="AT1960" s="116">
        <f>-P1960</f>
      </c>
      <c r="AU1960" s="115">
        <f>IF(SUMIFS(AT:AT,AM:AM,AM1960)&gt;AO1960,(SUMIFS(AT:AT,AM:AM,AM1960)-AO1960))</f>
      </c>
      <c r="AV1960" s="116">
        <v>0</v>
      </c>
      <c r="AW1960" s="121">
        <v>1.088</v>
      </c>
      <c r="AX1960" s="115">
        <f>AN1960-AP1960</f>
      </c>
    </row>
    <row r="1961" spans="1:50" ht="15" hidden="1" customHeight="1" x14ac:dyDescent="0.3">
      <c r="A1961" s="94" t="s">
        <v>480</v>
      </c>
      <c r="B1961" s="94"/>
      <c r="C1961" s="94"/>
      <c r="D1961" s="94"/>
      <c r="E1961" s="94"/>
      <c r="F1961" s="94"/>
      <c r="G1961" s="112">
        <f>AU1961</f>
      </c>
      <c r="H1961" s="113"/>
      <c r="I1961" s="94" t="s">
        <v>486</v>
      </c>
      <c r="J1961" s="94" t="s">
        <v>583</v>
      </c>
      <c r="K1961" s="114">
        <f>P1961/3</f>
      </c>
      <c r="L1961" s="115">
        <v>4.093</v>
      </c>
      <c r="M1961" s="116"/>
      <c r="N1961" s="117">
        <f>M1961-L1961</f>
      </c>
      <c r="O1961" s="112"/>
      <c r="P1961" s="118">
        <f>N1961+O1961</f>
      </c>
      <c r="Q1961" s="94" t="s">
        <v>782</v>
      </c>
      <c r="R1961" s="94" t="s">
        <v>392</v>
      </c>
      <c r="S1961" s="119">
        <v>46329</v>
      </c>
      <c r="T1961" s="119"/>
      <c r="U1961" s="119">
        <v>46329</v>
      </c>
      <c r="V1961" s="94"/>
      <c r="W1961" s="94"/>
      <c r="X1961" s="94"/>
      <c r="Y1961" s="119">
        <v>46327</v>
      </c>
      <c r="Z1961" s="94"/>
      <c r="AA1961" s="120"/>
      <c r="AB1961" s="120"/>
      <c r="AC1961" s="120"/>
      <c r="AD1961" s="120"/>
      <c r="AE1961" s="120"/>
      <c r="AF1961" s="120"/>
      <c r="AG1961" s="94"/>
      <c r="AH1961" s="120"/>
      <c r="AI1961" s="94"/>
      <c r="AJ1961" s="94" t="s">
        <v>782</v>
      </c>
      <c r="AK1961" s="94" t="s">
        <v>750</v>
      </c>
      <c r="AL1961" s="94">
        <v>165</v>
      </c>
      <c r="AM1961" s="94" t="str">
        <f>TRIM(AJ1961)&amp;TRIM(AL1961)&amp;TRIM(AK1961)</f>
      </c>
      <c r="AN1961" s="116">
        <v>0</v>
      </c>
      <c r="AO1961" s="116" t="inlineStr">
        <is>
          <t>#NA</t>
        </is>
      </c>
      <c r="AP1961" s="116">
        <f>SUMIFS(M:M,AM:AM,AM1961)+SUMIFS(O:O,AM:AM,AM1961)</f>
      </c>
      <c r="AQ1961" s="116">
        <f>SUMIFS(L:L,AM:AM,AM1961)</f>
      </c>
      <c r="AR1961" s="116">
        <f>AQ1961-AP1961</f>
      </c>
      <c r="AS1961" s="94" t="str">
        <f>IF(AN1961&gt;=AQ1961,"ok","ck")</f>
      </c>
      <c r="AT1961" s="116">
        <f>-P1961</f>
      </c>
      <c r="AU1961" s="115">
        <f>IF(SUMIFS(AT:AT,AM:AM,AM1961)&gt;AO1961,(SUMIFS(AT:AT,AM:AM,AM1961)-AO1961))</f>
      </c>
      <c r="AV1961" s="116">
        <v>0</v>
      </c>
      <c r="AW1961" s="121">
        <v>1.088</v>
      </c>
      <c r="AX1961" s="115">
        <f>AN1961-AP1961</f>
      </c>
    </row>
    <row r="1962" spans="1:50" ht="15" hidden="1" customHeight="1" x14ac:dyDescent="0.3">
      <c r="A1962" s="94" t="s">
        <v>480</v>
      </c>
      <c r="B1962" s="94"/>
      <c r="C1962" s="94"/>
      <c r="D1962" s="94"/>
      <c r="E1962" s="94"/>
      <c r="F1962" s="94"/>
      <c r="G1962" s="112">
        <f>AU1962</f>
      </c>
      <c r="H1962" s="113"/>
      <c r="I1962" s="94" t="s">
        <v>483</v>
      </c>
      <c r="J1962" s="94" t="s">
        <v>584</v>
      </c>
      <c r="K1962" s="114">
        <f>P1962/3</f>
      </c>
      <c r="L1962" s="115">
        <v>3.26</v>
      </c>
      <c r="M1962" s="116"/>
      <c r="N1962" s="117">
        <f>M1962-L1962</f>
      </c>
      <c r="O1962" s="112"/>
      <c r="P1962" s="118">
        <f>N1962+O1962</f>
      </c>
      <c r="Q1962" s="94" t="s">
        <v>782</v>
      </c>
      <c r="R1962" s="94" t="s">
        <v>392</v>
      </c>
      <c r="S1962" s="119">
        <v>46329</v>
      </c>
      <c r="T1962" s="119"/>
      <c r="U1962" s="119">
        <v>46329</v>
      </c>
      <c r="V1962" s="94"/>
      <c r="W1962" s="94"/>
      <c r="X1962" s="94"/>
      <c r="Y1962" s="119">
        <v>46330</v>
      </c>
      <c r="Z1962" s="94"/>
      <c r="AA1962" s="120"/>
      <c r="AB1962" s="120"/>
      <c r="AC1962" s="120"/>
      <c r="AD1962" s="120"/>
      <c r="AE1962" s="120"/>
      <c r="AF1962" s="120"/>
      <c r="AG1962" s="94"/>
      <c r="AH1962" s="120"/>
      <c r="AI1962" s="94"/>
      <c r="AJ1962" s="94" t="s">
        <v>782</v>
      </c>
      <c r="AK1962" s="94" t="s">
        <v>750</v>
      </c>
      <c r="AL1962" s="94">
        <v>165</v>
      </c>
      <c r="AM1962" s="94" t="str">
        <f>TRIM(AJ1962)&amp;TRIM(AL1962)&amp;TRIM(AK1962)</f>
      </c>
      <c r="AN1962" s="116">
        <v>0</v>
      </c>
      <c r="AO1962" s="116" t="inlineStr">
        <is>
          <t>#NA</t>
        </is>
      </c>
      <c r="AP1962" s="116">
        <f>SUMIFS(M:M,AM:AM,AM1962)+SUMIFS(O:O,AM:AM,AM1962)</f>
      </c>
      <c r="AQ1962" s="116">
        <f>SUMIFS(L:L,AM:AM,AM1962)</f>
      </c>
      <c r="AR1962" s="116">
        <f>AQ1962-AP1962</f>
      </c>
      <c r="AS1962" s="94" t="str">
        <f>IF(AN1962&gt;=AQ1962,"ok","ck")</f>
      </c>
      <c r="AT1962" s="116">
        <f>-P1962</f>
      </c>
      <c r="AU1962" s="115">
        <f>IF(SUMIFS(AT:AT,AM:AM,AM1962)&gt;AO1962,(SUMIFS(AT:AT,AM:AM,AM1962)-AO1962))</f>
      </c>
      <c r="AV1962" s="116">
        <v>0</v>
      </c>
      <c r="AW1962" s="121">
        <v>1.088</v>
      </c>
      <c r="AX1962" s="115">
        <f>AN1962-AP1962</f>
      </c>
    </row>
    <row r="1963" spans="1:50" ht="15" hidden="1" customHeight="1" x14ac:dyDescent="0.3">
      <c r="A1963" s="94" t="s">
        <v>480</v>
      </c>
      <c r="B1963" s="94"/>
      <c r="C1963" s="94"/>
      <c r="D1963" s="94"/>
      <c r="E1963" s="94"/>
      <c r="F1963" s="94"/>
      <c r="G1963" s="112">
        <f>AU1963</f>
      </c>
      <c r="H1963" s="113"/>
      <c r="I1963" s="94" t="s">
        <v>483</v>
      </c>
      <c r="J1963" s="94" t="s">
        <v>584</v>
      </c>
      <c r="K1963" s="114">
        <f>P1963/3</f>
      </c>
      <c r="L1963" s="115">
        <v>2.7160000000000002</v>
      </c>
      <c r="M1963" s="116"/>
      <c r="N1963" s="117">
        <f>M1963-L1963</f>
      </c>
      <c r="O1963" s="112"/>
      <c r="P1963" s="118">
        <f>N1963+O1963</f>
      </c>
      <c r="Q1963" s="94" t="s">
        <v>782</v>
      </c>
      <c r="R1963" s="94" t="s">
        <v>392</v>
      </c>
      <c r="S1963" s="119">
        <v>46329</v>
      </c>
      <c r="T1963" s="119"/>
      <c r="U1963" s="119">
        <v>46329</v>
      </c>
      <c r="V1963" s="94"/>
      <c r="W1963" s="94"/>
      <c r="X1963" s="94"/>
      <c r="Y1963" s="119">
        <v>46330</v>
      </c>
      <c r="Z1963" s="94"/>
      <c r="AA1963" s="120"/>
      <c r="AB1963" s="120"/>
      <c r="AC1963" s="120"/>
      <c r="AD1963" s="120"/>
      <c r="AE1963" s="120"/>
      <c r="AF1963" s="120"/>
      <c r="AG1963" s="94"/>
      <c r="AH1963" s="120"/>
      <c r="AI1963" s="94"/>
      <c r="AJ1963" s="94" t="s">
        <v>782</v>
      </c>
      <c r="AK1963" s="94" t="s">
        <v>750</v>
      </c>
      <c r="AL1963" s="94">
        <v>165</v>
      </c>
      <c r="AM1963" s="94" t="str">
        <f>TRIM(AJ1963)&amp;TRIM(AL1963)&amp;TRIM(AK1963)</f>
      </c>
      <c r="AN1963" s="116">
        <v>0</v>
      </c>
      <c r="AO1963" s="116" t="inlineStr">
        <is>
          <t>#NA</t>
        </is>
      </c>
      <c r="AP1963" s="116">
        <f>SUMIFS(M:M,AM:AM,AM1963)+SUMIFS(O:O,AM:AM,AM1963)</f>
      </c>
      <c r="AQ1963" s="116">
        <f>SUMIFS(L:L,AM:AM,AM1963)</f>
      </c>
      <c r="AR1963" s="116">
        <f>AQ1963-AP1963</f>
      </c>
      <c r="AS1963" s="94" t="str">
        <f>IF(AN1963&gt;=AQ1963,"ok","ck")</f>
      </c>
      <c r="AT1963" s="116">
        <f>-P1963</f>
      </c>
      <c r="AU1963" s="115">
        <f>IF(SUMIFS(AT:AT,AM:AM,AM1963)&gt;AO1963,(SUMIFS(AT:AT,AM:AM,AM1963)-AO1963))</f>
      </c>
      <c r="AV1963" s="116">
        <v>0</v>
      </c>
      <c r="AW1963" s="121">
        <v>1.088</v>
      </c>
      <c r="AX1963" s="115">
        <f>AN1963-AP1963</f>
      </c>
    </row>
    <row r="1964" spans="1:50" ht="15" hidden="1" customHeight="1" x14ac:dyDescent="0.3">
      <c r="A1964" s="94" t="s">
        <v>480</v>
      </c>
      <c r="B1964" s="94"/>
      <c r="C1964" s="94"/>
      <c r="D1964" s="94"/>
      <c r="E1964" s="94"/>
      <c r="F1964" s="94"/>
      <c r="G1964" s="112">
        <f>AU1964</f>
      </c>
      <c r="H1964" s="113"/>
      <c r="I1964" s="94" t="s">
        <v>483</v>
      </c>
      <c r="J1964" s="94" t="s">
        <v>584</v>
      </c>
      <c r="K1964" s="114">
        <f>P1964/3</f>
      </c>
      <c r="L1964" s="115">
        <v>1.0880000000000001</v>
      </c>
      <c r="M1964" s="116"/>
      <c r="N1964" s="117">
        <f>M1964-L1964</f>
      </c>
      <c r="O1964" s="112"/>
      <c r="P1964" s="118">
        <f>N1964+O1964</f>
      </c>
      <c r="Q1964" s="94" t="s">
        <v>782</v>
      </c>
      <c r="R1964" s="94" t="s">
        <v>392</v>
      </c>
      <c r="S1964" s="119">
        <v>46329</v>
      </c>
      <c r="T1964" s="119"/>
      <c r="U1964" s="119">
        <v>46329</v>
      </c>
      <c r="V1964" s="94"/>
      <c r="W1964" s="94"/>
      <c r="X1964" s="94"/>
      <c r="Y1964" s="119">
        <v>46330</v>
      </c>
      <c r="Z1964" s="94"/>
      <c r="AA1964" s="120"/>
      <c r="AB1964" s="120"/>
      <c r="AC1964" s="120"/>
      <c r="AD1964" s="120"/>
      <c r="AE1964" s="120"/>
      <c r="AF1964" s="120"/>
      <c r="AG1964" s="94"/>
      <c r="AH1964" s="120"/>
      <c r="AI1964" s="94"/>
      <c r="AJ1964" s="94" t="s">
        <v>782</v>
      </c>
      <c r="AK1964" s="94" t="s">
        <v>750</v>
      </c>
      <c r="AL1964" s="94">
        <v>165</v>
      </c>
      <c r="AM1964" s="94" t="str">
        <f>TRIM(AJ1964)&amp;TRIM(AL1964)&amp;TRIM(AK1964)</f>
      </c>
      <c r="AN1964" s="116">
        <v>0</v>
      </c>
      <c r="AO1964" s="116" t="inlineStr">
        <is>
          <t>#NA</t>
        </is>
      </c>
      <c r="AP1964" s="116">
        <f>SUMIFS(M:M,AM:AM,AM1964)+SUMIFS(O:O,AM:AM,AM1964)</f>
      </c>
      <c r="AQ1964" s="116">
        <f>SUMIFS(L:L,AM:AM,AM1964)</f>
      </c>
      <c r="AR1964" s="116">
        <f>AQ1964-AP1964</f>
      </c>
      <c r="AS1964" s="94" t="str">
        <f>IF(AN1964&gt;=AQ1964,"ok","ck")</f>
      </c>
      <c r="AT1964" s="116">
        <f>-P1964</f>
      </c>
      <c r="AU1964" s="115">
        <f>IF(SUMIFS(AT:AT,AM:AM,AM1964)&gt;AO1964,(SUMIFS(AT:AT,AM:AM,AM1964)-AO1964))</f>
      </c>
      <c r="AV1964" s="116">
        <v>0</v>
      </c>
      <c r="AW1964" s="121">
        <v>1.088</v>
      </c>
      <c r="AX1964" s="115">
        <f>AN1964-AP1964</f>
      </c>
    </row>
    <row r="1965" spans="1:50" ht="15" hidden="1" customHeight="1" x14ac:dyDescent="0.3">
      <c r="A1965" s="94" t="s">
        <v>480</v>
      </c>
      <c r="B1965" s="94"/>
      <c r="C1965" s="94"/>
      <c r="D1965" s="94"/>
      <c r="E1965" s="94"/>
      <c r="F1965" s="94"/>
      <c r="G1965" s="112">
        <f>AU1965</f>
      </c>
      <c r="H1965" s="113"/>
      <c r="I1965" s="94" t="s">
        <v>483</v>
      </c>
      <c r="J1965" s="94" t="s">
        <v>584</v>
      </c>
      <c r="K1965" s="114">
        <f>P1965/3</f>
      </c>
      <c r="L1965" s="115">
        <v>46.14</v>
      </c>
      <c r="M1965" s="116"/>
      <c r="N1965" s="117">
        <f>M1965-L1965</f>
      </c>
      <c r="O1965" s="112"/>
      <c r="P1965" s="118">
        <f>N1965+O1965</f>
      </c>
      <c r="Q1965" s="94" t="s">
        <v>782</v>
      </c>
      <c r="R1965" s="94" t="s">
        <v>392</v>
      </c>
      <c r="S1965" s="119">
        <v>46329</v>
      </c>
      <c r="T1965" s="119"/>
      <c r="U1965" s="119">
        <v>46329</v>
      </c>
      <c r="V1965" s="94"/>
      <c r="W1965" s="94"/>
      <c r="X1965" s="94"/>
      <c r="Y1965" s="119">
        <v>46330</v>
      </c>
      <c r="Z1965" s="94"/>
      <c r="AA1965" s="120"/>
      <c r="AB1965" s="120"/>
      <c r="AC1965" s="120"/>
      <c r="AD1965" s="120"/>
      <c r="AE1965" s="120"/>
      <c r="AF1965" s="120"/>
      <c r="AG1965" s="94"/>
      <c r="AH1965" s="120"/>
      <c r="AI1965" s="94"/>
      <c r="AJ1965" s="94" t="s">
        <v>782</v>
      </c>
      <c r="AK1965" s="94" t="s">
        <v>750</v>
      </c>
      <c r="AL1965" s="94">
        <v>165</v>
      </c>
      <c r="AM1965" s="94" t="str">
        <f>TRIM(AJ1965)&amp;TRIM(AL1965)&amp;TRIM(AK1965)</f>
      </c>
      <c r="AN1965" s="116">
        <v>0</v>
      </c>
      <c r="AO1965" s="116" t="inlineStr">
        <is>
          <t>#NA</t>
        </is>
      </c>
      <c r="AP1965" s="116">
        <f>SUMIFS(M:M,AM:AM,AM1965)+SUMIFS(O:O,AM:AM,AM1965)</f>
      </c>
      <c r="AQ1965" s="116">
        <f>SUMIFS(L:L,AM:AM,AM1965)</f>
      </c>
      <c r="AR1965" s="116">
        <f>AQ1965-AP1965</f>
      </c>
      <c r="AS1965" s="94" t="str">
        <f>IF(AN1965&gt;=AQ1965,"ok","ck")</f>
      </c>
      <c r="AT1965" s="116">
        <f>-P1965</f>
      </c>
      <c r="AU1965" s="115">
        <f>IF(SUMIFS(AT:AT,AM:AM,AM1965)&gt;AO1965,(SUMIFS(AT:AT,AM:AM,AM1965)-AO1965))</f>
      </c>
      <c r="AV1965" s="116">
        <v>0</v>
      </c>
      <c r="AW1965" s="121">
        <v>1.088</v>
      </c>
      <c r="AX1965" s="115">
        <f>AN1965-AP1965</f>
      </c>
    </row>
    <row r="1966" spans="1:50" ht="15" hidden="1" customHeight="1" x14ac:dyDescent="0.3">
      <c r="A1966" s="94" t="s">
        <v>480</v>
      </c>
      <c r="B1966" s="94"/>
      <c r="C1966" s="94"/>
      <c r="D1966" s="94"/>
      <c r="E1966" s="94"/>
      <c r="F1966" s="94"/>
      <c r="G1966" s="112">
        <f>AU1966</f>
      </c>
      <c r="H1966" s="113"/>
      <c r="I1966" s="94" t="s">
        <v>483</v>
      </c>
      <c r="J1966" s="94" t="s">
        <v>584</v>
      </c>
      <c r="K1966" s="114">
        <f>P1966/3</f>
      </c>
      <c r="L1966" s="115">
        <v>7.91</v>
      </c>
      <c r="M1966" s="116"/>
      <c r="N1966" s="117">
        <f>M1966-L1966</f>
      </c>
      <c r="O1966" s="112"/>
      <c r="P1966" s="118">
        <f>N1966+O1966</f>
      </c>
      <c r="Q1966" s="94" t="s">
        <v>782</v>
      </c>
      <c r="R1966" s="94" t="s">
        <v>392</v>
      </c>
      <c r="S1966" s="119">
        <v>46329</v>
      </c>
      <c r="T1966" s="119"/>
      <c r="U1966" s="119">
        <v>46329</v>
      </c>
      <c r="V1966" s="94"/>
      <c r="W1966" s="94"/>
      <c r="X1966" s="94"/>
      <c r="Y1966" s="119">
        <v>46330</v>
      </c>
      <c r="Z1966" s="94"/>
      <c r="AA1966" s="120"/>
      <c r="AB1966" s="120"/>
      <c r="AC1966" s="120"/>
      <c r="AD1966" s="120"/>
      <c r="AE1966" s="120"/>
      <c r="AF1966" s="120"/>
      <c r="AG1966" s="94"/>
      <c r="AH1966" s="120"/>
      <c r="AI1966" s="94"/>
      <c r="AJ1966" s="94" t="s">
        <v>782</v>
      </c>
      <c r="AK1966" s="94" t="s">
        <v>750</v>
      </c>
      <c r="AL1966" s="94">
        <v>165</v>
      </c>
      <c r="AM1966" s="94" t="str">
        <f>TRIM(AJ1966)&amp;TRIM(AL1966)&amp;TRIM(AK1966)</f>
      </c>
      <c r="AN1966" s="116">
        <v>0</v>
      </c>
      <c r="AO1966" s="116" t="inlineStr">
        <is>
          <t>#NA</t>
        </is>
      </c>
      <c r="AP1966" s="116">
        <f>SUMIFS(M:M,AM:AM,AM1966)+SUMIFS(O:O,AM:AM,AM1966)</f>
      </c>
      <c r="AQ1966" s="116">
        <f>SUMIFS(L:L,AM:AM,AM1966)</f>
      </c>
      <c r="AR1966" s="116">
        <f>AQ1966-AP1966</f>
      </c>
      <c r="AS1966" s="94" t="str">
        <f>IF(AN1966&gt;=AQ1966,"ok","ck")</f>
      </c>
      <c r="AT1966" s="116">
        <f>-P1966</f>
      </c>
      <c r="AU1966" s="115">
        <f>IF(SUMIFS(AT:AT,AM:AM,AM1966)&gt;AO1966,(SUMIFS(AT:AT,AM:AM,AM1966)-AO1966))</f>
      </c>
      <c r="AV1966" s="116">
        <v>0</v>
      </c>
      <c r="AW1966" s="121">
        <v>1.088</v>
      </c>
      <c r="AX1966" s="115">
        <f>AN1966-AP1966</f>
      </c>
    </row>
    <row r="1967" spans="1:50" ht="15" hidden="1" customHeight="1" x14ac:dyDescent="0.3">
      <c r="A1967" s="94" t="s">
        <v>480</v>
      </c>
      <c r="B1967" s="94"/>
      <c r="C1967" s="94"/>
      <c r="D1967" s="94"/>
      <c r="E1967" s="94"/>
      <c r="F1967" s="94"/>
      <c r="G1967" s="112">
        <f>AU1967</f>
      </c>
      <c r="H1967" s="113"/>
      <c r="I1967" s="94" t="s">
        <v>483</v>
      </c>
      <c r="J1967" s="94" t="s">
        <v>584</v>
      </c>
      <c r="K1967" s="114">
        <f>P1967/3</f>
      </c>
      <c r="L1967" s="115">
        <v>3.956</v>
      </c>
      <c r="M1967" s="116"/>
      <c r="N1967" s="117">
        <f>M1967-L1967</f>
      </c>
      <c r="O1967" s="112"/>
      <c r="P1967" s="118">
        <f>N1967+O1967</f>
      </c>
      <c r="Q1967" s="94" t="s">
        <v>782</v>
      </c>
      <c r="R1967" s="94" t="s">
        <v>392</v>
      </c>
      <c r="S1967" s="119">
        <v>46329</v>
      </c>
      <c r="T1967" s="119"/>
      <c r="U1967" s="119">
        <v>46329</v>
      </c>
      <c r="V1967" s="94"/>
      <c r="W1967" s="94"/>
      <c r="X1967" s="94"/>
      <c r="Y1967" s="119">
        <v>46330</v>
      </c>
      <c r="Z1967" s="94"/>
      <c r="AA1967" s="120"/>
      <c r="AB1967" s="120"/>
      <c r="AC1967" s="120"/>
      <c r="AD1967" s="120"/>
      <c r="AE1967" s="120"/>
      <c r="AF1967" s="120"/>
      <c r="AG1967" s="94"/>
      <c r="AH1967" s="120"/>
      <c r="AI1967" s="94"/>
      <c r="AJ1967" s="94" t="s">
        <v>782</v>
      </c>
      <c r="AK1967" s="94" t="s">
        <v>750</v>
      </c>
      <c r="AL1967" s="94">
        <v>165</v>
      </c>
      <c r="AM1967" s="94" t="str">
        <f>TRIM(AJ1967)&amp;TRIM(AL1967)&amp;TRIM(AK1967)</f>
      </c>
      <c r="AN1967" s="116">
        <v>0</v>
      </c>
      <c r="AO1967" s="116" t="inlineStr">
        <is>
          <t>#NA</t>
        </is>
      </c>
      <c r="AP1967" s="116">
        <f>SUMIFS(M:M,AM:AM,AM1967)+SUMIFS(O:O,AM:AM,AM1967)</f>
      </c>
      <c r="AQ1967" s="116">
        <f>SUMIFS(L:L,AM:AM,AM1967)</f>
      </c>
      <c r="AR1967" s="116">
        <f>AQ1967-AP1967</f>
      </c>
      <c r="AS1967" s="94" t="str">
        <f>IF(AN1967&gt;=AQ1967,"ok","ck")</f>
      </c>
      <c r="AT1967" s="116">
        <f>-P1967</f>
      </c>
      <c r="AU1967" s="115">
        <f>IF(SUMIFS(AT:AT,AM:AM,AM1967)&gt;AO1967,(SUMIFS(AT:AT,AM:AM,AM1967)-AO1967))</f>
      </c>
      <c r="AV1967" s="116">
        <v>0</v>
      </c>
      <c r="AW1967" s="121">
        <v>1.088</v>
      </c>
      <c r="AX1967" s="115">
        <f>AN1967-AP1967</f>
      </c>
    </row>
    <row r="1968" spans="1:50" ht="15" hidden="1" customHeight="1" x14ac:dyDescent="0.3">
      <c r="A1968" s="94" t="s">
        <v>480</v>
      </c>
      <c r="B1968" s="94"/>
      <c r="C1968" s="94"/>
      <c r="D1968" s="94"/>
      <c r="E1968" s="94"/>
      <c r="F1968" s="94"/>
      <c r="G1968" s="112">
        <f>AU1968</f>
      </c>
      <c r="H1968" s="113"/>
      <c r="I1968" s="94" t="s">
        <v>483</v>
      </c>
      <c r="J1968" s="94" t="s">
        <v>584</v>
      </c>
      <c r="K1968" s="114">
        <f>P1968/3</f>
      </c>
      <c r="L1968" s="115">
        <v>2.637</v>
      </c>
      <c r="M1968" s="116"/>
      <c r="N1968" s="117">
        <f>M1968-L1968</f>
      </c>
      <c r="O1968" s="112"/>
      <c r="P1968" s="118">
        <f>N1968+O1968</f>
      </c>
      <c r="Q1968" s="94" t="s">
        <v>782</v>
      </c>
      <c r="R1968" s="94" t="s">
        <v>392</v>
      </c>
      <c r="S1968" s="119">
        <v>46329</v>
      </c>
      <c r="T1968" s="119"/>
      <c r="U1968" s="119">
        <v>46329</v>
      </c>
      <c r="V1968" s="94"/>
      <c r="W1968" s="94"/>
      <c r="X1968" s="94"/>
      <c r="Y1968" s="119">
        <v>46330</v>
      </c>
      <c r="Z1968" s="94"/>
      <c r="AA1968" s="120"/>
      <c r="AB1968" s="120"/>
      <c r="AC1968" s="120"/>
      <c r="AD1968" s="120"/>
      <c r="AE1968" s="120"/>
      <c r="AF1968" s="120"/>
      <c r="AG1968" s="94"/>
      <c r="AH1968" s="120"/>
      <c r="AI1968" s="94"/>
      <c r="AJ1968" s="94" t="s">
        <v>782</v>
      </c>
      <c r="AK1968" s="94" t="s">
        <v>750</v>
      </c>
      <c r="AL1968" s="94">
        <v>165</v>
      </c>
      <c r="AM1968" s="94" t="str">
        <f>TRIM(AJ1968)&amp;TRIM(AL1968)&amp;TRIM(AK1968)</f>
      </c>
      <c r="AN1968" s="116">
        <v>0</v>
      </c>
      <c r="AO1968" s="116" t="inlineStr">
        <is>
          <t>#NA</t>
        </is>
      </c>
      <c r="AP1968" s="116">
        <f>SUMIFS(M:M,AM:AM,AM1968)+SUMIFS(O:O,AM:AM,AM1968)</f>
      </c>
      <c r="AQ1968" s="116">
        <f>SUMIFS(L:L,AM:AM,AM1968)</f>
      </c>
      <c r="AR1968" s="116">
        <f>AQ1968-AP1968</f>
      </c>
      <c r="AS1968" s="94" t="str">
        <f>IF(AN1968&gt;=AQ1968,"ok","ck")</f>
      </c>
      <c r="AT1968" s="116">
        <f>-P1968</f>
      </c>
      <c r="AU1968" s="115">
        <f>IF(SUMIFS(AT:AT,AM:AM,AM1968)&gt;AO1968,(SUMIFS(AT:AT,AM:AM,AM1968)-AO1968))</f>
      </c>
      <c r="AV1968" s="116">
        <v>0</v>
      </c>
      <c r="AW1968" s="121">
        <v>1.088</v>
      </c>
      <c r="AX1968" s="115">
        <f>AN1968-AP1968</f>
      </c>
    </row>
    <row r="1969" spans="1:50" ht="15" hidden="1" customHeight="1" x14ac:dyDescent="0.3">
      <c r="A1969" s="94" t="s">
        <v>480</v>
      </c>
      <c r="B1969" s="94"/>
      <c r="C1969" s="94"/>
      <c r="D1969" s="94"/>
      <c r="E1969" s="94"/>
      <c r="F1969" s="94"/>
      <c r="G1969" s="112">
        <f>AU1969</f>
      </c>
      <c r="H1969" s="113"/>
      <c r="I1969" s="94" t="s">
        <v>483</v>
      </c>
      <c r="J1969" s="94" t="s">
        <v>584</v>
      </c>
      <c r="K1969" s="114">
        <f>P1969/3</f>
      </c>
      <c r="L1969" s="115">
        <v>79.891999999999996</v>
      </c>
      <c r="M1969" s="116"/>
      <c r="N1969" s="117">
        <f>M1969-L1969</f>
      </c>
      <c r="O1969" s="112"/>
      <c r="P1969" s="118">
        <f>N1969+O1969</f>
      </c>
      <c r="Q1969" s="94" t="s">
        <v>782</v>
      </c>
      <c r="R1969" s="94" t="s">
        <v>392</v>
      </c>
      <c r="S1969" s="119">
        <v>46329</v>
      </c>
      <c r="T1969" s="119"/>
      <c r="U1969" s="119">
        <v>46329</v>
      </c>
      <c r="V1969" s="94"/>
      <c r="W1969" s="94"/>
      <c r="X1969" s="94"/>
      <c r="Y1969" s="119">
        <v>46330</v>
      </c>
      <c r="Z1969" s="94"/>
      <c r="AA1969" s="120"/>
      <c r="AB1969" s="120"/>
      <c r="AC1969" s="120"/>
      <c r="AD1969" s="120"/>
      <c r="AE1969" s="120"/>
      <c r="AF1969" s="120"/>
      <c r="AG1969" s="94"/>
      <c r="AH1969" s="120"/>
      <c r="AI1969" s="94"/>
      <c r="AJ1969" s="94" t="s">
        <v>782</v>
      </c>
      <c r="AK1969" s="94" t="s">
        <v>750</v>
      </c>
      <c r="AL1969" s="94">
        <v>165</v>
      </c>
      <c r="AM1969" s="94" t="str">
        <f>TRIM(AJ1969)&amp;TRIM(AL1969)&amp;TRIM(AK1969)</f>
      </c>
      <c r="AN1969" s="116">
        <v>0</v>
      </c>
      <c r="AO1969" s="116" t="inlineStr">
        <is>
          <t>#NA</t>
        </is>
      </c>
      <c r="AP1969" s="116">
        <f>SUMIFS(M:M,AM:AM,AM1969)+SUMIFS(O:O,AM:AM,AM1969)</f>
      </c>
      <c r="AQ1969" s="116">
        <f>SUMIFS(L:L,AM:AM,AM1969)</f>
      </c>
      <c r="AR1969" s="116">
        <f>AQ1969-AP1969</f>
      </c>
      <c r="AS1969" s="94" t="str">
        <f>IF(AN1969&gt;=AQ1969,"ok","ck")</f>
      </c>
      <c r="AT1969" s="116">
        <f>-P1969</f>
      </c>
      <c r="AU1969" s="115">
        <f>IF(SUMIFS(AT:AT,AM:AM,AM1969)&gt;AO1969,(SUMIFS(AT:AT,AM:AM,AM1969)-AO1969))</f>
      </c>
      <c r="AV1969" s="116">
        <v>0</v>
      </c>
      <c r="AW1969" s="121">
        <v>1.088</v>
      </c>
      <c r="AX1969" s="115">
        <f>AN1969-AP1969</f>
      </c>
    </row>
    <row r="1970" spans="1:50" ht="15" hidden="1" customHeight="1" x14ac:dyDescent="0.3">
      <c r="A1970" s="94" t="s">
        <v>76</v>
      </c>
      <c r="B1970" s="94"/>
      <c r="C1970" s="94"/>
      <c r="D1970" s="94"/>
      <c r="E1970" s="94"/>
      <c r="F1970" s="94"/>
      <c r="G1970" s="112">
        <f>AU1970</f>
      </c>
      <c r="H1970" s="113"/>
      <c r="I1970" s="94" t="s">
        <v>393</v>
      </c>
      <c r="J1970" s="94" t="s">
        <v>423</v>
      </c>
      <c r="K1970" s="114">
        <f>P1970/3</f>
      </c>
      <c r="L1970" s="115">
        <v>223.40899999999999</v>
      </c>
      <c r="M1970" s="116">
        <f>L1970</f>
      </c>
      <c r="N1970" s="117">
        <f>M1970-L1970</f>
      </c>
      <c r="O1970" s="112"/>
      <c r="P1970" s="118">
        <f>N1970+O1970</f>
      </c>
      <c r="Q1970" s="94" t="s">
        <v>112</v>
      </c>
      <c r="R1970" s="94" t="s">
        <v>392</v>
      </c>
      <c r="S1970" s="119">
        <v>46329</v>
      </c>
      <c r="T1970" s="119"/>
      <c r="U1970" s="119">
        <v>46329</v>
      </c>
      <c r="V1970" s="94"/>
      <c r="W1970" s="94"/>
      <c r="X1970" s="94"/>
      <c r="Y1970" s="119">
        <v>46320</v>
      </c>
      <c r="Z1970" s="94"/>
      <c r="AA1970" s="120"/>
      <c r="AB1970" s="120"/>
      <c r="AC1970" s="120"/>
      <c r="AD1970" s="120"/>
      <c r="AE1970" s="120"/>
      <c r="AF1970" s="120"/>
      <c r="AG1970" s="94"/>
      <c r="AH1970" s="120"/>
      <c r="AI1970" s="94"/>
      <c r="AJ1970" s="94" t="s">
        <v>112</v>
      </c>
      <c r="AK1970" s="94" t="s">
        <v>91</v>
      </c>
      <c r="AL1970" s="94">
        <v>150</v>
      </c>
      <c r="AM1970" s="94" t="str">
        <f>TRIM(AJ1970)&amp;TRIM(AL1970)&amp;TRIM(AK1970)</f>
      </c>
      <c r="AN1970" s="116">
        <v>1129.04</v>
      </c>
      <c r="AO1970" s="116">
        <v>-22.14</v>
      </c>
      <c r="AP1970" s="116">
        <f>SUMIFS(M:M,AM:AM,AM1970)+SUMIFS(O:O,AM:AM,AM1970)</f>
      </c>
      <c r="AQ1970" s="116">
        <f>SUMIFS(L:L,AM:AM,AM1970)</f>
      </c>
      <c r="AR1970" s="116">
        <f>AQ1970-AP1970</f>
      </c>
      <c r="AS1970" s="94" t="str">
        <f>IF(AN1970&gt;=AQ1970,"ok","ck")</f>
      </c>
      <c r="AT1970" s="116">
        <f>-P1970</f>
      </c>
      <c r="AU1970" s="115">
        <f>IF(SUMIFS(AT:AT,AM:AM,AM1970)&gt;AO1970,(SUMIFS(AT:AT,AM:AM,AM1970)-AO1970))</f>
      </c>
      <c r="AV1970" s="116">
        <v>1129.04</v>
      </c>
      <c r="AW1970" s="121">
        <v>1.02</v>
      </c>
      <c r="AX1970" s="115">
        <f>AN1970-AP1970</f>
      </c>
    </row>
    <row r="1971" spans="1:50" ht="15" hidden="1" customHeight="1" x14ac:dyDescent="0.3">
      <c r="A1971" s="94" t="s">
        <v>76</v>
      </c>
      <c r="B1971" s="94"/>
      <c r="C1971" s="94"/>
      <c r="D1971" s="94"/>
      <c r="E1971" s="94"/>
      <c r="F1971" s="94"/>
      <c r="G1971" s="112">
        <f>AU1971</f>
      </c>
      <c r="H1971" s="113"/>
      <c r="I1971" s="94" t="s">
        <v>393</v>
      </c>
      <c r="J1971" s="94" t="s">
        <v>423</v>
      </c>
      <c r="K1971" s="114">
        <f>P1971/3</f>
      </c>
      <c r="L1971" s="115">
        <v>2</v>
      </c>
      <c r="M1971" s="116">
        <f>L1971</f>
      </c>
      <c r="N1971" s="117">
        <f>M1971-L1971</f>
      </c>
      <c r="O1971" s="112"/>
      <c r="P1971" s="118">
        <f>N1971+O1971</f>
      </c>
      <c r="Q1971" s="94" t="s">
        <v>112</v>
      </c>
      <c r="R1971" s="94" t="s">
        <v>392</v>
      </c>
      <c r="S1971" s="119">
        <v>46329</v>
      </c>
      <c r="T1971" s="119"/>
      <c r="U1971" s="119">
        <v>46329</v>
      </c>
      <c r="V1971" s="94"/>
      <c r="W1971" s="94"/>
      <c r="X1971" s="94"/>
      <c r="Y1971" s="119">
        <v>46320</v>
      </c>
      <c r="Z1971" s="94"/>
      <c r="AA1971" s="120"/>
      <c r="AB1971" s="120"/>
      <c r="AC1971" s="120"/>
      <c r="AD1971" s="120"/>
      <c r="AE1971" s="120"/>
      <c r="AF1971" s="120"/>
      <c r="AG1971" s="94"/>
      <c r="AH1971" s="120"/>
      <c r="AI1971" s="94"/>
      <c r="AJ1971" s="94" t="s">
        <v>112</v>
      </c>
      <c r="AK1971" s="94" t="s">
        <v>91</v>
      </c>
      <c r="AL1971" s="94">
        <v>150</v>
      </c>
      <c r="AM1971" s="94" t="str">
        <f>TRIM(AJ1971)&amp;TRIM(AL1971)&amp;TRIM(AK1971)</f>
      </c>
      <c r="AN1971" s="116">
        <v>1129.04</v>
      </c>
      <c r="AO1971" s="116">
        <v>-22.14</v>
      </c>
      <c r="AP1971" s="116">
        <f>SUMIFS(M:M,AM:AM,AM1971)+SUMIFS(O:O,AM:AM,AM1971)</f>
      </c>
      <c r="AQ1971" s="116">
        <f>SUMIFS(L:L,AM:AM,AM1971)</f>
      </c>
      <c r="AR1971" s="116">
        <f>AQ1971-AP1971</f>
      </c>
      <c r="AS1971" s="94" t="str">
        <f>IF(AN1971&gt;=AQ1971,"ok","ck")</f>
      </c>
      <c r="AT1971" s="116">
        <f>-P1971</f>
      </c>
      <c r="AU1971" s="115">
        <f>IF(SUMIFS(AT:AT,AM:AM,AM1971)&gt;AO1971,(SUMIFS(AT:AT,AM:AM,AM1971)-AO1971))</f>
      </c>
      <c r="AV1971" s="116">
        <v>1129.04</v>
      </c>
      <c r="AW1971" s="121">
        <v>1.02</v>
      </c>
      <c r="AX1971" s="115">
        <f>AN1971-AP1971</f>
      </c>
    </row>
    <row r="1972" spans="1:50" ht="15" hidden="1" customHeight="1" x14ac:dyDescent="0.3">
      <c r="A1972" s="94" t="s">
        <v>76</v>
      </c>
      <c r="B1972" s="94"/>
      <c r="C1972" s="94"/>
      <c r="D1972" s="94"/>
      <c r="E1972" s="94"/>
      <c r="F1972" s="94"/>
      <c r="G1972" s="112">
        <f>AU1972</f>
      </c>
      <c r="H1972" s="113"/>
      <c r="I1972" s="94" t="s">
        <v>393</v>
      </c>
      <c r="J1972" s="94" t="s">
        <v>423</v>
      </c>
      <c r="K1972" s="114">
        <f>P1972/3</f>
      </c>
      <c r="L1972" s="115">
        <v>590.98500000000001</v>
      </c>
      <c r="M1972" s="116">
        <f>L1972</f>
      </c>
      <c r="N1972" s="117">
        <f>M1972-L1972</f>
      </c>
      <c r="O1972" s="112"/>
      <c r="P1972" s="118">
        <f>N1972+O1972</f>
      </c>
      <c r="Q1972" s="94" t="s">
        <v>112</v>
      </c>
      <c r="R1972" s="94" t="s">
        <v>392</v>
      </c>
      <c r="S1972" s="119">
        <v>46329</v>
      </c>
      <c r="T1972" s="119"/>
      <c r="U1972" s="119">
        <v>46329</v>
      </c>
      <c r="V1972" s="94"/>
      <c r="W1972" s="94"/>
      <c r="X1972" s="94"/>
      <c r="Y1972" s="119">
        <v>46329</v>
      </c>
      <c r="Z1972" s="94"/>
      <c r="AA1972" s="120"/>
      <c r="AB1972" s="120"/>
      <c r="AC1972" s="120"/>
      <c r="AD1972" s="120"/>
      <c r="AE1972" s="120"/>
      <c r="AF1972" s="120"/>
      <c r="AG1972" s="94"/>
      <c r="AH1972" s="120"/>
      <c r="AI1972" s="94"/>
      <c r="AJ1972" s="94" t="s">
        <v>112</v>
      </c>
      <c r="AK1972" s="94" t="s">
        <v>91</v>
      </c>
      <c r="AL1972" s="94">
        <v>150</v>
      </c>
      <c r="AM1972" s="94" t="str">
        <f>TRIM(AJ1972)&amp;TRIM(AL1972)&amp;TRIM(AK1972)</f>
      </c>
      <c r="AN1972" s="116">
        <v>1129.04</v>
      </c>
      <c r="AO1972" s="116">
        <v>-22.14</v>
      </c>
      <c r="AP1972" s="116">
        <f>SUMIFS(M:M,AM:AM,AM1972)+SUMIFS(O:O,AM:AM,AM1972)</f>
      </c>
      <c r="AQ1972" s="116">
        <f>SUMIFS(L:L,AM:AM,AM1972)</f>
      </c>
      <c r="AR1972" s="116">
        <f>AQ1972-AP1972</f>
      </c>
      <c r="AS1972" s="94" t="str">
        <f>IF(AN1972&gt;=AQ1972,"ok","ck")</f>
      </c>
      <c r="AT1972" s="116">
        <f>-P1972</f>
      </c>
      <c r="AU1972" s="115">
        <f>IF(SUMIFS(AT:AT,AM:AM,AM1972)&gt;AO1972,(SUMIFS(AT:AT,AM:AM,AM1972)-AO1972))</f>
      </c>
      <c r="AV1972" s="116">
        <v>1129.04</v>
      </c>
      <c r="AW1972" s="121">
        <v>1.02</v>
      </c>
      <c r="AX1972" s="115">
        <f>AN1972-AP1972</f>
      </c>
    </row>
    <row r="1973" spans="1:50" ht="15" hidden="1" customHeight="1" x14ac:dyDescent="0.3">
      <c r="A1973" s="94" t="s">
        <v>76</v>
      </c>
      <c r="B1973" s="94"/>
      <c r="C1973" s="94"/>
      <c r="D1973" s="94"/>
      <c r="E1973" s="94"/>
      <c r="F1973" s="94"/>
      <c r="G1973" s="112">
        <f>AU1973</f>
      </c>
      <c r="H1973" s="113"/>
      <c r="I1973" s="94" t="s">
        <v>393</v>
      </c>
      <c r="J1973" s="94" t="s">
        <v>423</v>
      </c>
      <c r="K1973" s="114">
        <f>P1973/3</f>
      </c>
      <c r="L1973" s="115">
        <v>3.6059999999999999</v>
      </c>
      <c r="M1973" s="116">
        <f>L1973</f>
      </c>
      <c r="N1973" s="117">
        <f>M1973-L1973</f>
      </c>
      <c r="O1973" s="112"/>
      <c r="P1973" s="118">
        <f>N1973+O1973</f>
      </c>
      <c r="Q1973" s="94" t="s">
        <v>112</v>
      </c>
      <c r="R1973" s="94" t="s">
        <v>392</v>
      </c>
      <c r="S1973" s="119">
        <v>46333</v>
      </c>
      <c r="T1973" s="119"/>
      <c r="U1973" s="119">
        <v>46333</v>
      </c>
      <c r="V1973" s="94"/>
      <c r="W1973" s="94"/>
      <c r="X1973" s="94"/>
      <c r="Y1973" s="119">
        <v>46333</v>
      </c>
      <c r="Z1973" s="94"/>
      <c r="AA1973" s="120"/>
      <c r="AB1973" s="120"/>
      <c r="AC1973" s="120"/>
      <c r="AD1973" s="120"/>
      <c r="AE1973" s="120"/>
      <c r="AF1973" s="120"/>
      <c r="AG1973" s="94"/>
      <c r="AH1973" s="120"/>
      <c r="AI1973" s="94"/>
      <c r="AJ1973" s="94" t="s">
        <v>112</v>
      </c>
      <c r="AK1973" s="94" t="s">
        <v>91</v>
      </c>
      <c r="AL1973" s="94">
        <v>150</v>
      </c>
      <c r="AM1973" s="94" t="str">
        <f>TRIM(AJ1973)&amp;TRIM(AL1973)&amp;TRIM(AK1973)</f>
      </c>
      <c r="AN1973" s="116">
        <v>1129.04</v>
      </c>
      <c r="AO1973" s="116">
        <v>-22.14</v>
      </c>
      <c r="AP1973" s="116">
        <f>SUMIFS(M:M,AM:AM,AM1973)+SUMIFS(O:O,AM:AM,AM1973)</f>
      </c>
      <c r="AQ1973" s="116">
        <f>SUMIFS(L:L,AM:AM,AM1973)</f>
      </c>
      <c r="AR1973" s="116">
        <f>AQ1973-AP1973</f>
      </c>
      <c r="AS1973" s="94" t="str">
        <f>IF(AN1973&gt;=AQ1973,"ok","ck")</f>
      </c>
      <c r="AT1973" s="116">
        <f>-P1973</f>
      </c>
      <c r="AU1973" s="115">
        <f>IF(SUMIFS(AT:AT,AM:AM,AM1973)&gt;AO1973,(SUMIFS(AT:AT,AM:AM,AM1973)-AO1973))</f>
      </c>
      <c r="AV1973" s="116">
        <v>1129.04</v>
      </c>
      <c r="AW1973" s="121">
        <v>1.02</v>
      </c>
      <c r="AX1973" s="115">
        <f>AN1973-AP1973</f>
      </c>
    </row>
    <row r="1974" spans="1:50" ht="15" hidden="1" customHeight="1" x14ac:dyDescent="0.3">
      <c r="A1974" s="94" t="s">
        <v>480</v>
      </c>
      <c r="B1974" s="94"/>
      <c r="C1974" s="94"/>
      <c r="D1974" s="94"/>
      <c r="E1974" s="94"/>
      <c r="F1974" s="94"/>
      <c r="G1974" s="112">
        <f>AU1974</f>
      </c>
      <c r="H1974" s="113"/>
      <c r="I1974" s="94" t="s">
        <v>483</v>
      </c>
      <c r="J1974" s="94" t="s">
        <v>584</v>
      </c>
      <c r="K1974" s="114">
        <f>P1974/3</f>
      </c>
      <c r="L1974" s="115">
        <v>43.436999999999998</v>
      </c>
      <c r="M1974" s="116"/>
      <c r="N1974" s="117">
        <f>M1974-L1974</f>
      </c>
      <c r="O1974" s="112"/>
      <c r="P1974" s="118">
        <f>N1974+O1974</f>
      </c>
      <c r="Q1974" s="94" t="s">
        <v>782</v>
      </c>
      <c r="R1974" s="94" t="s">
        <v>392</v>
      </c>
      <c r="S1974" s="119">
        <v>46329</v>
      </c>
      <c r="T1974" s="119"/>
      <c r="U1974" s="119">
        <v>46329</v>
      </c>
      <c r="V1974" s="94"/>
      <c r="W1974" s="94"/>
      <c r="X1974" s="94"/>
      <c r="Y1974" s="119">
        <v>46330</v>
      </c>
      <c r="Z1974" s="94"/>
      <c r="AA1974" s="120"/>
      <c r="AB1974" s="120"/>
      <c r="AC1974" s="120"/>
      <c r="AD1974" s="120"/>
      <c r="AE1974" s="120"/>
      <c r="AF1974" s="120"/>
      <c r="AG1974" s="94"/>
      <c r="AH1974" s="120"/>
      <c r="AI1974" s="94"/>
      <c r="AJ1974" s="94" t="s">
        <v>782</v>
      </c>
      <c r="AK1974" s="94" t="s">
        <v>750</v>
      </c>
      <c r="AL1974" s="94">
        <v>165</v>
      </c>
      <c r="AM1974" s="94" t="str">
        <f>TRIM(AJ1974)&amp;TRIM(AL1974)&amp;TRIM(AK1974)</f>
      </c>
      <c r="AN1974" s="116">
        <v>0</v>
      </c>
      <c r="AO1974" s="116" t="inlineStr">
        <is>
          <t>#NA</t>
        </is>
      </c>
      <c r="AP1974" s="116">
        <f>SUMIFS(M:M,AM:AM,AM1974)+SUMIFS(O:O,AM:AM,AM1974)</f>
      </c>
      <c r="AQ1974" s="116">
        <f>SUMIFS(L:L,AM:AM,AM1974)</f>
      </c>
      <c r="AR1974" s="116">
        <f>AQ1974-AP1974</f>
      </c>
      <c r="AS1974" s="94" t="str">
        <f>IF(AN1974&gt;=AQ1974,"ok","ck")</f>
      </c>
      <c r="AT1974" s="116">
        <f>-P1974</f>
      </c>
      <c r="AU1974" s="115">
        <f>IF(SUMIFS(AT:AT,AM:AM,AM1974)&gt;AO1974,(SUMIFS(AT:AT,AM:AM,AM1974)-AO1974))</f>
      </c>
      <c r="AV1974" s="116">
        <v>0</v>
      </c>
      <c r="AW1974" s="121">
        <v>1.088</v>
      </c>
      <c r="AX1974" s="115">
        <f>AN1974-AP1974</f>
      </c>
    </row>
    <row r="1975" spans="1:50" ht="15" hidden="1" customHeight="1" x14ac:dyDescent="0.3">
      <c r="A1975" s="94" t="s">
        <v>76</v>
      </c>
      <c r="B1975" s="94"/>
      <c r="C1975" s="94"/>
      <c r="D1975" s="94"/>
      <c r="E1975" s="94"/>
      <c r="F1975" s="94"/>
      <c r="G1975" s="112">
        <f>AU1975</f>
      </c>
      <c r="H1975" s="113"/>
      <c r="I1975" s="94" t="s">
        <v>393</v>
      </c>
      <c r="J1975" s="94" t="s">
        <v>422</v>
      </c>
      <c r="K1975" s="114">
        <f>P1975/3</f>
      </c>
      <c r="L1975" s="115">
        <v>590.98500000000001</v>
      </c>
      <c r="M1975" s="116">
        <v>558.11199999999997</v>
      </c>
      <c r="N1975" s="117">
        <f>M1975-L1975</f>
      </c>
      <c r="O1975" s="112"/>
      <c r="P1975" s="118">
        <f>N1975+O1975</f>
      </c>
      <c r="Q1975" s="94" t="s">
        <v>112</v>
      </c>
      <c r="R1975" s="94" t="s">
        <v>392</v>
      </c>
      <c r="S1975" s="119">
        <v>46329</v>
      </c>
      <c r="T1975" s="119"/>
      <c r="U1975" s="119">
        <v>46329</v>
      </c>
      <c r="V1975" s="94"/>
      <c r="W1975" s="94"/>
      <c r="X1975" s="94"/>
      <c r="Y1975" s="119">
        <v>46329</v>
      </c>
      <c r="Z1975" s="94"/>
      <c r="AA1975" s="120"/>
      <c r="AB1975" s="120"/>
      <c r="AC1975" s="120"/>
      <c r="AD1975" s="120"/>
      <c r="AE1975" s="120"/>
      <c r="AF1975" s="120"/>
      <c r="AG1975" s="94"/>
      <c r="AH1975" s="120"/>
      <c r="AI1975" s="94"/>
      <c r="AJ1975" s="94" t="s">
        <v>112</v>
      </c>
      <c r="AK1975" s="94" t="s">
        <v>748</v>
      </c>
      <c r="AL1975" s="94">
        <v>150</v>
      </c>
      <c r="AM1975" s="94" t="str">
        <f>TRIM(AJ1975)&amp;TRIM(AL1975)&amp;TRIM(AK1975)</f>
      </c>
      <c r="AN1975" s="116">
        <v>3079.78</v>
      </c>
      <c r="AO1975" s="116">
        <v>36.48</v>
      </c>
      <c r="AP1975" s="116">
        <f>SUMIFS(M:M,AM:AM,AM1975)+SUMIFS(O:O,AM:AM,AM1975)</f>
      </c>
      <c r="AQ1975" s="116">
        <f>SUMIFS(L:L,AM:AM,AM1975)</f>
      </c>
      <c r="AR1975" s="116">
        <f>AQ1975-AP1975</f>
      </c>
      <c r="AS1975" s="94" t="str">
        <f>IF(AN1975&gt;=AQ1975,"ok","ck")</f>
      </c>
      <c r="AT1975" s="116">
        <f>-P1975</f>
      </c>
      <c r="AU1975" s="115">
        <f>IF(SUMIFS(AT:AT,AM:AM,AM1975)&gt;AO1975,(SUMIFS(AT:AT,AM:AM,AM1975)-AO1975))</f>
      </c>
      <c r="AV1975" s="116">
        <v>0</v>
      </c>
      <c r="AW1975" s="121">
        <v>0.975</v>
      </c>
      <c r="AX1975" s="115">
        <f>AN1975-AP1975</f>
      </c>
    </row>
    <row r="1976" spans="1:50" ht="15" hidden="1" customHeight="1" x14ac:dyDescent="0.3">
      <c r="A1976" s="94" t="s">
        <v>76</v>
      </c>
      <c r="B1976" s="94"/>
      <c r="C1976" s="94"/>
      <c r="D1976" s="94"/>
      <c r="E1976" s="94"/>
      <c r="F1976" s="94"/>
      <c r="G1976" s="112">
        <f>AU1976</f>
      </c>
      <c r="H1976" s="113"/>
      <c r="I1976" s="94" t="s">
        <v>393</v>
      </c>
      <c r="J1976" s="94" t="s">
        <v>422</v>
      </c>
      <c r="K1976" s="114">
        <f>P1976/3</f>
      </c>
      <c r="L1976" s="115">
        <v>3.6070000000000002</v>
      </c>
      <c r="M1976" s="116"/>
      <c r="N1976" s="117">
        <f>M1976-L1976</f>
      </c>
      <c r="O1976" s="112"/>
      <c r="P1976" s="118">
        <f>N1976+O1976</f>
      </c>
      <c r="Q1976" s="94" t="s">
        <v>112</v>
      </c>
      <c r="R1976" s="94" t="s">
        <v>392</v>
      </c>
      <c r="S1976" s="119">
        <v>46333</v>
      </c>
      <c r="T1976" s="119"/>
      <c r="U1976" s="119">
        <v>46333</v>
      </c>
      <c r="V1976" s="94"/>
      <c r="W1976" s="94"/>
      <c r="X1976" s="94"/>
      <c r="Y1976" s="119">
        <v>46333</v>
      </c>
      <c r="Z1976" s="94"/>
      <c r="AA1976" s="120"/>
      <c r="AB1976" s="120"/>
      <c r="AC1976" s="120"/>
      <c r="AD1976" s="120"/>
      <c r="AE1976" s="120"/>
      <c r="AF1976" s="120"/>
      <c r="AG1976" s="94"/>
      <c r="AH1976" s="120"/>
      <c r="AI1976" s="94"/>
      <c r="AJ1976" s="94" t="s">
        <v>112</v>
      </c>
      <c r="AK1976" s="94" t="s">
        <v>748</v>
      </c>
      <c r="AL1976" s="94">
        <v>150</v>
      </c>
      <c r="AM1976" s="94" t="str">
        <f>TRIM(AJ1976)&amp;TRIM(AL1976)&amp;TRIM(AK1976)</f>
      </c>
      <c r="AN1976" s="116">
        <v>3079.78</v>
      </c>
      <c r="AO1976" s="116">
        <v>36.48</v>
      </c>
      <c r="AP1976" s="116">
        <f>SUMIFS(M:M,AM:AM,AM1976)+SUMIFS(O:O,AM:AM,AM1976)</f>
      </c>
      <c r="AQ1976" s="116">
        <f>SUMIFS(L:L,AM:AM,AM1976)</f>
      </c>
      <c r="AR1976" s="116">
        <f>AQ1976-AP1976</f>
      </c>
      <c r="AS1976" s="94" t="str">
        <f>IF(AN1976&gt;=AQ1976,"ok","ck")</f>
      </c>
      <c r="AT1976" s="116">
        <f>-P1976</f>
      </c>
      <c r="AU1976" s="115">
        <f>IF(SUMIFS(AT:AT,AM:AM,AM1976)&gt;AO1976,(SUMIFS(AT:AT,AM:AM,AM1976)-AO1976))</f>
      </c>
      <c r="AV1976" s="116">
        <v>0</v>
      </c>
      <c r="AW1976" s="121">
        <v>0.975</v>
      </c>
      <c r="AX1976" s="115">
        <f>AN1976-AP1976</f>
      </c>
    </row>
    <row r="1977" spans="1:50" ht="15" hidden="1" customHeight="1" x14ac:dyDescent="0.3">
      <c r="A1977" s="94" t="s">
        <v>151</v>
      </c>
      <c r="B1977" s="94"/>
      <c r="C1977" s="94"/>
      <c r="D1977" s="94"/>
      <c r="E1977" s="94"/>
      <c r="F1977" s="94"/>
      <c r="G1977" s="112">
        <f>AU1977</f>
      </c>
      <c r="H1977" s="113"/>
      <c r="I1977" s="94" t="s">
        <v>442</v>
      </c>
      <c r="J1977" s="94" t="s">
        <v>444</v>
      </c>
      <c r="K1977" s="114">
        <f>P1977/3</f>
      </c>
      <c r="L1977" s="115">
        <v>0</v>
      </c>
      <c r="M1977" s="116"/>
      <c r="N1977" s="117">
        <f>M1977-L1977</f>
      </c>
      <c r="O1977" s="112"/>
      <c r="P1977" s="118">
        <f>N1977+O1977</f>
      </c>
      <c r="Q1977" s="94" t="s">
        <v>197</v>
      </c>
      <c r="R1977" s="94" t="s">
        <v>392</v>
      </c>
      <c r="S1977" s="119">
        <v>46320</v>
      </c>
      <c r="T1977" s="119"/>
      <c r="U1977" s="119">
        <v>46320</v>
      </c>
      <c r="V1977" s="94"/>
      <c r="W1977" s="94"/>
      <c r="X1977" s="94"/>
      <c r="Y1977" s="119">
        <v>46320</v>
      </c>
      <c r="Z1977" s="94"/>
      <c r="AA1977" s="120"/>
      <c r="AB1977" s="120"/>
      <c r="AC1977" s="120"/>
      <c r="AD1977" s="120"/>
      <c r="AE1977" s="120"/>
      <c r="AF1977" s="120"/>
      <c r="AG1977" s="94"/>
      <c r="AH1977" s="120"/>
      <c r="AI1977" s="94"/>
      <c r="AJ1977" s="94" t="s">
        <v>197</v>
      </c>
      <c r="AK1977" s="94" t="s">
        <v>751</v>
      </c>
      <c r="AL1977" s="94">
        <v>160</v>
      </c>
      <c r="AM1977" s="94" t="str">
        <f>TRIM(AJ1977)&amp;TRIM(AL1977)&amp;TRIM(AK1977)</f>
      </c>
      <c r="AN1977" s="116">
        <v>0</v>
      </c>
      <c r="AO1977" s="116" t="inlineStr">
        <is>
          <t>#NA</t>
        </is>
      </c>
      <c r="AP1977" s="116">
        <f>SUMIFS(M:M,AM:AM,AM1977)+SUMIFS(O:O,AM:AM,AM1977)</f>
      </c>
      <c r="AQ1977" s="116">
        <f>SUMIFS(L:L,AM:AM,AM1977)</f>
      </c>
      <c r="AR1977" s="116">
        <f>AQ1977-AP1977</f>
      </c>
      <c r="AS1977" s="94" t="str">
        <f>IF(AN1977&gt;=AQ1977,"ok","ck")</f>
      </c>
      <c r="AT1977" s="116">
        <f>-P1977</f>
      </c>
      <c r="AU1977" s="115">
        <f>IF(SUMIFS(AT:AT,AM:AM,AM1977)&gt;AO1977,(SUMIFS(AT:AT,AM:AM,AM1977)-AO1977))</f>
      </c>
      <c r="AV1977" s="116">
        <v>0</v>
      </c>
      <c r="AW1977" s="121">
        <v>0.895</v>
      </c>
      <c r="AX1977" s="115">
        <f>AN1977-AP1977</f>
      </c>
    </row>
    <row r="1978" spans="1:50" ht="15" hidden="1" customHeight="1" x14ac:dyDescent="0.3">
      <c r="A1978" s="94" t="s">
        <v>151</v>
      </c>
      <c r="B1978" s="94"/>
      <c r="C1978" s="94"/>
      <c r="D1978" s="94"/>
      <c r="E1978" s="94"/>
      <c r="F1978" s="94"/>
      <c r="G1978" s="112">
        <f>AU1978</f>
      </c>
      <c r="H1978" s="113"/>
      <c r="I1978" s="94" t="s">
        <v>442</v>
      </c>
      <c r="J1978" s="94" t="s">
        <v>444</v>
      </c>
      <c r="K1978" s="114">
        <f>P1978/3</f>
      </c>
      <c r="L1978" s="115">
        <v>394.50599999999997</v>
      </c>
      <c r="M1978" s="116"/>
      <c r="N1978" s="117">
        <f>M1978-L1978</f>
      </c>
      <c r="O1978" s="112"/>
      <c r="P1978" s="118">
        <f>N1978+O1978</f>
      </c>
      <c r="Q1978" s="94" t="s">
        <v>197</v>
      </c>
      <c r="R1978" s="94" t="s">
        <v>392</v>
      </c>
      <c r="S1978" s="119">
        <v>46320</v>
      </c>
      <c r="T1978" s="119"/>
      <c r="U1978" s="119">
        <v>46320</v>
      </c>
      <c r="V1978" s="94"/>
      <c r="W1978" s="94"/>
      <c r="X1978" s="94"/>
      <c r="Y1978" s="119">
        <v>46320</v>
      </c>
      <c r="Z1978" s="94"/>
      <c r="AA1978" s="120"/>
      <c r="AB1978" s="120"/>
      <c r="AC1978" s="120"/>
      <c r="AD1978" s="120"/>
      <c r="AE1978" s="120"/>
      <c r="AF1978" s="120"/>
      <c r="AG1978" s="94"/>
      <c r="AH1978" s="120"/>
      <c r="AI1978" s="94"/>
      <c r="AJ1978" s="94" t="s">
        <v>197</v>
      </c>
      <c r="AK1978" s="94" t="s">
        <v>751</v>
      </c>
      <c r="AL1978" s="94">
        <v>160</v>
      </c>
      <c r="AM1978" s="94" t="str">
        <f>TRIM(AJ1978)&amp;TRIM(AL1978)&amp;TRIM(AK1978)</f>
      </c>
      <c r="AN1978" s="116">
        <v>0</v>
      </c>
      <c r="AO1978" s="116" t="inlineStr">
        <is>
          <t>#NA</t>
        </is>
      </c>
      <c r="AP1978" s="116">
        <f>SUMIFS(M:M,AM:AM,AM1978)+SUMIFS(O:O,AM:AM,AM1978)</f>
      </c>
      <c r="AQ1978" s="116">
        <f>SUMIFS(L:L,AM:AM,AM1978)</f>
      </c>
      <c r="AR1978" s="116">
        <f>AQ1978-AP1978</f>
      </c>
      <c r="AS1978" s="94" t="str">
        <f>IF(AN1978&gt;=AQ1978,"ok","ck")</f>
      </c>
      <c r="AT1978" s="116">
        <f>-P1978</f>
      </c>
      <c r="AU1978" s="115">
        <f>IF(SUMIFS(AT:AT,AM:AM,AM1978)&gt;AO1978,(SUMIFS(AT:AT,AM:AM,AM1978)-AO1978))</f>
      </c>
      <c r="AV1978" s="116">
        <v>0</v>
      </c>
      <c r="AW1978" s="121">
        <v>0.895</v>
      </c>
      <c r="AX1978" s="115">
        <f>AN1978-AP1978</f>
      </c>
    </row>
    <row r="1979" spans="1:50" ht="15" hidden="1" customHeight="1" x14ac:dyDescent="0.3">
      <c r="A1979" s="94" t="s">
        <v>151</v>
      </c>
      <c r="B1979" s="94"/>
      <c r="C1979" s="94"/>
      <c r="D1979" s="94"/>
      <c r="E1979" s="94"/>
      <c r="F1979" s="94"/>
      <c r="G1979" s="112">
        <f>AU1979</f>
      </c>
      <c r="H1979" s="113"/>
      <c r="I1979" s="94" t="s">
        <v>442</v>
      </c>
      <c r="J1979" s="94" t="s">
        <v>444</v>
      </c>
      <c r="K1979" s="114">
        <f>P1979/3</f>
      </c>
      <c r="L1979" s="115">
        <v>394.50599999999997</v>
      </c>
      <c r="M1979" s="116"/>
      <c r="N1979" s="117">
        <f>M1979-L1979</f>
      </c>
      <c r="O1979" s="112"/>
      <c r="P1979" s="118">
        <f>N1979+O1979</f>
      </c>
      <c r="Q1979" s="94" t="s">
        <v>197</v>
      </c>
      <c r="R1979" s="94" t="s">
        <v>392</v>
      </c>
      <c r="S1979" s="119">
        <v>46334</v>
      </c>
      <c r="T1979" s="119"/>
      <c r="U1979" s="119">
        <v>46334</v>
      </c>
      <c r="V1979" s="94"/>
      <c r="W1979" s="94"/>
      <c r="X1979" s="94"/>
      <c r="Y1979" s="119">
        <v>46334</v>
      </c>
      <c r="Z1979" s="94"/>
      <c r="AA1979" s="120"/>
      <c r="AB1979" s="120"/>
      <c r="AC1979" s="120"/>
      <c r="AD1979" s="120"/>
      <c r="AE1979" s="120"/>
      <c r="AF1979" s="120"/>
      <c r="AG1979" s="94"/>
      <c r="AH1979" s="120"/>
      <c r="AI1979" s="94"/>
      <c r="AJ1979" s="94" t="s">
        <v>197</v>
      </c>
      <c r="AK1979" s="94" t="s">
        <v>751</v>
      </c>
      <c r="AL1979" s="94">
        <v>160</v>
      </c>
      <c r="AM1979" s="94" t="str">
        <f>TRIM(AJ1979)&amp;TRIM(AL1979)&amp;TRIM(AK1979)</f>
      </c>
      <c r="AN1979" s="116">
        <v>0</v>
      </c>
      <c r="AO1979" s="116" t="inlineStr">
        <is>
          <t>#NA</t>
        </is>
      </c>
      <c r="AP1979" s="116">
        <f>SUMIFS(M:M,AM:AM,AM1979)+SUMIFS(O:O,AM:AM,AM1979)</f>
      </c>
      <c r="AQ1979" s="116">
        <f>SUMIFS(L:L,AM:AM,AM1979)</f>
      </c>
      <c r="AR1979" s="116">
        <f>AQ1979-AP1979</f>
      </c>
      <c r="AS1979" s="94" t="str">
        <f>IF(AN1979&gt;=AQ1979,"ok","ck")</f>
      </c>
      <c r="AT1979" s="116">
        <f>-P1979</f>
      </c>
      <c r="AU1979" s="115">
        <f>IF(SUMIFS(AT:AT,AM:AM,AM1979)&gt;AO1979,(SUMIFS(AT:AT,AM:AM,AM1979)-AO1979))</f>
      </c>
      <c r="AV1979" s="116">
        <v>0</v>
      </c>
      <c r="AW1979" s="121">
        <v>0.895</v>
      </c>
      <c r="AX1979" s="115">
        <f>AN1979-AP1979</f>
      </c>
    </row>
    <row r="1980" spans="1:50" ht="15" hidden="1" customHeight="1" x14ac:dyDescent="0.3">
      <c r="A1980" s="94" t="s">
        <v>151</v>
      </c>
      <c r="B1980" s="94"/>
      <c r="C1980" s="94"/>
      <c r="D1980" s="94"/>
      <c r="E1980" s="94"/>
      <c r="F1980" s="94"/>
      <c r="G1980" s="112">
        <f>AU1980</f>
      </c>
      <c r="H1980" s="113"/>
      <c r="I1980" s="94" t="s">
        <v>442</v>
      </c>
      <c r="J1980" s="94" t="s">
        <v>444</v>
      </c>
      <c r="K1980" s="114">
        <f>P1980/3</f>
      </c>
      <c r="L1980" s="115">
        <v>420.72899999999998</v>
      </c>
      <c r="M1980" s="116"/>
      <c r="N1980" s="117">
        <f>M1980-L1980</f>
      </c>
      <c r="O1980" s="112"/>
      <c r="P1980" s="118">
        <f>N1980+O1980</f>
      </c>
      <c r="Q1980" s="94" t="s">
        <v>197</v>
      </c>
      <c r="R1980" s="94" t="s">
        <v>392</v>
      </c>
      <c r="S1980" s="119">
        <v>46337</v>
      </c>
      <c r="T1980" s="119"/>
      <c r="U1980" s="119">
        <v>46337</v>
      </c>
      <c r="V1980" s="94"/>
      <c r="W1980" s="94"/>
      <c r="X1980" s="94"/>
      <c r="Y1980" s="119">
        <v>46337</v>
      </c>
      <c r="Z1980" s="94"/>
      <c r="AA1980" s="120"/>
      <c r="AB1980" s="120"/>
      <c r="AC1980" s="120"/>
      <c r="AD1980" s="120"/>
      <c r="AE1980" s="120"/>
      <c r="AF1980" s="120"/>
      <c r="AG1980" s="94"/>
      <c r="AH1980" s="120"/>
      <c r="AI1980" s="94"/>
      <c r="AJ1980" s="94" t="s">
        <v>197</v>
      </c>
      <c r="AK1980" s="94" t="s">
        <v>751</v>
      </c>
      <c r="AL1980" s="94">
        <v>160</v>
      </c>
      <c r="AM1980" s="94" t="str">
        <f>TRIM(AJ1980)&amp;TRIM(AL1980)&amp;TRIM(AK1980)</f>
      </c>
      <c r="AN1980" s="116">
        <v>0</v>
      </c>
      <c r="AO1980" s="116" t="inlineStr">
        <is>
          <t>#NA</t>
        </is>
      </c>
      <c r="AP1980" s="116">
        <f>SUMIFS(M:M,AM:AM,AM1980)+SUMIFS(O:O,AM:AM,AM1980)</f>
      </c>
      <c r="AQ1980" s="116">
        <f>SUMIFS(L:L,AM:AM,AM1980)</f>
      </c>
      <c r="AR1980" s="116">
        <f>AQ1980-AP1980</f>
      </c>
      <c r="AS1980" s="94" t="str">
        <f>IF(AN1980&gt;=AQ1980,"ok","ck")</f>
      </c>
      <c r="AT1980" s="116">
        <f>-P1980</f>
      </c>
      <c r="AU1980" s="115">
        <f>IF(SUMIFS(AT:AT,AM:AM,AM1980)&gt;AO1980,(SUMIFS(AT:AT,AM:AM,AM1980)-AO1980))</f>
      </c>
      <c r="AV1980" s="116">
        <v>0</v>
      </c>
      <c r="AW1980" s="121">
        <v>0.895</v>
      </c>
      <c r="AX1980" s="115">
        <f>AN1980-AP1980</f>
      </c>
    </row>
    <row r="1981" spans="1:50" ht="15" hidden="1" customHeight="1" x14ac:dyDescent="0.3">
      <c r="A1981" s="94" t="s">
        <v>151</v>
      </c>
      <c r="B1981" s="94"/>
      <c r="C1981" s="94"/>
      <c r="D1981" s="94"/>
      <c r="E1981" s="94"/>
      <c r="F1981" s="94"/>
      <c r="G1981" s="112">
        <f>AU1981</f>
      </c>
      <c r="H1981" s="113"/>
      <c r="I1981" s="94" t="s">
        <v>442</v>
      </c>
      <c r="J1981" s="94" t="s">
        <v>444</v>
      </c>
      <c r="K1981" s="114">
        <f>P1981/3</f>
      </c>
      <c r="L1981" s="115">
        <v>3.4049999999999998</v>
      </c>
      <c r="M1981" s="116"/>
      <c r="N1981" s="117">
        <f>M1981-L1981</f>
      </c>
      <c r="O1981" s="112"/>
      <c r="P1981" s="118">
        <f>N1981+O1981</f>
      </c>
      <c r="Q1981" s="94" t="s">
        <v>197</v>
      </c>
      <c r="R1981" s="94" t="s">
        <v>392</v>
      </c>
      <c r="S1981" s="119">
        <v>46320</v>
      </c>
      <c r="T1981" s="119"/>
      <c r="U1981" s="119">
        <v>46320</v>
      </c>
      <c r="V1981" s="94"/>
      <c r="W1981" s="94"/>
      <c r="X1981" s="94"/>
      <c r="Y1981" s="119">
        <v>46320</v>
      </c>
      <c r="Z1981" s="94"/>
      <c r="AA1981" s="120"/>
      <c r="AB1981" s="120"/>
      <c r="AC1981" s="120"/>
      <c r="AD1981" s="120"/>
      <c r="AE1981" s="120"/>
      <c r="AF1981" s="120"/>
      <c r="AG1981" s="94"/>
      <c r="AH1981" s="120"/>
      <c r="AI1981" s="94"/>
      <c r="AJ1981" s="94" t="s">
        <v>197</v>
      </c>
      <c r="AK1981" s="94" t="s">
        <v>751</v>
      </c>
      <c r="AL1981" s="94">
        <v>160</v>
      </c>
      <c r="AM1981" s="94" t="str">
        <f>TRIM(AJ1981)&amp;TRIM(AL1981)&amp;TRIM(AK1981)</f>
      </c>
      <c r="AN1981" s="116">
        <v>0</v>
      </c>
      <c r="AO1981" s="116" t="inlineStr">
        <is>
          <t>#NA</t>
        </is>
      </c>
      <c r="AP1981" s="116">
        <f>SUMIFS(M:M,AM:AM,AM1981)+SUMIFS(O:O,AM:AM,AM1981)</f>
      </c>
      <c r="AQ1981" s="116">
        <f>SUMIFS(L:L,AM:AM,AM1981)</f>
      </c>
      <c r="AR1981" s="116">
        <f>AQ1981-AP1981</f>
      </c>
      <c r="AS1981" s="94" t="str">
        <f>IF(AN1981&gt;=AQ1981,"ok","ck")</f>
      </c>
      <c r="AT1981" s="116">
        <f>-P1981</f>
      </c>
      <c r="AU1981" s="115">
        <f>IF(SUMIFS(AT:AT,AM:AM,AM1981)&gt;AO1981,(SUMIFS(AT:AT,AM:AM,AM1981)-AO1981))</f>
      </c>
      <c r="AV1981" s="116">
        <v>0</v>
      </c>
      <c r="AW1981" s="121">
        <v>0.895</v>
      </c>
      <c r="AX1981" s="115">
        <f>AN1981-AP1981</f>
      </c>
    </row>
    <row r="1982" spans="1:50" ht="15" hidden="1" customHeight="1" x14ac:dyDescent="0.3">
      <c r="A1982" s="94" t="s">
        <v>76</v>
      </c>
      <c r="B1982" s="94"/>
      <c r="C1982" s="94"/>
      <c r="D1982" s="94"/>
      <c r="E1982" s="94"/>
      <c r="F1982" s="94"/>
      <c r="G1982" s="112">
        <f>AU1982</f>
      </c>
      <c r="H1982" s="113"/>
      <c r="I1982" s="94" t="s">
        <v>393</v>
      </c>
      <c r="J1982" s="94" t="s">
        <v>424</v>
      </c>
      <c r="K1982" s="114">
        <f>P1982/3</f>
      </c>
      <c r="L1982" s="115">
        <v>1082.5989999999999</v>
      </c>
      <c r="M1982" s="116"/>
      <c r="N1982" s="117">
        <f>M1982-L1982</f>
      </c>
      <c r="O1982" s="112"/>
      <c r="P1982" s="118">
        <f>N1982+O1982</f>
      </c>
      <c r="Q1982" s="94" t="s">
        <v>395</v>
      </c>
      <c r="R1982" s="94" t="s">
        <v>392</v>
      </c>
      <c r="S1982" s="119">
        <v>46331</v>
      </c>
      <c r="T1982" s="119"/>
      <c r="U1982" s="119">
        <v>46331</v>
      </c>
      <c r="V1982" s="94"/>
      <c r="W1982" s="94"/>
      <c r="X1982" s="94"/>
      <c r="Y1982" s="119">
        <v>46326</v>
      </c>
      <c r="Z1982" s="94"/>
      <c r="AA1982" s="120"/>
      <c r="AB1982" s="120"/>
      <c r="AC1982" s="120"/>
      <c r="AD1982" s="120"/>
      <c r="AE1982" s="120"/>
      <c r="AF1982" s="120"/>
      <c r="AG1982" s="94"/>
      <c r="AH1982" s="120"/>
      <c r="AI1982" s="94"/>
      <c r="AJ1982" s="94" t="s">
        <v>395</v>
      </c>
      <c r="AK1982" s="94" t="s">
        <v>748</v>
      </c>
      <c r="AL1982" s="94">
        <v>150</v>
      </c>
      <c r="AM1982" s="94" t="str">
        <f>TRIM(AJ1982)&amp;TRIM(AL1982)&amp;TRIM(AK1982)</f>
      </c>
      <c r="AN1982" s="116">
        <v>0</v>
      </c>
      <c r="AO1982" s="116" t="inlineStr">
        <is>
          <t>#NA</t>
        </is>
      </c>
      <c r="AP1982" s="116">
        <f>SUMIFS(M:M,AM:AM,AM1982)+SUMIFS(O:O,AM:AM,AM1982)</f>
      </c>
      <c r="AQ1982" s="116">
        <f>SUMIFS(L:L,AM:AM,AM1982)</f>
      </c>
      <c r="AR1982" s="116">
        <f>AQ1982-AP1982</f>
      </c>
      <c r="AS1982" s="94" t="str">
        <f>IF(AN1982&gt;=AQ1982,"ok","ck")</f>
      </c>
      <c r="AT1982" s="116">
        <f>-P1982</f>
      </c>
      <c r="AU1982" s="115">
        <f>IF(SUMIFS(AT:AT,AM:AM,AM1982)&gt;AO1982,(SUMIFS(AT:AT,AM:AM,AM1982)-AO1982))</f>
      </c>
      <c r="AV1982" s="116">
        <v>0</v>
      </c>
      <c r="AW1982" s="121">
        <v>0.914</v>
      </c>
      <c r="AX1982" s="115">
        <f>AN1982-AP1982</f>
      </c>
    </row>
    <row r="1983" spans="1:50" ht="15" hidden="1" customHeight="1" x14ac:dyDescent="0.3">
      <c r="A1983" s="94" t="s">
        <v>268</v>
      </c>
      <c r="B1983" s="94"/>
      <c r="C1983" s="94"/>
      <c r="D1983" s="94"/>
      <c r="E1983" s="94"/>
      <c r="F1983" s="94"/>
      <c r="G1983" s="112">
        <f>AU1983</f>
      </c>
      <c r="H1983" s="113"/>
      <c r="I1983" s="94" t="s">
        <v>390</v>
      </c>
      <c r="J1983" s="94" t="s">
        <v>399</v>
      </c>
      <c r="K1983" s="114">
        <f>P1983/3</f>
      </c>
      <c r="L1983" s="115">
        <v>82.923000000000002</v>
      </c>
      <c r="M1983" s="116"/>
      <c r="N1983" s="117">
        <f>M1983-L1983</f>
      </c>
      <c r="O1983" s="112"/>
      <c r="P1983" s="118">
        <f>N1983+O1983</f>
      </c>
      <c r="Q1983" s="94" t="s">
        <v>344</v>
      </c>
      <c r="R1983" s="94" t="s">
        <v>392</v>
      </c>
      <c r="S1983" s="119">
        <v>46323</v>
      </c>
      <c r="T1983" s="119"/>
      <c r="U1983" s="119">
        <v>46323</v>
      </c>
      <c r="V1983" s="94"/>
      <c r="W1983" s="94"/>
      <c r="X1983" s="94"/>
      <c r="Y1983" s="119">
        <v>46320</v>
      </c>
      <c r="Z1983" s="94"/>
      <c r="AA1983" s="120"/>
      <c r="AB1983" s="120"/>
      <c r="AC1983" s="120"/>
      <c r="AD1983" s="120"/>
      <c r="AE1983" s="120"/>
      <c r="AF1983" s="120"/>
      <c r="AG1983" s="94"/>
      <c r="AH1983" s="120"/>
      <c r="AI1983" s="94"/>
      <c r="AJ1983" s="94" t="s">
        <v>344</v>
      </c>
      <c r="AK1983" s="94" t="s">
        <v>389</v>
      </c>
      <c r="AL1983" s="94">
        <v>140</v>
      </c>
      <c r="AM1983" s="94" t="str">
        <f>TRIM(AJ1983)&amp;TRIM(AL1983)&amp;TRIM(AK1983)</f>
      </c>
      <c r="AN1983" s="116">
        <v>0</v>
      </c>
      <c r="AO1983" s="116" t="inlineStr">
        <is>
          <t>#NA</t>
        </is>
      </c>
      <c r="AP1983" s="116">
        <f>SUMIFS(M:M,AM:AM,AM1983)+SUMIFS(O:O,AM:AM,AM1983)</f>
      </c>
      <c r="AQ1983" s="116">
        <f>SUMIFS(L:L,AM:AM,AM1983)</f>
      </c>
      <c r="AR1983" s="116">
        <f>AQ1983-AP1983</f>
      </c>
      <c r="AS1983" s="94" t="str">
        <f>IF(AN1983&gt;=AQ1983,"ok","ck")</f>
      </c>
      <c r="AT1983" s="116">
        <f>-P1983</f>
      </c>
      <c r="AU1983" s="115">
        <f>IF(SUMIFS(AT:AT,AM:AM,AM1983)&gt;AO1983,(SUMIFS(AT:AT,AM:AM,AM1983)-AO1983))</f>
      </c>
      <c r="AV1983" s="116">
        <v>0</v>
      </c>
      <c r="AW1983" s="121">
        <v>0.99</v>
      </c>
      <c r="AX1983" s="115">
        <f>AN1983-AP1983</f>
      </c>
    </row>
    <row r="1984" spans="1:50" ht="15" hidden="1" customHeight="1" x14ac:dyDescent="0.3">
      <c r="A1984" s="94" t="s">
        <v>268</v>
      </c>
      <c r="B1984" s="94"/>
      <c r="C1984" s="94"/>
      <c r="D1984" s="94"/>
      <c r="E1984" s="94"/>
      <c r="F1984" s="94"/>
      <c r="G1984" s="112">
        <f>AU1984</f>
      </c>
      <c r="H1984" s="113"/>
      <c r="I1984" s="94" t="s">
        <v>390</v>
      </c>
      <c r="J1984" s="94" t="s">
        <v>585</v>
      </c>
      <c r="K1984" s="114">
        <f>P1984/3</f>
      </c>
      <c r="L1984" s="115">
        <v>-8.8059999999999992</v>
      </c>
      <c r="M1984" s="116"/>
      <c r="N1984" s="117">
        <f>M1984-L1984</f>
      </c>
      <c r="O1984" s="112"/>
      <c r="P1984" s="118">
        <f>N1984+O1984</f>
      </c>
      <c r="Q1984" s="94" t="s">
        <v>287</v>
      </c>
      <c r="R1984" s="94" t="s">
        <v>392</v>
      </c>
      <c r="S1984" s="119">
        <v>46334</v>
      </c>
      <c r="T1984" s="119"/>
      <c r="U1984" s="119">
        <v>46334</v>
      </c>
      <c r="V1984" s="94"/>
      <c r="W1984" s="94"/>
      <c r="X1984" s="94"/>
      <c r="Y1984" s="119">
        <v>46334</v>
      </c>
      <c r="Z1984" s="94"/>
      <c r="AA1984" s="120"/>
      <c r="AB1984" s="120"/>
      <c r="AC1984" s="120"/>
      <c r="AD1984" s="120"/>
      <c r="AE1984" s="120"/>
      <c r="AF1984" s="120"/>
      <c r="AG1984" s="94"/>
      <c r="AH1984" s="120"/>
      <c r="AI1984" s="94"/>
      <c r="AJ1984" s="94" t="s">
        <v>287</v>
      </c>
      <c r="AK1984" s="94" t="s">
        <v>389</v>
      </c>
      <c r="AL1984" s="94">
        <v>140</v>
      </c>
      <c r="AM1984" s="94" t="str">
        <f>TRIM(AJ1984)&amp;TRIM(AL1984)&amp;TRIM(AK1984)</f>
      </c>
      <c r="AN1984" s="116">
        <v>0</v>
      </c>
      <c r="AO1984" s="116" t="inlineStr">
        <is>
          <t>#NA</t>
        </is>
      </c>
      <c r="AP1984" s="116">
        <f>SUMIFS(M:M,AM:AM,AM1984)+SUMIFS(O:O,AM:AM,AM1984)</f>
      </c>
      <c r="AQ1984" s="116">
        <f>SUMIFS(L:L,AM:AM,AM1984)</f>
      </c>
      <c r="AR1984" s="116">
        <f>AQ1984-AP1984</f>
      </c>
      <c r="AS1984" s="94" t="str">
        <f>IF(AN1984&gt;=AQ1984,"ok","ck")</f>
      </c>
      <c r="AT1984" s="116">
        <f>-P1984</f>
      </c>
      <c r="AU1984" s="115">
        <f>IF(SUMIFS(AT:AT,AM:AM,AM1984)&gt;AO1984,(SUMIFS(AT:AT,AM:AM,AM1984)-AO1984))</f>
      </c>
      <c r="AV1984" s="116">
        <v>0</v>
      </c>
      <c r="AW1984" s="121">
        <v>1.001</v>
      </c>
      <c r="AX1984" s="115">
        <f>AN1984-AP1984</f>
      </c>
    </row>
    <row r="1985" spans="1:50" ht="15" hidden="1" customHeight="1" x14ac:dyDescent="0.3">
      <c r="A1985" s="94" t="s">
        <v>268</v>
      </c>
      <c r="B1985" s="94"/>
      <c r="C1985" s="94"/>
      <c r="D1985" s="94"/>
      <c r="E1985" s="94"/>
      <c r="F1985" s="94"/>
      <c r="G1985" s="112">
        <f>AU1985</f>
      </c>
      <c r="H1985" s="113"/>
      <c r="I1985" s="94" t="s">
        <v>390</v>
      </c>
      <c r="J1985" s="94" t="s">
        <v>585</v>
      </c>
      <c r="K1985" s="114">
        <f>P1985/3</f>
      </c>
      <c r="L1985" s="115">
        <v>-2.9000000000000001E-2</v>
      </c>
      <c r="M1985" s="116"/>
      <c r="N1985" s="117">
        <f>M1985-L1985</f>
      </c>
      <c r="O1985" s="112"/>
      <c r="P1985" s="118">
        <f>N1985+O1985</f>
      </c>
      <c r="Q1985" s="94" t="s">
        <v>287</v>
      </c>
      <c r="R1985" s="94" t="s">
        <v>392</v>
      </c>
      <c r="S1985" s="119">
        <v>46334</v>
      </c>
      <c r="T1985" s="119"/>
      <c r="U1985" s="119">
        <v>46334</v>
      </c>
      <c r="V1985" s="94"/>
      <c r="W1985" s="94"/>
      <c r="X1985" s="94"/>
      <c r="Y1985" s="119">
        <v>46334</v>
      </c>
      <c r="Z1985" s="94"/>
      <c r="AA1985" s="120"/>
      <c r="AB1985" s="120"/>
      <c r="AC1985" s="120"/>
      <c r="AD1985" s="120"/>
      <c r="AE1985" s="120"/>
      <c r="AF1985" s="120"/>
      <c r="AG1985" s="94"/>
      <c r="AH1985" s="120"/>
      <c r="AI1985" s="94"/>
      <c r="AJ1985" s="94" t="s">
        <v>287</v>
      </c>
      <c r="AK1985" s="94" t="s">
        <v>389</v>
      </c>
      <c r="AL1985" s="94">
        <v>140</v>
      </c>
      <c r="AM1985" s="94" t="str">
        <f>TRIM(AJ1985)&amp;TRIM(AL1985)&amp;TRIM(AK1985)</f>
      </c>
      <c r="AN1985" s="116">
        <v>0</v>
      </c>
      <c r="AO1985" s="116" t="inlineStr">
        <is>
          <t>#NA</t>
        </is>
      </c>
      <c r="AP1985" s="116">
        <f>SUMIFS(M:M,AM:AM,AM1985)+SUMIFS(O:O,AM:AM,AM1985)</f>
      </c>
      <c r="AQ1985" s="116">
        <f>SUMIFS(L:L,AM:AM,AM1985)</f>
      </c>
      <c r="AR1985" s="116">
        <f>AQ1985-AP1985</f>
      </c>
      <c r="AS1985" s="94" t="str">
        <f>IF(AN1985&gt;=AQ1985,"ok","ck")</f>
      </c>
      <c r="AT1985" s="116">
        <f>-P1985</f>
      </c>
      <c r="AU1985" s="115">
        <f>IF(SUMIFS(AT:AT,AM:AM,AM1985)&gt;AO1985,(SUMIFS(AT:AT,AM:AM,AM1985)-AO1985))</f>
      </c>
      <c r="AV1985" s="116">
        <v>0</v>
      </c>
      <c r="AW1985" s="121">
        <v>1.001</v>
      </c>
      <c r="AX1985" s="115">
        <f>AN1985-AP1985</f>
      </c>
    </row>
    <row r="1986" spans="1:50" ht="15" hidden="1" customHeight="1" x14ac:dyDescent="0.3">
      <c r="A1986" s="94" t="s">
        <v>60</v>
      </c>
      <c r="B1986" s="94"/>
      <c r="C1986" s="94"/>
      <c r="D1986" s="94"/>
      <c r="E1986" s="94"/>
      <c r="F1986" s="94"/>
      <c r="G1986" s="112">
        <f>AU1986</f>
      </c>
      <c r="H1986" s="113"/>
      <c r="I1986" s="94" t="s">
        <v>490</v>
      </c>
      <c r="J1986" s="94" t="s">
        <v>586</v>
      </c>
      <c r="K1986" s="114">
        <f>P1986/3</f>
      </c>
      <c r="L1986" s="115">
        <v>-6.7590000000000003</v>
      </c>
      <c r="M1986" s="116"/>
      <c r="N1986" s="117">
        <f>M1986-L1986</f>
      </c>
      <c r="O1986" s="112"/>
      <c r="P1986" s="118">
        <f>N1986+O1986</f>
      </c>
      <c r="Q1986" s="94" t="s">
        <v>62</v>
      </c>
      <c r="R1986" s="94" t="s">
        <v>392</v>
      </c>
      <c r="S1986" s="119">
        <v>46320</v>
      </c>
      <c r="T1986" s="119"/>
      <c r="U1986" s="119">
        <v>46320</v>
      </c>
      <c r="V1986" s="94"/>
      <c r="W1986" s="94"/>
      <c r="X1986" s="94"/>
      <c r="Y1986" s="119">
        <v>46320</v>
      </c>
      <c r="Z1986" s="94"/>
      <c r="AA1986" s="120"/>
      <c r="AB1986" s="120"/>
      <c r="AC1986" s="120"/>
      <c r="AD1986" s="120"/>
      <c r="AE1986" s="120"/>
      <c r="AF1986" s="120"/>
      <c r="AG1986" s="94"/>
      <c r="AH1986" s="120"/>
      <c r="AI1986" s="94"/>
      <c r="AJ1986" s="94" t="s">
        <v>64</v>
      </c>
      <c r="AK1986" s="94" t="s">
        <v>752</v>
      </c>
      <c r="AL1986" s="94">
        <v>140</v>
      </c>
      <c r="AM1986" s="94" t="str">
        <f>TRIM(AJ1986)&amp;TRIM(AL1986)&amp;TRIM(AK1986)</f>
      </c>
      <c r="AN1986" s="116">
        <v>0</v>
      </c>
      <c r="AO1986" s="116" t="inlineStr">
        <is>
          <t>#NA</t>
        </is>
      </c>
      <c r="AP1986" s="116">
        <f>SUMIFS(M:M,AM:AM,AM1986)+SUMIFS(O:O,AM:AM,AM1986)</f>
      </c>
      <c r="AQ1986" s="116">
        <f>SUMIFS(L:L,AM:AM,AM1986)</f>
      </c>
      <c r="AR1986" s="116">
        <f>AQ1986-AP1986</f>
      </c>
      <c r="AS1986" s="94" t="str">
        <f>IF(AN1986&gt;=AQ1986,"ok","ck")</f>
      </c>
      <c r="AT1986" s="116">
        <f>-P1986</f>
      </c>
      <c r="AU1986" s="115">
        <f>IF(SUMIFS(AT:AT,AM:AM,AM1986)&gt;AO1986,(SUMIFS(AT:AT,AM:AM,AM1986)-AO1986))</f>
      </c>
      <c r="AV1986" s="116">
        <v>0</v>
      </c>
      <c r="AW1986" s="121">
        <v>0.995</v>
      </c>
      <c r="AX1986" s="115">
        <f>AN1986-AP1986</f>
      </c>
    </row>
    <row r="1987" spans="1:50" ht="15" hidden="1" customHeight="1" x14ac:dyDescent="0.3">
      <c r="A1987" s="94" t="s">
        <v>311</v>
      </c>
      <c r="B1987" s="94"/>
      <c r="C1987" s="94"/>
      <c r="D1987" s="94"/>
      <c r="E1987" s="94"/>
      <c r="F1987" s="94"/>
      <c r="G1987" s="112">
        <f>AU1987</f>
      </c>
      <c r="H1987" s="113"/>
      <c r="I1987" s="94" t="s">
        <v>415</v>
      </c>
      <c r="J1987" s="94" t="s">
        <v>432</v>
      </c>
      <c r="K1987" s="114">
        <f>P1987/3</f>
      </c>
      <c r="L1987" s="115">
        <v>5.8940000000000001</v>
      </c>
      <c r="M1987" s="116"/>
      <c r="N1987" s="117">
        <f>M1987-L1987</f>
      </c>
      <c r="O1987" s="112"/>
      <c r="P1987" s="118">
        <f>N1987+O1987</f>
      </c>
      <c r="Q1987" s="94" t="s">
        <v>314</v>
      </c>
      <c r="R1987" s="94" t="s">
        <v>392</v>
      </c>
      <c r="S1987" s="119">
        <v>46321</v>
      </c>
      <c r="T1987" s="119"/>
      <c r="U1987" s="119">
        <v>46321</v>
      </c>
      <c r="V1987" s="94"/>
      <c r="W1987" s="94"/>
      <c r="X1987" s="94"/>
      <c r="Y1987" s="119">
        <v>46321</v>
      </c>
      <c r="Z1987" s="94"/>
      <c r="AA1987" s="120"/>
      <c r="AB1987" s="120"/>
      <c r="AC1987" s="120"/>
      <c r="AD1987" s="120"/>
      <c r="AE1987" s="120"/>
      <c r="AF1987" s="120"/>
      <c r="AG1987" s="94"/>
      <c r="AH1987" s="120"/>
      <c r="AI1987" s="94"/>
      <c r="AJ1987" s="94" t="s">
        <v>314</v>
      </c>
      <c r="AK1987" s="94" t="s">
        <v>342</v>
      </c>
      <c r="AL1987" s="94">
        <v>150</v>
      </c>
      <c r="AM1987" s="94" t="str">
        <f>TRIM(AJ1987)&amp;TRIM(AL1987)&amp;TRIM(AK1987)</f>
      </c>
      <c r="AN1987" s="116">
        <v>0</v>
      </c>
      <c r="AO1987" s="116" t="inlineStr">
        <is>
          <t>#NA</t>
        </is>
      </c>
      <c r="AP1987" s="116">
        <f>SUMIFS(M:M,AM:AM,AM1987)+SUMIFS(O:O,AM:AM,AM1987)</f>
      </c>
      <c r="AQ1987" s="116">
        <f>SUMIFS(L:L,AM:AM,AM1987)</f>
      </c>
      <c r="AR1987" s="116">
        <f>AQ1987-AP1987</f>
      </c>
      <c r="AS1987" s="94" t="str">
        <f>IF(AN1987&gt;=AQ1987,"ok","ck")</f>
      </c>
      <c r="AT1987" s="116">
        <f>-P1987</f>
      </c>
      <c r="AU1987" s="115">
        <f>IF(SUMIFS(AT:AT,AM:AM,AM1987)&gt;AO1987,(SUMIFS(AT:AT,AM:AM,AM1987)-AO1987))</f>
      </c>
      <c r="AV1987" s="116">
        <v>0</v>
      </c>
      <c r="AW1987" s="121">
        <v>0.986</v>
      </c>
      <c r="AX1987" s="115">
        <f>AN1987-AP1987</f>
      </c>
    </row>
    <row r="1988" spans="1:50" ht="15" hidden="1" customHeight="1" x14ac:dyDescent="0.3">
      <c r="A1988" s="94" t="s">
        <v>268</v>
      </c>
      <c r="B1988" s="94"/>
      <c r="C1988" s="94"/>
      <c r="D1988" s="94"/>
      <c r="E1988" s="94"/>
      <c r="F1988" s="94"/>
      <c r="G1988" s="112">
        <f>AU1988</f>
      </c>
      <c r="H1988" s="113"/>
      <c r="I1988" s="94" t="s">
        <v>390</v>
      </c>
      <c r="J1988" s="94" t="s">
        <v>401</v>
      </c>
      <c r="K1988" s="114">
        <f>P1988/3</f>
      </c>
      <c r="L1988" s="115">
        <v>725.5</v>
      </c>
      <c r="M1988" s="116"/>
      <c r="N1988" s="117">
        <f>M1988-L1988</f>
      </c>
      <c r="O1988" s="112"/>
      <c r="P1988" s="118">
        <f>N1988+O1988</f>
      </c>
      <c r="Q1988" s="94" t="s">
        <v>305</v>
      </c>
      <c r="R1988" s="94" t="s">
        <v>392</v>
      </c>
      <c r="S1988" s="119">
        <v>46334</v>
      </c>
      <c r="T1988" s="119"/>
      <c r="U1988" s="119">
        <v>46334</v>
      </c>
      <c r="V1988" s="94"/>
      <c r="W1988" s="94"/>
      <c r="X1988" s="94"/>
      <c r="Y1988" s="119">
        <v>46327</v>
      </c>
      <c r="Z1988" s="94"/>
      <c r="AA1988" s="120"/>
      <c r="AB1988" s="120"/>
      <c r="AC1988" s="120"/>
      <c r="AD1988" s="120"/>
      <c r="AE1988" s="120"/>
      <c r="AF1988" s="120"/>
      <c r="AG1988" s="94"/>
      <c r="AH1988" s="120"/>
      <c r="AI1988" s="94"/>
      <c r="AJ1988" s="94" t="s">
        <v>305</v>
      </c>
      <c r="AK1988" s="94" t="s">
        <v>389</v>
      </c>
      <c r="AL1988" s="94">
        <v>140</v>
      </c>
      <c r="AM1988" s="94" t="str">
        <f>TRIM(AJ1988)&amp;TRIM(AL1988)&amp;TRIM(AK1988)</f>
      </c>
      <c r="AN1988" s="116">
        <v>0</v>
      </c>
      <c r="AO1988" s="116" t="inlineStr">
        <is>
          <t>#NA</t>
        </is>
      </c>
      <c r="AP1988" s="116">
        <f>SUMIFS(M:M,AM:AM,AM1988)+SUMIFS(O:O,AM:AM,AM1988)</f>
      </c>
      <c r="AQ1988" s="116">
        <f>SUMIFS(L:L,AM:AM,AM1988)</f>
      </c>
      <c r="AR1988" s="116">
        <f>AQ1988-AP1988</f>
      </c>
      <c r="AS1988" s="94" t="str">
        <f>IF(AN1988&gt;=AQ1988,"ok","ck")</f>
      </c>
      <c r="AT1988" s="116">
        <f>-P1988</f>
      </c>
      <c r="AU1988" s="115">
        <f>IF(SUMIFS(AT:AT,AM:AM,AM1988)&gt;AO1988,(SUMIFS(AT:AT,AM:AM,AM1988)-AO1988))</f>
      </c>
      <c r="AV1988" s="116">
        <v>0</v>
      </c>
      <c r="AW1988" s="121">
        <v>0</v>
      </c>
      <c r="AX1988" s="115">
        <f>AN1988-AP1988</f>
      </c>
    </row>
    <row r="1989" spans="1:50" ht="15" hidden="1" customHeight="1" x14ac:dyDescent="0.3">
      <c r="A1989" s="94" t="s">
        <v>268</v>
      </c>
      <c r="B1989" s="94"/>
      <c r="C1989" s="94"/>
      <c r="D1989" s="94"/>
      <c r="E1989" s="94"/>
      <c r="F1989" s="94"/>
      <c r="G1989" s="112">
        <f>AU1989</f>
      </c>
      <c r="H1989" s="113"/>
      <c r="I1989" s="94" t="s">
        <v>390</v>
      </c>
      <c r="J1989" s="94" t="s">
        <v>401</v>
      </c>
      <c r="K1989" s="114">
        <f>P1989/3</f>
      </c>
      <c r="L1989" s="115">
        <v>141.44</v>
      </c>
      <c r="M1989" s="116"/>
      <c r="N1989" s="117">
        <f>M1989-L1989</f>
      </c>
      <c r="O1989" s="112"/>
      <c r="P1989" s="118">
        <f>N1989+O1989</f>
      </c>
      <c r="Q1989" s="94" t="s">
        <v>778</v>
      </c>
      <c r="R1989" s="94" t="s">
        <v>392</v>
      </c>
      <c r="S1989" s="119">
        <v>46343</v>
      </c>
      <c r="T1989" s="119"/>
      <c r="U1989" s="119">
        <v>46343</v>
      </c>
      <c r="V1989" s="94"/>
      <c r="W1989" s="94"/>
      <c r="X1989" s="94"/>
      <c r="Y1989" s="119">
        <v>46337</v>
      </c>
      <c r="Z1989" s="94"/>
      <c r="AA1989" s="120"/>
      <c r="AB1989" s="120"/>
      <c r="AC1989" s="120"/>
      <c r="AD1989" s="120"/>
      <c r="AE1989" s="120"/>
      <c r="AF1989" s="120"/>
      <c r="AG1989" s="94"/>
      <c r="AH1989" s="120"/>
      <c r="AI1989" s="94"/>
      <c r="AJ1989" s="94" t="s">
        <v>778</v>
      </c>
      <c r="AK1989" s="94" t="s">
        <v>389</v>
      </c>
      <c r="AL1989" s="94">
        <v>140</v>
      </c>
      <c r="AM1989" s="94" t="str">
        <f>TRIM(AJ1989)&amp;TRIM(AL1989)&amp;TRIM(AK1989)</f>
      </c>
      <c r="AN1989" s="116">
        <v>0</v>
      </c>
      <c r="AO1989" s="116" t="inlineStr">
        <is>
          <t>#NA</t>
        </is>
      </c>
      <c r="AP1989" s="116">
        <f>SUMIFS(M:M,AM:AM,AM1989)+SUMIFS(O:O,AM:AM,AM1989)</f>
      </c>
      <c r="AQ1989" s="116">
        <f>SUMIFS(L:L,AM:AM,AM1989)</f>
      </c>
      <c r="AR1989" s="116">
        <f>AQ1989-AP1989</f>
      </c>
      <c r="AS1989" s="94" t="str">
        <f>IF(AN1989&gt;=AQ1989,"ok","ck")</f>
      </c>
      <c r="AT1989" s="116">
        <f>-P1989</f>
      </c>
      <c r="AU1989" s="115">
        <f>IF(SUMIFS(AT:AT,AM:AM,AM1989)&gt;AO1989,(SUMIFS(AT:AT,AM:AM,AM1989)-AO1989))</f>
      </c>
      <c r="AV1989" s="116">
        <v>0</v>
      </c>
      <c r="AW1989" s="121">
        <v>0</v>
      </c>
      <c r="AX1989" s="115">
        <f>AN1989-AP1989</f>
      </c>
    </row>
    <row r="1990" spans="1:50" ht="15" hidden="1" customHeight="1" x14ac:dyDescent="0.3">
      <c r="A1990" s="94" t="s">
        <v>268</v>
      </c>
      <c r="B1990" s="94"/>
      <c r="C1990" s="94"/>
      <c r="D1990" s="94"/>
      <c r="E1990" s="94"/>
      <c r="F1990" s="94"/>
      <c r="G1990" s="112">
        <f>AU1990</f>
      </c>
      <c r="H1990" s="113"/>
      <c r="I1990" s="94" t="s">
        <v>390</v>
      </c>
      <c r="J1990" s="94" t="s">
        <v>401</v>
      </c>
      <c r="K1990" s="114">
        <f>P1990/3</f>
      </c>
      <c r="L1990" s="115">
        <v>17.149999999999999</v>
      </c>
      <c r="M1990" s="116"/>
      <c r="N1990" s="117">
        <f>M1990-L1990</f>
      </c>
      <c r="O1990" s="112"/>
      <c r="P1990" s="118">
        <f>N1990+O1990</f>
      </c>
      <c r="Q1990" s="94" t="s">
        <v>778</v>
      </c>
      <c r="R1990" s="94" t="s">
        <v>392</v>
      </c>
      <c r="S1990" s="119">
        <v>46343</v>
      </c>
      <c r="T1990" s="119"/>
      <c r="U1990" s="119">
        <v>46343</v>
      </c>
      <c r="V1990" s="94"/>
      <c r="W1990" s="94"/>
      <c r="X1990" s="94"/>
      <c r="Y1990" s="119">
        <v>46340</v>
      </c>
      <c r="Z1990" s="94"/>
      <c r="AA1990" s="120"/>
      <c r="AB1990" s="120"/>
      <c r="AC1990" s="120"/>
      <c r="AD1990" s="120"/>
      <c r="AE1990" s="120"/>
      <c r="AF1990" s="120"/>
      <c r="AG1990" s="94"/>
      <c r="AH1990" s="120"/>
      <c r="AI1990" s="94"/>
      <c r="AJ1990" s="94" t="s">
        <v>778</v>
      </c>
      <c r="AK1990" s="94" t="s">
        <v>389</v>
      </c>
      <c r="AL1990" s="94">
        <v>140</v>
      </c>
      <c r="AM1990" s="94" t="str">
        <f>TRIM(AJ1990)&amp;TRIM(AL1990)&amp;TRIM(AK1990)</f>
      </c>
      <c r="AN1990" s="116">
        <v>0</v>
      </c>
      <c r="AO1990" s="116" t="inlineStr">
        <is>
          <t>#NA</t>
        </is>
      </c>
      <c r="AP1990" s="116">
        <f>SUMIFS(M:M,AM:AM,AM1990)+SUMIFS(O:O,AM:AM,AM1990)</f>
      </c>
      <c r="AQ1990" s="116">
        <f>SUMIFS(L:L,AM:AM,AM1990)</f>
      </c>
      <c r="AR1990" s="116">
        <f>AQ1990-AP1990</f>
      </c>
      <c r="AS1990" s="94" t="str">
        <f>IF(AN1990&gt;=AQ1990,"ok","ck")</f>
      </c>
      <c r="AT1990" s="116">
        <f>-P1990</f>
      </c>
      <c r="AU1990" s="115">
        <f>IF(SUMIFS(AT:AT,AM:AM,AM1990)&gt;AO1990,(SUMIFS(AT:AT,AM:AM,AM1990)-AO1990))</f>
      </c>
      <c r="AV1990" s="116">
        <v>0</v>
      </c>
      <c r="AW1990" s="121">
        <v>0</v>
      </c>
      <c r="AX1990" s="115">
        <f>AN1990-AP1990</f>
      </c>
    </row>
    <row r="1991" spans="1:50" ht="15" hidden="1" customHeight="1" x14ac:dyDescent="0.3">
      <c r="A1991" s="94" t="s">
        <v>76</v>
      </c>
      <c r="B1991" s="94"/>
      <c r="C1991" s="94"/>
      <c r="D1991" s="94"/>
      <c r="E1991" s="94"/>
      <c r="F1991" s="94"/>
      <c r="G1991" s="112">
        <f>AU1991</f>
      </c>
      <c r="H1991" s="113"/>
      <c r="I1991" s="94" t="s">
        <v>393</v>
      </c>
      <c r="J1991" s="94" t="s">
        <v>418</v>
      </c>
      <c r="K1991" s="114">
        <f>P1991/3</f>
      </c>
      <c r="L1991" s="115">
        <v>335.13499999999999</v>
      </c>
      <c r="M1991" s="116"/>
      <c r="N1991" s="117">
        <f>M1991-L1991</f>
      </c>
      <c r="O1991" s="112"/>
      <c r="P1991" s="118">
        <f>N1991+O1991</f>
      </c>
      <c r="Q1991" s="94" t="s">
        <v>395</v>
      </c>
      <c r="R1991" s="94" t="s">
        <v>392</v>
      </c>
      <c r="S1991" s="119">
        <v>46330</v>
      </c>
      <c r="T1991" s="119"/>
      <c r="U1991" s="119">
        <v>46330</v>
      </c>
      <c r="V1991" s="94"/>
      <c r="W1991" s="94"/>
      <c r="X1991" s="94"/>
      <c r="Y1991" s="119">
        <v>46322</v>
      </c>
      <c r="Z1991" s="94"/>
      <c r="AA1991" s="120"/>
      <c r="AB1991" s="120"/>
      <c r="AC1991" s="120"/>
      <c r="AD1991" s="120"/>
      <c r="AE1991" s="120"/>
      <c r="AF1991" s="120"/>
      <c r="AG1991" s="94"/>
      <c r="AH1991" s="120"/>
      <c r="AI1991" s="94"/>
      <c r="AJ1991" s="94" t="s">
        <v>395</v>
      </c>
      <c r="AK1991" s="94" t="s">
        <v>748</v>
      </c>
      <c r="AL1991" s="94">
        <v>150</v>
      </c>
      <c r="AM1991" s="94" t="str">
        <f>TRIM(AJ1991)&amp;TRIM(AL1991)&amp;TRIM(AK1991)</f>
      </c>
      <c r="AN1991" s="116">
        <v>0</v>
      </c>
      <c r="AO1991" s="116" t="inlineStr">
        <is>
          <t>#NA</t>
        </is>
      </c>
      <c r="AP1991" s="116">
        <f>SUMIFS(M:M,AM:AM,AM1991)+SUMIFS(O:O,AM:AM,AM1991)</f>
      </c>
      <c r="AQ1991" s="116">
        <f>SUMIFS(L:L,AM:AM,AM1991)</f>
      </c>
      <c r="AR1991" s="116">
        <f>AQ1991-AP1991</f>
      </c>
      <c r="AS1991" s="94" t="str">
        <f>IF(AN1991&gt;=AQ1991,"ok","ck")</f>
      </c>
      <c r="AT1991" s="116">
        <f>-P1991</f>
      </c>
      <c r="AU1991" s="115">
        <f>IF(SUMIFS(AT:AT,AM:AM,AM1991)&gt;AO1991,(SUMIFS(AT:AT,AM:AM,AM1991)-AO1991))</f>
      </c>
      <c r="AV1991" s="116">
        <v>0</v>
      </c>
      <c r="AW1991" s="121">
        <v>0.914</v>
      </c>
      <c r="AX1991" s="115">
        <f>AN1991-AP1991</f>
      </c>
    </row>
    <row r="1992" spans="1:50" ht="15" hidden="1" customHeight="1" x14ac:dyDescent="0.3">
      <c r="A1992" s="94" t="s">
        <v>76</v>
      </c>
      <c r="B1992" s="94"/>
      <c r="C1992" s="94"/>
      <c r="D1992" s="94"/>
      <c r="E1992" s="94"/>
      <c r="F1992" s="94"/>
      <c r="G1992" s="112">
        <f>AU1992</f>
      </c>
      <c r="H1992" s="113"/>
      <c r="I1992" s="94" t="s">
        <v>393</v>
      </c>
      <c r="J1992" s="94" t="s">
        <v>418</v>
      </c>
      <c r="K1992" s="114">
        <f>P1992/3</f>
      </c>
      <c r="L1992" s="115">
        <v>967.2</v>
      </c>
      <c r="M1992" s="116"/>
      <c r="N1992" s="117">
        <f>M1992-L1992</f>
      </c>
      <c r="O1992" s="112"/>
      <c r="P1992" s="118">
        <f>N1992+O1992</f>
      </c>
      <c r="Q1992" s="94" t="s">
        <v>395</v>
      </c>
      <c r="R1992" s="94" t="s">
        <v>392</v>
      </c>
      <c r="S1992" s="119">
        <v>46330</v>
      </c>
      <c r="T1992" s="119"/>
      <c r="U1992" s="119">
        <v>46330</v>
      </c>
      <c r="V1992" s="94"/>
      <c r="W1992" s="94"/>
      <c r="X1992" s="94"/>
      <c r="Y1992" s="119">
        <v>46322</v>
      </c>
      <c r="Z1992" s="94"/>
      <c r="AA1992" s="120"/>
      <c r="AB1992" s="120"/>
      <c r="AC1992" s="120"/>
      <c r="AD1992" s="120"/>
      <c r="AE1992" s="120"/>
      <c r="AF1992" s="120"/>
      <c r="AG1992" s="94"/>
      <c r="AH1992" s="120"/>
      <c r="AI1992" s="94"/>
      <c r="AJ1992" s="94" t="s">
        <v>395</v>
      </c>
      <c r="AK1992" s="94" t="s">
        <v>748</v>
      </c>
      <c r="AL1992" s="94">
        <v>150</v>
      </c>
      <c r="AM1992" s="94" t="str">
        <f>TRIM(AJ1992)&amp;TRIM(AL1992)&amp;TRIM(AK1992)</f>
      </c>
      <c r="AN1992" s="116">
        <v>0</v>
      </c>
      <c r="AO1992" s="116" t="inlineStr">
        <is>
          <t>#NA</t>
        </is>
      </c>
      <c r="AP1992" s="116">
        <f>SUMIFS(M:M,AM:AM,AM1992)+SUMIFS(O:O,AM:AM,AM1992)</f>
      </c>
      <c r="AQ1992" s="116">
        <f>SUMIFS(L:L,AM:AM,AM1992)</f>
      </c>
      <c r="AR1992" s="116">
        <f>AQ1992-AP1992</f>
      </c>
      <c r="AS1992" s="94" t="str">
        <f>IF(AN1992&gt;=AQ1992,"ok","ck")</f>
      </c>
      <c r="AT1992" s="116">
        <f>-P1992</f>
      </c>
      <c r="AU1992" s="115">
        <f>IF(SUMIFS(AT:AT,AM:AM,AM1992)&gt;AO1992,(SUMIFS(AT:AT,AM:AM,AM1992)-AO1992))</f>
      </c>
      <c r="AV1992" s="116">
        <v>0</v>
      </c>
      <c r="AW1992" s="121">
        <v>0.914</v>
      </c>
      <c r="AX1992" s="115">
        <f>AN1992-AP1992</f>
      </c>
    </row>
    <row r="1993" spans="1:50" ht="15" hidden="1" customHeight="1" x14ac:dyDescent="0.3">
      <c r="A1993" s="94" t="s">
        <v>76</v>
      </c>
      <c r="B1993" s="94"/>
      <c r="C1993" s="94"/>
      <c r="D1993" s="94"/>
      <c r="E1993" s="94"/>
      <c r="F1993" s="94"/>
      <c r="G1993" s="112">
        <f>AU1993</f>
      </c>
      <c r="H1993" s="113"/>
      <c r="I1993" s="94" t="s">
        <v>393</v>
      </c>
      <c r="J1993" s="94" t="s">
        <v>418</v>
      </c>
      <c r="K1993" s="114">
        <f>P1993/3</f>
      </c>
      <c r="L1993" s="115">
        <v>3.6269999999999998</v>
      </c>
      <c r="M1993" s="116"/>
      <c r="N1993" s="117">
        <f>M1993-L1993</f>
      </c>
      <c r="O1993" s="112"/>
      <c r="P1993" s="118">
        <f>N1993+O1993</f>
      </c>
      <c r="Q1993" s="94" t="s">
        <v>395</v>
      </c>
      <c r="R1993" s="94" t="s">
        <v>392</v>
      </c>
      <c r="S1993" s="119">
        <v>46330</v>
      </c>
      <c r="T1993" s="119"/>
      <c r="U1993" s="119">
        <v>46330</v>
      </c>
      <c r="V1993" s="94"/>
      <c r="W1993" s="94"/>
      <c r="X1993" s="94"/>
      <c r="Y1993" s="119">
        <v>46323</v>
      </c>
      <c r="Z1993" s="94"/>
      <c r="AA1993" s="120"/>
      <c r="AB1993" s="120"/>
      <c r="AC1993" s="120"/>
      <c r="AD1993" s="120"/>
      <c r="AE1993" s="120"/>
      <c r="AF1993" s="120"/>
      <c r="AG1993" s="94"/>
      <c r="AH1993" s="120"/>
      <c r="AI1993" s="94"/>
      <c r="AJ1993" s="94" t="s">
        <v>395</v>
      </c>
      <c r="AK1993" s="94" t="s">
        <v>748</v>
      </c>
      <c r="AL1993" s="94">
        <v>150</v>
      </c>
      <c r="AM1993" s="94" t="str">
        <f>TRIM(AJ1993)&amp;TRIM(AL1993)&amp;TRIM(AK1993)</f>
      </c>
      <c r="AN1993" s="116">
        <v>0</v>
      </c>
      <c r="AO1993" s="116" t="inlineStr">
        <is>
          <t>#NA</t>
        </is>
      </c>
      <c r="AP1993" s="116">
        <f>SUMIFS(M:M,AM:AM,AM1993)+SUMIFS(O:O,AM:AM,AM1993)</f>
      </c>
      <c r="AQ1993" s="116">
        <f>SUMIFS(L:L,AM:AM,AM1993)</f>
      </c>
      <c r="AR1993" s="116">
        <f>AQ1993-AP1993</f>
      </c>
      <c r="AS1993" s="94" t="str">
        <f>IF(AN1993&gt;=AQ1993,"ok","ck")</f>
      </c>
      <c r="AT1993" s="116">
        <f>-P1993</f>
      </c>
      <c r="AU1993" s="115">
        <f>IF(SUMIFS(AT:AT,AM:AM,AM1993)&gt;AO1993,(SUMIFS(AT:AT,AM:AM,AM1993)-AO1993))</f>
      </c>
      <c r="AV1993" s="116">
        <v>0</v>
      </c>
      <c r="AW1993" s="121">
        <v>0.914</v>
      </c>
      <c r="AX1993" s="115">
        <f>AN1993-AP1993</f>
      </c>
    </row>
    <row r="1994" spans="1:50" ht="15" hidden="1" customHeight="1" x14ac:dyDescent="0.3">
      <c r="A1994" s="94" t="s">
        <v>76</v>
      </c>
      <c r="B1994" s="94"/>
      <c r="C1994" s="94"/>
      <c r="D1994" s="94"/>
      <c r="E1994" s="94"/>
      <c r="F1994" s="94"/>
      <c r="G1994" s="112">
        <f>AU1994</f>
      </c>
      <c r="H1994" s="113"/>
      <c r="I1994" s="94" t="s">
        <v>393</v>
      </c>
      <c r="J1994" s="94" t="s">
        <v>433</v>
      </c>
      <c r="K1994" s="114">
        <f>P1994/3</f>
      </c>
      <c r="L1994" s="115">
        <v>442.62</v>
      </c>
      <c r="M1994" s="116"/>
      <c r="N1994" s="117">
        <f>M1994-L1994</f>
      </c>
      <c r="O1994" s="112"/>
      <c r="P1994" s="118">
        <f>N1994+O1994</f>
      </c>
      <c r="Q1994" s="94" t="s">
        <v>395</v>
      </c>
      <c r="R1994" s="94" t="s">
        <v>392</v>
      </c>
      <c r="S1994" s="119">
        <v>46335</v>
      </c>
      <c r="T1994" s="119"/>
      <c r="U1994" s="119">
        <v>46335</v>
      </c>
      <c r="V1994" s="94"/>
      <c r="W1994" s="94"/>
      <c r="X1994" s="94"/>
      <c r="Y1994" s="119">
        <v>46320</v>
      </c>
      <c r="Z1994" s="94"/>
      <c r="AA1994" s="120"/>
      <c r="AB1994" s="120"/>
      <c r="AC1994" s="120"/>
      <c r="AD1994" s="120"/>
      <c r="AE1994" s="120"/>
      <c r="AF1994" s="120"/>
      <c r="AG1994" s="94"/>
      <c r="AH1994" s="120"/>
      <c r="AI1994" s="94"/>
      <c r="AJ1994" s="94" t="s">
        <v>395</v>
      </c>
      <c r="AK1994" s="94" t="s">
        <v>748</v>
      </c>
      <c r="AL1994" s="94">
        <v>150</v>
      </c>
      <c r="AM1994" s="94" t="str">
        <f>TRIM(AJ1994)&amp;TRIM(AL1994)&amp;TRIM(AK1994)</f>
      </c>
      <c r="AN1994" s="116">
        <v>0</v>
      </c>
      <c r="AO1994" s="116" t="inlineStr">
        <is>
          <t>#NA</t>
        </is>
      </c>
      <c r="AP1994" s="116">
        <f>SUMIFS(M:M,AM:AM,AM1994)+SUMIFS(O:O,AM:AM,AM1994)</f>
      </c>
      <c r="AQ1994" s="116">
        <f>SUMIFS(L:L,AM:AM,AM1994)</f>
      </c>
      <c r="AR1994" s="116">
        <f>AQ1994-AP1994</f>
      </c>
      <c r="AS1994" s="94" t="str">
        <f>IF(AN1994&gt;=AQ1994,"ok","ck")</f>
      </c>
      <c r="AT1994" s="116">
        <f>-P1994</f>
      </c>
      <c r="AU1994" s="115">
        <f>IF(SUMIFS(AT:AT,AM:AM,AM1994)&gt;AO1994,(SUMIFS(AT:AT,AM:AM,AM1994)-AO1994))</f>
      </c>
      <c r="AV1994" s="116">
        <v>0</v>
      </c>
      <c r="AW1994" s="121">
        <v>0.914</v>
      </c>
      <c r="AX1994" s="115">
        <f>AN1994-AP1994</f>
      </c>
    </row>
    <row r="1995" spans="1:50" ht="15" hidden="1" customHeight="1" x14ac:dyDescent="0.3">
      <c r="A1995" s="94" t="s">
        <v>76</v>
      </c>
      <c r="B1995" s="94"/>
      <c r="C1995" s="94"/>
      <c r="D1995" s="94"/>
      <c r="E1995" s="94"/>
      <c r="F1995" s="94"/>
      <c r="G1995" s="112">
        <f>AU1995</f>
      </c>
      <c r="H1995" s="113"/>
      <c r="I1995" s="94" t="s">
        <v>393</v>
      </c>
      <c r="J1995" s="94" t="s">
        <v>433</v>
      </c>
      <c r="K1995" s="114">
        <f>P1995/3</f>
      </c>
      <c r="L1995" s="115">
        <v>959.94</v>
      </c>
      <c r="M1995" s="116"/>
      <c r="N1995" s="117">
        <f>M1995-L1995</f>
      </c>
      <c r="O1995" s="112"/>
      <c r="P1995" s="118">
        <f>N1995+O1995</f>
      </c>
      <c r="Q1995" s="94" t="s">
        <v>395</v>
      </c>
      <c r="R1995" s="94" t="s">
        <v>392</v>
      </c>
      <c r="S1995" s="119">
        <v>46335</v>
      </c>
      <c r="T1995" s="119"/>
      <c r="U1995" s="119">
        <v>46335</v>
      </c>
      <c r="V1995" s="94"/>
      <c r="W1995" s="94"/>
      <c r="X1995" s="94"/>
      <c r="Y1995" s="119">
        <v>46320</v>
      </c>
      <c r="Z1995" s="94"/>
      <c r="AA1995" s="120"/>
      <c r="AB1995" s="120"/>
      <c r="AC1995" s="120"/>
      <c r="AD1995" s="120"/>
      <c r="AE1995" s="120"/>
      <c r="AF1995" s="120"/>
      <c r="AG1995" s="94"/>
      <c r="AH1995" s="120"/>
      <c r="AI1995" s="94"/>
      <c r="AJ1995" s="94" t="s">
        <v>395</v>
      </c>
      <c r="AK1995" s="94" t="s">
        <v>748</v>
      </c>
      <c r="AL1995" s="94">
        <v>150</v>
      </c>
      <c r="AM1995" s="94" t="str">
        <f>TRIM(AJ1995)&amp;TRIM(AL1995)&amp;TRIM(AK1995)</f>
      </c>
      <c r="AN1995" s="116">
        <v>0</v>
      </c>
      <c r="AO1995" s="116" t="inlineStr">
        <is>
          <t>#NA</t>
        </is>
      </c>
      <c r="AP1995" s="116">
        <f>SUMIFS(M:M,AM:AM,AM1995)+SUMIFS(O:O,AM:AM,AM1995)</f>
      </c>
      <c r="AQ1995" s="116">
        <f>SUMIFS(L:L,AM:AM,AM1995)</f>
      </c>
      <c r="AR1995" s="116">
        <f>AQ1995-AP1995</f>
      </c>
      <c r="AS1995" s="94" t="str">
        <f>IF(AN1995&gt;=AQ1995,"ok","ck")</f>
      </c>
      <c r="AT1995" s="116">
        <f>-P1995</f>
      </c>
      <c r="AU1995" s="115">
        <f>IF(SUMIFS(AT:AT,AM:AM,AM1995)&gt;AO1995,(SUMIFS(AT:AT,AM:AM,AM1995)-AO1995))</f>
      </c>
      <c r="AV1995" s="116">
        <v>0</v>
      </c>
      <c r="AW1995" s="121">
        <v>0.914</v>
      </c>
      <c r="AX1995" s="115">
        <f>AN1995-AP1995</f>
      </c>
    </row>
    <row r="1996" spans="1:50" ht="15" hidden="1" customHeight="1" x14ac:dyDescent="0.3">
      <c r="A1996" s="94" t="s">
        <v>76</v>
      </c>
      <c r="B1996" s="94"/>
      <c r="C1996" s="94"/>
      <c r="D1996" s="94"/>
      <c r="E1996" s="94"/>
      <c r="F1996" s="94"/>
      <c r="G1996" s="112">
        <f>AU1996</f>
      </c>
      <c r="H1996" s="113"/>
      <c r="I1996" s="94" t="s">
        <v>393</v>
      </c>
      <c r="J1996" s="94" t="s">
        <v>433</v>
      </c>
      <c r="K1996" s="114">
        <f>P1996/3</f>
      </c>
      <c r="L1996" s="115">
        <v>1.98</v>
      </c>
      <c r="M1996" s="116"/>
      <c r="N1996" s="117">
        <f>M1996-L1996</f>
      </c>
      <c r="O1996" s="112"/>
      <c r="P1996" s="118">
        <f>N1996+O1996</f>
      </c>
      <c r="Q1996" s="94" t="s">
        <v>395</v>
      </c>
      <c r="R1996" s="94" t="s">
        <v>392</v>
      </c>
      <c r="S1996" s="119">
        <v>46335</v>
      </c>
      <c r="T1996" s="119"/>
      <c r="U1996" s="119">
        <v>46335</v>
      </c>
      <c r="V1996" s="94"/>
      <c r="W1996" s="94"/>
      <c r="X1996" s="94"/>
      <c r="Y1996" s="119">
        <v>46320</v>
      </c>
      <c r="Z1996" s="94"/>
      <c r="AA1996" s="120"/>
      <c r="AB1996" s="120"/>
      <c r="AC1996" s="120"/>
      <c r="AD1996" s="120"/>
      <c r="AE1996" s="120"/>
      <c r="AF1996" s="120"/>
      <c r="AG1996" s="94"/>
      <c r="AH1996" s="120"/>
      <c r="AI1996" s="94"/>
      <c r="AJ1996" s="94" t="s">
        <v>395</v>
      </c>
      <c r="AK1996" s="94" t="s">
        <v>748</v>
      </c>
      <c r="AL1996" s="94">
        <v>150</v>
      </c>
      <c r="AM1996" s="94" t="str">
        <f>TRIM(AJ1996)&amp;TRIM(AL1996)&amp;TRIM(AK1996)</f>
      </c>
      <c r="AN1996" s="116">
        <v>0</v>
      </c>
      <c r="AO1996" s="116" t="inlineStr">
        <is>
          <t>#NA</t>
        </is>
      </c>
      <c r="AP1996" s="116">
        <f>SUMIFS(M:M,AM:AM,AM1996)+SUMIFS(O:O,AM:AM,AM1996)</f>
      </c>
      <c r="AQ1996" s="116">
        <f>SUMIFS(L:L,AM:AM,AM1996)</f>
      </c>
      <c r="AR1996" s="116">
        <f>AQ1996-AP1996</f>
      </c>
      <c r="AS1996" s="94" t="str">
        <f>IF(AN1996&gt;=AQ1996,"ok","ck")</f>
      </c>
      <c r="AT1996" s="116">
        <f>-P1996</f>
      </c>
      <c r="AU1996" s="115">
        <f>IF(SUMIFS(AT:AT,AM:AM,AM1996)&gt;AO1996,(SUMIFS(AT:AT,AM:AM,AM1996)-AO1996))</f>
      </c>
      <c r="AV1996" s="116">
        <v>0</v>
      </c>
      <c r="AW1996" s="121">
        <v>0.914</v>
      </c>
      <c r="AX1996" s="115">
        <f>AN1996-AP1996</f>
      </c>
    </row>
    <row r="1997" spans="1:50" ht="15" hidden="1" customHeight="1" x14ac:dyDescent="0.3">
      <c r="A1997" s="94" t="s">
        <v>76</v>
      </c>
      <c r="B1997" s="94"/>
      <c r="C1997" s="94"/>
      <c r="D1997" s="94"/>
      <c r="E1997" s="94"/>
      <c r="F1997" s="94"/>
      <c r="G1997" s="112">
        <f>AU1997</f>
      </c>
      <c r="H1997" s="113"/>
      <c r="I1997" s="94" t="s">
        <v>393</v>
      </c>
      <c r="J1997" s="94" t="s">
        <v>434</v>
      </c>
      <c r="K1997" s="114">
        <f>P1997/3</f>
      </c>
      <c r="L1997" s="115">
        <v>979.47799999999995</v>
      </c>
      <c r="M1997" s="116">
        <f>L1997</f>
      </c>
      <c r="N1997" s="117">
        <f>M1997-L1997</f>
      </c>
      <c r="O1997" s="112"/>
      <c r="P1997" s="118">
        <f>N1997+O1997</f>
      </c>
      <c r="Q1997" s="94" t="s">
        <v>395</v>
      </c>
      <c r="R1997" s="94" t="s">
        <v>392</v>
      </c>
      <c r="S1997" s="119">
        <v>46334</v>
      </c>
      <c r="T1997" s="119"/>
      <c r="U1997" s="119">
        <v>46334</v>
      </c>
      <c r="V1997" s="94"/>
      <c r="W1997" s="94"/>
      <c r="X1997" s="94"/>
      <c r="Y1997" s="119">
        <v>46327</v>
      </c>
      <c r="Z1997" s="94"/>
      <c r="AA1997" s="120"/>
      <c r="AB1997" s="120"/>
      <c r="AC1997" s="120"/>
      <c r="AD1997" s="120"/>
      <c r="AE1997" s="120"/>
      <c r="AF1997" s="120"/>
      <c r="AG1997" s="94"/>
      <c r="AH1997" s="120"/>
      <c r="AI1997" s="94"/>
      <c r="AJ1997" s="94" t="s">
        <v>395</v>
      </c>
      <c r="AK1997" s="94" t="s">
        <v>120</v>
      </c>
      <c r="AL1997" s="94">
        <v>150</v>
      </c>
      <c r="AM1997" s="94" t="str">
        <f>TRIM(AJ1997)&amp;TRIM(AL1997)&amp;TRIM(AK1997)</f>
      </c>
      <c r="AN1997" s="116">
        <v>347</v>
      </c>
      <c r="AO1997" s="116">
        <v>-7.4</v>
      </c>
      <c r="AP1997" s="116">
        <f>SUMIFS(M:M,AM:AM,AM1997)+SUMIFS(O:O,AM:AM,AM1997)</f>
      </c>
      <c r="AQ1997" s="116">
        <f>SUMIFS(L:L,AM:AM,AM1997)</f>
      </c>
      <c r="AR1997" s="116">
        <f>AQ1997-AP1997</f>
      </c>
      <c r="AS1997" s="94" t="str">
        <f>IF(AN1997&gt;=AQ1997,"ok","ck")</f>
      </c>
      <c r="AT1997" s="116">
        <f>-P1997</f>
      </c>
      <c r="AU1997" s="115">
        <f>IF(SUMIFS(AT:AT,AM:AM,AM1997)&gt;AO1997,(SUMIFS(AT:AT,AM:AM,AM1997)-AO1997))</f>
      </c>
      <c r="AV1997" s="116">
        <v>347</v>
      </c>
      <c r="AW1997" s="121">
        <v>1.022</v>
      </c>
      <c r="AX1997" s="115">
        <f>AN1997-AP1997</f>
      </c>
    </row>
    <row r="1998" spans="1:50" ht="15" hidden="1" customHeight="1" x14ac:dyDescent="0.3">
      <c r="A1998" s="94" t="s">
        <v>76</v>
      </c>
      <c r="B1998" s="94"/>
      <c r="C1998" s="94"/>
      <c r="D1998" s="94"/>
      <c r="E1998" s="94"/>
      <c r="F1998" s="94"/>
      <c r="G1998" s="112">
        <f>AU1998</f>
      </c>
      <c r="H1998" s="113"/>
      <c r="I1998" s="94" t="s">
        <v>393</v>
      </c>
      <c r="J1998" s="94" t="s">
        <v>434</v>
      </c>
      <c r="K1998" s="114">
        <f>P1998/3</f>
      </c>
      <c r="L1998" s="115">
        <v>1592</v>
      </c>
      <c r="M1998" s="116">
        <f>L1998</f>
      </c>
      <c r="N1998" s="117">
        <f>M1998-L1998</f>
      </c>
      <c r="O1998" s="112"/>
      <c r="P1998" s="118">
        <f>N1998+O1998</f>
      </c>
      <c r="Q1998" s="94" t="s">
        <v>395</v>
      </c>
      <c r="R1998" s="94" t="s">
        <v>392</v>
      </c>
      <c r="S1998" s="119">
        <v>46334</v>
      </c>
      <c r="T1998" s="119"/>
      <c r="U1998" s="119">
        <v>46334</v>
      </c>
      <c r="V1998" s="94"/>
      <c r="W1998" s="94"/>
      <c r="X1998" s="94"/>
      <c r="Y1998" s="119">
        <v>46328</v>
      </c>
      <c r="Z1998" s="94"/>
      <c r="AA1998" s="120"/>
      <c r="AB1998" s="120"/>
      <c r="AC1998" s="120"/>
      <c r="AD1998" s="120"/>
      <c r="AE1998" s="120"/>
      <c r="AF1998" s="120"/>
      <c r="AG1998" s="94"/>
      <c r="AH1998" s="120"/>
      <c r="AI1998" s="94"/>
      <c r="AJ1998" s="94" t="s">
        <v>395</v>
      </c>
      <c r="AK1998" s="94" t="s">
        <v>120</v>
      </c>
      <c r="AL1998" s="94">
        <v>150</v>
      </c>
      <c r="AM1998" s="94" t="str">
        <f>TRIM(AJ1998)&amp;TRIM(AL1998)&amp;TRIM(AK1998)</f>
      </c>
      <c r="AN1998" s="116">
        <v>347</v>
      </c>
      <c r="AO1998" s="116">
        <v>-7.4</v>
      </c>
      <c r="AP1998" s="116">
        <f>SUMIFS(M:M,AM:AM,AM1998)+SUMIFS(O:O,AM:AM,AM1998)</f>
      </c>
      <c r="AQ1998" s="116">
        <f>SUMIFS(L:L,AM:AM,AM1998)</f>
      </c>
      <c r="AR1998" s="116">
        <f>AQ1998-AP1998</f>
      </c>
      <c r="AS1998" s="94" t="str">
        <f>IF(AN1998&gt;=AQ1998,"ok","ck")</f>
      </c>
      <c r="AT1998" s="116">
        <f>-P1998</f>
      </c>
      <c r="AU1998" s="115">
        <f>IF(SUMIFS(AT:AT,AM:AM,AM1998)&gt;AO1998,(SUMIFS(AT:AT,AM:AM,AM1998)-AO1998))</f>
      </c>
      <c r="AV1998" s="116">
        <v>347</v>
      </c>
      <c r="AW1998" s="121">
        <v>1.022</v>
      </c>
      <c r="AX1998" s="115">
        <f>AN1998-AP1998</f>
      </c>
    </row>
    <row r="1999" spans="1:50" ht="15" hidden="1" customHeight="1" x14ac:dyDescent="0.3">
      <c r="A1999" s="94" t="s">
        <v>76</v>
      </c>
      <c r="B1999" s="94"/>
      <c r="C1999" s="94"/>
      <c r="D1999" s="94"/>
      <c r="E1999" s="94"/>
      <c r="F1999" s="94"/>
      <c r="G1999" s="112">
        <f>AU1999</f>
      </c>
      <c r="H1999" s="113"/>
      <c r="I1999" s="94" t="s">
        <v>393</v>
      </c>
      <c r="J1999" s="94" t="s">
        <v>419</v>
      </c>
      <c r="K1999" s="114">
        <f>P1999/3</f>
      </c>
      <c r="L1999" s="115">
        <v>3.331</v>
      </c>
      <c r="M1999" s="116">
        <f>L1999</f>
      </c>
      <c r="N1999" s="117">
        <f>M1999-L1999</f>
      </c>
      <c r="O1999" s="112"/>
      <c r="P1999" s="118">
        <f>N1999+O1999</f>
      </c>
      <c r="Q1999" s="94" t="s">
        <v>395</v>
      </c>
      <c r="R1999" s="94" t="s">
        <v>392</v>
      </c>
      <c r="S1999" s="119">
        <v>46336</v>
      </c>
      <c r="T1999" s="119"/>
      <c r="U1999" s="119">
        <v>46336</v>
      </c>
      <c r="V1999" s="94"/>
      <c r="W1999" s="94"/>
      <c r="X1999" s="94"/>
      <c r="Y1999" s="119">
        <v>46320</v>
      </c>
      <c r="Z1999" s="94"/>
      <c r="AA1999" s="120"/>
      <c r="AB1999" s="120"/>
      <c r="AC1999" s="120"/>
      <c r="AD1999" s="120"/>
      <c r="AE1999" s="120"/>
      <c r="AF1999" s="120"/>
      <c r="AG1999" s="94"/>
      <c r="AH1999" s="120"/>
      <c r="AI1999" s="94"/>
      <c r="AJ1999" s="94" t="s">
        <v>395</v>
      </c>
      <c r="AK1999" s="94" t="s">
        <v>120</v>
      </c>
      <c r="AL1999" s="94">
        <v>150</v>
      </c>
      <c r="AM1999" s="94" t="str">
        <f>TRIM(AJ1999)&amp;TRIM(AL1999)&amp;TRIM(AK1999)</f>
      </c>
      <c r="AN1999" s="116">
        <v>347</v>
      </c>
      <c r="AO1999" s="116">
        <v>-7.4</v>
      </c>
      <c r="AP1999" s="116">
        <f>SUMIFS(M:M,AM:AM,AM1999)+SUMIFS(O:O,AM:AM,AM1999)</f>
      </c>
      <c r="AQ1999" s="116">
        <f>SUMIFS(L:L,AM:AM,AM1999)</f>
      </c>
      <c r="AR1999" s="116">
        <f>AQ1999-AP1999</f>
      </c>
      <c r="AS1999" s="94" t="str">
        <f>IF(AN1999&gt;=AQ1999,"ok","ck")</f>
      </c>
      <c r="AT1999" s="116">
        <f>-P1999</f>
      </c>
      <c r="AU1999" s="115">
        <f>IF(SUMIFS(AT:AT,AM:AM,AM1999)&gt;AO1999,(SUMIFS(AT:AT,AM:AM,AM1999)-AO1999))</f>
      </c>
      <c r="AV1999" s="116">
        <v>347</v>
      </c>
      <c r="AW1999" s="121">
        <v>1.022</v>
      </c>
      <c r="AX1999" s="115">
        <f>AN1999-AP1999</f>
      </c>
    </row>
    <row r="2000" spans="1:50" ht="15" hidden="1" customHeight="1" x14ac:dyDescent="0.3">
      <c r="A2000" s="94" t="s">
        <v>76</v>
      </c>
      <c r="B2000" s="94"/>
      <c r="C2000" s="94"/>
      <c r="D2000" s="94"/>
      <c r="E2000" s="94"/>
      <c r="F2000" s="94"/>
      <c r="G2000" s="112">
        <f>AU2000</f>
      </c>
      <c r="H2000" s="113"/>
      <c r="I2000" s="94" t="s">
        <v>393</v>
      </c>
      <c r="J2000" s="94" t="s">
        <v>424</v>
      </c>
      <c r="K2000" s="114">
        <f>P2000/3</f>
      </c>
      <c r="L2000" s="115">
        <v>699.13199999999995</v>
      </c>
      <c r="M2000" s="116"/>
      <c r="N2000" s="117">
        <f>M2000-L2000</f>
      </c>
      <c r="O2000" s="112"/>
      <c r="P2000" s="118">
        <f>N2000+O2000</f>
      </c>
      <c r="Q2000" s="94" t="s">
        <v>395</v>
      </c>
      <c r="R2000" s="94" t="s">
        <v>392</v>
      </c>
      <c r="S2000" s="119">
        <v>46331</v>
      </c>
      <c r="T2000" s="119"/>
      <c r="U2000" s="119">
        <v>46331</v>
      </c>
      <c r="V2000" s="94"/>
      <c r="W2000" s="94"/>
      <c r="X2000" s="94"/>
      <c r="Y2000" s="119">
        <v>46324</v>
      </c>
      <c r="Z2000" s="94"/>
      <c r="AA2000" s="120"/>
      <c r="AB2000" s="120"/>
      <c r="AC2000" s="120"/>
      <c r="AD2000" s="120"/>
      <c r="AE2000" s="120"/>
      <c r="AF2000" s="120"/>
      <c r="AG2000" s="94"/>
      <c r="AH2000" s="120"/>
      <c r="AI2000" s="94"/>
      <c r="AJ2000" s="94" t="s">
        <v>395</v>
      </c>
      <c r="AK2000" s="94" t="s">
        <v>748</v>
      </c>
      <c r="AL2000" s="94">
        <v>150</v>
      </c>
      <c r="AM2000" s="94" t="str">
        <f>TRIM(AJ2000)&amp;TRIM(AL2000)&amp;TRIM(AK2000)</f>
      </c>
      <c r="AN2000" s="116">
        <v>0</v>
      </c>
      <c r="AO2000" s="116" t="inlineStr">
        <is>
          <t>#NA</t>
        </is>
      </c>
      <c r="AP2000" s="116">
        <f>SUMIFS(M:M,AM:AM,AM2000)+SUMIFS(O:O,AM:AM,AM2000)</f>
      </c>
      <c r="AQ2000" s="116">
        <f>SUMIFS(L:L,AM:AM,AM2000)</f>
      </c>
      <c r="AR2000" s="116">
        <f>AQ2000-AP2000</f>
      </c>
      <c r="AS2000" s="94" t="str">
        <f>IF(AN2000&gt;=AQ2000,"ok","ck")</f>
      </c>
      <c r="AT2000" s="116">
        <f>-P2000</f>
      </c>
      <c r="AU2000" s="115">
        <f>IF(SUMIFS(AT:AT,AM:AM,AM2000)&gt;AO2000,(SUMIFS(AT:AT,AM:AM,AM2000)-AO2000))</f>
      </c>
      <c r="AV2000" s="116">
        <v>0</v>
      </c>
      <c r="AW2000" s="121">
        <v>0.914</v>
      </c>
      <c r="AX2000" s="115">
        <f>AN2000-AP2000</f>
      </c>
    </row>
    <row r="2001" spans="1:50" ht="15" hidden="1" customHeight="1" x14ac:dyDescent="0.3">
      <c r="A2001" s="94" t="s">
        <v>76</v>
      </c>
      <c r="B2001" s="94"/>
      <c r="C2001" s="94"/>
      <c r="D2001" s="94"/>
      <c r="E2001" s="94"/>
      <c r="F2001" s="94"/>
      <c r="G2001" s="112">
        <f>AU2001</f>
      </c>
      <c r="H2001" s="113"/>
      <c r="I2001" s="94" t="s">
        <v>393</v>
      </c>
      <c r="J2001" s="94" t="s">
        <v>434</v>
      </c>
      <c r="K2001" s="114">
        <f>P2001/3</f>
      </c>
      <c r="L2001" s="115">
        <v>1.8089999999999999</v>
      </c>
      <c r="M2001" s="116"/>
      <c r="N2001" s="117">
        <f>M2001-L2001</f>
      </c>
      <c r="O2001" s="112"/>
      <c r="P2001" s="118">
        <f>N2001+O2001</f>
      </c>
      <c r="Q2001" s="94" t="s">
        <v>834</v>
      </c>
      <c r="R2001" s="94" t="s">
        <v>392</v>
      </c>
      <c r="S2001" s="119">
        <v>46349</v>
      </c>
      <c r="T2001" s="119"/>
      <c r="U2001" s="119">
        <v>46349</v>
      </c>
      <c r="V2001" s="94"/>
      <c r="W2001" s="94"/>
      <c r="X2001" s="94"/>
      <c r="Y2001" s="119">
        <v>46340</v>
      </c>
      <c r="Z2001" s="94"/>
      <c r="AA2001" s="120"/>
      <c r="AB2001" s="120"/>
      <c r="AC2001" s="120"/>
      <c r="AD2001" s="120"/>
      <c r="AE2001" s="120"/>
      <c r="AF2001" s="120"/>
      <c r="AG2001" s="94"/>
      <c r="AH2001" s="120"/>
      <c r="AI2001" s="94"/>
      <c r="AJ2001" s="94" t="s">
        <v>834</v>
      </c>
      <c r="AK2001" s="94" t="s">
        <v>120</v>
      </c>
      <c r="AL2001" s="94">
        <v>150</v>
      </c>
      <c r="AM2001" s="94" t="str">
        <f>TRIM(AJ2001)&amp;TRIM(AL2001)&amp;TRIM(AK2001)</f>
      </c>
      <c r="AN2001" s="116">
        <v>0</v>
      </c>
      <c r="AO2001" s="116" t="inlineStr">
        <is>
          <t>#NA</t>
        </is>
      </c>
      <c r="AP2001" s="116">
        <f>SUMIFS(M:M,AM:AM,AM2001)+SUMIFS(O:O,AM:AM,AM2001)</f>
      </c>
      <c r="AQ2001" s="116">
        <f>SUMIFS(L:L,AM:AM,AM2001)</f>
      </c>
      <c r="AR2001" s="116">
        <f>AQ2001-AP2001</f>
      </c>
      <c r="AS2001" s="94" t="str">
        <f>IF(AN2001&gt;=AQ2001,"ok","ck")</f>
      </c>
      <c r="AT2001" s="116">
        <f>-P2001</f>
      </c>
      <c r="AU2001" s="115">
        <f>IF(SUMIFS(AT:AT,AM:AM,AM2001)&gt;AO2001,(SUMIFS(AT:AT,AM:AM,AM2001)-AO2001))</f>
      </c>
      <c r="AV2001" s="116">
        <v>0</v>
      </c>
      <c r="AW2001" s="121">
        <v>0</v>
      </c>
      <c r="AX2001" s="115">
        <f>AN2001-AP2001</f>
      </c>
    </row>
    <row r="2002" spans="1:50" ht="15" hidden="1" customHeight="1" x14ac:dyDescent="0.3">
      <c r="A2002" s="94" t="s">
        <v>76</v>
      </c>
      <c r="B2002" s="94"/>
      <c r="C2002" s="94"/>
      <c r="D2002" s="94"/>
      <c r="E2002" s="94"/>
      <c r="F2002" s="94"/>
      <c r="G2002" s="112">
        <f>AU2002</f>
      </c>
      <c r="H2002" s="113"/>
      <c r="I2002" s="94" t="s">
        <v>393</v>
      </c>
      <c r="J2002" s="94" t="s">
        <v>434</v>
      </c>
      <c r="K2002" s="114">
        <f>P2002/3</f>
      </c>
      <c r="L2002" s="115">
        <v>560.76</v>
      </c>
      <c r="M2002" s="116"/>
      <c r="N2002" s="117">
        <f>M2002-L2002</f>
      </c>
      <c r="O2002" s="112"/>
      <c r="P2002" s="118">
        <f>N2002+O2002</f>
      </c>
      <c r="Q2002" s="94" t="s">
        <v>834</v>
      </c>
      <c r="R2002" s="94" t="s">
        <v>392</v>
      </c>
      <c r="S2002" s="119">
        <v>46349</v>
      </c>
      <c r="T2002" s="119"/>
      <c r="U2002" s="119">
        <v>46349</v>
      </c>
      <c r="V2002" s="94"/>
      <c r="W2002" s="94"/>
      <c r="X2002" s="94"/>
      <c r="Y2002" s="119">
        <v>46341</v>
      </c>
      <c r="Z2002" s="94"/>
      <c r="AA2002" s="120"/>
      <c r="AB2002" s="120"/>
      <c r="AC2002" s="120"/>
      <c r="AD2002" s="120"/>
      <c r="AE2002" s="120"/>
      <c r="AF2002" s="120"/>
      <c r="AG2002" s="94"/>
      <c r="AH2002" s="120"/>
      <c r="AI2002" s="94"/>
      <c r="AJ2002" s="94" t="s">
        <v>834</v>
      </c>
      <c r="AK2002" s="94" t="s">
        <v>120</v>
      </c>
      <c r="AL2002" s="94">
        <v>150</v>
      </c>
      <c r="AM2002" s="94" t="str">
        <f>TRIM(AJ2002)&amp;TRIM(AL2002)&amp;TRIM(AK2002)</f>
      </c>
      <c r="AN2002" s="116">
        <v>0</v>
      </c>
      <c r="AO2002" s="116" t="inlineStr">
        <is>
          <t>#NA</t>
        </is>
      </c>
      <c r="AP2002" s="116">
        <f>SUMIFS(M:M,AM:AM,AM2002)+SUMIFS(O:O,AM:AM,AM2002)</f>
      </c>
      <c r="AQ2002" s="116">
        <f>SUMIFS(L:L,AM:AM,AM2002)</f>
      </c>
      <c r="AR2002" s="116">
        <f>AQ2002-AP2002</f>
      </c>
      <c r="AS2002" s="94" t="str">
        <f>IF(AN2002&gt;=AQ2002,"ok","ck")</f>
      </c>
      <c r="AT2002" s="116">
        <f>-P2002</f>
      </c>
      <c r="AU2002" s="115">
        <f>IF(SUMIFS(AT:AT,AM:AM,AM2002)&gt;AO2002,(SUMIFS(AT:AT,AM:AM,AM2002)-AO2002))</f>
      </c>
      <c r="AV2002" s="116">
        <v>0</v>
      </c>
      <c r="AW2002" s="121">
        <v>0</v>
      </c>
      <c r="AX2002" s="115">
        <f>AN2002-AP2002</f>
      </c>
    </row>
    <row r="2003" spans="1:50" ht="15" hidden="1" customHeight="1" x14ac:dyDescent="0.3">
      <c r="A2003" s="94" t="s">
        <v>76</v>
      </c>
      <c r="B2003" s="94"/>
      <c r="C2003" s="94"/>
      <c r="D2003" s="94"/>
      <c r="E2003" s="94"/>
      <c r="F2003" s="94"/>
      <c r="G2003" s="112">
        <f>AU2003</f>
      </c>
      <c r="H2003" s="113"/>
      <c r="I2003" s="94" t="s">
        <v>393</v>
      </c>
      <c r="J2003" s="94" t="s">
        <v>434</v>
      </c>
      <c r="K2003" s="114">
        <f>P2003/3</f>
      </c>
      <c r="L2003" s="115">
        <v>3.6819999999999999</v>
      </c>
      <c r="M2003" s="116"/>
      <c r="N2003" s="117">
        <f>M2003-L2003</f>
      </c>
      <c r="O2003" s="112"/>
      <c r="P2003" s="118">
        <f>N2003+O2003</f>
      </c>
      <c r="Q2003" s="94" t="s">
        <v>834</v>
      </c>
      <c r="R2003" s="94" t="s">
        <v>392</v>
      </c>
      <c r="S2003" s="119">
        <v>46349</v>
      </c>
      <c r="T2003" s="119"/>
      <c r="U2003" s="119">
        <v>46349</v>
      </c>
      <c r="V2003" s="94"/>
      <c r="W2003" s="94"/>
      <c r="X2003" s="94"/>
      <c r="Y2003" s="119">
        <v>46343</v>
      </c>
      <c r="Z2003" s="94"/>
      <c r="AA2003" s="120"/>
      <c r="AB2003" s="120"/>
      <c r="AC2003" s="120"/>
      <c r="AD2003" s="120"/>
      <c r="AE2003" s="120"/>
      <c r="AF2003" s="120"/>
      <c r="AG2003" s="94"/>
      <c r="AH2003" s="120"/>
      <c r="AI2003" s="94"/>
      <c r="AJ2003" s="94" t="s">
        <v>834</v>
      </c>
      <c r="AK2003" s="94" t="s">
        <v>120</v>
      </c>
      <c r="AL2003" s="94">
        <v>150</v>
      </c>
      <c r="AM2003" s="94" t="str">
        <f>TRIM(AJ2003)&amp;TRIM(AL2003)&amp;TRIM(AK2003)</f>
      </c>
      <c r="AN2003" s="116">
        <v>0</v>
      </c>
      <c r="AO2003" s="116" t="inlineStr">
        <is>
          <t>#NA</t>
        </is>
      </c>
      <c r="AP2003" s="116">
        <f>SUMIFS(M:M,AM:AM,AM2003)+SUMIFS(O:O,AM:AM,AM2003)</f>
      </c>
      <c r="AQ2003" s="116">
        <f>SUMIFS(L:L,AM:AM,AM2003)</f>
      </c>
      <c r="AR2003" s="116">
        <f>AQ2003-AP2003</f>
      </c>
      <c r="AS2003" s="94" t="str">
        <f>IF(AN2003&gt;=AQ2003,"ok","ck")</f>
      </c>
      <c r="AT2003" s="116">
        <f>-P2003</f>
      </c>
      <c r="AU2003" s="115">
        <f>IF(SUMIFS(AT:AT,AM:AM,AM2003)&gt;AO2003,(SUMIFS(AT:AT,AM:AM,AM2003)-AO2003))</f>
      </c>
      <c r="AV2003" s="116">
        <v>0</v>
      </c>
      <c r="AW2003" s="121">
        <v>0</v>
      </c>
      <c r="AX2003" s="115">
        <f>AN2003-AP2003</f>
      </c>
    </row>
    <row r="2004" spans="1:50" ht="15" hidden="1" customHeight="1" x14ac:dyDescent="0.3">
      <c r="A2004" s="94" t="s">
        <v>76</v>
      </c>
      <c r="B2004" s="94"/>
      <c r="C2004" s="94"/>
      <c r="D2004" s="94"/>
      <c r="E2004" s="94"/>
      <c r="F2004" s="94"/>
      <c r="G2004" s="112">
        <f>AU2004</f>
      </c>
      <c r="H2004" s="113"/>
      <c r="I2004" s="94" t="s">
        <v>393</v>
      </c>
      <c r="J2004" s="94" t="s">
        <v>402</v>
      </c>
      <c r="K2004" s="114">
        <f>P2004/3</f>
      </c>
      <c r="L2004" s="115">
        <v>344.51400000000001</v>
      </c>
      <c r="M2004" s="116"/>
      <c r="N2004" s="117">
        <f>M2004-L2004</f>
      </c>
      <c r="O2004" s="112"/>
      <c r="P2004" s="118">
        <f>N2004+O2004</f>
      </c>
      <c r="Q2004" s="94" t="s">
        <v>834</v>
      </c>
      <c r="R2004" s="94" t="s">
        <v>392</v>
      </c>
      <c r="S2004" s="119">
        <v>46349</v>
      </c>
      <c r="T2004" s="119"/>
      <c r="U2004" s="119">
        <v>46349</v>
      </c>
      <c r="V2004" s="94"/>
      <c r="W2004" s="94"/>
      <c r="X2004" s="94"/>
      <c r="Y2004" s="119">
        <v>46340</v>
      </c>
      <c r="Z2004" s="94"/>
      <c r="AA2004" s="120"/>
      <c r="AB2004" s="120"/>
      <c r="AC2004" s="120"/>
      <c r="AD2004" s="120"/>
      <c r="AE2004" s="120"/>
      <c r="AF2004" s="120"/>
      <c r="AG2004" s="94"/>
      <c r="AH2004" s="120"/>
      <c r="AI2004" s="94"/>
      <c r="AJ2004" s="94" t="s">
        <v>834</v>
      </c>
      <c r="AK2004" s="94" t="s">
        <v>342</v>
      </c>
      <c r="AL2004" s="94">
        <v>150</v>
      </c>
      <c r="AM2004" s="94" t="str">
        <f>TRIM(AJ2004)&amp;TRIM(AL2004)&amp;TRIM(AK2004)</f>
      </c>
      <c r="AN2004" s="116">
        <v>0</v>
      </c>
      <c r="AO2004" s="116" t="inlineStr">
        <is>
          <t>#NA</t>
        </is>
      </c>
      <c r="AP2004" s="116">
        <f>SUMIFS(M:M,AM:AM,AM2004)+SUMIFS(O:O,AM:AM,AM2004)</f>
      </c>
      <c r="AQ2004" s="116">
        <f>SUMIFS(L:L,AM:AM,AM2004)</f>
      </c>
      <c r="AR2004" s="116">
        <f>AQ2004-AP2004</f>
      </c>
      <c r="AS2004" s="94" t="str">
        <f>IF(AN2004&gt;=AQ2004,"ok","ck")</f>
      </c>
      <c r="AT2004" s="116">
        <f>-P2004</f>
      </c>
      <c r="AU2004" s="115">
        <f>IF(SUMIFS(AT:AT,AM:AM,AM2004)&gt;AO2004,(SUMIFS(AT:AT,AM:AM,AM2004)-AO2004))</f>
      </c>
      <c r="AV2004" s="116">
        <v>0</v>
      </c>
      <c r="AW2004" s="121">
        <v>0</v>
      </c>
      <c r="AX2004" s="115">
        <f>AN2004-AP2004</f>
      </c>
    </row>
    <row r="2005" spans="1:50" ht="15" hidden="1" customHeight="1" x14ac:dyDescent="0.3">
      <c r="A2005" s="94" t="s">
        <v>76</v>
      </c>
      <c r="B2005" s="94"/>
      <c r="C2005" s="94"/>
      <c r="D2005" s="94"/>
      <c r="E2005" s="94"/>
      <c r="F2005" s="94"/>
      <c r="G2005" s="112">
        <f>AU2005</f>
      </c>
      <c r="H2005" s="113"/>
      <c r="I2005" s="94" t="s">
        <v>393</v>
      </c>
      <c r="J2005" s="94" t="s">
        <v>402</v>
      </c>
      <c r="K2005" s="114">
        <f>P2005/3</f>
      </c>
      <c r="L2005" s="115">
        <v>1.8089999999999999</v>
      </c>
      <c r="M2005" s="116"/>
      <c r="N2005" s="117">
        <f>M2005-L2005</f>
      </c>
      <c r="O2005" s="112"/>
      <c r="P2005" s="118">
        <f>N2005+O2005</f>
      </c>
      <c r="Q2005" s="94" t="s">
        <v>834</v>
      </c>
      <c r="R2005" s="94" t="s">
        <v>392</v>
      </c>
      <c r="S2005" s="119">
        <v>46349</v>
      </c>
      <c r="T2005" s="119"/>
      <c r="U2005" s="119">
        <v>46349</v>
      </c>
      <c r="V2005" s="94"/>
      <c r="W2005" s="94"/>
      <c r="X2005" s="94"/>
      <c r="Y2005" s="119">
        <v>46341</v>
      </c>
      <c r="Z2005" s="94"/>
      <c r="AA2005" s="120"/>
      <c r="AB2005" s="120"/>
      <c r="AC2005" s="120"/>
      <c r="AD2005" s="120"/>
      <c r="AE2005" s="120"/>
      <c r="AF2005" s="120"/>
      <c r="AG2005" s="94"/>
      <c r="AH2005" s="120"/>
      <c r="AI2005" s="94"/>
      <c r="AJ2005" s="94" t="s">
        <v>834</v>
      </c>
      <c r="AK2005" s="94" t="s">
        <v>342</v>
      </c>
      <c r="AL2005" s="94">
        <v>150</v>
      </c>
      <c r="AM2005" s="94" t="str">
        <f>TRIM(AJ2005)&amp;TRIM(AL2005)&amp;TRIM(AK2005)</f>
      </c>
      <c r="AN2005" s="116">
        <v>0</v>
      </c>
      <c r="AO2005" s="116" t="inlineStr">
        <is>
          <t>#NA</t>
        </is>
      </c>
      <c r="AP2005" s="116">
        <f>SUMIFS(M:M,AM:AM,AM2005)+SUMIFS(O:O,AM:AM,AM2005)</f>
      </c>
      <c r="AQ2005" s="116">
        <f>SUMIFS(L:L,AM:AM,AM2005)</f>
      </c>
      <c r="AR2005" s="116">
        <f>AQ2005-AP2005</f>
      </c>
      <c r="AS2005" s="94" t="str">
        <f>IF(AN2005&gt;=AQ2005,"ok","ck")</f>
      </c>
      <c r="AT2005" s="116">
        <f>-P2005</f>
      </c>
      <c r="AU2005" s="115">
        <f>IF(SUMIFS(AT:AT,AM:AM,AM2005)&gt;AO2005,(SUMIFS(AT:AT,AM:AM,AM2005)-AO2005))</f>
      </c>
      <c r="AV2005" s="116">
        <v>0</v>
      </c>
      <c r="AW2005" s="121">
        <v>0</v>
      </c>
      <c r="AX2005" s="115">
        <f>AN2005-AP2005</f>
      </c>
    </row>
    <row r="2006" spans="1:50" ht="15" hidden="1" customHeight="1" x14ac:dyDescent="0.3">
      <c r="A2006" s="94" t="s">
        <v>76</v>
      </c>
      <c r="B2006" s="94"/>
      <c r="C2006" s="94"/>
      <c r="D2006" s="94"/>
      <c r="E2006" s="94"/>
      <c r="F2006" s="94"/>
      <c r="G2006" s="112">
        <f>AU2006</f>
      </c>
      <c r="H2006" s="113"/>
      <c r="I2006" s="94" t="s">
        <v>393</v>
      </c>
      <c r="J2006" s="94" t="s">
        <v>419</v>
      </c>
      <c r="K2006" s="114">
        <f>P2006/3</f>
      </c>
      <c r="L2006" s="115">
        <v>349.65600000000001</v>
      </c>
      <c r="M2006" s="116"/>
      <c r="N2006" s="117">
        <f>M2006-L2006</f>
      </c>
      <c r="O2006" s="112"/>
      <c r="P2006" s="118">
        <f>N2006+O2006</f>
      </c>
      <c r="Q2006" s="94" t="s">
        <v>834</v>
      </c>
      <c r="R2006" s="94" t="s">
        <v>392</v>
      </c>
      <c r="S2006" s="119">
        <v>46349</v>
      </c>
      <c r="T2006" s="119"/>
      <c r="U2006" s="119">
        <v>46349</v>
      </c>
      <c r="V2006" s="94"/>
      <c r="W2006" s="94"/>
      <c r="X2006" s="94"/>
      <c r="Y2006" s="119">
        <v>46337</v>
      </c>
      <c r="Z2006" s="94"/>
      <c r="AA2006" s="120"/>
      <c r="AB2006" s="120"/>
      <c r="AC2006" s="120"/>
      <c r="AD2006" s="120"/>
      <c r="AE2006" s="120"/>
      <c r="AF2006" s="120"/>
      <c r="AG2006" s="94"/>
      <c r="AH2006" s="120"/>
      <c r="AI2006" s="94"/>
      <c r="AJ2006" s="94" t="s">
        <v>834</v>
      </c>
      <c r="AK2006" s="94" t="s">
        <v>120</v>
      </c>
      <c r="AL2006" s="94">
        <v>150</v>
      </c>
      <c r="AM2006" s="94" t="str">
        <f>TRIM(AJ2006)&amp;TRIM(AL2006)&amp;TRIM(AK2006)</f>
      </c>
      <c r="AN2006" s="116">
        <v>0</v>
      </c>
      <c r="AO2006" s="116" t="inlineStr">
        <is>
          <t>#NA</t>
        </is>
      </c>
      <c r="AP2006" s="116">
        <f>SUMIFS(M:M,AM:AM,AM2006)+SUMIFS(O:O,AM:AM,AM2006)</f>
      </c>
      <c r="AQ2006" s="116">
        <f>SUMIFS(L:L,AM:AM,AM2006)</f>
      </c>
      <c r="AR2006" s="116">
        <f>AQ2006-AP2006</f>
      </c>
      <c r="AS2006" s="94" t="str">
        <f>IF(AN2006&gt;=AQ2006,"ok","ck")</f>
      </c>
      <c r="AT2006" s="116">
        <f>-P2006</f>
      </c>
      <c r="AU2006" s="115">
        <f>IF(SUMIFS(AT:AT,AM:AM,AM2006)&gt;AO2006,(SUMIFS(AT:AT,AM:AM,AM2006)-AO2006))</f>
      </c>
      <c r="AV2006" s="116">
        <v>0</v>
      </c>
      <c r="AW2006" s="121">
        <v>0</v>
      </c>
      <c r="AX2006" s="115">
        <f>AN2006-AP2006</f>
      </c>
    </row>
    <row r="2007" spans="1:50" ht="15" hidden="1" customHeight="1" x14ac:dyDescent="0.3">
      <c r="A2007" s="94" t="s">
        <v>76</v>
      </c>
      <c r="B2007" s="94"/>
      <c r="C2007" s="94"/>
      <c r="D2007" s="94"/>
      <c r="E2007" s="94"/>
      <c r="F2007" s="94"/>
      <c r="G2007" s="112">
        <f>AU2007</f>
      </c>
      <c r="H2007" s="113"/>
      <c r="I2007" s="94" t="s">
        <v>393</v>
      </c>
      <c r="J2007" s="94" t="s">
        <v>419</v>
      </c>
      <c r="K2007" s="114">
        <f>P2007/3</f>
      </c>
      <c r="L2007" s="115">
        <v>1.83</v>
      </c>
      <c r="M2007" s="116"/>
      <c r="N2007" s="117">
        <f>M2007-L2007</f>
      </c>
      <c r="O2007" s="112"/>
      <c r="P2007" s="118">
        <f>N2007+O2007</f>
      </c>
      <c r="Q2007" s="94" t="s">
        <v>834</v>
      </c>
      <c r="R2007" s="94" t="s">
        <v>392</v>
      </c>
      <c r="S2007" s="119">
        <v>46349</v>
      </c>
      <c r="T2007" s="119"/>
      <c r="U2007" s="119">
        <v>46349</v>
      </c>
      <c r="V2007" s="94"/>
      <c r="W2007" s="94"/>
      <c r="X2007" s="94"/>
      <c r="Y2007" s="119">
        <v>46340</v>
      </c>
      <c r="Z2007" s="94"/>
      <c r="AA2007" s="120"/>
      <c r="AB2007" s="120"/>
      <c r="AC2007" s="120"/>
      <c r="AD2007" s="120"/>
      <c r="AE2007" s="120"/>
      <c r="AF2007" s="120"/>
      <c r="AG2007" s="94"/>
      <c r="AH2007" s="120"/>
      <c r="AI2007" s="94"/>
      <c r="AJ2007" s="94" t="s">
        <v>834</v>
      </c>
      <c r="AK2007" s="94" t="s">
        <v>120</v>
      </c>
      <c r="AL2007" s="94">
        <v>150</v>
      </c>
      <c r="AM2007" s="94" t="str">
        <f>TRIM(AJ2007)&amp;TRIM(AL2007)&amp;TRIM(AK2007)</f>
      </c>
      <c r="AN2007" s="116">
        <v>0</v>
      </c>
      <c r="AO2007" s="116" t="inlineStr">
        <is>
          <t>#NA</t>
        </is>
      </c>
      <c r="AP2007" s="116">
        <f>SUMIFS(M:M,AM:AM,AM2007)+SUMIFS(O:O,AM:AM,AM2007)</f>
      </c>
      <c r="AQ2007" s="116">
        <f>SUMIFS(L:L,AM:AM,AM2007)</f>
      </c>
      <c r="AR2007" s="116">
        <f>AQ2007-AP2007</f>
      </c>
      <c r="AS2007" s="94" t="str">
        <f>IF(AN2007&gt;=AQ2007,"ok","ck")</f>
      </c>
      <c r="AT2007" s="116">
        <f>-P2007</f>
      </c>
      <c r="AU2007" s="115">
        <f>IF(SUMIFS(AT:AT,AM:AM,AM2007)&gt;AO2007,(SUMIFS(AT:AT,AM:AM,AM2007)-AO2007))</f>
      </c>
      <c r="AV2007" s="116">
        <v>0</v>
      </c>
      <c r="AW2007" s="121">
        <v>0</v>
      </c>
      <c r="AX2007" s="115">
        <f>AN2007-AP2007</f>
      </c>
    </row>
    <row r="2008" spans="1:50" ht="15" hidden="1" customHeight="1" x14ac:dyDescent="0.3">
      <c r="A2008" s="94" t="s">
        <v>76</v>
      </c>
      <c r="B2008" s="94"/>
      <c r="C2008" s="94"/>
      <c r="D2008" s="94"/>
      <c r="E2008" s="94"/>
      <c r="F2008" s="94"/>
      <c r="G2008" s="112">
        <f>AU2008</f>
      </c>
      <c r="H2008" s="113"/>
      <c r="I2008" s="94" t="s">
        <v>393</v>
      </c>
      <c r="J2008" s="94" t="s">
        <v>412</v>
      </c>
      <c r="K2008" s="114">
        <f>P2008/3</f>
      </c>
      <c r="L2008" s="115">
        <v>733.66499999999996</v>
      </c>
      <c r="M2008" s="116">
        <f>L2008</f>
      </c>
      <c r="N2008" s="117">
        <f>M2008-L2008</f>
      </c>
      <c r="O2008" s="112"/>
      <c r="P2008" s="118">
        <f>N2008+O2008</f>
      </c>
      <c r="Q2008" s="94" t="s">
        <v>112</v>
      </c>
      <c r="R2008" s="94" t="s">
        <v>392</v>
      </c>
      <c r="S2008" s="119">
        <v>46324</v>
      </c>
      <c r="T2008" s="119"/>
      <c r="U2008" s="119">
        <v>46324</v>
      </c>
      <c r="V2008" s="94"/>
      <c r="W2008" s="94"/>
      <c r="X2008" s="94"/>
      <c r="Y2008" s="119">
        <v>46324</v>
      </c>
      <c r="Z2008" s="94"/>
      <c r="AA2008" s="120"/>
      <c r="AB2008" s="120"/>
      <c r="AC2008" s="120"/>
      <c r="AD2008" s="120"/>
      <c r="AE2008" s="120"/>
      <c r="AF2008" s="120"/>
      <c r="AG2008" s="94"/>
      <c r="AH2008" s="120"/>
      <c r="AI2008" s="94"/>
      <c r="AJ2008" s="94" t="s">
        <v>112</v>
      </c>
      <c r="AK2008" s="94" t="s">
        <v>749</v>
      </c>
      <c r="AL2008" s="94">
        <v>150</v>
      </c>
      <c r="AM2008" s="94" t="str">
        <f>TRIM(AJ2008)&amp;TRIM(AL2008)&amp;TRIM(AK2008)</f>
      </c>
      <c r="AN2008" s="116">
        <v>4986.83</v>
      </c>
      <c r="AO2008" s="116">
        <v>5.12</v>
      </c>
      <c r="AP2008" s="116">
        <f>SUMIFS(M:M,AM:AM,AM2008)+SUMIFS(O:O,AM:AM,AM2008)</f>
      </c>
      <c r="AQ2008" s="116">
        <f>SUMIFS(L:L,AM:AM,AM2008)</f>
      </c>
      <c r="AR2008" s="116">
        <f>AQ2008-AP2008</f>
      </c>
      <c r="AS2008" s="94" t="str">
        <f>IF(AN2008&gt;=AQ2008,"ok","ck")</f>
      </c>
      <c r="AT2008" s="116">
        <f>-P2008</f>
      </c>
      <c r="AU2008" s="115">
        <f>IF(SUMIFS(AT:AT,AM:AM,AM2008)&gt;AO2008,(SUMIFS(AT:AT,AM:AM,AM2008)-AO2008))</f>
      </c>
      <c r="AV2008" s="116">
        <v>4801.56</v>
      </c>
      <c r="AW2008" s="121">
        <v>0.994</v>
      </c>
      <c r="AX2008" s="115">
        <f>AN2008-AP2008</f>
      </c>
    </row>
    <row r="2009" spans="1:50" ht="15" hidden="1" customHeight="1" x14ac:dyDescent="0.3">
      <c r="A2009" s="94" t="s">
        <v>76</v>
      </c>
      <c r="B2009" s="94"/>
      <c r="C2009" s="94"/>
      <c r="D2009" s="94"/>
      <c r="E2009" s="94"/>
      <c r="F2009" s="94"/>
      <c r="G2009" s="112">
        <f>AU2009</f>
      </c>
      <c r="H2009" s="113"/>
      <c r="I2009" s="94" t="s">
        <v>393</v>
      </c>
      <c r="J2009" s="94" t="s">
        <v>412</v>
      </c>
      <c r="K2009" s="114">
        <f>P2009/3</f>
      </c>
      <c r="L2009" s="115">
        <v>2.0179999999999998</v>
      </c>
      <c r="M2009" s="116">
        <f>L2009</f>
      </c>
      <c r="N2009" s="117">
        <f>M2009-L2009</f>
      </c>
      <c r="O2009" s="112"/>
      <c r="P2009" s="118">
        <f>N2009+O2009</f>
      </c>
      <c r="Q2009" s="94" t="s">
        <v>112</v>
      </c>
      <c r="R2009" s="94" t="s">
        <v>392</v>
      </c>
      <c r="S2009" s="119">
        <v>46324</v>
      </c>
      <c r="T2009" s="119"/>
      <c r="U2009" s="120">
        <v>46324</v>
      </c>
      <c r="V2009" s="94"/>
      <c r="W2009" s="94"/>
      <c r="X2009" s="94"/>
      <c r="Y2009" s="119">
        <v>46324</v>
      </c>
      <c r="Z2009" s="94"/>
      <c r="AA2009" s="120"/>
      <c r="AB2009" s="120"/>
      <c r="AC2009" s="120"/>
      <c r="AD2009" s="120"/>
      <c r="AE2009" s="120"/>
      <c r="AF2009" s="120"/>
      <c r="AG2009" s="94"/>
      <c r="AH2009" s="120"/>
      <c r="AI2009" s="94"/>
      <c r="AJ2009" s="94" t="s">
        <v>112</v>
      </c>
      <c r="AK2009" s="94" t="s">
        <v>749</v>
      </c>
      <c r="AL2009" s="94">
        <v>150</v>
      </c>
      <c r="AM2009" s="94" t="str">
        <f>TRIM(AJ2009)&amp;TRIM(AL2009)&amp;TRIM(AK2009)</f>
      </c>
      <c r="AN2009" s="116">
        <v>4986.83</v>
      </c>
      <c r="AO2009" s="116">
        <v>5.12</v>
      </c>
      <c r="AP2009" s="116">
        <f>SUMIFS(M:M,AM:AM,AM2009)+SUMIFS(O:O,AM:AM,AM2009)</f>
      </c>
      <c r="AQ2009" s="116">
        <f>SUMIFS(L:L,AM:AM,AM2009)</f>
      </c>
      <c r="AR2009" s="116">
        <f>AQ2009-AP2009</f>
      </c>
      <c r="AS2009" s="94" t="str">
        <f>IF(AN2009&gt;=AQ2009,"ok","ck")</f>
      </c>
      <c r="AT2009" s="116">
        <f>-P2009</f>
      </c>
      <c r="AU2009" s="115">
        <f>IF(SUMIFS(AT:AT,AM:AM,AM2009)&gt;AO2009,(SUMIFS(AT:AT,AM:AM,AM2009)-AO2009))</f>
      </c>
      <c r="AV2009" s="116">
        <v>4801.56</v>
      </c>
      <c r="AW2009" s="121">
        <v>0.994</v>
      </c>
      <c r="AX2009" s="115">
        <f>AN2009-AP2009</f>
      </c>
    </row>
    <row r="2010" spans="1:50" ht="15" hidden="1" customHeight="1" x14ac:dyDescent="0.3">
      <c r="A2010" s="94" t="s">
        <v>76</v>
      </c>
      <c r="B2010" s="94"/>
      <c r="C2010" s="94"/>
      <c r="D2010" s="94"/>
      <c r="E2010" s="94"/>
      <c r="F2010" s="94"/>
      <c r="G2010" s="112">
        <f>AU2010</f>
      </c>
      <c r="H2010" s="113"/>
      <c r="I2010" s="94" t="s">
        <v>393</v>
      </c>
      <c r="J2010" s="94" t="s">
        <v>413</v>
      </c>
      <c r="K2010" s="114">
        <f>P2010/3</f>
      </c>
      <c r="L2010" s="115">
        <v>647.048</v>
      </c>
      <c r="M2010" s="116">
        <f>L2010</f>
      </c>
      <c r="N2010" s="117">
        <f>M2010-L2010</f>
      </c>
      <c r="O2010" s="112"/>
      <c r="P2010" s="118">
        <f>N2010+O2010</f>
      </c>
      <c r="Q2010" s="94" t="s">
        <v>112</v>
      </c>
      <c r="R2010" s="94" t="s">
        <v>392</v>
      </c>
      <c r="S2010" s="119">
        <v>46323</v>
      </c>
      <c r="T2010" s="119"/>
      <c r="U2010" s="119">
        <v>46323</v>
      </c>
      <c r="V2010" s="94"/>
      <c r="W2010" s="94"/>
      <c r="X2010" s="94"/>
      <c r="Y2010" s="119">
        <v>46323</v>
      </c>
      <c r="Z2010" s="94"/>
      <c r="AA2010" s="120"/>
      <c r="AB2010" s="120"/>
      <c r="AC2010" s="120"/>
      <c r="AD2010" s="120"/>
      <c r="AE2010" s="120"/>
      <c r="AF2010" s="120"/>
      <c r="AG2010" s="94"/>
      <c r="AH2010" s="120"/>
      <c r="AI2010" s="94"/>
      <c r="AJ2010" s="94" t="s">
        <v>112</v>
      </c>
      <c r="AK2010" s="94" t="s">
        <v>749</v>
      </c>
      <c r="AL2010" s="94">
        <v>150</v>
      </c>
      <c r="AM2010" s="94" t="str">
        <f>TRIM(AJ2010)&amp;TRIM(AL2010)&amp;TRIM(AK2010)</f>
      </c>
      <c r="AN2010" s="116">
        <v>4986.83</v>
      </c>
      <c r="AO2010" s="116">
        <v>5.12</v>
      </c>
      <c r="AP2010" s="116">
        <f>SUMIFS(M:M,AM:AM,AM2010)+SUMIFS(O:O,AM:AM,AM2010)</f>
      </c>
      <c r="AQ2010" s="116">
        <f>SUMIFS(L:L,AM:AM,AM2010)</f>
      </c>
      <c r="AR2010" s="116">
        <f>AQ2010-AP2010</f>
      </c>
      <c r="AS2010" s="94" t="str">
        <f>IF(AN2010&gt;=AQ2010,"ok","ck")</f>
      </c>
      <c r="AT2010" s="116">
        <f>-P2010</f>
      </c>
      <c r="AU2010" s="115">
        <f>IF(SUMIFS(AT:AT,AM:AM,AM2010)&gt;AO2010,(SUMIFS(AT:AT,AM:AM,AM2010)-AO2010))</f>
      </c>
      <c r="AV2010" s="116">
        <v>4801.56</v>
      </c>
      <c r="AW2010" s="121">
        <v>0.994</v>
      </c>
      <c r="AX2010" s="115">
        <f>AN2010-AP2010</f>
      </c>
    </row>
    <row r="2011" spans="1:50" ht="15" hidden="1" customHeight="1" x14ac:dyDescent="0.3">
      <c r="A2011" s="94" t="s">
        <v>76</v>
      </c>
      <c r="B2011" s="94"/>
      <c r="C2011" s="94"/>
      <c r="D2011" s="94"/>
      <c r="E2011" s="94"/>
      <c r="F2011" s="94"/>
      <c r="G2011" s="112">
        <f>AU2011</f>
      </c>
      <c r="H2011" s="113"/>
      <c r="I2011" s="94" t="s">
        <v>393</v>
      </c>
      <c r="J2011" s="94" t="s">
        <v>413</v>
      </c>
      <c r="K2011" s="114">
        <f>P2011/3</f>
      </c>
      <c r="L2011" s="115">
        <v>682</v>
      </c>
      <c r="M2011" s="116">
        <f>L2011</f>
      </c>
      <c r="N2011" s="117">
        <f>M2011-L2011</f>
      </c>
      <c r="O2011" s="112"/>
      <c r="P2011" s="118">
        <f>N2011+O2011</f>
      </c>
      <c r="Q2011" s="94" t="s">
        <v>112</v>
      </c>
      <c r="R2011" s="94" t="s">
        <v>392</v>
      </c>
      <c r="S2011" s="119">
        <v>46327</v>
      </c>
      <c r="T2011" s="119"/>
      <c r="U2011" s="119">
        <v>46327</v>
      </c>
      <c r="V2011" s="94"/>
      <c r="W2011" s="94"/>
      <c r="X2011" s="94"/>
      <c r="Y2011" s="119">
        <v>46327</v>
      </c>
      <c r="Z2011" s="94"/>
      <c r="AA2011" s="120"/>
      <c r="AB2011" s="120"/>
      <c r="AC2011" s="120"/>
      <c r="AD2011" s="120"/>
      <c r="AE2011" s="120"/>
      <c r="AF2011" s="120"/>
      <c r="AG2011" s="94"/>
      <c r="AH2011" s="120"/>
      <c r="AI2011" s="94"/>
      <c r="AJ2011" s="94" t="s">
        <v>112</v>
      </c>
      <c r="AK2011" s="94" t="s">
        <v>749</v>
      </c>
      <c r="AL2011" s="94">
        <v>150</v>
      </c>
      <c r="AM2011" s="94" t="str">
        <f>TRIM(AJ2011)&amp;TRIM(AL2011)&amp;TRIM(AK2011)</f>
      </c>
      <c r="AN2011" s="116">
        <v>4986.83</v>
      </c>
      <c r="AO2011" s="116">
        <v>5.12</v>
      </c>
      <c r="AP2011" s="116">
        <f>SUMIFS(M:M,AM:AM,AM2011)+SUMIFS(O:O,AM:AM,AM2011)</f>
      </c>
      <c r="AQ2011" s="116">
        <f>SUMIFS(L:L,AM:AM,AM2011)</f>
      </c>
      <c r="AR2011" s="116">
        <f>AQ2011-AP2011</f>
      </c>
      <c r="AS2011" s="94" t="str">
        <f>IF(AN2011&gt;=AQ2011,"ok","ck")</f>
      </c>
      <c r="AT2011" s="116">
        <f>-P2011</f>
      </c>
      <c r="AU2011" s="115">
        <f>IF(SUMIFS(AT:AT,AM:AM,AM2011)&gt;AO2011,(SUMIFS(AT:AT,AM:AM,AM2011)-AO2011))</f>
      </c>
      <c r="AV2011" s="116">
        <v>4801.56</v>
      </c>
      <c r="AW2011" s="121">
        <v>0.994</v>
      </c>
      <c r="AX2011" s="115">
        <f>AN2011-AP2011</f>
      </c>
    </row>
    <row r="2012" spans="1:50" ht="15" hidden="1" customHeight="1" x14ac:dyDescent="0.3">
      <c r="A2012" s="94" t="s">
        <v>76</v>
      </c>
      <c r="B2012" s="94"/>
      <c r="C2012" s="94"/>
      <c r="D2012" s="94"/>
      <c r="E2012" s="94"/>
      <c r="F2012" s="94"/>
      <c r="G2012" s="112">
        <f>AU2012</f>
      </c>
      <c r="H2012" s="113"/>
      <c r="I2012" s="94" t="s">
        <v>393</v>
      </c>
      <c r="J2012" s="94" t="s">
        <v>413</v>
      </c>
      <c r="K2012" s="114">
        <f>P2012/3</f>
      </c>
      <c r="L2012" s="115">
        <v>1.8759999999999999</v>
      </c>
      <c r="M2012" s="116">
        <f>L2012</f>
      </c>
      <c r="N2012" s="117">
        <f>M2012-L2012</f>
      </c>
      <c r="O2012" s="112"/>
      <c r="P2012" s="118">
        <f>N2012+O2012</f>
      </c>
      <c r="Q2012" s="94" t="s">
        <v>112</v>
      </c>
      <c r="R2012" s="94" t="s">
        <v>392</v>
      </c>
      <c r="S2012" s="119">
        <v>46324</v>
      </c>
      <c r="T2012" s="119"/>
      <c r="U2012" s="119">
        <v>46324</v>
      </c>
      <c r="V2012" s="94"/>
      <c r="W2012" s="94"/>
      <c r="X2012" s="94"/>
      <c r="Y2012" s="119">
        <v>46324</v>
      </c>
      <c r="Z2012" s="94"/>
      <c r="AA2012" s="120"/>
      <c r="AB2012" s="120"/>
      <c r="AC2012" s="120"/>
      <c r="AD2012" s="120"/>
      <c r="AE2012" s="120"/>
      <c r="AF2012" s="120"/>
      <c r="AG2012" s="94"/>
      <c r="AH2012" s="120"/>
      <c r="AI2012" s="94"/>
      <c r="AJ2012" s="94" t="s">
        <v>112</v>
      </c>
      <c r="AK2012" s="94" t="s">
        <v>749</v>
      </c>
      <c r="AL2012" s="94">
        <v>150</v>
      </c>
      <c r="AM2012" s="94" t="str">
        <f>TRIM(AJ2012)&amp;TRIM(AL2012)&amp;TRIM(AK2012)</f>
      </c>
      <c r="AN2012" s="116">
        <v>4986.83</v>
      </c>
      <c r="AO2012" s="116">
        <v>5.12</v>
      </c>
      <c r="AP2012" s="116">
        <f>SUMIFS(M:M,AM:AM,AM2012)+SUMIFS(O:O,AM:AM,AM2012)</f>
      </c>
      <c r="AQ2012" s="116">
        <f>SUMIFS(L:L,AM:AM,AM2012)</f>
      </c>
      <c r="AR2012" s="116">
        <f>AQ2012-AP2012</f>
      </c>
      <c r="AS2012" s="94" t="str">
        <f>IF(AN2012&gt;=AQ2012,"ok","ck")</f>
      </c>
      <c r="AT2012" s="116">
        <f>-P2012</f>
      </c>
      <c r="AU2012" s="115">
        <f>IF(SUMIFS(AT:AT,AM:AM,AM2012)&gt;AO2012,(SUMIFS(AT:AT,AM:AM,AM2012)-AO2012))</f>
      </c>
      <c r="AV2012" s="116">
        <v>4801.56</v>
      </c>
      <c r="AW2012" s="121">
        <v>0.994</v>
      </c>
      <c r="AX2012" s="115">
        <f>AN2012-AP2012</f>
      </c>
    </row>
    <row r="2013" spans="1:50" ht="15" hidden="1" customHeight="1" x14ac:dyDescent="0.3">
      <c r="A2013" s="94" t="s">
        <v>76</v>
      </c>
      <c r="B2013" s="94"/>
      <c r="C2013" s="94"/>
      <c r="D2013" s="94"/>
      <c r="E2013" s="94"/>
      <c r="F2013" s="94"/>
      <c r="G2013" s="112">
        <f>AU2013</f>
      </c>
      <c r="H2013" s="113"/>
      <c r="I2013" s="94" t="s">
        <v>393</v>
      </c>
      <c r="J2013" s="94" t="s">
        <v>406</v>
      </c>
      <c r="K2013" s="114">
        <f>P2013/3</f>
      </c>
      <c r="L2013" s="115">
        <v>570.44899999999996</v>
      </c>
      <c r="M2013" s="116"/>
      <c r="N2013" s="117">
        <f>M2013-L2013</f>
      </c>
      <c r="O2013" s="112"/>
      <c r="P2013" s="118">
        <f>N2013+O2013</f>
      </c>
      <c r="Q2013" s="94" t="s">
        <v>112</v>
      </c>
      <c r="R2013" s="94" t="s">
        <v>392</v>
      </c>
      <c r="S2013" s="119">
        <v>46327</v>
      </c>
      <c r="T2013" s="119"/>
      <c r="U2013" s="119">
        <v>46327</v>
      </c>
      <c r="V2013" s="94"/>
      <c r="W2013" s="94"/>
      <c r="X2013" s="94"/>
      <c r="Y2013" s="119">
        <v>46327</v>
      </c>
      <c r="Z2013" s="94"/>
      <c r="AA2013" s="120"/>
      <c r="AB2013" s="120"/>
      <c r="AC2013" s="120"/>
      <c r="AD2013" s="120"/>
      <c r="AE2013" s="120"/>
      <c r="AF2013" s="120"/>
      <c r="AG2013" s="94"/>
      <c r="AH2013" s="120"/>
      <c r="AI2013" s="94"/>
      <c r="AJ2013" s="94" t="s">
        <v>112</v>
      </c>
      <c r="AK2013" s="94" t="s">
        <v>753</v>
      </c>
      <c r="AL2013" s="94">
        <v>150</v>
      </c>
      <c r="AM2013" s="94" t="str">
        <f>TRIM(AJ2013)&amp;TRIM(AL2013)&amp;TRIM(AK2013)</f>
      </c>
      <c r="AN2013" s="116">
        <v>0</v>
      </c>
      <c r="AO2013" s="116" t="inlineStr">
        <is>
          <t>#NA</t>
        </is>
      </c>
      <c r="AP2013" s="116">
        <f>SUMIFS(M:M,AM:AM,AM2013)+SUMIFS(O:O,AM:AM,AM2013)</f>
      </c>
      <c r="AQ2013" s="116">
        <f>SUMIFS(L:L,AM:AM,AM2013)</f>
      </c>
      <c r="AR2013" s="116">
        <f>AQ2013-AP2013</f>
      </c>
      <c r="AS2013" s="94" t="str">
        <f>IF(AN2013&gt;=AQ2013,"ok","ck")</f>
      </c>
      <c r="AT2013" s="116">
        <f>-P2013</f>
      </c>
      <c r="AU2013" s="115">
        <f>IF(SUMIFS(AT:AT,AM:AM,AM2013)&gt;AO2013,(SUMIFS(AT:AT,AM:AM,AM2013)-AO2013))</f>
      </c>
      <c r="AV2013" s="116">
        <v>0</v>
      </c>
      <c r="AW2013" s="121">
        <v>0.981</v>
      </c>
      <c r="AX2013" s="115">
        <f>AN2013-AP2013</f>
      </c>
    </row>
    <row r="2014" spans="1:50" ht="15" hidden="1" customHeight="1" x14ac:dyDescent="0.3">
      <c r="A2014" s="94" t="s">
        <v>76</v>
      </c>
      <c r="B2014" s="94"/>
      <c r="C2014" s="94"/>
      <c r="D2014" s="94"/>
      <c r="E2014" s="94"/>
      <c r="F2014" s="94"/>
      <c r="G2014" s="112">
        <f>AU2014</f>
      </c>
      <c r="H2014" s="113"/>
      <c r="I2014" s="94" t="s">
        <v>393</v>
      </c>
      <c r="J2014" s="94" t="s">
        <v>406</v>
      </c>
      <c r="K2014" s="114">
        <f>P2014/3</f>
      </c>
      <c r="L2014" s="115">
        <v>3.48</v>
      </c>
      <c r="M2014" s="116"/>
      <c r="N2014" s="117">
        <f>M2014-L2014</f>
      </c>
      <c r="O2014" s="112"/>
      <c r="P2014" s="118">
        <f>N2014+O2014</f>
      </c>
      <c r="Q2014" s="94" t="s">
        <v>112</v>
      </c>
      <c r="R2014" s="94" t="s">
        <v>392</v>
      </c>
      <c r="S2014" s="119">
        <v>46329</v>
      </c>
      <c r="T2014" s="119"/>
      <c r="U2014" s="119">
        <v>46329</v>
      </c>
      <c r="V2014" s="94"/>
      <c r="W2014" s="94"/>
      <c r="X2014" s="94"/>
      <c r="Y2014" s="119">
        <v>46329</v>
      </c>
      <c r="Z2014" s="94"/>
      <c r="AA2014" s="120"/>
      <c r="AB2014" s="120"/>
      <c r="AC2014" s="120"/>
      <c r="AD2014" s="120"/>
      <c r="AE2014" s="120"/>
      <c r="AF2014" s="120"/>
      <c r="AG2014" s="94"/>
      <c r="AH2014" s="120"/>
      <c r="AI2014" s="94"/>
      <c r="AJ2014" s="94" t="s">
        <v>112</v>
      </c>
      <c r="AK2014" s="94" t="s">
        <v>753</v>
      </c>
      <c r="AL2014" s="94">
        <v>150</v>
      </c>
      <c r="AM2014" s="94" t="str">
        <f>TRIM(AJ2014)&amp;TRIM(AL2014)&amp;TRIM(AK2014)</f>
      </c>
      <c r="AN2014" s="116">
        <v>0</v>
      </c>
      <c r="AO2014" s="116" t="inlineStr">
        <is>
          <t>#NA</t>
        </is>
      </c>
      <c r="AP2014" s="116">
        <f>SUMIFS(M:M,AM:AM,AM2014)+SUMIFS(O:O,AM:AM,AM2014)</f>
      </c>
      <c r="AQ2014" s="116">
        <f>SUMIFS(L:L,AM:AM,AM2014)</f>
      </c>
      <c r="AR2014" s="116">
        <f>AQ2014-AP2014</f>
      </c>
      <c r="AS2014" s="94" t="str">
        <f>IF(AN2014&gt;=AQ2014,"ok","ck")</f>
      </c>
      <c r="AT2014" s="116">
        <f>-P2014</f>
      </c>
      <c r="AU2014" s="115">
        <f>IF(SUMIFS(AT:AT,AM:AM,AM2014)&gt;AO2014,(SUMIFS(AT:AT,AM:AM,AM2014)-AO2014))</f>
      </c>
      <c r="AV2014" s="116">
        <v>0</v>
      </c>
      <c r="AW2014" s="121">
        <v>0.981</v>
      </c>
      <c r="AX2014" s="115">
        <f>AN2014-AP2014</f>
      </c>
    </row>
    <row r="2015" spans="1:50" ht="15" hidden="1" customHeight="1" x14ac:dyDescent="0.3">
      <c r="A2015" s="94" t="s">
        <v>76</v>
      </c>
      <c r="B2015" s="94"/>
      <c r="C2015" s="94"/>
      <c r="D2015" s="94"/>
      <c r="E2015" s="94"/>
      <c r="F2015" s="94"/>
      <c r="G2015" s="112">
        <f>AU2015</f>
      </c>
      <c r="H2015" s="113"/>
      <c r="I2015" s="94" t="s">
        <v>393</v>
      </c>
      <c r="J2015" s="94" t="s">
        <v>422</v>
      </c>
      <c r="K2015" s="114">
        <f>P2015/3</f>
      </c>
      <c r="L2015" s="115">
        <v>223.40899999999999</v>
      </c>
      <c r="M2015" s="116">
        <v>223.40899999999999</v>
      </c>
      <c r="N2015" s="117">
        <f>M2015-L2015</f>
      </c>
      <c r="O2015" s="112"/>
      <c r="P2015" s="118">
        <f>N2015+O2015</f>
      </c>
      <c r="Q2015" s="94" t="s">
        <v>112</v>
      </c>
      <c r="R2015" s="94" t="s">
        <v>392</v>
      </c>
      <c r="S2015" s="119">
        <v>46320</v>
      </c>
      <c r="T2015" s="119"/>
      <c r="U2015" s="119">
        <v>46320</v>
      </c>
      <c r="V2015" s="94"/>
      <c r="W2015" s="94"/>
      <c r="X2015" s="94"/>
      <c r="Y2015" s="119">
        <v>46320</v>
      </c>
      <c r="Z2015" s="94"/>
      <c r="AA2015" s="120"/>
      <c r="AB2015" s="120"/>
      <c r="AC2015" s="120"/>
      <c r="AD2015" s="120"/>
      <c r="AE2015" s="120"/>
      <c r="AF2015" s="120"/>
      <c r="AG2015" s="94"/>
      <c r="AH2015" s="120"/>
      <c r="AI2015" s="94"/>
      <c r="AJ2015" s="94" t="s">
        <v>112</v>
      </c>
      <c r="AK2015" s="94" t="s">
        <v>748</v>
      </c>
      <c r="AL2015" s="94">
        <v>150</v>
      </c>
      <c r="AM2015" s="94" t="str">
        <f>TRIM(AJ2015)&amp;TRIM(AL2015)&amp;TRIM(AK2015)</f>
      </c>
      <c r="AN2015" s="116">
        <v>3079.78</v>
      </c>
      <c r="AO2015" s="116">
        <v>36.48</v>
      </c>
      <c r="AP2015" s="116">
        <f>SUMIFS(M:M,AM:AM,AM2015)+SUMIFS(O:O,AM:AM,AM2015)</f>
      </c>
      <c r="AQ2015" s="116">
        <f>SUMIFS(L:L,AM:AM,AM2015)</f>
      </c>
      <c r="AR2015" s="116">
        <f>AQ2015-AP2015</f>
      </c>
      <c r="AS2015" s="94" t="str">
        <f>IF(AN2015&gt;=AQ2015,"ok","ck")</f>
      </c>
      <c r="AT2015" s="116">
        <f>-P2015</f>
      </c>
      <c r="AU2015" s="115">
        <f>IF(SUMIFS(AT:AT,AM:AM,AM2015)&gt;AO2015,(SUMIFS(AT:AT,AM:AM,AM2015)-AO2015))</f>
      </c>
      <c r="AV2015" s="116">
        <v>0</v>
      </c>
      <c r="AW2015" s="121">
        <v>0.975</v>
      </c>
      <c r="AX2015" s="115">
        <f>AN2015-AP2015</f>
      </c>
    </row>
    <row r="2016" spans="1:50" ht="15" hidden="1" customHeight="1" x14ac:dyDescent="0.3">
      <c r="A2016" s="94" t="s">
        <v>76</v>
      </c>
      <c r="B2016" s="94"/>
      <c r="C2016" s="94"/>
      <c r="D2016" s="94"/>
      <c r="E2016" s="94"/>
      <c r="F2016" s="94"/>
      <c r="G2016" s="112">
        <f>AU2016</f>
      </c>
      <c r="H2016" s="113"/>
      <c r="I2016" s="94" t="s">
        <v>393</v>
      </c>
      <c r="J2016" s="94" t="s">
        <v>422</v>
      </c>
      <c r="K2016" s="114">
        <f>P2016/3</f>
      </c>
      <c r="L2016" s="115">
        <v>1.9990000000000001</v>
      </c>
      <c r="M2016" s="116">
        <v>1.9990000000000001</v>
      </c>
      <c r="N2016" s="117">
        <f>M2016-L2016</f>
      </c>
      <c r="O2016" s="112"/>
      <c r="P2016" s="118">
        <f>N2016+O2016</f>
      </c>
      <c r="Q2016" s="94" t="s">
        <v>112</v>
      </c>
      <c r="R2016" s="94" t="s">
        <v>392</v>
      </c>
      <c r="S2016" s="119">
        <v>46320</v>
      </c>
      <c r="T2016" s="119"/>
      <c r="U2016" s="119">
        <v>46320</v>
      </c>
      <c r="V2016" s="94"/>
      <c r="W2016" s="94"/>
      <c r="X2016" s="94"/>
      <c r="Y2016" s="119">
        <v>46320</v>
      </c>
      <c r="Z2016" s="94"/>
      <c r="AA2016" s="120"/>
      <c r="AB2016" s="120"/>
      <c r="AC2016" s="120"/>
      <c r="AD2016" s="120"/>
      <c r="AE2016" s="120"/>
      <c r="AF2016" s="120"/>
      <c r="AG2016" s="94"/>
      <c r="AH2016" s="120"/>
      <c r="AI2016" s="94"/>
      <c r="AJ2016" s="94" t="s">
        <v>112</v>
      </c>
      <c r="AK2016" s="94" t="s">
        <v>748</v>
      </c>
      <c r="AL2016" s="94">
        <v>150</v>
      </c>
      <c r="AM2016" s="94" t="str">
        <f>TRIM(AJ2016)&amp;TRIM(AL2016)&amp;TRIM(AK2016)</f>
      </c>
      <c r="AN2016" s="116">
        <v>3079.78</v>
      </c>
      <c r="AO2016" s="116">
        <v>36.48</v>
      </c>
      <c r="AP2016" s="116">
        <f>SUMIFS(M:M,AM:AM,AM2016)+SUMIFS(O:O,AM:AM,AM2016)</f>
      </c>
      <c r="AQ2016" s="116">
        <f>SUMIFS(L:L,AM:AM,AM2016)</f>
      </c>
      <c r="AR2016" s="116">
        <f>AQ2016-AP2016</f>
      </c>
      <c r="AS2016" s="94" t="str">
        <f>IF(AN2016&gt;=AQ2016,"ok","ck")</f>
      </c>
      <c r="AT2016" s="116">
        <f>-P2016</f>
      </c>
      <c r="AU2016" s="115">
        <f>IF(SUMIFS(AT:AT,AM:AM,AM2016)&gt;AO2016,(SUMIFS(AT:AT,AM:AM,AM2016)-AO2016))</f>
      </c>
      <c r="AV2016" s="116">
        <v>0</v>
      </c>
      <c r="AW2016" s="121">
        <v>0.975</v>
      </c>
      <c r="AX2016" s="115">
        <f>AN2016-AP2016</f>
      </c>
    </row>
    <row r="2017" spans="1:50" ht="15" hidden="1" customHeight="1" x14ac:dyDescent="0.3">
      <c r="A2017" s="94" t="s">
        <v>60</v>
      </c>
      <c r="B2017" s="94"/>
      <c r="C2017" s="94"/>
      <c r="D2017" s="94"/>
      <c r="E2017" s="94"/>
      <c r="F2017" s="94"/>
      <c r="G2017" s="112">
        <f>AU2017</f>
      </c>
      <c r="H2017" s="113"/>
      <c r="I2017" s="94" t="s">
        <v>490</v>
      </c>
      <c r="J2017" s="94" t="s">
        <v>587</v>
      </c>
      <c r="K2017" s="114">
        <f>P2017/3</f>
      </c>
      <c r="L2017" s="115">
        <v>40.177999999999997</v>
      </c>
      <c r="M2017" s="116">
        <f>L2017</f>
      </c>
      <c r="N2017" s="117">
        <f>M2017-L2017</f>
      </c>
      <c r="O2017" s="112"/>
      <c r="P2017" s="118">
        <f>N2017+O2017</f>
      </c>
      <c r="Q2017" s="94" t="s">
        <v>116</v>
      </c>
      <c r="R2017" s="94" t="s">
        <v>392</v>
      </c>
      <c r="S2017" s="119">
        <v>46320</v>
      </c>
      <c r="T2017" s="119"/>
      <c r="U2017" s="119">
        <v>46320</v>
      </c>
      <c r="V2017" s="94"/>
      <c r="W2017" s="94"/>
      <c r="X2017" s="94"/>
      <c r="Y2017" s="119">
        <v>46320</v>
      </c>
      <c r="Z2017" s="94"/>
      <c r="AA2017" s="120"/>
      <c r="AB2017" s="120"/>
      <c r="AC2017" s="120"/>
      <c r="AD2017" s="120"/>
      <c r="AE2017" s="120"/>
      <c r="AF2017" s="120"/>
      <c r="AG2017" s="94"/>
      <c r="AH2017" s="120"/>
      <c r="AI2017" s="94"/>
      <c r="AJ2017" s="94" t="s">
        <v>64</v>
      </c>
      <c r="AK2017" s="94" t="s">
        <v>105</v>
      </c>
      <c r="AL2017" s="94">
        <v>140</v>
      </c>
      <c r="AM2017" s="94" t="str">
        <f>TRIM(AJ2017)&amp;TRIM(AL2017)&amp;TRIM(AK2017)</f>
      </c>
      <c r="AN2017" s="116">
        <v>3191</v>
      </c>
      <c r="AO2017" s="116">
        <v>-41</v>
      </c>
      <c r="AP2017" s="116">
        <f>SUMIFS(M:M,AM:AM,AM2017)+SUMIFS(O:O,AM:AM,AM2017)</f>
      </c>
      <c r="AQ2017" s="116">
        <f>SUMIFS(L:L,AM:AM,AM2017)</f>
      </c>
      <c r="AR2017" s="116">
        <f>AQ2017-AP2017</f>
      </c>
      <c r="AS2017" s="94" t="str">
        <f>IF(AN2017&gt;=AQ2017,"ok","ck")</f>
      </c>
      <c r="AT2017" s="116">
        <f>-P2017</f>
      </c>
      <c r="AU2017" s="115">
        <f>IF(SUMIFS(AT:AT,AM:AM,AM2017)&gt;AO2017,(SUMIFS(AT:AT,AM:AM,AM2017)-AO2017))</f>
      </c>
      <c r="AV2017" s="116">
        <v>3191</v>
      </c>
      <c r="AW2017" s="121">
        <v>1.013</v>
      </c>
      <c r="AX2017" s="115">
        <f>AN2017-AP2017</f>
      </c>
    </row>
    <row r="2018" spans="1:50" ht="15" hidden="1" customHeight="1" x14ac:dyDescent="0.3">
      <c r="A2018" s="94" t="s">
        <v>311</v>
      </c>
      <c r="B2018" s="94"/>
      <c r="C2018" s="94"/>
      <c r="D2018" s="94"/>
      <c r="E2018" s="94"/>
      <c r="F2018" s="94"/>
      <c r="G2018" s="112">
        <f>AU2018</f>
      </c>
      <c r="H2018" s="113"/>
      <c r="I2018" s="94" t="s">
        <v>415</v>
      </c>
      <c r="J2018" s="94" t="s">
        <v>416</v>
      </c>
      <c r="K2018" s="114">
        <f>P2018/3</f>
      </c>
      <c r="L2018" s="115">
        <v>505.2</v>
      </c>
      <c r="M2018" s="116"/>
      <c r="N2018" s="117">
        <f>M2018-L2018</f>
      </c>
      <c r="O2018" s="112"/>
      <c r="P2018" s="118">
        <f>N2018+O2018</f>
      </c>
      <c r="Q2018" s="94" t="s">
        <v>314</v>
      </c>
      <c r="R2018" s="94" t="s">
        <v>392</v>
      </c>
      <c r="S2018" s="119" t="s">
        <v>74</v>
      </c>
      <c r="T2018" s="119"/>
      <c r="U2018" s="119" t="s">
        <v>74</v>
      </c>
      <c r="V2018" s="94"/>
      <c r="W2018" s="94"/>
      <c r="X2018" s="94"/>
      <c r="Y2018" s="119">
        <v>46320</v>
      </c>
      <c r="Z2018" s="94"/>
      <c r="AA2018" s="120"/>
      <c r="AB2018" s="120"/>
      <c r="AC2018" s="120"/>
      <c r="AD2018" s="120"/>
      <c r="AE2018" s="120"/>
      <c r="AF2018" s="120"/>
      <c r="AG2018" s="94"/>
      <c r="AH2018" s="120"/>
      <c r="AI2018" s="94"/>
      <c r="AJ2018" s="94" t="s">
        <v>314</v>
      </c>
      <c r="AK2018" s="94" t="s">
        <v>342</v>
      </c>
      <c r="AL2018" s="94">
        <v>150</v>
      </c>
      <c r="AM2018" s="94" t="str">
        <f>TRIM(AJ2018)&amp;TRIM(AL2018)&amp;TRIM(AK2018)</f>
      </c>
      <c r="AN2018" s="116">
        <v>0</v>
      </c>
      <c r="AO2018" s="116" t="inlineStr">
        <is>
          <t>#NA</t>
        </is>
      </c>
      <c r="AP2018" s="116">
        <f>SUMIFS(M:M,AM:AM,AM2018)+SUMIFS(O:O,AM:AM,AM2018)</f>
      </c>
      <c r="AQ2018" s="116">
        <f>SUMIFS(L:L,AM:AM,AM2018)</f>
      </c>
      <c r="AR2018" s="116">
        <f>AQ2018-AP2018</f>
      </c>
      <c r="AS2018" s="94" t="str">
        <f>IF(AN2018&gt;=AQ2018,"ok","ck")</f>
      </c>
      <c r="AT2018" s="116">
        <f>-P2018</f>
      </c>
      <c r="AU2018" s="115">
        <f>IF(SUMIFS(AT:AT,AM:AM,AM2018)&gt;AO2018,(SUMIFS(AT:AT,AM:AM,AM2018)-AO2018))</f>
      </c>
      <c r="AV2018" s="116">
        <v>0</v>
      </c>
      <c r="AW2018" s="121">
        <v>0.986</v>
      </c>
      <c r="AX2018" s="115">
        <f>AN2018-AP2018</f>
      </c>
    </row>
    <row r="2019" spans="1:50" ht="15" hidden="1" customHeight="1" x14ac:dyDescent="0.3">
      <c r="A2019" s="94" t="s">
        <v>311</v>
      </c>
      <c r="B2019" s="94"/>
      <c r="C2019" s="94"/>
      <c r="D2019" s="94"/>
      <c r="E2019" s="94"/>
      <c r="F2019" s="94"/>
      <c r="G2019" s="112">
        <f>AU2019</f>
      </c>
      <c r="H2019" s="113"/>
      <c r="I2019" s="94" t="s">
        <v>415</v>
      </c>
      <c r="J2019" s="94" t="s">
        <v>416</v>
      </c>
      <c r="K2019" s="114">
        <f>P2019/3</f>
      </c>
      <c r="L2019" s="115">
        <v>252.35900000000001</v>
      </c>
      <c r="M2019" s="116"/>
      <c r="N2019" s="117">
        <f>M2019-L2019</f>
      </c>
      <c r="O2019" s="112"/>
      <c r="P2019" s="118">
        <f>N2019+O2019</f>
      </c>
      <c r="Q2019" s="94" t="s">
        <v>314</v>
      </c>
      <c r="R2019" s="94" t="s">
        <v>392</v>
      </c>
      <c r="S2019" s="119" t="s">
        <v>74</v>
      </c>
      <c r="T2019" s="119"/>
      <c r="U2019" s="119" t="s">
        <v>74</v>
      </c>
      <c r="V2019" s="94"/>
      <c r="W2019" s="94"/>
      <c r="X2019" s="94"/>
      <c r="Y2019" s="119">
        <v>46320</v>
      </c>
      <c r="Z2019" s="94"/>
      <c r="AA2019" s="120"/>
      <c r="AB2019" s="120"/>
      <c r="AC2019" s="120"/>
      <c r="AD2019" s="120"/>
      <c r="AE2019" s="120"/>
      <c r="AF2019" s="120"/>
      <c r="AG2019" s="94"/>
      <c r="AH2019" s="120"/>
      <c r="AI2019" s="94"/>
      <c r="AJ2019" s="94" t="s">
        <v>314</v>
      </c>
      <c r="AK2019" s="94" t="s">
        <v>342</v>
      </c>
      <c r="AL2019" s="94">
        <v>150</v>
      </c>
      <c r="AM2019" s="94" t="str">
        <f>TRIM(AJ2019)&amp;TRIM(AL2019)&amp;TRIM(AK2019)</f>
      </c>
      <c r="AN2019" s="116">
        <v>0</v>
      </c>
      <c r="AO2019" s="116" t="inlineStr">
        <is>
          <t>#NA</t>
        </is>
      </c>
      <c r="AP2019" s="116">
        <f>SUMIFS(M:M,AM:AM,AM2019)+SUMIFS(O:O,AM:AM,AM2019)</f>
      </c>
      <c r="AQ2019" s="116">
        <f>SUMIFS(L:L,AM:AM,AM2019)</f>
      </c>
      <c r="AR2019" s="116">
        <f>AQ2019-AP2019</f>
      </c>
      <c r="AS2019" s="94" t="str">
        <f>IF(AN2019&gt;=AQ2019,"ok","ck")</f>
      </c>
      <c r="AT2019" s="116">
        <f>-P2019</f>
      </c>
      <c r="AU2019" s="115">
        <f>IF(SUMIFS(AT:AT,AM:AM,AM2019)&gt;AO2019,(SUMIFS(AT:AT,AM:AM,AM2019)-AO2019))</f>
      </c>
      <c r="AV2019" s="116">
        <v>0</v>
      </c>
      <c r="AW2019" s="121">
        <v>0.986</v>
      </c>
      <c r="AX2019" s="115">
        <f>AN2019-AP2019</f>
      </c>
    </row>
    <row r="2020" spans="1:50" ht="15" hidden="1" customHeight="1" x14ac:dyDescent="0.3">
      <c r="A2020" s="94" t="s">
        <v>311</v>
      </c>
      <c r="B2020" s="94"/>
      <c r="C2020" s="94"/>
      <c r="D2020" s="94"/>
      <c r="E2020" s="94"/>
      <c r="F2020" s="94"/>
      <c r="G2020" s="112">
        <f>AU2020</f>
      </c>
      <c r="H2020" s="113"/>
      <c r="I2020" s="94" t="s">
        <v>415</v>
      </c>
      <c r="J2020" s="94" t="s">
        <v>416</v>
      </c>
      <c r="K2020" s="114">
        <f>P2020/3</f>
      </c>
      <c r="L2020" s="115">
        <v>252.6</v>
      </c>
      <c r="M2020" s="116"/>
      <c r="N2020" s="117">
        <f>M2020-L2020</f>
      </c>
      <c r="O2020" s="112"/>
      <c r="P2020" s="118">
        <f>N2020+O2020</f>
      </c>
      <c r="Q2020" s="94" t="s">
        <v>314</v>
      </c>
      <c r="R2020" s="94" t="s">
        <v>392</v>
      </c>
      <c r="S2020" s="119" t="s">
        <v>74</v>
      </c>
      <c r="T2020" s="119"/>
      <c r="U2020" s="119" t="s">
        <v>74</v>
      </c>
      <c r="V2020" s="94"/>
      <c r="W2020" s="94"/>
      <c r="X2020" s="94"/>
      <c r="Y2020" s="119">
        <v>46320</v>
      </c>
      <c r="Z2020" s="94"/>
      <c r="AA2020" s="120"/>
      <c r="AB2020" s="120"/>
      <c r="AC2020" s="120"/>
      <c r="AD2020" s="120"/>
      <c r="AE2020" s="120"/>
      <c r="AF2020" s="120"/>
      <c r="AG2020" s="94"/>
      <c r="AH2020" s="120"/>
      <c r="AI2020" s="94"/>
      <c r="AJ2020" s="94" t="s">
        <v>314</v>
      </c>
      <c r="AK2020" s="94" t="s">
        <v>342</v>
      </c>
      <c r="AL2020" s="94">
        <v>150</v>
      </c>
      <c r="AM2020" s="94" t="str">
        <f>TRIM(AJ2020)&amp;TRIM(AL2020)&amp;TRIM(AK2020)</f>
      </c>
      <c r="AN2020" s="116">
        <v>0</v>
      </c>
      <c r="AO2020" s="116" t="inlineStr">
        <is>
          <t>#NA</t>
        </is>
      </c>
      <c r="AP2020" s="116">
        <f>SUMIFS(M:M,AM:AM,AM2020)+SUMIFS(O:O,AM:AM,AM2020)</f>
      </c>
      <c r="AQ2020" s="116">
        <f>SUMIFS(L:L,AM:AM,AM2020)</f>
      </c>
      <c r="AR2020" s="116">
        <f>AQ2020-AP2020</f>
      </c>
      <c r="AS2020" s="94" t="str">
        <f>IF(AN2020&gt;=AQ2020,"ok","ck")</f>
      </c>
      <c r="AT2020" s="116">
        <f>-P2020</f>
      </c>
      <c r="AU2020" s="115">
        <f>IF(SUMIFS(AT:AT,AM:AM,AM2020)&gt;AO2020,(SUMIFS(AT:AT,AM:AM,AM2020)-AO2020))</f>
      </c>
      <c r="AV2020" s="116">
        <v>0</v>
      </c>
      <c r="AW2020" s="121">
        <v>0.986</v>
      </c>
      <c r="AX2020" s="115">
        <f>AN2020-AP2020</f>
      </c>
    </row>
    <row r="2021" spans="1:50" ht="15" hidden="1" customHeight="1" x14ac:dyDescent="0.3">
      <c r="A2021" s="94" t="s">
        <v>311</v>
      </c>
      <c r="B2021" s="94"/>
      <c r="C2021" s="94"/>
      <c r="D2021" s="94"/>
      <c r="E2021" s="94"/>
      <c r="F2021" s="94"/>
      <c r="G2021" s="112">
        <f>AU2021</f>
      </c>
      <c r="H2021" s="113"/>
      <c r="I2021" s="94" t="s">
        <v>415</v>
      </c>
      <c r="J2021" s="94" t="s">
        <v>416</v>
      </c>
      <c r="K2021" s="114">
        <f>P2021/3</f>
      </c>
      <c r="L2021" s="115">
        <v>8.8409999999999993</v>
      </c>
      <c r="M2021" s="116"/>
      <c r="N2021" s="117">
        <f>M2021-L2021</f>
      </c>
      <c r="O2021" s="112"/>
      <c r="P2021" s="118">
        <f>N2021+O2021</f>
      </c>
      <c r="Q2021" s="94" t="s">
        <v>314</v>
      </c>
      <c r="R2021" s="94" t="s">
        <v>392</v>
      </c>
      <c r="S2021" s="119" t="s">
        <v>74</v>
      </c>
      <c r="T2021" s="119"/>
      <c r="U2021" s="119" t="s">
        <v>74</v>
      </c>
      <c r="V2021" s="94"/>
      <c r="W2021" s="94"/>
      <c r="X2021" s="94"/>
      <c r="Y2021" s="119">
        <v>46321</v>
      </c>
      <c r="Z2021" s="94"/>
      <c r="AA2021" s="120"/>
      <c r="AB2021" s="120"/>
      <c r="AC2021" s="120"/>
      <c r="AD2021" s="120"/>
      <c r="AE2021" s="120"/>
      <c r="AF2021" s="120"/>
      <c r="AG2021" s="94"/>
      <c r="AH2021" s="120"/>
      <c r="AI2021" s="94"/>
      <c r="AJ2021" s="94" t="s">
        <v>314</v>
      </c>
      <c r="AK2021" s="94" t="s">
        <v>342</v>
      </c>
      <c r="AL2021" s="94">
        <v>150</v>
      </c>
      <c r="AM2021" s="94" t="str">
        <f>TRIM(AJ2021)&amp;TRIM(AL2021)&amp;TRIM(AK2021)</f>
      </c>
      <c r="AN2021" s="116">
        <v>0</v>
      </c>
      <c r="AO2021" s="116" t="inlineStr">
        <is>
          <t>#NA</t>
        </is>
      </c>
      <c r="AP2021" s="116">
        <f>SUMIFS(M:M,AM:AM,AM2021)+SUMIFS(O:O,AM:AM,AM2021)</f>
      </c>
      <c r="AQ2021" s="116">
        <f>SUMIFS(L:L,AM:AM,AM2021)</f>
      </c>
      <c r="AR2021" s="116">
        <f>AQ2021-AP2021</f>
      </c>
      <c r="AS2021" s="94" t="str">
        <f>IF(AN2021&gt;=AQ2021,"ok","ck")</f>
      </c>
      <c r="AT2021" s="116">
        <f>-P2021</f>
      </c>
      <c r="AU2021" s="115">
        <f>IF(SUMIFS(AT:AT,AM:AM,AM2021)&gt;AO2021,(SUMIFS(AT:AT,AM:AM,AM2021)-AO2021))</f>
      </c>
      <c r="AV2021" s="116">
        <v>0</v>
      </c>
      <c r="AW2021" s="121">
        <v>0.986</v>
      </c>
      <c r="AX2021" s="115">
        <f>AN2021-AP2021</f>
      </c>
    </row>
    <row r="2022" spans="1:50" ht="15" hidden="1" customHeight="1" x14ac:dyDescent="0.3">
      <c r="A2022" s="94" t="s">
        <v>311</v>
      </c>
      <c r="B2022" s="94"/>
      <c r="C2022" s="94"/>
      <c r="D2022" s="94"/>
      <c r="E2022" s="94"/>
      <c r="F2022" s="94"/>
      <c r="G2022" s="112">
        <f>AU2022</f>
      </c>
      <c r="H2022" s="113"/>
      <c r="I2022" s="94" t="s">
        <v>415</v>
      </c>
      <c r="J2022" s="94" t="s">
        <v>432</v>
      </c>
      <c r="K2022" s="114">
        <f>P2022/3</f>
      </c>
      <c r="L2022" s="115">
        <v>336.8</v>
      </c>
      <c r="M2022" s="116"/>
      <c r="N2022" s="117">
        <f>M2022-L2022</f>
      </c>
      <c r="O2022" s="112"/>
      <c r="P2022" s="118">
        <f>N2022+O2022</f>
      </c>
      <c r="Q2022" s="94" t="s">
        <v>314</v>
      </c>
      <c r="R2022" s="94" t="s">
        <v>392</v>
      </c>
      <c r="S2022" s="119">
        <v>46320</v>
      </c>
      <c r="T2022" s="119"/>
      <c r="U2022" s="119">
        <v>46320</v>
      </c>
      <c r="V2022" s="94"/>
      <c r="W2022" s="94"/>
      <c r="X2022" s="94"/>
      <c r="Y2022" s="119">
        <v>46320</v>
      </c>
      <c r="Z2022" s="94"/>
      <c r="AA2022" s="120"/>
      <c r="AB2022" s="120"/>
      <c r="AC2022" s="120"/>
      <c r="AD2022" s="120"/>
      <c r="AE2022" s="120"/>
      <c r="AF2022" s="120"/>
      <c r="AG2022" s="94"/>
      <c r="AH2022" s="120"/>
      <c r="AI2022" s="94"/>
      <c r="AJ2022" s="94" t="s">
        <v>314</v>
      </c>
      <c r="AK2022" s="94" t="s">
        <v>342</v>
      </c>
      <c r="AL2022" s="94">
        <v>150</v>
      </c>
      <c r="AM2022" s="94" t="str">
        <f>TRIM(AJ2022)&amp;TRIM(AL2022)&amp;TRIM(AK2022)</f>
      </c>
      <c r="AN2022" s="116">
        <v>0</v>
      </c>
      <c r="AO2022" s="116" t="inlineStr">
        <is>
          <t>#NA</t>
        </is>
      </c>
      <c r="AP2022" s="116">
        <f>SUMIFS(M:M,AM:AM,AM2022)+SUMIFS(O:O,AM:AM,AM2022)</f>
      </c>
      <c r="AQ2022" s="116">
        <f>SUMIFS(L:L,AM:AM,AM2022)</f>
      </c>
      <c r="AR2022" s="116">
        <f>AQ2022-AP2022</f>
      </c>
      <c r="AS2022" s="94" t="str">
        <f>IF(AN2022&gt;=AQ2022,"ok","ck")</f>
      </c>
      <c r="AT2022" s="116">
        <f>-P2022</f>
      </c>
      <c r="AU2022" s="115">
        <f>IF(SUMIFS(AT:AT,AM:AM,AM2022)&gt;AO2022,(SUMIFS(AT:AT,AM:AM,AM2022)-AO2022))</f>
      </c>
      <c r="AV2022" s="116">
        <v>0</v>
      </c>
      <c r="AW2022" s="121">
        <v>0.986</v>
      </c>
      <c r="AX2022" s="115">
        <f>AN2022-AP2022</f>
      </c>
    </row>
    <row r="2023" spans="1:50" ht="15" hidden="1" customHeight="1" x14ac:dyDescent="0.3">
      <c r="A2023" s="94" t="s">
        <v>311</v>
      </c>
      <c r="B2023" s="94"/>
      <c r="C2023" s="94"/>
      <c r="D2023" s="94"/>
      <c r="E2023" s="94"/>
      <c r="F2023" s="94"/>
      <c r="G2023" s="112">
        <f>AU2023</f>
      </c>
      <c r="H2023" s="113"/>
      <c r="I2023" s="94" t="s">
        <v>415</v>
      </c>
      <c r="J2023" s="94" t="s">
        <v>432</v>
      </c>
      <c r="K2023" s="114">
        <f>P2023/3</f>
      </c>
      <c r="L2023" s="115">
        <v>167.90600000000001</v>
      </c>
      <c r="M2023" s="116"/>
      <c r="N2023" s="117">
        <f>M2023-L2023</f>
      </c>
      <c r="O2023" s="112"/>
      <c r="P2023" s="118">
        <f>N2023+O2023</f>
      </c>
      <c r="Q2023" s="94" t="s">
        <v>314</v>
      </c>
      <c r="R2023" s="94" t="s">
        <v>392</v>
      </c>
      <c r="S2023" s="119">
        <v>46320</v>
      </c>
      <c r="T2023" s="119"/>
      <c r="U2023" s="119">
        <v>46320</v>
      </c>
      <c r="V2023" s="94"/>
      <c r="W2023" s="94"/>
      <c r="X2023" s="94"/>
      <c r="Y2023" s="119">
        <v>46320</v>
      </c>
      <c r="Z2023" s="94"/>
      <c r="AA2023" s="120"/>
      <c r="AB2023" s="120"/>
      <c r="AC2023" s="120"/>
      <c r="AD2023" s="120"/>
      <c r="AE2023" s="120"/>
      <c r="AF2023" s="120"/>
      <c r="AG2023" s="94"/>
      <c r="AH2023" s="120"/>
      <c r="AI2023" s="94"/>
      <c r="AJ2023" s="94" t="s">
        <v>314</v>
      </c>
      <c r="AK2023" s="94" t="s">
        <v>342</v>
      </c>
      <c r="AL2023" s="94">
        <v>150</v>
      </c>
      <c r="AM2023" s="94" t="str">
        <f>TRIM(AJ2023)&amp;TRIM(AL2023)&amp;TRIM(AK2023)</f>
      </c>
      <c r="AN2023" s="116">
        <v>0</v>
      </c>
      <c r="AO2023" s="116" t="inlineStr">
        <is>
          <t>#NA</t>
        </is>
      </c>
      <c r="AP2023" s="116">
        <f>SUMIFS(M:M,AM:AM,AM2023)+SUMIFS(O:O,AM:AM,AM2023)</f>
      </c>
      <c r="AQ2023" s="116">
        <f>SUMIFS(L:L,AM:AM,AM2023)</f>
      </c>
      <c r="AR2023" s="116">
        <f>AQ2023-AP2023</f>
      </c>
      <c r="AS2023" s="94" t="str">
        <f>IF(AN2023&gt;=AQ2023,"ok","ck")</f>
      </c>
      <c r="AT2023" s="116">
        <f>-P2023</f>
      </c>
      <c r="AU2023" s="115">
        <f>IF(SUMIFS(AT:AT,AM:AM,AM2023)&gt;AO2023,(SUMIFS(AT:AT,AM:AM,AM2023)-AO2023))</f>
      </c>
      <c r="AV2023" s="116">
        <v>0</v>
      </c>
      <c r="AW2023" s="121">
        <v>0.986</v>
      </c>
      <c r="AX2023" s="115">
        <f>AN2023-AP2023</f>
      </c>
    </row>
    <row r="2024" spans="1:50" ht="15" hidden="1" customHeight="1" x14ac:dyDescent="0.3">
      <c r="A2024" s="94" t="s">
        <v>311</v>
      </c>
      <c r="B2024" s="94"/>
      <c r="C2024" s="94"/>
      <c r="D2024" s="94"/>
      <c r="E2024" s="94"/>
      <c r="F2024" s="94"/>
      <c r="G2024" s="112">
        <f>AU2024</f>
      </c>
      <c r="H2024" s="113"/>
      <c r="I2024" s="94" t="s">
        <v>415</v>
      </c>
      <c r="J2024" s="94" t="s">
        <v>432</v>
      </c>
      <c r="K2024" s="114">
        <f>P2024/3</f>
      </c>
      <c r="L2024" s="115">
        <v>168.4</v>
      </c>
      <c r="M2024" s="116"/>
      <c r="N2024" s="117">
        <f>M2024-L2024</f>
      </c>
      <c r="O2024" s="112"/>
      <c r="P2024" s="118">
        <f>N2024+O2024</f>
      </c>
      <c r="Q2024" s="94" t="s">
        <v>314</v>
      </c>
      <c r="R2024" s="94" t="s">
        <v>392</v>
      </c>
      <c r="S2024" s="119">
        <v>46320</v>
      </c>
      <c r="T2024" s="119"/>
      <c r="U2024" s="119">
        <v>46320</v>
      </c>
      <c r="V2024" s="94"/>
      <c r="W2024" s="94"/>
      <c r="X2024" s="94"/>
      <c r="Y2024" s="119">
        <v>46320</v>
      </c>
      <c r="Z2024" s="94"/>
      <c r="AA2024" s="120"/>
      <c r="AB2024" s="120"/>
      <c r="AC2024" s="120"/>
      <c r="AD2024" s="120"/>
      <c r="AE2024" s="120"/>
      <c r="AF2024" s="120"/>
      <c r="AG2024" s="94"/>
      <c r="AH2024" s="120"/>
      <c r="AI2024" s="94"/>
      <c r="AJ2024" s="94" t="s">
        <v>314</v>
      </c>
      <c r="AK2024" s="94" t="s">
        <v>342</v>
      </c>
      <c r="AL2024" s="94">
        <v>150</v>
      </c>
      <c r="AM2024" s="94" t="str">
        <f>TRIM(AJ2024)&amp;TRIM(AL2024)&amp;TRIM(AK2024)</f>
      </c>
      <c r="AN2024" s="116">
        <v>0</v>
      </c>
      <c r="AO2024" s="116" t="inlineStr">
        <is>
          <t>#NA</t>
        </is>
      </c>
      <c r="AP2024" s="116">
        <f>SUMIFS(M:M,AM:AM,AM2024)+SUMIFS(O:O,AM:AM,AM2024)</f>
      </c>
      <c r="AQ2024" s="116">
        <f>SUMIFS(L:L,AM:AM,AM2024)</f>
      </c>
      <c r="AR2024" s="116">
        <f>AQ2024-AP2024</f>
      </c>
      <c r="AS2024" s="94" t="str">
        <f>IF(AN2024&gt;=AQ2024,"ok","ck")</f>
      </c>
      <c r="AT2024" s="116">
        <f>-P2024</f>
      </c>
      <c r="AU2024" s="115">
        <f>IF(SUMIFS(AT:AT,AM:AM,AM2024)&gt;AO2024,(SUMIFS(AT:AT,AM:AM,AM2024)-AO2024))</f>
      </c>
      <c r="AV2024" s="116">
        <v>0</v>
      </c>
      <c r="AW2024" s="121">
        <v>0.986</v>
      </c>
      <c r="AX2024" s="115">
        <f>AN2024-AP2024</f>
      </c>
    </row>
    <row r="2025" spans="1:50" ht="15" hidden="1" customHeight="1" x14ac:dyDescent="0.3">
      <c r="A2025" s="94" t="s">
        <v>76</v>
      </c>
      <c r="B2025" s="94"/>
      <c r="C2025" s="94"/>
      <c r="D2025" s="94"/>
      <c r="E2025" s="94"/>
      <c r="F2025" s="94"/>
      <c r="G2025" s="112">
        <f>AU2025</f>
      </c>
      <c r="H2025" s="113"/>
      <c r="I2025" s="94" t="s">
        <v>393</v>
      </c>
      <c r="J2025" s="94" t="s">
        <v>407</v>
      </c>
      <c r="K2025" s="114">
        <f>P2025/3</f>
      </c>
      <c r="L2025" s="115">
        <v>1733.28</v>
      </c>
      <c r="M2025" s="116">
        <f>L2025</f>
      </c>
      <c r="N2025" s="117">
        <f>M2025-L2025</f>
      </c>
      <c r="O2025" s="112"/>
      <c r="P2025" s="118">
        <f>N2025+O2025</f>
      </c>
      <c r="Q2025" s="94" t="s">
        <v>112</v>
      </c>
      <c r="R2025" s="94" t="s">
        <v>392</v>
      </c>
      <c r="S2025" s="119">
        <v>46331</v>
      </c>
      <c r="T2025" s="119"/>
      <c r="U2025" s="119">
        <v>46331</v>
      </c>
      <c r="V2025" s="94"/>
      <c r="W2025" s="94"/>
      <c r="X2025" s="94"/>
      <c r="Y2025" s="119">
        <v>46331</v>
      </c>
      <c r="Z2025" s="94"/>
      <c r="AA2025" s="120"/>
      <c r="AB2025" s="120"/>
      <c r="AC2025" s="120"/>
      <c r="AD2025" s="120"/>
      <c r="AE2025" s="120"/>
      <c r="AF2025" s="120"/>
      <c r="AG2025" s="94"/>
      <c r="AH2025" s="120"/>
      <c r="AI2025" s="94"/>
      <c r="AJ2025" s="94" t="s">
        <v>112</v>
      </c>
      <c r="AK2025" s="94" t="s">
        <v>749</v>
      </c>
      <c r="AL2025" s="94">
        <v>150</v>
      </c>
      <c r="AM2025" s="94" t="str">
        <f>TRIM(AJ2025)&amp;TRIM(AL2025)&amp;TRIM(AK2025)</f>
      </c>
      <c r="AN2025" s="116">
        <v>4986.83</v>
      </c>
      <c r="AO2025" s="116">
        <v>5.12</v>
      </c>
      <c r="AP2025" s="116">
        <f>SUMIFS(M:M,AM:AM,AM2025)+SUMIFS(O:O,AM:AM,AM2025)</f>
      </c>
      <c r="AQ2025" s="116">
        <f>SUMIFS(L:L,AM:AM,AM2025)</f>
      </c>
      <c r="AR2025" s="116">
        <f>AQ2025-AP2025</f>
      </c>
      <c r="AS2025" s="94" t="str">
        <f>IF(AN2025&gt;=AQ2025,"ok","ck")</f>
      </c>
      <c r="AT2025" s="116">
        <f>-P2025</f>
      </c>
      <c r="AU2025" s="115">
        <f>IF(SUMIFS(AT:AT,AM:AM,AM2025)&gt;AO2025,(SUMIFS(AT:AT,AM:AM,AM2025)-AO2025))</f>
      </c>
      <c r="AV2025" s="116">
        <v>4801.56</v>
      </c>
      <c r="AW2025" s="121">
        <v>0.994</v>
      </c>
      <c r="AX2025" s="115">
        <f>AN2025-AP2025</f>
      </c>
    </row>
    <row r="2026" spans="1:50" ht="15" hidden="1" customHeight="1" x14ac:dyDescent="0.3">
      <c r="A2026" s="94" t="s">
        <v>76</v>
      </c>
      <c r="B2026" s="94"/>
      <c r="C2026" s="94"/>
      <c r="D2026" s="94"/>
      <c r="E2026" s="94"/>
      <c r="F2026" s="94"/>
      <c r="G2026" s="112">
        <f>AU2026</f>
      </c>
      <c r="H2026" s="113"/>
      <c r="I2026" s="94" t="s">
        <v>393</v>
      </c>
      <c r="J2026" s="94" t="s">
        <v>407</v>
      </c>
      <c r="K2026" s="114">
        <f>P2026/3</f>
      </c>
      <c r="L2026" s="115">
        <v>3.6</v>
      </c>
      <c r="M2026" s="116">
        <f>L2026</f>
      </c>
      <c r="N2026" s="117">
        <f>M2026-L2026</f>
      </c>
      <c r="O2026" s="112"/>
      <c r="P2026" s="118">
        <f>N2026+O2026</f>
      </c>
      <c r="Q2026" s="94" t="s">
        <v>112</v>
      </c>
      <c r="R2026" s="94" t="s">
        <v>392</v>
      </c>
      <c r="S2026" s="119">
        <v>46333</v>
      </c>
      <c r="T2026" s="119"/>
      <c r="U2026" s="119">
        <v>46333</v>
      </c>
      <c r="V2026" s="94"/>
      <c r="W2026" s="94"/>
      <c r="X2026" s="94"/>
      <c r="Y2026" s="119">
        <v>46333</v>
      </c>
      <c r="Z2026" s="94"/>
      <c r="AA2026" s="120"/>
      <c r="AB2026" s="120"/>
      <c r="AC2026" s="120"/>
      <c r="AD2026" s="120"/>
      <c r="AE2026" s="120"/>
      <c r="AF2026" s="120"/>
      <c r="AG2026" s="94"/>
      <c r="AH2026" s="120"/>
      <c r="AI2026" s="94"/>
      <c r="AJ2026" s="94" t="s">
        <v>112</v>
      </c>
      <c r="AK2026" s="94" t="s">
        <v>749</v>
      </c>
      <c r="AL2026" s="94">
        <v>150</v>
      </c>
      <c r="AM2026" s="94" t="str">
        <f>TRIM(AJ2026)&amp;TRIM(AL2026)&amp;TRIM(AK2026)</f>
      </c>
      <c r="AN2026" s="116">
        <v>4986.83</v>
      </c>
      <c r="AO2026" s="116">
        <v>5.12</v>
      </c>
      <c r="AP2026" s="116">
        <f>SUMIFS(M:M,AM:AM,AM2026)+SUMIFS(O:O,AM:AM,AM2026)</f>
      </c>
      <c r="AQ2026" s="116">
        <f>SUMIFS(L:L,AM:AM,AM2026)</f>
      </c>
      <c r="AR2026" s="116">
        <f>AQ2026-AP2026</f>
      </c>
      <c r="AS2026" s="94" t="str">
        <f>IF(AN2026&gt;=AQ2026,"ok","ck")</f>
      </c>
      <c r="AT2026" s="116">
        <f>-P2026</f>
      </c>
      <c r="AU2026" s="115">
        <f>IF(SUMIFS(AT:AT,AM:AM,AM2026)&gt;AO2026,(SUMIFS(AT:AT,AM:AM,AM2026)-AO2026))</f>
      </c>
      <c r="AV2026" s="116">
        <v>4801.56</v>
      </c>
      <c r="AW2026" s="121">
        <v>0.994</v>
      </c>
      <c r="AX2026" s="115">
        <f>AN2026-AP2026</f>
      </c>
    </row>
    <row r="2027" spans="1:50" ht="15" hidden="1" customHeight="1" x14ac:dyDescent="0.3">
      <c r="A2027" s="94" t="s">
        <v>76</v>
      </c>
      <c r="B2027" s="94"/>
      <c r="C2027" s="94"/>
      <c r="D2027" s="94"/>
      <c r="E2027" s="94"/>
      <c r="F2027" s="94"/>
      <c r="G2027" s="112">
        <f>AU2027</f>
      </c>
      <c r="H2027" s="113"/>
      <c r="I2027" s="94" t="s">
        <v>393</v>
      </c>
      <c r="J2027" s="94" t="s">
        <v>408</v>
      </c>
      <c r="K2027" s="114">
        <f>P2027/3</f>
      </c>
      <c r="L2027" s="115">
        <v>653.29200000000003</v>
      </c>
      <c r="M2027" s="116">
        <f>L2027</f>
      </c>
      <c r="N2027" s="117">
        <f>M2027-L2027</f>
      </c>
      <c r="O2027" s="112"/>
      <c r="P2027" s="118">
        <f>N2027+O2027</f>
      </c>
      <c r="Q2027" s="94" t="s">
        <v>112</v>
      </c>
      <c r="R2027" s="94" t="s">
        <v>392</v>
      </c>
      <c r="S2027" s="119">
        <v>46327</v>
      </c>
      <c r="T2027" s="119"/>
      <c r="U2027" s="119">
        <v>46327</v>
      </c>
      <c r="V2027" s="94"/>
      <c r="W2027" s="94"/>
      <c r="X2027" s="94"/>
      <c r="Y2027" s="119">
        <v>46322</v>
      </c>
      <c r="Z2027" s="94"/>
      <c r="AA2027" s="120"/>
      <c r="AB2027" s="120"/>
      <c r="AC2027" s="120"/>
      <c r="AD2027" s="120"/>
      <c r="AE2027" s="120"/>
      <c r="AF2027" s="120"/>
      <c r="AG2027" s="94"/>
      <c r="AH2027" s="120"/>
      <c r="AI2027" s="94"/>
      <c r="AJ2027" s="94" t="s">
        <v>112</v>
      </c>
      <c r="AK2027" s="94" t="s">
        <v>342</v>
      </c>
      <c r="AL2027" s="94">
        <v>150</v>
      </c>
      <c r="AM2027" s="94" t="str">
        <f>TRIM(AJ2027)&amp;TRIM(AL2027)&amp;TRIM(AK2027)</f>
      </c>
      <c r="AN2027" s="116">
        <v>3478.58</v>
      </c>
      <c r="AO2027" s="116">
        <v>8.27</v>
      </c>
      <c r="AP2027" s="116">
        <f>SUMIFS(M:M,AM:AM,AM2027)+SUMIFS(O:O,AM:AM,AM2027)</f>
      </c>
      <c r="AQ2027" s="116">
        <f>SUMIFS(L:L,AM:AM,AM2027)</f>
      </c>
      <c r="AR2027" s="116">
        <f>AQ2027-AP2027</f>
      </c>
      <c r="AS2027" s="94" t="str">
        <f>IF(AN2027&gt;=AQ2027,"ok","ck")</f>
      </c>
      <c r="AT2027" s="116">
        <f>-P2027</f>
      </c>
      <c r="AU2027" s="115">
        <f>IF(SUMIFS(AT:AT,AM:AM,AM2027)&gt;AO2027,(SUMIFS(AT:AT,AM:AM,AM2027)-AO2027))</f>
      </c>
      <c r="AV2027" s="116">
        <v>3478.58</v>
      </c>
      <c r="AW2027" s="121">
        <v>0.988</v>
      </c>
      <c r="AX2027" s="115">
        <f>AN2027-AP2027</f>
      </c>
    </row>
    <row r="2028" spans="1:50" ht="15" hidden="1" customHeight="1" x14ac:dyDescent="0.3">
      <c r="A2028" s="94" t="s">
        <v>76</v>
      </c>
      <c r="B2028" s="94"/>
      <c r="C2028" s="94"/>
      <c r="D2028" s="94"/>
      <c r="E2028" s="94"/>
      <c r="F2028" s="94"/>
      <c r="G2028" s="112">
        <f>AU2028</f>
      </c>
      <c r="H2028" s="113"/>
      <c r="I2028" s="94" t="s">
        <v>393</v>
      </c>
      <c r="J2028" s="94" t="s">
        <v>408</v>
      </c>
      <c r="K2028" s="114">
        <f>P2028/3</f>
      </c>
      <c r="L2028" s="115">
        <v>688.4</v>
      </c>
      <c r="M2028" s="116">
        <f>L2028</f>
      </c>
      <c r="N2028" s="117">
        <f>M2028-L2028</f>
      </c>
      <c r="O2028" s="112"/>
      <c r="P2028" s="118">
        <f>N2028+O2028</f>
      </c>
      <c r="Q2028" s="94" t="s">
        <v>112</v>
      </c>
      <c r="R2028" s="94" t="s">
        <v>392</v>
      </c>
      <c r="S2028" s="119">
        <v>46327</v>
      </c>
      <c r="T2028" s="119"/>
      <c r="U2028" s="119">
        <v>46327</v>
      </c>
      <c r="V2028" s="94"/>
      <c r="W2028" s="94"/>
      <c r="X2028" s="94"/>
      <c r="Y2028" s="119">
        <v>46323</v>
      </c>
      <c r="Z2028" s="94"/>
      <c r="AA2028" s="120"/>
      <c r="AB2028" s="120"/>
      <c r="AC2028" s="120"/>
      <c r="AD2028" s="120"/>
      <c r="AE2028" s="120"/>
      <c r="AF2028" s="120"/>
      <c r="AG2028" s="94"/>
      <c r="AH2028" s="120"/>
      <c r="AI2028" s="94"/>
      <c r="AJ2028" s="94" t="s">
        <v>112</v>
      </c>
      <c r="AK2028" s="94" t="s">
        <v>342</v>
      </c>
      <c r="AL2028" s="94">
        <v>150</v>
      </c>
      <c r="AM2028" s="94" t="str">
        <f>TRIM(AJ2028)&amp;TRIM(AL2028)&amp;TRIM(AK2028)</f>
      </c>
      <c r="AN2028" s="116">
        <v>3478.58</v>
      </c>
      <c r="AO2028" s="116">
        <v>8.27</v>
      </c>
      <c r="AP2028" s="116">
        <f>SUMIFS(M:M,AM:AM,AM2028)+SUMIFS(O:O,AM:AM,AM2028)</f>
      </c>
      <c r="AQ2028" s="116">
        <f>SUMIFS(L:L,AM:AM,AM2028)</f>
      </c>
      <c r="AR2028" s="116">
        <f>AQ2028-AP2028</f>
      </c>
      <c r="AS2028" s="94" t="str">
        <f>IF(AN2028&gt;=AQ2028,"ok","ck")</f>
      </c>
      <c r="AT2028" s="116">
        <f>-P2028</f>
      </c>
      <c r="AU2028" s="115">
        <f>IF(SUMIFS(AT:AT,AM:AM,AM2028)&gt;AO2028,(SUMIFS(AT:AT,AM:AM,AM2028)-AO2028))</f>
      </c>
      <c r="AV2028" s="116">
        <v>3478.58</v>
      </c>
      <c r="AW2028" s="121">
        <v>0.988</v>
      </c>
      <c r="AX2028" s="115">
        <f>AN2028-AP2028</f>
      </c>
    </row>
    <row r="2029" spans="1:50" ht="15" hidden="1" customHeight="1" x14ac:dyDescent="0.3">
      <c r="A2029" s="94" t="s">
        <v>76</v>
      </c>
      <c r="B2029" s="94"/>
      <c r="C2029" s="94"/>
      <c r="D2029" s="94"/>
      <c r="E2029" s="94"/>
      <c r="F2029" s="94"/>
      <c r="G2029" s="112">
        <f>AU2029</f>
      </c>
      <c r="H2029" s="113"/>
      <c r="I2029" s="94" t="s">
        <v>393</v>
      </c>
      <c r="J2029" s="94" t="s">
        <v>408</v>
      </c>
      <c r="K2029" s="114">
        <f>P2029/3</f>
      </c>
      <c r="L2029" s="115">
        <v>1.8939999999999999</v>
      </c>
      <c r="M2029" s="116">
        <f>L2029</f>
      </c>
      <c r="N2029" s="117">
        <f>M2029-L2029</f>
      </c>
      <c r="O2029" s="112"/>
      <c r="P2029" s="118">
        <f>N2029+O2029</f>
      </c>
      <c r="Q2029" s="94" t="s">
        <v>112</v>
      </c>
      <c r="R2029" s="94" t="s">
        <v>392</v>
      </c>
      <c r="S2029" s="119">
        <v>46324</v>
      </c>
      <c r="T2029" s="119"/>
      <c r="U2029" s="119">
        <v>46324</v>
      </c>
      <c r="V2029" s="94"/>
      <c r="W2029" s="94"/>
      <c r="X2029" s="94"/>
      <c r="Y2029" s="119">
        <v>46324</v>
      </c>
      <c r="Z2029" s="94"/>
      <c r="AA2029" s="120"/>
      <c r="AB2029" s="120"/>
      <c r="AC2029" s="120"/>
      <c r="AD2029" s="120"/>
      <c r="AE2029" s="120"/>
      <c r="AF2029" s="120"/>
      <c r="AG2029" s="94"/>
      <c r="AH2029" s="120"/>
      <c r="AI2029" s="94"/>
      <c r="AJ2029" s="94" t="s">
        <v>112</v>
      </c>
      <c r="AK2029" s="94" t="s">
        <v>342</v>
      </c>
      <c r="AL2029" s="94">
        <v>150</v>
      </c>
      <c r="AM2029" s="94" t="str">
        <f>TRIM(AJ2029)&amp;TRIM(AL2029)&amp;TRIM(AK2029)</f>
      </c>
      <c r="AN2029" s="116">
        <v>3478.58</v>
      </c>
      <c r="AO2029" s="116">
        <v>8.27</v>
      </c>
      <c r="AP2029" s="116">
        <f>SUMIFS(M:M,AM:AM,AM2029)+SUMIFS(O:O,AM:AM,AM2029)</f>
      </c>
      <c r="AQ2029" s="116">
        <f>SUMIFS(L:L,AM:AM,AM2029)</f>
      </c>
      <c r="AR2029" s="116">
        <f>AQ2029-AP2029</f>
      </c>
      <c r="AS2029" s="94" t="str">
        <f>IF(AN2029&gt;=AQ2029,"ok","ck")</f>
      </c>
      <c r="AT2029" s="116">
        <f>-P2029</f>
      </c>
      <c r="AU2029" s="115">
        <f>IF(SUMIFS(AT:AT,AM:AM,AM2029)&gt;AO2029,(SUMIFS(AT:AT,AM:AM,AM2029)-AO2029))</f>
      </c>
      <c r="AV2029" s="116">
        <v>3478.58</v>
      </c>
      <c r="AW2029" s="121">
        <v>0.988</v>
      </c>
      <c r="AX2029" s="115">
        <f>AN2029-AP2029</f>
      </c>
    </row>
    <row r="2030" spans="1:50" ht="15" hidden="1" customHeight="1" x14ac:dyDescent="0.3">
      <c r="A2030" s="94" t="s">
        <v>76</v>
      </c>
      <c r="B2030" s="94"/>
      <c r="C2030" s="94"/>
      <c r="D2030" s="94"/>
      <c r="E2030" s="94"/>
      <c r="F2030" s="94"/>
      <c r="G2030" s="112">
        <f>AU2030</f>
      </c>
      <c r="H2030" s="113"/>
      <c r="I2030" s="94" t="s">
        <v>393</v>
      </c>
      <c r="J2030" s="94" t="s">
        <v>408</v>
      </c>
      <c r="K2030" s="114">
        <f>P2030/3</f>
      </c>
      <c r="L2030" s="115">
        <v>129.11500000000001</v>
      </c>
      <c r="M2030" s="116">
        <f>L2030</f>
      </c>
      <c r="N2030" s="117">
        <f>M2030-L2030</f>
      </c>
      <c r="O2030" s="112"/>
      <c r="P2030" s="118">
        <f>N2030+O2030</f>
      </c>
      <c r="Q2030" s="94" t="s">
        <v>112</v>
      </c>
      <c r="R2030" s="94" t="s">
        <v>392</v>
      </c>
      <c r="S2030" s="119">
        <v>46327</v>
      </c>
      <c r="T2030" s="119"/>
      <c r="U2030" s="119">
        <v>46327</v>
      </c>
      <c r="V2030" s="94"/>
      <c r="W2030" s="94"/>
      <c r="X2030" s="94"/>
      <c r="Y2030" s="119">
        <v>46327</v>
      </c>
      <c r="Z2030" s="94"/>
      <c r="AA2030" s="120"/>
      <c r="AB2030" s="120"/>
      <c r="AC2030" s="120"/>
      <c r="AD2030" s="120"/>
      <c r="AE2030" s="120"/>
      <c r="AF2030" s="120"/>
      <c r="AG2030" s="94"/>
      <c r="AH2030" s="120"/>
      <c r="AI2030" s="94"/>
      <c r="AJ2030" s="94" t="s">
        <v>112</v>
      </c>
      <c r="AK2030" s="94" t="s">
        <v>342</v>
      </c>
      <c r="AL2030" s="94">
        <v>150</v>
      </c>
      <c r="AM2030" s="94" t="str">
        <f>TRIM(AJ2030)&amp;TRIM(AL2030)&amp;TRIM(AK2030)</f>
      </c>
      <c r="AN2030" s="116">
        <v>3478.58</v>
      </c>
      <c r="AO2030" s="116">
        <v>8.27</v>
      </c>
      <c r="AP2030" s="116">
        <f>SUMIFS(M:M,AM:AM,AM2030)+SUMIFS(O:O,AM:AM,AM2030)</f>
      </c>
      <c r="AQ2030" s="116">
        <f>SUMIFS(L:L,AM:AM,AM2030)</f>
      </c>
      <c r="AR2030" s="116">
        <f>AQ2030-AP2030</f>
      </c>
      <c r="AS2030" s="94" t="str">
        <f>IF(AN2030&gt;=AQ2030,"ok","ck")</f>
      </c>
      <c r="AT2030" s="116">
        <f>-P2030</f>
      </c>
      <c r="AU2030" s="115">
        <f>IF(SUMIFS(AT:AT,AM:AM,AM2030)&gt;AO2030,(SUMIFS(AT:AT,AM:AM,AM2030)-AO2030))</f>
      </c>
      <c r="AV2030" s="116">
        <v>3478.58</v>
      </c>
      <c r="AW2030" s="121">
        <v>0.988</v>
      </c>
      <c r="AX2030" s="115">
        <f>AN2030-AP2030</f>
      </c>
    </row>
    <row r="2031" spans="1:50" ht="15" hidden="1" customHeight="1" x14ac:dyDescent="0.3">
      <c r="A2031" s="94" t="s">
        <v>76</v>
      </c>
      <c r="B2031" s="94"/>
      <c r="C2031" s="94"/>
      <c r="D2031" s="94"/>
      <c r="E2031" s="94"/>
      <c r="F2031" s="94"/>
      <c r="G2031" s="112">
        <f>AU2031</f>
      </c>
      <c r="H2031" s="113"/>
      <c r="I2031" s="94" t="s">
        <v>393</v>
      </c>
      <c r="J2031" s="94" t="s">
        <v>408</v>
      </c>
      <c r="K2031" s="114">
        <f>P2031/3</f>
      </c>
      <c r="L2031" s="115">
        <v>233.345</v>
      </c>
      <c r="M2031" s="116">
        <f>L2031</f>
      </c>
      <c r="N2031" s="117">
        <f>M2031-L2031</f>
      </c>
      <c r="O2031" s="112"/>
      <c r="P2031" s="118">
        <f>N2031+O2031</f>
      </c>
      <c r="Q2031" s="94" t="s">
        <v>112</v>
      </c>
      <c r="R2031" s="94" t="s">
        <v>392</v>
      </c>
      <c r="S2031" s="119">
        <v>46328</v>
      </c>
      <c r="T2031" s="119"/>
      <c r="U2031" s="119">
        <v>46328</v>
      </c>
      <c r="V2031" s="94"/>
      <c r="W2031" s="94"/>
      <c r="X2031" s="94"/>
      <c r="Y2031" s="119">
        <v>46328</v>
      </c>
      <c r="Z2031" s="94"/>
      <c r="AA2031" s="120"/>
      <c r="AB2031" s="120"/>
      <c r="AC2031" s="120"/>
      <c r="AD2031" s="120"/>
      <c r="AE2031" s="120"/>
      <c r="AF2031" s="120"/>
      <c r="AG2031" s="94"/>
      <c r="AH2031" s="120"/>
      <c r="AI2031" s="94"/>
      <c r="AJ2031" s="94" t="s">
        <v>112</v>
      </c>
      <c r="AK2031" s="94" t="s">
        <v>342</v>
      </c>
      <c r="AL2031" s="94">
        <v>150</v>
      </c>
      <c r="AM2031" s="94" t="str">
        <f>TRIM(AJ2031)&amp;TRIM(AL2031)&amp;TRIM(AK2031)</f>
      </c>
      <c r="AN2031" s="116">
        <v>3478.58</v>
      </c>
      <c r="AO2031" s="116">
        <v>8.27</v>
      </c>
      <c r="AP2031" s="116">
        <f>SUMIFS(M:M,AM:AM,AM2031)+SUMIFS(O:O,AM:AM,AM2031)</f>
      </c>
      <c r="AQ2031" s="116">
        <f>SUMIFS(L:L,AM:AM,AM2031)</f>
      </c>
      <c r="AR2031" s="116">
        <f>AQ2031-AP2031</f>
      </c>
      <c r="AS2031" s="94" t="str">
        <f>IF(AN2031&gt;=AQ2031,"ok","ck")</f>
      </c>
      <c r="AT2031" s="116">
        <f>-P2031</f>
      </c>
      <c r="AU2031" s="115">
        <f>IF(SUMIFS(AT:AT,AM:AM,AM2031)&gt;AO2031,(SUMIFS(AT:AT,AM:AM,AM2031)-AO2031))</f>
      </c>
      <c r="AV2031" s="116">
        <v>3478.58</v>
      </c>
      <c r="AW2031" s="121">
        <v>0.988</v>
      </c>
      <c r="AX2031" s="115">
        <f>AN2031-AP2031</f>
      </c>
    </row>
    <row r="2032" spans="1:50" ht="15" hidden="1" customHeight="1" x14ac:dyDescent="0.3">
      <c r="A2032" s="94" t="s">
        <v>76</v>
      </c>
      <c r="B2032" s="94"/>
      <c r="C2032" s="94"/>
      <c r="D2032" s="94"/>
      <c r="E2032" s="94"/>
      <c r="F2032" s="94"/>
      <c r="G2032" s="112">
        <f>AU2032</f>
      </c>
      <c r="H2032" s="113"/>
      <c r="I2032" s="94" t="s">
        <v>393</v>
      </c>
      <c r="J2032" s="94" t="s">
        <v>408</v>
      </c>
      <c r="K2032" s="114">
        <f>P2032/3</f>
      </c>
      <c r="L2032" s="115">
        <v>0.52500000000000002</v>
      </c>
      <c r="M2032" s="116">
        <f>L2032</f>
      </c>
      <c r="N2032" s="117">
        <f>M2032-L2032</f>
      </c>
      <c r="O2032" s="112"/>
      <c r="P2032" s="118">
        <f>N2032+O2032</f>
      </c>
      <c r="Q2032" s="94" t="s">
        <v>112</v>
      </c>
      <c r="R2032" s="94" t="s">
        <v>392</v>
      </c>
      <c r="S2032" s="119">
        <v>46329</v>
      </c>
      <c r="T2032" s="119"/>
      <c r="U2032" s="119">
        <v>46329</v>
      </c>
      <c r="V2032" s="94"/>
      <c r="W2032" s="94"/>
      <c r="X2032" s="94"/>
      <c r="Y2032" s="119">
        <v>46329</v>
      </c>
      <c r="Z2032" s="94"/>
      <c r="AA2032" s="120"/>
      <c r="AB2032" s="120"/>
      <c r="AC2032" s="120"/>
      <c r="AD2032" s="120"/>
      <c r="AE2032" s="120"/>
      <c r="AF2032" s="120"/>
      <c r="AG2032" s="94"/>
      <c r="AH2032" s="120"/>
      <c r="AI2032" s="94"/>
      <c r="AJ2032" s="94" t="s">
        <v>112</v>
      </c>
      <c r="AK2032" s="94" t="s">
        <v>342</v>
      </c>
      <c r="AL2032" s="94">
        <v>150</v>
      </c>
      <c r="AM2032" s="94" t="str">
        <f>TRIM(AJ2032)&amp;TRIM(AL2032)&amp;TRIM(AK2032)</f>
      </c>
      <c r="AN2032" s="116">
        <v>3478.58</v>
      </c>
      <c r="AO2032" s="116">
        <v>8.27</v>
      </c>
      <c r="AP2032" s="116">
        <f>SUMIFS(M:M,AM:AM,AM2032)+SUMIFS(O:O,AM:AM,AM2032)</f>
      </c>
      <c r="AQ2032" s="116">
        <f>SUMIFS(L:L,AM:AM,AM2032)</f>
      </c>
      <c r="AR2032" s="116">
        <f>AQ2032-AP2032</f>
      </c>
      <c r="AS2032" s="94" t="str">
        <f>IF(AN2032&gt;=AQ2032,"ok","ck")</f>
      </c>
      <c r="AT2032" s="116">
        <f>-P2032</f>
      </c>
      <c r="AU2032" s="115">
        <f>IF(SUMIFS(AT:AT,AM:AM,AM2032)&gt;AO2032,(SUMIFS(AT:AT,AM:AM,AM2032)-AO2032))</f>
      </c>
      <c r="AV2032" s="116">
        <v>3478.58</v>
      </c>
      <c r="AW2032" s="121">
        <v>0.988</v>
      </c>
      <c r="AX2032" s="115">
        <f>AN2032-AP2032</f>
      </c>
    </row>
    <row r="2033" spans="1:50" ht="15" hidden="1" customHeight="1" x14ac:dyDescent="0.3">
      <c r="A2033" s="94" t="s">
        <v>76</v>
      </c>
      <c r="B2033" s="94"/>
      <c r="C2033" s="94"/>
      <c r="D2033" s="94"/>
      <c r="E2033" s="94"/>
      <c r="F2033" s="94"/>
      <c r="G2033" s="112">
        <f>AU2033</f>
      </c>
      <c r="H2033" s="113"/>
      <c r="I2033" s="94" t="s">
        <v>393</v>
      </c>
      <c r="J2033" s="94" t="s">
        <v>408</v>
      </c>
      <c r="K2033" s="114">
        <f>P2033/3</f>
      </c>
      <c r="L2033" s="115">
        <v>645.17600000000004</v>
      </c>
      <c r="M2033" s="116">
        <f>L2033</f>
      </c>
      <c r="N2033" s="117">
        <f>M2033-L2033</f>
      </c>
      <c r="O2033" s="112"/>
      <c r="P2033" s="118">
        <f>N2033+O2033</f>
      </c>
      <c r="Q2033" s="94" t="s">
        <v>112</v>
      </c>
      <c r="R2033" s="94" t="s">
        <v>392</v>
      </c>
      <c r="S2033" s="119">
        <v>46327</v>
      </c>
      <c r="T2033" s="119"/>
      <c r="U2033" s="120">
        <v>46327</v>
      </c>
      <c r="V2033" s="94"/>
      <c r="W2033" s="94"/>
      <c r="X2033" s="94"/>
      <c r="Y2033" s="119">
        <v>46323</v>
      </c>
      <c r="Z2033" s="94"/>
      <c r="AA2033" s="120"/>
      <c r="AB2033" s="120"/>
      <c r="AC2033" s="120"/>
      <c r="AD2033" s="120"/>
      <c r="AE2033" s="120"/>
      <c r="AF2033" s="120"/>
      <c r="AG2033" s="94"/>
      <c r="AH2033" s="120"/>
      <c r="AI2033" s="94"/>
      <c r="AJ2033" s="94" t="s">
        <v>112</v>
      </c>
      <c r="AK2033" s="94" t="s">
        <v>342</v>
      </c>
      <c r="AL2033" s="94">
        <v>150</v>
      </c>
      <c r="AM2033" s="94" t="str">
        <f>TRIM(AJ2033)&amp;TRIM(AL2033)&amp;TRIM(AK2033)</f>
      </c>
      <c r="AN2033" s="116">
        <v>3478.58</v>
      </c>
      <c r="AO2033" s="116">
        <v>8.27</v>
      </c>
      <c r="AP2033" s="116">
        <f>SUMIFS(M:M,AM:AM,AM2033)+SUMIFS(O:O,AM:AM,AM2033)</f>
      </c>
      <c r="AQ2033" s="116">
        <f>SUMIFS(L:L,AM:AM,AM2033)</f>
      </c>
      <c r="AR2033" s="116">
        <f>AQ2033-AP2033</f>
      </c>
      <c r="AS2033" s="94" t="str">
        <f>IF(AN2033&gt;=AQ2033,"ok","ck")</f>
      </c>
      <c r="AT2033" s="116">
        <f>-P2033</f>
      </c>
      <c r="AU2033" s="115">
        <f>IF(SUMIFS(AT:AT,AM:AM,AM2033)&gt;AO2033,(SUMIFS(AT:AT,AM:AM,AM2033)-AO2033))</f>
      </c>
      <c r="AV2033" s="116">
        <v>3478.58</v>
      </c>
      <c r="AW2033" s="121">
        <v>0.988</v>
      </c>
      <c r="AX2033" s="115">
        <f>AN2033-AP2033</f>
      </c>
    </row>
    <row r="2034" spans="1:50" ht="15" hidden="1" customHeight="1" x14ac:dyDescent="0.3">
      <c r="A2034" s="94" t="s">
        <v>76</v>
      </c>
      <c r="B2034" s="94"/>
      <c r="C2034" s="94"/>
      <c r="D2034" s="94"/>
      <c r="E2034" s="94"/>
      <c r="F2034" s="94"/>
      <c r="G2034" s="112">
        <f>AU2034</f>
      </c>
      <c r="H2034" s="113"/>
      <c r="I2034" s="94" t="s">
        <v>393</v>
      </c>
      <c r="J2034" s="94" t="s">
        <v>588</v>
      </c>
      <c r="K2034" s="114">
        <f>P2034/3</f>
      </c>
      <c r="L2034" s="115">
        <v>401.07600000000002</v>
      </c>
      <c r="M2034" s="116"/>
      <c r="N2034" s="117">
        <f>M2034-L2034</f>
      </c>
      <c r="O2034" s="112"/>
      <c r="P2034" s="118">
        <f>N2034+O2034</f>
      </c>
      <c r="Q2034" s="94" t="s">
        <v>834</v>
      </c>
      <c r="R2034" s="94" t="s">
        <v>392</v>
      </c>
      <c r="S2034" s="119">
        <v>46348</v>
      </c>
      <c r="T2034" s="119"/>
      <c r="U2034" s="120">
        <v>46348</v>
      </c>
      <c r="V2034" s="94"/>
      <c r="W2034" s="94"/>
      <c r="X2034" s="94"/>
      <c r="Y2034" s="119">
        <v>46340</v>
      </c>
      <c r="Z2034" s="94"/>
      <c r="AA2034" s="120"/>
      <c r="AB2034" s="120"/>
      <c r="AC2034" s="120"/>
      <c r="AD2034" s="120"/>
      <c r="AE2034" s="120"/>
      <c r="AF2034" s="120"/>
      <c r="AG2034" s="94"/>
      <c r="AH2034" s="120"/>
      <c r="AI2034" s="94"/>
      <c r="AJ2034" s="94" t="s">
        <v>834</v>
      </c>
      <c r="AK2034" s="94" t="s">
        <v>120</v>
      </c>
      <c r="AL2034" s="94">
        <v>150</v>
      </c>
      <c r="AM2034" s="94" t="str">
        <f>TRIM(AJ2034)&amp;TRIM(AL2034)&amp;TRIM(AK2034)</f>
      </c>
      <c r="AN2034" s="116">
        <v>0</v>
      </c>
      <c r="AO2034" s="116" t="inlineStr">
        <is>
          <t>#NA</t>
        </is>
      </c>
      <c r="AP2034" s="116">
        <f>SUMIFS(M:M,AM:AM,AM2034)+SUMIFS(O:O,AM:AM,AM2034)</f>
      </c>
      <c r="AQ2034" s="116">
        <f>SUMIFS(L:L,AM:AM,AM2034)</f>
      </c>
      <c r="AR2034" s="116">
        <f>AQ2034-AP2034</f>
      </c>
      <c r="AS2034" s="94" t="str">
        <f>IF(AN2034&gt;=AQ2034,"ok","ck")</f>
      </c>
      <c r="AT2034" s="116">
        <f>-P2034</f>
      </c>
      <c r="AU2034" s="115">
        <f>IF(SUMIFS(AT:AT,AM:AM,AM2034)&gt;AO2034,(SUMIFS(AT:AT,AM:AM,AM2034)-AO2034))</f>
      </c>
      <c r="AV2034" s="116">
        <v>0</v>
      </c>
      <c r="AW2034" s="121">
        <v>0</v>
      </c>
      <c r="AX2034" s="115">
        <f>AN2034-AP2034</f>
      </c>
    </row>
    <row r="2035" spans="1:50" ht="15" hidden="1" customHeight="1" x14ac:dyDescent="0.3">
      <c r="A2035" s="94" t="s">
        <v>76</v>
      </c>
      <c r="B2035" s="94"/>
      <c r="C2035" s="94"/>
      <c r="D2035" s="94"/>
      <c r="E2035" s="94"/>
      <c r="F2035" s="94"/>
      <c r="G2035" s="112">
        <f>AU2035</f>
      </c>
      <c r="H2035" s="113"/>
      <c r="I2035" s="94" t="s">
        <v>393</v>
      </c>
      <c r="J2035" s="94" t="s">
        <v>588</v>
      </c>
      <c r="K2035" s="114">
        <f>P2035/3</f>
      </c>
      <c r="L2035" s="115">
        <v>2.1059999999999999</v>
      </c>
      <c r="M2035" s="116"/>
      <c r="N2035" s="117">
        <f>M2035-L2035</f>
      </c>
      <c r="O2035" s="112"/>
      <c r="P2035" s="118">
        <f>N2035+O2035</f>
      </c>
      <c r="Q2035" s="94" t="s">
        <v>834</v>
      </c>
      <c r="R2035" s="94" t="s">
        <v>392</v>
      </c>
      <c r="S2035" s="119">
        <v>46348</v>
      </c>
      <c r="T2035" s="119"/>
      <c r="U2035" s="120">
        <v>46348</v>
      </c>
      <c r="V2035" s="94"/>
      <c r="W2035" s="94"/>
      <c r="X2035" s="94"/>
      <c r="Y2035" s="119">
        <v>46341</v>
      </c>
      <c r="Z2035" s="94"/>
      <c r="AA2035" s="120"/>
      <c r="AB2035" s="120"/>
      <c r="AC2035" s="120"/>
      <c r="AD2035" s="120"/>
      <c r="AE2035" s="120"/>
      <c r="AF2035" s="120"/>
      <c r="AG2035" s="94"/>
      <c r="AH2035" s="120"/>
      <c r="AI2035" s="94"/>
      <c r="AJ2035" s="94" t="s">
        <v>834</v>
      </c>
      <c r="AK2035" s="94" t="s">
        <v>120</v>
      </c>
      <c r="AL2035" s="94">
        <v>150</v>
      </c>
      <c r="AM2035" s="94" t="str">
        <f>TRIM(AJ2035)&amp;TRIM(AL2035)&amp;TRIM(AK2035)</f>
      </c>
      <c r="AN2035" s="116">
        <v>0</v>
      </c>
      <c r="AO2035" s="116" t="inlineStr">
        <is>
          <t>#NA</t>
        </is>
      </c>
      <c r="AP2035" s="116">
        <f>SUMIFS(M:M,AM:AM,AM2035)+SUMIFS(O:O,AM:AM,AM2035)</f>
      </c>
      <c r="AQ2035" s="116">
        <f>SUMIFS(L:L,AM:AM,AM2035)</f>
      </c>
      <c r="AR2035" s="116">
        <f>AQ2035-AP2035</f>
      </c>
      <c r="AS2035" s="94" t="str">
        <f>IF(AN2035&gt;=AQ2035,"ok","ck")</f>
      </c>
      <c r="AT2035" s="116">
        <f>-P2035</f>
      </c>
      <c r="AU2035" s="115">
        <f>IF(SUMIFS(AT:AT,AM:AM,AM2035)&gt;AO2035,(SUMIFS(AT:AT,AM:AM,AM2035)-AO2035))</f>
      </c>
      <c r="AV2035" s="116">
        <v>0</v>
      </c>
      <c r="AW2035" s="121">
        <v>0</v>
      </c>
      <c r="AX2035" s="115">
        <f>AN2035-AP2035</f>
      </c>
    </row>
    <row r="2036" spans="1:50" ht="15" hidden="1" customHeight="1" x14ac:dyDescent="0.3">
      <c r="A2036" s="94" t="s">
        <v>76</v>
      </c>
      <c r="B2036" s="94"/>
      <c r="C2036" s="94"/>
      <c r="D2036" s="94"/>
      <c r="E2036" s="94"/>
      <c r="F2036" s="94"/>
      <c r="G2036" s="112">
        <f>AU2036</f>
      </c>
      <c r="H2036" s="113"/>
      <c r="I2036" s="94" t="s">
        <v>393</v>
      </c>
      <c r="J2036" s="94" t="s">
        <v>589</v>
      </c>
      <c r="K2036" s="114">
        <f>P2036/3</f>
      </c>
      <c r="L2036" s="115">
        <v>401.07600000000002</v>
      </c>
      <c r="M2036" s="116">
        <f>L2036</f>
      </c>
      <c r="N2036" s="117">
        <f>M2036-L2036</f>
      </c>
      <c r="O2036" s="112"/>
      <c r="P2036" s="118">
        <f>N2036+O2036</f>
      </c>
      <c r="Q2036" s="94" t="s">
        <v>834</v>
      </c>
      <c r="R2036" s="94" t="s">
        <v>392</v>
      </c>
      <c r="S2036" s="119">
        <v>46348</v>
      </c>
      <c r="T2036" s="119"/>
      <c r="U2036" s="119">
        <v>46348</v>
      </c>
      <c r="V2036" s="94"/>
      <c r="W2036" s="94"/>
      <c r="X2036" s="94"/>
      <c r="Y2036" s="119">
        <v>46340</v>
      </c>
      <c r="Z2036" s="94"/>
      <c r="AA2036" s="120"/>
      <c r="AB2036" s="120"/>
      <c r="AC2036" s="120"/>
      <c r="AD2036" s="120"/>
      <c r="AE2036" s="120"/>
      <c r="AF2036" s="120"/>
      <c r="AG2036" s="94"/>
      <c r="AH2036" s="120"/>
      <c r="AI2036" s="94"/>
      <c r="AJ2036" s="94" t="s">
        <v>834</v>
      </c>
      <c r="AK2036" s="94" t="s">
        <v>754</v>
      </c>
      <c r="AL2036" s="94">
        <v>150</v>
      </c>
      <c r="AM2036" s="94" t="str">
        <f>TRIM(AJ2036)&amp;TRIM(AL2036)&amp;TRIM(AK2036)</f>
      </c>
      <c r="AN2036" s="116">
        <v>334</v>
      </c>
      <c r="AO2036" s="116">
        <v>-1.47</v>
      </c>
      <c r="AP2036" s="116">
        <f>SUMIFS(M:M,AM:AM,AM2036)+SUMIFS(O:O,AM:AM,AM2036)</f>
      </c>
      <c r="AQ2036" s="116">
        <f>SUMIFS(L:L,AM:AM,AM2036)</f>
      </c>
      <c r="AR2036" s="116">
        <f>AQ2036-AP2036</f>
      </c>
      <c r="AS2036" s="94" t="str">
        <f>IF(AN2036&gt;=AQ2036,"ok","ck")</f>
      </c>
      <c r="AT2036" s="116">
        <f>-P2036</f>
      </c>
      <c r="AU2036" s="115">
        <f>IF(SUMIFS(AT:AT,AM:AM,AM2036)&gt;AO2036,(SUMIFS(AT:AT,AM:AM,AM2036)-AO2036))</f>
      </c>
      <c r="AV2036" s="116">
        <v>334</v>
      </c>
      <c r="AW2036" s="121">
        <v>1.004</v>
      </c>
      <c r="AX2036" s="115">
        <f>AN2036-AP2036</f>
      </c>
    </row>
    <row r="2037" spans="1:50" ht="15" hidden="1" customHeight="1" x14ac:dyDescent="0.3">
      <c r="A2037" s="94" t="s">
        <v>76</v>
      </c>
      <c r="B2037" s="94"/>
      <c r="C2037" s="94"/>
      <c r="D2037" s="94"/>
      <c r="E2037" s="94"/>
      <c r="F2037" s="94"/>
      <c r="G2037" s="112">
        <f>AU2037</f>
      </c>
      <c r="H2037" s="113"/>
      <c r="I2037" s="94" t="s">
        <v>393</v>
      </c>
      <c r="J2037" s="94" t="s">
        <v>589</v>
      </c>
      <c r="K2037" s="114">
        <f>P2037/3</f>
      </c>
      <c r="L2037" s="115">
        <v>2.1059999999999999</v>
      </c>
      <c r="M2037" s="116">
        <f>L2037</f>
      </c>
      <c r="N2037" s="117">
        <f>M2037-L2037</f>
      </c>
      <c r="O2037" s="112"/>
      <c r="P2037" s="118">
        <f>N2037+O2037</f>
      </c>
      <c r="Q2037" s="94" t="s">
        <v>834</v>
      </c>
      <c r="R2037" s="94" t="s">
        <v>392</v>
      </c>
      <c r="S2037" s="119">
        <v>46348</v>
      </c>
      <c r="T2037" s="119"/>
      <c r="U2037" s="119">
        <v>46348</v>
      </c>
      <c r="V2037" s="94"/>
      <c r="W2037" s="94"/>
      <c r="X2037" s="94"/>
      <c r="Y2037" s="119">
        <v>46341</v>
      </c>
      <c r="Z2037" s="94"/>
      <c r="AA2037" s="120"/>
      <c r="AB2037" s="120"/>
      <c r="AC2037" s="120"/>
      <c r="AD2037" s="120"/>
      <c r="AE2037" s="120"/>
      <c r="AF2037" s="120"/>
      <c r="AG2037" s="94"/>
      <c r="AH2037" s="120"/>
      <c r="AI2037" s="94"/>
      <c r="AJ2037" s="94" t="s">
        <v>834</v>
      </c>
      <c r="AK2037" s="94" t="s">
        <v>754</v>
      </c>
      <c r="AL2037" s="94">
        <v>150</v>
      </c>
      <c r="AM2037" s="94" t="str">
        <f>TRIM(AJ2037)&amp;TRIM(AL2037)&amp;TRIM(AK2037)</f>
      </c>
      <c r="AN2037" s="116">
        <v>334</v>
      </c>
      <c r="AO2037" s="116">
        <v>-1.47</v>
      </c>
      <c r="AP2037" s="116">
        <f>SUMIFS(M:M,AM:AM,AM2037)+SUMIFS(O:O,AM:AM,AM2037)</f>
      </c>
      <c r="AQ2037" s="116">
        <f>SUMIFS(L:L,AM:AM,AM2037)</f>
      </c>
      <c r="AR2037" s="116">
        <f>AQ2037-AP2037</f>
      </c>
      <c r="AS2037" s="94" t="str">
        <f>IF(AN2037&gt;=AQ2037,"ok","ck")</f>
      </c>
      <c r="AT2037" s="116">
        <f>-P2037</f>
      </c>
      <c r="AU2037" s="115">
        <f>IF(SUMIFS(AT:AT,AM:AM,AM2037)&gt;AO2037,(SUMIFS(AT:AT,AM:AM,AM2037)-AO2037))</f>
      </c>
      <c r="AV2037" s="116">
        <v>334</v>
      </c>
      <c r="AW2037" s="121">
        <v>1.004</v>
      </c>
      <c r="AX2037" s="115">
        <f>AN2037-AP2037</f>
      </c>
    </row>
    <row r="2038" spans="1:50" ht="15" hidden="1" customHeight="1" x14ac:dyDescent="0.3">
      <c r="A2038" s="94" t="s">
        <v>268</v>
      </c>
      <c r="B2038" s="94"/>
      <c r="C2038" s="94"/>
      <c r="D2038" s="94"/>
      <c r="E2038" s="94"/>
      <c r="F2038" s="94"/>
      <c r="G2038" s="112">
        <f>AU2038</f>
      </c>
      <c r="H2038" s="113"/>
      <c r="I2038" s="94" t="s">
        <v>390</v>
      </c>
      <c r="J2038" s="94" t="s">
        <v>399</v>
      </c>
      <c r="K2038" s="114">
        <f>P2038/3</f>
      </c>
      <c r="L2038" s="115">
        <v>153.6</v>
      </c>
      <c r="M2038" s="116"/>
      <c r="N2038" s="117">
        <f>M2038-L2038</f>
      </c>
      <c r="O2038" s="112"/>
      <c r="P2038" s="118">
        <f>N2038+O2038</f>
      </c>
      <c r="Q2038" s="94" t="s">
        <v>778</v>
      </c>
      <c r="R2038" s="94" t="s">
        <v>392</v>
      </c>
      <c r="S2038" s="119">
        <v>46343</v>
      </c>
      <c r="T2038" s="119"/>
      <c r="U2038" s="119">
        <v>46343</v>
      </c>
      <c r="V2038" s="94"/>
      <c r="W2038" s="94"/>
      <c r="X2038" s="94"/>
      <c r="Y2038" s="119">
        <v>46337</v>
      </c>
      <c r="Z2038" s="94"/>
      <c r="AA2038" s="120"/>
      <c r="AB2038" s="120"/>
      <c r="AC2038" s="120"/>
      <c r="AD2038" s="120"/>
      <c r="AE2038" s="120"/>
      <c r="AF2038" s="120"/>
      <c r="AG2038" s="94"/>
      <c r="AH2038" s="120"/>
      <c r="AI2038" s="94"/>
      <c r="AJ2038" s="94" t="s">
        <v>778</v>
      </c>
      <c r="AK2038" s="94" t="s">
        <v>342</v>
      </c>
      <c r="AL2038" s="94">
        <v>140</v>
      </c>
      <c r="AM2038" s="94" t="str">
        <f>TRIM(AJ2038)&amp;TRIM(AL2038)&amp;TRIM(AK2038)</f>
      </c>
      <c r="AN2038" s="116">
        <v>0</v>
      </c>
      <c r="AO2038" s="116" t="inlineStr">
        <is>
          <t>#NA</t>
        </is>
      </c>
      <c r="AP2038" s="116">
        <f>SUMIFS(M:M,AM:AM,AM2038)+SUMIFS(O:O,AM:AM,AM2038)</f>
      </c>
      <c r="AQ2038" s="116">
        <f>SUMIFS(L:L,AM:AM,AM2038)</f>
      </c>
      <c r="AR2038" s="116">
        <f>AQ2038-AP2038</f>
      </c>
      <c r="AS2038" s="94" t="str">
        <f>IF(AN2038&gt;=AQ2038,"ok","ck")</f>
      </c>
      <c r="AT2038" s="116">
        <f>-P2038</f>
      </c>
      <c r="AU2038" s="115">
        <f>IF(SUMIFS(AT:AT,AM:AM,AM2038)&gt;AO2038,(SUMIFS(AT:AT,AM:AM,AM2038)-AO2038))</f>
      </c>
      <c r="AV2038" s="116">
        <v>0</v>
      </c>
      <c r="AW2038" s="121">
        <v>0</v>
      </c>
      <c r="AX2038" s="115">
        <f>AN2038-AP2038</f>
      </c>
    </row>
    <row r="2039" spans="1:50" ht="15" hidden="1" customHeight="1" x14ac:dyDescent="0.3">
      <c r="A2039" s="94" t="s">
        <v>268</v>
      </c>
      <c r="B2039" s="94"/>
      <c r="C2039" s="94"/>
      <c r="D2039" s="94"/>
      <c r="E2039" s="94"/>
      <c r="F2039" s="94"/>
      <c r="G2039" s="112">
        <f>AU2039</f>
      </c>
      <c r="H2039" s="113"/>
      <c r="I2039" s="94" t="s">
        <v>390</v>
      </c>
      <c r="J2039" s="94" t="s">
        <v>399</v>
      </c>
      <c r="K2039" s="114">
        <f>P2039/3</f>
      </c>
      <c r="L2039" s="115">
        <v>18.623999999999999</v>
      </c>
      <c r="M2039" s="116"/>
      <c r="N2039" s="117">
        <f>M2039-L2039</f>
      </c>
      <c r="O2039" s="112"/>
      <c r="P2039" s="118">
        <f>N2039+O2039</f>
      </c>
      <c r="Q2039" s="94" t="s">
        <v>778</v>
      </c>
      <c r="R2039" s="94" t="s">
        <v>392</v>
      </c>
      <c r="S2039" s="119">
        <v>46343</v>
      </c>
      <c r="T2039" s="119"/>
      <c r="U2039" s="119">
        <v>46343</v>
      </c>
      <c r="V2039" s="94"/>
      <c r="W2039" s="94"/>
      <c r="X2039" s="94"/>
      <c r="Y2039" s="119">
        <v>46340</v>
      </c>
      <c r="Z2039" s="94"/>
      <c r="AA2039" s="120"/>
      <c r="AB2039" s="120"/>
      <c r="AC2039" s="120"/>
      <c r="AD2039" s="120"/>
      <c r="AE2039" s="120"/>
      <c r="AF2039" s="120"/>
      <c r="AG2039" s="94"/>
      <c r="AH2039" s="120"/>
      <c r="AI2039" s="94"/>
      <c r="AJ2039" s="94" t="s">
        <v>778</v>
      </c>
      <c r="AK2039" s="94" t="s">
        <v>342</v>
      </c>
      <c r="AL2039" s="94">
        <v>140</v>
      </c>
      <c r="AM2039" s="94" t="str">
        <f>TRIM(AJ2039)&amp;TRIM(AL2039)&amp;TRIM(AK2039)</f>
      </c>
      <c r="AN2039" s="116">
        <v>0</v>
      </c>
      <c r="AO2039" s="116" t="inlineStr">
        <is>
          <t>#NA</t>
        </is>
      </c>
      <c r="AP2039" s="116">
        <f>SUMIFS(M:M,AM:AM,AM2039)+SUMIFS(O:O,AM:AM,AM2039)</f>
      </c>
      <c r="AQ2039" s="116">
        <f>SUMIFS(L:L,AM:AM,AM2039)</f>
      </c>
      <c r="AR2039" s="116">
        <f>AQ2039-AP2039</f>
      </c>
      <c r="AS2039" s="94" t="str">
        <f>IF(AN2039&gt;=AQ2039,"ok","ck")</f>
      </c>
      <c r="AT2039" s="116">
        <f>-P2039</f>
      </c>
      <c r="AU2039" s="115">
        <f>IF(SUMIFS(AT:AT,AM:AM,AM2039)&gt;AO2039,(SUMIFS(AT:AT,AM:AM,AM2039)-AO2039))</f>
      </c>
      <c r="AV2039" s="116">
        <v>0</v>
      </c>
      <c r="AW2039" s="121">
        <v>0</v>
      </c>
      <c r="AX2039" s="115">
        <f>AN2039-AP2039</f>
      </c>
    </row>
    <row r="2040" spans="1:50" ht="15" hidden="1" customHeight="1" x14ac:dyDescent="0.3">
      <c r="A2040" s="94" t="s">
        <v>268</v>
      </c>
      <c r="B2040" s="94"/>
      <c r="C2040" s="94"/>
      <c r="D2040" s="94"/>
      <c r="E2040" s="94"/>
      <c r="F2040" s="94"/>
      <c r="G2040" s="112">
        <f>AU2040</f>
      </c>
      <c r="H2040" s="113"/>
      <c r="I2040" s="94" t="s">
        <v>390</v>
      </c>
      <c r="J2040" s="94" t="s">
        <v>399</v>
      </c>
      <c r="K2040" s="114">
        <f>P2040/3</f>
      </c>
      <c r="L2040" s="115">
        <v>62.015999999999998</v>
      </c>
      <c r="M2040" s="116"/>
      <c r="N2040" s="117">
        <f>M2040-L2040</f>
      </c>
      <c r="O2040" s="112"/>
      <c r="P2040" s="118">
        <f>N2040+O2040</f>
      </c>
      <c r="Q2040" s="94" t="s">
        <v>778</v>
      </c>
      <c r="R2040" s="94" t="s">
        <v>392</v>
      </c>
      <c r="S2040" s="119">
        <v>46343</v>
      </c>
      <c r="T2040" s="119"/>
      <c r="U2040" s="119">
        <v>46343</v>
      </c>
      <c r="V2040" s="94"/>
      <c r="W2040" s="94"/>
      <c r="X2040" s="94"/>
      <c r="Y2040" s="119">
        <v>46338</v>
      </c>
      <c r="Z2040" s="94"/>
      <c r="AA2040" s="120"/>
      <c r="AB2040" s="120"/>
      <c r="AC2040" s="120"/>
      <c r="AD2040" s="120"/>
      <c r="AE2040" s="120"/>
      <c r="AF2040" s="120"/>
      <c r="AG2040" s="94"/>
      <c r="AH2040" s="120"/>
      <c r="AI2040" s="94"/>
      <c r="AJ2040" s="94" t="s">
        <v>778</v>
      </c>
      <c r="AK2040" s="94" t="s">
        <v>342</v>
      </c>
      <c r="AL2040" s="94">
        <v>140</v>
      </c>
      <c r="AM2040" s="94" t="str">
        <f>TRIM(AJ2040)&amp;TRIM(AL2040)&amp;TRIM(AK2040)</f>
      </c>
      <c r="AN2040" s="116">
        <v>0</v>
      </c>
      <c r="AO2040" s="116" t="inlineStr">
        <is>
          <t>#NA</t>
        </is>
      </c>
      <c r="AP2040" s="116">
        <f>SUMIFS(M:M,AM:AM,AM2040)+SUMIFS(O:O,AM:AM,AM2040)</f>
      </c>
      <c r="AQ2040" s="116">
        <f>SUMIFS(L:L,AM:AM,AM2040)</f>
      </c>
      <c r="AR2040" s="116">
        <f>AQ2040-AP2040</f>
      </c>
      <c r="AS2040" s="94" t="str">
        <f>IF(AN2040&gt;=AQ2040,"ok","ck")</f>
      </c>
      <c r="AT2040" s="116">
        <f>-P2040</f>
      </c>
      <c r="AU2040" s="115">
        <f>IF(SUMIFS(AT:AT,AM:AM,AM2040)&gt;AO2040,(SUMIFS(AT:AT,AM:AM,AM2040)-AO2040))</f>
      </c>
      <c r="AV2040" s="116">
        <v>0</v>
      </c>
      <c r="AW2040" s="121">
        <v>0</v>
      </c>
      <c r="AX2040" s="115">
        <f>AN2040-AP2040</f>
      </c>
    </row>
    <row r="2041" spans="1:50" ht="15" hidden="1" customHeight="1" x14ac:dyDescent="0.3">
      <c r="A2041" s="94" t="s">
        <v>76</v>
      </c>
      <c r="B2041" s="94"/>
      <c r="C2041" s="94"/>
      <c r="D2041" s="94"/>
      <c r="E2041" s="94"/>
      <c r="F2041" s="94"/>
      <c r="G2041" s="112">
        <f>AU2041</f>
      </c>
      <c r="H2041" s="113"/>
      <c r="I2041" s="94" t="s">
        <v>393</v>
      </c>
      <c r="J2041" s="94" t="s">
        <v>429</v>
      </c>
      <c r="K2041" s="114">
        <f>P2041/3</f>
      </c>
      <c r="L2041" s="115">
        <v>145.38200000000001</v>
      </c>
      <c r="M2041" s="116"/>
      <c r="N2041" s="117">
        <f>M2041-L2041</f>
      </c>
      <c r="O2041" s="112"/>
      <c r="P2041" s="118">
        <f>N2041+O2041</f>
      </c>
      <c r="Q2041" s="94" t="s">
        <v>430</v>
      </c>
      <c r="R2041" s="94" t="s">
        <v>392</v>
      </c>
      <c r="S2041" s="119">
        <v>46320</v>
      </c>
      <c r="T2041" s="119"/>
      <c r="U2041" s="119">
        <v>46320</v>
      </c>
      <c r="V2041" s="94"/>
      <c r="W2041" s="94"/>
      <c r="X2041" s="94"/>
      <c r="Y2041" s="119">
        <v>46320</v>
      </c>
      <c r="Z2041" s="94"/>
      <c r="AA2041" s="120"/>
      <c r="AB2041" s="120"/>
      <c r="AC2041" s="120"/>
      <c r="AD2041" s="120"/>
      <c r="AE2041" s="120"/>
      <c r="AF2041" s="120"/>
      <c r="AG2041" s="94"/>
      <c r="AH2041" s="120"/>
      <c r="AI2041" s="94"/>
      <c r="AJ2041" s="94" t="s">
        <v>430</v>
      </c>
      <c r="AK2041" s="94" t="s">
        <v>748</v>
      </c>
      <c r="AL2041" s="94">
        <v>150</v>
      </c>
      <c r="AM2041" s="94" t="str">
        <f>TRIM(AJ2041)&amp;TRIM(AL2041)&amp;TRIM(AK2041)</f>
      </c>
      <c r="AN2041" s="116">
        <v>0</v>
      </c>
      <c r="AO2041" s="116" t="inlineStr">
        <is>
          <t>#NA</t>
        </is>
      </c>
      <c r="AP2041" s="116">
        <f>SUMIFS(M:M,AM:AM,AM2041)+SUMIFS(O:O,AM:AM,AM2041)</f>
      </c>
      <c r="AQ2041" s="116">
        <f>SUMIFS(L:L,AM:AM,AM2041)</f>
      </c>
      <c r="AR2041" s="116">
        <f>AQ2041-AP2041</f>
      </c>
      <c r="AS2041" s="94" t="str">
        <f>IF(AN2041&gt;=AQ2041,"ok","ck")</f>
      </c>
      <c r="AT2041" s="116">
        <f>-P2041</f>
      </c>
      <c r="AU2041" s="115">
        <f>IF(SUMIFS(AT:AT,AM:AM,AM2041)&gt;AO2041,(SUMIFS(AT:AT,AM:AM,AM2041)-AO2041))</f>
      </c>
      <c r="AV2041" s="116">
        <v>0</v>
      </c>
      <c r="AW2041" s="121">
        <v>1</v>
      </c>
      <c r="AX2041" s="115">
        <f>AN2041-AP2041</f>
      </c>
    </row>
    <row r="2042" spans="1:50" ht="15" hidden="1" customHeight="1" x14ac:dyDescent="0.3">
      <c r="A2042" s="94" t="s">
        <v>76</v>
      </c>
      <c r="B2042" s="94"/>
      <c r="C2042" s="94"/>
      <c r="D2042" s="94"/>
      <c r="E2042" s="94"/>
      <c r="F2042" s="94"/>
      <c r="G2042" s="112">
        <f>AU2042</f>
      </c>
      <c r="H2042" s="113"/>
      <c r="I2042" s="94" t="s">
        <v>393</v>
      </c>
      <c r="J2042" s="94" t="s">
        <v>429</v>
      </c>
      <c r="K2042" s="114">
        <f>P2042/3</f>
      </c>
      <c r="L2042" s="115">
        <v>359.5</v>
      </c>
      <c r="M2042" s="116"/>
      <c r="N2042" s="117">
        <f>M2042-L2042</f>
      </c>
      <c r="O2042" s="112"/>
      <c r="P2042" s="118">
        <f>N2042+O2042</f>
      </c>
      <c r="Q2042" s="94" t="s">
        <v>430</v>
      </c>
      <c r="R2042" s="94" t="s">
        <v>392</v>
      </c>
      <c r="S2042" s="119">
        <v>46320</v>
      </c>
      <c r="T2042" s="119"/>
      <c r="U2042" s="119">
        <v>46320</v>
      </c>
      <c r="V2042" s="94"/>
      <c r="W2042" s="94"/>
      <c r="X2042" s="94"/>
      <c r="Y2042" s="119">
        <v>46320</v>
      </c>
      <c r="Z2042" s="94"/>
      <c r="AA2042" s="120"/>
      <c r="AB2042" s="120"/>
      <c r="AC2042" s="120"/>
      <c r="AD2042" s="120"/>
      <c r="AE2042" s="120"/>
      <c r="AF2042" s="120"/>
      <c r="AG2042" s="94"/>
      <c r="AH2042" s="120"/>
      <c r="AI2042" s="94"/>
      <c r="AJ2042" s="94" t="s">
        <v>430</v>
      </c>
      <c r="AK2042" s="94" t="s">
        <v>748</v>
      </c>
      <c r="AL2042" s="94">
        <v>150</v>
      </c>
      <c r="AM2042" s="94" t="str">
        <f>TRIM(AJ2042)&amp;TRIM(AL2042)&amp;TRIM(AK2042)</f>
      </c>
      <c r="AN2042" s="116">
        <v>0</v>
      </c>
      <c r="AO2042" s="116" t="inlineStr">
        <is>
          <t>#NA</t>
        </is>
      </c>
      <c r="AP2042" s="116">
        <f>SUMIFS(M:M,AM:AM,AM2042)+SUMIFS(O:O,AM:AM,AM2042)</f>
      </c>
      <c r="AQ2042" s="116">
        <f>SUMIFS(L:L,AM:AM,AM2042)</f>
      </c>
      <c r="AR2042" s="116">
        <f>AQ2042-AP2042</f>
      </c>
      <c r="AS2042" s="94" t="str">
        <f>IF(AN2042&gt;=AQ2042,"ok","ck")</f>
      </c>
      <c r="AT2042" s="116">
        <f>-P2042</f>
      </c>
      <c r="AU2042" s="115">
        <f>IF(SUMIFS(AT:AT,AM:AM,AM2042)&gt;AO2042,(SUMIFS(AT:AT,AM:AM,AM2042)-AO2042))</f>
      </c>
      <c r="AV2042" s="116">
        <v>0</v>
      </c>
      <c r="AW2042" s="121">
        <v>1</v>
      </c>
      <c r="AX2042" s="115">
        <f>AN2042-AP2042</f>
      </c>
    </row>
    <row r="2043" spans="1:50" ht="15" hidden="1" customHeight="1" x14ac:dyDescent="0.3">
      <c r="A2043" s="94" t="s">
        <v>76</v>
      </c>
      <c r="B2043" s="94"/>
      <c r="C2043" s="94"/>
      <c r="D2043" s="94"/>
      <c r="E2043" s="94"/>
      <c r="F2043" s="94"/>
      <c r="G2043" s="112">
        <f>AU2043</f>
      </c>
      <c r="H2043" s="113"/>
      <c r="I2043" s="94" t="s">
        <v>393</v>
      </c>
      <c r="J2043" s="94" t="s">
        <v>429</v>
      </c>
      <c r="K2043" s="114">
        <f>P2043/3</f>
      </c>
      <c r="L2043" s="115">
        <v>1.5820000000000001</v>
      </c>
      <c r="M2043" s="116"/>
      <c r="N2043" s="117">
        <f>M2043-L2043</f>
      </c>
      <c r="O2043" s="112"/>
      <c r="P2043" s="118">
        <f>N2043+O2043</f>
      </c>
      <c r="Q2043" s="94" t="s">
        <v>430</v>
      </c>
      <c r="R2043" s="94" t="s">
        <v>392</v>
      </c>
      <c r="S2043" s="119">
        <v>46320</v>
      </c>
      <c r="T2043" s="119"/>
      <c r="U2043" s="119">
        <v>46320</v>
      </c>
      <c r="V2043" s="94"/>
      <c r="W2043" s="94"/>
      <c r="X2043" s="94"/>
      <c r="Y2043" s="119">
        <v>46320</v>
      </c>
      <c r="Z2043" s="94"/>
      <c r="AA2043" s="120"/>
      <c r="AB2043" s="120"/>
      <c r="AC2043" s="120"/>
      <c r="AD2043" s="120"/>
      <c r="AE2043" s="120"/>
      <c r="AF2043" s="120"/>
      <c r="AG2043" s="94"/>
      <c r="AH2043" s="120"/>
      <c r="AI2043" s="94"/>
      <c r="AJ2043" s="94" t="s">
        <v>430</v>
      </c>
      <c r="AK2043" s="94" t="s">
        <v>748</v>
      </c>
      <c r="AL2043" s="94">
        <v>150</v>
      </c>
      <c r="AM2043" s="94" t="str">
        <f>TRIM(AJ2043)&amp;TRIM(AL2043)&amp;TRIM(AK2043)</f>
      </c>
      <c r="AN2043" s="116">
        <v>0</v>
      </c>
      <c r="AO2043" s="116" t="inlineStr">
        <is>
          <t>#NA</t>
        </is>
      </c>
      <c r="AP2043" s="116">
        <f>SUMIFS(M:M,AM:AM,AM2043)+SUMIFS(O:O,AM:AM,AM2043)</f>
      </c>
      <c r="AQ2043" s="116">
        <f>SUMIFS(L:L,AM:AM,AM2043)</f>
      </c>
      <c r="AR2043" s="116">
        <f>AQ2043-AP2043</f>
      </c>
      <c r="AS2043" s="94" t="str">
        <f>IF(AN2043&gt;=AQ2043,"ok","ck")</f>
      </c>
      <c r="AT2043" s="116">
        <f>-P2043</f>
      </c>
      <c r="AU2043" s="115">
        <f>IF(SUMIFS(AT:AT,AM:AM,AM2043)&gt;AO2043,(SUMIFS(AT:AT,AM:AM,AM2043)-AO2043))</f>
      </c>
      <c r="AV2043" s="116">
        <v>0</v>
      </c>
      <c r="AW2043" s="121">
        <v>1</v>
      </c>
      <c r="AX2043" s="115">
        <f>AN2043-AP2043</f>
      </c>
    </row>
    <row r="2044" spans="1:50" ht="15" hidden="1" customHeight="1" x14ac:dyDescent="0.3">
      <c r="A2044" s="94" t="s">
        <v>60</v>
      </c>
      <c r="B2044" s="94"/>
      <c r="C2044" s="94"/>
      <c r="D2044" s="94"/>
      <c r="E2044" s="94"/>
      <c r="F2044" s="94"/>
      <c r="G2044" s="112">
        <f>AU2044</f>
      </c>
      <c r="H2044" s="113"/>
      <c r="I2044" s="94" t="s">
        <v>490</v>
      </c>
      <c r="J2044" s="94" t="s">
        <v>590</v>
      </c>
      <c r="K2044" s="114">
        <f>P2044/3</f>
      </c>
      <c r="L2044" s="115">
        <v>423.61900000000003</v>
      </c>
      <c r="M2044" s="116"/>
      <c r="N2044" s="117">
        <f>M2044-L2044</f>
      </c>
      <c r="O2044" s="112"/>
      <c r="P2044" s="118">
        <f>N2044+O2044</f>
      </c>
      <c r="Q2044" s="94" t="s">
        <v>785</v>
      </c>
      <c r="R2044" s="94" t="s">
        <v>392</v>
      </c>
      <c r="S2044" s="119">
        <v>46339</v>
      </c>
      <c r="T2044" s="119"/>
      <c r="U2044" s="119">
        <v>46339</v>
      </c>
      <c r="V2044" s="94"/>
      <c r="W2044" s="94"/>
      <c r="X2044" s="94"/>
      <c r="Y2044" s="119">
        <v>46342</v>
      </c>
      <c r="Z2044" s="94"/>
      <c r="AA2044" s="120"/>
      <c r="AB2044" s="120"/>
      <c r="AC2044" s="120"/>
      <c r="AD2044" s="120"/>
      <c r="AE2044" s="120"/>
      <c r="AF2044" s="120"/>
      <c r="AG2044" s="94"/>
      <c r="AH2044" s="120"/>
      <c r="AI2044" s="94"/>
      <c r="AJ2044" s="94" t="s">
        <v>785</v>
      </c>
      <c r="AK2044" s="94" t="s">
        <v>532</v>
      </c>
      <c r="AL2044" s="94">
        <v>140</v>
      </c>
      <c r="AM2044" s="94" t="str">
        <f>TRIM(AJ2044)&amp;TRIM(AL2044)&amp;TRIM(AK2044)</f>
      </c>
      <c r="AN2044" s="116">
        <v>407</v>
      </c>
      <c r="AO2044" s="116">
        <v>8172</v>
      </c>
      <c r="AP2044" s="116">
        <f>SUMIFS(M:M,AM:AM,AM2044)+SUMIFS(O:O,AM:AM,AM2044)</f>
      </c>
      <c r="AQ2044" s="116">
        <f>SUMIFS(L:L,AM:AM,AM2044)</f>
      </c>
      <c r="AR2044" s="116">
        <f>AQ2044-AP2044</f>
      </c>
      <c r="AS2044" s="94" t="str">
        <f>IF(AN2044&gt;=AQ2044,"ok","ck")</f>
      </c>
      <c r="AT2044" s="116">
        <f>-P2044</f>
      </c>
      <c r="AU2044" s="115">
        <f>IF(SUMIFS(AT:AT,AM:AM,AM2044)&gt;AO2044,(SUMIFS(AT:AT,AM:AM,AM2044)-AO2044))</f>
      </c>
      <c r="AV2044" s="116">
        <v>407</v>
      </c>
      <c r="AW2044" s="121">
        <v>0.047</v>
      </c>
      <c r="AX2044" s="115">
        <f>AN2044-AP2044</f>
      </c>
    </row>
    <row r="2045" spans="1:50" ht="15" hidden="1" customHeight="1" x14ac:dyDescent="0.3">
      <c r="A2045" s="94" t="s">
        <v>60</v>
      </c>
      <c r="B2045" s="94"/>
      <c r="C2045" s="94"/>
      <c r="D2045" s="94"/>
      <c r="E2045" s="94"/>
      <c r="F2045" s="94"/>
      <c r="G2045" s="112">
        <f>AU2045</f>
      </c>
      <c r="H2045" s="113"/>
      <c r="I2045" s="94" t="s">
        <v>490</v>
      </c>
      <c r="J2045" s="94" t="s">
        <v>590</v>
      </c>
      <c r="K2045" s="114">
        <f>P2045/3</f>
      </c>
      <c r="L2045" s="115">
        <v>5.2949999999999999</v>
      </c>
      <c r="M2045" s="116"/>
      <c r="N2045" s="117">
        <f>M2045-L2045</f>
      </c>
      <c r="O2045" s="112"/>
      <c r="P2045" s="118">
        <f>N2045+O2045</f>
      </c>
      <c r="Q2045" s="94" t="s">
        <v>785</v>
      </c>
      <c r="R2045" s="94" t="s">
        <v>392</v>
      </c>
      <c r="S2045" s="119">
        <v>46339</v>
      </c>
      <c r="T2045" s="119"/>
      <c r="U2045" s="119">
        <v>46339</v>
      </c>
      <c r="V2045" s="94"/>
      <c r="W2045" s="94"/>
      <c r="X2045" s="94"/>
      <c r="Y2045" s="119">
        <v>46331</v>
      </c>
      <c r="Z2045" s="94"/>
      <c r="AA2045" s="120"/>
      <c r="AB2045" s="120"/>
      <c r="AC2045" s="120"/>
      <c r="AD2045" s="120"/>
      <c r="AE2045" s="120"/>
      <c r="AF2045" s="120"/>
      <c r="AG2045" s="94"/>
      <c r="AH2045" s="120"/>
      <c r="AI2045" s="94"/>
      <c r="AJ2045" s="94" t="s">
        <v>785</v>
      </c>
      <c r="AK2045" s="94" t="s">
        <v>532</v>
      </c>
      <c r="AL2045" s="94">
        <v>140</v>
      </c>
      <c r="AM2045" s="94" t="str">
        <f>TRIM(AJ2045)&amp;TRIM(AL2045)&amp;TRIM(AK2045)</f>
      </c>
      <c r="AN2045" s="116">
        <v>407</v>
      </c>
      <c r="AO2045" s="116">
        <v>8172</v>
      </c>
      <c r="AP2045" s="116">
        <f>SUMIFS(M:M,AM:AM,AM2045)+SUMIFS(O:O,AM:AM,AM2045)</f>
      </c>
      <c r="AQ2045" s="116">
        <f>SUMIFS(L:L,AM:AM,AM2045)</f>
      </c>
      <c r="AR2045" s="116">
        <f>AQ2045-AP2045</f>
      </c>
      <c r="AS2045" s="94" t="str">
        <f>IF(AN2045&gt;=AQ2045,"ok","ck")</f>
      </c>
      <c r="AT2045" s="116">
        <f>-P2045</f>
      </c>
      <c r="AU2045" s="115">
        <f>IF(SUMIFS(AT:AT,AM:AM,AM2045)&gt;AO2045,(SUMIFS(AT:AT,AM:AM,AM2045)-AO2045))</f>
      </c>
      <c r="AV2045" s="116">
        <v>407</v>
      </c>
      <c r="AW2045" s="121">
        <v>0.047</v>
      </c>
      <c r="AX2045" s="115">
        <f>AN2045-AP2045</f>
      </c>
    </row>
    <row r="2046" spans="1:50" ht="15" hidden="1" customHeight="1" x14ac:dyDescent="0.3">
      <c r="A2046" s="94" t="s">
        <v>60</v>
      </c>
      <c r="B2046" s="94"/>
      <c r="C2046" s="94"/>
      <c r="D2046" s="94"/>
      <c r="E2046" s="94"/>
      <c r="F2046" s="94"/>
      <c r="G2046" s="112">
        <f>AU2046</f>
      </c>
      <c r="H2046" s="113"/>
      <c r="I2046" s="94" t="s">
        <v>490</v>
      </c>
      <c r="J2046" s="94" t="s">
        <v>590</v>
      </c>
      <c r="K2046" s="114">
        <f>P2046/3</f>
      </c>
      <c r="L2046" s="115">
        <v>2250.4699999999998</v>
      </c>
      <c r="M2046" s="116"/>
      <c r="N2046" s="117">
        <f>M2046-L2046</f>
      </c>
      <c r="O2046" s="112"/>
      <c r="P2046" s="118">
        <f>N2046+O2046</f>
      </c>
      <c r="Q2046" s="94" t="s">
        <v>785</v>
      </c>
      <c r="R2046" s="94" t="s">
        <v>392</v>
      </c>
      <c r="S2046" s="119">
        <v>46339</v>
      </c>
      <c r="T2046" s="119"/>
      <c r="U2046" s="119">
        <v>46339</v>
      </c>
      <c r="V2046" s="94"/>
      <c r="W2046" s="94"/>
      <c r="X2046" s="94"/>
      <c r="Y2046" s="119">
        <v>46330</v>
      </c>
      <c r="Z2046" s="94"/>
      <c r="AA2046" s="120"/>
      <c r="AB2046" s="120"/>
      <c r="AC2046" s="120"/>
      <c r="AD2046" s="120"/>
      <c r="AE2046" s="120"/>
      <c r="AF2046" s="120"/>
      <c r="AG2046" s="94"/>
      <c r="AH2046" s="120"/>
      <c r="AI2046" s="94"/>
      <c r="AJ2046" s="94" t="s">
        <v>785</v>
      </c>
      <c r="AK2046" s="94" t="s">
        <v>532</v>
      </c>
      <c r="AL2046" s="94">
        <v>140</v>
      </c>
      <c r="AM2046" s="94" t="str">
        <f>TRIM(AJ2046)&amp;TRIM(AL2046)&amp;TRIM(AK2046)</f>
      </c>
      <c r="AN2046" s="116">
        <v>407</v>
      </c>
      <c r="AO2046" s="116">
        <v>8172</v>
      </c>
      <c r="AP2046" s="116">
        <f>SUMIFS(M:M,AM:AM,AM2046)+SUMIFS(O:O,AM:AM,AM2046)</f>
      </c>
      <c r="AQ2046" s="116">
        <f>SUMIFS(L:L,AM:AM,AM2046)</f>
      </c>
      <c r="AR2046" s="116">
        <f>AQ2046-AP2046</f>
      </c>
      <c r="AS2046" s="94" t="str">
        <f>IF(AN2046&gt;=AQ2046,"ok","ck")</f>
      </c>
      <c r="AT2046" s="116">
        <f>-P2046</f>
      </c>
      <c r="AU2046" s="115">
        <f>IF(SUMIFS(AT:AT,AM:AM,AM2046)&gt;AO2046,(SUMIFS(AT:AT,AM:AM,AM2046)-AO2046))</f>
      </c>
      <c r="AV2046" s="116">
        <v>407</v>
      </c>
      <c r="AW2046" s="121">
        <v>0.047</v>
      </c>
      <c r="AX2046" s="115">
        <f>AN2046-AP2046</f>
      </c>
    </row>
    <row r="2047" spans="1:50" ht="15" hidden="1" customHeight="1" x14ac:dyDescent="0.3">
      <c r="A2047" s="94" t="s">
        <v>60</v>
      </c>
      <c r="B2047" s="94"/>
      <c r="C2047" s="94"/>
      <c r="D2047" s="94"/>
      <c r="E2047" s="94"/>
      <c r="F2047" s="94"/>
      <c r="G2047" s="112">
        <f>AU2047</f>
      </c>
      <c r="H2047" s="113"/>
      <c r="I2047" s="94" t="s">
        <v>490</v>
      </c>
      <c r="J2047" s="94" t="s">
        <v>591</v>
      </c>
      <c r="K2047" s="114">
        <f>P2047/3</f>
      </c>
      <c r="L2047" s="115">
        <v>1.9650000000000001</v>
      </c>
      <c r="M2047" s="116"/>
      <c r="N2047" s="117">
        <f>M2047-L2047</f>
      </c>
      <c r="O2047" s="112"/>
      <c r="P2047" s="118">
        <f>N2047+O2047</f>
      </c>
      <c r="Q2047" s="94" t="s">
        <v>785</v>
      </c>
      <c r="R2047" s="94" t="s">
        <v>392</v>
      </c>
      <c r="S2047" s="119">
        <v>46339</v>
      </c>
      <c r="T2047" s="119"/>
      <c r="U2047" s="119">
        <v>46339</v>
      </c>
      <c r="V2047" s="94"/>
      <c r="W2047" s="94"/>
      <c r="X2047" s="94"/>
      <c r="Y2047" s="119">
        <v>46328</v>
      </c>
      <c r="Z2047" s="94"/>
      <c r="AA2047" s="120"/>
      <c r="AB2047" s="120"/>
      <c r="AC2047" s="120"/>
      <c r="AD2047" s="120"/>
      <c r="AE2047" s="120"/>
      <c r="AF2047" s="120"/>
      <c r="AG2047" s="94"/>
      <c r="AH2047" s="120"/>
      <c r="AI2047" s="94"/>
      <c r="AJ2047" s="94" t="s">
        <v>785</v>
      </c>
      <c r="AK2047" s="94" t="s">
        <v>755</v>
      </c>
      <c r="AL2047" s="94">
        <v>140</v>
      </c>
      <c r="AM2047" s="94" t="str">
        <f>TRIM(AJ2047)&amp;TRIM(AL2047)&amp;TRIM(AK2047)</f>
      </c>
      <c r="AN2047" s="116">
        <v>0</v>
      </c>
      <c r="AO2047" s="116" t="inlineStr">
        <is>
          <t>#NA</t>
        </is>
      </c>
      <c r="AP2047" s="116">
        <f>SUMIFS(M:M,AM:AM,AM2047)+SUMIFS(O:O,AM:AM,AM2047)</f>
      </c>
      <c r="AQ2047" s="116">
        <f>SUMIFS(L:L,AM:AM,AM2047)</f>
      </c>
      <c r="AR2047" s="116">
        <f>AQ2047-AP2047</f>
      </c>
      <c r="AS2047" s="94" t="str">
        <f>IF(AN2047&gt;=AQ2047,"ok","ck")</f>
      </c>
      <c r="AT2047" s="116">
        <f>-P2047</f>
      </c>
      <c r="AU2047" s="115">
        <f>IF(SUMIFS(AT:AT,AM:AM,AM2047)&gt;AO2047,(SUMIFS(AT:AT,AM:AM,AM2047)-AO2047))</f>
      </c>
      <c r="AV2047" s="116">
        <v>0</v>
      </c>
      <c r="AW2047" s="121">
        <v>0</v>
      </c>
      <c r="AX2047" s="115">
        <f>AN2047-AP2047</f>
      </c>
    </row>
    <row r="2048" spans="1:50" ht="15" hidden="1" customHeight="1" x14ac:dyDescent="0.3">
      <c r="A2048" s="94" t="s">
        <v>76</v>
      </c>
      <c r="B2048" s="94"/>
      <c r="C2048" s="94"/>
      <c r="D2048" s="94"/>
      <c r="E2048" s="94"/>
      <c r="F2048" s="94"/>
      <c r="G2048" s="112">
        <f>AU2048</f>
      </c>
      <c r="H2048" s="113"/>
      <c r="I2048" s="94" t="s">
        <v>393</v>
      </c>
      <c r="J2048" s="94" t="s">
        <v>429</v>
      </c>
      <c r="K2048" s="114">
        <f>P2048/3</f>
      </c>
      <c r="L2048" s="115">
        <v>706.07500000000005</v>
      </c>
      <c r="M2048" s="116">
        <f>L2048</f>
      </c>
      <c r="N2048" s="117">
        <f>M2048-L2048</f>
      </c>
      <c r="O2048" s="112"/>
      <c r="P2048" s="118">
        <f>N2048+O2048</f>
      </c>
      <c r="Q2048" s="94" t="s">
        <v>112</v>
      </c>
      <c r="R2048" s="94" t="s">
        <v>392</v>
      </c>
      <c r="S2048" s="119">
        <v>46327</v>
      </c>
      <c r="T2048" s="119"/>
      <c r="U2048" s="119">
        <v>46327</v>
      </c>
      <c r="V2048" s="94"/>
      <c r="W2048" s="94"/>
      <c r="X2048" s="94"/>
      <c r="Y2048" s="119">
        <v>46327</v>
      </c>
      <c r="Z2048" s="94"/>
      <c r="AA2048" s="120"/>
      <c r="AB2048" s="120"/>
      <c r="AC2048" s="120"/>
      <c r="AD2048" s="120"/>
      <c r="AE2048" s="120"/>
      <c r="AF2048" s="120"/>
      <c r="AG2048" s="94"/>
      <c r="AH2048" s="120"/>
      <c r="AI2048" s="94"/>
      <c r="AJ2048" s="94" t="s">
        <v>112</v>
      </c>
      <c r="AK2048" s="94" t="s">
        <v>342</v>
      </c>
      <c r="AL2048" s="94">
        <v>150</v>
      </c>
      <c r="AM2048" s="94" t="str">
        <f>TRIM(AJ2048)&amp;TRIM(AL2048)&amp;TRIM(AK2048)</f>
      </c>
      <c r="AN2048" s="116">
        <v>3478.58</v>
      </c>
      <c r="AO2048" s="116">
        <v>8.27</v>
      </c>
      <c r="AP2048" s="116">
        <f>SUMIFS(M:M,AM:AM,AM2048)+SUMIFS(O:O,AM:AM,AM2048)</f>
      </c>
      <c r="AQ2048" s="116">
        <f>SUMIFS(L:L,AM:AM,AM2048)</f>
      </c>
      <c r="AR2048" s="116">
        <f>AQ2048-AP2048</f>
      </c>
      <c r="AS2048" s="94" t="str">
        <f>IF(AN2048&gt;=AQ2048,"ok","ck")</f>
      </c>
      <c r="AT2048" s="116">
        <f>-P2048</f>
      </c>
      <c r="AU2048" s="115">
        <f>IF(SUMIFS(AT:AT,AM:AM,AM2048)&gt;AO2048,(SUMIFS(AT:AT,AM:AM,AM2048)-AO2048))</f>
      </c>
      <c r="AV2048" s="116">
        <v>3478.58</v>
      </c>
      <c r="AW2048" s="121">
        <v>0.988</v>
      </c>
      <c r="AX2048" s="115">
        <f>AN2048-AP2048</f>
      </c>
    </row>
    <row r="2049" spans="1:50" ht="15" hidden="1" customHeight="1" x14ac:dyDescent="0.3">
      <c r="A2049" s="94" t="s">
        <v>76</v>
      </c>
      <c r="B2049" s="94"/>
      <c r="C2049" s="94"/>
      <c r="D2049" s="94"/>
      <c r="E2049" s="94"/>
      <c r="F2049" s="94"/>
      <c r="G2049" s="112">
        <f>AU2049</f>
      </c>
      <c r="H2049" s="113"/>
      <c r="I2049" s="94" t="s">
        <v>393</v>
      </c>
      <c r="J2049" s="94" t="s">
        <v>429</v>
      </c>
      <c r="K2049" s="114">
        <f>P2049/3</f>
      </c>
      <c r="L2049" s="115">
        <v>1276.0640000000001</v>
      </c>
      <c r="M2049" s="116">
        <f>L2049</f>
      </c>
      <c r="N2049" s="117">
        <f>M2049-L2049</f>
      </c>
      <c r="O2049" s="112"/>
      <c r="P2049" s="118">
        <f>N2049+O2049</f>
      </c>
      <c r="Q2049" s="94" t="s">
        <v>112</v>
      </c>
      <c r="R2049" s="94" t="s">
        <v>392</v>
      </c>
      <c r="S2049" s="119">
        <v>46328</v>
      </c>
      <c r="T2049" s="119"/>
      <c r="U2049" s="119">
        <v>46328</v>
      </c>
      <c r="V2049" s="94"/>
      <c r="W2049" s="94"/>
      <c r="X2049" s="94"/>
      <c r="Y2049" s="119">
        <v>46328</v>
      </c>
      <c r="Z2049" s="94"/>
      <c r="AA2049" s="120"/>
      <c r="AB2049" s="120"/>
      <c r="AC2049" s="120"/>
      <c r="AD2049" s="120"/>
      <c r="AE2049" s="120"/>
      <c r="AF2049" s="120"/>
      <c r="AG2049" s="94"/>
      <c r="AH2049" s="120"/>
      <c r="AI2049" s="94"/>
      <c r="AJ2049" s="94" t="s">
        <v>112</v>
      </c>
      <c r="AK2049" s="94" t="s">
        <v>342</v>
      </c>
      <c r="AL2049" s="94">
        <v>150</v>
      </c>
      <c r="AM2049" s="94" t="str">
        <f>TRIM(AJ2049)&amp;TRIM(AL2049)&amp;TRIM(AK2049)</f>
      </c>
      <c r="AN2049" s="116">
        <v>3478.58</v>
      </c>
      <c r="AO2049" s="116">
        <v>8.27</v>
      </c>
      <c r="AP2049" s="116">
        <f>SUMIFS(M:M,AM:AM,AM2049)+SUMIFS(O:O,AM:AM,AM2049)</f>
      </c>
      <c r="AQ2049" s="116">
        <f>SUMIFS(L:L,AM:AM,AM2049)</f>
      </c>
      <c r="AR2049" s="116">
        <f>AQ2049-AP2049</f>
      </c>
      <c r="AS2049" s="94" t="str">
        <f>IF(AN2049&gt;=AQ2049,"ok","ck")</f>
      </c>
      <c r="AT2049" s="116">
        <f>-P2049</f>
      </c>
      <c r="AU2049" s="115">
        <f>IF(SUMIFS(AT:AT,AM:AM,AM2049)&gt;AO2049,(SUMIFS(AT:AT,AM:AM,AM2049)-AO2049))</f>
      </c>
      <c r="AV2049" s="116">
        <v>3478.58</v>
      </c>
      <c r="AW2049" s="121">
        <v>0.988</v>
      </c>
      <c r="AX2049" s="115">
        <f>AN2049-AP2049</f>
      </c>
    </row>
    <row r="2050" spans="1:50" ht="15" hidden="1" customHeight="1" x14ac:dyDescent="0.3">
      <c r="A2050" s="94" t="s">
        <v>76</v>
      </c>
      <c r="B2050" s="94"/>
      <c r="C2050" s="94"/>
      <c r="D2050" s="94"/>
      <c r="E2050" s="94"/>
      <c r="F2050" s="94"/>
      <c r="G2050" s="112">
        <f>AU2050</f>
      </c>
      <c r="H2050" s="113"/>
      <c r="I2050" s="94" t="s">
        <v>393</v>
      </c>
      <c r="J2050" s="94" t="s">
        <v>429</v>
      </c>
      <c r="K2050" s="114">
        <f>P2050/3</f>
      </c>
      <c r="L2050" s="115">
        <v>2.871</v>
      </c>
      <c r="M2050" s="116">
        <f>L2050</f>
      </c>
      <c r="N2050" s="117">
        <f>M2050-L2050</f>
      </c>
      <c r="O2050" s="112"/>
      <c r="P2050" s="118">
        <f>N2050+O2050</f>
      </c>
      <c r="Q2050" s="94" t="s">
        <v>112</v>
      </c>
      <c r="R2050" s="94" t="s">
        <v>392</v>
      </c>
      <c r="S2050" s="119">
        <v>46329</v>
      </c>
      <c r="T2050" s="119"/>
      <c r="U2050" s="119">
        <v>46329</v>
      </c>
      <c r="V2050" s="94"/>
      <c r="W2050" s="94"/>
      <c r="X2050" s="94"/>
      <c r="Y2050" s="119">
        <v>46329</v>
      </c>
      <c r="Z2050" s="94"/>
      <c r="AA2050" s="120"/>
      <c r="AB2050" s="120"/>
      <c r="AC2050" s="120"/>
      <c r="AD2050" s="120"/>
      <c r="AE2050" s="120"/>
      <c r="AF2050" s="120"/>
      <c r="AG2050" s="94"/>
      <c r="AH2050" s="120"/>
      <c r="AI2050" s="94"/>
      <c r="AJ2050" s="94" t="s">
        <v>112</v>
      </c>
      <c r="AK2050" s="94" t="s">
        <v>342</v>
      </c>
      <c r="AL2050" s="94">
        <v>150</v>
      </c>
      <c r="AM2050" s="94" t="str">
        <f>TRIM(AJ2050)&amp;TRIM(AL2050)&amp;TRIM(AK2050)</f>
      </c>
      <c r="AN2050" s="116">
        <v>3478.58</v>
      </c>
      <c r="AO2050" s="116">
        <v>8.27</v>
      </c>
      <c r="AP2050" s="116">
        <f>SUMIFS(M:M,AM:AM,AM2050)+SUMIFS(O:O,AM:AM,AM2050)</f>
      </c>
      <c r="AQ2050" s="116">
        <f>SUMIFS(L:L,AM:AM,AM2050)</f>
      </c>
      <c r="AR2050" s="116">
        <f>AQ2050-AP2050</f>
      </c>
      <c r="AS2050" s="94" t="str">
        <f>IF(AN2050&gt;=AQ2050,"ok","ck")</f>
      </c>
      <c r="AT2050" s="116">
        <f>-P2050</f>
      </c>
      <c r="AU2050" s="115">
        <f>IF(SUMIFS(AT:AT,AM:AM,AM2050)&gt;AO2050,(SUMIFS(AT:AT,AM:AM,AM2050)-AO2050))</f>
      </c>
      <c r="AV2050" s="116">
        <v>3478.58</v>
      </c>
      <c r="AW2050" s="121">
        <v>0.988</v>
      </c>
      <c r="AX2050" s="115">
        <f>AN2050-AP2050</f>
      </c>
    </row>
    <row r="2051" spans="1:50" ht="15" hidden="1" customHeight="1" x14ac:dyDescent="0.3">
      <c r="A2051" s="94" t="s">
        <v>76</v>
      </c>
      <c r="B2051" s="94"/>
      <c r="C2051" s="94"/>
      <c r="D2051" s="94"/>
      <c r="E2051" s="94"/>
      <c r="F2051" s="94"/>
      <c r="G2051" s="112">
        <f>AU2051</f>
      </c>
      <c r="H2051" s="113"/>
      <c r="I2051" s="94" t="s">
        <v>393</v>
      </c>
      <c r="J2051" s="94" t="s">
        <v>429</v>
      </c>
      <c r="K2051" s="114">
        <f>P2051/3</f>
      </c>
      <c r="L2051" s="115">
        <v>377.32400000000001</v>
      </c>
      <c r="M2051" s="116">
        <f>L2051</f>
      </c>
      <c r="N2051" s="117">
        <f>M2051-L2051</f>
      </c>
      <c r="O2051" s="112"/>
      <c r="P2051" s="118">
        <f>N2051+O2051</f>
      </c>
      <c r="Q2051" s="94" t="s">
        <v>112</v>
      </c>
      <c r="R2051" s="94" t="s">
        <v>392</v>
      </c>
      <c r="S2051" s="119">
        <v>46320</v>
      </c>
      <c r="T2051" s="119"/>
      <c r="U2051" s="119">
        <v>46320</v>
      </c>
      <c r="V2051" s="94"/>
      <c r="W2051" s="94"/>
      <c r="X2051" s="94"/>
      <c r="Y2051" s="119">
        <v>46320</v>
      </c>
      <c r="Z2051" s="94"/>
      <c r="AA2051" s="120"/>
      <c r="AB2051" s="120"/>
      <c r="AC2051" s="120"/>
      <c r="AD2051" s="120"/>
      <c r="AE2051" s="120"/>
      <c r="AF2051" s="120"/>
      <c r="AG2051" s="94"/>
      <c r="AH2051" s="120"/>
      <c r="AI2051" s="94"/>
      <c r="AJ2051" s="94" t="s">
        <v>112</v>
      </c>
      <c r="AK2051" s="94" t="s">
        <v>342</v>
      </c>
      <c r="AL2051" s="94">
        <v>150</v>
      </c>
      <c r="AM2051" s="94" t="str">
        <f>TRIM(AJ2051)&amp;TRIM(AL2051)&amp;TRIM(AK2051)</f>
      </c>
      <c r="AN2051" s="116">
        <v>3478.58</v>
      </c>
      <c r="AO2051" s="116">
        <v>8.27</v>
      </c>
      <c r="AP2051" s="116">
        <f>SUMIFS(M:M,AM:AM,AM2051)+SUMIFS(O:O,AM:AM,AM2051)</f>
      </c>
      <c r="AQ2051" s="116">
        <f>SUMIFS(L:L,AM:AM,AM2051)</f>
      </c>
      <c r="AR2051" s="116">
        <f>AQ2051-AP2051</f>
      </c>
      <c r="AS2051" s="94" t="str">
        <f>IF(AN2051&gt;=AQ2051,"ok","ck")</f>
      </c>
      <c r="AT2051" s="116">
        <f>-P2051</f>
      </c>
      <c r="AU2051" s="115">
        <f>IF(SUMIFS(AT:AT,AM:AM,AM2051)&gt;AO2051,(SUMIFS(AT:AT,AM:AM,AM2051)-AO2051))</f>
      </c>
      <c r="AV2051" s="116">
        <v>3478.58</v>
      </c>
      <c r="AW2051" s="121">
        <v>0.988</v>
      </c>
      <c r="AX2051" s="115">
        <f>AN2051-AP2051</f>
      </c>
    </row>
    <row r="2052" spans="1:50" ht="15" hidden="1" customHeight="1" x14ac:dyDescent="0.3">
      <c r="A2052" s="94" t="s">
        <v>76</v>
      </c>
      <c r="B2052" s="94"/>
      <c r="C2052" s="94"/>
      <c r="D2052" s="94"/>
      <c r="E2052" s="94"/>
      <c r="F2052" s="94"/>
      <c r="G2052" s="112">
        <f>AU2052</f>
      </c>
      <c r="H2052" s="113"/>
      <c r="I2052" s="94" t="s">
        <v>393</v>
      </c>
      <c r="J2052" s="94" t="s">
        <v>408</v>
      </c>
      <c r="K2052" s="114">
        <f>P2052/3</f>
      </c>
      <c r="L2052" s="115">
        <v>764.96699999999998</v>
      </c>
      <c r="M2052" s="116">
        <f>L2052</f>
      </c>
      <c r="N2052" s="117">
        <f>M2052-L2052</f>
      </c>
      <c r="O2052" s="112"/>
      <c r="P2052" s="118">
        <f>N2052+O2052</f>
      </c>
      <c r="Q2052" s="94" t="s">
        <v>112</v>
      </c>
      <c r="R2052" s="94" t="s">
        <v>392</v>
      </c>
      <c r="S2052" s="119">
        <v>46324</v>
      </c>
      <c r="T2052" s="119"/>
      <c r="U2052" s="119">
        <v>46324</v>
      </c>
      <c r="V2052" s="94"/>
      <c r="W2052" s="94"/>
      <c r="X2052" s="94"/>
      <c r="Y2052" s="119">
        <v>46324</v>
      </c>
      <c r="Z2052" s="94"/>
      <c r="AA2052" s="120"/>
      <c r="AB2052" s="120"/>
      <c r="AC2052" s="120"/>
      <c r="AD2052" s="120"/>
      <c r="AE2052" s="120"/>
      <c r="AF2052" s="120"/>
      <c r="AG2052" s="94"/>
      <c r="AH2052" s="120"/>
      <c r="AI2052" s="94"/>
      <c r="AJ2052" s="94" t="s">
        <v>112</v>
      </c>
      <c r="AK2052" s="94" t="s">
        <v>342</v>
      </c>
      <c r="AL2052" s="94">
        <v>150</v>
      </c>
      <c r="AM2052" s="94" t="str">
        <f>TRIM(AJ2052)&amp;TRIM(AL2052)&amp;TRIM(AK2052)</f>
      </c>
      <c r="AN2052" s="116">
        <v>3478.58</v>
      </c>
      <c r="AO2052" s="116">
        <v>8.27</v>
      </c>
      <c r="AP2052" s="116">
        <f>SUMIFS(M:M,AM:AM,AM2052)+SUMIFS(O:O,AM:AM,AM2052)</f>
      </c>
      <c r="AQ2052" s="116">
        <f>SUMIFS(L:L,AM:AM,AM2052)</f>
      </c>
      <c r="AR2052" s="116">
        <f>AQ2052-AP2052</f>
      </c>
      <c r="AS2052" s="94" t="str">
        <f>IF(AN2052&gt;=AQ2052,"ok","ck")</f>
      </c>
      <c r="AT2052" s="116">
        <f>-P2052</f>
      </c>
      <c r="AU2052" s="115">
        <f>IF(SUMIFS(AT:AT,AM:AM,AM2052)&gt;AO2052,(SUMIFS(AT:AT,AM:AM,AM2052)-AO2052))</f>
      </c>
      <c r="AV2052" s="116">
        <v>3478.58</v>
      </c>
      <c r="AW2052" s="121">
        <v>0.988</v>
      </c>
      <c r="AX2052" s="115">
        <f>AN2052-AP2052</f>
      </c>
    </row>
    <row r="2053" spans="1:50" ht="15" hidden="1" customHeight="1" x14ac:dyDescent="0.3">
      <c r="A2053" s="94" t="s">
        <v>76</v>
      </c>
      <c r="B2053" s="94"/>
      <c r="C2053" s="94"/>
      <c r="D2053" s="94"/>
      <c r="E2053" s="94"/>
      <c r="F2053" s="94"/>
      <c r="G2053" s="112">
        <f>AU2053</f>
      </c>
      <c r="H2053" s="113"/>
      <c r="I2053" s="94" t="s">
        <v>393</v>
      </c>
      <c r="J2053" s="94" t="s">
        <v>408</v>
      </c>
      <c r="K2053" s="114">
        <f>P2053/3</f>
      </c>
      <c r="L2053" s="115">
        <v>2.5579999999999998</v>
      </c>
      <c r="M2053" s="116">
        <f>L2053</f>
      </c>
      <c r="N2053" s="117">
        <f>M2053-L2053</f>
      </c>
      <c r="O2053" s="112"/>
      <c r="P2053" s="118">
        <f>N2053+O2053</f>
      </c>
      <c r="Q2053" s="94" t="s">
        <v>112</v>
      </c>
      <c r="R2053" s="94" t="s">
        <v>392</v>
      </c>
      <c r="S2053" s="119">
        <v>46324</v>
      </c>
      <c r="T2053" s="119"/>
      <c r="U2053" s="119">
        <v>46324</v>
      </c>
      <c r="V2053" s="94"/>
      <c r="W2053" s="94"/>
      <c r="X2053" s="94"/>
      <c r="Y2053" s="119">
        <v>46324</v>
      </c>
      <c r="Z2053" s="94"/>
      <c r="AA2053" s="120"/>
      <c r="AB2053" s="120"/>
      <c r="AC2053" s="120"/>
      <c r="AD2053" s="120"/>
      <c r="AE2053" s="120"/>
      <c r="AF2053" s="120"/>
      <c r="AG2053" s="94"/>
      <c r="AH2053" s="120"/>
      <c r="AI2053" s="94"/>
      <c r="AJ2053" s="94" t="s">
        <v>112</v>
      </c>
      <c r="AK2053" s="94" t="s">
        <v>342</v>
      </c>
      <c r="AL2053" s="94">
        <v>150</v>
      </c>
      <c r="AM2053" s="94" t="str">
        <f>TRIM(AJ2053)&amp;TRIM(AL2053)&amp;TRIM(AK2053)</f>
      </c>
      <c r="AN2053" s="116">
        <v>3478.58</v>
      </c>
      <c r="AO2053" s="116">
        <v>8.27</v>
      </c>
      <c r="AP2053" s="116">
        <f>SUMIFS(M:M,AM:AM,AM2053)+SUMIFS(O:O,AM:AM,AM2053)</f>
      </c>
      <c r="AQ2053" s="116">
        <f>SUMIFS(L:L,AM:AM,AM2053)</f>
      </c>
      <c r="AR2053" s="116">
        <f>AQ2053-AP2053</f>
      </c>
      <c r="AS2053" s="94" t="str">
        <f>IF(AN2053&gt;=AQ2053,"ok","ck")</f>
      </c>
      <c r="AT2053" s="116">
        <f>-P2053</f>
      </c>
      <c r="AU2053" s="115">
        <f>IF(SUMIFS(AT:AT,AM:AM,AM2053)&gt;AO2053,(SUMIFS(AT:AT,AM:AM,AM2053)-AO2053))</f>
      </c>
      <c r="AV2053" s="116">
        <v>3478.58</v>
      </c>
      <c r="AW2053" s="121">
        <v>0.988</v>
      </c>
      <c r="AX2053" s="115">
        <f>AN2053-AP2053</f>
      </c>
    </row>
    <row r="2054" spans="1:50" ht="15" hidden="1" customHeight="1" x14ac:dyDescent="0.3">
      <c r="A2054" s="94" t="s">
        <v>76</v>
      </c>
      <c r="B2054" s="94"/>
      <c r="C2054" s="94"/>
      <c r="D2054" s="94"/>
      <c r="E2054" s="94"/>
      <c r="F2054" s="94"/>
      <c r="G2054" s="112">
        <f>AU2054</f>
      </c>
      <c r="H2054" s="113"/>
      <c r="I2054" s="94" t="s">
        <v>393</v>
      </c>
      <c r="J2054" s="94" t="s">
        <v>408</v>
      </c>
      <c r="K2054" s="114">
        <f>P2054/3</f>
      </c>
      <c r="L2054" s="115">
        <v>377.32400000000001</v>
      </c>
      <c r="M2054" s="116">
        <f>L2054</f>
      </c>
      <c r="N2054" s="117">
        <f>M2054-L2054</f>
      </c>
      <c r="O2054" s="112"/>
      <c r="P2054" s="118">
        <f>N2054+O2054</f>
      </c>
      <c r="Q2054" s="94" t="s">
        <v>112</v>
      </c>
      <c r="R2054" s="94" t="s">
        <v>392</v>
      </c>
      <c r="S2054" s="119">
        <v>46327</v>
      </c>
      <c r="T2054" s="119"/>
      <c r="U2054" s="119">
        <v>46327</v>
      </c>
      <c r="V2054" s="94"/>
      <c r="W2054" s="94"/>
      <c r="X2054" s="94"/>
      <c r="Y2054" s="119">
        <v>46320</v>
      </c>
      <c r="Z2054" s="94"/>
      <c r="AA2054" s="120"/>
      <c r="AB2054" s="120"/>
      <c r="AC2054" s="120"/>
      <c r="AD2054" s="120"/>
      <c r="AE2054" s="120"/>
      <c r="AF2054" s="120"/>
      <c r="AG2054" s="94"/>
      <c r="AH2054" s="120"/>
      <c r="AI2054" s="94"/>
      <c r="AJ2054" s="94" t="s">
        <v>112</v>
      </c>
      <c r="AK2054" s="94" t="s">
        <v>342</v>
      </c>
      <c r="AL2054" s="94">
        <v>150</v>
      </c>
      <c r="AM2054" s="94" t="str">
        <f>TRIM(AJ2054)&amp;TRIM(AL2054)&amp;TRIM(AK2054)</f>
      </c>
      <c r="AN2054" s="116">
        <v>3478.58</v>
      </c>
      <c r="AO2054" s="116">
        <v>8.27</v>
      </c>
      <c r="AP2054" s="116">
        <f>SUMIFS(M:M,AM:AM,AM2054)+SUMIFS(O:O,AM:AM,AM2054)</f>
      </c>
      <c r="AQ2054" s="116">
        <f>SUMIFS(L:L,AM:AM,AM2054)</f>
      </c>
      <c r="AR2054" s="116">
        <f>AQ2054-AP2054</f>
      </c>
      <c r="AS2054" s="94" t="str">
        <f>IF(AN2054&gt;=AQ2054,"ok","ck")</f>
      </c>
      <c r="AT2054" s="116">
        <f>-P2054</f>
      </c>
      <c r="AU2054" s="115">
        <f>IF(SUMIFS(AT:AT,AM:AM,AM2054)&gt;AO2054,(SUMIFS(AT:AT,AM:AM,AM2054)-AO2054))</f>
      </c>
      <c r="AV2054" s="116">
        <v>3478.58</v>
      </c>
      <c r="AW2054" s="121">
        <v>0.988</v>
      </c>
      <c r="AX2054" s="115">
        <f>AN2054-AP2054</f>
      </c>
    </row>
    <row r="2055" spans="1:50" ht="15" hidden="1" customHeight="1" x14ac:dyDescent="0.3">
      <c r="A2055" s="94" t="s">
        <v>76</v>
      </c>
      <c r="B2055" s="94"/>
      <c r="C2055" s="94"/>
      <c r="D2055" s="94"/>
      <c r="E2055" s="94"/>
      <c r="F2055" s="94"/>
      <c r="G2055" s="112">
        <f>AU2055</f>
      </c>
      <c r="H2055" s="113"/>
      <c r="I2055" s="94" t="s">
        <v>393</v>
      </c>
      <c r="J2055" s="94" t="s">
        <v>408</v>
      </c>
      <c r="K2055" s="114">
        <f>P2055/3</f>
      </c>
      <c r="L2055" s="115">
        <v>1.841</v>
      </c>
      <c r="M2055" s="116">
        <f>L2055</f>
      </c>
      <c r="N2055" s="117">
        <f>M2055-L2055</f>
      </c>
      <c r="O2055" s="112"/>
      <c r="P2055" s="118">
        <f>N2055+O2055</f>
      </c>
      <c r="Q2055" s="94" t="s">
        <v>112</v>
      </c>
      <c r="R2055" s="94" t="s">
        <v>392</v>
      </c>
      <c r="S2055" s="119">
        <v>46327</v>
      </c>
      <c r="T2055" s="119"/>
      <c r="U2055" s="119">
        <v>46327</v>
      </c>
      <c r="V2055" s="94"/>
      <c r="W2055" s="94"/>
      <c r="X2055" s="94"/>
      <c r="Y2055" s="119">
        <v>46320</v>
      </c>
      <c r="Z2055" s="94"/>
      <c r="AA2055" s="120"/>
      <c r="AB2055" s="120"/>
      <c r="AC2055" s="120"/>
      <c r="AD2055" s="120"/>
      <c r="AE2055" s="120"/>
      <c r="AF2055" s="120"/>
      <c r="AG2055" s="94"/>
      <c r="AH2055" s="120"/>
      <c r="AI2055" s="94"/>
      <c r="AJ2055" s="94" t="s">
        <v>112</v>
      </c>
      <c r="AK2055" s="94" t="s">
        <v>342</v>
      </c>
      <c r="AL2055" s="94">
        <v>150</v>
      </c>
      <c r="AM2055" s="94" t="str">
        <f>TRIM(AJ2055)&amp;TRIM(AL2055)&amp;TRIM(AK2055)</f>
      </c>
      <c r="AN2055" s="116">
        <v>3478.58</v>
      </c>
      <c r="AO2055" s="116">
        <v>8.27</v>
      </c>
      <c r="AP2055" s="116">
        <f>SUMIFS(M:M,AM:AM,AM2055)+SUMIFS(O:O,AM:AM,AM2055)</f>
      </c>
      <c r="AQ2055" s="116">
        <f>SUMIFS(L:L,AM:AM,AM2055)</f>
      </c>
      <c r="AR2055" s="116">
        <f>AQ2055-AP2055</f>
      </c>
      <c r="AS2055" s="94" t="str">
        <f>IF(AN2055&gt;=AQ2055,"ok","ck")</f>
      </c>
      <c r="AT2055" s="116">
        <f>-P2055</f>
      </c>
      <c r="AU2055" s="115">
        <f>IF(SUMIFS(AT:AT,AM:AM,AM2055)&gt;AO2055,(SUMIFS(AT:AT,AM:AM,AM2055)-AO2055))</f>
      </c>
      <c r="AV2055" s="116">
        <v>3478.58</v>
      </c>
      <c r="AW2055" s="121">
        <v>0.988</v>
      </c>
      <c r="AX2055" s="115">
        <f>AN2055-AP2055</f>
      </c>
    </row>
    <row r="2056" spans="1:50" ht="15" hidden="1" customHeight="1" x14ac:dyDescent="0.3">
      <c r="A2056" s="94" t="s">
        <v>76</v>
      </c>
      <c r="B2056" s="94"/>
      <c r="C2056" s="94"/>
      <c r="D2056" s="94"/>
      <c r="E2056" s="94"/>
      <c r="F2056" s="94"/>
      <c r="G2056" s="112">
        <f>AU2056</f>
      </c>
      <c r="H2056" s="113"/>
      <c r="I2056" s="94" t="s">
        <v>393</v>
      </c>
      <c r="J2056" s="94" t="s">
        <v>408</v>
      </c>
      <c r="K2056" s="114">
        <f>P2056/3</f>
      </c>
      <c r="L2056" s="115">
        <v>464.45600000000002</v>
      </c>
      <c r="M2056" s="116">
        <f>L2056</f>
      </c>
      <c r="N2056" s="117">
        <f>M2056-L2056</f>
      </c>
      <c r="O2056" s="112"/>
      <c r="P2056" s="118">
        <f>N2056+O2056</f>
      </c>
      <c r="Q2056" s="94" t="s">
        <v>112</v>
      </c>
      <c r="R2056" s="94" t="s">
        <v>392</v>
      </c>
      <c r="S2056" s="119">
        <v>46327</v>
      </c>
      <c r="T2056" s="119"/>
      <c r="U2056" s="119">
        <v>46327</v>
      </c>
      <c r="V2056" s="94"/>
      <c r="W2056" s="94"/>
      <c r="X2056" s="94"/>
      <c r="Y2056" s="119">
        <v>46320</v>
      </c>
      <c r="Z2056" s="94"/>
      <c r="AA2056" s="120"/>
      <c r="AB2056" s="120"/>
      <c r="AC2056" s="120"/>
      <c r="AD2056" s="120"/>
      <c r="AE2056" s="120"/>
      <c r="AF2056" s="120"/>
      <c r="AG2056" s="94"/>
      <c r="AH2056" s="120"/>
      <c r="AI2056" s="94"/>
      <c r="AJ2056" s="94" t="s">
        <v>112</v>
      </c>
      <c r="AK2056" s="94" t="s">
        <v>342</v>
      </c>
      <c r="AL2056" s="94">
        <v>150</v>
      </c>
      <c r="AM2056" s="94" t="str">
        <f>TRIM(AJ2056)&amp;TRIM(AL2056)&amp;TRIM(AK2056)</f>
      </c>
      <c r="AN2056" s="116">
        <v>3478.58</v>
      </c>
      <c r="AO2056" s="116">
        <v>8.27</v>
      </c>
      <c r="AP2056" s="116">
        <f>SUMIFS(M:M,AM:AM,AM2056)+SUMIFS(O:O,AM:AM,AM2056)</f>
      </c>
      <c r="AQ2056" s="116">
        <f>SUMIFS(L:L,AM:AM,AM2056)</f>
      </c>
      <c r="AR2056" s="116">
        <f>AQ2056-AP2056</f>
      </c>
      <c r="AS2056" s="94" t="str">
        <f>IF(AN2056&gt;=AQ2056,"ok","ck")</f>
      </c>
      <c r="AT2056" s="116">
        <f>-P2056</f>
      </c>
      <c r="AU2056" s="115">
        <f>IF(SUMIFS(AT:AT,AM:AM,AM2056)&gt;AO2056,(SUMIFS(AT:AT,AM:AM,AM2056)-AO2056))</f>
      </c>
      <c r="AV2056" s="116">
        <v>3478.58</v>
      </c>
      <c r="AW2056" s="121">
        <v>0.988</v>
      </c>
      <c r="AX2056" s="115">
        <f>AN2056-AP2056</f>
      </c>
    </row>
    <row r="2057" spans="1:50" ht="15" hidden="1" customHeight="1" x14ac:dyDescent="0.3">
      <c r="A2057" s="94" t="s">
        <v>76</v>
      </c>
      <c r="B2057" s="94"/>
      <c r="C2057" s="94"/>
      <c r="D2057" s="94"/>
      <c r="E2057" s="94"/>
      <c r="F2057" s="94"/>
      <c r="G2057" s="112">
        <f>AU2057</f>
      </c>
      <c r="H2057" s="113"/>
      <c r="I2057" s="94" t="s">
        <v>393</v>
      </c>
      <c r="J2057" s="94" t="s">
        <v>408</v>
      </c>
      <c r="K2057" s="114">
        <f>P2057/3</f>
      </c>
      <c r="L2057" s="115">
        <v>3.7789999999999999</v>
      </c>
      <c r="M2057" s="116">
        <f>L2057</f>
      </c>
      <c r="N2057" s="117">
        <f>M2057-L2057</f>
      </c>
      <c r="O2057" s="112"/>
      <c r="P2057" s="118">
        <f>N2057+O2057</f>
      </c>
      <c r="Q2057" s="94" t="s">
        <v>112</v>
      </c>
      <c r="R2057" s="94" t="s">
        <v>392</v>
      </c>
      <c r="S2057" s="119">
        <v>46327</v>
      </c>
      <c r="T2057" s="119"/>
      <c r="U2057" s="119">
        <v>46327</v>
      </c>
      <c r="V2057" s="94"/>
      <c r="W2057" s="94"/>
      <c r="X2057" s="94"/>
      <c r="Y2057" s="119">
        <v>46322</v>
      </c>
      <c r="Z2057" s="94"/>
      <c r="AA2057" s="120"/>
      <c r="AB2057" s="120"/>
      <c r="AC2057" s="120"/>
      <c r="AD2057" s="120"/>
      <c r="AE2057" s="120"/>
      <c r="AF2057" s="120"/>
      <c r="AG2057" s="94"/>
      <c r="AH2057" s="120"/>
      <c r="AI2057" s="94"/>
      <c r="AJ2057" s="94" t="s">
        <v>112</v>
      </c>
      <c r="AK2057" s="94" t="s">
        <v>342</v>
      </c>
      <c r="AL2057" s="94">
        <v>150</v>
      </c>
      <c r="AM2057" s="94" t="str">
        <f>TRIM(AJ2057)&amp;TRIM(AL2057)&amp;TRIM(AK2057)</f>
      </c>
      <c r="AN2057" s="116">
        <v>3478.58</v>
      </c>
      <c r="AO2057" s="116">
        <v>8.27</v>
      </c>
      <c r="AP2057" s="116">
        <f>SUMIFS(M:M,AM:AM,AM2057)+SUMIFS(O:O,AM:AM,AM2057)</f>
      </c>
      <c r="AQ2057" s="116">
        <f>SUMIFS(L:L,AM:AM,AM2057)</f>
      </c>
      <c r="AR2057" s="116">
        <f>AQ2057-AP2057</f>
      </c>
      <c r="AS2057" s="94" t="str">
        <f>IF(AN2057&gt;=AQ2057,"ok","ck")</f>
      </c>
      <c r="AT2057" s="116">
        <f>-P2057</f>
      </c>
      <c r="AU2057" s="115">
        <f>IF(SUMIFS(AT:AT,AM:AM,AM2057)&gt;AO2057,(SUMIFS(AT:AT,AM:AM,AM2057)-AO2057))</f>
      </c>
      <c r="AV2057" s="116">
        <v>3478.58</v>
      </c>
      <c r="AW2057" s="121">
        <v>0.988</v>
      </c>
      <c r="AX2057" s="115">
        <f>AN2057-AP2057</f>
      </c>
    </row>
    <row r="2058" spans="1:50" ht="15" hidden="1" customHeight="1" x14ac:dyDescent="0.3">
      <c r="A2058" s="94" t="s">
        <v>151</v>
      </c>
      <c r="B2058" s="94"/>
      <c r="C2058" s="94"/>
      <c r="D2058" s="94"/>
      <c r="E2058" s="94"/>
      <c r="F2058" s="94"/>
      <c r="G2058" s="112">
        <f>AU2058</f>
      </c>
      <c r="H2058" s="113"/>
      <c r="I2058" s="94" t="s">
        <v>491</v>
      </c>
      <c r="J2058" s="94" t="s">
        <v>592</v>
      </c>
      <c r="K2058" s="114">
        <f>P2058/3</f>
      </c>
      <c r="L2058" s="115">
        <v>215</v>
      </c>
      <c r="M2058" s="116"/>
      <c r="N2058" s="117">
        <f>M2058-L2058</f>
      </c>
      <c r="O2058" s="112"/>
      <c r="P2058" s="118">
        <f>N2058+O2058</f>
      </c>
      <c r="Q2058" s="94" t="s">
        <v>835</v>
      </c>
      <c r="R2058" s="94" t="s">
        <v>392</v>
      </c>
      <c r="S2058" s="119">
        <v>46340</v>
      </c>
      <c r="T2058" s="119"/>
      <c r="U2058" s="119">
        <v>46340</v>
      </c>
      <c r="V2058" s="94"/>
      <c r="W2058" s="94"/>
      <c r="X2058" s="94"/>
      <c r="Y2058" s="119">
        <v>46330</v>
      </c>
      <c r="Z2058" s="94"/>
      <c r="AA2058" s="120"/>
      <c r="AB2058" s="120"/>
      <c r="AC2058" s="120"/>
      <c r="AD2058" s="120"/>
      <c r="AE2058" s="120"/>
      <c r="AF2058" s="120"/>
      <c r="AG2058" s="94"/>
      <c r="AH2058" s="120"/>
      <c r="AI2058" s="94"/>
      <c r="AJ2058" s="94" t="s">
        <v>835</v>
      </c>
      <c r="AK2058" s="94" t="s">
        <v>748</v>
      </c>
      <c r="AL2058" s="94">
        <v>160</v>
      </c>
      <c r="AM2058" s="94" t="str">
        <f>TRIM(AJ2058)&amp;TRIM(AL2058)&amp;TRIM(AK2058)</f>
      </c>
      <c r="AN2058" s="116">
        <v>0</v>
      </c>
      <c r="AO2058" s="116" t="inlineStr">
        <is>
          <t>#NA</t>
        </is>
      </c>
      <c r="AP2058" s="116">
        <f>SUMIFS(M:M,AM:AM,AM2058)+SUMIFS(O:O,AM:AM,AM2058)</f>
      </c>
      <c r="AQ2058" s="116">
        <f>SUMIFS(L:L,AM:AM,AM2058)</f>
      </c>
      <c r="AR2058" s="116">
        <f>AQ2058-AP2058</f>
      </c>
      <c r="AS2058" s="94" t="str">
        <f>IF(AN2058&gt;=AQ2058,"ok","ck")</f>
      </c>
      <c r="AT2058" s="116">
        <f>-P2058</f>
      </c>
      <c r="AU2058" s="115">
        <f>IF(SUMIFS(AT:AT,AM:AM,AM2058)&gt;AO2058,(SUMIFS(AT:AT,AM:AM,AM2058)-AO2058))</f>
      </c>
      <c r="AV2058" s="116">
        <v>0</v>
      </c>
      <c r="AW2058" s="121">
        <v>0</v>
      </c>
      <c r="AX2058" s="115">
        <f>AN2058-AP2058</f>
      </c>
    </row>
    <row r="2059" spans="1:50" ht="15" hidden="1" customHeight="1" x14ac:dyDescent="0.3">
      <c r="A2059" s="94" t="s">
        <v>151</v>
      </c>
      <c r="B2059" s="94"/>
      <c r="C2059" s="94"/>
      <c r="D2059" s="94"/>
      <c r="E2059" s="94"/>
      <c r="F2059" s="94"/>
      <c r="G2059" s="112">
        <f>AU2059</f>
      </c>
      <c r="H2059" s="113"/>
      <c r="I2059" s="94" t="s">
        <v>491</v>
      </c>
      <c r="J2059" s="94" t="s">
        <v>593</v>
      </c>
      <c r="K2059" s="114">
        <f>P2059/3</f>
      </c>
      <c r="L2059" s="115">
        <v>409.6</v>
      </c>
      <c r="M2059" s="116"/>
      <c r="N2059" s="117">
        <f>M2059-L2059</f>
      </c>
      <c r="O2059" s="112"/>
      <c r="P2059" s="118">
        <f>N2059+O2059</f>
      </c>
      <c r="Q2059" s="94" t="s">
        <v>835</v>
      </c>
      <c r="R2059" s="94" t="s">
        <v>392</v>
      </c>
      <c r="S2059" s="119">
        <v>46340</v>
      </c>
      <c r="T2059" s="119"/>
      <c r="U2059" s="120">
        <v>46340</v>
      </c>
      <c r="V2059" s="94"/>
      <c r="W2059" s="94"/>
      <c r="X2059" s="94"/>
      <c r="Y2059" s="119">
        <v>46326</v>
      </c>
      <c r="Z2059" s="94"/>
      <c r="AA2059" s="120"/>
      <c r="AB2059" s="120"/>
      <c r="AC2059" s="120"/>
      <c r="AD2059" s="120"/>
      <c r="AE2059" s="120"/>
      <c r="AF2059" s="120"/>
      <c r="AG2059" s="94"/>
      <c r="AH2059" s="120"/>
      <c r="AI2059" s="94"/>
      <c r="AJ2059" s="94" t="s">
        <v>835</v>
      </c>
      <c r="AK2059" s="94" t="s">
        <v>748</v>
      </c>
      <c r="AL2059" s="94">
        <v>160</v>
      </c>
      <c r="AM2059" s="94" t="str">
        <f>TRIM(AJ2059)&amp;TRIM(AL2059)&amp;TRIM(AK2059)</f>
      </c>
      <c r="AN2059" s="116">
        <v>0</v>
      </c>
      <c r="AO2059" s="116" t="inlineStr">
        <is>
          <t>#NA</t>
        </is>
      </c>
      <c r="AP2059" s="116">
        <f>SUMIFS(M:M,AM:AM,AM2059)+SUMIFS(O:O,AM:AM,AM2059)</f>
      </c>
      <c r="AQ2059" s="116">
        <f>SUMIFS(L:L,AM:AM,AM2059)</f>
      </c>
      <c r="AR2059" s="116">
        <f>AQ2059-AP2059</f>
      </c>
      <c r="AS2059" s="94" t="str">
        <f>IF(AN2059&gt;=AQ2059,"ok","ck")</f>
      </c>
      <c r="AT2059" s="116">
        <f>-P2059</f>
      </c>
      <c r="AU2059" s="115">
        <f>IF(SUMIFS(AT:AT,AM:AM,AM2059)&gt;AO2059,(SUMIFS(AT:AT,AM:AM,AM2059)-AO2059))</f>
      </c>
      <c r="AV2059" s="116">
        <v>0</v>
      </c>
      <c r="AW2059" s="121">
        <v>0</v>
      </c>
      <c r="AX2059" s="115">
        <f>AN2059-AP2059</f>
      </c>
    </row>
    <row r="2060" spans="1:50" ht="15" hidden="1" customHeight="1" x14ac:dyDescent="0.3">
      <c r="A2060" s="94" t="s">
        <v>268</v>
      </c>
      <c r="B2060" s="94"/>
      <c r="C2060" s="94"/>
      <c r="D2060" s="94"/>
      <c r="E2060" s="94"/>
      <c r="F2060" s="94"/>
      <c r="G2060" s="112">
        <f>AU2060</f>
      </c>
      <c r="H2060" s="113"/>
      <c r="I2060" s="94" t="s">
        <v>390</v>
      </c>
      <c r="J2060" s="94" t="s">
        <v>405</v>
      </c>
      <c r="K2060" s="114">
        <f>P2060/3</f>
      </c>
      <c r="L2060" s="115">
        <v>229.84</v>
      </c>
      <c r="M2060" s="116"/>
      <c r="N2060" s="117">
        <f>M2060-L2060</f>
      </c>
      <c r="O2060" s="112"/>
      <c r="P2060" s="118">
        <f>N2060+O2060</f>
      </c>
      <c r="Q2060" s="94" t="s">
        <v>778</v>
      </c>
      <c r="R2060" s="94" t="s">
        <v>392</v>
      </c>
      <c r="S2060" s="119">
        <v>46344</v>
      </c>
      <c r="T2060" s="119"/>
      <c r="U2060" s="120">
        <v>46344</v>
      </c>
      <c r="V2060" s="94"/>
      <c r="W2060" s="94"/>
      <c r="X2060" s="94"/>
      <c r="Y2060" s="119">
        <v>46334</v>
      </c>
      <c r="Z2060" s="94"/>
      <c r="AA2060" s="120"/>
      <c r="AB2060" s="120"/>
      <c r="AC2060" s="120"/>
      <c r="AD2060" s="120"/>
      <c r="AE2060" s="120"/>
      <c r="AF2060" s="120"/>
      <c r="AG2060" s="94"/>
      <c r="AH2060" s="120"/>
      <c r="AI2060" s="94"/>
      <c r="AJ2060" s="94" t="s">
        <v>778</v>
      </c>
      <c r="AK2060" s="94" t="s">
        <v>756</v>
      </c>
      <c r="AL2060" s="94">
        <v>140</v>
      </c>
      <c r="AM2060" s="94" t="str">
        <f>TRIM(AJ2060)&amp;TRIM(AL2060)&amp;TRIM(AK2060)</f>
      </c>
      <c r="AN2060" s="116">
        <v>0</v>
      </c>
      <c r="AO2060" s="116" t="inlineStr">
        <is>
          <t>#NA</t>
        </is>
      </c>
      <c r="AP2060" s="116">
        <f>SUMIFS(M:M,AM:AM,AM2060)+SUMIFS(O:O,AM:AM,AM2060)</f>
      </c>
      <c r="AQ2060" s="116">
        <f>SUMIFS(L:L,AM:AM,AM2060)</f>
      </c>
      <c r="AR2060" s="116">
        <f>AQ2060-AP2060</f>
      </c>
      <c r="AS2060" s="94" t="str">
        <f>IF(AN2060&gt;=AQ2060,"ok","ck")</f>
      </c>
      <c r="AT2060" s="116">
        <f>-P2060</f>
      </c>
      <c r="AU2060" s="115">
        <f>IF(SUMIFS(AT:AT,AM:AM,AM2060)&gt;AO2060,(SUMIFS(AT:AT,AM:AM,AM2060)-AO2060))</f>
      </c>
      <c r="AV2060" s="116">
        <v>0</v>
      </c>
      <c r="AW2060" s="121">
        <v>0</v>
      </c>
      <c r="AX2060" s="115">
        <f>AN2060-AP2060</f>
      </c>
    </row>
    <row r="2061" spans="1:50" ht="15" hidden="1" customHeight="1" x14ac:dyDescent="0.3">
      <c r="A2061" s="94" t="s">
        <v>268</v>
      </c>
      <c r="B2061" s="94"/>
      <c r="C2061" s="94"/>
      <c r="D2061" s="94"/>
      <c r="E2061" s="94"/>
      <c r="F2061" s="94"/>
      <c r="G2061" s="112">
        <f>AU2061</f>
      </c>
      <c r="H2061" s="113"/>
      <c r="I2061" s="94" t="s">
        <v>390</v>
      </c>
      <c r="J2061" s="94" t="s">
        <v>405</v>
      </c>
      <c r="K2061" s="114">
        <f>P2061/3</f>
      </c>
      <c r="L2061" s="115">
        <v>17.68</v>
      </c>
      <c r="M2061" s="116"/>
      <c r="N2061" s="117">
        <f>M2061-L2061</f>
      </c>
      <c r="O2061" s="112"/>
      <c r="P2061" s="118">
        <f>N2061+O2061</f>
      </c>
      <c r="Q2061" s="94" t="s">
        <v>778</v>
      </c>
      <c r="R2061" s="94" t="s">
        <v>392</v>
      </c>
      <c r="S2061" s="119">
        <v>46344</v>
      </c>
      <c r="T2061" s="119"/>
      <c r="U2061" s="120">
        <v>46344</v>
      </c>
      <c r="V2061" s="94"/>
      <c r="W2061" s="94"/>
      <c r="X2061" s="94"/>
      <c r="Y2061" s="119">
        <v>46337</v>
      </c>
      <c r="Z2061" s="94"/>
      <c r="AA2061" s="120"/>
      <c r="AB2061" s="120"/>
      <c r="AC2061" s="120"/>
      <c r="AD2061" s="120"/>
      <c r="AE2061" s="120"/>
      <c r="AF2061" s="120"/>
      <c r="AG2061" s="94"/>
      <c r="AH2061" s="120"/>
      <c r="AI2061" s="94"/>
      <c r="AJ2061" s="94" t="s">
        <v>778</v>
      </c>
      <c r="AK2061" s="94" t="s">
        <v>756</v>
      </c>
      <c r="AL2061" s="94">
        <v>140</v>
      </c>
      <c r="AM2061" s="94" t="str">
        <f>TRIM(AJ2061)&amp;TRIM(AL2061)&amp;TRIM(AK2061)</f>
      </c>
      <c r="AN2061" s="116">
        <v>0</v>
      </c>
      <c r="AO2061" s="116" t="inlineStr">
        <is>
          <t>#NA</t>
        </is>
      </c>
      <c r="AP2061" s="116">
        <f>SUMIFS(M:M,AM:AM,AM2061)+SUMIFS(O:O,AM:AM,AM2061)</f>
      </c>
      <c r="AQ2061" s="116">
        <f>SUMIFS(L:L,AM:AM,AM2061)</f>
      </c>
      <c r="AR2061" s="116">
        <f>AQ2061-AP2061</f>
      </c>
      <c r="AS2061" s="94" t="str">
        <f>IF(AN2061&gt;=AQ2061,"ok","ck")</f>
      </c>
      <c r="AT2061" s="116">
        <f>-P2061</f>
      </c>
      <c r="AU2061" s="115">
        <f>IF(SUMIFS(AT:AT,AM:AM,AM2061)&gt;AO2061,(SUMIFS(AT:AT,AM:AM,AM2061)-AO2061))</f>
      </c>
      <c r="AV2061" s="116">
        <v>0</v>
      </c>
      <c r="AW2061" s="121">
        <v>0</v>
      </c>
      <c r="AX2061" s="115">
        <f>AN2061-AP2061</f>
      </c>
    </row>
    <row r="2062" spans="1:50" ht="15" hidden="1" customHeight="1" x14ac:dyDescent="0.3">
      <c r="A2062" s="94" t="s">
        <v>151</v>
      </c>
      <c r="B2062" s="94"/>
      <c r="C2062" s="94"/>
      <c r="D2062" s="94"/>
      <c r="E2062" s="94"/>
      <c r="F2062" s="94"/>
      <c r="G2062" s="112">
        <f>AU2062</f>
      </c>
      <c r="H2062" s="113"/>
      <c r="I2062" s="94" t="s">
        <v>442</v>
      </c>
      <c r="J2062" s="94" t="s">
        <v>444</v>
      </c>
      <c r="K2062" s="114">
        <f>P2062/3</f>
      </c>
      <c r="L2062" s="115">
        <v>2.34</v>
      </c>
      <c r="M2062" s="116"/>
      <c r="N2062" s="117">
        <f>M2062-L2062</f>
      </c>
      <c r="O2062" s="112"/>
      <c r="P2062" s="118">
        <f>N2062+O2062</f>
      </c>
      <c r="Q2062" s="94" t="s">
        <v>197</v>
      </c>
      <c r="R2062" s="94" t="s">
        <v>392</v>
      </c>
      <c r="S2062" s="119">
        <v>46320</v>
      </c>
      <c r="T2062" s="119"/>
      <c r="U2062" s="120">
        <v>46320</v>
      </c>
      <c r="V2062" s="94"/>
      <c r="W2062" s="94"/>
      <c r="X2062" s="94"/>
      <c r="Y2062" s="119">
        <v>46320</v>
      </c>
      <c r="Z2062" s="94"/>
      <c r="AA2062" s="120"/>
      <c r="AB2062" s="120"/>
      <c r="AC2062" s="120"/>
      <c r="AD2062" s="120"/>
      <c r="AE2062" s="120"/>
      <c r="AF2062" s="120"/>
      <c r="AG2062" s="94"/>
      <c r="AH2062" s="120"/>
      <c r="AI2062" s="94"/>
      <c r="AJ2062" s="94" t="s">
        <v>197</v>
      </c>
      <c r="AK2062" s="94" t="s">
        <v>751</v>
      </c>
      <c r="AL2062" s="94">
        <v>160</v>
      </c>
      <c r="AM2062" s="94" t="str">
        <f>TRIM(AJ2062)&amp;TRIM(AL2062)&amp;TRIM(AK2062)</f>
      </c>
      <c r="AN2062" s="116">
        <v>0</v>
      </c>
      <c r="AO2062" s="116" t="inlineStr">
        <is>
          <t>#NA</t>
        </is>
      </c>
      <c r="AP2062" s="116">
        <f>SUMIFS(M:M,AM:AM,AM2062)+SUMIFS(O:O,AM:AM,AM2062)</f>
      </c>
      <c r="AQ2062" s="116">
        <f>SUMIFS(L:L,AM:AM,AM2062)</f>
      </c>
      <c r="AR2062" s="116">
        <f>AQ2062-AP2062</f>
      </c>
      <c r="AS2062" s="94" t="str">
        <f>IF(AN2062&gt;=AQ2062,"ok","ck")</f>
      </c>
      <c r="AT2062" s="116">
        <f>-P2062</f>
      </c>
      <c r="AU2062" s="115">
        <f>IF(SUMIFS(AT:AT,AM:AM,AM2062)&gt;AO2062,(SUMIFS(AT:AT,AM:AM,AM2062)-AO2062))</f>
      </c>
      <c r="AV2062" s="116">
        <v>0</v>
      </c>
      <c r="AW2062" s="121">
        <v>0.895</v>
      </c>
      <c r="AX2062" s="115">
        <f>AN2062-AP2062</f>
      </c>
    </row>
    <row r="2063" spans="1:50" ht="15" hidden="1" customHeight="1" x14ac:dyDescent="0.3">
      <c r="A2063" s="94" t="s">
        <v>151</v>
      </c>
      <c r="B2063" s="94"/>
      <c r="C2063" s="94"/>
      <c r="D2063" s="94"/>
      <c r="E2063" s="94"/>
      <c r="F2063" s="94"/>
      <c r="G2063" s="112">
        <f>AU2063</f>
      </c>
      <c r="H2063" s="113"/>
      <c r="I2063" s="94" t="s">
        <v>442</v>
      </c>
      <c r="J2063" s="94" t="s">
        <v>444</v>
      </c>
      <c r="K2063" s="114">
        <f>P2063/3</f>
      </c>
      <c r="L2063" s="115">
        <v>513.43700000000001</v>
      </c>
      <c r="M2063" s="116"/>
      <c r="N2063" s="117">
        <f>M2063-L2063</f>
      </c>
      <c r="O2063" s="112"/>
      <c r="P2063" s="118">
        <f>N2063+O2063</f>
      </c>
      <c r="Q2063" s="94" t="s">
        <v>197</v>
      </c>
      <c r="R2063" s="94" t="s">
        <v>392</v>
      </c>
      <c r="S2063" s="119">
        <v>46331</v>
      </c>
      <c r="T2063" s="119"/>
      <c r="U2063" s="120">
        <v>46331</v>
      </c>
      <c r="V2063" s="94"/>
      <c r="W2063" s="94"/>
      <c r="X2063" s="94"/>
      <c r="Y2063" s="119">
        <v>46331</v>
      </c>
      <c r="Z2063" s="94"/>
      <c r="AA2063" s="120"/>
      <c r="AB2063" s="120"/>
      <c r="AC2063" s="120"/>
      <c r="AD2063" s="120"/>
      <c r="AE2063" s="120"/>
      <c r="AF2063" s="120"/>
      <c r="AG2063" s="94"/>
      <c r="AH2063" s="120"/>
      <c r="AI2063" s="94"/>
      <c r="AJ2063" s="94" t="s">
        <v>197</v>
      </c>
      <c r="AK2063" s="94" t="s">
        <v>751</v>
      </c>
      <c r="AL2063" s="94">
        <v>160</v>
      </c>
      <c r="AM2063" s="94" t="str">
        <f>TRIM(AJ2063)&amp;TRIM(AL2063)&amp;TRIM(AK2063)</f>
      </c>
      <c r="AN2063" s="116">
        <v>0</v>
      </c>
      <c r="AO2063" s="116" t="inlineStr">
        <is>
          <t>#NA</t>
        </is>
      </c>
      <c r="AP2063" s="116">
        <f>SUMIFS(M:M,AM:AM,AM2063)+SUMIFS(O:O,AM:AM,AM2063)</f>
      </c>
      <c r="AQ2063" s="116">
        <f>SUMIFS(L:L,AM:AM,AM2063)</f>
      </c>
      <c r="AR2063" s="116">
        <f>AQ2063-AP2063</f>
      </c>
      <c r="AS2063" s="94" t="str">
        <f>IF(AN2063&gt;=AQ2063,"ok","ck")</f>
      </c>
      <c r="AT2063" s="116">
        <f>-P2063</f>
      </c>
      <c r="AU2063" s="115">
        <f>IF(SUMIFS(AT:AT,AM:AM,AM2063)&gt;AO2063,(SUMIFS(AT:AT,AM:AM,AM2063)-AO2063))</f>
      </c>
      <c r="AV2063" s="116">
        <v>0</v>
      </c>
      <c r="AW2063" s="121">
        <v>0.895</v>
      </c>
      <c r="AX2063" s="115">
        <f>AN2063-AP2063</f>
      </c>
    </row>
    <row r="2064" spans="1:50" ht="15" hidden="1" customHeight="1" x14ac:dyDescent="0.3">
      <c r="A2064" s="94" t="s">
        <v>151</v>
      </c>
      <c r="B2064" s="94"/>
      <c r="C2064" s="94"/>
      <c r="D2064" s="94"/>
      <c r="E2064" s="94"/>
      <c r="F2064" s="94"/>
      <c r="G2064" s="112">
        <f>AU2064</f>
      </c>
      <c r="H2064" s="113"/>
      <c r="I2064" s="94" t="s">
        <v>442</v>
      </c>
      <c r="J2064" s="94" t="s">
        <v>444</v>
      </c>
      <c r="K2064" s="114">
        <f>P2064/3</f>
      </c>
      <c r="L2064" s="115">
        <v>533.78399999999999</v>
      </c>
      <c r="M2064" s="116"/>
      <c r="N2064" s="117">
        <f>M2064-L2064</f>
      </c>
      <c r="O2064" s="112"/>
      <c r="P2064" s="118">
        <f>N2064+O2064</f>
      </c>
      <c r="Q2064" s="94" t="s">
        <v>197</v>
      </c>
      <c r="R2064" s="94" t="s">
        <v>392</v>
      </c>
      <c r="S2064" s="119">
        <v>46320</v>
      </c>
      <c r="T2064" s="119"/>
      <c r="U2064" s="120">
        <v>46320</v>
      </c>
      <c r="V2064" s="94"/>
      <c r="W2064" s="94"/>
      <c r="X2064" s="94"/>
      <c r="Y2064" s="119">
        <v>46320</v>
      </c>
      <c r="Z2064" s="94"/>
      <c r="AA2064" s="120"/>
      <c r="AB2064" s="120"/>
      <c r="AC2064" s="120"/>
      <c r="AD2064" s="120"/>
      <c r="AE2064" s="120"/>
      <c r="AF2064" s="120"/>
      <c r="AG2064" s="94"/>
      <c r="AH2064" s="120"/>
      <c r="AI2064" s="94"/>
      <c r="AJ2064" s="94" t="s">
        <v>197</v>
      </c>
      <c r="AK2064" s="94" t="s">
        <v>751</v>
      </c>
      <c r="AL2064" s="94">
        <v>160</v>
      </c>
      <c r="AM2064" s="94" t="str">
        <f>TRIM(AJ2064)&amp;TRIM(AL2064)&amp;TRIM(AK2064)</f>
      </c>
      <c r="AN2064" s="116">
        <v>0</v>
      </c>
      <c r="AO2064" s="116" t="inlineStr">
        <is>
          <t>#NA</t>
        </is>
      </c>
      <c r="AP2064" s="116">
        <f>SUMIFS(M:M,AM:AM,AM2064)+SUMIFS(O:O,AM:AM,AM2064)</f>
      </c>
      <c r="AQ2064" s="116">
        <f>SUMIFS(L:L,AM:AM,AM2064)</f>
      </c>
      <c r="AR2064" s="116">
        <f>AQ2064-AP2064</f>
      </c>
      <c r="AS2064" s="94" t="str">
        <f>IF(AN2064&gt;=AQ2064,"ok","ck")</f>
      </c>
      <c r="AT2064" s="116">
        <f>-P2064</f>
      </c>
      <c r="AU2064" s="115">
        <f>IF(SUMIFS(AT:AT,AM:AM,AM2064)&gt;AO2064,(SUMIFS(AT:AT,AM:AM,AM2064)-AO2064))</f>
      </c>
      <c r="AV2064" s="116">
        <v>0</v>
      </c>
      <c r="AW2064" s="121">
        <v>0.895</v>
      </c>
      <c r="AX2064" s="115">
        <f>AN2064-AP2064</f>
      </c>
    </row>
    <row r="2065" spans="1:50" ht="15" hidden="1" customHeight="1" x14ac:dyDescent="0.3">
      <c r="A2065" s="94" t="s">
        <v>151</v>
      </c>
      <c r="B2065" s="94"/>
      <c r="C2065" s="94"/>
      <c r="D2065" s="94"/>
      <c r="E2065" s="94"/>
      <c r="F2065" s="94"/>
      <c r="G2065" s="112">
        <f>AU2065</f>
      </c>
      <c r="H2065" s="113"/>
      <c r="I2065" s="94" t="s">
        <v>442</v>
      </c>
      <c r="J2065" s="94" t="s">
        <v>444</v>
      </c>
      <c r="K2065" s="114">
        <f>P2065/3</f>
      </c>
      <c r="L2065" s="115">
        <v>305.02</v>
      </c>
      <c r="M2065" s="116"/>
      <c r="N2065" s="117">
        <f>M2065-L2065</f>
      </c>
      <c r="O2065" s="112"/>
      <c r="P2065" s="118">
        <f>N2065+O2065</f>
      </c>
      <c r="Q2065" s="94" t="s">
        <v>197</v>
      </c>
      <c r="R2065" s="94" t="s">
        <v>392</v>
      </c>
      <c r="S2065" s="119">
        <v>46326</v>
      </c>
      <c r="T2065" s="119"/>
      <c r="U2065" s="120">
        <v>46326</v>
      </c>
      <c r="V2065" s="94"/>
      <c r="W2065" s="94"/>
      <c r="X2065" s="94"/>
      <c r="Y2065" s="119">
        <v>46326</v>
      </c>
      <c r="Z2065" s="94"/>
      <c r="AA2065" s="120"/>
      <c r="AB2065" s="120"/>
      <c r="AC2065" s="120"/>
      <c r="AD2065" s="120"/>
      <c r="AE2065" s="120"/>
      <c r="AF2065" s="120"/>
      <c r="AG2065" s="94"/>
      <c r="AH2065" s="120"/>
      <c r="AI2065" s="94"/>
      <c r="AJ2065" s="94" t="s">
        <v>197</v>
      </c>
      <c r="AK2065" s="94" t="s">
        <v>751</v>
      </c>
      <c r="AL2065" s="94">
        <v>160</v>
      </c>
      <c r="AM2065" s="94" t="str">
        <f>TRIM(AJ2065)&amp;TRIM(AL2065)&amp;TRIM(AK2065)</f>
      </c>
      <c r="AN2065" s="116">
        <v>0</v>
      </c>
      <c r="AO2065" s="116" t="inlineStr">
        <is>
          <t>#NA</t>
        </is>
      </c>
      <c r="AP2065" s="116">
        <f>SUMIFS(M:M,AM:AM,AM2065)+SUMIFS(O:O,AM:AM,AM2065)</f>
      </c>
      <c r="AQ2065" s="116">
        <f>SUMIFS(L:L,AM:AM,AM2065)</f>
      </c>
      <c r="AR2065" s="116">
        <f>AQ2065-AP2065</f>
      </c>
      <c r="AS2065" s="94" t="str">
        <f>IF(AN2065&gt;=AQ2065,"ok","ck")</f>
      </c>
      <c r="AT2065" s="116">
        <f>-P2065</f>
      </c>
      <c r="AU2065" s="115">
        <f>IF(SUMIFS(AT:AT,AM:AM,AM2065)&gt;AO2065,(SUMIFS(AT:AT,AM:AM,AM2065)-AO2065))</f>
      </c>
      <c r="AV2065" s="116">
        <v>0</v>
      </c>
      <c r="AW2065" s="121">
        <v>0.895</v>
      </c>
      <c r="AX2065" s="115">
        <f>AN2065-AP2065</f>
      </c>
    </row>
    <row r="2066" spans="1:50" ht="15" hidden="1" customHeight="1" x14ac:dyDescent="0.3">
      <c r="A2066" s="94" t="s">
        <v>151</v>
      </c>
      <c r="B2066" s="94"/>
      <c r="C2066" s="94"/>
      <c r="D2066" s="94"/>
      <c r="E2066" s="94"/>
      <c r="F2066" s="94"/>
      <c r="G2066" s="112">
        <f>AU2066</f>
      </c>
      <c r="H2066" s="113"/>
      <c r="I2066" s="94" t="s">
        <v>442</v>
      </c>
      <c r="J2066" s="94" t="s">
        <v>444</v>
      </c>
      <c r="K2066" s="114">
        <f>P2066/3</f>
      </c>
      <c r="L2066" s="115">
        <v>305.02</v>
      </c>
      <c r="M2066" s="116"/>
      <c r="N2066" s="117">
        <f>M2066-L2066</f>
      </c>
      <c r="O2066" s="112"/>
      <c r="P2066" s="118">
        <f>N2066+O2066</f>
      </c>
      <c r="Q2066" s="94" t="s">
        <v>197</v>
      </c>
      <c r="R2066" s="94" t="s">
        <v>392</v>
      </c>
      <c r="S2066" s="119">
        <v>46320</v>
      </c>
      <c r="T2066" s="119"/>
      <c r="U2066" s="120">
        <v>46320</v>
      </c>
      <c r="V2066" s="94"/>
      <c r="W2066" s="94"/>
      <c r="X2066" s="94"/>
      <c r="Y2066" s="119">
        <v>46320</v>
      </c>
      <c r="Z2066" s="94"/>
      <c r="AA2066" s="120"/>
      <c r="AB2066" s="120"/>
      <c r="AC2066" s="120"/>
      <c r="AD2066" s="120"/>
      <c r="AE2066" s="120"/>
      <c r="AF2066" s="120"/>
      <c r="AG2066" s="94"/>
      <c r="AH2066" s="120"/>
      <c r="AI2066" s="94"/>
      <c r="AJ2066" s="94" t="s">
        <v>197</v>
      </c>
      <c r="AK2066" s="94" t="s">
        <v>751</v>
      </c>
      <c r="AL2066" s="94">
        <v>160</v>
      </c>
      <c r="AM2066" s="94" t="str">
        <f>TRIM(AJ2066)&amp;TRIM(AL2066)&amp;TRIM(AK2066)</f>
      </c>
      <c r="AN2066" s="116">
        <v>0</v>
      </c>
      <c r="AO2066" s="116" t="inlineStr">
        <is>
          <t>#NA</t>
        </is>
      </c>
      <c r="AP2066" s="116">
        <f>SUMIFS(M:M,AM:AM,AM2066)+SUMIFS(O:O,AM:AM,AM2066)</f>
      </c>
      <c r="AQ2066" s="116">
        <f>SUMIFS(L:L,AM:AM,AM2066)</f>
      </c>
      <c r="AR2066" s="116">
        <f>AQ2066-AP2066</f>
      </c>
      <c r="AS2066" s="94" t="str">
        <f>IF(AN2066&gt;=AQ2066,"ok","ck")</f>
      </c>
      <c r="AT2066" s="116">
        <f>-P2066</f>
      </c>
      <c r="AU2066" s="115">
        <f>IF(SUMIFS(AT:AT,AM:AM,AM2066)&gt;AO2066,(SUMIFS(AT:AT,AM:AM,AM2066)-AO2066))</f>
      </c>
      <c r="AV2066" s="116">
        <v>0</v>
      </c>
      <c r="AW2066" s="121">
        <v>0.895</v>
      </c>
      <c r="AX2066" s="115">
        <f>AN2066-AP2066</f>
      </c>
    </row>
    <row r="2067" spans="1:50" ht="15" hidden="1" customHeight="1" x14ac:dyDescent="0.3">
      <c r="A2067" s="94" t="s">
        <v>151</v>
      </c>
      <c r="B2067" s="94"/>
      <c r="C2067" s="94"/>
      <c r="D2067" s="94"/>
      <c r="E2067" s="94"/>
      <c r="F2067" s="94"/>
      <c r="G2067" s="112">
        <f>AU2067</f>
      </c>
      <c r="H2067" s="113"/>
      <c r="I2067" s="94" t="s">
        <v>442</v>
      </c>
      <c r="J2067" s="94" t="s">
        <v>444</v>
      </c>
      <c r="K2067" s="114">
        <f>P2067/3</f>
      </c>
      <c r="L2067" s="115">
        <v>314.48099999999999</v>
      </c>
      <c r="M2067" s="116"/>
      <c r="N2067" s="117">
        <f>M2067-L2067</f>
      </c>
      <c r="O2067" s="112"/>
      <c r="P2067" s="118">
        <f>N2067+O2067</f>
      </c>
      <c r="Q2067" s="94" t="s">
        <v>197</v>
      </c>
      <c r="R2067" s="94" t="s">
        <v>392</v>
      </c>
      <c r="S2067" s="119">
        <v>46335</v>
      </c>
      <c r="T2067" s="119"/>
      <c r="U2067" s="120">
        <v>46335</v>
      </c>
      <c r="V2067" s="94"/>
      <c r="W2067" s="94"/>
      <c r="X2067" s="94"/>
      <c r="Y2067" s="119">
        <v>46335</v>
      </c>
      <c r="Z2067" s="94"/>
      <c r="AA2067" s="120"/>
      <c r="AB2067" s="120"/>
      <c r="AC2067" s="120"/>
      <c r="AD2067" s="120"/>
      <c r="AE2067" s="120"/>
      <c r="AF2067" s="120"/>
      <c r="AG2067" s="94"/>
      <c r="AH2067" s="120"/>
      <c r="AI2067" s="94"/>
      <c r="AJ2067" s="94" t="s">
        <v>197</v>
      </c>
      <c r="AK2067" s="94" t="s">
        <v>751</v>
      </c>
      <c r="AL2067" s="94">
        <v>160</v>
      </c>
      <c r="AM2067" s="94" t="str">
        <f>TRIM(AJ2067)&amp;TRIM(AL2067)&amp;TRIM(AK2067)</f>
      </c>
      <c r="AN2067" s="116">
        <v>0</v>
      </c>
      <c r="AO2067" s="116" t="inlineStr">
        <is>
          <t>#NA</t>
        </is>
      </c>
      <c r="AP2067" s="116">
        <f>SUMIFS(M:M,AM:AM,AM2067)+SUMIFS(O:O,AM:AM,AM2067)</f>
      </c>
      <c r="AQ2067" s="116">
        <f>SUMIFS(L:L,AM:AM,AM2067)</f>
      </c>
      <c r="AR2067" s="116">
        <f>AQ2067-AP2067</f>
      </c>
      <c r="AS2067" s="94" t="str">
        <f>IF(AN2067&gt;=AQ2067,"ok","ck")</f>
      </c>
      <c r="AT2067" s="116">
        <f>-P2067</f>
      </c>
      <c r="AU2067" s="115">
        <f>IF(SUMIFS(AT:AT,AM:AM,AM2067)&gt;AO2067,(SUMIFS(AT:AT,AM:AM,AM2067)-AO2067))</f>
      </c>
      <c r="AV2067" s="116">
        <v>0</v>
      </c>
      <c r="AW2067" s="121">
        <v>0.895</v>
      </c>
      <c r="AX2067" s="115">
        <f>AN2067-AP2067</f>
      </c>
    </row>
    <row r="2068" spans="1:50" ht="15" hidden="1" customHeight="1" x14ac:dyDescent="0.3">
      <c r="A2068" s="94" t="s">
        <v>268</v>
      </c>
      <c r="B2068" s="94"/>
      <c r="C2068" s="94"/>
      <c r="D2068" s="94"/>
      <c r="E2068" s="94"/>
      <c r="F2068" s="94"/>
      <c r="G2068" s="112">
        <f>AU2068</f>
      </c>
      <c r="H2068" s="113"/>
      <c r="I2068" s="94" t="s">
        <v>390</v>
      </c>
      <c r="J2068" s="94" t="s">
        <v>594</v>
      </c>
      <c r="K2068" s="114">
        <f>P2068/3</f>
      </c>
      <c r="L2068" s="115">
        <v>117.852</v>
      </c>
      <c r="M2068" s="116"/>
      <c r="N2068" s="117">
        <f>M2068-L2068</f>
      </c>
      <c r="O2068" s="112"/>
      <c r="P2068" s="118">
        <f>N2068+O2068</f>
      </c>
      <c r="Q2068" s="94" t="s">
        <v>805</v>
      </c>
      <c r="R2068" s="94" t="s">
        <v>392</v>
      </c>
      <c r="S2068" s="119">
        <v>46356</v>
      </c>
      <c r="T2068" s="119"/>
      <c r="U2068" s="120">
        <v>46356</v>
      </c>
      <c r="V2068" s="94"/>
      <c r="W2068" s="94"/>
      <c r="X2068" s="94"/>
      <c r="Y2068" s="119">
        <v>46345</v>
      </c>
      <c r="Z2068" s="94"/>
      <c r="AA2068" s="120"/>
      <c r="AB2068" s="120"/>
      <c r="AC2068" s="120"/>
      <c r="AD2068" s="120"/>
      <c r="AE2068" s="120"/>
      <c r="AF2068" s="120"/>
      <c r="AG2068" s="94"/>
      <c r="AH2068" s="120"/>
      <c r="AI2068" s="94"/>
      <c r="AJ2068" s="94" t="s">
        <v>805</v>
      </c>
      <c r="AK2068" s="94" t="s">
        <v>757</v>
      </c>
      <c r="AL2068" s="94">
        <v>140</v>
      </c>
      <c r="AM2068" s="94" t="str">
        <f>TRIM(AJ2068)&amp;TRIM(AL2068)&amp;TRIM(AK2068)</f>
      </c>
      <c r="AN2068" s="116">
        <v>0</v>
      </c>
      <c r="AO2068" s="116" t="inlineStr">
        <is>
          <t>#NA</t>
        </is>
      </c>
      <c r="AP2068" s="116">
        <f>SUMIFS(M:M,AM:AM,AM2068)+SUMIFS(O:O,AM:AM,AM2068)</f>
      </c>
      <c r="AQ2068" s="116">
        <f>SUMIFS(L:L,AM:AM,AM2068)</f>
      </c>
      <c r="AR2068" s="116">
        <f>AQ2068-AP2068</f>
      </c>
      <c r="AS2068" s="94" t="str">
        <f>IF(AN2068&gt;=AQ2068,"ok","ck")</f>
      </c>
      <c r="AT2068" s="116">
        <f>-P2068</f>
      </c>
      <c r="AU2068" s="115">
        <f>IF(SUMIFS(AT:AT,AM:AM,AM2068)&gt;AO2068,(SUMIFS(AT:AT,AM:AM,AM2068)-AO2068))</f>
      </c>
      <c r="AV2068" s="116">
        <v>0</v>
      </c>
      <c r="AW2068" s="121">
        <v>0</v>
      </c>
      <c r="AX2068" s="115">
        <f>AN2068-AP2068</f>
      </c>
    </row>
    <row r="2069" spans="1:50" ht="15" hidden="1" customHeight="1" x14ac:dyDescent="0.3">
      <c r="A2069" s="94" t="s">
        <v>268</v>
      </c>
      <c r="B2069" s="94"/>
      <c r="C2069" s="94"/>
      <c r="D2069" s="94"/>
      <c r="E2069" s="94"/>
      <c r="F2069" s="94"/>
      <c r="G2069" s="112">
        <f>AU2069</f>
      </c>
      <c r="H2069" s="113"/>
      <c r="I2069" s="94" t="s">
        <v>390</v>
      </c>
      <c r="J2069" s="94" t="s">
        <v>399</v>
      </c>
      <c r="K2069" s="114">
        <f>P2069/3</f>
      </c>
      <c r="L2069" s="115">
        <v>89.6</v>
      </c>
      <c r="M2069" s="116"/>
      <c r="N2069" s="117">
        <f>M2069-L2069</f>
      </c>
      <c r="O2069" s="112"/>
      <c r="P2069" s="118">
        <f>N2069+O2069</f>
      </c>
      <c r="Q2069" s="94" t="s">
        <v>778</v>
      </c>
      <c r="R2069" s="94" t="s">
        <v>392</v>
      </c>
      <c r="S2069" s="119">
        <v>46343</v>
      </c>
      <c r="T2069" s="119"/>
      <c r="U2069" s="120">
        <v>46343</v>
      </c>
      <c r="V2069" s="94"/>
      <c r="W2069" s="94"/>
      <c r="X2069" s="94"/>
      <c r="Y2069" s="119">
        <v>46333</v>
      </c>
      <c r="Z2069" s="94"/>
      <c r="AA2069" s="120"/>
      <c r="AB2069" s="120"/>
      <c r="AC2069" s="120"/>
      <c r="AD2069" s="120"/>
      <c r="AE2069" s="120"/>
      <c r="AF2069" s="120"/>
      <c r="AG2069" s="94"/>
      <c r="AH2069" s="120"/>
      <c r="AI2069" s="94"/>
      <c r="AJ2069" s="94" t="s">
        <v>778</v>
      </c>
      <c r="AK2069" s="94" t="s">
        <v>342</v>
      </c>
      <c r="AL2069" s="94">
        <v>140</v>
      </c>
      <c r="AM2069" s="94" t="str">
        <f>TRIM(AJ2069)&amp;TRIM(AL2069)&amp;TRIM(AK2069)</f>
      </c>
      <c r="AN2069" s="116">
        <v>0</v>
      </c>
      <c r="AO2069" s="116" t="inlineStr">
        <is>
          <t>#NA</t>
        </is>
      </c>
      <c r="AP2069" s="116">
        <f>SUMIFS(M:M,AM:AM,AM2069)+SUMIFS(O:O,AM:AM,AM2069)</f>
      </c>
      <c r="AQ2069" s="116">
        <f>SUMIFS(L:L,AM:AM,AM2069)</f>
      </c>
      <c r="AR2069" s="116">
        <f>AQ2069-AP2069</f>
      </c>
      <c r="AS2069" s="94" t="str">
        <f>IF(AN2069&gt;=AQ2069,"ok","ck")</f>
      </c>
      <c r="AT2069" s="116">
        <f>-P2069</f>
      </c>
      <c r="AU2069" s="115">
        <f>IF(SUMIFS(AT:AT,AM:AM,AM2069)&gt;AO2069,(SUMIFS(AT:AT,AM:AM,AM2069)-AO2069))</f>
      </c>
      <c r="AV2069" s="116">
        <v>0</v>
      </c>
      <c r="AW2069" s="121">
        <v>0</v>
      </c>
      <c r="AX2069" s="115">
        <f>AN2069-AP2069</f>
      </c>
    </row>
    <row r="2070" spans="1:50" ht="15" hidden="1" customHeight="1" x14ac:dyDescent="0.3">
      <c r="A2070" s="94" t="s">
        <v>268</v>
      </c>
      <c r="B2070" s="94"/>
      <c r="C2070" s="94"/>
      <c r="D2070" s="94"/>
      <c r="E2070" s="94"/>
      <c r="F2070" s="94"/>
      <c r="G2070" s="112">
        <f>AU2070</f>
      </c>
      <c r="H2070" s="113"/>
      <c r="I2070" s="94" t="s">
        <v>390</v>
      </c>
      <c r="J2070" s="94" t="s">
        <v>404</v>
      </c>
      <c r="K2070" s="114">
        <f>P2070/3</f>
      </c>
      <c r="L2070" s="115">
        <v>435.3</v>
      </c>
      <c r="M2070" s="116">
        <f>L2070</f>
      </c>
      <c r="N2070" s="117">
        <f>M2070-L2070</f>
      </c>
      <c r="O2070" s="112"/>
      <c r="P2070" s="118">
        <f>N2070+O2070</f>
      </c>
      <c r="Q2070" s="94" t="s">
        <v>305</v>
      </c>
      <c r="R2070" s="94" t="s">
        <v>392</v>
      </c>
      <c r="S2070" s="119">
        <v>46320</v>
      </c>
      <c r="T2070" s="119"/>
      <c r="U2070" s="120">
        <v>46320</v>
      </c>
      <c r="V2070" s="94"/>
      <c r="W2070" s="94"/>
      <c r="X2070" s="94"/>
      <c r="Y2070" s="119">
        <v>46320</v>
      </c>
      <c r="Z2070" s="94"/>
      <c r="AA2070" s="120"/>
      <c r="AB2070" s="120"/>
      <c r="AC2070" s="120"/>
      <c r="AD2070" s="120"/>
      <c r="AE2070" s="120"/>
      <c r="AF2070" s="120"/>
      <c r="AG2070" s="94"/>
      <c r="AH2070" s="120"/>
      <c r="AI2070" s="94"/>
      <c r="AJ2070" s="94" t="s">
        <v>305</v>
      </c>
      <c r="AK2070" s="94" t="s">
        <v>758</v>
      </c>
      <c r="AL2070" s="94">
        <v>140</v>
      </c>
      <c r="AM2070" s="94" t="str">
        <f>TRIM(AJ2070)&amp;TRIM(AL2070)&amp;TRIM(AK2070)</f>
      </c>
      <c r="AN2070" s="116">
        <v>2850.62</v>
      </c>
      <c r="AO2070" s="116">
        <v>-113.36</v>
      </c>
      <c r="AP2070" s="116">
        <f>SUMIFS(M:M,AM:AM,AM2070)+SUMIFS(O:O,AM:AM,AM2070)</f>
      </c>
      <c r="AQ2070" s="116">
        <f>SUMIFS(L:L,AM:AM,AM2070)</f>
      </c>
      <c r="AR2070" s="116">
        <f>AQ2070-AP2070</f>
      </c>
      <c r="AS2070" s="94" t="str">
        <f>IF(AN2070&gt;=AQ2070,"ok","ck")</f>
      </c>
      <c r="AT2070" s="116">
        <f>-P2070</f>
      </c>
      <c r="AU2070" s="115">
        <f>IF(SUMIFS(AT:AT,AM:AM,AM2070)&gt;AO2070,(SUMIFS(AT:AT,AM:AM,AM2070)-AO2070))</f>
      </c>
      <c r="AV2070" s="116">
        <v>2850.62</v>
      </c>
      <c r="AW2070" s="121">
        <v>1.055</v>
      </c>
      <c r="AX2070" s="115">
        <f>AN2070-AP2070</f>
      </c>
    </row>
    <row r="2071" spans="1:50" ht="15" hidden="1" customHeight="1" x14ac:dyDescent="0.3">
      <c r="A2071" s="94" t="s">
        <v>268</v>
      </c>
      <c r="B2071" s="94"/>
      <c r="C2071" s="94"/>
      <c r="D2071" s="94"/>
      <c r="E2071" s="94"/>
      <c r="F2071" s="94"/>
      <c r="G2071" s="112">
        <f>AU2071</f>
      </c>
      <c r="H2071" s="113"/>
      <c r="I2071" s="94" t="s">
        <v>390</v>
      </c>
      <c r="J2071" s="94" t="s">
        <v>404</v>
      </c>
      <c r="K2071" s="114">
        <f>P2071/3</f>
      </c>
      <c r="L2071" s="115">
        <v>507.85</v>
      </c>
      <c r="M2071" s="116">
        <f>L2071</f>
      </c>
      <c r="N2071" s="117">
        <f>M2071-L2071</f>
      </c>
      <c r="O2071" s="112"/>
      <c r="P2071" s="118">
        <f>N2071+O2071</f>
      </c>
      <c r="Q2071" s="94" t="s">
        <v>305</v>
      </c>
      <c r="R2071" s="94" t="s">
        <v>392</v>
      </c>
      <c r="S2071" s="119">
        <v>46323</v>
      </c>
      <c r="T2071" s="119"/>
      <c r="U2071" s="119">
        <v>46323</v>
      </c>
      <c r="V2071" s="94"/>
      <c r="W2071" s="94"/>
      <c r="X2071" s="94"/>
      <c r="Y2071" s="119">
        <v>46323</v>
      </c>
      <c r="Z2071" s="94"/>
      <c r="AA2071" s="120"/>
      <c r="AB2071" s="120"/>
      <c r="AC2071" s="120"/>
      <c r="AD2071" s="120"/>
      <c r="AE2071" s="120"/>
      <c r="AF2071" s="120"/>
      <c r="AG2071" s="94"/>
      <c r="AH2071" s="120"/>
      <c r="AI2071" s="94"/>
      <c r="AJ2071" s="94" t="s">
        <v>305</v>
      </c>
      <c r="AK2071" s="94" t="s">
        <v>758</v>
      </c>
      <c r="AL2071" s="94">
        <v>140</v>
      </c>
      <c r="AM2071" s="94" t="str">
        <f>TRIM(AJ2071)&amp;TRIM(AL2071)&amp;TRIM(AK2071)</f>
      </c>
      <c r="AN2071" s="116">
        <v>2850.62</v>
      </c>
      <c r="AO2071" s="116">
        <v>-113.36</v>
      </c>
      <c r="AP2071" s="116">
        <f>SUMIFS(M:M,AM:AM,AM2071)+SUMIFS(O:O,AM:AM,AM2071)</f>
      </c>
      <c r="AQ2071" s="116">
        <f>SUMIFS(L:L,AM:AM,AM2071)</f>
      </c>
      <c r="AR2071" s="116">
        <f>AQ2071-AP2071</f>
      </c>
      <c r="AS2071" s="94" t="str">
        <f>IF(AN2071&gt;=AQ2071,"ok","ck")</f>
      </c>
      <c r="AT2071" s="116">
        <f>-P2071</f>
      </c>
      <c r="AU2071" s="115">
        <f>IF(SUMIFS(AT:AT,AM:AM,AM2071)&gt;AO2071,(SUMIFS(AT:AT,AM:AM,AM2071)-AO2071))</f>
      </c>
      <c r="AV2071" s="116">
        <v>2850.62</v>
      </c>
      <c r="AW2071" s="121">
        <v>1.055</v>
      </c>
      <c r="AX2071" s="115">
        <f>AN2071-AP2071</f>
      </c>
    </row>
    <row r="2072" spans="1:50" ht="15" hidden="1" customHeight="1" x14ac:dyDescent="0.3">
      <c r="A2072" s="94" t="s">
        <v>268</v>
      </c>
      <c r="B2072" s="94"/>
      <c r="C2072" s="94"/>
      <c r="D2072" s="94"/>
      <c r="E2072" s="94"/>
      <c r="F2072" s="94"/>
      <c r="G2072" s="112">
        <f>AU2072</f>
      </c>
      <c r="H2072" s="113"/>
      <c r="I2072" s="94" t="s">
        <v>390</v>
      </c>
      <c r="J2072" s="94" t="s">
        <v>404</v>
      </c>
      <c r="K2072" s="114">
        <f>P2072/3</f>
      </c>
      <c r="L2072" s="115">
        <v>507.85</v>
      </c>
      <c r="M2072" s="116">
        <f>L2072</f>
      </c>
      <c r="N2072" s="117">
        <f>M2072-L2072</f>
      </c>
      <c r="O2072" s="112"/>
      <c r="P2072" s="118">
        <f>N2072+O2072</f>
      </c>
      <c r="Q2072" s="94" t="s">
        <v>305</v>
      </c>
      <c r="R2072" s="94" t="s">
        <v>392</v>
      </c>
      <c r="S2072" s="119">
        <v>46342</v>
      </c>
      <c r="T2072" s="119"/>
      <c r="U2072" s="119">
        <v>46342</v>
      </c>
      <c r="V2072" s="94"/>
      <c r="W2072" s="94"/>
      <c r="X2072" s="94"/>
      <c r="Y2072" s="119">
        <v>46342</v>
      </c>
      <c r="Z2072" s="94"/>
      <c r="AA2072" s="120"/>
      <c r="AB2072" s="120"/>
      <c r="AC2072" s="120"/>
      <c r="AD2072" s="120"/>
      <c r="AE2072" s="120"/>
      <c r="AF2072" s="120"/>
      <c r="AG2072" s="94"/>
      <c r="AH2072" s="120"/>
      <c r="AI2072" s="94"/>
      <c r="AJ2072" s="94" t="s">
        <v>305</v>
      </c>
      <c r="AK2072" s="94" t="s">
        <v>758</v>
      </c>
      <c r="AL2072" s="94">
        <v>140</v>
      </c>
      <c r="AM2072" s="94" t="str">
        <f>TRIM(AJ2072)&amp;TRIM(AL2072)&amp;TRIM(AK2072)</f>
      </c>
      <c r="AN2072" s="116">
        <v>2850.62</v>
      </c>
      <c r="AO2072" s="116">
        <v>-113.36</v>
      </c>
      <c r="AP2072" s="116">
        <f>SUMIFS(M:M,AM:AM,AM2072)+SUMIFS(O:O,AM:AM,AM2072)</f>
      </c>
      <c r="AQ2072" s="116">
        <f>SUMIFS(L:L,AM:AM,AM2072)</f>
      </c>
      <c r="AR2072" s="116">
        <f>AQ2072-AP2072</f>
      </c>
      <c r="AS2072" s="94" t="str">
        <f>IF(AN2072&gt;=AQ2072,"ok","ck")</f>
      </c>
      <c r="AT2072" s="116">
        <f>-P2072</f>
      </c>
      <c r="AU2072" s="115">
        <f>IF(SUMIFS(AT:AT,AM:AM,AM2072)&gt;AO2072,(SUMIFS(AT:AT,AM:AM,AM2072)-AO2072))</f>
      </c>
      <c r="AV2072" s="116">
        <v>2850.62</v>
      </c>
      <c r="AW2072" s="121">
        <v>1.055</v>
      </c>
      <c r="AX2072" s="115">
        <f>AN2072-AP2072</f>
      </c>
    </row>
    <row r="2073" spans="1:50" ht="15" hidden="1" customHeight="1" x14ac:dyDescent="0.3">
      <c r="A2073" s="94" t="s">
        <v>268</v>
      </c>
      <c r="B2073" s="94"/>
      <c r="C2073" s="94"/>
      <c r="D2073" s="94"/>
      <c r="E2073" s="94"/>
      <c r="F2073" s="94"/>
      <c r="G2073" s="112">
        <f>AU2073</f>
      </c>
      <c r="H2073" s="113"/>
      <c r="I2073" s="94" t="s">
        <v>390</v>
      </c>
      <c r="J2073" s="94" t="s">
        <v>404</v>
      </c>
      <c r="K2073" s="114">
        <f>P2073/3</f>
      </c>
      <c r="L2073" s="115">
        <v>1451</v>
      </c>
      <c r="M2073" s="116">
        <f>L2073</f>
      </c>
      <c r="N2073" s="117">
        <f>M2073-L2073</f>
      </c>
      <c r="O2073" s="112"/>
      <c r="P2073" s="118">
        <f>N2073+O2073</f>
      </c>
      <c r="Q2073" s="94" t="s">
        <v>305</v>
      </c>
      <c r="R2073" s="94" t="s">
        <v>392</v>
      </c>
      <c r="S2073" s="119">
        <v>46344</v>
      </c>
      <c r="T2073" s="119"/>
      <c r="U2073" s="119">
        <v>46344</v>
      </c>
      <c r="V2073" s="94"/>
      <c r="W2073" s="94"/>
      <c r="X2073" s="94"/>
      <c r="Y2073" s="119">
        <v>46344</v>
      </c>
      <c r="Z2073" s="94"/>
      <c r="AA2073" s="120"/>
      <c r="AB2073" s="120"/>
      <c r="AC2073" s="120"/>
      <c r="AD2073" s="120"/>
      <c r="AE2073" s="120"/>
      <c r="AF2073" s="120"/>
      <c r="AG2073" s="94"/>
      <c r="AH2073" s="120"/>
      <c r="AI2073" s="94"/>
      <c r="AJ2073" s="94" t="s">
        <v>305</v>
      </c>
      <c r="AK2073" s="94" t="s">
        <v>758</v>
      </c>
      <c r="AL2073" s="94">
        <v>140</v>
      </c>
      <c r="AM2073" s="94" t="str">
        <f>TRIM(AJ2073)&amp;TRIM(AL2073)&amp;TRIM(AK2073)</f>
      </c>
      <c r="AN2073" s="116">
        <v>2850.62</v>
      </c>
      <c r="AO2073" s="116">
        <v>-113.36</v>
      </c>
      <c r="AP2073" s="116">
        <f>SUMIFS(M:M,AM:AM,AM2073)+SUMIFS(O:O,AM:AM,AM2073)</f>
      </c>
      <c r="AQ2073" s="116">
        <f>SUMIFS(L:L,AM:AM,AM2073)</f>
      </c>
      <c r="AR2073" s="116">
        <f>AQ2073-AP2073</f>
      </c>
      <c r="AS2073" s="94" t="str">
        <f>IF(AN2073&gt;=AQ2073,"ok","ck")</f>
      </c>
      <c r="AT2073" s="116">
        <f>-P2073</f>
      </c>
      <c r="AU2073" s="115">
        <f>IF(SUMIFS(AT:AT,AM:AM,AM2073)&gt;AO2073,(SUMIFS(AT:AT,AM:AM,AM2073)-AO2073))</f>
      </c>
      <c r="AV2073" s="116">
        <v>2850.62</v>
      </c>
      <c r="AW2073" s="121">
        <v>1.055</v>
      </c>
      <c r="AX2073" s="115">
        <f>AN2073-AP2073</f>
      </c>
    </row>
    <row r="2074" spans="1:50" ht="15" hidden="1" customHeight="1" x14ac:dyDescent="0.3">
      <c r="A2074" s="94" t="s">
        <v>268</v>
      </c>
      <c r="B2074" s="94"/>
      <c r="C2074" s="94"/>
      <c r="D2074" s="94"/>
      <c r="E2074" s="94"/>
      <c r="F2074" s="94"/>
      <c r="G2074" s="112">
        <f>AU2074</f>
      </c>
      <c r="H2074" s="113"/>
      <c r="I2074" s="94" t="s">
        <v>390</v>
      </c>
      <c r="J2074" s="94" t="s">
        <v>404</v>
      </c>
      <c r="K2074" s="114">
        <f>P2074/3</f>
      </c>
      <c r="L2074" s="115">
        <v>177.5</v>
      </c>
      <c r="M2074" s="116">
        <f>L2074</f>
      </c>
      <c r="N2074" s="117">
        <f>M2074-L2074</f>
      </c>
      <c r="O2074" s="112"/>
      <c r="P2074" s="118">
        <f>N2074+O2074</f>
      </c>
      <c r="Q2074" s="94" t="s">
        <v>305</v>
      </c>
      <c r="R2074" s="94" t="s">
        <v>392</v>
      </c>
      <c r="S2074" s="119">
        <v>46321</v>
      </c>
      <c r="T2074" s="119"/>
      <c r="U2074" s="119">
        <v>46321</v>
      </c>
      <c r="V2074" s="94"/>
      <c r="W2074" s="94"/>
      <c r="X2074" s="94"/>
      <c r="Y2074" s="119">
        <v>46321</v>
      </c>
      <c r="Z2074" s="94"/>
      <c r="AA2074" s="120"/>
      <c r="AB2074" s="120"/>
      <c r="AC2074" s="120"/>
      <c r="AD2074" s="120"/>
      <c r="AE2074" s="120"/>
      <c r="AF2074" s="120"/>
      <c r="AG2074" s="94"/>
      <c r="AH2074" s="120"/>
      <c r="AI2074" s="94"/>
      <c r="AJ2074" s="94" t="s">
        <v>305</v>
      </c>
      <c r="AK2074" s="94" t="s">
        <v>758</v>
      </c>
      <c r="AL2074" s="94">
        <v>140</v>
      </c>
      <c r="AM2074" s="94" t="str">
        <f>TRIM(AJ2074)&amp;TRIM(AL2074)&amp;TRIM(AK2074)</f>
      </c>
      <c r="AN2074" s="116">
        <v>2850.62</v>
      </c>
      <c r="AO2074" s="116">
        <v>-113.36</v>
      </c>
      <c r="AP2074" s="116">
        <f>SUMIFS(M:M,AM:AM,AM2074)+SUMIFS(O:O,AM:AM,AM2074)</f>
      </c>
      <c r="AQ2074" s="116">
        <f>SUMIFS(L:L,AM:AM,AM2074)</f>
      </c>
      <c r="AR2074" s="116">
        <f>AQ2074-AP2074</f>
      </c>
      <c r="AS2074" s="94" t="str">
        <f>IF(AN2074&gt;=AQ2074,"ok","ck")</f>
      </c>
      <c r="AT2074" s="116">
        <f>-P2074</f>
      </c>
      <c r="AU2074" s="115">
        <f>IF(SUMIFS(AT:AT,AM:AM,AM2074)&gt;AO2074,(SUMIFS(AT:AT,AM:AM,AM2074)-AO2074))</f>
      </c>
      <c r="AV2074" s="116">
        <v>2850.62</v>
      </c>
      <c r="AW2074" s="121">
        <v>1.055</v>
      </c>
      <c r="AX2074" s="115">
        <f>AN2074-AP2074</f>
      </c>
    </row>
    <row r="2075" spans="1:50" ht="15" hidden="1" customHeight="1" x14ac:dyDescent="0.3">
      <c r="A2075" s="94" t="s">
        <v>268</v>
      </c>
      <c r="B2075" s="94"/>
      <c r="C2075" s="94"/>
      <c r="D2075" s="94"/>
      <c r="E2075" s="94"/>
      <c r="F2075" s="94"/>
      <c r="G2075" s="112">
        <f>AU2075</f>
      </c>
      <c r="H2075" s="113"/>
      <c r="I2075" s="94" t="s">
        <v>390</v>
      </c>
      <c r="J2075" s="94" t="s">
        <v>404</v>
      </c>
      <c r="K2075" s="114">
        <f>P2075/3</f>
      </c>
      <c r="L2075" s="115">
        <v>159.75</v>
      </c>
      <c r="M2075" s="116">
        <f>L2075</f>
      </c>
      <c r="N2075" s="117">
        <f>M2075-L2075</f>
      </c>
      <c r="O2075" s="112"/>
      <c r="P2075" s="118">
        <f>N2075+O2075</f>
      </c>
      <c r="Q2075" s="94" t="s">
        <v>305</v>
      </c>
      <c r="R2075" s="94" t="s">
        <v>392</v>
      </c>
      <c r="S2075" s="119">
        <v>46342</v>
      </c>
      <c r="T2075" s="119"/>
      <c r="U2075" s="119">
        <v>46342</v>
      </c>
      <c r="V2075" s="94"/>
      <c r="W2075" s="94"/>
      <c r="X2075" s="94"/>
      <c r="Y2075" s="119">
        <v>46331</v>
      </c>
      <c r="Z2075" s="94"/>
      <c r="AA2075" s="120"/>
      <c r="AB2075" s="120"/>
      <c r="AC2075" s="120"/>
      <c r="AD2075" s="120"/>
      <c r="AE2075" s="120"/>
      <c r="AF2075" s="120"/>
      <c r="AG2075" s="94"/>
      <c r="AH2075" s="120"/>
      <c r="AI2075" s="94"/>
      <c r="AJ2075" s="94" t="s">
        <v>305</v>
      </c>
      <c r="AK2075" s="94" t="s">
        <v>758</v>
      </c>
      <c r="AL2075" s="94">
        <v>140</v>
      </c>
      <c r="AM2075" s="94" t="str">
        <f>TRIM(AJ2075)&amp;TRIM(AL2075)&amp;TRIM(AK2075)</f>
      </c>
      <c r="AN2075" s="116">
        <v>2850.62</v>
      </c>
      <c r="AO2075" s="116">
        <v>-113.36</v>
      </c>
      <c r="AP2075" s="116">
        <f>SUMIFS(M:M,AM:AM,AM2075)+SUMIFS(O:O,AM:AM,AM2075)</f>
      </c>
      <c r="AQ2075" s="116">
        <f>SUMIFS(L:L,AM:AM,AM2075)</f>
      </c>
      <c r="AR2075" s="116">
        <f>AQ2075-AP2075</f>
      </c>
      <c r="AS2075" s="94" t="str">
        <f>IF(AN2075&gt;=AQ2075,"ok","ck")</f>
      </c>
      <c r="AT2075" s="116">
        <f>-P2075</f>
      </c>
      <c r="AU2075" s="115">
        <f>IF(SUMIFS(AT:AT,AM:AM,AM2075)&gt;AO2075,(SUMIFS(AT:AT,AM:AM,AM2075)-AO2075))</f>
      </c>
      <c r="AV2075" s="116">
        <v>2850.62</v>
      </c>
      <c r="AW2075" s="121">
        <v>1.055</v>
      </c>
      <c r="AX2075" s="115">
        <f>AN2075-AP2075</f>
      </c>
    </row>
    <row r="2076" spans="1:50" ht="15" hidden="1" customHeight="1" x14ac:dyDescent="0.3">
      <c r="A2076" s="94" t="s">
        <v>268</v>
      </c>
      <c r="B2076" s="94"/>
      <c r="C2076" s="94"/>
      <c r="D2076" s="94"/>
      <c r="E2076" s="94"/>
      <c r="F2076" s="94"/>
      <c r="G2076" s="112">
        <f>AU2076</f>
      </c>
      <c r="H2076" s="113"/>
      <c r="I2076" s="94" t="s">
        <v>390</v>
      </c>
      <c r="J2076" s="94" t="s">
        <v>404</v>
      </c>
      <c r="K2076" s="114">
        <f>P2076/3</f>
      </c>
      <c r="L2076" s="115">
        <v>0.32300000000000001</v>
      </c>
      <c r="M2076" s="116">
        <f>L2076</f>
      </c>
      <c r="N2076" s="117">
        <f>M2076-L2076</f>
      </c>
      <c r="O2076" s="112"/>
      <c r="P2076" s="118">
        <f>N2076+O2076</f>
      </c>
      <c r="Q2076" s="94" t="s">
        <v>305</v>
      </c>
      <c r="R2076" s="94" t="s">
        <v>392</v>
      </c>
      <c r="S2076" s="119">
        <v>46323</v>
      </c>
      <c r="T2076" s="119"/>
      <c r="U2076" s="119">
        <v>46323</v>
      </c>
      <c r="V2076" s="94"/>
      <c r="W2076" s="94"/>
      <c r="X2076" s="94"/>
      <c r="Y2076" s="119">
        <v>46323</v>
      </c>
      <c r="Z2076" s="94"/>
      <c r="AA2076" s="120"/>
      <c r="AB2076" s="120"/>
      <c r="AC2076" s="120"/>
      <c r="AD2076" s="120"/>
      <c r="AE2076" s="120"/>
      <c r="AF2076" s="120"/>
      <c r="AG2076" s="94"/>
      <c r="AH2076" s="120"/>
      <c r="AI2076" s="94"/>
      <c r="AJ2076" s="94" t="s">
        <v>305</v>
      </c>
      <c r="AK2076" s="94" t="s">
        <v>758</v>
      </c>
      <c r="AL2076" s="94">
        <v>140</v>
      </c>
      <c r="AM2076" s="94" t="str">
        <f>TRIM(AJ2076)&amp;TRIM(AL2076)&amp;TRIM(AK2076)</f>
      </c>
      <c r="AN2076" s="116">
        <v>2850.62</v>
      </c>
      <c r="AO2076" s="116">
        <v>-113.36</v>
      </c>
      <c r="AP2076" s="116">
        <f>SUMIFS(M:M,AM:AM,AM2076)+SUMIFS(O:O,AM:AM,AM2076)</f>
      </c>
      <c r="AQ2076" s="116">
        <f>SUMIFS(L:L,AM:AM,AM2076)</f>
      </c>
      <c r="AR2076" s="116">
        <f>AQ2076-AP2076</f>
      </c>
      <c r="AS2076" s="94" t="str">
        <f>IF(AN2076&gt;=AQ2076,"ok","ck")</f>
      </c>
      <c r="AT2076" s="116">
        <f>-P2076</f>
      </c>
      <c r="AU2076" s="115">
        <f>IF(SUMIFS(AT:AT,AM:AM,AM2076)&gt;AO2076,(SUMIFS(AT:AT,AM:AM,AM2076)-AO2076))</f>
      </c>
      <c r="AV2076" s="116">
        <v>2850.62</v>
      </c>
      <c r="AW2076" s="121">
        <v>1.055</v>
      </c>
      <c r="AX2076" s="115">
        <f>AN2076-AP2076</f>
      </c>
    </row>
    <row r="2077" spans="1:50" ht="15" hidden="1" customHeight="1" x14ac:dyDescent="0.3">
      <c r="A2077" s="94" t="s">
        <v>268</v>
      </c>
      <c r="B2077" s="94"/>
      <c r="C2077" s="94"/>
      <c r="D2077" s="94"/>
      <c r="E2077" s="94"/>
      <c r="F2077" s="94"/>
      <c r="G2077" s="112">
        <f>AU2077</f>
      </c>
      <c r="H2077" s="113"/>
      <c r="I2077" s="94" t="s">
        <v>390</v>
      </c>
      <c r="J2077" s="94" t="s">
        <v>404</v>
      </c>
      <c r="K2077" s="114">
        <f>P2077/3</f>
      </c>
      <c r="L2077" s="115">
        <v>240.8</v>
      </c>
      <c r="M2077" s="116">
        <f>L2077</f>
      </c>
      <c r="N2077" s="117">
        <f>M2077-L2077</f>
      </c>
      <c r="O2077" s="112"/>
      <c r="P2077" s="118">
        <f>N2077+O2077</f>
      </c>
      <c r="Q2077" s="94" t="s">
        <v>305</v>
      </c>
      <c r="R2077" s="94" t="s">
        <v>392</v>
      </c>
      <c r="S2077" s="119">
        <v>46326</v>
      </c>
      <c r="T2077" s="119"/>
      <c r="U2077" s="119">
        <v>46326</v>
      </c>
      <c r="V2077" s="94"/>
      <c r="W2077" s="94"/>
      <c r="X2077" s="94"/>
      <c r="Y2077" s="119">
        <v>46326</v>
      </c>
      <c r="Z2077" s="94"/>
      <c r="AA2077" s="120"/>
      <c r="AB2077" s="120"/>
      <c r="AC2077" s="120"/>
      <c r="AD2077" s="120"/>
      <c r="AE2077" s="120"/>
      <c r="AF2077" s="120"/>
      <c r="AG2077" s="94"/>
      <c r="AH2077" s="120"/>
      <c r="AI2077" s="94"/>
      <c r="AJ2077" s="94" t="s">
        <v>305</v>
      </c>
      <c r="AK2077" s="94" t="s">
        <v>758</v>
      </c>
      <c r="AL2077" s="94">
        <v>140</v>
      </c>
      <c r="AM2077" s="94" t="str">
        <f>TRIM(AJ2077)&amp;TRIM(AL2077)&amp;TRIM(AK2077)</f>
      </c>
      <c r="AN2077" s="116">
        <v>2850.62</v>
      </c>
      <c r="AO2077" s="116">
        <v>-113.36</v>
      </c>
      <c r="AP2077" s="116">
        <f>SUMIFS(M:M,AM:AM,AM2077)+SUMIFS(O:O,AM:AM,AM2077)</f>
      </c>
      <c r="AQ2077" s="116">
        <f>SUMIFS(L:L,AM:AM,AM2077)</f>
      </c>
      <c r="AR2077" s="116">
        <f>AQ2077-AP2077</f>
      </c>
      <c r="AS2077" s="94" t="str">
        <f>IF(AN2077&gt;=AQ2077,"ok","ck")</f>
      </c>
      <c r="AT2077" s="116">
        <f>-P2077</f>
      </c>
      <c r="AU2077" s="115">
        <f>IF(SUMIFS(AT:AT,AM:AM,AM2077)&gt;AO2077,(SUMIFS(AT:AT,AM:AM,AM2077)-AO2077))</f>
      </c>
      <c r="AV2077" s="116">
        <v>2850.62</v>
      </c>
      <c r="AW2077" s="121">
        <v>1.055</v>
      </c>
      <c r="AX2077" s="115">
        <f>AN2077-AP2077</f>
      </c>
    </row>
    <row r="2078" spans="1:50" ht="15" hidden="1" customHeight="1" x14ac:dyDescent="0.3">
      <c r="A2078" s="94" t="s">
        <v>268</v>
      </c>
      <c r="B2078" s="94"/>
      <c r="C2078" s="94"/>
      <c r="D2078" s="94"/>
      <c r="E2078" s="94"/>
      <c r="F2078" s="94"/>
      <c r="G2078" s="112">
        <f>AU2078</f>
      </c>
      <c r="H2078" s="113"/>
      <c r="I2078" s="94" t="s">
        <v>390</v>
      </c>
      <c r="J2078" s="94" t="s">
        <v>404</v>
      </c>
      <c r="K2078" s="114">
        <f>P2078/3</f>
      </c>
      <c r="L2078" s="115">
        <v>180.6</v>
      </c>
      <c r="M2078" s="116">
        <f>L2078</f>
      </c>
      <c r="N2078" s="117">
        <f>M2078-L2078</f>
      </c>
      <c r="O2078" s="112"/>
      <c r="P2078" s="118">
        <f>N2078+O2078</f>
      </c>
      <c r="Q2078" s="94" t="s">
        <v>305</v>
      </c>
      <c r="R2078" s="94" t="s">
        <v>392</v>
      </c>
      <c r="S2078" s="119">
        <v>46342</v>
      </c>
      <c r="T2078" s="119"/>
      <c r="U2078" s="119">
        <v>46342</v>
      </c>
      <c r="V2078" s="94"/>
      <c r="W2078" s="94"/>
      <c r="X2078" s="94"/>
      <c r="Y2078" s="119">
        <v>46334</v>
      </c>
      <c r="Z2078" s="94"/>
      <c r="AA2078" s="120"/>
      <c r="AB2078" s="120"/>
      <c r="AC2078" s="120"/>
      <c r="AD2078" s="120"/>
      <c r="AE2078" s="120"/>
      <c r="AF2078" s="120"/>
      <c r="AG2078" s="94"/>
      <c r="AH2078" s="120"/>
      <c r="AI2078" s="94"/>
      <c r="AJ2078" s="94" t="s">
        <v>305</v>
      </c>
      <c r="AK2078" s="94" t="s">
        <v>758</v>
      </c>
      <c r="AL2078" s="94">
        <v>140</v>
      </c>
      <c r="AM2078" s="94" t="str">
        <f>TRIM(AJ2078)&amp;TRIM(AL2078)&amp;TRIM(AK2078)</f>
      </c>
      <c r="AN2078" s="116">
        <v>2850.62</v>
      </c>
      <c r="AO2078" s="116">
        <v>-113.36</v>
      </c>
      <c r="AP2078" s="116">
        <f>SUMIFS(M:M,AM:AM,AM2078)+SUMIFS(O:O,AM:AM,AM2078)</f>
      </c>
      <c r="AQ2078" s="116">
        <f>SUMIFS(L:L,AM:AM,AM2078)</f>
      </c>
      <c r="AR2078" s="116">
        <f>AQ2078-AP2078</f>
      </c>
      <c r="AS2078" s="94" t="str">
        <f>IF(AN2078&gt;=AQ2078,"ok","ck")</f>
      </c>
      <c r="AT2078" s="116">
        <f>-P2078</f>
      </c>
      <c r="AU2078" s="115">
        <f>IF(SUMIFS(AT:AT,AM:AM,AM2078)&gt;AO2078,(SUMIFS(AT:AT,AM:AM,AM2078)-AO2078))</f>
      </c>
      <c r="AV2078" s="116">
        <v>2850.62</v>
      </c>
      <c r="AW2078" s="121">
        <v>1.055</v>
      </c>
      <c r="AX2078" s="115">
        <f>AN2078-AP2078</f>
      </c>
    </row>
    <row r="2079" spans="1:50" ht="15" hidden="1" customHeight="1" x14ac:dyDescent="0.3">
      <c r="A2079" s="94" t="s">
        <v>268</v>
      </c>
      <c r="B2079" s="94"/>
      <c r="C2079" s="94"/>
      <c r="D2079" s="94"/>
      <c r="E2079" s="94"/>
      <c r="F2079" s="94"/>
      <c r="G2079" s="112">
        <f>AU2079</f>
      </c>
      <c r="H2079" s="113"/>
      <c r="I2079" s="94" t="s">
        <v>390</v>
      </c>
      <c r="J2079" s="94" t="s">
        <v>404</v>
      </c>
      <c r="K2079" s="114">
        <f>P2079/3</f>
      </c>
      <c r="L2079" s="115">
        <v>707.2</v>
      </c>
      <c r="M2079" s="116">
        <f>L2079</f>
      </c>
      <c r="N2079" s="117">
        <f>M2079-L2079</f>
      </c>
      <c r="O2079" s="112"/>
      <c r="P2079" s="118">
        <f>N2079+O2079</f>
      </c>
      <c r="Q2079" s="94" t="s">
        <v>305</v>
      </c>
      <c r="R2079" s="94" t="s">
        <v>392</v>
      </c>
      <c r="S2079" s="119">
        <v>46320</v>
      </c>
      <c r="T2079" s="119"/>
      <c r="U2079" s="119">
        <v>46320</v>
      </c>
      <c r="V2079" s="94"/>
      <c r="W2079" s="94"/>
      <c r="X2079" s="94"/>
      <c r="Y2079" s="119">
        <v>46320</v>
      </c>
      <c r="Z2079" s="94"/>
      <c r="AA2079" s="120"/>
      <c r="AB2079" s="120"/>
      <c r="AC2079" s="120"/>
      <c r="AD2079" s="120"/>
      <c r="AE2079" s="120"/>
      <c r="AF2079" s="120"/>
      <c r="AG2079" s="94"/>
      <c r="AH2079" s="120"/>
      <c r="AI2079" s="94"/>
      <c r="AJ2079" s="94" t="s">
        <v>305</v>
      </c>
      <c r="AK2079" s="94" t="s">
        <v>758</v>
      </c>
      <c r="AL2079" s="94">
        <v>140</v>
      </c>
      <c r="AM2079" s="94" t="str">
        <f>TRIM(AJ2079)&amp;TRIM(AL2079)&amp;TRIM(AK2079)</f>
      </c>
      <c r="AN2079" s="116">
        <v>2850.62</v>
      </c>
      <c r="AO2079" s="116">
        <v>-113.36</v>
      </c>
      <c r="AP2079" s="116">
        <f>SUMIFS(M:M,AM:AM,AM2079)+SUMIFS(O:O,AM:AM,AM2079)</f>
      </c>
      <c r="AQ2079" s="116">
        <f>SUMIFS(L:L,AM:AM,AM2079)</f>
      </c>
      <c r="AR2079" s="116">
        <f>AQ2079-AP2079</f>
      </c>
      <c r="AS2079" s="94" t="str">
        <f>IF(AN2079&gt;=AQ2079,"ok","ck")</f>
      </c>
      <c r="AT2079" s="116">
        <f>-P2079</f>
      </c>
      <c r="AU2079" s="115">
        <f>IF(SUMIFS(AT:AT,AM:AM,AM2079)&gt;AO2079,(SUMIFS(AT:AT,AM:AM,AM2079)-AO2079))</f>
      </c>
      <c r="AV2079" s="116">
        <v>2850.62</v>
      </c>
      <c r="AW2079" s="121">
        <v>1.055</v>
      </c>
      <c r="AX2079" s="115">
        <f>AN2079-AP2079</f>
      </c>
    </row>
    <row r="2080" spans="1:50" ht="15" hidden="1" customHeight="1" x14ac:dyDescent="0.3">
      <c r="A2080" s="94" t="s">
        <v>268</v>
      </c>
      <c r="B2080" s="94"/>
      <c r="C2080" s="94"/>
      <c r="D2080" s="94"/>
      <c r="E2080" s="94"/>
      <c r="F2080" s="94"/>
      <c r="G2080" s="112">
        <f>AU2080</f>
      </c>
      <c r="H2080" s="113"/>
      <c r="I2080" s="94" t="s">
        <v>390</v>
      </c>
      <c r="J2080" s="94" t="s">
        <v>404</v>
      </c>
      <c r="K2080" s="114">
        <f>P2080/3</f>
      </c>
      <c r="L2080" s="115">
        <v>309.39999999999998</v>
      </c>
      <c r="M2080" s="116">
        <f>L2080</f>
      </c>
      <c r="N2080" s="117">
        <f>M2080-L2080</f>
      </c>
      <c r="O2080" s="112"/>
      <c r="P2080" s="118">
        <f>N2080+O2080</f>
      </c>
      <c r="Q2080" s="94" t="s">
        <v>305</v>
      </c>
      <c r="R2080" s="94" t="s">
        <v>392</v>
      </c>
      <c r="S2080" s="119">
        <v>46321</v>
      </c>
      <c r="T2080" s="119"/>
      <c r="U2080" s="119">
        <v>46321</v>
      </c>
      <c r="V2080" s="94"/>
      <c r="W2080" s="94"/>
      <c r="X2080" s="94"/>
      <c r="Y2080" s="119">
        <v>46321</v>
      </c>
      <c r="Z2080" s="94"/>
      <c r="AA2080" s="120"/>
      <c r="AB2080" s="120"/>
      <c r="AC2080" s="120"/>
      <c r="AD2080" s="120"/>
      <c r="AE2080" s="120"/>
      <c r="AF2080" s="120"/>
      <c r="AG2080" s="94"/>
      <c r="AH2080" s="120"/>
      <c r="AI2080" s="94"/>
      <c r="AJ2080" s="94" t="s">
        <v>305</v>
      </c>
      <c r="AK2080" s="94" t="s">
        <v>758</v>
      </c>
      <c r="AL2080" s="94">
        <v>140</v>
      </c>
      <c r="AM2080" s="94" t="str">
        <f>TRIM(AJ2080)&amp;TRIM(AL2080)&amp;TRIM(AK2080)</f>
      </c>
      <c r="AN2080" s="116">
        <v>2850.62</v>
      </c>
      <c r="AO2080" s="116">
        <v>-113.36</v>
      </c>
      <c r="AP2080" s="116">
        <f>SUMIFS(M:M,AM:AM,AM2080)+SUMIFS(O:O,AM:AM,AM2080)</f>
      </c>
      <c r="AQ2080" s="116">
        <f>SUMIFS(L:L,AM:AM,AM2080)</f>
      </c>
      <c r="AR2080" s="116">
        <f>AQ2080-AP2080</f>
      </c>
      <c r="AS2080" s="94" t="str">
        <f>IF(AN2080&gt;=AQ2080,"ok","ck")</f>
      </c>
      <c r="AT2080" s="116">
        <f>-P2080</f>
      </c>
      <c r="AU2080" s="115">
        <f>IF(SUMIFS(AT:AT,AM:AM,AM2080)&gt;AO2080,(SUMIFS(AT:AT,AM:AM,AM2080)-AO2080))</f>
      </c>
      <c r="AV2080" s="116">
        <v>2850.62</v>
      </c>
      <c r="AW2080" s="121">
        <v>1.055</v>
      </c>
      <c r="AX2080" s="115">
        <f>AN2080-AP2080</f>
      </c>
    </row>
    <row r="2081" spans="1:50" ht="15" hidden="1" customHeight="1" x14ac:dyDescent="0.3">
      <c r="A2081" s="94" t="s">
        <v>268</v>
      </c>
      <c r="B2081" s="94"/>
      <c r="C2081" s="94"/>
      <c r="D2081" s="94"/>
      <c r="E2081" s="94"/>
      <c r="F2081" s="94"/>
      <c r="G2081" s="112">
        <f>AU2081</f>
      </c>
      <c r="H2081" s="113"/>
      <c r="I2081" s="94" t="s">
        <v>390</v>
      </c>
      <c r="J2081" s="94" t="s">
        <v>404</v>
      </c>
      <c r="K2081" s="114">
        <f>P2081/3</f>
      </c>
      <c r="L2081" s="115">
        <v>0.4</v>
      </c>
      <c r="M2081" s="116"/>
      <c r="N2081" s="117">
        <f>M2081-L2081</f>
      </c>
      <c r="O2081" s="112"/>
      <c r="P2081" s="118">
        <f>N2081+O2081</f>
      </c>
      <c r="Q2081" s="94" t="s">
        <v>343</v>
      </c>
      <c r="R2081" s="94" t="s">
        <v>392</v>
      </c>
      <c r="S2081" s="119">
        <v>46336</v>
      </c>
      <c r="T2081" s="119"/>
      <c r="U2081" s="119">
        <v>46336</v>
      </c>
      <c r="V2081" s="94"/>
      <c r="W2081" s="94"/>
      <c r="X2081" s="94"/>
      <c r="Y2081" s="119">
        <v>46323</v>
      </c>
      <c r="Z2081" s="94"/>
      <c r="AA2081" s="120"/>
      <c r="AB2081" s="120"/>
      <c r="AC2081" s="120"/>
      <c r="AD2081" s="120"/>
      <c r="AE2081" s="120"/>
      <c r="AF2081" s="120"/>
      <c r="AG2081" s="94"/>
      <c r="AH2081" s="120"/>
      <c r="AI2081" s="94"/>
      <c r="AJ2081" s="94" t="s">
        <v>343</v>
      </c>
      <c r="AK2081" s="94" t="s">
        <v>758</v>
      </c>
      <c r="AL2081" s="94">
        <v>140</v>
      </c>
      <c r="AM2081" s="94" t="str">
        <f>TRIM(AJ2081)&amp;TRIM(AL2081)&amp;TRIM(AK2081)</f>
      </c>
      <c r="AN2081" s="116">
        <v>0</v>
      </c>
      <c r="AO2081" s="116" t="inlineStr">
        <is>
          <t>#NA</t>
        </is>
      </c>
      <c r="AP2081" s="116">
        <f>SUMIFS(M:M,AM:AM,AM2081)+SUMIFS(O:O,AM:AM,AM2081)</f>
      </c>
      <c r="AQ2081" s="116">
        <f>SUMIFS(L:L,AM:AM,AM2081)</f>
      </c>
      <c r="AR2081" s="116">
        <f>AQ2081-AP2081</f>
      </c>
      <c r="AS2081" s="94" t="str">
        <f>IF(AN2081&gt;=AQ2081,"ok","ck")</f>
      </c>
      <c r="AT2081" s="116">
        <f>-P2081</f>
      </c>
      <c r="AU2081" s="115">
        <f>IF(SUMIFS(AT:AT,AM:AM,AM2081)&gt;AO2081,(SUMIFS(AT:AT,AM:AM,AM2081)-AO2081))</f>
      </c>
      <c r="AV2081" s="116">
        <v>0</v>
      </c>
      <c r="AW2081" s="121">
        <v>1.032</v>
      </c>
      <c r="AX2081" s="115">
        <f>AN2081-AP2081</f>
      </c>
    </row>
    <row r="2082" spans="1:50" ht="15" hidden="1" customHeight="1" x14ac:dyDescent="0.3">
      <c r="A2082" s="94" t="s">
        <v>268</v>
      </c>
      <c r="B2082" s="94"/>
      <c r="C2082" s="94"/>
      <c r="D2082" s="94"/>
      <c r="E2082" s="94"/>
      <c r="F2082" s="94"/>
      <c r="G2082" s="112">
        <f>AU2082</f>
      </c>
      <c r="H2082" s="113"/>
      <c r="I2082" s="94" t="s">
        <v>390</v>
      </c>
      <c r="J2082" s="94" t="s">
        <v>595</v>
      </c>
      <c r="K2082" s="114">
        <f>P2082/3</f>
      </c>
      <c r="L2082" s="115">
        <v>99.683999999999997</v>
      </c>
      <c r="M2082" s="116"/>
      <c r="N2082" s="117">
        <f>M2082-L2082</f>
      </c>
      <c r="O2082" s="112"/>
      <c r="P2082" s="118">
        <f>N2082+O2082</f>
      </c>
      <c r="Q2082" s="94" t="s">
        <v>836</v>
      </c>
      <c r="R2082" s="94" t="s">
        <v>392</v>
      </c>
      <c r="S2082" s="119">
        <v>46353</v>
      </c>
      <c r="T2082" s="119"/>
      <c r="U2082" s="119">
        <v>46353</v>
      </c>
      <c r="V2082" s="94"/>
      <c r="W2082" s="94"/>
      <c r="X2082" s="94"/>
      <c r="Y2082" s="119">
        <v>46320</v>
      </c>
      <c r="Z2082" s="94"/>
      <c r="AA2082" s="120"/>
      <c r="AB2082" s="120"/>
      <c r="AC2082" s="120"/>
      <c r="AD2082" s="120"/>
      <c r="AE2082" s="120"/>
      <c r="AF2082" s="120"/>
      <c r="AG2082" s="94"/>
      <c r="AH2082" s="120"/>
      <c r="AI2082" s="94"/>
      <c r="AJ2082" s="94" t="s">
        <v>836</v>
      </c>
      <c r="AK2082" s="94" t="s">
        <v>756</v>
      </c>
      <c r="AL2082" s="94">
        <v>140</v>
      </c>
      <c r="AM2082" s="94" t="str">
        <f>TRIM(AJ2082)&amp;TRIM(AL2082)&amp;TRIM(AK2082)</f>
      </c>
      <c r="AN2082" s="116">
        <v>0</v>
      </c>
      <c r="AO2082" s="116" t="inlineStr">
        <is>
          <t>#NA</t>
        </is>
      </c>
      <c r="AP2082" s="116">
        <f>SUMIFS(M:M,AM:AM,AM2082)+SUMIFS(O:O,AM:AM,AM2082)</f>
      </c>
      <c r="AQ2082" s="116">
        <f>SUMIFS(L:L,AM:AM,AM2082)</f>
      </c>
      <c r="AR2082" s="116">
        <f>AQ2082-AP2082</f>
      </c>
      <c r="AS2082" s="94" t="str">
        <f>IF(AN2082&gt;=AQ2082,"ok","ck")</f>
      </c>
      <c r="AT2082" s="116">
        <f>-P2082</f>
      </c>
      <c r="AU2082" s="115">
        <f>IF(SUMIFS(AT:AT,AM:AM,AM2082)&gt;AO2082,(SUMIFS(AT:AT,AM:AM,AM2082)-AO2082))</f>
      </c>
      <c r="AV2082" s="116">
        <v>0</v>
      </c>
      <c r="AW2082" s="121">
        <v>0.994</v>
      </c>
      <c r="AX2082" s="115">
        <f>AN2082-AP2082</f>
      </c>
    </row>
    <row r="2083" spans="1:50" ht="15" hidden="1" customHeight="1" x14ac:dyDescent="0.3">
      <c r="A2083" s="94" t="s">
        <v>268</v>
      </c>
      <c r="B2083" s="94"/>
      <c r="C2083" s="94"/>
      <c r="D2083" s="94"/>
      <c r="E2083" s="94"/>
      <c r="F2083" s="94"/>
      <c r="G2083" s="112">
        <f>AU2083</f>
      </c>
      <c r="H2083" s="113"/>
      <c r="I2083" s="94" t="s">
        <v>390</v>
      </c>
      <c r="J2083" s="94" t="s">
        <v>405</v>
      </c>
      <c r="K2083" s="114">
        <f>P2083/3</f>
      </c>
      <c r="L2083" s="115">
        <v>180.6</v>
      </c>
      <c r="M2083" s="116"/>
      <c r="N2083" s="117">
        <f>M2083-L2083</f>
      </c>
      <c r="O2083" s="112"/>
      <c r="P2083" s="118">
        <f>N2083+O2083</f>
      </c>
      <c r="Q2083" s="94" t="s">
        <v>305</v>
      </c>
      <c r="R2083" s="94" t="s">
        <v>392</v>
      </c>
      <c r="S2083" s="119">
        <v>46334</v>
      </c>
      <c r="T2083" s="119"/>
      <c r="U2083" s="119">
        <v>46334</v>
      </c>
      <c r="V2083" s="94"/>
      <c r="W2083" s="94"/>
      <c r="X2083" s="94"/>
      <c r="Y2083" s="119">
        <v>46334</v>
      </c>
      <c r="Z2083" s="94"/>
      <c r="AA2083" s="120"/>
      <c r="AB2083" s="120"/>
      <c r="AC2083" s="120"/>
      <c r="AD2083" s="120"/>
      <c r="AE2083" s="120"/>
      <c r="AF2083" s="120"/>
      <c r="AG2083" s="94"/>
      <c r="AH2083" s="120"/>
      <c r="AI2083" s="94"/>
      <c r="AJ2083" s="94" t="s">
        <v>305</v>
      </c>
      <c r="AK2083" s="94" t="s">
        <v>756</v>
      </c>
      <c r="AL2083" s="94">
        <v>140</v>
      </c>
      <c r="AM2083" s="94" t="str">
        <f>TRIM(AJ2083)&amp;TRIM(AL2083)&amp;TRIM(AK2083)</f>
      </c>
      <c r="AN2083" s="116">
        <v>0</v>
      </c>
      <c r="AO2083" s="116" t="inlineStr">
        <is>
          <t>#NA</t>
        </is>
      </c>
      <c r="AP2083" s="116">
        <f>SUMIFS(M:M,AM:AM,AM2083)+SUMIFS(O:O,AM:AM,AM2083)</f>
      </c>
      <c r="AQ2083" s="116">
        <f>SUMIFS(L:L,AM:AM,AM2083)</f>
      </c>
      <c r="AR2083" s="116">
        <f>AQ2083-AP2083</f>
      </c>
      <c r="AS2083" s="94" t="str">
        <f>IF(AN2083&gt;=AQ2083,"ok","ck")</f>
      </c>
      <c r="AT2083" s="116">
        <f>-P2083</f>
      </c>
      <c r="AU2083" s="115">
        <f>IF(SUMIFS(AT:AT,AM:AM,AM2083)&gt;AO2083,(SUMIFS(AT:AT,AM:AM,AM2083)-AO2083))</f>
      </c>
      <c r="AV2083" s="116">
        <v>0</v>
      </c>
      <c r="AW2083" s="121">
        <v>0.965</v>
      </c>
      <c r="AX2083" s="115">
        <f>AN2083-AP2083</f>
      </c>
    </row>
    <row r="2084" spans="1:50" ht="15" hidden="1" customHeight="1" x14ac:dyDescent="0.3">
      <c r="A2084" s="94" t="s">
        <v>268</v>
      </c>
      <c r="B2084" s="94"/>
      <c r="C2084" s="94"/>
      <c r="D2084" s="94"/>
      <c r="E2084" s="94"/>
      <c r="F2084" s="94"/>
      <c r="G2084" s="112">
        <f>AU2084</f>
      </c>
      <c r="H2084" s="113"/>
      <c r="I2084" s="94" t="s">
        <v>390</v>
      </c>
      <c r="J2084" s="94" t="s">
        <v>405</v>
      </c>
      <c r="K2084" s="114">
        <f>P2084/3</f>
      </c>
      <c r="L2084" s="115">
        <v>707.2</v>
      </c>
      <c r="M2084" s="116"/>
      <c r="N2084" s="117">
        <f>M2084-L2084</f>
      </c>
      <c r="O2084" s="112"/>
      <c r="P2084" s="118">
        <f>N2084+O2084</f>
      </c>
      <c r="Q2084" s="94" t="s">
        <v>305</v>
      </c>
      <c r="R2084" s="94" t="s">
        <v>392</v>
      </c>
      <c r="S2084" s="119">
        <v>46340</v>
      </c>
      <c r="T2084" s="119"/>
      <c r="U2084" s="120">
        <v>46340</v>
      </c>
      <c r="V2084" s="94"/>
      <c r="W2084" s="94"/>
      <c r="X2084" s="94"/>
      <c r="Y2084" s="119">
        <v>46320</v>
      </c>
      <c r="Z2084" s="94"/>
      <c r="AA2084" s="120"/>
      <c r="AB2084" s="120"/>
      <c r="AC2084" s="120"/>
      <c r="AD2084" s="120"/>
      <c r="AE2084" s="120"/>
      <c r="AF2084" s="120"/>
      <c r="AG2084" s="94"/>
      <c r="AH2084" s="120"/>
      <c r="AI2084" s="94"/>
      <c r="AJ2084" s="94" t="s">
        <v>305</v>
      </c>
      <c r="AK2084" s="94" t="s">
        <v>756</v>
      </c>
      <c r="AL2084" s="94">
        <v>140</v>
      </c>
      <c r="AM2084" s="94" t="str">
        <f>TRIM(AJ2084)&amp;TRIM(AL2084)&amp;TRIM(AK2084)</f>
      </c>
      <c r="AN2084" s="116">
        <v>0</v>
      </c>
      <c r="AO2084" s="116" t="inlineStr">
        <is>
          <t>#NA</t>
        </is>
      </c>
      <c r="AP2084" s="116">
        <f>SUMIFS(M:M,AM:AM,AM2084)+SUMIFS(O:O,AM:AM,AM2084)</f>
      </c>
      <c r="AQ2084" s="116">
        <f>SUMIFS(L:L,AM:AM,AM2084)</f>
      </c>
      <c r="AR2084" s="116">
        <f>AQ2084-AP2084</f>
      </c>
      <c r="AS2084" s="94" t="str">
        <f>IF(AN2084&gt;=AQ2084,"ok","ck")</f>
      </c>
      <c r="AT2084" s="116">
        <f>-P2084</f>
      </c>
      <c r="AU2084" s="115">
        <f>IF(SUMIFS(AT:AT,AM:AM,AM2084)&gt;AO2084,(SUMIFS(AT:AT,AM:AM,AM2084)-AO2084))</f>
      </c>
      <c r="AV2084" s="116">
        <v>0</v>
      </c>
      <c r="AW2084" s="121">
        <v>0.965</v>
      </c>
      <c r="AX2084" s="115">
        <f>AN2084-AP2084</f>
      </c>
    </row>
    <row r="2085" spans="1:50" ht="15" hidden="1" customHeight="1" x14ac:dyDescent="0.3">
      <c r="A2085" s="94" t="s">
        <v>268</v>
      </c>
      <c r="B2085" s="94"/>
      <c r="C2085" s="94"/>
      <c r="D2085" s="94"/>
      <c r="E2085" s="94"/>
      <c r="F2085" s="94"/>
      <c r="G2085" s="112">
        <f>AU2085</f>
      </c>
      <c r="H2085" s="113"/>
      <c r="I2085" s="94" t="s">
        <v>390</v>
      </c>
      <c r="J2085" s="94" t="s">
        <v>405</v>
      </c>
      <c r="K2085" s="114">
        <f>P2085/3</f>
      </c>
      <c r="L2085" s="115">
        <v>309.39999999999998</v>
      </c>
      <c r="M2085" s="116"/>
      <c r="N2085" s="117">
        <f>M2085-L2085</f>
      </c>
      <c r="O2085" s="112"/>
      <c r="P2085" s="118">
        <f>N2085+O2085</f>
      </c>
      <c r="Q2085" s="94" t="s">
        <v>305</v>
      </c>
      <c r="R2085" s="94" t="s">
        <v>392</v>
      </c>
      <c r="S2085" s="119">
        <v>46340</v>
      </c>
      <c r="T2085" s="119"/>
      <c r="U2085" s="119">
        <v>46340</v>
      </c>
      <c r="V2085" s="94"/>
      <c r="W2085" s="94"/>
      <c r="X2085" s="94"/>
      <c r="Y2085" s="119">
        <v>46321</v>
      </c>
      <c r="Z2085" s="94"/>
      <c r="AA2085" s="120"/>
      <c r="AB2085" s="120"/>
      <c r="AC2085" s="120"/>
      <c r="AD2085" s="120"/>
      <c r="AE2085" s="120"/>
      <c r="AF2085" s="120"/>
      <c r="AG2085" s="94"/>
      <c r="AH2085" s="120"/>
      <c r="AI2085" s="94"/>
      <c r="AJ2085" s="94" t="s">
        <v>305</v>
      </c>
      <c r="AK2085" s="94" t="s">
        <v>756</v>
      </c>
      <c r="AL2085" s="94">
        <v>140</v>
      </c>
      <c r="AM2085" s="94" t="str">
        <f>TRIM(AJ2085)&amp;TRIM(AL2085)&amp;TRIM(AK2085)</f>
      </c>
      <c r="AN2085" s="116">
        <v>0</v>
      </c>
      <c r="AO2085" s="116" t="inlineStr">
        <is>
          <t>#NA</t>
        </is>
      </c>
      <c r="AP2085" s="116">
        <f>SUMIFS(M:M,AM:AM,AM2085)+SUMIFS(O:O,AM:AM,AM2085)</f>
      </c>
      <c r="AQ2085" s="116">
        <f>SUMIFS(L:L,AM:AM,AM2085)</f>
      </c>
      <c r="AR2085" s="116">
        <f>AQ2085-AP2085</f>
      </c>
      <c r="AS2085" s="94" t="str">
        <f>IF(AN2085&gt;=AQ2085,"ok","ck")</f>
      </c>
      <c r="AT2085" s="116">
        <f>-P2085</f>
      </c>
      <c r="AU2085" s="115">
        <f>IF(SUMIFS(AT:AT,AM:AM,AM2085)&gt;AO2085,(SUMIFS(AT:AT,AM:AM,AM2085)-AO2085))</f>
      </c>
      <c r="AV2085" s="116">
        <v>0</v>
      </c>
      <c r="AW2085" s="121">
        <v>0.965</v>
      </c>
      <c r="AX2085" s="115">
        <f>AN2085-AP2085</f>
      </c>
    </row>
    <row r="2086" spans="1:50" ht="15" hidden="1" customHeight="1" x14ac:dyDescent="0.3">
      <c r="A2086" s="94" t="s">
        <v>268</v>
      </c>
      <c r="B2086" s="94"/>
      <c r="C2086" s="94"/>
      <c r="D2086" s="94"/>
      <c r="E2086" s="94"/>
      <c r="F2086" s="94"/>
      <c r="G2086" s="112">
        <f>AU2086</f>
      </c>
      <c r="H2086" s="113"/>
      <c r="I2086" s="94" t="s">
        <v>390</v>
      </c>
      <c r="J2086" s="94" t="s">
        <v>405</v>
      </c>
      <c r="K2086" s="114">
        <f>P2086/3</f>
      </c>
      <c r="L2086" s="115">
        <v>976</v>
      </c>
      <c r="M2086" s="116"/>
      <c r="N2086" s="117">
        <f>M2086-L2086</f>
      </c>
      <c r="O2086" s="112"/>
      <c r="P2086" s="118">
        <f>N2086+O2086</f>
      </c>
      <c r="Q2086" s="94" t="s">
        <v>305</v>
      </c>
      <c r="R2086" s="94" t="s">
        <v>392</v>
      </c>
      <c r="S2086" s="119">
        <v>46340</v>
      </c>
      <c r="T2086" s="119"/>
      <c r="U2086" s="119">
        <v>46340</v>
      </c>
      <c r="V2086" s="94"/>
      <c r="W2086" s="94"/>
      <c r="X2086" s="94"/>
      <c r="Y2086" s="119">
        <v>46320</v>
      </c>
      <c r="Z2086" s="94"/>
      <c r="AA2086" s="120"/>
      <c r="AB2086" s="120"/>
      <c r="AC2086" s="120"/>
      <c r="AD2086" s="120"/>
      <c r="AE2086" s="120"/>
      <c r="AF2086" s="120"/>
      <c r="AG2086" s="94"/>
      <c r="AH2086" s="120"/>
      <c r="AI2086" s="94"/>
      <c r="AJ2086" s="94" t="s">
        <v>305</v>
      </c>
      <c r="AK2086" s="94" t="s">
        <v>756</v>
      </c>
      <c r="AL2086" s="94">
        <v>140</v>
      </c>
      <c r="AM2086" s="94" t="str">
        <f>TRIM(AJ2086)&amp;TRIM(AL2086)&amp;TRIM(AK2086)</f>
      </c>
      <c r="AN2086" s="116">
        <v>0</v>
      </c>
      <c r="AO2086" s="116" t="inlineStr">
        <is>
          <t>#NA</t>
        </is>
      </c>
      <c r="AP2086" s="116">
        <f>SUMIFS(M:M,AM:AM,AM2086)+SUMIFS(O:O,AM:AM,AM2086)</f>
      </c>
      <c r="AQ2086" s="116">
        <f>SUMIFS(L:L,AM:AM,AM2086)</f>
      </c>
      <c r="AR2086" s="116">
        <f>AQ2086-AP2086</f>
      </c>
      <c r="AS2086" s="94" t="str">
        <f>IF(AN2086&gt;=AQ2086,"ok","ck")</f>
      </c>
      <c r="AT2086" s="116">
        <f>-P2086</f>
      </c>
      <c r="AU2086" s="115">
        <f>IF(SUMIFS(AT:AT,AM:AM,AM2086)&gt;AO2086,(SUMIFS(AT:AT,AM:AM,AM2086)-AO2086))</f>
      </c>
      <c r="AV2086" s="116">
        <v>0</v>
      </c>
      <c r="AW2086" s="121">
        <v>0.965</v>
      </c>
      <c r="AX2086" s="115">
        <f>AN2086-AP2086</f>
      </c>
    </row>
    <row r="2087" spans="1:50" ht="15" hidden="1" customHeight="1" x14ac:dyDescent="0.3">
      <c r="A2087" s="94" t="s">
        <v>268</v>
      </c>
      <c r="B2087" s="94"/>
      <c r="C2087" s="94"/>
      <c r="D2087" s="94"/>
      <c r="E2087" s="94"/>
      <c r="F2087" s="94"/>
      <c r="G2087" s="112">
        <f>AU2087</f>
      </c>
      <c r="H2087" s="113"/>
      <c r="I2087" s="94" t="s">
        <v>390</v>
      </c>
      <c r="J2087" s="94" t="s">
        <v>405</v>
      </c>
      <c r="K2087" s="114">
        <f>P2087/3</f>
      </c>
      <c r="L2087" s="115">
        <v>366</v>
      </c>
      <c r="M2087" s="116"/>
      <c r="N2087" s="117">
        <f>M2087-L2087</f>
      </c>
      <c r="O2087" s="112"/>
      <c r="P2087" s="118">
        <f>N2087+O2087</f>
      </c>
      <c r="Q2087" s="94" t="s">
        <v>305</v>
      </c>
      <c r="R2087" s="94" t="s">
        <v>392</v>
      </c>
      <c r="S2087" s="119">
        <v>46326</v>
      </c>
      <c r="T2087" s="119"/>
      <c r="U2087" s="119">
        <v>46326</v>
      </c>
      <c r="V2087" s="94"/>
      <c r="W2087" s="94"/>
      <c r="X2087" s="94"/>
      <c r="Y2087" s="119">
        <v>46326</v>
      </c>
      <c r="Z2087" s="94"/>
      <c r="AA2087" s="120"/>
      <c r="AB2087" s="120"/>
      <c r="AC2087" s="120"/>
      <c r="AD2087" s="120"/>
      <c r="AE2087" s="120"/>
      <c r="AF2087" s="120"/>
      <c r="AG2087" s="94"/>
      <c r="AH2087" s="120"/>
      <c r="AI2087" s="94"/>
      <c r="AJ2087" s="94" t="s">
        <v>305</v>
      </c>
      <c r="AK2087" s="94" t="s">
        <v>756</v>
      </c>
      <c r="AL2087" s="94">
        <v>140</v>
      </c>
      <c r="AM2087" s="94" t="str">
        <f>TRIM(AJ2087)&amp;TRIM(AL2087)&amp;TRIM(AK2087)</f>
      </c>
      <c r="AN2087" s="116">
        <v>0</v>
      </c>
      <c r="AO2087" s="116" t="inlineStr">
        <is>
          <t>#NA</t>
        </is>
      </c>
      <c r="AP2087" s="116">
        <f>SUMIFS(M:M,AM:AM,AM2087)+SUMIFS(O:O,AM:AM,AM2087)</f>
      </c>
      <c r="AQ2087" s="116">
        <f>SUMIFS(L:L,AM:AM,AM2087)</f>
      </c>
      <c r="AR2087" s="116">
        <f>AQ2087-AP2087</f>
      </c>
      <c r="AS2087" s="94" t="str">
        <f>IF(AN2087&gt;=AQ2087,"ok","ck")</f>
      </c>
      <c r="AT2087" s="116">
        <f>-P2087</f>
      </c>
      <c r="AU2087" s="115">
        <f>IF(SUMIFS(AT:AT,AM:AM,AM2087)&gt;AO2087,(SUMIFS(AT:AT,AM:AM,AM2087)-AO2087))</f>
      </c>
      <c r="AV2087" s="116">
        <v>0</v>
      </c>
      <c r="AW2087" s="121">
        <v>0.965</v>
      </c>
      <c r="AX2087" s="115">
        <f>AN2087-AP2087</f>
      </c>
    </row>
    <row r="2088" spans="1:50" ht="15" hidden="1" customHeight="1" x14ac:dyDescent="0.3">
      <c r="A2088" s="94" t="s">
        <v>268</v>
      </c>
      <c r="B2088" s="94"/>
      <c r="C2088" s="94"/>
      <c r="D2088" s="94"/>
      <c r="E2088" s="94"/>
      <c r="F2088" s="94"/>
      <c r="G2088" s="112">
        <f>AU2088</f>
      </c>
      <c r="H2088" s="113"/>
      <c r="I2088" s="94" t="s">
        <v>390</v>
      </c>
      <c r="J2088" s="94" t="s">
        <v>405</v>
      </c>
      <c r="K2088" s="114">
        <f>P2088/3</f>
      </c>
      <c r="L2088" s="115">
        <v>366</v>
      </c>
      <c r="M2088" s="116"/>
      <c r="N2088" s="117">
        <f>M2088-L2088</f>
      </c>
      <c r="O2088" s="112"/>
      <c r="P2088" s="118">
        <f>N2088+O2088</f>
      </c>
      <c r="Q2088" s="94" t="s">
        <v>305</v>
      </c>
      <c r="R2088" s="94" t="s">
        <v>392</v>
      </c>
      <c r="S2088" s="119">
        <v>46340</v>
      </c>
      <c r="T2088" s="119"/>
      <c r="U2088" s="119">
        <v>46340</v>
      </c>
      <c r="V2088" s="94"/>
      <c r="W2088" s="94"/>
      <c r="X2088" s="94"/>
      <c r="Y2088" s="119">
        <v>46329</v>
      </c>
      <c r="Z2088" s="94"/>
      <c r="AA2088" s="120"/>
      <c r="AB2088" s="120"/>
      <c r="AC2088" s="120"/>
      <c r="AD2088" s="120"/>
      <c r="AE2088" s="120"/>
      <c r="AF2088" s="120"/>
      <c r="AG2088" s="94"/>
      <c r="AH2088" s="120"/>
      <c r="AI2088" s="94"/>
      <c r="AJ2088" s="94" t="s">
        <v>305</v>
      </c>
      <c r="AK2088" s="94" t="s">
        <v>756</v>
      </c>
      <c r="AL2088" s="94">
        <v>140</v>
      </c>
      <c r="AM2088" s="94" t="str">
        <f>TRIM(AJ2088)&amp;TRIM(AL2088)&amp;TRIM(AK2088)</f>
      </c>
      <c r="AN2088" s="116">
        <v>0</v>
      </c>
      <c r="AO2088" s="116" t="inlineStr">
        <is>
          <t>#NA</t>
        </is>
      </c>
      <c r="AP2088" s="116">
        <f>SUMIFS(M:M,AM:AM,AM2088)+SUMIFS(O:O,AM:AM,AM2088)</f>
      </c>
      <c r="AQ2088" s="116">
        <f>SUMIFS(L:L,AM:AM,AM2088)</f>
      </c>
      <c r="AR2088" s="116">
        <f>AQ2088-AP2088</f>
      </c>
      <c r="AS2088" s="94" t="str">
        <f>IF(AN2088&gt;=AQ2088,"ok","ck")</f>
      </c>
      <c r="AT2088" s="116">
        <f>-P2088</f>
      </c>
      <c r="AU2088" s="115">
        <f>IF(SUMIFS(AT:AT,AM:AM,AM2088)&gt;AO2088,(SUMIFS(AT:AT,AM:AM,AM2088)-AO2088))</f>
      </c>
      <c r="AV2088" s="116">
        <v>0</v>
      </c>
      <c r="AW2088" s="121">
        <v>0.965</v>
      </c>
      <c r="AX2088" s="115">
        <f>AN2088-AP2088</f>
      </c>
    </row>
    <row r="2089" spans="1:50" ht="15" hidden="1" customHeight="1" x14ac:dyDescent="0.3">
      <c r="A2089" s="94" t="s">
        <v>268</v>
      </c>
      <c r="B2089" s="94"/>
      <c r="C2089" s="94"/>
      <c r="D2089" s="94"/>
      <c r="E2089" s="94"/>
      <c r="F2089" s="94"/>
      <c r="G2089" s="112">
        <f>AU2089</f>
      </c>
      <c r="H2089" s="113"/>
      <c r="I2089" s="94" t="s">
        <v>390</v>
      </c>
      <c r="J2089" s="94" t="s">
        <v>405</v>
      </c>
      <c r="K2089" s="114">
        <f>P2089/3</f>
      </c>
      <c r="L2089" s="115">
        <v>1.246</v>
      </c>
      <c r="M2089" s="116"/>
      <c r="N2089" s="117">
        <f>M2089-L2089</f>
      </c>
      <c r="O2089" s="112"/>
      <c r="P2089" s="118">
        <f>N2089+O2089</f>
      </c>
      <c r="Q2089" s="94" t="s">
        <v>305</v>
      </c>
      <c r="R2089" s="94" t="s">
        <v>392</v>
      </c>
      <c r="S2089" s="119">
        <v>46340</v>
      </c>
      <c r="T2089" s="119"/>
      <c r="U2089" s="119">
        <v>46340</v>
      </c>
      <c r="V2089" s="94"/>
      <c r="W2089" s="94"/>
      <c r="X2089" s="94"/>
      <c r="Y2089" s="119">
        <v>46322</v>
      </c>
      <c r="Z2089" s="94"/>
      <c r="AA2089" s="120"/>
      <c r="AB2089" s="120"/>
      <c r="AC2089" s="120"/>
      <c r="AD2089" s="120"/>
      <c r="AE2089" s="120"/>
      <c r="AF2089" s="120"/>
      <c r="AG2089" s="94"/>
      <c r="AH2089" s="120"/>
      <c r="AI2089" s="94"/>
      <c r="AJ2089" s="94" t="s">
        <v>305</v>
      </c>
      <c r="AK2089" s="94" t="s">
        <v>756</v>
      </c>
      <c r="AL2089" s="94">
        <v>140</v>
      </c>
      <c r="AM2089" s="94" t="str">
        <f>TRIM(AJ2089)&amp;TRIM(AL2089)&amp;TRIM(AK2089)</f>
      </c>
      <c r="AN2089" s="116">
        <v>0</v>
      </c>
      <c r="AO2089" s="116" t="inlineStr">
        <is>
          <t>#NA</t>
        </is>
      </c>
      <c r="AP2089" s="116">
        <f>SUMIFS(M:M,AM:AM,AM2089)+SUMIFS(O:O,AM:AM,AM2089)</f>
      </c>
      <c r="AQ2089" s="116">
        <f>SUMIFS(L:L,AM:AM,AM2089)</f>
      </c>
      <c r="AR2089" s="116">
        <f>AQ2089-AP2089</f>
      </c>
      <c r="AS2089" s="94" t="str">
        <f>IF(AN2089&gt;=AQ2089,"ok","ck")</f>
      </c>
      <c r="AT2089" s="116">
        <f>-P2089</f>
      </c>
      <c r="AU2089" s="115">
        <f>IF(SUMIFS(AT:AT,AM:AM,AM2089)&gt;AO2089,(SUMIFS(AT:AT,AM:AM,AM2089)-AO2089))</f>
      </c>
      <c r="AV2089" s="116">
        <v>0</v>
      </c>
      <c r="AW2089" s="121">
        <v>0.965</v>
      </c>
      <c r="AX2089" s="115">
        <f>AN2089-AP2089</f>
      </c>
    </row>
    <row r="2090" spans="1:50" ht="15" hidden="1" customHeight="1" x14ac:dyDescent="0.3">
      <c r="A2090" s="94" t="s">
        <v>268</v>
      </c>
      <c r="B2090" s="94"/>
      <c r="C2090" s="94"/>
      <c r="D2090" s="94"/>
      <c r="E2090" s="94"/>
      <c r="F2090" s="94"/>
      <c r="G2090" s="112">
        <f>AU2090</f>
      </c>
      <c r="H2090" s="113"/>
      <c r="I2090" s="94" t="s">
        <v>390</v>
      </c>
      <c r="J2090" s="94" t="s">
        <v>404</v>
      </c>
      <c r="K2090" s="114">
        <f>P2090/3</f>
      </c>
      <c r="L2090" s="115">
        <v>360</v>
      </c>
      <c r="M2090" s="116">
        <f>L2090</f>
      </c>
      <c r="N2090" s="117">
        <f>M2090-L2090</f>
      </c>
      <c r="O2090" s="112"/>
      <c r="P2090" s="118">
        <f>N2090+O2090</f>
      </c>
      <c r="Q2090" s="94" t="s">
        <v>305</v>
      </c>
      <c r="R2090" s="94" t="s">
        <v>392</v>
      </c>
      <c r="S2090" s="119">
        <v>46342</v>
      </c>
      <c r="T2090" s="119"/>
      <c r="U2090" s="119">
        <v>46342</v>
      </c>
      <c r="V2090" s="94"/>
      <c r="W2090" s="94"/>
      <c r="X2090" s="94"/>
      <c r="Y2090" s="119">
        <v>46329</v>
      </c>
      <c r="Z2090" s="94"/>
      <c r="AA2090" s="120"/>
      <c r="AB2090" s="120"/>
      <c r="AC2090" s="120"/>
      <c r="AD2090" s="120"/>
      <c r="AE2090" s="120"/>
      <c r="AF2090" s="120"/>
      <c r="AG2090" s="94"/>
      <c r="AH2090" s="120"/>
      <c r="AI2090" s="94"/>
      <c r="AJ2090" s="94" t="s">
        <v>305</v>
      </c>
      <c r="AK2090" s="94" t="s">
        <v>758</v>
      </c>
      <c r="AL2090" s="94">
        <v>140</v>
      </c>
      <c r="AM2090" s="94" t="str">
        <f>TRIM(AJ2090)&amp;TRIM(AL2090)&amp;TRIM(AK2090)</f>
      </c>
      <c r="AN2090" s="116">
        <v>2850.62</v>
      </c>
      <c r="AO2090" s="116">
        <v>-113.36</v>
      </c>
      <c r="AP2090" s="116">
        <f>SUMIFS(M:M,AM:AM,AM2090)+SUMIFS(O:O,AM:AM,AM2090)</f>
      </c>
      <c r="AQ2090" s="116">
        <f>SUMIFS(L:L,AM:AM,AM2090)</f>
      </c>
      <c r="AR2090" s="116">
        <f>AQ2090-AP2090</f>
      </c>
      <c r="AS2090" s="94" t="str">
        <f>IF(AN2090&gt;=AQ2090,"ok","ck")</f>
      </c>
      <c r="AT2090" s="116">
        <f>-P2090</f>
      </c>
      <c r="AU2090" s="115">
        <f>IF(SUMIFS(AT:AT,AM:AM,AM2090)&gt;AO2090,(SUMIFS(AT:AT,AM:AM,AM2090)-AO2090))</f>
      </c>
      <c r="AV2090" s="116">
        <v>2850.62</v>
      </c>
      <c r="AW2090" s="121">
        <v>1.055</v>
      </c>
      <c r="AX2090" s="115">
        <f>AN2090-AP2090</f>
      </c>
    </row>
    <row r="2091" spans="1:50" ht="15" hidden="1" customHeight="1" x14ac:dyDescent="0.3">
      <c r="A2091" s="94" t="s">
        <v>268</v>
      </c>
      <c r="B2091" s="94"/>
      <c r="C2091" s="94"/>
      <c r="D2091" s="94"/>
      <c r="E2091" s="94"/>
      <c r="F2091" s="94"/>
      <c r="G2091" s="112">
        <f>AU2091</f>
      </c>
      <c r="H2091" s="113"/>
      <c r="I2091" s="94" t="s">
        <v>390</v>
      </c>
      <c r="J2091" s="94" t="s">
        <v>404</v>
      </c>
      <c r="K2091" s="114">
        <f>P2091/3</f>
      </c>
      <c r="L2091" s="115">
        <v>1.1739999999999999</v>
      </c>
      <c r="M2091" s="116">
        <f>L2091</f>
      </c>
      <c r="N2091" s="117">
        <f>M2091-L2091</f>
      </c>
      <c r="O2091" s="112"/>
      <c r="P2091" s="118">
        <f>N2091+O2091</f>
      </c>
      <c r="Q2091" s="94" t="s">
        <v>305</v>
      </c>
      <c r="R2091" s="94" t="s">
        <v>392</v>
      </c>
      <c r="S2091" s="119">
        <v>46322</v>
      </c>
      <c r="T2091" s="119"/>
      <c r="U2091" s="119">
        <v>46322</v>
      </c>
      <c r="V2091" s="94"/>
      <c r="W2091" s="94"/>
      <c r="X2091" s="94"/>
      <c r="Y2091" s="119">
        <v>46322</v>
      </c>
      <c r="Z2091" s="94"/>
      <c r="AA2091" s="120"/>
      <c r="AB2091" s="120"/>
      <c r="AC2091" s="120"/>
      <c r="AD2091" s="120"/>
      <c r="AE2091" s="120"/>
      <c r="AF2091" s="120"/>
      <c r="AG2091" s="94"/>
      <c r="AH2091" s="120"/>
      <c r="AI2091" s="94"/>
      <c r="AJ2091" s="94" t="s">
        <v>305</v>
      </c>
      <c r="AK2091" s="94" t="s">
        <v>758</v>
      </c>
      <c r="AL2091" s="94">
        <v>140</v>
      </c>
      <c r="AM2091" s="94" t="str">
        <f>TRIM(AJ2091)&amp;TRIM(AL2091)&amp;TRIM(AK2091)</f>
      </c>
      <c r="AN2091" s="116">
        <v>2850.62</v>
      </c>
      <c r="AO2091" s="116">
        <v>-113.36</v>
      </c>
      <c r="AP2091" s="116">
        <f>SUMIFS(M:M,AM:AM,AM2091)+SUMIFS(O:O,AM:AM,AM2091)</f>
      </c>
      <c r="AQ2091" s="116">
        <f>SUMIFS(L:L,AM:AM,AM2091)</f>
      </c>
      <c r="AR2091" s="116">
        <f>AQ2091-AP2091</f>
      </c>
      <c r="AS2091" s="94" t="str">
        <f>IF(AN2091&gt;=AQ2091,"ok","ck")</f>
      </c>
      <c r="AT2091" s="116">
        <f>-P2091</f>
      </c>
      <c r="AU2091" s="115">
        <f>IF(SUMIFS(AT:AT,AM:AM,AM2091)&gt;AO2091,(SUMIFS(AT:AT,AM:AM,AM2091)-AO2091))</f>
      </c>
      <c r="AV2091" s="116">
        <v>2850.62</v>
      </c>
      <c r="AW2091" s="121">
        <v>1.055</v>
      </c>
      <c r="AX2091" s="115">
        <f>AN2091-AP2091</f>
      </c>
    </row>
    <row r="2092" spans="1:50" ht="15" hidden="1" customHeight="1" x14ac:dyDescent="0.3">
      <c r="A2092" s="94" t="s">
        <v>268</v>
      </c>
      <c r="B2092" s="94"/>
      <c r="C2092" s="94"/>
      <c r="D2092" s="94"/>
      <c r="E2092" s="94"/>
      <c r="F2092" s="94"/>
      <c r="G2092" s="112">
        <f>AU2092</f>
      </c>
      <c r="H2092" s="113"/>
      <c r="I2092" s="94" t="s">
        <v>390</v>
      </c>
      <c r="J2092" s="94" t="s">
        <v>399</v>
      </c>
      <c r="K2092" s="114">
        <f>P2092/3</f>
      </c>
      <c r="L2092" s="115">
        <v>755</v>
      </c>
      <c r="M2092" s="116">
        <f>L2092</f>
      </c>
      <c r="N2092" s="117">
        <f>M2092-L2092</f>
      </c>
      <c r="O2092" s="112"/>
      <c r="P2092" s="118">
        <f>N2092+O2092</f>
      </c>
      <c r="Q2092" s="94" t="s">
        <v>305</v>
      </c>
      <c r="R2092" s="94" t="s">
        <v>392</v>
      </c>
      <c r="S2092" s="119">
        <v>46336</v>
      </c>
      <c r="T2092" s="119"/>
      <c r="U2092" s="119">
        <v>46336</v>
      </c>
      <c r="V2092" s="94"/>
      <c r="W2092" s="94"/>
      <c r="X2092" s="94"/>
      <c r="Y2092" s="119">
        <v>46327</v>
      </c>
      <c r="Z2092" s="94"/>
      <c r="AA2092" s="120"/>
      <c r="AB2092" s="120"/>
      <c r="AC2092" s="120"/>
      <c r="AD2092" s="120"/>
      <c r="AE2092" s="120"/>
      <c r="AF2092" s="120"/>
      <c r="AG2092" s="94"/>
      <c r="AH2092" s="120"/>
      <c r="AI2092" s="94"/>
      <c r="AJ2092" s="94" t="s">
        <v>305</v>
      </c>
      <c r="AK2092" s="94" t="s">
        <v>758</v>
      </c>
      <c r="AL2092" s="94">
        <v>140</v>
      </c>
      <c r="AM2092" s="94" t="str">
        <f>TRIM(AJ2092)&amp;TRIM(AL2092)&amp;TRIM(AK2092)</f>
      </c>
      <c r="AN2092" s="116">
        <v>2850.62</v>
      </c>
      <c r="AO2092" s="116">
        <v>-113.36</v>
      </c>
      <c r="AP2092" s="116">
        <f>SUMIFS(M:M,AM:AM,AM2092)+SUMIFS(O:O,AM:AM,AM2092)</f>
      </c>
      <c r="AQ2092" s="116">
        <f>SUMIFS(L:L,AM:AM,AM2092)</f>
      </c>
      <c r="AR2092" s="116">
        <f>AQ2092-AP2092</f>
      </c>
      <c r="AS2092" s="94" t="str">
        <f>IF(AN2092&gt;=AQ2092,"ok","ck")</f>
      </c>
      <c r="AT2092" s="116">
        <f>-P2092</f>
      </c>
      <c r="AU2092" s="115">
        <f>IF(SUMIFS(AT:AT,AM:AM,AM2092)&gt;AO2092,(SUMIFS(AT:AT,AM:AM,AM2092)-AO2092))</f>
      </c>
      <c r="AV2092" s="116">
        <v>2850.62</v>
      </c>
      <c r="AW2092" s="121">
        <v>1.055</v>
      </c>
      <c r="AX2092" s="115">
        <f>AN2092-AP2092</f>
      </c>
    </row>
    <row r="2093" spans="1:50" ht="15" hidden="1" customHeight="1" x14ac:dyDescent="0.3">
      <c r="A2093" s="94" t="s">
        <v>268</v>
      </c>
      <c r="B2093" s="94"/>
      <c r="C2093" s="94"/>
      <c r="D2093" s="94"/>
      <c r="E2093" s="94"/>
      <c r="F2093" s="94"/>
      <c r="G2093" s="112">
        <f>AU2093</f>
      </c>
      <c r="H2093" s="113"/>
      <c r="I2093" s="94" t="s">
        <v>390</v>
      </c>
      <c r="J2093" s="94" t="s">
        <v>399</v>
      </c>
      <c r="K2093" s="114">
        <f>P2093/3</f>
      </c>
      <c r="L2093" s="115">
        <v>604</v>
      </c>
      <c r="M2093" s="116">
        <f>L2093</f>
      </c>
      <c r="N2093" s="117">
        <f>M2093-L2093</f>
      </c>
      <c r="O2093" s="112"/>
      <c r="P2093" s="118">
        <f>N2093+O2093</f>
      </c>
      <c r="Q2093" s="94" t="s">
        <v>305</v>
      </c>
      <c r="R2093" s="94" t="s">
        <v>392</v>
      </c>
      <c r="S2093" s="119">
        <v>46345</v>
      </c>
      <c r="T2093" s="119"/>
      <c r="U2093" s="119">
        <v>46345</v>
      </c>
      <c r="V2093" s="94"/>
      <c r="W2093" s="94"/>
      <c r="X2093" s="94"/>
      <c r="Y2093" s="119">
        <v>46345</v>
      </c>
      <c r="Z2093" s="94"/>
      <c r="AA2093" s="120"/>
      <c r="AB2093" s="120"/>
      <c r="AC2093" s="120"/>
      <c r="AD2093" s="120"/>
      <c r="AE2093" s="120"/>
      <c r="AF2093" s="120"/>
      <c r="AG2093" s="94"/>
      <c r="AH2093" s="120"/>
      <c r="AI2093" s="94"/>
      <c r="AJ2093" s="94" t="s">
        <v>305</v>
      </c>
      <c r="AK2093" s="94" t="s">
        <v>758</v>
      </c>
      <c r="AL2093" s="94">
        <v>140</v>
      </c>
      <c r="AM2093" s="94" t="str">
        <f>TRIM(AJ2093)&amp;TRIM(AL2093)&amp;TRIM(AK2093)</f>
      </c>
      <c r="AN2093" s="116">
        <v>2850.62</v>
      </c>
      <c r="AO2093" s="116">
        <v>-113.36</v>
      </c>
      <c r="AP2093" s="116">
        <f>SUMIFS(M:M,AM:AM,AM2093)+SUMIFS(O:O,AM:AM,AM2093)</f>
      </c>
      <c r="AQ2093" s="116">
        <f>SUMIFS(L:L,AM:AM,AM2093)</f>
      </c>
      <c r="AR2093" s="116">
        <f>AQ2093-AP2093</f>
      </c>
      <c r="AS2093" s="94" t="str">
        <f>IF(AN2093&gt;=AQ2093,"ok","ck")</f>
      </c>
      <c r="AT2093" s="116">
        <f>-P2093</f>
      </c>
      <c r="AU2093" s="115">
        <f>IF(SUMIFS(AT:AT,AM:AM,AM2093)&gt;AO2093,(SUMIFS(AT:AT,AM:AM,AM2093)-AO2093))</f>
      </c>
      <c r="AV2093" s="116">
        <v>2850.62</v>
      </c>
      <c r="AW2093" s="121">
        <v>1.055</v>
      </c>
      <c r="AX2093" s="115">
        <f>AN2093-AP2093</f>
      </c>
    </row>
    <row r="2094" spans="1:50" ht="15" hidden="1" customHeight="1" x14ac:dyDescent="0.3">
      <c r="A2094" s="94" t="s">
        <v>268</v>
      </c>
      <c r="B2094" s="94"/>
      <c r="C2094" s="94"/>
      <c r="D2094" s="94"/>
      <c r="E2094" s="94"/>
      <c r="F2094" s="94"/>
      <c r="G2094" s="112">
        <f>AU2094</f>
      </c>
      <c r="H2094" s="113"/>
      <c r="I2094" s="94" t="s">
        <v>390</v>
      </c>
      <c r="J2094" s="94" t="s">
        <v>399</v>
      </c>
      <c r="K2094" s="114">
        <f>P2094/3</f>
      </c>
      <c r="L2094" s="115">
        <v>128</v>
      </c>
      <c r="M2094" s="116">
        <f>L2094</f>
      </c>
      <c r="N2094" s="117">
        <f>M2094-L2094</f>
      </c>
      <c r="O2094" s="112"/>
      <c r="P2094" s="118">
        <f>N2094+O2094</f>
      </c>
      <c r="Q2094" s="94" t="s">
        <v>305</v>
      </c>
      <c r="R2094" s="94" t="s">
        <v>392</v>
      </c>
      <c r="S2094" s="119">
        <v>46336</v>
      </c>
      <c r="T2094" s="119"/>
      <c r="U2094" s="119">
        <v>46336</v>
      </c>
      <c r="V2094" s="94"/>
      <c r="W2094" s="94"/>
      <c r="X2094" s="94"/>
      <c r="Y2094" s="119">
        <v>46336</v>
      </c>
      <c r="Z2094" s="94"/>
      <c r="AA2094" s="120"/>
      <c r="AB2094" s="120"/>
      <c r="AC2094" s="120"/>
      <c r="AD2094" s="120"/>
      <c r="AE2094" s="120"/>
      <c r="AF2094" s="120"/>
      <c r="AG2094" s="94"/>
      <c r="AH2094" s="120"/>
      <c r="AI2094" s="94"/>
      <c r="AJ2094" s="94" t="s">
        <v>305</v>
      </c>
      <c r="AK2094" s="94" t="s">
        <v>758</v>
      </c>
      <c r="AL2094" s="94">
        <v>140</v>
      </c>
      <c r="AM2094" s="94" t="str">
        <f>TRIM(AJ2094)&amp;TRIM(AL2094)&amp;TRIM(AK2094)</f>
      </c>
      <c r="AN2094" s="116">
        <v>2850.62</v>
      </c>
      <c r="AO2094" s="116">
        <v>-113.36</v>
      </c>
      <c r="AP2094" s="116">
        <f>SUMIFS(M:M,AM:AM,AM2094)+SUMIFS(O:O,AM:AM,AM2094)</f>
      </c>
      <c r="AQ2094" s="116">
        <f>SUMIFS(L:L,AM:AM,AM2094)</f>
      </c>
      <c r="AR2094" s="116">
        <f>AQ2094-AP2094</f>
      </c>
      <c r="AS2094" s="94" t="str">
        <f>IF(AN2094&gt;=AQ2094,"ok","ck")</f>
      </c>
      <c r="AT2094" s="116">
        <f>-P2094</f>
      </c>
      <c r="AU2094" s="115">
        <f>IF(SUMIFS(AT:AT,AM:AM,AM2094)&gt;AO2094,(SUMIFS(AT:AT,AM:AM,AM2094)-AO2094))</f>
      </c>
      <c r="AV2094" s="116">
        <v>2850.62</v>
      </c>
      <c r="AW2094" s="121">
        <v>1.055</v>
      </c>
      <c r="AX2094" s="115">
        <f>AN2094-AP2094</f>
      </c>
    </row>
    <row r="2095" spans="1:50" ht="15" hidden="1" customHeight="1" x14ac:dyDescent="0.3">
      <c r="A2095" s="94" t="s">
        <v>60</v>
      </c>
      <c r="B2095" s="94"/>
      <c r="C2095" s="94"/>
      <c r="D2095" s="94"/>
      <c r="E2095" s="94"/>
      <c r="F2095" s="94"/>
      <c r="G2095" s="112">
        <f>AU2095</f>
      </c>
      <c r="H2095" s="113"/>
      <c r="I2095" s="94" t="s">
        <v>490</v>
      </c>
      <c r="J2095" s="94" t="s">
        <v>596</v>
      </c>
      <c r="K2095" s="114">
        <f>P2095/3</f>
      </c>
      <c r="L2095" s="115">
        <v>0</v>
      </c>
      <c r="M2095" s="116"/>
      <c r="N2095" s="117">
        <f>M2095-L2095</f>
      </c>
      <c r="O2095" s="112"/>
      <c r="P2095" s="118">
        <f>N2095+O2095</f>
      </c>
      <c r="Q2095" s="94" t="s">
        <v>792</v>
      </c>
      <c r="R2095" s="94" t="s">
        <v>392</v>
      </c>
      <c r="S2095" s="119">
        <v>46336</v>
      </c>
      <c r="T2095" s="119"/>
      <c r="U2095" s="119">
        <v>46336</v>
      </c>
      <c r="V2095" s="94"/>
      <c r="W2095" s="94"/>
      <c r="X2095" s="94"/>
      <c r="Y2095" s="119">
        <v>46336</v>
      </c>
      <c r="Z2095" s="94"/>
      <c r="AA2095" s="120"/>
      <c r="AB2095" s="120"/>
      <c r="AC2095" s="120"/>
      <c r="AD2095" s="120"/>
      <c r="AE2095" s="120"/>
      <c r="AF2095" s="120"/>
      <c r="AG2095" s="94"/>
      <c r="AH2095" s="120"/>
      <c r="AI2095" s="94"/>
      <c r="AJ2095" s="94" t="s">
        <v>792</v>
      </c>
      <c r="AK2095" s="94" t="s">
        <v>759</v>
      </c>
      <c r="AL2095" s="94">
        <v>140</v>
      </c>
      <c r="AM2095" s="94" t="str">
        <f>TRIM(AJ2095)&amp;TRIM(AL2095)&amp;TRIM(AK2095)</f>
      </c>
      <c r="AN2095" s="116">
        <v>0</v>
      </c>
      <c r="AO2095" s="116" t="inlineStr">
        <is>
          <t>#NA</t>
        </is>
      </c>
      <c r="AP2095" s="116">
        <f>SUMIFS(M:M,AM:AM,AM2095)+SUMIFS(O:O,AM:AM,AM2095)</f>
      </c>
      <c r="AQ2095" s="116">
        <f>SUMIFS(L:L,AM:AM,AM2095)</f>
      </c>
      <c r="AR2095" s="116">
        <f>AQ2095-AP2095</f>
      </c>
      <c r="AS2095" s="94" t="str">
        <f>IF(AN2095&gt;=AQ2095,"ok","ck")</f>
      </c>
      <c r="AT2095" s="116">
        <f>-P2095</f>
      </c>
      <c r="AU2095" s="115">
        <f>IF(SUMIFS(AT:AT,AM:AM,AM2095)&gt;AO2095,(SUMIFS(AT:AT,AM:AM,AM2095)-AO2095))</f>
      </c>
      <c r="AV2095" s="116">
        <v>0</v>
      </c>
      <c r="AW2095" s="121">
        <v>1.023</v>
      </c>
      <c r="AX2095" s="115">
        <f>AN2095-AP2095</f>
      </c>
    </row>
    <row r="2096" spans="1:50" ht="15" hidden="1" customHeight="1" x14ac:dyDescent="0.3">
      <c r="A2096" s="94" t="s">
        <v>60</v>
      </c>
      <c r="B2096" s="94"/>
      <c r="C2096" s="94"/>
      <c r="D2096" s="94"/>
      <c r="E2096" s="94"/>
      <c r="F2096" s="94"/>
      <c r="G2096" s="112">
        <f>AU2096</f>
      </c>
      <c r="H2096" s="113"/>
      <c r="I2096" s="94" t="s">
        <v>490</v>
      </c>
      <c r="J2096" s="94" t="s">
        <v>596</v>
      </c>
      <c r="K2096" s="114">
        <f>P2096/3</f>
      </c>
      <c r="L2096" s="115">
        <v>0</v>
      </c>
      <c r="M2096" s="116"/>
      <c r="N2096" s="117">
        <f>M2096-L2096</f>
      </c>
      <c r="O2096" s="112"/>
      <c r="P2096" s="118">
        <f>N2096+O2096</f>
      </c>
      <c r="Q2096" s="94" t="s">
        <v>792</v>
      </c>
      <c r="R2096" s="94" t="s">
        <v>392</v>
      </c>
      <c r="S2096" s="119">
        <v>46331</v>
      </c>
      <c r="T2096" s="119"/>
      <c r="U2096" s="119">
        <v>46331</v>
      </c>
      <c r="V2096" s="94"/>
      <c r="W2096" s="94"/>
      <c r="X2096" s="94"/>
      <c r="Y2096" s="119">
        <v>46331</v>
      </c>
      <c r="Z2096" s="94"/>
      <c r="AA2096" s="120"/>
      <c r="AB2096" s="120"/>
      <c r="AC2096" s="120"/>
      <c r="AD2096" s="120"/>
      <c r="AE2096" s="120"/>
      <c r="AF2096" s="120"/>
      <c r="AG2096" s="94"/>
      <c r="AH2096" s="120"/>
      <c r="AI2096" s="94"/>
      <c r="AJ2096" s="94" t="s">
        <v>792</v>
      </c>
      <c r="AK2096" s="94" t="s">
        <v>759</v>
      </c>
      <c r="AL2096" s="94">
        <v>140</v>
      </c>
      <c r="AM2096" s="94" t="str">
        <f>TRIM(AJ2096)&amp;TRIM(AL2096)&amp;TRIM(AK2096)</f>
      </c>
      <c r="AN2096" s="116">
        <v>0</v>
      </c>
      <c r="AO2096" s="116" t="inlineStr">
        <is>
          <t>#NA</t>
        </is>
      </c>
      <c r="AP2096" s="116">
        <f>SUMIFS(M:M,AM:AM,AM2096)+SUMIFS(O:O,AM:AM,AM2096)</f>
      </c>
      <c r="AQ2096" s="116">
        <f>SUMIFS(L:L,AM:AM,AM2096)</f>
      </c>
      <c r="AR2096" s="116">
        <f>AQ2096-AP2096</f>
      </c>
      <c r="AS2096" s="94" t="str">
        <f>IF(AN2096&gt;=AQ2096,"ok","ck")</f>
      </c>
      <c r="AT2096" s="116">
        <f>-P2096</f>
      </c>
      <c r="AU2096" s="115">
        <f>IF(SUMIFS(AT:AT,AM:AM,AM2096)&gt;AO2096,(SUMIFS(AT:AT,AM:AM,AM2096)-AO2096))</f>
      </c>
      <c r="AV2096" s="116">
        <v>0</v>
      </c>
      <c r="AW2096" s="121">
        <v>1.023</v>
      </c>
      <c r="AX2096" s="115">
        <f>AN2096-AP2096</f>
      </c>
    </row>
    <row r="2097" spans="1:50" ht="15" hidden="1" customHeight="1" x14ac:dyDescent="0.3">
      <c r="A2097" s="94" t="s">
        <v>60</v>
      </c>
      <c r="B2097" s="94"/>
      <c r="C2097" s="94"/>
      <c r="D2097" s="94"/>
      <c r="E2097" s="94"/>
      <c r="F2097" s="94"/>
      <c r="G2097" s="112">
        <f>AU2097</f>
      </c>
      <c r="H2097" s="113"/>
      <c r="I2097" s="94" t="s">
        <v>490</v>
      </c>
      <c r="J2097" s="94" t="s">
        <v>596</v>
      </c>
      <c r="K2097" s="114">
        <f>P2097/3</f>
      </c>
      <c r="L2097" s="115">
        <v>0</v>
      </c>
      <c r="M2097" s="116"/>
      <c r="N2097" s="117">
        <f>M2097-L2097</f>
      </c>
      <c r="O2097" s="112"/>
      <c r="P2097" s="118">
        <f>N2097+O2097</f>
      </c>
      <c r="Q2097" s="94" t="s">
        <v>792</v>
      </c>
      <c r="R2097" s="94" t="s">
        <v>392</v>
      </c>
      <c r="S2097" s="119">
        <v>46336</v>
      </c>
      <c r="T2097" s="119"/>
      <c r="U2097" s="119">
        <v>46336</v>
      </c>
      <c r="V2097" s="94"/>
      <c r="W2097" s="94"/>
      <c r="X2097" s="94"/>
      <c r="Y2097" s="119">
        <v>46336</v>
      </c>
      <c r="Z2097" s="94"/>
      <c r="AA2097" s="120"/>
      <c r="AB2097" s="120"/>
      <c r="AC2097" s="120"/>
      <c r="AD2097" s="120"/>
      <c r="AE2097" s="120"/>
      <c r="AF2097" s="120"/>
      <c r="AG2097" s="94"/>
      <c r="AH2097" s="120"/>
      <c r="AI2097" s="94"/>
      <c r="AJ2097" s="94" t="s">
        <v>792</v>
      </c>
      <c r="AK2097" s="94" t="s">
        <v>759</v>
      </c>
      <c r="AL2097" s="94">
        <v>140</v>
      </c>
      <c r="AM2097" s="94" t="str">
        <f>TRIM(AJ2097)&amp;TRIM(AL2097)&amp;TRIM(AK2097)</f>
      </c>
      <c r="AN2097" s="116">
        <v>0</v>
      </c>
      <c r="AO2097" s="116" t="inlineStr">
        <is>
          <t>#NA</t>
        </is>
      </c>
      <c r="AP2097" s="116">
        <f>SUMIFS(M:M,AM:AM,AM2097)+SUMIFS(O:O,AM:AM,AM2097)</f>
      </c>
      <c r="AQ2097" s="116">
        <f>SUMIFS(L:L,AM:AM,AM2097)</f>
      </c>
      <c r="AR2097" s="116">
        <f>AQ2097-AP2097</f>
      </c>
      <c r="AS2097" s="94" t="str">
        <f>IF(AN2097&gt;=AQ2097,"ok","ck")</f>
      </c>
      <c r="AT2097" s="116">
        <f>-P2097</f>
      </c>
      <c r="AU2097" s="115">
        <f>IF(SUMIFS(AT:AT,AM:AM,AM2097)&gt;AO2097,(SUMIFS(AT:AT,AM:AM,AM2097)-AO2097))</f>
      </c>
      <c r="AV2097" s="116">
        <v>0</v>
      </c>
      <c r="AW2097" s="121">
        <v>1.023</v>
      </c>
      <c r="AX2097" s="115">
        <f>AN2097-AP2097</f>
      </c>
    </row>
    <row r="2098" spans="1:50" ht="15" hidden="1" customHeight="1" x14ac:dyDescent="0.3">
      <c r="A2098" s="94" t="s">
        <v>151</v>
      </c>
      <c r="B2098" s="94"/>
      <c r="C2098" s="94"/>
      <c r="D2098" s="94"/>
      <c r="E2098" s="94"/>
      <c r="F2098" s="94"/>
      <c r="G2098" s="112">
        <f>AU2098</f>
      </c>
      <c r="H2098" s="113"/>
      <c r="I2098" s="94" t="s">
        <v>442</v>
      </c>
      <c r="J2098" s="94" t="s">
        <v>444</v>
      </c>
      <c r="K2098" s="114">
        <f>P2098/3</f>
      </c>
      <c r="L2098" s="115">
        <v>0.151</v>
      </c>
      <c r="M2098" s="116"/>
      <c r="N2098" s="117">
        <f>M2098-L2098</f>
      </c>
      <c r="O2098" s="112"/>
      <c r="P2098" s="118">
        <f>N2098+O2098</f>
      </c>
      <c r="Q2098" s="94" t="s">
        <v>197</v>
      </c>
      <c r="R2098" s="94" t="s">
        <v>392</v>
      </c>
      <c r="S2098" s="119">
        <v>46320</v>
      </c>
      <c r="T2098" s="119"/>
      <c r="U2098" s="119">
        <v>46320</v>
      </c>
      <c r="V2098" s="94"/>
      <c r="W2098" s="94"/>
      <c r="X2098" s="94"/>
      <c r="Y2098" s="119">
        <v>46320</v>
      </c>
      <c r="Z2098" s="94"/>
      <c r="AA2098" s="120"/>
      <c r="AB2098" s="120"/>
      <c r="AC2098" s="120"/>
      <c r="AD2098" s="120"/>
      <c r="AE2098" s="120"/>
      <c r="AF2098" s="120"/>
      <c r="AG2098" s="94"/>
      <c r="AH2098" s="120"/>
      <c r="AI2098" s="94"/>
      <c r="AJ2098" s="94" t="s">
        <v>197</v>
      </c>
      <c r="AK2098" s="94" t="s">
        <v>751</v>
      </c>
      <c r="AL2098" s="94">
        <v>160</v>
      </c>
      <c r="AM2098" s="94" t="str">
        <f>TRIM(AJ2098)&amp;TRIM(AL2098)&amp;TRIM(AK2098)</f>
      </c>
      <c r="AN2098" s="116">
        <v>0</v>
      </c>
      <c r="AO2098" s="116" t="inlineStr">
        <is>
          <t>#NA</t>
        </is>
      </c>
      <c r="AP2098" s="116">
        <f>SUMIFS(M:M,AM:AM,AM2098)+SUMIFS(O:O,AM:AM,AM2098)</f>
      </c>
      <c r="AQ2098" s="116">
        <f>SUMIFS(L:L,AM:AM,AM2098)</f>
      </c>
      <c r="AR2098" s="116">
        <f>AQ2098-AP2098</f>
      </c>
      <c r="AS2098" s="94" t="str">
        <f>IF(AN2098&gt;=AQ2098,"ok","ck")</f>
      </c>
      <c r="AT2098" s="116">
        <f>-P2098</f>
      </c>
      <c r="AU2098" s="115">
        <f>IF(SUMIFS(AT:AT,AM:AM,AM2098)&gt;AO2098,(SUMIFS(AT:AT,AM:AM,AM2098)-AO2098))</f>
      </c>
      <c r="AV2098" s="116">
        <v>0</v>
      </c>
      <c r="AW2098" s="121">
        <v>0.895</v>
      </c>
      <c r="AX2098" s="115">
        <f>AN2098-AP2098</f>
      </c>
    </row>
    <row r="2099" spans="1:50" ht="15" hidden="1" customHeight="1" x14ac:dyDescent="0.3">
      <c r="A2099" s="94" t="s">
        <v>151</v>
      </c>
      <c r="B2099" s="94"/>
      <c r="C2099" s="94"/>
      <c r="D2099" s="94"/>
      <c r="E2099" s="94"/>
      <c r="F2099" s="94"/>
      <c r="G2099" s="112">
        <f>AU2099</f>
      </c>
      <c r="H2099" s="113"/>
      <c r="I2099" s="94" t="s">
        <v>442</v>
      </c>
      <c r="J2099" s="94" t="s">
        <v>444</v>
      </c>
      <c r="K2099" s="114">
        <f>P2099/3</f>
      </c>
      <c r="L2099" s="115">
        <v>0</v>
      </c>
      <c r="M2099" s="116"/>
      <c r="N2099" s="117">
        <f>M2099-L2099</f>
      </c>
      <c r="O2099" s="112"/>
      <c r="P2099" s="118">
        <f>N2099+O2099</f>
      </c>
      <c r="Q2099" s="94" t="s">
        <v>197</v>
      </c>
      <c r="R2099" s="94" t="s">
        <v>392</v>
      </c>
      <c r="S2099" s="119">
        <v>46320</v>
      </c>
      <c r="T2099" s="119"/>
      <c r="U2099" s="119">
        <v>46320</v>
      </c>
      <c r="V2099" s="94"/>
      <c r="W2099" s="94"/>
      <c r="X2099" s="94"/>
      <c r="Y2099" s="119">
        <v>46320</v>
      </c>
      <c r="Z2099" s="94"/>
      <c r="AA2099" s="120"/>
      <c r="AB2099" s="120"/>
      <c r="AC2099" s="120"/>
      <c r="AD2099" s="120"/>
      <c r="AE2099" s="120"/>
      <c r="AF2099" s="120"/>
      <c r="AG2099" s="94"/>
      <c r="AH2099" s="120"/>
      <c r="AI2099" s="94"/>
      <c r="AJ2099" s="94" t="s">
        <v>197</v>
      </c>
      <c r="AK2099" s="94" t="s">
        <v>751</v>
      </c>
      <c r="AL2099" s="94">
        <v>160</v>
      </c>
      <c r="AM2099" s="94" t="str">
        <f>TRIM(AJ2099)&amp;TRIM(AL2099)&amp;TRIM(AK2099)</f>
      </c>
      <c r="AN2099" s="116">
        <v>0</v>
      </c>
      <c r="AO2099" s="116" t="inlineStr">
        <is>
          <t>#NA</t>
        </is>
      </c>
      <c r="AP2099" s="116">
        <f>SUMIFS(M:M,AM:AM,AM2099)+SUMIFS(O:O,AM:AM,AM2099)</f>
      </c>
      <c r="AQ2099" s="116">
        <f>SUMIFS(L:L,AM:AM,AM2099)</f>
      </c>
      <c r="AR2099" s="116">
        <f>AQ2099-AP2099</f>
      </c>
      <c r="AS2099" s="94" t="str">
        <f>IF(AN2099&gt;=AQ2099,"ok","ck")</f>
      </c>
      <c r="AT2099" s="116">
        <f>-P2099</f>
      </c>
      <c r="AU2099" s="115">
        <f>IF(SUMIFS(AT:AT,AM:AM,AM2099)&gt;AO2099,(SUMIFS(AT:AT,AM:AM,AM2099)-AO2099))</f>
      </c>
      <c r="AV2099" s="116">
        <v>0</v>
      </c>
      <c r="AW2099" s="121">
        <v>0.895</v>
      </c>
      <c r="AX2099" s="115">
        <f>AN2099-AP2099</f>
      </c>
    </row>
    <row r="2100" spans="1:50" ht="15" hidden="1" customHeight="1" x14ac:dyDescent="0.3">
      <c r="A2100" s="94" t="s">
        <v>151</v>
      </c>
      <c r="B2100" s="94"/>
      <c r="C2100" s="94"/>
      <c r="D2100" s="94"/>
      <c r="E2100" s="94"/>
      <c r="F2100" s="94"/>
      <c r="G2100" s="112">
        <f>AU2100</f>
      </c>
      <c r="H2100" s="113"/>
      <c r="I2100" s="94" t="s">
        <v>442</v>
      </c>
      <c r="J2100" s="94" t="s">
        <v>444</v>
      </c>
      <c r="K2100" s="114">
        <f>P2100/3</f>
      </c>
      <c r="L2100" s="115">
        <v>875.45299999999997</v>
      </c>
      <c r="M2100" s="116"/>
      <c r="N2100" s="117">
        <f>M2100-L2100</f>
      </c>
      <c r="O2100" s="112"/>
      <c r="P2100" s="118">
        <f>N2100+O2100</f>
      </c>
      <c r="Q2100" s="94" t="s">
        <v>197</v>
      </c>
      <c r="R2100" s="94" t="s">
        <v>392</v>
      </c>
      <c r="S2100" s="119">
        <v>46321</v>
      </c>
      <c r="T2100" s="119"/>
      <c r="U2100" s="119">
        <v>46321</v>
      </c>
      <c r="V2100" s="94"/>
      <c r="W2100" s="94"/>
      <c r="X2100" s="94"/>
      <c r="Y2100" s="119">
        <v>46321</v>
      </c>
      <c r="Z2100" s="94"/>
      <c r="AA2100" s="120"/>
      <c r="AB2100" s="120"/>
      <c r="AC2100" s="120"/>
      <c r="AD2100" s="120"/>
      <c r="AE2100" s="120"/>
      <c r="AF2100" s="120"/>
      <c r="AG2100" s="94"/>
      <c r="AH2100" s="120"/>
      <c r="AI2100" s="94"/>
      <c r="AJ2100" s="94" t="s">
        <v>197</v>
      </c>
      <c r="AK2100" s="94" t="s">
        <v>751</v>
      </c>
      <c r="AL2100" s="94">
        <v>160</v>
      </c>
      <c r="AM2100" s="94" t="str">
        <f>TRIM(AJ2100)&amp;TRIM(AL2100)&amp;TRIM(AK2100)</f>
      </c>
      <c r="AN2100" s="116">
        <v>0</v>
      </c>
      <c r="AO2100" s="116" t="inlineStr">
        <is>
          <t>#NA</t>
        </is>
      </c>
      <c r="AP2100" s="116">
        <f>SUMIFS(M:M,AM:AM,AM2100)+SUMIFS(O:O,AM:AM,AM2100)</f>
      </c>
      <c r="AQ2100" s="116">
        <f>SUMIFS(L:L,AM:AM,AM2100)</f>
      </c>
      <c r="AR2100" s="116">
        <f>AQ2100-AP2100</f>
      </c>
      <c r="AS2100" s="94" t="str">
        <f>IF(AN2100&gt;=AQ2100,"ok","ck")</f>
      </c>
      <c r="AT2100" s="116">
        <f>-P2100</f>
      </c>
      <c r="AU2100" s="115">
        <f>IF(SUMIFS(AT:AT,AM:AM,AM2100)&gt;AO2100,(SUMIFS(AT:AT,AM:AM,AM2100)-AO2100))</f>
      </c>
      <c r="AV2100" s="116">
        <v>0</v>
      </c>
      <c r="AW2100" s="121">
        <v>0.895</v>
      </c>
      <c r="AX2100" s="115">
        <f>AN2100-AP2100</f>
      </c>
    </row>
    <row r="2101" spans="1:50" ht="15" hidden="1" customHeight="1" x14ac:dyDescent="0.3">
      <c r="A2101" s="94" t="s">
        <v>151</v>
      </c>
      <c r="B2101" s="94"/>
      <c r="C2101" s="94"/>
      <c r="D2101" s="94"/>
      <c r="E2101" s="94"/>
      <c r="F2101" s="94"/>
      <c r="G2101" s="112">
        <f>AU2101</f>
      </c>
      <c r="H2101" s="113"/>
      <c r="I2101" s="94" t="s">
        <v>442</v>
      </c>
      <c r="J2101" s="94" t="s">
        <v>444</v>
      </c>
      <c r="K2101" s="114">
        <f>P2101/3</f>
      </c>
      <c r="L2101" s="115">
        <v>500.21199999999999</v>
      </c>
      <c r="M2101" s="116"/>
      <c r="N2101" s="117">
        <f>M2101-L2101</f>
      </c>
      <c r="O2101" s="112"/>
      <c r="P2101" s="118">
        <f>N2101+O2101</f>
      </c>
      <c r="Q2101" s="94" t="s">
        <v>197</v>
      </c>
      <c r="R2101" s="94" t="s">
        <v>392</v>
      </c>
      <c r="S2101" s="119">
        <v>46328</v>
      </c>
      <c r="T2101" s="119"/>
      <c r="U2101" s="119">
        <v>46328</v>
      </c>
      <c r="V2101" s="94"/>
      <c r="W2101" s="94"/>
      <c r="X2101" s="94"/>
      <c r="Y2101" s="119">
        <v>46328</v>
      </c>
      <c r="Z2101" s="94"/>
      <c r="AA2101" s="120"/>
      <c r="AB2101" s="120"/>
      <c r="AC2101" s="120"/>
      <c r="AD2101" s="120"/>
      <c r="AE2101" s="120"/>
      <c r="AF2101" s="120"/>
      <c r="AG2101" s="94"/>
      <c r="AH2101" s="120"/>
      <c r="AI2101" s="94"/>
      <c r="AJ2101" s="94" t="s">
        <v>197</v>
      </c>
      <c r="AK2101" s="94" t="s">
        <v>751</v>
      </c>
      <c r="AL2101" s="94">
        <v>160</v>
      </c>
      <c r="AM2101" s="94" t="str">
        <f>TRIM(AJ2101)&amp;TRIM(AL2101)&amp;TRIM(AK2101)</f>
      </c>
      <c r="AN2101" s="116">
        <v>0</v>
      </c>
      <c r="AO2101" s="116" t="inlineStr">
        <is>
          <t>#NA</t>
        </is>
      </c>
      <c r="AP2101" s="116">
        <f>SUMIFS(M:M,AM:AM,AM2101)+SUMIFS(O:O,AM:AM,AM2101)</f>
      </c>
      <c r="AQ2101" s="116">
        <f>SUMIFS(L:L,AM:AM,AM2101)</f>
      </c>
      <c r="AR2101" s="116">
        <f>AQ2101-AP2101</f>
      </c>
      <c r="AS2101" s="94" t="str">
        <f>IF(AN2101&gt;=AQ2101,"ok","ck")</f>
      </c>
      <c r="AT2101" s="116">
        <f>-P2101</f>
      </c>
      <c r="AU2101" s="115">
        <f>IF(SUMIFS(AT:AT,AM:AM,AM2101)&gt;AO2101,(SUMIFS(AT:AT,AM:AM,AM2101)-AO2101))</f>
      </c>
      <c r="AV2101" s="116">
        <v>0</v>
      </c>
      <c r="AW2101" s="121">
        <v>0.895</v>
      </c>
      <c r="AX2101" s="115">
        <f>AN2101-AP2101</f>
      </c>
    </row>
    <row r="2102" spans="1:50" ht="15" hidden="1" customHeight="1" x14ac:dyDescent="0.3">
      <c r="A2102" s="94" t="s">
        <v>268</v>
      </c>
      <c r="B2102" s="94"/>
      <c r="C2102" s="94"/>
      <c r="D2102" s="94"/>
      <c r="E2102" s="94"/>
      <c r="F2102" s="94"/>
      <c r="G2102" s="112">
        <f>AU2102</f>
      </c>
      <c r="H2102" s="113"/>
      <c r="I2102" s="94" t="s">
        <v>390</v>
      </c>
      <c r="J2102" s="94" t="s">
        <v>597</v>
      </c>
      <c r="K2102" s="114">
        <f>P2102/3</f>
      </c>
      <c r="L2102" s="115">
        <v>-0.90700000000000003</v>
      </c>
      <c r="M2102" s="116"/>
      <c r="N2102" s="117">
        <f>M2102-L2102</f>
      </c>
      <c r="O2102" s="112"/>
      <c r="P2102" s="118">
        <f>N2102+O2102</f>
      </c>
      <c r="Q2102" s="94" t="s">
        <v>309</v>
      </c>
      <c r="R2102" s="94" t="s">
        <v>392</v>
      </c>
      <c r="S2102" s="119">
        <v>46334</v>
      </c>
      <c r="T2102" s="119"/>
      <c r="U2102" s="119">
        <v>46334</v>
      </c>
      <c r="V2102" s="94"/>
      <c r="W2102" s="94"/>
      <c r="X2102" s="94"/>
      <c r="Y2102" s="119">
        <v>46334</v>
      </c>
      <c r="Z2102" s="94"/>
      <c r="AA2102" s="120"/>
      <c r="AB2102" s="120"/>
      <c r="AC2102" s="120"/>
      <c r="AD2102" s="120"/>
      <c r="AE2102" s="120"/>
      <c r="AF2102" s="120"/>
      <c r="AG2102" s="94"/>
      <c r="AH2102" s="120"/>
      <c r="AI2102" s="94"/>
      <c r="AJ2102" s="94" t="s">
        <v>309</v>
      </c>
      <c r="AK2102" s="94" t="s">
        <v>281</v>
      </c>
      <c r="AL2102" s="94">
        <v>140</v>
      </c>
      <c r="AM2102" s="94" t="str">
        <f>TRIM(AJ2102)&amp;TRIM(AL2102)&amp;TRIM(AK2102)</f>
      </c>
      <c r="AN2102" s="116">
        <v>4254</v>
      </c>
      <c r="AO2102" s="116">
        <v>141</v>
      </c>
      <c r="AP2102" s="116">
        <f>SUMIFS(M:M,AM:AM,AM2102)+SUMIFS(O:O,AM:AM,AM2102)</f>
      </c>
      <c r="AQ2102" s="116">
        <f>SUMIFS(L:L,AM:AM,AM2102)</f>
      </c>
      <c r="AR2102" s="116">
        <f>AQ2102-AP2102</f>
      </c>
      <c r="AS2102" s="94" t="str">
        <f>IF(AN2102&gt;=AQ2102,"ok","ck")</f>
      </c>
      <c r="AT2102" s="116">
        <f>-P2102</f>
      </c>
      <c r="AU2102" s="115">
        <f>IF(SUMIFS(AT:AT,AM:AM,AM2102)&gt;AO2102,(SUMIFS(AT:AT,AM:AM,AM2102)-AO2102))</f>
      </c>
      <c r="AV2102" s="116">
        <v>4254</v>
      </c>
      <c r="AW2102" s="121">
        <v>0.968</v>
      </c>
      <c r="AX2102" s="115">
        <f>AN2102-AP2102</f>
      </c>
    </row>
    <row r="2103" spans="1:50" ht="15" hidden="1" customHeight="1" x14ac:dyDescent="0.3">
      <c r="A2103" s="94" t="s">
        <v>60</v>
      </c>
      <c r="B2103" s="94"/>
      <c r="C2103" s="94"/>
      <c r="D2103" s="94"/>
      <c r="E2103" s="94"/>
      <c r="F2103" s="94"/>
      <c r="G2103" s="112">
        <f>AU2103</f>
      </c>
      <c r="H2103" s="113"/>
      <c r="I2103" s="94" t="s">
        <v>490</v>
      </c>
      <c r="J2103" s="94" t="s">
        <v>587</v>
      </c>
      <c r="K2103" s="114">
        <f>P2103/3</f>
      </c>
      <c r="L2103" s="115">
        <v>-18.943000000000001</v>
      </c>
      <c r="M2103" s="116">
        <f>L2103</f>
      </c>
      <c r="N2103" s="117">
        <f>M2103-L2103</f>
      </c>
      <c r="O2103" s="112"/>
      <c r="P2103" s="118">
        <f>N2103+O2103</f>
      </c>
      <c r="Q2103" s="94" t="s">
        <v>62</v>
      </c>
      <c r="R2103" s="94" t="s">
        <v>392</v>
      </c>
      <c r="S2103" s="119">
        <v>46320</v>
      </c>
      <c r="T2103" s="119"/>
      <c r="U2103" s="119">
        <v>46320</v>
      </c>
      <c r="V2103" s="94"/>
      <c r="W2103" s="94"/>
      <c r="X2103" s="94"/>
      <c r="Y2103" s="119">
        <v>46320</v>
      </c>
      <c r="Z2103" s="94"/>
      <c r="AA2103" s="120"/>
      <c r="AB2103" s="120"/>
      <c r="AC2103" s="120"/>
      <c r="AD2103" s="120"/>
      <c r="AE2103" s="120"/>
      <c r="AF2103" s="120"/>
      <c r="AG2103" s="94"/>
      <c r="AH2103" s="120"/>
      <c r="AI2103" s="94"/>
      <c r="AJ2103" s="94" t="s">
        <v>64</v>
      </c>
      <c r="AK2103" s="94" t="s">
        <v>105</v>
      </c>
      <c r="AL2103" s="94">
        <v>140</v>
      </c>
      <c r="AM2103" s="94" t="str">
        <f>TRIM(AJ2103)&amp;TRIM(AL2103)&amp;TRIM(AK2103)</f>
      </c>
      <c r="AN2103" s="116">
        <v>3191</v>
      </c>
      <c r="AO2103" s="116">
        <v>-41</v>
      </c>
      <c r="AP2103" s="116">
        <f>SUMIFS(M:M,AM:AM,AM2103)+SUMIFS(O:O,AM:AM,AM2103)</f>
      </c>
      <c r="AQ2103" s="116">
        <f>SUMIFS(L:L,AM:AM,AM2103)</f>
      </c>
      <c r="AR2103" s="116">
        <f>AQ2103-AP2103</f>
      </c>
      <c r="AS2103" s="94" t="str">
        <f>IF(AN2103&gt;=AQ2103,"ok","ck")</f>
      </c>
      <c r="AT2103" s="116">
        <f>-P2103</f>
      </c>
      <c r="AU2103" s="115">
        <f>IF(SUMIFS(AT:AT,AM:AM,AM2103)&gt;AO2103,(SUMIFS(AT:AT,AM:AM,AM2103)-AO2103))</f>
      </c>
      <c r="AV2103" s="116">
        <v>3191</v>
      </c>
      <c r="AW2103" s="121">
        <v>1.013</v>
      </c>
      <c r="AX2103" s="115">
        <f>AN2103-AP2103</f>
      </c>
    </row>
    <row r="2104" spans="1:50" ht="15" hidden="1" customHeight="1" x14ac:dyDescent="0.3">
      <c r="A2104" s="94" t="s">
        <v>268</v>
      </c>
      <c r="B2104" s="94"/>
      <c r="C2104" s="94"/>
      <c r="D2104" s="94"/>
      <c r="E2104" s="94"/>
      <c r="F2104" s="94"/>
      <c r="G2104" s="112">
        <f>AU2104</f>
      </c>
      <c r="H2104" s="113"/>
      <c r="I2104" s="94" t="s">
        <v>390</v>
      </c>
      <c r="J2104" s="94" t="s">
        <v>404</v>
      </c>
      <c r="K2104" s="114">
        <f>P2104/3</f>
      </c>
      <c r="L2104" s="115">
        <v>960</v>
      </c>
      <c r="M2104" s="116">
        <f>L2104</f>
      </c>
      <c r="N2104" s="117">
        <f>M2104-L2104</f>
      </c>
      <c r="O2104" s="112"/>
      <c r="P2104" s="118">
        <f>N2104+O2104</f>
      </c>
      <c r="Q2104" s="94" t="s">
        <v>305</v>
      </c>
      <c r="R2104" s="94" t="s">
        <v>392</v>
      </c>
      <c r="S2104" s="119">
        <v>46341</v>
      </c>
      <c r="T2104" s="119"/>
      <c r="U2104" s="119">
        <v>46341</v>
      </c>
      <c r="V2104" s="94"/>
      <c r="W2104" s="94"/>
      <c r="X2104" s="94"/>
      <c r="Y2104" s="119">
        <v>46320</v>
      </c>
      <c r="Z2104" s="94"/>
      <c r="AA2104" s="120"/>
      <c r="AB2104" s="120"/>
      <c r="AC2104" s="120"/>
      <c r="AD2104" s="120"/>
      <c r="AE2104" s="120"/>
      <c r="AF2104" s="120"/>
      <c r="AG2104" s="94"/>
      <c r="AH2104" s="120"/>
      <c r="AI2104" s="94"/>
      <c r="AJ2104" s="94" t="s">
        <v>305</v>
      </c>
      <c r="AK2104" s="94" t="s">
        <v>758</v>
      </c>
      <c r="AL2104" s="94">
        <v>140</v>
      </c>
      <c r="AM2104" s="94" t="str">
        <f>TRIM(AJ2104)&amp;TRIM(AL2104)&amp;TRIM(AK2104)</f>
      </c>
      <c r="AN2104" s="116">
        <v>2850.62</v>
      </c>
      <c r="AO2104" s="116">
        <v>-113.36</v>
      </c>
      <c r="AP2104" s="116">
        <f>SUMIFS(M:M,AM:AM,AM2104)+SUMIFS(O:O,AM:AM,AM2104)</f>
      </c>
      <c r="AQ2104" s="116">
        <f>SUMIFS(L:L,AM:AM,AM2104)</f>
      </c>
      <c r="AR2104" s="116">
        <f>AQ2104-AP2104</f>
      </c>
      <c r="AS2104" s="94" t="str">
        <f>IF(AN2104&gt;=AQ2104,"ok","ck")</f>
      </c>
      <c r="AT2104" s="116">
        <f>-P2104</f>
      </c>
      <c r="AU2104" s="115">
        <f>IF(SUMIFS(AT:AT,AM:AM,AM2104)&gt;AO2104,(SUMIFS(AT:AT,AM:AM,AM2104)-AO2104))</f>
      </c>
      <c r="AV2104" s="116">
        <v>2850.62</v>
      </c>
      <c r="AW2104" s="121">
        <v>1.055</v>
      </c>
      <c r="AX2104" s="115">
        <f>AN2104-AP2104</f>
      </c>
    </row>
    <row r="2105" spans="1:50" ht="15" hidden="1" customHeight="1" x14ac:dyDescent="0.3">
      <c r="A2105" s="94" t="s">
        <v>151</v>
      </c>
      <c r="B2105" s="94"/>
      <c r="C2105" s="94"/>
      <c r="D2105" s="94"/>
      <c r="E2105" s="94"/>
      <c r="F2105" s="94"/>
      <c r="G2105" s="112">
        <f>AU2105</f>
      </c>
      <c r="H2105" s="113"/>
      <c r="I2105" s="94" t="s">
        <v>442</v>
      </c>
      <c r="J2105" s="94" t="s">
        <v>444</v>
      </c>
      <c r="K2105" s="114">
        <f>P2105/3</f>
      </c>
      <c r="L2105" s="115">
        <v>500.21300000000002</v>
      </c>
      <c r="M2105" s="116"/>
      <c r="N2105" s="117">
        <f>M2105-L2105</f>
      </c>
      <c r="O2105" s="112"/>
      <c r="P2105" s="118">
        <f>N2105+O2105</f>
      </c>
      <c r="Q2105" s="94" t="s">
        <v>197</v>
      </c>
      <c r="R2105" s="94" t="s">
        <v>392</v>
      </c>
      <c r="S2105" s="119">
        <v>46336</v>
      </c>
      <c r="T2105" s="119"/>
      <c r="U2105" s="119">
        <v>46336</v>
      </c>
      <c r="V2105" s="94"/>
      <c r="W2105" s="94"/>
      <c r="X2105" s="94"/>
      <c r="Y2105" s="119">
        <v>46336</v>
      </c>
      <c r="Z2105" s="94"/>
      <c r="AA2105" s="120"/>
      <c r="AB2105" s="120"/>
      <c r="AC2105" s="120"/>
      <c r="AD2105" s="120"/>
      <c r="AE2105" s="120"/>
      <c r="AF2105" s="120"/>
      <c r="AG2105" s="94"/>
      <c r="AH2105" s="120"/>
      <c r="AI2105" s="94"/>
      <c r="AJ2105" s="94" t="s">
        <v>197</v>
      </c>
      <c r="AK2105" s="94" t="s">
        <v>751</v>
      </c>
      <c r="AL2105" s="94">
        <v>160</v>
      </c>
      <c r="AM2105" s="94" t="str">
        <f>TRIM(AJ2105)&amp;TRIM(AL2105)&amp;TRIM(AK2105)</f>
      </c>
      <c r="AN2105" s="116">
        <v>0</v>
      </c>
      <c r="AO2105" s="116" t="inlineStr">
        <is>
          <t>#NA</t>
        </is>
      </c>
      <c r="AP2105" s="116">
        <f>SUMIFS(M:M,AM:AM,AM2105)+SUMIFS(O:O,AM:AM,AM2105)</f>
      </c>
      <c r="AQ2105" s="116">
        <f>SUMIFS(L:L,AM:AM,AM2105)</f>
      </c>
      <c r="AR2105" s="116">
        <f>AQ2105-AP2105</f>
      </c>
      <c r="AS2105" s="94" t="str">
        <f>IF(AN2105&gt;=AQ2105,"ok","ck")</f>
      </c>
      <c r="AT2105" s="116">
        <f>-P2105</f>
      </c>
      <c r="AU2105" s="115">
        <f>IF(SUMIFS(AT:AT,AM:AM,AM2105)&gt;AO2105,(SUMIFS(AT:AT,AM:AM,AM2105)-AO2105))</f>
      </c>
      <c r="AV2105" s="116">
        <v>0</v>
      </c>
      <c r="AW2105" s="121">
        <v>0.895</v>
      </c>
      <c r="AX2105" s="115">
        <f>AN2105-AP2105</f>
      </c>
    </row>
    <row r="2106" spans="1:50" ht="15" hidden="1" customHeight="1" x14ac:dyDescent="0.3">
      <c r="A2106" s="94" t="s">
        <v>268</v>
      </c>
      <c r="B2106" s="94"/>
      <c r="C2106" s="94"/>
      <c r="D2106" s="94"/>
      <c r="E2106" s="94"/>
      <c r="F2106" s="94"/>
      <c r="G2106" s="112">
        <f>AU2106</f>
      </c>
      <c r="H2106" s="113"/>
      <c r="I2106" s="94" t="s">
        <v>390</v>
      </c>
      <c r="J2106" s="94" t="s">
        <v>401</v>
      </c>
      <c r="K2106" s="114">
        <f>P2106/3</f>
      </c>
      <c r="L2106" s="115">
        <v>-0.188</v>
      </c>
      <c r="M2106" s="116"/>
      <c r="N2106" s="117">
        <f>M2106-L2106</f>
      </c>
      <c r="O2106" s="112"/>
      <c r="P2106" s="118">
        <f>N2106+O2106</f>
      </c>
      <c r="Q2106" s="94" t="s">
        <v>271</v>
      </c>
      <c r="R2106" s="94" t="s">
        <v>392</v>
      </c>
      <c r="S2106" s="119">
        <v>46320</v>
      </c>
      <c r="T2106" s="119"/>
      <c r="U2106" s="119">
        <v>46320</v>
      </c>
      <c r="V2106" s="94"/>
      <c r="W2106" s="94"/>
      <c r="X2106" s="94"/>
      <c r="Y2106" s="119">
        <v>46320</v>
      </c>
      <c r="Z2106" s="94"/>
      <c r="AA2106" s="120"/>
      <c r="AB2106" s="120"/>
      <c r="AC2106" s="120"/>
      <c r="AD2106" s="120"/>
      <c r="AE2106" s="120"/>
      <c r="AF2106" s="120"/>
      <c r="AG2106" s="94"/>
      <c r="AH2106" s="120"/>
      <c r="AI2106" s="94"/>
      <c r="AJ2106" s="94" t="s">
        <v>271</v>
      </c>
      <c r="AK2106" s="94" t="s">
        <v>389</v>
      </c>
      <c r="AL2106" s="94">
        <v>140</v>
      </c>
      <c r="AM2106" s="94" t="str">
        <f>TRIM(AJ2106)&amp;TRIM(AL2106)&amp;TRIM(AK2106)</f>
      </c>
      <c r="AN2106" s="116">
        <v>0</v>
      </c>
      <c r="AO2106" s="116" t="inlineStr">
        <is>
          <t>#NA</t>
        </is>
      </c>
      <c r="AP2106" s="116">
        <f>SUMIFS(M:M,AM:AM,AM2106)+SUMIFS(O:O,AM:AM,AM2106)</f>
      </c>
      <c r="AQ2106" s="116">
        <f>SUMIFS(L:L,AM:AM,AM2106)</f>
      </c>
      <c r="AR2106" s="116">
        <f>AQ2106-AP2106</f>
      </c>
      <c r="AS2106" s="94" t="str">
        <f>IF(AN2106&gt;=AQ2106,"ok","ck")</f>
      </c>
      <c r="AT2106" s="116">
        <f>-P2106</f>
      </c>
      <c r="AU2106" s="115">
        <f>IF(SUMIFS(AT:AT,AM:AM,AM2106)&gt;AO2106,(SUMIFS(AT:AT,AM:AM,AM2106)-AO2106))</f>
      </c>
      <c r="AV2106" s="116">
        <v>0</v>
      </c>
      <c r="AW2106" s="121">
        <v>1.03</v>
      </c>
      <c r="AX2106" s="115">
        <f>AN2106-AP2106</f>
      </c>
    </row>
    <row r="2107" spans="1:50" ht="15" hidden="1" customHeight="1" x14ac:dyDescent="0.3">
      <c r="A2107" s="94" t="s">
        <v>268</v>
      </c>
      <c r="B2107" s="94"/>
      <c r="C2107" s="94"/>
      <c r="D2107" s="94"/>
      <c r="E2107" s="94"/>
      <c r="F2107" s="94"/>
      <c r="G2107" s="112">
        <f>AU2107</f>
      </c>
      <c r="H2107" s="113"/>
      <c r="I2107" s="94" t="s">
        <v>390</v>
      </c>
      <c r="J2107" s="94" t="s">
        <v>401</v>
      </c>
      <c r="K2107" s="114">
        <f>P2107/3</f>
      </c>
      <c r="L2107" s="115">
        <v>-0.188</v>
      </c>
      <c r="M2107" s="116"/>
      <c r="N2107" s="117">
        <f>M2107-L2107</f>
      </c>
      <c r="O2107" s="112"/>
      <c r="P2107" s="118">
        <f>N2107+O2107</f>
      </c>
      <c r="Q2107" s="94" t="s">
        <v>271</v>
      </c>
      <c r="R2107" s="94" t="s">
        <v>392</v>
      </c>
      <c r="S2107" s="119">
        <v>46320</v>
      </c>
      <c r="T2107" s="119"/>
      <c r="U2107" s="119">
        <v>46320</v>
      </c>
      <c r="V2107" s="94"/>
      <c r="W2107" s="94"/>
      <c r="X2107" s="94"/>
      <c r="Y2107" s="119">
        <v>46320</v>
      </c>
      <c r="Z2107" s="94"/>
      <c r="AA2107" s="120"/>
      <c r="AB2107" s="120"/>
      <c r="AC2107" s="120"/>
      <c r="AD2107" s="120"/>
      <c r="AE2107" s="120"/>
      <c r="AF2107" s="120"/>
      <c r="AG2107" s="94"/>
      <c r="AH2107" s="120"/>
      <c r="AI2107" s="94"/>
      <c r="AJ2107" s="94" t="s">
        <v>271</v>
      </c>
      <c r="AK2107" s="94" t="s">
        <v>389</v>
      </c>
      <c r="AL2107" s="94">
        <v>140</v>
      </c>
      <c r="AM2107" s="94" t="str">
        <f>TRIM(AJ2107)&amp;TRIM(AL2107)&amp;TRIM(AK2107)</f>
      </c>
      <c r="AN2107" s="116">
        <v>0</v>
      </c>
      <c r="AO2107" s="116" t="inlineStr">
        <is>
          <t>#NA</t>
        </is>
      </c>
      <c r="AP2107" s="116">
        <f>SUMIFS(M:M,AM:AM,AM2107)+SUMIFS(O:O,AM:AM,AM2107)</f>
      </c>
      <c r="AQ2107" s="116">
        <f>SUMIFS(L:L,AM:AM,AM2107)</f>
      </c>
      <c r="AR2107" s="116">
        <f>AQ2107-AP2107</f>
      </c>
      <c r="AS2107" s="94" t="str">
        <f>IF(AN2107&gt;=AQ2107,"ok","ck")</f>
      </c>
      <c r="AT2107" s="116">
        <f>-P2107</f>
      </c>
      <c r="AU2107" s="115">
        <f>IF(SUMIFS(AT:AT,AM:AM,AM2107)&gt;AO2107,(SUMIFS(AT:AT,AM:AM,AM2107)-AO2107))</f>
      </c>
      <c r="AV2107" s="116">
        <v>0</v>
      </c>
      <c r="AW2107" s="121">
        <v>1.03</v>
      </c>
      <c r="AX2107" s="115">
        <f>AN2107-AP2107</f>
      </c>
    </row>
    <row r="2108" spans="1:50" ht="15" hidden="1" customHeight="1" x14ac:dyDescent="0.3">
      <c r="A2108" s="94" t="s">
        <v>268</v>
      </c>
      <c r="B2108" s="94"/>
      <c r="C2108" s="94"/>
      <c r="D2108" s="94"/>
      <c r="E2108" s="94"/>
      <c r="F2108" s="94"/>
      <c r="G2108" s="112">
        <f>AU2108</f>
      </c>
      <c r="H2108" s="113"/>
      <c r="I2108" s="94" t="s">
        <v>390</v>
      </c>
      <c r="J2108" s="94" t="s">
        <v>401</v>
      </c>
      <c r="K2108" s="114">
        <f>P2108/3</f>
      </c>
      <c r="L2108" s="115">
        <v>-0.19400000000000001</v>
      </c>
      <c r="M2108" s="116"/>
      <c r="N2108" s="117">
        <f>M2108-L2108</f>
      </c>
      <c r="O2108" s="112"/>
      <c r="P2108" s="118">
        <f>N2108+O2108</f>
      </c>
      <c r="Q2108" s="94" t="s">
        <v>271</v>
      </c>
      <c r="R2108" s="94" t="s">
        <v>392</v>
      </c>
      <c r="S2108" s="119">
        <v>46320</v>
      </c>
      <c r="T2108" s="119"/>
      <c r="U2108" s="120">
        <v>46320</v>
      </c>
      <c r="V2108" s="94"/>
      <c r="W2108" s="94"/>
      <c r="X2108" s="94"/>
      <c r="Y2108" s="119">
        <v>46320</v>
      </c>
      <c r="Z2108" s="94"/>
      <c r="AA2108" s="120"/>
      <c r="AB2108" s="120"/>
      <c r="AC2108" s="120"/>
      <c r="AD2108" s="120"/>
      <c r="AE2108" s="120"/>
      <c r="AF2108" s="120"/>
      <c r="AG2108" s="94"/>
      <c r="AH2108" s="120"/>
      <c r="AI2108" s="94"/>
      <c r="AJ2108" s="94" t="s">
        <v>271</v>
      </c>
      <c r="AK2108" s="94" t="s">
        <v>389</v>
      </c>
      <c r="AL2108" s="94">
        <v>140</v>
      </c>
      <c r="AM2108" s="94" t="str">
        <f>TRIM(AJ2108)&amp;TRIM(AL2108)&amp;TRIM(AK2108)</f>
      </c>
      <c r="AN2108" s="116">
        <v>0</v>
      </c>
      <c r="AO2108" s="116" t="inlineStr">
        <is>
          <t>#NA</t>
        </is>
      </c>
      <c r="AP2108" s="116">
        <f>SUMIFS(M:M,AM:AM,AM2108)+SUMIFS(O:O,AM:AM,AM2108)</f>
      </c>
      <c r="AQ2108" s="116">
        <f>SUMIFS(L:L,AM:AM,AM2108)</f>
      </c>
      <c r="AR2108" s="116">
        <f>AQ2108-AP2108</f>
      </c>
      <c r="AS2108" s="94" t="str">
        <f>IF(AN2108&gt;=AQ2108,"ok","ck")</f>
      </c>
      <c r="AT2108" s="116">
        <f>-P2108</f>
      </c>
      <c r="AU2108" s="115">
        <f>IF(SUMIFS(AT:AT,AM:AM,AM2108)&gt;AO2108,(SUMIFS(AT:AT,AM:AM,AM2108)-AO2108))</f>
      </c>
      <c r="AV2108" s="116">
        <v>0</v>
      </c>
      <c r="AW2108" s="121">
        <v>1.03</v>
      </c>
      <c r="AX2108" s="115">
        <f>AN2108-AP2108</f>
      </c>
    </row>
    <row r="2109" spans="1:50" ht="15" hidden="1" customHeight="1" x14ac:dyDescent="0.3">
      <c r="A2109" s="94" t="s">
        <v>268</v>
      </c>
      <c r="B2109" s="94"/>
      <c r="C2109" s="94"/>
      <c r="D2109" s="94"/>
      <c r="E2109" s="94"/>
      <c r="F2109" s="94"/>
      <c r="G2109" s="112">
        <f>AU2109</f>
      </c>
      <c r="H2109" s="113"/>
      <c r="I2109" s="94" t="s">
        <v>390</v>
      </c>
      <c r="J2109" s="94" t="s">
        <v>585</v>
      </c>
      <c r="K2109" s="114">
        <f>P2109/3</f>
      </c>
      <c r="L2109" s="115">
        <v>-1.0209999999999999</v>
      </c>
      <c r="M2109" s="116"/>
      <c r="N2109" s="117">
        <f>M2109-L2109</f>
      </c>
      <c r="O2109" s="112"/>
      <c r="P2109" s="118">
        <f>N2109+O2109</f>
      </c>
      <c r="Q2109" s="94" t="s">
        <v>309</v>
      </c>
      <c r="R2109" s="94" t="s">
        <v>392</v>
      </c>
      <c r="S2109" s="119">
        <v>46334</v>
      </c>
      <c r="T2109" s="119"/>
      <c r="U2109" s="120">
        <v>46334</v>
      </c>
      <c r="V2109" s="94"/>
      <c r="W2109" s="94"/>
      <c r="X2109" s="94"/>
      <c r="Y2109" s="119">
        <v>46334</v>
      </c>
      <c r="Z2109" s="94"/>
      <c r="AA2109" s="120"/>
      <c r="AB2109" s="120"/>
      <c r="AC2109" s="120"/>
      <c r="AD2109" s="120"/>
      <c r="AE2109" s="120"/>
      <c r="AF2109" s="120"/>
      <c r="AG2109" s="94"/>
      <c r="AH2109" s="120"/>
      <c r="AI2109" s="94"/>
      <c r="AJ2109" s="94" t="s">
        <v>309</v>
      </c>
      <c r="AK2109" s="94" t="s">
        <v>389</v>
      </c>
      <c r="AL2109" s="94">
        <v>140</v>
      </c>
      <c r="AM2109" s="94" t="str">
        <f>TRIM(AJ2109)&amp;TRIM(AL2109)&amp;TRIM(AK2109)</f>
      </c>
      <c r="AN2109" s="116">
        <v>0</v>
      </c>
      <c r="AO2109" s="116" t="inlineStr">
        <is>
          <t>#NA</t>
        </is>
      </c>
      <c r="AP2109" s="116">
        <f>SUMIFS(M:M,AM:AM,AM2109)+SUMIFS(O:O,AM:AM,AM2109)</f>
      </c>
      <c r="AQ2109" s="116">
        <f>SUMIFS(L:L,AM:AM,AM2109)</f>
      </c>
      <c r="AR2109" s="116">
        <f>AQ2109-AP2109</f>
      </c>
      <c r="AS2109" s="94" t="str">
        <f>IF(AN2109&gt;=AQ2109,"ok","ck")</f>
      </c>
      <c r="AT2109" s="116">
        <f>-P2109</f>
      </c>
      <c r="AU2109" s="115">
        <f>IF(SUMIFS(AT:AT,AM:AM,AM2109)&gt;AO2109,(SUMIFS(AT:AT,AM:AM,AM2109)-AO2109))</f>
      </c>
      <c r="AV2109" s="116">
        <v>0</v>
      </c>
      <c r="AW2109" s="121">
        <v>1.005</v>
      </c>
      <c r="AX2109" s="115">
        <f>AN2109-AP2109</f>
      </c>
    </row>
    <row r="2110" spans="1:50" ht="15" hidden="1" customHeight="1" x14ac:dyDescent="0.3">
      <c r="A2110" s="94" t="s">
        <v>76</v>
      </c>
      <c r="B2110" s="94"/>
      <c r="C2110" s="94"/>
      <c r="D2110" s="94"/>
      <c r="E2110" s="94"/>
      <c r="F2110" s="94"/>
      <c r="G2110" s="112">
        <f>AU2110</f>
      </c>
      <c r="H2110" s="113"/>
      <c r="I2110" s="94" t="s">
        <v>393</v>
      </c>
      <c r="J2110" s="94" t="s">
        <v>429</v>
      </c>
      <c r="K2110" s="114">
        <f>P2110/3</f>
      </c>
      <c r="L2110" s="115">
        <v>3.7789999999999999</v>
      </c>
      <c r="M2110" s="116">
        <f>L2110</f>
      </c>
      <c r="N2110" s="117">
        <f>M2110-L2110</f>
      </c>
      <c r="O2110" s="112"/>
      <c r="P2110" s="118">
        <f>N2110+O2110</f>
      </c>
      <c r="Q2110" s="94" t="s">
        <v>112</v>
      </c>
      <c r="R2110" s="94" t="s">
        <v>392</v>
      </c>
      <c r="S2110" s="119">
        <v>46322</v>
      </c>
      <c r="T2110" s="119"/>
      <c r="U2110" s="120">
        <v>46322</v>
      </c>
      <c r="V2110" s="94"/>
      <c r="W2110" s="94"/>
      <c r="X2110" s="94"/>
      <c r="Y2110" s="119">
        <v>46322</v>
      </c>
      <c r="Z2110" s="94"/>
      <c r="AA2110" s="120"/>
      <c r="AB2110" s="120"/>
      <c r="AC2110" s="120"/>
      <c r="AD2110" s="120"/>
      <c r="AE2110" s="120"/>
      <c r="AF2110" s="120"/>
      <c r="AG2110" s="94"/>
      <c r="AH2110" s="120"/>
      <c r="AI2110" s="94"/>
      <c r="AJ2110" s="94" t="s">
        <v>112</v>
      </c>
      <c r="AK2110" s="94" t="s">
        <v>342</v>
      </c>
      <c r="AL2110" s="94">
        <v>150</v>
      </c>
      <c r="AM2110" s="94" t="str">
        <f>TRIM(AJ2110)&amp;TRIM(AL2110)&amp;TRIM(AK2110)</f>
      </c>
      <c r="AN2110" s="116">
        <v>3478.58</v>
      </c>
      <c r="AO2110" s="116">
        <v>8.27</v>
      </c>
      <c r="AP2110" s="116">
        <f>SUMIFS(M:M,AM:AM,AM2110)+SUMIFS(O:O,AM:AM,AM2110)</f>
      </c>
      <c r="AQ2110" s="116">
        <f>SUMIFS(L:L,AM:AM,AM2110)</f>
      </c>
      <c r="AR2110" s="116">
        <f>AQ2110-AP2110</f>
      </c>
      <c r="AS2110" s="94" t="str">
        <f>IF(AN2110&gt;=AQ2110,"ok","ck")</f>
      </c>
      <c r="AT2110" s="116">
        <f>-P2110</f>
      </c>
      <c r="AU2110" s="115">
        <f>IF(SUMIFS(AT:AT,AM:AM,AM2110)&gt;AO2110,(SUMIFS(AT:AT,AM:AM,AM2110)-AO2110))</f>
      </c>
      <c r="AV2110" s="116">
        <v>3478.58</v>
      </c>
      <c r="AW2110" s="121">
        <v>0.988</v>
      </c>
      <c r="AX2110" s="115">
        <f>AN2110-AP2110</f>
      </c>
    </row>
    <row r="2111" spans="1:50" ht="15" hidden="1" customHeight="1" x14ac:dyDescent="0.3">
      <c r="A2111" s="94" t="s">
        <v>76</v>
      </c>
      <c r="B2111" s="94"/>
      <c r="C2111" s="94"/>
      <c r="D2111" s="94"/>
      <c r="E2111" s="94"/>
      <c r="F2111" s="94"/>
      <c r="G2111" s="112">
        <f>AU2111</f>
      </c>
      <c r="H2111" s="113"/>
      <c r="I2111" s="94" t="s">
        <v>393</v>
      </c>
      <c r="J2111" s="94" t="s">
        <v>438</v>
      </c>
      <c r="K2111" s="114">
        <f>P2111/3</f>
      </c>
      <c r="L2111" s="115">
        <v>863.21400000000006</v>
      </c>
      <c r="M2111" s="116">
        <f>L2111</f>
      </c>
      <c r="N2111" s="117">
        <f>M2111-L2111</f>
      </c>
      <c r="O2111" s="112"/>
      <c r="P2111" s="118">
        <f>N2111+O2111</f>
      </c>
      <c r="Q2111" s="94" t="s">
        <v>112</v>
      </c>
      <c r="R2111" s="94" t="s">
        <v>392</v>
      </c>
      <c r="S2111" s="119">
        <v>46327</v>
      </c>
      <c r="T2111" s="119"/>
      <c r="U2111" s="119">
        <v>46327</v>
      </c>
      <c r="V2111" s="94"/>
      <c r="W2111" s="94"/>
      <c r="X2111" s="94"/>
      <c r="Y2111" s="119">
        <v>46323</v>
      </c>
      <c r="Z2111" s="94"/>
      <c r="AA2111" s="120"/>
      <c r="AB2111" s="120"/>
      <c r="AC2111" s="120"/>
      <c r="AD2111" s="120"/>
      <c r="AE2111" s="120"/>
      <c r="AF2111" s="120"/>
      <c r="AG2111" s="94"/>
      <c r="AH2111" s="120"/>
      <c r="AI2111" s="94"/>
      <c r="AJ2111" s="94" t="s">
        <v>112</v>
      </c>
      <c r="AK2111" s="94" t="s">
        <v>749</v>
      </c>
      <c r="AL2111" s="94">
        <v>150</v>
      </c>
      <c r="AM2111" s="94" t="str">
        <f>TRIM(AJ2111)&amp;TRIM(AL2111)&amp;TRIM(AK2111)</f>
      </c>
      <c r="AN2111" s="116">
        <v>4986.83</v>
      </c>
      <c r="AO2111" s="116">
        <v>5.12</v>
      </c>
      <c r="AP2111" s="116">
        <f>SUMIFS(M:M,AM:AM,AM2111)+SUMIFS(O:O,AM:AM,AM2111)</f>
      </c>
      <c r="AQ2111" s="116">
        <f>SUMIFS(L:L,AM:AM,AM2111)</f>
      </c>
      <c r="AR2111" s="116">
        <f>AQ2111-AP2111</f>
      </c>
      <c r="AS2111" s="94" t="str">
        <f>IF(AN2111&gt;=AQ2111,"ok","ck")</f>
      </c>
      <c r="AT2111" s="116">
        <f>-P2111</f>
      </c>
      <c r="AU2111" s="115">
        <f>IF(SUMIFS(AT:AT,AM:AM,AM2111)&gt;AO2111,(SUMIFS(AT:AT,AM:AM,AM2111)-AO2111))</f>
      </c>
      <c r="AV2111" s="116">
        <v>4801.56</v>
      </c>
      <c r="AW2111" s="121">
        <v>0.994</v>
      </c>
      <c r="AX2111" s="115">
        <f>AN2111-AP2111</f>
      </c>
    </row>
    <row r="2112" spans="1:50" ht="15" hidden="1" customHeight="1" x14ac:dyDescent="0.3">
      <c r="A2112" s="94" t="s">
        <v>76</v>
      </c>
      <c r="B2112" s="94"/>
      <c r="C2112" s="94"/>
      <c r="D2112" s="94"/>
      <c r="E2112" s="94"/>
      <c r="F2112" s="94"/>
      <c r="G2112" s="112">
        <f>AU2112</f>
      </c>
      <c r="H2112" s="113"/>
      <c r="I2112" s="94" t="s">
        <v>393</v>
      </c>
      <c r="J2112" s="94" t="s">
        <v>438</v>
      </c>
      <c r="K2112" s="114">
        <f>P2112/3</f>
      </c>
      <c r="L2112" s="115">
        <v>1488.71</v>
      </c>
      <c r="M2112" s="116">
        <f>L2112</f>
      </c>
      <c r="N2112" s="117">
        <f>M2112-L2112</f>
      </c>
      <c r="O2112" s="112"/>
      <c r="P2112" s="118">
        <f>N2112+O2112</f>
      </c>
      <c r="Q2112" s="94" t="s">
        <v>112</v>
      </c>
      <c r="R2112" s="94" t="s">
        <v>392</v>
      </c>
      <c r="S2112" s="119">
        <v>46327</v>
      </c>
      <c r="T2112" s="119"/>
      <c r="U2112" s="119">
        <v>46327</v>
      </c>
      <c r="V2112" s="94"/>
      <c r="W2112" s="94"/>
      <c r="X2112" s="94"/>
      <c r="Y2112" s="119">
        <v>46324</v>
      </c>
      <c r="Z2112" s="94"/>
      <c r="AA2112" s="120"/>
      <c r="AB2112" s="120"/>
      <c r="AC2112" s="120"/>
      <c r="AD2112" s="120"/>
      <c r="AE2112" s="120"/>
      <c r="AF2112" s="120"/>
      <c r="AG2112" s="94"/>
      <c r="AH2112" s="120"/>
      <c r="AI2112" s="94"/>
      <c r="AJ2112" s="94" t="s">
        <v>112</v>
      </c>
      <c r="AK2112" s="94" t="s">
        <v>749</v>
      </c>
      <c r="AL2112" s="94">
        <v>150</v>
      </c>
      <c r="AM2112" s="94" t="str">
        <f>TRIM(AJ2112)&amp;TRIM(AL2112)&amp;TRIM(AK2112)</f>
      </c>
      <c r="AN2112" s="116">
        <v>4986.83</v>
      </c>
      <c r="AO2112" s="116">
        <v>5.12</v>
      </c>
      <c r="AP2112" s="116">
        <f>SUMIFS(M:M,AM:AM,AM2112)+SUMIFS(O:O,AM:AM,AM2112)</f>
      </c>
      <c r="AQ2112" s="116">
        <f>SUMIFS(L:L,AM:AM,AM2112)</f>
      </c>
      <c r="AR2112" s="116">
        <f>AQ2112-AP2112</f>
      </c>
      <c r="AS2112" s="94" t="str">
        <f>IF(AN2112&gt;=AQ2112,"ok","ck")</f>
      </c>
      <c r="AT2112" s="116">
        <f>-P2112</f>
      </c>
      <c r="AU2112" s="115">
        <f>IF(SUMIFS(AT:AT,AM:AM,AM2112)&gt;AO2112,(SUMIFS(AT:AT,AM:AM,AM2112)-AO2112))</f>
      </c>
      <c r="AV2112" s="116">
        <v>4801.56</v>
      </c>
      <c r="AW2112" s="121">
        <v>0.994</v>
      </c>
      <c r="AX2112" s="115">
        <f>AN2112-AP2112</f>
      </c>
    </row>
    <row r="2113" spans="1:50" ht="15" hidden="1" customHeight="1" x14ac:dyDescent="0.3">
      <c r="A2113" s="94" t="s">
        <v>76</v>
      </c>
      <c r="B2113" s="94"/>
      <c r="C2113" s="94"/>
      <c r="D2113" s="94"/>
      <c r="E2113" s="94"/>
      <c r="F2113" s="94"/>
      <c r="G2113" s="112">
        <f>AU2113</f>
      </c>
      <c r="H2113" s="113"/>
      <c r="I2113" s="94" t="s">
        <v>393</v>
      </c>
      <c r="J2113" s="94" t="s">
        <v>438</v>
      </c>
      <c r="K2113" s="114">
        <f>P2113/3</f>
      </c>
      <c r="L2113" s="115">
        <v>2.871</v>
      </c>
      <c r="M2113" s="116">
        <f>L2113</f>
      </c>
      <c r="N2113" s="117">
        <f>M2113-L2113</f>
      </c>
      <c r="O2113" s="112"/>
      <c r="P2113" s="118">
        <f>N2113+O2113</f>
      </c>
      <c r="Q2113" s="94" t="s">
        <v>112</v>
      </c>
      <c r="R2113" s="94" t="s">
        <v>392</v>
      </c>
      <c r="S2113" s="119">
        <v>46327</v>
      </c>
      <c r="T2113" s="119"/>
      <c r="U2113" s="119">
        <v>46327</v>
      </c>
      <c r="V2113" s="94"/>
      <c r="W2113" s="94"/>
      <c r="X2113" s="94"/>
      <c r="Y2113" s="119">
        <v>46327</v>
      </c>
      <c r="Z2113" s="94"/>
      <c r="AA2113" s="120"/>
      <c r="AB2113" s="120"/>
      <c r="AC2113" s="120"/>
      <c r="AD2113" s="120"/>
      <c r="AE2113" s="120"/>
      <c r="AF2113" s="120"/>
      <c r="AG2113" s="94"/>
      <c r="AH2113" s="120"/>
      <c r="AI2113" s="94"/>
      <c r="AJ2113" s="94" t="s">
        <v>112</v>
      </c>
      <c r="AK2113" s="94" t="s">
        <v>749</v>
      </c>
      <c r="AL2113" s="94">
        <v>150</v>
      </c>
      <c r="AM2113" s="94" t="str">
        <f>TRIM(AJ2113)&amp;TRIM(AL2113)&amp;TRIM(AK2113)</f>
      </c>
      <c r="AN2113" s="116">
        <v>4986.83</v>
      </c>
      <c r="AO2113" s="116">
        <v>5.12</v>
      </c>
      <c r="AP2113" s="116">
        <f>SUMIFS(M:M,AM:AM,AM2113)+SUMIFS(O:O,AM:AM,AM2113)</f>
      </c>
      <c r="AQ2113" s="116">
        <f>SUMIFS(L:L,AM:AM,AM2113)</f>
      </c>
      <c r="AR2113" s="116">
        <f>AQ2113-AP2113</f>
      </c>
      <c r="AS2113" s="94" t="str">
        <f>IF(AN2113&gt;=AQ2113,"ok","ck")</f>
      </c>
      <c r="AT2113" s="116">
        <f>-P2113</f>
      </c>
      <c r="AU2113" s="115">
        <f>IF(SUMIFS(AT:AT,AM:AM,AM2113)&gt;AO2113,(SUMIFS(AT:AT,AM:AM,AM2113)-AO2113))</f>
      </c>
      <c r="AV2113" s="116">
        <v>4801.56</v>
      </c>
      <c r="AW2113" s="121">
        <v>0.994</v>
      </c>
      <c r="AX2113" s="115">
        <f>AN2113-AP2113</f>
      </c>
    </row>
    <row r="2114" spans="1:50" ht="15" hidden="1" customHeight="1" x14ac:dyDescent="0.3">
      <c r="A2114" s="94" t="s">
        <v>76</v>
      </c>
      <c r="B2114" s="94"/>
      <c r="C2114" s="94"/>
      <c r="D2114" s="94"/>
      <c r="E2114" s="94"/>
      <c r="F2114" s="94"/>
      <c r="G2114" s="112">
        <f>AU2114</f>
      </c>
      <c r="H2114" s="113"/>
      <c r="I2114" s="94" t="s">
        <v>393</v>
      </c>
      <c r="J2114" s="94" t="s">
        <v>420</v>
      </c>
      <c r="K2114" s="114">
        <f>P2114/3</f>
      </c>
      <c r="L2114" s="115">
        <v>699.92200000000003</v>
      </c>
      <c r="M2114" s="116">
        <f>L2114</f>
      </c>
      <c r="N2114" s="117">
        <f>M2114-L2114</f>
      </c>
      <c r="O2114" s="112"/>
      <c r="P2114" s="118">
        <f>N2114+O2114</f>
      </c>
      <c r="Q2114" s="94" t="s">
        <v>112</v>
      </c>
      <c r="R2114" s="94" t="s">
        <v>392</v>
      </c>
      <c r="S2114" s="119">
        <v>46320</v>
      </c>
      <c r="T2114" s="119"/>
      <c r="U2114" s="119">
        <v>46320</v>
      </c>
      <c r="V2114" s="94"/>
      <c r="W2114" s="94"/>
      <c r="X2114" s="94"/>
      <c r="Y2114" s="119">
        <v>46320</v>
      </c>
      <c r="Z2114" s="94"/>
      <c r="AA2114" s="120"/>
      <c r="AB2114" s="120"/>
      <c r="AC2114" s="120"/>
      <c r="AD2114" s="120"/>
      <c r="AE2114" s="120"/>
      <c r="AF2114" s="120"/>
      <c r="AG2114" s="94"/>
      <c r="AH2114" s="120"/>
      <c r="AI2114" s="94"/>
      <c r="AJ2114" s="94" t="s">
        <v>112</v>
      </c>
      <c r="AK2114" s="94" t="s">
        <v>342</v>
      </c>
      <c r="AL2114" s="94">
        <v>150</v>
      </c>
      <c r="AM2114" s="94" t="str">
        <f>TRIM(AJ2114)&amp;TRIM(AL2114)&amp;TRIM(AK2114)</f>
      </c>
      <c r="AN2114" s="116">
        <v>3478.58</v>
      </c>
      <c r="AO2114" s="116">
        <v>8.27</v>
      </c>
      <c r="AP2114" s="116">
        <f>SUMIFS(M:M,AM:AM,AM2114)+SUMIFS(O:O,AM:AM,AM2114)</f>
      </c>
      <c r="AQ2114" s="116">
        <f>SUMIFS(L:L,AM:AM,AM2114)</f>
      </c>
      <c r="AR2114" s="116">
        <f>AQ2114-AP2114</f>
      </c>
      <c r="AS2114" s="94" t="str">
        <f>IF(AN2114&gt;=AQ2114,"ok","ck")</f>
      </c>
      <c r="AT2114" s="116">
        <f>-P2114</f>
      </c>
      <c r="AU2114" s="115">
        <f>IF(SUMIFS(AT:AT,AM:AM,AM2114)&gt;AO2114,(SUMIFS(AT:AT,AM:AM,AM2114)-AO2114))</f>
      </c>
      <c r="AV2114" s="116">
        <v>3478.58</v>
      </c>
      <c r="AW2114" s="121">
        <v>0.988</v>
      </c>
      <c r="AX2114" s="115">
        <f>AN2114-AP2114</f>
      </c>
    </row>
    <row r="2115" spans="1:50" ht="15" hidden="1" customHeight="1" x14ac:dyDescent="0.3">
      <c r="A2115" s="94" t="s">
        <v>76</v>
      </c>
      <c r="B2115" s="94"/>
      <c r="C2115" s="94"/>
      <c r="D2115" s="94"/>
      <c r="E2115" s="94"/>
      <c r="F2115" s="94"/>
      <c r="G2115" s="112">
        <f>AU2115</f>
      </c>
      <c r="H2115" s="113"/>
      <c r="I2115" s="94" t="s">
        <v>393</v>
      </c>
      <c r="J2115" s="94" t="s">
        <v>420</v>
      </c>
      <c r="K2115" s="114">
        <f>P2115/3</f>
      </c>
      <c r="L2115" s="115">
        <v>710.33399999999995</v>
      </c>
      <c r="M2115" s="116">
        <f>L2115</f>
      </c>
      <c r="N2115" s="117">
        <f>M2115-L2115</f>
      </c>
      <c r="O2115" s="112"/>
      <c r="P2115" s="118">
        <f>N2115+O2115</f>
      </c>
      <c r="Q2115" s="94" t="s">
        <v>112</v>
      </c>
      <c r="R2115" s="94" t="s">
        <v>392</v>
      </c>
      <c r="S2115" s="119">
        <v>46320</v>
      </c>
      <c r="T2115" s="119"/>
      <c r="U2115" s="119">
        <v>46320</v>
      </c>
      <c r="V2115" s="94"/>
      <c r="W2115" s="94"/>
      <c r="X2115" s="94"/>
      <c r="Y2115" s="119">
        <v>46320</v>
      </c>
      <c r="Z2115" s="94"/>
      <c r="AA2115" s="120"/>
      <c r="AB2115" s="120"/>
      <c r="AC2115" s="120"/>
      <c r="AD2115" s="120"/>
      <c r="AE2115" s="120"/>
      <c r="AF2115" s="120"/>
      <c r="AG2115" s="94"/>
      <c r="AH2115" s="120"/>
      <c r="AI2115" s="94"/>
      <c r="AJ2115" s="94" t="s">
        <v>112</v>
      </c>
      <c r="AK2115" s="94" t="s">
        <v>342</v>
      </c>
      <c r="AL2115" s="94">
        <v>150</v>
      </c>
      <c r="AM2115" s="94" t="str">
        <f>TRIM(AJ2115)&amp;TRIM(AL2115)&amp;TRIM(AK2115)</f>
      </c>
      <c r="AN2115" s="116">
        <v>3478.58</v>
      </c>
      <c r="AO2115" s="116">
        <v>8.27</v>
      </c>
      <c r="AP2115" s="116">
        <f>SUMIFS(M:M,AM:AM,AM2115)+SUMIFS(O:O,AM:AM,AM2115)</f>
      </c>
      <c r="AQ2115" s="116">
        <f>SUMIFS(L:L,AM:AM,AM2115)</f>
      </c>
      <c r="AR2115" s="116">
        <f>AQ2115-AP2115</f>
      </c>
      <c r="AS2115" s="94" t="str">
        <f>IF(AN2115&gt;=AQ2115,"ok","ck")</f>
      </c>
      <c r="AT2115" s="116">
        <f>-P2115</f>
      </c>
      <c r="AU2115" s="115">
        <f>IF(SUMIFS(AT:AT,AM:AM,AM2115)&gt;AO2115,(SUMIFS(AT:AT,AM:AM,AM2115)-AO2115))</f>
      </c>
      <c r="AV2115" s="116">
        <v>3478.58</v>
      </c>
      <c r="AW2115" s="121">
        <v>0.988</v>
      </c>
      <c r="AX2115" s="115">
        <f>AN2115-AP2115</f>
      </c>
    </row>
    <row r="2116" spans="1:50" ht="15" hidden="1" customHeight="1" x14ac:dyDescent="0.3">
      <c r="A2116" s="94" t="s">
        <v>76</v>
      </c>
      <c r="B2116" s="94"/>
      <c r="C2116" s="94"/>
      <c r="D2116" s="94"/>
      <c r="E2116" s="94"/>
      <c r="F2116" s="94"/>
      <c r="G2116" s="112">
        <f>AU2116</f>
      </c>
      <c r="H2116" s="113"/>
      <c r="I2116" s="94" t="s">
        <v>393</v>
      </c>
      <c r="J2116" s="94" t="s">
        <v>420</v>
      </c>
      <c r="K2116" s="114">
        <f>P2116/3</f>
      </c>
      <c r="L2116" s="115">
        <v>2.0209999999999999</v>
      </c>
      <c r="M2116" s="116">
        <f>L2116</f>
      </c>
      <c r="N2116" s="117">
        <f>M2116-L2116</f>
      </c>
      <c r="O2116" s="112"/>
      <c r="P2116" s="118">
        <f>N2116+O2116</f>
      </c>
      <c r="Q2116" s="94" t="s">
        <v>112</v>
      </c>
      <c r="R2116" s="94" t="s">
        <v>392</v>
      </c>
      <c r="S2116" s="119">
        <v>46320</v>
      </c>
      <c r="T2116" s="119"/>
      <c r="U2116" s="119">
        <v>46320</v>
      </c>
      <c r="V2116" s="94"/>
      <c r="W2116" s="94"/>
      <c r="X2116" s="94"/>
      <c r="Y2116" s="119">
        <v>46320</v>
      </c>
      <c r="Z2116" s="94"/>
      <c r="AA2116" s="120"/>
      <c r="AB2116" s="120"/>
      <c r="AC2116" s="120"/>
      <c r="AD2116" s="120"/>
      <c r="AE2116" s="120"/>
      <c r="AF2116" s="120"/>
      <c r="AG2116" s="94"/>
      <c r="AH2116" s="120"/>
      <c r="AI2116" s="94"/>
      <c r="AJ2116" s="94" t="s">
        <v>112</v>
      </c>
      <c r="AK2116" s="94" t="s">
        <v>342</v>
      </c>
      <c r="AL2116" s="94">
        <v>150</v>
      </c>
      <c r="AM2116" s="94" t="str">
        <f>TRIM(AJ2116)&amp;TRIM(AL2116)&amp;TRIM(AK2116)</f>
      </c>
      <c r="AN2116" s="116">
        <v>3478.58</v>
      </c>
      <c r="AO2116" s="116">
        <v>8.27</v>
      </c>
      <c r="AP2116" s="116">
        <f>SUMIFS(M:M,AM:AM,AM2116)+SUMIFS(O:O,AM:AM,AM2116)</f>
      </c>
      <c r="AQ2116" s="116">
        <f>SUMIFS(L:L,AM:AM,AM2116)</f>
      </c>
      <c r="AR2116" s="116">
        <f>AQ2116-AP2116</f>
      </c>
      <c r="AS2116" s="94" t="str">
        <f>IF(AN2116&gt;=AQ2116,"ok","ck")</f>
      </c>
      <c r="AT2116" s="116">
        <f>-P2116</f>
      </c>
      <c r="AU2116" s="115">
        <f>IF(SUMIFS(AT:AT,AM:AM,AM2116)&gt;AO2116,(SUMIFS(AT:AT,AM:AM,AM2116)-AO2116))</f>
      </c>
      <c r="AV2116" s="116">
        <v>3478.58</v>
      </c>
      <c r="AW2116" s="121">
        <v>0.988</v>
      </c>
      <c r="AX2116" s="115">
        <f>AN2116-AP2116</f>
      </c>
    </row>
    <row r="2117" spans="1:50" ht="15" hidden="1" customHeight="1" x14ac:dyDescent="0.3">
      <c r="A2117" s="94" t="s">
        <v>76</v>
      </c>
      <c r="B2117" s="94"/>
      <c r="C2117" s="94"/>
      <c r="D2117" s="94"/>
      <c r="E2117" s="94"/>
      <c r="F2117" s="94"/>
      <c r="G2117" s="112">
        <f>AU2117</f>
      </c>
      <c r="H2117" s="113"/>
      <c r="I2117" s="94" t="s">
        <v>393</v>
      </c>
      <c r="J2117" s="94" t="s">
        <v>420</v>
      </c>
      <c r="K2117" s="114">
        <f>P2117/3</f>
      </c>
      <c r="L2117" s="115">
        <v>806.47</v>
      </c>
      <c r="M2117" s="116">
        <f>L2117</f>
      </c>
      <c r="N2117" s="117">
        <f>M2117-L2117</f>
      </c>
      <c r="O2117" s="112"/>
      <c r="P2117" s="118">
        <f>N2117+O2117</f>
      </c>
      <c r="Q2117" s="94" t="s">
        <v>112</v>
      </c>
      <c r="R2117" s="94" t="s">
        <v>392</v>
      </c>
      <c r="S2117" s="119">
        <v>46321</v>
      </c>
      <c r="T2117" s="119"/>
      <c r="U2117" s="119">
        <v>46321</v>
      </c>
      <c r="V2117" s="94"/>
      <c r="W2117" s="94"/>
      <c r="X2117" s="94"/>
      <c r="Y2117" s="119">
        <v>46321</v>
      </c>
      <c r="Z2117" s="94"/>
      <c r="AA2117" s="120"/>
      <c r="AB2117" s="120"/>
      <c r="AC2117" s="120"/>
      <c r="AD2117" s="120"/>
      <c r="AE2117" s="120"/>
      <c r="AF2117" s="120"/>
      <c r="AG2117" s="94"/>
      <c r="AH2117" s="120"/>
      <c r="AI2117" s="94"/>
      <c r="AJ2117" s="94" t="s">
        <v>112</v>
      </c>
      <c r="AK2117" s="94" t="s">
        <v>342</v>
      </c>
      <c r="AL2117" s="94">
        <v>150</v>
      </c>
      <c r="AM2117" s="94" t="str">
        <f>TRIM(AJ2117)&amp;TRIM(AL2117)&amp;TRIM(AK2117)</f>
      </c>
      <c r="AN2117" s="116">
        <v>3478.58</v>
      </c>
      <c r="AO2117" s="116">
        <v>8.27</v>
      </c>
      <c r="AP2117" s="116">
        <f>SUMIFS(M:M,AM:AM,AM2117)+SUMIFS(O:O,AM:AM,AM2117)</f>
      </c>
      <c r="AQ2117" s="116">
        <f>SUMIFS(L:L,AM:AM,AM2117)</f>
      </c>
      <c r="AR2117" s="116">
        <f>AQ2117-AP2117</f>
      </c>
      <c r="AS2117" s="94" t="str">
        <f>IF(AN2117&gt;=AQ2117,"ok","ck")</f>
      </c>
      <c r="AT2117" s="116">
        <f>-P2117</f>
      </c>
      <c r="AU2117" s="115">
        <f>IF(SUMIFS(AT:AT,AM:AM,AM2117)&gt;AO2117,(SUMIFS(AT:AT,AM:AM,AM2117)-AO2117))</f>
      </c>
      <c r="AV2117" s="116">
        <v>3478.58</v>
      </c>
      <c r="AW2117" s="121">
        <v>0.988</v>
      </c>
      <c r="AX2117" s="115">
        <f>AN2117-AP2117</f>
      </c>
    </row>
    <row r="2118" spans="1:50" ht="15" hidden="1" customHeight="1" x14ac:dyDescent="0.3">
      <c r="A2118" s="94" t="s">
        <v>76</v>
      </c>
      <c r="B2118" s="94"/>
      <c r="C2118" s="94"/>
      <c r="D2118" s="94"/>
      <c r="E2118" s="94"/>
      <c r="F2118" s="94"/>
      <c r="G2118" s="112">
        <f>AU2118</f>
      </c>
      <c r="H2118" s="113"/>
      <c r="I2118" s="94" t="s">
        <v>393</v>
      </c>
      <c r="J2118" s="94" t="s">
        <v>420</v>
      </c>
      <c r="K2118" s="114">
        <f>P2118/3</f>
      </c>
      <c r="L2118" s="115">
        <v>1202.0340000000001</v>
      </c>
      <c r="M2118" s="116">
        <f>L2118</f>
      </c>
      <c r="N2118" s="117">
        <f>M2118-L2118</f>
      </c>
      <c r="O2118" s="112"/>
      <c r="P2118" s="118">
        <f>N2118+O2118</f>
      </c>
      <c r="Q2118" s="94" t="s">
        <v>112</v>
      </c>
      <c r="R2118" s="94" t="s">
        <v>392</v>
      </c>
      <c r="S2118" s="119">
        <v>46322</v>
      </c>
      <c r="T2118" s="119"/>
      <c r="U2118" s="119">
        <v>46322</v>
      </c>
      <c r="V2118" s="94"/>
      <c r="W2118" s="94"/>
      <c r="X2118" s="94"/>
      <c r="Y2118" s="119">
        <v>46322</v>
      </c>
      <c r="Z2118" s="94"/>
      <c r="AA2118" s="120"/>
      <c r="AB2118" s="120"/>
      <c r="AC2118" s="120"/>
      <c r="AD2118" s="120"/>
      <c r="AE2118" s="120"/>
      <c r="AF2118" s="120"/>
      <c r="AG2118" s="94"/>
      <c r="AH2118" s="120"/>
      <c r="AI2118" s="94"/>
      <c r="AJ2118" s="94" t="s">
        <v>112</v>
      </c>
      <c r="AK2118" s="94" t="s">
        <v>342</v>
      </c>
      <c r="AL2118" s="94">
        <v>150</v>
      </c>
      <c r="AM2118" s="94" t="str">
        <f>TRIM(AJ2118)&amp;TRIM(AL2118)&amp;TRIM(AK2118)</f>
      </c>
      <c r="AN2118" s="116">
        <v>3478.58</v>
      </c>
      <c r="AO2118" s="116">
        <v>8.27</v>
      </c>
      <c r="AP2118" s="116">
        <f>SUMIFS(M:M,AM:AM,AM2118)+SUMIFS(O:O,AM:AM,AM2118)</f>
      </c>
      <c r="AQ2118" s="116">
        <f>SUMIFS(L:L,AM:AM,AM2118)</f>
      </c>
      <c r="AR2118" s="116">
        <f>AQ2118-AP2118</f>
      </c>
      <c r="AS2118" s="94" t="str">
        <f>IF(AN2118&gt;=AQ2118,"ok","ck")</f>
      </c>
      <c r="AT2118" s="116">
        <f>-P2118</f>
      </c>
      <c r="AU2118" s="115">
        <f>IF(SUMIFS(AT:AT,AM:AM,AM2118)&gt;AO2118,(SUMIFS(AT:AT,AM:AM,AM2118)-AO2118))</f>
      </c>
      <c r="AV2118" s="116">
        <v>3478.58</v>
      </c>
      <c r="AW2118" s="121">
        <v>0.988</v>
      </c>
      <c r="AX2118" s="115">
        <f>AN2118-AP2118</f>
      </c>
    </row>
    <row r="2119" spans="1:50" ht="15" hidden="1" customHeight="1" x14ac:dyDescent="0.3">
      <c r="A2119" s="94" t="s">
        <v>76</v>
      </c>
      <c r="B2119" s="94"/>
      <c r="C2119" s="94"/>
      <c r="D2119" s="94"/>
      <c r="E2119" s="94"/>
      <c r="F2119" s="94"/>
      <c r="G2119" s="112">
        <f>AU2119</f>
      </c>
      <c r="H2119" s="113"/>
      <c r="I2119" s="94" t="s">
        <v>393</v>
      </c>
      <c r="J2119" s="94" t="s">
        <v>420</v>
      </c>
      <c r="K2119" s="114">
        <f>P2119/3</f>
      </c>
      <c r="L2119" s="115">
        <v>2.1640000000000001</v>
      </c>
      <c r="M2119" s="116">
        <f>L2119</f>
      </c>
      <c r="N2119" s="117">
        <f>M2119-L2119</f>
      </c>
      <c r="O2119" s="112"/>
      <c r="P2119" s="118">
        <f>N2119+O2119</f>
      </c>
      <c r="Q2119" s="94" t="s">
        <v>112</v>
      </c>
      <c r="R2119" s="94" t="s">
        <v>392</v>
      </c>
      <c r="S2119" s="119">
        <v>46322</v>
      </c>
      <c r="T2119" s="119"/>
      <c r="U2119" s="119">
        <v>46322</v>
      </c>
      <c r="V2119" s="94"/>
      <c r="W2119" s="94"/>
      <c r="X2119" s="94"/>
      <c r="Y2119" s="119">
        <v>46322</v>
      </c>
      <c r="Z2119" s="94"/>
      <c r="AA2119" s="120"/>
      <c r="AB2119" s="120"/>
      <c r="AC2119" s="120"/>
      <c r="AD2119" s="120"/>
      <c r="AE2119" s="120"/>
      <c r="AF2119" s="120"/>
      <c r="AG2119" s="94"/>
      <c r="AH2119" s="120"/>
      <c r="AI2119" s="94"/>
      <c r="AJ2119" s="94" t="s">
        <v>112</v>
      </c>
      <c r="AK2119" s="94" t="s">
        <v>342</v>
      </c>
      <c r="AL2119" s="94">
        <v>150</v>
      </c>
      <c r="AM2119" s="94" t="str">
        <f>TRIM(AJ2119)&amp;TRIM(AL2119)&amp;TRIM(AK2119)</f>
      </c>
      <c r="AN2119" s="116">
        <v>3478.58</v>
      </c>
      <c r="AO2119" s="116">
        <v>8.27</v>
      </c>
      <c r="AP2119" s="116">
        <f>SUMIFS(M:M,AM:AM,AM2119)+SUMIFS(O:O,AM:AM,AM2119)</f>
      </c>
      <c r="AQ2119" s="116">
        <f>SUMIFS(L:L,AM:AM,AM2119)</f>
      </c>
      <c r="AR2119" s="116">
        <f>AQ2119-AP2119</f>
      </c>
      <c r="AS2119" s="94" t="str">
        <f>IF(AN2119&gt;=AQ2119,"ok","ck")</f>
      </c>
      <c r="AT2119" s="116">
        <f>-P2119</f>
      </c>
      <c r="AU2119" s="115">
        <f>IF(SUMIFS(AT:AT,AM:AM,AM2119)&gt;AO2119,(SUMIFS(AT:AT,AM:AM,AM2119)-AO2119))</f>
      </c>
      <c r="AV2119" s="116">
        <v>3478.58</v>
      </c>
      <c r="AW2119" s="121">
        <v>0.988</v>
      </c>
      <c r="AX2119" s="115">
        <f>AN2119-AP2119</f>
      </c>
    </row>
    <row r="2120" spans="1:50" ht="15" hidden="1" customHeight="1" x14ac:dyDescent="0.3">
      <c r="A2120" s="94" t="s">
        <v>76</v>
      </c>
      <c r="B2120" s="94"/>
      <c r="C2120" s="94"/>
      <c r="D2120" s="94"/>
      <c r="E2120" s="94"/>
      <c r="F2120" s="94"/>
      <c r="G2120" s="112">
        <f>AU2120</f>
      </c>
      <c r="H2120" s="113"/>
      <c r="I2120" s="94" t="s">
        <v>393</v>
      </c>
      <c r="J2120" s="94" t="s">
        <v>421</v>
      </c>
      <c r="K2120" s="114">
        <f>P2120/3</f>
      </c>
      <c r="L2120" s="115">
        <v>278.59699999999998</v>
      </c>
      <c r="M2120" s="116"/>
      <c r="N2120" s="117">
        <f>M2120-L2120</f>
      </c>
      <c r="O2120" s="112"/>
      <c r="P2120" s="118">
        <f>N2120+O2120</f>
      </c>
      <c r="Q2120" s="94" t="s">
        <v>112</v>
      </c>
      <c r="R2120" s="94" t="s">
        <v>392</v>
      </c>
      <c r="S2120" s="119">
        <v>46326</v>
      </c>
      <c r="T2120" s="119"/>
      <c r="U2120" s="119">
        <v>46326</v>
      </c>
      <c r="V2120" s="94"/>
      <c r="W2120" s="94"/>
      <c r="X2120" s="94"/>
      <c r="Y2120" s="119">
        <v>46326</v>
      </c>
      <c r="Z2120" s="94"/>
      <c r="AA2120" s="120"/>
      <c r="AB2120" s="120"/>
      <c r="AC2120" s="120"/>
      <c r="AD2120" s="120"/>
      <c r="AE2120" s="120"/>
      <c r="AF2120" s="120"/>
      <c r="AG2120" s="94"/>
      <c r="AH2120" s="120"/>
      <c r="AI2120" s="94"/>
      <c r="AJ2120" s="94" t="s">
        <v>112</v>
      </c>
      <c r="AK2120" s="94" t="s">
        <v>753</v>
      </c>
      <c r="AL2120" s="94">
        <v>150</v>
      </c>
      <c r="AM2120" s="94" t="str">
        <f>TRIM(AJ2120)&amp;TRIM(AL2120)&amp;TRIM(AK2120)</f>
      </c>
      <c r="AN2120" s="116">
        <v>0</v>
      </c>
      <c r="AO2120" s="116" t="inlineStr">
        <is>
          <t>#NA</t>
        </is>
      </c>
      <c r="AP2120" s="116">
        <f>SUMIFS(M:M,AM:AM,AM2120)+SUMIFS(O:O,AM:AM,AM2120)</f>
      </c>
      <c r="AQ2120" s="116">
        <f>SUMIFS(L:L,AM:AM,AM2120)</f>
      </c>
      <c r="AR2120" s="116">
        <f>AQ2120-AP2120</f>
      </c>
      <c r="AS2120" s="94" t="str">
        <f>IF(AN2120&gt;=AQ2120,"ok","ck")</f>
      </c>
      <c r="AT2120" s="116">
        <f>-P2120</f>
      </c>
      <c r="AU2120" s="115">
        <f>IF(SUMIFS(AT:AT,AM:AM,AM2120)&gt;AO2120,(SUMIFS(AT:AT,AM:AM,AM2120)-AO2120))</f>
      </c>
      <c r="AV2120" s="116">
        <v>0</v>
      </c>
      <c r="AW2120" s="121">
        <v>0.981</v>
      </c>
      <c r="AX2120" s="115">
        <f>AN2120-AP2120</f>
      </c>
    </row>
    <row r="2121" spans="1:50" ht="15" hidden="1" customHeight="1" x14ac:dyDescent="0.3">
      <c r="A2121" s="94" t="s">
        <v>76</v>
      </c>
      <c r="B2121" s="94"/>
      <c r="C2121" s="94"/>
      <c r="D2121" s="94"/>
      <c r="E2121" s="94"/>
      <c r="F2121" s="94"/>
      <c r="G2121" s="112">
        <f>AU2121</f>
      </c>
      <c r="H2121" s="113"/>
      <c r="I2121" s="94" t="s">
        <v>393</v>
      </c>
      <c r="J2121" s="94" t="s">
        <v>421</v>
      </c>
      <c r="K2121" s="114">
        <f>P2121/3</f>
      </c>
      <c r="L2121" s="115">
        <v>584.64499999999998</v>
      </c>
      <c r="M2121" s="116"/>
      <c r="N2121" s="117">
        <f>M2121-L2121</f>
      </c>
      <c r="O2121" s="112"/>
      <c r="P2121" s="118">
        <f>N2121+O2121</f>
      </c>
      <c r="Q2121" s="94" t="s">
        <v>112</v>
      </c>
      <c r="R2121" s="94" t="s">
        <v>392</v>
      </c>
      <c r="S2121" s="119">
        <v>46326</v>
      </c>
      <c r="T2121" s="119"/>
      <c r="U2121" s="119">
        <v>46326</v>
      </c>
      <c r="V2121" s="94"/>
      <c r="W2121" s="94"/>
      <c r="X2121" s="94"/>
      <c r="Y2121" s="119">
        <v>46326</v>
      </c>
      <c r="Z2121" s="94"/>
      <c r="AA2121" s="120"/>
      <c r="AB2121" s="120"/>
      <c r="AC2121" s="120"/>
      <c r="AD2121" s="120"/>
      <c r="AE2121" s="120"/>
      <c r="AF2121" s="120"/>
      <c r="AG2121" s="94"/>
      <c r="AH2121" s="120"/>
      <c r="AI2121" s="94"/>
      <c r="AJ2121" s="94" t="s">
        <v>112</v>
      </c>
      <c r="AK2121" s="94" t="s">
        <v>753</v>
      </c>
      <c r="AL2121" s="94">
        <v>150</v>
      </c>
      <c r="AM2121" s="94" t="str">
        <f>TRIM(AJ2121)&amp;TRIM(AL2121)&amp;TRIM(AK2121)</f>
      </c>
      <c r="AN2121" s="116">
        <v>0</v>
      </c>
      <c r="AO2121" s="116" t="inlineStr">
        <is>
          <t>#NA</t>
        </is>
      </c>
      <c r="AP2121" s="116">
        <f>SUMIFS(M:M,AM:AM,AM2121)+SUMIFS(O:O,AM:AM,AM2121)</f>
      </c>
      <c r="AQ2121" s="116">
        <f>SUMIFS(L:L,AM:AM,AM2121)</f>
      </c>
      <c r="AR2121" s="116">
        <f>AQ2121-AP2121</f>
      </c>
      <c r="AS2121" s="94" t="str">
        <f>IF(AN2121&gt;=AQ2121,"ok","ck")</f>
      </c>
      <c r="AT2121" s="116">
        <f>-P2121</f>
      </c>
      <c r="AU2121" s="115">
        <f>IF(SUMIFS(AT:AT,AM:AM,AM2121)&gt;AO2121,(SUMIFS(AT:AT,AM:AM,AM2121)-AO2121))</f>
      </c>
      <c r="AV2121" s="116">
        <v>0</v>
      </c>
      <c r="AW2121" s="121">
        <v>0.981</v>
      </c>
      <c r="AX2121" s="115">
        <f>AN2121-AP2121</f>
      </c>
    </row>
    <row r="2122" spans="1:50" ht="15" hidden="1" customHeight="1" x14ac:dyDescent="0.3">
      <c r="A2122" s="94" t="s">
        <v>268</v>
      </c>
      <c r="B2122" s="94"/>
      <c r="C2122" s="94"/>
      <c r="D2122" s="94"/>
      <c r="E2122" s="94"/>
      <c r="F2122" s="94"/>
      <c r="G2122" s="112">
        <f>AU2122</f>
      </c>
      <c r="H2122" s="113"/>
      <c r="I2122" s="94" t="s">
        <v>390</v>
      </c>
      <c r="J2122" s="94" t="s">
        <v>594</v>
      </c>
      <c r="K2122" s="114">
        <f>P2122/3</f>
      </c>
      <c r="L2122" s="115">
        <v>0.05</v>
      </c>
      <c r="M2122" s="116"/>
      <c r="N2122" s="117">
        <f>M2122-L2122</f>
      </c>
      <c r="O2122" s="112"/>
      <c r="P2122" s="118">
        <f>N2122+O2122</f>
      </c>
      <c r="Q2122" s="94" t="s">
        <v>807</v>
      </c>
      <c r="R2122" s="94" t="s">
        <v>392</v>
      </c>
      <c r="S2122" s="119">
        <v>46343</v>
      </c>
      <c r="T2122" s="119"/>
      <c r="U2122" s="119">
        <v>46343</v>
      </c>
      <c r="V2122" s="94"/>
      <c r="W2122" s="94"/>
      <c r="X2122" s="94"/>
      <c r="Y2122" s="119">
        <v>46343</v>
      </c>
      <c r="Z2122" s="94"/>
      <c r="AA2122" s="120"/>
      <c r="AB2122" s="120"/>
      <c r="AC2122" s="120"/>
      <c r="AD2122" s="120"/>
      <c r="AE2122" s="120"/>
      <c r="AF2122" s="120"/>
      <c r="AG2122" s="94"/>
      <c r="AH2122" s="120"/>
      <c r="AI2122" s="94"/>
      <c r="AJ2122" s="94" t="s">
        <v>807</v>
      </c>
      <c r="AK2122" s="94" t="s">
        <v>757</v>
      </c>
      <c r="AL2122" s="94">
        <v>140</v>
      </c>
      <c r="AM2122" s="94" t="str">
        <f>TRIM(AJ2122)&amp;TRIM(AL2122)&amp;TRIM(AK2122)</f>
      </c>
      <c r="AN2122" s="116">
        <v>0</v>
      </c>
      <c r="AO2122" s="116" t="inlineStr">
        <is>
          <t>#NA</t>
        </is>
      </c>
      <c r="AP2122" s="116">
        <f>SUMIFS(M:M,AM:AM,AM2122)+SUMIFS(O:O,AM:AM,AM2122)</f>
      </c>
      <c r="AQ2122" s="116">
        <f>SUMIFS(L:L,AM:AM,AM2122)</f>
      </c>
      <c r="AR2122" s="116">
        <f>AQ2122-AP2122</f>
      </c>
      <c r="AS2122" s="94" t="str">
        <f>IF(AN2122&gt;=AQ2122,"ok","ck")</f>
      </c>
      <c r="AT2122" s="116">
        <f>-P2122</f>
      </c>
      <c r="AU2122" s="115">
        <f>IF(SUMIFS(AT:AT,AM:AM,AM2122)&gt;AO2122,(SUMIFS(AT:AT,AM:AM,AM2122)-AO2122))</f>
      </c>
      <c r="AV2122" s="116">
        <v>0</v>
      </c>
      <c r="AW2122" s="121">
        <v>0</v>
      </c>
      <c r="AX2122" s="115">
        <f>AN2122-AP2122</f>
      </c>
    </row>
    <row r="2123" spans="1:50" ht="15" hidden="1" customHeight="1" x14ac:dyDescent="0.3">
      <c r="A2123" s="94" t="s">
        <v>151</v>
      </c>
      <c r="B2123" s="94"/>
      <c r="C2123" s="94"/>
      <c r="D2123" s="94"/>
      <c r="E2123" s="94"/>
      <c r="F2123" s="94"/>
      <c r="G2123" s="112">
        <f>AU2123</f>
      </c>
      <c r="H2123" s="113"/>
      <c r="I2123" s="94" t="s">
        <v>442</v>
      </c>
      <c r="J2123" s="94" t="s">
        <v>443</v>
      </c>
      <c r="K2123" s="114">
        <f>P2123/3</f>
      </c>
      <c r="L2123" s="115">
        <v>0</v>
      </c>
      <c r="M2123" s="116"/>
      <c r="N2123" s="117">
        <f>M2123-L2123</f>
      </c>
      <c r="O2123" s="112"/>
      <c r="P2123" s="118">
        <f>N2123+O2123</f>
      </c>
      <c r="Q2123" s="94" t="s">
        <v>160</v>
      </c>
      <c r="R2123" s="94" t="s">
        <v>392</v>
      </c>
      <c r="S2123" s="119">
        <v>46330</v>
      </c>
      <c r="T2123" s="119"/>
      <c r="U2123" s="120">
        <v>46330</v>
      </c>
      <c r="V2123" s="94"/>
      <c r="W2123" s="94"/>
      <c r="X2123" s="94"/>
      <c r="Y2123" s="119">
        <v>46330</v>
      </c>
      <c r="Z2123" s="94"/>
      <c r="AA2123" s="120"/>
      <c r="AB2123" s="120"/>
      <c r="AC2123" s="120"/>
      <c r="AD2123" s="120"/>
      <c r="AE2123" s="120"/>
      <c r="AF2123" s="120"/>
      <c r="AG2123" s="94"/>
      <c r="AH2123" s="120"/>
      <c r="AI2123" s="94"/>
      <c r="AJ2123" s="94" t="s">
        <v>160</v>
      </c>
      <c r="AK2123" s="94" t="s">
        <v>747</v>
      </c>
      <c r="AL2123" s="94">
        <v>160</v>
      </c>
      <c r="AM2123" s="94" t="str">
        <f>TRIM(AJ2123)&amp;TRIM(AL2123)&amp;TRIM(AK2123)</f>
      </c>
      <c r="AN2123" s="116">
        <v>0</v>
      </c>
      <c r="AO2123" s="116" t="inlineStr">
        <is>
          <t>#NA</t>
        </is>
      </c>
      <c r="AP2123" s="116">
        <f>SUMIFS(M:M,AM:AM,AM2123)+SUMIFS(O:O,AM:AM,AM2123)</f>
      </c>
      <c r="AQ2123" s="116">
        <f>SUMIFS(L:L,AM:AM,AM2123)</f>
      </c>
      <c r="AR2123" s="116">
        <f>AQ2123-AP2123</f>
      </c>
      <c r="AS2123" s="94" t="str">
        <f>IF(AN2123&gt;=AQ2123,"ok","ck")</f>
      </c>
      <c r="AT2123" s="116">
        <f>-P2123</f>
      </c>
      <c r="AU2123" s="115">
        <f>IF(SUMIFS(AT:AT,AM:AM,AM2123)&gt;AO2123,(SUMIFS(AT:AT,AM:AM,AM2123)-AO2123))</f>
      </c>
      <c r="AV2123" s="116">
        <v>0</v>
      </c>
      <c r="AW2123" s="121">
        <v>0.41</v>
      </c>
      <c r="AX2123" s="115">
        <f>AN2123-AP2123</f>
      </c>
    </row>
    <row r="2124" spans="1:50" ht="15" hidden="1" customHeight="1" x14ac:dyDescent="0.3">
      <c r="A2124" s="94" t="s">
        <v>151</v>
      </c>
      <c r="B2124" s="94"/>
      <c r="C2124" s="94"/>
      <c r="D2124" s="94"/>
      <c r="E2124" s="94"/>
      <c r="F2124" s="94"/>
      <c r="G2124" s="112">
        <f>AU2124</f>
      </c>
      <c r="H2124" s="113"/>
      <c r="I2124" s="94" t="s">
        <v>442</v>
      </c>
      <c r="J2124" s="94" t="s">
        <v>443</v>
      </c>
      <c r="K2124" s="114">
        <f>P2124/3</f>
      </c>
      <c r="L2124" s="115">
        <v>0</v>
      </c>
      <c r="M2124" s="116"/>
      <c r="N2124" s="117">
        <f>M2124-L2124</f>
      </c>
      <c r="O2124" s="112"/>
      <c r="P2124" s="118">
        <f>N2124+O2124</f>
      </c>
      <c r="Q2124" s="94" t="s">
        <v>160</v>
      </c>
      <c r="R2124" s="94" t="s">
        <v>392</v>
      </c>
      <c r="S2124" s="119">
        <v>46320</v>
      </c>
      <c r="T2124" s="119"/>
      <c r="U2124" s="120">
        <v>46320</v>
      </c>
      <c r="V2124" s="94"/>
      <c r="W2124" s="94"/>
      <c r="X2124" s="94"/>
      <c r="Y2124" s="119">
        <v>46320</v>
      </c>
      <c r="Z2124" s="94"/>
      <c r="AA2124" s="120"/>
      <c r="AB2124" s="120"/>
      <c r="AC2124" s="120"/>
      <c r="AD2124" s="120"/>
      <c r="AE2124" s="120"/>
      <c r="AF2124" s="120"/>
      <c r="AG2124" s="94"/>
      <c r="AH2124" s="120"/>
      <c r="AI2124" s="94"/>
      <c r="AJ2124" s="94" t="s">
        <v>160</v>
      </c>
      <c r="AK2124" s="94" t="s">
        <v>747</v>
      </c>
      <c r="AL2124" s="94">
        <v>160</v>
      </c>
      <c r="AM2124" s="94" t="str">
        <f>TRIM(AJ2124)&amp;TRIM(AL2124)&amp;TRIM(AK2124)</f>
      </c>
      <c r="AN2124" s="116">
        <v>0</v>
      </c>
      <c r="AO2124" s="116" t="inlineStr">
        <is>
          <t>#NA</t>
        </is>
      </c>
      <c r="AP2124" s="116">
        <f>SUMIFS(M:M,AM:AM,AM2124)+SUMIFS(O:O,AM:AM,AM2124)</f>
      </c>
      <c r="AQ2124" s="116">
        <f>SUMIFS(L:L,AM:AM,AM2124)</f>
      </c>
      <c r="AR2124" s="116">
        <f>AQ2124-AP2124</f>
      </c>
      <c r="AS2124" s="94" t="str">
        <f>IF(AN2124&gt;=AQ2124,"ok","ck")</f>
      </c>
      <c r="AT2124" s="116">
        <f>-P2124</f>
      </c>
      <c r="AU2124" s="115">
        <f>IF(SUMIFS(AT:AT,AM:AM,AM2124)&gt;AO2124,(SUMIFS(AT:AT,AM:AM,AM2124)-AO2124))</f>
      </c>
      <c r="AV2124" s="116">
        <v>0</v>
      </c>
      <c r="AW2124" s="121">
        <v>0.41</v>
      </c>
      <c r="AX2124" s="115">
        <f>AN2124-AP2124</f>
      </c>
    </row>
    <row r="2125" spans="1:50" ht="15" hidden="1" customHeight="1" x14ac:dyDescent="0.3">
      <c r="A2125" s="94" t="s">
        <v>151</v>
      </c>
      <c r="B2125" s="94"/>
      <c r="C2125" s="94"/>
      <c r="D2125" s="94"/>
      <c r="E2125" s="94"/>
      <c r="F2125" s="94"/>
      <c r="G2125" s="112">
        <f>AU2125</f>
      </c>
      <c r="H2125" s="113"/>
      <c r="I2125" s="94" t="s">
        <v>442</v>
      </c>
      <c r="J2125" s="94" t="s">
        <v>443</v>
      </c>
      <c r="K2125" s="114">
        <f>P2125/3</f>
      </c>
      <c r="L2125" s="115">
        <v>0</v>
      </c>
      <c r="M2125" s="116"/>
      <c r="N2125" s="117">
        <f>M2125-L2125</f>
      </c>
      <c r="O2125" s="112"/>
      <c r="P2125" s="118">
        <f>N2125+O2125</f>
      </c>
      <c r="Q2125" s="94" t="s">
        <v>160</v>
      </c>
      <c r="R2125" s="94" t="s">
        <v>392</v>
      </c>
      <c r="S2125" s="119">
        <v>46320</v>
      </c>
      <c r="T2125" s="119"/>
      <c r="U2125" s="120">
        <v>46320</v>
      </c>
      <c r="V2125" s="94"/>
      <c r="W2125" s="94"/>
      <c r="X2125" s="94"/>
      <c r="Y2125" s="119">
        <v>46320</v>
      </c>
      <c r="Z2125" s="94"/>
      <c r="AA2125" s="120"/>
      <c r="AB2125" s="120"/>
      <c r="AC2125" s="120"/>
      <c r="AD2125" s="120"/>
      <c r="AE2125" s="120"/>
      <c r="AF2125" s="120"/>
      <c r="AG2125" s="94"/>
      <c r="AH2125" s="120"/>
      <c r="AI2125" s="94"/>
      <c r="AJ2125" s="94" t="s">
        <v>160</v>
      </c>
      <c r="AK2125" s="94" t="s">
        <v>747</v>
      </c>
      <c r="AL2125" s="94">
        <v>160</v>
      </c>
      <c r="AM2125" s="94" t="str">
        <f>TRIM(AJ2125)&amp;TRIM(AL2125)&amp;TRIM(AK2125)</f>
      </c>
      <c r="AN2125" s="116">
        <v>0</v>
      </c>
      <c r="AO2125" s="116" t="inlineStr">
        <is>
          <t>#NA</t>
        </is>
      </c>
      <c r="AP2125" s="116">
        <f>SUMIFS(M:M,AM:AM,AM2125)+SUMIFS(O:O,AM:AM,AM2125)</f>
      </c>
      <c r="AQ2125" s="116">
        <f>SUMIFS(L:L,AM:AM,AM2125)</f>
      </c>
      <c r="AR2125" s="116">
        <f>AQ2125-AP2125</f>
      </c>
      <c r="AS2125" s="94" t="str">
        <f>IF(AN2125&gt;=AQ2125,"ok","ck")</f>
      </c>
      <c r="AT2125" s="116">
        <f>-P2125</f>
      </c>
      <c r="AU2125" s="115">
        <f>IF(SUMIFS(AT:AT,AM:AM,AM2125)&gt;AO2125,(SUMIFS(AT:AT,AM:AM,AM2125)-AO2125))</f>
      </c>
      <c r="AV2125" s="116">
        <v>0</v>
      </c>
      <c r="AW2125" s="121">
        <v>0.41</v>
      </c>
      <c r="AX2125" s="115">
        <f>AN2125-AP2125</f>
      </c>
    </row>
    <row r="2126" spans="1:50" ht="15" hidden="1" customHeight="1" x14ac:dyDescent="0.3">
      <c r="A2126" s="94" t="s">
        <v>151</v>
      </c>
      <c r="B2126" s="94"/>
      <c r="C2126" s="94"/>
      <c r="D2126" s="94"/>
      <c r="E2126" s="94"/>
      <c r="F2126" s="94"/>
      <c r="G2126" s="112">
        <f>AU2126</f>
      </c>
      <c r="H2126" s="113"/>
      <c r="I2126" s="94" t="s">
        <v>442</v>
      </c>
      <c r="J2126" s="94" t="s">
        <v>443</v>
      </c>
      <c r="K2126" s="114">
        <f>P2126/3</f>
      </c>
      <c r="L2126" s="115">
        <v>0</v>
      </c>
      <c r="M2126" s="116"/>
      <c r="N2126" s="117">
        <f>M2126-L2126</f>
      </c>
      <c r="O2126" s="112"/>
      <c r="P2126" s="118">
        <f>N2126+O2126</f>
      </c>
      <c r="Q2126" s="94" t="s">
        <v>160</v>
      </c>
      <c r="R2126" s="94" t="s">
        <v>392</v>
      </c>
      <c r="S2126" s="119">
        <v>46320</v>
      </c>
      <c r="T2126" s="119"/>
      <c r="U2126" s="119">
        <v>46320</v>
      </c>
      <c r="V2126" s="94"/>
      <c r="W2126" s="94"/>
      <c r="X2126" s="94"/>
      <c r="Y2126" s="119">
        <v>46320</v>
      </c>
      <c r="Z2126" s="94"/>
      <c r="AA2126" s="120"/>
      <c r="AB2126" s="120"/>
      <c r="AC2126" s="120"/>
      <c r="AD2126" s="120"/>
      <c r="AE2126" s="120"/>
      <c r="AF2126" s="120"/>
      <c r="AG2126" s="94"/>
      <c r="AH2126" s="120"/>
      <c r="AI2126" s="94"/>
      <c r="AJ2126" s="94" t="s">
        <v>160</v>
      </c>
      <c r="AK2126" s="94" t="s">
        <v>747</v>
      </c>
      <c r="AL2126" s="94">
        <v>160</v>
      </c>
      <c r="AM2126" s="94" t="str">
        <f>TRIM(AJ2126)&amp;TRIM(AL2126)&amp;TRIM(AK2126)</f>
      </c>
      <c r="AN2126" s="116">
        <v>0</v>
      </c>
      <c r="AO2126" s="116" t="inlineStr">
        <is>
          <t>#NA</t>
        </is>
      </c>
      <c r="AP2126" s="116">
        <f>SUMIFS(M:M,AM:AM,AM2126)+SUMIFS(O:O,AM:AM,AM2126)</f>
      </c>
      <c r="AQ2126" s="116">
        <f>SUMIFS(L:L,AM:AM,AM2126)</f>
      </c>
      <c r="AR2126" s="116">
        <f>AQ2126-AP2126</f>
      </c>
      <c r="AS2126" s="94" t="str">
        <f>IF(AN2126&gt;=AQ2126,"ok","ck")</f>
      </c>
      <c r="AT2126" s="116">
        <f>-P2126</f>
      </c>
      <c r="AU2126" s="115">
        <f>IF(SUMIFS(AT:AT,AM:AM,AM2126)&gt;AO2126,(SUMIFS(AT:AT,AM:AM,AM2126)-AO2126))</f>
      </c>
      <c r="AV2126" s="116">
        <v>0</v>
      </c>
      <c r="AW2126" s="121">
        <v>0.41</v>
      </c>
      <c r="AX2126" s="115">
        <f>AN2126-AP2126</f>
      </c>
    </row>
    <row r="2127" spans="1:50" ht="15" hidden="1" customHeight="1" x14ac:dyDescent="0.3">
      <c r="A2127" s="94" t="s">
        <v>151</v>
      </c>
      <c r="B2127" s="94"/>
      <c r="C2127" s="94"/>
      <c r="D2127" s="94"/>
      <c r="E2127" s="94"/>
      <c r="F2127" s="94"/>
      <c r="G2127" s="112">
        <f>AU2127</f>
      </c>
      <c r="H2127" s="113"/>
      <c r="I2127" s="94" t="s">
        <v>442</v>
      </c>
      <c r="J2127" s="94" t="s">
        <v>443</v>
      </c>
      <c r="K2127" s="114">
        <f>P2127/3</f>
      </c>
      <c r="L2127" s="115">
        <v>0</v>
      </c>
      <c r="M2127" s="116"/>
      <c r="N2127" s="117">
        <f>M2127-L2127</f>
      </c>
      <c r="O2127" s="112"/>
      <c r="P2127" s="118">
        <f>N2127+O2127</f>
      </c>
      <c r="Q2127" s="94" t="s">
        <v>160</v>
      </c>
      <c r="R2127" s="94" t="s">
        <v>392</v>
      </c>
      <c r="S2127" s="119">
        <v>46328</v>
      </c>
      <c r="T2127" s="119"/>
      <c r="U2127" s="119">
        <v>46328</v>
      </c>
      <c r="V2127" s="94"/>
      <c r="W2127" s="94"/>
      <c r="X2127" s="94"/>
      <c r="Y2127" s="119">
        <v>46328</v>
      </c>
      <c r="Z2127" s="94"/>
      <c r="AA2127" s="120"/>
      <c r="AB2127" s="120"/>
      <c r="AC2127" s="120"/>
      <c r="AD2127" s="120"/>
      <c r="AE2127" s="120"/>
      <c r="AF2127" s="120"/>
      <c r="AG2127" s="94"/>
      <c r="AH2127" s="120"/>
      <c r="AI2127" s="94"/>
      <c r="AJ2127" s="94" t="s">
        <v>160</v>
      </c>
      <c r="AK2127" s="94" t="s">
        <v>747</v>
      </c>
      <c r="AL2127" s="94">
        <v>160</v>
      </c>
      <c r="AM2127" s="94" t="str">
        <f>TRIM(AJ2127)&amp;TRIM(AL2127)&amp;TRIM(AK2127)</f>
      </c>
      <c r="AN2127" s="116">
        <v>0</v>
      </c>
      <c r="AO2127" s="116" t="inlineStr">
        <is>
          <t>#NA</t>
        </is>
      </c>
      <c r="AP2127" s="116">
        <f>SUMIFS(M:M,AM:AM,AM2127)+SUMIFS(O:O,AM:AM,AM2127)</f>
      </c>
      <c r="AQ2127" s="116">
        <f>SUMIFS(L:L,AM:AM,AM2127)</f>
      </c>
      <c r="AR2127" s="116">
        <f>AQ2127-AP2127</f>
      </c>
      <c r="AS2127" s="94" t="str">
        <f>IF(AN2127&gt;=AQ2127,"ok","ck")</f>
      </c>
      <c r="AT2127" s="116">
        <f>-P2127</f>
      </c>
      <c r="AU2127" s="115">
        <f>IF(SUMIFS(AT:AT,AM:AM,AM2127)&gt;AO2127,(SUMIFS(AT:AT,AM:AM,AM2127)-AO2127))</f>
      </c>
      <c r="AV2127" s="116">
        <v>0</v>
      </c>
      <c r="AW2127" s="121">
        <v>0.41</v>
      </c>
      <c r="AX2127" s="115">
        <f>AN2127-AP2127</f>
      </c>
    </row>
    <row r="2128" spans="1:50" ht="15" hidden="1" customHeight="1" x14ac:dyDescent="0.3">
      <c r="A2128" s="94" t="s">
        <v>268</v>
      </c>
      <c r="B2128" s="94"/>
      <c r="C2128" s="94"/>
      <c r="D2128" s="94"/>
      <c r="E2128" s="94"/>
      <c r="F2128" s="94"/>
      <c r="G2128" s="112">
        <f>AU2128</f>
      </c>
      <c r="H2128" s="113"/>
      <c r="I2128" s="94" t="s">
        <v>390</v>
      </c>
      <c r="J2128" s="94" t="s">
        <v>598</v>
      </c>
      <c r="K2128" s="114">
        <f>P2128/3</f>
      </c>
      <c r="L2128" s="115">
        <v>0</v>
      </c>
      <c r="M2128" s="116"/>
      <c r="N2128" s="117">
        <f>M2128-L2128</f>
      </c>
      <c r="O2128" s="112"/>
      <c r="P2128" s="118">
        <f>N2128+O2128</f>
      </c>
      <c r="Q2128" s="94" t="s">
        <v>309</v>
      </c>
      <c r="R2128" s="94" t="s">
        <v>392</v>
      </c>
      <c r="S2128" s="119">
        <v>46320</v>
      </c>
      <c r="T2128" s="119"/>
      <c r="U2128" s="119">
        <v>46320</v>
      </c>
      <c r="V2128" s="94"/>
      <c r="W2128" s="94"/>
      <c r="X2128" s="94"/>
      <c r="Y2128" s="119">
        <v>46320</v>
      </c>
      <c r="Z2128" s="94"/>
      <c r="AA2128" s="120"/>
      <c r="AB2128" s="120"/>
      <c r="AC2128" s="120"/>
      <c r="AD2128" s="120"/>
      <c r="AE2128" s="120"/>
      <c r="AF2128" s="120"/>
      <c r="AG2128" s="94"/>
      <c r="AH2128" s="120"/>
      <c r="AI2128" s="94"/>
      <c r="AJ2128" s="94" t="s">
        <v>309</v>
      </c>
      <c r="AK2128" s="94" t="s">
        <v>342</v>
      </c>
      <c r="AL2128" s="94">
        <v>140</v>
      </c>
      <c r="AM2128" s="94" t="str">
        <f>TRIM(AJ2128)&amp;TRIM(AL2128)&amp;TRIM(AK2128)</f>
      </c>
      <c r="AN2128" s="116">
        <v>0</v>
      </c>
      <c r="AO2128" s="116" t="inlineStr">
        <is>
          <t>#NA</t>
        </is>
      </c>
      <c r="AP2128" s="116">
        <f>SUMIFS(M:M,AM:AM,AM2128)+SUMIFS(O:O,AM:AM,AM2128)</f>
      </c>
      <c r="AQ2128" s="116">
        <f>SUMIFS(L:L,AM:AM,AM2128)</f>
      </c>
      <c r="AR2128" s="116">
        <f>AQ2128-AP2128</f>
      </c>
      <c r="AS2128" s="94" t="str">
        <f>IF(AN2128&gt;=AQ2128,"ok","ck")</f>
      </c>
      <c r="AT2128" s="116">
        <f>-P2128</f>
      </c>
      <c r="AU2128" s="115">
        <f>IF(SUMIFS(AT:AT,AM:AM,AM2128)&gt;AO2128,(SUMIFS(AT:AT,AM:AM,AM2128)-AO2128))</f>
      </c>
      <c r="AV2128" s="116">
        <v>0</v>
      </c>
      <c r="AW2128" s="121">
        <v>1.065</v>
      </c>
      <c r="AX2128" s="115">
        <f>AN2128-AP2128</f>
      </c>
    </row>
    <row r="2129" spans="1:50" ht="15" hidden="1" customHeight="1" x14ac:dyDescent="0.3">
      <c r="A2129" s="94" t="s">
        <v>76</v>
      </c>
      <c r="B2129" s="94"/>
      <c r="C2129" s="94"/>
      <c r="D2129" s="94"/>
      <c r="E2129" s="94"/>
      <c r="F2129" s="94"/>
      <c r="G2129" s="112">
        <f>AU2129</f>
      </c>
      <c r="H2129" s="113"/>
      <c r="I2129" s="94" t="s">
        <v>393</v>
      </c>
      <c r="J2129" s="94" t="s">
        <v>436</v>
      </c>
      <c r="K2129" s="114">
        <f>P2129/3</f>
      </c>
      <c r="L2129" s="115">
        <v>4.9950000000000001</v>
      </c>
      <c r="M2129" s="116">
        <f>L2129</f>
      </c>
      <c r="N2129" s="117">
        <f>M2129-L2129</f>
      </c>
      <c r="O2129" s="112"/>
      <c r="P2129" s="118">
        <f>N2129+O2129</f>
      </c>
      <c r="Q2129" s="94" t="s">
        <v>398</v>
      </c>
      <c r="R2129" s="94" t="s">
        <v>392</v>
      </c>
      <c r="S2129" s="119">
        <v>46329</v>
      </c>
      <c r="T2129" s="119"/>
      <c r="U2129" s="119">
        <v>46329</v>
      </c>
      <c r="V2129" s="94"/>
      <c r="W2129" s="94"/>
      <c r="X2129" s="94"/>
      <c r="Y2129" s="119">
        <v>46329</v>
      </c>
      <c r="Z2129" s="94"/>
      <c r="AA2129" s="120"/>
      <c r="AB2129" s="120"/>
      <c r="AC2129" s="120"/>
      <c r="AD2129" s="120"/>
      <c r="AE2129" s="120"/>
      <c r="AF2129" s="120"/>
      <c r="AG2129" s="94"/>
      <c r="AH2129" s="120"/>
      <c r="AI2129" s="94"/>
      <c r="AJ2129" s="94" t="s">
        <v>398</v>
      </c>
      <c r="AK2129" s="94" t="s">
        <v>342</v>
      </c>
      <c r="AL2129" s="94">
        <v>150</v>
      </c>
      <c r="AM2129" s="94" t="str">
        <f>TRIM(AJ2129)&amp;TRIM(AL2129)&amp;TRIM(AK2129)</f>
      </c>
      <c r="AN2129" s="116">
        <v>47.91</v>
      </c>
      <c r="AO2129" s="116">
        <v>-2.71</v>
      </c>
      <c r="AP2129" s="116">
        <f>SUMIFS(M:M,AM:AM,AM2129)+SUMIFS(O:O,AM:AM,AM2129)</f>
      </c>
      <c r="AQ2129" s="116">
        <f>SUMIFS(L:L,AM:AM,AM2129)</f>
      </c>
      <c r="AR2129" s="116">
        <f>AQ2129-AP2129</f>
      </c>
      <c r="AS2129" s="94" t="str">
        <f>IF(AN2129&gt;=AQ2129,"ok","ck")</f>
      </c>
      <c r="AT2129" s="116">
        <f>-P2129</f>
      </c>
      <c r="AU2129" s="115">
        <f>IF(SUMIFS(AT:AT,AM:AM,AM2129)&gt;AO2129,(SUMIFS(AT:AT,AM:AM,AM2129)-AO2129))</f>
      </c>
      <c r="AV2129" s="116">
        <v>0</v>
      </c>
      <c r="AW2129" s="121">
        <v>1.028</v>
      </c>
      <c r="AX2129" s="115">
        <f>AN2129-AP2129</f>
      </c>
    </row>
    <row r="2130" spans="1:50" ht="15" hidden="1" customHeight="1" x14ac:dyDescent="0.3">
      <c r="A2130" s="94" t="s">
        <v>76</v>
      </c>
      <c r="B2130" s="94"/>
      <c r="C2130" s="94"/>
      <c r="D2130" s="94"/>
      <c r="E2130" s="94"/>
      <c r="F2130" s="94"/>
      <c r="G2130" s="112">
        <f>AU2130</f>
      </c>
      <c r="H2130" s="113"/>
      <c r="I2130" s="94" t="s">
        <v>393</v>
      </c>
      <c r="J2130" s="94" t="s">
        <v>402</v>
      </c>
      <c r="K2130" s="114">
        <f>P2130/3</f>
      </c>
      <c r="L2130" s="115">
        <v>377.32400000000001</v>
      </c>
      <c r="M2130" s="116">
        <f>L2130</f>
      </c>
      <c r="N2130" s="117">
        <f>M2130-L2130</f>
      </c>
      <c r="O2130" s="112"/>
      <c r="P2130" s="118">
        <f>N2130+O2130</f>
      </c>
      <c r="Q2130" s="94" t="s">
        <v>398</v>
      </c>
      <c r="R2130" s="94" t="s">
        <v>392</v>
      </c>
      <c r="S2130" s="119">
        <v>46329</v>
      </c>
      <c r="T2130" s="119"/>
      <c r="U2130" s="119">
        <v>46329</v>
      </c>
      <c r="V2130" s="94"/>
      <c r="W2130" s="94"/>
      <c r="X2130" s="94"/>
      <c r="Y2130" s="119">
        <v>46329</v>
      </c>
      <c r="Z2130" s="94"/>
      <c r="AA2130" s="120"/>
      <c r="AB2130" s="120"/>
      <c r="AC2130" s="120"/>
      <c r="AD2130" s="120"/>
      <c r="AE2130" s="120"/>
      <c r="AF2130" s="120"/>
      <c r="AG2130" s="94"/>
      <c r="AH2130" s="120"/>
      <c r="AI2130" s="94"/>
      <c r="AJ2130" s="94" t="s">
        <v>398</v>
      </c>
      <c r="AK2130" s="94" t="s">
        <v>342</v>
      </c>
      <c r="AL2130" s="94">
        <v>150</v>
      </c>
      <c r="AM2130" s="94" t="str">
        <f>TRIM(AJ2130)&amp;TRIM(AL2130)&amp;TRIM(AK2130)</f>
      </c>
      <c r="AN2130" s="116">
        <v>47.91</v>
      </c>
      <c r="AO2130" s="116">
        <v>-2.71</v>
      </c>
      <c r="AP2130" s="116">
        <f>SUMIFS(M:M,AM:AM,AM2130)+SUMIFS(O:O,AM:AM,AM2130)</f>
      </c>
      <c r="AQ2130" s="116">
        <f>SUMIFS(L:L,AM:AM,AM2130)</f>
      </c>
      <c r="AR2130" s="116">
        <f>AQ2130-AP2130</f>
      </c>
      <c r="AS2130" s="94" t="str">
        <f>IF(AN2130&gt;=AQ2130,"ok","ck")</f>
      </c>
      <c r="AT2130" s="116">
        <f>-P2130</f>
      </c>
      <c r="AU2130" s="115">
        <f>IF(SUMIFS(AT:AT,AM:AM,AM2130)&gt;AO2130,(SUMIFS(AT:AT,AM:AM,AM2130)-AO2130))</f>
      </c>
      <c r="AV2130" s="116">
        <v>0</v>
      </c>
      <c r="AW2130" s="121">
        <v>1.028</v>
      </c>
      <c r="AX2130" s="115">
        <f>AN2130-AP2130</f>
      </c>
    </row>
    <row r="2131" spans="1:50" ht="15" hidden="1" customHeight="1" x14ac:dyDescent="0.3">
      <c r="A2131" s="94" t="s">
        <v>76</v>
      </c>
      <c r="B2131" s="94"/>
      <c r="C2131" s="94"/>
      <c r="D2131" s="94"/>
      <c r="E2131" s="94"/>
      <c r="F2131" s="94"/>
      <c r="G2131" s="112">
        <f>AU2131</f>
      </c>
      <c r="H2131" s="113"/>
      <c r="I2131" s="94" t="s">
        <v>393</v>
      </c>
      <c r="J2131" s="94" t="s">
        <v>402</v>
      </c>
      <c r="K2131" s="114">
        <f>P2131/3</f>
      </c>
      <c r="L2131" s="115">
        <v>1.841</v>
      </c>
      <c r="M2131" s="116">
        <f>L2131</f>
      </c>
      <c r="N2131" s="117">
        <f>M2131-L2131</f>
      </c>
      <c r="O2131" s="112"/>
      <c r="P2131" s="118">
        <f>N2131+O2131</f>
      </c>
      <c r="Q2131" s="94" t="s">
        <v>398</v>
      </c>
      <c r="R2131" s="94" t="s">
        <v>392</v>
      </c>
      <c r="S2131" s="119">
        <v>46333</v>
      </c>
      <c r="T2131" s="119"/>
      <c r="U2131" s="120">
        <v>46333</v>
      </c>
      <c r="V2131" s="94"/>
      <c r="W2131" s="94"/>
      <c r="X2131" s="94"/>
      <c r="Y2131" s="119">
        <v>46333</v>
      </c>
      <c r="Z2131" s="94"/>
      <c r="AA2131" s="120"/>
      <c r="AB2131" s="120"/>
      <c r="AC2131" s="120"/>
      <c r="AD2131" s="120"/>
      <c r="AE2131" s="120"/>
      <c r="AF2131" s="120"/>
      <c r="AG2131" s="94"/>
      <c r="AH2131" s="120"/>
      <c r="AI2131" s="94"/>
      <c r="AJ2131" s="94" t="s">
        <v>398</v>
      </c>
      <c r="AK2131" s="94" t="s">
        <v>342</v>
      </c>
      <c r="AL2131" s="94">
        <v>150</v>
      </c>
      <c r="AM2131" s="94" t="str">
        <f>TRIM(AJ2131)&amp;TRIM(AL2131)&amp;TRIM(AK2131)</f>
      </c>
      <c r="AN2131" s="116">
        <v>47.91</v>
      </c>
      <c r="AO2131" s="116">
        <v>-2.71</v>
      </c>
      <c r="AP2131" s="116">
        <f>SUMIFS(M:M,AM:AM,AM2131)+SUMIFS(O:O,AM:AM,AM2131)</f>
      </c>
      <c r="AQ2131" s="116">
        <f>SUMIFS(L:L,AM:AM,AM2131)</f>
      </c>
      <c r="AR2131" s="116">
        <f>AQ2131-AP2131</f>
      </c>
      <c r="AS2131" s="94" t="str">
        <f>IF(AN2131&gt;=AQ2131,"ok","ck")</f>
      </c>
      <c r="AT2131" s="116">
        <f>-P2131</f>
      </c>
      <c r="AU2131" s="115">
        <f>IF(SUMIFS(AT:AT,AM:AM,AM2131)&gt;AO2131,(SUMIFS(AT:AT,AM:AM,AM2131)-AO2131))</f>
      </c>
      <c r="AV2131" s="116">
        <v>0</v>
      </c>
      <c r="AW2131" s="121">
        <v>1.028</v>
      </c>
      <c r="AX2131" s="115">
        <f>AN2131-AP2131</f>
      </c>
    </row>
    <row r="2132" spans="1:50" ht="15" hidden="1" customHeight="1" x14ac:dyDescent="0.3">
      <c r="A2132" s="94" t="s">
        <v>76</v>
      </c>
      <c r="B2132" s="94"/>
      <c r="C2132" s="94"/>
      <c r="D2132" s="94"/>
      <c r="E2132" s="94"/>
      <c r="F2132" s="94"/>
      <c r="G2132" s="112">
        <f>AU2132</f>
      </c>
      <c r="H2132" s="113"/>
      <c r="I2132" s="94" t="s">
        <v>393</v>
      </c>
      <c r="J2132" s="94" t="s">
        <v>402</v>
      </c>
      <c r="K2132" s="114">
        <f>P2132/3</f>
      </c>
      <c r="L2132" s="115">
        <v>619.44299999999998</v>
      </c>
      <c r="M2132" s="116">
        <f>L2132</f>
      </c>
      <c r="N2132" s="117">
        <f>M2132-L2132</f>
      </c>
      <c r="O2132" s="112"/>
      <c r="P2132" s="118">
        <f>N2132+O2132</f>
      </c>
      <c r="Q2132" s="94" t="s">
        <v>398</v>
      </c>
      <c r="R2132" s="94" t="s">
        <v>392</v>
      </c>
      <c r="S2132" s="119">
        <v>46329</v>
      </c>
      <c r="T2132" s="119"/>
      <c r="U2132" s="119">
        <v>46329</v>
      </c>
      <c r="V2132" s="94"/>
      <c r="W2132" s="94"/>
      <c r="X2132" s="94"/>
      <c r="Y2132" s="119">
        <v>46326</v>
      </c>
      <c r="Z2132" s="94"/>
      <c r="AA2132" s="120"/>
      <c r="AB2132" s="120"/>
      <c r="AC2132" s="120"/>
      <c r="AD2132" s="120"/>
      <c r="AE2132" s="120"/>
      <c r="AF2132" s="120"/>
      <c r="AG2132" s="94"/>
      <c r="AH2132" s="120"/>
      <c r="AI2132" s="94"/>
      <c r="AJ2132" s="94" t="s">
        <v>398</v>
      </c>
      <c r="AK2132" s="94" t="s">
        <v>342</v>
      </c>
      <c r="AL2132" s="94">
        <v>150</v>
      </c>
      <c r="AM2132" s="94" t="str">
        <f>TRIM(AJ2132)&amp;TRIM(AL2132)&amp;TRIM(AK2132)</f>
      </c>
      <c r="AN2132" s="116">
        <v>47.91</v>
      </c>
      <c r="AO2132" s="116">
        <v>-2.71</v>
      </c>
      <c r="AP2132" s="116">
        <f>SUMIFS(M:M,AM:AM,AM2132)+SUMIFS(O:O,AM:AM,AM2132)</f>
      </c>
      <c r="AQ2132" s="116">
        <f>SUMIFS(L:L,AM:AM,AM2132)</f>
      </c>
      <c r="AR2132" s="116">
        <f>AQ2132-AP2132</f>
      </c>
      <c r="AS2132" s="94" t="str">
        <f>IF(AN2132&gt;=AQ2132,"ok","ck")</f>
      </c>
      <c r="AT2132" s="116">
        <f>-P2132</f>
      </c>
      <c r="AU2132" s="115">
        <f>IF(SUMIFS(AT:AT,AM:AM,AM2132)&gt;AO2132,(SUMIFS(AT:AT,AM:AM,AM2132)-AO2132))</f>
      </c>
      <c r="AV2132" s="116">
        <v>0</v>
      </c>
      <c r="AW2132" s="121">
        <v>1.028</v>
      </c>
      <c r="AX2132" s="115">
        <f>AN2132-AP2132</f>
      </c>
    </row>
    <row r="2133" spans="1:50" ht="15" hidden="1" customHeight="1" x14ac:dyDescent="0.3">
      <c r="A2133" s="94" t="s">
        <v>76</v>
      </c>
      <c r="B2133" s="94"/>
      <c r="C2133" s="94"/>
      <c r="D2133" s="94"/>
      <c r="E2133" s="94"/>
      <c r="F2133" s="94"/>
      <c r="G2133" s="112">
        <f>AU2133</f>
      </c>
      <c r="H2133" s="113"/>
      <c r="I2133" s="94" t="s">
        <v>393</v>
      </c>
      <c r="J2133" s="94" t="s">
        <v>402</v>
      </c>
      <c r="K2133" s="114">
        <f>P2133/3</f>
      </c>
      <c r="L2133" s="115">
        <v>3.7789999999999999</v>
      </c>
      <c r="M2133" s="116">
        <f>L2133</f>
      </c>
      <c r="N2133" s="117">
        <f>M2133-L2133</f>
      </c>
      <c r="O2133" s="112"/>
      <c r="P2133" s="118">
        <f>N2133+O2133</f>
      </c>
      <c r="Q2133" s="94" t="s">
        <v>398</v>
      </c>
      <c r="R2133" s="94" t="s">
        <v>392</v>
      </c>
      <c r="S2133" s="119">
        <v>46329</v>
      </c>
      <c r="T2133" s="119"/>
      <c r="U2133" s="119">
        <v>46329</v>
      </c>
      <c r="V2133" s="94"/>
      <c r="W2133" s="94"/>
      <c r="X2133" s="94"/>
      <c r="Y2133" s="119">
        <v>46329</v>
      </c>
      <c r="Z2133" s="94"/>
      <c r="AA2133" s="120"/>
      <c r="AB2133" s="120"/>
      <c r="AC2133" s="120"/>
      <c r="AD2133" s="120"/>
      <c r="AE2133" s="120"/>
      <c r="AF2133" s="120"/>
      <c r="AG2133" s="94"/>
      <c r="AH2133" s="120"/>
      <c r="AI2133" s="94"/>
      <c r="AJ2133" s="94" t="s">
        <v>398</v>
      </c>
      <c r="AK2133" s="94" t="s">
        <v>342</v>
      </c>
      <c r="AL2133" s="94">
        <v>150</v>
      </c>
      <c r="AM2133" s="94" t="str">
        <f>TRIM(AJ2133)&amp;TRIM(AL2133)&amp;TRIM(AK2133)</f>
      </c>
      <c r="AN2133" s="116">
        <v>47.91</v>
      </c>
      <c r="AO2133" s="116">
        <v>-2.71</v>
      </c>
      <c r="AP2133" s="116">
        <f>SUMIFS(M:M,AM:AM,AM2133)+SUMIFS(O:O,AM:AM,AM2133)</f>
      </c>
      <c r="AQ2133" s="116">
        <f>SUMIFS(L:L,AM:AM,AM2133)</f>
      </c>
      <c r="AR2133" s="116">
        <f>AQ2133-AP2133</f>
      </c>
      <c r="AS2133" s="94" t="str">
        <f>IF(AN2133&gt;=AQ2133,"ok","ck")</f>
      </c>
      <c r="AT2133" s="116">
        <f>-P2133</f>
      </c>
      <c r="AU2133" s="115">
        <f>IF(SUMIFS(AT:AT,AM:AM,AM2133)&gt;AO2133,(SUMIFS(AT:AT,AM:AM,AM2133)-AO2133))</f>
      </c>
      <c r="AV2133" s="116">
        <v>0</v>
      </c>
      <c r="AW2133" s="121">
        <v>1.028</v>
      </c>
      <c r="AX2133" s="115">
        <f>AN2133-AP2133</f>
      </c>
    </row>
    <row r="2134" spans="1:50" ht="15" hidden="1" customHeight="1" x14ac:dyDescent="0.3">
      <c r="A2134" s="94" t="s">
        <v>76</v>
      </c>
      <c r="B2134" s="94"/>
      <c r="C2134" s="94"/>
      <c r="D2134" s="94"/>
      <c r="E2134" s="94"/>
      <c r="F2134" s="94"/>
      <c r="G2134" s="112">
        <f>AU2134</f>
      </c>
      <c r="H2134" s="113"/>
      <c r="I2134" s="94" t="s">
        <v>393</v>
      </c>
      <c r="J2134" s="94" t="s">
        <v>437</v>
      </c>
      <c r="K2134" s="114">
        <f>P2134/3</f>
      </c>
      <c r="L2134" s="115">
        <v>523.09</v>
      </c>
      <c r="M2134" s="116">
        <f>L2134</f>
      </c>
      <c r="N2134" s="117">
        <f>M2134-L2134</f>
      </c>
      <c r="O2134" s="112"/>
      <c r="P2134" s="118">
        <f>N2134+O2134</f>
      </c>
      <c r="Q2134" s="94" t="s">
        <v>398</v>
      </c>
      <c r="R2134" s="94" t="s">
        <v>392</v>
      </c>
      <c r="S2134" s="119">
        <v>46320</v>
      </c>
      <c r="T2134" s="119"/>
      <c r="U2134" s="119">
        <v>46320</v>
      </c>
      <c r="V2134" s="94"/>
      <c r="W2134" s="94"/>
      <c r="X2134" s="94"/>
      <c r="Y2134" s="119">
        <v>46320</v>
      </c>
      <c r="Z2134" s="94"/>
      <c r="AA2134" s="120"/>
      <c r="AB2134" s="120"/>
      <c r="AC2134" s="120"/>
      <c r="AD2134" s="120"/>
      <c r="AE2134" s="120"/>
      <c r="AF2134" s="120"/>
      <c r="AG2134" s="94"/>
      <c r="AH2134" s="120"/>
      <c r="AI2134" s="94"/>
      <c r="AJ2134" s="94" t="s">
        <v>398</v>
      </c>
      <c r="AK2134" s="94" t="s">
        <v>342</v>
      </c>
      <c r="AL2134" s="94">
        <v>150</v>
      </c>
      <c r="AM2134" s="94" t="str">
        <f>TRIM(AJ2134)&amp;TRIM(AL2134)&amp;TRIM(AK2134)</f>
      </c>
      <c r="AN2134" s="116">
        <v>47.91</v>
      </c>
      <c r="AO2134" s="116">
        <v>-2.71</v>
      </c>
      <c r="AP2134" s="116">
        <f>SUMIFS(M:M,AM:AM,AM2134)+SUMIFS(O:O,AM:AM,AM2134)</f>
      </c>
      <c r="AQ2134" s="116">
        <f>SUMIFS(L:L,AM:AM,AM2134)</f>
      </c>
      <c r="AR2134" s="116">
        <f>AQ2134-AP2134</f>
      </c>
      <c r="AS2134" s="94" t="str">
        <f>IF(AN2134&gt;=AQ2134,"ok","ck")</f>
      </c>
      <c r="AT2134" s="116">
        <f>-P2134</f>
      </c>
      <c r="AU2134" s="115">
        <f>IF(SUMIFS(AT:AT,AM:AM,AM2134)&gt;AO2134,(SUMIFS(AT:AT,AM:AM,AM2134)-AO2134))</f>
      </c>
      <c r="AV2134" s="116">
        <v>0</v>
      </c>
      <c r="AW2134" s="121">
        <v>1.028</v>
      </c>
      <c r="AX2134" s="115">
        <f>AN2134-AP2134</f>
      </c>
    </row>
    <row r="2135" spans="1:50" ht="15" hidden="1" customHeight="1" x14ac:dyDescent="0.3">
      <c r="A2135" s="94" t="s">
        <v>76</v>
      </c>
      <c r="B2135" s="94"/>
      <c r="C2135" s="94"/>
      <c r="D2135" s="94"/>
      <c r="E2135" s="94"/>
      <c r="F2135" s="94"/>
      <c r="G2135" s="112">
        <f>AU2135</f>
      </c>
      <c r="H2135" s="113"/>
      <c r="I2135" s="94" t="s">
        <v>393</v>
      </c>
      <c r="J2135" s="94" t="s">
        <v>437</v>
      </c>
      <c r="K2135" s="114">
        <f>P2135/3</f>
      </c>
      <c r="L2135" s="115">
        <v>1.87</v>
      </c>
      <c r="M2135" s="116">
        <f>L2135</f>
      </c>
      <c r="N2135" s="117">
        <f>M2135-L2135</f>
      </c>
      <c r="O2135" s="112"/>
      <c r="P2135" s="118">
        <f>N2135+O2135</f>
      </c>
      <c r="Q2135" s="94" t="s">
        <v>398</v>
      </c>
      <c r="R2135" s="94" t="s">
        <v>392</v>
      </c>
      <c r="S2135" s="119">
        <v>46322</v>
      </c>
      <c r="T2135" s="119"/>
      <c r="U2135" s="119">
        <v>46322</v>
      </c>
      <c r="V2135" s="94"/>
      <c r="W2135" s="94"/>
      <c r="X2135" s="94"/>
      <c r="Y2135" s="119">
        <v>46322</v>
      </c>
      <c r="Z2135" s="94"/>
      <c r="AA2135" s="120"/>
      <c r="AB2135" s="120"/>
      <c r="AC2135" s="120"/>
      <c r="AD2135" s="120"/>
      <c r="AE2135" s="120"/>
      <c r="AF2135" s="120"/>
      <c r="AG2135" s="94"/>
      <c r="AH2135" s="120"/>
      <c r="AI2135" s="94"/>
      <c r="AJ2135" s="94" t="s">
        <v>398</v>
      </c>
      <c r="AK2135" s="94" t="s">
        <v>342</v>
      </c>
      <c r="AL2135" s="94">
        <v>150</v>
      </c>
      <c r="AM2135" s="94" t="str">
        <f>TRIM(AJ2135)&amp;TRIM(AL2135)&amp;TRIM(AK2135)</f>
      </c>
      <c r="AN2135" s="116">
        <v>47.91</v>
      </c>
      <c r="AO2135" s="116">
        <v>-2.71</v>
      </c>
      <c r="AP2135" s="116">
        <f>SUMIFS(M:M,AM:AM,AM2135)+SUMIFS(O:O,AM:AM,AM2135)</f>
      </c>
      <c r="AQ2135" s="116">
        <f>SUMIFS(L:L,AM:AM,AM2135)</f>
      </c>
      <c r="AR2135" s="116">
        <f>AQ2135-AP2135</f>
      </c>
      <c r="AS2135" s="94" t="str">
        <f>IF(AN2135&gt;=AQ2135,"ok","ck")</f>
      </c>
      <c r="AT2135" s="116">
        <f>-P2135</f>
      </c>
      <c r="AU2135" s="115">
        <f>IF(SUMIFS(AT:AT,AM:AM,AM2135)&gt;AO2135,(SUMIFS(AT:AT,AM:AM,AM2135)-AO2135))</f>
      </c>
      <c r="AV2135" s="116">
        <v>0</v>
      </c>
      <c r="AW2135" s="121">
        <v>1.028</v>
      </c>
      <c r="AX2135" s="115">
        <f>AN2135-AP2135</f>
      </c>
    </row>
    <row r="2136" spans="1:50" ht="15" hidden="1" customHeight="1" x14ac:dyDescent="0.3">
      <c r="A2136" s="94" t="s">
        <v>76</v>
      </c>
      <c r="B2136" s="94"/>
      <c r="C2136" s="94"/>
      <c r="D2136" s="94"/>
      <c r="E2136" s="94"/>
      <c r="F2136" s="94"/>
      <c r="G2136" s="112">
        <f>AU2136</f>
      </c>
      <c r="H2136" s="113"/>
      <c r="I2136" s="94" t="s">
        <v>393</v>
      </c>
      <c r="J2136" s="94" t="s">
        <v>437</v>
      </c>
      <c r="K2136" s="114">
        <f>P2136/3</f>
      </c>
      <c r="L2136" s="115">
        <v>559.12300000000005</v>
      </c>
      <c r="M2136" s="116">
        <f>L2136</f>
      </c>
      <c r="N2136" s="117">
        <f>M2136-L2136</f>
      </c>
      <c r="O2136" s="112"/>
      <c r="P2136" s="118">
        <f>N2136+O2136</f>
      </c>
      <c r="Q2136" s="94" t="s">
        <v>398</v>
      </c>
      <c r="R2136" s="94" t="s">
        <v>392</v>
      </c>
      <c r="S2136" s="119">
        <v>46327</v>
      </c>
      <c r="T2136" s="119"/>
      <c r="U2136" s="119">
        <v>46327</v>
      </c>
      <c r="V2136" s="94"/>
      <c r="W2136" s="94"/>
      <c r="X2136" s="94"/>
      <c r="Y2136" s="119">
        <v>46327</v>
      </c>
      <c r="Z2136" s="94"/>
      <c r="AA2136" s="120"/>
      <c r="AB2136" s="120"/>
      <c r="AC2136" s="120"/>
      <c r="AD2136" s="120"/>
      <c r="AE2136" s="120"/>
      <c r="AF2136" s="120"/>
      <c r="AG2136" s="94"/>
      <c r="AH2136" s="120"/>
      <c r="AI2136" s="94"/>
      <c r="AJ2136" s="94" t="s">
        <v>398</v>
      </c>
      <c r="AK2136" s="94" t="s">
        <v>342</v>
      </c>
      <c r="AL2136" s="94">
        <v>150</v>
      </c>
      <c r="AM2136" s="94" t="str">
        <f>TRIM(AJ2136)&amp;TRIM(AL2136)&amp;TRIM(AK2136)</f>
      </c>
      <c r="AN2136" s="116">
        <v>47.91</v>
      </c>
      <c r="AO2136" s="116">
        <v>-2.71</v>
      </c>
      <c r="AP2136" s="116">
        <f>SUMIFS(M:M,AM:AM,AM2136)+SUMIFS(O:O,AM:AM,AM2136)</f>
      </c>
      <c r="AQ2136" s="116">
        <f>SUMIFS(L:L,AM:AM,AM2136)</f>
      </c>
      <c r="AR2136" s="116">
        <f>AQ2136-AP2136</f>
      </c>
      <c r="AS2136" s="94" t="str">
        <f>IF(AN2136&gt;=AQ2136,"ok","ck")</f>
      </c>
      <c r="AT2136" s="116">
        <f>-P2136</f>
      </c>
      <c r="AU2136" s="115">
        <f>IF(SUMIFS(AT:AT,AM:AM,AM2136)&gt;AO2136,(SUMIFS(AT:AT,AM:AM,AM2136)-AO2136))</f>
      </c>
      <c r="AV2136" s="116">
        <v>0</v>
      </c>
      <c r="AW2136" s="121">
        <v>1.028</v>
      </c>
      <c r="AX2136" s="115">
        <f>AN2136-AP2136</f>
      </c>
    </row>
    <row r="2137" spans="1:50" ht="15" hidden="1" customHeight="1" x14ac:dyDescent="0.3">
      <c r="A2137" s="94" t="s">
        <v>76</v>
      </c>
      <c r="B2137" s="94"/>
      <c r="C2137" s="94"/>
      <c r="D2137" s="94"/>
      <c r="E2137" s="94"/>
      <c r="F2137" s="94"/>
      <c r="G2137" s="112">
        <f>AU2137</f>
      </c>
      <c r="H2137" s="113"/>
      <c r="I2137" s="94" t="s">
        <v>393</v>
      </c>
      <c r="J2137" s="94" t="s">
        <v>437</v>
      </c>
      <c r="K2137" s="114">
        <f>P2137/3</f>
      </c>
      <c r="L2137" s="115">
        <v>3.4119999999999999</v>
      </c>
      <c r="M2137" s="116">
        <f>L2137</f>
      </c>
      <c r="N2137" s="117">
        <f>M2137-L2137</f>
      </c>
      <c r="O2137" s="112"/>
      <c r="P2137" s="118">
        <f>N2137+O2137</f>
      </c>
      <c r="Q2137" s="94" t="s">
        <v>398</v>
      </c>
      <c r="R2137" s="94" t="s">
        <v>392</v>
      </c>
      <c r="S2137" s="119">
        <v>46329</v>
      </c>
      <c r="T2137" s="119"/>
      <c r="U2137" s="119">
        <v>46329</v>
      </c>
      <c r="V2137" s="94"/>
      <c r="W2137" s="94"/>
      <c r="X2137" s="94"/>
      <c r="Y2137" s="119">
        <v>46329</v>
      </c>
      <c r="Z2137" s="94"/>
      <c r="AA2137" s="120"/>
      <c r="AB2137" s="120"/>
      <c r="AC2137" s="120"/>
      <c r="AD2137" s="120"/>
      <c r="AE2137" s="120"/>
      <c r="AF2137" s="120"/>
      <c r="AG2137" s="94"/>
      <c r="AH2137" s="120"/>
      <c r="AI2137" s="94"/>
      <c r="AJ2137" s="94" t="s">
        <v>398</v>
      </c>
      <c r="AK2137" s="94" t="s">
        <v>342</v>
      </c>
      <c r="AL2137" s="94">
        <v>150</v>
      </c>
      <c r="AM2137" s="94" t="str">
        <f>TRIM(AJ2137)&amp;TRIM(AL2137)&amp;TRIM(AK2137)</f>
      </c>
      <c r="AN2137" s="116">
        <v>47.91</v>
      </c>
      <c r="AO2137" s="116">
        <v>-2.71</v>
      </c>
      <c r="AP2137" s="116">
        <f>SUMIFS(M:M,AM:AM,AM2137)+SUMIFS(O:O,AM:AM,AM2137)</f>
      </c>
      <c r="AQ2137" s="116">
        <f>SUMIFS(L:L,AM:AM,AM2137)</f>
      </c>
      <c r="AR2137" s="116">
        <f>AQ2137-AP2137</f>
      </c>
      <c r="AS2137" s="94" t="str">
        <f>IF(AN2137&gt;=AQ2137,"ok","ck")</f>
      </c>
      <c r="AT2137" s="116">
        <f>-P2137</f>
      </c>
      <c r="AU2137" s="115">
        <f>IF(SUMIFS(AT:AT,AM:AM,AM2137)&gt;AO2137,(SUMIFS(AT:AT,AM:AM,AM2137)-AO2137))</f>
      </c>
      <c r="AV2137" s="116">
        <v>0</v>
      </c>
      <c r="AW2137" s="121">
        <v>1.028</v>
      </c>
      <c r="AX2137" s="115">
        <f>AN2137-AP2137</f>
      </c>
    </row>
    <row r="2138" spans="1:50" ht="15" hidden="1" customHeight="1" x14ac:dyDescent="0.3">
      <c r="A2138" s="94" t="s">
        <v>76</v>
      </c>
      <c r="B2138" s="94"/>
      <c r="C2138" s="94"/>
      <c r="D2138" s="94"/>
      <c r="E2138" s="94"/>
      <c r="F2138" s="94"/>
      <c r="G2138" s="112">
        <f>AU2138</f>
      </c>
      <c r="H2138" s="113"/>
      <c r="I2138" s="94" t="s">
        <v>393</v>
      </c>
      <c r="J2138" s="94" t="s">
        <v>397</v>
      </c>
      <c r="K2138" s="114">
        <f>P2138/3</f>
      </c>
      <c r="L2138" s="115">
        <v>90.08</v>
      </c>
      <c r="M2138" s="116">
        <f>L2138</f>
      </c>
      <c r="N2138" s="117">
        <f>M2138-L2138</f>
      </c>
      <c r="O2138" s="112"/>
      <c r="P2138" s="118">
        <f>N2138+O2138</f>
      </c>
      <c r="Q2138" s="94" t="s">
        <v>398</v>
      </c>
      <c r="R2138" s="94" t="s">
        <v>392</v>
      </c>
      <c r="S2138" s="119">
        <v>46320</v>
      </c>
      <c r="T2138" s="119"/>
      <c r="U2138" s="120">
        <v>46320</v>
      </c>
      <c r="V2138" s="94"/>
      <c r="W2138" s="94"/>
      <c r="X2138" s="94"/>
      <c r="Y2138" s="119">
        <v>46320</v>
      </c>
      <c r="Z2138" s="94"/>
      <c r="AA2138" s="120"/>
      <c r="AB2138" s="120"/>
      <c r="AC2138" s="120"/>
      <c r="AD2138" s="120"/>
      <c r="AE2138" s="120"/>
      <c r="AF2138" s="120"/>
      <c r="AG2138" s="94"/>
      <c r="AH2138" s="120"/>
      <c r="AI2138" s="94"/>
      <c r="AJ2138" s="94" t="s">
        <v>398</v>
      </c>
      <c r="AK2138" s="94" t="s">
        <v>342</v>
      </c>
      <c r="AL2138" s="94">
        <v>150</v>
      </c>
      <c r="AM2138" s="94" t="str">
        <f>TRIM(AJ2138)&amp;TRIM(AL2138)&amp;TRIM(AK2138)</f>
      </c>
      <c r="AN2138" s="116">
        <v>47.91</v>
      </c>
      <c r="AO2138" s="116">
        <v>-2.71</v>
      </c>
      <c r="AP2138" s="116">
        <f>SUMIFS(M:M,AM:AM,AM2138)+SUMIFS(O:O,AM:AM,AM2138)</f>
      </c>
      <c r="AQ2138" s="116">
        <f>SUMIFS(L:L,AM:AM,AM2138)</f>
      </c>
      <c r="AR2138" s="116">
        <f>AQ2138-AP2138</f>
      </c>
      <c r="AS2138" s="94" t="str">
        <f>IF(AN2138&gt;=AQ2138,"ok","ck")</f>
      </c>
      <c r="AT2138" s="116">
        <f>-P2138</f>
      </c>
      <c r="AU2138" s="115">
        <f>IF(SUMIFS(AT:AT,AM:AM,AM2138)&gt;AO2138,(SUMIFS(AT:AT,AM:AM,AM2138)-AO2138))</f>
      </c>
      <c r="AV2138" s="116">
        <v>0</v>
      </c>
      <c r="AW2138" s="121">
        <v>1.028</v>
      </c>
      <c r="AX2138" s="115">
        <f>AN2138-AP2138</f>
      </c>
    </row>
    <row r="2139" spans="1:50" ht="15" hidden="1" customHeight="1" x14ac:dyDescent="0.3">
      <c r="A2139" s="94" t="s">
        <v>76</v>
      </c>
      <c r="B2139" s="94"/>
      <c r="C2139" s="94"/>
      <c r="D2139" s="94"/>
      <c r="E2139" s="94"/>
      <c r="F2139" s="94"/>
      <c r="G2139" s="112">
        <f>AU2139</f>
      </c>
      <c r="H2139" s="113"/>
      <c r="I2139" s="94" t="s">
        <v>393</v>
      </c>
      <c r="J2139" s="94" t="s">
        <v>397</v>
      </c>
      <c r="K2139" s="114">
        <f>P2139/3</f>
      </c>
      <c r="L2139" s="115">
        <v>91.42</v>
      </c>
      <c r="M2139" s="116">
        <f>L2139</f>
      </c>
      <c r="N2139" s="117">
        <f>M2139-L2139</f>
      </c>
      <c r="O2139" s="112"/>
      <c r="P2139" s="118">
        <f>N2139+O2139</f>
      </c>
      <c r="Q2139" s="94" t="s">
        <v>398</v>
      </c>
      <c r="R2139" s="94" t="s">
        <v>392</v>
      </c>
      <c r="S2139" s="119">
        <v>46320</v>
      </c>
      <c r="T2139" s="119"/>
      <c r="U2139" s="120">
        <v>46320</v>
      </c>
      <c r="V2139" s="94"/>
      <c r="W2139" s="94"/>
      <c r="X2139" s="94"/>
      <c r="Y2139" s="119">
        <v>46320</v>
      </c>
      <c r="Z2139" s="94"/>
      <c r="AA2139" s="120"/>
      <c r="AB2139" s="120"/>
      <c r="AC2139" s="120"/>
      <c r="AD2139" s="120"/>
      <c r="AE2139" s="120"/>
      <c r="AF2139" s="120"/>
      <c r="AG2139" s="94"/>
      <c r="AH2139" s="120"/>
      <c r="AI2139" s="94"/>
      <c r="AJ2139" s="94" t="s">
        <v>398</v>
      </c>
      <c r="AK2139" s="94" t="s">
        <v>342</v>
      </c>
      <c r="AL2139" s="94">
        <v>150</v>
      </c>
      <c r="AM2139" s="94" t="str">
        <f>TRIM(AJ2139)&amp;TRIM(AL2139)&amp;TRIM(AK2139)</f>
      </c>
      <c r="AN2139" s="116">
        <v>47.91</v>
      </c>
      <c r="AO2139" s="116">
        <v>-2.71</v>
      </c>
      <c r="AP2139" s="116">
        <f>SUMIFS(M:M,AM:AM,AM2139)+SUMIFS(O:O,AM:AM,AM2139)</f>
      </c>
      <c r="AQ2139" s="116">
        <f>SUMIFS(L:L,AM:AM,AM2139)</f>
      </c>
      <c r="AR2139" s="116">
        <f>AQ2139-AP2139</f>
      </c>
      <c r="AS2139" s="94" t="str">
        <f>IF(AN2139&gt;=AQ2139,"ok","ck")</f>
      </c>
      <c r="AT2139" s="116">
        <f>-P2139</f>
      </c>
      <c r="AU2139" s="115">
        <f>IF(SUMIFS(AT:AT,AM:AM,AM2139)&gt;AO2139,(SUMIFS(AT:AT,AM:AM,AM2139)-AO2139))</f>
      </c>
      <c r="AV2139" s="116">
        <v>0</v>
      </c>
      <c r="AW2139" s="121">
        <v>1.028</v>
      </c>
      <c r="AX2139" s="115">
        <f>AN2139-AP2139</f>
      </c>
    </row>
    <row r="2140" spans="1:50" ht="15" hidden="1" customHeight="1" x14ac:dyDescent="0.3">
      <c r="A2140" s="94" t="s">
        <v>76</v>
      </c>
      <c r="B2140" s="94"/>
      <c r="C2140" s="94"/>
      <c r="D2140" s="94"/>
      <c r="E2140" s="94"/>
      <c r="F2140" s="94"/>
      <c r="G2140" s="112">
        <f>AU2140</f>
      </c>
      <c r="H2140" s="113"/>
      <c r="I2140" s="94" t="s">
        <v>393</v>
      </c>
      <c r="J2140" s="94" t="s">
        <v>397</v>
      </c>
      <c r="K2140" s="114">
        <f>P2140/3</f>
      </c>
      <c r="L2140" s="115">
        <v>0.26</v>
      </c>
      <c r="M2140" s="116">
        <f>L2140</f>
      </c>
      <c r="N2140" s="117">
        <f>M2140-L2140</f>
      </c>
      <c r="O2140" s="112"/>
      <c r="P2140" s="118">
        <f>N2140+O2140</f>
      </c>
      <c r="Q2140" s="94" t="s">
        <v>398</v>
      </c>
      <c r="R2140" s="94" t="s">
        <v>392</v>
      </c>
      <c r="S2140" s="119">
        <v>46320</v>
      </c>
      <c r="T2140" s="119"/>
      <c r="U2140" s="120">
        <v>46320</v>
      </c>
      <c r="V2140" s="94"/>
      <c r="W2140" s="94"/>
      <c r="X2140" s="94"/>
      <c r="Y2140" s="119">
        <v>46320</v>
      </c>
      <c r="Z2140" s="94"/>
      <c r="AA2140" s="120"/>
      <c r="AB2140" s="120"/>
      <c r="AC2140" s="120"/>
      <c r="AD2140" s="120"/>
      <c r="AE2140" s="120"/>
      <c r="AF2140" s="120"/>
      <c r="AG2140" s="94"/>
      <c r="AH2140" s="120"/>
      <c r="AI2140" s="94"/>
      <c r="AJ2140" s="94" t="s">
        <v>398</v>
      </c>
      <c r="AK2140" s="94" t="s">
        <v>342</v>
      </c>
      <c r="AL2140" s="94">
        <v>150</v>
      </c>
      <c r="AM2140" s="94" t="str">
        <f>TRIM(AJ2140)&amp;TRIM(AL2140)&amp;TRIM(AK2140)</f>
      </c>
      <c r="AN2140" s="116">
        <v>47.91</v>
      </c>
      <c r="AO2140" s="116">
        <v>-2.71</v>
      </c>
      <c r="AP2140" s="116">
        <f>SUMIFS(M:M,AM:AM,AM2140)+SUMIFS(O:O,AM:AM,AM2140)</f>
      </c>
      <c r="AQ2140" s="116">
        <f>SUMIFS(L:L,AM:AM,AM2140)</f>
      </c>
      <c r="AR2140" s="116">
        <f>AQ2140-AP2140</f>
      </c>
      <c r="AS2140" s="94" t="str">
        <f>IF(AN2140&gt;=AQ2140,"ok","ck")</f>
      </c>
      <c r="AT2140" s="116">
        <f>-P2140</f>
      </c>
      <c r="AU2140" s="115">
        <f>IF(SUMIFS(AT:AT,AM:AM,AM2140)&gt;AO2140,(SUMIFS(AT:AT,AM:AM,AM2140)-AO2140))</f>
      </c>
      <c r="AV2140" s="116">
        <v>0</v>
      </c>
      <c r="AW2140" s="121">
        <v>1.028</v>
      </c>
      <c r="AX2140" s="115">
        <f>AN2140-AP2140</f>
      </c>
    </row>
    <row r="2141" spans="1:50" ht="15" hidden="1" customHeight="1" x14ac:dyDescent="0.3">
      <c r="A2141" s="94" t="s">
        <v>76</v>
      </c>
      <c r="B2141" s="94"/>
      <c r="C2141" s="94"/>
      <c r="D2141" s="94"/>
      <c r="E2141" s="94"/>
      <c r="F2141" s="94"/>
      <c r="G2141" s="112">
        <f>AU2141</f>
      </c>
      <c r="H2141" s="113"/>
      <c r="I2141" s="94" t="s">
        <v>393</v>
      </c>
      <c r="J2141" s="94" t="s">
        <v>599</v>
      </c>
      <c r="K2141" s="114">
        <f>P2141/3</f>
      </c>
      <c r="L2141" s="115">
        <v>380.62099999999998</v>
      </c>
      <c r="M2141" s="116"/>
      <c r="N2141" s="117">
        <f>M2141-L2141</f>
      </c>
      <c r="O2141" s="112"/>
      <c r="P2141" s="118">
        <f>N2141+O2141</f>
      </c>
      <c r="Q2141" s="94" t="s">
        <v>833</v>
      </c>
      <c r="R2141" s="94" t="s">
        <v>392</v>
      </c>
      <c r="S2141" s="119">
        <v>46348</v>
      </c>
      <c r="T2141" s="119"/>
      <c r="U2141" s="119">
        <v>46348</v>
      </c>
      <c r="V2141" s="94"/>
      <c r="W2141" s="94"/>
      <c r="X2141" s="94"/>
      <c r="Y2141" s="119">
        <v>46343</v>
      </c>
      <c r="Z2141" s="94"/>
      <c r="AA2141" s="120"/>
      <c r="AB2141" s="120"/>
      <c r="AC2141" s="120"/>
      <c r="AD2141" s="120"/>
      <c r="AE2141" s="120"/>
      <c r="AF2141" s="120"/>
      <c r="AG2141" s="94"/>
      <c r="AH2141" s="120"/>
      <c r="AI2141" s="94"/>
      <c r="AJ2141" s="94" t="s">
        <v>833</v>
      </c>
      <c r="AK2141" s="94" t="s">
        <v>342</v>
      </c>
      <c r="AL2141" s="94">
        <v>150</v>
      </c>
      <c r="AM2141" s="94" t="str">
        <f>TRIM(AJ2141)&amp;TRIM(AL2141)&amp;TRIM(AK2141)</f>
      </c>
      <c r="AN2141" s="116">
        <v>0</v>
      </c>
      <c r="AO2141" s="116" t="inlineStr">
        <is>
          <t>#NA</t>
        </is>
      </c>
      <c r="AP2141" s="116">
        <f>SUMIFS(M:M,AM:AM,AM2141)+SUMIFS(O:O,AM:AM,AM2141)</f>
      </c>
      <c r="AQ2141" s="116">
        <f>SUMIFS(L:L,AM:AM,AM2141)</f>
      </c>
      <c r="AR2141" s="116">
        <f>AQ2141-AP2141</f>
      </c>
      <c r="AS2141" s="94" t="str">
        <f>IF(AN2141&gt;=AQ2141,"ok","ck")</f>
      </c>
      <c r="AT2141" s="116">
        <f>-P2141</f>
      </c>
      <c r="AU2141" s="115">
        <f>IF(SUMIFS(AT:AT,AM:AM,AM2141)&gt;AO2141,(SUMIFS(AT:AT,AM:AM,AM2141)-AO2141))</f>
      </c>
      <c r="AV2141" s="116">
        <v>0</v>
      </c>
      <c r="AW2141" s="121">
        <v>0</v>
      </c>
      <c r="AX2141" s="115">
        <f>AN2141-AP2141</f>
      </c>
    </row>
    <row r="2142" spans="1:50" ht="15" hidden="1" customHeight="1" x14ac:dyDescent="0.3">
      <c r="A2142" s="94" t="s">
        <v>76</v>
      </c>
      <c r="B2142" s="94"/>
      <c r="C2142" s="94"/>
      <c r="D2142" s="94"/>
      <c r="E2142" s="94"/>
      <c r="F2142" s="94"/>
      <c r="G2142" s="112">
        <f>AU2142</f>
      </c>
      <c r="H2142" s="113"/>
      <c r="I2142" s="94" t="s">
        <v>393</v>
      </c>
      <c r="J2142" s="94" t="s">
        <v>599</v>
      </c>
      <c r="K2142" s="114">
        <f>P2142/3</f>
      </c>
      <c r="L2142" s="115">
        <v>1.8320000000000001</v>
      </c>
      <c r="M2142" s="116"/>
      <c r="N2142" s="117">
        <f>M2142-L2142</f>
      </c>
      <c r="O2142" s="112"/>
      <c r="P2142" s="118">
        <f>N2142+O2142</f>
      </c>
      <c r="Q2142" s="94" t="s">
        <v>833</v>
      </c>
      <c r="R2142" s="94" t="s">
        <v>392</v>
      </c>
      <c r="S2142" s="119">
        <v>46348</v>
      </c>
      <c r="T2142" s="119"/>
      <c r="U2142" s="119">
        <v>46348</v>
      </c>
      <c r="V2142" s="94"/>
      <c r="W2142" s="94"/>
      <c r="X2142" s="94"/>
      <c r="Y2142" s="119">
        <v>46345</v>
      </c>
      <c r="Z2142" s="94"/>
      <c r="AA2142" s="120"/>
      <c r="AB2142" s="120"/>
      <c r="AC2142" s="120"/>
      <c r="AD2142" s="120"/>
      <c r="AE2142" s="120"/>
      <c r="AF2142" s="120"/>
      <c r="AG2142" s="94"/>
      <c r="AH2142" s="120"/>
      <c r="AI2142" s="94"/>
      <c r="AJ2142" s="94" t="s">
        <v>833</v>
      </c>
      <c r="AK2142" s="94" t="s">
        <v>342</v>
      </c>
      <c r="AL2142" s="94">
        <v>150</v>
      </c>
      <c r="AM2142" s="94" t="str">
        <f>TRIM(AJ2142)&amp;TRIM(AL2142)&amp;TRIM(AK2142)</f>
      </c>
      <c r="AN2142" s="116">
        <v>0</v>
      </c>
      <c r="AO2142" s="116" t="inlineStr">
        <is>
          <t>#NA</t>
        </is>
      </c>
      <c r="AP2142" s="116">
        <f>SUMIFS(M:M,AM:AM,AM2142)+SUMIFS(O:O,AM:AM,AM2142)</f>
      </c>
      <c r="AQ2142" s="116">
        <f>SUMIFS(L:L,AM:AM,AM2142)</f>
      </c>
      <c r="AR2142" s="116">
        <f>AQ2142-AP2142</f>
      </c>
      <c r="AS2142" s="94" t="str">
        <f>IF(AN2142&gt;=AQ2142,"ok","ck")</f>
      </c>
      <c r="AT2142" s="116">
        <f>-P2142</f>
      </c>
      <c r="AU2142" s="115">
        <f>IF(SUMIFS(AT:AT,AM:AM,AM2142)&gt;AO2142,(SUMIFS(AT:AT,AM:AM,AM2142)-AO2142))</f>
      </c>
      <c r="AV2142" s="116">
        <v>0</v>
      </c>
      <c r="AW2142" s="121">
        <v>0</v>
      </c>
      <c r="AX2142" s="115">
        <f>AN2142-AP2142</f>
      </c>
    </row>
    <row r="2143" spans="1:50" ht="15" hidden="1" customHeight="1" x14ac:dyDescent="0.3">
      <c r="A2143" s="94" t="s">
        <v>268</v>
      </c>
      <c r="B2143" s="94"/>
      <c r="C2143" s="94"/>
      <c r="D2143" s="94"/>
      <c r="E2143" s="94"/>
      <c r="F2143" s="94"/>
      <c r="G2143" s="112">
        <f>AU2143</f>
      </c>
      <c r="H2143" s="113"/>
      <c r="I2143" s="94" t="s">
        <v>390</v>
      </c>
      <c r="J2143" s="94" t="s">
        <v>401</v>
      </c>
      <c r="K2143" s="114">
        <f>P2143/3</f>
      </c>
      <c r="L2143" s="115">
        <v>51.856999999999999</v>
      </c>
      <c r="M2143" s="116"/>
      <c r="N2143" s="117">
        <f>M2143-L2143</f>
      </c>
      <c r="O2143" s="112"/>
      <c r="P2143" s="118">
        <f>N2143+O2143</f>
      </c>
      <c r="Q2143" s="94" t="s">
        <v>344</v>
      </c>
      <c r="R2143" s="94" t="s">
        <v>392</v>
      </c>
      <c r="S2143" s="119">
        <v>46323</v>
      </c>
      <c r="T2143" s="119"/>
      <c r="U2143" s="119">
        <v>46323</v>
      </c>
      <c r="V2143" s="94"/>
      <c r="W2143" s="94"/>
      <c r="X2143" s="94"/>
      <c r="Y2143" s="119">
        <v>46320</v>
      </c>
      <c r="Z2143" s="94"/>
      <c r="AA2143" s="120"/>
      <c r="AB2143" s="120"/>
      <c r="AC2143" s="120"/>
      <c r="AD2143" s="120"/>
      <c r="AE2143" s="120"/>
      <c r="AF2143" s="120"/>
      <c r="AG2143" s="94"/>
      <c r="AH2143" s="120"/>
      <c r="AI2143" s="94"/>
      <c r="AJ2143" s="94" t="s">
        <v>344</v>
      </c>
      <c r="AK2143" s="94" t="s">
        <v>389</v>
      </c>
      <c r="AL2143" s="94">
        <v>140</v>
      </c>
      <c r="AM2143" s="94" t="str">
        <f>TRIM(AJ2143)&amp;TRIM(AL2143)&amp;TRIM(AK2143)</f>
      </c>
      <c r="AN2143" s="116">
        <v>0</v>
      </c>
      <c r="AO2143" s="116" t="inlineStr">
        <is>
          <t>#NA</t>
        </is>
      </c>
      <c r="AP2143" s="116">
        <f>SUMIFS(M:M,AM:AM,AM2143)+SUMIFS(O:O,AM:AM,AM2143)</f>
      </c>
      <c r="AQ2143" s="116">
        <f>SUMIFS(L:L,AM:AM,AM2143)</f>
      </c>
      <c r="AR2143" s="116">
        <f>AQ2143-AP2143</f>
      </c>
      <c r="AS2143" s="94" t="str">
        <f>IF(AN2143&gt;=AQ2143,"ok","ck")</f>
      </c>
      <c r="AT2143" s="116">
        <f>-P2143</f>
      </c>
      <c r="AU2143" s="115">
        <f>IF(SUMIFS(AT:AT,AM:AM,AM2143)&gt;AO2143,(SUMIFS(AT:AT,AM:AM,AM2143)-AO2143))</f>
      </c>
      <c r="AV2143" s="116">
        <v>0</v>
      </c>
      <c r="AW2143" s="121">
        <v>0.99</v>
      </c>
      <c r="AX2143" s="115">
        <f>AN2143-AP2143</f>
      </c>
    </row>
    <row r="2144" spans="1:50" ht="15" hidden="1" customHeight="1" x14ac:dyDescent="0.3">
      <c r="A2144" s="94" t="s">
        <v>268</v>
      </c>
      <c r="B2144" s="94"/>
      <c r="C2144" s="94"/>
      <c r="D2144" s="94"/>
      <c r="E2144" s="94"/>
      <c r="F2144" s="94"/>
      <c r="G2144" s="112">
        <f>AU2144</f>
      </c>
      <c r="H2144" s="113"/>
      <c r="I2144" s="94" t="s">
        <v>390</v>
      </c>
      <c r="J2144" s="94" t="s">
        <v>401</v>
      </c>
      <c r="K2144" s="114">
        <f>P2144/3</f>
      </c>
      <c r="L2144" s="115">
        <v>1.5580000000000001</v>
      </c>
      <c r="M2144" s="116"/>
      <c r="N2144" s="117">
        <f>M2144-L2144</f>
      </c>
      <c r="O2144" s="112"/>
      <c r="P2144" s="118">
        <f>N2144+O2144</f>
      </c>
      <c r="Q2144" s="94" t="s">
        <v>344</v>
      </c>
      <c r="R2144" s="94" t="s">
        <v>392</v>
      </c>
      <c r="S2144" s="119">
        <v>46323</v>
      </c>
      <c r="T2144" s="119"/>
      <c r="U2144" s="120">
        <v>46323</v>
      </c>
      <c r="V2144" s="94"/>
      <c r="W2144" s="94"/>
      <c r="X2144" s="94"/>
      <c r="Y2144" s="119">
        <v>46320</v>
      </c>
      <c r="Z2144" s="94"/>
      <c r="AA2144" s="120"/>
      <c r="AB2144" s="120"/>
      <c r="AC2144" s="120"/>
      <c r="AD2144" s="120"/>
      <c r="AE2144" s="120"/>
      <c r="AF2144" s="120"/>
      <c r="AG2144" s="94"/>
      <c r="AH2144" s="120"/>
      <c r="AI2144" s="94"/>
      <c r="AJ2144" s="94" t="s">
        <v>344</v>
      </c>
      <c r="AK2144" s="94" t="s">
        <v>389</v>
      </c>
      <c r="AL2144" s="94">
        <v>140</v>
      </c>
      <c r="AM2144" s="94" t="str">
        <f>TRIM(AJ2144)&amp;TRIM(AL2144)&amp;TRIM(AK2144)</f>
      </c>
      <c r="AN2144" s="116">
        <v>0</v>
      </c>
      <c r="AO2144" s="116" t="inlineStr">
        <is>
          <t>#NA</t>
        </is>
      </c>
      <c r="AP2144" s="116">
        <f>SUMIFS(M:M,AM:AM,AM2144)+SUMIFS(O:O,AM:AM,AM2144)</f>
      </c>
      <c r="AQ2144" s="116">
        <f>SUMIFS(L:L,AM:AM,AM2144)</f>
      </c>
      <c r="AR2144" s="116">
        <f>AQ2144-AP2144</f>
      </c>
      <c r="AS2144" s="94" t="str">
        <f>IF(AN2144&gt;=AQ2144,"ok","ck")</f>
      </c>
      <c r="AT2144" s="116">
        <f>-P2144</f>
      </c>
      <c r="AU2144" s="115">
        <f>IF(SUMIFS(AT:AT,AM:AM,AM2144)&gt;AO2144,(SUMIFS(AT:AT,AM:AM,AM2144)-AO2144))</f>
      </c>
      <c r="AV2144" s="116">
        <v>0</v>
      </c>
      <c r="AW2144" s="121">
        <v>0.99</v>
      </c>
      <c r="AX2144" s="115">
        <f>AN2144-AP2144</f>
      </c>
    </row>
    <row r="2145" spans="1:50" ht="15" hidden="1" customHeight="1" x14ac:dyDescent="0.3">
      <c r="A2145" s="94" t="s">
        <v>76</v>
      </c>
      <c r="B2145" s="94"/>
      <c r="C2145" s="94"/>
      <c r="D2145" s="94"/>
      <c r="E2145" s="94"/>
      <c r="F2145" s="94"/>
      <c r="G2145" s="112">
        <f>AU2145</f>
      </c>
      <c r="H2145" s="113"/>
      <c r="I2145" s="94" t="s">
        <v>393</v>
      </c>
      <c r="J2145" s="94" t="s">
        <v>580</v>
      </c>
      <c r="K2145" s="114">
        <f>P2145/3</f>
      </c>
      <c r="L2145" s="115">
        <v>1.8320000000000001</v>
      </c>
      <c r="M2145" s="116"/>
      <c r="N2145" s="117">
        <f>M2145-L2145</f>
      </c>
      <c r="O2145" s="112"/>
      <c r="P2145" s="118">
        <f>N2145+O2145</f>
      </c>
      <c r="Q2145" s="94" t="s">
        <v>833</v>
      </c>
      <c r="R2145" s="94" t="s">
        <v>392</v>
      </c>
      <c r="S2145" s="119">
        <v>46347</v>
      </c>
      <c r="T2145" s="119"/>
      <c r="U2145" s="119">
        <v>46347</v>
      </c>
      <c r="V2145" s="94"/>
      <c r="W2145" s="94"/>
      <c r="X2145" s="94"/>
      <c r="Y2145" s="119">
        <v>46345</v>
      </c>
      <c r="Z2145" s="94"/>
      <c r="AA2145" s="120"/>
      <c r="AB2145" s="120"/>
      <c r="AC2145" s="120"/>
      <c r="AD2145" s="120"/>
      <c r="AE2145" s="120"/>
      <c r="AF2145" s="120"/>
      <c r="AG2145" s="94"/>
      <c r="AH2145" s="120"/>
      <c r="AI2145" s="94"/>
      <c r="AJ2145" s="94" t="s">
        <v>833</v>
      </c>
      <c r="AK2145" s="94" t="s">
        <v>115</v>
      </c>
      <c r="AL2145" s="94">
        <v>150</v>
      </c>
      <c r="AM2145" s="94" t="str">
        <f>TRIM(AJ2145)&amp;TRIM(AL2145)&amp;TRIM(AK2145)</f>
      </c>
      <c r="AN2145" s="116">
        <v>0</v>
      </c>
      <c r="AO2145" s="116" t="inlineStr">
        <is>
          <t>#NA</t>
        </is>
      </c>
      <c r="AP2145" s="116">
        <f>SUMIFS(M:M,AM:AM,AM2145)+SUMIFS(O:O,AM:AM,AM2145)</f>
      </c>
      <c r="AQ2145" s="116">
        <f>SUMIFS(L:L,AM:AM,AM2145)</f>
      </c>
      <c r="AR2145" s="116">
        <f>AQ2145-AP2145</f>
      </c>
      <c r="AS2145" s="94" t="str">
        <f>IF(AN2145&gt;=AQ2145,"ok","ck")</f>
      </c>
      <c r="AT2145" s="116">
        <f>-P2145</f>
      </c>
      <c r="AU2145" s="115">
        <f>IF(SUMIFS(AT:AT,AM:AM,AM2145)&gt;AO2145,(SUMIFS(AT:AT,AM:AM,AM2145)-AO2145))</f>
      </c>
      <c r="AV2145" s="116">
        <v>0</v>
      </c>
      <c r="AW2145" s="121">
        <v>0</v>
      </c>
      <c r="AX2145" s="115">
        <f>AN2145-AP2145</f>
      </c>
    </row>
    <row r="2146" spans="1:50" ht="15" hidden="1" customHeight="1" x14ac:dyDescent="0.3">
      <c r="A2146" s="94" t="s">
        <v>60</v>
      </c>
      <c r="B2146" s="94"/>
      <c r="C2146" s="94"/>
      <c r="D2146" s="94"/>
      <c r="E2146" s="94"/>
      <c r="F2146" s="94"/>
      <c r="G2146" s="112">
        <f>AU2146</f>
      </c>
      <c r="H2146" s="113"/>
      <c r="I2146" s="94" t="s">
        <v>492</v>
      </c>
      <c r="J2146" s="94" t="s">
        <v>600</v>
      </c>
      <c r="K2146" s="114">
        <f>P2146/3</f>
      </c>
      <c r="L2146" s="115">
        <v>-12.842000000000001</v>
      </c>
      <c r="M2146" s="116"/>
      <c r="N2146" s="117">
        <f>M2146-L2146</f>
      </c>
      <c r="O2146" s="112"/>
      <c r="P2146" s="118">
        <f>N2146+O2146</f>
      </c>
      <c r="Q2146" s="94" t="s">
        <v>810</v>
      </c>
      <c r="R2146" s="94" t="s">
        <v>392</v>
      </c>
      <c r="S2146" s="119">
        <v>46341</v>
      </c>
      <c r="T2146" s="119"/>
      <c r="U2146" s="119">
        <v>46341</v>
      </c>
      <c r="V2146" s="94"/>
      <c r="W2146" s="94"/>
      <c r="X2146" s="94"/>
      <c r="Y2146" s="119">
        <v>46341</v>
      </c>
      <c r="Z2146" s="94"/>
      <c r="AA2146" s="120"/>
      <c r="AB2146" s="120"/>
      <c r="AC2146" s="120"/>
      <c r="AD2146" s="120"/>
      <c r="AE2146" s="120"/>
      <c r="AF2146" s="120"/>
      <c r="AG2146" s="94"/>
      <c r="AH2146" s="120"/>
      <c r="AI2146" s="94"/>
      <c r="AJ2146" s="94" t="s">
        <v>810</v>
      </c>
      <c r="AK2146" s="94" t="s">
        <v>760</v>
      </c>
      <c r="AL2146" s="94">
        <v>160</v>
      </c>
      <c r="AM2146" s="94" t="str">
        <f>TRIM(AJ2146)&amp;TRIM(AL2146)&amp;TRIM(AK2146)</f>
      </c>
      <c r="AN2146" s="116">
        <v>0</v>
      </c>
      <c r="AO2146" s="116" t="inlineStr">
        <is>
          <t>#NA</t>
        </is>
      </c>
      <c r="AP2146" s="116">
        <f>SUMIFS(M:M,AM:AM,AM2146)+SUMIFS(O:O,AM:AM,AM2146)</f>
      </c>
      <c r="AQ2146" s="116">
        <f>SUMIFS(L:L,AM:AM,AM2146)</f>
      </c>
      <c r="AR2146" s="116">
        <f>AQ2146-AP2146</f>
      </c>
      <c r="AS2146" s="94" t="str">
        <f>IF(AN2146&gt;=AQ2146,"ok","ck")</f>
      </c>
      <c r="AT2146" s="116">
        <f>-P2146</f>
      </c>
      <c r="AU2146" s="115">
        <f>IF(SUMIFS(AT:AT,AM:AM,AM2146)&gt;AO2146,(SUMIFS(AT:AT,AM:AM,AM2146)-AO2146))</f>
      </c>
      <c r="AV2146" s="116">
        <v>0</v>
      </c>
      <c r="AW2146" s="121">
        <v>1.033</v>
      </c>
      <c r="AX2146" s="115">
        <f>AN2146-AP2146</f>
      </c>
    </row>
    <row r="2147" spans="1:50" ht="15" hidden="1" customHeight="1" x14ac:dyDescent="0.3">
      <c r="A2147" s="94" t="s">
        <v>60</v>
      </c>
      <c r="B2147" s="94"/>
      <c r="C2147" s="94"/>
      <c r="D2147" s="94"/>
      <c r="E2147" s="94"/>
      <c r="F2147" s="94"/>
      <c r="G2147" s="112">
        <f>AU2147</f>
      </c>
      <c r="H2147" s="113"/>
      <c r="I2147" s="94" t="s">
        <v>492</v>
      </c>
      <c r="J2147" s="94" t="s">
        <v>600</v>
      </c>
      <c r="K2147" s="114">
        <f>P2147/3</f>
      </c>
      <c r="L2147" s="115">
        <v>-3.734</v>
      </c>
      <c r="M2147" s="116"/>
      <c r="N2147" s="117">
        <f>M2147-L2147</f>
      </c>
      <c r="O2147" s="112"/>
      <c r="P2147" s="118">
        <f>N2147+O2147</f>
      </c>
      <c r="Q2147" s="94" t="s">
        <v>810</v>
      </c>
      <c r="R2147" s="94" t="s">
        <v>392</v>
      </c>
      <c r="S2147" s="119">
        <v>46345</v>
      </c>
      <c r="T2147" s="119"/>
      <c r="U2147" s="119">
        <v>46345</v>
      </c>
      <c r="V2147" s="94"/>
      <c r="W2147" s="94"/>
      <c r="X2147" s="94"/>
      <c r="Y2147" s="119">
        <v>46345</v>
      </c>
      <c r="Z2147" s="94"/>
      <c r="AA2147" s="120"/>
      <c r="AB2147" s="120"/>
      <c r="AC2147" s="120"/>
      <c r="AD2147" s="120"/>
      <c r="AE2147" s="120"/>
      <c r="AF2147" s="120"/>
      <c r="AG2147" s="94"/>
      <c r="AH2147" s="120"/>
      <c r="AI2147" s="94"/>
      <c r="AJ2147" s="94" t="s">
        <v>810</v>
      </c>
      <c r="AK2147" s="94" t="s">
        <v>760</v>
      </c>
      <c r="AL2147" s="94">
        <v>160</v>
      </c>
      <c r="AM2147" s="94" t="str">
        <f>TRIM(AJ2147)&amp;TRIM(AL2147)&amp;TRIM(AK2147)</f>
      </c>
      <c r="AN2147" s="116">
        <v>0</v>
      </c>
      <c r="AO2147" s="116" t="inlineStr">
        <is>
          <t>#NA</t>
        </is>
      </c>
      <c r="AP2147" s="116">
        <f>SUMIFS(M:M,AM:AM,AM2147)+SUMIFS(O:O,AM:AM,AM2147)</f>
      </c>
      <c r="AQ2147" s="116">
        <f>SUMIFS(L:L,AM:AM,AM2147)</f>
      </c>
      <c r="AR2147" s="116">
        <f>AQ2147-AP2147</f>
      </c>
      <c r="AS2147" s="94" t="str">
        <f>IF(AN2147&gt;=AQ2147,"ok","ck")</f>
      </c>
      <c r="AT2147" s="116">
        <f>-P2147</f>
      </c>
      <c r="AU2147" s="115">
        <f>IF(SUMIFS(AT:AT,AM:AM,AM2147)&gt;AO2147,(SUMIFS(AT:AT,AM:AM,AM2147)-AO2147))</f>
      </c>
      <c r="AV2147" s="116">
        <v>0</v>
      </c>
      <c r="AW2147" s="121">
        <v>1.033</v>
      </c>
      <c r="AX2147" s="115">
        <f>AN2147-AP2147</f>
      </c>
    </row>
    <row r="2148" spans="1:50" ht="15" hidden="1" customHeight="1" x14ac:dyDescent="0.3">
      <c r="A2148" s="94" t="s">
        <v>151</v>
      </c>
      <c r="B2148" s="94"/>
      <c r="C2148" s="94"/>
      <c r="D2148" s="94"/>
      <c r="E2148" s="94"/>
      <c r="F2148" s="94"/>
      <c r="G2148" s="112">
        <f>AU2148</f>
      </c>
      <c r="H2148" s="113"/>
      <c r="I2148" s="94" t="s">
        <v>442</v>
      </c>
      <c r="J2148" s="94" t="s">
        <v>443</v>
      </c>
      <c r="K2148" s="114">
        <f>P2148/3</f>
      </c>
      <c r="L2148" s="115">
        <v>0</v>
      </c>
      <c r="M2148" s="116"/>
      <c r="N2148" s="117">
        <f>M2148-L2148</f>
      </c>
      <c r="O2148" s="112"/>
      <c r="P2148" s="118">
        <f>N2148+O2148</f>
      </c>
      <c r="Q2148" s="94" t="s">
        <v>160</v>
      </c>
      <c r="R2148" s="94" t="s">
        <v>392</v>
      </c>
      <c r="S2148" s="119">
        <v>46320</v>
      </c>
      <c r="T2148" s="119"/>
      <c r="U2148" s="120">
        <v>46320</v>
      </c>
      <c r="V2148" s="94"/>
      <c r="W2148" s="94"/>
      <c r="X2148" s="94"/>
      <c r="Y2148" s="119">
        <v>46320</v>
      </c>
      <c r="Z2148" s="94"/>
      <c r="AA2148" s="120"/>
      <c r="AB2148" s="120"/>
      <c r="AC2148" s="120"/>
      <c r="AD2148" s="120"/>
      <c r="AE2148" s="120"/>
      <c r="AF2148" s="120"/>
      <c r="AG2148" s="94"/>
      <c r="AH2148" s="120"/>
      <c r="AI2148" s="94"/>
      <c r="AJ2148" s="94" t="s">
        <v>160</v>
      </c>
      <c r="AK2148" s="94" t="s">
        <v>747</v>
      </c>
      <c r="AL2148" s="94">
        <v>160</v>
      </c>
      <c r="AM2148" s="94" t="str">
        <f>TRIM(AJ2148)&amp;TRIM(AL2148)&amp;TRIM(AK2148)</f>
      </c>
      <c r="AN2148" s="116">
        <v>0</v>
      </c>
      <c r="AO2148" s="116" t="inlineStr">
        <is>
          <t>#NA</t>
        </is>
      </c>
      <c r="AP2148" s="116">
        <f>SUMIFS(M:M,AM:AM,AM2148)+SUMIFS(O:O,AM:AM,AM2148)</f>
      </c>
      <c r="AQ2148" s="116">
        <f>SUMIFS(L:L,AM:AM,AM2148)</f>
      </c>
      <c r="AR2148" s="116">
        <f>AQ2148-AP2148</f>
      </c>
      <c r="AS2148" s="94" t="str">
        <f>IF(AN2148&gt;=AQ2148,"ok","ck")</f>
      </c>
      <c r="AT2148" s="116">
        <f>-P2148</f>
      </c>
      <c r="AU2148" s="115">
        <f>IF(SUMIFS(AT:AT,AM:AM,AM2148)&gt;AO2148,(SUMIFS(AT:AT,AM:AM,AM2148)-AO2148))</f>
      </c>
      <c r="AV2148" s="116">
        <v>0</v>
      </c>
      <c r="AW2148" s="121">
        <v>0.41</v>
      </c>
      <c r="AX2148" s="115">
        <f>AN2148-AP2148</f>
      </c>
    </row>
    <row r="2149" spans="1:50" ht="15" hidden="1" customHeight="1" x14ac:dyDescent="0.3">
      <c r="A2149" s="94" t="s">
        <v>151</v>
      </c>
      <c r="B2149" s="94"/>
      <c r="C2149" s="94"/>
      <c r="D2149" s="94"/>
      <c r="E2149" s="94"/>
      <c r="F2149" s="94"/>
      <c r="G2149" s="112">
        <f>AU2149</f>
      </c>
      <c r="H2149" s="113"/>
      <c r="I2149" s="94" t="s">
        <v>442</v>
      </c>
      <c r="J2149" s="94" t="s">
        <v>443</v>
      </c>
      <c r="K2149" s="114">
        <f>P2149/3</f>
      </c>
      <c r="L2149" s="115">
        <v>0</v>
      </c>
      <c r="M2149" s="116"/>
      <c r="N2149" s="117">
        <f>M2149-L2149</f>
      </c>
      <c r="O2149" s="112"/>
      <c r="P2149" s="118">
        <f>N2149+O2149</f>
      </c>
      <c r="Q2149" s="94" t="s">
        <v>160</v>
      </c>
      <c r="R2149" s="94" t="s">
        <v>392</v>
      </c>
      <c r="S2149" s="119">
        <v>46320</v>
      </c>
      <c r="T2149" s="119"/>
      <c r="U2149" s="120">
        <v>46320</v>
      </c>
      <c r="V2149" s="94"/>
      <c r="W2149" s="94"/>
      <c r="X2149" s="94"/>
      <c r="Y2149" s="119">
        <v>46320</v>
      </c>
      <c r="Z2149" s="94"/>
      <c r="AA2149" s="120"/>
      <c r="AB2149" s="120"/>
      <c r="AC2149" s="120"/>
      <c r="AD2149" s="120"/>
      <c r="AE2149" s="120"/>
      <c r="AF2149" s="120"/>
      <c r="AG2149" s="94"/>
      <c r="AH2149" s="120"/>
      <c r="AI2149" s="94"/>
      <c r="AJ2149" s="94" t="s">
        <v>160</v>
      </c>
      <c r="AK2149" s="94" t="s">
        <v>747</v>
      </c>
      <c r="AL2149" s="94">
        <v>160</v>
      </c>
      <c r="AM2149" s="94" t="str">
        <f>TRIM(AJ2149)&amp;TRIM(AL2149)&amp;TRIM(AK2149)</f>
      </c>
      <c r="AN2149" s="116">
        <v>0</v>
      </c>
      <c r="AO2149" s="116" t="inlineStr">
        <is>
          <t>#NA</t>
        </is>
      </c>
      <c r="AP2149" s="116">
        <f>SUMIFS(M:M,AM:AM,AM2149)+SUMIFS(O:O,AM:AM,AM2149)</f>
      </c>
      <c r="AQ2149" s="116">
        <f>SUMIFS(L:L,AM:AM,AM2149)</f>
      </c>
      <c r="AR2149" s="116">
        <f>AQ2149-AP2149</f>
      </c>
      <c r="AS2149" s="94" t="str">
        <f>IF(AN2149&gt;=AQ2149,"ok","ck")</f>
      </c>
      <c r="AT2149" s="116">
        <f>-P2149</f>
      </c>
      <c r="AU2149" s="115">
        <f>IF(SUMIFS(AT:AT,AM:AM,AM2149)&gt;AO2149,(SUMIFS(AT:AT,AM:AM,AM2149)-AO2149))</f>
      </c>
      <c r="AV2149" s="116">
        <v>0</v>
      </c>
      <c r="AW2149" s="121">
        <v>0.41</v>
      </c>
      <c r="AX2149" s="115">
        <f>AN2149-AP2149</f>
      </c>
    </row>
    <row r="2150" spans="1:50" ht="15" hidden="1" customHeight="1" x14ac:dyDescent="0.3">
      <c r="A2150" s="94" t="s">
        <v>151</v>
      </c>
      <c r="B2150" s="94"/>
      <c r="C2150" s="94"/>
      <c r="D2150" s="94"/>
      <c r="E2150" s="94"/>
      <c r="F2150" s="94"/>
      <c r="G2150" s="112">
        <f>AU2150</f>
      </c>
      <c r="H2150" s="113"/>
      <c r="I2150" s="94" t="s">
        <v>442</v>
      </c>
      <c r="J2150" s="94" t="s">
        <v>443</v>
      </c>
      <c r="K2150" s="114">
        <f>P2150/3</f>
      </c>
      <c r="L2150" s="115">
        <v>0</v>
      </c>
      <c r="M2150" s="116"/>
      <c r="N2150" s="117">
        <f>M2150-L2150</f>
      </c>
      <c r="O2150" s="112"/>
      <c r="P2150" s="118">
        <f>N2150+O2150</f>
      </c>
      <c r="Q2150" s="94" t="s">
        <v>160</v>
      </c>
      <c r="R2150" s="94" t="s">
        <v>392</v>
      </c>
      <c r="S2150" s="119">
        <v>46334</v>
      </c>
      <c r="T2150" s="119"/>
      <c r="U2150" s="119">
        <v>46334</v>
      </c>
      <c r="V2150" s="94"/>
      <c r="W2150" s="94"/>
      <c r="X2150" s="94"/>
      <c r="Y2150" s="119">
        <v>46334</v>
      </c>
      <c r="Z2150" s="94"/>
      <c r="AA2150" s="120"/>
      <c r="AB2150" s="120"/>
      <c r="AC2150" s="120"/>
      <c r="AD2150" s="120"/>
      <c r="AE2150" s="120"/>
      <c r="AF2150" s="120"/>
      <c r="AG2150" s="94"/>
      <c r="AH2150" s="120"/>
      <c r="AI2150" s="94"/>
      <c r="AJ2150" s="94" t="s">
        <v>160</v>
      </c>
      <c r="AK2150" s="94" t="s">
        <v>747</v>
      </c>
      <c r="AL2150" s="94">
        <v>160</v>
      </c>
      <c r="AM2150" s="94" t="str">
        <f>TRIM(AJ2150)&amp;TRIM(AL2150)&amp;TRIM(AK2150)</f>
      </c>
      <c r="AN2150" s="116">
        <v>0</v>
      </c>
      <c r="AO2150" s="116" t="inlineStr">
        <is>
          <t>#NA</t>
        </is>
      </c>
      <c r="AP2150" s="116">
        <f>SUMIFS(M:M,AM:AM,AM2150)+SUMIFS(O:O,AM:AM,AM2150)</f>
      </c>
      <c r="AQ2150" s="116">
        <f>SUMIFS(L:L,AM:AM,AM2150)</f>
      </c>
      <c r="AR2150" s="116">
        <f>AQ2150-AP2150</f>
      </c>
      <c r="AS2150" s="94" t="str">
        <f>IF(AN2150&gt;=AQ2150,"ok","ck")</f>
      </c>
      <c r="AT2150" s="116">
        <f>-P2150</f>
      </c>
      <c r="AU2150" s="115">
        <f>IF(SUMIFS(AT:AT,AM:AM,AM2150)&gt;AO2150,(SUMIFS(AT:AT,AM:AM,AM2150)-AO2150))</f>
      </c>
      <c r="AV2150" s="116">
        <v>0</v>
      </c>
      <c r="AW2150" s="121">
        <v>0.41</v>
      </c>
      <c r="AX2150" s="115">
        <f>AN2150-AP2150</f>
      </c>
    </row>
    <row r="2151" spans="1:50" ht="15" hidden="1" customHeight="1" x14ac:dyDescent="0.3">
      <c r="A2151" s="94" t="s">
        <v>268</v>
      </c>
      <c r="B2151" s="94"/>
      <c r="C2151" s="94"/>
      <c r="D2151" s="94"/>
      <c r="E2151" s="94"/>
      <c r="F2151" s="94"/>
      <c r="G2151" s="112">
        <f>AU2151</f>
      </c>
      <c r="H2151" s="113"/>
      <c r="I2151" s="94" t="s">
        <v>390</v>
      </c>
      <c r="J2151" s="94" t="s">
        <v>399</v>
      </c>
      <c r="K2151" s="114">
        <f>P2151/3</f>
      </c>
      <c r="L2151" s="115">
        <v>159.32</v>
      </c>
      <c r="M2151" s="116"/>
      <c r="N2151" s="117">
        <f>M2151-L2151</f>
      </c>
      <c r="O2151" s="112"/>
      <c r="P2151" s="118">
        <f>N2151+O2151</f>
      </c>
      <c r="Q2151" s="94" t="s">
        <v>787</v>
      </c>
      <c r="R2151" s="94" t="s">
        <v>392</v>
      </c>
      <c r="S2151" s="119">
        <v>46324</v>
      </c>
      <c r="T2151" s="119"/>
      <c r="U2151" s="119">
        <v>46324</v>
      </c>
      <c r="V2151" s="94"/>
      <c r="W2151" s="94"/>
      <c r="X2151" s="94"/>
      <c r="Y2151" s="119">
        <v>46320</v>
      </c>
      <c r="Z2151" s="94"/>
      <c r="AA2151" s="120"/>
      <c r="AB2151" s="120"/>
      <c r="AC2151" s="120"/>
      <c r="AD2151" s="120"/>
      <c r="AE2151" s="120"/>
      <c r="AF2151" s="120"/>
      <c r="AG2151" s="94"/>
      <c r="AH2151" s="120"/>
      <c r="AI2151" s="94"/>
      <c r="AJ2151" s="94" t="s">
        <v>787</v>
      </c>
      <c r="AK2151" s="94" t="s">
        <v>389</v>
      </c>
      <c r="AL2151" s="94">
        <v>140</v>
      </c>
      <c r="AM2151" s="94" t="str">
        <f>TRIM(AJ2151)&amp;TRIM(AL2151)&amp;TRIM(AK2151)</f>
      </c>
      <c r="AN2151" s="116">
        <v>0</v>
      </c>
      <c r="AO2151" s="116" t="inlineStr">
        <is>
          <t>#NA</t>
        </is>
      </c>
      <c r="AP2151" s="116">
        <f>SUMIFS(M:M,AM:AM,AM2151)+SUMIFS(O:O,AM:AM,AM2151)</f>
      </c>
      <c r="AQ2151" s="116">
        <f>SUMIFS(L:L,AM:AM,AM2151)</f>
      </c>
      <c r="AR2151" s="116">
        <f>AQ2151-AP2151</f>
      </c>
      <c r="AS2151" s="94" t="str">
        <f>IF(AN2151&gt;=AQ2151,"ok","ck")</f>
      </c>
      <c r="AT2151" s="116">
        <f>-P2151</f>
      </c>
      <c r="AU2151" s="115">
        <f>IF(SUMIFS(AT:AT,AM:AM,AM2151)&gt;AO2151,(SUMIFS(AT:AT,AM:AM,AM2151)-AO2151))</f>
      </c>
      <c r="AV2151" s="116">
        <v>0</v>
      </c>
      <c r="AW2151" s="121">
        <v>1.025</v>
      </c>
      <c r="AX2151" s="115">
        <f>AN2151-AP2151</f>
      </c>
    </row>
    <row r="2152" spans="1:50" ht="15" hidden="1" customHeight="1" x14ac:dyDescent="0.3">
      <c r="A2152" s="94" t="s">
        <v>268</v>
      </c>
      <c r="B2152" s="94"/>
      <c r="C2152" s="94"/>
      <c r="D2152" s="94"/>
      <c r="E2152" s="94"/>
      <c r="F2152" s="94"/>
      <c r="G2152" s="112">
        <f>AU2152</f>
      </c>
      <c r="H2152" s="113"/>
      <c r="I2152" s="94" t="s">
        <v>390</v>
      </c>
      <c r="J2152" s="94" t="s">
        <v>601</v>
      </c>
      <c r="K2152" s="114">
        <f>P2152/3</f>
      </c>
      <c r="L2152" s="115">
        <v>428.74</v>
      </c>
      <c r="M2152" s="116"/>
      <c r="N2152" s="117">
        <f>M2152-L2152</f>
      </c>
      <c r="O2152" s="112"/>
      <c r="P2152" s="118">
        <f>N2152+O2152</f>
      </c>
      <c r="Q2152" s="94" t="s">
        <v>778</v>
      </c>
      <c r="R2152" s="94" t="s">
        <v>392</v>
      </c>
      <c r="S2152" s="119">
        <v>46346</v>
      </c>
      <c r="T2152" s="119"/>
      <c r="U2152" s="119">
        <v>46346</v>
      </c>
      <c r="V2152" s="94"/>
      <c r="W2152" s="94"/>
      <c r="X2152" s="94"/>
      <c r="Y2152" s="119">
        <v>46342</v>
      </c>
      <c r="Z2152" s="94"/>
      <c r="AA2152" s="120"/>
      <c r="AB2152" s="120"/>
      <c r="AC2152" s="120"/>
      <c r="AD2152" s="120"/>
      <c r="AE2152" s="120"/>
      <c r="AF2152" s="120"/>
      <c r="AG2152" s="94"/>
      <c r="AH2152" s="120"/>
      <c r="AI2152" s="94"/>
      <c r="AJ2152" s="94" t="s">
        <v>778</v>
      </c>
      <c r="AK2152" s="94" t="s">
        <v>761</v>
      </c>
      <c r="AL2152" s="94">
        <v>140</v>
      </c>
      <c r="AM2152" s="94" t="str">
        <f>TRIM(AJ2152)&amp;TRIM(AL2152)&amp;TRIM(AK2152)</f>
      </c>
      <c r="AN2152" s="116">
        <v>0</v>
      </c>
      <c r="AO2152" s="116" t="inlineStr">
        <is>
          <t>#NA</t>
        </is>
      </c>
      <c r="AP2152" s="116">
        <f>SUMIFS(M:M,AM:AM,AM2152)+SUMIFS(O:O,AM:AM,AM2152)</f>
      </c>
      <c r="AQ2152" s="116">
        <f>SUMIFS(L:L,AM:AM,AM2152)</f>
      </c>
      <c r="AR2152" s="116">
        <f>AQ2152-AP2152</f>
      </c>
      <c r="AS2152" s="94" t="str">
        <f>IF(AN2152&gt;=AQ2152,"ok","ck")</f>
      </c>
      <c r="AT2152" s="116">
        <f>-P2152</f>
      </c>
      <c r="AU2152" s="115">
        <f>IF(SUMIFS(AT:AT,AM:AM,AM2152)&gt;AO2152,(SUMIFS(AT:AT,AM:AM,AM2152)-AO2152))</f>
      </c>
      <c r="AV2152" s="116">
        <v>0</v>
      </c>
      <c r="AW2152" s="121">
        <v>0</v>
      </c>
      <c r="AX2152" s="115">
        <f>AN2152-AP2152</f>
      </c>
    </row>
    <row r="2153" spans="1:50" ht="15" hidden="1" customHeight="1" x14ac:dyDescent="0.3">
      <c r="A2153" s="94" t="s">
        <v>268</v>
      </c>
      <c r="B2153" s="94"/>
      <c r="C2153" s="94"/>
      <c r="D2153" s="94"/>
      <c r="E2153" s="94"/>
      <c r="F2153" s="94"/>
      <c r="G2153" s="112">
        <f>AU2153</f>
      </c>
      <c r="H2153" s="113"/>
      <c r="I2153" s="94" t="s">
        <v>390</v>
      </c>
      <c r="J2153" s="94" t="s">
        <v>601</v>
      </c>
      <c r="K2153" s="114">
        <f>P2153/3</f>
      </c>
      <c r="L2153" s="115">
        <v>1.0609999999999999</v>
      </c>
      <c r="M2153" s="116"/>
      <c r="N2153" s="117">
        <f>M2153-L2153</f>
      </c>
      <c r="O2153" s="112"/>
      <c r="P2153" s="118">
        <f>N2153+O2153</f>
      </c>
      <c r="Q2153" s="94" t="s">
        <v>778</v>
      </c>
      <c r="R2153" s="94" t="s">
        <v>392</v>
      </c>
      <c r="S2153" s="119">
        <v>46346</v>
      </c>
      <c r="T2153" s="119"/>
      <c r="U2153" s="119">
        <v>46346</v>
      </c>
      <c r="V2153" s="94"/>
      <c r="W2153" s="94"/>
      <c r="X2153" s="94"/>
      <c r="Y2153" s="119">
        <v>46328</v>
      </c>
      <c r="Z2153" s="94"/>
      <c r="AA2153" s="120"/>
      <c r="AB2153" s="120"/>
      <c r="AC2153" s="120"/>
      <c r="AD2153" s="120"/>
      <c r="AE2153" s="120"/>
      <c r="AF2153" s="120"/>
      <c r="AG2153" s="94"/>
      <c r="AH2153" s="120"/>
      <c r="AI2153" s="94"/>
      <c r="AJ2153" s="94" t="s">
        <v>778</v>
      </c>
      <c r="AK2153" s="94" t="s">
        <v>761</v>
      </c>
      <c r="AL2153" s="94">
        <v>140</v>
      </c>
      <c r="AM2153" s="94" t="str">
        <f>TRIM(AJ2153)&amp;TRIM(AL2153)&amp;TRIM(AK2153)</f>
      </c>
      <c r="AN2153" s="116">
        <v>0</v>
      </c>
      <c r="AO2153" s="116" t="inlineStr">
        <is>
          <t>#NA</t>
        </is>
      </c>
      <c r="AP2153" s="116">
        <f>SUMIFS(M:M,AM:AM,AM2153)+SUMIFS(O:O,AM:AM,AM2153)</f>
      </c>
      <c r="AQ2153" s="116">
        <f>SUMIFS(L:L,AM:AM,AM2153)</f>
      </c>
      <c r="AR2153" s="116">
        <f>AQ2153-AP2153</f>
      </c>
      <c r="AS2153" s="94" t="str">
        <f>IF(AN2153&gt;=AQ2153,"ok","ck")</f>
      </c>
      <c r="AT2153" s="116">
        <f>-P2153</f>
      </c>
      <c r="AU2153" s="115">
        <f>IF(SUMIFS(AT:AT,AM:AM,AM2153)&gt;AO2153,(SUMIFS(AT:AT,AM:AM,AM2153)-AO2153))</f>
      </c>
      <c r="AV2153" s="116">
        <v>0</v>
      </c>
      <c r="AW2153" s="121">
        <v>0</v>
      </c>
      <c r="AX2153" s="115">
        <f>AN2153-AP2153</f>
      </c>
    </row>
    <row r="2154" spans="1:50" ht="15" hidden="1" customHeight="1" x14ac:dyDescent="0.3">
      <c r="A2154" s="94" t="s">
        <v>268</v>
      </c>
      <c r="B2154" s="94"/>
      <c r="C2154" s="94"/>
      <c r="D2154" s="94"/>
      <c r="E2154" s="94"/>
      <c r="F2154" s="94"/>
      <c r="G2154" s="112">
        <f>AU2154</f>
      </c>
      <c r="H2154" s="113"/>
      <c r="I2154" s="94" t="s">
        <v>390</v>
      </c>
      <c r="J2154" s="94" t="s">
        <v>601</v>
      </c>
      <c r="K2154" s="114">
        <f>P2154/3</f>
      </c>
      <c r="L2154" s="115">
        <v>1060.8</v>
      </c>
      <c r="M2154" s="116"/>
      <c r="N2154" s="117">
        <f>M2154-L2154</f>
      </c>
      <c r="O2154" s="112"/>
      <c r="P2154" s="118">
        <f>N2154+O2154</f>
      </c>
      <c r="Q2154" s="94" t="s">
        <v>778</v>
      </c>
      <c r="R2154" s="94" t="s">
        <v>392</v>
      </c>
      <c r="S2154" s="119">
        <v>46346</v>
      </c>
      <c r="T2154" s="119"/>
      <c r="U2154" s="119">
        <v>46346</v>
      </c>
      <c r="V2154" s="94"/>
      <c r="W2154" s="94"/>
      <c r="X2154" s="94"/>
      <c r="Y2154" s="119">
        <v>46328</v>
      </c>
      <c r="Z2154" s="94"/>
      <c r="AA2154" s="120"/>
      <c r="AB2154" s="120"/>
      <c r="AC2154" s="120"/>
      <c r="AD2154" s="120"/>
      <c r="AE2154" s="120"/>
      <c r="AF2154" s="120"/>
      <c r="AG2154" s="94"/>
      <c r="AH2154" s="120"/>
      <c r="AI2154" s="94"/>
      <c r="AJ2154" s="94" t="s">
        <v>778</v>
      </c>
      <c r="AK2154" s="94" t="s">
        <v>761</v>
      </c>
      <c r="AL2154" s="94">
        <v>140</v>
      </c>
      <c r="AM2154" s="94" t="str">
        <f>TRIM(AJ2154)&amp;TRIM(AL2154)&amp;TRIM(AK2154)</f>
      </c>
      <c r="AN2154" s="116">
        <v>0</v>
      </c>
      <c r="AO2154" s="116" t="inlineStr">
        <is>
          <t>#NA</t>
        </is>
      </c>
      <c r="AP2154" s="116">
        <f>SUMIFS(M:M,AM:AM,AM2154)+SUMIFS(O:O,AM:AM,AM2154)</f>
      </c>
      <c r="AQ2154" s="116">
        <f>SUMIFS(L:L,AM:AM,AM2154)</f>
      </c>
      <c r="AR2154" s="116">
        <f>AQ2154-AP2154</f>
      </c>
      <c r="AS2154" s="94" t="str">
        <f>IF(AN2154&gt;=AQ2154,"ok","ck")</f>
      </c>
      <c r="AT2154" s="116">
        <f>-P2154</f>
      </c>
      <c r="AU2154" s="115">
        <f>IF(SUMIFS(AT:AT,AM:AM,AM2154)&gt;AO2154,(SUMIFS(AT:AT,AM:AM,AM2154)-AO2154))</f>
      </c>
      <c r="AV2154" s="116">
        <v>0</v>
      </c>
      <c r="AW2154" s="121">
        <v>0</v>
      </c>
      <c r="AX2154" s="115">
        <f>AN2154-AP2154</f>
      </c>
    </row>
    <row r="2155" spans="1:50" ht="15" hidden="1" customHeight="1" x14ac:dyDescent="0.3">
      <c r="A2155" s="94" t="s">
        <v>268</v>
      </c>
      <c r="B2155" s="94"/>
      <c r="C2155" s="94"/>
      <c r="D2155" s="94"/>
      <c r="E2155" s="94"/>
      <c r="F2155" s="94"/>
      <c r="G2155" s="112">
        <f>AU2155</f>
      </c>
      <c r="H2155" s="113"/>
      <c r="I2155" s="94" t="s">
        <v>390</v>
      </c>
      <c r="J2155" s="94" t="s">
        <v>601</v>
      </c>
      <c r="K2155" s="114">
        <f>P2155/3</f>
      </c>
      <c r="L2155" s="115">
        <v>123.41</v>
      </c>
      <c r="M2155" s="116"/>
      <c r="N2155" s="117">
        <f>M2155-L2155</f>
      </c>
      <c r="O2155" s="112"/>
      <c r="P2155" s="118">
        <f>N2155+O2155</f>
      </c>
      <c r="Q2155" s="94" t="s">
        <v>778</v>
      </c>
      <c r="R2155" s="94" t="s">
        <v>392</v>
      </c>
      <c r="S2155" s="119">
        <v>46346</v>
      </c>
      <c r="T2155" s="119"/>
      <c r="U2155" s="119">
        <v>46346</v>
      </c>
      <c r="V2155" s="94"/>
      <c r="W2155" s="94"/>
      <c r="X2155" s="94"/>
      <c r="Y2155" s="119">
        <v>46343</v>
      </c>
      <c r="Z2155" s="94"/>
      <c r="AA2155" s="120"/>
      <c r="AB2155" s="120"/>
      <c r="AC2155" s="120"/>
      <c r="AD2155" s="120"/>
      <c r="AE2155" s="120"/>
      <c r="AF2155" s="120"/>
      <c r="AG2155" s="94"/>
      <c r="AH2155" s="120"/>
      <c r="AI2155" s="94"/>
      <c r="AJ2155" s="94" t="s">
        <v>778</v>
      </c>
      <c r="AK2155" s="94" t="s">
        <v>761</v>
      </c>
      <c r="AL2155" s="94">
        <v>140</v>
      </c>
      <c r="AM2155" s="94" t="str">
        <f>TRIM(AJ2155)&amp;TRIM(AL2155)&amp;TRIM(AK2155)</f>
      </c>
      <c r="AN2155" s="116">
        <v>0</v>
      </c>
      <c r="AO2155" s="116" t="inlineStr">
        <is>
          <t>#NA</t>
        </is>
      </c>
      <c r="AP2155" s="116">
        <f>SUMIFS(M:M,AM:AM,AM2155)+SUMIFS(O:O,AM:AM,AM2155)</f>
      </c>
      <c r="AQ2155" s="116">
        <f>SUMIFS(L:L,AM:AM,AM2155)</f>
      </c>
      <c r="AR2155" s="116">
        <f>AQ2155-AP2155</f>
      </c>
      <c r="AS2155" s="94" t="str">
        <f>IF(AN2155&gt;=AQ2155,"ok","ck")</f>
      </c>
      <c r="AT2155" s="116">
        <f>-P2155</f>
      </c>
      <c r="AU2155" s="115">
        <f>IF(SUMIFS(AT:AT,AM:AM,AM2155)&gt;AO2155,(SUMIFS(AT:AT,AM:AM,AM2155)-AO2155))</f>
      </c>
      <c r="AV2155" s="116">
        <v>0</v>
      </c>
      <c r="AW2155" s="121">
        <v>0</v>
      </c>
      <c r="AX2155" s="115">
        <f>AN2155-AP2155</f>
      </c>
    </row>
    <row r="2156" spans="1:50" ht="15" hidden="1" customHeight="1" x14ac:dyDescent="0.3">
      <c r="A2156" s="94" t="s">
        <v>268</v>
      </c>
      <c r="B2156" s="94"/>
      <c r="C2156" s="94"/>
      <c r="D2156" s="94"/>
      <c r="E2156" s="94"/>
      <c r="F2156" s="94"/>
      <c r="G2156" s="112">
        <f>AU2156</f>
      </c>
      <c r="H2156" s="113"/>
      <c r="I2156" s="94" t="s">
        <v>390</v>
      </c>
      <c r="J2156" s="94" t="s">
        <v>602</v>
      </c>
      <c r="K2156" s="114">
        <f>P2156/3</f>
      </c>
      <c r="L2156" s="115">
        <v>-2.96</v>
      </c>
      <c r="M2156" s="116"/>
      <c r="N2156" s="117">
        <f>M2156-L2156</f>
      </c>
      <c r="O2156" s="112"/>
      <c r="P2156" s="118">
        <f>N2156+O2156</f>
      </c>
      <c r="Q2156" s="94" t="s">
        <v>837</v>
      </c>
      <c r="R2156" s="94" t="s">
        <v>392</v>
      </c>
      <c r="S2156" s="119">
        <v>46320</v>
      </c>
      <c r="T2156" s="119"/>
      <c r="U2156" s="119">
        <v>46320</v>
      </c>
      <c r="V2156" s="94"/>
      <c r="W2156" s="94"/>
      <c r="X2156" s="94"/>
      <c r="Y2156" s="119">
        <v>46320</v>
      </c>
      <c r="Z2156" s="94"/>
      <c r="AA2156" s="120"/>
      <c r="AB2156" s="120"/>
      <c r="AC2156" s="120"/>
      <c r="AD2156" s="120"/>
      <c r="AE2156" s="120"/>
      <c r="AF2156" s="120"/>
      <c r="AG2156" s="94"/>
      <c r="AH2156" s="120"/>
      <c r="AI2156" s="94"/>
      <c r="AJ2156" s="94" t="s">
        <v>837</v>
      </c>
      <c r="AK2156" s="94" t="s">
        <v>756</v>
      </c>
      <c r="AL2156" s="94">
        <v>140</v>
      </c>
      <c r="AM2156" s="94" t="str">
        <f>TRIM(AJ2156)&amp;TRIM(AL2156)&amp;TRIM(AK2156)</f>
      </c>
      <c r="AN2156" s="116">
        <v>0</v>
      </c>
      <c r="AO2156" s="116" t="inlineStr">
        <is>
          <t>#NA</t>
        </is>
      </c>
      <c r="AP2156" s="116">
        <f>SUMIFS(M:M,AM:AM,AM2156)+SUMIFS(O:O,AM:AM,AM2156)</f>
      </c>
      <c r="AQ2156" s="116">
        <f>SUMIFS(L:L,AM:AM,AM2156)</f>
      </c>
      <c r="AR2156" s="116">
        <f>AQ2156-AP2156</f>
      </c>
      <c r="AS2156" s="94" t="str">
        <f>IF(AN2156&gt;=AQ2156,"ok","ck")</f>
      </c>
      <c r="AT2156" s="116">
        <f>-P2156</f>
      </c>
      <c r="AU2156" s="115">
        <f>IF(SUMIFS(AT:AT,AM:AM,AM2156)&gt;AO2156,(SUMIFS(AT:AT,AM:AM,AM2156)-AO2156))</f>
      </c>
      <c r="AV2156" s="116">
        <v>0</v>
      </c>
      <c r="AW2156" s="121">
        <v>1.021</v>
      </c>
      <c r="AX2156" s="115">
        <f>AN2156-AP2156</f>
      </c>
    </row>
    <row r="2157" spans="1:50" ht="15" hidden="1" customHeight="1" x14ac:dyDescent="0.3">
      <c r="A2157" s="94" t="s">
        <v>268</v>
      </c>
      <c r="B2157" s="94"/>
      <c r="C2157" s="94"/>
      <c r="D2157" s="94"/>
      <c r="E2157" s="94"/>
      <c r="F2157" s="94"/>
      <c r="G2157" s="112">
        <f>AU2157</f>
      </c>
      <c r="H2157" s="113"/>
      <c r="I2157" s="94" t="s">
        <v>390</v>
      </c>
      <c r="J2157" s="94" t="s">
        <v>399</v>
      </c>
      <c r="K2157" s="114">
        <f>P2157/3</f>
      </c>
      <c r="L2157" s="115">
        <v>63.808</v>
      </c>
      <c r="M2157" s="116"/>
      <c r="N2157" s="117">
        <f>M2157-L2157</f>
      </c>
      <c r="O2157" s="112"/>
      <c r="P2157" s="118">
        <f>N2157+O2157</f>
      </c>
      <c r="Q2157" s="94" t="s">
        <v>778</v>
      </c>
      <c r="R2157" s="94" t="s">
        <v>392</v>
      </c>
      <c r="S2157" s="119">
        <v>46343</v>
      </c>
      <c r="T2157" s="119"/>
      <c r="U2157" s="119">
        <v>46343</v>
      </c>
      <c r="V2157" s="94"/>
      <c r="W2157" s="94"/>
      <c r="X2157" s="94"/>
      <c r="Y2157" s="119">
        <v>46335</v>
      </c>
      <c r="Z2157" s="94"/>
      <c r="AA2157" s="120"/>
      <c r="AB2157" s="120"/>
      <c r="AC2157" s="120"/>
      <c r="AD2157" s="120"/>
      <c r="AE2157" s="120"/>
      <c r="AF2157" s="120"/>
      <c r="AG2157" s="94"/>
      <c r="AH2157" s="120"/>
      <c r="AI2157" s="94"/>
      <c r="AJ2157" s="94" t="s">
        <v>778</v>
      </c>
      <c r="AK2157" s="94" t="s">
        <v>342</v>
      </c>
      <c r="AL2157" s="94">
        <v>140</v>
      </c>
      <c r="AM2157" s="94" t="str">
        <f>TRIM(AJ2157)&amp;TRIM(AL2157)&amp;TRIM(AK2157)</f>
      </c>
      <c r="AN2157" s="116">
        <v>0</v>
      </c>
      <c r="AO2157" s="116" t="inlineStr">
        <is>
          <t>#NA</t>
        </is>
      </c>
      <c r="AP2157" s="116">
        <f>SUMIFS(M:M,AM:AM,AM2157)+SUMIFS(O:O,AM:AM,AM2157)</f>
      </c>
      <c r="AQ2157" s="116">
        <f>SUMIFS(L:L,AM:AM,AM2157)</f>
      </c>
      <c r="AR2157" s="116">
        <f>AQ2157-AP2157</f>
      </c>
      <c r="AS2157" s="94" t="str">
        <f>IF(AN2157&gt;=AQ2157,"ok","ck")</f>
      </c>
      <c r="AT2157" s="116">
        <f>-P2157</f>
      </c>
      <c r="AU2157" s="115">
        <f>IF(SUMIFS(AT:AT,AM:AM,AM2157)&gt;AO2157,(SUMIFS(AT:AT,AM:AM,AM2157)-AO2157))</f>
      </c>
      <c r="AV2157" s="116">
        <v>0</v>
      </c>
      <c r="AW2157" s="121">
        <v>0</v>
      </c>
      <c r="AX2157" s="115">
        <f>AN2157-AP2157</f>
      </c>
    </row>
    <row r="2158" spans="1:50" ht="15" hidden="1" customHeight="1" x14ac:dyDescent="0.3">
      <c r="A2158" s="94" t="s">
        <v>268</v>
      </c>
      <c r="B2158" s="94"/>
      <c r="C2158" s="94"/>
      <c r="D2158" s="94"/>
      <c r="E2158" s="94"/>
      <c r="F2158" s="94"/>
      <c r="G2158" s="112">
        <f>AU2158</f>
      </c>
      <c r="H2158" s="113"/>
      <c r="I2158" s="94" t="s">
        <v>390</v>
      </c>
      <c r="J2158" s="94" t="s">
        <v>399</v>
      </c>
      <c r="K2158" s="114">
        <f>P2158/3</f>
      </c>
      <c r="L2158" s="115">
        <v>1.42</v>
      </c>
      <c r="M2158" s="116"/>
      <c r="N2158" s="117">
        <f>M2158-L2158</f>
      </c>
      <c r="O2158" s="112"/>
      <c r="P2158" s="118">
        <f>N2158+O2158</f>
      </c>
      <c r="Q2158" s="94" t="s">
        <v>778</v>
      </c>
      <c r="R2158" s="94" t="s">
        <v>392</v>
      </c>
      <c r="S2158" s="119">
        <v>46343</v>
      </c>
      <c r="T2158" s="119"/>
      <c r="U2158" s="119">
        <v>46343</v>
      </c>
      <c r="V2158" s="94"/>
      <c r="W2158" s="94"/>
      <c r="X2158" s="94"/>
      <c r="Y2158" s="119">
        <v>46341</v>
      </c>
      <c r="Z2158" s="94"/>
      <c r="AA2158" s="120"/>
      <c r="AB2158" s="120"/>
      <c r="AC2158" s="120"/>
      <c r="AD2158" s="120"/>
      <c r="AE2158" s="120"/>
      <c r="AF2158" s="120"/>
      <c r="AG2158" s="94"/>
      <c r="AH2158" s="120"/>
      <c r="AI2158" s="94"/>
      <c r="AJ2158" s="94" t="s">
        <v>778</v>
      </c>
      <c r="AK2158" s="94" t="s">
        <v>342</v>
      </c>
      <c r="AL2158" s="94">
        <v>140</v>
      </c>
      <c r="AM2158" s="94" t="str">
        <f>TRIM(AJ2158)&amp;TRIM(AL2158)&amp;TRIM(AK2158)</f>
      </c>
      <c r="AN2158" s="116">
        <v>0</v>
      </c>
      <c r="AO2158" s="116" t="inlineStr">
        <is>
          <t>#NA</t>
        </is>
      </c>
      <c r="AP2158" s="116">
        <f>SUMIFS(M:M,AM:AM,AM2158)+SUMIFS(O:O,AM:AM,AM2158)</f>
      </c>
      <c r="AQ2158" s="116">
        <f>SUMIFS(L:L,AM:AM,AM2158)</f>
      </c>
      <c r="AR2158" s="116">
        <f>AQ2158-AP2158</f>
      </c>
      <c r="AS2158" s="94" t="str">
        <f>IF(AN2158&gt;=AQ2158,"ok","ck")</f>
      </c>
      <c r="AT2158" s="116">
        <f>-P2158</f>
      </c>
      <c r="AU2158" s="115">
        <f>IF(SUMIFS(AT:AT,AM:AM,AM2158)&gt;AO2158,(SUMIFS(AT:AT,AM:AM,AM2158)-AO2158))</f>
      </c>
      <c r="AV2158" s="116">
        <v>0</v>
      </c>
      <c r="AW2158" s="121">
        <v>0</v>
      </c>
      <c r="AX2158" s="115">
        <f>AN2158-AP2158</f>
      </c>
    </row>
    <row r="2159" spans="1:50" ht="15" hidden="1" customHeight="1" x14ac:dyDescent="0.3">
      <c r="A2159" s="94" t="s">
        <v>268</v>
      </c>
      <c r="B2159" s="94"/>
      <c r="C2159" s="94"/>
      <c r="D2159" s="94"/>
      <c r="E2159" s="94"/>
      <c r="F2159" s="94"/>
      <c r="G2159" s="112">
        <f>AU2159</f>
      </c>
      <c r="H2159" s="113"/>
      <c r="I2159" s="94" t="s">
        <v>390</v>
      </c>
      <c r="J2159" s="94" t="s">
        <v>399</v>
      </c>
      <c r="K2159" s="114">
        <f>P2159/3</f>
      </c>
      <c r="L2159" s="115">
        <v>88.04</v>
      </c>
      <c r="M2159" s="116"/>
      <c r="N2159" s="117">
        <f>M2159-L2159</f>
      </c>
      <c r="O2159" s="112"/>
      <c r="P2159" s="118">
        <f>N2159+O2159</f>
      </c>
      <c r="Q2159" s="94" t="s">
        <v>778</v>
      </c>
      <c r="R2159" s="94" t="s">
        <v>392</v>
      </c>
      <c r="S2159" s="119">
        <v>46343</v>
      </c>
      <c r="T2159" s="119"/>
      <c r="U2159" s="120">
        <v>46343</v>
      </c>
      <c r="V2159" s="94"/>
      <c r="W2159" s="94"/>
      <c r="X2159" s="94"/>
      <c r="Y2159" s="119">
        <v>46329</v>
      </c>
      <c r="Z2159" s="94"/>
      <c r="AA2159" s="120"/>
      <c r="AB2159" s="120"/>
      <c r="AC2159" s="120"/>
      <c r="AD2159" s="120"/>
      <c r="AE2159" s="120"/>
      <c r="AF2159" s="120"/>
      <c r="AG2159" s="94"/>
      <c r="AH2159" s="120"/>
      <c r="AI2159" s="94"/>
      <c r="AJ2159" s="94" t="s">
        <v>778</v>
      </c>
      <c r="AK2159" s="94" t="s">
        <v>342</v>
      </c>
      <c r="AL2159" s="94">
        <v>140</v>
      </c>
      <c r="AM2159" s="94" t="str">
        <f>TRIM(AJ2159)&amp;TRIM(AL2159)&amp;TRIM(AK2159)</f>
      </c>
      <c r="AN2159" s="116">
        <v>0</v>
      </c>
      <c r="AO2159" s="116" t="inlineStr">
        <is>
          <t>#NA</t>
        </is>
      </c>
      <c r="AP2159" s="116">
        <f>SUMIFS(M:M,AM:AM,AM2159)+SUMIFS(O:O,AM:AM,AM2159)</f>
      </c>
      <c r="AQ2159" s="116">
        <f>SUMIFS(L:L,AM:AM,AM2159)</f>
      </c>
      <c r="AR2159" s="116">
        <f>AQ2159-AP2159</f>
      </c>
      <c r="AS2159" s="94" t="str">
        <f>IF(AN2159&gt;=AQ2159,"ok","ck")</f>
      </c>
      <c r="AT2159" s="116">
        <f>-P2159</f>
      </c>
      <c r="AU2159" s="115">
        <f>IF(SUMIFS(AT:AT,AM:AM,AM2159)&gt;AO2159,(SUMIFS(AT:AT,AM:AM,AM2159)-AO2159))</f>
      </c>
      <c r="AV2159" s="116">
        <v>0</v>
      </c>
      <c r="AW2159" s="121">
        <v>0</v>
      </c>
      <c r="AX2159" s="115">
        <f>AN2159-AP2159</f>
      </c>
    </row>
    <row r="2160" spans="1:50" ht="15" hidden="1" customHeight="1" x14ac:dyDescent="0.3">
      <c r="A2160" s="94" t="s">
        <v>268</v>
      </c>
      <c r="B2160" s="94"/>
      <c r="C2160" s="94"/>
      <c r="D2160" s="94"/>
      <c r="E2160" s="94"/>
      <c r="F2160" s="94"/>
      <c r="G2160" s="112">
        <f>AU2160</f>
      </c>
      <c r="H2160" s="113"/>
      <c r="I2160" s="94" t="s">
        <v>390</v>
      </c>
      <c r="J2160" s="94" t="s">
        <v>399</v>
      </c>
      <c r="K2160" s="114">
        <f>P2160/3</f>
      </c>
      <c r="L2160" s="115">
        <v>0.85199999999999998</v>
      </c>
      <c r="M2160" s="116"/>
      <c r="N2160" s="117">
        <f>M2160-L2160</f>
      </c>
      <c r="O2160" s="112"/>
      <c r="P2160" s="118">
        <f>N2160+O2160</f>
      </c>
      <c r="Q2160" s="94" t="s">
        <v>778</v>
      </c>
      <c r="R2160" s="94" t="s">
        <v>392</v>
      </c>
      <c r="S2160" s="119">
        <v>46343</v>
      </c>
      <c r="T2160" s="119"/>
      <c r="U2160" s="120">
        <v>46343</v>
      </c>
      <c r="V2160" s="94"/>
      <c r="W2160" s="94"/>
      <c r="X2160" s="94"/>
      <c r="Y2160" s="119">
        <v>46335</v>
      </c>
      <c r="Z2160" s="94"/>
      <c r="AA2160" s="120"/>
      <c r="AB2160" s="120"/>
      <c r="AC2160" s="120"/>
      <c r="AD2160" s="120"/>
      <c r="AE2160" s="120"/>
      <c r="AF2160" s="120"/>
      <c r="AG2160" s="94"/>
      <c r="AH2160" s="120"/>
      <c r="AI2160" s="94"/>
      <c r="AJ2160" s="94" t="s">
        <v>778</v>
      </c>
      <c r="AK2160" s="94" t="s">
        <v>342</v>
      </c>
      <c r="AL2160" s="94">
        <v>140</v>
      </c>
      <c r="AM2160" s="94" t="str">
        <f>TRIM(AJ2160)&amp;TRIM(AL2160)&amp;TRIM(AK2160)</f>
      </c>
      <c r="AN2160" s="116">
        <v>0</v>
      </c>
      <c r="AO2160" s="116" t="inlineStr">
        <is>
          <t>#NA</t>
        </is>
      </c>
      <c r="AP2160" s="116">
        <f>SUMIFS(M:M,AM:AM,AM2160)+SUMIFS(O:O,AM:AM,AM2160)</f>
      </c>
      <c r="AQ2160" s="116">
        <f>SUMIFS(L:L,AM:AM,AM2160)</f>
      </c>
      <c r="AR2160" s="116">
        <f>AQ2160-AP2160</f>
      </c>
      <c r="AS2160" s="94" t="str">
        <f>IF(AN2160&gt;=AQ2160,"ok","ck")</f>
      </c>
      <c r="AT2160" s="116">
        <f>-P2160</f>
      </c>
      <c r="AU2160" s="115">
        <f>IF(SUMIFS(AT:AT,AM:AM,AM2160)&gt;AO2160,(SUMIFS(AT:AT,AM:AM,AM2160)-AO2160))</f>
      </c>
      <c r="AV2160" s="116">
        <v>0</v>
      </c>
      <c r="AW2160" s="121">
        <v>0</v>
      </c>
      <c r="AX2160" s="115">
        <f>AN2160-AP2160</f>
      </c>
    </row>
    <row r="2161" spans="1:50" ht="15" hidden="1" customHeight="1" x14ac:dyDescent="0.3">
      <c r="A2161" s="94" t="s">
        <v>268</v>
      </c>
      <c r="B2161" s="94"/>
      <c r="C2161" s="94"/>
      <c r="D2161" s="94"/>
      <c r="E2161" s="94"/>
      <c r="F2161" s="94"/>
      <c r="G2161" s="112">
        <f>AU2161</f>
      </c>
      <c r="H2161" s="113"/>
      <c r="I2161" s="94" t="s">
        <v>390</v>
      </c>
      <c r="J2161" s="94" t="s">
        <v>399</v>
      </c>
      <c r="K2161" s="114">
        <f>P2161/3</f>
      </c>
      <c r="L2161" s="115">
        <v>199.8</v>
      </c>
      <c r="M2161" s="116"/>
      <c r="N2161" s="117">
        <f>M2161-L2161</f>
      </c>
      <c r="O2161" s="112"/>
      <c r="P2161" s="118">
        <f>N2161+O2161</f>
      </c>
      <c r="Q2161" s="94" t="s">
        <v>778</v>
      </c>
      <c r="R2161" s="94" t="s">
        <v>392</v>
      </c>
      <c r="S2161" s="119">
        <v>46343</v>
      </c>
      <c r="T2161" s="119"/>
      <c r="U2161" s="119">
        <v>46343</v>
      </c>
      <c r="V2161" s="94"/>
      <c r="W2161" s="94"/>
      <c r="X2161" s="94"/>
      <c r="Y2161" s="119">
        <v>46334</v>
      </c>
      <c r="Z2161" s="94"/>
      <c r="AA2161" s="120"/>
      <c r="AB2161" s="120"/>
      <c r="AC2161" s="120"/>
      <c r="AD2161" s="120"/>
      <c r="AE2161" s="120"/>
      <c r="AF2161" s="120"/>
      <c r="AG2161" s="94"/>
      <c r="AH2161" s="120"/>
      <c r="AI2161" s="94"/>
      <c r="AJ2161" s="94" t="s">
        <v>778</v>
      </c>
      <c r="AK2161" s="94" t="s">
        <v>342</v>
      </c>
      <c r="AL2161" s="94">
        <v>140</v>
      </c>
      <c r="AM2161" s="94" t="str">
        <f>TRIM(AJ2161)&amp;TRIM(AL2161)&amp;TRIM(AK2161)</f>
      </c>
      <c r="AN2161" s="116">
        <v>0</v>
      </c>
      <c r="AO2161" s="116" t="inlineStr">
        <is>
          <t>#NA</t>
        </is>
      </c>
      <c r="AP2161" s="116">
        <f>SUMIFS(M:M,AM:AM,AM2161)+SUMIFS(O:O,AM:AM,AM2161)</f>
      </c>
      <c r="AQ2161" s="116">
        <f>SUMIFS(L:L,AM:AM,AM2161)</f>
      </c>
      <c r="AR2161" s="116">
        <f>AQ2161-AP2161</f>
      </c>
      <c r="AS2161" s="94" t="str">
        <f>IF(AN2161&gt;=AQ2161,"ok","ck")</f>
      </c>
      <c r="AT2161" s="116">
        <f>-P2161</f>
      </c>
      <c r="AU2161" s="115">
        <f>IF(SUMIFS(AT:AT,AM:AM,AM2161)&gt;AO2161,(SUMIFS(AT:AT,AM:AM,AM2161)-AO2161))</f>
      </c>
      <c r="AV2161" s="116">
        <v>0</v>
      </c>
      <c r="AW2161" s="121">
        <v>0</v>
      </c>
      <c r="AX2161" s="115">
        <f>AN2161-AP2161</f>
      </c>
    </row>
    <row r="2162" spans="1:50" ht="15" hidden="1" customHeight="1" x14ac:dyDescent="0.3">
      <c r="A2162" s="94" t="s">
        <v>268</v>
      </c>
      <c r="B2162" s="94"/>
      <c r="C2162" s="94"/>
      <c r="D2162" s="94"/>
      <c r="E2162" s="94"/>
      <c r="F2162" s="94"/>
      <c r="G2162" s="112">
        <f>AU2162</f>
      </c>
      <c r="H2162" s="113"/>
      <c r="I2162" s="94" t="s">
        <v>390</v>
      </c>
      <c r="J2162" s="94" t="s">
        <v>399</v>
      </c>
      <c r="K2162" s="114">
        <f>P2162/3</f>
      </c>
      <c r="L2162" s="115">
        <v>66.599999999999994</v>
      </c>
      <c r="M2162" s="116"/>
      <c r="N2162" s="117">
        <f>M2162-L2162</f>
      </c>
      <c r="O2162" s="112"/>
      <c r="P2162" s="118">
        <f>N2162+O2162</f>
      </c>
      <c r="Q2162" s="94" t="s">
        <v>778</v>
      </c>
      <c r="R2162" s="94" t="s">
        <v>392</v>
      </c>
      <c r="S2162" s="119">
        <v>46343</v>
      </c>
      <c r="T2162" s="119"/>
      <c r="U2162" s="119">
        <v>46343</v>
      </c>
      <c r="V2162" s="94"/>
      <c r="W2162" s="94"/>
      <c r="X2162" s="94"/>
      <c r="Y2162" s="119">
        <v>46337</v>
      </c>
      <c r="Z2162" s="94"/>
      <c r="AA2162" s="120"/>
      <c r="AB2162" s="120"/>
      <c r="AC2162" s="120"/>
      <c r="AD2162" s="120"/>
      <c r="AE2162" s="120"/>
      <c r="AF2162" s="120"/>
      <c r="AG2162" s="94"/>
      <c r="AH2162" s="120"/>
      <c r="AI2162" s="94"/>
      <c r="AJ2162" s="94" t="s">
        <v>778</v>
      </c>
      <c r="AK2162" s="94" t="s">
        <v>342</v>
      </c>
      <c r="AL2162" s="94">
        <v>140</v>
      </c>
      <c r="AM2162" s="94" t="str">
        <f>TRIM(AJ2162)&amp;TRIM(AL2162)&amp;TRIM(AK2162)</f>
      </c>
      <c r="AN2162" s="116">
        <v>0</v>
      </c>
      <c r="AO2162" s="116" t="inlineStr">
        <is>
          <t>#NA</t>
        </is>
      </c>
      <c r="AP2162" s="116">
        <f>SUMIFS(M:M,AM:AM,AM2162)+SUMIFS(O:O,AM:AM,AM2162)</f>
      </c>
      <c r="AQ2162" s="116">
        <f>SUMIFS(L:L,AM:AM,AM2162)</f>
      </c>
      <c r="AR2162" s="116">
        <f>AQ2162-AP2162</f>
      </c>
      <c r="AS2162" s="94" t="str">
        <f>IF(AN2162&gt;=AQ2162,"ok","ck")</f>
      </c>
      <c r="AT2162" s="116">
        <f>-P2162</f>
      </c>
      <c r="AU2162" s="115">
        <f>IF(SUMIFS(AT:AT,AM:AM,AM2162)&gt;AO2162,(SUMIFS(AT:AT,AM:AM,AM2162)-AO2162))</f>
      </c>
      <c r="AV2162" s="116">
        <v>0</v>
      </c>
      <c r="AW2162" s="121">
        <v>0</v>
      </c>
      <c r="AX2162" s="115">
        <f>AN2162-AP2162</f>
      </c>
    </row>
    <row r="2163" spans="1:50" ht="15" hidden="1" customHeight="1" x14ac:dyDescent="0.3">
      <c r="A2163" s="94" t="s">
        <v>268</v>
      </c>
      <c r="B2163" s="94"/>
      <c r="C2163" s="94"/>
      <c r="D2163" s="94"/>
      <c r="E2163" s="94"/>
      <c r="F2163" s="94"/>
      <c r="G2163" s="112">
        <f>AU2163</f>
      </c>
      <c r="H2163" s="113"/>
      <c r="I2163" s="94" t="s">
        <v>390</v>
      </c>
      <c r="J2163" s="94" t="s">
        <v>401</v>
      </c>
      <c r="K2163" s="114">
        <f>P2163/3</f>
      </c>
      <c r="L2163" s="115">
        <v>232.16</v>
      </c>
      <c r="M2163" s="116"/>
      <c r="N2163" s="117">
        <f>M2163-L2163</f>
      </c>
      <c r="O2163" s="112"/>
      <c r="P2163" s="118">
        <f>N2163+O2163</f>
      </c>
      <c r="Q2163" s="94" t="s">
        <v>778</v>
      </c>
      <c r="R2163" s="94" t="s">
        <v>392</v>
      </c>
      <c r="S2163" s="119">
        <v>46343</v>
      </c>
      <c r="T2163" s="119"/>
      <c r="U2163" s="119">
        <v>46343</v>
      </c>
      <c r="V2163" s="94"/>
      <c r="W2163" s="94"/>
      <c r="X2163" s="94"/>
      <c r="Y2163" s="119">
        <v>46342</v>
      </c>
      <c r="Z2163" s="94"/>
      <c r="AA2163" s="120"/>
      <c r="AB2163" s="120"/>
      <c r="AC2163" s="120"/>
      <c r="AD2163" s="120"/>
      <c r="AE2163" s="120"/>
      <c r="AF2163" s="120"/>
      <c r="AG2163" s="94"/>
      <c r="AH2163" s="120"/>
      <c r="AI2163" s="94"/>
      <c r="AJ2163" s="94" t="s">
        <v>778</v>
      </c>
      <c r="AK2163" s="94" t="s">
        <v>389</v>
      </c>
      <c r="AL2163" s="94">
        <v>140</v>
      </c>
      <c r="AM2163" s="94" t="str">
        <f>TRIM(AJ2163)&amp;TRIM(AL2163)&amp;TRIM(AK2163)</f>
      </c>
      <c r="AN2163" s="116">
        <v>0</v>
      </c>
      <c r="AO2163" s="116" t="inlineStr">
        <is>
          <t>#NA</t>
        </is>
      </c>
      <c r="AP2163" s="116">
        <f>SUMIFS(M:M,AM:AM,AM2163)+SUMIFS(O:O,AM:AM,AM2163)</f>
      </c>
      <c r="AQ2163" s="116">
        <f>SUMIFS(L:L,AM:AM,AM2163)</f>
      </c>
      <c r="AR2163" s="116">
        <f>AQ2163-AP2163</f>
      </c>
      <c r="AS2163" s="94" t="str">
        <f>IF(AN2163&gt;=AQ2163,"ok","ck")</f>
      </c>
      <c r="AT2163" s="116">
        <f>-P2163</f>
      </c>
      <c r="AU2163" s="115">
        <f>IF(SUMIFS(AT:AT,AM:AM,AM2163)&gt;AO2163,(SUMIFS(AT:AT,AM:AM,AM2163)-AO2163))</f>
      </c>
      <c r="AV2163" s="116">
        <v>0</v>
      </c>
      <c r="AW2163" s="121">
        <v>0</v>
      </c>
      <c r="AX2163" s="115">
        <f>AN2163-AP2163</f>
      </c>
    </row>
    <row r="2164" spans="1:50" ht="15" hidden="1" customHeight="1" x14ac:dyDescent="0.3">
      <c r="A2164" s="94" t="s">
        <v>268</v>
      </c>
      <c r="B2164" s="94"/>
      <c r="C2164" s="94"/>
      <c r="D2164" s="94"/>
      <c r="E2164" s="94"/>
      <c r="F2164" s="94"/>
      <c r="G2164" s="112">
        <f>AU2164</f>
      </c>
      <c r="H2164" s="113"/>
      <c r="I2164" s="94" t="s">
        <v>390</v>
      </c>
      <c r="J2164" s="94" t="s">
        <v>401</v>
      </c>
      <c r="K2164" s="114">
        <f>P2164/3</f>
      </c>
      <c r="L2164" s="115">
        <v>161.20699999999999</v>
      </c>
      <c r="M2164" s="116"/>
      <c r="N2164" s="117">
        <f>M2164-L2164</f>
      </c>
      <c r="O2164" s="112"/>
      <c r="P2164" s="118">
        <f>N2164+O2164</f>
      </c>
      <c r="Q2164" s="94" t="s">
        <v>778</v>
      </c>
      <c r="R2164" s="94" t="s">
        <v>392</v>
      </c>
      <c r="S2164" s="119">
        <v>46343</v>
      </c>
      <c r="T2164" s="119"/>
      <c r="U2164" s="119">
        <v>46343</v>
      </c>
      <c r="V2164" s="94"/>
      <c r="W2164" s="94"/>
      <c r="X2164" s="94"/>
      <c r="Y2164" s="119">
        <v>46343</v>
      </c>
      <c r="Z2164" s="94"/>
      <c r="AA2164" s="120"/>
      <c r="AB2164" s="120"/>
      <c r="AC2164" s="120"/>
      <c r="AD2164" s="120"/>
      <c r="AE2164" s="120"/>
      <c r="AF2164" s="120"/>
      <c r="AG2164" s="94"/>
      <c r="AH2164" s="120"/>
      <c r="AI2164" s="94"/>
      <c r="AJ2164" s="94" t="s">
        <v>778</v>
      </c>
      <c r="AK2164" s="94" t="s">
        <v>389</v>
      </c>
      <c r="AL2164" s="94">
        <v>140</v>
      </c>
      <c r="AM2164" s="94" t="str">
        <f>TRIM(AJ2164)&amp;TRIM(AL2164)&amp;TRIM(AK2164)</f>
      </c>
      <c r="AN2164" s="116">
        <v>0</v>
      </c>
      <c r="AO2164" s="116" t="inlineStr">
        <is>
          <t>#NA</t>
        </is>
      </c>
      <c r="AP2164" s="116">
        <f>SUMIFS(M:M,AM:AM,AM2164)+SUMIFS(O:O,AM:AM,AM2164)</f>
      </c>
      <c r="AQ2164" s="116">
        <f>SUMIFS(L:L,AM:AM,AM2164)</f>
      </c>
      <c r="AR2164" s="116">
        <f>AQ2164-AP2164</f>
      </c>
      <c r="AS2164" s="94" t="str">
        <f>IF(AN2164&gt;=AQ2164,"ok","ck")</f>
      </c>
      <c r="AT2164" s="116">
        <f>-P2164</f>
      </c>
      <c r="AU2164" s="115">
        <f>IF(SUMIFS(AT:AT,AM:AM,AM2164)&gt;AO2164,(SUMIFS(AT:AT,AM:AM,AM2164)-AO2164))</f>
      </c>
      <c r="AV2164" s="116">
        <v>0</v>
      </c>
      <c r="AW2164" s="121">
        <v>0</v>
      </c>
      <c r="AX2164" s="115">
        <f>AN2164-AP2164</f>
      </c>
    </row>
    <row r="2165" spans="1:50" ht="15" hidden="1" customHeight="1" x14ac:dyDescent="0.3">
      <c r="A2165" s="94" t="s">
        <v>268</v>
      </c>
      <c r="B2165" s="94"/>
      <c r="C2165" s="94"/>
      <c r="D2165" s="94"/>
      <c r="E2165" s="94"/>
      <c r="F2165" s="94"/>
      <c r="G2165" s="112">
        <f>AU2165</f>
      </c>
      <c r="H2165" s="113"/>
      <c r="I2165" s="94" t="s">
        <v>390</v>
      </c>
      <c r="J2165" s="94" t="s">
        <v>595</v>
      </c>
      <c r="K2165" s="114">
        <f>P2165/3</f>
      </c>
      <c r="L2165" s="115">
        <v>-6</v>
      </c>
      <c r="M2165" s="116"/>
      <c r="N2165" s="117">
        <f>M2165-L2165</f>
      </c>
      <c r="O2165" s="112"/>
      <c r="P2165" s="118">
        <f>N2165+O2165</f>
      </c>
      <c r="Q2165" s="94" t="s">
        <v>837</v>
      </c>
      <c r="R2165" s="94" t="s">
        <v>392</v>
      </c>
      <c r="S2165" s="119">
        <v>46320</v>
      </c>
      <c r="T2165" s="119"/>
      <c r="U2165" s="119">
        <v>46320</v>
      </c>
      <c r="V2165" s="94"/>
      <c r="W2165" s="94"/>
      <c r="X2165" s="94"/>
      <c r="Y2165" s="119">
        <v>46320</v>
      </c>
      <c r="Z2165" s="94"/>
      <c r="AA2165" s="120"/>
      <c r="AB2165" s="120"/>
      <c r="AC2165" s="120"/>
      <c r="AD2165" s="120"/>
      <c r="AE2165" s="120"/>
      <c r="AF2165" s="120"/>
      <c r="AG2165" s="94"/>
      <c r="AH2165" s="120"/>
      <c r="AI2165" s="94"/>
      <c r="AJ2165" s="94" t="s">
        <v>837</v>
      </c>
      <c r="AK2165" s="94" t="s">
        <v>756</v>
      </c>
      <c r="AL2165" s="94">
        <v>140</v>
      </c>
      <c r="AM2165" s="94" t="str">
        <f>TRIM(AJ2165)&amp;TRIM(AL2165)&amp;TRIM(AK2165)</f>
      </c>
      <c r="AN2165" s="116">
        <v>0</v>
      </c>
      <c r="AO2165" s="116" t="inlineStr">
        <is>
          <t>#NA</t>
        </is>
      </c>
      <c r="AP2165" s="116">
        <f>SUMIFS(M:M,AM:AM,AM2165)+SUMIFS(O:O,AM:AM,AM2165)</f>
      </c>
      <c r="AQ2165" s="116">
        <f>SUMIFS(L:L,AM:AM,AM2165)</f>
      </c>
      <c r="AR2165" s="116">
        <f>AQ2165-AP2165</f>
      </c>
      <c r="AS2165" s="94" t="str">
        <f>IF(AN2165&gt;=AQ2165,"ok","ck")</f>
      </c>
      <c r="AT2165" s="116">
        <f>-P2165</f>
      </c>
      <c r="AU2165" s="115">
        <f>IF(SUMIFS(AT:AT,AM:AM,AM2165)&gt;AO2165,(SUMIFS(AT:AT,AM:AM,AM2165)-AO2165))</f>
      </c>
      <c r="AV2165" s="116">
        <v>0</v>
      </c>
      <c r="AW2165" s="121">
        <v>1.021</v>
      </c>
      <c r="AX2165" s="115">
        <f>AN2165-AP2165</f>
      </c>
    </row>
    <row r="2166" spans="1:50" ht="15" hidden="1" customHeight="1" x14ac:dyDescent="0.3">
      <c r="A2166" s="94" t="s">
        <v>268</v>
      </c>
      <c r="B2166" s="94"/>
      <c r="C2166" s="94"/>
      <c r="D2166" s="94"/>
      <c r="E2166" s="94"/>
      <c r="F2166" s="94"/>
      <c r="G2166" s="112">
        <f>AU2166</f>
      </c>
      <c r="H2166" s="113"/>
      <c r="I2166" s="94" t="s">
        <v>390</v>
      </c>
      <c r="J2166" s="94" t="s">
        <v>405</v>
      </c>
      <c r="K2166" s="114">
        <f>P2166/3</f>
      </c>
      <c r="L2166" s="115">
        <v>435.3</v>
      </c>
      <c r="M2166" s="116"/>
      <c r="N2166" s="117">
        <f>M2166-L2166</f>
      </c>
      <c r="O2166" s="112"/>
      <c r="P2166" s="118">
        <f>N2166+O2166</f>
      </c>
      <c r="Q2166" s="94" t="s">
        <v>305</v>
      </c>
      <c r="R2166" s="94" t="s">
        <v>392</v>
      </c>
      <c r="S2166" s="119">
        <v>46340</v>
      </c>
      <c r="T2166" s="119"/>
      <c r="U2166" s="120">
        <v>46340</v>
      </c>
      <c r="V2166" s="94"/>
      <c r="W2166" s="94"/>
      <c r="X2166" s="94"/>
      <c r="Y2166" s="119">
        <v>46320</v>
      </c>
      <c r="Z2166" s="94"/>
      <c r="AA2166" s="120"/>
      <c r="AB2166" s="120"/>
      <c r="AC2166" s="120"/>
      <c r="AD2166" s="120"/>
      <c r="AE2166" s="120"/>
      <c r="AF2166" s="120"/>
      <c r="AG2166" s="94"/>
      <c r="AH2166" s="120"/>
      <c r="AI2166" s="94"/>
      <c r="AJ2166" s="94" t="s">
        <v>305</v>
      </c>
      <c r="AK2166" s="94" t="s">
        <v>756</v>
      </c>
      <c r="AL2166" s="94">
        <v>140</v>
      </c>
      <c r="AM2166" s="94" t="str">
        <f>TRIM(AJ2166)&amp;TRIM(AL2166)&amp;TRIM(AK2166)</f>
      </c>
      <c r="AN2166" s="116">
        <v>0</v>
      </c>
      <c r="AO2166" s="116" t="inlineStr">
        <is>
          <t>#NA</t>
        </is>
      </c>
      <c r="AP2166" s="116">
        <f>SUMIFS(M:M,AM:AM,AM2166)+SUMIFS(O:O,AM:AM,AM2166)</f>
      </c>
      <c r="AQ2166" s="116">
        <f>SUMIFS(L:L,AM:AM,AM2166)</f>
      </c>
      <c r="AR2166" s="116">
        <f>AQ2166-AP2166</f>
      </c>
      <c r="AS2166" s="94" t="str">
        <f>IF(AN2166&gt;=AQ2166,"ok","ck")</f>
      </c>
      <c r="AT2166" s="116">
        <f>-P2166</f>
      </c>
      <c r="AU2166" s="115">
        <f>IF(SUMIFS(AT:AT,AM:AM,AM2166)&gt;AO2166,(SUMIFS(AT:AT,AM:AM,AM2166)-AO2166))</f>
      </c>
      <c r="AV2166" s="116">
        <v>0</v>
      </c>
      <c r="AW2166" s="121">
        <v>0.965</v>
      </c>
      <c r="AX2166" s="115">
        <f>AN2166-AP2166</f>
      </c>
    </row>
    <row r="2167" spans="1:50" ht="15" hidden="1" customHeight="1" x14ac:dyDescent="0.3">
      <c r="A2167" s="94" t="s">
        <v>268</v>
      </c>
      <c r="B2167" s="94"/>
      <c r="C2167" s="94"/>
      <c r="D2167" s="94"/>
      <c r="E2167" s="94"/>
      <c r="F2167" s="94"/>
      <c r="G2167" s="112">
        <f>AU2167</f>
      </c>
      <c r="H2167" s="113"/>
      <c r="I2167" s="94" t="s">
        <v>390</v>
      </c>
      <c r="J2167" s="94" t="s">
        <v>405</v>
      </c>
      <c r="K2167" s="114">
        <f>P2167/3</f>
      </c>
      <c r="L2167" s="115">
        <v>507.85</v>
      </c>
      <c r="M2167" s="116"/>
      <c r="N2167" s="117">
        <f>M2167-L2167</f>
      </c>
      <c r="O2167" s="112"/>
      <c r="P2167" s="118">
        <f>N2167+O2167</f>
      </c>
      <c r="Q2167" s="94" t="s">
        <v>305</v>
      </c>
      <c r="R2167" s="94" t="s">
        <v>392</v>
      </c>
      <c r="S2167" s="119">
        <v>46340</v>
      </c>
      <c r="T2167" s="119"/>
      <c r="U2167" s="120">
        <v>46340</v>
      </c>
      <c r="V2167" s="94"/>
      <c r="W2167" s="94"/>
      <c r="X2167" s="94"/>
      <c r="Y2167" s="119">
        <v>46323</v>
      </c>
      <c r="Z2167" s="94"/>
      <c r="AA2167" s="120"/>
      <c r="AB2167" s="120"/>
      <c r="AC2167" s="120"/>
      <c r="AD2167" s="120"/>
      <c r="AE2167" s="120"/>
      <c r="AF2167" s="120"/>
      <c r="AG2167" s="94"/>
      <c r="AH2167" s="120"/>
      <c r="AI2167" s="94"/>
      <c r="AJ2167" s="94" t="s">
        <v>305</v>
      </c>
      <c r="AK2167" s="94" t="s">
        <v>756</v>
      </c>
      <c r="AL2167" s="94">
        <v>140</v>
      </c>
      <c r="AM2167" s="94" t="str">
        <f>TRIM(AJ2167)&amp;TRIM(AL2167)&amp;TRIM(AK2167)</f>
      </c>
      <c r="AN2167" s="116">
        <v>0</v>
      </c>
      <c r="AO2167" s="116" t="inlineStr">
        <is>
          <t>#NA</t>
        </is>
      </c>
      <c r="AP2167" s="116">
        <f>SUMIFS(M:M,AM:AM,AM2167)+SUMIFS(O:O,AM:AM,AM2167)</f>
      </c>
      <c r="AQ2167" s="116">
        <f>SUMIFS(L:L,AM:AM,AM2167)</f>
      </c>
      <c r="AR2167" s="116">
        <f>AQ2167-AP2167</f>
      </c>
      <c r="AS2167" s="94" t="str">
        <f>IF(AN2167&gt;=AQ2167,"ok","ck")</f>
      </c>
      <c r="AT2167" s="116">
        <f>-P2167</f>
      </c>
      <c r="AU2167" s="115">
        <f>IF(SUMIFS(AT:AT,AM:AM,AM2167)&gt;AO2167,(SUMIFS(AT:AT,AM:AM,AM2167)-AO2167))</f>
      </c>
      <c r="AV2167" s="116">
        <v>0</v>
      </c>
      <c r="AW2167" s="121">
        <v>0.965</v>
      </c>
      <c r="AX2167" s="115">
        <f>AN2167-AP2167</f>
      </c>
    </row>
    <row r="2168" spans="1:50" ht="15" hidden="1" customHeight="1" x14ac:dyDescent="0.3">
      <c r="A2168" s="94" t="s">
        <v>268</v>
      </c>
      <c r="B2168" s="94"/>
      <c r="C2168" s="94"/>
      <c r="D2168" s="94"/>
      <c r="E2168" s="94"/>
      <c r="F2168" s="94"/>
      <c r="G2168" s="112">
        <f>AU2168</f>
      </c>
      <c r="H2168" s="113"/>
      <c r="I2168" s="94" t="s">
        <v>390</v>
      </c>
      <c r="J2168" s="94" t="s">
        <v>405</v>
      </c>
      <c r="K2168" s="114">
        <f>P2168/3</f>
      </c>
      <c r="L2168" s="115">
        <v>507.85</v>
      </c>
      <c r="M2168" s="116"/>
      <c r="N2168" s="117">
        <f>M2168-L2168</f>
      </c>
      <c r="O2168" s="112"/>
      <c r="P2168" s="118">
        <f>N2168+O2168</f>
      </c>
      <c r="Q2168" s="94" t="s">
        <v>305</v>
      </c>
      <c r="R2168" s="94" t="s">
        <v>392</v>
      </c>
      <c r="S2168" s="119">
        <v>46342</v>
      </c>
      <c r="T2168" s="119"/>
      <c r="U2168" s="119">
        <v>46342</v>
      </c>
      <c r="V2168" s="94"/>
      <c r="W2168" s="94"/>
      <c r="X2168" s="94"/>
      <c r="Y2168" s="119">
        <v>46342</v>
      </c>
      <c r="Z2168" s="94"/>
      <c r="AA2168" s="120"/>
      <c r="AB2168" s="120"/>
      <c r="AC2168" s="120"/>
      <c r="AD2168" s="120"/>
      <c r="AE2168" s="120"/>
      <c r="AF2168" s="120"/>
      <c r="AG2168" s="94"/>
      <c r="AH2168" s="120"/>
      <c r="AI2168" s="94"/>
      <c r="AJ2168" s="94" t="s">
        <v>305</v>
      </c>
      <c r="AK2168" s="94" t="s">
        <v>756</v>
      </c>
      <c r="AL2168" s="94">
        <v>140</v>
      </c>
      <c r="AM2168" s="94" t="str">
        <f>TRIM(AJ2168)&amp;TRIM(AL2168)&amp;TRIM(AK2168)</f>
      </c>
      <c r="AN2168" s="116">
        <v>0</v>
      </c>
      <c r="AO2168" s="116" t="inlineStr">
        <is>
          <t>#NA</t>
        </is>
      </c>
      <c r="AP2168" s="116">
        <f>SUMIFS(M:M,AM:AM,AM2168)+SUMIFS(O:O,AM:AM,AM2168)</f>
      </c>
      <c r="AQ2168" s="116">
        <f>SUMIFS(L:L,AM:AM,AM2168)</f>
      </c>
      <c r="AR2168" s="116">
        <f>AQ2168-AP2168</f>
      </c>
      <c r="AS2168" s="94" t="str">
        <f>IF(AN2168&gt;=AQ2168,"ok","ck")</f>
      </c>
      <c r="AT2168" s="116">
        <f>-P2168</f>
      </c>
      <c r="AU2168" s="115">
        <f>IF(SUMIFS(AT:AT,AM:AM,AM2168)&gt;AO2168,(SUMIFS(AT:AT,AM:AM,AM2168)-AO2168))</f>
      </c>
      <c r="AV2168" s="116">
        <v>0</v>
      </c>
      <c r="AW2168" s="121">
        <v>0.965</v>
      </c>
      <c r="AX2168" s="115">
        <f>AN2168-AP2168</f>
      </c>
    </row>
    <row r="2169" spans="1:50" ht="15" hidden="1" customHeight="1" x14ac:dyDescent="0.3">
      <c r="A2169" s="94" t="s">
        <v>268</v>
      </c>
      <c r="B2169" s="94"/>
      <c r="C2169" s="94"/>
      <c r="D2169" s="94"/>
      <c r="E2169" s="94"/>
      <c r="F2169" s="94"/>
      <c r="G2169" s="112">
        <f>AU2169</f>
      </c>
      <c r="H2169" s="113"/>
      <c r="I2169" s="94" t="s">
        <v>390</v>
      </c>
      <c r="J2169" s="94" t="s">
        <v>405</v>
      </c>
      <c r="K2169" s="114">
        <f>P2169/3</f>
      </c>
      <c r="L2169" s="115">
        <v>1451</v>
      </c>
      <c r="M2169" s="116"/>
      <c r="N2169" s="117">
        <f>M2169-L2169</f>
      </c>
      <c r="O2169" s="112"/>
      <c r="P2169" s="118">
        <f>N2169+O2169</f>
      </c>
      <c r="Q2169" s="94" t="s">
        <v>305</v>
      </c>
      <c r="R2169" s="94" t="s">
        <v>392</v>
      </c>
      <c r="S2169" s="119">
        <v>46344</v>
      </c>
      <c r="T2169" s="119"/>
      <c r="U2169" s="119">
        <v>46344</v>
      </c>
      <c r="V2169" s="94"/>
      <c r="W2169" s="94"/>
      <c r="X2169" s="94"/>
      <c r="Y2169" s="119">
        <v>46344</v>
      </c>
      <c r="Z2169" s="94"/>
      <c r="AA2169" s="120"/>
      <c r="AB2169" s="120"/>
      <c r="AC2169" s="120"/>
      <c r="AD2169" s="120"/>
      <c r="AE2169" s="120"/>
      <c r="AF2169" s="120"/>
      <c r="AG2169" s="94"/>
      <c r="AH2169" s="120"/>
      <c r="AI2169" s="94"/>
      <c r="AJ2169" s="94" t="s">
        <v>305</v>
      </c>
      <c r="AK2169" s="94" t="s">
        <v>756</v>
      </c>
      <c r="AL2169" s="94">
        <v>140</v>
      </c>
      <c r="AM2169" s="94" t="str">
        <f>TRIM(AJ2169)&amp;TRIM(AL2169)&amp;TRIM(AK2169)</f>
      </c>
      <c r="AN2169" s="116">
        <v>0</v>
      </c>
      <c r="AO2169" s="116" t="inlineStr">
        <is>
          <t>#NA</t>
        </is>
      </c>
      <c r="AP2169" s="116">
        <f>SUMIFS(M:M,AM:AM,AM2169)+SUMIFS(O:O,AM:AM,AM2169)</f>
      </c>
      <c r="AQ2169" s="116">
        <f>SUMIFS(L:L,AM:AM,AM2169)</f>
      </c>
      <c r="AR2169" s="116">
        <f>AQ2169-AP2169</f>
      </c>
      <c r="AS2169" s="94" t="str">
        <f>IF(AN2169&gt;=AQ2169,"ok","ck")</f>
      </c>
      <c r="AT2169" s="116">
        <f>-P2169</f>
      </c>
      <c r="AU2169" s="115">
        <f>IF(SUMIFS(AT:AT,AM:AM,AM2169)&gt;AO2169,(SUMIFS(AT:AT,AM:AM,AM2169)-AO2169))</f>
      </c>
      <c r="AV2169" s="116">
        <v>0</v>
      </c>
      <c r="AW2169" s="121">
        <v>0.965</v>
      </c>
      <c r="AX2169" s="115">
        <f>AN2169-AP2169</f>
      </c>
    </row>
    <row r="2170" spans="1:50" ht="15" hidden="1" customHeight="1" x14ac:dyDescent="0.3">
      <c r="A2170" s="94" t="s">
        <v>268</v>
      </c>
      <c r="B2170" s="94"/>
      <c r="C2170" s="94"/>
      <c r="D2170" s="94"/>
      <c r="E2170" s="94"/>
      <c r="F2170" s="94"/>
      <c r="G2170" s="112">
        <f>AU2170</f>
      </c>
      <c r="H2170" s="113"/>
      <c r="I2170" s="94" t="s">
        <v>390</v>
      </c>
      <c r="J2170" s="94" t="s">
        <v>405</v>
      </c>
      <c r="K2170" s="114">
        <f>P2170/3</f>
      </c>
      <c r="L2170" s="115">
        <v>157.5</v>
      </c>
      <c r="M2170" s="116"/>
      <c r="N2170" s="117">
        <f>M2170-L2170</f>
      </c>
      <c r="O2170" s="112"/>
      <c r="P2170" s="118">
        <f>N2170+O2170</f>
      </c>
      <c r="Q2170" s="94" t="s">
        <v>305</v>
      </c>
      <c r="R2170" s="94" t="s">
        <v>392</v>
      </c>
      <c r="S2170" s="119">
        <v>46340</v>
      </c>
      <c r="T2170" s="119"/>
      <c r="U2170" s="119">
        <v>46340</v>
      </c>
      <c r="V2170" s="94"/>
      <c r="W2170" s="94"/>
      <c r="X2170" s="94"/>
      <c r="Y2170" s="119">
        <v>46321</v>
      </c>
      <c r="Z2170" s="94"/>
      <c r="AA2170" s="120"/>
      <c r="AB2170" s="120"/>
      <c r="AC2170" s="120"/>
      <c r="AD2170" s="120"/>
      <c r="AE2170" s="120"/>
      <c r="AF2170" s="120"/>
      <c r="AG2170" s="94"/>
      <c r="AH2170" s="120"/>
      <c r="AI2170" s="94"/>
      <c r="AJ2170" s="94" t="s">
        <v>305</v>
      </c>
      <c r="AK2170" s="94" t="s">
        <v>756</v>
      </c>
      <c r="AL2170" s="94">
        <v>140</v>
      </c>
      <c r="AM2170" s="94" t="str">
        <f>TRIM(AJ2170)&amp;TRIM(AL2170)&amp;TRIM(AK2170)</f>
      </c>
      <c r="AN2170" s="116">
        <v>0</v>
      </c>
      <c r="AO2170" s="116" t="inlineStr">
        <is>
          <t>#NA</t>
        </is>
      </c>
      <c r="AP2170" s="116">
        <f>SUMIFS(M:M,AM:AM,AM2170)+SUMIFS(O:O,AM:AM,AM2170)</f>
      </c>
      <c r="AQ2170" s="116">
        <f>SUMIFS(L:L,AM:AM,AM2170)</f>
      </c>
      <c r="AR2170" s="116">
        <f>AQ2170-AP2170</f>
      </c>
      <c r="AS2170" s="94" t="str">
        <f>IF(AN2170&gt;=AQ2170,"ok","ck")</f>
      </c>
      <c r="AT2170" s="116">
        <f>-P2170</f>
      </c>
      <c r="AU2170" s="115">
        <f>IF(SUMIFS(AT:AT,AM:AM,AM2170)&gt;AO2170,(SUMIFS(AT:AT,AM:AM,AM2170)-AO2170))</f>
      </c>
      <c r="AV2170" s="116">
        <v>0</v>
      </c>
      <c r="AW2170" s="121">
        <v>0.965</v>
      </c>
      <c r="AX2170" s="115">
        <f>AN2170-AP2170</f>
      </c>
    </row>
    <row r="2171" spans="1:50" ht="15" hidden="1" customHeight="1" x14ac:dyDescent="0.3">
      <c r="A2171" s="94" t="s">
        <v>268</v>
      </c>
      <c r="B2171" s="94"/>
      <c r="C2171" s="94"/>
      <c r="D2171" s="94"/>
      <c r="E2171" s="94"/>
      <c r="F2171" s="94"/>
      <c r="G2171" s="112">
        <f>AU2171</f>
      </c>
      <c r="H2171" s="113"/>
      <c r="I2171" s="94" t="s">
        <v>390</v>
      </c>
      <c r="J2171" s="94" t="s">
        <v>405</v>
      </c>
      <c r="K2171" s="114">
        <f>P2171/3</f>
      </c>
      <c r="L2171" s="115">
        <v>141.75</v>
      </c>
      <c r="M2171" s="116"/>
      <c r="N2171" s="117">
        <f>M2171-L2171</f>
      </c>
      <c r="O2171" s="112"/>
      <c r="P2171" s="118">
        <f>N2171+O2171</f>
      </c>
      <c r="Q2171" s="94" t="s">
        <v>305</v>
      </c>
      <c r="R2171" s="94" t="s">
        <v>392</v>
      </c>
      <c r="S2171" s="119">
        <v>46331</v>
      </c>
      <c r="T2171" s="119"/>
      <c r="U2171" s="119">
        <v>46331</v>
      </c>
      <c r="V2171" s="94"/>
      <c r="W2171" s="94"/>
      <c r="X2171" s="94"/>
      <c r="Y2171" s="119">
        <v>46331</v>
      </c>
      <c r="Z2171" s="94"/>
      <c r="AA2171" s="120"/>
      <c r="AB2171" s="120"/>
      <c r="AC2171" s="120"/>
      <c r="AD2171" s="120"/>
      <c r="AE2171" s="120"/>
      <c r="AF2171" s="120"/>
      <c r="AG2171" s="94"/>
      <c r="AH2171" s="120"/>
      <c r="AI2171" s="94"/>
      <c r="AJ2171" s="94" t="s">
        <v>305</v>
      </c>
      <c r="AK2171" s="94" t="s">
        <v>756</v>
      </c>
      <c r="AL2171" s="94">
        <v>140</v>
      </c>
      <c r="AM2171" s="94" t="str">
        <f>TRIM(AJ2171)&amp;TRIM(AL2171)&amp;TRIM(AK2171)</f>
      </c>
      <c r="AN2171" s="116">
        <v>0</v>
      </c>
      <c r="AO2171" s="116" t="inlineStr">
        <is>
          <t>#NA</t>
        </is>
      </c>
      <c r="AP2171" s="116">
        <f>SUMIFS(M:M,AM:AM,AM2171)+SUMIFS(O:O,AM:AM,AM2171)</f>
      </c>
      <c r="AQ2171" s="116">
        <f>SUMIFS(L:L,AM:AM,AM2171)</f>
      </c>
      <c r="AR2171" s="116">
        <f>AQ2171-AP2171</f>
      </c>
      <c r="AS2171" s="94" t="str">
        <f>IF(AN2171&gt;=AQ2171,"ok","ck")</f>
      </c>
      <c r="AT2171" s="116">
        <f>-P2171</f>
      </c>
      <c r="AU2171" s="115">
        <f>IF(SUMIFS(AT:AT,AM:AM,AM2171)&gt;AO2171,(SUMIFS(AT:AT,AM:AM,AM2171)-AO2171))</f>
      </c>
      <c r="AV2171" s="116">
        <v>0</v>
      </c>
      <c r="AW2171" s="121">
        <v>0.965</v>
      </c>
      <c r="AX2171" s="115">
        <f>AN2171-AP2171</f>
      </c>
    </row>
    <row r="2172" spans="1:50" ht="15" hidden="1" customHeight="1" x14ac:dyDescent="0.3">
      <c r="A2172" s="94" t="s">
        <v>268</v>
      </c>
      <c r="B2172" s="94"/>
      <c r="C2172" s="94"/>
      <c r="D2172" s="94"/>
      <c r="E2172" s="94"/>
      <c r="F2172" s="94"/>
      <c r="G2172" s="112">
        <f>AU2172</f>
      </c>
      <c r="H2172" s="113"/>
      <c r="I2172" s="94" t="s">
        <v>390</v>
      </c>
      <c r="J2172" s="94" t="s">
        <v>405</v>
      </c>
      <c r="K2172" s="114">
        <f>P2172/3</f>
      </c>
      <c r="L2172" s="115">
        <v>0.32300000000000001</v>
      </c>
      <c r="M2172" s="116"/>
      <c r="N2172" s="117">
        <f>M2172-L2172</f>
      </c>
      <c r="O2172" s="112"/>
      <c r="P2172" s="118">
        <f>N2172+O2172</f>
      </c>
      <c r="Q2172" s="94" t="s">
        <v>305</v>
      </c>
      <c r="R2172" s="94" t="s">
        <v>392</v>
      </c>
      <c r="S2172" s="119">
        <v>46340</v>
      </c>
      <c r="T2172" s="119"/>
      <c r="U2172" s="119">
        <v>46340</v>
      </c>
      <c r="V2172" s="94"/>
      <c r="W2172" s="94"/>
      <c r="X2172" s="94"/>
      <c r="Y2172" s="119">
        <v>46323</v>
      </c>
      <c r="Z2172" s="94"/>
      <c r="AA2172" s="120"/>
      <c r="AB2172" s="120"/>
      <c r="AC2172" s="120"/>
      <c r="AD2172" s="120"/>
      <c r="AE2172" s="120"/>
      <c r="AF2172" s="120"/>
      <c r="AG2172" s="94"/>
      <c r="AH2172" s="120"/>
      <c r="AI2172" s="94"/>
      <c r="AJ2172" s="94" t="s">
        <v>305</v>
      </c>
      <c r="AK2172" s="94" t="s">
        <v>756</v>
      </c>
      <c r="AL2172" s="94">
        <v>140</v>
      </c>
      <c r="AM2172" s="94" t="str">
        <f>TRIM(AJ2172)&amp;TRIM(AL2172)&amp;TRIM(AK2172)</f>
      </c>
      <c r="AN2172" s="116">
        <v>0</v>
      </c>
      <c r="AO2172" s="116" t="inlineStr">
        <is>
          <t>#NA</t>
        </is>
      </c>
      <c r="AP2172" s="116">
        <f>SUMIFS(M:M,AM:AM,AM2172)+SUMIFS(O:O,AM:AM,AM2172)</f>
      </c>
      <c r="AQ2172" s="116">
        <f>SUMIFS(L:L,AM:AM,AM2172)</f>
      </c>
      <c r="AR2172" s="116">
        <f>AQ2172-AP2172</f>
      </c>
      <c r="AS2172" s="94" t="str">
        <f>IF(AN2172&gt;=AQ2172,"ok","ck")</f>
      </c>
      <c r="AT2172" s="116">
        <f>-P2172</f>
      </c>
      <c r="AU2172" s="115">
        <f>IF(SUMIFS(AT:AT,AM:AM,AM2172)&gt;AO2172,(SUMIFS(AT:AT,AM:AM,AM2172)-AO2172))</f>
      </c>
      <c r="AV2172" s="116">
        <v>0</v>
      </c>
      <c r="AW2172" s="121">
        <v>0.965</v>
      </c>
      <c r="AX2172" s="115">
        <f>AN2172-AP2172</f>
      </c>
    </row>
    <row r="2173" spans="1:50" ht="15" hidden="1" customHeight="1" x14ac:dyDescent="0.3">
      <c r="A2173" s="94" t="s">
        <v>268</v>
      </c>
      <c r="B2173" s="94"/>
      <c r="C2173" s="94"/>
      <c r="D2173" s="94"/>
      <c r="E2173" s="94"/>
      <c r="F2173" s="94"/>
      <c r="G2173" s="112">
        <f>AU2173</f>
      </c>
      <c r="H2173" s="113"/>
      <c r="I2173" s="94" t="s">
        <v>390</v>
      </c>
      <c r="J2173" s="94" t="s">
        <v>595</v>
      </c>
      <c r="K2173" s="114">
        <f>P2173/3</f>
      </c>
      <c r="L2173" s="115">
        <v>-7.9000000000000001E-2</v>
      </c>
      <c r="M2173" s="116">
        <f>L2173</f>
      </c>
      <c r="N2173" s="117">
        <f>M2173-L2173</f>
      </c>
      <c r="O2173" s="112"/>
      <c r="P2173" s="118">
        <f>N2173+O2173</f>
      </c>
      <c r="Q2173" s="94" t="s">
        <v>287</v>
      </c>
      <c r="R2173" s="94" t="s">
        <v>392</v>
      </c>
      <c r="S2173" s="119">
        <v>46320</v>
      </c>
      <c r="T2173" s="119"/>
      <c r="U2173" s="119">
        <v>46320</v>
      </c>
      <c r="V2173" s="94"/>
      <c r="W2173" s="94"/>
      <c r="X2173" s="94"/>
      <c r="Y2173" s="119">
        <v>46320</v>
      </c>
      <c r="Z2173" s="94"/>
      <c r="AA2173" s="120"/>
      <c r="AB2173" s="120"/>
      <c r="AC2173" s="120"/>
      <c r="AD2173" s="120"/>
      <c r="AE2173" s="120"/>
      <c r="AF2173" s="120"/>
      <c r="AG2173" s="94"/>
      <c r="AH2173" s="120"/>
      <c r="AI2173" s="94"/>
      <c r="AJ2173" s="94" t="s">
        <v>287</v>
      </c>
      <c r="AK2173" s="94" t="s">
        <v>756</v>
      </c>
      <c r="AL2173" s="94">
        <v>140</v>
      </c>
      <c r="AM2173" s="94" t="str">
        <f>TRIM(AJ2173)&amp;TRIM(AL2173)&amp;TRIM(AK2173)</f>
      </c>
      <c r="AN2173" s="116">
        <v>190</v>
      </c>
      <c r="AO2173" s="116">
        <v>-35.08</v>
      </c>
      <c r="AP2173" s="116">
        <f>SUMIFS(M:M,AM:AM,AM2173)+SUMIFS(O:O,AM:AM,AM2173)</f>
      </c>
      <c r="AQ2173" s="116">
        <f>SUMIFS(L:L,AM:AM,AM2173)</f>
      </c>
      <c r="AR2173" s="116">
        <f>AQ2173-AP2173</f>
      </c>
      <c r="AS2173" s="94" t="str">
        <f>IF(AN2173&gt;=AQ2173,"ok","ck")</f>
      </c>
      <c r="AT2173" s="116">
        <f>-P2173</f>
      </c>
      <c r="AU2173" s="115">
        <f>IF(SUMIFS(AT:AT,AM:AM,AM2173)&gt;AO2173,(SUMIFS(AT:AT,AM:AM,AM2173)-AO2173))</f>
      </c>
      <c r="AV2173" s="116">
        <v>0</v>
      </c>
      <c r="AW2173" s="121">
        <v>1.013</v>
      </c>
      <c r="AX2173" s="115">
        <f>AN2173-AP2173</f>
      </c>
    </row>
    <row r="2174" spans="1:50" ht="15" hidden="1" customHeight="1" x14ac:dyDescent="0.3">
      <c r="A2174" s="94" t="s">
        <v>268</v>
      </c>
      <c r="B2174" s="94"/>
      <c r="C2174" s="94"/>
      <c r="D2174" s="94"/>
      <c r="E2174" s="94"/>
      <c r="F2174" s="94"/>
      <c r="G2174" s="112">
        <f>AU2174</f>
      </c>
      <c r="H2174" s="113"/>
      <c r="I2174" s="94" t="s">
        <v>390</v>
      </c>
      <c r="J2174" s="94" t="s">
        <v>601</v>
      </c>
      <c r="K2174" s="114">
        <f>P2174/3</f>
      </c>
      <c r="L2174" s="115">
        <v>1.44</v>
      </c>
      <c r="M2174" s="116"/>
      <c r="N2174" s="117">
        <f>M2174-L2174</f>
      </c>
      <c r="O2174" s="112"/>
      <c r="P2174" s="118">
        <f>N2174+O2174</f>
      </c>
      <c r="Q2174" s="94" t="s">
        <v>816</v>
      </c>
      <c r="R2174" s="94" t="s">
        <v>392</v>
      </c>
      <c r="S2174" s="119" t="s">
        <v>74</v>
      </c>
      <c r="T2174" s="119"/>
      <c r="U2174" s="119" t="s">
        <v>74</v>
      </c>
      <c r="V2174" s="94"/>
      <c r="W2174" s="94"/>
      <c r="X2174" s="94"/>
      <c r="Y2174" s="119">
        <v>46334</v>
      </c>
      <c r="Z2174" s="94"/>
      <c r="AA2174" s="120"/>
      <c r="AB2174" s="120"/>
      <c r="AC2174" s="120"/>
      <c r="AD2174" s="120"/>
      <c r="AE2174" s="120"/>
      <c r="AF2174" s="120"/>
      <c r="AG2174" s="94"/>
      <c r="AH2174" s="120"/>
      <c r="AI2174" s="94"/>
      <c r="AJ2174" s="94" t="s">
        <v>816</v>
      </c>
      <c r="AK2174" s="94" t="s">
        <v>761</v>
      </c>
      <c r="AL2174" s="94">
        <v>140</v>
      </c>
      <c r="AM2174" s="94" t="str">
        <f>TRIM(AJ2174)&amp;TRIM(AL2174)&amp;TRIM(AK2174)</f>
      </c>
      <c r="AN2174" s="116">
        <v>0</v>
      </c>
      <c r="AO2174" s="116" t="inlineStr">
        <is>
          <t>#NA</t>
        </is>
      </c>
      <c r="AP2174" s="116">
        <f>SUMIFS(M:M,AM:AM,AM2174)+SUMIFS(O:O,AM:AM,AM2174)</f>
      </c>
      <c r="AQ2174" s="116">
        <f>SUMIFS(L:L,AM:AM,AM2174)</f>
      </c>
      <c r="AR2174" s="116">
        <f>AQ2174-AP2174</f>
      </c>
      <c r="AS2174" s="94" t="str">
        <f>IF(AN2174&gt;=AQ2174,"ok","ck")</f>
      </c>
      <c r="AT2174" s="116">
        <f>-P2174</f>
      </c>
      <c r="AU2174" s="115">
        <f>IF(SUMIFS(AT:AT,AM:AM,AM2174)&gt;AO2174,(SUMIFS(AT:AT,AM:AM,AM2174)-AO2174))</f>
      </c>
      <c r="AV2174" s="116">
        <v>0</v>
      </c>
      <c r="AW2174" s="121">
        <v>0</v>
      </c>
      <c r="AX2174" s="115">
        <f>AN2174-AP2174</f>
      </c>
    </row>
    <row r="2175" spans="1:50" ht="15" hidden="1" customHeight="1" x14ac:dyDescent="0.3">
      <c r="A2175" s="94" t="s">
        <v>268</v>
      </c>
      <c r="B2175" s="94"/>
      <c r="C2175" s="94"/>
      <c r="D2175" s="94"/>
      <c r="E2175" s="94"/>
      <c r="F2175" s="94"/>
      <c r="G2175" s="112">
        <f>AU2175</f>
      </c>
      <c r="H2175" s="113"/>
      <c r="I2175" s="94" t="s">
        <v>390</v>
      </c>
      <c r="J2175" s="94" t="s">
        <v>601</v>
      </c>
      <c r="K2175" s="114">
        <f>P2175/3</f>
      </c>
      <c r="L2175" s="115">
        <v>1320</v>
      </c>
      <c r="M2175" s="116"/>
      <c r="N2175" s="117">
        <f>M2175-L2175</f>
      </c>
      <c r="O2175" s="112"/>
      <c r="P2175" s="118">
        <f>N2175+O2175</f>
      </c>
      <c r="Q2175" s="94">
        <v>467990</v>
      </c>
      <c r="R2175" s="94" t="s">
        <v>392</v>
      </c>
      <c r="S2175" s="119" t="s">
        <v>74</v>
      </c>
      <c r="T2175" s="119"/>
      <c r="U2175" s="119" t="s">
        <v>74</v>
      </c>
      <c r="V2175" s="94"/>
      <c r="W2175" s="94"/>
      <c r="X2175" s="94"/>
      <c r="Y2175" s="119">
        <v>46322</v>
      </c>
      <c r="Z2175" s="94"/>
      <c r="AA2175" s="120"/>
      <c r="AB2175" s="120"/>
      <c r="AC2175" s="120"/>
      <c r="AD2175" s="120"/>
      <c r="AE2175" s="120"/>
      <c r="AF2175" s="120"/>
      <c r="AG2175" s="94"/>
      <c r="AH2175" s="120"/>
      <c r="AI2175" s="94"/>
      <c r="AJ2175" s="94" t="s">
        <v>816</v>
      </c>
      <c r="AK2175" s="94" t="s">
        <v>761</v>
      </c>
      <c r="AL2175" s="94">
        <v>140</v>
      </c>
      <c r="AM2175" s="94" t="str">
        <f>TRIM(AJ2175)&amp;TRIM(AL2175)&amp;TRIM(AK2175)</f>
      </c>
      <c r="AN2175" s="116">
        <v>0</v>
      </c>
      <c r="AO2175" s="116" t="inlineStr">
        <is>
          <t>#NA</t>
        </is>
      </c>
      <c r="AP2175" s="116">
        <f>SUMIFS(M:M,AM:AM,AM2175)+SUMIFS(O:O,AM:AM,AM2175)</f>
      </c>
      <c r="AQ2175" s="116">
        <f>SUMIFS(L:L,AM:AM,AM2175)</f>
      </c>
      <c r="AR2175" s="116">
        <f>AQ2175-AP2175</f>
      </c>
      <c r="AS2175" s="94" t="str">
        <f>IF(AN2175&gt;=AQ2175,"ok","ck")</f>
      </c>
      <c r="AT2175" s="116">
        <f>-P2175</f>
      </c>
      <c r="AU2175" s="115">
        <f>IF(SUMIFS(AT:AT,AM:AM,AM2175)&gt;AO2175,(SUMIFS(AT:AT,AM:AM,AM2175)-AO2175))</f>
      </c>
      <c r="AV2175" s="116">
        <v>0</v>
      </c>
      <c r="AW2175" s="121">
        <v>0</v>
      </c>
      <c r="AX2175" s="115">
        <f>AN2175-AP2175</f>
      </c>
    </row>
    <row r="2176" spans="1:50" ht="15" hidden="1" customHeight="1" x14ac:dyDescent="0.3">
      <c r="A2176" s="94" t="s">
        <v>268</v>
      </c>
      <c r="B2176" s="94"/>
      <c r="C2176" s="94"/>
      <c r="D2176" s="94"/>
      <c r="E2176" s="94"/>
      <c r="F2176" s="94"/>
      <c r="G2176" s="112">
        <f>AU2176</f>
      </c>
      <c r="H2176" s="113"/>
      <c r="I2176" s="94" t="s">
        <v>390</v>
      </c>
      <c r="J2176" s="94" t="s">
        <v>594</v>
      </c>
      <c r="K2176" s="114">
        <f>P2176/3</f>
      </c>
      <c r="L2176" s="115">
        <v>1.3859999999999999</v>
      </c>
      <c r="M2176" s="116"/>
      <c r="N2176" s="117">
        <f>M2176-L2176</f>
      </c>
      <c r="O2176" s="112"/>
      <c r="P2176" s="118">
        <f>N2176+O2176</f>
      </c>
      <c r="Q2176" s="94" t="s">
        <v>816</v>
      </c>
      <c r="R2176" s="94" t="s">
        <v>392</v>
      </c>
      <c r="S2176" s="119" t="s">
        <v>74</v>
      </c>
      <c r="T2176" s="119"/>
      <c r="U2176" s="119" t="s">
        <v>74</v>
      </c>
      <c r="V2176" s="94"/>
      <c r="W2176" s="94"/>
      <c r="X2176" s="94"/>
      <c r="Y2176" s="119">
        <v>46334</v>
      </c>
      <c r="Z2176" s="94"/>
      <c r="AA2176" s="120"/>
      <c r="AB2176" s="120"/>
      <c r="AC2176" s="120"/>
      <c r="AD2176" s="120"/>
      <c r="AE2176" s="120"/>
      <c r="AF2176" s="120"/>
      <c r="AG2176" s="94"/>
      <c r="AH2176" s="120"/>
      <c r="AI2176" s="94"/>
      <c r="AJ2176" s="94" t="s">
        <v>816</v>
      </c>
      <c r="AK2176" s="94" t="s">
        <v>757</v>
      </c>
      <c r="AL2176" s="94">
        <v>140</v>
      </c>
      <c r="AM2176" s="94" t="str">
        <f>TRIM(AJ2176)&amp;TRIM(AL2176)&amp;TRIM(AK2176)</f>
      </c>
      <c r="AN2176" s="116">
        <v>0</v>
      </c>
      <c r="AO2176" s="116" t="inlineStr">
        <is>
          <t>#NA</t>
        </is>
      </c>
      <c r="AP2176" s="116">
        <f>SUMIFS(M:M,AM:AM,AM2176)+SUMIFS(O:O,AM:AM,AM2176)</f>
      </c>
      <c r="AQ2176" s="116">
        <f>SUMIFS(L:L,AM:AM,AM2176)</f>
      </c>
      <c r="AR2176" s="116">
        <f>AQ2176-AP2176</f>
      </c>
      <c r="AS2176" s="94" t="str">
        <f>IF(AN2176&gt;=AQ2176,"ok","ck")</f>
      </c>
      <c r="AT2176" s="116">
        <f>-P2176</f>
      </c>
      <c r="AU2176" s="115">
        <f>IF(SUMIFS(AT:AT,AM:AM,AM2176)&gt;AO2176,(SUMIFS(AT:AT,AM:AM,AM2176)-AO2176))</f>
      </c>
      <c r="AV2176" s="116">
        <v>0</v>
      </c>
      <c r="AW2176" s="121">
        <v>0</v>
      </c>
      <c r="AX2176" s="115">
        <f>AN2176-AP2176</f>
      </c>
    </row>
    <row r="2177" spans="1:50" ht="15" hidden="1" customHeight="1" x14ac:dyDescent="0.3">
      <c r="A2177" s="94" t="s">
        <v>268</v>
      </c>
      <c r="B2177" s="94"/>
      <c r="C2177" s="94"/>
      <c r="D2177" s="94"/>
      <c r="E2177" s="94"/>
      <c r="F2177" s="94"/>
      <c r="G2177" s="112">
        <f>AU2177</f>
      </c>
      <c r="H2177" s="113"/>
      <c r="I2177" s="94" t="s">
        <v>390</v>
      </c>
      <c r="J2177" s="94" t="s">
        <v>594</v>
      </c>
      <c r="K2177" s="114">
        <f>P2177/3</f>
      </c>
      <c r="L2177" s="115">
        <v>1270.5</v>
      </c>
      <c r="M2177" s="116"/>
      <c r="N2177" s="117">
        <f>M2177-L2177</f>
      </c>
      <c r="O2177" s="112"/>
      <c r="P2177" s="118">
        <f>N2177+O2177</f>
      </c>
      <c r="Q2177" s="94" t="s">
        <v>816</v>
      </c>
      <c r="R2177" s="94" t="s">
        <v>392</v>
      </c>
      <c r="S2177" s="119" t="s">
        <v>74</v>
      </c>
      <c r="T2177" s="119"/>
      <c r="U2177" s="119" t="s">
        <v>74</v>
      </c>
      <c r="V2177" s="94"/>
      <c r="W2177" s="94"/>
      <c r="X2177" s="94"/>
      <c r="Y2177" s="119">
        <v>46322</v>
      </c>
      <c r="Z2177" s="94"/>
      <c r="AA2177" s="120"/>
      <c r="AB2177" s="120"/>
      <c r="AC2177" s="120"/>
      <c r="AD2177" s="120"/>
      <c r="AE2177" s="120"/>
      <c r="AF2177" s="120"/>
      <c r="AG2177" s="94"/>
      <c r="AH2177" s="120"/>
      <c r="AI2177" s="94"/>
      <c r="AJ2177" s="94" t="s">
        <v>816</v>
      </c>
      <c r="AK2177" s="94" t="s">
        <v>757</v>
      </c>
      <c r="AL2177" s="94">
        <v>140</v>
      </c>
      <c r="AM2177" s="94" t="str">
        <f>TRIM(AJ2177)&amp;TRIM(AL2177)&amp;TRIM(AK2177)</f>
      </c>
      <c r="AN2177" s="116">
        <v>0</v>
      </c>
      <c r="AO2177" s="116" t="inlineStr">
        <is>
          <t>#NA</t>
        </is>
      </c>
      <c r="AP2177" s="116">
        <f>SUMIFS(M:M,AM:AM,AM2177)+SUMIFS(O:O,AM:AM,AM2177)</f>
      </c>
      <c r="AQ2177" s="116">
        <f>SUMIFS(L:L,AM:AM,AM2177)</f>
      </c>
      <c r="AR2177" s="116">
        <f>AQ2177-AP2177</f>
      </c>
      <c r="AS2177" s="94" t="str">
        <f>IF(AN2177&gt;=AQ2177,"ok","ck")</f>
      </c>
      <c r="AT2177" s="116">
        <f>-P2177</f>
      </c>
      <c r="AU2177" s="115">
        <f>IF(SUMIFS(AT:AT,AM:AM,AM2177)&gt;AO2177,(SUMIFS(AT:AT,AM:AM,AM2177)-AO2177))</f>
      </c>
      <c r="AV2177" s="116">
        <v>0</v>
      </c>
      <c r="AW2177" s="121">
        <v>0</v>
      </c>
      <c r="AX2177" s="115">
        <f>AN2177-AP2177</f>
      </c>
    </row>
    <row r="2178" spans="1:50" ht="15" hidden="1" customHeight="1" x14ac:dyDescent="0.3">
      <c r="A2178" s="94" t="s">
        <v>268</v>
      </c>
      <c r="B2178" s="94"/>
      <c r="C2178" s="94"/>
      <c r="D2178" s="94"/>
      <c r="E2178" s="94"/>
      <c r="F2178" s="94"/>
      <c r="G2178" s="112">
        <f>AU2178</f>
      </c>
      <c r="H2178" s="113"/>
      <c r="I2178" s="94" t="s">
        <v>390</v>
      </c>
      <c r="J2178" s="94" t="s">
        <v>405</v>
      </c>
      <c r="K2178" s="114">
        <f>P2178/3</f>
      </c>
      <c r="L2178" s="115">
        <v>8.7059999999999995</v>
      </c>
      <c r="M2178" s="116"/>
      <c r="N2178" s="117">
        <f>M2178-L2178</f>
      </c>
      <c r="O2178" s="112"/>
      <c r="P2178" s="118">
        <f>N2178+O2178</f>
      </c>
      <c r="Q2178" s="94" t="s">
        <v>778</v>
      </c>
      <c r="R2178" s="94" t="s">
        <v>392</v>
      </c>
      <c r="S2178" s="119">
        <v>46345</v>
      </c>
      <c r="T2178" s="119"/>
      <c r="U2178" s="119">
        <v>46345</v>
      </c>
      <c r="V2178" s="94"/>
      <c r="W2178" s="94"/>
      <c r="X2178" s="94"/>
      <c r="Y2178" s="119">
        <v>46345</v>
      </c>
      <c r="Z2178" s="94"/>
      <c r="AA2178" s="120"/>
      <c r="AB2178" s="120"/>
      <c r="AC2178" s="120"/>
      <c r="AD2178" s="120"/>
      <c r="AE2178" s="120"/>
      <c r="AF2178" s="120"/>
      <c r="AG2178" s="94"/>
      <c r="AH2178" s="120"/>
      <c r="AI2178" s="94"/>
      <c r="AJ2178" s="94" t="s">
        <v>778</v>
      </c>
      <c r="AK2178" s="94" t="s">
        <v>756</v>
      </c>
      <c r="AL2178" s="94">
        <v>140</v>
      </c>
      <c r="AM2178" s="94" t="str">
        <f>TRIM(AJ2178)&amp;TRIM(AL2178)&amp;TRIM(AK2178)</f>
      </c>
      <c r="AN2178" s="116">
        <v>0</v>
      </c>
      <c r="AO2178" s="116" t="inlineStr">
        <is>
          <t>#NA</t>
        </is>
      </c>
      <c r="AP2178" s="116">
        <f>SUMIFS(M:M,AM:AM,AM2178)+SUMIFS(O:O,AM:AM,AM2178)</f>
      </c>
      <c r="AQ2178" s="116">
        <f>SUMIFS(L:L,AM:AM,AM2178)</f>
      </c>
      <c r="AR2178" s="116">
        <f>AQ2178-AP2178</f>
      </c>
      <c r="AS2178" s="94" t="str">
        <f>IF(AN2178&gt;=AQ2178,"ok","ck")</f>
      </c>
      <c r="AT2178" s="116">
        <f>-P2178</f>
      </c>
      <c r="AU2178" s="115">
        <f>IF(SUMIFS(AT:AT,AM:AM,AM2178)&gt;AO2178,(SUMIFS(AT:AT,AM:AM,AM2178)-AO2178))</f>
      </c>
      <c r="AV2178" s="116">
        <v>0</v>
      </c>
      <c r="AW2178" s="121">
        <v>0</v>
      </c>
      <c r="AX2178" s="115">
        <f>AN2178-AP2178</f>
      </c>
    </row>
    <row r="2179" spans="1:50" ht="15" hidden="1" customHeight="1" x14ac:dyDescent="0.3">
      <c r="A2179" s="94" t="s">
        <v>268</v>
      </c>
      <c r="B2179" s="94"/>
      <c r="C2179" s="94"/>
      <c r="D2179" s="94"/>
      <c r="E2179" s="94"/>
      <c r="F2179" s="94"/>
      <c r="G2179" s="112">
        <f>AU2179</f>
      </c>
      <c r="H2179" s="113"/>
      <c r="I2179" s="94" t="s">
        <v>390</v>
      </c>
      <c r="J2179" s="94" t="s">
        <v>405</v>
      </c>
      <c r="K2179" s="114">
        <f>P2179/3</f>
      </c>
      <c r="L2179" s="115">
        <v>406.28</v>
      </c>
      <c r="M2179" s="116"/>
      <c r="N2179" s="117">
        <f>M2179-L2179</f>
      </c>
      <c r="O2179" s="112"/>
      <c r="P2179" s="118">
        <f>N2179+O2179</f>
      </c>
      <c r="Q2179" s="94" t="s">
        <v>778</v>
      </c>
      <c r="R2179" s="94" t="s">
        <v>392</v>
      </c>
      <c r="S2179" s="119">
        <v>46344</v>
      </c>
      <c r="T2179" s="119"/>
      <c r="U2179" s="119">
        <v>46344</v>
      </c>
      <c r="V2179" s="94"/>
      <c r="W2179" s="94"/>
      <c r="X2179" s="94"/>
      <c r="Y2179" s="119">
        <v>46337</v>
      </c>
      <c r="Z2179" s="94"/>
      <c r="AA2179" s="120"/>
      <c r="AB2179" s="120"/>
      <c r="AC2179" s="120"/>
      <c r="AD2179" s="120"/>
      <c r="AE2179" s="120"/>
      <c r="AF2179" s="120"/>
      <c r="AG2179" s="94"/>
      <c r="AH2179" s="120"/>
      <c r="AI2179" s="94"/>
      <c r="AJ2179" s="94" t="s">
        <v>778</v>
      </c>
      <c r="AK2179" s="94" t="s">
        <v>756</v>
      </c>
      <c r="AL2179" s="94">
        <v>140</v>
      </c>
      <c r="AM2179" s="94" t="str">
        <f>TRIM(AJ2179)&amp;TRIM(AL2179)&amp;TRIM(AK2179)</f>
      </c>
      <c r="AN2179" s="116">
        <v>0</v>
      </c>
      <c r="AO2179" s="116" t="inlineStr">
        <is>
          <t>#NA</t>
        </is>
      </c>
      <c r="AP2179" s="116">
        <f>SUMIFS(M:M,AM:AM,AM2179)+SUMIFS(O:O,AM:AM,AM2179)</f>
      </c>
      <c r="AQ2179" s="116">
        <f>SUMIFS(L:L,AM:AM,AM2179)</f>
      </c>
      <c r="AR2179" s="116">
        <f>AQ2179-AP2179</f>
      </c>
      <c r="AS2179" s="94" t="str">
        <f>IF(AN2179&gt;=AQ2179,"ok","ck")</f>
      </c>
      <c r="AT2179" s="116">
        <f>-P2179</f>
      </c>
      <c r="AU2179" s="115">
        <f>IF(SUMIFS(AT:AT,AM:AM,AM2179)&gt;AO2179,(SUMIFS(AT:AT,AM:AM,AM2179)-AO2179))</f>
      </c>
      <c r="AV2179" s="116">
        <v>0</v>
      </c>
      <c r="AW2179" s="121">
        <v>0</v>
      </c>
      <c r="AX2179" s="115">
        <f>AN2179-AP2179</f>
      </c>
    </row>
    <row r="2180" spans="1:50" ht="15" hidden="1" customHeight="1" x14ac:dyDescent="0.3">
      <c r="A2180" s="94" t="s">
        <v>268</v>
      </c>
      <c r="B2180" s="94"/>
      <c r="C2180" s="94"/>
      <c r="D2180" s="94"/>
      <c r="E2180" s="94"/>
      <c r="F2180" s="94"/>
      <c r="G2180" s="112">
        <f>AU2180</f>
      </c>
      <c r="H2180" s="113"/>
      <c r="I2180" s="94" t="s">
        <v>390</v>
      </c>
      <c r="J2180" s="94" t="s">
        <v>405</v>
      </c>
      <c r="K2180" s="114">
        <f>P2180/3</f>
      </c>
      <c r="L2180" s="115">
        <v>87.06</v>
      </c>
      <c r="M2180" s="116"/>
      <c r="N2180" s="117">
        <f>M2180-L2180</f>
      </c>
      <c r="O2180" s="112"/>
      <c r="P2180" s="118">
        <f>N2180+O2180</f>
      </c>
      <c r="Q2180" s="94" t="s">
        <v>778</v>
      </c>
      <c r="R2180" s="94" t="s">
        <v>392</v>
      </c>
      <c r="S2180" s="119">
        <v>46344</v>
      </c>
      <c r="T2180" s="119"/>
      <c r="U2180" s="119">
        <v>46344</v>
      </c>
      <c r="V2180" s="94"/>
      <c r="W2180" s="94"/>
      <c r="X2180" s="94"/>
      <c r="Y2180" s="119">
        <v>46341</v>
      </c>
      <c r="Z2180" s="94"/>
      <c r="AA2180" s="120"/>
      <c r="AB2180" s="120"/>
      <c r="AC2180" s="120"/>
      <c r="AD2180" s="120"/>
      <c r="AE2180" s="120"/>
      <c r="AF2180" s="120"/>
      <c r="AG2180" s="94"/>
      <c r="AH2180" s="120"/>
      <c r="AI2180" s="94"/>
      <c r="AJ2180" s="94" t="s">
        <v>778</v>
      </c>
      <c r="AK2180" s="94" t="s">
        <v>756</v>
      </c>
      <c r="AL2180" s="94">
        <v>140</v>
      </c>
      <c r="AM2180" s="94" t="str">
        <f>TRIM(AJ2180)&amp;TRIM(AL2180)&amp;TRIM(AK2180)</f>
      </c>
      <c r="AN2180" s="116">
        <v>0</v>
      </c>
      <c r="AO2180" s="116" t="inlineStr">
        <is>
          <t>#NA</t>
        </is>
      </c>
      <c r="AP2180" s="116">
        <f>SUMIFS(M:M,AM:AM,AM2180)+SUMIFS(O:O,AM:AM,AM2180)</f>
      </c>
      <c r="AQ2180" s="116">
        <f>SUMIFS(L:L,AM:AM,AM2180)</f>
      </c>
      <c r="AR2180" s="116">
        <f>AQ2180-AP2180</f>
      </c>
      <c r="AS2180" s="94" t="str">
        <f>IF(AN2180&gt;=AQ2180,"ok","ck")</f>
      </c>
      <c r="AT2180" s="116">
        <f>-P2180</f>
      </c>
      <c r="AU2180" s="115">
        <f>IF(SUMIFS(AT:AT,AM:AM,AM2180)&gt;AO2180,(SUMIFS(AT:AT,AM:AM,AM2180)-AO2180))</f>
      </c>
      <c r="AV2180" s="116">
        <v>0</v>
      </c>
      <c r="AW2180" s="121">
        <v>0</v>
      </c>
      <c r="AX2180" s="115">
        <f>AN2180-AP2180</f>
      </c>
    </row>
    <row r="2181" spans="1:50" ht="15" hidden="1" customHeight="1" x14ac:dyDescent="0.3">
      <c r="A2181" s="94" t="s">
        <v>268</v>
      </c>
      <c r="B2181" s="94"/>
      <c r="C2181" s="94"/>
      <c r="D2181" s="94"/>
      <c r="E2181" s="94"/>
      <c r="F2181" s="94"/>
      <c r="G2181" s="112">
        <f>AU2181</f>
      </c>
      <c r="H2181" s="113"/>
      <c r="I2181" s="94" t="s">
        <v>390</v>
      </c>
      <c r="J2181" s="94" t="s">
        <v>602</v>
      </c>
      <c r="K2181" s="114">
        <f>P2181/3</f>
      </c>
      <c r="L2181" s="115">
        <v>1</v>
      </c>
      <c r="M2181" s="116">
        <f>L2181</f>
      </c>
      <c r="N2181" s="117">
        <f>M2181-L2181</f>
      </c>
      <c r="O2181" s="112"/>
      <c r="P2181" s="118">
        <f>N2181+O2181</f>
      </c>
      <c r="Q2181" s="94" t="s">
        <v>287</v>
      </c>
      <c r="R2181" s="94" t="s">
        <v>392</v>
      </c>
      <c r="S2181" s="119">
        <v>46320</v>
      </c>
      <c r="T2181" s="119"/>
      <c r="U2181" s="119">
        <v>46320</v>
      </c>
      <c r="V2181" s="94"/>
      <c r="W2181" s="94"/>
      <c r="X2181" s="94"/>
      <c r="Y2181" s="119">
        <v>46320</v>
      </c>
      <c r="Z2181" s="94"/>
      <c r="AA2181" s="120"/>
      <c r="AB2181" s="120"/>
      <c r="AC2181" s="120"/>
      <c r="AD2181" s="120"/>
      <c r="AE2181" s="120"/>
      <c r="AF2181" s="120"/>
      <c r="AG2181" s="94"/>
      <c r="AH2181" s="120"/>
      <c r="AI2181" s="94"/>
      <c r="AJ2181" s="94" t="s">
        <v>287</v>
      </c>
      <c r="AK2181" s="94" t="s">
        <v>756</v>
      </c>
      <c r="AL2181" s="94">
        <v>140</v>
      </c>
      <c r="AM2181" s="94" t="str">
        <f>TRIM(AJ2181)&amp;TRIM(AL2181)&amp;TRIM(AK2181)</f>
      </c>
      <c r="AN2181" s="116">
        <v>190</v>
      </c>
      <c r="AO2181" s="116">
        <v>-35.08</v>
      </c>
      <c r="AP2181" s="116">
        <f>SUMIFS(M:M,AM:AM,AM2181)+SUMIFS(O:O,AM:AM,AM2181)</f>
      </c>
      <c r="AQ2181" s="116">
        <f>SUMIFS(L:L,AM:AM,AM2181)</f>
      </c>
      <c r="AR2181" s="116">
        <f>AQ2181-AP2181</f>
      </c>
      <c r="AS2181" s="94" t="str">
        <f>IF(AN2181&gt;=AQ2181,"ok","ck")</f>
      </c>
      <c r="AT2181" s="116">
        <f>-P2181</f>
      </c>
      <c r="AU2181" s="115">
        <f>IF(SUMIFS(AT:AT,AM:AM,AM2181)&gt;AO2181,(SUMIFS(AT:AT,AM:AM,AM2181)-AO2181))</f>
      </c>
      <c r="AV2181" s="116">
        <v>0</v>
      </c>
      <c r="AW2181" s="121">
        <v>1.013</v>
      </c>
      <c r="AX2181" s="115">
        <f>AN2181-AP2181</f>
      </c>
    </row>
    <row r="2182" spans="1:50" ht="15" hidden="1" customHeight="1" x14ac:dyDescent="0.3">
      <c r="A2182" s="94" t="s">
        <v>76</v>
      </c>
      <c r="B2182" s="94"/>
      <c r="C2182" s="94"/>
      <c r="D2182" s="94"/>
      <c r="E2182" s="94"/>
      <c r="F2182" s="94"/>
      <c r="G2182" s="112">
        <f>AU2182</f>
      </c>
      <c r="H2182" s="113"/>
      <c r="I2182" s="94" t="s">
        <v>393</v>
      </c>
      <c r="J2182" s="94" t="s">
        <v>419</v>
      </c>
      <c r="K2182" s="114">
        <f>P2182/3</f>
      </c>
      <c r="L2182" s="115">
        <v>823.62</v>
      </c>
      <c r="M2182" s="116">
        <f>L2182</f>
      </c>
      <c r="N2182" s="117">
        <f>M2182-L2182</f>
      </c>
      <c r="O2182" s="112"/>
      <c r="P2182" s="118">
        <f>N2182+O2182</f>
      </c>
      <c r="Q2182" s="94" t="s">
        <v>395</v>
      </c>
      <c r="R2182" s="94" t="s">
        <v>392</v>
      </c>
      <c r="S2182" s="119">
        <v>46336</v>
      </c>
      <c r="T2182" s="119"/>
      <c r="U2182" s="119">
        <v>46336</v>
      </c>
      <c r="V2182" s="94"/>
      <c r="W2182" s="94"/>
      <c r="X2182" s="94"/>
      <c r="Y2182" s="119">
        <v>46320</v>
      </c>
      <c r="Z2182" s="94"/>
      <c r="AA2182" s="120"/>
      <c r="AB2182" s="120"/>
      <c r="AC2182" s="120"/>
      <c r="AD2182" s="120"/>
      <c r="AE2182" s="120"/>
      <c r="AF2182" s="120"/>
      <c r="AG2182" s="94"/>
      <c r="AH2182" s="120"/>
      <c r="AI2182" s="94"/>
      <c r="AJ2182" s="94" t="s">
        <v>395</v>
      </c>
      <c r="AK2182" s="94" t="s">
        <v>120</v>
      </c>
      <c r="AL2182" s="94">
        <v>150</v>
      </c>
      <c r="AM2182" s="94" t="str">
        <f>TRIM(AJ2182)&amp;TRIM(AL2182)&amp;TRIM(AK2182)</f>
      </c>
      <c r="AN2182" s="116">
        <v>347</v>
      </c>
      <c r="AO2182" s="116">
        <v>-7.4</v>
      </c>
      <c r="AP2182" s="116">
        <f>SUMIFS(M:M,AM:AM,AM2182)+SUMIFS(O:O,AM:AM,AM2182)</f>
      </c>
      <c r="AQ2182" s="116">
        <f>SUMIFS(L:L,AM:AM,AM2182)</f>
      </c>
      <c r="AR2182" s="116">
        <f>AQ2182-AP2182</f>
      </c>
      <c r="AS2182" s="94" t="str">
        <f>IF(AN2182&gt;=AQ2182,"ok","ck")</f>
      </c>
      <c r="AT2182" s="116">
        <f>-P2182</f>
      </c>
      <c r="AU2182" s="115">
        <f>IF(SUMIFS(AT:AT,AM:AM,AM2182)&gt;AO2182,(SUMIFS(AT:AT,AM:AM,AM2182)-AO2182))</f>
      </c>
      <c r="AV2182" s="116">
        <v>347</v>
      </c>
      <c r="AW2182" s="121">
        <v>1.022</v>
      </c>
      <c r="AX2182" s="115">
        <f>AN2182-AP2182</f>
      </c>
    </row>
    <row r="2183" spans="1:50" ht="15" hidden="1" customHeight="1" x14ac:dyDescent="0.3">
      <c r="A2183" s="94" t="s">
        <v>76</v>
      </c>
      <c r="B2183" s="94"/>
      <c r="C2183" s="94"/>
      <c r="D2183" s="94"/>
      <c r="E2183" s="94"/>
      <c r="F2183" s="94"/>
      <c r="G2183" s="112">
        <f>AU2183</f>
      </c>
      <c r="H2183" s="113"/>
      <c r="I2183" s="94" t="s">
        <v>393</v>
      </c>
      <c r="J2183" s="94" t="s">
        <v>412</v>
      </c>
      <c r="K2183" s="114">
        <f>P2183/3</f>
      </c>
      <c r="L2183" s="115">
        <v>299.70299999999997</v>
      </c>
      <c r="M2183" s="116">
        <f>L2183</f>
      </c>
      <c r="N2183" s="117">
        <f>M2183-L2183</f>
      </c>
      <c r="O2183" s="112"/>
      <c r="P2183" s="118">
        <f>N2183+O2183</f>
      </c>
      <c r="Q2183" s="94" t="s">
        <v>112</v>
      </c>
      <c r="R2183" s="94" t="s">
        <v>392</v>
      </c>
      <c r="S2183" s="119">
        <v>46324</v>
      </c>
      <c r="T2183" s="119"/>
      <c r="U2183" s="119">
        <v>46324</v>
      </c>
      <c r="V2183" s="94"/>
      <c r="W2183" s="94"/>
      <c r="X2183" s="94"/>
      <c r="Y2183" s="119">
        <v>46324</v>
      </c>
      <c r="Z2183" s="94"/>
      <c r="AA2183" s="120"/>
      <c r="AB2183" s="120"/>
      <c r="AC2183" s="120"/>
      <c r="AD2183" s="120"/>
      <c r="AE2183" s="120"/>
      <c r="AF2183" s="120"/>
      <c r="AG2183" s="94"/>
      <c r="AH2183" s="120"/>
      <c r="AI2183" s="94"/>
      <c r="AJ2183" s="94" t="s">
        <v>112</v>
      </c>
      <c r="AK2183" s="94" t="s">
        <v>749</v>
      </c>
      <c r="AL2183" s="94">
        <v>150</v>
      </c>
      <c r="AM2183" s="94" t="str">
        <f>TRIM(AJ2183)&amp;TRIM(AL2183)&amp;TRIM(AK2183)</f>
      </c>
      <c r="AN2183" s="116">
        <v>4986.83</v>
      </c>
      <c r="AO2183" s="116">
        <v>5.12</v>
      </c>
      <c r="AP2183" s="116">
        <f>SUMIFS(M:M,AM:AM,AM2183)+SUMIFS(O:O,AM:AM,AM2183)</f>
      </c>
      <c r="AQ2183" s="116">
        <f>SUMIFS(L:L,AM:AM,AM2183)</f>
      </c>
      <c r="AR2183" s="116">
        <f>AQ2183-AP2183</f>
      </c>
      <c r="AS2183" s="94" t="str">
        <f>IF(AN2183&gt;=AQ2183,"ok","ck")</f>
      </c>
      <c r="AT2183" s="116">
        <f>-P2183</f>
      </c>
      <c r="AU2183" s="115">
        <f>IF(SUMIFS(AT:AT,AM:AM,AM2183)&gt;AO2183,(SUMIFS(AT:AT,AM:AM,AM2183)-AO2183))</f>
      </c>
      <c r="AV2183" s="116">
        <v>4801.56</v>
      </c>
      <c r="AW2183" s="121">
        <v>0.994</v>
      </c>
      <c r="AX2183" s="115">
        <f>AN2183-AP2183</f>
      </c>
    </row>
    <row r="2184" spans="1:50" ht="15" hidden="1" customHeight="1" x14ac:dyDescent="0.3">
      <c r="A2184" s="94" t="s">
        <v>76</v>
      </c>
      <c r="B2184" s="94"/>
      <c r="C2184" s="94"/>
      <c r="D2184" s="94"/>
      <c r="E2184" s="94"/>
      <c r="F2184" s="94"/>
      <c r="G2184" s="112">
        <f>AU2184</f>
      </c>
      <c r="H2184" s="113"/>
      <c r="I2184" s="94" t="s">
        <v>393</v>
      </c>
      <c r="J2184" s="94" t="s">
        <v>402</v>
      </c>
      <c r="K2184" s="114">
        <f>P2184/3</f>
      </c>
      <c r="L2184" s="115">
        <v>129.11799999999999</v>
      </c>
      <c r="M2184" s="116"/>
      <c r="N2184" s="117">
        <f>M2184-L2184</f>
      </c>
      <c r="O2184" s="112"/>
      <c r="P2184" s="118">
        <f>N2184+O2184</f>
      </c>
      <c r="Q2184" s="94" t="s">
        <v>395</v>
      </c>
      <c r="R2184" s="94" t="s">
        <v>392</v>
      </c>
      <c r="S2184" s="119">
        <v>46338</v>
      </c>
      <c r="T2184" s="119"/>
      <c r="U2184" s="120">
        <v>46338</v>
      </c>
      <c r="V2184" s="94"/>
      <c r="W2184" s="94"/>
      <c r="X2184" s="94"/>
      <c r="Y2184" s="119">
        <v>46338</v>
      </c>
      <c r="Z2184" s="94"/>
      <c r="AA2184" s="120"/>
      <c r="AB2184" s="120"/>
      <c r="AC2184" s="120"/>
      <c r="AD2184" s="120"/>
      <c r="AE2184" s="120"/>
      <c r="AF2184" s="120"/>
      <c r="AG2184" s="94"/>
      <c r="AH2184" s="120"/>
      <c r="AI2184" s="94"/>
      <c r="AJ2184" s="94" t="s">
        <v>395</v>
      </c>
      <c r="AK2184" s="94" t="s">
        <v>748</v>
      </c>
      <c r="AL2184" s="94">
        <v>150</v>
      </c>
      <c r="AM2184" s="94" t="str">
        <f>TRIM(AJ2184)&amp;TRIM(AL2184)&amp;TRIM(AK2184)</f>
      </c>
      <c r="AN2184" s="116">
        <v>0</v>
      </c>
      <c r="AO2184" s="116" t="inlineStr">
        <is>
          <t>#NA</t>
        </is>
      </c>
      <c r="AP2184" s="116">
        <f>SUMIFS(M:M,AM:AM,AM2184)+SUMIFS(O:O,AM:AM,AM2184)</f>
      </c>
      <c r="AQ2184" s="116">
        <f>SUMIFS(L:L,AM:AM,AM2184)</f>
      </c>
      <c r="AR2184" s="116">
        <f>AQ2184-AP2184</f>
      </c>
      <c r="AS2184" s="94" t="str">
        <f>IF(AN2184&gt;=AQ2184,"ok","ck")</f>
      </c>
      <c r="AT2184" s="116">
        <f>-P2184</f>
      </c>
      <c r="AU2184" s="115">
        <f>IF(SUMIFS(AT:AT,AM:AM,AM2184)&gt;AO2184,(SUMIFS(AT:AT,AM:AM,AM2184)-AO2184))</f>
      </c>
      <c r="AV2184" s="116">
        <v>0</v>
      </c>
      <c r="AW2184" s="121">
        <v>0.914</v>
      </c>
      <c r="AX2184" s="115">
        <f>AN2184-AP2184</f>
      </c>
    </row>
    <row r="2185" spans="1:50" ht="15" hidden="1" customHeight="1" x14ac:dyDescent="0.3">
      <c r="A2185" s="94" t="s">
        <v>76</v>
      </c>
      <c r="B2185" s="94"/>
      <c r="C2185" s="94"/>
      <c r="D2185" s="94"/>
      <c r="E2185" s="94"/>
      <c r="F2185" s="94"/>
      <c r="G2185" s="112">
        <f>AU2185</f>
      </c>
      <c r="H2185" s="113"/>
      <c r="I2185" s="94" t="s">
        <v>393</v>
      </c>
      <c r="J2185" s="94" t="s">
        <v>402</v>
      </c>
      <c r="K2185" s="114">
        <f>P2185/3</f>
      </c>
      <c r="L2185" s="115">
        <v>194.46700000000001</v>
      </c>
      <c r="M2185" s="116"/>
      <c r="N2185" s="117">
        <f>M2185-L2185</f>
      </c>
      <c r="O2185" s="112"/>
      <c r="P2185" s="118">
        <f>N2185+O2185</f>
      </c>
      <c r="Q2185" s="94" t="s">
        <v>395</v>
      </c>
      <c r="R2185" s="94" t="s">
        <v>392</v>
      </c>
      <c r="S2185" s="119">
        <v>46340</v>
      </c>
      <c r="T2185" s="119"/>
      <c r="U2185" s="120">
        <v>46340</v>
      </c>
      <c r="V2185" s="94"/>
      <c r="W2185" s="94"/>
      <c r="X2185" s="94"/>
      <c r="Y2185" s="119">
        <v>46340</v>
      </c>
      <c r="Z2185" s="94"/>
      <c r="AA2185" s="120"/>
      <c r="AB2185" s="120"/>
      <c r="AC2185" s="120"/>
      <c r="AD2185" s="120"/>
      <c r="AE2185" s="120"/>
      <c r="AF2185" s="120"/>
      <c r="AG2185" s="94"/>
      <c r="AH2185" s="120"/>
      <c r="AI2185" s="94"/>
      <c r="AJ2185" s="94" t="s">
        <v>395</v>
      </c>
      <c r="AK2185" s="94" t="s">
        <v>748</v>
      </c>
      <c r="AL2185" s="94">
        <v>150</v>
      </c>
      <c r="AM2185" s="94" t="str">
        <f>TRIM(AJ2185)&amp;TRIM(AL2185)&amp;TRIM(AK2185)</f>
      </c>
      <c r="AN2185" s="116">
        <v>0</v>
      </c>
      <c r="AO2185" s="116" t="inlineStr">
        <is>
          <t>#NA</t>
        </is>
      </c>
      <c r="AP2185" s="116">
        <f>SUMIFS(M:M,AM:AM,AM2185)+SUMIFS(O:O,AM:AM,AM2185)</f>
      </c>
      <c r="AQ2185" s="116">
        <f>SUMIFS(L:L,AM:AM,AM2185)</f>
      </c>
      <c r="AR2185" s="116">
        <f>AQ2185-AP2185</f>
      </c>
      <c r="AS2185" s="94" t="str">
        <f>IF(AN2185&gt;=AQ2185,"ok","ck")</f>
      </c>
      <c r="AT2185" s="116">
        <f>-P2185</f>
      </c>
      <c r="AU2185" s="115">
        <f>IF(SUMIFS(AT:AT,AM:AM,AM2185)&gt;AO2185,(SUMIFS(AT:AT,AM:AM,AM2185)-AO2185))</f>
      </c>
      <c r="AV2185" s="116">
        <v>0</v>
      </c>
      <c r="AW2185" s="121">
        <v>0.914</v>
      </c>
      <c r="AX2185" s="115">
        <f>AN2185-AP2185</f>
      </c>
    </row>
    <row r="2186" spans="1:50" ht="15" hidden="1" customHeight="1" x14ac:dyDescent="0.3">
      <c r="A2186" s="94" t="s">
        <v>76</v>
      </c>
      <c r="B2186" s="94"/>
      <c r="C2186" s="94"/>
      <c r="D2186" s="94"/>
      <c r="E2186" s="94"/>
      <c r="F2186" s="94"/>
      <c r="G2186" s="112">
        <f>AU2186</f>
      </c>
      <c r="H2186" s="113"/>
      <c r="I2186" s="94" t="s">
        <v>393</v>
      </c>
      <c r="J2186" s="94" t="s">
        <v>402</v>
      </c>
      <c r="K2186" s="114">
        <f>P2186/3</f>
      </c>
      <c r="L2186" s="115">
        <v>0.47399999999999998</v>
      </c>
      <c r="M2186" s="116"/>
      <c r="N2186" s="117">
        <f>M2186-L2186</f>
      </c>
      <c r="O2186" s="112"/>
      <c r="P2186" s="118">
        <f>N2186+O2186</f>
      </c>
      <c r="Q2186" s="94" t="s">
        <v>395</v>
      </c>
      <c r="R2186" s="94" t="s">
        <v>392</v>
      </c>
      <c r="S2186" s="119">
        <v>46341</v>
      </c>
      <c r="T2186" s="119"/>
      <c r="U2186" s="120">
        <v>46341</v>
      </c>
      <c r="V2186" s="94"/>
      <c r="W2186" s="94"/>
      <c r="X2186" s="94"/>
      <c r="Y2186" s="119">
        <v>46341</v>
      </c>
      <c r="Z2186" s="94"/>
      <c r="AA2186" s="120"/>
      <c r="AB2186" s="120"/>
      <c r="AC2186" s="120"/>
      <c r="AD2186" s="120"/>
      <c r="AE2186" s="120"/>
      <c r="AF2186" s="120"/>
      <c r="AG2186" s="94"/>
      <c r="AH2186" s="120"/>
      <c r="AI2186" s="94"/>
      <c r="AJ2186" s="94" t="s">
        <v>395</v>
      </c>
      <c r="AK2186" s="94" t="s">
        <v>748</v>
      </c>
      <c r="AL2186" s="94">
        <v>150</v>
      </c>
      <c r="AM2186" s="94" t="str">
        <f>TRIM(AJ2186)&amp;TRIM(AL2186)&amp;TRIM(AK2186)</f>
      </c>
      <c r="AN2186" s="116">
        <v>0</v>
      </c>
      <c r="AO2186" s="116" t="inlineStr">
        <is>
          <t>#NA</t>
        </is>
      </c>
      <c r="AP2186" s="116">
        <f>SUMIFS(M:M,AM:AM,AM2186)+SUMIFS(O:O,AM:AM,AM2186)</f>
      </c>
      <c r="AQ2186" s="116">
        <f>SUMIFS(L:L,AM:AM,AM2186)</f>
      </c>
      <c r="AR2186" s="116">
        <f>AQ2186-AP2186</f>
      </c>
      <c r="AS2186" s="94" t="str">
        <f>IF(AN2186&gt;=AQ2186,"ok","ck")</f>
      </c>
      <c r="AT2186" s="116">
        <f>-P2186</f>
      </c>
      <c r="AU2186" s="115">
        <f>IF(SUMIFS(AT:AT,AM:AM,AM2186)&gt;AO2186,(SUMIFS(AT:AT,AM:AM,AM2186)-AO2186))</f>
      </c>
      <c r="AV2186" s="116">
        <v>0</v>
      </c>
      <c r="AW2186" s="121">
        <v>0.914</v>
      </c>
      <c r="AX2186" s="115">
        <f>AN2186-AP2186</f>
      </c>
    </row>
    <row r="2187" spans="1:50" ht="15" hidden="1" customHeight="1" x14ac:dyDescent="0.3">
      <c r="A2187" s="94" t="s">
        <v>76</v>
      </c>
      <c r="B2187" s="94"/>
      <c r="C2187" s="94"/>
      <c r="D2187" s="94"/>
      <c r="E2187" s="94"/>
      <c r="F2187" s="94"/>
      <c r="G2187" s="112">
        <f>AU2187</f>
      </c>
      <c r="H2187" s="113"/>
      <c r="I2187" s="94" t="s">
        <v>393</v>
      </c>
      <c r="J2187" s="94" t="s">
        <v>402</v>
      </c>
      <c r="K2187" s="114">
        <f>P2187/3</f>
      </c>
      <c r="L2187" s="115">
        <v>890.46400000000006</v>
      </c>
      <c r="M2187" s="116"/>
      <c r="N2187" s="117">
        <f>M2187-L2187</f>
      </c>
      <c r="O2187" s="112"/>
      <c r="P2187" s="118">
        <f>N2187+O2187</f>
      </c>
      <c r="Q2187" s="94" t="s">
        <v>395</v>
      </c>
      <c r="R2187" s="94" t="s">
        <v>392</v>
      </c>
      <c r="S2187" s="119">
        <v>46345</v>
      </c>
      <c r="T2187" s="119"/>
      <c r="U2187" s="120">
        <v>46345</v>
      </c>
      <c r="V2187" s="94"/>
      <c r="W2187" s="94"/>
      <c r="X2187" s="94"/>
      <c r="Y2187" s="119">
        <v>46345</v>
      </c>
      <c r="Z2187" s="94"/>
      <c r="AA2187" s="120"/>
      <c r="AB2187" s="120"/>
      <c r="AC2187" s="120"/>
      <c r="AD2187" s="120"/>
      <c r="AE2187" s="120"/>
      <c r="AF2187" s="120"/>
      <c r="AG2187" s="94"/>
      <c r="AH2187" s="120"/>
      <c r="AI2187" s="94"/>
      <c r="AJ2187" s="94" t="s">
        <v>395</v>
      </c>
      <c r="AK2187" s="94" t="s">
        <v>748</v>
      </c>
      <c r="AL2187" s="94">
        <v>150</v>
      </c>
      <c r="AM2187" s="94" t="str">
        <f>TRIM(AJ2187)&amp;TRIM(AL2187)&amp;TRIM(AK2187)</f>
      </c>
      <c r="AN2187" s="116">
        <v>0</v>
      </c>
      <c r="AO2187" s="116" t="inlineStr">
        <is>
          <t>#NA</t>
        </is>
      </c>
      <c r="AP2187" s="116">
        <f>SUMIFS(M:M,AM:AM,AM2187)+SUMIFS(O:O,AM:AM,AM2187)</f>
      </c>
      <c r="AQ2187" s="116">
        <f>SUMIFS(L:L,AM:AM,AM2187)</f>
      </c>
      <c r="AR2187" s="116">
        <f>AQ2187-AP2187</f>
      </c>
      <c r="AS2187" s="94" t="str">
        <f>IF(AN2187&gt;=AQ2187,"ok","ck")</f>
      </c>
      <c r="AT2187" s="116">
        <f>-P2187</f>
      </c>
      <c r="AU2187" s="115">
        <f>IF(SUMIFS(AT:AT,AM:AM,AM2187)&gt;AO2187,(SUMIFS(AT:AT,AM:AM,AM2187)-AO2187))</f>
      </c>
      <c r="AV2187" s="116">
        <v>0</v>
      </c>
      <c r="AW2187" s="121">
        <v>0.914</v>
      </c>
      <c r="AX2187" s="115">
        <f>AN2187-AP2187</f>
      </c>
    </row>
    <row r="2188" spans="1:50" ht="15" hidden="1" customHeight="1" x14ac:dyDescent="0.3">
      <c r="A2188" s="94" t="s">
        <v>76</v>
      </c>
      <c r="B2188" s="94"/>
      <c r="C2188" s="94"/>
      <c r="D2188" s="94"/>
      <c r="E2188" s="94"/>
      <c r="F2188" s="94"/>
      <c r="G2188" s="112">
        <f>AU2188</f>
      </c>
      <c r="H2188" s="113"/>
      <c r="I2188" s="94" t="s">
        <v>393</v>
      </c>
      <c r="J2188" s="94" t="s">
        <v>419</v>
      </c>
      <c r="K2188" s="114">
        <f>P2188/3</f>
      </c>
      <c r="L2188" s="115">
        <v>580.87699999999995</v>
      </c>
      <c r="M2188" s="116"/>
      <c r="N2188" s="117">
        <f>M2188-L2188</f>
      </c>
      <c r="O2188" s="112"/>
      <c r="P2188" s="118">
        <f>N2188+O2188</f>
      </c>
      <c r="Q2188" s="94" t="s">
        <v>834</v>
      </c>
      <c r="R2188" s="94" t="s">
        <v>392</v>
      </c>
      <c r="S2188" s="119">
        <v>46349</v>
      </c>
      <c r="T2188" s="119"/>
      <c r="U2188" s="120">
        <v>46349</v>
      </c>
      <c r="V2188" s="94"/>
      <c r="W2188" s="94"/>
      <c r="X2188" s="94"/>
      <c r="Y2188" s="119">
        <v>46341</v>
      </c>
      <c r="Z2188" s="94"/>
      <c r="AA2188" s="120"/>
      <c r="AB2188" s="120"/>
      <c r="AC2188" s="120"/>
      <c r="AD2188" s="120"/>
      <c r="AE2188" s="120"/>
      <c r="AF2188" s="120"/>
      <c r="AG2188" s="94"/>
      <c r="AH2188" s="120"/>
      <c r="AI2188" s="94"/>
      <c r="AJ2188" s="94" t="s">
        <v>834</v>
      </c>
      <c r="AK2188" s="94" t="s">
        <v>120</v>
      </c>
      <c r="AL2188" s="94">
        <v>150</v>
      </c>
      <c r="AM2188" s="94" t="str">
        <f>TRIM(AJ2188)&amp;TRIM(AL2188)&amp;TRIM(AK2188)</f>
      </c>
      <c r="AN2188" s="116">
        <v>0</v>
      </c>
      <c r="AO2188" s="116" t="inlineStr">
        <is>
          <t>#NA</t>
        </is>
      </c>
      <c r="AP2188" s="116">
        <f>SUMIFS(M:M,AM:AM,AM2188)+SUMIFS(O:O,AM:AM,AM2188)</f>
      </c>
      <c r="AQ2188" s="116">
        <f>SUMIFS(L:L,AM:AM,AM2188)</f>
      </c>
      <c r="AR2188" s="116">
        <f>AQ2188-AP2188</f>
      </c>
      <c r="AS2188" s="94" t="str">
        <f>IF(AN2188&gt;=AQ2188,"ok","ck")</f>
      </c>
      <c r="AT2188" s="116">
        <f>-P2188</f>
      </c>
      <c r="AU2188" s="115">
        <f>IF(SUMIFS(AT:AT,AM:AM,AM2188)&gt;AO2188,(SUMIFS(AT:AT,AM:AM,AM2188)-AO2188))</f>
      </c>
      <c r="AV2188" s="116">
        <v>0</v>
      </c>
      <c r="AW2188" s="121">
        <v>0</v>
      </c>
      <c r="AX2188" s="115">
        <f>AN2188-AP2188</f>
      </c>
    </row>
    <row r="2189" spans="1:50" ht="15" hidden="1" customHeight="1" x14ac:dyDescent="0.3">
      <c r="A2189" s="94" t="s">
        <v>76</v>
      </c>
      <c r="B2189" s="94"/>
      <c r="C2189" s="94"/>
      <c r="D2189" s="94"/>
      <c r="E2189" s="94"/>
      <c r="F2189" s="94"/>
      <c r="G2189" s="112">
        <f>AU2189</f>
      </c>
      <c r="H2189" s="113"/>
      <c r="I2189" s="94" t="s">
        <v>393</v>
      </c>
      <c r="J2189" s="94" t="s">
        <v>419</v>
      </c>
      <c r="K2189" s="114">
        <f>P2189/3</f>
      </c>
      <c r="L2189" s="115">
        <v>3.8170000000000002</v>
      </c>
      <c r="M2189" s="116"/>
      <c r="N2189" s="117">
        <f>M2189-L2189</f>
      </c>
      <c r="O2189" s="112"/>
      <c r="P2189" s="118">
        <f>N2189+O2189</f>
      </c>
      <c r="Q2189" s="94" t="s">
        <v>834</v>
      </c>
      <c r="R2189" s="94" t="s">
        <v>392</v>
      </c>
      <c r="S2189" s="119">
        <v>46349</v>
      </c>
      <c r="T2189" s="119"/>
      <c r="U2189" s="120">
        <v>46349</v>
      </c>
      <c r="V2189" s="94"/>
      <c r="W2189" s="94"/>
      <c r="X2189" s="94"/>
      <c r="Y2189" s="119">
        <v>46343</v>
      </c>
      <c r="Z2189" s="94"/>
      <c r="AA2189" s="120"/>
      <c r="AB2189" s="120"/>
      <c r="AC2189" s="120"/>
      <c r="AD2189" s="120"/>
      <c r="AE2189" s="120"/>
      <c r="AF2189" s="120"/>
      <c r="AG2189" s="94"/>
      <c r="AH2189" s="120"/>
      <c r="AI2189" s="94"/>
      <c r="AJ2189" s="94" t="s">
        <v>834</v>
      </c>
      <c r="AK2189" s="94" t="s">
        <v>120</v>
      </c>
      <c r="AL2189" s="94">
        <v>150</v>
      </c>
      <c r="AM2189" s="94" t="str">
        <f>TRIM(AJ2189)&amp;TRIM(AL2189)&amp;TRIM(AK2189)</f>
      </c>
      <c r="AN2189" s="116">
        <v>0</v>
      </c>
      <c r="AO2189" s="116" t="inlineStr">
        <is>
          <t>#NA</t>
        </is>
      </c>
      <c r="AP2189" s="116">
        <f>SUMIFS(M:M,AM:AM,AM2189)+SUMIFS(O:O,AM:AM,AM2189)</f>
      </c>
      <c r="AQ2189" s="116">
        <f>SUMIFS(L:L,AM:AM,AM2189)</f>
      </c>
      <c r="AR2189" s="116">
        <f>AQ2189-AP2189</f>
      </c>
      <c r="AS2189" s="94" t="str">
        <f>IF(AN2189&gt;=AQ2189,"ok","ck")</f>
      </c>
      <c r="AT2189" s="116">
        <f>-P2189</f>
      </c>
      <c r="AU2189" s="115">
        <f>IF(SUMIFS(AT:AT,AM:AM,AM2189)&gt;AO2189,(SUMIFS(AT:AT,AM:AM,AM2189)-AO2189))</f>
      </c>
      <c r="AV2189" s="116">
        <v>0</v>
      </c>
      <c r="AW2189" s="121">
        <v>0</v>
      </c>
      <c r="AX2189" s="115">
        <f>AN2189-AP2189</f>
      </c>
    </row>
    <row r="2190" spans="1:50" ht="15" hidden="1" customHeight="1" x14ac:dyDescent="0.3">
      <c r="A2190" s="94" t="s">
        <v>76</v>
      </c>
      <c r="B2190" s="94"/>
      <c r="C2190" s="94"/>
      <c r="D2190" s="94"/>
      <c r="E2190" s="94"/>
      <c r="F2190" s="94"/>
      <c r="G2190" s="112">
        <f>AU2190</f>
      </c>
      <c r="H2190" s="113"/>
      <c r="I2190" s="94" t="s">
        <v>393</v>
      </c>
      <c r="J2190" s="94" t="s">
        <v>603</v>
      </c>
      <c r="K2190" s="114">
        <f>P2190/3</f>
      </c>
      <c r="L2190" s="115">
        <v>763.2</v>
      </c>
      <c r="M2190" s="116"/>
      <c r="N2190" s="117">
        <f>M2190-L2190</f>
      </c>
      <c r="O2190" s="112"/>
      <c r="P2190" s="118">
        <f>N2190+O2190</f>
      </c>
      <c r="Q2190" s="94" t="s">
        <v>395</v>
      </c>
      <c r="R2190" s="94" t="s">
        <v>392</v>
      </c>
      <c r="S2190" s="119">
        <v>46343</v>
      </c>
      <c r="T2190" s="119"/>
      <c r="U2190" s="119">
        <v>46343</v>
      </c>
      <c r="V2190" s="94"/>
      <c r="W2190" s="94"/>
      <c r="X2190" s="94"/>
      <c r="Y2190" s="119">
        <v>46343</v>
      </c>
      <c r="Z2190" s="94"/>
      <c r="AA2190" s="120"/>
      <c r="AB2190" s="120"/>
      <c r="AC2190" s="120"/>
      <c r="AD2190" s="120"/>
      <c r="AE2190" s="120"/>
      <c r="AF2190" s="120"/>
      <c r="AG2190" s="94"/>
      <c r="AH2190" s="120"/>
      <c r="AI2190" s="94"/>
      <c r="AJ2190" s="94" t="s">
        <v>395</v>
      </c>
      <c r="AK2190" s="94" t="s">
        <v>748</v>
      </c>
      <c r="AL2190" s="94">
        <v>150</v>
      </c>
      <c r="AM2190" s="94" t="str">
        <f>TRIM(AJ2190)&amp;TRIM(AL2190)&amp;TRIM(AK2190)</f>
      </c>
      <c r="AN2190" s="116">
        <v>0</v>
      </c>
      <c r="AO2190" s="116" t="inlineStr">
        <is>
          <t>#NA</t>
        </is>
      </c>
      <c r="AP2190" s="116">
        <f>SUMIFS(M:M,AM:AM,AM2190)+SUMIFS(O:O,AM:AM,AM2190)</f>
      </c>
      <c r="AQ2190" s="116">
        <f>SUMIFS(L:L,AM:AM,AM2190)</f>
      </c>
      <c r="AR2190" s="116">
        <f>AQ2190-AP2190</f>
      </c>
      <c r="AS2190" s="94" t="str">
        <f>IF(AN2190&gt;=AQ2190,"ok","ck")</f>
      </c>
      <c r="AT2190" s="116">
        <f>-P2190</f>
      </c>
      <c r="AU2190" s="115">
        <f>IF(SUMIFS(AT:AT,AM:AM,AM2190)&gt;AO2190,(SUMIFS(AT:AT,AM:AM,AM2190)-AO2190))</f>
      </c>
      <c r="AV2190" s="116">
        <v>0</v>
      </c>
      <c r="AW2190" s="121">
        <v>0.914</v>
      </c>
      <c r="AX2190" s="115">
        <f>AN2190-AP2190</f>
      </c>
    </row>
    <row r="2191" spans="1:50" ht="15" hidden="1" customHeight="1" x14ac:dyDescent="0.3">
      <c r="A2191" s="94" t="s">
        <v>76</v>
      </c>
      <c r="B2191" s="94"/>
      <c r="C2191" s="94"/>
      <c r="D2191" s="94"/>
      <c r="E2191" s="94"/>
      <c r="F2191" s="94"/>
      <c r="G2191" s="112">
        <f>AU2191</f>
      </c>
      <c r="H2191" s="113"/>
      <c r="I2191" s="94" t="s">
        <v>393</v>
      </c>
      <c r="J2191" s="94" t="s">
        <v>603</v>
      </c>
      <c r="K2191" s="114">
        <f>P2191/3</f>
      </c>
      <c r="L2191" s="115">
        <v>2.0990000000000002</v>
      </c>
      <c r="M2191" s="116"/>
      <c r="N2191" s="117">
        <f>M2191-L2191</f>
      </c>
      <c r="O2191" s="112"/>
      <c r="P2191" s="118">
        <f>N2191+O2191</f>
      </c>
      <c r="Q2191" s="94" t="s">
        <v>395</v>
      </c>
      <c r="R2191" s="94" t="s">
        <v>392</v>
      </c>
      <c r="S2191" s="119">
        <v>46345</v>
      </c>
      <c r="T2191" s="119"/>
      <c r="U2191" s="119">
        <v>46345</v>
      </c>
      <c r="V2191" s="94"/>
      <c r="W2191" s="94"/>
      <c r="X2191" s="94"/>
      <c r="Y2191" s="119">
        <v>46345</v>
      </c>
      <c r="Z2191" s="94"/>
      <c r="AA2191" s="120"/>
      <c r="AB2191" s="120"/>
      <c r="AC2191" s="120"/>
      <c r="AD2191" s="120"/>
      <c r="AE2191" s="120"/>
      <c r="AF2191" s="120"/>
      <c r="AG2191" s="94"/>
      <c r="AH2191" s="120"/>
      <c r="AI2191" s="94"/>
      <c r="AJ2191" s="94" t="s">
        <v>395</v>
      </c>
      <c r="AK2191" s="94" t="s">
        <v>748</v>
      </c>
      <c r="AL2191" s="94">
        <v>150</v>
      </c>
      <c r="AM2191" s="94" t="str">
        <f>TRIM(AJ2191)&amp;TRIM(AL2191)&amp;TRIM(AK2191)</f>
      </c>
      <c r="AN2191" s="116">
        <v>0</v>
      </c>
      <c r="AO2191" s="116" t="inlineStr">
        <is>
          <t>#NA</t>
        </is>
      </c>
      <c r="AP2191" s="116">
        <f>SUMIFS(M:M,AM:AM,AM2191)+SUMIFS(O:O,AM:AM,AM2191)</f>
      </c>
      <c r="AQ2191" s="116">
        <f>SUMIFS(L:L,AM:AM,AM2191)</f>
      </c>
      <c r="AR2191" s="116">
        <f>AQ2191-AP2191</f>
      </c>
      <c r="AS2191" s="94" t="str">
        <f>IF(AN2191&gt;=AQ2191,"ok","ck")</f>
      </c>
      <c r="AT2191" s="116">
        <f>-P2191</f>
      </c>
      <c r="AU2191" s="115">
        <f>IF(SUMIFS(AT:AT,AM:AM,AM2191)&gt;AO2191,(SUMIFS(AT:AT,AM:AM,AM2191)-AO2191))</f>
      </c>
      <c r="AV2191" s="116">
        <v>0</v>
      </c>
      <c r="AW2191" s="121">
        <v>0.914</v>
      </c>
      <c r="AX2191" s="115">
        <f>AN2191-AP2191</f>
      </c>
    </row>
    <row r="2192" spans="1:50" ht="15" hidden="1" customHeight="1" x14ac:dyDescent="0.3">
      <c r="A2192" s="94" t="s">
        <v>76</v>
      </c>
      <c r="B2192" s="94"/>
      <c r="C2192" s="94"/>
      <c r="D2192" s="94"/>
      <c r="E2192" s="94"/>
      <c r="F2192" s="94"/>
      <c r="G2192" s="112">
        <f>AU2192</f>
      </c>
      <c r="H2192" s="113"/>
      <c r="I2192" s="94" t="s">
        <v>393</v>
      </c>
      <c r="J2192" s="94" t="s">
        <v>396</v>
      </c>
      <c r="K2192" s="114">
        <f>P2192/3</f>
      </c>
      <c r="L2192" s="115">
        <v>306.35700000000003</v>
      </c>
      <c r="M2192" s="116">
        <f>L2192</f>
      </c>
      <c r="N2192" s="117">
        <f>M2192-L2192</f>
      </c>
      <c r="O2192" s="112"/>
      <c r="P2192" s="118">
        <f>N2192+O2192</f>
      </c>
      <c r="Q2192" s="94" t="s">
        <v>395</v>
      </c>
      <c r="R2192" s="94" t="s">
        <v>392</v>
      </c>
      <c r="S2192" s="119">
        <v>46337</v>
      </c>
      <c r="T2192" s="119"/>
      <c r="U2192" s="119">
        <v>46337</v>
      </c>
      <c r="V2192" s="94"/>
      <c r="W2192" s="94"/>
      <c r="X2192" s="94"/>
      <c r="Y2192" s="119">
        <v>46320</v>
      </c>
      <c r="Z2192" s="94"/>
      <c r="AA2192" s="120"/>
      <c r="AB2192" s="120"/>
      <c r="AC2192" s="120"/>
      <c r="AD2192" s="120"/>
      <c r="AE2192" s="120"/>
      <c r="AF2192" s="120"/>
      <c r="AG2192" s="94"/>
      <c r="AH2192" s="120"/>
      <c r="AI2192" s="94"/>
      <c r="AJ2192" s="94" t="s">
        <v>395</v>
      </c>
      <c r="AK2192" s="94" t="s">
        <v>120</v>
      </c>
      <c r="AL2192" s="94">
        <v>150</v>
      </c>
      <c r="AM2192" s="94" t="str">
        <f>TRIM(AJ2192)&amp;TRIM(AL2192)&amp;TRIM(AK2192)</f>
      </c>
      <c r="AN2192" s="116">
        <v>347</v>
      </c>
      <c r="AO2192" s="116">
        <v>-7.4</v>
      </c>
      <c r="AP2192" s="116">
        <f>SUMIFS(M:M,AM:AM,AM2192)+SUMIFS(O:O,AM:AM,AM2192)</f>
      </c>
      <c r="AQ2192" s="116">
        <f>SUMIFS(L:L,AM:AM,AM2192)</f>
      </c>
      <c r="AR2192" s="116">
        <f>AQ2192-AP2192</f>
      </c>
      <c r="AS2192" s="94" t="str">
        <f>IF(AN2192&gt;=AQ2192,"ok","ck")</f>
      </c>
      <c r="AT2192" s="116">
        <f>-P2192</f>
      </c>
      <c r="AU2192" s="115">
        <f>IF(SUMIFS(AT:AT,AM:AM,AM2192)&gt;AO2192,(SUMIFS(AT:AT,AM:AM,AM2192)-AO2192))</f>
      </c>
      <c r="AV2192" s="116">
        <v>347</v>
      </c>
      <c r="AW2192" s="121">
        <v>1.022</v>
      </c>
      <c r="AX2192" s="115">
        <f>AN2192-AP2192</f>
      </c>
    </row>
    <row r="2193" spans="1:50" ht="15" hidden="1" customHeight="1" x14ac:dyDescent="0.3">
      <c r="A2193" s="94" t="s">
        <v>76</v>
      </c>
      <c r="B2193" s="94"/>
      <c r="C2193" s="94"/>
      <c r="D2193" s="94"/>
      <c r="E2193" s="94"/>
      <c r="F2193" s="94"/>
      <c r="G2193" s="112">
        <f>AU2193</f>
      </c>
      <c r="H2193" s="113"/>
      <c r="I2193" s="94" t="s">
        <v>393</v>
      </c>
      <c r="J2193" s="94" t="s">
        <v>396</v>
      </c>
      <c r="K2193" s="114">
        <f>P2193/3</f>
      </c>
      <c r="L2193" s="115">
        <v>786.62</v>
      </c>
      <c r="M2193" s="116">
        <f>L2193</f>
      </c>
      <c r="N2193" s="117">
        <f>M2193-L2193</f>
      </c>
      <c r="O2193" s="112"/>
      <c r="P2193" s="118">
        <f>N2193+O2193</f>
      </c>
      <c r="Q2193" s="94" t="s">
        <v>395</v>
      </c>
      <c r="R2193" s="94" t="s">
        <v>392</v>
      </c>
      <c r="S2193" s="119">
        <v>46337</v>
      </c>
      <c r="T2193" s="119"/>
      <c r="U2193" s="119">
        <v>46337</v>
      </c>
      <c r="V2193" s="94"/>
      <c r="W2193" s="94"/>
      <c r="X2193" s="94"/>
      <c r="Y2193" s="119">
        <v>46320</v>
      </c>
      <c r="Z2193" s="94"/>
      <c r="AA2193" s="120"/>
      <c r="AB2193" s="120"/>
      <c r="AC2193" s="120"/>
      <c r="AD2193" s="120"/>
      <c r="AE2193" s="120"/>
      <c r="AF2193" s="120"/>
      <c r="AG2193" s="94"/>
      <c r="AH2193" s="120"/>
      <c r="AI2193" s="94"/>
      <c r="AJ2193" s="94" t="s">
        <v>395</v>
      </c>
      <c r="AK2193" s="94" t="s">
        <v>120</v>
      </c>
      <c r="AL2193" s="94">
        <v>150</v>
      </c>
      <c r="AM2193" s="94" t="str">
        <f>TRIM(AJ2193)&amp;TRIM(AL2193)&amp;TRIM(AK2193)</f>
      </c>
      <c r="AN2193" s="116">
        <v>347</v>
      </c>
      <c r="AO2193" s="116">
        <v>-7.4</v>
      </c>
      <c r="AP2193" s="116">
        <f>SUMIFS(M:M,AM:AM,AM2193)+SUMIFS(O:O,AM:AM,AM2193)</f>
      </c>
      <c r="AQ2193" s="116">
        <f>SUMIFS(L:L,AM:AM,AM2193)</f>
      </c>
      <c r="AR2193" s="116">
        <f>AQ2193-AP2193</f>
      </c>
      <c r="AS2193" s="94" t="str">
        <f>IF(AN2193&gt;=AQ2193,"ok","ck")</f>
      </c>
      <c r="AT2193" s="116">
        <f>-P2193</f>
      </c>
      <c r="AU2193" s="115">
        <f>IF(SUMIFS(AT:AT,AM:AM,AM2193)&gt;AO2193,(SUMIFS(AT:AT,AM:AM,AM2193)-AO2193))</f>
      </c>
      <c r="AV2193" s="116">
        <v>347</v>
      </c>
      <c r="AW2193" s="121">
        <v>1.022</v>
      </c>
      <c r="AX2193" s="115">
        <f>AN2193-AP2193</f>
      </c>
    </row>
    <row r="2194" spans="1:50" ht="15" hidden="1" customHeight="1" x14ac:dyDescent="0.3">
      <c r="A2194" s="94" t="s">
        <v>76</v>
      </c>
      <c r="B2194" s="94"/>
      <c r="C2194" s="94"/>
      <c r="D2194" s="94"/>
      <c r="E2194" s="94"/>
      <c r="F2194" s="94"/>
      <c r="G2194" s="112">
        <f>AU2194</f>
      </c>
      <c r="H2194" s="113"/>
      <c r="I2194" s="94" t="s">
        <v>393</v>
      </c>
      <c r="J2194" s="94" t="s">
        <v>396</v>
      </c>
      <c r="K2194" s="114">
        <f>P2194/3</f>
      </c>
      <c r="L2194" s="115">
        <v>3.1890000000000001</v>
      </c>
      <c r="M2194" s="116">
        <f>L2194</f>
      </c>
      <c r="N2194" s="117">
        <f>M2194-L2194</f>
      </c>
      <c r="O2194" s="112"/>
      <c r="P2194" s="118">
        <f>N2194+O2194</f>
      </c>
      <c r="Q2194" s="94" t="s">
        <v>395</v>
      </c>
      <c r="R2194" s="94" t="s">
        <v>392</v>
      </c>
      <c r="S2194" s="119">
        <v>46337</v>
      </c>
      <c r="T2194" s="119"/>
      <c r="U2194" s="120">
        <v>46337</v>
      </c>
      <c r="V2194" s="94"/>
      <c r="W2194" s="94"/>
      <c r="X2194" s="94"/>
      <c r="Y2194" s="119">
        <v>46320</v>
      </c>
      <c r="Z2194" s="94"/>
      <c r="AA2194" s="120"/>
      <c r="AB2194" s="120"/>
      <c r="AC2194" s="120"/>
      <c r="AD2194" s="120"/>
      <c r="AE2194" s="120"/>
      <c r="AF2194" s="120"/>
      <c r="AG2194" s="94"/>
      <c r="AH2194" s="120"/>
      <c r="AI2194" s="94"/>
      <c r="AJ2194" s="94" t="s">
        <v>395</v>
      </c>
      <c r="AK2194" s="94" t="s">
        <v>120</v>
      </c>
      <c r="AL2194" s="94">
        <v>150</v>
      </c>
      <c r="AM2194" s="94" t="str">
        <f>TRIM(AJ2194)&amp;TRIM(AL2194)&amp;TRIM(AK2194)</f>
      </c>
      <c r="AN2194" s="116">
        <v>347</v>
      </c>
      <c r="AO2194" s="116">
        <v>-7.4</v>
      </c>
      <c r="AP2194" s="116">
        <f>SUMIFS(M:M,AM:AM,AM2194)+SUMIFS(O:O,AM:AM,AM2194)</f>
      </c>
      <c r="AQ2194" s="116">
        <f>SUMIFS(L:L,AM:AM,AM2194)</f>
      </c>
      <c r="AR2194" s="116">
        <f>AQ2194-AP2194</f>
      </c>
      <c r="AS2194" s="94" t="str">
        <f>IF(AN2194&gt;=AQ2194,"ok","ck")</f>
      </c>
      <c r="AT2194" s="116">
        <f>-P2194</f>
      </c>
      <c r="AU2194" s="115">
        <f>IF(SUMIFS(AT:AT,AM:AM,AM2194)&gt;AO2194,(SUMIFS(AT:AT,AM:AM,AM2194)-AO2194))</f>
      </c>
      <c r="AV2194" s="116">
        <v>347</v>
      </c>
      <c r="AW2194" s="121">
        <v>1.022</v>
      </c>
      <c r="AX2194" s="115">
        <f>AN2194-AP2194</f>
      </c>
    </row>
    <row r="2195" spans="1:50" ht="15" hidden="1" customHeight="1" x14ac:dyDescent="0.3">
      <c r="A2195" s="94" t="s">
        <v>76</v>
      </c>
      <c r="B2195" s="94"/>
      <c r="C2195" s="94"/>
      <c r="D2195" s="94"/>
      <c r="E2195" s="94"/>
      <c r="F2195" s="94"/>
      <c r="G2195" s="112">
        <f>AU2195</f>
      </c>
      <c r="H2195" s="113"/>
      <c r="I2195" s="94" t="s">
        <v>393</v>
      </c>
      <c r="J2195" s="94" t="s">
        <v>396</v>
      </c>
      <c r="K2195" s="114">
        <f>P2195/3</f>
      </c>
      <c r="L2195" s="115">
        <v>685.35599999999999</v>
      </c>
      <c r="M2195" s="116">
        <f>L2195</f>
      </c>
      <c r="N2195" s="117">
        <f>M2195-L2195</f>
      </c>
      <c r="O2195" s="112"/>
      <c r="P2195" s="118">
        <f>N2195+O2195</f>
      </c>
      <c r="Q2195" s="94" t="s">
        <v>395</v>
      </c>
      <c r="R2195" s="94" t="s">
        <v>392</v>
      </c>
      <c r="S2195" s="119">
        <v>46337</v>
      </c>
      <c r="T2195" s="119"/>
      <c r="U2195" s="120">
        <v>46337</v>
      </c>
      <c r="V2195" s="94"/>
      <c r="W2195" s="94"/>
      <c r="X2195" s="94"/>
      <c r="Y2195" s="119">
        <v>46320</v>
      </c>
      <c r="Z2195" s="94"/>
      <c r="AA2195" s="120"/>
      <c r="AB2195" s="120"/>
      <c r="AC2195" s="120"/>
      <c r="AD2195" s="120"/>
      <c r="AE2195" s="120"/>
      <c r="AF2195" s="120"/>
      <c r="AG2195" s="94"/>
      <c r="AH2195" s="120"/>
      <c r="AI2195" s="94"/>
      <c r="AJ2195" s="94" t="s">
        <v>395</v>
      </c>
      <c r="AK2195" s="94" t="s">
        <v>120</v>
      </c>
      <c r="AL2195" s="94">
        <v>150</v>
      </c>
      <c r="AM2195" s="94" t="str">
        <f>TRIM(AJ2195)&amp;TRIM(AL2195)&amp;TRIM(AK2195)</f>
      </c>
      <c r="AN2195" s="116">
        <v>347</v>
      </c>
      <c r="AO2195" s="116">
        <v>-7.4</v>
      </c>
      <c r="AP2195" s="116">
        <f>SUMIFS(M:M,AM:AM,AM2195)+SUMIFS(O:O,AM:AM,AM2195)</f>
      </c>
      <c r="AQ2195" s="116">
        <f>SUMIFS(L:L,AM:AM,AM2195)</f>
      </c>
      <c r="AR2195" s="116">
        <f>AQ2195-AP2195</f>
      </c>
      <c r="AS2195" s="94" t="str">
        <f>IF(AN2195&gt;=AQ2195,"ok","ck")</f>
      </c>
      <c r="AT2195" s="116">
        <f>-P2195</f>
      </c>
      <c r="AU2195" s="115">
        <f>IF(SUMIFS(AT:AT,AM:AM,AM2195)&gt;AO2195,(SUMIFS(AT:AT,AM:AM,AM2195)-AO2195))</f>
      </c>
      <c r="AV2195" s="116">
        <v>347</v>
      </c>
      <c r="AW2195" s="121">
        <v>1.022</v>
      </c>
      <c r="AX2195" s="115">
        <f>AN2195-AP2195</f>
      </c>
    </row>
    <row r="2196" spans="1:50" ht="15" hidden="1" customHeight="1" x14ac:dyDescent="0.3">
      <c r="A2196" s="94" t="s">
        <v>76</v>
      </c>
      <c r="B2196" s="94"/>
      <c r="C2196" s="94"/>
      <c r="D2196" s="94"/>
      <c r="E2196" s="94"/>
      <c r="F2196" s="94"/>
      <c r="G2196" s="112">
        <f>AU2196</f>
      </c>
      <c r="H2196" s="113"/>
      <c r="I2196" s="94" t="s">
        <v>393</v>
      </c>
      <c r="J2196" s="94" t="s">
        <v>396</v>
      </c>
      <c r="K2196" s="114">
        <f>P2196/3</f>
      </c>
      <c r="L2196" s="115">
        <v>1194</v>
      </c>
      <c r="M2196" s="116">
        <f>L2196</f>
      </c>
      <c r="N2196" s="117">
        <f>M2196-L2196</f>
      </c>
      <c r="O2196" s="112"/>
      <c r="P2196" s="118">
        <f>N2196+O2196</f>
      </c>
      <c r="Q2196" s="94" t="s">
        <v>395</v>
      </c>
      <c r="R2196" s="94" t="s">
        <v>392</v>
      </c>
      <c r="S2196" s="119">
        <v>46337</v>
      </c>
      <c r="T2196" s="119"/>
      <c r="U2196" s="119">
        <v>46337</v>
      </c>
      <c r="V2196" s="94"/>
      <c r="W2196" s="94"/>
      <c r="X2196" s="94"/>
      <c r="Y2196" s="119">
        <v>46342</v>
      </c>
      <c r="Z2196" s="94"/>
      <c r="AA2196" s="120"/>
      <c r="AB2196" s="120"/>
      <c r="AC2196" s="120"/>
      <c r="AD2196" s="120"/>
      <c r="AE2196" s="120"/>
      <c r="AF2196" s="120"/>
      <c r="AG2196" s="94"/>
      <c r="AH2196" s="120"/>
      <c r="AI2196" s="94"/>
      <c r="AJ2196" s="94" t="s">
        <v>395</v>
      </c>
      <c r="AK2196" s="94" t="s">
        <v>120</v>
      </c>
      <c r="AL2196" s="94">
        <v>150</v>
      </c>
      <c r="AM2196" s="94" t="str">
        <f>TRIM(AJ2196)&amp;TRIM(AL2196)&amp;TRIM(AK2196)</f>
      </c>
      <c r="AN2196" s="116">
        <v>347</v>
      </c>
      <c r="AO2196" s="116">
        <v>-7.4</v>
      </c>
      <c r="AP2196" s="116">
        <f>SUMIFS(M:M,AM:AM,AM2196)+SUMIFS(O:O,AM:AM,AM2196)</f>
      </c>
      <c r="AQ2196" s="116">
        <f>SUMIFS(L:L,AM:AM,AM2196)</f>
      </c>
      <c r="AR2196" s="116">
        <f>AQ2196-AP2196</f>
      </c>
      <c r="AS2196" s="94" t="str">
        <f>IF(AN2196&gt;=AQ2196,"ok","ck")</f>
      </c>
      <c r="AT2196" s="116">
        <f>-P2196</f>
      </c>
      <c r="AU2196" s="115">
        <f>IF(SUMIFS(AT:AT,AM:AM,AM2196)&gt;AO2196,(SUMIFS(AT:AT,AM:AM,AM2196)-AO2196))</f>
      </c>
      <c r="AV2196" s="116">
        <v>347</v>
      </c>
      <c r="AW2196" s="121">
        <v>1.022</v>
      </c>
      <c r="AX2196" s="115">
        <f>AN2196-AP2196</f>
      </c>
    </row>
    <row r="2197" spans="1:50" ht="15" hidden="1" customHeight="1" x14ac:dyDescent="0.3">
      <c r="A2197" s="94" t="s">
        <v>76</v>
      </c>
      <c r="B2197" s="94"/>
      <c r="C2197" s="94"/>
      <c r="D2197" s="94"/>
      <c r="E2197" s="94"/>
      <c r="F2197" s="94"/>
      <c r="G2197" s="112">
        <f>AU2197</f>
      </c>
      <c r="H2197" s="113"/>
      <c r="I2197" s="94" t="s">
        <v>393</v>
      </c>
      <c r="J2197" s="94" t="s">
        <v>396</v>
      </c>
      <c r="K2197" s="114">
        <f>P2197/3</f>
      </c>
      <c r="L2197" s="115">
        <v>2.5870000000000002</v>
      </c>
      <c r="M2197" s="116">
        <f>L2197</f>
      </c>
      <c r="N2197" s="117">
        <f>M2197-L2197</f>
      </c>
      <c r="O2197" s="112"/>
      <c r="P2197" s="118">
        <f>N2197+O2197</f>
      </c>
      <c r="Q2197" s="94" t="s">
        <v>395</v>
      </c>
      <c r="R2197" s="94" t="s">
        <v>392</v>
      </c>
      <c r="S2197" s="119">
        <v>46337</v>
      </c>
      <c r="T2197" s="119"/>
      <c r="U2197" s="119">
        <v>46337</v>
      </c>
      <c r="V2197" s="94"/>
      <c r="W2197" s="94"/>
      <c r="X2197" s="94"/>
      <c r="Y2197" s="119">
        <v>46320</v>
      </c>
      <c r="Z2197" s="94"/>
      <c r="AA2197" s="120"/>
      <c r="AB2197" s="120"/>
      <c r="AC2197" s="120"/>
      <c r="AD2197" s="120"/>
      <c r="AE2197" s="120"/>
      <c r="AF2197" s="120"/>
      <c r="AG2197" s="94"/>
      <c r="AH2197" s="120"/>
      <c r="AI2197" s="94"/>
      <c r="AJ2197" s="94" t="s">
        <v>395</v>
      </c>
      <c r="AK2197" s="94" t="s">
        <v>120</v>
      </c>
      <c r="AL2197" s="94">
        <v>150</v>
      </c>
      <c r="AM2197" s="94" t="str">
        <f>TRIM(AJ2197)&amp;TRIM(AL2197)&amp;TRIM(AK2197)</f>
      </c>
      <c r="AN2197" s="116">
        <v>347</v>
      </c>
      <c r="AO2197" s="116">
        <v>-7.4</v>
      </c>
      <c r="AP2197" s="116">
        <f>SUMIFS(M:M,AM:AM,AM2197)+SUMIFS(O:O,AM:AM,AM2197)</f>
      </c>
      <c r="AQ2197" s="116">
        <f>SUMIFS(L:L,AM:AM,AM2197)</f>
      </c>
      <c r="AR2197" s="116">
        <f>AQ2197-AP2197</f>
      </c>
      <c r="AS2197" s="94" t="str">
        <f>IF(AN2197&gt;=AQ2197,"ok","ck")</f>
      </c>
      <c r="AT2197" s="116">
        <f>-P2197</f>
      </c>
      <c r="AU2197" s="115">
        <f>IF(SUMIFS(AT:AT,AM:AM,AM2197)&gt;AO2197,(SUMIFS(AT:AT,AM:AM,AM2197)-AO2197))</f>
      </c>
      <c r="AV2197" s="116">
        <v>347</v>
      </c>
      <c r="AW2197" s="121">
        <v>1.022</v>
      </c>
      <c r="AX2197" s="115">
        <f>AN2197-AP2197</f>
      </c>
    </row>
    <row r="2198" spans="1:50" ht="15" hidden="1" customHeight="1" x14ac:dyDescent="0.3">
      <c r="A2198" s="94" t="s">
        <v>76</v>
      </c>
      <c r="B2198" s="94"/>
      <c r="C2198" s="94"/>
      <c r="D2198" s="94"/>
      <c r="E2198" s="94"/>
      <c r="F2198" s="94"/>
      <c r="G2198" s="112">
        <f>AU2198</f>
      </c>
      <c r="H2198" s="113"/>
      <c r="I2198" s="94" t="s">
        <v>393</v>
      </c>
      <c r="J2198" s="94" t="s">
        <v>407</v>
      </c>
      <c r="K2198" s="114">
        <f>P2198/3</f>
      </c>
      <c r="L2198" s="115">
        <v>1279.2</v>
      </c>
      <c r="M2198" s="116">
        <f>L2198</f>
      </c>
      <c r="N2198" s="117">
        <f>M2198-L2198</f>
      </c>
      <c r="O2198" s="112"/>
      <c r="P2198" s="118">
        <f>N2198+O2198</f>
      </c>
      <c r="Q2198" s="94" t="s">
        <v>112</v>
      </c>
      <c r="R2198" s="94" t="s">
        <v>392</v>
      </c>
      <c r="S2198" s="119">
        <v>46329</v>
      </c>
      <c r="T2198" s="119"/>
      <c r="U2198" s="119">
        <v>46329</v>
      </c>
      <c r="V2198" s="94"/>
      <c r="W2198" s="94"/>
      <c r="X2198" s="94"/>
      <c r="Y2198" s="119">
        <v>46329</v>
      </c>
      <c r="Z2198" s="94"/>
      <c r="AA2198" s="120"/>
      <c r="AB2198" s="120"/>
      <c r="AC2198" s="120"/>
      <c r="AD2198" s="120"/>
      <c r="AE2198" s="120"/>
      <c r="AF2198" s="120"/>
      <c r="AG2198" s="94"/>
      <c r="AH2198" s="120"/>
      <c r="AI2198" s="94"/>
      <c r="AJ2198" s="94" t="s">
        <v>112</v>
      </c>
      <c r="AK2198" s="94" t="s">
        <v>749</v>
      </c>
      <c r="AL2198" s="94">
        <v>150</v>
      </c>
      <c r="AM2198" s="94" t="str">
        <f>TRIM(AJ2198)&amp;TRIM(AL2198)&amp;TRIM(AK2198)</f>
      </c>
      <c r="AN2198" s="116">
        <v>4986.83</v>
      </c>
      <c r="AO2198" s="116">
        <v>5.12</v>
      </c>
      <c r="AP2198" s="116">
        <f>SUMIFS(M:M,AM:AM,AM2198)+SUMIFS(O:O,AM:AM,AM2198)</f>
      </c>
      <c r="AQ2198" s="116">
        <f>SUMIFS(L:L,AM:AM,AM2198)</f>
      </c>
      <c r="AR2198" s="116">
        <f>AQ2198-AP2198</f>
      </c>
      <c r="AS2198" s="94" t="str">
        <f>IF(AN2198&gt;=AQ2198,"ok","ck")</f>
      </c>
      <c r="AT2198" s="116">
        <f>-P2198</f>
      </c>
      <c r="AU2198" s="115">
        <f>IF(SUMIFS(AT:AT,AM:AM,AM2198)&gt;AO2198,(SUMIFS(AT:AT,AM:AM,AM2198)-AO2198))</f>
      </c>
      <c r="AV2198" s="116">
        <v>4801.56</v>
      </c>
      <c r="AW2198" s="121">
        <v>0.994</v>
      </c>
      <c r="AX2198" s="115">
        <f>AN2198-AP2198</f>
      </c>
    </row>
    <row r="2199" spans="1:50" ht="15" hidden="1" customHeight="1" x14ac:dyDescent="0.3">
      <c r="A2199" s="94" t="s">
        <v>268</v>
      </c>
      <c r="B2199" s="94"/>
      <c r="C2199" s="94"/>
      <c r="D2199" s="94"/>
      <c r="E2199" s="94"/>
      <c r="F2199" s="94"/>
      <c r="G2199" s="112">
        <f>AU2199</f>
      </c>
      <c r="H2199" s="113"/>
      <c r="I2199" s="94" t="s">
        <v>390</v>
      </c>
      <c r="J2199" s="94" t="s">
        <v>399</v>
      </c>
      <c r="K2199" s="114">
        <f>P2199/3</f>
      </c>
      <c r="L2199" s="115">
        <v>167.761</v>
      </c>
      <c r="M2199" s="116"/>
      <c r="N2199" s="117">
        <f>M2199-L2199</f>
      </c>
      <c r="O2199" s="112"/>
      <c r="P2199" s="118">
        <f>N2199+O2199</f>
      </c>
      <c r="Q2199" s="94" t="s">
        <v>778</v>
      </c>
      <c r="R2199" s="94" t="s">
        <v>392</v>
      </c>
      <c r="S2199" s="119">
        <v>46343</v>
      </c>
      <c r="T2199" s="119"/>
      <c r="U2199" s="119">
        <v>46343</v>
      </c>
      <c r="V2199" s="94"/>
      <c r="W2199" s="94"/>
      <c r="X2199" s="94"/>
      <c r="Y2199" s="119">
        <v>46343</v>
      </c>
      <c r="Z2199" s="94"/>
      <c r="AA2199" s="120"/>
      <c r="AB2199" s="120"/>
      <c r="AC2199" s="120"/>
      <c r="AD2199" s="120"/>
      <c r="AE2199" s="120"/>
      <c r="AF2199" s="120"/>
      <c r="AG2199" s="94"/>
      <c r="AH2199" s="120"/>
      <c r="AI2199" s="94"/>
      <c r="AJ2199" s="94" t="s">
        <v>778</v>
      </c>
      <c r="AK2199" s="94" t="s">
        <v>342</v>
      </c>
      <c r="AL2199" s="94">
        <v>140</v>
      </c>
      <c r="AM2199" s="94" t="str">
        <f>TRIM(AJ2199)&amp;TRIM(AL2199)&amp;TRIM(AK2199)</f>
      </c>
      <c r="AN2199" s="116">
        <v>0</v>
      </c>
      <c r="AO2199" s="116" t="inlineStr">
        <is>
          <t>#NA</t>
        </is>
      </c>
      <c r="AP2199" s="116">
        <f>SUMIFS(M:M,AM:AM,AM2199)+SUMIFS(O:O,AM:AM,AM2199)</f>
      </c>
      <c r="AQ2199" s="116">
        <f>SUMIFS(L:L,AM:AM,AM2199)</f>
      </c>
      <c r="AR2199" s="116">
        <f>AQ2199-AP2199</f>
      </c>
      <c r="AS2199" s="94" t="str">
        <f>IF(AN2199&gt;=AQ2199,"ok","ck")</f>
      </c>
      <c r="AT2199" s="116">
        <f>-P2199</f>
      </c>
      <c r="AU2199" s="115">
        <f>IF(SUMIFS(AT:AT,AM:AM,AM2199)&gt;AO2199,(SUMIFS(AT:AT,AM:AM,AM2199)-AO2199))</f>
      </c>
      <c r="AV2199" s="116">
        <v>0</v>
      </c>
      <c r="AW2199" s="121">
        <v>0</v>
      </c>
      <c r="AX2199" s="115">
        <f>AN2199-AP2199</f>
      </c>
    </row>
    <row r="2200" spans="1:50" ht="15" hidden="1" customHeight="1" x14ac:dyDescent="0.3">
      <c r="A2200" s="94" t="s">
        <v>76</v>
      </c>
      <c r="B2200" s="94"/>
      <c r="C2200" s="94"/>
      <c r="D2200" s="94"/>
      <c r="E2200" s="94"/>
      <c r="F2200" s="94"/>
      <c r="G2200" s="112">
        <f>AU2200</f>
      </c>
      <c r="H2200" s="113"/>
      <c r="I2200" s="94" t="s">
        <v>393</v>
      </c>
      <c r="J2200" s="94" t="s">
        <v>434</v>
      </c>
      <c r="K2200" s="114">
        <f>P2200/3</f>
      </c>
      <c r="L2200" s="115">
        <v>344.51400000000001</v>
      </c>
      <c r="M2200" s="116"/>
      <c r="N2200" s="117">
        <f>M2200-L2200</f>
      </c>
      <c r="O2200" s="112"/>
      <c r="P2200" s="118">
        <f>N2200+O2200</f>
      </c>
      <c r="Q2200" s="94" t="s">
        <v>834</v>
      </c>
      <c r="R2200" s="94" t="s">
        <v>392</v>
      </c>
      <c r="S2200" s="119">
        <v>46349</v>
      </c>
      <c r="T2200" s="119"/>
      <c r="U2200" s="119">
        <v>46349</v>
      </c>
      <c r="V2200" s="94"/>
      <c r="W2200" s="94"/>
      <c r="X2200" s="94"/>
      <c r="Y2200" s="119">
        <v>46337</v>
      </c>
      <c r="Z2200" s="94"/>
      <c r="AA2200" s="120"/>
      <c r="AB2200" s="120"/>
      <c r="AC2200" s="120"/>
      <c r="AD2200" s="120"/>
      <c r="AE2200" s="120"/>
      <c r="AF2200" s="120"/>
      <c r="AG2200" s="94"/>
      <c r="AH2200" s="120"/>
      <c r="AI2200" s="94"/>
      <c r="AJ2200" s="94" t="s">
        <v>834</v>
      </c>
      <c r="AK2200" s="94" t="s">
        <v>120</v>
      </c>
      <c r="AL2200" s="94">
        <v>150</v>
      </c>
      <c r="AM2200" s="94" t="str">
        <f>TRIM(AJ2200)&amp;TRIM(AL2200)&amp;TRIM(AK2200)</f>
      </c>
      <c r="AN2200" s="116">
        <v>0</v>
      </c>
      <c r="AO2200" s="116" t="inlineStr">
        <is>
          <t>#NA</t>
        </is>
      </c>
      <c r="AP2200" s="116">
        <f>SUMIFS(M:M,AM:AM,AM2200)+SUMIFS(O:O,AM:AM,AM2200)</f>
      </c>
      <c r="AQ2200" s="116">
        <f>SUMIFS(L:L,AM:AM,AM2200)</f>
      </c>
      <c r="AR2200" s="116">
        <f>AQ2200-AP2200</f>
      </c>
      <c r="AS2200" s="94" t="str">
        <f>IF(AN2200&gt;=AQ2200,"ok","ck")</f>
      </c>
      <c r="AT2200" s="116">
        <f>-P2200</f>
      </c>
      <c r="AU2200" s="115">
        <f>IF(SUMIFS(AT:AT,AM:AM,AM2200)&gt;AO2200,(SUMIFS(AT:AT,AM:AM,AM2200)-AO2200))</f>
      </c>
      <c r="AV2200" s="116">
        <v>0</v>
      </c>
      <c r="AW2200" s="121">
        <v>0</v>
      </c>
      <c r="AX2200" s="115">
        <f>AN2200-AP2200</f>
      </c>
    </row>
    <row r="2201" spans="1:50" ht="15" hidden="1" customHeight="1" x14ac:dyDescent="0.3">
      <c r="A2201" s="94" t="s">
        <v>268</v>
      </c>
      <c r="B2201" s="94"/>
      <c r="C2201" s="94"/>
      <c r="D2201" s="94"/>
      <c r="E2201" s="94"/>
      <c r="F2201" s="94"/>
      <c r="G2201" s="112">
        <f>AU2201</f>
      </c>
      <c r="H2201" s="113"/>
      <c r="I2201" s="94" t="s">
        <v>390</v>
      </c>
      <c r="J2201" s="94" t="s">
        <v>601</v>
      </c>
      <c r="K2201" s="114">
        <f>P2201/3</f>
      </c>
      <c r="L2201" s="115">
        <v>1.464</v>
      </c>
      <c r="M2201" s="116"/>
      <c r="N2201" s="117">
        <f>M2201-L2201</f>
      </c>
      <c r="O2201" s="112"/>
      <c r="P2201" s="118">
        <f>N2201+O2201</f>
      </c>
      <c r="Q2201" s="94" t="s">
        <v>778</v>
      </c>
      <c r="R2201" s="94" t="s">
        <v>392</v>
      </c>
      <c r="S2201" s="119">
        <v>46346</v>
      </c>
      <c r="T2201" s="119"/>
      <c r="U2201" s="119">
        <v>46346</v>
      </c>
      <c r="V2201" s="94"/>
      <c r="W2201" s="94"/>
      <c r="X2201" s="94"/>
      <c r="Y2201" s="119">
        <v>46342</v>
      </c>
      <c r="Z2201" s="94"/>
      <c r="AA2201" s="120"/>
      <c r="AB2201" s="120"/>
      <c r="AC2201" s="120"/>
      <c r="AD2201" s="120"/>
      <c r="AE2201" s="120"/>
      <c r="AF2201" s="120"/>
      <c r="AG2201" s="94"/>
      <c r="AH2201" s="120"/>
      <c r="AI2201" s="94"/>
      <c r="AJ2201" s="94" t="s">
        <v>778</v>
      </c>
      <c r="AK2201" s="94" t="s">
        <v>761</v>
      </c>
      <c r="AL2201" s="94">
        <v>140</v>
      </c>
      <c r="AM2201" s="94" t="str">
        <f>TRIM(AJ2201)&amp;TRIM(AL2201)&amp;TRIM(AK2201)</f>
      </c>
      <c r="AN2201" s="116">
        <v>0</v>
      </c>
      <c r="AO2201" s="116" t="inlineStr">
        <is>
          <t>#NA</t>
        </is>
      </c>
      <c r="AP2201" s="116">
        <f>SUMIFS(M:M,AM:AM,AM2201)+SUMIFS(O:O,AM:AM,AM2201)</f>
      </c>
      <c r="AQ2201" s="116">
        <f>SUMIFS(L:L,AM:AM,AM2201)</f>
      </c>
      <c r="AR2201" s="116">
        <f>AQ2201-AP2201</f>
      </c>
      <c r="AS2201" s="94" t="str">
        <f>IF(AN2201&gt;=AQ2201,"ok","ck")</f>
      </c>
      <c r="AT2201" s="116">
        <f>-P2201</f>
      </c>
      <c r="AU2201" s="115">
        <f>IF(SUMIFS(AT:AT,AM:AM,AM2201)&gt;AO2201,(SUMIFS(AT:AT,AM:AM,AM2201)-AO2201))</f>
      </c>
      <c r="AV2201" s="116">
        <v>0</v>
      </c>
      <c r="AW2201" s="121">
        <v>0</v>
      </c>
      <c r="AX2201" s="115">
        <f>AN2201-AP2201</f>
      </c>
    </row>
    <row r="2202" spans="1:50" ht="15" hidden="1" customHeight="1" x14ac:dyDescent="0.3">
      <c r="A2202" s="94" t="s">
        <v>268</v>
      </c>
      <c r="B2202" s="94"/>
      <c r="C2202" s="94"/>
      <c r="D2202" s="94"/>
      <c r="E2202" s="94"/>
      <c r="F2202" s="94"/>
      <c r="G2202" s="112">
        <f>AU2202</f>
      </c>
      <c r="H2202" s="113"/>
      <c r="I2202" s="94" t="s">
        <v>390</v>
      </c>
      <c r="J2202" s="94" t="s">
        <v>601</v>
      </c>
      <c r="K2202" s="114">
        <f>P2202/3</f>
      </c>
      <c r="L2202" s="115">
        <v>1372.5</v>
      </c>
      <c r="M2202" s="116"/>
      <c r="N2202" s="117">
        <f>M2202-L2202</f>
      </c>
      <c r="O2202" s="112"/>
      <c r="P2202" s="118">
        <f>N2202+O2202</f>
      </c>
      <c r="Q2202" s="94" t="s">
        <v>778</v>
      </c>
      <c r="R2202" s="94" t="s">
        <v>392</v>
      </c>
      <c r="S2202" s="119">
        <v>46346</v>
      </c>
      <c r="T2202" s="119"/>
      <c r="U2202" s="119">
        <v>46346</v>
      </c>
      <c r="V2202" s="94"/>
      <c r="W2202" s="94"/>
      <c r="X2202" s="94"/>
      <c r="Y2202" s="119">
        <v>46327</v>
      </c>
      <c r="Z2202" s="94"/>
      <c r="AA2202" s="120"/>
      <c r="AB2202" s="120"/>
      <c r="AC2202" s="120"/>
      <c r="AD2202" s="120"/>
      <c r="AE2202" s="120"/>
      <c r="AF2202" s="120"/>
      <c r="AG2202" s="94"/>
      <c r="AH2202" s="120"/>
      <c r="AI2202" s="94"/>
      <c r="AJ2202" s="94" t="s">
        <v>778</v>
      </c>
      <c r="AK2202" s="94" t="s">
        <v>761</v>
      </c>
      <c r="AL2202" s="94">
        <v>140</v>
      </c>
      <c r="AM2202" s="94" t="str">
        <f>TRIM(AJ2202)&amp;TRIM(AL2202)&amp;TRIM(AK2202)</f>
      </c>
      <c r="AN2202" s="116">
        <v>0</v>
      </c>
      <c r="AO2202" s="116" t="inlineStr">
        <is>
          <t>#NA</t>
        </is>
      </c>
      <c r="AP2202" s="116">
        <f>SUMIFS(M:M,AM:AM,AM2202)+SUMIFS(O:O,AM:AM,AM2202)</f>
      </c>
      <c r="AQ2202" s="116">
        <f>SUMIFS(L:L,AM:AM,AM2202)</f>
      </c>
      <c r="AR2202" s="116">
        <f>AQ2202-AP2202</f>
      </c>
      <c r="AS2202" s="94" t="str">
        <f>IF(AN2202&gt;=AQ2202,"ok","ck")</f>
      </c>
      <c r="AT2202" s="116">
        <f>-P2202</f>
      </c>
      <c r="AU2202" s="115">
        <f>IF(SUMIFS(AT:AT,AM:AM,AM2202)&gt;AO2202,(SUMIFS(AT:AT,AM:AM,AM2202)-AO2202))</f>
      </c>
      <c r="AV2202" s="116">
        <v>0</v>
      </c>
      <c r="AW2202" s="121">
        <v>0</v>
      </c>
      <c r="AX2202" s="115">
        <f>AN2202-AP2202</f>
      </c>
    </row>
    <row r="2203" spans="1:50" ht="15" hidden="1" customHeight="1" x14ac:dyDescent="0.3">
      <c r="A2203" s="94" t="s">
        <v>268</v>
      </c>
      <c r="B2203" s="94"/>
      <c r="C2203" s="94"/>
      <c r="D2203" s="94"/>
      <c r="E2203" s="94"/>
      <c r="F2203" s="94"/>
      <c r="G2203" s="112">
        <f>AU2203</f>
      </c>
      <c r="H2203" s="113"/>
      <c r="I2203" s="94" t="s">
        <v>390</v>
      </c>
      <c r="J2203" s="94" t="s">
        <v>601</v>
      </c>
      <c r="K2203" s="114">
        <f>P2203/3</f>
      </c>
      <c r="L2203" s="115">
        <v>1.742</v>
      </c>
      <c r="M2203" s="116"/>
      <c r="N2203" s="117">
        <f>M2203-L2203</f>
      </c>
      <c r="O2203" s="112"/>
      <c r="P2203" s="118">
        <f>N2203+O2203</f>
      </c>
      <c r="Q2203" s="94" t="s">
        <v>778</v>
      </c>
      <c r="R2203" s="94" t="s">
        <v>392</v>
      </c>
      <c r="S2203" s="119">
        <v>46346</v>
      </c>
      <c r="T2203" s="119"/>
      <c r="U2203" s="119">
        <v>46346</v>
      </c>
      <c r="V2203" s="94"/>
      <c r="W2203" s="94"/>
      <c r="X2203" s="94"/>
      <c r="Y2203" s="119">
        <v>46334</v>
      </c>
      <c r="Z2203" s="94"/>
      <c r="AA2203" s="120"/>
      <c r="AB2203" s="120"/>
      <c r="AC2203" s="120"/>
      <c r="AD2203" s="120"/>
      <c r="AE2203" s="120"/>
      <c r="AF2203" s="120"/>
      <c r="AG2203" s="94"/>
      <c r="AH2203" s="120"/>
      <c r="AI2203" s="94"/>
      <c r="AJ2203" s="94" t="s">
        <v>778</v>
      </c>
      <c r="AK2203" s="94" t="s">
        <v>761</v>
      </c>
      <c r="AL2203" s="94">
        <v>140</v>
      </c>
      <c r="AM2203" s="94" t="str">
        <f>TRIM(AJ2203)&amp;TRIM(AL2203)&amp;TRIM(AK2203)</f>
      </c>
      <c r="AN2203" s="116">
        <v>0</v>
      </c>
      <c r="AO2203" s="116" t="inlineStr">
        <is>
          <t>#NA</t>
        </is>
      </c>
      <c r="AP2203" s="116">
        <f>SUMIFS(M:M,AM:AM,AM2203)+SUMIFS(O:O,AM:AM,AM2203)</f>
      </c>
      <c r="AQ2203" s="116">
        <f>SUMIFS(L:L,AM:AM,AM2203)</f>
      </c>
      <c r="AR2203" s="116">
        <f>AQ2203-AP2203</f>
      </c>
      <c r="AS2203" s="94" t="str">
        <f>IF(AN2203&gt;=AQ2203,"ok","ck")</f>
      </c>
      <c r="AT2203" s="116">
        <f>-P2203</f>
      </c>
      <c r="AU2203" s="115">
        <f>IF(SUMIFS(AT:AT,AM:AM,AM2203)&gt;AO2203,(SUMIFS(AT:AT,AM:AM,AM2203)-AO2203))</f>
      </c>
      <c r="AV2203" s="116">
        <v>0</v>
      </c>
      <c r="AW2203" s="121">
        <v>0</v>
      </c>
      <c r="AX2203" s="115">
        <f>AN2203-AP2203</f>
      </c>
    </row>
    <row r="2204" spans="1:50" ht="15" hidden="1" customHeight="1" x14ac:dyDescent="0.3">
      <c r="A2204" s="94" t="s">
        <v>268</v>
      </c>
      <c r="B2204" s="94"/>
      <c r="C2204" s="94"/>
      <c r="D2204" s="94"/>
      <c r="E2204" s="94"/>
      <c r="F2204" s="94"/>
      <c r="G2204" s="112">
        <f>AU2204</f>
      </c>
      <c r="H2204" s="113"/>
      <c r="I2204" s="94" t="s">
        <v>390</v>
      </c>
      <c r="J2204" s="94" t="s">
        <v>601</v>
      </c>
      <c r="K2204" s="114">
        <f>P2204/3</f>
      </c>
      <c r="L2204" s="115">
        <v>253.92500000000001</v>
      </c>
      <c r="M2204" s="116"/>
      <c r="N2204" s="117">
        <f>M2204-L2204</f>
      </c>
      <c r="O2204" s="112"/>
      <c r="P2204" s="118">
        <f>N2204+O2204</f>
      </c>
      <c r="Q2204" s="94" t="s">
        <v>778</v>
      </c>
      <c r="R2204" s="94" t="s">
        <v>392</v>
      </c>
      <c r="S2204" s="119">
        <v>46346</v>
      </c>
      <c r="T2204" s="119"/>
      <c r="U2204" s="119">
        <v>46346</v>
      </c>
      <c r="V2204" s="94"/>
      <c r="W2204" s="94"/>
      <c r="X2204" s="94"/>
      <c r="Y2204" s="119">
        <v>46334</v>
      </c>
      <c r="Z2204" s="94"/>
      <c r="AA2204" s="120"/>
      <c r="AB2204" s="120"/>
      <c r="AC2204" s="120"/>
      <c r="AD2204" s="120"/>
      <c r="AE2204" s="120"/>
      <c r="AF2204" s="120"/>
      <c r="AG2204" s="94"/>
      <c r="AH2204" s="120"/>
      <c r="AI2204" s="94"/>
      <c r="AJ2204" s="94" t="s">
        <v>778</v>
      </c>
      <c r="AK2204" s="94" t="s">
        <v>761</v>
      </c>
      <c r="AL2204" s="94">
        <v>140</v>
      </c>
      <c r="AM2204" s="94" t="str">
        <f>TRIM(AJ2204)&amp;TRIM(AL2204)&amp;TRIM(AK2204)</f>
      </c>
      <c r="AN2204" s="116">
        <v>0</v>
      </c>
      <c r="AO2204" s="116" t="inlineStr">
        <is>
          <t>#NA</t>
        </is>
      </c>
      <c r="AP2204" s="116">
        <f>SUMIFS(M:M,AM:AM,AM2204)+SUMIFS(O:O,AM:AM,AM2204)</f>
      </c>
      <c r="AQ2204" s="116">
        <f>SUMIFS(L:L,AM:AM,AM2204)</f>
      </c>
      <c r="AR2204" s="116">
        <f>AQ2204-AP2204</f>
      </c>
      <c r="AS2204" s="94" t="str">
        <f>IF(AN2204&gt;=AQ2204,"ok","ck")</f>
      </c>
      <c r="AT2204" s="116">
        <f>-P2204</f>
      </c>
      <c r="AU2204" s="115">
        <f>IF(SUMIFS(AT:AT,AM:AM,AM2204)&gt;AO2204,(SUMIFS(AT:AT,AM:AM,AM2204)-AO2204))</f>
      </c>
      <c r="AV2204" s="116">
        <v>0</v>
      </c>
      <c r="AW2204" s="121">
        <v>0</v>
      </c>
      <c r="AX2204" s="115">
        <f>AN2204-AP2204</f>
      </c>
    </row>
    <row r="2205" spans="1:50" ht="15" hidden="1" customHeight="1" x14ac:dyDescent="0.3">
      <c r="A2205" s="94" t="s">
        <v>268</v>
      </c>
      <c r="B2205" s="94"/>
      <c r="C2205" s="94"/>
      <c r="D2205" s="94"/>
      <c r="E2205" s="94"/>
      <c r="F2205" s="94"/>
      <c r="G2205" s="112">
        <f>AU2205</f>
      </c>
      <c r="H2205" s="113"/>
      <c r="I2205" s="94" t="s">
        <v>390</v>
      </c>
      <c r="J2205" s="94" t="s">
        <v>594</v>
      </c>
      <c r="K2205" s="114">
        <f>P2205/3</f>
      </c>
      <c r="L2205" s="115">
        <v>428.74</v>
      </c>
      <c r="M2205" s="116"/>
      <c r="N2205" s="117">
        <f>M2205-L2205</f>
      </c>
      <c r="O2205" s="112"/>
      <c r="P2205" s="118">
        <f>N2205+O2205</f>
      </c>
      <c r="Q2205" s="94" t="s">
        <v>778</v>
      </c>
      <c r="R2205" s="94" t="s">
        <v>392</v>
      </c>
      <c r="S2205" s="119">
        <v>46348</v>
      </c>
      <c r="T2205" s="119"/>
      <c r="U2205" s="119">
        <v>46348</v>
      </c>
      <c r="V2205" s="94"/>
      <c r="W2205" s="94"/>
      <c r="X2205" s="94"/>
      <c r="Y2205" s="119">
        <v>46342</v>
      </c>
      <c r="Z2205" s="94"/>
      <c r="AA2205" s="120"/>
      <c r="AB2205" s="120"/>
      <c r="AC2205" s="120"/>
      <c r="AD2205" s="120"/>
      <c r="AE2205" s="120"/>
      <c r="AF2205" s="120"/>
      <c r="AG2205" s="94"/>
      <c r="AH2205" s="120"/>
      <c r="AI2205" s="94"/>
      <c r="AJ2205" s="94" t="s">
        <v>778</v>
      </c>
      <c r="AK2205" s="94" t="s">
        <v>757</v>
      </c>
      <c r="AL2205" s="94">
        <v>140</v>
      </c>
      <c r="AM2205" s="94" t="str">
        <f>TRIM(AJ2205)&amp;TRIM(AL2205)&amp;TRIM(AK2205)</f>
      </c>
      <c r="AN2205" s="116">
        <v>0</v>
      </c>
      <c r="AO2205" s="116" t="inlineStr">
        <is>
          <t>#NA</t>
        </is>
      </c>
      <c r="AP2205" s="116">
        <f>SUMIFS(M:M,AM:AM,AM2205)+SUMIFS(O:O,AM:AM,AM2205)</f>
      </c>
      <c r="AQ2205" s="116">
        <f>SUMIFS(L:L,AM:AM,AM2205)</f>
      </c>
      <c r="AR2205" s="116">
        <f>AQ2205-AP2205</f>
      </c>
      <c r="AS2205" s="94" t="str">
        <f>IF(AN2205&gt;=AQ2205,"ok","ck")</f>
      </c>
      <c r="AT2205" s="116">
        <f>-P2205</f>
      </c>
      <c r="AU2205" s="115">
        <f>IF(SUMIFS(AT:AT,AM:AM,AM2205)&gt;AO2205,(SUMIFS(AT:AT,AM:AM,AM2205)-AO2205))</f>
      </c>
      <c r="AV2205" s="116">
        <v>0</v>
      </c>
      <c r="AW2205" s="121">
        <v>0</v>
      </c>
      <c r="AX2205" s="115">
        <f>AN2205-AP2205</f>
      </c>
    </row>
    <row r="2206" spans="1:50" ht="15" hidden="1" customHeight="1" x14ac:dyDescent="0.3">
      <c r="A2206" s="94" t="s">
        <v>268</v>
      </c>
      <c r="B2206" s="94"/>
      <c r="C2206" s="94"/>
      <c r="D2206" s="94"/>
      <c r="E2206" s="94"/>
      <c r="F2206" s="94"/>
      <c r="G2206" s="112">
        <f>AU2206</f>
      </c>
      <c r="H2206" s="113"/>
      <c r="I2206" s="94" t="s">
        <v>390</v>
      </c>
      <c r="J2206" s="94" t="s">
        <v>594</v>
      </c>
      <c r="K2206" s="114">
        <f>P2206/3</f>
      </c>
      <c r="L2206" s="115">
        <v>1.0609999999999999</v>
      </c>
      <c r="M2206" s="116"/>
      <c r="N2206" s="117">
        <f>M2206-L2206</f>
      </c>
      <c r="O2206" s="112"/>
      <c r="P2206" s="118">
        <f>N2206+O2206</f>
      </c>
      <c r="Q2206" s="94" t="s">
        <v>778</v>
      </c>
      <c r="R2206" s="94" t="s">
        <v>392</v>
      </c>
      <c r="S2206" s="119">
        <v>46348</v>
      </c>
      <c r="T2206" s="119"/>
      <c r="U2206" s="119">
        <v>46348</v>
      </c>
      <c r="V2206" s="94"/>
      <c r="W2206" s="94"/>
      <c r="X2206" s="94"/>
      <c r="Y2206" s="119">
        <v>46328</v>
      </c>
      <c r="Z2206" s="94"/>
      <c r="AA2206" s="120"/>
      <c r="AB2206" s="120"/>
      <c r="AC2206" s="120"/>
      <c r="AD2206" s="120"/>
      <c r="AE2206" s="120"/>
      <c r="AF2206" s="120"/>
      <c r="AG2206" s="94"/>
      <c r="AH2206" s="120"/>
      <c r="AI2206" s="94"/>
      <c r="AJ2206" s="94" t="s">
        <v>778</v>
      </c>
      <c r="AK2206" s="94" t="s">
        <v>757</v>
      </c>
      <c r="AL2206" s="94">
        <v>140</v>
      </c>
      <c r="AM2206" s="94" t="str">
        <f>TRIM(AJ2206)&amp;TRIM(AL2206)&amp;TRIM(AK2206)</f>
      </c>
      <c r="AN2206" s="116">
        <v>0</v>
      </c>
      <c r="AO2206" s="116" t="inlineStr">
        <is>
          <t>#NA</t>
        </is>
      </c>
      <c r="AP2206" s="116">
        <f>SUMIFS(M:M,AM:AM,AM2206)+SUMIFS(O:O,AM:AM,AM2206)</f>
      </c>
      <c r="AQ2206" s="116">
        <f>SUMIFS(L:L,AM:AM,AM2206)</f>
      </c>
      <c r="AR2206" s="116">
        <f>AQ2206-AP2206</f>
      </c>
      <c r="AS2206" s="94" t="str">
        <f>IF(AN2206&gt;=AQ2206,"ok","ck")</f>
      </c>
      <c r="AT2206" s="116">
        <f>-P2206</f>
      </c>
      <c r="AU2206" s="115">
        <f>IF(SUMIFS(AT:AT,AM:AM,AM2206)&gt;AO2206,(SUMIFS(AT:AT,AM:AM,AM2206)-AO2206))</f>
      </c>
      <c r="AV2206" s="116">
        <v>0</v>
      </c>
      <c r="AW2206" s="121">
        <v>0</v>
      </c>
      <c r="AX2206" s="115">
        <f>AN2206-AP2206</f>
      </c>
    </row>
    <row r="2207" spans="1:50" ht="15" hidden="1" customHeight="1" x14ac:dyDescent="0.3">
      <c r="A2207" s="94" t="s">
        <v>268</v>
      </c>
      <c r="B2207" s="94"/>
      <c r="C2207" s="94"/>
      <c r="D2207" s="94"/>
      <c r="E2207" s="94"/>
      <c r="F2207" s="94"/>
      <c r="G2207" s="112">
        <f>AU2207</f>
      </c>
      <c r="H2207" s="113"/>
      <c r="I2207" s="94" t="s">
        <v>390</v>
      </c>
      <c r="J2207" s="94" t="s">
        <v>403</v>
      </c>
      <c r="K2207" s="114">
        <f>P2207/3</f>
      </c>
      <c r="L2207" s="115">
        <v>0</v>
      </c>
      <c r="M2207" s="116"/>
      <c r="N2207" s="117">
        <f>M2207-L2207</f>
      </c>
      <c r="O2207" s="112"/>
      <c r="P2207" s="118">
        <f>N2207+O2207</f>
      </c>
      <c r="Q2207" s="94" t="s">
        <v>309</v>
      </c>
      <c r="R2207" s="94" t="s">
        <v>392</v>
      </c>
      <c r="S2207" s="119">
        <v>46320</v>
      </c>
      <c r="T2207" s="119"/>
      <c r="U2207" s="119">
        <v>46320</v>
      </c>
      <c r="V2207" s="94"/>
      <c r="W2207" s="94"/>
      <c r="X2207" s="94"/>
      <c r="Y2207" s="119">
        <v>46320</v>
      </c>
      <c r="Z2207" s="94"/>
      <c r="AA2207" s="120"/>
      <c r="AB2207" s="120"/>
      <c r="AC2207" s="120"/>
      <c r="AD2207" s="120"/>
      <c r="AE2207" s="120"/>
      <c r="AF2207" s="120"/>
      <c r="AG2207" s="94"/>
      <c r="AH2207" s="120"/>
      <c r="AI2207" s="94"/>
      <c r="AJ2207" s="94" t="s">
        <v>309</v>
      </c>
      <c r="AK2207" s="94" t="s">
        <v>762</v>
      </c>
      <c r="AL2207" s="94">
        <v>140</v>
      </c>
      <c r="AM2207" s="94" t="str">
        <f>TRIM(AJ2207)&amp;TRIM(AL2207)&amp;TRIM(AK2207)</f>
      </c>
      <c r="AN2207" s="116">
        <v>0</v>
      </c>
      <c r="AO2207" s="116" t="inlineStr">
        <is>
          <t>#NA</t>
        </is>
      </c>
      <c r="AP2207" s="116">
        <f>SUMIFS(M:M,AM:AM,AM2207)+SUMIFS(O:O,AM:AM,AM2207)</f>
      </c>
      <c r="AQ2207" s="116">
        <f>SUMIFS(L:L,AM:AM,AM2207)</f>
      </c>
      <c r="AR2207" s="116">
        <f>AQ2207-AP2207</f>
      </c>
      <c r="AS2207" s="94" t="str">
        <f>IF(AN2207&gt;=AQ2207,"ok","ck")</f>
      </c>
      <c r="AT2207" s="116">
        <f>-P2207</f>
      </c>
      <c r="AU2207" s="115">
        <f>IF(SUMIFS(AT:AT,AM:AM,AM2207)&gt;AO2207,(SUMIFS(AT:AT,AM:AM,AM2207)-AO2207))</f>
      </c>
      <c r="AV2207" s="116">
        <v>0</v>
      </c>
      <c r="AW2207" s="121">
        <v>1.106</v>
      </c>
      <c r="AX2207" s="115">
        <f>AN2207-AP2207</f>
      </c>
    </row>
    <row r="2208" spans="1:50" ht="15" hidden="1" customHeight="1" x14ac:dyDescent="0.3">
      <c r="A2208" s="94" t="s">
        <v>268</v>
      </c>
      <c r="B2208" s="94"/>
      <c r="C2208" s="94"/>
      <c r="D2208" s="94"/>
      <c r="E2208" s="94"/>
      <c r="F2208" s="94"/>
      <c r="G2208" s="112">
        <f>AU2208</f>
      </c>
      <c r="H2208" s="113"/>
      <c r="I2208" s="94" t="s">
        <v>390</v>
      </c>
      <c r="J2208" s="94" t="s">
        <v>403</v>
      </c>
      <c r="K2208" s="114">
        <f>P2208/3</f>
      </c>
      <c r="L2208" s="115">
        <v>0</v>
      </c>
      <c r="M2208" s="116"/>
      <c r="N2208" s="117">
        <f>M2208-L2208</f>
      </c>
      <c r="O2208" s="112"/>
      <c r="P2208" s="118">
        <f>N2208+O2208</f>
      </c>
      <c r="Q2208" s="94" t="s">
        <v>309</v>
      </c>
      <c r="R2208" s="94" t="s">
        <v>392</v>
      </c>
      <c r="S2208" s="119">
        <v>46321</v>
      </c>
      <c r="T2208" s="119"/>
      <c r="U2208" s="119">
        <v>46321</v>
      </c>
      <c r="V2208" s="94"/>
      <c r="W2208" s="94"/>
      <c r="X2208" s="94"/>
      <c r="Y2208" s="119">
        <v>46321</v>
      </c>
      <c r="Z2208" s="94"/>
      <c r="AA2208" s="120"/>
      <c r="AB2208" s="120"/>
      <c r="AC2208" s="120"/>
      <c r="AD2208" s="120"/>
      <c r="AE2208" s="120"/>
      <c r="AF2208" s="120"/>
      <c r="AG2208" s="94"/>
      <c r="AH2208" s="120"/>
      <c r="AI2208" s="94"/>
      <c r="AJ2208" s="94" t="s">
        <v>309</v>
      </c>
      <c r="AK2208" s="94" t="s">
        <v>762</v>
      </c>
      <c r="AL2208" s="94">
        <v>140</v>
      </c>
      <c r="AM2208" s="94" t="str">
        <f>TRIM(AJ2208)&amp;TRIM(AL2208)&amp;TRIM(AK2208)</f>
      </c>
      <c r="AN2208" s="116">
        <v>0</v>
      </c>
      <c r="AO2208" s="116" t="inlineStr">
        <is>
          <t>#NA</t>
        </is>
      </c>
      <c r="AP2208" s="116">
        <f>SUMIFS(M:M,AM:AM,AM2208)+SUMIFS(O:O,AM:AM,AM2208)</f>
      </c>
      <c r="AQ2208" s="116">
        <f>SUMIFS(L:L,AM:AM,AM2208)</f>
      </c>
      <c r="AR2208" s="116">
        <f>AQ2208-AP2208</f>
      </c>
      <c r="AS2208" s="94" t="str">
        <f>IF(AN2208&gt;=AQ2208,"ok","ck")</f>
      </c>
      <c r="AT2208" s="116">
        <f>-P2208</f>
      </c>
      <c r="AU2208" s="115">
        <f>IF(SUMIFS(AT:AT,AM:AM,AM2208)&gt;AO2208,(SUMIFS(AT:AT,AM:AM,AM2208)-AO2208))</f>
      </c>
      <c r="AV2208" s="116">
        <v>0</v>
      </c>
      <c r="AW2208" s="121">
        <v>1.106</v>
      </c>
      <c r="AX2208" s="115">
        <f>AN2208-AP2208</f>
      </c>
    </row>
    <row r="2209" spans="1:50" ht="15" hidden="1" customHeight="1" x14ac:dyDescent="0.3">
      <c r="A2209" s="94" t="s">
        <v>268</v>
      </c>
      <c r="B2209" s="94"/>
      <c r="C2209" s="94"/>
      <c r="D2209" s="94"/>
      <c r="E2209" s="94"/>
      <c r="F2209" s="94"/>
      <c r="G2209" s="112">
        <f>AU2209</f>
      </c>
      <c r="H2209" s="113"/>
      <c r="I2209" s="94" t="s">
        <v>390</v>
      </c>
      <c r="J2209" s="94" t="s">
        <v>594</v>
      </c>
      <c r="K2209" s="114">
        <f>P2209/3</f>
      </c>
      <c r="L2209" s="115">
        <v>0.76800000000000002</v>
      </c>
      <c r="M2209" s="116"/>
      <c r="N2209" s="117">
        <f>M2209-L2209</f>
      </c>
      <c r="O2209" s="112"/>
      <c r="P2209" s="118">
        <f>N2209+O2209</f>
      </c>
      <c r="Q2209" s="94" t="s">
        <v>778</v>
      </c>
      <c r="R2209" s="94" t="s">
        <v>392</v>
      </c>
      <c r="S2209" s="119">
        <v>46348</v>
      </c>
      <c r="T2209" s="119"/>
      <c r="U2209" s="119">
        <v>46348</v>
      </c>
      <c r="V2209" s="94"/>
      <c r="W2209" s="94"/>
      <c r="X2209" s="94"/>
      <c r="Y2209" s="119">
        <v>46341</v>
      </c>
      <c r="Z2209" s="94"/>
      <c r="AA2209" s="120"/>
      <c r="AB2209" s="120"/>
      <c r="AC2209" s="120"/>
      <c r="AD2209" s="120"/>
      <c r="AE2209" s="120"/>
      <c r="AF2209" s="120"/>
      <c r="AG2209" s="94"/>
      <c r="AH2209" s="120"/>
      <c r="AI2209" s="94"/>
      <c r="AJ2209" s="94" t="s">
        <v>778</v>
      </c>
      <c r="AK2209" s="94" t="s">
        <v>757</v>
      </c>
      <c r="AL2209" s="94">
        <v>140</v>
      </c>
      <c r="AM2209" s="94" t="str">
        <f>TRIM(AJ2209)&amp;TRIM(AL2209)&amp;TRIM(AK2209)</f>
      </c>
      <c r="AN2209" s="116">
        <v>0</v>
      </c>
      <c r="AO2209" s="116" t="inlineStr">
        <is>
          <t>#NA</t>
        </is>
      </c>
      <c r="AP2209" s="116">
        <f>SUMIFS(M:M,AM:AM,AM2209)+SUMIFS(O:O,AM:AM,AM2209)</f>
      </c>
      <c r="AQ2209" s="116">
        <f>SUMIFS(L:L,AM:AM,AM2209)</f>
      </c>
      <c r="AR2209" s="116">
        <f>AQ2209-AP2209</f>
      </c>
      <c r="AS2209" s="94" t="str">
        <f>IF(AN2209&gt;=AQ2209,"ok","ck")</f>
      </c>
      <c r="AT2209" s="116">
        <f>-P2209</f>
      </c>
      <c r="AU2209" s="115">
        <f>IF(SUMIFS(AT:AT,AM:AM,AM2209)&gt;AO2209,(SUMIFS(AT:AT,AM:AM,AM2209)-AO2209))</f>
      </c>
      <c r="AV2209" s="116">
        <v>0</v>
      </c>
      <c r="AW2209" s="121">
        <v>0</v>
      </c>
      <c r="AX2209" s="115">
        <f>AN2209-AP2209</f>
      </c>
    </row>
    <row r="2210" spans="1:50" ht="15" hidden="1" customHeight="1" x14ac:dyDescent="0.3">
      <c r="A2210" s="94" t="s">
        <v>268</v>
      </c>
      <c r="B2210" s="94"/>
      <c r="C2210" s="94"/>
      <c r="D2210" s="94"/>
      <c r="E2210" s="94"/>
      <c r="F2210" s="94"/>
      <c r="G2210" s="112">
        <f>AU2210</f>
      </c>
      <c r="H2210" s="113"/>
      <c r="I2210" s="94" t="s">
        <v>390</v>
      </c>
      <c r="J2210" s="94" t="s">
        <v>594</v>
      </c>
      <c r="K2210" s="114">
        <f>P2210/3</f>
      </c>
      <c r="L2210" s="115">
        <v>675.52</v>
      </c>
      <c r="M2210" s="116"/>
      <c r="N2210" s="117">
        <f>M2210-L2210</f>
      </c>
      <c r="O2210" s="112"/>
      <c r="P2210" s="118">
        <f>N2210+O2210</f>
      </c>
      <c r="Q2210" s="94" t="s">
        <v>778</v>
      </c>
      <c r="R2210" s="94" t="s">
        <v>392</v>
      </c>
      <c r="S2210" s="119">
        <v>46348</v>
      </c>
      <c r="T2210" s="119"/>
      <c r="U2210" s="119">
        <v>46348</v>
      </c>
      <c r="V2210" s="94"/>
      <c r="W2210" s="94"/>
      <c r="X2210" s="94"/>
      <c r="Y2210" s="119">
        <v>46330</v>
      </c>
      <c r="Z2210" s="94"/>
      <c r="AA2210" s="120"/>
      <c r="AB2210" s="120"/>
      <c r="AC2210" s="120"/>
      <c r="AD2210" s="120"/>
      <c r="AE2210" s="120"/>
      <c r="AF2210" s="120"/>
      <c r="AG2210" s="94"/>
      <c r="AH2210" s="120"/>
      <c r="AI2210" s="94"/>
      <c r="AJ2210" s="94" t="s">
        <v>778</v>
      </c>
      <c r="AK2210" s="94" t="s">
        <v>757</v>
      </c>
      <c r="AL2210" s="94">
        <v>140</v>
      </c>
      <c r="AM2210" s="94" t="str">
        <f>TRIM(AJ2210)&amp;TRIM(AL2210)&amp;TRIM(AK2210)</f>
      </c>
      <c r="AN2210" s="116">
        <v>0</v>
      </c>
      <c r="AO2210" s="116" t="inlineStr">
        <is>
          <t>#NA</t>
        </is>
      </c>
      <c r="AP2210" s="116">
        <f>SUMIFS(M:M,AM:AM,AM2210)+SUMIFS(O:O,AM:AM,AM2210)</f>
      </c>
      <c r="AQ2210" s="116">
        <f>SUMIFS(L:L,AM:AM,AM2210)</f>
      </c>
      <c r="AR2210" s="116">
        <f>AQ2210-AP2210</f>
      </c>
      <c r="AS2210" s="94" t="str">
        <f>IF(AN2210&gt;=AQ2210,"ok","ck")</f>
      </c>
      <c r="AT2210" s="116">
        <f>-P2210</f>
      </c>
      <c r="AU2210" s="115">
        <f>IF(SUMIFS(AT:AT,AM:AM,AM2210)&gt;AO2210,(SUMIFS(AT:AT,AM:AM,AM2210)-AO2210))</f>
      </c>
      <c r="AV2210" s="116">
        <v>0</v>
      </c>
      <c r="AW2210" s="121">
        <v>0</v>
      </c>
      <c r="AX2210" s="115">
        <f>AN2210-AP2210</f>
      </c>
    </row>
    <row r="2211" spans="1:50" ht="15" hidden="1" customHeight="1" x14ac:dyDescent="0.3">
      <c r="A2211" s="94" t="s">
        <v>268</v>
      </c>
      <c r="B2211" s="94"/>
      <c r="C2211" s="94"/>
      <c r="D2211" s="94"/>
      <c r="E2211" s="94"/>
      <c r="F2211" s="94"/>
      <c r="G2211" s="112">
        <f>AU2211</f>
      </c>
      <c r="H2211" s="113"/>
      <c r="I2211" s="94" t="s">
        <v>390</v>
      </c>
      <c r="J2211" s="94" t="s">
        <v>594</v>
      </c>
      <c r="K2211" s="114">
        <f>P2211/3</f>
      </c>
      <c r="L2211" s="115">
        <v>1.464</v>
      </c>
      <c r="M2211" s="116"/>
      <c r="N2211" s="117">
        <f>M2211-L2211</f>
      </c>
      <c r="O2211" s="112"/>
      <c r="P2211" s="118">
        <f>N2211+O2211</f>
      </c>
      <c r="Q2211" s="94" t="s">
        <v>778</v>
      </c>
      <c r="R2211" s="94" t="s">
        <v>392</v>
      </c>
      <c r="S2211" s="119">
        <v>46348</v>
      </c>
      <c r="T2211" s="119"/>
      <c r="U2211" s="119">
        <v>46348</v>
      </c>
      <c r="V2211" s="94"/>
      <c r="W2211" s="94"/>
      <c r="X2211" s="94"/>
      <c r="Y2211" s="119">
        <v>46342</v>
      </c>
      <c r="Z2211" s="94"/>
      <c r="AA2211" s="120"/>
      <c r="AB2211" s="120"/>
      <c r="AC2211" s="120"/>
      <c r="AD2211" s="120"/>
      <c r="AE2211" s="120"/>
      <c r="AF2211" s="120"/>
      <c r="AG2211" s="94"/>
      <c r="AH2211" s="120"/>
      <c r="AI2211" s="94"/>
      <c r="AJ2211" s="94" t="s">
        <v>778</v>
      </c>
      <c r="AK2211" s="94" t="s">
        <v>757</v>
      </c>
      <c r="AL2211" s="94">
        <v>140</v>
      </c>
      <c r="AM2211" s="94" t="str">
        <f>TRIM(AJ2211)&amp;TRIM(AL2211)&amp;TRIM(AK2211)</f>
      </c>
      <c r="AN2211" s="116">
        <v>0</v>
      </c>
      <c r="AO2211" s="116" t="inlineStr">
        <is>
          <t>#NA</t>
        </is>
      </c>
      <c r="AP2211" s="116">
        <f>SUMIFS(M:M,AM:AM,AM2211)+SUMIFS(O:O,AM:AM,AM2211)</f>
      </c>
      <c r="AQ2211" s="116">
        <f>SUMIFS(L:L,AM:AM,AM2211)</f>
      </c>
      <c r="AR2211" s="116">
        <f>AQ2211-AP2211</f>
      </c>
      <c r="AS2211" s="94" t="str">
        <f>IF(AN2211&gt;=AQ2211,"ok","ck")</f>
      </c>
      <c r="AT2211" s="116">
        <f>-P2211</f>
      </c>
      <c r="AU2211" s="115">
        <f>IF(SUMIFS(AT:AT,AM:AM,AM2211)&gt;AO2211,(SUMIFS(AT:AT,AM:AM,AM2211)-AO2211))</f>
      </c>
      <c r="AV2211" s="116">
        <v>0</v>
      </c>
      <c r="AW2211" s="121">
        <v>0</v>
      </c>
      <c r="AX2211" s="115">
        <f>AN2211-AP2211</f>
      </c>
    </row>
    <row r="2212" spans="1:50" ht="15" hidden="1" customHeight="1" x14ac:dyDescent="0.3">
      <c r="A2212" s="94" t="s">
        <v>268</v>
      </c>
      <c r="B2212" s="94"/>
      <c r="C2212" s="94"/>
      <c r="D2212" s="94"/>
      <c r="E2212" s="94"/>
      <c r="F2212" s="94"/>
      <c r="G2212" s="112">
        <f>AU2212</f>
      </c>
      <c r="H2212" s="113"/>
      <c r="I2212" s="94" t="s">
        <v>390</v>
      </c>
      <c r="J2212" s="94" t="s">
        <v>594</v>
      </c>
      <c r="K2212" s="114">
        <f>P2212/3</f>
      </c>
      <c r="L2212" s="115">
        <v>1372.5</v>
      </c>
      <c r="M2212" s="116"/>
      <c r="N2212" s="117">
        <f>M2212-L2212</f>
      </c>
      <c r="O2212" s="112"/>
      <c r="P2212" s="118">
        <f>N2212+O2212</f>
      </c>
      <c r="Q2212" s="94" t="s">
        <v>778</v>
      </c>
      <c r="R2212" s="94" t="s">
        <v>392</v>
      </c>
      <c r="S2212" s="119">
        <v>46348</v>
      </c>
      <c r="T2212" s="119"/>
      <c r="U2212" s="119">
        <v>46348</v>
      </c>
      <c r="V2212" s="94"/>
      <c r="W2212" s="94"/>
      <c r="X2212" s="94"/>
      <c r="Y2212" s="119">
        <v>46327</v>
      </c>
      <c r="Z2212" s="94"/>
      <c r="AA2212" s="120"/>
      <c r="AB2212" s="120"/>
      <c r="AC2212" s="120"/>
      <c r="AD2212" s="120"/>
      <c r="AE2212" s="120"/>
      <c r="AF2212" s="120"/>
      <c r="AG2212" s="94"/>
      <c r="AH2212" s="120"/>
      <c r="AI2212" s="94"/>
      <c r="AJ2212" s="94" t="s">
        <v>778</v>
      </c>
      <c r="AK2212" s="94" t="s">
        <v>757</v>
      </c>
      <c r="AL2212" s="94">
        <v>140</v>
      </c>
      <c r="AM2212" s="94" t="str">
        <f>TRIM(AJ2212)&amp;TRIM(AL2212)&amp;TRIM(AK2212)</f>
      </c>
      <c r="AN2212" s="116">
        <v>0</v>
      </c>
      <c r="AO2212" s="116" t="inlineStr">
        <is>
          <t>#NA</t>
        </is>
      </c>
      <c r="AP2212" s="116">
        <f>SUMIFS(M:M,AM:AM,AM2212)+SUMIFS(O:O,AM:AM,AM2212)</f>
      </c>
      <c r="AQ2212" s="116">
        <f>SUMIFS(L:L,AM:AM,AM2212)</f>
      </c>
      <c r="AR2212" s="116">
        <f>AQ2212-AP2212</f>
      </c>
      <c r="AS2212" s="94" t="str">
        <f>IF(AN2212&gt;=AQ2212,"ok","ck")</f>
      </c>
      <c r="AT2212" s="116">
        <f>-P2212</f>
      </c>
      <c r="AU2212" s="115">
        <f>IF(SUMIFS(AT:AT,AM:AM,AM2212)&gt;AO2212,(SUMIFS(AT:AT,AM:AM,AM2212)-AO2212))</f>
      </c>
      <c r="AV2212" s="116">
        <v>0</v>
      </c>
      <c r="AW2212" s="121">
        <v>0</v>
      </c>
      <c r="AX2212" s="115">
        <f>AN2212-AP2212</f>
      </c>
    </row>
    <row r="2213" spans="1:50" ht="15" hidden="1" customHeight="1" x14ac:dyDescent="0.3">
      <c r="A2213" s="94" t="s">
        <v>268</v>
      </c>
      <c r="B2213" s="94"/>
      <c r="C2213" s="94"/>
      <c r="D2213" s="94"/>
      <c r="E2213" s="94"/>
      <c r="F2213" s="94"/>
      <c r="G2213" s="112">
        <f>AU2213</f>
      </c>
      <c r="H2213" s="113"/>
      <c r="I2213" s="94" t="s">
        <v>390</v>
      </c>
      <c r="J2213" s="94" t="s">
        <v>594</v>
      </c>
      <c r="K2213" s="114">
        <f>P2213/3</f>
      </c>
      <c r="L2213" s="115">
        <v>1.742</v>
      </c>
      <c r="M2213" s="116"/>
      <c r="N2213" s="117">
        <f>M2213-L2213</f>
      </c>
      <c r="O2213" s="112"/>
      <c r="P2213" s="118">
        <f>N2213+O2213</f>
      </c>
      <c r="Q2213" s="94" t="s">
        <v>778</v>
      </c>
      <c r="R2213" s="94" t="s">
        <v>392</v>
      </c>
      <c r="S2213" s="119">
        <v>46348</v>
      </c>
      <c r="T2213" s="119"/>
      <c r="U2213" s="119">
        <v>46348</v>
      </c>
      <c r="V2213" s="94"/>
      <c r="W2213" s="94"/>
      <c r="X2213" s="94"/>
      <c r="Y2213" s="119">
        <v>46334</v>
      </c>
      <c r="Z2213" s="94"/>
      <c r="AA2213" s="120"/>
      <c r="AB2213" s="120"/>
      <c r="AC2213" s="120"/>
      <c r="AD2213" s="120"/>
      <c r="AE2213" s="120"/>
      <c r="AF2213" s="120"/>
      <c r="AG2213" s="94"/>
      <c r="AH2213" s="120"/>
      <c r="AI2213" s="94"/>
      <c r="AJ2213" s="94" t="s">
        <v>778</v>
      </c>
      <c r="AK2213" s="94" t="s">
        <v>757</v>
      </c>
      <c r="AL2213" s="94">
        <v>140</v>
      </c>
      <c r="AM2213" s="94" t="str">
        <f>TRIM(AJ2213)&amp;TRIM(AL2213)&amp;TRIM(AK2213)</f>
      </c>
      <c r="AN2213" s="116">
        <v>0</v>
      </c>
      <c r="AO2213" s="116" t="inlineStr">
        <is>
          <t>#NA</t>
        </is>
      </c>
      <c r="AP2213" s="116">
        <f>SUMIFS(M:M,AM:AM,AM2213)+SUMIFS(O:O,AM:AM,AM2213)</f>
      </c>
      <c r="AQ2213" s="116">
        <f>SUMIFS(L:L,AM:AM,AM2213)</f>
      </c>
      <c r="AR2213" s="116">
        <f>AQ2213-AP2213</f>
      </c>
      <c r="AS2213" s="94" t="str">
        <f>IF(AN2213&gt;=AQ2213,"ok","ck")</f>
      </c>
      <c r="AT2213" s="116">
        <f>-P2213</f>
      </c>
      <c r="AU2213" s="115">
        <f>IF(SUMIFS(AT:AT,AM:AM,AM2213)&gt;AO2213,(SUMIFS(AT:AT,AM:AM,AM2213)-AO2213))</f>
      </c>
      <c r="AV2213" s="116">
        <v>0</v>
      </c>
      <c r="AW2213" s="121">
        <v>0</v>
      </c>
      <c r="AX2213" s="115">
        <f>AN2213-AP2213</f>
      </c>
    </row>
    <row r="2214" spans="1:50" ht="15" hidden="1" customHeight="1" x14ac:dyDescent="0.3">
      <c r="A2214" s="94" t="s">
        <v>268</v>
      </c>
      <c r="B2214" s="94"/>
      <c r="C2214" s="94"/>
      <c r="D2214" s="94"/>
      <c r="E2214" s="94"/>
      <c r="F2214" s="94"/>
      <c r="G2214" s="112">
        <f>AU2214</f>
      </c>
      <c r="H2214" s="113"/>
      <c r="I2214" s="94" t="s">
        <v>390</v>
      </c>
      <c r="J2214" s="94" t="s">
        <v>594</v>
      </c>
      <c r="K2214" s="114">
        <f>P2214/3</f>
      </c>
      <c r="L2214" s="115">
        <v>253.92500000000001</v>
      </c>
      <c r="M2214" s="116"/>
      <c r="N2214" s="117">
        <f>M2214-L2214</f>
      </c>
      <c r="O2214" s="112"/>
      <c r="P2214" s="118">
        <f>N2214+O2214</f>
      </c>
      <c r="Q2214" s="94" t="s">
        <v>778</v>
      </c>
      <c r="R2214" s="94" t="s">
        <v>392</v>
      </c>
      <c r="S2214" s="119">
        <v>46348</v>
      </c>
      <c r="T2214" s="119"/>
      <c r="U2214" s="119">
        <v>46348</v>
      </c>
      <c r="V2214" s="94"/>
      <c r="W2214" s="94"/>
      <c r="X2214" s="94"/>
      <c r="Y2214" s="119">
        <v>46334</v>
      </c>
      <c r="Z2214" s="94"/>
      <c r="AA2214" s="120"/>
      <c r="AB2214" s="120"/>
      <c r="AC2214" s="120"/>
      <c r="AD2214" s="120"/>
      <c r="AE2214" s="120"/>
      <c r="AF2214" s="120"/>
      <c r="AG2214" s="94"/>
      <c r="AH2214" s="120"/>
      <c r="AI2214" s="94"/>
      <c r="AJ2214" s="94" t="s">
        <v>778</v>
      </c>
      <c r="AK2214" s="94" t="s">
        <v>757</v>
      </c>
      <c r="AL2214" s="94">
        <v>140</v>
      </c>
      <c r="AM2214" s="94" t="str">
        <f>TRIM(AJ2214)&amp;TRIM(AL2214)&amp;TRIM(AK2214)</f>
      </c>
      <c r="AN2214" s="116">
        <v>0</v>
      </c>
      <c r="AO2214" s="116" t="inlineStr">
        <is>
          <t>#NA</t>
        </is>
      </c>
      <c r="AP2214" s="116">
        <f>SUMIFS(M:M,AM:AM,AM2214)+SUMIFS(O:O,AM:AM,AM2214)</f>
      </c>
      <c r="AQ2214" s="116">
        <f>SUMIFS(L:L,AM:AM,AM2214)</f>
      </c>
      <c r="AR2214" s="116">
        <f>AQ2214-AP2214</f>
      </c>
      <c r="AS2214" s="94" t="str">
        <f>IF(AN2214&gt;=AQ2214,"ok","ck")</f>
      </c>
      <c r="AT2214" s="116">
        <f>-P2214</f>
      </c>
      <c r="AU2214" s="115">
        <f>IF(SUMIFS(AT:AT,AM:AM,AM2214)&gt;AO2214,(SUMIFS(AT:AT,AM:AM,AM2214)-AO2214))</f>
      </c>
      <c r="AV2214" s="116">
        <v>0</v>
      </c>
      <c r="AW2214" s="121">
        <v>0</v>
      </c>
      <c r="AX2214" s="115">
        <f>AN2214-AP2214</f>
      </c>
    </row>
    <row r="2215" spans="1:50" ht="15" hidden="1" customHeight="1" x14ac:dyDescent="0.3">
      <c r="A2215" s="94" t="s">
        <v>268</v>
      </c>
      <c r="B2215" s="94"/>
      <c r="C2215" s="94"/>
      <c r="D2215" s="94"/>
      <c r="E2215" s="94"/>
      <c r="F2215" s="94"/>
      <c r="G2215" s="112">
        <f>AU2215</f>
      </c>
      <c r="H2215" s="113"/>
      <c r="I2215" s="94" t="s">
        <v>390</v>
      </c>
      <c r="J2215" s="94" t="s">
        <v>404</v>
      </c>
      <c r="K2215" s="114">
        <f>P2215/3</f>
      </c>
      <c r="L2215" s="115">
        <v>87.06</v>
      </c>
      <c r="M2215" s="116"/>
      <c r="N2215" s="117">
        <f>M2215-L2215</f>
      </c>
      <c r="O2215" s="112"/>
      <c r="P2215" s="118">
        <f>N2215+O2215</f>
      </c>
      <c r="Q2215" s="94" t="s">
        <v>778</v>
      </c>
      <c r="R2215" s="94" t="s">
        <v>392</v>
      </c>
      <c r="S2215" s="119">
        <v>46344</v>
      </c>
      <c r="T2215" s="119"/>
      <c r="U2215" s="120">
        <v>46344</v>
      </c>
      <c r="V2215" s="94"/>
      <c r="W2215" s="94"/>
      <c r="X2215" s="94"/>
      <c r="Y2215" s="119">
        <v>46341</v>
      </c>
      <c r="Z2215" s="94"/>
      <c r="AA2215" s="120"/>
      <c r="AB2215" s="120"/>
      <c r="AC2215" s="120"/>
      <c r="AD2215" s="120"/>
      <c r="AE2215" s="120"/>
      <c r="AF2215" s="120"/>
      <c r="AG2215" s="94"/>
      <c r="AH2215" s="120"/>
      <c r="AI2215" s="94"/>
      <c r="AJ2215" s="94" t="s">
        <v>778</v>
      </c>
      <c r="AK2215" s="94" t="s">
        <v>758</v>
      </c>
      <c r="AL2215" s="94">
        <v>140</v>
      </c>
      <c r="AM2215" s="94" t="str">
        <f>TRIM(AJ2215)&amp;TRIM(AL2215)&amp;TRIM(AK2215)</f>
      </c>
      <c r="AN2215" s="116">
        <v>0</v>
      </c>
      <c r="AO2215" s="116" t="inlineStr">
        <is>
          <t>#NA</t>
        </is>
      </c>
      <c r="AP2215" s="116">
        <f>SUMIFS(M:M,AM:AM,AM2215)+SUMIFS(O:O,AM:AM,AM2215)</f>
      </c>
      <c r="AQ2215" s="116">
        <f>SUMIFS(L:L,AM:AM,AM2215)</f>
      </c>
      <c r="AR2215" s="116">
        <f>AQ2215-AP2215</f>
      </c>
      <c r="AS2215" s="94" t="str">
        <f>IF(AN2215&gt;=AQ2215,"ok","ck")</f>
      </c>
      <c r="AT2215" s="116">
        <f>-P2215</f>
      </c>
      <c r="AU2215" s="115">
        <f>IF(SUMIFS(AT:AT,AM:AM,AM2215)&gt;AO2215,(SUMIFS(AT:AT,AM:AM,AM2215)-AO2215))</f>
      </c>
      <c r="AV2215" s="116">
        <v>0</v>
      </c>
      <c r="AW2215" s="121">
        <v>0</v>
      </c>
      <c r="AX2215" s="115">
        <f>AN2215-AP2215</f>
      </c>
    </row>
    <row r="2216" spans="1:50" ht="15" hidden="1" customHeight="1" x14ac:dyDescent="0.3">
      <c r="A2216" s="94" t="s">
        <v>268</v>
      </c>
      <c r="B2216" s="94"/>
      <c r="C2216" s="94"/>
      <c r="D2216" s="94"/>
      <c r="E2216" s="94"/>
      <c r="F2216" s="94"/>
      <c r="G2216" s="112">
        <f>AU2216</f>
      </c>
      <c r="H2216" s="113"/>
      <c r="I2216" s="94" t="s">
        <v>390</v>
      </c>
      <c r="J2216" s="94" t="s">
        <v>404</v>
      </c>
      <c r="K2216" s="114">
        <f>P2216/3</f>
      </c>
      <c r="L2216" s="115">
        <v>229.84</v>
      </c>
      <c r="M2216" s="116"/>
      <c r="N2216" s="117">
        <f>M2216-L2216</f>
      </c>
      <c r="O2216" s="112"/>
      <c r="P2216" s="118">
        <f>N2216+O2216</f>
      </c>
      <c r="Q2216" s="94" t="s">
        <v>778</v>
      </c>
      <c r="R2216" s="94" t="s">
        <v>392</v>
      </c>
      <c r="S2216" s="119">
        <v>46344</v>
      </c>
      <c r="T2216" s="119"/>
      <c r="U2216" s="119">
        <v>46344</v>
      </c>
      <c r="V2216" s="94"/>
      <c r="W2216" s="94"/>
      <c r="X2216" s="94"/>
      <c r="Y2216" s="119">
        <v>46334</v>
      </c>
      <c r="Z2216" s="94"/>
      <c r="AA2216" s="120"/>
      <c r="AB2216" s="120"/>
      <c r="AC2216" s="120"/>
      <c r="AD2216" s="120"/>
      <c r="AE2216" s="120"/>
      <c r="AF2216" s="120"/>
      <c r="AG2216" s="94"/>
      <c r="AH2216" s="120"/>
      <c r="AI2216" s="94"/>
      <c r="AJ2216" s="94" t="s">
        <v>778</v>
      </c>
      <c r="AK2216" s="94" t="s">
        <v>758</v>
      </c>
      <c r="AL2216" s="94">
        <v>140</v>
      </c>
      <c r="AM2216" s="94" t="str">
        <f>TRIM(AJ2216)&amp;TRIM(AL2216)&amp;TRIM(AK2216)</f>
      </c>
      <c r="AN2216" s="116">
        <v>0</v>
      </c>
      <c r="AO2216" s="116" t="inlineStr">
        <is>
          <t>#NA</t>
        </is>
      </c>
      <c r="AP2216" s="116">
        <f>SUMIFS(M:M,AM:AM,AM2216)+SUMIFS(O:O,AM:AM,AM2216)</f>
      </c>
      <c r="AQ2216" s="116">
        <f>SUMIFS(L:L,AM:AM,AM2216)</f>
      </c>
      <c r="AR2216" s="116">
        <f>AQ2216-AP2216</f>
      </c>
      <c r="AS2216" s="94" t="str">
        <f>IF(AN2216&gt;=AQ2216,"ok","ck")</f>
      </c>
      <c r="AT2216" s="116">
        <f>-P2216</f>
      </c>
      <c r="AU2216" s="115">
        <f>IF(SUMIFS(AT:AT,AM:AM,AM2216)&gt;AO2216,(SUMIFS(AT:AT,AM:AM,AM2216)-AO2216))</f>
      </c>
      <c r="AV2216" s="116">
        <v>0</v>
      </c>
      <c r="AW2216" s="121">
        <v>0</v>
      </c>
      <c r="AX2216" s="115">
        <f>AN2216-AP2216</f>
      </c>
    </row>
    <row r="2217" spans="1:50" ht="15" hidden="1" customHeight="1" x14ac:dyDescent="0.3">
      <c r="A2217" s="94" t="s">
        <v>268</v>
      </c>
      <c r="B2217" s="94"/>
      <c r="C2217" s="94"/>
      <c r="D2217" s="94"/>
      <c r="E2217" s="94"/>
      <c r="F2217" s="94"/>
      <c r="G2217" s="112">
        <f>AU2217</f>
      </c>
      <c r="H2217" s="113"/>
      <c r="I2217" s="94" t="s">
        <v>390</v>
      </c>
      <c r="J2217" s="94" t="s">
        <v>404</v>
      </c>
      <c r="K2217" s="114">
        <f>P2217/3</f>
      </c>
      <c r="L2217" s="115">
        <v>17.68</v>
      </c>
      <c r="M2217" s="116"/>
      <c r="N2217" s="117">
        <f>M2217-L2217</f>
      </c>
      <c r="O2217" s="112"/>
      <c r="P2217" s="118">
        <f>N2217+O2217</f>
      </c>
      <c r="Q2217" s="94" t="s">
        <v>778</v>
      </c>
      <c r="R2217" s="94" t="s">
        <v>392</v>
      </c>
      <c r="S2217" s="119">
        <v>46344</v>
      </c>
      <c r="T2217" s="119"/>
      <c r="U2217" s="119">
        <v>46344</v>
      </c>
      <c r="V2217" s="94"/>
      <c r="W2217" s="94"/>
      <c r="X2217" s="94"/>
      <c r="Y2217" s="119">
        <v>46337</v>
      </c>
      <c r="Z2217" s="94"/>
      <c r="AA2217" s="120"/>
      <c r="AB2217" s="120"/>
      <c r="AC2217" s="120"/>
      <c r="AD2217" s="120"/>
      <c r="AE2217" s="120"/>
      <c r="AF2217" s="120"/>
      <c r="AG2217" s="94"/>
      <c r="AH2217" s="120"/>
      <c r="AI2217" s="94"/>
      <c r="AJ2217" s="94" t="s">
        <v>778</v>
      </c>
      <c r="AK2217" s="94" t="s">
        <v>758</v>
      </c>
      <c r="AL2217" s="94">
        <v>140</v>
      </c>
      <c r="AM2217" s="94" t="str">
        <f>TRIM(AJ2217)&amp;TRIM(AL2217)&amp;TRIM(AK2217)</f>
      </c>
      <c r="AN2217" s="116">
        <v>0</v>
      </c>
      <c r="AO2217" s="116" t="inlineStr">
        <is>
          <t>#NA</t>
        </is>
      </c>
      <c r="AP2217" s="116">
        <f>SUMIFS(M:M,AM:AM,AM2217)+SUMIFS(O:O,AM:AM,AM2217)</f>
      </c>
      <c r="AQ2217" s="116">
        <f>SUMIFS(L:L,AM:AM,AM2217)</f>
      </c>
      <c r="AR2217" s="116">
        <f>AQ2217-AP2217</f>
      </c>
      <c r="AS2217" s="94" t="str">
        <f>IF(AN2217&gt;=AQ2217,"ok","ck")</f>
      </c>
      <c r="AT2217" s="116">
        <f>-P2217</f>
      </c>
      <c r="AU2217" s="115">
        <f>IF(SUMIFS(AT:AT,AM:AM,AM2217)&gt;AO2217,(SUMIFS(AT:AT,AM:AM,AM2217)-AO2217))</f>
      </c>
      <c r="AV2217" s="116">
        <v>0</v>
      </c>
      <c r="AW2217" s="121">
        <v>0</v>
      </c>
      <c r="AX2217" s="115">
        <f>AN2217-AP2217</f>
      </c>
    </row>
    <row r="2218" spans="1:50" ht="15" hidden="1" customHeight="1" x14ac:dyDescent="0.3">
      <c r="A2218" s="94" t="s">
        <v>268</v>
      </c>
      <c r="B2218" s="94"/>
      <c r="C2218" s="94"/>
      <c r="D2218" s="94"/>
      <c r="E2218" s="94"/>
      <c r="F2218" s="94"/>
      <c r="G2218" s="112">
        <f>AU2218</f>
      </c>
      <c r="H2218" s="113"/>
      <c r="I2218" s="94" t="s">
        <v>390</v>
      </c>
      <c r="J2218" s="94" t="s">
        <v>404</v>
      </c>
      <c r="K2218" s="114">
        <f>P2218/3</f>
      </c>
      <c r="L2218" s="115">
        <v>113.6</v>
      </c>
      <c r="M2218" s="116"/>
      <c r="N2218" s="117">
        <f>M2218-L2218</f>
      </c>
      <c r="O2218" s="112"/>
      <c r="P2218" s="118">
        <f>N2218+O2218</f>
      </c>
      <c r="Q2218" s="94" t="s">
        <v>778</v>
      </c>
      <c r="R2218" s="94" t="s">
        <v>392</v>
      </c>
      <c r="S2218" s="119">
        <v>46344</v>
      </c>
      <c r="T2218" s="119"/>
      <c r="U2218" s="119">
        <v>46344</v>
      </c>
      <c r="V2218" s="94"/>
      <c r="W2218" s="94"/>
      <c r="X2218" s="94"/>
      <c r="Y2218" s="119">
        <v>46335</v>
      </c>
      <c r="Z2218" s="94"/>
      <c r="AA2218" s="120"/>
      <c r="AB2218" s="120"/>
      <c r="AC2218" s="120"/>
      <c r="AD2218" s="120"/>
      <c r="AE2218" s="120"/>
      <c r="AF2218" s="120"/>
      <c r="AG2218" s="94"/>
      <c r="AH2218" s="120"/>
      <c r="AI2218" s="94"/>
      <c r="AJ2218" s="94" t="s">
        <v>778</v>
      </c>
      <c r="AK2218" s="94" t="s">
        <v>758</v>
      </c>
      <c r="AL2218" s="94">
        <v>140</v>
      </c>
      <c r="AM2218" s="94" t="str">
        <f>TRIM(AJ2218)&amp;TRIM(AL2218)&amp;TRIM(AK2218)</f>
      </c>
      <c r="AN2218" s="116">
        <v>0</v>
      </c>
      <c r="AO2218" s="116" t="inlineStr">
        <is>
          <t>#NA</t>
        </is>
      </c>
      <c r="AP2218" s="116">
        <f>SUMIFS(M:M,AM:AM,AM2218)+SUMIFS(O:O,AM:AM,AM2218)</f>
      </c>
      <c r="AQ2218" s="116">
        <f>SUMIFS(L:L,AM:AM,AM2218)</f>
      </c>
      <c r="AR2218" s="116">
        <f>AQ2218-AP2218</f>
      </c>
      <c r="AS2218" s="94" t="str">
        <f>IF(AN2218&gt;=AQ2218,"ok","ck")</f>
      </c>
      <c r="AT2218" s="116">
        <f>-P2218</f>
      </c>
      <c r="AU2218" s="115">
        <f>IF(SUMIFS(AT:AT,AM:AM,AM2218)&gt;AO2218,(SUMIFS(AT:AT,AM:AM,AM2218)-AO2218))</f>
      </c>
      <c r="AV2218" s="116">
        <v>0</v>
      </c>
      <c r="AW2218" s="121">
        <v>0</v>
      </c>
      <c r="AX2218" s="115">
        <f>AN2218-AP2218</f>
      </c>
    </row>
    <row r="2219" spans="1:50" ht="15" hidden="1" customHeight="1" x14ac:dyDescent="0.3">
      <c r="A2219" s="94" t="s">
        <v>268</v>
      </c>
      <c r="B2219" s="94"/>
      <c r="C2219" s="94"/>
      <c r="D2219" s="94"/>
      <c r="E2219" s="94"/>
      <c r="F2219" s="94"/>
      <c r="G2219" s="112">
        <f>AU2219</f>
      </c>
      <c r="H2219" s="113"/>
      <c r="I2219" s="94" t="s">
        <v>390</v>
      </c>
      <c r="J2219" s="94" t="s">
        <v>404</v>
      </c>
      <c r="K2219" s="114">
        <f>P2219/3</f>
      </c>
      <c r="L2219" s="115">
        <v>42.529000000000003</v>
      </c>
      <c r="M2219" s="116"/>
      <c r="N2219" s="117">
        <f>M2219-L2219</f>
      </c>
      <c r="O2219" s="112"/>
      <c r="P2219" s="118">
        <f>N2219+O2219</f>
      </c>
      <c r="Q2219" s="94" t="s">
        <v>778</v>
      </c>
      <c r="R2219" s="94" t="s">
        <v>392</v>
      </c>
      <c r="S2219" s="119">
        <v>46344</v>
      </c>
      <c r="T2219" s="119"/>
      <c r="U2219" s="119">
        <v>46344</v>
      </c>
      <c r="V2219" s="94"/>
      <c r="W2219" s="94"/>
      <c r="X2219" s="94"/>
      <c r="Y2219" s="119">
        <v>46337</v>
      </c>
      <c r="Z2219" s="94"/>
      <c r="AA2219" s="120"/>
      <c r="AB2219" s="120"/>
      <c r="AC2219" s="120"/>
      <c r="AD2219" s="120"/>
      <c r="AE2219" s="120"/>
      <c r="AF2219" s="120"/>
      <c r="AG2219" s="94"/>
      <c r="AH2219" s="120"/>
      <c r="AI2219" s="94"/>
      <c r="AJ2219" s="94" t="s">
        <v>778</v>
      </c>
      <c r="AK2219" s="94" t="s">
        <v>758</v>
      </c>
      <c r="AL2219" s="94">
        <v>140</v>
      </c>
      <c r="AM2219" s="94" t="str">
        <f>TRIM(AJ2219)&amp;TRIM(AL2219)&amp;TRIM(AK2219)</f>
      </c>
      <c r="AN2219" s="116">
        <v>0</v>
      </c>
      <c r="AO2219" s="116" t="inlineStr">
        <is>
          <t>#NA</t>
        </is>
      </c>
      <c r="AP2219" s="116">
        <f>SUMIFS(M:M,AM:AM,AM2219)+SUMIFS(O:O,AM:AM,AM2219)</f>
      </c>
      <c r="AQ2219" s="116">
        <f>SUMIFS(L:L,AM:AM,AM2219)</f>
      </c>
      <c r="AR2219" s="116">
        <f>AQ2219-AP2219</f>
      </c>
      <c r="AS2219" s="94" t="str">
        <f>IF(AN2219&gt;=AQ2219,"ok","ck")</f>
      </c>
      <c r="AT2219" s="116">
        <f>-P2219</f>
      </c>
      <c r="AU2219" s="115">
        <f>IF(SUMIFS(AT:AT,AM:AM,AM2219)&gt;AO2219,(SUMIFS(AT:AT,AM:AM,AM2219)-AO2219))</f>
      </c>
      <c r="AV2219" s="116">
        <v>0</v>
      </c>
      <c r="AW2219" s="121">
        <v>0</v>
      </c>
      <c r="AX2219" s="115">
        <f>AN2219-AP2219</f>
      </c>
    </row>
    <row r="2220" spans="1:50" ht="15" hidden="1" customHeight="1" x14ac:dyDescent="0.3">
      <c r="A2220" s="94" t="s">
        <v>268</v>
      </c>
      <c r="B2220" s="94"/>
      <c r="C2220" s="94"/>
      <c r="D2220" s="94"/>
      <c r="E2220" s="94"/>
      <c r="F2220" s="94"/>
      <c r="G2220" s="112">
        <f>AU2220</f>
      </c>
      <c r="H2220" s="113"/>
      <c r="I2220" s="94" t="s">
        <v>390</v>
      </c>
      <c r="J2220" s="94" t="s">
        <v>404</v>
      </c>
      <c r="K2220" s="114">
        <f>P2220/3</f>
      </c>
      <c r="L2220" s="115">
        <v>0.85199999999999998</v>
      </c>
      <c r="M2220" s="116"/>
      <c r="N2220" s="117">
        <f>M2220-L2220</f>
      </c>
      <c r="O2220" s="112"/>
      <c r="P2220" s="118">
        <f>N2220+O2220</f>
      </c>
      <c r="Q2220" s="94" t="s">
        <v>778</v>
      </c>
      <c r="R2220" s="94" t="s">
        <v>392</v>
      </c>
      <c r="S2220" s="119">
        <v>46344</v>
      </c>
      <c r="T2220" s="119"/>
      <c r="U2220" s="119">
        <v>46344</v>
      </c>
      <c r="V2220" s="94"/>
      <c r="W2220" s="94"/>
      <c r="X2220" s="94"/>
      <c r="Y2220" s="119">
        <v>46337</v>
      </c>
      <c r="Z2220" s="94"/>
      <c r="AA2220" s="120"/>
      <c r="AB2220" s="120"/>
      <c r="AC2220" s="120"/>
      <c r="AD2220" s="120"/>
      <c r="AE2220" s="120"/>
      <c r="AF2220" s="120"/>
      <c r="AG2220" s="94"/>
      <c r="AH2220" s="120"/>
      <c r="AI2220" s="94"/>
      <c r="AJ2220" s="94" t="s">
        <v>778</v>
      </c>
      <c r="AK2220" s="94" t="s">
        <v>758</v>
      </c>
      <c r="AL2220" s="94">
        <v>140</v>
      </c>
      <c r="AM2220" s="94" t="str">
        <f>TRIM(AJ2220)&amp;TRIM(AL2220)&amp;TRIM(AK2220)</f>
      </c>
      <c r="AN2220" s="116">
        <v>0</v>
      </c>
      <c r="AO2220" s="116" t="inlineStr">
        <is>
          <t>#NA</t>
        </is>
      </c>
      <c r="AP2220" s="116">
        <f>SUMIFS(M:M,AM:AM,AM2220)+SUMIFS(O:O,AM:AM,AM2220)</f>
      </c>
      <c r="AQ2220" s="116">
        <f>SUMIFS(L:L,AM:AM,AM2220)</f>
      </c>
      <c r="AR2220" s="116">
        <f>AQ2220-AP2220</f>
      </c>
      <c r="AS2220" s="94" t="str">
        <f>IF(AN2220&gt;=AQ2220,"ok","ck")</f>
      </c>
      <c r="AT2220" s="116">
        <f>-P2220</f>
      </c>
      <c r="AU2220" s="115">
        <f>IF(SUMIFS(AT:AT,AM:AM,AM2220)&gt;AO2220,(SUMIFS(AT:AT,AM:AM,AM2220)-AO2220))</f>
      </c>
      <c r="AV2220" s="116">
        <v>0</v>
      </c>
      <c r="AW2220" s="121">
        <v>0</v>
      </c>
      <c r="AX2220" s="115">
        <f>AN2220-AP2220</f>
      </c>
    </row>
    <row r="2221" spans="1:50" ht="15" hidden="1" customHeight="1" x14ac:dyDescent="0.3">
      <c r="A2221" s="94" t="s">
        <v>268</v>
      </c>
      <c r="B2221" s="94"/>
      <c r="C2221" s="94"/>
      <c r="D2221" s="94"/>
      <c r="E2221" s="94"/>
      <c r="F2221" s="94"/>
      <c r="G2221" s="112">
        <f>AU2221</f>
      </c>
      <c r="H2221" s="113"/>
      <c r="I2221" s="94" t="s">
        <v>390</v>
      </c>
      <c r="J2221" s="94" t="s">
        <v>404</v>
      </c>
      <c r="K2221" s="114">
        <f>P2221/3</f>
      </c>
      <c r="L2221" s="115">
        <v>132.44</v>
      </c>
      <c r="M2221" s="116"/>
      <c r="N2221" s="117">
        <f>M2221-L2221</f>
      </c>
      <c r="O2221" s="112"/>
      <c r="P2221" s="118">
        <f>N2221+O2221</f>
      </c>
      <c r="Q2221" s="94" t="s">
        <v>778</v>
      </c>
      <c r="R2221" s="94" t="s">
        <v>392</v>
      </c>
      <c r="S2221" s="119">
        <v>46344</v>
      </c>
      <c r="T2221" s="119"/>
      <c r="U2221" s="119">
        <v>46344</v>
      </c>
      <c r="V2221" s="94"/>
      <c r="W2221" s="94"/>
      <c r="X2221" s="94"/>
      <c r="Y2221" s="119">
        <v>46326</v>
      </c>
      <c r="Z2221" s="94"/>
      <c r="AA2221" s="120"/>
      <c r="AB2221" s="120"/>
      <c r="AC2221" s="120"/>
      <c r="AD2221" s="120"/>
      <c r="AE2221" s="120"/>
      <c r="AF2221" s="120"/>
      <c r="AG2221" s="94"/>
      <c r="AH2221" s="120"/>
      <c r="AI2221" s="94"/>
      <c r="AJ2221" s="94" t="s">
        <v>778</v>
      </c>
      <c r="AK2221" s="94" t="s">
        <v>758</v>
      </c>
      <c r="AL2221" s="94">
        <v>140</v>
      </c>
      <c r="AM2221" s="94" t="str">
        <f>TRIM(AJ2221)&amp;TRIM(AL2221)&amp;TRIM(AK2221)</f>
      </c>
      <c r="AN2221" s="116">
        <v>0</v>
      </c>
      <c r="AO2221" s="116" t="inlineStr">
        <is>
          <t>#NA</t>
        </is>
      </c>
      <c r="AP2221" s="116">
        <f>SUMIFS(M:M,AM:AM,AM2221)+SUMIFS(O:O,AM:AM,AM2221)</f>
      </c>
      <c r="AQ2221" s="116">
        <f>SUMIFS(L:L,AM:AM,AM2221)</f>
      </c>
      <c r="AR2221" s="116">
        <f>AQ2221-AP2221</f>
      </c>
      <c r="AS2221" s="94" t="str">
        <f>IF(AN2221&gt;=AQ2221,"ok","ck")</f>
      </c>
      <c r="AT2221" s="116">
        <f>-P2221</f>
      </c>
      <c r="AU2221" s="115">
        <f>IF(SUMIFS(AT:AT,AM:AM,AM2221)&gt;AO2221,(SUMIFS(AT:AT,AM:AM,AM2221)-AO2221))</f>
      </c>
      <c r="AV2221" s="116">
        <v>0</v>
      </c>
      <c r="AW2221" s="121">
        <v>0</v>
      </c>
      <c r="AX2221" s="115">
        <f>AN2221-AP2221</f>
      </c>
    </row>
    <row r="2222" spans="1:50" ht="15" hidden="1" customHeight="1" x14ac:dyDescent="0.3">
      <c r="A2222" s="94" t="s">
        <v>268</v>
      </c>
      <c r="B2222" s="94"/>
      <c r="C2222" s="94"/>
      <c r="D2222" s="94"/>
      <c r="E2222" s="94"/>
      <c r="F2222" s="94"/>
      <c r="G2222" s="112">
        <f>AU2222</f>
      </c>
      <c r="H2222" s="113"/>
      <c r="I2222" s="94" t="s">
        <v>390</v>
      </c>
      <c r="J2222" s="94" t="s">
        <v>404</v>
      </c>
      <c r="K2222" s="114">
        <f>P2222/3</f>
      </c>
      <c r="L2222" s="115">
        <v>34.915999999999997</v>
      </c>
      <c r="M2222" s="116"/>
      <c r="N2222" s="117">
        <f>M2222-L2222</f>
      </c>
      <c r="O2222" s="112"/>
      <c r="P2222" s="118">
        <f>N2222+O2222</f>
      </c>
      <c r="Q2222" s="94" t="s">
        <v>778</v>
      </c>
      <c r="R2222" s="94" t="s">
        <v>392</v>
      </c>
      <c r="S2222" s="119">
        <v>46344</v>
      </c>
      <c r="T2222" s="119"/>
      <c r="U2222" s="119">
        <v>46344</v>
      </c>
      <c r="V2222" s="94"/>
      <c r="W2222" s="94"/>
      <c r="X2222" s="94"/>
      <c r="Y2222" s="119">
        <v>46329</v>
      </c>
      <c r="Z2222" s="94"/>
      <c r="AA2222" s="120"/>
      <c r="AB2222" s="120"/>
      <c r="AC2222" s="120"/>
      <c r="AD2222" s="120"/>
      <c r="AE2222" s="120"/>
      <c r="AF2222" s="120"/>
      <c r="AG2222" s="94"/>
      <c r="AH2222" s="120"/>
      <c r="AI2222" s="94"/>
      <c r="AJ2222" s="94" t="s">
        <v>778</v>
      </c>
      <c r="AK2222" s="94" t="s">
        <v>758</v>
      </c>
      <c r="AL2222" s="94">
        <v>140</v>
      </c>
      <c r="AM2222" s="94" t="str">
        <f>TRIM(AJ2222)&amp;TRIM(AL2222)&amp;TRIM(AK2222)</f>
      </c>
      <c r="AN2222" s="116">
        <v>0</v>
      </c>
      <c r="AO2222" s="116" t="inlineStr">
        <is>
          <t>#NA</t>
        </is>
      </c>
      <c r="AP2222" s="116">
        <f>SUMIFS(M:M,AM:AM,AM2222)+SUMIFS(O:O,AM:AM,AM2222)</f>
      </c>
      <c r="AQ2222" s="116">
        <f>SUMIFS(L:L,AM:AM,AM2222)</f>
      </c>
      <c r="AR2222" s="116">
        <f>AQ2222-AP2222</f>
      </c>
      <c r="AS2222" s="94" t="str">
        <f>IF(AN2222&gt;=AQ2222,"ok","ck")</f>
      </c>
      <c r="AT2222" s="116">
        <f>-P2222</f>
      </c>
      <c r="AU2222" s="115">
        <f>IF(SUMIFS(AT:AT,AM:AM,AM2222)&gt;AO2222,(SUMIFS(AT:AT,AM:AM,AM2222)-AO2222))</f>
      </c>
      <c r="AV2222" s="116">
        <v>0</v>
      </c>
      <c r="AW2222" s="121">
        <v>0</v>
      </c>
      <c r="AX2222" s="115">
        <f>AN2222-AP2222</f>
      </c>
    </row>
    <row r="2223" spans="1:50" ht="15" hidden="1" customHeight="1" x14ac:dyDescent="0.3">
      <c r="A2223" s="94" t="s">
        <v>268</v>
      </c>
      <c r="B2223" s="94"/>
      <c r="C2223" s="94"/>
      <c r="D2223" s="94"/>
      <c r="E2223" s="94"/>
      <c r="F2223" s="94"/>
      <c r="G2223" s="112">
        <f>AU2223</f>
      </c>
      <c r="H2223" s="113"/>
      <c r="I2223" s="94" t="s">
        <v>390</v>
      </c>
      <c r="J2223" s="94" t="s">
        <v>399</v>
      </c>
      <c r="K2223" s="114">
        <f>P2223/3</f>
      </c>
      <c r="L2223" s="115">
        <v>241.6</v>
      </c>
      <c r="M2223" s="116"/>
      <c r="N2223" s="117">
        <f>M2223-L2223</f>
      </c>
      <c r="O2223" s="112"/>
      <c r="P2223" s="118">
        <f>N2223+O2223</f>
      </c>
      <c r="Q2223" s="94" t="s">
        <v>778</v>
      </c>
      <c r="R2223" s="94" t="s">
        <v>392</v>
      </c>
      <c r="S2223" s="119">
        <v>46343</v>
      </c>
      <c r="T2223" s="119"/>
      <c r="U2223" s="119">
        <v>46343</v>
      </c>
      <c r="V2223" s="94"/>
      <c r="W2223" s="94"/>
      <c r="X2223" s="94"/>
      <c r="Y2223" s="119">
        <v>46342</v>
      </c>
      <c r="Z2223" s="94"/>
      <c r="AA2223" s="120"/>
      <c r="AB2223" s="120"/>
      <c r="AC2223" s="120"/>
      <c r="AD2223" s="120"/>
      <c r="AE2223" s="120"/>
      <c r="AF2223" s="120"/>
      <c r="AG2223" s="94"/>
      <c r="AH2223" s="120"/>
      <c r="AI2223" s="94"/>
      <c r="AJ2223" s="94" t="s">
        <v>778</v>
      </c>
      <c r="AK2223" s="94" t="s">
        <v>342</v>
      </c>
      <c r="AL2223" s="94">
        <v>140</v>
      </c>
      <c r="AM2223" s="94" t="str">
        <f>TRIM(AJ2223)&amp;TRIM(AL2223)&amp;TRIM(AK2223)</f>
      </c>
      <c r="AN2223" s="116">
        <v>0</v>
      </c>
      <c r="AO2223" s="116" t="inlineStr">
        <is>
          <t>#NA</t>
        </is>
      </c>
      <c r="AP2223" s="116">
        <f>SUMIFS(M:M,AM:AM,AM2223)+SUMIFS(O:O,AM:AM,AM2223)</f>
      </c>
      <c r="AQ2223" s="116">
        <f>SUMIFS(L:L,AM:AM,AM2223)</f>
      </c>
      <c r="AR2223" s="116">
        <f>AQ2223-AP2223</f>
      </c>
      <c r="AS2223" s="94" t="str">
        <f>IF(AN2223&gt;=AQ2223,"ok","ck")</f>
      </c>
      <c r="AT2223" s="116">
        <f>-P2223</f>
      </c>
      <c r="AU2223" s="115">
        <f>IF(SUMIFS(AT:AT,AM:AM,AM2223)&gt;AO2223,(SUMIFS(AT:AT,AM:AM,AM2223)-AO2223))</f>
      </c>
      <c r="AV2223" s="116">
        <v>0</v>
      </c>
      <c r="AW2223" s="121">
        <v>0</v>
      </c>
      <c r="AX2223" s="115">
        <f>AN2223-AP2223</f>
      </c>
    </row>
    <row r="2224" spans="1:50" ht="15" hidden="1" customHeight="1" x14ac:dyDescent="0.3">
      <c r="A2224" s="94" t="s">
        <v>268</v>
      </c>
      <c r="B2224" s="94"/>
      <c r="C2224" s="94"/>
      <c r="D2224" s="94"/>
      <c r="E2224" s="94"/>
      <c r="F2224" s="94"/>
      <c r="G2224" s="112">
        <f>AU2224</f>
      </c>
      <c r="H2224" s="113"/>
      <c r="I2224" s="94" t="s">
        <v>390</v>
      </c>
      <c r="J2224" s="94" t="s">
        <v>404</v>
      </c>
      <c r="K2224" s="114">
        <f>P2224/3</f>
      </c>
      <c r="L2224" s="115">
        <v>8.7059999999999995</v>
      </c>
      <c r="M2224" s="116"/>
      <c r="N2224" s="117">
        <f>M2224-L2224</f>
      </c>
      <c r="O2224" s="112"/>
      <c r="P2224" s="118">
        <f>N2224+O2224</f>
      </c>
      <c r="Q2224" s="94" t="s">
        <v>778</v>
      </c>
      <c r="R2224" s="94" t="s">
        <v>392</v>
      </c>
      <c r="S2224" s="119">
        <v>46344</v>
      </c>
      <c r="T2224" s="119"/>
      <c r="U2224" s="119">
        <v>46344</v>
      </c>
      <c r="V2224" s="94"/>
      <c r="W2224" s="94"/>
      <c r="X2224" s="94"/>
      <c r="Y2224" s="119">
        <v>46345</v>
      </c>
      <c r="Z2224" s="94"/>
      <c r="AA2224" s="120"/>
      <c r="AB2224" s="120"/>
      <c r="AC2224" s="120"/>
      <c r="AD2224" s="120"/>
      <c r="AE2224" s="120"/>
      <c r="AF2224" s="120"/>
      <c r="AG2224" s="94"/>
      <c r="AH2224" s="120"/>
      <c r="AI2224" s="94"/>
      <c r="AJ2224" s="94" t="s">
        <v>778</v>
      </c>
      <c r="AK2224" s="94" t="s">
        <v>758</v>
      </c>
      <c r="AL2224" s="94">
        <v>140</v>
      </c>
      <c r="AM2224" s="94" t="str">
        <f>TRIM(AJ2224)&amp;TRIM(AL2224)&amp;TRIM(AK2224)</f>
      </c>
      <c r="AN2224" s="116">
        <v>0</v>
      </c>
      <c r="AO2224" s="116" t="inlineStr">
        <is>
          <t>#NA</t>
        </is>
      </c>
      <c r="AP2224" s="116">
        <f>SUMIFS(M:M,AM:AM,AM2224)+SUMIFS(O:O,AM:AM,AM2224)</f>
      </c>
      <c r="AQ2224" s="116">
        <f>SUMIFS(L:L,AM:AM,AM2224)</f>
      </c>
      <c r="AR2224" s="116">
        <f>AQ2224-AP2224</f>
      </c>
      <c r="AS2224" s="94" t="str">
        <f>IF(AN2224&gt;=AQ2224,"ok","ck")</f>
      </c>
      <c r="AT2224" s="116">
        <f>-P2224</f>
      </c>
      <c r="AU2224" s="115">
        <f>IF(SUMIFS(AT:AT,AM:AM,AM2224)&gt;AO2224,(SUMIFS(AT:AT,AM:AM,AM2224)-AO2224))</f>
      </c>
      <c r="AV2224" s="116">
        <v>0</v>
      </c>
      <c r="AW2224" s="121">
        <v>0</v>
      </c>
      <c r="AX2224" s="115">
        <f>AN2224-AP2224</f>
      </c>
    </row>
    <row r="2225" spans="1:50" ht="15" hidden="1" customHeight="1" x14ac:dyDescent="0.3">
      <c r="A2225" s="94" t="s">
        <v>268</v>
      </c>
      <c r="B2225" s="94"/>
      <c r="C2225" s="94"/>
      <c r="D2225" s="94"/>
      <c r="E2225" s="94"/>
      <c r="F2225" s="94"/>
      <c r="G2225" s="112">
        <f>AU2225</f>
      </c>
      <c r="H2225" s="113"/>
      <c r="I2225" s="94" t="s">
        <v>390</v>
      </c>
      <c r="J2225" s="94" t="s">
        <v>404</v>
      </c>
      <c r="K2225" s="114">
        <f>P2225/3</f>
      </c>
      <c r="L2225" s="115">
        <v>406.28</v>
      </c>
      <c r="M2225" s="116"/>
      <c r="N2225" s="117">
        <f>M2225-L2225</f>
      </c>
      <c r="O2225" s="112"/>
      <c r="P2225" s="118">
        <f>N2225+O2225</f>
      </c>
      <c r="Q2225" s="94" t="s">
        <v>778</v>
      </c>
      <c r="R2225" s="94" t="s">
        <v>392</v>
      </c>
      <c r="S2225" s="119">
        <v>46344</v>
      </c>
      <c r="T2225" s="119"/>
      <c r="U2225" s="120">
        <v>46344</v>
      </c>
      <c r="V2225" s="94"/>
      <c r="W2225" s="94"/>
      <c r="X2225" s="94"/>
      <c r="Y2225" s="119">
        <v>46337</v>
      </c>
      <c r="Z2225" s="94"/>
      <c r="AA2225" s="120"/>
      <c r="AB2225" s="120"/>
      <c r="AC2225" s="120"/>
      <c r="AD2225" s="120"/>
      <c r="AE2225" s="120"/>
      <c r="AF2225" s="120"/>
      <c r="AG2225" s="94"/>
      <c r="AH2225" s="120"/>
      <c r="AI2225" s="94"/>
      <c r="AJ2225" s="94" t="s">
        <v>778</v>
      </c>
      <c r="AK2225" s="94" t="s">
        <v>758</v>
      </c>
      <c r="AL2225" s="94">
        <v>140</v>
      </c>
      <c r="AM2225" s="94" t="str">
        <f>TRIM(AJ2225)&amp;TRIM(AL2225)&amp;TRIM(AK2225)</f>
      </c>
      <c r="AN2225" s="116">
        <v>0</v>
      </c>
      <c r="AO2225" s="116" t="inlineStr">
        <is>
          <t>#NA</t>
        </is>
      </c>
      <c r="AP2225" s="116">
        <f>SUMIFS(M:M,AM:AM,AM2225)+SUMIFS(O:O,AM:AM,AM2225)</f>
      </c>
      <c r="AQ2225" s="116">
        <f>SUMIFS(L:L,AM:AM,AM2225)</f>
      </c>
      <c r="AR2225" s="116">
        <f>AQ2225-AP2225</f>
      </c>
      <c r="AS2225" s="94" t="str">
        <f>IF(AN2225&gt;=AQ2225,"ok","ck")</f>
      </c>
      <c r="AT2225" s="116">
        <f>-P2225</f>
      </c>
      <c r="AU2225" s="115">
        <f>IF(SUMIFS(AT:AT,AM:AM,AM2225)&gt;AO2225,(SUMIFS(AT:AT,AM:AM,AM2225)-AO2225))</f>
      </c>
      <c r="AV2225" s="116">
        <v>0</v>
      </c>
      <c r="AW2225" s="121">
        <v>0</v>
      </c>
      <c r="AX2225" s="115">
        <f>AN2225-AP2225</f>
      </c>
    </row>
    <row r="2226" spans="1:50" ht="15" hidden="1" customHeight="1" x14ac:dyDescent="0.3">
      <c r="A2226" s="94" t="s">
        <v>268</v>
      </c>
      <c r="B2226" s="94"/>
      <c r="C2226" s="94"/>
      <c r="D2226" s="94"/>
      <c r="E2226" s="94"/>
      <c r="F2226" s="94"/>
      <c r="G2226" s="112">
        <f>AU2226</f>
      </c>
      <c r="H2226" s="113"/>
      <c r="I2226" s="94" t="s">
        <v>390</v>
      </c>
      <c r="J2226" s="94" t="s">
        <v>594</v>
      </c>
      <c r="K2226" s="114">
        <f>P2226/3</f>
      </c>
      <c r="L2226" s="115">
        <v>1060.8</v>
      </c>
      <c r="M2226" s="116"/>
      <c r="N2226" s="117">
        <f>M2226-L2226</f>
      </c>
      <c r="O2226" s="112"/>
      <c r="P2226" s="118">
        <f>N2226+O2226</f>
      </c>
      <c r="Q2226" s="94" t="s">
        <v>778</v>
      </c>
      <c r="R2226" s="94" t="s">
        <v>392</v>
      </c>
      <c r="S2226" s="119">
        <v>46348</v>
      </c>
      <c r="T2226" s="119"/>
      <c r="U2226" s="119">
        <v>46348</v>
      </c>
      <c r="V2226" s="94"/>
      <c r="W2226" s="94"/>
      <c r="X2226" s="94"/>
      <c r="Y2226" s="119">
        <v>46328</v>
      </c>
      <c r="Z2226" s="94"/>
      <c r="AA2226" s="120"/>
      <c r="AB2226" s="120"/>
      <c r="AC2226" s="120"/>
      <c r="AD2226" s="120"/>
      <c r="AE2226" s="120"/>
      <c r="AF2226" s="120"/>
      <c r="AG2226" s="94"/>
      <c r="AH2226" s="120"/>
      <c r="AI2226" s="94"/>
      <c r="AJ2226" s="94" t="s">
        <v>778</v>
      </c>
      <c r="AK2226" s="94" t="s">
        <v>757</v>
      </c>
      <c r="AL2226" s="94">
        <v>140</v>
      </c>
      <c r="AM2226" s="94" t="str">
        <f>TRIM(AJ2226)&amp;TRIM(AL2226)&amp;TRIM(AK2226)</f>
      </c>
      <c r="AN2226" s="116">
        <v>0</v>
      </c>
      <c r="AO2226" s="116" t="inlineStr">
        <is>
          <t>#NA</t>
        </is>
      </c>
      <c r="AP2226" s="116">
        <f>SUMIFS(M:M,AM:AM,AM2226)+SUMIFS(O:O,AM:AM,AM2226)</f>
      </c>
      <c r="AQ2226" s="116">
        <f>SUMIFS(L:L,AM:AM,AM2226)</f>
      </c>
      <c r="AR2226" s="116">
        <f>AQ2226-AP2226</f>
      </c>
      <c r="AS2226" s="94" t="str">
        <f>IF(AN2226&gt;=AQ2226,"ok","ck")</f>
      </c>
      <c r="AT2226" s="116">
        <f>-P2226</f>
      </c>
      <c r="AU2226" s="115">
        <f>IF(SUMIFS(AT:AT,AM:AM,AM2226)&gt;AO2226,(SUMIFS(AT:AT,AM:AM,AM2226)-AO2226))</f>
      </c>
      <c r="AV2226" s="116">
        <v>0</v>
      </c>
      <c r="AW2226" s="121">
        <v>0</v>
      </c>
      <c r="AX2226" s="115">
        <f>AN2226-AP2226</f>
      </c>
    </row>
    <row r="2227" spans="1:50" ht="15" hidden="1" customHeight="1" x14ac:dyDescent="0.3">
      <c r="A2227" s="94" t="s">
        <v>268</v>
      </c>
      <c r="B2227" s="94"/>
      <c r="C2227" s="94"/>
      <c r="D2227" s="94"/>
      <c r="E2227" s="94"/>
      <c r="F2227" s="94"/>
      <c r="G2227" s="112">
        <f>AU2227</f>
      </c>
      <c r="H2227" s="113"/>
      <c r="I2227" s="94" t="s">
        <v>390</v>
      </c>
      <c r="J2227" s="94" t="s">
        <v>594</v>
      </c>
      <c r="K2227" s="114">
        <f>P2227/3</f>
      </c>
      <c r="L2227" s="115">
        <v>130.47999999999999</v>
      </c>
      <c r="M2227" s="116"/>
      <c r="N2227" s="117">
        <f>M2227-L2227</f>
      </c>
      <c r="O2227" s="112"/>
      <c r="P2227" s="118">
        <f>N2227+O2227</f>
      </c>
      <c r="Q2227" s="94" t="s">
        <v>778</v>
      </c>
      <c r="R2227" s="94" t="s">
        <v>392</v>
      </c>
      <c r="S2227" s="119">
        <v>46348</v>
      </c>
      <c r="T2227" s="119"/>
      <c r="U2227" s="119">
        <v>46348</v>
      </c>
      <c r="V2227" s="94"/>
      <c r="W2227" s="94"/>
      <c r="X2227" s="94"/>
      <c r="Y2227" s="119">
        <v>46343</v>
      </c>
      <c r="Z2227" s="94"/>
      <c r="AA2227" s="120"/>
      <c r="AB2227" s="120"/>
      <c r="AC2227" s="120"/>
      <c r="AD2227" s="120"/>
      <c r="AE2227" s="120"/>
      <c r="AF2227" s="120"/>
      <c r="AG2227" s="94"/>
      <c r="AH2227" s="120"/>
      <c r="AI2227" s="94"/>
      <c r="AJ2227" s="94" t="s">
        <v>778</v>
      </c>
      <c r="AK2227" s="94" t="s">
        <v>757</v>
      </c>
      <c r="AL2227" s="94">
        <v>140</v>
      </c>
      <c r="AM2227" s="94" t="str">
        <f>TRIM(AJ2227)&amp;TRIM(AL2227)&amp;TRIM(AK2227)</f>
      </c>
      <c r="AN2227" s="116">
        <v>0</v>
      </c>
      <c r="AO2227" s="116" t="inlineStr">
        <is>
          <t>#NA</t>
        </is>
      </c>
      <c r="AP2227" s="116">
        <f>SUMIFS(M:M,AM:AM,AM2227)+SUMIFS(O:O,AM:AM,AM2227)</f>
      </c>
      <c r="AQ2227" s="116">
        <f>SUMIFS(L:L,AM:AM,AM2227)</f>
      </c>
      <c r="AR2227" s="116">
        <f>AQ2227-AP2227</f>
      </c>
      <c r="AS2227" s="94" t="str">
        <f>IF(AN2227&gt;=AQ2227,"ok","ck")</f>
      </c>
      <c r="AT2227" s="116">
        <f>-P2227</f>
      </c>
      <c r="AU2227" s="115">
        <f>IF(SUMIFS(AT:AT,AM:AM,AM2227)&gt;AO2227,(SUMIFS(AT:AT,AM:AM,AM2227)-AO2227))</f>
      </c>
      <c r="AV2227" s="116">
        <v>0</v>
      </c>
      <c r="AW2227" s="121">
        <v>0</v>
      </c>
      <c r="AX2227" s="115">
        <f>AN2227-AP2227</f>
      </c>
    </row>
    <row r="2228" spans="1:50" ht="15" hidden="1" customHeight="1" x14ac:dyDescent="0.3">
      <c r="A2228" s="94" t="s">
        <v>480</v>
      </c>
      <c r="B2228" s="94"/>
      <c r="C2228" s="94"/>
      <c r="D2228" s="94"/>
      <c r="E2228" s="94"/>
      <c r="F2228" s="94"/>
      <c r="G2228" s="112">
        <f>AU2228</f>
      </c>
      <c r="H2228" s="113"/>
      <c r="I2228" s="94" t="s">
        <v>483</v>
      </c>
      <c r="J2228" s="94" t="s">
        <v>604</v>
      </c>
      <c r="K2228" s="114">
        <f>P2228/3</f>
      </c>
      <c r="L2228" s="115">
        <v>42.103999999999999</v>
      </c>
      <c r="M2228" s="116"/>
      <c r="N2228" s="117">
        <f>M2228-L2228</f>
      </c>
      <c r="O2228" s="112"/>
      <c r="P2228" s="118">
        <f>N2228+O2228</f>
      </c>
      <c r="Q2228" s="94" t="s">
        <v>782</v>
      </c>
      <c r="R2228" s="94" t="s">
        <v>392</v>
      </c>
      <c r="S2228" s="119">
        <v>46329</v>
      </c>
      <c r="T2228" s="119"/>
      <c r="U2228" s="119">
        <v>46329</v>
      </c>
      <c r="V2228" s="94"/>
      <c r="W2228" s="94"/>
      <c r="X2228" s="94"/>
      <c r="Y2228" s="119">
        <v>46327</v>
      </c>
      <c r="Z2228" s="94"/>
      <c r="AA2228" s="120"/>
      <c r="AB2228" s="120"/>
      <c r="AC2228" s="120"/>
      <c r="AD2228" s="120"/>
      <c r="AE2228" s="120"/>
      <c r="AF2228" s="120"/>
      <c r="AG2228" s="94"/>
      <c r="AH2228" s="120"/>
      <c r="AI2228" s="94"/>
      <c r="AJ2228" s="94" t="s">
        <v>782</v>
      </c>
      <c r="AK2228" s="94" t="s">
        <v>750</v>
      </c>
      <c r="AL2228" s="94">
        <v>165</v>
      </c>
      <c r="AM2228" s="94" t="str">
        <f>TRIM(AJ2228)&amp;TRIM(AL2228)&amp;TRIM(AK2228)</f>
      </c>
      <c r="AN2228" s="116">
        <v>0</v>
      </c>
      <c r="AO2228" s="116" t="inlineStr">
        <is>
          <t>#NA</t>
        </is>
      </c>
      <c r="AP2228" s="116">
        <f>SUMIFS(M:M,AM:AM,AM2228)+SUMIFS(O:O,AM:AM,AM2228)</f>
      </c>
      <c r="AQ2228" s="116">
        <f>SUMIFS(L:L,AM:AM,AM2228)</f>
      </c>
      <c r="AR2228" s="116">
        <f>AQ2228-AP2228</f>
      </c>
      <c r="AS2228" s="94" t="str">
        <f>IF(AN2228&gt;=AQ2228,"ok","ck")</f>
      </c>
      <c r="AT2228" s="116">
        <f>-P2228</f>
      </c>
      <c r="AU2228" s="115">
        <f>IF(SUMIFS(AT:AT,AM:AM,AM2228)&gt;AO2228,(SUMIFS(AT:AT,AM:AM,AM2228)-AO2228))</f>
      </c>
      <c r="AV2228" s="116">
        <v>0</v>
      </c>
      <c r="AW2228" s="121">
        <v>1.088</v>
      </c>
      <c r="AX2228" s="115">
        <f>AN2228-AP2228</f>
      </c>
    </row>
    <row r="2229" spans="1:50" ht="15" hidden="1" customHeight="1" x14ac:dyDescent="0.3">
      <c r="A2229" s="94" t="s">
        <v>480</v>
      </c>
      <c r="B2229" s="94"/>
      <c r="C2229" s="94"/>
      <c r="D2229" s="94"/>
      <c r="E2229" s="94"/>
      <c r="F2229" s="94"/>
      <c r="G2229" s="112">
        <f>AU2229</f>
      </c>
      <c r="H2229" s="113"/>
      <c r="I2229" s="94" t="s">
        <v>483</v>
      </c>
      <c r="J2229" s="94" t="s">
        <v>604</v>
      </c>
      <c r="K2229" s="114">
        <f>P2229/3</f>
      </c>
      <c r="L2229" s="115">
        <v>8.1489999999999991</v>
      </c>
      <c r="M2229" s="116"/>
      <c r="N2229" s="117">
        <f>M2229-L2229</f>
      </c>
      <c r="O2229" s="112"/>
      <c r="P2229" s="118">
        <f>N2229+O2229</f>
      </c>
      <c r="Q2229" s="94" t="s">
        <v>782</v>
      </c>
      <c r="R2229" s="94" t="s">
        <v>392</v>
      </c>
      <c r="S2229" s="119">
        <v>46329</v>
      </c>
      <c r="T2229" s="119"/>
      <c r="U2229" s="119">
        <v>46329</v>
      </c>
      <c r="V2229" s="94"/>
      <c r="W2229" s="94"/>
      <c r="X2229" s="94"/>
      <c r="Y2229" s="119">
        <v>46328</v>
      </c>
      <c r="Z2229" s="94"/>
      <c r="AA2229" s="120"/>
      <c r="AB2229" s="120"/>
      <c r="AC2229" s="120"/>
      <c r="AD2229" s="120"/>
      <c r="AE2229" s="120"/>
      <c r="AF2229" s="120"/>
      <c r="AG2229" s="94"/>
      <c r="AH2229" s="120"/>
      <c r="AI2229" s="94"/>
      <c r="AJ2229" s="94" t="s">
        <v>782</v>
      </c>
      <c r="AK2229" s="94" t="s">
        <v>750</v>
      </c>
      <c r="AL2229" s="94">
        <v>165</v>
      </c>
      <c r="AM2229" s="94" t="str">
        <f>TRIM(AJ2229)&amp;TRIM(AL2229)&amp;TRIM(AK2229)</f>
      </c>
      <c r="AN2229" s="116">
        <v>0</v>
      </c>
      <c r="AO2229" s="116" t="inlineStr">
        <is>
          <t>#NA</t>
        </is>
      </c>
      <c r="AP2229" s="116">
        <f>SUMIFS(M:M,AM:AM,AM2229)+SUMIFS(O:O,AM:AM,AM2229)</f>
      </c>
      <c r="AQ2229" s="116">
        <f>SUMIFS(L:L,AM:AM,AM2229)</f>
      </c>
      <c r="AR2229" s="116">
        <f>AQ2229-AP2229</f>
      </c>
      <c r="AS2229" s="94" t="str">
        <f>IF(AN2229&gt;=AQ2229,"ok","ck")</f>
      </c>
      <c r="AT2229" s="116">
        <f>-P2229</f>
      </c>
      <c r="AU2229" s="115">
        <f>IF(SUMIFS(AT:AT,AM:AM,AM2229)&gt;AO2229,(SUMIFS(AT:AT,AM:AM,AM2229)-AO2229))</f>
      </c>
      <c r="AV2229" s="116">
        <v>0</v>
      </c>
      <c r="AW2229" s="121">
        <v>1.088</v>
      </c>
      <c r="AX2229" s="115">
        <f>AN2229-AP2229</f>
      </c>
    </row>
    <row r="2230" spans="1:50" ht="15" hidden="1" customHeight="1" x14ac:dyDescent="0.3">
      <c r="A2230" s="94" t="s">
        <v>480</v>
      </c>
      <c r="B2230" s="94"/>
      <c r="C2230" s="94"/>
      <c r="D2230" s="94"/>
      <c r="E2230" s="94"/>
      <c r="F2230" s="94"/>
      <c r="G2230" s="112">
        <f>AU2230</f>
      </c>
      <c r="H2230" s="113"/>
      <c r="I2230" s="94" t="s">
        <v>483</v>
      </c>
      <c r="J2230" s="94" t="s">
        <v>604</v>
      </c>
      <c r="K2230" s="114">
        <f>P2230/3</f>
      </c>
      <c r="L2230" s="115">
        <v>33.003999999999998</v>
      </c>
      <c r="M2230" s="116"/>
      <c r="N2230" s="117">
        <f>M2230-L2230</f>
      </c>
      <c r="O2230" s="112"/>
      <c r="P2230" s="118">
        <f>N2230+O2230</f>
      </c>
      <c r="Q2230" s="94" t="s">
        <v>782</v>
      </c>
      <c r="R2230" s="94" t="s">
        <v>392</v>
      </c>
      <c r="S2230" s="119">
        <v>46329</v>
      </c>
      <c r="T2230" s="119"/>
      <c r="U2230" s="119">
        <v>46329</v>
      </c>
      <c r="V2230" s="94"/>
      <c r="W2230" s="94"/>
      <c r="X2230" s="94"/>
      <c r="Y2230" s="119">
        <v>46326</v>
      </c>
      <c r="Z2230" s="94"/>
      <c r="AA2230" s="120"/>
      <c r="AB2230" s="120"/>
      <c r="AC2230" s="120"/>
      <c r="AD2230" s="120"/>
      <c r="AE2230" s="120"/>
      <c r="AF2230" s="120"/>
      <c r="AG2230" s="94"/>
      <c r="AH2230" s="120"/>
      <c r="AI2230" s="94"/>
      <c r="AJ2230" s="94" t="s">
        <v>782</v>
      </c>
      <c r="AK2230" s="94" t="s">
        <v>750</v>
      </c>
      <c r="AL2230" s="94">
        <v>165</v>
      </c>
      <c r="AM2230" s="94" t="str">
        <f>TRIM(AJ2230)&amp;TRIM(AL2230)&amp;TRIM(AK2230)</f>
      </c>
      <c r="AN2230" s="116">
        <v>0</v>
      </c>
      <c r="AO2230" s="116" t="inlineStr">
        <is>
          <t>#NA</t>
        </is>
      </c>
      <c r="AP2230" s="116">
        <f>SUMIFS(M:M,AM:AM,AM2230)+SUMIFS(O:O,AM:AM,AM2230)</f>
      </c>
      <c r="AQ2230" s="116">
        <f>SUMIFS(L:L,AM:AM,AM2230)</f>
      </c>
      <c r="AR2230" s="116">
        <f>AQ2230-AP2230</f>
      </c>
      <c r="AS2230" s="94" t="str">
        <f>IF(AN2230&gt;=AQ2230,"ok","ck")</f>
      </c>
      <c r="AT2230" s="116">
        <f>-P2230</f>
      </c>
      <c r="AU2230" s="115">
        <f>IF(SUMIFS(AT:AT,AM:AM,AM2230)&gt;AO2230,(SUMIFS(AT:AT,AM:AM,AM2230)-AO2230))</f>
      </c>
      <c r="AV2230" s="116">
        <v>0</v>
      </c>
      <c r="AW2230" s="121">
        <v>1.088</v>
      </c>
      <c r="AX2230" s="115">
        <f>AN2230-AP2230</f>
      </c>
    </row>
    <row r="2231" spans="1:50" ht="15" hidden="1" customHeight="1" x14ac:dyDescent="0.3">
      <c r="A2231" s="94" t="s">
        <v>480</v>
      </c>
      <c r="B2231" s="94"/>
      <c r="C2231" s="94"/>
      <c r="D2231" s="94"/>
      <c r="E2231" s="94"/>
      <c r="F2231" s="94"/>
      <c r="G2231" s="112">
        <f>AU2231</f>
      </c>
      <c r="H2231" s="113"/>
      <c r="I2231" s="94" t="s">
        <v>483</v>
      </c>
      <c r="J2231" s="94" t="s">
        <v>604</v>
      </c>
      <c r="K2231" s="114">
        <f>P2231/3</f>
      </c>
      <c r="L2231" s="115">
        <v>4.4779999999999998</v>
      </c>
      <c r="M2231" s="116"/>
      <c r="N2231" s="117">
        <f>M2231-L2231</f>
      </c>
      <c r="O2231" s="112"/>
      <c r="P2231" s="118">
        <f>N2231+O2231</f>
      </c>
      <c r="Q2231" s="94" t="s">
        <v>782</v>
      </c>
      <c r="R2231" s="94" t="s">
        <v>392</v>
      </c>
      <c r="S2231" s="119">
        <v>46329</v>
      </c>
      <c r="T2231" s="119"/>
      <c r="U2231" s="119">
        <v>46329</v>
      </c>
      <c r="V2231" s="94"/>
      <c r="W2231" s="94"/>
      <c r="X2231" s="94"/>
      <c r="Y2231" s="119">
        <v>46326</v>
      </c>
      <c r="Z2231" s="94"/>
      <c r="AA2231" s="120"/>
      <c r="AB2231" s="120"/>
      <c r="AC2231" s="120"/>
      <c r="AD2231" s="120"/>
      <c r="AE2231" s="120"/>
      <c r="AF2231" s="120"/>
      <c r="AG2231" s="94"/>
      <c r="AH2231" s="120"/>
      <c r="AI2231" s="94"/>
      <c r="AJ2231" s="94" t="s">
        <v>782</v>
      </c>
      <c r="AK2231" s="94" t="s">
        <v>750</v>
      </c>
      <c r="AL2231" s="94">
        <v>165</v>
      </c>
      <c r="AM2231" s="94" t="str">
        <f>TRIM(AJ2231)&amp;TRIM(AL2231)&amp;TRIM(AK2231)</f>
      </c>
      <c r="AN2231" s="116">
        <v>0</v>
      </c>
      <c r="AO2231" s="116" t="inlineStr">
        <is>
          <t>#NA</t>
        </is>
      </c>
      <c r="AP2231" s="116">
        <f>SUMIFS(M:M,AM:AM,AM2231)+SUMIFS(O:O,AM:AM,AM2231)</f>
      </c>
      <c r="AQ2231" s="116">
        <f>SUMIFS(L:L,AM:AM,AM2231)</f>
      </c>
      <c r="AR2231" s="116">
        <f>AQ2231-AP2231</f>
      </c>
      <c r="AS2231" s="94" t="str">
        <f>IF(AN2231&gt;=AQ2231,"ok","ck")</f>
      </c>
      <c r="AT2231" s="116">
        <f>-P2231</f>
      </c>
      <c r="AU2231" s="115">
        <f>IF(SUMIFS(AT:AT,AM:AM,AM2231)&gt;AO2231,(SUMIFS(AT:AT,AM:AM,AM2231)-AO2231))</f>
      </c>
      <c r="AV2231" s="116">
        <v>0</v>
      </c>
      <c r="AW2231" s="121">
        <v>1.088</v>
      </c>
      <c r="AX2231" s="115">
        <f>AN2231-AP2231</f>
      </c>
    </row>
    <row r="2232" spans="1:50" ht="15" hidden="1" customHeight="1" x14ac:dyDescent="0.3">
      <c r="A2232" s="94" t="s">
        <v>480</v>
      </c>
      <c r="B2232" s="94"/>
      <c r="C2232" s="94"/>
      <c r="D2232" s="94"/>
      <c r="E2232" s="94"/>
      <c r="F2232" s="94"/>
      <c r="G2232" s="112">
        <f>AU2232</f>
      </c>
      <c r="H2232" s="113"/>
      <c r="I2232" s="94" t="s">
        <v>483</v>
      </c>
      <c r="J2232" s="94" t="s">
        <v>604</v>
      </c>
      <c r="K2232" s="114">
        <f>P2232/3</f>
      </c>
      <c r="L2232" s="115">
        <v>40.488999999999997</v>
      </c>
      <c r="M2232" s="116"/>
      <c r="N2232" s="117">
        <f>M2232-L2232</f>
      </c>
      <c r="O2232" s="112"/>
      <c r="P2232" s="118">
        <f>N2232+O2232</f>
      </c>
      <c r="Q2232" s="94" t="s">
        <v>782</v>
      </c>
      <c r="R2232" s="94" t="s">
        <v>392</v>
      </c>
      <c r="S2232" s="119">
        <v>46329</v>
      </c>
      <c r="T2232" s="119"/>
      <c r="U2232" s="119">
        <v>46329</v>
      </c>
      <c r="V2232" s="94"/>
      <c r="W2232" s="94"/>
      <c r="X2232" s="94"/>
      <c r="Y2232" s="119">
        <v>46328</v>
      </c>
      <c r="Z2232" s="94"/>
      <c r="AA2232" s="120"/>
      <c r="AB2232" s="120"/>
      <c r="AC2232" s="120"/>
      <c r="AD2232" s="120"/>
      <c r="AE2232" s="120"/>
      <c r="AF2232" s="120"/>
      <c r="AG2232" s="94"/>
      <c r="AH2232" s="120"/>
      <c r="AI2232" s="94"/>
      <c r="AJ2232" s="94" t="s">
        <v>782</v>
      </c>
      <c r="AK2232" s="94" t="s">
        <v>750</v>
      </c>
      <c r="AL2232" s="94">
        <v>165</v>
      </c>
      <c r="AM2232" s="94" t="str">
        <f>TRIM(AJ2232)&amp;TRIM(AL2232)&amp;TRIM(AK2232)</f>
      </c>
      <c r="AN2232" s="116">
        <v>0</v>
      </c>
      <c r="AO2232" s="116" t="inlineStr">
        <is>
          <t>#NA</t>
        </is>
      </c>
      <c r="AP2232" s="116">
        <f>SUMIFS(M:M,AM:AM,AM2232)+SUMIFS(O:O,AM:AM,AM2232)</f>
      </c>
      <c r="AQ2232" s="116">
        <f>SUMIFS(L:L,AM:AM,AM2232)</f>
      </c>
      <c r="AR2232" s="116">
        <f>AQ2232-AP2232</f>
      </c>
      <c r="AS2232" s="94" t="str">
        <f>IF(AN2232&gt;=AQ2232,"ok","ck")</f>
      </c>
      <c r="AT2232" s="116">
        <f>-P2232</f>
      </c>
      <c r="AU2232" s="115">
        <f>IF(SUMIFS(AT:AT,AM:AM,AM2232)&gt;AO2232,(SUMIFS(AT:AT,AM:AM,AM2232)-AO2232))</f>
      </c>
      <c r="AV2232" s="116">
        <v>0</v>
      </c>
      <c r="AW2232" s="121">
        <v>1.088</v>
      </c>
      <c r="AX2232" s="115">
        <f>AN2232-AP2232</f>
      </c>
    </row>
    <row r="2233" spans="1:50" ht="15" hidden="1" customHeight="1" x14ac:dyDescent="0.3">
      <c r="A2233" s="94" t="s">
        <v>480</v>
      </c>
      <c r="B2233" s="94"/>
      <c r="C2233" s="94"/>
      <c r="D2233" s="94"/>
      <c r="E2233" s="94"/>
      <c r="F2233" s="94"/>
      <c r="G2233" s="112">
        <f>AU2233</f>
      </c>
      <c r="H2233" s="113"/>
      <c r="I2233" s="94" t="s">
        <v>483</v>
      </c>
      <c r="J2233" s="94" t="s">
        <v>604</v>
      </c>
      <c r="K2233" s="114">
        <f>P2233/3</f>
      </c>
      <c r="L2233" s="115">
        <v>7.8369999999999997</v>
      </c>
      <c r="M2233" s="116"/>
      <c r="N2233" s="117">
        <f>M2233-L2233</f>
      </c>
      <c r="O2233" s="112"/>
      <c r="P2233" s="118">
        <f>N2233+O2233</f>
      </c>
      <c r="Q2233" s="94" t="s">
        <v>782</v>
      </c>
      <c r="R2233" s="94" t="s">
        <v>392</v>
      </c>
      <c r="S2233" s="119">
        <v>46329</v>
      </c>
      <c r="T2233" s="119"/>
      <c r="U2233" s="119">
        <v>46329</v>
      </c>
      <c r="V2233" s="94"/>
      <c r="W2233" s="94"/>
      <c r="X2233" s="94"/>
      <c r="Y2233" s="119">
        <v>46328</v>
      </c>
      <c r="Z2233" s="94"/>
      <c r="AA2233" s="120"/>
      <c r="AB2233" s="120"/>
      <c r="AC2233" s="120"/>
      <c r="AD2233" s="120"/>
      <c r="AE2233" s="120"/>
      <c r="AF2233" s="120"/>
      <c r="AG2233" s="94"/>
      <c r="AH2233" s="120"/>
      <c r="AI2233" s="94"/>
      <c r="AJ2233" s="94" t="s">
        <v>782</v>
      </c>
      <c r="AK2233" s="94" t="s">
        <v>750</v>
      </c>
      <c r="AL2233" s="94">
        <v>165</v>
      </c>
      <c r="AM2233" s="94" t="str">
        <f>TRIM(AJ2233)&amp;TRIM(AL2233)&amp;TRIM(AK2233)</f>
      </c>
      <c r="AN2233" s="116">
        <v>0</v>
      </c>
      <c r="AO2233" s="116" t="inlineStr">
        <is>
          <t>#NA</t>
        </is>
      </c>
      <c r="AP2233" s="116">
        <f>SUMIFS(M:M,AM:AM,AM2233)+SUMIFS(O:O,AM:AM,AM2233)</f>
      </c>
      <c r="AQ2233" s="116">
        <f>SUMIFS(L:L,AM:AM,AM2233)</f>
      </c>
      <c r="AR2233" s="116">
        <f>AQ2233-AP2233</f>
      </c>
      <c r="AS2233" s="94" t="str">
        <f>IF(AN2233&gt;=AQ2233,"ok","ck")</f>
      </c>
      <c r="AT2233" s="116">
        <f>-P2233</f>
      </c>
      <c r="AU2233" s="115">
        <f>IF(SUMIFS(AT:AT,AM:AM,AM2233)&gt;AO2233,(SUMIFS(AT:AT,AM:AM,AM2233)-AO2233))</f>
      </c>
      <c r="AV2233" s="116">
        <v>0</v>
      </c>
      <c r="AW2233" s="121">
        <v>1.088</v>
      </c>
      <c r="AX2233" s="115">
        <f>AN2233-AP2233</f>
      </c>
    </row>
    <row r="2234" spans="1:50" ht="15" hidden="1" customHeight="1" x14ac:dyDescent="0.3">
      <c r="A2234" s="94" t="s">
        <v>268</v>
      </c>
      <c r="B2234" s="94"/>
      <c r="C2234" s="94"/>
      <c r="D2234" s="94"/>
      <c r="E2234" s="94"/>
      <c r="F2234" s="94"/>
      <c r="G2234" s="112">
        <f>AU2234</f>
      </c>
      <c r="H2234" s="113"/>
      <c r="I2234" s="94" t="s">
        <v>390</v>
      </c>
      <c r="J2234" s="94" t="s">
        <v>602</v>
      </c>
      <c r="K2234" s="114">
        <f>P2234/3</f>
      </c>
      <c r="L2234" s="115">
        <v>200</v>
      </c>
      <c r="M2234" s="116"/>
      <c r="N2234" s="117">
        <f>M2234-L2234</f>
      </c>
      <c r="O2234" s="112"/>
      <c r="P2234" s="118">
        <f>N2234+O2234</f>
      </c>
      <c r="Q2234" s="94" t="s">
        <v>793</v>
      </c>
      <c r="R2234" s="94" t="s">
        <v>392</v>
      </c>
      <c r="S2234" s="119">
        <v>46343</v>
      </c>
      <c r="T2234" s="119"/>
      <c r="U2234" s="119">
        <v>46343</v>
      </c>
      <c r="V2234" s="94"/>
      <c r="W2234" s="94"/>
      <c r="X2234" s="94"/>
      <c r="Y2234" s="119">
        <v>46320</v>
      </c>
      <c r="Z2234" s="94"/>
      <c r="AA2234" s="120"/>
      <c r="AB2234" s="120"/>
      <c r="AC2234" s="120"/>
      <c r="AD2234" s="120"/>
      <c r="AE2234" s="120"/>
      <c r="AF2234" s="120"/>
      <c r="AG2234" s="94"/>
      <c r="AH2234" s="120"/>
      <c r="AI2234" s="94"/>
      <c r="AJ2234" s="94" t="s">
        <v>793</v>
      </c>
      <c r="AK2234" s="94" t="s">
        <v>756</v>
      </c>
      <c r="AL2234" s="94">
        <v>140</v>
      </c>
      <c r="AM2234" s="94" t="str">
        <f>TRIM(AJ2234)&amp;TRIM(AL2234)&amp;TRIM(AK2234)</f>
      </c>
      <c r="AN2234" s="116">
        <v>0</v>
      </c>
      <c r="AO2234" s="116" t="inlineStr">
        <is>
          <t>#NA</t>
        </is>
      </c>
      <c r="AP2234" s="116">
        <f>SUMIFS(M:M,AM:AM,AM2234)+SUMIFS(O:O,AM:AM,AM2234)</f>
      </c>
      <c r="AQ2234" s="116">
        <f>SUMIFS(L:L,AM:AM,AM2234)</f>
      </c>
      <c r="AR2234" s="116">
        <f>AQ2234-AP2234</f>
      </c>
      <c r="AS2234" s="94" t="str">
        <f>IF(AN2234&gt;=AQ2234,"ok","ck")</f>
      </c>
      <c r="AT2234" s="116">
        <f>-P2234</f>
      </c>
      <c r="AU2234" s="115">
        <f>IF(SUMIFS(AT:AT,AM:AM,AM2234)&gt;AO2234,(SUMIFS(AT:AT,AM:AM,AM2234)-AO2234))</f>
      </c>
      <c r="AV2234" s="116">
        <v>0</v>
      </c>
      <c r="AW2234" s="121">
        <v>0</v>
      </c>
      <c r="AX2234" s="115">
        <f>AN2234-AP2234</f>
      </c>
    </row>
    <row r="2235" spans="1:50" ht="15" hidden="1" customHeight="1" x14ac:dyDescent="0.3">
      <c r="A2235" s="94" t="s">
        <v>268</v>
      </c>
      <c r="B2235" s="94"/>
      <c r="C2235" s="94"/>
      <c r="D2235" s="94"/>
      <c r="E2235" s="94"/>
      <c r="F2235" s="94"/>
      <c r="G2235" s="112">
        <f>AU2235</f>
      </c>
      <c r="H2235" s="113"/>
      <c r="I2235" s="94" t="s">
        <v>390</v>
      </c>
      <c r="J2235" s="94" t="s">
        <v>399</v>
      </c>
      <c r="K2235" s="114">
        <f>P2235/3</f>
      </c>
      <c r="L2235" s="115">
        <v>-4.5090000000000003</v>
      </c>
      <c r="M2235" s="116"/>
      <c r="N2235" s="117">
        <f>M2235-L2235</f>
      </c>
      <c r="O2235" s="112"/>
      <c r="P2235" s="118">
        <f>N2235+O2235</f>
      </c>
      <c r="Q2235" s="94" t="s">
        <v>271</v>
      </c>
      <c r="R2235" s="94" t="s">
        <v>392</v>
      </c>
      <c r="S2235" s="119">
        <v>46320</v>
      </c>
      <c r="T2235" s="119"/>
      <c r="U2235" s="119">
        <v>46320</v>
      </c>
      <c r="V2235" s="94"/>
      <c r="W2235" s="94"/>
      <c r="X2235" s="94"/>
      <c r="Y2235" s="119">
        <v>46320</v>
      </c>
      <c r="Z2235" s="94"/>
      <c r="AA2235" s="120"/>
      <c r="AB2235" s="120"/>
      <c r="AC2235" s="120"/>
      <c r="AD2235" s="120"/>
      <c r="AE2235" s="120"/>
      <c r="AF2235" s="120"/>
      <c r="AG2235" s="94"/>
      <c r="AH2235" s="120"/>
      <c r="AI2235" s="94"/>
      <c r="AJ2235" s="94" t="s">
        <v>271</v>
      </c>
      <c r="AK2235" s="94" t="s">
        <v>758</v>
      </c>
      <c r="AL2235" s="94">
        <v>140</v>
      </c>
      <c r="AM2235" s="94" t="str">
        <f>TRIM(AJ2235)&amp;TRIM(AL2235)&amp;TRIM(AK2235)</f>
      </c>
      <c r="AN2235" s="116">
        <v>0</v>
      </c>
      <c r="AO2235" s="116" t="inlineStr">
        <is>
          <t>#NA</t>
        </is>
      </c>
      <c r="AP2235" s="116">
        <f>SUMIFS(M:M,AM:AM,AM2235)+SUMIFS(O:O,AM:AM,AM2235)</f>
      </c>
      <c r="AQ2235" s="116">
        <f>SUMIFS(L:L,AM:AM,AM2235)</f>
      </c>
      <c r="AR2235" s="116">
        <f>AQ2235-AP2235</f>
      </c>
      <c r="AS2235" s="94" t="str">
        <f>IF(AN2235&gt;=AQ2235,"ok","ck")</f>
      </c>
      <c r="AT2235" s="116">
        <f>-P2235</f>
      </c>
      <c r="AU2235" s="115">
        <f>IF(SUMIFS(AT:AT,AM:AM,AM2235)&gt;AO2235,(SUMIFS(AT:AT,AM:AM,AM2235)-AO2235))</f>
      </c>
      <c r="AV2235" s="116">
        <v>0</v>
      </c>
      <c r="AW2235" s="121">
        <v>1.015</v>
      </c>
      <c r="AX2235" s="115">
        <f>AN2235-AP2235</f>
      </c>
    </row>
    <row r="2236" spans="1:50" ht="15" hidden="1" customHeight="1" x14ac:dyDescent="0.3">
      <c r="A2236" s="94" t="s">
        <v>268</v>
      </c>
      <c r="B2236" s="94"/>
      <c r="C2236" s="94"/>
      <c r="D2236" s="94"/>
      <c r="E2236" s="94"/>
      <c r="F2236" s="94"/>
      <c r="G2236" s="112">
        <f>AU2236</f>
      </c>
      <c r="H2236" s="113"/>
      <c r="I2236" s="94" t="s">
        <v>390</v>
      </c>
      <c r="J2236" s="94" t="s">
        <v>399</v>
      </c>
      <c r="K2236" s="114">
        <f>P2236/3</f>
      </c>
      <c r="L2236" s="115">
        <v>-4.5090000000000003</v>
      </c>
      <c r="M2236" s="116"/>
      <c r="N2236" s="117">
        <f>M2236-L2236</f>
      </c>
      <c r="O2236" s="112"/>
      <c r="P2236" s="118">
        <f>N2236+O2236</f>
      </c>
      <c r="Q2236" s="94" t="s">
        <v>271</v>
      </c>
      <c r="R2236" s="94" t="s">
        <v>392</v>
      </c>
      <c r="S2236" s="119">
        <v>46320</v>
      </c>
      <c r="T2236" s="119"/>
      <c r="U2236" s="119">
        <v>46320</v>
      </c>
      <c r="V2236" s="94"/>
      <c r="W2236" s="94"/>
      <c r="X2236" s="94"/>
      <c r="Y2236" s="119">
        <v>46320</v>
      </c>
      <c r="Z2236" s="94"/>
      <c r="AA2236" s="120"/>
      <c r="AB2236" s="120"/>
      <c r="AC2236" s="120"/>
      <c r="AD2236" s="120"/>
      <c r="AE2236" s="120"/>
      <c r="AF2236" s="120"/>
      <c r="AG2236" s="94"/>
      <c r="AH2236" s="120"/>
      <c r="AI2236" s="94"/>
      <c r="AJ2236" s="94" t="s">
        <v>271</v>
      </c>
      <c r="AK2236" s="94" t="s">
        <v>758</v>
      </c>
      <c r="AL2236" s="94">
        <v>140</v>
      </c>
      <c r="AM2236" s="94" t="str">
        <f>TRIM(AJ2236)&amp;TRIM(AL2236)&amp;TRIM(AK2236)</f>
      </c>
      <c r="AN2236" s="116">
        <v>0</v>
      </c>
      <c r="AO2236" s="116" t="inlineStr">
        <is>
          <t>#NA</t>
        </is>
      </c>
      <c r="AP2236" s="116">
        <f>SUMIFS(M:M,AM:AM,AM2236)+SUMIFS(O:O,AM:AM,AM2236)</f>
      </c>
      <c r="AQ2236" s="116">
        <f>SUMIFS(L:L,AM:AM,AM2236)</f>
      </c>
      <c r="AR2236" s="116">
        <f>AQ2236-AP2236</f>
      </c>
      <c r="AS2236" s="94" t="str">
        <f>IF(AN2236&gt;=AQ2236,"ok","ck")</f>
      </c>
      <c r="AT2236" s="116">
        <f>-P2236</f>
      </c>
      <c r="AU2236" s="115">
        <f>IF(SUMIFS(AT:AT,AM:AM,AM2236)&gt;AO2236,(SUMIFS(AT:AT,AM:AM,AM2236)-AO2236))</f>
      </c>
      <c r="AV2236" s="116">
        <v>0</v>
      </c>
      <c r="AW2236" s="121">
        <v>1.015</v>
      </c>
      <c r="AX2236" s="115">
        <f>AN2236-AP2236</f>
      </c>
    </row>
    <row r="2237" spans="1:50" ht="15" hidden="1" customHeight="1" x14ac:dyDescent="0.3">
      <c r="A2237" s="94" t="s">
        <v>268</v>
      </c>
      <c r="B2237" s="94"/>
      <c r="C2237" s="94"/>
      <c r="D2237" s="94"/>
      <c r="E2237" s="94"/>
      <c r="F2237" s="94"/>
      <c r="G2237" s="112">
        <f>AU2237</f>
      </c>
      <c r="H2237" s="113"/>
      <c r="I2237" s="94" t="s">
        <v>390</v>
      </c>
      <c r="J2237" s="94" t="s">
        <v>399</v>
      </c>
      <c r="K2237" s="114">
        <f>P2237/3</f>
      </c>
      <c r="L2237" s="115">
        <v>-4.4980000000000002</v>
      </c>
      <c r="M2237" s="116"/>
      <c r="N2237" s="117">
        <f>M2237-L2237</f>
      </c>
      <c r="O2237" s="112"/>
      <c r="P2237" s="118">
        <f>N2237+O2237</f>
      </c>
      <c r="Q2237" s="94" t="s">
        <v>271</v>
      </c>
      <c r="R2237" s="94" t="s">
        <v>392</v>
      </c>
      <c r="S2237" s="119">
        <v>46320</v>
      </c>
      <c r="T2237" s="119"/>
      <c r="U2237" s="119">
        <v>46320</v>
      </c>
      <c r="V2237" s="94"/>
      <c r="W2237" s="94"/>
      <c r="X2237" s="94"/>
      <c r="Y2237" s="119">
        <v>46320</v>
      </c>
      <c r="Z2237" s="94"/>
      <c r="AA2237" s="120"/>
      <c r="AB2237" s="120"/>
      <c r="AC2237" s="120"/>
      <c r="AD2237" s="120"/>
      <c r="AE2237" s="120"/>
      <c r="AF2237" s="120"/>
      <c r="AG2237" s="94"/>
      <c r="AH2237" s="120"/>
      <c r="AI2237" s="94"/>
      <c r="AJ2237" s="94" t="s">
        <v>271</v>
      </c>
      <c r="AK2237" s="94" t="s">
        <v>758</v>
      </c>
      <c r="AL2237" s="94">
        <v>140</v>
      </c>
      <c r="AM2237" s="94" t="str">
        <f>TRIM(AJ2237)&amp;TRIM(AL2237)&amp;TRIM(AK2237)</f>
      </c>
      <c r="AN2237" s="116">
        <v>0</v>
      </c>
      <c r="AO2237" s="116" t="inlineStr">
        <is>
          <t>#NA</t>
        </is>
      </c>
      <c r="AP2237" s="116">
        <f>SUMIFS(M:M,AM:AM,AM2237)+SUMIFS(O:O,AM:AM,AM2237)</f>
      </c>
      <c r="AQ2237" s="116">
        <f>SUMIFS(L:L,AM:AM,AM2237)</f>
      </c>
      <c r="AR2237" s="116">
        <f>AQ2237-AP2237</f>
      </c>
      <c r="AS2237" s="94" t="str">
        <f>IF(AN2237&gt;=AQ2237,"ok","ck")</f>
      </c>
      <c r="AT2237" s="116">
        <f>-P2237</f>
      </c>
      <c r="AU2237" s="115">
        <f>IF(SUMIFS(AT:AT,AM:AM,AM2237)&gt;AO2237,(SUMIFS(AT:AT,AM:AM,AM2237)-AO2237))</f>
      </c>
      <c r="AV2237" s="116">
        <v>0</v>
      </c>
      <c r="AW2237" s="121">
        <v>1.015</v>
      </c>
      <c r="AX2237" s="115">
        <f>AN2237-AP2237</f>
      </c>
    </row>
    <row r="2238" spans="1:50" ht="15" hidden="1" customHeight="1" x14ac:dyDescent="0.3">
      <c r="A2238" s="94" t="s">
        <v>480</v>
      </c>
      <c r="B2238" s="94"/>
      <c r="C2238" s="94"/>
      <c r="D2238" s="94"/>
      <c r="E2238" s="94"/>
      <c r="F2238" s="94"/>
      <c r="G2238" s="112">
        <f>AU2238</f>
      </c>
      <c r="H2238" s="113"/>
      <c r="I2238" s="94" t="s">
        <v>483</v>
      </c>
      <c r="J2238" s="94" t="s">
        <v>604</v>
      </c>
      <c r="K2238" s="114">
        <f>P2238/3</f>
      </c>
      <c r="L2238" s="115">
        <v>60.706000000000003</v>
      </c>
      <c r="M2238" s="116"/>
      <c r="N2238" s="117">
        <f>M2238-L2238</f>
      </c>
      <c r="O2238" s="112"/>
      <c r="P2238" s="118">
        <f>N2238+O2238</f>
      </c>
      <c r="Q2238" s="94" t="s">
        <v>782</v>
      </c>
      <c r="R2238" s="94" t="s">
        <v>392</v>
      </c>
      <c r="S2238" s="119">
        <v>46329</v>
      </c>
      <c r="T2238" s="119"/>
      <c r="U2238" s="119">
        <v>46329</v>
      </c>
      <c r="V2238" s="94"/>
      <c r="W2238" s="94"/>
      <c r="X2238" s="94"/>
      <c r="Y2238" s="119">
        <v>46324</v>
      </c>
      <c r="Z2238" s="94"/>
      <c r="AA2238" s="120"/>
      <c r="AB2238" s="120"/>
      <c r="AC2238" s="120"/>
      <c r="AD2238" s="120"/>
      <c r="AE2238" s="120"/>
      <c r="AF2238" s="120"/>
      <c r="AG2238" s="94"/>
      <c r="AH2238" s="120"/>
      <c r="AI2238" s="94"/>
      <c r="AJ2238" s="94" t="s">
        <v>782</v>
      </c>
      <c r="AK2238" s="94" t="s">
        <v>750</v>
      </c>
      <c r="AL2238" s="94">
        <v>165</v>
      </c>
      <c r="AM2238" s="94" t="str">
        <f>TRIM(AJ2238)&amp;TRIM(AL2238)&amp;TRIM(AK2238)</f>
      </c>
      <c r="AN2238" s="116">
        <v>0</v>
      </c>
      <c r="AO2238" s="116" t="inlineStr">
        <is>
          <t>#NA</t>
        </is>
      </c>
      <c r="AP2238" s="116">
        <f>SUMIFS(M:M,AM:AM,AM2238)+SUMIFS(O:O,AM:AM,AM2238)</f>
      </c>
      <c r="AQ2238" s="116">
        <f>SUMIFS(L:L,AM:AM,AM2238)</f>
      </c>
      <c r="AR2238" s="116">
        <f>AQ2238-AP2238</f>
      </c>
      <c r="AS2238" s="94" t="str">
        <f>IF(AN2238&gt;=AQ2238,"ok","ck")</f>
      </c>
      <c r="AT2238" s="116">
        <f>-P2238</f>
      </c>
      <c r="AU2238" s="115">
        <f>IF(SUMIFS(AT:AT,AM:AM,AM2238)&gt;AO2238,(SUMIFS(AT:AT,AM:AM,AM2238)-AO2238))</f>
      </c>
      <c r="AV2238" s="116">
        <v>0</v>
      </c>
      <c r="AW2238" s="121">
        <v>1.088</v>
      </c>
      <c r="AX2238" s="115">
        <f>AN2238-AP2238</f>
      </c>
    </row>
    <row r="2239" spans="1:50" ht="15" hidden="1" customHeight="1" x14ac:dyDescent="0.3">
      <c r="A2239" s="94" t="s">
        <v>480</v>
      </c>
      <c r="B2239" s="94"/>
      <c r="C2239" s="94"/>
      <c r="D2239" s="94"/>
      <c r="E2239" s="94"/>
      <c r="F2239" s="94"/>
      <c r="G2239" s="112">
        <f>AU2239</f>
      </c>
      <c r="H2239" s="113"/>
      <c r="I2239" s="94" t="s">
        <v>483</v>
      </c>
      <c r="J2239" s="94" t="s">
        <v>604</v>
      </c>
      <c r="K2239" s="114">
        <f>P2239/3</f>
      </c>
      <c r="L2239" s="115">
        <v>8.2330000000000005</v>
      </c>
      <c r="M2239" s="116"/>
      <c r="N2239" s="117">
        <f>M2239-L2239</f>
      </c>
      <c r="O2239" s="112"/>
      <c r="P2239" s="118">
        <f>N2239+O2239</f>
      </c>
      <c r="Q2239" s="94" t="s">
        <v>782</v>
      </c>
      <c r="R2239" s="94" t="s">
        <v>392</v>
      </c>
      <c r="S2239" s="119">
        <v>46329</v>
      </c>
      <c r="T2239" s="119"/>
      <c r="U2239" s="119">
        <v>46329</v>
      </c>
      <c r="V2239" s="94"/>
      <c r="W2239" s="94"/>
      <c r="X2239" s="94"/>
      <c r="Y2239" s="119">
        <v>46326</v>
      </c>
      <c r="Z2239" s="94"/>
      <c r="AA2239" s="120"/>
      <c r="AB2239" s="120"/>
      <c r="AC2239" s="120"/>
      <c r="AD2239" s="120"/>
      <c r="AE2239" s="120"/>
      <c r="AF2239" s="120"/>
      <c r="AG2239" s="94"/>
      <c r="AH2239" s="120"/>
      <c r="AI2239" s="94"/>
      <c r="AJ2239" s="94" t="s">
        <v>782</v>
      </c>
      <c r="AK2239" s="94" t="s">
        <v>750</v>
      </c>
      <c r="AL2239" s="94">
        <v>165</v>
      </c>
      <c r="AM2239" s="94" t="str">
        <f>TRIM(AJ2239)&amp;TRIM(AL2239)&amp;TRIM(AK2239)</f>
      </c>
      <c r="AN2239" s="116">
        <v>0</v>
      </c>
      <c r="AO2239" s="116" t="inlineStr">
        <is>
          <t>#NA</t>
        </is>
      </c>
      <c r="AP2239" s="116">
        <f>SUMIFS(M:M,AM:AM,AM2239)+SUMIFS(O:O,AM:AM,AM2239)</f>
      </c>
      <c r="AQ2239" s="116">
        <f>SUMIFS(L:L,AM:AM,AM2239)</f>
      </c>
      <c r="AR2239" s="116">
        <f>AQ2239-AP2239</f>
      </c>
      <c r="AS2239" s="94" t="str">
        <f>IF(AN2239&gt;=AQ2239,"ok","ck")</f>
      </c>
      <c r="AT2239" s="116">
        <f>-P2239</f>
      </c>
      <c r="AU2239" s="115">
        <f>IF(SUMIFS(AT:AT,AM:AM,AM2239)&gt;AO2239,(SUMIFS(AT:AT,AM:AM,AM2239)-AO2239))</f>
      </c>
      <c r="AV2239" s="116">
        <v>0</v>
      </c>
      <c r="AW2239" s="121">
        <v>1.088</v>
      </c>
      <c r="AX2239" s="115">
        <f>AN2239-AP2239</f>
      </c>
    </row>
    <row r="2240" spans="1:50" ht="15" hidden="1" customHeight="1" x14ac:dyDescent="0.3">
      <c r="A2240" s="94" t="s">
        <v>480</v>
      </c>
      <c r="B2240" s="94"/>
      <c r="C2240" s="94"/>
      <c r="D2240" s="94"/>
      <c r="E2240" s="94"/>
      <c r="F2240" s="94"/>
      <c r="G2240" s="112">
        <f>AU2240</f>
      </c>
      <c r="H2240" s="113"/>
      <c r="I2240" s="94" t="s">
        <v>483</v>
      </c>
      <c r="J2240" s="94" t="s">
        <v>584</v>
      </c>
      <c r="K2240" s="114">
        <f>P2240/3</f>
      </c>
      <c r="L2240" s="115">
        <v>5.9930000000000003</v>
      </c>
      <c r="M2240" s="116"/>
      <c r="N2240" s="117">
        <f>M2240-L2240</f>
      </c>
      <c r="O2240" s="112"/>
      <c r="P2240" s="118">
        <f>N2240+O2240</f>
      </c>
      <c r="Q2240" s="94" t="s">
        <v>782</v>
      </c>
      <c r="R2240" s="94" t="s">
        <v>392</v>
      </c>
      <c r="S2240" s="119">
        <v>46329</v>
      </c>
      <c r="T2240" s="119"/>
      <c r="U2240" s="120">
        <v>46329</v>
      </c>
      <c r="V2240" s="94"/>
      <c r="W2240" s="94"/>
      <c r="X2240" s="94"/>
      <c r="Y2240" s="119">
        <v>46330</v>
      </c>
      <c r="Z2240" s="94"/>
      <c r="AA2240" s="120"/>
      <c r="AB2240" s="120"/>
      <c r="AC2240" s="120"/>
      <c r="AD2240" s="120"/>
      <c r="AE2240" s="120"/>
      <c r="AF2240" s="120"/>
      <c r="AG2240" s="94"/>
      <c r="AH2240" s="120"/>
      <c r="AI2240" s="94"/>
      <c r="AJ2240" s="94" t="s">
        <v>782</v>
      </c>
      <c r="AK2240" s="94" t="s">
        <v>750</v>
      </c>
      <c r="AL2240" s="94">
        <v>165</v>
      </c>
      <c r="AM2240" s="94" t="str">
        <f>TRIM(AJ2240)&amp;TRIM(AL2240)&amp;TRIM(AK2240)</f>
      </c>
      <c r="AN2240" s="116">
        <v>0</v>
      </c>
      <c r="AO2240" s="116" t="inlineStr">
        <is>
          <t>#NA</t>
        </is>
      </c>
      <c r="AP2240" s="116">
        <f>SUMIFS(M:M,AM:AM,AM2240)+SUMIFS(O:O,AM:AM,AM2240)</f>
      </c>
      <c r="AQ2240" s="116">
        <f>SUMIFS(L:L,AM:AM,AM2240)</f>
      </c>
      <c r="AR2240" s="116">
        <f>AQ2240-AP2240</f>
      </c>
      <c r="AS2240" s="94" t="str">
        <f>IF(AN2240&gt;=AQ2240,"ok","ck")</f>
      </c>
      <c r="AT2240" s="116">
        <f>-P2240</f>
      </c>
      <c r="AU2240" s="115">
        <f>IF(SUMIFS(AT:AT,AM:AM,AM2240)&gt;AO2240,(SUMIFS(AT:AT,AM:AM,AM2240)-AO2240))</f>
      </c>
      <c r="AV2240" s="116">
        <v>0</v>
      </c>
      <c r="AW2240" s="121">
        <v>1.088</v>
      </c>
      <c r="AX2240" s="115">
        <f>AN2240-AP2240</f>
      </c>
    </row>
    <row r="2241" spans="1:50" ht="15" hidden="1" customHeight="1" x14ac:dyDescent="0.3">
      <c r="A2241" s="94" t="s">
        <v>480</v>
      </c>
      <c r="B2241" s="94"/>
      <c r="C2241" s="94"/>
      <c r="D2241" s="94"/>
      <c r="E2241" s="94"/>
      <c r="F2241" s="94"/>
      <c r="G2241" s="112">
        <f>AU2241</f>
      </c>
      <c r="H2241" s="113"/>
      <c r="I2241" s="94" t="s">
        <v>483</v>
      </c>
      <c r="J2241" s="94" t="s">
        <v>584</v>
      </c>
      <c r="K2241" s="114">
        <f>P2241/3</f>
      </c>
      <c r="L2241" s="115">
        <v>3.996</v>
      </c>
      <c r="M2241" s="116"/>
      <c r="N2241" s="117">
        <f>M2241-L2241</f>
      </c>
      <c r="O2241" s="112"/>
      <c r="P2241" s="118">
        <f>N2241+O2241</f>
      </c>
      <c r="Q2241" s="94" t="s">
        <v>782</v>
      </c>
      <c r="R2241" s="94" t="s">
        <v>392</v>
      </c>
      <c r="S2241" s="119">
        <v>46329</v>
      </c>
      <c r="T2241" s="119"/>
      <c r="U2241" s="120">
        <v>46329</v>
      </c>
      <c r="V2241" s="94"/>
      <c r="W2241" s="94"/>
      <c r="X2241" s="94"/>
      <c r="Y2241" s="119">
        <v>46330</v>
      </c>
      <c r="Z2241" s="94"/>
      <c r="AA2241" s="120"/>
      <c r="AB2241" s="120"/>
      <c r="AC2241" s="120"/>
      <c r="AD2241" s="120"/>
      <c r="AE2241" s="120"/>
      <c r="AF2241" s="120"/>
      <c r="AG2241" s="94"/>
      <c r="AH2241" s="120"/>
      <c r="AI2241" s="94"/>
      <c r="AJ2241" s="94" t="s">
        <v>782</v>
      </c>
      <c r="AK2241" s="94" t="s">
        <v>750</v>
      </c>
      <c r="AL2241" s="94">
        <v>165</v>
      </c>
      <c r="AM2241" s="94" t="str">
        <f>TRIM(AJ2241)&amp;TRIM(AL2241)&amp;TRIM(AK2241)</f>
      </c>
      <c r="AN2241" s="116">
        <v>0</v>
      </c>
      <c r="AO2241" s="116" t="inlineStr">
        <is>
          <t>#NA</t>
        </is>
      </c>
      <c r="AP2241" s="116">
        <f>SUMIFS(M:M,AM:AM,AM2241)+SUMIFS(O:O,AM:AM,AM2241)</f>
      </c>
      <c r="AQ2241" s="116">
        <f>SUMIFS(L:L,AM:AM,AM2241)</f>
      </c>
      <c r="AR2241" s="116">
        <f>AQ2241-AP2241</f>
      </c>
      <c r="AS2241" s="94" t="str">
        <f>IF(AN2241&gt;=AQ2241,"ok","ck")</f>
      </c>
      <c r="AT2241" s="116">
        <f>-P2241</f>
      </c>
      <c r="AU2241" s="115">
        <f>IF(SUMIFS(AT:AT,AM:AM,AM2241)&gt;AO2241,(SUMIFS(AT:AT,AM:AM,AM2241)-AO2241))</f>
      </c>
      <c r="AV2241" s="116">
        <v>0</v>
      </c>
      <c r="AW2241" s="121">
        <v>1.088</v>
      </c>
      <c r="AX2241" s="115">
        <f>AN2241-AP2241</f>
      </c>
    </row>
    <row r="2242" spans="1:50" ht="15" hidden="1" customHeight="1" x14ac:dyDescent="0.3">
      <c r="A2242" s="94" t="s">
        <v>480</v>
      </c>
      <c r="B2242" s="94"/>
      <c r="C2242" s="94"/>
      <c r="D2242" s="94"/>
      <c r="E2242" s="94"/>
      <c r="F2242" s="94"/>
      <c r="G2242" s="112">
        <f>AU2242</f>
      </c>
      <c r="H2242" s="113"/>
      <c r="I2242" s="94" t="s">
        <v>483</v>
      </c>
      <c r="J2242" s="94" t="s">
        <v>584</v>
      </c>
      <c r="K2242" s="114">
        <f>P2242/3</f>
      </c>
      <c r="L2242" s="115">
        <v>1.998</v>
      </c>
      <c r="M2242" s="116"/>
      <c r="N2242" s="117">
        <f>M2242-L2242</f>
      </c>
      <c r="O2242" s="112"/>
      <c r="P2242" s="118">
        <f>N2242+O2242</f>
      </c>
      <c r="Q2242" s="94" t="s">
        <v>782</v>
      </c>
      <c r="R2242" s="94" t="s">
        <v>392</v>
      </c>
      <c r="S2242" s="119">
        <v>46329</v>
      </c>
      <c r="T2242" s="119"/>
      <c r="U2242" s="119">
        <v>46329</v>
      </c>
      <c r="V2242" s="94"/>
      <c r="W2242" s="94"/>
      <c r="X2242" s="94"/>
      <c r="Y2242" s="119">
        <v>46330</v>
      </c>
      <c r="Z2242" s="94"/>
      <c r="AA2242" s="120"/>
      <c r="AB2242" s="120"/>
      <c r="AC2242" s="120"/>
      <c r="AD2242" s="120"/>
      <c r="AE2242" s="120"/>
      <c r="AF2242" s="120"/>
      <c r="AG2242" s="94"/>
      <c r="AH2242" s="120"/>
      <c r="AI2242" s="94"/>
      <c r="AJ2242" s="94" t="s">
        <v>782</v>
      </c>
      <c r="AK2242" s="94" t="s">
        <v>750</v>
      </c>
      <c r="AL2242" s="94">
        <v>165</v>
      </c>
      <c r="AM2242" s="94" t="str">
        <f>TRIM(AJ2242)&amp;TRIM(AL2242)&amp;TRIM(AK2242)</f>
      </c>
      <c r="AN2242" s="116">
        <v>0</v>
      </c>
      <c r="AO2242" s="116" t="inlineStr">
        <is>
          <t>#NA</t>
        </is>
      </c>
      <c r="AP2242" s="116">
        <f>SUMIFS(M:M,AM:AM,AM2242)+SUMIFS(O:O,AM:AM,AM2242)</f>
      </c>
      <c r="AQ2242" s="116">
        <f>SUMIFS(L:L,AM:AM,AM2242)</f>
      </c>
      <c r="AR2242" s="116">
        <f>AQ2242-AP2242</f>
      </c>
      <c r="AS2242" s="94" t="str">
        <f>IF(AN2242&gt;=AQ2242,"ok","ck")</f>
      </c>
      <c r="AT2242" s="116">
        <f>-P2242</f>
      </c>
      <c r="AU2242" s="115">
        <f>IF(SUMIFS(AT:AT,AM:AM,AM2242)&gt;AO2242,(SUMIFS(AT:AT,AM:AM,AM2242)-AO2242))</f>
      </c>
      <c r="AV2242" s="116">
        <v>0</v>
      </c>
      <c r="AW2242" s="121">
        <v>1.088</v>
      </c>
      <c r="AX2242" s="115">
        <f>AN2242-AP2242</f>
      </c>
    </row>
    <row r="2243" spans="1:50" ht="15" hidden="1" customHeight="1" x14ac:dyDescent="0.3">
      <c r="A2243" s="94" t="s">
        <v>480</v>
      </c>
      <c r="B2243" s="94"/>
      <c r="C2243" s="94"/>
      <c r="D2243" s="94"/>
      <c r="E2243" s="94"/>
      <c r="F2243" s="94"/>
      <c r="G2243" s="112">
        <f>AU2243</f>
      </c>
      <c r="H2243" s="113"/>
      <c r="I2243" s="94" t="s">
        <v>483</v>
      </c>
      <c r="J2243" s="94" t="s">
        <v>584</v>
      </c>
      <c r="K2243" s="114">
        <f>P2243/3</f>
      </c>
      <c r="L2243" s="115">
        <v>44.37</v>
      </c>
      <c r="M2243" s="116"/>
      <c r="N2243" s="117">
        <f>M2243-L2243</f>
      </c>
      <c r="O2243" s="112"/>
      <c r="P2243" s="118">
        <f>N2243+O2243</f>
      </c>
      <c r="Q2243" s="94" t="s">
        <v>782</v>
      </c>
      <c r="R2243" s="94" t="s">
        <v>392</v>
      </c>
      <c r="S2243" s="119">
        <v>46329</v>
      </c>
      <c r="T2243" s="119"/>
      <c r="U2243" s="119">
        <v>46329</v>
      </c>
      <c r="V2243" s="94"/>
      <c r="W2243" s="94"/>
      <c r="X2243" s="94"/>
      <c r="Y2243" s="119">
        <v>46330</v>
      </c>
      <c r="Z2243" s="94"/>
      <c r="AA2243" s="120"/>
      <c r="AB2243" s="120"/>
      <c r="AC2243" s="120"/>
      <c r="AD2243" s="120"/>
      <c r="AE2243" s="120"/>
      <c r="AF2243" s="120"/>
      <c r="AG2243" s="94"/>
      <c r="AH2243" s="120"/>
      <c r="AI2243" s="94"/>
      <c r="AJ2243" s="94" t="s">
        <v>782</v>
      </c>
      <c r="AK2243" s="94" t="s">
        <v>750</v>
      </c>
      <c r="AL2243" s="94">
        <v>165</v>
      </c>
      <c r="AM2243" s="94" t="str">
        <f>TRIM(AJ2243)&amp;TRIM(AL2243)&amp;TRIM(AK2243)</f>
      </c>
      <c r="AN2243" s="116">
        <v>0</v>
      </c>
      <c r="AO2243" s="116" t="inlineStr">
        <is>
          <t>#NA</t>
        </is>
      </c>
      <c r="AP2243" s="116">
        <f>SUMIFS(M:M,AM:AM,AM2243)+SUMIFS(O:O,AM:AM,AM2243)</f>
      </c>
      <c r="AQ2243" s="116">
        <f>SUMIFS(L:L,AM:AM,AM2243)</f>
      </c>
      <c r="AR2243" s="116">
        <f>AQ2243-AP2243</f>
      </c>
      <c r="AS2243" s="94" t="str">
        <f>IF(AN2243&gt;=AQ2243,"ok","ck")</f>
      </c>
      <c r="AT2243" s="116">
        <f>-P2243</f>
      </c>
      <c r="AU2243" s="115">
        <f>IF(SUMIFS(AT:AT,AM:AM,AM2243)&gt;AO2243,(SUMIFS(AT:AT,AM:AM,AM2243)-AO2243))</f>
      </c>
      <c r="AV2243" s="116">
        <v>0</v>
      </c>
      <c r="AW2243" s="121">
        <v>1.088</v>
      </c>
      <c r="AX2243" s="115">
        <f>AN2243-AP2243</f>
      </c>
    </row>
    <row r="2244" spans="1:50" ht="15" hidden="1" customHeight="1" x14ac:dyDescent="0.3">
      <c r="A2244" s="94" t="s">
        <v>480</v>
      </c>
      <c r="B2244" s="94"/>
      <c r="C2244" s="94"/>
      <c r="D2244" s="94"/>
      <c r="E2244" s="94"/>
      <c r="F2244" s="94"/>
      <c r="G2244" s="112">
        <f>AU2244</f>
      </c>
      <c r="H2244" s="113"/>
      <c r="I2244" s="94" t="s">
        <v>483</v>
      </c>
      <c r="J2244" s="94" t="s">
        <v>584</v>
      </c>
      <c r="K2244" s="114">
        <f>P2244/3</f>
      </c>
      <c r="L2244" s="115">
        <v>7.6070000000000002</v>
      </c>
      <c r="M2244" s="116"/>
      <c r="N2244" s="117">
        <f>M2244-L2244</f>
      </c>
      <c r="O2244" s="112"/>
      <c r="P2244" s="118">
        <f>N2244+O2244</f>
      </c>
      <c r="Q2244" s="94" t="s">
        <v>782</v>
      </c>
      <c r="R2244" s="94" t="s">
        <v>392</v>
      </c>
      <c r="S2244" s="119">
        <v>46329</v>
      </c>
      <c r="T2244" s="119"/>
      <c r="U2244" s="120">
        <v>46329</v>
      </c>
      <c r="V2244" s="94"/>
      <c r="W2244" s="94"/>
      <c r="X2244" s="94"/>
      <c r="Y2244" s="119">
        <v>46330</v>
      </c>
      <c r="Z2244" s="94"/>
      <c r="AA2244" s="120"/>
      <c r="AB2244" s="120"/>
      <c r="AC2244" s="120"/>
      <c r="AD2244" s="120"/>
      <c r="AE2244" s="120"/>
      <c r="AF2244" s="120"/>
      <c r="AG2244" s="94"/>
      <c r="AH2244" s="120"/>
      <c r="AI2244" s="94"/>
      <c r="AJ2244" s="94" t="s">
        <v>782</v>
      </c>
      <c r="AK2244" s="94" t="s">
        <v>750</v>
      </c>
      <c r="AL2244" s="94">
        <v>165</v>
      </c>
      <c r="AM2244" s="94" t="str">
        <f>TRIM(AJ2244)&amp;TRIM(AL2244)&amp;TRIM(AK2244)</f>
      </c>
      <c r="AN2244" s="116">
        <v>0</v>
      </c>
      <c r="AO2244" s="116" t="inlineStr">
        <is>
          <t>#NA</t>
        </is>
      </c>
      <c r="AP2244" s="116">
        <f>SUMIFS(M:M,AM:AM,AM2244)+SUMIFS(O:O,AM:AM,AM2244)</f>
      </c>
      <c r="AQ2244" s="116">
        <f>SUMIFS(L:L,AM:AM,AM2244)</f>
      </c>
      <c r="AR2244" s="116">
        <f>AQ2244-AP2244</f>
      </c>
      <c r="AS2244" s="94" t="str">
        <f>IF(AN2244&gt;=AQ2244,"ok","ck")</f>
      </c>
      <c r="AT2244" s="116">
        <f>-P2244</f>
      </c>
      <c r="AU2244" s="115">
        <f>IF(SUMIFS(AT:AT,AM:AM,AM2244)&gt;AO2244,(SUMIFS(AT:AT,AM:AM,AM2244)-AO2244))</f>
      </c>
      <c r="AV2244" s="116">
        <v>0</v>
      </c>
      <c r="AW2244" s="121">
        <v>1.088</v>
      </c>
      <c r="AX2244" s="115">
        <f>AN2244-AP2244</f>
      </c>
    </row>
    <row r="2245" spans="1:50" ht="15" hidden="1" customHeight="1" x14ac:dyDescent="0.3">
      <c r="A2245" s="94" t="s">
        <v>268</v>
      </c>
      <c r="B2245" s="94"/>
      <c r="C2245" s="94"/>
      <c r="D2245" s="94"/>
      <c r="E2245" s="94"/>
      <c r="F2245" s="94"/>
      <c r="G2245" s="112">
        <f>AU2245</f>
      </c>
      <c r="H2245" s="113"/>
      <c r="I2245" s="94" t="s">
        <v>390</v>
      </c>
      <c r="J2245" s="94" t="s">
        <v>597</v>
      </c>
      <c r="K2245" s="114">
        <f>P2245/3</f>
      </c>
      <c r="L2245" s="115">
        <v>0</v>
      </c>
      <c r="M2245" s="116"/>
      <c r="N2245" s="117">
        <f>M2245-L2245</f>
      </c>
      <c r="O2245" s="112"/>
      <c r="P2245" s="118">
        <f>N2245+O2245</f>
      </c>
      <c r="Q2245" s="94" t="s">
        <v>287</v>
      </c>
      <c r="R2245" s="94" t="s">
        <v>392</v>
      </c>
      <c r="S2245" s="119">
        <v>46334</v>
      </c>
      <c r="T2245" s="119"/>
      <c r="U2245" s="120">
        <v>46334</v>
      </c>
      <c r="V2245" s="94"/>
      <c r="W2245" s="94"/>
      <c r="X2245" s="94"/>
      <c r="Y2245" s="119">
        <v>46334</v>
      </c>
      <c r="Z2245" s="94"/>
      <c r="AA2245" s="120"/>
      <c r="AB2245" s="120"/>
      <c r="AC2245" s="120"/>
      <c r="AD2245" s="120"/>
      <c r="AE2245" s="120"/>
      <c r="AF2245" s="120"/>
      <c r="AG2245" s="94"/>
      <c r="AH2245" s="120"/>
      <c r="AI2245" s="94"/>
      <c r="AJ2245" s="94" t="s">
        <v>287</v>
      </c>
      <c r="AK2245" s="94" t="s">
        <v>758</v>
      </c>
      <c r="AL2245" s="94">
        <v>140</v>
      </c>
      <c r="AM2245" s="94" t="str">
        <f>TRIM(AJ2245)&amp;TRIM(AL2245)&amp;TRIM(AK2245)</f>
      </c>
      <c r="AN2245" s="116">
        <v>0</v>
      </c>
      <c r="AO2245" s="116" t="inlineStr">
        <is>
          <t>#NA</t>
        </is>
      </c>
      <c r="AP2245" s="116">
        <f>SUMIFS(M:M,AM:AM,AM2245)+SUMIFS(O:O,AM:AM,AM2245)</f>
      </c>
      <c r="AQ2245" s="116">
        <f>SUMIFS(L:L,AM:AM,AM2245)</f>
      </c>
      <c r="AR2245" s="116">
        <f>AQ2245-AP2245</f>
      </c>
      <c r="AS2245" s="94" t="str">
        <f>IF(AN2245&gt;=AQ2245,"ok","ck")</f>
      </c>
      <c r="AT2245" s="116">
        <f>-P2245</f>
      </c>
      <c r="AU2245" s="115">
        <f>IF(SUMIFS(AT:AT,AM:AM,AM2245)&gt;AO2245,(SUMIFS(AT:AT,AM:AM,AM2245)-AO2245))</f>
      </c>
      <c r="AV2245" s="116">
        <v>0</v>
      </c>
      <c r="AW2245" s="121">
        <v>1.034</v>
      </c>
      <c r="AX2245" s="115">
        <f>AN2245-AP2245</f>
      </c>
    </row>
    <row r="2246" spans="1:50" ht="15" hidden="1" customHeight="1" x14ac:dyDescent="0.3">
      <c r="A2246" s="94" t="s">
        <v>268</v>
      </c>
      <c r="B2246" s="94"/>
      <c r="C2246" s="94"/>
      <c r="D2246" s="94"/>
      <c r="E2246" s="94"/>
      <c r="F2246" s="94"/>
      <c r="G2246" s="112">
        <f>AU2246</f>
      </c>
      <c r="H2246" s="113"/>
      <c r="I2246" s="94" t="s">
        <v>390</v>
      </c>
      <c r="J2246" s="94" t="s">
        <v>597</v>
      </c>
      <c r="K2246" s="114">
        <f>P2246/3</f>
      </c>
      <c r="L2246" s="115">
        <v>0.46400000000000002</v>
      </c>
      <c r="M2246" s="116"/>
      <c r="N2246" s="117">
        <f>M2246-L2246</f>
      </c>
      <c r="O2246" s="112"/>
      <c r="P2246" s="118">
        <f>N2246+O2246</f>
      </c>
      <c r="Q2246" s="94" t="s">
        <v>287</v>
      </c>
      <c r="R2246" s="94" t="s">
        <v>392</v>
      </c>
      <c r="S2246" s="119">
        <v>46334</v>
      </c>
      <c r="T2246" s="119"/>
      <c r="U2246" s="120">
        <v>46334</v>
      </c>
      <c r="V2246" s="94"/>
      <c r="W2246" s="94"/>
      <c r="X2246" s="94"/>
      <c r="Y2246" s="119">
        <v>46334</v>
      </c>
      <c r="Z2246" s="94"/>
      <c r="AA2246" s="120"/>
      <c r="AB2246" s="120"/>
      <c r="AC2246" s="120"/>
      <c r="AD2246" s="120"/>
      <c r="AE2246" s="120"/>
      <c r="AF2246" s="120"/>
      <c r="AG2246" s="94"/>
      <c r="AH2246" s="120"/>
      <c r="AI2246" s="94"/>
      <c r="AJ2246" s="94" t="s">
        <v>287</v>
      </c>
      <c r="AK2246" s="94" t="s">
        <v>758</v>
      </c>
      <c r="AL2246" s="94">
        <v>140</v>
      </c>
      <c r="AM2246" s="94" t="str">
        <f>TRIM(AJ2246)&amp;TRIM(AL2246)&amp;TRIM(AK2246)</f>
      </c>
      <c r="AN2246" s="116">
        <v>0</v>
      </c>
      <c r="AO2246" s="116" t="inlineStr">
        <is>
          <t>#NA</t>
        </is>
      </c>
      <c r="AP2246" s="116">
        <f>SUMIFS(M:M,AM:AM,AM2246)+SUMIFS(O:O,AM:AM,AM2246)</f>
      </c>
      <c r="AQ2246" s="116">
        <f>SUMIFS(L:L,AM:AM,AM2246)</f>
      </c>
      <c r="AR2246" s="116">
        <f>AQ2246-AP2246</f>
      </c>
      <c r="AS2246" s="94" t="str">
        <f>IF(AN2246&gt;=AQ2246,"ok","ck")</f>
      </c>
      <c r="AT2246" s="116">
        <f>-P2246</f>
      </c>
      <c r="AU2246" s="115">
        <f>IF(SUMIFS(AT:AT,AM:AM,AM2246)&gt;AO2246,(SUMIFS(AT:AT,AM:AM,AM2246)-AO2246))</f>
      </c>
      <c r="AV2246" s="116">
        <v>0</v>
      </c>
      <c r="AW2246" s="121">
        <v>1.034</v>
      </c>
      <c r="AX2246" s="115">
        <f>AN2246-AP2246</f>
      </c>
    </row>
    <row r="2247" spans="1:50" ht="15" hidden="1" customHeight="1" x14ac:dyDescent="0.3">
      <c r="A2247" s="94" t="s">
        <v>268</v>
      </c>
      <c r="B2247" s="94"/>
      <c r="C2247" s="94"/>
      <c r="D2247" s="94"/>
      <c r="E2247" s="94"/>
      <c r="F2247" s="94"/>
      <c r="G2247" s="112">
        <f>AU2247</f>
      </c>
      <c r="H2247" s="113"/>
      <c r="I2247" s="94" t="s">
        <v>390</v>
      </c>
      <c r="J2247" s="94" t="s">
        <v>595</v>
      </c>
      <c r="K2247" s="114">
        <f>P2247/3</f>
      </c>
      <c r="L2247" s="115">
        <v>358.68599999999998</v>
      </c>
      <c r="M2247" s="116"/>
      <c r="N2247" s="117">
        <f>M2247-L2247</f>
      </c>
      <c r="O2247" s="112"/>
      <c r="P2247" s="118">
        <f>N2247+O2247</f>
      </c>
      <c r="Q2247" s="94" t="s">
        <v>793</v>
      </c>
      <c r="R2247" s="94" t="s">
        <v>392</v>
      </c>
      <c r="S2247" s="119">
        <v>46343</v>
      </c>
      <c r="T2247" s="119"/>
      <c r="U2247" s="120">
        <v>46343</v>
      </c>
      <c r="V2247" s="94"/>
      <c r="W2247" s="94"/>
      <c r="X2247" s="94"/>
      <c r="Y2247" s="119">
        <v>46320</v>
      </c>
      <c r="Z2247" s="94"/>
      <c r="AA2247" s="120"/>
      <c r="AB2247" s="120"/>
      <c r="AC2247" s="120"/>
      <c r="AD2247" s="120"/>
      <c r="AE2247" s="120"/>
      <c r="AF2247" s="120"/>
      <c r="AG2247" s="94"/>
      <c r="AH2247" s="120"/>
      <c r="AI2247" s="94"/>
      <c r="AJ2247" s="94" t="s">
        <v>793</v>
      </c>
      <c r="AK2247" s="94" t="s">
        <v>756</v>
      </c>
      <c r="AL2247" s="94">
        <v>140</v>
      </c>
      <c r="AM2247" s="94" t="str">
        <f>TRIM(AJ2247)&amp;TRIM(AL2247)&amp;TRIM(AK2247)</f>
      </c>
      <c r="AN2247" s="116">
        <v>0</v>
      </c>
      <c r="AO2247" s="116" t="inlineStr">
        <is>
          <t>#NA</t>
        </is>
      </c>
      <c r="AP2247" s="116">
        <f>SUMIFS(M:M,AM:AM,AM2247)+SUMIFS(O:O,AM:AM,AM2247)</f>
      </c>
      <c r="AQ2247" s="116">
        <f>SUMIFS(L:L,AM:AM,AM2247)</f>
      </c>
      <c r="AR2247" s="116">
        <f>AQ2247-AP2247</f>
      </c>
      <c r="AS2247" s="94" t="str">
        <f>IF(AN2247&gt;=AQ2247,"ok","ck")</f>
      </c>
      <c r="AT2247" s="116">
        <f>-P2247</f>
      </c>
      <c r="AU2247" s="115">
        <f>IF(SUMIFS(AT:AT,AM:AM,AM2247)&gt;AO2247,(SUMIFS(AT:AT,AM:AM,AM2247)-AO2247))</f>
      </c>
      <c r="AV2247" s="116">
        <v>0</v>
      </c>
      <c r="AW2247" s="121">
        <v>0</v>
      </c>
      <c r="AX2247" s="115">
        <f>AN2247-AP2247</f>
      </c>
    </row>
    <row r="2248" spans="1:50" ht="15" hidden="1" customHeight="1" x14ac:dyDescent="0.3">
      <c r="A2248" s="94" t="s">
        <v>268</v>
      </c>
      <c r="B2248" s="94"/>
      <c r="C2248" s="94"/>
      <c r="D2248" s="94"/>
      <c r="E2248" s="94"/>
      <c r="F2248" s="94"/>
      <c r="G2248" s="112">
        <f>AU2248</f>
      </c>
      <c r="H2248" s="113"/>
      <c r="I2248" s="94" t="s">
        <v>390</v>
      </c>
      <c r="J2248" s="94" t="s">
        <v>399</v>
      </c>
      <c r="K2248" s="114">
        <f>P2248/3</f>
      </c>
      <c r="L2248" s="115">
        <v>3.6480000000000001</v>
      </c>
      <c r="M2248" s="116"/>
      <c r="N2248" s="117">
        <f>M2248-L2248</f>
      </c>
      <c r="O2248" s="112"/>
      <c r="P2248" s="118">
        <f>N2248+O2248</f>
      </c>
      <c r="Q2248" s="94" t="s">
        <v>812</v>
      </c>
      <c r="R2248" s="94" t="s">
        <v>392</v>
      </c>
      <c r="S2248" s="119">
        <v>46352</v>
      </c>
      <c r="T2248" s="119"/>
      <c r="U2248" s="120">
        <v>46352</v>
      </c>
      <c r="V2248" s="94"/>
      <c r="W2248" s="94"/>
      <c r="X2248" s="94"/>
      <c r="Y2248" s="119">
        <v>46340</v>
      </c>
      <c r="Z2248" s="94"/>
      <c r="AA2248" s="120"/>
      <c r="AB2248" s="120"/>
      <c r="AC2248" s="120"/>
      <c r="AD2248" s="120"/>
      <c r="AE2248" s="120"/>
      <c r="AF2248" s="120"/>
      <c r="AG2248" s="94"/>
      <c r="AH2248" s="120"/>
      <c r="AI2248" s="94"/>
      <c r="AJ2248" s="94" t="s">
        <v>812</v>
      </c>
      <c r="AK2248" s="94" t="s">
        <v>342</v>
      </c>
      <c r="AL2248" s="94">
        <v>140</v>
      </c>
      <c r="AM2248" s="94" t="str">
        <f>TRIM(AJ2248)&amp;TRIM(AL2248)&amp;TRIM(AK2248)</f>
      </c>
      <c r="AN2248" s="116">
        <v>0</v>
      </c>
      <c r="AO2248" s="116" t="inlineStr">
        <is>
          <t>#NA</t>
        </is>
      </c>
      <c r="AP2248" s="116">
        <f>SUMIFS(M:M,AM:AM,AM2248)+SUMIFS(O:O,AM:AM,AM2248)</f>
      </c>
      <c r="AQ2248" s="116">
        <f>SUMIFS(L:L,AM:AM,AM2248)</f>
      </c>
      <c r="AR2248" s="116">
        <f>AQ2248-AP2248</f>
      </c>
      <c r="AS2248" s="94" t="str">
        <f>IF(AN2248&gt;=AQ2248,"ok","ck")</f>
      </c>
      <c r="AT2248" s="116">
        <f>-P2248</f>
      </c>
      <c r="AU2248" s="115">
        <f>IF(SUMIFS(AT:AT,AM:AM,AM2248)&gt;AO2248,(SUMIFS(AT:AT,AM:AM,AM2248)-AO2248))</f>
      </c>
      <c r="AV2248" s="116">
        <v>0</v>
      </c>
      <c r="AW2248" s="121">
        <v>0</v>
      </c>
      <c r="AX2248" s="115">
        <f>AN2248-AP2248</f>
      </c>
    </row>
    <row r="2249" spans="1:50" ht="15" hidden="1" customHeight="1" x14ac:dyDescent="0.3">
      <c r="A2249" s="94" t="s">
        <v>268</v>
      </c>
      <c r="B2249" s="94"/>
      <c r="C2249" s="94"/>
      <c r="D2249" s="94"/>
      <c r="E2249" s="94"/>
      <c r="F2249" s="94"/>
      <c r="G2249" s="112">
        <f>AU2249</f>
      </c>
      <c r="H2249" s="113"/>
      <c r="I2249" s="94" t="s">
        <v>390</v>
      </c>
      <c r="J2249" s="94" t="s">
        <v>401</v>
      </c>
      <c r="K2249" s="114">
        <f>P2249/3</f>
      </c>
      <c r="L2249" s="115">
        <v>3.36</v>
      </c>
      <c r="M2249" s="116"/>
      <c r="N2249" s="117">
        <f>M2249-L2249</f>
      </c>
      <c r="O2249" s="112"/>
      <c r="P2249" s="118">
        <f>N2249+O2249</f>
      </c>
      <c r="Q2249" s="94" t="s">
        <v>812</v>
      </c>
      <c r="R2249" s="94" t="s">
        <v>392</v>
      </c>
      <c r="S2249" s="119">
        <v>46352</v>
      </c>
      <c r="T2249" s="119"/>
      <c r="U2249" s="119">
        <v>46352</v>
      </c>
      <c r="V2249" s="94"/>
      <c r="W2249" s="94"/>
      <c r="X2249" s="94"/>
      <c r="Y2249" s="119">
        <v>46340</v>
      </c>
      <c r="Z2249" s="94"/>
      <c r="AA2249" s="120"/>
      <c r="AB2249" s="120"/>
      <c r="AC2249" s="120"/>
      <c r="AD2249" s="120"/>
      <c r="AE2249" s="120"/>
      <c r="AF2249" s="120"/>
      <c r="AG2249" s="94"/>
      <c r="AH2249" s="120"/>
      <c r="AI2249" s="94"/>
      <c r="AJ2249" s="94" t="s">
        <v>812</v>
      </c>
      <c r="AK2249" s="94" t="s">
        <v>389</v>
      </c>
      <c r="AL2249" s="94">
        <v>140</v>
      </c>
      <c r="AM2249" s="94" t="str">
        <f>TRIM(AJ2249)&amp;TRIM(AL2249)&amp;TRIM(AK2249)</f>
      </c>
      <c r="AN2249" s="116">
        <v>0</v>
      </c>
      <c r="AO2249" s="116" t="inlineStr">
        <is>
          <t>#NA</t>
        </is>
      </c>
      <c r="AP2249" s="116">
        <f>SUMIFS(M:M,AM:AM,AM2249)+SUMIFS(O:O,AM:AM,AM2249)</f>
      </c>
      <c r="AQ2249" s="116">
        <f>SUMIFS(L:L,AM:AM,AM2249)</f>
      </c>
      <c r="AR2249" s="116">
        <f>AQ2249-AP2249</f>
      </c>
      <c r="AS2249" s="94" t="str">
        <f>IF(AN2249&gt;=AQ2249,"ok","ck")</f>
      </c>
      <c r="AT2249" s="116">
        <f>-P2249</f>
      </c>
      <c r="AU2249" s="115">
        <f>IF(SUMIFS(AT:AT,AM:AM,AM2249)&gt;AO2249,(SUMIFS(AT:AT,AM:AM,AM2249)-AO2249))</f>
      </c>
      <c r="AV2249" s="116">
        <v>0</v>
      </c>
      <c r="AW2249" s="121">
        <v>0</v>
      </c>
      <c r="AX2249" s="115">
        <f>AN2249-AP2249</f>
      </c>
    </row>
    <row r="2250" spans="1:50" ht="15" hidden="1" customHeight="1" x14ac:dyDescent="0.3">
      <c r="A2250" s="94" t="s">
        <v>60</v>
      </c>
      <c r="B2250" s="94"/>
      <c r="C2250" s="94"/>
      <c r="D2250" s="94"/>
      <c r="E2250" s="94"/>
      <c r="F2250" s="94"/>
      <c r="G2250" s="112">
        <f>AU2250</f>
      </c>
      <c r="H2250" s="113"/>
      <c r="I2250" s="94" t="s">
        <v>490</v>
      </c>
      <c r="J2250" s="94" t="s">
        <v>605</v>
      </c>
      <c r="K2250" s="114">
        <f>P2250/3</f>
      </c>
      <c r="L2250" s="115">
        <v>0</v>
      </c>
      <c r="M2250" s="116"/>
      <c r="N2250" s="117">
        <f>M2250-L2250</f>
      </c>
      <c r="O2250" s="112"/>
      <c r="P2250" s="118">
        <f>N2250+O2250</f>
      </c>
      <c r="Q2250" s="94" t="s">
        <v>791</v>
      </c>
      <c r="R2250" s="94" t="s">
        <v>392</v>
      </c>
      <c r="S2250" s="119">
        <v>46335</v>
      </c>
      <c r="T2250" s="119"/>
      <c r="U2250" s="119">
        <v>46335</v>
      </c>
      <c r="V2250" s="94"/>
      <c r="W2250" s="94"/>
      <c r="X2250" s="94"/>
      <c r="Y2250" s="119">
        <v>46335</v>
      </c>
      <c r="Z2250" s="94"/>
      <c r="AA2250" s="120"/>
      <c r="AB2250" s="120"/>
      <c r="AC2250" s="120"/>
      <c r="AD2250" s="120"/>
      <c r="AE2250" s="120"/>
      <c r="AF2250" s="120"/>
      <c r="AG2250" s="94"/>
      <c r="AH2250" s="120"/>
      <c r="AI2250" s="94"/>
      <c r="AJ2250" s="94" t="s">
        <v>791</v>
      </c>
      <c r="AK2250" s="94" t="s">
        <v>763</v>
      </c>
      <c r="AL2250" s="94">
        <v>140</v>
      </c>
      <c r="AM2250" s="94" t="str">
        <f>TRIM(AJ2250)&amp;TRIM(AL2250)&amp;TRIM(AK2250)</f>
      </c>
      <c r="AN2250" s="116">
        <v>0</v>
      </c>
      <c r="AO2250" s="116" t="inlineStr">
        <is>
          <t>#NA</t>
        </is>
      </c>
      <c r="AP2250" s="116">
        <f>SUMIFS(M:M,AM:AM,AM2250)+SUMIFS(O:O,AM:AM,AM2250)</f>
      </c>
      <c r="AQ2250" s="116">
        <f>SUMIFS(L:L,AM:AM,AM2250)</f>
      </c>
      <c r="AR2250" s="116">
        <f>AQ2250-AP2250</f>
      </c>
      <c r="AS2250" s="94" t="str">
        <f>IF(AN2250&gt;=AQ2250,"ok","ck")</f>
      </c>
      <c r="AT2250" s="116">
        <f>-P2250</f>
      </c>
      <c r="AU2250" s="115">
        <f>IF(SUMIFS(AT:AT,AM:AM,AM2250)&gt;AO2250,(SUMIFS(AT:AT,AM:AM,AM2250)-AO2250))</f>
      </c>
      <c r="AV2250" s="116">
        <v>0</v>
      </c>
      <c r="AW2250" s="121">
        <v>1.035</v>
      </c>
      <c r="AX2250" s="115">
        <f>AN2250-AP2250</f>
      </c>
    </row>
    <row r="2251" spans="1:50" ht="15" hidden="1" customHeight="1" x14ac:dyDescent="0.3">
      <c r="A2251" s="94" t="s">
        <v>60</v>
      </c>
      <c r="B2251" s="94"/>
      <c r="C2251" s="94"/>
      <c r="D2251" s="94"/>
      <c r="E2251" s="94"/>
      <c r="F2251" s="94"/>
      <c r="G2251" s="112">
        <f>AU2251</f>
      </c>
      <c r="H2251" s="113"/>
      <c r="I2251" s="94" t="s">
        <v>490</v>
      </c>
      <c r="J2251" s="94" t="s">
        <v>605</v>
      </c>
      <c r="K2251" s="114">
        <f>P2251/3</f>
      </c>
      <c r="L2251" s="115">
        <v>-11.766999999999999</v>
      </c>
      <c r="M2251" s="116"/>
      <c r="N2251" s="117">
        <f>M2251-L2251</f>
      </c>
      <c r="O2251" s="112"/>
      <c r="P2251" s="118">
        <f>N2251+O2251</f>
      </c>
      <c r="Q2251" s="94" t="s">
        <v>791</v>
      </c>
      <c r="R2251" s="94" t="s">
        <v>392</v>
      </c>
      <c r="S2251" s="119">
        <v>46327</v>
      </c>
      <c r="T2251" s="119"/>
      <c r="U2251" s="119">
        <v>46327</v>
      </c>
      <c r="V2251" s="94"/>
      <c r="W2251" s="94"/>
      <c r="X2251" s="94"/>
      <c r="Y2251" s="119">
        <v>46327</v>
      </c>
      <c r="Z2251" s="94"/>
      <c r="AA2251" s="120"/>
      <c r="AB2251" s="120"/>
      <c r="AC2251" s="120"/>
      <c r="AD2251" s="120"/>
      <c r="AE2251" s="120"/>
      <c r="AF2251" s="120"/>
      <c r="AG2251" s="94"/>
      <c r="AH2251" s="120"/>
      <c r="AI2251" s="94"/>
      <c r="AJ2251" s="94" t="s">
        <v>791</v>
      </c>
      <c r="AK2251" s="94" t="s">
        <v>763</v>
      </c>
      <c r="AL2251" s="94">
        <v>140</v>
      </c>
      <c r="AM2251" s="94" t="str">
        <f>TRIM(AJ2251)&amp;TRIM(AL2251)&amp;TRIM(AK2251)</f>
      </c>
      <c r="AN2251" s="116">
        <v>0</v>
      </c>
      <c r="AO2251" s="116" t="inlineStr">
        <is>
          <t>#NA</t>
        </is>
      </c>
      <c r="AP2251" s="116">
        <f>SUMIFS(M:M,AM:AM,AM2251)+SUMIFS(O:O,AM:AM,AM2251)</f>
      </c>
      <c r="AQ2251" s="116">
        <f>SUMIFS(L:L,AM:AM,AM2251)</f>
      </c>
      <c r="AR2251" s="116">
        <f>AQ2251-AP2251</f>
      </c>
      <c r="AS2251" s="94" t="str">
        <f>IF(AN2251&gt;=AQ2251,"ok","ck")</f>
      </c>
      <c r="AT2251" s="116">
        <f>-P2251</f>
      </c>
      <c r="AU2251" s="115">
        <f>IF(SUMIFS(AT:AT,AM:AM,AM2251)&gt;AO2251,(SUMIFS(AT:AT,AM:AM,AM2251)-AO2251))</f>
      </c>
      <c r="AV2251" s="116">
        <v>0</v>
      </c>
      <c r="AW2251" s="121">
        <v>1.035</v>
      </c>
      <c r="AX2251" s="115">
        <f>AN2251-AP2251</f>
      </c>
    </row>
    <row r="2252" spans="1:50" ht="15" hidden="1" customHeight="1" x14ac:dyDescent="0.3">
      <c r="A2252" s="94" t="s">
        <v>60</v>
      </c>
      <c r="B2252" s="94"/>
      <c r="C2252" s="94"/>
      <c r="D2252" s="94"/>
      <c r="E2252" s="94"/>
      <c r="F2252" s="94"/>
      <c r="G2252" s="112">
        <f>AU2252</f>
      </c>
      <c r="H2252" s="113"/>
      <c r="I2252" s="94" t="s">
        <v>490</v>
      </c>
      <c r="J2252" s="94" t="s">
        <v>605</v>
      </c>
      <c r="K2252" s="114">
        <f>P2252/3</f>
      </c>
      <c r="L2252" s="115">
        <v>-18.178000000000001</v>
      </c>
      <c r="M2252" s="116"/>
      <c r="N2252" s="117">
        <f>M2252-L2252</f>
      </c>
      <c r="O2252" s="112"/>
      <c r="P2252" s="118">
        <f>N2252+O2252</f>
      </c>
      <c r="Q2252" s="94" t="s">
        <v>791</v>
      </c>
      <c r="R2252" s="94" t="s">
        <v>392</v>
      </c>
      <c r="S2252" s="119">
        <v>46331</v>
      </c>
      <c r="T2252" s="119"/>
      <c r="U2252" s="119">
        <v>46331</v>
      </c>
      <c r="V2252" s="94"/>
      <c r="W2252" s="94"/>
      <c r="X2252" s="94"/>
      <c r="Y2252" s="119">
        <v>46331</v>
      </c>
      <c r="Z2252" s="94"/>
      <c r="AA2252" s="120"/>
      <c r="AB2252" s="120"/>
      <c r="AC2252" s="120"/>
      <c r="AD2252" s="120"/>
      <c r="AE2252" s="120"/>
      <c r="AF2252" s="120"/>
      <c r="AG2252" s="94"/>
      <c r="AH2252" s="120"/>
      <c r="AI2252" s="94"/>
      <c r="AJ2252" s="94" t="s">
        <v>791</v>
      </c>
      <c r="AK2252" s="94" t="s">
        <v>763</v>
      </c>
      <c r="AL2252" s="94">
        <v>140</v>
      </c>
      <c r="AM2252" s="94" t="str">
        <f>TRIM(AJ2252)&amp;TRIM(AL2252)&amp;TRIM(AK2252)</f>
      </c>
      <c r="AN2252" s="116">
        <v>0</v>
      </c>
      <c r="AO2252" s="116" t="inlineStr">
        <is>
          <t>#NA</t>
        </is>
      </c>
      <c r="AP2252" s="116">
        <f>SUMIFS(M:M,AM:AM,AM2252)+SUMIFS(O:O,AM:AM,AM2252)</f>
      </c>
      <c r="AQ2252" s="116">
        <f>SUMIFS(L:L,AM:AM,AM2252)</f>
      </c>
      <c r="AR2252" s="116">
        <f>AQ2252-AP2252</f>
      </c>
      <c r="AS2252" s="94" t="str">
        <f>IF(AN2252&gt;=AQ2252,"ok","ck")</f>
      </c>
      <c r="AT2252" s="116">
        <f>-P2252</f>
      </c>
      <c r="AU2252" s="115">
        <f>IF(SUMIFS(AT:AT,AM:AM,AM2252)&gt;AO2252,(SUMIFS(AT:AT,AM:AM,AM2252)-AO2252))</f>
      </c>
      <c r="AV2252" s="116">
        <v>0</v>
      </c>
      <c r="AW2252" s="121">
        <v>1.035</v>
      </c>
      <c r="AX2252" s="115">
        <f>AN2252-AP2252</f>
      </c>
    </row>
    <row r="2253" spans="1:50" ht="15" hidden="1" customHeight="1" x14ac:dyDescent="0.3">
      <c r="A2253" s="94" t="s">
        <v>151</v>
      </c>
      <c r="B2253" s="94"/>
      <c r="C2253" s="94"/>
      <c r="D2253" s="94"/>
      <c r="E2253" s="94"/>
      <c r="F2253" s="94"/>
      <c r="G2253" s="112">
        <f>AU2253</f>
      </c>
      <c r="H2253" s="113"/>
      <c r="I2253" s="94" t="s">
        <v>442</v>
      </c>
      <c r="J2253" s="94" t="s">
        <v>444</v>
      </c>
      <c r="K2253" s="114">
        <f>P2253/3</f>
      </c>
      <c r="L2253" s="115">
        <v>4.7009999999999996</v>
      </c>
      <c r="M2253" s="116"/>
      <c r="N2253" s="117">
        <f>M2253-L2253</f>
      </c>
      <c r="O2253" s="112"/>
      <c r="P2253" s="118">
        <f>N2253+O2253</f>
      </c>
      <c r="Q2253" s="94" t="s">
        <v>197</v>
      </c>
      <c r="R2253" s="94" t="s">
        <v>392</v>
      </c>
      <c r="S2253" s="119">
        <v>46320</v>
      </c>
      <c r="T2253" s="119"/>
      <c r="U2253" s="119">
        <v>46320</v>
      </c>
      <c r="V2253" s="94"/>
      <c r="W2253" s="94"/>
      <c r="X2253" s="94"/>
      <c r="Y2253" s="119">
        <v>46320</v>
      </c>
      <c r="Z2253" s="94"/>
      <c r="AA2253" s="120"/>
      <c r="AB2253" s="120"/>
      <c r="AC2253" s="120"/>
      <c r="AD2253" s="120"/>
      <c r="AE2253" s="120"/>
      <c r="AF2253" s="120"/>
      <c r="AG2253" s="94"/>
      <c r="AH2253" s="120"/>
      <c r="AI2253" s="94"/>
      <c r="AJ2253" s="94" t="s">
        <v>197</v>
      </c>
      <c r="AK2253" s="94" t="s">
        <v>751</v>
      </c>
      <c r="AL2253" s="94">
        <v>160</v>
      </c>
      <c r="AM2253" s="94" t="str">
        <f>TRIM(AJ2253)&amp;TRIM(AL2253)&amp;TRIM(AK2253)</f>
      </c>
      <c r="AN2253" s="116">
        <v>0</v>
      </c>
      <c r="AO2253" s="116" t="inlineStr">
        <is>
          <t>#NA</t>
        </is>
      </c>
      <c r="AP2253" s="116">
        <f>SUMIFS(M:M,AM:AM,AM2253)+SUMIFS(O:O,AM:AM,AM2253)</f>
      </c>
      <c r="AQ2253" s="116">
        <f>SUMIFS(L:L,AM:AM,AM2253)</f>
      </c>
      <c r="AR2253" s="116">
        <f>AQ2253-AP2253</f>
      </c>
      <c r="AS2253" s="94" t="str">
        <f>IF(AN2253&gt;=AQ2253,"ok","ck")</f>
      </c>
      <c r="AT2253" s="116">
        <f>-P2253</f>
      </c>
      <c r="AU2253" s="115">
        <f>IF(SUMIFS(AT:AT,AM:AM,AM2253)&gt;AO2253,(SUMIFS(AT:AT,AM:AM,AM2253)-AO2253))</f>
      </c>
      <c r="AV2253" s="116">
        <v>0</v>
      </c>
      <c r="AW2253" s="121">
        <v>0.895</v>
      </c>
      <c r="AX2253" s="115">
        <f>AN2253-AP2253</f>
      </c>
    </row>
    <row r="2254" spans="1:50" ht="15" hidden="1" customHeight="1" x14ac:dyDescent="0.3">
      <c r="A2254" s="94" t="s">
        <v>60</v>
      </c>
      <c r="B2254" s="94"/>
      <c r="C2254" s="94"/>
      <c r="D2254" s="94"/>
      <c r="E2254" s="94"/>
      <c r="F2254" s="94"/>
      <c r="G2254" s="112">
        <f>AU2254</f>
      </c>
      <c r="H2254" s="113"/>
      <c r="I2254" s="94" t="s">
        <v>490</v>
      </c>
      <c r="J2254" s="94" t="s">
        <v>606</v>
      </c>
      <c r="K2254" s="114">
        <f>P2254/3</f>
      </c>
      <c r="L2254" s="115">
        <v>0</v>
      </c>
      <c r="M2254" s="116">
        <f>L2254</f>
      </c>
      <c r="N2254" s="117">
        <f>M2254-L2254</f>
      </c>
      <c r="O2254" s="112"/>
      <c r="P2254" s="118">
        <f>N2254+O2254</f>
      </c>
      <c r="Q2254" s="94" t="s">
        <v>791</v>
      </c>
      <c r="R2254" s="94" t="s">
        <v>392</v>
      </c>
      <c r="S2254" s="119">
        <v>46327</v>
      </c>
      <c r="T2254" s="119"/>
      <c r="U2254" s="119">
        <v>46327</v>
      </c>
      <c r="V2254" s="94"/>
      <c r="W2254" s="94"/>
      <c r="X2254" s="94"/>
      <c r="Y2254" s="119">
        <v>46327</v>
      </c>
      <c r="Z2254" s="94"/>
      <c r="AA2254" s="120"/>
      <c r="AB2254" s="120"/>
      <c r="AC2254" s="120"/>
      <c r="AD2254" s="120"/>
      <c r="AE2254" s="120"/>
      <c r="AF2254" s="120"/>
      <c r="AG2254" s="94"/>
      <c r="AH2254" s="120"/>
      <c r="AI2254" s="94"/>
      <c r="AJ2254" s="94" t="s">
        <v>791</v>
      </c>
      <c r="AK2254" s="94" t="s">
        <v>764</v>
      </c>
      <c r="AL2254" s="94">
        <v>140</v>
      </c>
      <c r="AM2254" s="94" t="str">
        <f>TRIM(AJ2254)&amp;TRIM(AL2254)&amp;TRIM(AK2254)</f>
      </c>
      <c r="AN2254" s="116">
        <v>955.55</v>
      </c>
      <c r="AO2254" s="116">
        <v>-122.61</v>
      </c>
      <c r="AP2254" s="116">
        <f>SUMIFS(M:M,AM:AM,AM2254)+SUMIFS(O:O,AM:AM,AM2254)</f>
      </c>
      <c r="AQ2254" s="116">
        <f>SUMIFS(L:L,AM:AM,AM2254)</f>
      </c>
      <c r="AR2254" s="116">
        <f>AQ2254-AP2254</f>
      </c>
      <c r="AS2254" s="94" t="str">
        <f>IF(AN2254&gt;=AQ2254,"ok","ck")</f>
      </c>
      <c r="AT2254" s="116">
        <f>-P2254</f>
      </c>
      <c r="AU2254" s="115">
        <f>IF(SUMIFS(AT:AT,AM:AM,AM2254)&gt;AO2254,(SUMIFS(AT:AT,AM:AM,AM2254)-AO2254))</f>
      </c>
      <c r="AV2254" s="116">
        <v>955.55</v>
      </c>
      <c r="AW2254" s="121">
        <v>1.103</v>
      </c>
      <c r="AX2254" s="115">
        <f>AN2254-AP2254</f>
      </c>
    </row>
    <row r="2255" spans="1:50" ht="15" hidden="1" customHeight="1" x14ac:dyDescent="0.3">
      <c r="A2255" s="94" t="s">
        <v>60</v>
      </c>
      <c r="B2255" s="94"/>
      <c r="C2255" s="94"/>
      <c r="D2255" s="94"/>
      <c r="E2255" s="94"/>
      <c r="F2255" s="94"/>
      <c r="G2255" s="112">
        <f>AU2255</f>
      </c>
      <c r="H2255" s="113"/>
      <c r="I2255" s="94" t="s">
        <v>490</v>
      </c>
      <c r="J2255" s="94" t="s">
        <v>606</v>
      </c>
      <c r="K2255" s="114">
        <f>P2255/3</f>
      </c>
      <c r="L2255" s="115">
        <v>0</v>
      </c>
      <c r="M2255" s="116">
        <f>L2255</f>
      </c>
      <c r="N2255" s="117">
        <f>M2255-L2255</f>
      </c>
      <c r="O2255" s="112"/>
      <c r="P2255" s="118">
        <f>N2255+O2255</f>
      </c>
      <c r="Q2255" s="94" t="s">
        <v>791</v>
      </c>
      <c r="R2255" s="94" t="s">
        <v>392</v>
      </c>
      <c r="S2255" s="119">
        <v>46331</v>
      </c>
      <c r="T2255" s="119"/>
      <c r="U2255" s="119">
        <v>46331</v>
      </c>
      <c r="V2255" s="94"/>
      <c r="W2255" s="94"/>
      <c r="X2255" s="94"/>
      <c r="Y2255" s="119">
        <v>46331</v>
      </c>
      <c r="Z2255" s="94"/>
      <c r="AA2255" s="120"/>
      <c r="AB2255" s="120"/>
      <c r="AC2255" s="120"/>
      <c r="AD2255" s="120"/>
      <c r="AE2255" s="120"/>
      <c r="AF2255" s="120"/>
      <c r="AG2255" s="94"/>
      <c r="AH2255" s="120"/>
      <c r="AI2255" s="94"/>
      <c r="AJ2255" s="94" t="s">
        <v>791</v>
      </c>
      <c r="AK2255" s="94" t="s">
        <v>764</v>
      </c>
      <c r="AL2255" s="94">
        <v>140</v>
      </c>
      <c r="AM2255" s="94" t="str">
        <f>TRIM(AJ2255)&amp;TRIM(AL2255)&amp;TRIM(AK2255)</f>
      </c>
      <c r="AN2255" s="116">
        <v>955.55</v>
      </c>
      <c r="AO2255" s="116">
        <v>-122.61</v>
      </c>
      <c r="AP2255" s="116">
        <f>SUMIFS(M:M,AM:AM,AM2255)+SUMIFS(O:O,AM:AM,AM2255)</f>
      </c>
      <c r="AQ2255" s="116">
        <f>SUMIFS(L:L,AM:AM,AM2255)</f>
      </c>
      <c r="AR2255" s="116">
        <f>AQ2255-AP2255</f>
      </c>
      <c r="AS2255" s="94" t="str">
        <f>IF(AN2255&gt;=AQ2255,"ok","ck")</f>
      </c>
      <c r="AT2255" s="116">
        <f>-P2255</f>
      </c>
      <c r="AU2255" s="115">
        <f>IF(SUMIFS(AT:AT,AM:AM,AM2255)&gt;AO2255,(SUMIFS(AT:AT,AM:AM,AM2255)-AO2255))</f>
      </c>
      <c r="AV2255" s="116">
        <v>955.55</v>
      </c>
      <c r="AW2255" s="121">
        <v>1.103</v>
      </c>
      <c r="AX2255" s="115">
        <f>AN2255-AP2255</f>
      </c>
    </row>
    <row r="2256" spans="1:50" ht="15" hidden="1" customHeight="1" x14ac:dyDescent="0.3">
      <c r="A2256" s="94" t="s">
        <v>60</v>
      </c>
      <c r="B2256" s="94"/>
      <c r="C2256" s="94"/>
      <c r="D2256" s="94"/>
      <c r="E2256" s="94"/>
      <c r="F2256" s="94"/>
      <c r="G2256" s="112">
        <f>AU2256</f>
      </c>
      <c r="H2256" s="113"/>
      <c r="I2256" s="94" t="s">
        <v>490</v>
      </c>
      <c r="J2256" s="94" t="s">
        <v>607</v>
      </c>
      <c r="K2256" s="114">
        <f>P2256/3</f>
      </c>
      <c r="L2256" s="115">
        <v>-10.987</v>
      </c>
      <c r="M2256" s="116"/>
      <c r="N2256" s="117">
        <f>M2256-L2256</f>
      </c>
      <c r="O2256" s="112"/>
      <c r="P2256" s="118">
        <f>N2256+O2256</f>
      </c>
      <c r="Q2256" s="94" t="s">
        <v>792</v>
      </c>
      <c r="R2256" s="94" t="s">
        <v>392</v>
      </c>
      <c r="S2256" s="119">
        <v>46336</v>
      </c>
      <c r="T2256" s="119"/>
      <c r="U2256" s="119">
        <v>46336</v>
      </c>
      <c r="V2256" s="94"/>
      <c r="W2256" s="94"/>
      <c r="X2256" s="94"/>
      <c r="Y2256" s="119">
        <v>46336</v>
      </c>
      <c r="Z2256" s="94"/>
      <c r="AA2256" s="120"/>
      <c r="AB2256" s="120"/>
      <c r="AC2256" s="120"/>
      <c r="AD2256" s="120"/>
      <c r="AE2256" s="120"/>
      <c r="AF2256" s="120"/>
      <c r="AG2256" s="94"/>
      <c r="AH2256" s="120"/>
      <c r="AI2256" s="94"/>
      <c r="AJ2256" s="94" t="s">
        <v>792</v>
      </c>
      <c r="AK2256" s="94" t="s">
        <v>759</v>
      </c>
      <c r="AL2256" s="94">
        <v>140</v>
      </c>
      <c r="AM2256" s="94" t="str">
        <f>TRIM(AJ2256)&amp;TRIM(AL2256)&amp;TRIM(AK2256)</f>
      </c>
      <c r="AN2256" s="116">
        <v>0</v>
      </c>
      <c r="AO2256" s="116" t="inlineStr">
        <is>
          <t>#NA</t>
        </is>
      </c>
      <c r="AP2256" s="116">
        <f>SUMIFS(M:M,AM:AM,AM2256)+SUMIFS(O:O,AM:AM,AM2256)</f>
      </c>
      <c r="AQ2256" s="116">
        <f>SUMIFS(L:L,AM:AM,AM2256)</f>
      </c>
      <c r="AR2256" s="116">
        <f>AQ2256-AP2256</f>
      </c>
      <c r="AS2256" s="94" t="str">
        <f>IF(AN2256&gt;=AQ2256,"ok","ck")</f>
      </c>
      <c r="AT2256" s="116">
        <f>-P2256</f>
      </c>
      <c r="AU2256" s="115">
        <f>IF(SUMIFS(AT:AT,AM:AM,AM2256)&gt;AO2256,(SUMIFS(AT:AT,AM:AM,AM2256)-AO2256))</f>
      </c>
      <c r="AV2256" s="116">
        <v>0</v>
      </c>
      <c r="AW2256" s="121">
        <v>1.023</v>
      </c>
      <c r="AX2256" s="115">
        <f>AN2256-AP2256</f>
      </c>
    </row>
    <row r="2257" spans="1:50" ht="15" hidden="1" customHeight="1" x14ac:dyDescent="0.3">
      <c r="A2257" s="94" t="s">
        <v>60</v>
      </c>
      <c r="B2257" s="94"/>
      <c r="C2257" s="94"/>
      <c r="D2257" s="94"/>
      <c r="E2257" s="94"/>
      <c r="F2257" s="94"/>
      <c r="G2257" s="112">
        <f>AU2257</f>
      </c>
      <c r="H2257" s="113"/>
      <c r="I2257" s="94" t="s">
        <v>490</v>
      </c>
      <c r="J2257" s="94" t="s">
        <v>607</v>
      </c>
      <c r="K2257" s="114">
        <f>P2257/3</f>
      </c>
      <c r="L2257" s="115">
        <v>-23.481999999999999</v>
      </c>
      <c r="M2257" s="116"/>
      <c r="N2257" s="117">
        <f>M2257-L2257</f>
      </c>
      <c r="O2257" s="112"/>
      <c r="P2257" s="118">
        <f>N2257+O2257</f>
      </c>
      <c r="Q2257" s="94" t="s">
        <v>792</v>
      </c>
      <c r="R2257" s="94" t="s">
        <v>392</v>
      </c>
      <c r="S2257" s="119">
        <v>46331</v>
      </c>
      <c r="T2257" s="119"/>
      <c r="U2257" s="119">
        <v>46331</v>
      </c>
      <c r="V2257" s="94"/>
      <c r="W2257" s="94"/>
      <c r="X2257" s="94"/>
      <c r="Y2257" s="119">
        <v>46331</v>
      </c>
      <c r="Z2257" s="94"/>
      <c r="AA2257" s="120"/>
      <c r="AB2257" s="120"/>
      <c r="AC2257" s="120"/>
      <c r="AD2257" s="120"/>
      <c r="AE2257" s="120"/>
      <c r="AF2257" s="120"/>
      <c r="AG2257" s="94"/>
      <c r="AH2257" s="120"/>
      <c r="AI2257" s="94"/>
      <c r="AJ2257" s="94" t="s">
        <v>792</v>
      </c>
      <c r="AK2257" s="94" t="s">
        <v>759</v>
      </c>
      <c r="AL2257" s="94">
        <v>140</v>
      </c>
      <c r="AM2257" s="94" t="str">
        <f>TRIM(AJ2257)&amp;TRIM(AL2257)&amp;TRIM(AK2257)</f>
      </c>
      <c r="AN2257" s="116">
        <v>0</v>
      </c>
      <c r="AO2257" s="116" t="inlineStr">
        <is>
          <t>#NA</t>
        </is>
      </c>
      <c r="AP2257" s="116">
        <f>SUMIFS(M:M,AM:AM,AM2257)+SUMIFS(O:O,AM:AM,AM2257)</f>
      </c>
      <c r="AQ2257" s="116">
        <f>SUMIFS(L:L,AM:AM,AM2257)</f>
      </c>
      <c r="AR2257" s="116">
        <f>AQ2257-AP2257</f>
      </c>
      <c r="AS2257" s="94" t="str">
        <f>IF(AN2257&gt;=AQ2257,"ok","ck")</f>
      </c>
      <c r="AT2257" s="116">
        <f>-P2257</f>
      </c>
      <c r="AU2257" s="115">
        <f>IF(SUMIFS(AT:AT,AM:AM,AM2257)&gt;AO2257,(SUMIFS(AT:AT,AM:AM,AM2257)-AO2257))</f>
      </c>
      <c r="AV2257" s="116">
        <v>0</v>
      </c>
      <c r="AW2257" s="121">
        <v>1.023</v>
      </c>
      <c r="AX2257" s="115">
        <f>AN2257-AP2257</f>
      </c>
    </row>
    <row r="2258" spans="1:50" ht="15" hidden="1" customHeight="1" x14ac:dyDescent="0.3">
      <c r="A2258" s="94" t="s">
        <v>60</v>
      </c>
      <c r="B2258" s="94"/>
      <c r="C2258" s="94"/>
      <c r="D2258" s="94"/>
      <c r="E2258" s="94"/>
      <c r="F2258" s="94"/>
      <c r="G2258" s="112">
        <f>AU2258</f>
      </c>
      <c r="H2258" s="113"/>
      <c r="I2258" s="94" t="s">
        <v>490</v>
      </c>
      <c r="J2258" s="94" t="s">
        <v>607</v>
      </c>
      <c r="K2258" s="114">
        <f>P2258/3</f>
      </c>
      <c r="L2258" s="115">
        <v>-3.4000000000000002E-2</v>
      </c>
      <c r="M2258" s="116"/>
      <c r="N2258" s="117">
        <f>M2258-L2258</f>
      </c>
      <c r="O2258" s="112"/>
      <c r="P2258" s="118">
        <f>N2258+O2258</f>
      </c>
      <c r="Q2258" s="94" t="s">
        <v>792</v>
      </c>
      <c r="R2258" s="94" t="s">
        <v>392</v>
      </c>
      <c r="S2258" s="119">
        <v>46336</v>
      </c>
      <c r="T2258" s="119"/>
      <c r="U2258" s="119">
        <v>46336</v>
      </c>
      <c r="V2258" s="94"/>
      <c r="W2258" s="94"/>
      <c r="X2258" s="94"/>
      <c r="Y2258" s="119">
        <v>46336</v>
      </c>
      <c r="Z2258" s="94"/>
      <c r="AA2258" s="120"/>
      <c r="AB2258" s="120"/>
      <c r="AC2258" s="120"/>
      <c r="AD2258" s="120"/>
      <c r="AE2258" s="120"/>
      <c r="AF2258" s="120"/>
      <c r="AG2258" s="94"/>
      <c r="AH2258" s="120"/>
      <c r="AI2258" s="94"/>
      <c r="AJ2258" s="94" t="s">
        <v>792</v>
      </c>
      <c r="AK2258" s="94" t="s">
        <v>759</v>
      </c>
      <c r="AL2258" s="94">
        <v>140</v>
      </c>
      <c r="AM2258" s="94" t="str">
        <f>TRIM(AJ2258)&amp;TRIM(AL2258)&amp;TRIM(AK2258)</f>
      </c>
      <c r="AN2258" s="116">
        <v>0</v>
      </c>
      <c r="AO2258" s="116" t="inlineStr">
        <is>
          <t>#NA</t>
        </is>
      </c>
      <c r="AP2258" s="116">
        <f>SUMIFS(M:M,AM:AM,AM2258)+SUMIFS(O:O,AM:AM,AM2258)</f>
      </c>
      <c r="AQ2258" s="116">
        <f>SUMIFS(L:L,AM:AM,AM2258)</f>
      </c>
      <c r="AR2258" s="116">
        <f>AQ2258-AP2258</f>
      </c>
      <c r="AS2258" s="94" t="str">
        <f>IF(AN2258&gt;=AQ2258,"ok","ck")</f>
      </c>
      <c r="AT2258" s="116">
        <f>-P2258</f>
      </c>
      <c r="AU2258" s="115">
        <f>IF(SUMIFS(AT:AT,AM:AM,AM2258)&gt;AO2258,(SUMIFS(AT:AT,AM:AM,AM2258)-AO2258))</f>
      </c>
      <c r="AV2258" s="116">
        <v>0</v>
      </c>
      <c r="AW2258" s="121">
        <v>1.023</v>
      </c>
      <c r="AX2258" s="115">
        <f>AN2258-AP2258</f>
      </c>
    </row>
    <row r="2259" spans="1:50" ht="15" hidden="1" customHeight="1" x14ac:dyDescent="0.3">
      <c r="A2259" s="94" t="s">
        <v>60</v>
      </c>
      <c r="B2259" s="94"/>
      <c r="C2259" s="94"/>
      <c r="D2259" s="94"/>
      <c r="E2259" s="94"/>
      <c r="F2259" s="94"/>
      <c r="G2259" s="112">
        <f>AU2259</f>
      </c>
      <c r="H2259" s="113"/>
      <c r="I2259" s="94" t="s">
        <v>490</v>
      </c>
      <c r="J2259" s="94" t="s">
        <v>606</v>
      </c>
      <c r="K2259" s="114">
        <f>P2259/3</f>
      </c>
      <c r="L2259" s="115">
        <v>0</v>
      </c>
      <c r="M2259" s="116">
        <f>L2259</f>
      </c>
      <c r="N2259" s="117">
        <f>M2259-L2259</f>
      </c>
      <c r="O2259" s="112"/>
      <c r="P2259" s="118">
        <f>N2259+O2259</f>
      </c>
      <c r="Q2259" s="94" t="s">
        <v>791</v>
      </c>
      <c r="R2259" s="94" t="s">
        <v>392</v>
      </c>
      <c r="S2259" s="119">
        <v>46335</v>
      </c>
      <c r="T2259" s="119"/>
      <c r="U2259" s="119">
        <v>46335</v>
      </c>
      <c r="V2259" s="94"/>
      <c r="W2259" s="94"/>
      <c r="X2259" s="94"/>
      <c r="Y2259" s="119">
        <v>46335</v>
      </c>
      <c r="Z2259" s="94"/>
      <c r="AA2259" s="120"/>
      <c r="AB2259" s="120"/>
      <c r="AC2259" s="120"/>
      <c r="AD2259" s="120"/>
      <c r="AE2259" s="120"/>
      <c r="AF2259" s="120"/>
      <c r="AG2259" s="94"/>
      <c r="AH2259" s="120"/>
      <c r="AI2259" s="94"/>
      <c r="AJ2259" s="94" t="s">
        <v>791</v>
      </c>
      <c r="AK2259" s="94" t="s">
        <v>764</v>
      </c>
      <c r="AL2259" s="94">
        <v>140</v>
      </c>
      <c r="AM2259" s="94" t="str">
        <f>TRIM(AJ2259)&amp;TRIM(AL2259)&amp;TRIM(AK2259)</f>
      </c>
      <c r="AN2259" s="116">
        <v>955.55</v>
      </c>
      <c r="AO2259" s="116">
        <v>-122.61</v>
      </c>
      <c r="AP2259" s="116">
        <f>SUMIFS(M:M,AM:AM,AM2259)+SUMIFS(O:O,AM:AM,AM2259)</f>
      </c>
      <c r="AQ2259" s="116">
        <f>SUMIFS(L:L,AM:AM,AM2259)</f>
      </c>
      <c r="AR2259" s="116">
        <f>AQ2259-AP2259</f>
      </c>
      <c r="AS2259" s="94" t="str">
        <f>IF(AN2259&gt;=AQ2259,"ok","ck")</f>
      </c>
      <c r="AT2259" s="116">
        <f>-P2259</f>
      </c>
      <c r="AU2259" s="115">
        <f>IF(SUMIFS(AT:AT,AM:AM,AM2259)&gt;AO2259,(SUMIFS(AT:AT,AM:AM,AM2259)-AO2259))</f>
      </c>
      <c r="AV2259" s="116">
        <v>955.55</v>
      </c>
      <c r="AW2259" s="121">
        <v>1.103</v>
      </c>
      <c r="AX2259" s="115">
        <f>AN2259-AP2259</f>
      </c>
    </row>
    <row r="2260" spans="1:50" ht="15" hidden="1" customHeight="1" x14ac:dyDescent="0.3">
      <c r="A2260" s="94" t="s">
        <v>76</v>
      </c>
      <c r="B2260" s="94"/>
      <c r="C2260" s="94"/>
      <c r="D2260" s="94"/>
      <c r="E2260" s="94"/>
      <c r="F2260" s="94"/>
      <c r="G2260" s="112">
        <f>AU2260</f>
      </c>
      <c r="H2260" s="113"/>
      <c r="I2260" s="94" t="s">
        <v>393</v>
      </c>
      <c r="J2260" s="94" t="s">
        <v>608</v>
      </c>
      <c r="K2260" s="114">
        <f>P2260/3</f>
      </c>
      <c r="L2260" s="115">
        <v>1.8859999999999999</v>
      </c>
      <c r="M2260" s="116"/>
      <c r="N2260" s="117">
        <f>M2260-L2260</f>
      </c>
      <c r="O2260" s="112"/>
      <c r="P2260" s="118">
        <f>N2260+O2260</f>
      </c>
      <c r="Q2260" s="94" t="s">
        <v>833</v>
      </c>
      <c r="R2260" s="94" t="s">
        <v>392</v>
      </c>
      <c r="S2260" s="119">
        <v>46348</v>
      </c>
      <c r="T2260" s="119"/>
      <c r="U2260" s="119">
        <v>46348</v>
      </c>
      <c r="V2260" s="94"/>
      <c r="W2260" s="94"/>
      <c r="X2260" s="94"/>
      <c r="Y2260" s="119">
        <v>46345</v>
      </c>
      <c r="Z2260" s="94"/>
      <c r="AA2260" s="120"/>
      <c r="AB2260" s="120"/>
      <c r="AC2260" s="120"/>
      <c r="AD2260" s="120"/>
      <c r="AE2260" s="120"/>
      <c r="AF2260" s="120"/>
      <c r="AG2260" s="94"/>
      <c r="AH2260" s="120"/>
      <c r="AI2260" s="94"/>
      <c r="AJ2260" s="94" t="s">
        <v>833</v>
      </c>
      <c r="AK2260" s="94" t="s">
        <v>342</v>
      </c>
      <c r="AL2260" s="94">
        <v>150</v>
      </c>
      <c r="AM2260" s="94" t="str">
        <f>TRIM(AJ2260)&amp;TRIM(AL2260)&amp;TRIM(AK2260)</f>
      </c>
      <c r="AN2260" s="116">
        <v>0</v>
      </c>
      <c r="AO2260" s="116" t="inlineStr">
        <is>
          <t>#NA</t>
        </is>
      </c>
      <c r="AP2260" s="116">
        <f>SUMIFS(M:M,AM:AM,AM2260)+SUMIFS(O:O,AM:AM,AM2260)</f>
      </c>
      <c r="AQ2260" s="116">
        <f>SUMIFS(L:L,AM:AM,AM2260)</f>
      </c>
      <c r="AR2260" s="116">
        <f>AQ2260-AP2260</f>
      </c>
      <c r="AS2260" s="94" t="str">
        <f>IF(AN2260&gt;=AQ2260,"ok","ck")</f>
      </c>
      <c r="AT2260" s="116">
        <f>-P2260</f>
      </c>
      <c r="AU2260" s="115">
        <f>IF(SUMIFS(AT:AT,AM:AM,AM2260)&gt;AO2260,(SUMIFS(AT:AT,AM:AM,AM2260)-AO2260))</f>
      </c>
      <c r="AV2260" s="116">
        <v>0</v>
      </c>
      <c r="AW2260" s="121">
        <v>0</v>
      </c>
      <c r="AX2260" s="115">
        <f>AN2260-AP2260</f>
      </c>
    </row>
    <row r="2261" spans="1:50" ht="15" hidden="1" customHeight="1" x14ac:dyDescent="0.3">
      <c r="A2261" s="94" t="s">
        <v>268</v>
      </c>
      <c r="B2261" s="94"/>
      <c r="C2261" s="94"/>
      <c r="D2261" s="94"/>
      <c r="E2261" s="94"/>
      <c r="F2261" s="94"/>
      <c r="G2261" s="112">
        <f>AU2261</f>
      </c>
      <c r="H2261" s="113"/>
      <c r="I2261" s="94" t="s">
        <v>390</v>
      </c>
      <c r="J2261" s="94" t="s">
        <v>399</v>
      </c>
      <c r="K2261" s="114">
        <f>P2261/3</f>
      </c>
      <c r="L2261" s="115">
        <v>0</v>
      </c>
      <c r="M2261" s="116"/>
      <c r="N2261" s="117">
        <f>M2261-L2261</f>
      </c>
      <c r="O2261" s="112"/>
      <c r="P2261" s="118">
        <f>N2261+O2261</f>
      </c>
      <c r="Q2261" s="94" t="s">
        <v>787</v>
      </c>
      <c r="R2261" s="94" t="s">
        <v>392</v>
      </c>
      <c r="S2261" s="119">
        <v>46320</v>
      </c>
      <c r="T2261" s="119"/>
      <c r="U2261" s="119">
        <v>46320</v>
      </c>
      <c r="V2261" s="94"/>
      <c r="W2261" s="94"/>
      <c r="X2261" s="94"/>
      <c r="Y2261" s="119">
        <v>46320</v>
      </c>
      <c r="Z2261" s="94"/>
      <c r="AA2261" s="120"/>
      <c r="AB2261" s="120"/>
      <c r="AC2261" s="120"/>
      <c r="AD2261" s="120"/>
      <c r="AE2261" s="120"/>
      <c r="AF2261" s="120"/>
      <c r="AG2261" s="94"/>
      <c r="AH2261" s="120"/>
      <c r="AI2261" s="94"/>
      <c r="AJ2261" s="94" t="s">
        <v>787</v>
      </c>
      <c r="AK2261" s="94" t="s">
        <v>389</v>
      </c>
      <c r="AL2261" s="94">
        <v>140</v>
      </c>
      <c r="AM2261" s="94" t="str">
        <f>TRIM(AJ2261)&amp;TRIM(AL2261)&amp;TRIM(AK2261)</f>
      </c>
      <c r="AN2261" s="116">
        <v>0</v>
      </c>
      <c r="AO2261" s="116" t="inlineStr">
        <is>
          <t>#NA</t>
        </is>
      </c>
      <c r="AP2261" s="116">
        <f>SUMIFS(M:M,AM:AM,AM2261)+SUMIFS(O:O,AM:AM,AM2261)</f>
      </c>
      <c r="AQ2261" s="116">
        <f>SUMIFS(L:L,AM:AM,AM2261)</f>
      </c>
      <c r="AR2261" s="116">
        <f>AQ2261-AP2261</f>
      </c>
      <c r="AS2261" s="94" t="str">
        <f>IF(AN2261&gt;=AQ2261,"ok","ck")</f>
      </c>
      <c r="AT2261" s="116">
        <f>-P2261</f>
      </c>
      <c r="AU2261" s="115">
        <f>IF(SUMIFS(AT:AT,AM:AM,AM2261)&gt;AO2261,(SUMIFS(AT:AT,AM:AM,AM2261)-AO2261))</f>
      </c>
      <c r="AV2261" s="116">
        <v>0</v>
      </c>
      <c r="AW2261" s="121">
        <v>1.025</v>
      </c>
      <c r="AX2261" s="115">
        <f>AN2261-AP2261</f>
      </c>
    </row>
    <row r="2262" spans="1:50" ht="15" hidden="1" customHeight="1" x14ac:dyDescent="0.3">
      <c r="A2262" s="94" t="s">
        <v>60</v>
      </c>
      <c r="B2262" s="94"/>
      <c r="C2262" s="94"/>
      <c r="D2262" s="94"/>
      <c r="E2262" s="94"/>
      <c r="F2262" s="94"/>
      <c r="G2262" s="112">
        <f>AU2262</f>
      </c>
      <c r="H2262" s="113"/>
      <c r="I2262" s="94" t="s">
        <v>490</v>
      </c>
      <c r="J2262" s="94" t="s">
        <v>591</v>
      </c>
      <c r="K2262" s="114">
        <f>P2262/3</f>
      </c>
      <c r="L2262" s="115">
        <v>104.98099999999999</v>
      </c>
      <c r="M2262" s="116"/>
      <c r="N2262" s="117">
        <f>M2262-L2262</f>
      </c>
      <c r="O2262" s="112"/>
      <c r="P2262" s="118">
        <f>N2262+O2262</f>
      </c>
      <c r="Q2262" s="94" t="s">
        <v>785</v>
      </c>
      <c r="R2262" s="94" t="s">
        <v>392</v>
      </c>
      <c r="S2262" s="119">
        <v>46339</v>
      </c>
      <c r="T2262" s="119"/>
      <c r="U2262" s="119">
        <v>46339</v>
      </c>
      <c r="V2262" s="94"/>
      <c r="W2262" s="94"/>
      <c r="X2262" s="94"/>
      <c r="Y2262" s="119">
        <v>46328</v>
      </c>
      <c r="Z2262" s="94"/>
      <c r="AA2262" s="120"/>
      <c r="AB2262" s="120"/>
      <c r="AC2262" s="120"/>
      <c r="AD2262" s="120"/>
      <c r="AE2262" s="120"/>
      <c r="AF2262" s="120"/>
      <c r="AG2262" s="94"/>
      <c r="AH2262" s="120"/>
      <c r="AI2262" s="94"/>
      <c r="AJ2262" s="94" t="s">
        <v>785</v>
      </c>
      <c r="AK2262" s="94" t="s">
        <v>755</v>
      </c>
      <c r="AL2262" s="94">
        <v>140</v>
      </c>
      <c r="AM2262" s="94" t="str">
        <f>TRIM(AJ2262)&amp;TRIM(AL2262)&amp;TRIM(AK2262)</f>
      </c>
      <c r="AN2262" s="116">
        <v>0</v>
      </c>
      <c r="AO2262" s="116" t="inlineStr">
        <is>
          <t>#NA</t>
        </is>
      </c>
      <c r="AP2262" s="116">
        <f>SUMIFS(M:M,AM:AM,AM2262)+SUMIFS(O:O,AM:AM,AM2262)</f>
      </c>
      <c r="AQ2262" s="116">
        <f>SUMIFS(L:L,AM:AM,AM2262)</f>
      </c>
      <c r="AR2262" s="116">
        <f>AQ2262-AP2262</f>
      </c>
      <c r="AS2262" s="94" t="str">
        <f>IF(AN2262&gt;=AQ2262,"ok","ck")</f>
      </c>
      <c r="AT2262" s="116">
        <f>-P2262</f>
      </c>
      <c r="AU2262" s="115">
        <f>IF(SUMIFS(AT:AT,AM:AM,AM2262)&gt;AO2262,(SUMIFS(AT:AT,AM:AM,AM2262)-AO2262))</f>
      </c>
      <c r="AV2262" s="116">
        <v>0</v>
      </c>
      <c r="AW2262" s="121">
        <v>0</v>
      </c>
      <c r="AX2262" s="115">
        <f>AN2262-AP2262</f>
      </c>
    </row>
    <row r="2263" spans="1:50" ht="15" hidden="1" customHeight="1" x14ac:dyDescent="0.3">
      <c r="A2263" s="94" t="s">
        <v>60</v>
      </c>
      <c r="B2263" s="94"/>
      <c r="C2263" s="94"/>
      <c r="D2263" s="94"/>
      <c r="E2263" s="94"/>
      <c r="F2263" s="94"/>
      <c r="G2263" s="112">
        <f>AU2263</f>
      </c>
      <c r="H2263" s="113"/>
      <c r="I2263" s="94" t="s">
        <v>490</v>
      </c>
      <c r="J2263" s="94" t="s">
        <v>609</v>
      </c>
      <c r="K2263" s="114">
        <f>P2263/3</f>
      </c>
      <c r="L2263" s="115">
        <v>1.9279999999999999</v>
      </c>
      <c r="M2263" s="116"/>
      <c r="N2263" s="117">
        <f>M2263-L2263</f>
      </c>
      <c r="O2263" s="112"/>
      <c r="P2263" s="118">
        <f>N2263+O2263</f>
      </c>
      <c r="Q2263" s="94" t="s">
        <v>785</v>
      </c>
      <c r="R2263" s="94" t="s">
        <v>392</v>
      </c>
      <c r="S2263" s="119">
        <v>46339</v>
      </c>
      <c r="T2263" s="119"/>
      <c r="U2263" s="119">
        <v>46339</v>
      </c>
      <c r="V2263" s="94"/>
      <c r="W2263" s="94"/>
      <c r="X2263" s="94"/>
      <c r="Y2263" s="119">
        <v>46328</v>
      </c>
      <c r="Z2263" s="94"/>
      <c r="AA2263" s="120"/>
      <c r="AB2263" s="120"/>
      <c r="AC2263" s="120"/>
      <c r="AD2263" s="120"/>
      <c r="AE2263" s="120"/>
      <c r="AF2263" s="120"/>
      <c r="AG2263" s="94"/>
      <c r="AH2263" s="120"/>
      <c r="AI2263" s="94"/>
      <c r="AJ2263" s="94" t="s">
        <v>785</v>
      </c>
      <c r="AK2263" s="94" t="s">
        <v>532</v>
      </c>
      <c r="AL2263" s="94">
        <v>140</v>
      </c>
      <c r="AM2263" s="94" t="str">
        <f>TRIM(AJ2263)&amp;TRIM(AL2263)&amp;TRIM(AK2263)</f>
      </c>
      <c r="AN2263" s="116">
        <v>407</v>
      </c>
      <c r="AO2263" s="116">
        <v>8172</v>
      </c>
      <c r="AP2263" s="116">
        <f>SUMIFS(M:M,AM:AM,AM2263)+SUMIFS(O:O,AM:AM,AM2263)</f>
      </c>
      <c r="AQ2263" s="116">
        <f>SUMIFS(L:L,AM:AM,AM2263)</f>
      </c>
      <c r="AR2263" s="116">
        <f>AQ2263-AP2263</f>
      </c>
      <c r="AS2263" s="94" t="str">
        <f>IF(AN2263&gt;=AQ2263,"ok","ck")</f>
      </c>
      <c r="AT2263" s="116">
        <f>-P2263</f>
      </c>
      <c r="AU2263" s="115">
        <f>IF(SUMIFS(AT:AT,AM:AM,AM2263)&gt;AO2263,(SUMIFS(AT:AT,AM:AM,AM2263)-AO2263))</f>
      </c>
      <c r="AV2263" s="116">
        <v>407</v>
      </c>
      <c r="AW2263" s="121">
        <v>0.047</v>
      </c>
      <c r="AX2263" s="115">
        <f>AN2263-AP2263</f>
      </c>
    </row>
    <row r="2264" spans="1:50" ht="15" hidden="1" customHeight="1" x14ac:dyDescent="0.3">
      <c r="A2264" s="94" t="s">
        <v>60</v>
      </c>
      <c r="B2264" s="94"/>
      <c r="C2264" s="94"/>
      <c r="D2264" s="94"/>
      <c r="E2264" s="94"/>
      <c r="F2264" s="94"/>
      <c r="G2264" s="112">
        <f>AU2264</f>
      </c>
      <c r="H2264" s="113"/>
      <c r="I2264" s="94" t="s">
        <v>490</v>
      </c>
      <c r="J2264" s="94" t="s">
        <v>609</v>
      </c>
      <c r="K2264" s="114">
        <f>P2264/3</f>
      </c>
      <c r="L2264" s="115">
        <v>372.79300000000001</v>
      </c>
      <c r="M2264" s="116"/>
      <c r="N2264" s="117">
        <f>M2264-L2264</f>
      </c>
      <c r="O2264" s="112"/>
      <c r="P2264" s="118">
        <f>N2264+O2264</f>
      </c>
      <c r="Q2264" s="94" t="s">
        <v>785</v>
      </c>
      <c r="R2264" s="94" t="s">
        <v>392</v>
      </c>
      <c r="S2264" s="119">
        <v>46339</v>
      </c>
      <c r="T2264" s="119"/>
      <c r="U2264" s="119">
        <v>46339</v>
      </c>
      <c r="V2264" s="94"/>
      <c r="W2264" s="94"/>
      <c r="X2264" s="94"/>
      <c r="Y2264" s="119">
        <v>46326</v>
      </c>
      <c r="Z2264" s="94"/>
      <c r="AA2264" s="120"/>
      <c r="AB2264" s="120"/>
      <c r="AC2264" s="120"/>
      <c r="AD2264" s="120"/>
      <c r="AE2264" s="120"/>
      <c r="AF2264" s="120"/>
      <c r="AG2264" s="94"/>
      <c r="AH2264" s="120"/>
      <c r="AI2264" s="94"/>
      <c r="AJ2264" s="94" t="s">
        <v>785</v>
      </c>
      <c r="AK2264" s="94" t="s">
        <v>532</v>
      </c>
      <c r="AL2264" s="94">
        <v>140</v>
      </c>
      <c r="AM2264" s="94" t="str">
        <f>TRIM(AJ2264)&amp;TRIM(AL2264)&amp;TRIM(AK2264)</f>
      </c>
      <c r="AN2264" s="116">
        <v>407</v>
      </c>
      <c r="AO2264" s="116">
        <v>8172</v>
      </c>
      <c r="AP2264" s="116">
        <f>SUMIFS(M:M,AM:AM,AM2264)+SUMIFS(O:O,AM:AM,AM2264)</f>
      </c>
      <c r="AQ2264" s="116">
        <f>SUMIFS(L:L,AM:AM,AM2264)</f>
      </c>
      <c r="AR2264" s="116">
        <f>AQ2264-AP2264</f>
      </c>
      <c r="AS2264" s="94" t="str">
        <f>IF(AN2264&gt;=AQ2264,"ok","ck")</f>
      </c>
      <c r="AT2264" s="116">
        <f>-P2264</f>
      </c>
      <c r="AU2264" s="115">
        <f>IF(SUMIFS(AT:AT,AM:AM,AM2264)&gt;AO2264,(SUMIFS(AT:AT,AM:AM,AM2264)-AO2264))</f>
      </c>
      <c r="AV2264" s="116">
        <v>407</v>
      </c>
      <c r="AW2264" s="121">
        <v>0.047</v>
      </c>
      <c r="AX2264" s="115">
        <f>AN2264-AP2264</f>
      </c>
    </row>
    <row r="2265" spans="1:50" ht="15" hidden="1" customHeight="1" x14ac:dyDescent="0.3">
      <c r="A2265" s="94" t="s">
        <v>60</v>
      </c>
      <c r="B2265" s="94"/>
      <c r="C2265" s="94"/>
      <c r="D2265" s="94"/>
      <c r="E2265" s="94"/>
      <c r="F2265" s="94"/>
      <c r="G2265" s="112">
        <f>AU2265</f>
      </c>
      <c r="H2265" s="113"/>
      <c r="I2265" s="94" t="s">
        <v>490</v>
      </c>
      <c r="J2265" s="94" t="s">
        <v>609</v>
      </c>
      <c r="K2265" s="114">
        <f>P2265/3</f>
      </c>
      <c r="L2265" s="115">
        <v>102.96899999999999</v>
      </c>
      <c r="M2265" s="116"/>
      <c r="N2265" s="117">
        <f>M2265-L2265</f>
      </c>
      <c r="O2265" s="112"/>
      <c r="P2265" s="118">
        <f>N2265+O2265</f>
      </c>
      <c r="Q2265" s="94" t="s">
        <v>785</v>
      </c>
      <c r="R2265" s="94" t="s">
        <v>392</v>
      </c>
      <c r="S2265" s="119">
        <v>46339</v>
      </c>
      <c r="T2265" s="119"/>
      <c r="U2265" s="119">
        <v>46339</v>
      </c>
      <c r="V2265" s="94"/>
      <c r="W2265" s="94"/>
      <c r="X2265" s="94"/>
      <c r="Y2265" s="119">
        <v>46328</v>
      </c>
      <c r="Z2265" s="94"/>
      <c r="AA2265" s="120"/>
      <c r="AB2265" s="120"/>
      <c r="AC2265" s="120"/>
      <c r="AD2265" s="120"/>
      <c r="AE2265" s="120"/>
      <c r="AF2265" s="120"/>
      <c r="AG2265" s="94"/>
      <c r="AH2265" s="120"/>
      <c r="AI2265" s="94"/>
      <c r="AJ2265" s="94" t="s">
        <v>785</v>
      </c>
      <c r="AK2265" s="94" t="s">
        <v>532</v>
      </c>
      <c r="AL2265" s="94">
        <v>140</v>
      </c>
      <c r="AM2265" s="94" t="str">
        <f>TRIM(AJ2265)&amp;TRIM(AL2265)&amp;TRIM(AK2265)</f>
      </c>
      <c r="AN2265" s="116">
        <v>407</v>
      </c>
      <c r="AO2265" s="116">
        <v>8172</v>
      </c>
      <c r="AP2265" s="116">
        <f>SUMIFS(M:M,AM:AM,AM2265)+SUMIFS(O:O,AM:AM,AM2265)</f>
      </c>
      <c r="AQ2265" s="116">
        <f>SUMIFS(L:L,AM:AM,AM2265)</f>
      </c>
      <c r="AR2265" s="116">
        <f>AQ2265-AP2265</f>
      </c>
      <c r="AS2265" s="94" t="str">
        <f>IF(AN2265&gt;=AQ2265,"ok","ck")</f>
      </c>
      <c r="AT2265" s="116">
        <f>-P2265</f>
      </c>
      <c r="AU2265" s="115">
        <f>IF(SUMIFS(AT:AT,AM:AM,AM2265)&gt;AO2265,(SUMIFS(AT:AT,AM:AM,AM2265)-AO2265))</f>
      </c>
      <c r="AV2265" s="116">
        <v>407</v>
      </c>
      <c r="AW2265" s="121">
        <v>0.047</v>
      </c>
      <c r="AX2265" s="115">
        <f>AN2265-AP2265</f>
      </c>
    </row>
    <row r="2266" spans="1:50" ht="15" hidden="1" customHeight="1" x14ac:dyDescent="0.3">
      <c r="A2266" s="94" t="s">
        <v>76</v>
      </c>
      <c r="B2266" s="94"/>
      <c r="C2266" s="94"/>
      <c r="D2266" s="94"/>
      <c r="E2266" s="94"/>
      <c r="F2266" s="94"/>
      <c r="G2266" s="112">
        <f>AU2266</f>
      </c>
      <c r="H2266" s="113"/>
      <c r="I2266" s="94" t="s">
        <v>393</v>
      </c>
      <c r="J2266" s="94" t="s">
        <v>441</v>
      </c>
      <c r="K2266" s="114">
        <f>P2266/3</f>
      </c>
      <c r="L2266" s="115">
        <v>139.227</v>
      </c>
      <c r="M2266" s="116">
        <f>L2266</f>
      </c>
      <c r="N2266" s="117">
        <f>M2266-L2266</f>
      </c>
      <c r="O2266" s="112"/>
      <c r="P2266" s="118">
        <f>N2266+O2266</f>
      </c>
      <c r="Q2266" s="94" t="s">
        <v>440</v>
      </c>
      <c r="R2266" s="94" t="s">
        <v>392</v>
      </c>
      <c r="S2266" s="119">
        <v>46330</v>
      </c>
      <c r="T2266" s="119"/>
      <c r="U2266" s="119">
        <v>46330</v>
      </c>
      <c r="V2266" s="94"/>
      <c r="W2266" s="94"/>
      <c r="X2266" s="94"/>
      <c r="Y2266" s="119">
        <v>46324</v>
      </c>
      <c r="Z2266" s="94"/>
      <c r="AA2266" s="120"/>
      <c r="AB2266" s="120"/>
      <c r="AC2266" s="120"/>
      <c r="AD2266" s="120"/>
      <c r="AE2266" s="120"/>
      <c r="AF2266" s="120"/>
      <c r="AG2266" s="94"/>
      <c r="AH2266" s="120"/>
      <c r="AI2266" s="94"/>
      <c r="AJ2266" s="94" t="s">
        <v>440</v>
      </c>
      <c r="AK2266" s="94" t="s">
        <v>749</v>
      </c>
      <c r="AL2266" s="94">
        <v>150</v>
      </c>
      <c r="AM2266" s="94" t="str">
        <f>TRIM(AJ2266)&amp;TRIM(AL2266)&amp;TRIM(AK2266)</f>
      </c>
      <c r="AN2266" s="116">
        <v>74.09</v>
      </c>
      <c r="AO2266" s="116">
        <v>-4.32</v>
      </c>
      <c r="AP2266" s="116">
        <f>SUMIFS(M:M,AM:AM,AM2266)+SUMIFS(O:O,AM:AM,AM2266)</f>
      </c>
      <c r="AQ2266" s="116">
        <f>SUMIFS(L:L,AM:AM,AM2266)</f>
      </c>
      <c r="AR2266" s="116">
        <f>AQ2266-AP2266</f>
      </c>
      <c r="AS2266" s="94" t="str">
        <f>IF(AN2266&gt;=AQ2266,"ok","ck")</f>
      </c>
      <c r="AT2266" s="116">
        <f>-P2266</f>
      </c>
      <c r="AU2266" s="115">
        <f>IF(SUMIFS(AT:AT,AM:AM,AM2266)&gt;AO2266,(SUMIFS(AT:AT,AM:AM,AM2266)-AO2266))</f>
      </c>
      <c r="AV2266" s="116">
        <v>0</v>
      </c>
      <c r="AW2266" s="121">
        <v>1.027</v>
      </c>
      <c r="AX2266" s="115">
        <f>AN2266-AP2266</f>
      </c>
    </row>
    <row r="2267" spans="1:50" ht="15" hidden="1" customHeight="1" x14ac:dyDescent="0.3">
      <c r="A2267" s="94" t="s">
        <v>60</v>
      </c>
      <c r="B2267" s="94"/>
      <c r="C2267" s="94"/>
      <c r="D2267" s="94"/>
      <c r="E2267" s="94"/>
      <c r="F2267" s="94"/>
      <c r="G2267" s="112">
        <f>AU2267</f>
      </c>
      <c r="H2267" s="113"/>
      <c r="I2267" s="94" t="s">
        <v>490</v>
      </c>
      <c r="J2267" s="94" t="s">
        <v>591</v>
      </c>
      <c r="K2267" s="114">
        <f>P2267/3</f>
      </c>
      <c r="L2267" s="115">
        <v>380.07799999999997</v>
      </c>
      <c r="M2267" s="116"/>
      <c r="N2267" s="117">
        <f>M2267-L2267</f>
      </c>
      <c r="O2267" s="112"/>
      <c r="P2267" s="118">
        <f>N2267+O2267</f>
      </c>
      <c r="Q2267" s="94" t="s">
        <v>785</v>
      </c>
      <c r="R2267" s="94" t="s">
        <v>392</v>
      </c>
      <c r="S2267" s="119">
        <v>46339</v>
      </c>
      <c r="T2267" s="119"/>
      <c r="U2267" s="119">
        <v>46339</v>
      </c>
      <c r="V2267" s="94"/>
      <c r="W2267" s="94"/>
      <c r="X2267" s="94"/>
      <c r="Y2267" s="119">
        <v>46326</v>
      </c>
      <c r="Z2267" s="94"/>
      <c r="AA2267" s="120"/>
      <c r="AB2267" s="120"/>
      <c r="AC2267" s="120"/>
      <c r="AD2267" s="120"/>
      <c r="AE2267" s="120"/>
      <c r="AF2267" s="120"/>
      <c r="AG2267" s="94"/>
      <c r="AH2267" s="120"/>
      <c r="AI2267" s="94"/>
      <c r="AJ2267" s="94" t="s">
        <v>785</v>
      </c>
      <c r="AK2267" s="94" t="s">
        <v>755</v>
      </c>
      <c r="AL2267" s="94">
        <v>140</v>
      </c>
      <c r="AM2267" s="94" t="str">
        <f>TRIM(AJ2267)&amp;TRIM(AL2267)&amp;TRIM(AK2267)</f>
      </c>
      <c r="AN2267" s="116">
        <v>0</v>
      </c>
      <c r="AO2267" s="116" t="inlineStr">
        <is>
          <t>#NA</t>
        </is>
      </c>
      <c r="AP2267" s="116">
        <f>SUMIFS(M:M,AM:AM,AM2267)+SUMIFS(O:O,AM:AM,AM2267)</f>
      </c>
      <c r="AQ2267" s="116">
        <f>SUMIFS(L:L,AM:AM,AM2267)</f>
      </c>
      <c r="AR2267" s="116">
        <f>AQ2267-AP2267</f>
      </c>
      <c r="AS2267" s="94" t="str">
        <f>IF(AN2267&gt;=AQ2267,"ok","ck")</f>
      </c>
      <c r="AT2267" s="116">
        <f>-P2267</f>
      </c>
      <c r="AU2267" s="115">
        <f>IF(SUMIFS(AT:AT,AM:AM,AM2267)&gt;AO2267,(SUMIFS(AT:AT,AM:AM,AM2267)-AO2267))</f>
      </c>
      <c r="AV2267" s="116">
        <v>0</v>
      </c>
      <c r="AW2267" s="121">
        <v>0</v>
      </c>
      <c r="AX2267" s="115">
        <f>AN2267-AP2267</f>
      </c>
    </row>
    <row r="2268" spans="1:50" ht="15" hidden="1" customHeight="1" x14ac:dyDescent="0.3">
      <c r="A2268" s="94" t="s">
        <v>76</v>
      </c>
      <c r="B2268" s="94"/>
      <c r="C2268" s="94"/>
      <c r="D2268" s="94"/>
      <c r="E2268" s="94"/>
      <c r="F2268" s="94"/>
      <c r="G2268" s="112">
        <f>AU2268</f>
      </c>
      <c r="H2268" s="113"/>
      <c r="I2268" s="94" t="s">
        <v>393</v>
      </c>
      <c r="J2268" s="94" t="s">
        <v>439</v>
      </c>
      <c r="K2268" s="114">
        <f>P2268/3</f>
      </c>
      <c r="L2268" s="115">
        <v>1000.8</v>
      </c>
      <c r="M2268" s="116"/>
      <c r="N2268" s="117">
        <f>M2268-L2268</f>
      </c>
      <c r="O2268" s="112"/>
      <c r="P2268" s="118">
        <f>N2268+O2268</f>
      </c>
      <c r="Q2268" s="94" t="s">
        <v>440</v>
      </c>
      <c r="R2268" s="94" t="s">
        <v>392</v>
      </c>
      <c r="S2268" s="119">
        <v>46329</v>
      </c>
      <c r="T2268" s="119"/>
      <c r="U2268" s="120">
        <v>46329</v>
      </c>
      <c r="V2268" s="94"/>
      <c r="W2268" s="94"/>
      <c r="X2268" s="94"/>
      <c r="Y2268" s="119">
        <v>46324</v>
      </c>
      <c r="Z2268" s="94"/>
      <c r="AA2268" s="120"/>
      <c r="AB2268" s="120"/>
      <c r="AC2268" s="120"/>
      <c r="AD2268" s="120"/>
      <c r="AE2268" s="120"/>
      <c r="AF2268" s="120"/>
      <c r="AG2268" s="94"/>
      <c r="AH2268" s="120"/>
      <c r="AI2268" s="94"/>
      <c r="AJ2268" s="94" t="s">
        <v>440</v>
      </c>
      <c r="AK2268" s="94" t="s">
        <v>765</v>
      </c>
      <c r="AL2268" s="94">
        <v>150</v>
      </c>
      <c r="AM2268" s="94" t="str">
        <f>TRIM(AJ2268)&amp;TRIM(AL2268)&amp;TRIM(AK2268)</f>
      </c>
      <c r="AN2268" s="116">
        <v>0</v>
      </c>
      <c r="AO2268" s="116" t="inlineStr">
        <is>
          <t>#NA</t>
        </is>
      </c>
      <c r="AP2268" s="116">
        <f>SUMIFS(M:M,AM:AM,AM2268)+SUMIFS(O:O,AM:AM,AM2268)</f>
      </c>
      <c r="AQ2268" s="116">
        <f>SUMIFS(L:L,AM:AM,AM2268)</f>
      </c>
      <c r="AR2268" s="116">
        <f>AQ2268-AP2268</f>
      </c>
      <c r="AS2268" s="94" t="str">
        <f>IF(AN2268&gt;=AQ2268,"ok","ck")</f>
      </c>
      <c r="AT2268" s="116">
        <f>-P2268</f>
      </c>
      <c r="AU2268" s="115">
        <f>IF(SUMIFS(AT:AT,AM:AM,AM2268)&gt;AO2268,(SUMIFS(AT:AT,AM:AM,AM2268)-AO2268))</f>
      </c>
      <c r="AV2268" s="116">
        <v>0</v>
      </c>
      <c r="AW2268" s="121">
        <v>1.007</v>
      </c>
      <c r="AX2268" s="115">
        <f>AN2268-AP2268</f>
      </c>
    </row>
    <row r="2269" spans="1:50" ht="15" hidden="1" customHeight="1" x14ac:dyDescent="0.3">
      <c r="A2269" s="94" t="s">
        <v>76</v>
      </c>
      <c r="B2269" s="94"/>
      <c r="C2269" s="94"/>
      <c r="D2269" s="94"/>
      <c r="E2269" s="94"/>
      <c r="F2269" s="94"/>
      <c r="G2269" s="112">
        <f>AU2269</f>
      </c>
      <c r="H2269" s="113"/>
      <c r="I2269" s="94" t="s">
        <v>393</v>
      </c>
      <c r="J2269" s="94" t="s">
        <v>439</v>
      </c>
      <c r="K2269" s="114">
        <f>P2269/3</f>
      </c>
      <c r="L2269" s="115">
        <v>1.835</v>
      </c>
      <c r="M2269" s="116"/>
      <c r="N2269" s="117">
        <f>M2269-L2269</f>
      </c>
      <c r="O2269" s="112"/>
      <c r="P2269" s="118">
        <f>N2269+O2269</f>
      </c>
      <c r="Q2269" s="94" t="s">
        <v>440</v>
      </c>
      <c r="R2269" s="94" t="s">
        <v>392</v>
      </c>
      <c r="S2269" s="119">
        <v>46329</v>
      </c>
      <c r="T2269" s="119"/>
      <c r="U2269" s="120">
        <v>46329</v>
      </c>
      <c r="V2269" s="94"/>
      <c r="W2269" s="94"/>
      <c r="X2269" s="94"/>
      <c r="Y2269" s="119">
        <v>46326</v>
      </c>
      <c r="Z2269" s="94"/>
      <c r="AA2269" s="120"/>
      <c r="AB2269" s="120"/>
      <c r="AC2269" s="120"/>
      <c r="AD2269" s="120"/>
      <c r="AE2269" s="120"/>
      <c r="AF2269" s="120"/>
      <c r="AG2269" s="94"/>
      <c r="AH2269" s="120"/>
      <c r="AI2269" s="94"/>
      <c r="AJ2269" s="94" t="s">
        <v>440</v>
      </c>
      <c r="AK2269" s="94" t="s">
        <v>765</v>
      </c>
      <c r="AL2269" s="94">
        <v>150</v>
      </c>
      <c r="AM2269" s="94" t="str">
        <f>TRIM(AJ2269)&amp;TRIM(AL2269)&amp;TRIM(AK2269)</f>
      </c>
      <c r="AN2269" s="116">
        <v>0</v>
      </c>
      <c r="AO2269" s="116" t="inlineStr">
        <is>
          <t>#NA</t>
        </is>
      </c>
      <c r="AP2269" s="116">
        <f>SUMIFS(M:M,AM:AM,AM2269)+SUMIFS(O:O,AM:AM,AM2269)</f>
      </c>
      <c r="AQ2269" s="116">
        <f>SUMIFS(L:L,AM:AM,AM2269)</f>
      </c>
      <c r="AR2269" s="116">
        <f>AQ2269-AP2269</f>
      </c>
      <c r="AS2269" s="94" t="str">
        <f>IF(AN2269&gt;=AQ2269,"ok","ck")</f>
      </c>
      <c r="AT2269" s="116">
        <f>-P2269</f>
      </c>
      <c r="AU2269" s="115">
        <f>IF(SUMIFS(AT:AT,AM:AM,AM2269)&gt;AO2269,(SUMIFS(AT:AT,AM:AM,AM2269)-AO2269))</f>
      </c>
      <c r="AV2269" s="116">
        <v>0</v>
      </c>
      <c r="AW2269" s="121">
        <v>1.007</v>
      </c>
      <c r="AX2269" s="115">
        <f>AN2269-AP2269</f>
      </c>
    </row>
    <row r="2270" spans="1:50" ht="15" hidden="1" customHeight="1" x14ac:dyDescent="0.3">
      <c r="A2270" s="94" t="s">
        <v>76</v>
      </c>
      <c r="B2270" s="94"/>
      <c r="C2270" s="94"/>
      <c r="D2270" s="94"/>
      <c r="E2270" s="94"/>
      <c r="F2270" s="94"/>
      <c r="G2270" s="112">
        <f>AU2270</f>
      </c>
      <c r="H2270" s="113"/>
      <c r="I2270" s="94" t="s">
        <v>393</v>
      </c>
      <c r="J2270" s="94" t="s">
        <v>439</v>
      </c>
      <c r="K2270" s="114">
        <f>P2270/3</f>
      </c>
      <c r="L2270" s="115">
        <v>548.07899999999995</v>
      </c>
      <c r="M2270" s="116"/>
      <c r="N2270" s="117">
        <f>M2270-L2270</f>
      </c>
      <c r="O2270" s="112"/>
      <c r="P2270" s="118">
        <f>N2270+O2270</f>
      </c>
      <c r="Q2270" s="94" t="s">
        <v>440</v>
      </c>
      <c r="R2270" s="94" t="s">
        <v>392</v>
      </c>
      <c r="S2270" s="119">
        <v>46329</v>
      </c>
      <c r="T2270" s="119"/>
      <c r="U2270" s="119">
        <v>46329</v>
      </c>
      <c r="V2270" s="94"/>
      <c r="W2270" s="94"/>
      <c r="X2270" s="94"/>
      <c r="Y2270" s="119">
        <v>46329</v>
      </c>
      <c r="Z2270" s="94"/>
      <c r="AA2270" s="120"/>
      <c r="AB2270" s="120"/>
      <c r="AC2270" s="120"/>
      <c r="AD2270" s="120"/>
      <c r="AE2270" s="120"/>
      <c r="AF2270" s="120"/>
      <c r="AG2270" s="94"/>
      <c r="AH2270" s="120"/>
      <c r="AI2270" s="94"/>
      <c r="AJ2270" s="94" t="s">
        <v>440</v>
      </c>
      <c r="AK2270" s="94" t="s">
        <v>765</v>
      </c>
      <c r="AL2270" s="94">
        <v>150</v>
      </c>
      <c r="AM2270" s="94" t="str">
        <f>TRIM(AJ2270)&amp;TRIM(AL2270)&amp;TRIM(AK2270)</f>
      </c>
      <c r="AN2270" s="116">
        <v>0</v>
      </c>
      <c r="AO2270" s="116" t="inlineStr">
        <is>
          <t>#NA</t>
        </is>
      </c>
      <c r="AP2270" s="116">
        <f>SUMIFS(M:M,AM:AM,AM2270)+SUMIFS(O:O,AM:AM,AM2270)</f>
      </c>
      <c r="AQ2270" s="116">
        <f>SUMIFS(L:L,AM:AM,AM2270)</f>
      </c>
      <c r="AR2270" s="116">
        <f>AQ2270-AP2270</f>
      </c>
      <c r="AS2270" s="94" t="str">
        <f>IF(AN2270&gt;=AQ2270,"ok","ck")</f>
      </c>
      <c r="AT2270" s="116">
        <f>-P2270</f>
      </c>
      <c r="AU2270" s="115">
        <f>IF(SUMIFS(AT:AT,AM:AM,AM2270)&gt;AO2270,(SUMIFS(AT:AT,AM:AM,AM2270)-AO2270))</f>
      </c>
      <c r="AV2270" s="116">
        <v>0</v>
      </c>
      <c r="AW2270" s="121">
        <v>1.007</v>
      </c>
      <c r="AX2270" s="115">
        <f>AN2270-AP2270</f>
      </c>
    </row>
    <row r="2271" spans="1:50" ht="15" hidden="1" customHeight="1" x14ac:dyDescent="0.3">
      <c r="A2271" s="94" t="s">
        <v>76</v>
      </c>
      <c r="B2271" s="94"/>
      <c r="C2271" s="94"/>
      <c r="D2271" s="94"/>
      <c r="E2271" s="94"/>
      <c r="F2271" s="94"/>
      <c r="G2271" s="112">
        <f>AU2271</f>
      </c>
      <c r="H2271" s="113"/>
      <c r="I2271" s="94" t="s">
        <v>393</v>
      </c>
      <c r="J2271" s="94" t="s">
        <v>439</v>
      </c>
      <c r="K2271" s="114">
        <f>P2271/3</f>
      </c>
      <c r="L2271" s="115">
        <v>2.673</v>
      </c>
      <c r="M2271" s="116"/>
      <c r="N2271" s="117">
        <f>M2271-L2271</f>
      </c>
      <c r="O2271" s="112"/>
      <c r="P2271" s="118">
        <f>N2271+O2271</f>
      </c>
      <c r="Q2271" s="94" t="s">
        <v>440</v>
      </c>
      <c r="R2271" s="94" t="s">
        <v>392</v>
      </c>
      <c r="S2271" s="119">
        <v>46333</v>
      </c>
      <c r="T2271" s="119"/>
      <c r="U2271" s="119">
        <v>46333</v>
      </c>
      <c r="V2271" s="94"/>
      <c r="W2271" s="94"/>
      <c r="X2271" s="94"/>
      <c r="Y2271" s="119">
        <v>46333</v>
      </c>
      <c r="Z2271" s="94"/>
      <c r="AA2271" s="120"/>
      <c r="AB2271" s="120"/>
      <c r="AC2271" s="120"/>
      <c r="AD2271" s="120"/>
      <c r="AE2271" s="120"/>
      <c r="AF2271" s="120"/>
      <c r="AG2271" s="94"/>
      <c r="AH2271" s="120"/>
      <c r="AI2271" s="94"/>
      <c r="AJ2271" s="94" t="s">
        <v>440</v>
      </c>
      <c r="AK2271" s="94" t="s">
        <v>765</v>
      </c>
      <c r="AL2271" s="94">
        <v>150</v>
      </c>
      <c r="AM2271" s="94" t="str">
        <f>TRIM(AJ2271)&amp;TRIM(AL2271)&amp;TRIM(AK2271)</f>
      </c>
      <c r="AN2271" s="116">
        <v>0</v>
      </c>
      <c r="AO2271" s="116" t="inlineStr">
        <is>
          <t>#NA</t>
        </is>
      </c>
      <c r="AP2271" s="116">
        <f>SUMIFS(M:M,AM:AM,AM2271)+SUMIFS(O:O,AM:AM,AM2271)</f>
      </c>
      <c r="AQ2271" s="116">
        <f>SUMIFS(L:L,AM:AM,AM2271)</f>
      </c>
      <c r="AR2271" s="116">
        <f>AQ2271-AP2271</f>
      </c>
      <c r="AS2271" s="94" t="str">
        <f>IF(AN2271&gt;=AQ2271,"ok","ck")</f>
      </c>
      <c r="AT2271" s="116">
        <f>-P2271</f>
      </c>
      <c r="AU2271" s="115">
        <f>IF(SUMIFS(AT:AT,AM:AM,AM2271)&gt;AO2271,(SUMIFS(AT:AT,AM:AM,AM2271)-AO2271))</f>
      </c>
      <c r="AV2271" s="116">
        <v>0</v>
      </c>
      <c r="AW2271" s="121">
        <v>1.007</v>
      </c>
      <c r="AX2271" s="115">
        <f>AN2271-AP2271</f>
      </c>
    </row>
    <row r="2272" spans="1:50" ht="15" hidden="1" customHeight="1" x14ac:dyDescent="0.3">
      <c r="A2272" s="94" t="s">
        <v>76</v>
      </c>
      <c r="B2272" s="94"/>
      <c r="C2272" s="94"/>
      <c r="D2272" s="94"/>
      <c r="E2272" s="94"/>
      <c r="F2272" s="94"/>
      <c r="G2272" s="112">
        <f>AU2272</f>
      </c>
      <c r="H2272" s="113"/>
      <c r="I2272" s="94" t="s">
        <v>393</v>
      </c>
      <c r="J2272" s="94" t="s">
        <v>441</v>
      </c>
      <c r="K2272" s="114">
        <f>P2272/3</f>
      </c>
      <c r="L2272" s="115">
        <v>80.728999999999999</v>
      </c>
      <c r="M2272" s="116">
        <f>L2272</f>
      </c>
      <c r="N2272" s="117">
        <f>M2272-L2272</f>
      </c>
      <c r="O2272" s="112"/>
      <c r="P2272" s="118">
        <f>N2272+O2272</f>
      </c>
      <c r="Q2272" s="94" t="s">
        <v>440</v>
      </c>
      <c r="R2272" s="94" t="s">
        <v>392</v>
      </c>
      <c r="S2272" s="119">
        <v>46330</v>
      </c>
      <c r="T2272" s="119"/>
      <c r="U2272" s="119">
        <v>46330</v>
      </c>
      <c r="V2272" s="94"/>
      <c r="W2272" s="94"/>
      <c r="X2272" s="94"/>
      <c r="Y2272" s="119">
        <v>46323</v>
      </c>
      <c r="Z2272" s="94"/>
      <c r="AA2272" s="120"/>
      <c r="AB2272" s="120"/>
      <c r="AC2272" s="120"/>
      <c r="AD2272" s="120"/>
      <c r="AE2272" s="120"/>
      <c r="AF2272" s="120"/>
      <c r="AG2272" s="94"/>
      <c r="AH2272" s="120"/>
      <c r="AI2272" s="94"/>
      <c r="AJ2272" s="94" t="s">
        <v>440</v>
      </c>
      <c r="AK2272" s="94" t="s">
        <v>749</v>
      </c>
      <c r="AL2272" s="94">
        <v>150</v>
      </c>
      <c r="AM2272" s="94" t="str">
        <f>TRIM(AJ2272)&amp;TRIM(AL2272)&amp;TRIM(AK2272)</f>
      </c>
      <c r="AN2272" s="116">
        <v>74.09</v>
      </c>
      <c r="AO2272" s="116">
        <v>-4.32</v>
      </c>
      <c r="AP2272" s="116">
        <f>SUMIFS(M:M,AM:AM,AM2272)+SUMIFS(O:O,AM:AM,AM2272)</f>
      </c>
      <c r="AQ2272" s="116">
        <f>SUMIFS(L:L,AM:AM,AM2272)</f>
      </c>
      <c r="AR2272" s="116">
        <f>AQ2272-AP2272</f>
      </c>
      <c r="AS2272" s="94" t="str">
        <f>IF(AN2272&gt;=AQ2272,"ok","ck")</f>
      </c>
      <c r="AT2272" s="116">
        <f>-P2272</f>
      </c>
      <c r="AU2272" s="115">
        <f>IF(SUMIFS(AT:AT,AM:AM,AM2272)&gt;AO2272,(SUMIFS(AT:AT,AM:AM,AM2272)-AO2272))</f>
      </c>
      <c r="AV2272" s="116">
        <v>0</v>
      </c>
      <c r="AW2272" s="121">
        <v>1.027</v>
      </c>
      <c r="AX2272" s="115">
        <f>AN2272-AP2272</f>
      </c>
    </row>
    <row r="2273" spans="1:50" ht="15" hidden="1" customHeight="1" x14ac:dyDescent="0.3">
      <c r="A2273" s="94" t="s">
        <v>268</v>
      </c>
      <c r="B2273" s="94"/>
      <c r="C2273" s="94"/>
      <c r="D2273" s="94"/>
      <c r="E2273" s="94"/>
      <c r="F2273" s="94"/>
      <c r="G2273" s="112">
        <f>AU2273</f>
      </c>
      <c r="H2273" s="113"/>
      <c r="I2273" s="94" t="s">
        <v>390</v>
      </c>
      <c r="J2273" s="94" t="s">
        <v>401</v>
      </c>
      <c r="K2273" s="114">
        <f>P2273/3</f>
      </c>
      <c r="L2273" s="115">
        <v>237.75</v>
      </c>
      <c r="M2273" s="116"/>
      <c r="N2273" s="117">
        <f>M2273-L2273</f>
      </c>
      <c r="O2273" s="112"/>
      <c r="P2273" s="118">
        <f>N2273+O2273</f>
      </c>
      <c r="Q2273" s="94" t="s">
        <v>305</v>
      </c>
      <c r="R2273" s="94" t="s">
        <v>392</v>
      </c>
      <c r="S2273" s="119">
        <v>46334</v>
      </c>
      <c r="T2273" s="119"/>
      <c r="U2273" s="119">
        <v>46334</v>
      </c>
      <c r="V2273" s="94"/>
      <c r="W2273" s="94"/>
      <c r="X2273" s="94"/>
      <c r="Y2273" s="119">
        <v>46329</v>
      </c>
      <c r="Z2273" s="94"/>
      <c r="AA2273" s="120"/>
      <c r="AB2273" s="120"/>
      <c r="AC2273" s="120"/>
      <c r="AD2273" s="120"/>
      <c r="AE2273" s="120"/>
      <c r="AF2273" s="120"/>
      <c r="AG2273" s="94"/>
      <c r="AH2273" s="120"/>
      <c r="AI2273" s="94"/>
      <c r="AJ2273" s="94" t="s">
        <v>305</v>
      </c>
      <c r="AK2273" s="94" t="s">
        <v>389</v>
      </c>
      <c r="AL2273" s="94">
        <v>140</v>
      </c>
      <c r="AM2273" s="94" t="str">
        <f>TRIM(AJ2273)&amp;TRIM(AL2273)&amp;TRIM(AK2273)</f>
      </c>
      <c r="AN2273" s="116">
        <v>0</v>
      </c>
      <c r="AO2273" s="116" t="inlineStr">
        <is>
          <t>#NA</t>
        </is>
      </c>
      <c r="AP2273" s="116">
        <f>SUMIFS(M:M,AM:AM,AM2273)+SUMIFS(O:O,AM:AM,AM2273)</f>
      </c>
      <c r="AQ2273" s="116">
        <f>SUMIFS(L:L,AM:AM,AM2273)</f>
      </c>
      <c r="AR2273" s="116">
        <f>AQ2273-AP2273</f>
      </c>
      <c r="AS2273" s="94" t="str">
        <f>IF(AN2273&gt;=AQ2273,"ok","ck")</f>
      </c>
      <c r="AT2273" s="116">
        <f>-P2273</f>
      </c>
      <c r="AU2273" s="115">
        <f>IF(SUMIFS(AT:AT,AM:AM,AM2273)&gt;AO2273,(SUMIFS(AT:AT,AM:AM,AM2273)-AO2273))</f>
      </c>
      <c r="AV2273" s="116">
        <v>0</v>
      </c>
      <c r="AW2273" s="121">
        <v>0</v>
      </c>
      <c r="AX2273" s="115">
        <f>AN2273-AP2273</f>
      </c>
    </row>
    <row r="2274" spans="1:50" ht="15" hidden="1" customHeight="1" x14ac:dyDescent="0.3">
      <c r="A2274" s="94" t="s">
        <v>268</v>
      </c>
      <c r="B2274" s="94"/>
      <c r="C2274" s="94"/>
      <c r="D2274" s="94"/>
      <c r="E2274" s="94"/>
      <c r="F2274" s="94"/>
      <c r="G2274" s="112">
        <f>AU2274</f>
      </c>
      <c r="H2274" s="113"/>
      <c r="I2274" s="94" t="s">
        <v>390</v>
      </c>
      <c r="J2274" s="94" t="s">
        <v>401</v>
      </c>
      <c r="K2274" s="114">
        <f>P2274/3</f>
      </c>
      <c r="L2274" s="115">
        <v>190.2</v>
      </c>
      <c r="M2274" s="116"/>
      <c r="N2274" s="117">
        <f>M2274-L2274</f>
      </c>
      <c r="O2274" s="112"/>
      <c r="P2274" s="118">
        <f>N2274+O2274</f>
      </c>
      <c r="Q2274" s="94" t="s">
        <v>305</v>
      </c>
      <c r="R2274" s="94" t="s">
        <v>392</v>
      </c>
      <c r="S2274" s="119">
        <v>46337</v>
      </c>
      <c r="T2274" s="119"/>
      <c r="U2274" s="119">
        <v>46337</v>
      </c>
      <c r="V2274" s="94"/>
      <c r="W2274" s="94"/>
      <c r="X2274" s="94"/>
      <c r="Y2274" s="119">
        <v>46337</v>
      </c>
      <c r="Z2274" s="94"/>
      <c r="AA2274" s="120"/>
      <c r="AB2274" s="120"/>
      <c r="AC2274" s="120"/>
      <c r="AD2274" s="120"/>
      <c r="AE2274" s="120"/>
      <c r="AF2274" s="120"/>
      <c r="AG2274" s="94"/>
      <c r="AH2274" s="120"/>
      <c r="AI2274" s="94"/>
      <c r="AJ2274" s="94" t="s">
        <v>305</v>
      </c>
      <c r="AK2274" s="94" t="s">
        <v>389</v>
      </c>
      <c r="AL2274" s="94">
        <v>140</v>
      </c>
      <c r="AM2274" s="94" t="str">
        <f>TRIM(AJ2274)&amp;TRIM(AL2274)&amp;TRIM(AK2274)</f>
      </c>
      <c r="AN2274" s="116">
        <v>0</v>
      </c>
      <c r="AO2274" s="116" t="inlineStr">
        <is>
          <t>#NA</t>
        </is>
      </c>
      <c r="AP2274" s="116">
        <f>SUMIFS(M:M,AM:AM,AM2274)+SUMIFS(O:O,AM:AM,AM2274)</f>
      </c>
      <c r="AQ2274" s="116">
        <f>SUMIFS(L:L,AM:AM,AM2274)</f>
      </c>
      <c r="AR2274" s="116">
        <f>AQ2274-AP2274</f>
      </c>
      <c r="AS2274" s="94" t="str">
        <f>IF(AN2274&gt;=AQ2274,"ok","ck")</f>
      </c>
      <c r="AT2274" s="116">
        <f>-P2274</f>
      </c>
      <c r="AU2274" s="115">
        <f>IF(SUMIFS(AT:AT,AM:AM,AM2274)&gt;AO2274,(SUMIFS(AT:AT,AM:AM,AM2274)-AO2274))</f>
      </c>
      <c r="AV2274" s="116">
        <v>0</v>
      </c>
      <c r="AW2274" s="121">
        <v>0</v>
      </c>
      <c r="AX2274" s="115">
        <f>AN2274-AP2274</f>
      </c>
    </row>
    <row r="2275" spans="1:50" ht="15" hidden="1" customHeight="1" x14ac:dyDescent="0.3">
      <c r="A2275" s="94" t="s">
        <v>76</v>
      </c>
      <c r="B2275" s="94"/>
      <c r="C2275" s="94"/>
      <c r="D2275" s="94"/>
      <c r="E2275" s="94"/>
      <c r="F2275" s="94"/>
      <c r="G2275" s="112">
        <f>AU2275</f>
      </c>
      <c r="H2275" s="113"/>
      <c r="I2275" s="94" t="s">
        <v>393</v>
      </c>
      <c r="J2275" s="94" t="s">
        <v>435</v>
      </c>
      <c r="K2275" s="114">
        <f>P2275/3</f>
      </c>
      <c r="L2275" s="115">
        <v>819.846</v>
      </c>
      <c r="M2275" s="116">
        <f>L2275</f>
      </c>
      <c r="N2275" s="117">
        <f>M2275-L2275</f>
      </c>
      <c r="O2275" s="112"/>
      <c r="P2275" s="118">
        <f>N2275+O2275</f>
      </c>
      <c r="Q2275" s="94" t="s">
        <v>398</v>
      </c>
      <c r="R2275" s="94" t="s">
        <v>392</v>
      </c>
      <c r="S2275" s="119">
        <v>46326</v>
      </c>
      <c r="T2275" s="119"/>
      <c r="U2275" s="119">
        <v>46326</v>
      </c>
      <c r="V2275" s="94"/>
      <c r="W2275" s="94"/>
      <c r="X2275" s="94"/>
      <c r="Y2275" s="119">
        <v>46326</v>
      </c>
      <c r="Z2275" s="94"/>
      <c r="AA2275" s="120"/>
      <c r="AB2275" s="120"/>
      <c r="AC2275" s="120"/>
      <c r="AD2275" s="120"/>
      <c r="AE2275" s="120"/>
      <c r="AF2275" s="120"/>
      <c r="AG2275" s="94"/>
      <c r="AH2275" s="120"/>
      <c r="AI2275" s="94"/>
      <c r="AJ2275" s="94" t="s">
        <v>398</v>
      </c>
      <c r="AK2275" s="94" t="s">
        <v>748</v>
      </c>
      <c r="AL2275" s="94">
        <v>150</v>
      </c>
      <c r="AM2275" s="94" t="str">
        <f>TRIM(AJ2275)&amp;TRIM(AL2275)&amp;TRIM(AK2275)</f>
      </c>
      <c r="AN2275" s="116">
        <v>2227.84</v>
      </c>
      <c r="AO2275" s="116">
        <v>-11.79</v>
      </c>
      <c r="AP2275" s="116">
        <f>SUMIFS(M:M,AM:AM,AM2275)+SUMIFS(O:O,AM:AM,AM2275)</f>
      </c>
      <c r="AQ2275" s="116">
        <f>SUMIFS(L:L,AM:AM,AM2275)</f>
      </c>
      <c r="AR2275" s="116">
        <f>AQ2275-AP2275</f>
      </c>
      <c r="AS2275" s="94" t="str">
        <f>IF(AN2275&gt;=AQ2275,"ok","ck")</f>
      </c>
      <c r="AT2275" s="116">
        <f>-P2275</f>
      </c>
      <c r="AU2275" s="115">
        <f>IF(SUMIFS(AT:AT,AM:AM,AM2275)&gt;AO2275,(SUMIFS(AT:AT,AM:AM,AM2275)-AO2275))</f>
      </c>
      <c r="AV2275" s="116">
        <v>2227.84</v>
      </c>
      <c r="AW2275" s="121">
        <v>1.025</v>
      </c>
      <c r="AX2275" s="115">
        <f>AN2275-AP2275</f>
      </c>
    </row>
    <row r="2276" spans="1:50" ht="15" hidden="1" customHeight="1" x14ac:dyDescent="0.3">
      <c r="A2276" s="94" t="s">
        <v>76</v>
      </c>
      <c r="B2276" s="94"/>
      <c r="C2276" s="94"/>
      <c r="D2276" s="94"/>
      <c r="E2276" s="94"/>
      <c r="F2276" s="94"/>
      <c r="G2276" s="112">
        <f>AU2276</f>
      </c>
      <c r="H2276" s="113"/>
      <c r="I2276" s="94" t="s">
        <v>393</v>
      </c>
      <c r="J2276" s="94" t="s">
        <v>435</v>
      </c>
      <c r="K2276" s="114">
        <f>P2276/3</f>
      </c>
      <c r="L2276" s="115">
        <v>4.9950000000000001</v>
      </c>
      <c r="M2276" s="116">
        <f>L2276</f>
      </c>
      <c r="N2276" s="117">
        <f>M2276-L2276</f>
      </c>
      <c r="O2276" s="112"/>
      <c r="P2276" s="118">
        <f>N2276+O2276</f>
      </c>
      <c r="Q2276" s="94" t="s">
        <v>398</v>
      </c>
      <c r="R2276" s="94" t="s">
        <v>392</v>
      </c>
      <c r="S2276" s="119">
        <v>46329</v>
      </c>
      <c r="T2276" s="119"/>
      <c r="U2276" s="119">
        <v>46329</v>
      </c>
      <c r="V2276" s="94"/>
      <c r="W2276" s="94"/>
      <c r="X2276" s="94"/>
      <c r="Y2276" s="119">
        <v>46329</v>
      </c>
      <c r="Z2276" s="94"/>
      <c r="AA2276" s="120"/>
      <c r="AB2276" s="120"/>
      <c r="AC2276" s="120"/>
      <c r="AD2276" s="120"/>
      <c r="AE2276" s="120"/>
      <c r="AF2276" s="120"/>
      <c r="AG2276" s="94"/>
      <c r="AH2276" s="120"/>
      <c r="AI2276" s="94"/>
      <c r="AJ2276" s="94" t="s">
        <v>398</v>
      </c>
      <c r="AK2276" s="94" t="s">
        <v>748</v>
      </c>
      <c r="AL2276" s="94">
        <v>150</v>
      </c>
      <c r="AM2276" s="94" t="str">
        <f>TRIM(AJ2276)&amp;TRIM(AL2276)&amp;TRIM(AK2276)</f>
      </c>
      <c r="AN2276" s="116">
        <v>2227.84</v>
      </c>
      <c r="AO2276" s="116">
        <v>-11.79</v>
      </c>
      <c r="AP2276" s="116">
        <f>SUMIFS(M:M,AM:AM,AM2276)+SUMIFS(O:O,AM:AM,AM2276)</f>
      </c>
      <c r="AQ2276" s="116">
        <f>SUMIFS(L:L,AM:AM,AM2276)</f>
      </c>
      <c r="AR2276" s="116">
        <f>AQ2276-AP2276</f>
      </c>
      <c r="AS2276" s="94" t="str">
        <f>IF(AN2276&gt;=AQ2276,"ok","ck")</f>
      </c>
      <c r="AT2276" s="116">
        <f>-P2276</f>
      </c>
      <c r="AU2276" s="115">
        <f>IF(SUMIFS(AT:AT,AM:AM,AM2276)&gt;AO2276,(SUMIFS(AT:AT,AM:AM,AM2276)-AO2276))</f>
      </c>
      <c r="AV2276" s="116">
        <v>2227.84</v>
      </c>
      <c r="AW2276" s="121">
        <v>1.025</v>
      </c>
      <c r="AX2276" s="115">
        <f>AN2276-AP2276</f>
      </c>
    </row>
    <row r="2277" spans="1:50" ht="15" hidden="1" customHeight="1" x14ac:dyDescent="0.3">
      <c r="A2277" s="94" t="s">
        <v>76</v>
      </c>
      <c r="B2277" s="94"/>
      <c r="C2277" s="94"/>
      <c r="D2277" s="94"/>
      <c r="E2277" s="94"/>
      <c r="F2277" s="94"/>
      <c r="G2277" s="112">
        <f>AU2277</f>
      </c>
      <c r="H2277" s="113"/>
      <c r="I2277" s="94" t="s">
        <v>393</v>
      </c>
      <c r="J2277" s="94" t="s">
        <v>436</v>
      </c>
      <c r="K2277" s="114">
        <f>P2277/3</f>
      </c>
      <c r="L2277" s="115">
        <v>819.846</v>
      </c>
      <c r="M2277" s="116">
        <f>L2277</f>
      </c>
      <c r="N2277" s="117">
        <f>M2277-L2277</f>
      </c>
      <c r="O2277" s="112"/>
      <c r="P2277" s="118">
        <f>N2277+O2277</f>
      </c>
      <c r="Q2277" s="94" t="s">
        <v>398</v>
      </c>
      <c r="R2277" s="94" t="s">
        <v>392</v>
      </c>
      <c r="S2277" s="119">
        <v>46326</v>
      </c>
      <c r="T2277" s="119"/>
      <c r="U2277" s="119">
        <v>46326</v>
      </c>
      <c r="V2277" s="94"/>
      <c r="W2277" s="94"/>
      <c r="X2277" s="94"/>
      <c r="Y2277" s="119">
        <v>46326</v>
      </c>
      <c r="Z2277" s="94"/>
      <c r="AA2277" s="120"/>
      <c r="AB2277" s="120"/>
      <c r="AC2277" s="120"/>
      <c r="AD2277" s="120"/>
      <c r="AE2277" s="120"/>
      <c r="AF2277" s="120"/>
      <c r="AG2277" s="94"/>
      <c r="AH2277" s="120"/>
      <c r="AI2277" s="94"/>
      <c r="AJ2277" s="94" t="s">
        <v>398</v>
      </c>
      <c r="AK2277" s="94" t="s">
        <v>342</v>
      </c>
      <c r="AL2277" s="94">
        <v>150</v>
      </c>
      <c r="AM2277" s="94" t="str">
        <f>TRIM(AJ2277)&amp;TRIM(AL2277)&amp;TRIM(AK2277)</f>
      </c>
      <c r="AN2277" s="116">
        <v>47.91</v>
      </c>
      <c r="AO2277" s="116">
        <v>-2.71</v>
      </c>
      <c r="AP2277" s="116">
        <f>SUMIFS(M:M,AM:AM,AM2277)+SUMIFS(O:O,AM:AM,AM2277)</f>
      </c>
      <c r="AQ2277" s="116">
        <f>SUMIFS(L:L,AM:AM,AM2277)</f>
      </c>
      <c r="AR2277" s="116">
        <f>AQ2277-AP2277</f>
      </c>
      <c r="AS2277" s="94" t="str">
        <f>IF(AN2277&gt;=AQ2277,"ok","ck")</f>
      </c>
      <c r="AT2277" s="116">
        <f>-P2277</f>
      </c>
      <c r="AU2277" s="115">
        <f>IF(SUMIFS(AT:AT,AM:AM,AM2277)&gt;AO2277,(SUMIFS(AT:AT,AM:AM,AM2277)-AO2277))</f>
      </c>
      <c r="AV2277" s="116">
        <v>0</v>
      </c>
      <c r="AW2277" s="121">
        <v>1.028</v>
      </c>
      <c r="AX2277" s="115">
        <f>AN2277-AP2277</f>
      </c>
    </row>
    <row r="2278" spans="1:50" ht="15" hidden="1" customHeight="1" x14ac:dyDescent="0.3">
      <c r="A2278" s="94" t="s">
        <v>76</v>
      </c>
      <c r="B2278" s="94"/>
      <c r="C2278" s="94"/>
      <c r="D2278" s="94"/>
      <c r="E2278" s="94"/>
      <c r="F2278" s="94"/>
      <c r="G2278" s="112">
        <f>AU2278</f>
      </c>
      <c r="H2278" s="113"/>
      <c r="I2278" s="94" t="s">
        <v>393</v>
      </c>
      <c r="J2278" s="94" t="s">
        <v>608</v>
      </c>
      <c r="K2278" s="114">
        <f>P2278/3</f>
      </c>
      <c r="L2278" s="115">
        <v>391.59500000000003</v>
      </c>
      <c r="M2278" s="116"/>
      <c r="N2278" s="117">
        <f>M2278-L2278</f>
      </c>
      <c r="O2278" s="112"/>
      <c r="P2278" s="118">
        <f>N2278+O2278</f>
      </c>
      <c r="Q2278" s="94" t="s">
        <v>833</v>
      </c>
      <c r="R2278" s="94" t="s">
        <v>392</v>
      </c>
      <c r="S2278" s="119">
        <v>46348</v>
      </c>
      <c r="T2278" s="119"/>
      <c r="U2278" s="120">
        <v>46348</v>
      </c>
      <c r="V2278" s="94"/>
      <c r="W2278" s="94"/>
      <c r="X2278" s="94"/>
      <c r="Y2278" s="119">
        <v>46343</v>
      </c>
      <c r="Z2278" s="94"/>
      <c r="AA2278" s="120"/>
      <c r="AB2278" s="120"/>
      <c r="AC2278" s="120"/>
      <c r="AD2278" s="120"/>
      <c r="AE2278" s="120"/>
      <c r="AF2278" s="120"/>
      <c r="AG2278" s="94"/>
      <c r="AH2278" s="120"/>
      <c r="AI2278" s="94"/>
      <c r="AJ2278" s="94" t="s">
        <v>833</v>
      </c>
      <c r="AK2278" s="94" t="s">
        <v>342</v>
      </c>
      <c r="AL2278" s="94">
        <v>150</v>
      </c>
      <c r="AM2278" s="94" t="str">
        <f>TRIM(AJ2278)&amp;TRIM(AL2278)&amp;TRIM(AK2278)</f>
      </c>
      <c r="AN2278" s="116">
        <v>0</v>
      </c>
      <c r="AO2278" s="116" t="inlineStr">
        <is>
          <t>#NA</t>
        </is>
      </c>
      <c r="AP2278" s="116">
        <f>SUMIFS(M:M,AM:AM,AM2278)+SUMIFS(O:O,AM:AM,AM2278)</f>
      </c>
      <c r="AQ2278" s="116">
        <f>SUMIFS(L:L,AM:AM,AM2278)</f>
      </c>
      <c r="AR2278" s="116">
        <f>AQ2278-AP2278</f>
      </c>
      <c r="AS2278" s="94" t="str">
        <f>IF(AN2278&gt;=AQ2278,"ok","ck")</f>
      </c>
      <c r="AT2278" s="116">
        <f>-P2278</f>
      </c>
      <c r="AU2278" s="115">
        <f>IF(SUMIFS(AT:AT,AM:AM,AM2278)&gt;AO2278,(SUMIFS(AT:AT,AM:AM,AM2278)-AO2278))</f>
      </c>
      <c r="AV2278" s="116">
        <v>0</v>
      </c>
      <c r="AW2278" s="121">
        <v>0</v>
      </c>
      <c r="AX2278" s="115">
        <f>AN2278-AP2278</f>
      </c>
    </row>
    <row r="2279" spans="1:50" ht="15" hidden="1" customHeight="1" x14ac:dyDescent="0.3">
      <c r="A2279" s="94" t="s">
        <v>311</v>
      </c>
      <c r="B2279" s="94"/>
      <c r="C2279" s="94"/>
      <c r="D2279" s="94"/>
      <c r="E2279" s="94"/>
      <c r="F2279" s="94"/>
      <c r="G2279" s="112">
        <f>AU2279</f>
      </c>
      <c r="H2279" s="113"/>
      <c r="I2279" s="94" t="s">
        <v>409</v>
      </c>
      <c r="J2279" s="94" t="s">
        <v>417</v>
      </c>
      <c r="K2279" s="114">
        <f>P2279/3</f>
      </c>
      <c r="L2279" s="115">
        <v>164.61099999999999</v>
      </c>
      <c r="M2279" s="116"/>
      <c r="N2279" s="117">
        <f>M2279-L2279</f>
      </c>
      <c r="O2279" s="112"/>
      <c r="P2279" s="118">
        <f>N2279+O2279</f>
      </c>
      <c r="Q2279" s="94" t="s">
        <v>314</v>
      </c>
      <c r="R2279" s="94" t="s">
        <v>392</v>
      </c>
      <c r="S2279" s="119">
        <v>46320</v>
      </c>
      <c r="T2279" s="119"/>
      <c r="U2279" s="120">
        <v>46320</v>
      </c>
      <c r="V2279" s="94"/>
      <c r="W2279" s="94"/>
      <c r="X2279" s="94"/>
      <c r="Y2279" s="119">
        <v>46320</v>
      </c>
      <c r="Z2279" s="94"/>
      <c r="AA2279" s="120"/>
      <c r="AB2279" s="120"/>
      <c r="AC2279" s="120"/>
      <c r="AD2279" s="120"/>
      <c r="AE2279" s="120"/>
      <c r="AF2279" s="120"/>
      <c r="AG2279" s="94"/>
      <c r="AH2279" s="120"/>
      <c r="AI2279" s="94"/>
      <c r="AJ2279" s="94" t="s">
        <v>314</v>
      </c>
      <c r="AK2279" s="94" t="s">
        <v>315</v>
      </c>
      <c r="AL2279" s="94">
        <v>150</v>
      </c>
      <c r="AM2279" s="94" t="str">
        <f>TRIM(AJ2279)&amp;TRIM(AL2279)&amp;TRIM(AK2279)</f>
      </c>
      <c r="AN2279" s="116">
        <v>0</v>
      </c>
      <c r="AO2279" s="116" t="inlineStr">
        <is>
          <t>#NA</t>
        </is>
      </c>
      <c r="AP2279" s="116">
        <f>SUMIFS(M:M,AM:AM,AM2279)+SUMIFS(O:O,AM:AM,AM2279)</f>
      </c>
      <c r="AQ2279" s="116">
        <f>SUMIFS(L:L,AM:AM,AM2279)</f>
      </c>
      <c r="AR2279" s="116">
        <f>AQ2279-AP2279</f>
      </c>
      <c r="AS2279" s="94" t="str">
        <f>IF(AN2279&gt;=AQ2279,"ok","ck")</f>
      </c>
      <c r="AT2279" s="116">
        <f>-P2279</f>
      </c>
      <c r="AU2279" s="115">
        <f>IF(SUMIFS(AT:AT,AM:AM,AM2279)&gt;AO2279,(SUMIFS(AT:AT,AM:AM,AM2279)-AO2279))</f>
      </c>
      <c r="AV2279" s="116">
        <v>0</v>
      </c>
      <c r="AW2279" s="121">
        <v>0.999</v>
      </c>
      <c r="AX2279" s="115">
        <f>AN2279-AP2279</f>
      </c>
    </row>
    <row r="2280" spans="1:50" ht="15" hidden="1" customHeight="1" x14ac:dyDescent="0.3">
      <c r="A2280" s="94" t="s">
        <v>311</v>
      </c>
      <c r="B2280" s="94"/>
      <c r="C2280" s="94"/>
      <c r="D2280" s="94"/>
      <c r="E2280" s="94"/>
      <c r="F2280" s="94"/>
      <c r="G2280" s="112">
        <f>AU2280</f>
      </c>
      <c r="H2280" s="113"/>
      <c r="I2280" s="94" t="s">
        <v>409</v>
      </c>
      <c r="J2280" s="94" t="s">
        <v>417</v>
      </c>
      <c r="K2280" s="114">
        <f>P2280/3</f>
      </c>
      <c r="L2280" s="115">
        <v>165.4</v>
      </c>
      <c r="M2280" s="116"/>
      <c r="N2280" s="117">
        <f>M2280-L2280</f>
      </c>
      <c r="O2280" s="112"/>
      <c r="P2280" s="118">
        <f>N2280+O2280</f>
      </c>
      <c r="Q2280" s="94" t="s">
        <v>314</v>
      </c>
      <c r="R2280" s="94" t="s">
        <v>392</v>
      </c>
      <c r="S2280" s="119">
        <v>46323</v>
      </c>
      <c r="T2280" s="119"/>
      <c r="U2280" s="119">
        <v>46323</v>
      </c>
      <c r="V2280" s="94"/>
      <c r="W2280" s="94"/>
      <c r="X2280" s="94"/>
      <c r="Y2280" s="119">
        <v>46323</v>
      </c>
      <c r="Z2280" s="94"/>
      <c r="AA2280" s="120"/>
      <c r="AB2280" s="120"/>
      <c r="AC2280" s="120"/>
      <c r="AD2280" s="120"/>
      <c r="AE2280" s="120"/>
      <c r="AF2280" s="120"/>
      <c r="AG2280" s="94"/>
      <c r="AH2280" s="120"/>
      <c r="AI2280" s="94"/>
      <c r="AJ2280" s="94" t="s">
        <v>314</v>
      </c>
      <c r="AK2280" s="94" t="s">
        <v>315</v>
      </c>
      <c r="AL2280" s="94">
        <v>150</v>
      </c>
      <c r="AM2280" s="94" t="str">
        <f>TRIM(AJ2280)&amp;TRIM(AL2280)&amp;TRIM(AK2280)</f>
      </c>
      <c r="AN2280" s="116">
        <v>0</v>
      </c>
      <c r="AO2280" s="116" t="inlineStr">
        <is>
          <t>#NA</t>
        </is>
      </c>
      <c r="AP2280" s="116">
        <f>SUMIFS(M:M,AM:AM,AM2280)+SUMIFS(O:O,AM:AM,AM2280)</f>
      </c>
      <c r="AQ2280" s="116">
        <f>SUMIFS(L:L,AM:AM,AM2280)</f>
      </c>
      <c r="AR2280" s="116">
        <f>AQ2280-AP2280</f>
      </c>
      <c r="AS2280" s="94" t="str">
        <f>IF(AN2280&gt;=AQ2280,"ok","ck")</f>
      </c>
      <c r="AT2280" s="116">
        <f>-P2280</f>
      </c>
      <c r="AU2280" s="115">
        <f>IF(SUMIFS(AT:AT,AM:AM,AM2280)&gt;AO2280,(SUMIFS(AT:AT,AM:AM,AM2280)-AO2280))</f>
      </c>
      <c r="AV2280" s="116">
        <v>0</v>
      </c>
      <c r="AW2280" s="121">
        <v>0.999</v>
      </c>
      <c r="AX2280" s="115">
        <f>AN2280-AP2280</f>
      </c>
    </row>
    <row r="2281" spans="1:50" ht="15" hidden="1" customHeight="1" x14ac:dyDescent="0.3">
      <c r="A2281" s="94" t="s">
        <v>311</v>
      </c>
      <c r="B2281" s="94"/>
      <c r="C2281" s="94"/>
      <c r="D2281" s="94"/>
      <c r="E2281" s="94"/>
      <c r="F2281" s="94"/>
      <c r="G2281" s="112">
        <f>AU2281</f>
      </c>
      <c r="H2281" s="113"/>
      <c r="I2281" s="94" t="s">
        <v>409</v>
      </c>
      <c r="J2281" s="94" t="s">
        <v>427</v>
      </c>
      <c r="K2281" s="114">
        <f>P2281/3</f>
      </c>
      <c r="L2281" s="115">
        <v>164.61099999999999</v>
      </c>
      <c r="M2281" s="116"/>
      <c r="N2281" s="117">
        <f>M2281-L2281</f>
      </c>
      <c r="O2281" s="112"/>
      <c r="P2281" s="118">
        <f>N2281+O2281</f>
      </c>
      <c r="Q2281" s="94" t="s">
        <v>314</v>
      </c>
      <c r="R2281" s="94" t="s">
        <v>392</v>
      </c>
      <c r="S2281" s="119">
        <v>46320</v>
      </c>
      <c r="T2281" s="119"/>
      <c r="U2281" s="119">
        <v>46320</v>
      </c>
      <c r="V2281" s="94"/>
      <c r="W2281" s="94"/>
      <c r="X2281" s="94"/>
      <c r="Y2281" s="119">
        <v>46320</v>
      </c>
      <c r="Z2281" s="94"/>
      <c r="AA2281" s="120"/>
      <c r="AB2281" s="120"/>
      <c r="AC2281" s="120"/>
      <c r="AD2281" s="120"/>
      <c r="AE2281" s="120"/>
      <c r="AF2281" s="120"/>
      <c r="AG2281" s="94"/>
      <c r="AH2281" s="120"/>
      <c r="AI2281" s="94"/>
      <c r="AJ2281" s="94" t="s">
        <v>314</v>
      </c>
      <c r="AK2281" s="94" t="s">
        <v>337</v>
      </c>
      <c r="AL2281" s="94">
        <v>150</v>
      </c>
      <c r="AM2281" s="94" t="str">
        <f>TRIM(AJ2281)&amp;TRIM(AL2281)&amp;TRIM(AK2281)</f>
      </c>
      <c r="AN2281" s="116">
        <v>0</v>
      </c>
      <c r="AO2281" s="116" t="inlineStr">
        <is>
          <t>#NA</t>
        </is>
      </c>
      <c r="AP2281" s="116">
        <f>SUMIFS(M:M,AM:AM,AM2281)+SUMIFS(O:O,AM:AM,AM2281)</f>
      </c>
      <c r="AQ2281" s="116">
        <f>SUMIFS(L:L,AM:AM,AM2281)</f>
      </c>
      <c r="AR2281" s="116">
        <f>AQ2281-AP2281</f>
      </c>
      <c r="AS2281" s="94" t="str">
        <f>IF(AN2281&gt;=AQ2281,"ok","ck")</f>
      </c>
      <c r="AT2281" s="116">
        <f>-P2281</f>
      </c>
      <c r="AU2281" s="115">
        <f>IF(SUMIFS(AT:AT,AM:AM,AM2281)&gt;AO2281,(SUMIFS(AT:AT,AM:AM,AM2281)-AO2281))</f>
      </c>
      <c r="AV2281" s="116">
        <v>0</v>
      </c>
      <c r="AW2281" s="121">
        <v>1.041</v>
      </c>
      <c r="AX2281" s="115">
        <f>AN2281-AP2281</f>
      </c>
    </row>
    <row r="2282" spans="1:50" ht="15" hidden="1" customHeight="1" x14ac:dyDescent="0.3">
      <c r="A2282" s="94" t="s">
        <v>311</v>
      </c>
      <c r="B2282" s="94"/>
      <c r="C2282" s="94"/>
      <c r="D2282" s="94"/>
      <c r="E2282" s="94"/>
      <c r="F2282" s="94"/>
      <c r="G2282" s="112">
        <f>AU2282</f>
      </c>
      <c r="H2282" s="113"/>
      <c r="I2282" s="94" t="s">
        <v>409</v>
      </c>
      <c r="J2282" s="94" t="s">
        <v>427</v>
      </c>
      <c r="K2282" s="114">
        <f>P2282/3</f>
      </c>
      <c r="L2282" s="115">
        <v>165.4</v>
      </c>
      <c r="M2282" s="116"/>
      <c r="N2282" s="117">
        <f>M2282-L2282</f>
      </c>
      <c r="O2282" s="112"/>
      <c r="P2282" s="118">
        <f>N2282+O2282</f>
      </c>
      <c r="Q2282" s="94" t="s">
        <v>314</v>
      </c>
      <c r="R2282" s="94" t="s">
        <v>392</v>
      </c>
      <c r="S2282" s="119">
        <v>46323</v>
      </c>
      <c r="T2282" s="119"/>
      <c r="U2282" s="119">
        <v>46323</v>
      </c>
      <c r="V2282" s="94"/>
      <c r="W2282" s="94"/>
      <c r="X2282" s="94"/>
      <c r="Y2282" s="119">
        <v>46323</v>
      </c>
      <c r="Z2282" s="94"/>
      <c r="AA2282" s="120"/>
      <c r="AB2282" s="120"/>
      <c r="AC2282" s="120"/>
      <c r="AD2282" s="120"/>
      <c r="AE2282" s="120"/>
      <c r="AF2282" s="120"/>
      <c r="AG2282" s="94"/>
      <c r="AH2282" s="120"/>
      <c r="AI2282" s="94"/>
      <c r="AJ2282" s="94" t="s">
        <v>314</v>
      </c>
      <c r="AK2282" s="94" t="s">
        <v>337</v>
      </c>
      <c r="AL2282" s="94">
        <v>150</v>
      </c>
      <c r="AM2282" s="94" t="str">
        <f>TRIM(AJ2282)&amp;TRIM(AL2282)&amp;TRIM(AK2282)</f>
      </c>
      <c r="AN2282" s="116">
        <v>0</v>
      </c>
      <c r="AO2282" s="116" t="inlineStr">
        <is>
          <t>#NA</t>
        </is>
      </c>
      <c r="AP2282" s="116">
        <f>SUMIFS(M:M,AM:AM,AM2282)+SUMIFS(O:O,AM:AM,AM2282)</f>
      </c>
      <c r="AQ2282" s="116">
        <f>SUMIFS(L:L,AM:AM,AM2282)</f>
      </c>
      <c r="AR2282" s="116">
        <f>AQ2282-AP2282</f>
      </c>
      <c r="AS2282" s="94" t="str">
        <f>IF(AN2282&gt;=AQ2282,"ok","ck")</f>
      </c>
      <c r="AT2282" s="116">
        <f>-P2282</f>
      </c>
      <c r="AU2282" s="115">
        <f>IF(SUMIFS(AT:AT,AM:AM,AM2282)&gt;AO2282,(SUMIFS(AT:AT,AM:AM,AM2282)-AO2282))</f>
      </c>
      <c r="AV2282" s="116">
        <v>0</v>
      </c>
      <c r="AW2282" s="121">
        <v>1.041</v>
      </c>
      <c r="AX2282" s="115">
        <f>AN2282-AP2282</f>
      </c>
    </row>
    <row r="2283" spans="1:50" ht="15" hidden="1" customHeight="1" x14ac:dyDescent="0.3">
      <c r="A2283" s="94" t="s">
        <v>268</v>
      </c>
      <c r="B2283" s="94"/>
      <c r="C2283" s="94"/>
      <c r="D2283" s="94"/>
      <c r="E2283" s="94"/>
      <c r="F2283" s="94"/>
      <c r="G2283" s="112">
        <f>AU2283</f>
      </c>
      <c r="H2283" s="113"/>
      <c r="I2283" s="94" t="s">
        <v>390</v>
      </c>
      <c r="J2283" s="94" t="s">
        <v>401</v>
      </c>
      <c r="K2283" s="114">
        <f>P2283/3</f>
      </c>
      <c r="L2283" s="115">
        <v>1.1419999999999999</v>
      </c>
      <c r="M2283" s="116"/>
      <c r="N2283" s="117">
        <f>M2283-L2283</f>
      </c>
      <c r="O2283" s="112"/>
      <c r="P2283" s="118">
        <f>N2283+O2283</f>
      </c>
      <c r="Q2283" s="94" t="s">
        <v>305</v>
      </c>
      <c r="R2283" s="94" t="s">
        <v>392</v>
      </c>
      <c r="S2283" s="119">
        <v>46334</v>
      </c>
      <c r="T2283" s="119"/>
      <c r="U2283" s="119">
        <v>46334</v>
      </c>
      <c r="V2283" s="94"/>
      <c r="W2283" s="94"/>
      <c r="X2283" s="94"/>
      <c r="Y2283" s="119">
        <v>46329</v>
      </c>
      <c r="Z2283" s="94"/>
      <c r="AA2283" s="120"/>
      <c r="AB2283" s="120"/>
      <c r="AC2283" s="120"/>
      <c r="AD2283" s="120"/>
      <c r="AE2283" s="120"/>
      <c r="AF2283" s="120"/>
      <c r="AG2283" s="94"/>
      <c r="AH2283" s="120"/>
      <c r="AI2283" s="94"/>
      <c r="AJ2283" s="94" t="s">
        <v>305</v>
      </c>
      <c r="AK2283" s="94" t="s">
        <v>389</v>
      </c>
      <c r="AL2283" s="94">
        <v>140</v>
      </c>
      <c r="AM2283" s="94" t="str">
        <f>TRIM(AJ2283)&amp;TRIM(AL2283)&amp;TRIM(AK2283)</f>
      </c>
      <c r="AN2283" s="116">
        <v>0</v>
      </c>
      <c r="AO2283" s="116" t="inlineStr">
        <is>
          <t>#NA</t>
        </is>
      </c>
      <c r="AP2283" s="116">
        <f>SUMIFS(M:M,AM:AM,AM2283)+SUMIFS(O:O,AM:AM,AM2283)</f>
      </c>
      <c r="AQ2283" s="116">
        <f>SUMIFS(L:L,AM:AM,AM2283)</f>
      </c>
      <c r="AR2283" s="116">
        <f>AQ2283-AP2283</f>
      </c>
      <c r="AS2283" s="94" t="str">
        <f>IF(AN2283&gt;=AQ2283,"ok","ck")</f>
      </c>
      <c r="AT2283" s="116">
        <f>-P2283</f>
      </c>
      <c r="AU2283" s="115">
        <f>IF(SUMIFS(AT:AT,AM:AM,AM2283)&gt;AO2283,(SUMIFS(AT:AT,AM:AM,AM2283)-AO2283))</f>
      </c>
      <c r="AV2283" s="116">
        <v>0</v>
      </c>
      <c r="AW2283" s="121">
        <v>0</v>
      </c>
      <c r="AX2283" s="115">
        <f>AN2283-AP2283</f>
      </c>
    </row>
    <row r="2284" spans="1:50" ht="15" hidden="1" customHeight="1" x14ac:dyDescent="0.3">
      <c r="A2284" s="94" t="s">
        <v>268</v>
      </c>
      <c r="B2284" s="94"/>
      <c r="C2284" s="94"/>
      <c r="D2284" s="94"/>
      <c r="E2284" s="94"/>
      <c r="F2284" s="94"/>
      <c r="G2284" s="112">
        <f>AU2284</f>
      </c>
      <c r="H2284" s="113"/>
      <c r="I2284" s="94" t="s">
        <v>390</v>
      </c>
      <c r="J2284" s="94" t="s">
        <v>401</v>
      </c>
      <c r="K2284" s="114">
        <f>P2284/3</f>
      </c>
      <c r="L2284" s="115">
        <v>157.001</v>
      </c>
      <c r="M2284" s="116"/>
      <c r="N2284" s="117">
        <f>M2284-L2284</f>
      </c>
      <c r="O2284" s="112"/>
      <c r="P2284" s="118">
        <f>N2284+O2284</f>
      </c>
      <c r="Q2284" s="94" t="s">
        <v>305</v>
      </c>
      <c r="R2284" s="94" t="s">
        <v>392</v>
      </c>
      <c r="S2284" s="119">
        <v>46334</v>
      </c>
      <c r="T2284" s="119"/>
      <c r="U2284" s="119">
        <v>46334</v>
      </c>
      <c r="V2284" s="94"/>
      <c r="W2284" s="94"/>
      <c r="X2284" s="94"/>
      <c r="Y2284" s="119">
        <v>46320</v>
      </c>
      <c r="Z2284" s="94"/>
      <c r="AA2284" s="120"/>
      <c r="AB2284" s="120"/>
      <c r="AC2284" s="120"/>
      <c r="AD2284" s="120"/>
      <c r="AE2284" s="120"/>
      <c r="AF2284" s="120"/>
      <c r="AG2284" s="94"/>
      <c r="AH2284" s="120"/>
      <c r="AI2284" s="94"/>
      <c r="AJ2284" s="94" t="s">
        <v>305</v>
      </c>
      <c r="AK2284" s="94" t="s">
        <v>389</v>
      </c>
      <c r="AL2284" s="94">
        <v>140</v>
      </c>
      <c r="AM2284" s="94" t="str">
        <f>TRIM(AJ2284)&amp;TRIM(AL2284)&amp;TRIM(AK2284)</f>
      </c>
      <c r="AN2284" s="116">
        <v>0</v>
      </c>
      <c r="AO2284" s="116" t="inlineStr">
        <is>
          <t>#NA</t>
        </is>
      </c>
      <c r="AP2284" s="116">
        <f>SUMIFS(M:M,AM:AM,AM2284)+SUMIFS(O:O,AM:AM,AM2284)</f>
      </c>
      <c r="AQ2284" s="116">
        <f>SUMIFS(L:L,AM:AM,AM2284)</f>
      </c>
      <c r="AR2284" s="116">
        <f>AQ2284-AP2284</f>
      </c>
      <c r="AS2284" s="94" t="str">
        <f>IF(AN2284&gt;=AQ2284,"ok","ck")</f>
      </c>
      <c r="AT2284" s="116">
        <f>-P2284</f>
      </c>
      <c r="AU2284" s="115">
        <f>IF(SUMIFS(AT:AT,AM:AM,AM2284)&gt;AO2284,(SUMIFS(AT:AT,AM:AM,AM2284)-AO2284))</f>
      </c>
      <c r="AV2284" s="116">
        <v>0</v>
      </c>
      <c r="AW2284" s="121">
        <v>0</v>
      </c>
      <c r="AX2284" s="115">
        <f>AN2284-AP2284</f>
      </c>
    </row>
    <row r="2285" spans="1:50" ht="15" hidden="1" customHeight="1" x14ac:dyDescent="0.3">
      <c r="A2285" s="94" t="s">
        <v>268</v>
      </c>
      <c r="B2285" s="94"/>
      <c r="C2285" s="94"/>
      <c r="D2285" s="94"/>
      <c r="E2285" s="94"/>
      <c r="F2285" s="94"/>
      <c r="G2285" s="112">
        <f>AU2285</f>
      </c>
      <c r="H2285" s="113"/>
      <c r="I2285" s="94" t="s">
        <v>390</v>
      </c>
      <c r="J2285" s="94" t="s">
        <v>401</v>
      </c>
      <c r="K2285" s="114">
        <f>P2285/3</f>
      </c>
      <c r="L2285" s="115">
        <v>157.5</v>
      </c>
      <c r="M2285" s="116"/>
      <c r="N2285" s="117">
        <f>M2285-L2285</f>
      </c>
      <c r="O2285" s="112"/>
      <c r="P2285" s="118">
        <f>N2285+O2285</f>
      </c>
      <c r="Q2285" s="94" t="s">
        <v>305</v>
      </c>
      <c r="R2285" s="94" t="s">
        <v>392</v>
      </c>
      <c r="S2285" s="119">
        <v>46337</v>
      </c>
      <c r="T2285" s="119"/>
      <c r="U2285" s="119">
        <v>46337</v>
      </c>
      <c r="V2285" s="94"/>
      <c r="W2285" s="94"/>
      <c r="X2285" s="94"/>
      <c r="Y2285" s="119">
        <v>46337</v>
      </c>
      <c r="Z2285" s="94"/>
      <c r="AA2285" s="120"/>
      <c r="AB2285" s="120"/>
      <c r="AC2285" s="120"/>
      <c r="AD2285" s="120"/>
      <c r="AE2285" s="120"/>
      <c r="AF2285" s="120"/>
      <c r="AG2285" s="94"/>
      <c r="AH2285" s="120"/>
      <c r="AI2285" s="94"/>
      <c r="AJ2285" s="94" t="s">
        <v>305</v>
      </c>
      <c r="AK2285" s="94" t="s">
        <v>389</v>
      </c>
      <c r="AL2285" s="94">
        <v>140</v>
      </c>
      <c r="AM2285" s="94" t="str">
        <f>TRIM(AJ2285)&amp;TRIM(AL2285)&amp;TRIM(AK2285)</f>
      </c>
      <c r="AN2285" s="116">
        <v>0</v>
      </c>
      <c r="AO2285" s="116" t="inlineStr">
        <is>
          <t>#NA</t>
        </is>
      </c>
      <c r="AP2285" s="116">
        <f>SUMIFS(M:M,AM:AM,AM2285)+SUMIFS(O:O,AM:AM,AM2285)</f>
      </c>
      <c r="AQ2285" s="116">
        <f>SUMIFS(L:L,AM:AM,AM2285)</f>
      </c>
      <c r="AR2285" s="116">
        <f>AQ2285-AP2285</f>
      </c>
      <c r="AS2285" s="94" t="str">
        <f>IF(AN2285&gt;=AQ2285,"ok","ck")</f>
      </c>
      <c r="AT2285" s="116">
        <f>-P2285</f>
      </c>
      <c r="AU2285" s="115">
        <f>IF(SUMIFS(AT:AT,AM:AM,AM2285)&gt;AO2285,(SUMIFS(AT:AT,AM:AM,AM2285)-AO2285))</f>
      </c>
      <c r="AV2285" s="116">
        <v>0</v>
      </c>
      <c r="AW2285" s="121">
        <v>0</v>
      </c>
      <c r="AX2285" s="115">
        <f>AN2285-AP2285</f>
      </c>
    </row>
    <row r="2286" spans="1:50" ht="15" hidden="1" customHeight="1" x14ac:dyDescent="0.3">
      <c r="A2286" s="94" t="s">
        <v>268</v>
      </c>
      <c r="B2286" s="94"/>
      <c r="C2286" s="94"/>
      <c r="D2286" s="94"/>
      <c r="E2286" s="94"/>
      <c r="F2286" s="94"/>
      <c r="G2286" s="112">
        <f>AU2286</f>
      </c>
      <c r="H2286" s="113"/>
      <c r="I2286" s="94" t="s">
        <v>390</v>
      </c>
      <c r="J2286" s="94" t="s">
        <v>405</v>
      </c>
      <c r="K2286" s="114">
        <f>P2286/3</f>
      </c>
      <c r="L2286" s="115">
        <v>240.8</v>
      </c>
      <c r="M2286" s="116"/>
      <c r="N2286" s="117">
        <f>M2286-L2286</f>
      </c>
      <c r="O2286" s="112"/>
      <c r="P2286" s="118">
        <f>N2286+O2286</f>
      </c>
      <c r="Q2286" s="94" t="s">
        <v>305</v>
      </c>
      <c r="R2286" s="94" t="s">
        <v>392</v>
      </c>
      <c r="S2286" s="119">
        <v>46326</v>
      </c>
      <c r="T2286" s="119"/>
      <c r="U2286" s="119">
        <v>46326</v>
      </c>
      <c r="V2286" s="94"/>
      <c r="W2286" s="94"/>
      <c r="X2286" s="94"/>
      <c r="Y2286" s="119">
        <v>46326</v>
      </c>
      <c r="Z2286" s="94"/>
      <c r="AA2286" s="120"/>
      <c r="AB2286" s="120"/>
      <c r="AC2286" s="120"/>
      <c r="AD2286" s="120"/>
      <c r="AE2286" s="120"/>
      <c r="AF2286" s="120"/>
      <c r="AG2286" s="94"/>
      <c r="AH2286" s="120"/>
      <c r="AI2286" s="94"/>
      <c r="AJ2286" s="94" t="s">
        <v>305</v>
      </c>
      <c r="AK2286" s="94" t="s">
        <v>756</v>
      </c>
      <c r="AL2286" s="94">
        <v>140</v>
      </c>
      <c r="AM2286" s="94" t="str">
        <f>TRIM(AJ2286)&amp;TRIM(AL2286)&amp;TRIM(AK2286)</f>
      </c>
      <c r="AN2286" s="116">
        <v>0</v>
      </c>
      <c r="AO2286" s="116" t="inlineStr">
        <is>
          <t>#NA</t>
        </is>
      </c>
      <c r="AP2286" s="116">
        <f>SUMIFS(M:M,AM:AM,AM2286)+SUMIFS(O:O,AM:AM,AM2286)</f>
      </c>
      <c r="AQ2286" s="116">
        <f>SUMIFS(L:L,AM:AM,AM2286)</f>
      </c>
      <c r="AR2286" s="116">
        <f>AQ2286-AP2286</f>
      </c>
      <c r="AS2286" s="94" t="str">
        <f>IF(AN2286&gt;=AQ2286,"ok","ck")</f>
      </c>
      <c r="AT2286" s="116">
        <f>-P2286</f>
      </c>
      <c r="AU2286" s="115">
        <f>IF(SUMIFS(AT:AT,AM:AM,AM2286)&gt;AO2286,(SUMIFS(AT:AT,AM:AM,AM2286)-AO2286))</f>
      </c>
      <c r="AV2286" s="116">
        <v>0</v>
      </c>
      <c r="AW2286" s="121">
        <v>0.965</v>
      </c>
      <c r="AX2286" s="115">
        <f>AN2286-AP2286</f>
      </c>
    </row>
    <row r="2287" spans="1:50" ht="15" hidden="1" customHeight="1" x14ac:dyDescent="0.3">
      <c r="A2287" s="94" t="s">
        <v>268</v>
      </c>
      <c r="B2287" s="94"/>
      <c r="C2287" s="94"/>
      <c r="D2287" s="94"/>
      <c r="E2287" s="94"/>
      <c r="F2287" s="94"/>
      <c r="G2287" s="112">
        <f>AU2287</f>
      </c>
      <c r="H2287" s="113"/>
      <c r="I2287" s="94" t="s">
        <v>390</v>
      </c>
      <c r="J2287" s="94" t="s">
        <v>601</v>
      </c>
      <c r="K2287" s="114">
        <f>P2287/3</f>
      </c>
      <c r="L2287" s="115">
        <v>0.72299999999999998</v>
      </c>
      <c r="M2287" s="116"/>
      <c r="N2287" s="117">
        <f>M2287-L2287</f>
      </c>
      <c r="O2287" s="112"/>
      <c r="P2287" s="118">
        <f>N2287+O2287</f>
      </c>
      <c r="Q2287" s="94" t="s">
        <v>778</v>
      </c>
      <c r="R2287" s="94" t="s">
        <v>392</v>
      </c>
      <c r="S2287" s="119">
        <v>46346</v>
      </c>
      <c r="T2287" s="119"/>
      <c r="U2287" s="119">
        <v>46346</v>
      </c>
      <c r="V2287" s="94"/>
      <c r="W2287" s="94"/>
      <c r="X2287" s="94"/>
      <c r="Y2287" s="119">
        <v>46341</v>
      </c>
      <c r="Z2287" s="94"/>
      <c r="AA2287" s="120"/>
      <c r="AB2287" s="120"/>
      <c r="AC2287" s="120"/>
      <c r="AD2287" s="120"/>
      <c r="AE2287" s="120"/>
      <c r="AF2287" s="120"/>
      <c r="AG2287" s="94"/>
      <c r="AH2287" s="120"/>
      <c r="AI2287" s="94"/>
      <c r="AJ2287" s="94" t="s">
        <v>778</v>
      </c>
      <c r="AK2287" s="94" t="s">
        <v>761</v>
      </c>
      <c r="AL2287" s="94">
        <v>140</v>
      </c>
      <c r="AM2287" s="94" t="str">
        <f>TRIM(AJ2287)&amp;TRIM(AL2287)&amp;TRIM(AK2287)</f>
      </c>
      <c r="AN2287" s="116">
        <v>0</v>
      </c>
      <c r="AO2287" s="116" t="inlineStr">
        <is>
          <t>#NA</t>
        </is>
      </c>
      <c r="AP2287" s="116">
        <f>SUMIFS(M:M,AM:AM,AM2287)+SUMIFS(O:O,AM:AM,AM2287)</f>
      </c>
      <c r="AQ2287" s="116">
        <f>SUMIFS(L:L,AM:AM,AM2287)</f>
      </c>
      <c r="AR2287" s="116">
        <f>AQ2287-AP2287</f>
      </c>
      <c r="AS2287" s="94" t="str">
        <f>IF(AN2287&gt;=AQ2287,"ok","ck")</f>
      </c>
      <c r="AT2287" s="116">
        <f>-P2287</f>
      </c>
      <c r="AU2287" s="115">
        <f>IF(SUMIFS(AT:AT,AM:AM,AM2287)&gt;AO2287,(SUMIFS(AT:AT,AM:AM,AM2287)-AO2287))</f>
      </c>
      <c r="AV2287" s="116">
        <v>0</v>
      </c>
      <c r="AW2287" s="121">
        <v>0</v>
      </c>
      <c r="AX2287" s="115">
        <f>AN2287-AP2287</f>
      </c>
    </row>
    <row r="2288" spans="1:50" ht="15" hidden="1" customHeight="1" x14ac:dyDescent="0.3">
      <c r="A2288" s="94" t="s">
        <v>268</v>
      </c>
      <c r="B2288" s="94"/>
      <c r="C2288" s="94"/>
      <c r="D2288" s="94"/>
      <c r="E2288" s="94"/>
      <c r="F2288" s="94"/>
      <c r="G2288" s="112">
        <f>AU2288</f>
      </c>
      <c r="H2288" s="113"/>
      <c r="I2288" s="94" t="s">
        <v>390</v>
      </c>
      <c r="J2288" s="94" t="s">
        <v>601</v>
      </c>
      <c r="K2288" s="114">
        <f>P2288/3</f>
      </c>
      <c r="L2288" s="115">
        <v>635.41099999999994</v>
      </c>
      <c r="M2288" s="116"/>
      <c r="N2288" s="117">
        <f>M2288-L2288</f>
      </c>
      <c r="O2288" s="112"/>
      <c r="P2288" s="118">
        <f>N2288+O2288</f>
      </c>
      <c r="Q2288" s="94" t="s">
        <v>778</v>
      </c>
      <c r="R2288" s="94" t="s">
        <v>392</v>
      </c>
      <c r="S2288" s="119">
        <v>46346</v>
      </c>
      <c r="T2288" s="119"/>
      <c r="U2288" s="119">
        <v>46346</v>
      </c>
      <c r="V2288" s="94"/>
      <c r="W2288" s="94"/>
      <c r="X2288" s="94"/>
      <c r="Y2288" s="119">
        <v>46330</v>
      </c>
      <c r="Z2288" s="94"/>
      <c r="AA2288" s="120"/>
      <c r="AB2288" s="120"/>
      <c r="AC2288" s="120"/>
      <c r="AD2288" s="120"/>
      <c r="AE2288" s="120"/>
      <c r="AF2288" s="120"/>
      <c r="AG2288" s="94"/>
      <c r="AH2288" s="120"/>
      <c r="AI2288" s="94"/>
      <c r="AJ2288" s="94" t="s">
        <v>778</v>
      </c>
      <c r="AK2288" s="94" t="s">
        <v>761</v>
      </c>
      <c r="AL2288" s="94">
        <v>140</v>
      </c>
      <c r="AM2288" s="94" t="str">
        <f>TRIM(AJ2288)&amp;TRIM(AL2288)&amp;TRIM(AK2288)</f>
      </c>
      <c r="AN2288" s="116">
        <v>0</v>
      </c>
      <c r="AO2288" s="116" t="inlineStr">
        <is>
          <t>#NA</t>
        </is>
      </c>
      <c r="AP2288" s="116">
        <f>SUMIFS(M:M,AM:AM,AM2288)+SUMIFS(O:O,AM:AM,AM2288)</f>
      </c>
      <c r="AQ2288" s="116">
        <f>SUMIFS(L:L,AM:AM,AM2288)</f>
      </c>
      <c r="AR2288" s="116">
        <f>AQ2288-AP2288</f>
      </c>
      <c r="AS2288" s="94" t="str">
        <f>IF(AN2288&gt;=AQ2288,"ok","ck")</f>
      </c>
      <c r="AT2288" s="116">
        <f>-P2288</f>
      </c>
      <c r="AU2288" s="115">
        <f>IF(SUMIFS(AT:AT,AM:AM,AM2288)&gt;AO2288,(SUMIFS(AT:AT,AM:AM,AM2288)-AO2288))</f>
      </c>
      <c r="AV2288" s="116">
        <v>0</v>
      </c>
      <c r="AW2288" s="121">
        <v>0</v>
      </c>
      <c r="AX2288" s="115">
        <f>AN2288-AP2288</f>
      </c>
    </row>
    <row r="2289" spans="1:50" ht="15" hidden="1" customHeight="1" x14ac:dyDescent="0.3">
      <c r="A2289" s="94" t="s">
        <v>268</v>
      </c>
      <c r="B2289" s="94"/>
      <c r="C2289" s="94"/>
      <c r="D2289" s="94"/>
      <c r="E2289" s="94"/>
      <c r="F2289" s="94"/>
      <c r="G2289" s="112">
        <f>AU2289</f>
      </c>
      <c r="H2289" s="113"/>
      <c r="I2289" s="94" t="s">
        <v>390</v>
      </c>
      <c r="J2289" s="94" t="s">
        <v>601</v>
      </c>
      <c r="K2289" s="114">
        <f>P2289/3</f>
      </c>
      <c r="L2289" s="115">
        <v>1.44</v>
      </c>
      <c r="M2289" s="116"/>
      <c r="N2289" s="117">
        <f>M2289-L2289</f>
      </c>
      <c r="O2289" s="112"/>
      <c r="P2289" s="118">
        <f>N2289+O2289</f>
      </c>
      <c r="Q2289" s="94" t="s">
        <v>778</v>
      </c>
      <c r="R2289" s="94" t="s">
        <v>392</v>
      </c>
      <c r="S2289" s="119">
        <v>46346</v>
      </c>
      <c r="T2289" s="119"/>
      <c r="U2289" s="119">
        <v>46346</v>
      </c>
      <c r="V2289" s="94"/>
      <c r="W2289" s="94"/>
      <c r="X2289" s="94"/>
      <c r="Y2289" s="119">
        <v>46334</v>
      </c>
      <c r="Z2289" s="94"/>
      <c r="AA2289" s="120"/>
      <c r="AB2289" s="120"/>
      <c r="AC2289" s="120"/>
      <c r="AD2289" s="120"/>
      <c r="AE2289" s="120"/>
      <c r="AF2289" s="120"/>
      <c r="AG2289" s="94"/>
      <c r="AH2289" s="120"/>
      <c r="AI2289" s="94"/>
      <c r="AJ2289" s="94" t="s">
        <v>778</v>
      </c>
      <c r="AK2289" s="94" t="s">
        <v>761</v>
      </c>
      <c r="AL2289" s="94">
        <v>140</v>
      </c>
      <c r="AM2289" s="94" t="str">
        <f>TRIM(AJ2289)&amp;TRIM(AL2289)&amp;TRIM(AK2289)</f>
      </c>
      <c r="AN2289" s="116">
        <v>0</v>
      </c>
      <c r="AO2289" s="116" t="inlineStr">
        <is>
          <t>#NA</t>
        </is>
      </c>
      <c r="AP2289" s="116">
        <f>SUMIFS(M:M,AM:AM,AM2289)+SUMIFS(O:O,AM:AM,AM2289)</f>
      </c>
      <c r="AQ2289" s="116">
        <f>SUMIFS(L:L,AM:AM,AM2289)</f>
      </c>
      <c r="AR2289" s="116">
        <f>AQ2289-AP2289</f>
      </c>
      <c r="AS2289" s="94" t="str">
        <f>IF(AN2289&gt;=AQ2289,"ok","ck")</f>
      </c>
      <c r="AT2289" s="116">
        <f>-P2289</f>
      </c>
      <c r="AU2289" s="115">
        <f>IF(SUMIFS(AT:AT,AM:AM,AM2289)&gt;AO2289,(SUMIFS(AT:AT,AM:AM,AM2289)-AO2289))</f>
      </c>
      <c r="AV2289" s="116">
        <v>0</v>
      </c>
      <c r="AW2289" s="121">
        <v>0</v>
      </c>
      <c r="AX2289" s="115">
        <f>AN2289-AP2289</f>
      </c>
    </row>
    <row r="2290" spans="1:50" ht="15" hidden="1" customHeight="1" x14ac:dyDescent="0.3">
      <c r="A2290" s="94" t="s">
        <v>268</v>
      </c>
      <c r="B2290" s="94"/>
      <c r="C2290" s="94"/>
      <c r="D2290" s="94"/>
      <c r="E2290" s="94"/>
      <c r="F2290" s="94"/>
      <c r="G2290" s="112">
        <f>AU2290</f>
      </c>
      <c r="H2290" s="113"/>
      <c r="I2290" s="94" t="s">
        <v>390</v>
      </c>
      <c r="J2290" s="94" t="s">
        <v>601</v>
      </c>
      <c r="K2290" s="114">
        <f>P2290/3</f>
      </c>
      <c r="L2290" s="115">
        <v>1320</v>
      </c>
      <c r="M2290" s="116"/>
      <c r="N2290" s="117">
        <f>M2290-L2290</f>
      </c>
      <c r="O2290" s="112"/>
      <c r="P2290" s="118">
        <f>N2290+O2290</f>
      </c>
      <c r="Q2290" s="94" t="s">
        <v>778</v>
      </c>
      <c r="R2290" s="94" t="s">
        <v>392</v>
      </c>
      <c r="S2290" s="119">
        <v>46346</v>
      </c>
      <c r="T2290" s="119"/>
      <c r="U2290" s="119">
        <v>46346</v>
      </c>
      <c r="V2290" s="94"/>
      <c r="W2290" s="94"/>
      <c r="X2290" s="94"/>
      <c r="Y2290" s="119">
        <v>46322</v>
      </c>
      <c r="Z2290" s="94"/>
      <c r="AA2290" s="120"/>
      <c r="AB2290" s="120"/>
      <c r="AC2290" s="120"/>
      <c r="AD2290" s="120"/>
      <c r="AE2290" s="120"/>
      <c r="AF2290" s="120"/>
      <c r="AG2290" s="94"/>
      <c r="AH2290" s="120"/>
      <c r="AI2290" s="94"/>
      <c r="AJ2290" s="94" t="s">
        <v>778</v>
      </c>
      <c r="AK2290" s="94" t="s">
        <v>761</v>
      </c>
      <c r="AL2290" s="94">
        <v>140</v>
      </c>
      <c r="AM2290" s="94" t="str">
        <f>TRIM(AJ2290)&amp;TRIM(AL2290)&amp;TRIM(AK2290)</f>
      </c>
      <c r="AN2290" s="116">
        <v>0</v>
      </c>
      <c r="AO2290" s="116" t="inlineStr">
        <is>
          <t>#NA</t>
        </is>
      </c>
      <c r="AP2290" s="116">
        <f>SUMIFS(M:M,AM:AM,AM2290)+SUMIFS(O:O,AM:AM,AM2290)</f>
      </c>
      <c r="AQ2290" s="116">
        <f>SUMIFS(L:L,AM:AM,AM2290)</f>
      </c>
      <c r="AR2290" s="116">
        <f>AQ2290-AP2290</f>
      </c>
      <c r="AS2290" s="94" t="str">
        <f>IF(AN2290&gt;=AQ2290,"ok","ck")</f>
      </c>
      <c r="AT2290" s="116">
        <f>-P2290</f>
      </c>
      <c r="AU2290" s="115">
        <f>IF(SUMIFS(AT:AT,AM:AM,AM2290)&gt;AO2290,(SUMIFS(AT:AT,AM:AM,AM2290)-AO2290))</f>
      </c>
      <c r="AV2290" s="116">
        <v>0</v>
      </c>
      <c r="AW2290" s="121">
        <v>0</v>
      </c>
      <c r="AX2290" s="115">
        <f>AN2290-AP2290</f>
      </c>
    </row>
    <row r="2291" spans="1:50" ht="15" hidden="1" customHeight="1" x14ac:dyDescent="0.3">
      <c r="A2291" s="94" t="s">
        <v>268</v>
      </c>
      <c r="B2291" s="94"/>
      <c r="C2291" s="94"/>
      <c r="D2291" s="94"/>
      <c r="E2291" s="94"/>
      <c r="F2291" s="94"/>
      <c r="G2291" s="112">
        <f>AU2291</f>
      </c>
      <c r="H2291" s="113"/>
      <c r="I2291" s="94" t="s">
        <v>390</v>
      </c>
      <c r="J2291" s="94" t="s">
        <v>601</v>
      </c>
      <c r="K2291" s="114">
        <f>P2291/3</f>
      </c>
      <c r="L2291" s="115">
        <v>117.852</v>
      </c>
      <c r="M2291" s="116"/>
      <c r="N2291" s="117">
        <f>M2291-L2291</f>
      </c>
      <c r="O2291" s="112"/>
      <c r="P2291" s="118">
        <f>N2291+O2291</f>
      </c>
      <c r="Q2291" s="94" t="s">
        <v>805</v>
      </c>
      <c r="R2291" s="94" t="s">
        <v>392</v>
      </c>
      <c r="S2291" s="119">
        <v>46356</v>
      </c>
      <c r="T2291" s="119"/>
      <c r="U2291" s="119">
        <v>46356</v>
      </c>
      <c r="V2291" s="94"/>
      <c r="W2291" s="94"/>
      <c r="X2291" s="94"/>
      <c r="Y2291" s="119">
        <v>46345</v>
      </c>
      <c r="Z2291" s="94"/>
      <c r="AA2291" s="120"/>
      <c r="AB2291" s="120"/>
      <c r="AC2291" s="120"/>
      <c r="AD2291" s="120"/>
      <c r="AE2291" s="120"/>
      <c r="AF2291" s="120"/>
      <c r="AG2291" s="94"/>
      <c r="AH2291" s="120"/>
      <c r="AI2291" s="94"/>
      <c r="AJ2291" s="94" t="s">
        <v>805</v>
      </c>
      <c r="AK2291" s="94" t="s">
        <v>761</v>
      </c>
      <c r="AL2291" s="94">
        <v>140</v>
      </c>
      <c r="AM2291" s="94" t="str">
        <f>TRIM(AJ2291)&amp;TRIM(AL2291)&amp;TRIM(AK2291)</f>
      </c>
      <c r="AN2291" s="116">
        <v>0</v>
      </c>
      <c r="AO2291" s="116" t="inlineStr">
        <is>
          <t>#NA</t>
        </is>
      </c>
      <c r="AP2291" s="116">
        <f>SUMIFS(M:M,AM:AM,AM2291)+SUMIFS(O:O,AM:AM,AM2291)</f>
      </c>
      <c r="AQ2291" s="116">
        <f>SUMIFS(L:L,AM:AM,AM2291)</f>
      </c>
      <c r="AR2291" s="116">
        <f>AQ2291-AP2291</f>
      </c>
      <c r="AS2291" s="94" t="str">
        <f>IF(AN2291&gt;=AQ2291,"ok","ck")</f>
      </c>
      <c r="AT2291" s="116">
        <f>-P2291</f>
      </c>
      <c r="AU2291" s="115">
        <f>IF(SUMIFS(AT:AT,AM:AM,AM2291)&gt;AO2291,(SUMIFS(AT:AT,AM:AM,AM2291)-AO2291))</f>
      </c>
      <c r="AV2291" s="116">
        <v>0</v>
      </c>
      <c r="AW2291" s="121">
        <v>0</v>
      </c>
      <c r="AX2291" s="115">
        <f>AN2291-AP2291</f>
      </c>
    </row>
    <row r="2292" spans="1:50" ht="15" hidden="1" customHeight="1" x14ac:dyDescent="0.3">
      <c r="A2292" s="94" t="s">
        <v>268</v>
      </c>
      <c r="B2292" s="94"/>
      <c r="C2292" s="94"/>
      <c r="D2292" s="94"/>
      <c r="E2292" s="94"/>
      <c r="F2292" s="94"/>
      <c r="G2292" s="112">
        <f>AU2292</f>
      </c>
      <c r="H2292" s="113"/>
      <c r="I2292" s="94" t="s">
        <v>390</v>
      </c>
      <c r="J2292" s="94" t="s">
        <v>404</v>
      </c>
      <c r="K2292" s="114">
        <f>P2292/3</f>
      </c>
      <c r="L2292" s="115">
        <v>360</v>
      </c>
      <c r="M2292" s="116">
        <f>L2292</f>
      </c>
      <c r="N2292" s="117">
        <f>M2292-L2292</f>
      </c>
      <c r="O2292" s="112"/>
      <c r="P2292" s="118">
        <f>N2292+O2292</f>
      </c>
      <c r="Q2292" s="94" t="s">
        <v>305</v>
      </c>
      <c r="R2292" s="94" t="s">
        <v>392</v>
      </c>
      <c r="S2292" s="119">
        <v>46326</v>
      </c>
      <c r="T2292" s="119"/>
      <c r="U2292" s="119">
        <v>46326</v>
      </c>
      <c r="V2292" s="94"/>
      <c r="W2292" s="94"/>
      <c r="X2292" s="94"/>
      <c r="Y2292" s="119">
        <v>46326</v>
      </c>
      <c r="Z2292" s="94"/>
      <c r="AA2292" s="120"/>
      <c r="AB2292" s="120"/>
      <c r="AC2292" s="120"/>
      <c r="AD2292" s="120"/>
      <c r="AE2292" s="120"/>
      <c r="AF2292" s="120"/>
      <c r="AG2292" s="94"/>
      <c r="AH2292" s="120"/>
      <c r="AI2292" s="94"/>
      <c r="AJ2292" s="94" t="s">
        <v>305</v>
      </c>
      <c r="AK2292" s="94" t="s">
        <v>758</v>
      </c>
      <c r="AL2292" s="94">
        <v>140</v>
      </c>
      <c r="AM2292" s="94" t="str">
        <f>TRIM(AJ2292)&amp;TRIM(AL2292)&amp;TRIM(AK2292)</f>
      </c>
      <c r="AN2292" s="116">
        <v>2850.62</v>
      </c>
      <c r="AO2292" s="116">
        <v>-113.36</v>
      </c>
      <c r="AP2292" s="116">
        <f>SUMIFS(M:M,AM:AM,AM2292)+SUMIFS(O:O,AM:AM,AM2292)</f>
      </c>
      <c r="AQ2292" s="116">
        <f>SUMIFS(L:L,AM:AM,AM2292)</f>
      </c>
      <c r="AR2292" s="116">
        <f>AQ2292-AP2292</f>
      </c>
      <c r="AS2292" s="94" t="str">
        <f>IF(AN2292&gt;=AQ2292,"ok","ck")</f>
      </c>
      <c r="AT2292" s="116">
        <f>-P2292</f>
      </c>
      <c r="AU2292" s="115">
        <f>IF(SUMIFS(AT:AT,AM:AM,AM2292)&gt;AO2292,(SUMIFS(AT:AT,AM:AM,AM2292)-AO2292))</f>
      </c>
      <c r="AV2292" s="116">
        <v>2850.62</v>
      </c>
      <c r="AW2292" s="121">
        <v>1.055</v>
      </c>
      <c r="AX2292" s="115">
        <f>AN2292-AP2292</f>
      </c>
    </row>
    <row r="2293" spans="1:50" ht="15" hidden="1" customHeight="1" x14ac:dyDescent="0.3">
      <c r="A2293" s="94" t="s">
        <v>268</v>
      </c>
      <c r="B2293" s="94"/>
      <c r="C2293" s="94"/>
      <c r="D2293" s="94"/>
      <c r="E2293" s="94"/>
      <c r="F2293" s="94"/>
      <c r="G2293" s="112">
        <f>AU2293</f>
      </c>
      <c r="H2293" s="113"/>
      <c r="I2293" s="94" t="s">
        <v>390</v>
      </c>
      <c r="J2293" s="94" t="s">
        <v>401</v>
      </c>
      <c r="K2293" s="114">
        <f>P2293/3</f>
      </c>
      <c r="L2293" s="115">
        <v>-0.06</v>
      </c>
      <c r="M2293" s="116"/>
      <c r="N2293" s="117">
        <f>M2293-L2293</f>
      </c>
      <c r="O2293" s="112"/>
      <c r="P2293" s="118">
        <f>N2293+O2293</f>
      </c>
      <c r="Q2293" s="94" t="s">
        <v>787</v>
      </c>
      <c r="R2293" s="94" t="s">
        <v>392</v>
      </c>
      <c r="S2293" s="119">
        <v>46320</v>
      </c>
      <c r="T2293" s="119"/>
      <c r="U2293" s="119">
        <v>46320</v>
      </c>
      <c r="V2293" s="94"/>
      <c r="W2293" s="94"/>
      <c r="X2293" s="94"/>
      <c r="Y2293" s="119">
        <v>46320</v>
      </c>
      <c r="Z2293" s="94"/>
      <c r="AA2293" s="120"/>
      <c r="AB2293" s="120"/>
      <c r="AC2293" s="120"/>
      <c r="AD2293" s="120"/>
      <c r="AE2293" s="120"/>
      <c r="AF2293" s="120"/>
      <c r="AG2293" s="94"/>
      <c r="AH2293" s="120"/>
      <c r="AI2293" s="94"/>
      <c r="AJ2293" s="94" t="s">
        <v>787</v>
      </c>
      <c r="AK2293" s="94" t="s">
        <v>389</v>
      </c>
      <c r="AL2293" s="94">
        <v>140</v>
      </c>
      <c r="AM2293" s="94" t="str">
        <f>TRIM(AJ2293)&amp;TRIM(AL2293)&amp;TRIM(AK2293)</f>
      </c>
      <c r="AN2293" s="116">
        <v>0</v>
      </c>
      <c r="AO2293" s="116" t="inlineStr">
        <is>
          <t>#NA</t>
        </is>
      </c>
      <c r="AP2293" s="116">
        <f>SUMIFS(M:M,AM:AM,AM2293)+SUMIFS(O:O,AM:AM,AM2293)</f>
      </c>
      <c r="AQ2293" s="116">
        <f>SUMIFS(L:L,AM:AM,AM2293)</f>
      </c>
      <c r="AR2293" s="116">
        <f>AQ2293-AP2293</f>
      </c>
      <c r="AS2293" s="94" t="str">
        <f>IF(AN2293&gt;=AQ2293,"ok","ck")</f>
      </c>
      <c r="AT2293" s="116">
        <f>-P2293</f>
      </c>
      <c r="AU2293" s="115">
        <f>IF(SUMIFS(AT:AT,AM:AM,AM2293)&gt;AO2293,(SUMIFS(AT:AT,AM:AM,AM2293)-AO2293))</f>
      </c>
      <c r="AV2293" s="116">
        <v>0</v>
      </c>
      <c r="AW2293" s="121">
        <v>1.025</v>
      </c>
      <c r="AX2293" s="115">
        <f>AN2293-AP2293</f>
      </c>
    </row>
    <row r="2294" spans="1:50" ht="15" hidden="1" customHeight="1" x14ac:dyDescent="0.3">
      <c r="A2294" s="94" t="s">
        <v>268</v>
      </c>
      <c r="B2294" s="94"/>
      <c r="C2294" s="94"/>
      <c r="D2294" s="94"/>
      <c r="E2294" s="94"/>
      <c r="F2294" s="94"/>
      <c r="G2294" s="112">
        <f>AU2294</f>
      </c>
      <c r="H2294" s="113"/>
      <c r="I2294" s="94" t="s">
        <v>390</v>
      </c>
      <c r="J2294" s="94" t="s">
        <v>399</v>
      </c>
      <c r="K2294" s="114">
        <f>P2294/3</f>
      </c>
      <c r="L2294" s="115">
        <v>160</v>
      </c>
      <c r="M2294" s="116">
        <f>L2294</f>
      </c>
      <c r="N2294" s="117">
        <f>M2294-L2294</f>
      </c>
      <c r="O2294" s="112"/>
      <c r="P2294" s="118">
        <f>N2294+O2294</f>
      </c>
      <c r="Q2294" s="94" t="s">
        <v>305</v>
      </c>
      <c r="R2294" s="94" t="s">
        <v>392</v>
      </c>
      <c r="S2294" s="119">
        <v>46338</v>
      </c>
      <c r="T2294" s="119"/>
      <c r="U2294" s="119">
        <v>46338</v>
      </c>
      <c r="V2294" s="94"/>
      <c r="W2294" s="94"/>
      <c r="X2294" s="94"/>
      <c r="Y2294" s="119">
        <v>46338</v>
      </c>
      <c r="Z2294" s="94"/>
      <c r="AA2294" s="120"/>
      <c r="AB2294" s="120"/>
      <c r="AC2294" s="120"/>
      <c r="AD2294" s="120"/>
      <c r="AE2294" s="120"/>
      <c r="AF2294" s="120"/>
      <c r="AG2294" s="94"/>
      <c r="AH2294" s="120"/>
      <c r="AI2294" s="94"/>
      <c r="AJ2294" s="94" t="s">
        <v>305</v>
      </c>
      <c r="AK2294" s="94" t="s">
        <v>758</v>
      </c>
      <c r="AL2294" s="94">
        <v>140</v>
      </c>
      <c r="AM2294" s="94" t="str">
        <f>TRIM(AJ2294)&amp;TRIM(AL2294)&amp;TRIM(AK2294)</f>
      </c>
      <c r="AN2294" s="116">
        <v>2850.62</v>
      </c>
      <c r="AO2294" s="116">
        <v>-113.36</v>
      </c>
      <c r="AP2294" s="116">
        <f>SUMIFS(M:M,AM:AM,AM2294)+SUMIFS(O:O,AM:AM,AM2294)</f>
      </c>
      <c r="AQ2294" s="116">
        <f>SUMIFS(L:L,AM:AM,AM2294)</f>
      </c>
      <c r="AR2294" s="116">
        <f>AQ2294-AP2294</f>
      </c>
      <c r="AS2294" s="94" t="str">
        <f>IF(AN2294&gt;=AQ2294,"ok","ck")</f>
      </c>
      <c r="AT2294" s="116">
        <f>-P2294</f>
      </c>
      <c r="AU2294" s="115">
        <f>IF(SUMIFS(AT:AT,AM:AM,AM2294)&gt;AO2294,(SUMIFS(AT:AT,AM:AM,AM2294)-AO2294))</f>
      </c>
      <c r="AV2294" s="116">
        <v>2850.62</v>
      </c>
      <c r="AW2294" s="121">
        <v>1.055</v>
      </c>
      <c r="AX2294" s="115">
        <f>AN2294-AP2294</f>
      </c>
    </row>
    <row r="2295" spans="1:50" ht="15" hidden="1" customHeight="1" x14ac:dyDescent="0.3">
      <c r="A2295" s="94" t="s">
        <v>268</v>
      </c>
      <c r="B2295" s="94"/>
      <c r="C2295" s="94"/>
      <c r="D2295" s="94"/>
      <c r="E2295" s="94"/>
      <c r="F2295" s="94"/>
      <c r="G2295" s="112">
        <f>AU2295</f>
      </c>
      <c r="H2295" s="113"/>
      <c r="I2295" s="94" t="s">
        <v>390</v>
      </c>
      <c r="J2295" s="94" t="s">
        <v>399</v>
      </c>
      <c r="K2295" s="114">
        <f>P2295/3</f>
      </c>
      <c r="L2295" s="115">
        <v>336</v>
      </c>
      <c r="M2295" s="116">
        <f>L2295</f>
      </c>
      <c r="N2295" s="117">
        <f>M2295-L2295</f>
      </c>
      <c r="O2295" s="112"/>
      <c r="P2295" s="118">
        <f>N2295+O2295</f>
      </c>
      <c r="Q2295" s="94" t="s">
        <v>305</v>
      </c>
      <c r="R2295" s="94" t="s">
        <v>392</v>
      </c>
      <c r="S2295" s="119">
        <v>46336</v>
      </c>
      <c r="T2295" s="119"/>
      <c r="U2295" s="119">
        <v>46336</v>
      </c>
      <c r="V2295" s="94"/>
      <c r="W2295" s="94"/>
      <c r="X2295" s="94"/>
      <c r="Y2295" s="119">
        <v>46324</v>
      </c>
      <c r="Z2295" s="94"/>
      <c r="AA2295" s="120"/>
      <c r="AB2295" s="120"/>
      <c r="AC2295" s="120"/>
      <c r="AD2295" s="120"/>
      <c r="AE2295" s="120"/>
      <c r="AF2295" s="120"/>
      <c r="AG2295" s="94"/>
      <c r="AH2295" s="120"/>
      <c r="AI2295" s="94"/>
      <c r="AJ2295" s="94" t="s">
        <v>305</v>
      </c>
      <c r="AK2295" s="94" t="s">
        <v>758</v>
      </c>
      <c r="AL2295" s="94">
        <v>140</v>
      </c>
      <c r="AM2295" s="94" t="str">
        <f>TRIM(AJ2295)&amp;TRIM(AL2295)&amp;TRIM(AK2295)</f>
      </c>
      <c r="AN2295" s="116">
        <v>2850.62</v>
      </c>
      <c r="AO2295" s="116">
        <v>-113.36</v>
      </c>
      <c r="AP2295" s="116">
        <f>SUMIFS(M:M,AM:AM,AM2295)+SUMIFS(O:O,AM:AM,AM2295)</f>
      </c>
      <c r="AQ2295" s="116">
        <f>SUMIFS(L:L,AM:AM,AM2295)</f>
      </c>
      <c r="AR2295" s="116">
        <f>AQ2295-AP2295</f>
      </c>
      <c r="AS2295" s="94" t="str">
        <f>IF(AN2295&gt;=AQ2295,"ok","ck")</f>
      </c>
      <c r="AT2295" s="116">
        <f>-P2295</f>
      </c>
      <c r="AU2295" s="115">
        <f>IF(SUMIFS(AT:AT,AM:AM,AM2295)&gt;AO2295,(SUMIFS(AT:AT,AM:AM,AM2295)-AO2295))</f>
      </c>
      <c r="AV2295" s="116">
        <v>2850.62</v>
      </c>
      <c r="AW2295" s="121">
        <v>1.055</v>
      </c>
      <c r="AX2295" s="115">
        <f>AN2295-AP2295</f>
      </c>
    </row>
    <row r="2296" spans="1:50" ht="15" hidden="1" customHeight="1" x14ac:dyDescent="0.3">
      <c r="A2296" s="94" t="s">
        <v>268</v>
      </c>
      <c r="B2296" s="94"/>
      <c r="C2296" s="94"/>
      <c r="D2296" s="94"/>
      <c r="E2296" s="94"/>
      <c r="F2296" s="94"/>
      <c r="G2296" s="112">
        <f>AU2296</f>
      </c>
      <c r="H2296" s="113"/>
      <c r="I2296" s="94" t="s">
        <v>390</v>
      </c>
      <c r="J2296" s="94" t="s">
        <v>399</v>
      </c>
      <c r="K2296" s="114">
        <f>P2296/3</f>
      </c>
      <c r="L2296" s="115">
        <v>305.25</v>
      </c>
      <c r="M2296" s="116">
        <f>L2296</f>
      </c>
      <c r="N2296" s="117">
        <f>M2296-L2296</f>
      </c>
      <c r="O2296" s="112"/>
      <c r="P2296" s="118">
        <f>N2296+O2296</f>
      </c>
      <c r="Q2296" s="94" t="s">
        <v>305</v>
      </c>
      <c r="R2296" s="94" t="s">
        <v>392</v>
      </c>
      <c r="S2296" s="119">
        <v>46336</v>
      </c>
      <c r="T2296" s="119"/>
      <c r="U2296" s="119">
        <v>46336</v>
      </c>
      <c r="V2296" s="94"/>
      <c r="W2296" s="94"/>
      <c r="X2296" s="94"/>
      <c r="Y2296" s="119">
        <v>46323</v>
      </c>
      <c r="Z2296" s="94"/>
      <c r="AA2296" s="120"/>
      <c r="AB2296" s="120"/>
      <c r="AC2296" s="120"/>
      <c r="AD2296" s="120"/>
      <c r="AE2296" s="120"/>
      <c r="AF2296" s="120"/>
      <c r="AG2296" s="94"/>
      <c r="AH2296" s="120"/>
      <c r="AI2296" s="94"/>
      <c r="AJ2296" s="94" t="s">
        <v>305</v>
      </c>
      <c r="AK2296" s="94" t="s">
        <v>758</v>
      </c>
      <c r="AL2296" s="94">
        <v>140</v>
      </c>
      <c r="AM2296" s="94" t="str">
        <f>TRIM(AJ2296)&amp;TRIM(AL2296)&amp;TRIM(AK2296)</f>
      </c>
      <c r="AN2296" s="116">
        <v>2850.62</v>
      </c>
      <c r="AO2296" s="116">
        <v>-113.36</v>
      </c>
      <c r="AP2296" s="116">
        <f>SUMIFS(M:M,AM:AM,AM2296)+SUMIFS(O:O,AM:AM,AM2296)</f>
      </c>
      <c r="AQ2296" s="116">
        <f>SUMIFS(L:L,AM:AM,AM2296)</f>
      </c>
      <c r="AR2296" s="116">
        <f>AQ2296-AP2296</f>
      </c>
      <c r="AS2296" s="94" t="str">
        <f>IF(AN2296&gt;=AQ2296,"ok","ck")</f>
      </c>
      <c r="AT2296" s="116">
        <f>-P2296</f>
      </c>
      <c r="AU2296" s="115">
        <f>IF(SUMIFS(AT:AT,AM:AM,AM2296)&gt;AO2296,(SUMIFS(AT:AT,AM:AM,AM2296)-AO2296))</f>
      </c>
      <c r="AV2296" s="116">
        <v>2850.62</v>
      </c>
      <c r="AW2296" s="121">
        <v>1.055</v>
      </c>
      <c r="AX2296" s="115">
        <f>AN2296-AP2296</f>
      </c>
    </row>
    <row r="2297" spans="1:50" ht="15" hidden="1" customHeight="1" x14ac:dyDescent="0.3">
      <c r="A2297" s="94" t="s">
        <v>268</v>
      </c>
      <c r="B2297" s="94"/>
      <c r="C2297" s="94"/>
      <c r="D2297" s="94"/>
      <c r="E2297" s="94"/>
      <c r="F2297" s="94"/>
      <c r="G2297" s="112">
        <f>AU2297</f>
      </c>
      <c r="H2297" s="113"/>
      <c r="I2297" s="94" t="s">
        <v>390</v>
      </c>
      <c r="J2297" s="94" t="s">
        <v>399</v>
      </c>
      <c r="K2297" s="114">
        <f>P2297/3</f>
      </c>
      <c r="L2297" s="115">
        <v>277.5</v>
      </c>
      <c r="M2297" s="116">
        <f>L2297</f>
      </c>
      <c r="N2297" s="117">
        <f>M2297-L2297</f>
      </c>
      <c r="O2297" s="112"/>
      <c r="P2297" s="118">
        <f>N2297+O2297</f>
      </c>
      <c r="Q2297" s="94" t="s">
        <v>305</v>
      </c>
      <c r="R2297" s="94" t="s">
        <v>392</v>
      </c>
      <c r="S2297" s="119">
        <v>46336</v>
      </c>
      <c r="T2297" s="119"/>
      <c r="U2297" s="119">
        <v>46336</v>
      </c>
      <c r="V2297" s="94"/>
      <c r="W2297" s="94"/>
      <c r="X2297" s="94"/>
      <c r="Y2297" s="119">
        <v>46329</v>
      </c>
      <c r="Z2297" s="94"/>
      <c r="AA2297" s="120"/>
      <c r="AB2297" s="120"/>
      <c r="AC2297" s="120"/>
      <c r="AD2297" s="120"/>
      <c r="AE2297" s="120"/>
      <c r="AF2297" s="120"/>
      <c r="AG2297" s="94"/>
      <c r="AH2297" s="120"/>
      <c r="AI2297" s="94"/>
      <c r="AJ2297" s="94" t="s">
        <v>305</v>
      </c>
      <c r="AK2297" s="94" t="s">
        <v>758</v>
      </c>
      <c r="AL2297" s="94">
        <v>140</v>
      </c>
      <c r="AM2297" s="94" t="str">
        <f>TRIM(AJ2297)&amp;TRIM(AL2297)&amp;TRIM(AK2297)</f>
      </c>
      <c r="AN2297" s="116">
        <v>2850.62</v>
      </c>
      <c r="AO2297" s="116">
        <v>-113.36</v>
      </c>
      <c r="AP2297" s="116">
        <f>SUMIFS(M:M,AM:AM,AM2297)+SUMIFS(O:O,AM:AM,AM2297)</f>
      </c>
      <c r="AQ2297" s="116">
        <f>SUMIFS(L:L,AM:AM,AM2297)</f>
      </c>
      <c r="AR2297" s="116">
        <f>AQ2297-AP2297</f>
      </c>
      <c r="AS2297" s="94" t="str">
        <f>IF(AN2297&gt;=AQ2297,"ok","ck")</f>
      </c>
      <c r="AT2297" s="116">
        <f>-P2297</f>
      </c>
      <c r="AU2297" s="115">
        <f>IF(SUMIFS(AT:AT,AM:AM,AM2297)&gt;AO2297,(SUMIFS(AT:AT,AM:AM,AM2297)-AO2297))</f>
      </c>
      <c r="AV2297" s="116">
        <v>2850.62</v>
      </c>
      <c r="AW2297" s="121">
        <v>1.055</v>
      </c>
      <c r="AX2297" s="115">
        <f>AN2297-AP2297</f>
      </c>
    </row>
    <row r="2298" spans="1:50" ht="15" hidden="1" customHeight="1" x14ac:dyDescent="0.3">
      <c r="A2298" s="94" t="s">
        <v>268</v>
      </c>
      <c r="B2298" s="94"/>
      <c r="C2298" s="94"/>
      <c r="D2298" s="94"/>
      <c r="E2298" s="94"/>
      <c r="F2298" s="94"/>
      <c r="G2298" s="112">
        <f>AU2298</f>
      </c>
      <c r="H2298" s="113"/>
      <c r="I2298" s="94" t="s">
        <v>390</v>
      </c>
      <c r="J2298" s="94" t="s">
        <v>399</v>
      </c>
      <c r="K2298" s="114">
        <f>P2298/3</f>
      </c>
      <c r="L2298" s="115">
        <v>222</v>
      </c>
      <c r="M2298" s="116">
        <f>L2298</f>
      </c>
      <c r="N2298" s="117">
        <f>M2298-L2298</f>
      </c>
      <c r="O2298" s="112"/>
      <c r="P2298" s="118">
        <f>N2298+O2298</f>
      </c>
      <c r="Q2298" s="94" t="s">
        <v>305</v>
      </c>
      <c r="R2298" s="94" t="s">
        <v>392</v>
      </c>
      <c r="S2298" s="119">
        <v>46337</v>
      </c>
      <c r="T2298" s="119"/>
      <c r="U2298" s="119">
        <v>46337</v>
      </c>
      <c r="V2298" s="94"/>
      <c r="W2298" s="94"/>
      <c r="X2298" s="94"/>
      <c r="Y2298" s="119">
        <v>46337</v>
      </c>
      <c r="Z2298" s="94"/>
      <c r="AA2298" s="120"/>
      <c r="AB2298" s="120"/>
      <c r="AC2298" s="120"/>
      <c r="AD2298" s="120"/>
      <c r="AE2298" s="120"/>
      <c r="AF2298" s="120"/>
      <c r="AG2298" s="94"/>
      <c r="AH2298" s="120"/>
      <c r="AI2298" s="94"/>
      <c r="AJ2298" s="94" t="s">
        <v>305</v>
      </c>
      <c r="AK2298" s="94" t="s">
        <v>758</v>
      </c>
      <c r="AL2298" s="94">
        <v>140</v>
      </c>
      <c r="AM2298" s="94" t="str">
        <f>TRIM(AJ2298)&amp;TRIM(AL2298)&amp;TRIM(AK2298)</f>
      </c>
      <c r="AN2298" s="116">
        <v>2850.62</v>
      </c>
      <c r="AO2298" s="116">
        <v>-113.36</v>
      </c>
      <c r="AP2298" s="116">
        <f>SUMIFS(M:M,AM:AM,AM2298)+SUMIFS(O:O,AM:AM,AM2298)</f>
      </c>
      <c r="AQ2298" s="116">
        <f>SUMIFS(L:L,AM:AM,AM2298)</f>
      </c>
      <c r="AR2298" s="116">
        <f>AQ2298-AP2298</f>
      </c>
      <c r="AS2298" s="94" t="str">
        <f>IF(AN2298&gt;=AQ2298,"ok","ck")</f>
      </c>
      <c r="AT2298" s="116">
        <f>-P2298</f>
      </c>
      <c r="AU2298" s="115">
        <f>IF(SUMIFS(AT:AT,AM:AM,AM2298)&gt;AO2298,(SUMIFS(AT:AT,AM:AM,AM2298)-AO2298))</f>
      </c>
      <c r="AV2298" s="116">
        <v>2850.62</v>
      </c>
      <c r="AW2298" s="121">
        <v>1.055</v>
      </c>
      <c r="AX2298" s="115">
        <f>AN2298-AP2298</f>
      </c>
    </row>
    <row r="2299" spans="1:50" ht="15" hidden="1" customHeight="1" x14ac:dyDescent="0.3">
      <c r="A2299" s="94" t="s">
        <v>268</v>
      </c>
      <c r="B2299" s="94"/>
      <c r="C2299" s="94"/>
      <c r="D2299" s="94"/>
      <c r="E2299" s="94"/>
      <c r="F2299" s="94"/>
      <c r="G2299" s="112">
        <f>AU2299</f>
      </c>
      <c r="H2299" s="113"/>
      <c r="I2299" s="94" t="s">
        <v>390</v>
      </c>
      <c r="J2299" s="94" t="s">
        <v>399</v>
      </c>
      <c r="K2299" s="114">
        <f>P2299/3</f>
      </c>
      <c r="L2299" s="115">
        <v>1.3320000000000001</v>
      </c>
      <c r="M2299" s="116">
        <f>L2299</f>
      </c>
      <c r="N2299" s="117">
        <f>M2299-L2299</f>
      </c>
      <c r="O2299" s="112"/>
      <c r="P2299" s="118">
        <f>N2299+O2299</f>
      </c>
      <c r="Q2299" s="94" t="s">
        <v>305</v>
      </c>
      <c r="R2299" s="94" t="s">
        <v>392</v>
      </c>
      <c r="S2299" s="119">
        <v>46336</v>
      </c>
      <c r="T2299" s="119"/>
      <c r="U2299" s="119">
        <v>46336</v>
      </c>
      <c r="V2299" s="94"/>
      <c r="W2299" s="94"/>
      <c r="X2299" s="94"/>
      <c r="Y2299" s="119">
        <v>46329</v>
      </c>
      <c r="Z2299" s="94"/>
      <c r="AA2299" s="120"/>
      <c r="AB2299" s="120"/>
      <c r="AC2299" s="120"/>
      <c r="AD2299" s="120"/>
      <c r="AE2299" s="120"/>
      <c r="AF2299" s="120"/>
      <c r="AG2299" s="94"/>
      <c r="AH2299" s="120"/>
      <c r="AI2299" s="94"/>
      <c r="AJ2299" s="94" t="s">
        <v>305</v>
      </c>
      <c r="AK2299" s="94" t="s">
        <v>758</v>
      </c>
      <c r="AL2299" s="94">
        <v>140</v>
      </c>
      <c r="AM2299" s="94" t="str">
        <f>TRIM(AJ2299)&amp;TRIM(AL2299)&amp;TRIM(AK2299)</f>
      </c>
      <c r="AN2299" s="116">
        <v>2850.62</v>
      </c>
      <c r="AO2299" s="116">
        <v>-113.36</v>
      </c>
      <c r="AP2299" s="116">
        <f>SUMIFS(M:M,AM:AM,AM2299)+SUMIFS(O:O,AM:AM,AM2299)</f>
      </c>
      <c r="AQ2299" s="116">
        <f>SUMIFS(L:L,AM:AM,AM2299)</f>
      </c>
      <c r="AR2299" s="116">
        <f>AQ2299-AP2299</f>
      </c>
      <c r="AS2299" s="94" t="str">
        <f>IF(AN2299&gt;=AQ2299,"ok","ck")</f>
      </c>
      <c r="AT2299" s="116">
        <f>-P2299</f>
      </c>
      <c r="AU2299" s="115">
        <f>IF(SUMIFS(AT:AT,AM:AM,AM2299)&gt;AO2299,(SUMIFS(AT:AT,AM:AM,AM2299)-AO2299))</f>
      </c>
      <c r="AV2299" s="116">
        <v>2850.62</v>
      </c>
      <c r="AW2299" s="121">
        <v>1.055</v>
      </c>
      <c r="AX2299" s="115">
        <f>AN2299-AP2299</f>
      </c>
    </row>
    <row r="2300" spans="1:50" ht="15" hidden="1" customHeight="1" x14ac:dyDescent="0.3">
      <c r="A2300" s="94" t="s">
        <v>268</v>
      </c>
      <c r="B2300" s="94"/>
      <c r="C2300" s="94"/>
      <c r="D2300" s="94"/>
      <c r="E2300" s="94"/>
      <c r="F2300" s="94"/>
      <c r="G2300" s="112">
        <f>AU2300</f>
      </c>
      <c r="H2300" s="113"/>
      <c r="I2300" s="94" t="s">
        <v>390</v>
      </c>
      <c r="J2300" s="94" t="s">
        <v>399</v>
      </c>
      <c r="K2300" s="114">
        <f>P2300/3</f>
      </c>
      <c r="L2300" s="115">
        <v>176.834</v>
      </c>
      <c r="M2300" s="116">
        <f>L2300</f>
      </c>
      <c r="N2300" s="117">
        <f>M2300-L2300</f>
      </c>
      <c r="O2300" s="112"/>
      <c r="P2300" s="118">
        <f>N2300+O2300</f>
      </c>
      <c r="Q2300" s="94" t="s">
        <v>305</v>
      </c>
      <c r="R2300" s="94" t="s">
        <v>392</v>
      </c>
      <c r="S2300" s="119">
        <v>46336</v>
      </c>
      <c r="T2300" s="119"/>
      <c r="U2300" s="119">
        <v>46336</v>
      </c>
      <c r="V2300" s="94"/>
      <c r="W2300" s="94"/>
      <c r="X2300" s="94"/>
      <c r="Y2300" s="119">
        <v>46320</v>
      </c>
      <c r="Z2300" s="94"/>
      <c r="AA2300" s="120"/>
      <c r="AB2300" s="120"/>
      <c r="AC2300" s="120"/>
      <c r="AD2300" s="120"/>
      <c r="AE2300" s="120"/>
      <c r="AF2300" s="120"/>
      <c r="AG2300" s="94"/>
      <c r="AH2300" s="120"/>
      <c r="AI2300" s="94"/>
      <c r="AJ2300" s="94" t="s">
        <v>305</v>
      </c>
      <c r="AK2300" s="94" t="s">
        <v>758</v>
      </c>
      <c r="AL2300" s="94">
        <v>140</v>
      </c>
      <c r="AM2300" s="94" t="str">
        <f>TRIM(AJ2300)&amp;TRIM(AL2300)&amp;TRIM(AK2300)</f>
      </c>
      <c r="AN2300" s="116">
        <v>2850.62</v>
      </c>
      <c r="AO2300" s="116">
        <v>-113.36</v>
      </c>
      <c r="AP2300" s="116">
        <f>SUMIFS(M:M,AM:AM,AM2300)+SUMIFS(O:O,AM:AM,AM2300)</f>
      </c>
      <c r="AQ2300" s="116">
        <f>SUMIFS(L:L,AM:AM,AM2300)</f>
      </c>
      <c r="AR2300" s="116">
        <f>AQ2300-AP2300</f>
      </c>
      <c r="AS2300" s="94" t="str">
        <f>IF(AN2300&gt;=AQ2300,"ok","ck")</f>
      </c>
      <c r="AT2300" s="116">
        <f>-P2300</f>
      </c>
      <c r="AU2300" s="115">
        <f>IF(SUMIFS(AT:AT,AM:AM,AM2300)&gt;AO2300,(SUMIFS(AT:AT,AM:AM,AM2300)-AO2300))</f>
      </c>
      <c r="AV2300" s="116">
        <v>2850.62</v>
      </c>
      <c r="AW2300" s="121">
        <v>1.055</v>
      </c>
      <c r="AX2300" s="115">
        <f>AN2300-AP2300</f>
      </c>
    </row>
    <row r="2301" spans="1:50" ht="15" hidden="1" customHeight="1" x14ac:dyDescent="0.3">
      <c r="A2301" s="94" t="s">
        <v>268</v>
      </c>
      <c r="B2301" s="94"/>
      <c r="C2301" s="94"/>
      <c r="D2301" s="94"/>
      <c r="E2301" s="94"/>
      <c r="F2301" s="94"/>
      <c r="G2301" s="112">
        <f>AU2301</f>
      </c>
      <c r="H2301" s="113"/>
      <c r="I2301" s="94" t="s">
        <v>390</v>
      </c>
      <c r="J2301" s="94" t="s">
        <v>399</v>
      </c>
      <c r="K2301" s="114">
        <f>P2301/3</f>
      </c>
      <c r="L2301" s="115">
        <v>177.5</v>
      </c>
      <c r="M2301" s="116">
        <f>L2301</f>
      </c>
      <c r="N2301" s="117">
        <f>M2301-L2301</f>
      </c>
      <c r="O2301" s="112"/>
      <c r="P2301" s="118">
        <f>N2301+O2301</f>
      </c>
      <c r="Q2301" s="94" t="s">
        <v>305</v>
      </c>
      <c r="R2301" s="94" t="s">
        <v>392</v>
      </c>
      <c r="S2301" s="119">
        <v>46337</v>
      </c>
      <c r="T2301" s="119"/>
      <c r="U2301" s="119">
        <v>46337</v>
      </c>
      <c r="V2301" s="94"/>
      <c r="W2301" s="94"/>
      <c r="X2301" s="94"/>
      <c r="Y2301" s="119">
        <v>46337</v>
      </c>
      <c r="Z2301" s="94"/>
      <c r="AA2301" s="120"/>
      <c r="AB2301" s="120"/>
      <c r="AC2301" s="120"/>
      <c r="AD2301" s="120"/>
      <c r="AE2301" s="120"/>
      <c r="AF2301" s="120"/>
      <c r="AG2301" s="94"/>
      <c r="AH2301" s="120"/>
      <c r="AI2301" s="94"/>
      <c r="AJ2301" s="94" t="s">
        <v>305</v>
      </c>
      <c r="AK2301" s="94" t="s">
        <v>758</v>
      </c>
      <c r="AL2301" s="94">
        <v>140</v>
      </c>
      <c r="AM2301" s="94" t="str">
        <f>TRIM(AJ2301)&amp;TRIM(AL2301)&amp;TRIM(AK2301)</f>
      </c>
      <c r="AN2301" s="116">
        <v>2850.62</v>
      </c>
      <c r="AO2301" s="116">
        <v>-113.36</v>
      </c>
      <c r="AP2301" s="116">
        <f>SUMIFS(M:M,AM:AM,AM2301)+SUMIFS(O:O,AM:AM,AM2301)</f>
      </c>
      <c r="AQ2301" s="116">
        <f>SUMIFS(L:L,AM:AM,AM2301)</f>
      </c>
      <c r="AR2301" s="116">
        <f>AQ2301-AP2301</f>
      </c>
      <c r="AS2301" s="94" t="str">
        <f>IF(AN2301&gt;=AQ2301,"ok","ck")</f>
      </c>
      <c r="AT2301" s="116">
        <f>-P2301</f>
      </c>
      <c r="AU2301" s="115">
        <f>IF(SUMIFS(AT:AT,AM:AM,AM2301)&gt;AO2301,(SUMIFS(AT:AT,AM:AM,AM2301)-AO2301))</f>
      </c>
      <c r="AV2301" s="116">
        <v>2850.62</v>
      </c>
      <c r="AW2301" s="121">
        <v>1.055</v>
      </c>
      <c r="AX2301" s="115">
        <f>AN2301-AP2301</f>
      </c>
    </row>
    <row r="2302" spans="1:50" ht="15" hidden="1" customHeight="1" x14ac:dyDescent="0.3">
      <c r="A2302" s="94" t="s">
        <v>76</v>
      </c>
      <c r="B2302" s="94"/>
      <c r="C2302" s="94"/>
      <c r="D2302" s="94"/>
      <c r="E2302" s="94"/>
      <c r="F2302" s="94"/>
      <c r="G2302" s="112">
        <f>AU2302</f>
      </c>
      <c r="H2302" s="113"/>
      <c r="I2302" s="94" t="s">
        <v>393</v>
      </c>
      <c r="J2302" s="94" t="s">
        <v>418</v>
      </c>
      <c r="K2302" s="114">
        <f>P2302/3</f>
      </c>
      <c r="L2302" s="115">
        <v>3.1619999999999999</v>
      </c>
      <c r="M2302" s="116"/>
      <c r="N2302" s="117">
        <f>M2302-L2302</f>
      </c>
      <c r="O2302" s="112"/>
      <c r="P2302" s="118">
        <f>N2302+O2302</f>
      </c>
      <c r="Q2302" s="94" t="s">
        <v>395</v>
      </c>
      <c r="R2302" s="94" t="s">
        <v>392</v>
      </c>
      <c r="S2302" s="119">
        <v>46330</v>
      </c>
      <c r="T2302" s="119"/>
      <c r="U2302" s="119">
        <v>46330</v>
      </c>
      <c r="V2302" s="94"/>
      <c r="W2302" s="94"/>
      <c r="X2302" s="94"/>
      <c r="Y2302" s="119">
        <v>46336</v>
      </c>
      <c r="Z2302" s="94"/>
      <c r="AA2302" s="120"/>
      <c r="AB2302" s="120"/>
      <c r="AC2302" s="120"/>
      <c r="AD2302" s="120"/>
      <c r="AE2302" s="120"/>
      <c r="AF2302" s="120"/>
      <c r="AG2302" s="94"/>
      <c r="AH2302" s="120"/>
      <c r="AI2302" s="94"/>
      <c r="AJ2302" s="94" t="s">
        <v>395</v>
      </c>
      <c r="AK2302" s="94" t="s">
        <v>748</v>
      </c>
      <c r="AL2302" s="94">
        <v>150</v>
      </c>
      <c r="AM2302" s="94" t="str">
        <f>TRIM(AJ2302)&amp;TRIM(AL2302)&amp;TRIM(AK2302)</f>
      </c>
      <c r="AN2302" s="116">
        <v>0</v>
      </c>
      <c r="AO2302" s="116" t="inlineStr">
        <is>
          <t>#NA</t>
        </is>
      </c>
      <c r="AP2302" s="116">
        <f>SUMIFS(M:M,AM:AM,AM2302)+SUMIFS(O:O,AM:AM,AM2302)</f>
      </c>
      <c r="AQ2302" s="116">
        <f>SUMIFS(L:L,AM:AM,AM2302)</f>
      </c>
      <c r="AR2302" s="116">
        <f>AQ2302-AP2302</f>
      </c>
      <c r="AS2302" s="94" t="str">
        <f>IF(AN2302&gt;=AQ2302,"ok","ck")</f>
      </c>
      <c r="AT2302" s="116">
        <f>-P2302</f>
      </c>
      <c r="AU2302" s="115">
        <f>IF(SUMIFS(AT:AT,AM:AM,AM2302)&gt;AO2302,(SUMIFS(AT:AT,AM:AM,AM2302)-AO2302))</f>
      </c>
      <c r="AV2302" s="116">
        <v>0</v>
      </c>
      <c r="AW2302" s="121">
        <v>0.914</v>
      </c>
      <c r="AX2302" s="115">
        <f>AN2302-AP2302</f>
      </c>
    </row>
    <row r="2303" spans="1:50" ht="15" hidden="1" customHeight="1" x14ac:dyDescent="0.3">
      <c r="A2303" s="94" t="s">
        <v>93</v>
      </c>
      <c r="B2303" s="94"/>
      <c r="C2303" s="94"/>
      <c r="D2303" s="94"/>
      <c r="E2303" s="94"/>
      <c r="F2303" s="94"/>
      <c r="G2303" s="112">
        <f>AU2303</f>
      </c>
      <c r="H2303" s="113"/>
      <c r="I2303" s="94" t="s">
        <v>493</v>
      </c>
      <c r="J2303" s="94" t="s">
        <v>610</v>
      </c>
      <c r="K2303" s="114">
        <f>P2303/3</f>
      </c>
      <c r="L2303" s="115">
        <v>200.00899999999999</v>
      </c>
      <c r="M2303" s="116"/>
      <c r="N2303" s="117">
        <f>M2303-L2303</f>
      </c>
      <c r="O2303" s="112"/>
      <c r="P2303" s="118">
        <f>N2303+O2303</f>
      </c>
      <c r="Q2303" s="94" t="s">
        <v>828</v>
      </c>
      <c r="R2303" s="94" t="s">
        <v>392</v>
      </c>
      <c r="S2303" s="119">
        <v>46348</v>
      </c>
      <c r="T2303" s="119"/>
      <c r="U2303" s="119">
        <v>46348</v>
      </c>
      <c r="V2303" s="94"/>
      <c r="W2303" s="94"/>
      <c r="X2303" s="94"/>
      <c r="Y2303" s="119">
        <v>46341</v>
      </c>
      <c r="Z2303" s="94"/>
      <c r="AA2303" s="120"/>
      <c r="AB2303" s="120"/>
      <c r="AC2303" s="120"/>
      <c r="AD2303" s="120"/>
      <c r="AE2303" s="120"/>
      <c r="AF2303" s="120"/>
      <c r="AG2303" s="94"/>
      <c r="AH2303" s="120"/>
      <c r="AI2303" s="94"/>
      <c r="AJ2303" s="94" t="s">
        <v>828</v>
      </c>
      <c r="AK2303" s="94" t="s">
        <v>745</v>
      </c>
      <c r="AL2303" s="94">
        <v>140</v>
      </c>
      <c r="AM2303" s="94" t="str">
        <f>TRIM(AJ2303)&amp;TRIM(AL2303)&amp;TRIM(AK2303)</f>
      </c>
      <c r="AN2303" s="116">
        <v>0</v>
      </c>
      <c r="AO2303" s="116" t="inlineStr">
        <is>
          <t>#NA</t>
        </is>
      </c>
      <c r="AP2303" s="116">
        <f>SUMIFS(M:M,AM:AM,AM2303)+SUMIFS(O:O,AM:AM,AM2303)</f>
      </c>
      <c r="AQ2303" s="116">
        <f>SUMIFS(L:L,AM:AM,AM2303)</f>
      </c>
      <c r="AR2303" s="116">
        <f>AQ2303-AP2303</f>
      </c>
      <c r="AS2303" s="94" t="str">
        <f>IF(AN2303&gt;=AQ2303,"ok","ck")</f>
      </c>
      <c r="AT2303" s="116">
        <f>-P2303</f>
      </c>
      <c r="AU2303" s="115">
        <f>IF(SUMIFS(AT:AT,AM:AM,AM2303)&gt;AO2303,(SUMIFS(AT:AT,AM:AM,AM2303)-AO2303))</f>
      </c>
      <c r="AV2303" s="116">
        <v>0</v>
      </c>
      <c r="AW2303" s="121">
        <v>0</v>
      </c>
      <c r="AX2303" s="115">
        <f>AN2303-AP2303</f>
      </c>
    </row>
    <row r="2304" spans="1:50" ht="15" hidden="1" customHeight="1" x14ac:dyDescent="0.3">
      <c r="A2304" s="94" t="s">
        <v>93</v>
      </c>
      <c r="B2304" s="94"/>
      <c r="C2304" s="94"/>
      <c r="D2304" s="94"/>
      <c r="E2304" s="94"/>
      <c r="F2304" s="94"/>
      <c r="G2304" s="112">
        <f>AU2304</f>
      </c>
      <c r="H2304" s="113"/>
      <c r="I2304" s="94" t="s">
        <v>493</v>
      </c>
      <c r="J2304" s="94" t="s">
        <v>610</v>
      </c>
      <c r="K2304" s="114">
        <f>P2304/3</f>
      </c>
      <c r="L2304" s="115">
        <v>164.03299999999999</v>
      </c>
      <c r="M2304" s="116"/>
      <c r="N2304" s="117">
        <f>M2304-L2304</f>
      </c>
      <c r="O2304" s="112"/>
      <c r="P2304" s="118">
        <f>N2304+O2304</f>
      </c>
      <c r="Q2304" s="94" t="s">
        <v>828</v>
      </c>
      <c r="R2304" s="94" t="s">
        <v>392</v>
      </c>
      <c r="S2304" s="119">
        <v>46348</v>
      </c>
      <c r="T2304" s="119"/>
      <c r="U2304" s="119">
        <v>46348</v>
      </c>
      <c r="V2304" s="94"/>
      <c r="W2304" s="94"/>
      <c r="X2304" s="94"/>
      <c r="Y2304" s="119">
        <v>46343</v>
      </c>
      <c r="Z2304" s="94"/>
      <c r="AA2304" s="120"/>
      <c r="AB2304" s="120"/>
      <c r="AC2304" s="120"/>
      <c r="AD2304" s="120"/>
      <c r="AE2304" s="120"/>
      <c r="AF2304" s="120"/>
      <c r="AG2304" s="94"/>
      <c r="AH2304" s="120"/>
      <c r="AI2304" s="94"/>
      <c r="AJ2304" s="94" t="s">
        <v>828</v>
      </c>
      <c r="AK2304" s="94" t="s">
        <v>745</v>
      </c>
      <c r="AL2304" s="94">
        <v>140</v>
      </c>
      <c r="AM2304" s="94" t="str">
        <f>TRIM(AJ2304)&amp;TRIM(AL2304)&amp;TRIM(AK2304)</f>
      </c>
      <c r="AN2304" s="116">
        <v>0</v>
      </c>
      <c r="AO2304" s="116" t="inlineStr">
        <is>
          <t>#NA</t>
        </is>
      </c>
      <c r="AP2304" s="116">
        <f>SUMIFS(M:M,AM:AM,AM2304)+SUMIFS(O:O,AM:AM,AM2304)</f>
      </c>
      <c r="AQ2304" s="116">
        <f>SUMIFS(L:L,AM:AM,AM2304)</f>
      </c>
      <c r="AR2304" s="116">
        <f>AQ2304-AP2304</f>
      </c>
      <c r="AS2304" s="94" t="str">
        <f>IF(AN2304&gt;=AQ2304,"ok","ck")</f>
      </c>
      <c r="AT2304" s="116">
        <f>-P2304</f>
      </c>
      <c r="AU2304" s="115">
        <f>IF(SUMIFS(AT:AT,AM:AM,AM2304)&gt;AO2304,(SUMIFS(AT:AT,AM:AM,AM2304)-AO2304))</f>
      </c>
      <c r="AV2304" s="116">
        <v>0</v>
      </c>
      <c r="AW2304" s="121">
        <v>0</v>
      </c>
      <c r="AX2304" s="115">
        <f>AN2304-AP2304</f>
      </c>
    </row>
    <row r="2305" spans="1:50" ht="15" hidden="1" customHeight="1" x14ac:dyDescent="0.3">
      <c r="A2305" s="94" t="s">
        <v>93</v>
      </c>
      <c r="B2305" s="94"/>
      <c r="C2305" s="94"/>
      <c r="D2305" s="94"/>
      <c r="E2305" s="94"/>
      <c r="F2305" s="94"/>
      <c r="G2305" s="112">
        <f>AU2305</f>
      </c>
      <c r="H2305" s="113"/>
      <c r="I2305" s="94" t="s">
        <v>493</v>
      </c>
      <c r="J2305" s="94" t="s">
        <v>610</v>
      </c>
      <c r="K2305" s="114">
        <f>P2305/3</f>
      </c>
      <c r="L2305" s="115">
        <v>3.1349999999999998</v>
      </c>
      <c r="M2305" s="116"/>
      <c r="N2305" s="117">
        <f>M2305-L2305</f>
      </c>
      <c r="O2305" s="112"/>
      <c r="P2305" s="118">
        <f>N2305+O2305</f>
      </c>
      <c r="Q2305" s="94" t="s">
        <v>828</v>
      </c>
      <c r="R2305" s="94" t="s">
        <v>392</v>
      </c>
      <c r="S2305" s="119">
        <v>46348</v>
      </c>
      <c r="T2305" s="119"/>
      <c r="U2305" s="119">
        <v>46348</v>
      </c>
      <c r="V2305" s="94"/>
      <c r="W2305" s="94"/>
      <c r="X2305" s="94"/>
      <c r="Y2305" s="119">
        <v>46345</v>
      </c>
      <c r="Z2305" s="94"/>
      <c r="AA2305" s="120"/>
      <c r="AB2305" s="120"/>
      <c r="AC2305" s="120"/>
      <c r="AD2305" s="120"/>
      <c r="AE2305" s="120"/>
      <c r="AF2305" s="120"/>
      <c r="AG2305" s="94"/>
      <c r="AH2305" s="120"/>
      <c r="AI2305" s="94"/>
      <c r="AJ2305" s="94" t="s">
        <v>828</v>
      </c>
      <c r="AK2305" s="94" t="s">
        <v>745</v>
      </c>
      <c r="AL2305" s="94">
        <v>140</v>
      </c>
      <c r="AM2305" s="94" t="str">
        <f>TRIM(AJ2305)&amp;TRIM(AL2305)&amp;TRIM(AK2305)</f>
      </c>
      <c r="AN2305" s="116">
        <v>0</v>
      </c>
      <c r="AO2305" s="116" t="inlineStr">
        <is>
          <t>#NA</t>
        </is>
      </c>
      <c r="AP2305" s="116">
        <f>SUMIFS(M:M,AM:AM,AM2305)+SUMIFS(O:O,AM:AM,AM2305)</f>
      </c>
      <c r="AQ2305" s="116">
        <f>SUMIFS(L:L,AM:AM,AM2305)</f>
      </c>
      <c r="AR2305" s="116">
        <f>AQ2305-AP2305</f>
      </c>
      <c r="AS2305" s="94" t="str">
        <f>IF(AN2305&gt;=AQ2305,"ok","ck")</f>
      </c>
      <c r="AT2305" s="116">
        <f>-P2305</f>
      </c>
      <c r="AU2305" s="115">
        <f>IF(SUMIFS(AT:AT,AM:AM,AM2305)&gt;AO2305,(SUMIFS(AT:AT,AM:AM,AM2305)-AO2305))</f>
      </c>
      <c r="AV2305" s="116">
        <v>0</v>
      </c>
      <c r="AW2305" s="121">
        <v>0</v>
      </c>
      <c r="AX2305" s="115">
        <f>AN2305-AP2305</f>
      </c>
    </row>
    <row r="2306" spans="1:50" ht="15" hidden="1" customHeight="1" x14ac:dyDescent="0.3">
      <c r="A2306" s="94" t="s">
        <v>93</v>
      </c>
      <c r="B2306" s="94"/>
      <c r="C2306" s="94"/>
      <c r="D2306" s="94"/>
      <c r="E2306" s="94"/>
      <c r="F2306" s="94"/>
      <c r="G2306" s="112">
        <f>AU2306</f>
      </c>
      <c r="H2306" s="113"/>
      <c r="I2306" s="94" t="s">
        <v>493</v>
      </c>
      <c r="J2306" s="94" t="s">
        <v>611</v>
      </c>
      <c r="K2306" s="114">
        <f>P2306/3</f>
      </c>
      <c r="L2306" s="115">
        <v>199.983</v>
      </c>
      <c r="M2306" s="116"/>
      <c r="N2306" s="117">
        <f>M2306-L2306</f>
      </c>
      <c r="O2306" s="112"/>
      <c r="P2306" s="118">
        <f>N2306+O2306</f>
      </c>
      <c r="Q2306" s="94" t="s">
        <v>828</v>
      </c>
      <c r="R2306" s="94" t="s">
        <v>392</v>
      </c>
      <c r="S2306" s="119">
        <v>46348</v>
      </c>
      <c r="T2306" s="119"/>
      <c r="U2306" s="119">
        <v>46348</v>
      </c>
      <c r="V2306" s="94"/>
      <c r="W2306" s="94"/>
      <c r="X2306" s="94"/>
      <c r="Y2306" s="119">
        <v>46341</v>
      </c>
      <c r="Z2306" s="94"/>
      <c r="AA2306" s="120"/>
      <c r="AB2306" s="120"/>
      <c r="AC2306" s="120"/>
      <c r="AD2306" s="120"/>
      <c r="AE2306" s="120"/>
      <c r="AF2306" s="120"/>
      <c r="AG2306" s="94"/>
      <c r="AH2306" s="120"/>
      <c r="AI2306" s="94"/>
      <c r="AJ2306" s="94" t="s">
        <v>828</v>
      </c>
      <c r="AK2306" s="94" t="s">
        <v>745</v>
      </c>
      <c r="AL2306" s="94">
        <v>140</v>
      </c>
      <c r="AM2306" s="94" t="str">
        <f>TRIM(AJ2306)&amp;TRIM(AL2306)&amp;TRIM(AK2306)</f>
      </c>
      <c r="AN2306" s="116">
        <v>0</v>
      </c>
      <c r="AO2306" s="116" t="inlineStr">
        <is>
          <t>#NA</t>
        </is>
      </c>
      <c r="AP2306" s="116">
        <f>SUMIFS(M:M,AM:AM,AM2306)+SUMIFS(O:O,AM:AM,AM2306)</f>
      </c>
      <c r="AQ2306" s="116">
        <f>SUMIFS(L:L,AM:AM,AM2306)</f>
      </c>
      <c r="AR2306" s="116">
        <f>AQ2306-AP2306</f>
      </c>
      <c r="AS2306" s="94" t="str">
        <f>IF(AN2306&gt;=AQ2306,"ok","ck")</f>
      </c>
      <c r="AT2306" s="116">
        <f>-P2306</f>
      </c>
      <c r="AU2306" s="115">
        <f>IF(SUMIFS(AT:AT,AM:AM,AM2306)&gt;AO2306,(SUMIFS(AT:AT,AM:AM,AM2306)-AO2306))</f>
      </c>
      <c r="AV2306" s="116">
        <v>0</v>
      </c>
      <c r="AW2306" s="121">
        <v>0</v>
      </c>
      <c r="AX2306" s="115">
        <f>AN2306-AP2306</f>
      </c>
    </row>
    <row r="2307" spans="1:50" ht="15" hidden="1" customHeight="1" x14ac:dyDescent="0.3">
      <c r="A2307" s="94" t="s">
        <v>268</v>
      </c>
      <c r="B2307" s="94"/>
      <c r="C2307" s="94"/>
      <c r="D2307" s="94"/>
      <c r="E2307" s="94"/>
      <c r="F2307" s="94"/>
      <c r="G2307" s="112">
        <f>AU2307</f>
      </c>
      <c r="H2307" s="113"/>
      <c r="I2307" s="94" t="s">
        <v>390</v>
      </c>
      <c r="J2307" s="94" t="s">
        <v>405</v>
      </c>
      <c r="K2307" s="114">
        <f>P2307/3</f>
      </c>
      <c r="L2307" s="115">
        <v>100.8</v>
      </c>
      <c r="M2307" s="116"/>
      <c r="N2307" s="117">
        <f>M2307-L2307</f>
      </c>
      <c r="O2307" s="112"/>
      <c r="P2307" s="118">
        <f>N2307+O2307</f>
      </c>
      <c r="Q2307" s="94" t="s">
        <v>778</v>
      </c>
      <c r="R2307" s="94" t="s">
        <v>392</v>
      </c>
      <c r="S2307" s="119">
        <v>46344</v>
      </c>
      <c r="T2307" s="119"/>
      <c r="U2307" s="119">
        <v>46344</v>
      </c>
      <c r="V2307" s="94"/>
      <c r="W2307" s="94"/>
      <c r="X2307" s="94"/>
      <c r="Y2307" s="119">
        <v>46335</v>
      </c>
      <c r="Z2307" s="94"/>
      <c r="AA2307" s="120"/>
      <c r="AB2307" s="120"/>
      <c r="AC2307" s="120"/>
      <c r="AD2307" s="120"/>
      <c r="AE2307" s="120"/>
      <c r="AF2307" s="120"/>
      <c r="AG2307" s="94"/>
      <c r="AH2307" s="120"/>
      <c r="AI2307" s="94"/>
      <c r="AJ2307" s="94" t="s">
        <v>778</v>
      </c>
      <c r="AK2307" s="94" t="s">
        <v>756</v>
      </c>
      <c r="AL2307" s="94">
        <v>140</v>
      </c>
      <c r="AM2307" s="94" t="str">
        <f>TRIM(AJ2307)&amp;TRIM(AL2307)&amp;TRIM(AK2307)</f>
      </c>
      <c r="AN2307" s="116">
        <v>0</v>
      </c>
      <c r="AO2307" s="116" t="inlineStr">
        <is>
          <t>#NA</t>
        </is>
      </c>
      <c r="AP2307" s="116">
        <f>SUMIFS(M:M,AM:AM,AM2307)+SUMIFS(O:O,AM:AM,AM2307)</f>
      </c>
      <c r="AQ2307" s="116">
        <f>SUMIFS(L:L,AM:AM,AM2307)</f>
      </c>
      <c r="AR2307" s="116">
        <f>AQ2307-AP2307</f>
      </c>
      <c r="AS2307" s="94" t="str">
        <f>IF(AN2307&gt;=AQ2307,"ok","ck")</f>
      </c>
      <c r="AT2307" s="116">
        <f>-P2307</f>
      </c>
      <c r="AU2307" s="115">
        <f>IF(SUMIFS(AT:AT,AM:AM,AM2307)&gt;AO2307,(SUMIFS(AT:AT,AM:AM,AM2307)-AO2307))</f>
      </c>
      <c r="AV2307" s="116">
        <v>0</v>
      </c>
      <c r="AW2307" s="121">
        <v>0</v>
      </c>
      <c r="AX2307" s="115">
        <f>AN2307-AP2307</f>
      </c>
    </row>
    <row r="2308" spans="1:50" ht="15" hidden="1" customHeight="1" x14ac:dyDescent="0.3">
      <c r="A2308" s="94" t="s">
        <v>268</v>
      </c>
      <c r="B2308" s="94"/>
      <c r="C2308" s="94"/>
      <c r="D2308" s="94"/>
      <c r="E2308" s="94"/>
      <c r="F2308" s="94"/>
      <c r="G2308" s="112">
        <f>AU2308</f>
      </c>
      <c r="H2308" s="113"/>
      <c r="I2308" s="94" t="s">
        <v>390</v>
      </c>
      <c r="J2308" s="94" t="s">
        <v>405</v>
      </c>
      <c r="K2308" s="114">
        <f>P2308/3</f>
      </c>
      <c r="L2308" s="115">
        <v>37.737000000000002</v>
      </c>
      <c r="M2308" s="116"/>
      <c r="N2308" s="117">
        <f>M2308-L2308</f>
      </c>
      <c r="O2308" s="112"/>
      <c r="P2308" s="118">
        <f>N2308+O2308</f>
      </c>
      <c r="Q2308" s="94" t="s">
        <v>778</v>
      </c>
      <c r="R2308" s="94" t="s">
        <v>392</v>
      </c>
      <c r="S2308" s="119">
        <v>46344</v>
      </c>
      <c r="T2308" s="119"/>
      <c r="U2308" s="119">
        <v>46344</v>
      </c>
      <c r="V2308" s="94"/>
      <c r="W2308" s="94"/>
      <c r="X2308" s="94"/>
      <c r="Y2308" s="119">
        <v>46337</v>
      </c>
      <c r="Z2308" s="94"/>
      <c r="AA2308" s="120"/>
      <c r="AB2308" s="120"/>
      <c r="AC2308" s="120"/>
      <c r="AD2308" s="120"/>
      <c r="AE2308" s="120"/>
      <c r="AF2308" s="120"/>
      <c r="AG2308" s="94"/>
      <c r="AH2308" s="120"/>
      <c r="AI2308" s="94"/>
      <c r="AJ2308" s="94" t="s">
        <v>778</v>
      </c>
      <c r="AK2308" s="94" t="s">
        <v>756</v>
      </c>
      <c r="AL2308" s="94">
        <v>140</v>
      </c>
      <c r="AM2308" s="94" t="str">
        <f>TRIM(AJ2308)&amp;TRIM(AL2308)&amp;TRIM(AK2308)</f>
      </c>
      <c r="AN2308" s="116">
        <v>0</v>
      </c>
      <c r="AO2308" s="116" t="inlineStr">
        <is>
          <t>#NA</t>
        </is>
      </c>
      <c r="AP2308" s="116">
        <f>SUMIFS(M:M,AM:AM,AM2308)+SUMIFS(O:O,AM:AM,AM2308)</f>
      </c>
      <c r="AQ2308" s="116">
        <f>SUMIFS(L:L,AM:AM,AM2308)</f>
      </c>
      <c r="AR2308" s="116">
        <f>AQ2308-AP2308</f>
      </c>
      <c r="AS2308" s="94" t="str">
        <f>IF(AN2308&gt;=AQ2308,"ok","ck")</f>
      </c>
      <c r="AT2308" s="116">
        <f>-P2308</f>
      </c>
      <c r="AU2308" s="115">
        <f>IF(SUMIFS(AT:AT,AM:AM,AM2308)&gt;AO2308,(SUMIFS(AT:AT,AM:AM,AM2308)-AO2308))</f>
      </c>
      <c r="AV2308" s="116">
        <v>0</v>
      </c>
      <c r="AW2308" s="121">
        <v>0</v>
      </c>
      <c r="AX2308" s="115">
        <f>AN2308-AP2308</f>
      </c>
    </row>
    <row r="2309" spans="1:50" ht="15" hidden="1" customHeight="1" x14ac:dyDescent="0.3">
      <c r="A2309" s="94" t="s">
        <v>268</v>
      </c>
      <c r="B2309" s="94"/>
      <c r="C2309" s="94"/>
      <c r="D2309" s="94"/>
      <c r="E2309" s="94"/>
      <c r="F2309" s="94"/>
      <c r="G2309" s="112">
        <f>AU2309</f>
      </c>
      <c r="H2309" s="113"/>
      <c r="I2309" s="94" t="s">
        <v>390</v>
      </c>
      <c r="J2309" s="94" t="s">
        <v>405</v>
      </c>
      <c r="K2309" s="114">
        <f>P2309/3</f>
      </c>
      <c r="L2309" s="115">
        <v>0.75600000000000001</v>
      </c>
      <c r="M2309" s="116"/>
      <c r="N2309" s="117">
        <f>M2309-L2309</f>
      </c>
      <c r="O2309" s="112"/>
      <c r="P2309" s="118">
        <f>N2309+O2309</f>
      </c>
      <c r="Q2309" s="94" t="s">
        <v>778</v>
      </c>
      <c r="R2309" s="94" t="s">
        <v>392</v>
      </c>
      <c r="S2309" s="119">
        <v>46344</v>
      </c>
      <c r="T2309" s="119"/>
      <c r="U2309" s="119">
        <v>46344</v>
      </c>
      <c r="V2309" s="94"/>
      <c r="W2309" s="94"/>
      <c r="X2309" s="94"/>
      <c r="Y2309" s="119">
        <v>46337</v>
      </c>
      <c r="Z2309" s="94"/>
      <c r="AA2309" s="120"/>
      <c r="AB2309" s="120"/>
      <c r="AC2309" s="120"/>
      <c r="AD2309" s="120"/>
      <c r="AE2309" s="120"/>
      <c r="AF2309" s="120"/>
      <c r="AG2309" s="94"/>
      <c r="AH2309" s="120"/>
      <c r="AI2309" s="94"/>
      <c r="AJ2309" s="94" t="s">
        <v>778</v>
      </c>
      <c r="AK2309" s="94" t="s">
        <v>756</v>
      </c>
      <c r="AL2309" s="94">
        <v>140</v>
      </c>
      <c r="AM2309" s="94" t="str">
        <f>TRIM(AJ2309)&amp;TRIM(AL2309)&amp;TRIM(AK2309)</f>
      </c>
      <c r="AN2309" s="116">
        <v>0</v>
      </c>
      <c r="AO2309" s="116" t="inlineStr">
        <is>
          <t>#NA</t>
        </is>
      </c>
      <c r="AP2309" s="116">
        <f>SUMIFS(M:M,AM:AM,AM2309)+SUMIFS(O:O,AM:AM,AM2309)</f>
      </c>
      <c r="AQ2309" s="116">
        <f>SUMIFS(L:L,AM:AM,AM2309)</f>
      </c>
      <c r="AR2309" s="116">
        <f>AQ2309-AP2309</f>
      </c>
      <c r="AS2309" s="94" t="str">
        <f>IF(AN2309&gt;=AQ2309,"ok","ck")</f>
      </c>
      <c r="AT2309" s="116">
        <f>-P2309</f>
      </c>
      <c r="AU2309" s="115">
        <f>IF(SUMIFS(AT:AT,AM:AM,AM2309)&gt;AO2309,(SUMIFS(AT:AT,AM:AM,AM2309)-AO2309))</f>
      </c>
      <c r="AV2309" s="116">
        <v>0</v>
      </c>
      <c r="AW2309" s="121">
        <v>0</v>
      </c>
      <c r="AX2309" s="115">
        <f>AN2309-AP2309</f>
      </c>
    </row>
    <row r="2310" spans="1:50" ht="15" hidden="1" customHeight="1" x14ac:dyDescent="0.3">
      <c r="A2310" s="94" t="s">
        <v>268</v>
      </c>
      <c r="B2310" s="94"/>
      <c r="C2310" s="94"/>
      <c r="D2310" s="94"/>
      <c r="E2310" s="94"/>
      <c r="F2310" s="94"/>
      <c r="G2310" s="112">
        <f>AU2310</f>
      </c>
      <c r="H2310" s="113"/>
      <c r="I2310" s="94" t="s">
        <v>390</v>
      </c>
      <c r="J2310" s="94" t="s">
        <v>405</v>
      </c>
      <c r="K2310" s="114">
        <f>P2310/3</f>
      </c>
      <c r="L2310" s="115">
        <v>132.44</v>
      </c>
      <c r="M2310" s="116"/>
      <c r="N2310" s="117">
        <f>M2310-L2310</f>
      </c>
      <c r="O2310" s="112"/>
      <c r="P2310" s="118">
        <f>N2310+O2310</f>
      </c>
      <c r="Q2310" s="94" t="s">
        <v>778</v>
      </c>
      <c r="R2310" s="94" t="s">
        <v>392</v>
      </c>
      <c r="S2310" s="119">
        <v>46344</v>
      </c>
      <c r="T2310" s="119"/>
      <c r="U2310" s="119">
        <v>46344</v>
      </c>
      <c r="V2310" s="94"/>
      <c r="W2310" s="94"/>
      <c r="X2310" s="94"/>
      <c r="Y2310" s="119">
        <v>46326</v>
      </c>
      <c r="Z2310" s="94"/>
      <c r="AA2310" s="120"/>
      <c r="AB2310" s="120"/>
      <c r="AC2310" s="120"/>
      <c r="AD2310" s="120"/>
      <c r="AE2310" s="120"/>
      <c r="AF2310" s="120"/>
      <c r="AG2310" s="94"/>
      <c r="AH2310" s="120"/>
      <c r="AI2310" s="94"/>
      <c r="AJ2310" s="94" t="s">
        <v>778</v>
      </c>
      <c r="AK2310" s="94" t="s">
        <v>756</v>
      </c>
      <c r="AL2310" s="94">
        <v>140</v>
      </c>
      <c r="AM2310" s="94" t="str">
        <f>TRIM(AJ2310)&amp;TRIM(AL2310)&amp;TRIM(AK2310)</f>
      </c>
      <c r="AN2310" s="116">
        <v>0</v>
      </c>
      <c r="AO2310" s="116" t="inlineStr">
        <is>
          <t>#NA</t>
        </is>
      </c>
      <c r="AP2310" s="116">
        <f>SUMIFS(M:M,AM:AM,AM2310)+SUMIFS(O:O,AM:AM,AM2310)</f>
      </c>
      <c r="AQ2310" s="116">
        <f>SUMIFS(L:L,AM:AM,AM2310)</f>
      </c>
      <c r="AR2310" s="116">
        <f>AQ2310-AP2310</f>
      </c>
      <c r="AS2310" s="94" t="str">
        <f>IF(AN2310&gt;=AQ2310,"ok","ck")</f>
      </c>
      <c r="AT2310" s="116">
        <f>-P2310</f>
      </c>
      <c r="AU2310" s="115">
        <f>IF(SUMIFS(AT:AT,AM:AM,AM2310)&gt;AO2310,(SUMIFS(AT:AT,AM:AM,AM2310)-AO2310))</f>
      </c>
      <c r="AV2310" s="116">
        <v>0</v>
      </c>
      <c r="AW2310" s="121">
        <v>0</v>
      </c>
      <c r="AX2310" s="115">
        <f>AN2310-AP2310</f>
      </c>
    </row>
    <row r="2311" spans="1:50" ht="15" hidden="1" customHeight="1" x14ac:dyDescent="0.3">
      <c r="A2311" s="94" t="s">
        <v>268</v>
      </c>
      <c r="B2311" s="94"/>
      <c r="C2311" s="94"/>
      <c r="D2311" s="94"/>
      <c r="E2311" s="94"/>
      <c r="F2311" s="94"/>
      <c r="G2311" s="112">
        <f>AU2311</f>
      </c>
      <c r="H2311" s="113"/>
      <c r="I2311" s="94" t="s">
        <v>390</v>
      </c>
      <c r="J2311" s="94" t="s">
        <v>405</v>
      </c>
      <c r="K2311" s="114">
        <f>P2311/3</f>
      </c>
      <c r="L2311" s="115">
        <v>34.915999999999997</v>
      </c>
      <c r="M2311" s="116"/>
      <c r="N2311" s="117">
        <f>M2311-L2311</f>
      </c>
      <c r="O2311" s="112"/>
      <c r="P2311" s="118">
        <f>N2311+O2311</f>
      </c>
      <c r="Q2311" s="94" t="s">
        <v>778</v>
      </c>
      <c r="R2311" s="94" t="s">
        <v>392</v>
      </c>
      <c r="S2311" s="119">
        <v>46344</v>
      </c>
      <c r="T2311" s="119"/>
      <c r="U2311" s="119">
        <v>46344</v>
      </c>
      <c r="V2311" s="94"/>
      <c r="W2311" s="94"/>
      <c r="X2311" s="94"/>
      <c r="Y2311" s="119">
        <v>46329</v>
      </c>
      <c r="Z2311" s="94"/>
      <c r="AA2311" s="120"/>
      <c r="AB2311" s="120"/>
      <c r="AC2311" s="120"/>
      <c r="AD2311" s="120"/>
      <c r="AE2311" s="120"/>
      <c r="AF2311" s="120"/>
      <c r="AG2311" s="94"/>
      <c r="AH2311" s="120"/>
      <c r="AI2311" s="94"/>
      <c r="AJ2311" s="94" t="s">
        <v>778</v>
      </c>
      <c r="AK2311" s="94" t="s">
        <v>756</v>
      </c>
      <c r="AL2311" s="94">
        <v>140</v>
      </c>
      <c r="AM2311" s="94" t="str">
        <f>TRIM(AJ2311)&amp;TRIM(AL2311)&amp;TRIM(AK2311)</f>
      </c>
      <c r="AN2311" s="116">
        <v>0</v>
      </c>
      <c r="AO2311" s="116" t="inlineStr">
        <is>
          <t>#NA</t>
        </is>
      </c>
      <c r="AP2311" s="116">
        <f>SUMIFS(M:M,AM:AM,AM2311)+SUMIFS(O:O,AM:AM,AM2311)</f>
      </c>
      <c r="AQ2311" s="116">
        <f>SUMIFS(L:L,AM:AM,AM2311)</f>
      </c>
      <c r="AR2311" s="116">
        <f>AQ2311-AP2311</f>
      </c>
      <c r="AS2311" s="94" t="str">
        <f>IF(AN2311&gt;=AQ2311,"ok","ck")</f>
      </c>
      <c r="AT2311" s="116">
        <f>-P2311</f>
      </c>
      <c r="AU2311" s="115">
        <f>IF(SUMIFS(AT:AT,AM:AM,AM2311)&gt;AO2311,(SUMIFS(AT:AT,AM:AM,AM2311)-AO2311))</f>
      </c>
      <c r="AV2311" s="116">
        <v>0</v>
      </c>
      <c r="AW2311" s="121">
        <v>0</v>
      </c>
      <c r="AX2311" s="115">
        <f>AN2311-AP2311</f>
      </c>
    </row>
    <row r="2312" spans="1:50" ht="15" hidden="1" customHeight="1" x14ac:dyDescent="0.3">
      <c r="A2312" s="94" t="s">
        <v>93</v>
      </c>
      <c r="B2312" s="94"/>
      <c r="C2312" s="94"/>
      <c r="D2312" s="94"/>
      <c r="E2312" s="94"/>
      <c r="F2312" s="94"/>
      <c r="G2312" s="112">
        <f>AU2312</f>
      </c>
      <c r="H2312" s="113"/>
      <c r="I2312" s="94" t="s">
        <v>493</v>
      </c>
      <c r="J2312" s="94" t="s">
        <v>611</v>
      </c>
      <c r="K2312" s="114">
        <f>P2312/3</f>
      </c>
      <c r="L2312" s="115">
        <v>328.02199999999999</v>
      </c>
      <c r="M2312" s="116"/>
      <c r="N2312" s="117">
        <f>M2312-L2312</f>
      </c>
      <c r="O2312" s="112"/>
      <c r="P2312" s="118">
        <f>N2312+O2312</f>
      </c>
      <c r="Q2312" s="94" t="s">
        <v>828</v>
      </c>
      <c r="R2312" s="94" t="s">
        <v>392</v>
      </c>
      <c r="S2312" s="119">
        <v>46348</v>
      </c>
      <c r="T2312" s="119"/>
      <c r="U2312" s="119">
        <v>46348</v>
      </c>
      <c r="V2312" s="94"/>
      <c r="W2312" s="94"/>
      <c r="X2312" s="94"/>
      <c r="Y2312" s="119">
        <v>46343</v>
      </c>
      <c r="Z2312" s="94"/>
      <c r="AA2312" s="120"/>
      <c r="AB2312" s="120"/>
      <c r="AC2312" s="120"/>
      <c r="AD2312" s="120"/>
      <c r="AE2312" s="120"/>
      <c r="AF2312" s="120"/>
      <c r="AG2312" s="94"/>
      <c r="AH2312" s="120"/>
      <c r="AI2312" s="94"/>
      <c r="AJ2312" s="94" t="s">
        <v>828</v>
      </c>
      <c r="AK2312" s="94" t="s">
        <v>745</v>
      </c>
      <c r="AL2312" s="94">
        <v>140</v>
      </c>
      <c r="AM2312" s="94" t="str">
        <f>TRIM(AJ2312)&amp;TRIM(AL2312)&amp;TRIM(AK2312)</f>
      </c>
      <c r="AN2312" s="116">
        <v>0</v>
      </c>
      <c r="AO2312" s="116" t="inlineStr">
        <is>
          <t>#NA</t>
        </is>
      </c>
      <c r="AP2312" s="116">
        <f>SUMIFS(M:M,AM:AM,AM2312)+SUMIFS(O:O,AM:AM,AM2312)</f>
      </c>
      <c r="AQ2312" s="116">
        <f>SUMIFS(L:L,AM:AM,AM2312)</f>
      </c>
      <c r="AR2312" s="116">
        <f>AQ2312-AP2312</f>
      </c>
      <c r="AS2312" s="94" t="str">
        <f>IF(AN2312&gt;=AQ2312,"ok","ck")</f>
      </c>
      <c r="AT2312" s="116">
        <f>-P2312</f>
      </c>
      <c r="AU2312" s="115">
        <f>IF(SUMIFS(AT:AT,AM:AM,AM2312)&gt;AO2312,(SUMIFS(AT:AT,AM:AM,AM2312)-AO2312))</f>
      </c>
      <c r="AV2312" s="116">
        <v>0</v>
      </c>
      <c r="AW2312" s="121">
        <v>0</v>
      </c>
      <c r="AX2312" s="115">
        <f>AN2312-AP2312</f>
      </c>
    </row>
    <row r="2313" spans="1:50" ht="15" hidden="1" customHeight="1" x14ac:dyDescent="0.3">
      <c r="A2313" s="94" t="s">
        <v>93</v>
      </c>
      <c r="B2313" s="94"/>
      <c r="C2313" s="94"/>
      <c r="D2313" s="94"/>
      <c r="E2313" s="94"/>
      <c r="F2313" s="94"/>
      <c r="G2313" s="112">
        <f>AU2313</f>
      </c>
      <c r="H2313" s="113"/>
      <c r="I2313" s="94" t="s">
        <v>493</v>
      </c>
      <c r="J2313" s="94" t="s">
        <v>611</v>
      </c>
      <c r="K2313" s="114">
        <f>P2313/3</f>
      </c>
      <c r="L2313" s="115">
        <v>6.27</v>
      </c>
      <c r="M2313" s="116"/>
      <c r="N2313" s="117">
        <f>M2313-L2313</f>
      </c>
      <c r="O2313" s="112"/>
      <c r="P2313" s="118">
        <f>N2313+O2313</f>
      </c>
      <c r="Q2313" s="94" t="s">
        <v>828</v>
      </c>
      <c r="R2313" s="94" t="s">
        <v>392</v>
      </c>
      <c r="S2313" s="119">
        <v>46348</v>
      </c>
      <c r="T2313" s="119"/>
      <c r="U2313" s="119">
        <v>46348</v>
      </c>
      <c r="V2313" s="94"/>
      <c r="W2313" s="94"/>
      <c r="X2313" s="94"/>
      <c r="Y2313" s="119">
        <v>46345</v>
      </c>
      <c r="Z2313" s="94"/>
      <c r="AA2313" s="120"/>
      <c r="AB2313" s="120"/>
      <c r="AC2313" s="120"/>
      <c r="AD2313" s="120"/>
      <c r="AE2313" s="120"/>
      <c r="AF2313" s="120"/>
      <c r="AG2313" s="94"/>
      <c r="AH2313" s="120"/>
      <c r="AI2313" s="94"/>
      <c r="AJ2313" s="94" t="s">
        <v>828</v>
      </c>
      <c r="AK2313" s="94" t="s">
        <v>745</v>
      </c>
      <c r="AL2313" s="94">
        <v>140</v>
      </c>
      <c r="AM2313" s="94" t="str">
        <f>TRIM(AJ2313)&amp;TRIM(AL2313)&amp;TRIM(AK2313)</f>
      </c>
      <c r="AN2313" s="116">
        <v>0</v>
      </c>
      <c r="AO2313" s="116" t="inlineStr">
        <is>
          <t>#NA</t>
        </is>
      </c>
      <c r="AP2313" s="116">
        <f>SUMIFS(M:M,AM:AM,AM2313)+SUMIFS(O:O,AM:AM,AM2313)</f>
      </c>
      <c r="AQ2313" s="116">
        <f>SUMIFS(L:L,AM:AM,AM2313)</f>
      </c>
      <c r="AR2313" s="116">
        <f>AQ2313-AP2313</f>
      </c>
      <c r="AS2313" s="94" t="str">
        <f>IF(AN2313&gt;=AQ2313,"ok","ck")</f>
      </c>
      <c r="AT2313" s="116">
        <f>-P2313</f>
      </c>
      <c r="AU2313" s="115">
        <f>IF(SUMIFS(AT:AT,AM:AM,AM2313)&gt;AO2313,(SUMIFS(AT:AT,AM:AM,AM2313)-AO2313))</f>
      </c>
      <c r="AV2313" s="116">
        <v>0</v>
      </c>
      <c r="AW2313" s="121">
        <v>0</v>
      </c>
      <c r="AX2313" s="115">
        <f>AN2313-AP2313</f>
      </c>
    </row>
    <row r="2314" spans="1:50" ht="15" hidden="1" customHeight="1" x14ac:dyDescent="0.3">
      <c r="A2314" s="94" t="s">
        <v>76</v>
      </c>
      <c r="B2314" s="94"/>
      <c r="C2314" s="94"/>
      <c r="D2314" s="94"/>
      <c r="E2314" s="94"/>
      <c r="F2314" s="94"/>
      <c r="G2314" s="112">
        <f>AU2314</f>
      </c>
      <c r="H2314" s="113"/>
      <c r="I2314" s="94" t="s">
        <v>393</v>
      </c>
      <c r="J2314" s="94" t="s">
        <v>434</v>
      </c>
      <c r="K2314" s="114">
        <f>P2314/3</f>
      </c>
      <c r="L2314" s="115">
        <v>2.5870000000000002</v>
      </c>
      <c r="M2314" s="116">
        <f>L2314</f>
      </c>
      <c r="N2314" s="117">
        <f>M2314-L2314</f>
      </c>
      <c r="O2314" s="112"/>
      <c r="P2314" s="118">
        <f>N2314+O2314</f>
      </c>
      <c r="Q2314" s="94" t="s">
        <v>395</v>
      </c>
      <c r="R2314" s="94" t="s">
        <v>392</v>
      </c>
      <c r="S2314" s="119">
        <v>46334</v>
      </c>
      <c r="T2314" s="119"/>
      <c r="U2314" s="119">
        <v>46334</v>
      </c>
      <c r="V2314" s="94"/>
      <c r="W2314" s="94"/>
      <c r="X2314" s="94"/>
      <c r="Y2314" s="119">
        <v>46328</v>
      </c>
      <c r="Z2314" s="94"/>
      <c r="AA2314" s="120"/>
      <c r="AB2314" s="120"/>
      <c r="AC2314" s="120"/>
      <c r="AD2314" s="120"/>
      <c r="AE2314" s="120"/>
      <c r="AF2314" s="120"/>
      <c r="AG2314" s="94"/>
      <c r="AH2314" s="120"/>
      <c r="AI2314" s="94"/>
      <c r="AJ2314" s="94" t="s">
        <v>395</v>
      </c>
      <c r="AK2314" s="94" t="s">
        <v>120</v>
      </c>
      <c r="AL2314" s="94">
        <v>150</v>
      </c>
      <c r="AM2314" s="94" t="str">
        <f>TRIM(AJ2314)&amp;TRIM(AL2314)&amp;TRIM(AK2314)</f>
      </c>
      <c r="AN2314" s="116">
        <v>347</v>
      </c>
      <c r="AO2314" s="116">
        <v>-7.4</v>
      </c>
      <c r="AP2314" s="116">
        <f>SUMIFS(M:M,AM:AM,AM2314)+SUMIFS(O:O,AM:AM,AM2314)</f>
      </c>
      <c r="AQ2314" s="116">
        <f>SUMIFS(L:L,AM:AM,AM2314)</f>
      </c>
      <c r="AR2314" s="116">
        <f>AQ2314-AP2314</f>
      </c>
      <c r="AS2314" s="94" t="str">
        <f>IF(AN2314&gt;=AQ2314,"ok","ck")</f>
      </c>
      <c r="AT2314" s="116">
        <f>-P2314</f>
      </c>
      <c r="AU2314" s="115">
        <f>IF(SUMIFS(AT:AT,AM:AM,AM2314)&gt;AO2314,(SUMIFS(AT:AT,AM:AM,AM2314)-AO2314))</f>
      </c>
      <c r="AV2314" s="116">
        <v>347</v>
      </c>
      <c r="AW2314" s="121">
        <v>1.022</v>
      </c>
      <c r="AX2314" s="115">
        <f>AN2314-AP2314</f>
      </c>
    </row>
    <row r="2315" spans="1:50" ht="15" hidden="1" customHeight="1" x14ac:dyDescent="0.3">
      <c r="A2315" s="94" t="s">
        <v>76</v>
      </c>
      <c r="B2315" s="94"/>
      <c r="C2315" s="94"/>
      <c r="D2315" s="94"/>
      <c r="E2315" s="94"/>
      <c r="F2315" s="94"/>
      <c r="G2315" s="112">
        <f>AU2315</f>
      </c>
      <c r="H2315" s="113"/>
      <c r="I2315" s="94" t="s">
        <v>393</v>
      </c>
      <c r="J2315" s="94" t="s">
        <v>421</v>
      </c>
      <c r="K2315" s="114">
        <f>P2315/3</f>
      </c>
      <c r="L2315" s="115">
        <v>1689.9480000000001</v>
      </c>
      <c r="M2315" s="116"/>
      <c r="N2315" s="117">
        <f>M2315-L2315</f>
      </c>
      <c r="O2315" s="112"/>
      <c r="P2315" s="118">
        <f>N2315+O2315</f>
      </c>
      <c r="Q2315" s="94" t="s">
        <v>112</v>
      </c>
      <c r="R2315" s="94" t="s">
        <v>392</v>
      </c>
      <c r="S2315" s="119">
        <v>46334</v>
      </c>
      <c r="T2315" s="119"/>
      <c r="U2315" s="119">
        <v>46334</v>
      </c>
      <c r="V2315" s="94"/>
      <c r="W2315" s="94"/>
      <c r="X2315" s="94"/>
      <c r="Y2315" s="119">
        <v>46334</v>
      </c>
      <c r="Z2315" s="94"/>
      <c r="AA2315" s="120"/>
      <c r="AB2315" s="120"/>
      <c r="AC2315" s="120"/>
      <c r="AD2315" s="120"/>
      <c r="AE2315" s="120"/>
      <c r="AF2315" s="120"/>
      <c r="AG2315" s="94"/>
      <c r="AH2315" s="120"/>
      <c r="AI2315" s="94"/>
      <c r="AJ2315" s="94" t="s">
        <v>112</v>
      </c>
      <c r="AK2315" s="94" t="s">
        <v>753</v>
      </c>
      <c r="AL2315" s="94">
        <v>150</v>
      </c>
      <c r="AM2315" s="94" t="str">
        <f>TRIM(AJ2315)&amp;TRIM(AL2315)&amp;TRIM(AK2315)</f>
      </c>
      <c r="AN2315" s="116">
        <v>0</v>
      </c>
      <c r="AO2315" s="116" t="inlineStr">
        <is>
          <t>#NA</t>
        </is>
      </c>
      <c r="AP2315" s="116">
        <f>SUMIFS(M:M,AM:AM,AM2315)+SUMIFS(O:O,AM:AM,AM2315)</f>
      </c>
      <c r="AQ2315" s="116">
        <f>SUMIFS(L:L,AM:AM,AM2315)</f>
      </c>
      <c r="AR2315" s="116">
        <f>AQ2315-AP2315</f>
      </c>
      <c r="AS2315" s="94" t="str">
        <f>IF(AN2315&gt;=AQ2315,"ok","ck")</f>
      </c>
      <c r="AT2315" s="116">
        <f>-P2315</f>
      </c>
      <c r="AU2315" s="115">
        <f>IF(SUMIFS(AT:AT,AM:AM,AM2315)&gt;AO2315,(SUMIFS(AT:AT,AM:AM,AM2315)-AO2315))</f>
      </c>
      <c r="AV2315" s="116">
        <v>0</v>
      </c>
      <c r="AW2315" s="121">
        <v>0.981</v>
      </c>
      <c r="AX2315" s="115">
        <f>AN2315-AP2315</f>
      </c>
    </row>
    <row r="2316" spans="1:50" ht="15" hidden="1" customHeight="1" x14ac:dyDescent="0.3">
      <c r="A2316" s="94" t="s">
        <v>76</v>
      </c>
      <c r="B2316" s="94"/>
      <c r="C2316" s="94"/>
      <c r="D2316" s="94"/>
      <c r="E2316" s="94"/>
      <c r="F2316" s="94"/>
      <c r="G2316" s="112">
        <f>AU2316</f>
      </c>
      <c r="H2316" s="113"/>
      <c r="I2316" s="94" t="s">
        <v>393</v>
      </c>
      <c r="J2316" s="94" t="s">
        <v>421</v>
      </c>
      <c r="K2316" s="114">
        <f>P2316/3</f>
      </c>
      <c r="L2316" s="115">
        <v>3.51</v>
      </c>
      <c r="M2316" s="116"/>
      <c r="N2316" s="117">
        <f>M2316-L2316</f>
      </c>
      <c r="O2316" s="112"/>
      <c r="P2316" s="118">
        <f>N2316+O2316</f>
      </c>
      <c r="Q2316" s="94" t="s">
        <v>112</v>
      </c>
      <c r="R2316" s="94" t="s">
        <v>392</v>
      </c>
      <c r="S2316" s="119">
        <v>46336</v>
      </c>
      <c r="T2316" s="119"/>
      <c r="U2316" s="119">
        <v>46336</v>
      </c>
      <c r="V2316" s="94"/>
      <c r="W2316" s="94"/>
      <c r="X2316" s="94"/>
      <c r="Y2316" s="119">
        <v>46336</v>
      </c>
      <c r="Z2316" s="94"/>
      <c r="AA2316" s="120"/>
      <c r="AB2316" s="120"/>
      <c r="AC2316" s="120"/>
      <c r="AD2316" s="120"/>
      <c r="AE2316" s="120"/>
      <c r="AF2316" s="120"/>
      <c r="AG2316" s="94"/>
      <c r="AH2316" s="120"/>
      <c r="AI2316" s="94"/>
      <c r="AJ2316" s="94" t="s">
        <v>112</v>
      </c>
      <c r="AK2316" s="94" t="s">
        <v>753</v>
      </c>
      <c r="AL2316" s="94">
        <v>150</v>
      </c>
      <c r="AM2316" s="94" t="str">
        <f>TRIM(AJ2316)&amp;TRIM(AL2316)&amp;TRIM(AK2316)</f>
      </c>
      <c r="AN2316" s="116">
        <v>0</v>
      </c>
      <c r="AO2316" s="116" t="inlineStr">
        <is>
          <t>#NA</t>
        </is>
      </c>
      <c r="AP2316" s="116">
        <f>SUMIFS(M:M,AM:AM,AM2316)+SUMIFS(O:O,AM:AM,AM2316)</f>
      </c>
      <c r="AQ2316" s="116">
        <f>SUMIFS(L:L,AM:AM,AM2316)</f>
      </c>
      <c r="AR2316" s="116">
        <f>AQ2316-AP2316</f>
      </c>
      <c r="AS2316" s="94" t="str">
        <f>IF(AN2316&gt;=AQ2316,"ok","ck")</f>
      </c>
      <c r="AT2316" s="116">
        <f>-P2316</f>
      </c>
      <c r="AU2316" s="115">
        <f>IF(SUMIFS(AT:AT,AM:AM,AM2316)&gt;AO2316,(SUMIFS(AT:AT,AM:AM,AM2316)-AO2316))</f>
      </c>
      <c r="AV2316" s="116">
        <v>0</v>
      </c>
      <c r="AW2316" s="121">
        <v>0.981</v>
      </c>
      <c r="AX2316" s="115">
        <f>AN2316-AP2316</f>
      </c>
    </row>
    <row r="2317" spans="1:50" ht="15" hidden="1" customHeight="1" x14ac:dyDescent="0.3">
      <c r="A2317" s="94" t="s">
        <v>76</v>
      </c>
      <c r="B2317" s="94"/>
      <c r="C2317" s="94"/>
      <c r="D2317" s="94"/>
      <c r="E2317" s="94"/>
      <c r="F2317" s="94"/>
      <c r="G2317" s="112">
        <f>AU2317</f>
      </c>
      <c r="H2317" s="113"/>
      <c r="I2317" s="94" t="s">
        <v>393</v>
      </c>
      <c r="J2317" s="94" t="s">
        <v>406</v>
      </c>
      <c r="K2317" s="114">
        <f>P2317/3</f>
      </c>
      <c r="L2317" s="115">
        <v>532.32100000000003</v>
      </c>
      <c r="M2317" s="116"/>
      <c r="N2317" s="117">
        <f>M2317-L2317</f>
      </c>
      <c r="O2317" s="112"/>
      <c r="P2317" s="118">
        <f>N2317+O2317</f>
      </c>
      <c r="Q2317" s="94" t="s">
        <v>112</v>
      </c>
      <c r="R2317" s="94" t="s">
        <v>392</v>
      </c>
      <c r="S2317" s="119">
        <v>46320</v>
      </c>
      <c r="T2317" s="119"/>
      <c r="U2317" s="119">
        <v>46320</v>
      </c>
      <c r="V2317" s="94"/>
      <c r="W2317" s="94"/>
      <c r="X2317" s="94"/>
      <c r="Y2317" s="119">
        <v>46320</v>
      </c>
      <c r="Z2317" s="94"/>
      <c r="AA2317" s="120"/>
      <c r="AB2317" s="120"/>
      <c r="AC2317" s="120"/>
      <c r="AD2317" s="120"/>
      <c r="AE2317" s="120"/>
      <c r="AF2317" s="120"/>
      <c r="AG2317" s="94"/>
      <c r="AH2317" s="120"/>
      <c r="AI2317" s="94"/>
      <c r="AJ2317" s="94" t="s">
        <v>112</v>
      </c>
      <c r="AK2317" s="94" t="s">
        <v>753</v>
      </c>
      <c r="AL2317" s="94">
        <v>150</v>
      </c>
      <c r="AM2317" s="94" t="str">
        <f>TRIM(AJ2317)&amp;TRIM(AL2317)&amp;TRIM(AK2317)</f>
      </c>
      <c r="AN2317" s="116">
        <v>0</v>
      </c>
      <c r="AO2317" s="116" t="inlineStr">
        <is>
          <t>#NA</t>
        </is>
      </c>
      <c r="AP2317" s="116">
        <f>SUMIFS(M:M,AM:AM,AM2317)+SUMIFS(O:O,AM:AM,AM2317)</f>
      </c>
      <c r="AQ2317" s="116">
        <f>SUMIFS(L:L,AM:AM,AM2317)</f>
      </c>
      <c r="AR2317" s="116">
        <f>AQ2317-AP2317</f>
      </c>
      <c r="AS2317" s="94" t="str">
        <f>IF(AN2317&gt;=AQ2317,"ok","ck")</f>
      </c>
      <c r="AT2317" s="116">
        <f>-P2317</f>
      </c>
      <c r="AU2317" s="115">
        <f>IF(SUMIFS(AT:AT,AM:AM,AM2317)&gt;AO2317,(SUMIFS(AT:AT,AM:AM,AM2317)-AO2317))</f>
      </c>
      <c r="AV2317" s="116">
        <v>0</v>
      </c>
      <c r="AW2317" s="121">
        <v>0.981</v>
      </c>
      <c r="AX2317" s="115">
        <f>AN2317-AP2317</f>
      </c>
    </row>
    <row r="2318" spans="1:50" ht="15" hidden="1" customHeight="1" x14ac:dyDescent="0.3">
      <c r="A2318" s="94" t="s">
        <v>76</v>
      </c>
      <c r="B2318" s="94"/>
      <c r="C2318" s="94"/>
      <c r="D2318" s="94"/>
      <c r="E2318" s="94"/>
      <c r="F2318" s="94"/>
      <c r="G2318" s="112">
        <f>AU2318</f>
      </c>
      <c r="H2318" s="113"/>
      <c r="I2318" s="94" t="s">
        <v>393</v>
      </c>
      <c r="J2318" s="94" t="s">
        <v>406</v>
      </c>
      <c r="K2318" s="114">
        <f>P2318/3</f>
      </c>
      <c r="L2318" s="115">
        <v>1.903</v>
      </c>
      <c r="M2318" s="116"/>
      <c r="N2318" s="117">
        <f>M2318-L2318</f>
      </c>
      <c r="O2318" s="112"/>
      <c r="P2318" s="118">
        <f>N2318+O2318</f>
      </c>
      <c r="Q2318" s="94" t="s">
        <v>112</v>
      </c>
      <c r="R2318" s="94" t="s">
        <v>392</v>
      </c>
      <c r="S2318" s="119">
        <v>46322</v>
      </c>
      <c r="T2318" s="119"/>
      <c r="U2318" s="119">
        <v>46322</v>
      </c>
      <c r="V2318" s="94"/>
      <c r="W2318" s="94"/>
      <c r="X2318" s="94"/>
      <c r="Y2318" s="119">
        <v>46322</v>
      </c>
      <c r="Z2318" s="94"/>
      <c r="AA2318" s="120"/>
      <c r="AB2318" s="120"/>
      <c r="AC2318" s="120"/>
      <c r="AD2318" s="120"/>
      <c r="AE2318" s="120"/>
      <c r="AF2318" s="120"/>
      <c r="AG2318" s="94"/>
      <c r="AH2318" s="120"/>
      <c r="AI2318" s="94"/>
      <c r="AJ2318" s="94" t="s">
        <v>112</v>
      </c>
      <c r="AK2318" s="94" t="s">
        <v>753</v>
      </c>
      <c r="AL2318" s="94">
        <v>150</v>
      </c>
      <c r="AM2318" s="94" t="str">
        <f>TRIM(AJ2318)&amp;TRIM(AL2318)&amp;TRIM(AK2318)</f>
      </c>
      <c r="AN2318" s="116">
        <v>0</v>
      </c>
      <c r="AO2318" s="116" t="inlineStr">
        <is>
          <t>#NA</t>
        </is>
      </c>
      <c r="AP2318" s="116">
        <f>SUMIFS(M:M,AM:AM,AM2318)+SUMIFS(O:O,AM:AM,AM2318)</f>
      </c>
      <c r="AQ2318" s="116">
        <f>SUMIFS(L:L,AM:AM,AM2318)</f>
      </c>
      <c r="AR2318" s="116">
        <f>AQ2318-AP2318</f>
      </c>
      <c r="AS2318" s="94" t="str">
        <f>IF(AN2318&gt;=AQ2318,"ok","ck")</f>
      </c>
      <c r="AT2318" s="116">
        <f>-P2318</f>
      </c>
      <c r="AU2318" s="115">
        <f>IF(SUMIFS(AT:AT,AM:AM,AM2318)&gt;AO2318,(SUMIFS(AT:AT,AM:AM,AM2318)-AO2318))</f>
      </c>
      <c r="AV2318" s="116">
        <v>0</v>
      </c>
      <c r="AW2318" s="121">
        <v>0.981</v>
      </c>
      <c r="AX2318" s="115">
        <f>AN2318-AP2318</f>
      </c>
    </row>
    <row r="2319" spans="1:50" ht="15" hidden="1" customHeight="1" x14ac:dyDescent="0.3">
      <c r="A2319" s="94" t="s">
        <v>151</v>
      </c>
      <c r="B2319" s="94"/>
      <c r="C2319" s="94"/>
      <c r="D2319" s="94"/>
      <c r="E2319" s="94"/>
      <c r="F2319" s="94"/>
      <c r="G2319" s="112">
        <f>AU2319</f>
      </c>
      <c r="H2319" s="113"/>
      <c r="I2319" s="94" t="s">
        <v>442</v>
      </c>
      <c r="J2319" s="94" t="s">
        <v>444</v>
      </c>
      <c r="K2319" s="114">
        <f>P2319/3</f>
      </c>
      <c r="L2319" s="115">
        <v>246.71700000000001</v>
      </c>
      <c r="M2319" s="116"/>
      <c r="N2319" s="117">
        <f>M2319-L2319</f>
      </c>
      <c r="O2319" s="112"/>
      <c r="P2319" s="118">
        <f>N2319+O2319</f>
      </c>
      <c r="Q2319" s="94" t="s">
        <v>197</v>
      </c>
      <c r="R2319" s="94" t="s">
        <v>392</v>
      </c>
      <c r="S2319" s="119">
        <v>46320</v>
      </c>
      <c r="T2319" s="119"/>
      <c r="U2319" s="120">
        <v>46320</v>
      </c>
      <c r="V2319" s="94"/>
      <c r="W2319" s="94"/>
      <c r="X2319" s="94"/>
      <c r="Y2319" s="119">
        <v>46320</v>
      </c>
      <c r="Z2319" s="94"/>
      <c r="AA2319" s="120"/>
      <c r="AB2319" s="120"/>
      <c r="AC2319" s="120"/>
      <c r="AD2319" s="120"/>
      <c r="AE2319" s="120"/>
      <c r="AF2319" s="120"/>
      <c r="AG2319" s="94"/>
      <c r="AH2319" s="120"/>
      <c r="AI2319" s="94"/>
      <c r="AJ2319" s="94" t="s">
        <v>197</v>
      </c>
      <c r="AK2319" s="94" t="s">
        <v>751</v>
      </c>
      <c r="AL2319" s="94">
        <v>160</v>
      </c>
      <c r="AM2319" s="94" t="str">
        <f>TRIM(AJ2319)&amp;TRIM(AL2319)&amp;TRIM(AK2319)</f>
      </c>
      <c r="AN2319" s="116">
        <v>0</v>
      </c>
      <c r="AO2319" s="116" t="inlineStr">
        <is>
          <t>#NA</t>
        </is>
      </c>
      <c r="AP2319" s="116">
        <f>SUMIFS(M:M,AM:AM,AM2319)+SUMIFS(O:O,AM:AM,AM2319)</f>
      </c>
      <c r="AQ2319" s="116">
        <f>SUMIFS(L:L,AM:AM,AM2319)</f>
      </c>
      <c r="AR2319" s="116">
        <f>AQ2319-AP2319</f>
      </c>
      <c r="AS2319" s="94" t="str">
        <f>IF(AN2319&gt;=AQ2319,"ok","ck")</f>
      </c>
      <c r="AT2319" s="116">
        <f>-P2319</f>
      </c>
      <c r="AU2319" s="115">
        <f>IF(SUMIFS(AT:AT,AM:AM,AM2319)&gt;AO2319,(SUMIFS(AT:AT,AM:AM,AM2319)-AO2319))</f>
      </c>
      <c r="AV2319" s="116">
        <v>0</v>
      </c>
      <c r="AW2319" s="121">
        <v>0.895</v>
      </c>
      <c r="AX2319" s="115">
        <f>AN2319-AP2319</f>
      </c>
    </row>
    <row r="2320" spans="1:50" ht="15" hidden="1" customHeight="1" x14ac:dyDescent="0.3">
      <c r="A2320" s="94" t="s">
        <v>76</v>
      </c>
      <c r="B2320" s="94"/>
      <c r="C2320" s="94"/>
      <c r="D2320" s="94"/>
      <c r="E2320" s="94"/>
      <c r="F2320" s="94"/>
      <c r="G2320" s="112">
        <f>AU2320</f>
      </c>
      <c r="H2320" s="113"/>
      <c r="I2320" s="94" t="s">
        <v>393</v>
      </c>
      <c r="J2320" s="94" t="s">
        <v>418</v>
      </c>
      <c r="K2320" s="114">
        <f>P2320/3</f>
      </c>
      <c r="L2320" s="115">
        <v>765.83699999999999</v>
      </c>
      <c r="M2320" s="116"/>
      <c r="N2320" s="117">
        <f>M2320-L2320</f>
      </c>
      <c r="O2320" s="112"/>
      <c r="P2320" s="118">
        <f>N2320+O2320</f>
      </c>
      <c r="Q2320" s="94" t="s">
        <v>395</v>
      </c>
      <c r="R2320" s="94" t="s">
        <v>392</v>
      </c>
      <c r="S2320" s="119">
        <v>46330</v>
      </c>
      <c r="T2320" s="119"/>
      <c r="U2320" s="120">
        <v>46330</v>
      </c>
      <c r="V2320" s="94"/>
      <c r="W2320" s="94"/>
      <c r="X2320" s="94"/>
      <c r="Y2320" s="119">
        <v>46335</v>
      </c>
      <c r="Z2320" s="94"/>
      <c r="AA2320" s="120"/>
      <c r="AB2320" s="120"/>
      <c r="AC2320" s="120"/>
      <c r="AD2320" s="120"/>
      <c r="AE2320" s="120"/>
      <c r="AF2320" s="120"/>
      <c r="AG2320" s="94"/>
      <c r="AH2320" s="120"/>
      <c r="AI2320" s="94"/>
      <c r="AJ2320" s="94" t="s">
        <v>395</v>
      </c>
      <c r="AK2320" s="94" t="s">
        <v>748</v>
      </c>
      <c r="AL2320" s="94">
        <v>150</v>
      </c>
      <c r="AM2320" s="94" t="str">
        <f>TRIM(AJ2320)&amp;TRIM(AL2320)&amp;TRIM(AK2320)</f>
      </c>
      <c r="AN2320" s="116">
        <v>0</v>
      </c>
      <c r="AO2320" s="116" t="inlineStr">
        <is>
          <t>#NA</t>
        </is>
      </c>
      <c r="AP2320" s="116">
        <f>SUMIFS(M:M,AM:AM,AM2320)+SUMIFS(O:O,AM:AM,AM2320)</f>
      </c>
      <c r="AQ2320" s="116">
        <f>SUMIFS(L:L,AM:AM,AM2320)</f>
      </c>
      <c r="AR2320" s="116">
        <f>AQ2320-AP2320</f>
      </c>
      <c r="AS2320" s="94" t="str">
        <f>IF(AN2320&gt;=AQ2320,"ok","ck")</f>
      </c>
      <c r="AT2320" s="116">
        <f>-P2320</f>
      </c>
      <c r="AU2320" s="115">
        <f>IF(SUMIFS(AT:AT,AM:AM,AM2320)&gt;AO2320,(SUMIFS(AT:AT,AM:AM,AM2320)-AO2320))</f>
      </c>
      <c r="AV2320" s="116">
        <v>0</v>
      </c>
      <c r="AW2320" s="121">
        <v>0.914</v>
      </c>
      <c r="AX2320" s="115">
        <f>AN2320-AP2320</f>
      </c>
    </row>
    <row r="2321" spans="1:50" ht="15" hidden="1" customHeight="1" x14ac:dyDescent="0.3">
      <c r="A2321" s="94" t="s">
        <v>76</v>
      </c>
      <c r="B2321" s="94"/>
      <c r="C2321" s="94"/>
      <c r="D2321" s="94"/>
      <c r="E2321" s="94"/>
      <c r="F2321" s="94"/>
      <c r="G2321" s="112">
        <f>AU2321</f>
      </c>
      <c r="H2321" s="113"/>
      <c r="I2321" s="94" t="s">
        <v>393</v>
      </c>
      <c r="J2321" s="94" t="s">
        <v>418</v>
      </c>
      <c r="K2321" s="114">
        <f>P2321/3</f>
      </c>
      <c r="L2321" s="115">
        <v>1037.769</v>
      </c>
      <c r="M2321" s="116"/>
      <c r="N2321" s="117">
        <f>M2321-L2321</f>
      </c>
      <c r="O2321" s="112"/>
      <c r="P2321" s="118">
        <f>N2321+O2321</f>
      </c>
      <c r="Q2321" s="94" t="s">
        <v>395</v>
      </c>
      <c r="R2321" s="94" t="s">
        <v>392</v>
      </c>
      <c r="S2321" s="119">
        <v>46330</v>
      </c>
      <c r="T2321" s="119"/>
      <c r="U2321" s="119">
        <v>46330</v>
      </c>
      <c r="V2321" s="94"/>
      <c r="W2321" s="94"/>
      <c r="X2321" s="94"/>
      <c r="Y2321" s="119">
        <v>46335</v>
      </c>
      <c r="Z2321" s="94"/>
      <c r="AA2321" s="120"/>
      <c r="AB2321" s="120"/>
      <c r="AC2321" s="120"/>
      <c r="AD2321" s="120"/>
      <c r="AE2321" s="120"/>
      <c r="AF2321" s="120"/>
      <c r="AG2321" s="94"/>
      <c r="AH2321" s="120"/>
      <c r="AI2321" s="94"/>
      <c r="AJ2321" s="94" t="s">
        <v>395</v>
      </c>
      <c r="AK2321" s="94" t="s">
        <v>748</v>
      </c>
      <c r="AL2321" s="94">
        <v>150</v>
      </c>
      <c r="AM2321" s="94" t="str">
        <f>TRIM(AJ2321)&amp;TRIM(AL2321)&amp;TRIM(AK2321)</f>
      </c>
      <c r="AN2321" s="116">
        <v>0</v>
      </c>
      <c r="AO2321" s="116" t="inlineStr">
        <is>
          <t>#NA</t>
        </is>
      </c>
      <c r="AP2321" s="116">
        <f>SUMIFS(M:M,AM:AM,AM2321)+SUMIFS(O:O,AM:AM,AM2321)</f>
      </c>
      <c r="AQ2321" s="116">
        <f>SUMIFS(L:L,AM:AM,AM2321)</f>
      </c>
      <c r="AR2321" s="116">
        <f>AQ2321-AP2321</f>
      </c>
      <c r="AS2321" s="94" t="str">
        <f>IF(AN2321&gt;=AQ2321,"ok","ck")</f>
      </c>
      <c r="AT2321" s="116">
        <f>-P2321</f>
      </c>
      <c r="AU2321" s="115">
        <f>IF(SUMIFS(AT:AT,AM:AM,AM2321)&gt;AO2321,(SUMIFS(AT:AT,AM:AM,AM2321)-AO2321))</f>
      </c>
      <c r="AV2321" s="116">
        <v>0</v>
      </c>
      <c r="AW2321" s="121">
        <v>0.914</v>
      </c>
      <c r="AX2321" s="115">
        <f>AN2321-AP2321</f>
      </c>
    </row>
    <row r="2322" spans="1:50" ht="15" hidden="1" customHeight="1" x14ac:dyDescent="0.3">
      <c r="A2322" s="94" t="s">
        <v>76</v>
      </c>
      <c r="B2322" s="94"/>
      <c r="C2322" s="94"/>
      <c r="D2322" s="94"/>
      <c r="E2322" s="94"/>
      <c r="F2322" s="94"/>
      <c r="G2322" s="112">
        <f>AU2322</f>
      </c>
      <c r="H2322" s="113"/>
      <c r="I2322" s="94" t="s">
        <v>393</v>
      </c>
      <c r="J2322" s="94" t="s">
        <v>421</v>
      </c>
      <c r="K2322" s="114">
        <f>P2322/3</f>
      </c>
      <c r="L2322" s="115">
        <v>1.8759999999999999</v>
      </c>
      <c r="M2322" s="116"/>
      <c r="N2322" s="117">
        <f>M2322-L2322</f>
      </c>
      <c r="O2322" s="112"/>
      <c r="P2322" s="118">
        <f>N2322+O2322</f>
      </c>
      <c r="Q2322" s="94" t="s">
        <v>112</v>
      </c>
      <c r="R2322" s="94" t="s">
        <v>392</v>
      </c>
      <c r="S2322" s="119">
        <v>46324</v>
      </c>
      <c r="T2322" s="119"/>
      <c r="U2322" s="119">
        <v>46324</v>
      </c>
      <c r="V2322" s="94"/>
      <c r="W2322" s="94"/>
      <c r="X2322" s="94"/>
      <c r="Y2322" s="119">
        <v>46324</v>
      </c>
      <c r="Z2322" s="94"/>
      <c r="AA2322" s="120"/>
      <c r="AB2322" s="120"/>
      <c r="AC2322" s="120"/>
      <c r="AD2322" s="120"/>
      <c r="AE2322" s="120"/>
      <c r="AF2322" s="120"/>
      <c r="AG2322" s="94"/>
      <c r="AH2322" s="120"/>
      <c r="AI2322" s="94"/>
      <c r="AJ2322" s="94" t="s">
        <v>112</v>
      </c>
      <c r="AK2322" s="94" t="s">
        <v>753</v>
      </c>
      <c r="AL2322" s="94">
        <v>150</v>
      </c>
      <c r="AM2322" s="94" t="str">
        <f>TRIM(AJ2322)&amp;TRIM(AL2322)&amp;TRIM(AK2322)</f>
      </c>
      <c r="AN2322" s="116">
        <v>0</v>
      </c>
      <c r="AO2322" s="116" t="inlineStr">
        <is>
          <t>#NA</t>
        </is>
      </c>
      <c r="AP2322" s="116">
        <f>SUMIFS(M:M,AM:AM,AM2322)+SUMIFS(O:O,AM:AM,AM2322)</f>
      </c>
      <c r="AQ2322" s="116">
        <f>SUMIFS(L:L,AM:AM,AM2322)</f>
      </c>
      <c r="AR2322" s="116">
        <f>AQ2322-AP2322</f>
      </c>
      <c r="AS2322" s="94" t="str">
        <f>IF(AN2322&gt;=AQ2322,"ok","ck")</f>
      </c>
      <c r="AT2322" s="116">
        <f>-P2322</f>
      </c>
      <c r="AU2322" s="115">
        <f>IF(SUMIFS(AT:AT,AM:AM,AM2322)&gt;AO2322,(SUMIFS(AT:AT,AM:AM,AM2322)-AO2322))</f>
      </c>
      <c r="AV2322" s="116">
        <v>0</v>
      </c>
      <c r="AW2322" s="121">
        <v>0.981</v>
      </c>
      <c r="AX2322" s="115">
        <f>AN2322-AP2322</f>
      </c>
    </row>
    <row r="2323" spans="1:50" ht="15" hidden="1" customHeight="1" x14ac:dyDescent="0.3">
      <c r="A2323" s="94" t="s">
        <v>76</v>
      </c>
      <c r="B2323" s="94"/>
      <c r="C2323" s="94"/>
      <c r="D2323" s="94"/>
      <c r="E2323" s="94"/>
      <c r="F2323" s="94"/>
      <c r="G2323" s="112">
        <f>AU2323</f>
      </c>
      <c r="H2323" s="113"/>
      <c r="I2323" s="94" t="s">
        <v>393</v>
      </c>
      <c r="J2323" s="94" t="s">
        <v>421</v>
      </c>
      <c r="K2323" s="114">
        <f>P2323/3</f>
      </c>
      <c r="L2323" s="115">
        <v>1055.3320000000001</v>
      </c>
      <c r="M2323" s="116"/>
      <c r="N2323" s="117">
        <f>M2323-L2323</f>
      </c>
      <c r="O2323" s="112"/>
      <c r="P2323" s="118">
        <f>N2323+O2323</f>
      </c>
      <c r="Q2323" s="94" t="s">
        <v>112</v>
      </c>
      <c r="R2323" s="94" t="s">
        <v>392</v>
      </c>
      <c r="S2323" s="119">
        <v>46333</v>
      </c>
      <c r="T2323" s="119"/>
      <c r="U2323" s="119">
        <v>46333</v>
      </c>
      <c r="V2323" s="94"/>
      <c r="W2323" s="94"/>
      <c r="X2323" s="94"/>
      <c r="Y2323" s="119">
        <v>46333</v>
      </c>
      <c r="Z2323" s="94"/>
      <c r="AA2323" s="120"/>
      <c r="AB2323" s="120"/>
      <c r="AC2323" s="120"/>
      <c r="AD2323" s="120"/>
      <c r="AE2323" s="120"/>
      <c r="AF2323" s="120"/>
      <c r="AG2323" s="94"/>
      <c r="AH2323" s="120"/>
      <c r="AI2323" s="94"/>
      <c r="AJ2323" s="94" t="s">
        <v>112</v>
      </c>
      <c r="AK2323" s="94" t="s">
        <v>753</v>
      </c>
      <c r="AL2323" s="94">
        <v>150</v>
      </c>
      <c r="AM2323" s="94" t="str">
        <f>TRIM(AJ2323)&amp;TRIM(AL2323)&amp;TRIM(AK2323)</f>
      </c>
      <c r="AN2323" s="116">
        <v>0</v>
      </c>
      <c r="AO2323" s="116" t="inlineStr">
        <is>
          <t>#NA</t>
        </is>
      </c>
      <c r="AP2323" s="116">
        <f>SUMIFS(M:M,AM:AM,AM2323)+SUMIFS(O:O,AM:AM,AM2323)</f>
      </c>
      <c r="AQ2323" s="116">
        <f>SUMIFS(L:L,AM:AM,AM2323)</f>
      </c>
      <c r="AR2323" s="116">
        <f>AQ2323-AP2323</f>
      </c>
      <c r="AS2323" s="94" t="str">
        <f>IF(AN2323&gt;=AQ2323,"ok","ck")</f>
      </c>
      <c r="AT2323" s="116">
        <f>-P2323</f>
      </c>
      <c r="AU2323" s="115">
        <f>IF(SUMIFS(AT:AT,AM:AM,AM2323)&gt;AO2323,(SUMIFS(AT:AT,AM:AM,AM2323)-AO2323))</f>
      </c>
      <c r="AV2323" s="116">
        <v>0</v>
      </c>
      <c r="AW2323" s="121">
        <v>0.981</v>
      </c>
      <c r="AX2323" s="115">
        <f>AN2323-AP2323</f>
      </c>
    </row>
    <row r="2324" spans="1:50" ht="15" hidden="1" customHeight="1" x14ac:dyDescent="0.3">
      <c r="A2324" s="94" t="s">
        <v>151</v>
      </c>
      <c r="B2324" s="94"/>
      <c r="C2324" s="94"/>
      <c r="D2324" s="94"/>
      <c r="E2324" s="94"/>
      <c r="F2324" s="94"/>
      <c r="G2324" s="112">
        <f>AU2324</f>
      </c>
      <c r="H2324" s="113"/>
      <c r="I2324" s="94" t="s">
        <v>491</v>
      </c>
      <c r="J2324" s="94" t="s">
        <v>593</v>
      </c>
      <c r="K2324" s="114">
        <f>P2324/3</f>
      </c>
      <c r="L2324" s="115">
        <v>775.4</v>
      </c>
      <c r="M2324" s="116"/>
      <c r="N2324" s="117">
        <f>M2324-L2324</f>
      </c>
      <c r="O2324" s="112"/>
      <c r="P2324" s="118">
        <f>N2324+O2324</f>
      </c>
      <c r="Q2324" s="94" t="s">
        <v>835</v>
      </c>
      <c r="R2324" s="94" t="s">
        <v>392</v>
      </c>
      <c r="S2324" s="119">
        <v>46340</v>
      </c>
      <c r="T2324" s="119"/>
      <c r="U2324" s="119">
        <v>46340</v>
      </c>
      <c r="V2324" s="94"/>
      <c r="W2324" s="94"/>
      <c r="X2324" s="94"/>
      <c r="Y2324" s="119">
        <v>46320</v>
      </c>
      <c r="Z2324" s="94"/>
      <c r="AA2324" s="120"/>
      <c r="AB2324" s="120"/>
      <c r="AC2324" s="120"/>
      <c r="AD2324" s="120"/>
      <c r="AE2324" s="120"/>
      <c r="AF2324" s="120"/>
      <c r="AG2324" s="94"/>
      <c r="AH2324" s="120"/>
      <c r="AI2324" s="94"/>
      <c r="AJ2324" s="94" t="s">
        <v>835</v>
      </c>
      <c r="AK2324" s="94" t="s">
        <v>748</v>
      </c>
      <c r="AL2324" s="94">
        <v>160</v>
      </c>
      <c r="AM2324" s="94" t="str">
        <f>TRIM(AJ2324)&amp;TRIM(AL2324)&amp;TRIM(AK2324)</f>
      </c>
      <c r="AN2324" s="116">
        <v>0</v>
      </c>
      <c r="AO2324" s="116" t="inlineStr">
        <is>
          <t>#NA</t>
        </is>
      </c>
      <c r="AP2324" s="116">
        <f>SUMIFS(M:M,AM:AM,AM2324)+SUMIFS(O:O,AM:AM,AM2324)</f>
      </c>
      <c r="AQ2324" s="116">
        <f>SUMIFS(L:L,AM:AM,AM2324)</f>
      </c>
      <c r="AR2324" s="116">
        <f>AQ2324-AP2324</f>
      </c>
      <c r="AS2324" s="94" t="str">
        <f>IF(AN2324&gt;=AQ2324,"ok","ck")</f>
      </c>
      <c r="AT2324" s="116">
        <f>-P2324</f>
      </c>
      <c r="AU2324" s="115">
        <f>IF(SUMIFS(AT:AT,AM:AM,AM2324)&gt;AO2324,(SUMIFS(AT:AT,AM:AM,AM2324)-AO2324))</f>
      </c>
      <c r="AV2324" s="116">
        <v>0</v>
      </c>
      <c r="AW2324" s="121">
        <v>0</v>
      </c>
      <c r="AX2324" s="115">
        <f>AN2324-AP2324</f>
      </c>
    </row>
    <row r="2325" spans="1:50" ht="15" hidden="1" customHeight="1" x14ac:dyDescent="0.3">
      <c r="A2325" s="94" t="s">
        <v>76</v>
      </c>
      <c r="B2325" s="94"/>
      <c r="C2325" s="94"/>
      <c r="D2325" s="94"/>
      <c r="E2325" s="94"/>
      <c r="F2325" s="94"/>
      <c r="G2325" s="112">
        <f>AU2325</f>
      </c>
      <c r="H2325" s="113"/>
      <c r="I2325" s="94" t="s">
        <v>393</v>
      </c>
      <c r="J2325" s="94" t="s">
        <v>431</v>
      </c>
      <c r="K2325" s="114">
        <f>P2325/3</f>
      </c>
      <c r="L2325" s="115">
        <v>765.71699999999998</v>
      </c>
      <c r="M2325" s="116"/>
      <c r="N2325" s="117">
        <f>M2325-L2325</f>
      </c>
      <c r="O2325" s="112"/>
      <c r="P2325" s="118">
        <f>N2325+O2325</f>
      </c>
      <c r="Q2325" s="94" t="s">
        <v>395</v>
      </c>
      <c r="R2325" s="94" t="s">
        <v>392</v>
      </c>
      <c r="S2325" s="119">
        <v>46338</v>
      </c>
      <c r="T2325" s="119"/>
      <c r="U2325" s="119">
        <v>46338</v>
      </c>
      <c r="V2325" s="94"/>
      <c r="W2325" s="94"/>
      <c r="X2325" s="94"/>
      <c r="Y2325" s="119">
        <v>46338</v>
      </c>
      <c r="Z2325" s="94"/>
      <c r="AA2325" s="120"/>
      <c r="AB2325" s="120"/>
      <c r="AC2325" s="120"/>
      <c r="AD2325" s="120"/>
      <c r="AE2325" s="120"/>
      <c r="AF2325" s="120"/>
      <c r="AG2325" s="94"/>
      <c r="AH2325" s="120"/>
      <c r="AI2325" s="94"/>
      <c r="AJ2325" s="94" t="s">
        <v>395</v>
      </c>
      <c r="AK2325" s="94" t="s">
        <v>748</v>
      </c>
      <c r="AL2325" s="94">
        <v>150</v>
      </c>
      <c r="AM2325" s="94" t="str">
        <f>TRIM(AJ2325)&amp;TRIM(AL2325)&amp;TRIM(AK2325)</f>
      </c>
      <c r="AN2325" s="116">
        <v>0</v>
      </c>
      <c r="AO2325" s="116" t="inlineStr">
        <is>
          <t>#NA</t>
        </is>
      </c>
      <c r="AP2325" s="116">
        <f>SUMIFS(M:M,AM:AM,AM2325)+SUMIFS(O:O,AM:AM,AM2325)</f>
      </c>
      <c r="AQ2325" s="116">
        <f>SUMIFS(L:L,AM:AM,AM2325)</f>
      </c>
      <c r="AR2325" s="116">
        <f>AQ2325-AP2325</f>
      </c>
      <c r="AS2325" s="94" t="str">
        <f>IF(AN2325&gt;=AQ2325,"ok","ck")</f>
      </c>
      <c r="AT2325" s="116">
        <f>-P2325</f>
      </c>
      <c r="AU2325" s="115">
        <f>IF(SUMIFS(AT:AT,AM:AM,AM2325)&gt;AO2325,(SUMIFS(AT:AT,AM:AM,AM2325)-AO2325))</f>
      </c>
      <c r="AV2325" s="116">
        <v>0</v>
      </c>
      <c r="AW2325" s="121">
        <v>0.914</v>
      </c>
      <c r="AX2325" s="115">
        <f>AN2325-AP2325</f>
      </c>
    </row>
    <row r="2326" spans="1:50" ht="15" hidden="1" customHeight="1" x14ac:dyDescent="0.3">
      <c r="A2326" s="94" t="s">
        <v>76</v>
      </c>
      <c r="B2326" s="94"/>
      <c r="C2326" s="94"/>
      <c r="D2326" s="94"/>
      <c r="E2326" s="94"/>
      <c r="F2326" s="94"/>
      <c r="G2326" s="112">
        <f>AU2326</f>
      </c>
      <c r="H2326" s="113"/>
      <c r="I2326" s="94" t="s">
        <v>393</v>
      </c>
      <c r="J2326" s="94" t="s">
        <v>431</v>
      </c>
      <c r="K2326" s="114">
        <f>P2326/3</f>
      </c>
      <c r="L2326" s="115">
        <v>1153.26</v>
      </c>
      <c r="M2326" s="116"/>
      <c r="N2326" s="117">
        <f>M2326-L2326</f>
      </c>
      <c r="O2326" s="112"/>
      <c r="P2326" s="118">
        <f>N2326+O2326</f>
      </c>
      <c r="Q2326" s="94" t="s">
        <v>395</v>
      </c>
      <c r="R2326" s="94" t="s">
        <v>392</v>
      </c>
      <c r="S2326" s="119">
        <v>46340</v>
      </c>
      <c r="T2326" s="119"/>
      <c r="U2326" s="119">
        <v>46340</v>
      </c>
      <c r="V2326" s="94"/>
      <c r="W2326" s="94"/>
      <c r="X2326" s="94"/>
      <c r="Y2326" s="119">
        <v>46340</v>
      </c>
      <c r="Z2326" s="94"/>
      <c r="AA2326" s="120"/>
      <c r="AB2326" s="120"/>
      <c r="AC2326" s="120"/>
      <c r="AD2326" s="120"/>
      <c r="AE2326" s="120"/>
      <c r="AF2326" s="120"/>
      <c r="AG2326" s="94"/>
      <c r="AH2326" s="120"/>
      <c r="AI2326" s="94"/>
      <c r="AJ2326" s="94" t="s">
        <v>395</v>
      </c>
      <c r="AK2326" s="94" t="s">
        <v>748</v>
      </c>
      <c r="AL2326" s="94">
        <v>150</v>
      </c>
      <c r="AM2326" s="94" t="str">
        <f>TRIM(AJ2326)&amp;TRIM(AL2326)&amp;TRIM(AK2326)</f>
      </c>
      <c r="AN2326" s="116">
        <v>0</v>
      </c>
      <c r="AO2326" s="116" t="inlineStr">
        <is>
          <t>#NA</t>
        </is>
      </c>
      <c r="AP2326" s="116">
        <f>SUMIFS(M:M,AM:AM,AM2326)+SUMIFS(O:O,AM:AM,AM2326)</f>
      </c>
      <c r="AQ2326" s="116">
        <f>SUMIFS(L:L,AM:AM,AM2326)</f>
      </c>
      <c r="AR2326" s="116">
        <f>AQ2326-AP2326</f>
      </c>
      <c r="AS2326" s="94" t="str">
        <f>IF(AN2326&gt;=AQ2326,"ok","ck")</f>
      </c>
      <c r="AT2326" s="116">
        <f>-P2326</f>
      </c>
      <c r="AU2326" s="115">
        <f>IF(SUMIFS(AT:AT,AM:AM,AM2326)&gt;AO2326,(SUMIFS(AT:AT,AM:AM,AM2326)-AO2326))</f>
      </c>
      <c r="AV2326" s="116">
        <v>0</v>
      </c>
      <c r="AW2326" s="121">
        <v>0.914</v>
      </c>
      <c r="AX2326" s="115">
        <f>AN2326-AP2326</f>
      </c>
    </row>
    <row r="2327" spans="1:50" ht="15" hidden="1" customHeight="1" x14ac:dyDescent="0.3">
      <c r="A2327" s="94" t="s">
        <v>76</v>
      </c>
      <c r="B2327" s="94"/>
      <c r="C2327" s="94"/>
      <c r="D2327" s="94"/>
      <c r="E2327" s="94"/>
      <c r="F2327" s="94"/>
      <c r="G2327" s="112">
        <f>AU2327</f>
      </c>
      <c r="H2327" s="113"/>
      <c r="I2327" s="94" t="s">
        <v>393</v>
      </c>
      <c r="J2327" s="94" t="s">
        <v>431</v>
      </c>
      <c r="K2327" s="114">
        <f>P2327/3</f>
      </c>
      <c r="L2327" s="115">
        <v>2.8109999999999999</v>
      </c>
      <c r="M2327" s="116"/>
      <c r="N2327" s="117">
        <f>M2327-L2327</f>
      </c>
      <c r="O2327" s="112"/>
      <c r="P2327" s="118">
        <f>N2327+O2327</f>
      </c>
      <c r="Q2327" s="94" t="s">
        <v>395</v>
      </c>
      <c r="R2327" s="94" t="s">
        <v>392</v>
      </c>
      <c r="S2327" s="119">
        <v>46341</v>
      </c>
      <c r="T2327" s="119"/>
      <c r="U2327" s="119">
        <v>46341</v>
      </c>
      <c r="V2327" s="94"/>
      <c r="W2327" s="94"/>
      <c r="X2327" s="94"/>
      <c r="Y2327" s="119">
        <v>46341</v>
      </c>
      <c r="Z2327" s="94"/>
      <c r="AA2327" s="120"/>
      <c r="AB2327" s="120"/>
      <c r="AC2327" s="120"/>
      <c r="AD2327" s="120"/>
      <c r="AE2327" s="120"/>
      <c r="AF2327" s="120"/>
      <c r="AG2327" s="94"/>
      <c r="AH2327" s="120"/>
      <c r="AI2327" s="94"/>
      <c r="AJ2327" s="94" t="s">
        <v>395</v>
      </c>
      <c r="AK2327" s="94" t="s">
        <v>748</v>
      </c>
      <c r="AL2327" s="94">
        <v>150</v>
      </c>
      <c r="AM2327" s="94" t="str">
        <f>TRIM(AJ2327)&amp;TRIM(AL2327)&amp;TRIM(AK2327)</f>
      </c>
      <c r="AN2327" s="116">
        <v>0</v>
      </c>
      <c r="AO2327" s="116" t="inlineStr">
        <is>
          <t>#NA</t>
        </is>
      </c>
      <c r="AP2327" s="116">
        <f>SUMIFS(M:M,AM:AM,AM2327)+SUMIFS(O:O,AM:AM,AM2327)</f>
      </c>
      <c r="AQ2327" s="116">
        <f>SUMIFS(L:L,AM:AM,AM2327)</f>
      </c>
      <c r="AR2327" s="116">
        <f>AQ2327-AP2327</f>
      </c>
      <c r="AS2327" s="94" t="str">
        <f>IF(AN2327&gt;=AQ2327,"ok","ck")</f>
      </c>
      <c r="AT2327" s="116">
        <f>-P2327</f>
      </c>
      <c r="AU2327" s="115">
        <f>IF(SUMIFS(AT:AT,AM:AM,AM2327)&gt;AO2327,(SUMIFS(AT:AT,AM:AM,AM2327)-AO2327))</f>
      </c>
      <c r="AV2327" s="116">
        <v>0</v>
      </c>
      <c r="AW2327" s="121">
        <v>0.914</v>
      </c>
      <c r="AX2327" s="115">
        <f>AN2327-AP2327</f>
      </c>
    </row>
    <row r="2328" spans="1:50" ht="15" hidden="1" customHeight="1" x14ac:dyDescent="0.3">
      <c r="A2328" s="94" t="s">
        <v>76</v>
      </c>
      <c r="B2328" s="94"/>
      <c r="C2328" s="94"/>
      <c r="D2328" s="94"/>
      <c r="E2328" s="94"/>
      <c r="F2328" s="94"/>
      <c r="G2328" s="112">
        <f>AU2328</f>
      </c>
      <c r="H2328" s="113"/>
      <c r="I2328" s="94" t="s">
        <v>393</v>
      </c>
      <c r="J2328" s="94" t="s">
        <v>431</v>
      </c>
      <c r="K2328" s="114">
        <f>P2328/3</f>
      </c>
      <c r="L2328" s="115">
        <v>550.81600000000003</v>
      </c>
      <c r="M2328" s="116"/>
      <c r="N2328" s="117">
        <f>M2328-L2328</f>
      </c>
      <c r="O2328" s="112"/>
      <c r="P2328" s="118">
        <f>N2328+O2328</f>
      </c>
      <c r="Q2328" s="94" t="s">
        <v>395</v>
      </c>
      <c r="R2328" s="94" t="s">
        <v>392</v>
      </c>
      <c r="S2328" s="119">
        <v>46344</v>
      </c>
      <c r="T2328" s="119"/>
      <c r="U2328" s="119">
        <v>46344</v>
      </c>
      <c r="V2328" s="94"/>
      <c r="W2328" s="94"/>
      <c r="X2328" s="94"/>
      <c r="Y2328" s="119">
        <v>46344</v>
      </c>
      <c r="Z2328" s="94"/>
      <c r="AA2328" s="120"/>
      <c r="AB2328" s="120"/>
      <c r="AC2328" s="120"/>
      <c r="AD2328" s="120"/>
      <c r="AE2328" s="120"/>
      <c r="AF2328" s="120"/>
      <c r="AG2328" s="94"/>
      <c r="AH2328" s="120"/>
      <c r="AI2328" s="94"/>
      <c r="AJ2328" s="94" t="s">
        <v>395</v>
      </c>
      <c r="AK2328" s="94" t="s">
        <v>748</v>
      </c>
      <c r="AL2328" s="94">
        <v>150</v>
      </c>
      <c r="AM2328" s="94" t="str">
        <f>TRIM(AJ2328)&amp;TRIM(AL2328)&amp;TRIM(AK2328)</f>
      </c>
      <c r="AN2328" s="116">
        <v>0</v>
      </c>
      <c r="AO2328" s="116" t="inlineStr">
        <is>
          <t>#NA</t>
        </is>
      </c>
      <c r="AP2328" s="116">
        <f>SUMIFS(M:M,AM:AM,AM2328)+SUMIFS(O:O,AM:AM,AM2328)</f>
      </c>
      <c r="AQ2328" s="116">
        <f>SUMIFS(L:L,AM:AM,AM2328)</f>
      </c>
      <c r="AR2328" s="116">
        <f>AQ2328-AP2328</f>
      </c>
      <c r="AS2328" s="94" t="str">
        <f>IF(AN2328&gt;=AQ2328,"ok","ck")</f>
      </c>
      <c r="AT2328" s="116">
        <f>-P2328</f>
      </c>
      <c r="AU2328" s="115">
        <f>IF(SUMIFS(AT:AT,AM:AM,AM2328)&gt;AO2328,(SUMIFS(AT:AT,AM:AM,AM2328)-AO2328))</f>
      </c>
      <c r="AV2328" s="116">
        <v>0</v>
      </c>
      <c r="AW2328" s="121">
        <v>0.914</v>
      </c>
      <c r="AX2328" s="115">
        <f>AN2328-AP2328</f>
      </c>
    </row>
    <row r="2329" spans="1:50" ht="15" hidden="1" customHeight="1" x14ac:dyDescent="0.3">
      <c r="A2329" s="94" t="s">
        <v>76</v>
      </c>
      <c r="B2329" s="94"/>
      <c r="C2329" s="94"/>
      <c r="D2329" s="94"/>
      <c r="E2329" s="94"/>
      <c r="F2329" s="94"/>
      <c r="G2329" s="112">
        <f>AU2329</f>
      </c>
      <c r="H2329" s="113"/>
      <c r="I2329" s="94" t="s">
        <v>393</v>
      </c>
      <c r="J2329" s="94" t="s">
        <v>431</v>
      </c>
      <c r="K2329" s="114">
        <f>P2329/3</f>
      </c>
      <c r="L2329" s="115">
        <v>896</v>
      </c>
      <c r="M2329" s="116"/>
      <c r="N2329" s="117">
        <f>M2329-L2329</f>
      </c>
      <c r="O2329" s="112"/>
      <c r="P2329" s="118">
        <f>N2329+O2329</f>
      </c>
      <c r="Q2329" s="94" t="s">
        <v>395</v>
      </c>
      <c r="R2329" s="94" t="s">
        <v>392</v>
      </c>
      <c r="S2329" s="119">
        <v>46345</v>
      </c>
      <c r="T2329" s="119"/>
      <c r="U2329" s="119">
        <v>46345</v>
      </c>
      <c r="V2329" s="94"/>
      <c r="W2329" s="94"/>
      <c r="X2329" s="94"/>
      <c r="Y2329" s="119">
        <v>46345</v>
      </c>
      <c r="Z2329" s="94"/>
      <c r="AA2329" s="120"/>
      <c r="AB2329" s="120"/>
      <c r="AC2329" s="120"/>
      <c r="AD2329" s="120"/>
      <c r="AE2329" s="120"/>
      <c r="AF2329" s="120"/>
      <c r="AG2329" s="94"/>
      <c r="AH2329" s="120"/>
      <c r="AI2329" s="94"/>
      <c r="AJ2329" s="94" t="s">
        <v>395</v>
      </c>
      <c r="AK2329" s="94" t="s">
        <v>748</v>
      </c>
      <c r="AL2329" s="94">
        <v>150</v>
      </c>
      <c r="AM2329" s="94" t="str">
        <f>TRIM(AJ2329)&amp;TRIM(AL2329)&amp;TRIM(AK2329)</f>
      </c>
      <c r="AN2329" s="116">
        <v>0</v>
      </c>
      <c r="AO2329" s="116" t="inlineStr">
        <is>
          <t>#NA</t>
        </is>
      </c>
      <c r="AP2329" s="116">
        <f>SUMIFS(M:M,AM:AM,AM2329)+SUMIFS(O:O,AM:AM,AM2329)</f>
      </c>
      <c r="AQ2329" s="116">
        <f>SUMIFS(L:L,AM:AM,AM2329)</f>
      </c>
      <c r="AR2329" s="116">
        <f>AQ2329-AP2329</f>
      </c>
      <c r="AS2329" s="94" t="str">
        <f>IF(AN2329&gt;=AQ2329,"ok","ck")</f>
      </c>
      <c r="AT2329" s="116">
        <f>-P2329</f>
      </c>
      <c r="AU2329" s="115">
        <f>IF(SUMIFS(AT:AT,AM:AM,AM2329)&gt;AO2329,(SUMIFS(AT:AT,AM:AM,AM2329)-AO2329))</f>
      </c>
      <c r="AV2329" s="116">
        <v>0</v>
      </c>
      <c r="AW2329" s="121">
        <v>0.914</v>
      </c>
      <c r="AX2329" s="115">
        <f>AN2329-AP2329</f>
      </c>
    </row>
    <row r="2330" spans="1:50" ht="15" hidden="1" customHeight="1" x14ac:dyDescent="0.3">
      <c r="A2330" s="94" t="s">
        <v>76</v>
      </c>
      <c r="B2330" s="94"/>
      <c r="C2330" s="94"/>
      <c r="D2330" s="94"/>
      <c r="E2330" s="94"/>
      <c r="F2330" s="94"/>
      <c r="G2330" s="112">
        <f>AU2330</f>
      </c>
      <c r="H2330" s="113"/>
      <c r="I2330" s="94" t="s">
        <v>393</v>
      </c>
      <c r="J2330" s="94" t="s">
        <v>426</v>
      </c>
      <c r="K2330" s="114">
        <f>P2330/3</f>
      </c>
      <c r="L2330" s="115">
        <v>71.311000000000007</v>
      </c>
      <c r="M2330" s="116"/>
      <c r="N2330" s="117">
        <f>M2330-L2330</f>
      </c>
      <c r="O2330" s="112"/>
      <c r="P2330" s="118">
        <f>N2330+O2330</f>
      </c>
      <c r="Q2330" s="94" t="s">
        <v>395</v>
      </c>
      <c r="R2330" s="94" t="s">
        <v>392</v>
      </c>
      <c r="S2330" s="119">
        <v>46336</v>
      </c>
      <c r="T2330" s="119"/>
      <c r="U2330" s="119">
        <v>46336</v>
      </c>
      <c r="V2330" s="94"/>
      <c r="W2330" s="94"/>
      <c r="X2330" s="94"/>
      <c r="Y2330" s="119">
        <v>46320</v>
      </c>
      <c r="Z2330" s="94"/>
      <c r="AA2330" s="120"/>
      <c r="AB2330" s="120"/>
      <c r="AC2330" s="120"/>
      <c r="AD2330" s="120"/>
      <c r="AE2330" s="120"/>
      <c r="AF2330" s="120"/>
      <c r="AG2330" s="94"/>
      <c r="AH2330" s="120"/>
      <c r="AI2330" s="94"/>
      <c r="AJ2330" s="94" t="s">
        <v>395</v>
      </c>
      <c r="AK2330" s="94" t="s">
        <v>748</v>
      </c>
      <c r="AL2330" s="94">
        <v>150</v>
      </c>
      <c r="AM2330" s="94" t="str">
        <f>TRIM(AJ2330)&amp;TRIM(AL2330)&amp;TRIM(AK2330)</f>
      </c>
      <c r="AN2330" s="116">
        <v>0</v>
      </c>
      <c r="AO2330" s="116" t="inlineStr">
        <is>
          <t>#NA</t>
        </is>
      </c>
      <c r="AP2330" s="116">
        <f>SUMIFS(M:M,AM:AM,AM2330)+SUMIFS(O:O,AM:AM,AM2330)</f>
      </c>
      <c r="AQ2330" s="116">
        <f>SUMIFS(L:L,AM:AM,AM2330)</f>
      </c>
      <c r="AR2330" s="116">
        <f>AQ2330-AP2330</f>
      </c>
      <c r="AS2330" s="94" t="str">
        <f>IF(AN2330&gt;=AQ2330,"ok","ck")</f>
      </c>
      <c r="AT2330" s="116">
        <f>-P2330</f>
      </c>
      <c r="AU2330" s="115">
        <f>IF(SUMIFS(AT:AT,AM:AM,AM2330)&gt;AO2330,(SUMIFS(AT:AT,AM:AM,AM2330)-AO2330))</f>
      </c>
      <c r="AV2330" s="116">
        <v>0</v>
      </c>
      <c r="AW2330" s="121">
        <v>0.914</v>
      </c>
      <c r="AX2330" s="115">
        <f>AN2330-AP2330</f>
      </c>
    </row>
    <row r="2331" spans="1:50" ht="15" hidden="1" customHeight="1" x14ac:dyDescent="0.3">
      <c r="A2331" s="94" t="s">
        <v>268</v>
      </c>
      <c r="B2331" s="94"/>
      <c r="C2331" s="94"/>
      <c r="D2331" s="94"/>
      <c r="E2331" s="94"/>
      <c r="F2331" s="94"/>
      <c r="G2331" s="112">
        <f>AU2331</f>
      </c>
      <c r="H2331" s="113"/>
      <c r="I2331" s="94" t="s">
        <v>390</v>
      </c>
      <c r="J2331" s="94" t="s">
        <v>405</v>
      </c>
      <c r="K2331" s="114">
        <f>P2331/3</f>
      </c>
      <c r="L2331" s="115">
        <v>481.6</v>
      </c>
      <c r="M2331" s="116"/>
      <c r="N2331" s="117">
        <f>M2331-L2331</f>
      </c>
      <c r="O2331" s="112"/>
      <c r="P2331" s="118">
        <f>N2331+O2331</f>
      </c>
      <c r="Q2331" s="94" t="s">
        <v>343</v>
      </c>
      <c r="R2331" s="94" t="s">
        <v>392</v>
      </c>
      <c r="S2331" s="119">
        <v>46325</v>
      </c>
      <c r="T2331" s="119"/>
      <c r="U2331" s="119">
        <v>46325</v>
      </c>
      <c r="V2331" s="94"/>
      <c r="W2331" s="94"/>
      <c r="X2331" s="94"/>
      <c r="Y2331" s="119">
        <v>46320</v>
      </c>
      <c r="Z2331" s="94"/>
      <c r="AA2331" s="120"/>
      <c r="AB2331" s="120"/>
      <c r="AC2331" s="120"/>
      <c r="AD2331" s="120"/>
      <c r="AE2331" s="120"/>
      <c r="AF2331" s="120"/>
      <c r="AG2331" s="94"/>
      <c r="AH2331" s="120"/>
      <c r="AI2331" s="94"/>
      <c r="AJ2331" s="94" t="s">
        <v>343</v>
      </c>
      <c r="AK2331" s="94" t="s">
        <v>756</v>
      </c>
      <c r="AL2331" s="94">
        <v>140</v>
      </c>
      <c r="AM2331" s="94" t="str">
        <f>TRIM(AJ2331)&amp;TRIM(AL2331)&amp;TRIM(AK2331)</f>
      </c>
      <c r="AN2331" s="116">
        <v>0</v>
      </c>
      <c r="AO2331" s="116" t="inlineStr">
        <is>
          <t>#NA</t>
        </is>
      </c>
      <c r="AP2331" s="116">
        <f>SUMIFS(M:M,AM:AM,AM2331)+SUMIFS(O:O,AM:AM,AM2331)</f>
      </c>
      <c r="AQ2331" s="116">
        <f>SUMIFS(L:L,AM:AM,AM2331)</f>
      </c>
      <c r="AR2331" s="116">
        <f>AQ2331-AP2331</f>
      </c>
      <c r="AS2331" s="94" t="str">
        <f>IF(AN2331&gt;=AQ2331,"ok","ck")</f>
      </c>
      <c r="AT2331" s="116">
        <f>-P2331</f>
      </c>
      <c r="AU2331" s="115">
        <f>IF(SUMIFS(AT:AT,AM:AM,AM2331)&gt;AO2331,(SUMIFS(AT:AT,AM:AM,AM2331)-AO2331))</f>
      </c>
      <c r="AV2331" s="116">
        <v>0</v>
      </c>
      <c r="AW2331" s="121">
        <v>1.031</v>
      </c>
      <c r="AX2331" s="115">
        <f>AN2331-AP2331</f>
      </c>
    </row>
    <row r="2332" spans="1:50" ht="15" hidden="1" customHeight="1" x14ac:dyDescent="0.3">
      <c r="A2332" s="94" t="s">
        <v>268</v>
      </c>
      <c r="B2332" s="94"/>
      <c r="C2332" s="94"/>
      <c r="D2332" s="94"/>
      <c r="E2332" s="94"/>
      <c r="F2332" s="94"/>
      <c r="G2332" s="112">
        <f>AU2332</f>
      </c>
      <c r="H2332" s="113"/>
      <c r="I2332" s="94" t="s">
        <v>390</v>
      </c>
      <c r="J2332" s="94" t="s">
        <v>405</v>
      </c>
      <c r="K2332" s="114">
        <f>P2332/3</f>
      </c>
      <c r="L2332" s="115">
        <v>0.4</v>
      </c>
      <c r="M2332" s="116"/>
      <c r="N2332" s="117">
        <f>M2332-L2332</f>
      </c>
      <c r="O2332" s="112"/>
      <c r="P2332" s="118">
        <f>N2332+O2332</f>
      </c>
      <c r="Q2332" s="94" t="s">
        <v>343</v>
      </c>
      <c r="R2332" s="94" t="s">
        <v>392</v>
      </c>
      <c r="S2332" s="119">
        <v>46325</v>
      </c>
      <c r="T2332" s="119"/>
      <c r="U2332" s="119">
        <v>46325</v>
      </c>
      <c r="V2332" s="94"/>
      <c r="W2332" s="94"/>
      <c r="X2332" s="94"/>
      <c r="Y2332" s="119">
        <v>46323</v>
      </c>
      <c r="Z2332" s="94"/>
      <c r="AA2332" s="120"/>
      <c r="AB2332" s="120"/>
      <c r="AC2332" s="120"/>
      <c r="AD2332" s="120"/>
      <c r="AE2332" s="120"/>
      <c r="AF2332" s="120"/>
      <c r="AG2332" s="94"/>
      <c r="AH2332" s="120"/>
      <c r="AI2332" s="94"/>
      <c r="AJ2332" s="94" t="s">
        <v>343</v>
      </c>
      <c r="AK2332" s="94" t="s">
        <v>756</v>
      </c>
      <c r="AL2332" s="94">
        <v>140</v>
      </c>
      <c r="AM2332" s="94" t="str">
        <f>TRIM(AJ2332)&amp;TRIM(AL2332)&amp;TRIM(AK2332)</f>
      </c>
      <c r="AN2332" s="116">
        <v>0</v>
      </c>
      <c r="AO2332" s="116" t="inlineStr">
        <is>
          <t>#NA</t>
        </is>
      </c>
      <c r="AP2332" s="116">
        <f>SUMIFS(M:M,AM:AM,AM2332)+SUMIFS(O:O,AM:AM,AM2332)</f>
      </c>
      <c r="AQ2332" s="116">
        <f>SUMIFS(L:L,AM:AM,AM2332)</f>
      </c>
      <c r="AR2332" s="116">
        <f>AQ2332-AP2332</f>
      </c>
      <c r="AS2332" s="94" t="str">
        <f>IF(AN2332&gt;=AQ2332,"ok","ck")</f>
      </c>
      <c r="AT2332" s="116">
        <f>-P2332</f>
      </c>
      <c r="AU2332" s="115">
        <f>IF(SUMIFS(AT:AT,AM:AM,AM2332)&gt;AO2332,(SUMIFS(AT:AT,AM:AM,AM2332)-AO2332))</f>
      </c>
      <c r="AV2332" s="116">
        <v>0</v>
      </c>
      <c r="AW2332" s="121">
        <v>1.031</v>
      </c>
      <c r="AX2332" s="115">
        <f>AN2332-AP2332</f>
      </c>
    </row>
    <row r="2333" spans="1:50" ht="15" hidden="1" customHeight="1" x14ac:dyDescent="0.3">
      <c r="A2333" s="94" t="s">
        <v>268</v>
      </c>
      <c r="B2333" s="94"/>
      <c r="C2333" s="94"/>
      <c r="D2333" s="94"/>
      <c r="E2333" s="94"/>
      <c r="F2333" s="94"/>
      <c r="G2333" s="112">
        <f>AU2333</f>
      </c>
      <c r="H2333" s="113"/>
      <c r="I2333" s="94" t="s">
        <v>390</v>
      </c>
      <c r="J2333" s="94" t="s">
        <v>404</v>
      </c>
      <c r="K2333" s="114">
        <f>P2333/3</f>
      </c>
      <c r="L2333" s="115">
        <v>481.6</v>
      </c>
      <c r="M2333" s="116"/>
      <c r="N2333" s="117">
        <f>M2333-L2333</f>
      </c>
      <c r="O2333" s="112"/>
      <c r="P2333" s="118">
        <f>N2333+O2333</f>
      </c>
      <c r="Q2333" s="94" t="s">
        <v>343</v>
      </c>
      <c r="R2333" s="94" t="s">
        <v>392</v>
      </c>
      <c r="S2333" s="119">
        <v>46336</v>
      </c>
      <c r="T2333" s="119"/>
      <c r="U2333" s="119">
        <v>46336</v>
      </c>
      <c r="V2333" s="94"/>
      <c r="W2333" s="94"/>
      <c r="X2333" s="94"/>
      <c r="Y2333" s="119">
        <v>46320</v>
      </c>
      <c r="Z2333" s="94"/>
      <c r="AA2333" s="120"/>
      <c r="AB2333" s="120"/>
      <c r="AC2333" s="120"/>
      <c r="AD2333" s="120"/>
      <c r="AE2333" s="120"/>
      <c r="AF2333" s="120"/>
      <c r="AG2333" s="94"/>
      <c r="AH2333" s="120"/>
      <c r="AI2333" s="94"/>
      <c r="AJ2333" s="94" t="s">
        <v>343</v>
      </c>
      <c r="AK2333" s="94" t="s">
        <v>758</v>
      </c>
      <c r="AL2333" s="94">
        <v>140</v>
      </c>
      <c r="AM2333" s="94" t="str">
        <f>TRIM(AJ2333)&amp;TRIM(AL2333)&amp;TRIM(AK2333)</f>
      </c>
      <c r="AN2333" s="116">
        <v>0</v>
      </c>
      <c r="AO2333" s="116" t="inlineStr">
        <is>
          <t>#NA</t>
        </is>
      </c>
      <c r="AP2333" s="116">
        <f>SUMIFS(M:M,AM:AM,AM2333)+SUMIFS(O:O,AM:AM,AM2333)</f>
      </c>
      <c r="AQ2333" s="116">
        <f>SUMIFS(L:L,AM:AM,AM2333)</f>
      </c>
      <c r="AR2333" s="116">
        <f>AQ2333-AP2333</f>
      </c>
      <c r="AS2333" s="94" t="str">
        <f>IF(AN2333&gt;=AQ2333,"ok","ck")</f>
      </c>
      <c r="AT2333" s="116">
        <f>-P2333</f>
      </c>
      <c r="AU2333" s="115">
        <f>IF(SUMIFS(AT:AT,AM:AM,AM2333)&gt;AO2333,(SUMIFS(AT:AT,AM:AM,AM2333)-AO2333))</f>
      </c>
      <c r="AV2333" s="116">
        <v>0</v>
      </c>
      <c r="AW2333" s="121">
        <v>1.032</v>
      </c>
      <c r="AX2333" s="115">
        <f>AN2333-AP2333</f>
      </c>
    </row>
    <row r="2334" spans="1:50" ht="15" hidden="1" customHeight="1" x14ac:dyDescent="0.3">
      <c r="A2334" s="94" t="s">
        <v>151</v>
      </c>
      <c r="B2334" s="94"/>
      <c r="C2334" s="94"/>
      <c r="D2334" s="94"/>
      <c r="E2334" s="94"/>
      <c r="F2334" s="94"/>
      <c r="G2334" s="112">
        <f>AU2334</f>
      </c>
      <c r="H2334" s="113"/>
      <c r="I2334" s="94" t="s">
        <v>442</v>
      </c>
      <c r="J2334" s="94" t="s">
        <v>444</v>
      </c>
      <c r="K2334" s="114">
        <f>P2334/3</f>
      </c>
      <c r="L2334" s="115">
        <v>781.36500000000001</v>
      </c>
      <c r="M2334" s="116"/>
      <c r="N2334" s="117">
        <f>M2334-L2334</f>
      </c>
      <c r="O2334" s="112"/>
      <c r="P2334" s="118">
        <f>N2334+O2334</f>
      </c>
      <c r="Q2334" s="94" t="s">
        <v>197</v>
      </c>
      <c r="R2334" s="94" t="s">
        <v>392</v>
      </c>
      <c r="S2334" s="119">
        <v>46338</v>
      </c>
      <c r="T2334" s="119"/>
      <c r="U2334" s="119">
        <v>46338</v>
      </c>
      <c r="V2334" s="94"/>
      <c r="W2334" s="94"/>
      <c r="X2334" s="94"/>
      <c r="Y2334" s="119">
        <v>46338</v>
      </c>
      <c r="Z2334" s="94"/>
      <c r="AA2334" s="120"/>
      <c r="AB2334" s="120"/>
      <c r="AC2334" s="120"/>
      <c r="AD2334" s="120"/>
      <c r="AE2334" s="120"/>
      <c r="AF2334" s="120"/>
      <c r="AG2334" s="94"/>
      <c r="AH2334" s="120"/>
      <c r="AI2334" s="94"/>
      <c r="AJ2334" s="94" t="s">
        <v>197</v>
      </c>
      <c r="AK2334" s="94" t="s">
        <v>751</v>
      </c>
      <c r="AL2334" s="94">
        <v>160</v>
      </c>
      <c r="AM2334" s="94" t="str">
        <f>TRIM(AJ2334)&amp;TRIM(AL2334)&amp;TRIM(AK2334)</f>
      </c>
      <c r="AN2334" s="116">
        <v>0</v>
      </c>
      <c r="AO2334" s="116" t="inlineStr">
        <is>
          <t>#NA</t>
        </is>
      </c>
      <c r="AP2334" s="116">
        <f>SUMIFS(M:M,AM:AM,AM2334)+SUMIFS(O:O,AM:AM,AM2334)</f>
      </c>
      <c r="AQ2334" s="116">
        <f>SUMIFS(L:L,AM:AM,AM2334)</f>
      </c>
      <c r="AR2334" s="116">
        <f>AQ2334-AP2334</f>
      </c>
      <c r="AS2334" s="94" t="str">
        <f>IF(AN2334&gt;=AQ2334,"ok","ck")</f>
      </c>
      <c r="AT2334" s="116">
        <f>-P2334</f>
      </c>
      <c r="AU2334" s="115">
        <f>IF(SUMIFS(AT:AT,AM:AM,AM2334)&gt;AO2334,(SUMIFS(AT:AT,AM:AM,AM2334)-AO2334))</f>
      </c>
      <c r="AV2334" s="116">
        <v>0</v>
      </c>
      <c r="AW2334" s="121">
        <v>0.895</v>
      </c>
      <c r="AX2334" s="115">
        <f>AN2334-AP2334</f>
      </c>
    </row>
    <row r="2335" spans="1:50" ht="15" hidden="1" customHeight="1" x14ac:dyDescent="0.3">
      <c r="A2335" s="94" t="s">
        <v>76</v>
      </c>
      <c r="B2335" s="94"/>
      <c r="C2335" s="94"/>
      <c r="D2335" s="94"/>
      <c r="E2335" s="94"/>
      <c r="F2335" s="94"/>
      <c r="G2335" s="112">
        <f>AU2335</f>
      </c>
      <c r="H2335" s="113"/>
      <c r="I2335" s="94" t="s">
        <v>393</v>
      </c>
      <c r="J2335" s="94" t="s">
        <v>429</v>
      </c>
      <c r="K2335" s="114">
        <f>P2335/3</f>
      </c>
      <c r="L2335" s="115">
        <v>1.841</v>
      </c>
      <c r="M2335" s="116">
        <f>L2335</f>
      </c>
      <c r="N2335" s="117">
        <f>M2335-L2335</f>
      </c>
      <c r="O2335" s="112"/>
      <c r="P2335" s="118">
        <f>N2335+O2335</f>
      </c>
      <c r="Q2335" s="94" t="s">
        <v>112</v>
      </c>
      <c r="R2335" s="94" t="s">
        <v>392</v>
      </c>
      <c r="S2335" s="119">
        <v>46320</v>
      </c>
      <c r="T2335" s="119"/>
      <c r="U2335" s="119">
        <v>46320</v>
      </c>
      <c r="V2335" s="94"/>
      <c r="W2335" s="94"/>
      <c r="X2335" s="94"/>
      <c r="Y2335" s="119">
        <v>46320</v>
      </c>
      <c r="Z2335" s="94"/>
      <c r="AA2335" s="120"/>
      <c r="AB2335" s="120"/>
      <c r="AC2335" s="120"/>
      <c r="AD2335" s="120"/>
      <c r="AE2335" s="120"/>
      <c r="AF2335" s="120"/>
      <c r="AG2335" s="94"/>
      <c r="AH2335" s="120"/>
      <c r="AI2335" s="94"/>
      <c r="AJ2335" s="94" t="s">
        <v>112</v>
      </c>
      <c r="AK2335" s="94" t="s">
        <v>342</v>
      </c>
      <c r="AL2335" s="94">
        <v>150</v>
      </c>
      <c r="AM2335" s="94" t="str">
        <f>TRIM(AJ2335)&amp;TRIM(AL2335)&amp;TRIM(AK2335)</f>
      </c>
      <c r="AN2335" s="116">
        <v>3478.58</v>
      </c>
      <c r="AO2335" s="116">
        <v>8.27</v>
      </c>
      <c r="AP2335" s="116">
        <f>SUMIFS(M:M,AM:AM,AM2335)+SUMIFS(O:O,AM:AM,AM2335)</f>
      </c>
      <c r="AQ2335" s="116">
        <f>SUMIFS(L:L,AM:AM,AM2335)</f>
      </c>
      <c r="AR2335" s="116">
        <f>AQ2335-AP2335</f>
      </c>
      <c r="AS2335" s="94" t="str">
        <f>IF(AN2335&gt;=AQ2335,"ok","ck")</f>
      </c>
      <c r="AT2335" s="116">
        <f>-P2335</f>
      </c>
      <c r="AU2335" s="115">
        <f>IF(SUMIFS(AT:AT,AM:AM,AM2335)&gt;AO2335,(SUMIFS(AT:AT,AM:AM,AM2335)-AO2335))</f>
      </c>
      <c r="AV2335" s="116">
        <v>3478.58</v>
      </c>
      <c r="AW2335" s="121">
        <v>0.988</v>
      </c>
      <c r="AX2335" s="115">
        <f>AN2335-AP2335</f>
      </c>
    </row>
    <row r="2336" spans="1:50" ht="15" hidden="1" customHeight="1" x14ac:dyDescent="0.3">
      <c r="A2336" s="94" t="s">
        <v>76</v>
      </c>
      <c r="B2336" s="94"/>
      <c r="C2336" s="94"/>
      <c r="D2336" s="94"/>
      <c r="E2336" s="94"/>
      <c r="F2336" s="94"/>
      <c r="G2336" s="112">
        <f>AU2336</f>
      </c>
      <c r="H2336" s="113"/>
      <c r="I2336" s="94" t="s">
        <v>393</v>
      </c>
      <c r="J2336" s="94" t="s">
        <v>429</v>
      </c>
      <c r="K2336" s="114">
        <f>P2336/3</f>
      </c>
      <c r="L2336" s="115">
        <v>464.45600000000002</v>
      </c>
      <c r="M2336" s="116">
        <f>L2336</f>
      </c>
      <c r="N2336" s="117">
        <f>M2336-L2336</f>
      </c>
      <c r="O2336" s="112"/>
      <c r="P2336" s="118">
        <f>N2336+O2336</f>
      </c>
      <c r="Q2336" s="94" t="s">
        <v>112</v>
      </c>
      <c r="R2336" s="94" t="s">
        <v>392</v>
      </c>
      <c r="S2336" s="119">
        <v>46320</v>
      </c>
      <c r="T2336" s="119"/>
      <c r="U2336" s="119">
        <v>46320</v>
      </c>
      <c r="V2336" s="94"/>
      <c r="W2336" s="94"/>
      <c r="X2336" s="94"/>
      <c r="Y2336" s="119">
        <v>46320</v>
      </c>
      <c r="Z2336" s="94"/>
      <c r="AA2336" s="120"/>
      <c r="AB2336" s="120"/>
      <c r="AC2336" s="120"/>
      <c r="AD2336" s="120"/>
      <c r="AE2336" s="120"/>
      <c r="AF2336" s="120"/>
      <c r="AG2336" s="94"/>
      <c r="AH2336" s="120"/>
      <c r="AI2336" s="94"/>
      <c r="AJ2336" s="94" t="s">
        <v>112</v>
      </c>
      <c r="AK2336" s="94" t="s">
        <v>342</v>
      </c>
      <c r="AL2336" s="94">
        <v>150</v>
      </c>
      <c r="AM2336" s="94" t="str">
        <f>TRIM(AJ2336)&amp;TRIM(AL2336)&amp;TRIM(AK2336)</f>
      </c>
      <c r="AN2336" s="116">
        <v>3478.58</v>
      </c>
      <c r="AO2336" s="116">
        <v>8.27</v>
      </c>
      <c r="AP2336" s="116">
        <f>SUMIFS(M:M,AM:AM,AM2336)+SUMIFS(O:O,AM:AM,AM2336)</f>
      </c>
      <c r="AQ2336" s="116">
        <f>SUMIFS(L:L,AM:AM,AM2336)</f>
      </c>
      <c r="AR2336" s="116">
        <f>AQ2336-AP2336</f>
      </c>
      <c r="AS2336" s="94" t="str">
        <f>IF(AN2336&gt;=AQ2336,"ok","ck")</f>
      </c>
      <c r="AT2336" s="116">
        <f>-P2336</f>
      </c>
      <c r="AU2336" s="115">
        <f>IF(SUMIFS(AT:AT,AM:AM,AM2336)&gt;AO2336,(SUMIFS(AT:AT,AM:AM,AM2336)-AO2336))</f>
      </c>
      <c r="AV2336" s="116">
        <v>3478.58</v>
      </c>
      <c r="AW2336" s="121">
        <v>0.988</v>
      </c>
      <c r="AX2336" s="115">
        <f>AN2336-AP2336</f>
      </c>
    </row>
    <row r="2337" spans="1:50" ht="15" hidden="1" customHeight="1" x14ac:dyDescent="0.3">
      <c r="A2337" s="94" t="s">
        <v>60</v>
      </c>
      <c r="B2337" s="94"/>
      <c r="C2337" s="94"/>
      <c r="D2337" s="94"/>
      <c r="E2337" s="94"/>
      <c r="F2337" s="94"/>
      <c r="G2337" s="112">
        <f>AU2337</f>
      </c>
      <c r="H2337" s="113"/>
      <c r="I2337" s="94" t="s">
        <v>490</v>
      </c>
      <c r="J2337" s="94" t="s">
        <v>582</v>
      </c>
      <c r="K2337" s="114">
        <f>P2337/3</f>
      </c>
      <c r="L2337" s="115">
        <v>65.171000000000006</v>
      </c>
      <c r="M2337" s="116">
        <f>L2337</f>
      </c>
      <c r="N2337" s="117">
        <f>M2337-L2337</f>
      </c>
      <c r="O2337" s="112"/>
      <c r="P2337" s="118">
        <f>N2337+O2337</f>
      </c>
      <c r="Q2337" s="94" t="s">
        <v>838</v>
      </c>
      <c r="R2337" s="94" t="s">
        <v>392</v>
      </c>
      <c r="S2337" s="119">
        <v>46326</v>
      </c>
      <c r="T2337" s="119"/>
      <c r="U2337" s="119">
        <v>46326</v>
      </c>
      <c r="V2337" s="94"/>
      <c r="W2337" s="94"/>
      <c r="X2337" s="94"/>
      <c r="Y2337" s="119">
        <v>46326</v>
      </c>
      <c r="Z2337" s="94"/>
      <c r="AA2337" s="120"/>
      <c r="AB2337" s="120"/>
      <c r="AC2337" s="120"/>
      <c r="AD2337" s="120"/>
      <c r="AE2337" s="120"/>
      <c r="AF2337" s="120"/>
      <c r="AG2337" s="94"/>
      <c r="AH2337" s="120"/>
      <c r="AI2337" s="94"/>
      <c r="AJ2337" s="94" t="s">
        <v>838</v>
      </c>
      <c r="AK2337" s="94" t="s">
        <v>746</v>
      </c>
      <c r="AL2337" s="94">
        <v>140</v>
      </c>
      <c r="AM2337" s="94" t="str">
        <f>TRIM(AJ2337)&amp;TRIM(AL2337)&amp;TRIM(AK2337)</f>
      </c>
      <c r="AN2337" s="116">
        <v>355.88</v>
      </c>
      <c r="AO2337" s="116">
        <v>-1</v>
      </c>
      <c r="AP2337" s="116">
        <f>SUMIFS(M:M,AM:AM,AM2337)+SUMIFS(O:O,AM:AM,AM2337)</f>
      </c>
      <c r="AQ2337" s="116">
        <f>SUMIFS(L:L,AM:AM,AM2337)</f>
      </c>
      <c r="AR2337" s="116">
        <f>AQ2337-AP2337</f>
      </c>
      <c r="AS2337" s="94" t="str">
        <f>IF(AN2337&gt;=AQ2337,"ok","ck")</f>
      </c>
      <c r="AT2337" s="116">
        <f>-P2337</f>
      </c>
      <c r="AU2337" s="115">
        <f>IF(SUMIFS(AT:AT,AM:AM,AM2337)&gt;AO2337,(SUMIFS(AT:AT,AM:AM,AM2337)-AO2337))</f>
      </c>
      <c r="AV2337" s="116">
        <v>355.88</v>
      </c>
      <c r="AW2337" s="121">
        <v>1.012</v>
      </c>
      <c r="AX2337" s="115">
        <f>AN2337-AP2337</f>
      </c>
    </row>
    <row r="2338" spans="1:50" ht="15" hidden="1" customHeight="1" x14ac:dyDescent="0.3">
      <c r="A2338" s="94" t="s">
        <v>60</v>
      </c>
      <c r="B2338" s="94"/>
      <c r="C2338" s="94"/>
      <c r="D2338" s="94"/>
      <c r="E2338" s="94"/>
      <c r="F2338" s="94"/>
      <c r="G2338" s="112">
        <f>AU2338</f>
      </c>
      <c r="H2338" s="113"/>
      <c r="I2338" s="94" t="s">
        <v>490</v>
      </c>
      <c r="J2338" s="94" t="s">
        <v>579</v>
      </c>
      <c r="K2338" s="114">
        <f>P2338/3</f>
      </c>
      <c r="L2338" s="115">
        <v>77.75</v>
      </c>
      <c r="M2338" s="116">
        <f>L2338</f>
      </c>
      <c r="N2338" s="117">
        <f>M2338-L2338</f>
      </c>
      <c r="O2338" s="112"/>
      <c r="P2338" s="118">
        <f>N2338+O2338</f>
      </c>
      <c r="Q2338" s="94" t="s">
        <v>838</v>
      </c>
      <c r="R2338" s="94" t="s">
        <v>392</v>
      </c>
      <c r="S2338" s="119">
        <v>46326</v>
      </c>
      <c r="T2338" s="119"/>
      <c r="U2338" s="119">
        <v>46326</v>
      </c>
      <c r="V2338" s="94"/>
      <c r="W2338" s="94"/>
      <c r="X2338" s="94"/>
      <c r="Y2338" s="119">
        <v>46326</v>
      </c>
      <c r="Z2338" s="94"/>
      <c r="AA2338" s="120"/>
      <c r="AB2338" s="120"/>
      <c r="AC2338" s="120"/>
      <c r="AD2338" s="120"/>
      <c r="AE2338" s="120"/>
      <c r="AF2338" s="120"/>
      <c r="AG2338" s="94"/>
      <c r="AH2338" s="120"/>
      <c r="AI2338" s="94"/>
      <c r="AJ2338" s="94" t="s">
        <v>838</v>
      </c>
      <c r="AK2338" s="94" t="s">
        <v>746</v>
      </c>
      <c r="AL2338" s="94">
        <v>140</v>
      </c>
      <c r="AM2338" s="94" t="str">
        <f>TRIM(AJ2338)&amp;TRIM(AL2338)&amp;TRIM(AK2338)</f>
      </c>
      <c r="AN2338" s="116">
        <v>355.88</v>
      </c>
      <c r="AO2338" s="116">
        <v>-1</v>
      </c>
      <c r="AP2338" s="116">
        <f>SUMIFS(M:M,AM:AM,AM2338)+SUMIFS(O:O,AM:AM,AM2338)</f>
      </c>
      <c r="AQ2338" s="116">
        <f>SUMIFS(L:L,AM:AM,AM2338)</f>
      </c>
      <c r="AR2338" s="116">
        <f>AQ2338-AP2338</f>
      </c>
      <c r="AS2338" s="94" t="str">
        <f>IF(AN2338&gt;=AQ2338,"ok","ck")</f>
      </c>
      <c r="AT2338" s="116">
        <f>-P2338</f>
      </c>
      <c r="AU2338" s="115">
        <f>IF(SUMIFS(AT:AT,AM:AM,AM2338)&gt;AO2338,(SUMIFS(AT:AT,AM:AM,AM2338)-AO2338))</f>
      </c>
      <c r="AV2338" s="116">
        <v>355.88</v>
      </c>
      <c r="AW2338" s="121">
        <v>1.012</v>
      </c>
      <c r="AX2338" s="115">
        <f>AN2338-AP2338</f>
      </c>
    </row>
    <row r="2339" spans="1:50" ht="15" hidden="1" customHeight="1" x14ac:dyDescent="0.3">
      <c r="A2339" s="94" t="s">
        <v>268</v>
      </c>
      <c r="B2339" s="94"/>
      <c r="C2339" s="94"/>
      <c r="D2339" s="94"/>
      <c r="E2339" s="94"/>
      <c r="F2339" s="94"/>
      <c r="G2339" s="112">
        <f>AU2339</f>
      </c>
      <c r="H2339" s="113"/>
      <c r="I2339" s="94" t="s">
        <v>390</v>
      </c>
      <c r="J2339" s="94" t="s">
        <v>391</v>
      </c>
      <c r="K2339" s="114">
        <f>P2339/3</f>
      </c>
      <c r="L2339" s="115">
        <v>0</v>
      </c>
      <c r="M2339" s="116"/>
      <c r="N2339" s="117">
        <f>M2339-L2339</f>
      </c>
      <c r="O2339" s="112"/>
      <c r="P2339" s="118">
        <f>N2339+O2339</f>
      </c>
      <c r="Q2339" s="94" t="s">
        <v>309</v>
      </c>
      <c r="R2339" s="94" t="s">
        <v>392</v>
      </c>
      <c r="S2339" s="119">
        <v>46320</v>
      </c>
      <c r="T2339" s="119"/>
      <c r="U2339" s="119">
        <v>46320</v>
      </c>
      <c r="V2339" s="94"/>
      <c r="W2339" s="94"/>
      <c r="X2339" s="94"/>
      <c r="Y2339" s="119">
        <v>46320</v>
      </c>
      <c r="Z2339" s="94"/>
      <c r="AA2339" s="120"/>
      <c r="AB2339" s="120"/>
      <c r="AC2339" s="120"/>
      <c r="AD2339" s="120"/>
      <c r="AE2339" s="120"/>
      <c r="AF2339" s="120"/>
      <c r="AG2339" s="94"/>
      <c r="AH2339" s="120"/>
      <c r="AI2339" s="94"/>
      <c r="AJ2339" s="94" t="s">
        <v>309</v>
      </c>
      <c r="AK2339" s="94" t="s">
        <v>766</v>
      </c>
      <c r="AL2339" s="94">
        <v>140</v>
      </c>
      <c r="AM2339" s="94" t="str">
        <f>TRIM(AJ2339)&amp;TRIM(AL2339)&amp;TRIM(AK2339)</f>
      </c>
      <c r="AN2339" s="116">
        <v>0</v>
      </c>
      <c r="AO2339" s="116" t="inlineStr">
        <is>
          <t>#NA</t>
        </is>
      </c>
      <c r="AP2339" s="116">
        <f>SUMIFS(M:M,AM:AM,AM2339)+SUMIFS(O:O,AM:AM,AM2339)</f>
      </c>
      <c r="AQ2339" s="116">
        <f>SUMIFS(L:L,AM:AM,AM2339)</f>
      </c>
      <c r="AR2339" s="116">
        <f>AQ2339-AP2339</f>
      </c>
      <c r="AS2339" s="94" t="str">
        <f>IF(AN2339&gt;=AQ2339,"ok","ck")</f>
      </c>
      <c r="AT2339" s="116">
        <f>-P2339</f>
      </c>
      <c r="AU2339" s="115">
        <f>IF(SUMIFS(AT:AT,AM:AM,AM2339)&gt;AO2339,(SUMIFS(AT:AT,AM:AM,AM2339)-AO2339))</f>
      </c>
      <c r="AV2339" s="116">
        <v>0</v>
      </c>
      <c r="AW2339" s="121">
        <v>1.006</v>
      </c>
      <c r="AX2339" s="115">
        <f>AN2339-AP2339</f>
      </c>
    </row>
    <row r="2340" spans="1:50" ht="15" hidden="1" customHeight="1" x14ac:dyDescent="0.3">
      <c r="A2340" s="94" t="s">
        <v>268</v>
      </c>
      <c r="B2340" s="94"/>
      <c r="C2340" s="94"/>
      <c r="D2340" s="94"/>
      <c r="E2340" s="94"/>
      <c r="F2340" s="94"/>
      <c r="G2340" s="112">
        <f>AU2340</f>
      </c>
      <c r="H2340" s="113"/>
      <c r="I2340" s="94" t="s">
        <v>390</v>
      </c>
      <c r="J2340" s="94" t="s">
        <v>391</v>
      </c>
      <c r="K2340" s="114">
        <f>P2340/3</f>
      </c>
      <c r="L2340" s="115">
        <v>-3.6</v>
      </c>
      <c r="M2340" s="116"/>
      <c r="N2340" s="117">
        <f>M2340-L2340</f>
      </c>
      <c r="O2340" s="112"/>
      <c r="P2340" s="118">
        <f>N2340+O2340</f>
      </c>
      <c r="Q2340" s="94" t="s">
        <v>309</v>
      </c>
      <c r="R2340" s="94" t="s">
        <v>392</v>
      </c>
      <c r="S2340" s="119">
        <v>46321</v>
      </c>
      <c r="T2340" s="119"/>
      <c r="U2340" s="119">
        <v>46321</v>
      </c>
      <c r="V2340" s="94"/>
      <c r="W2340" s="94"/>
      <c r="X2340" s="94"/>
      <c r="Y2340" s="119">
        <v>46321</v>
      </c>
      <c r="Z2340" s="94"/>
      <c r="AA2340" s="120"/>
      <c r="AB2340" s="120"/>
      <c r="AC2340" s="120"/>
      <c r="AD2340" s="120"/>
      <c r="AE2340" s="120"/>
      <c r="AF2340" s="120"/>
      <c r="AG2340" s="94"/>
      <c r="AH2340" s="120"/>
      <c r="AI2340" s="94"/>
      <c r="AJ2340" s="94" t="s">
        <v>309</v>
      </c>
      <c r="AK2340" s="94" t="s">
        <v>766</v>
      </c>
      <c r="AL2340" s="94">
        <v>140</v>
      </c>
      <c r="AM2340" s="94" t="str">
        <f>TRIM(AJ2340)&amp;TRIM(AL2340)&amp;TRIM(AK2340)</f>
      </c>
      <c r="AN2340" s="116">
        <v>0</v>
      </c>
      <c r="AO2340" s="116" t="inlineStr">
        <is>
          <t>#NA</t>
        </is>
      </c>
      <c r="AP2340" s="116">
        <f>SUMIFS(M:M,AM:AM,AM2340)+SUMIFS(O:O,AM:AM,AM2340)</f>
      </c>
      <c r="AQ2340" s="116">
        <f>SUMIFS(L:L,AM:AM,AM2340)</f>
      </c>
      <c r="AR2340" s="116">
        <f>AQ2340-AP2340</f>
      </c>
      <c r="AS2340" s="94" t="str">
        <f>IF(AN2340&gt;=AQ2340,"ok","ck")</f>
      </c>
      <c r="AT2340" s="116">
        <f>-P2340</f>
      </c>
      <c r="AU2340" s="115">
        <f>IF(SUMIFS(AT:AT,AM:AM,AM2340)&gt;AO2340,(SUMIFS(AT:AT,AM:AM,AM2340)-AO2340))</f>
      </c>
      <c r="AV2340" s="116">
        <v>0</v>
      </c>
      <c r="AW2340" s="121">
        <v>1.006</v>
      </c>
      <c r="AX2340" s="115">
        <f>AN2340-AP2340</f>
      </c>
    </row>
    <row r="2341" spans="1:50" ht="15" hidden="1" customHeight="1" x14ac:dyDescent="0.3">
      <c r="A2341" s="94" t="s">
        <v>268</v>
      </c>
      <c r="B2341" s="94"/>
      <c r="C2341" s="94"/>
      <c r="D2341" s="94"/>
      <c r="E2341" s="94"/>
      <c r="F2341" s="94"/>
      <c r="G2341" s="112">
        <f>AU2341</f>
      </c>
      <c r="H2341" s="113"/>
      <c r="I2341" s="94" t="s">
        <v>390</v>
      </c>
      <c r="J2341" s="94" t="s">
        <v>598</v>
      </c>
      <c r="K2341" s="114">
        <f>P2341/3</f>
      </c>
      <c r="L2341" s="115">
        <v>0</v>
      </c>
      <c r="M2341" s="116"/>
      <c r="N2341" s="117">
        <f>M2341-L2341</f>
      </c>
      <c r="O2341" s="112"/>
      <c r="P2341" s="118">
        <f>N2341+O2341</f>
      </c>
      <c r="Q2341" s="94" t="s">
        <v>309</v>
      </c>
      <c r="R2341" s="94" t="s">
        <v>392</v>
      </c>
      <c r="S2341" s="119">
        <v>46323</v>
      </c>
      <c r="T2341" s="119"/>
      <c r="U2341" s="119">
        <v>46323</v>
      </c>
      <c r="V2341" s="94"/>
      <c r="W2341" s="94"/>
      <c r="X2341" s="94"/>
      <c r="Y2341" s="119">
        <v>46323</v>
      </c>
      <c r="Z2341" s="94"/>
      <c r="AA2341" s="120"/>
      <c r="AB2341" s="120"/>
      <c r="AC2341" s="120"/>
      <c r="AD2341" s="120"/>
      <c r="AE2341" s="120"/>
      <c r="AF2341" s="120"/>
      <c r="AG2341" s="94"/>
      <c r="AH2341" s="120"/>
      <c r="AI2341" s="94"/>
      <c r="AJ2341" s="94" t="s">
        <v>309</v>
      </c>
      <c r="AK2341" s="94" t="s">
        <v>342</v>
      </c>
      <c r="AL2341" s="94">
        <v>140</v>
      </c>
      <c r="AM2341" s="94" t="str">
        <f>TRIM(AJ2341)&amp;TRIM(AL2341)&amp;TRIM(AK2341)</f>
      </c>
      <c r="AN2341" s="116">
        <v>0</v>
      </c>
      <c r="AO2341" s="116" t="inlineStr">
        <is>
          <t>#NA</t>
        </is>
      </c>
      <c r="AP2341" s="116">
        <f>SUMIFS(M:M,AM:AM,AM2341)+SUMIFS(O:O,AM:AM,AM2341)</f>
      </c>
      <c r="AQ2341" s="116">
        <f>SUMIFS(L:L,AM:AM,AM2341)</f>
      </c>
      <c r="AR2341" s="116">
        <f>AQ2341-AP2341</f>
      </c>
      <c r="AS2341" s="94" t="str">
        <f>IF(AN2341&gt;=AQ2341,"ok","ck")</f>
      </c>
      <c r="AT2341" s="116">
        <f>-P2341</f>
      </c>
      <c r="AU2341" s="115">
        <f>IF(SUMIFS(AT:AT,AM:AM,AM2341)&gt;AO2341,(SUMIFS(AT:AT,AM:AM,AM2341)-AO2341))</f>
      </c>
      <c r="AV2341" s="116">
        <v>0</v>
      </c>
      <c r="AW2341" s="121">
        <v>1.065</v>
      </c>
      <c r="AX2341" s="115">
        <f>AN2341-AP2341</f>
      </c>
    </row>
    <row r="2342" spans="1:50" ht="15" hidden="1" customHeight="1" x14ac:dyDescent="0.3">
      <c r="A2342" s="94" t="s">
        <v>60</v>
      </c>
      <c r="B2342" s="94"/>
      <c r="C2342" s="94"/>
      <c r="D2342" s="94"/>
      <c r="E2342" s="94"/>
      <c r="F2342" s="94"/>
      <c r="G2342" s="112">
        <f>AU2342</f>
      </c>
      <c r="H2342" s="113"/>
      <c r="I2342" s="94" t="s">
        <v>490</v>
      </c>
      <c r="J2342" s="94" t="s">
        <v>612</v>
      </c>
      <c r="K2342" s="114">
        <f>P2342/3</f>
      </c>
      <c r="L2342" s="115">
        <v>1.956</v>
      </c>
      <c r="M2342" s="116"/>
      <c r="N2342" s="117">
        <f>M2342-L2342</f>
      </c>
      <c r="O2342" s="112"/>
      <c r="P2342" s="118">
        <f>N2342+O2342</f>
      </c>
      <c r="Q2342" s="94" t="s">
        <v>811</v>
      </c>
      <c r="R2342" s="94" t="s">
        <v>392</v>
      </c>
      <c r="S2342" s="119">
        <v>46345</v>
      </c>
      <c r="T2342" s="119"/>
      <c r="U2342" s="119">
        <v>46345</v>
      </c>
      <c r="V2342" s="94"/>
      <c r="W2342" s="94"/>
      <c r="X2342" s="94"/>
      <c r="Y2342" s="119">
        <v>46337</v>
      </c>
      <c r="Z2342" s="94"/>
      <c r="AA2342" s="120"/>
      <c r="AB2342" s="120"/>
      <c r="AC2342" s="120"/>
      <c r="AD2342" s="120"/>
      <c r="AE2342" s="120"/>
      <c r="AF2342" s="120"/>
      <c r="AG2342" s="94"/>
      <c r="AH2342" s="120"/>
      <c r="AI2342" s="94"/>
      <c r="AJ2342" s="94" t="s">
        <v>811</v>
      </c>
      <c r="AK2342" s="94" t="s">
        <v>572</v>
      </c>
      <c r="AL2342" s="94">
        <v>140</v>
      </c>
      <c r="AM2342" s="94" t="str">
        <f>TRIM(AJ2342)&amp;TRIM(AL2342)&amp;TRIM(AK2342)</f>
      </c>
      <c r="AN2342" s="116">
        <v>0</v>
      </c>
      <c r="AO2342" s="116" t="inlineStr">
        <is>
          <t>#NA</t>
        </is>
      </c>
      <c r="AP2342" s="116">
        <f>SUMIFS(M:M,AM:AM,AM2342)+SUMIFS(O:O,AM:AM,AM2342)</f>
      </c>
      <c r="AQ2342" s="116">
        <f>SUMIFS(L:L,AM:AM,AM2342)</f>
      </c>
      <c r="AR2342" s="116">
        <f>AQ2342-AP2342</f>
      </c>
      <c r="AS2342" s="94" t="str">
        <f>IF(AN2342&gt;=AQ2342,"ok","ck")</f>
      </c>
      <c r="AT2342" s="116">
        <f>-P2342</f>
      </c>
      <c r="AU2342" s="115">
        <f>IF(SUMIFS(AT:AT,AM:AM,AM2342)&gt;AO2342,(SUMIFS(AT:AT,AM:AM,AM2342)-AO2342))</f>
      </c>
      <c r="AV2342" s="116">
        <v>0</v>
      </c>
      <c r="AW2342" s="121">
        <v>0</v>
      </c>
      <c r="AX2342" s="115">
        <f>AN2342-AP2342</f>
      </c>
    </row>
    <row r="2343" spans="1:50" ht="15" hidden="1" customHeight="1" x14ac:dyDescent="0.3">
      <c r="A2343" s="94" t="s">
        <v>60</v>
      </c>
      <c r="B2343" s="94"/>
      <c r="C2343" s="94"/>
      <c r="D2343" s="94"/>
      <c r="E2343" s="94"/>
      <c r="F2343" s="94"/>
      <c r="G2343" s="112">
        <f>AU2343</f>
      </c>
      <c r="H2343" s="113"/>
      <c r="I2343" s="94" t="s">
        <v>490</v>
      </c>
      <c r="J2343" s="94" t="s">
        <v>612</v>
      </c>
      <c r="K2343" s="114">
        <f>P2343/3</f>
      </c>
      <c r="L2343" s="115">
        <v>336.43200000000002</v>
      </c>
      <c r="M2343" s="116"/>
      <c r="N2343" s="117">
        <f>M2343-L2343</f>
      </c>
      <c r="O2343" s="112"/>
      <c r="P2343" s="118">
        <f>N2343+O2343</f>
      </c>
      <c r="Q2343" s="94" t="s">
        <v>811</v>
      </c>
      <c r="R2343" s="94" t="s">
        <v>392</v>
      </c>
      <c r="S2343" s="119">
        <v>46345</v>
      </c>
      <c r="T2343" s="119"/>
      <c r="U2343" s="119">
        <v>46345</v>
      </c>
      <c r="V2343" s="94"/>
      <c r="W2343" s="94"/>
      <c r="X2343" s="94"/>
      <c r="Y2343" s="119">
        <v>46336</v>
      </c>
      <c r="Z2343" s="94"/>
      <c r="AA2343" s="120"/>
      <c r="AB2343" s="120"/>
      <c r="AC2343" s="120"/>
      <c r="AD2343" s="120"/>
      <c r="AE2343" s="120"/>
      <c r="AF2343" s="120"/>
      <c r="AG2343" s="94"/>
      <c r="AH2343" s="120"/>
      <c r="AI2343" s="94"/>
      <c r="AJ2343" s="94" t="s">
        <v>811</v>
      </c>
      <c r="AK2343" s="94" t="s">
        <v>572</v>
      </c>
      <c r="AL2343" s="94">
        <v>140</v>
      </c>
      <c r="AM2343" s="94" t="str">
        <f>TRIM(AJ2343)&amp;TRIM(AL2343)&amp;TRIM(AK2343)</f>
      </c>
      <c r="AN2343" s="116">
        <v>0</v>
      </c>
      <c r="AO2343" s="116" t="inlineStr">
        <is>
          <t>#NA</t>
        </is>
      </c>
      <c r="AP2343" s="116">
        <f>SUMIFS(M:M,AM:AM,AM2343)+SUMIFS(O:O,AM:AM,AM2343)</f>
      </c>
      <c r="AQ2343" s="116">
        <f>SUMIFS(L:L,AM:AM,AM2343)</f>
      </c>
      <c r="AR2343" s="116">
        <f>AQ2343-AP2343</f>
      </c>
      <c r="AS2343" s="94" t="str">
        <f>IF(AN2343&gt;=AQ2343,"ok","ck")</f>
      </c>
      <c r="AT2343" s="116">
        <f>-P2343</f>
      </c>
      <c r="AU2343" s="115">
        <f>IF(SUMIFS(AT:AT,AM:AM,AM2343)&gt;AO2343,(SUMIFS(AT:AT,AM:AM,AM2343)-AO2343))</f>
      </c>
      <c r="AV2343" s="116">
        <v>0</v>
      </c>
      <c r="AW2343" s="121">
        <v>0</v>
      </c>
      <c r="AX2343" s="115">
        <f>AN2343-AP2343</f>
      </c>
    </row>
    <row r="2344" spans="1:50" ht="15" hidden="1" customHeight="1" x14ac:dyDescent="0.3">
      <c r="A2344" s="94" t="s">
        <v>481</v>
      </c>
      <c r="B2344" s="94"/>
      <c r="C2344" s="94"/>
      <c r="D2344" s="94"/>
      <c r="E2344" s="94"/>
      <c r="F2344" s="94"/>
      <c r="G2344" s="112">
        <f>AU2344</f>
      </c>
      <c r="H2344" s="113"/>
      <c r="I2344" s="94" t="s">
        <v>152</v>
      </c>
      <c r="J2344" s="94" t="s">
        <v>228</v>
      </c>
      <c r="K2344" s="114">
        <f>P2344/3</f>
      </c>
      <c r="L2344" s="115">
        <v>1E-3</v>
      </c>
      <c r="M2344" s="116"/>
      <c r="N2344" s="117">
        <f>M2344-L2344</f>
      </c>
      <c r="O2344" s="112"/>
      <c r="P2344" s="118">
        <f>N2344+O2344</f>
      </c>
      <c r="Q2344" s="94"/>
      <c r="R2344" s="94" t="s">
        <v>63</v>
      </c>
      <c r="S2344" s="119">
        <v>46320</v>
      </c>
      <c r="T2344" s="119"/>
      <c r="U2344" s="119">
        <v>46320</v>
      </c>
      <c r="V2344" s="94"/>
      <c r="W2344" s="94"/>
      <c r="X2344" s="94"/>
      <c r="Y2344" s="119">
        <v>46320</v>
      </c>
      <c r="Z2344" s="94"/>
      <c r="AA2344" s="120"/>
      <c r="AB2344" s="120"/>
      <c r="AC2344" s="120"/>
      <c r="AD2344" s="120"/>
      <c r="AE2344" s="120"/>
      <c r="AF2344" s="120"/>
      <c r="AG2344" s="94"/>
      <c r="AH2344" s="120"/>
      <c r="AI2344" s="94"/>
      <c r="AJ2344" s="94"/>
      <c r="AK2344" s="94"/>
      <c r="AL2344" s="94">
        <v>160</v>
      </c>
      <c r="AM2344" s="94" t="str">
        <f>TRIM(AJ2344)&amp;TRIM(AL2344)&amp;TRIM(AK2344)</f>
      </c>
      <c r="AN2344" s="116">
        <v>0</v>
      </c>
      <c r="AO2344" s="116" t="inlineStr">
        <is>
          <t>#NA</t>
        </is>
      </c>
      <c r="AP2344" s="116">
        <f>SUMIFS(M:M,AM:AM,AM2344)+SUMIFS(O:O,AM:AM,AM2344)</f>
      </c>
      <c r="AQ2344" s="116">
        <f>SUMIFS(L:L,AM:AM,AM2344)</f>
      </c>
      <c r="AR2344" s="116">
        <f>AQ2344-AP2344</f>
      </c>
      <c r="AS2344" s="94" t="str">
        <f>IF(AN2344&gt;=AQ2344,"ok","ck")</f>
      </c>
      <c r="AT2344" s="116">
        <f>-P2344</f>
      </c>
      <c r="AU2344" s="115">
        <f>IF(SUMIFS(AT:AT,AM:AM,AM2344)&gt;AO2344,(SUMIFS(AT:AT,AM:AM,AM2344)-AO2344))</f>
      </c>
      <c r="AV2344" s="116" t="e">
        <v>#N/A</v>
      </c>
      <c r="AW2344" s="121" t="e">
        <v>#N/A</v>
      </c>
      <c r="AX2344" s="115">
        <f>AN2344-AP2344</f>
      </c>
    </row>
    <row r="2345" spans="1:50" ht="15" hidden="1" customHeight="1" x14ac:dyDescent="0.3">
      <c r="A2345" s="94" t="s">
        <v>481</v>
      </c>
      <c r="B2345" s="94"/>
      <c r="C2345" s="94"/>
      <c r="D2345" s="94"/>
      <c r="E2345" s="94"/>
      <c r="F2345" s="94"/>
      <c r="G2345" s="112">
        <f>AU2345</f>
      </c>
      <c r="H2345" s="113"/>
      <c r="I2345" s="94" t="s">
        <v>152</v>
      </c>
      <c r="J2345" s="94" t="s">
        <v>228</v>
      </c>
      <c r="K2345" s="114">
        <f>P2345/3</f>
      </c>
      <c r="L2345" s="115">
        <v>0</v>
      </c>
      <c r="M2345" s="116"/>
      <c r="N2345" s="117">
        <f>M2345-L2345</f>
      </c>
      <c r="O2345" s="112"/>
      <c r="P2345" s="118">
        <f>N2345+O2345</f>
      </c>
      <c r="Q2345" s="94"/>
      <c r="R2345" s="94" t="s">
        <v>63</v>
      </c>
      <c r="S2345" s="119">
        <v>46320</v>
      </c>
      <c r="T2345" s="119"/>
      <c r="U2345" s="119">
        <v>46320</v>
      </c>
      <c r="V2345" s="94"/>
      <c r="W2345" s="94"/>
      <c r="X2345" s="94"/>
      <c r="Y2345" s="119">
        <v>46320</v>
      </c>
      <c r="Z2345" s="94"/>
      <c r="AA2345" s="120"/>
      <c r="AB2345" s="120"/>
      <c r="AC2345" s="120"/>
      <c r="AD2345" s="120"/>
      <c r="AE2345" s="120"/>
      <c r="AF2345" s="120"/>
      <c r="AG2345" s="94"/>
      <c r="AH2345" s="120"/>
      <c r="AI2345" s="94"/>
      <c r="AJ2345" s="94"/>
      <c r="AK2345" s="94"/>
      <c r="AL2345" s="94">
        <v>160</v>
      </c>
      <c r="AM2345" s="94" t="str">
        <f>TRIM(AJ2345)&amp;TRIM(AL2345)&amp;TRIM(AK2345)</f>
      </c>
      <c r="AN2345" s="116">
        <v>0</v>
      </c>
      <c r="AO2345" s="116" t="inlineStr">
        <is>
          <t>#NA</t>
        </is>
      </c>
      <c r="AP2345" s="116">
        <f>SUMIFS(M:M,AM:AM,AM2345)+SUMIFS(O:O,AM:AM,AM2345)</f>
      </c>
      <c r="AQ2345" s="116">
        <f>SUMIFS(L:L,AM:AM,AM2345)</f>
      </c>
      <c r="AR2345" s="116">
        <f>AQ2345-AP2345</f>
      </c>
      <c r="AS2345" s="94" t="str">
        <f>IF(AN2345&gt;=AQ2345,"ok","ck")</f>
      </c>
      <c r="AT2345" s="116">
        <f>-P2345</f>
      </c>
      <c r="AU2345" s="115">
        <f>IF(SUMIFS(AT:AT,AM:AM,AM2345)&gt;AO2345,(SUMIFS(AT:AT,AM:AM,AM2345)-AO2345))</f>
      </c>
      <c r="AV2345" s="116" t="e">
        <v>#N/A</v>
      </c>
      <c r="AW2345" s="121" t="e">
        <v>#N/A</v>
      </c>
      <c r="AX2345" s="115">
        <f>AN2345-AP2345</f>
      </c>
    </row>
    <row r="2346" spans="1:50" ht="15" hidden="1" customHeight="1" x14ac:dyDescent="0.3">
      <c r="A2346" s="94" t="s">
        <v>481</v>
      </c>
      <c r="B2346" s="94"/>
      <c r="C2346" s="94"/>
      <c r="D2346" s="94"/>
      <c r="E2346" s="94"/>
      <c r="F2346" s="94"/>
      <c r="G2346" s="112">
        <f>AU2346</f>
      </c>
      <c r="H2346" s="113"/>
      <c r="I2346" s="94" t="s">
        <v>152</v>
      </c>
      <c r="J2346" s="94" t="s">
        <v>228</v>
      </c>
      <c r="K2346" s="114">
        <f>P2346/3</f>
      </c>
      <c r="L2346" s="115">
        <v>0</v>
      </c>
      <c r="M2346" s="116"/>
      <c r="N2346" s="117">
        <f>M2346-L2346</f>
      </c>
      <c r="O2346" s="112"/>
      <c r="P2346" s="118">
        <f>N2346+O2346</f>
      </c>
      <c r="Q2346" s="94"/>
      <c r="R2346" s="94" t="s">
        <v>63</v>
      </c>
      <c r="S2346" s="119">
        <v>46334</v>
      </c>
      <c r="T2346" s="119"/>
      <c r="U2346" s="119">
        <v>46334</v>
      </c>
      <c r="V2346" s="94"/>
      <c r="W2346" s="94"/>
      <c r="X2346" s="94"/>
      <c r="Y2346" s="119">
        <v>46334</v>
      </c>
      <c r="Z2346" s="94"/>
      <c r="AA2346" s="120"/>
      <c r="AB2346" s="120"/>
      <c r="AC2346" s="120"/>
      <c r="AD2346" s="120"/>
      <c r="AE2346" s="120"/>
      <c r="AF2346" s="120"/>
      <c r="AG2346" s="94"/>
      <c r="AH2346" s="120"/>
      <c r="AI2346" s="94"/>
      <c r="AJ2346" s="94"/>
      <c r="AK2346" s="94"/>
      <c r="AL2346" s="94">
        <v>160</v>
      </c>
      <c r="AM2346" s="94" t="str">
        <f>TRIM(AJ2346)&amp;TRIM(AL2346)&amp;TRIM(AK2346)</f>
      </c>
      <c r="AN2346" s="116">
        <v>0</v>
      </c>
      <c r="AO2346" s="116" t="inlineStr">
        <is>
          <t>#NA</t>
        </is>
      </c>
      <c r="AP2346" s="116">
        <f>SUMIFS(M:M,AM:AM,AM2346)+SUMIFS(O:O,AM:AM,AM2346)</f>
      </c>
      <c r="AQ2346" s="116">
        <f>SUMIFS(L:L,AM:AM,AM2346)</f>
      </c>
      <c r="AR2346" s="116">
        <f>AQ2346-AP2346</f>
      </c>
      <c r="AS2346" s="94" t="str">
        <f>IF(AN2346&gt;=AQ2346,"ok","ck")</f>
      </c>
      <c r="AT2346" s="116">
        <f>-P2346</f>
      </c>
      <c r="AU2346" s="115">
        <f>IF(SUMIFS(AT:AT,AM:AM,AM2346)&gt;AO2346,(SUMIFS(AT:AT,AM:AM,AM2346)-AO2346))</f>
      </c>
      <c r="AV2346" s="116" t="e">
        <v>#N/A</v>
      </c>
      <c r="AW2346" s="121" t="e">
        <v>#N/A</v>
      </c>
      <c r="AX2346" s="115">
        <f>AN2346-AP2346</f>
      </c>
    </row>
    <row r="2347" spans="1:50" ht="15" hidden="1" customHeight="1" x14ac:dyDescent="0.3">
      <c r="A2347" s="94" t="s">
        <v>151</v>
      </c>
      <c r="B2347" s="94"/>
      <c r="C2347" s="94"/>
      <c r="D2347" s="94"/>
      <c r="E2347" s="94"/>
      <c r="F2347" s="94"/>
      <c r="G2347" s="112">
        <f>AU2347</f>
      </c>
      <c r="H2347" s="113"/>
      <c r="I2347" s="94" t="s">
        <v>152</v>
      </c>
      <c r="J2347" s="94" t="s">
        <v>156</v>
      </c>
      <c r="K2347" s="114">
        <f>P2347/3</f>
      </c>
      <c r="L2347" s="115">
        <v>0</v>
      </c>
      <c r="M2347" s="116"/>
      <c r="N2347" s="117">
        <f>M2347-L2347</f>
      </c>
      <c r="O2347" s="112"/>
      <c r="P2347" s="118">
        <f>N2347+O2347</f>
      </c>
      <c r="Q2347" s="94" t="s">
        <v>185</v>
      </c>
      <c r="R2347" s="94" t="s">
        <v>63</v>
      </c>
      <c r="S2347" s="119">
        <v>46336</v>
      </c>
      <c r="T2347" s="119"/>
      <c r="U2347" s="119">
        <v>46336</v>
      </c>
      <c r="V2347" s="94"/>
      <c r="W2347" s="94"/>
      <c r="X2347" s="94"/>
      <c r="Y2347" s="119">
        <v>46336</v>
      </c>
      <c r="Z2347" s="94"/>
      <c r="AA2347" s="120"/>
      <c r="AB2347" s="120"/>
      <c r="AC2347" s="120"/>
      <c r="AD2347" s="120"/>
      <c r="AE2347" s="120"/>
      <c r="AF2347" s="120"/>
      <c r="AG2347" s="94"/>
      <c r="AH2347" s="120"/>
      <c r="AI2347" s="94"/>
      <c r="AJ2347" s="94" t="s">
        <v>185</v>
      </c>
      <c r="AK2347" s="94" t="s">
        <v>158</v>
      </c>
      <c r="AL2347" s="94">
        <v>160</v>
      </c>
      <c r="AM2347" s="94" t="str">
        <f>TRIM(AJ2347)&amp;TRIM(AL2347)&amp;TRIM(AK2347)</f>
      </c>
      <c r="AN2347" s="116">
        <v>3320.07</v>
      </c>
      <c r="AO2347" s="116">
        <v>149.93</v>
      </c>
      <c r="AP2347" s="116">
        <f>SUMIFS(M:M,AM:AM,AM2347)+SUMIFS(O:O,AM:AM,AM2347)</f>
      </c>
      <c r="AQ2347" s="116">
        <f>SUMIFS(L:L,AM:AM,AM2347)</f>
      </c>
      <c r="AR2347" s="116">
        <f>AQ2347-AP2347</f>
      </c>
      <c r="AS2347" s="94" t="str">
        <f>IF(AN2347&gt;=AQ2347,"ok","ck")</f>
      </c>
      <c r="AT2347" s="116">
        <f>-P2347</f>
      </c>
      <c r="AU2347" s="115">
        <f>IF(SUMIFS(AT:AT,AM:AM,AM2347)&gt;AO2347,(SUMIFS(AT:AT,AM:AM,AM2347)-AO2347))</f>
      </c>
      <c r="AV2347" s="116">
        <v>3320.07</v>
      </c>
      <c r="AW2347" s="121">
        <v>0.957</v>
      </c>
      <c r="AX2347" s="115">
        <f>AN2347-AP2347</f>
      </c>
    </row>
    <row r="2348" spans="1:50" ht="15" hidden="1" customHeight="1" x14ac:dyDescent="0.3">
      <c r="A2348" s="94" t="s">
        <v>151</v>
      </c>
      <c r="B2348" s="94"/>
      <c r="C2348" s="94"/>
      <c r="D2348" s="94"/>
      <c r="E2348" s="94"/>
      <c r="F2348" s="94"/>
      <c r="G2348" s="112">
        <f>AU2348</f>
      </c>
      <c r="H2348" s="113"/>
      <c r="I2348" s="94" t="s">
        <v>152</v>
      </c>
      <c r="J2348" s="94" t="s">
        <v>207</v>
      </c>
      <c r="K2348" s="114">
        <f>P2348/3</f>
      </c>
      <c r="L2348" s="115">
        <v>2.6110000000000002</v>
      </c>
      <c r="M2348" s="116">
        <f>L2348</f>
      </c>
      <c r="N2348" s="117">
        <f>M2348-L2348</f>
      </c>
      <c r="O2348" s="112"/>
      <c r="P2348" s="118">
        <f>N2348+O2348</f>
      </c>
      <c r="Q2348" s="94" t="s">
        <v>185</v>
      </c>
      <c r="R2348" s="94" t="s">
        <v>63</v>
      </c>
      <c r="S2348" s="119">
        <v>46327</v>
      </c>
      <c r="T2348" s="119"/>
      <c r="U2348" s="119">
        <v>46327</v>
      </c>
      <c r="V2348" s="94"/>
      <c r="W2348" s="94"/>
      <c r="X2348" s="94"/>
      <c r="Y2348" s="119">
        <v>46320</v>
      </c>
      <c r="Z2348" s="94"/>
      <c r="AA2348" s="120"/>
      <c r="AB2348" s="120"/>
      <c r="AC2348" s="120"/>
      <c r="AD2348" s="120"/>
      <c r="AE2348" s="120"/>
      <c r="AF2348" s="120"/>
      <c r="AG2348" s="94"/>
      <c r="AH2348" s="120"/>
      <c r="AI2348" s="94"/>
      <c r="AJ2348" s="94" t="s">
        <v>185</v>
      </c>
      <c r="AK2348" s="94" t="s">
        <v>208</v>
      </c>
      <c r="AL2348" s="94">
        <v>160</v>
      </c>
      <c r="AM2348" s="94" t="str">
        <f>TRIM(AJ2348)&amp;TRIM(AL2348)&amp;TRIM(AK2348)</f>
      </c>
      <c r="AN2348" s="116">
        <v>2901.95</v>
      </c>
      <c r="AO2348" s="116">
        <v>-56.95</v>
      </c>
      <c r="AP2348" s="116">
        <f>SUMIFS(M:M,AM:AM,AM2348)+SUMIFS(O:O,AM:AM,AM2348)</f>
      </c>
      <c r="AQ2348" s="116">
        <f>SUMIFS(L:L,AM:AM,AM2348)</f>
      </c>
      <c r="AR2348" s="116">
        <f>AQ2348-AP2348</f>
      </c>
      <c r="AS2348" s="94" t="str">
        <f>IF(AN2348&gt;=AQ2348,"ok","ck")</f>
      </c>
      <c r="AT2348" s="116">
        <f>-P2348</f>
      </c>
      <c r="AU2348" s="115">
        <f>IF(SUMIFS(AT:AT,AM:AM,AM2348)&gt;AO2348,(SUMIFS(AT:AT,AM:AM,AM2348)-AO2348))</f>
      </c>
      <c r="AV2348" s="116">
        <v>2901.95</v>
      </c>
      <c r="AW2348" s="121">
        <v>1.02</v>
      </c>
      <c r="AX2348" s="115">
        <f>AN2348-AP2348</f>
      </c>
    </row>
    <row r="2349" spans="1:50" ht="15" hidden="1" customHeight="1" x14ac:dyDescent="0.3">
      <c r="A2349" s="94" t="s">
        <v>151</v>
      </c>
      <c r="B2349" s="94"/>
      <c r="C2349" s="94"/>
      <c r="D2349" s="94"/>
      <c r="E2349" s="94"/>
      <c r="F2349" s="94"/>
      <c r="G2349" s="112">
        <f>AU2349</f>
      </c>
      <c r="H2349" s="113"/>
      <c r="I2349" s="94" t="s">
        <v>152</v>
      </c>
      <c r="J2349" s="94" t="s">
        <v>228</v>
      </c>
      <c r="K2349" s="114">
        <f>P2349/3</f>
      </c>
      <c r="L2349" s="115">
        <v>0</v>
      </c>
      <c r="M2349" s="116">
        <f>L2349</f>
      </c>
      <c r="N2349" s="117">
        <f>M2349-L2349</f>
      </c>
      <c r="O2349" s="112"/>
      <c r="P2349" s="118">
        <f>N2349+O2349</f>
      </c>
      <c r="Q2349" s="94" t="s">
        <v>185</v>
      </c>
      <c r="R2349" s="94" t="s">
        <v>63</v>
      </c>
      <c r="S2349" s="119">
        <v>46320</v>
      </c>
      <c r="T2349" s="119"/>
      <c r="U2349" s="119">
        <v>46320</v>
      </c>
      <c r="V2349" s="94"/>
      <c r="W2349" s="94"/>
      <c r="X2349" s="94"/>
      <c r="Y2349" s="119">
        <v>46320</v>
      </c>
      <c r="Z2349" s="94"/>
      <c r="AA2349" s="120"/>
      <c r="AB2349" s="120"/>
      <c r="AC2349" s="120"/>
      <c r="AD2349" s="120"/>
      <c r="AE2349" s="120"/>
      <c r="AF2349" s="120"/>
      <c r="AG2349" s="94"/>
      <c r="AH2349" s="120"/>
      <c r="AI2349" s="94"/>
      <c r="AJ2349" s="94" t="s">
        <v>185</v>
      </c>
      <c r="AK2349" s="94" t="s">
        <v>229</v>
      </c>
      <c r="AL2349" s="94">
        <v>160</v>
      </c>
      <c r="AM2349" s="94" t="str">
        <f>TRIM(AJ2349)&amp;TRIM(AL2349)&amp;TRIM(AK2349)</f>
      </c>
      <c r="AN2349" s="116">
        <v>6435</v>
      </c>
      <c r="AO2349" s="116">
        <v>-120</v>
      </c>
      <c r="AP2349" s="116">
        <f>SUMIFS(M:M,AM:AM,AM2349)+SUMIFS(O:O,AM:AM,AM2349)</f>
      </c>
      <c r="AQ2349" s="116">
        <f>SUMIFS(L:L,AM:AM,AM2349)</f>
      </c>
      <c r="AR2349" s="116">
        <f>AQ2349-AP2349</f>
      </c>
      <c r="AS2349" s="94" t="str">
        <f>IF(AN2349&gt;=AQ2349,"ok","ck")</f>
      </c>
      <c r="AT2349" s="116">
        <f>-P2349</f>
      </c>
      <c r="AU2349" s="115">
        <f>IF(SUMIFS(AT:AT,AM:AM,AM2349)&gt;AO2349,(SUMIFS(AT:AT,AM:AM,AM2349)-AO2349))</f>
      </c>
      <c r="AV2349" s="116">
        <v>6435</v>
      </c>
      <c r="AW2349" s="121">
        <v>1.019</v>
      </c>
      <c r="AX2349" s="115">
        <f>AN2349-AP2349</f>
      </c>
    </row>
    <row r="2350" spans="1:50" ht="15" hidden="1" customHeight="1" x14ac:dyDescent="0.3">
      <c r="A2350" s="94" t="s">
        <v>151</v>
      </c>
      <c r="B2350" s="94"/>
      <c r="C2350" s="94"/>
      <c r="D2350" s="94"/>
      <c r="E2350" s="94"/>
      <c r="F2350" s="94"/>
      <c r="G2350" s="112">
        <f>AU2350</f>
      </c>
      <c r="H2350" s="113"/>
      <c r="I2350" s="94" t="s">
        <v>152</v>
      </c>
      <c r="J2350" s="94" t="s">
        <v>228</v>
      </c>
      <c r="K2350" s="114">
        <f>P2350/3</f>
      </c>
      <c r="L2350" s="115">
        <v>0</v>
      </c>
      <c r="M2350" s="116">
        <f>L2350</f>
      </c>
      <c r="N2350" s="117">
        <f>M2350-L2350</f>
      </c>
      <c r="O2350" s="112"/>
      <c r="P2350" s="118">
        <f>N2350+O2350</f>
      </c>
      <c r="Q2350" s="94" t="s">
        <v>185</v>
      </c>
      <c r="R2350" s="94" t="s">
        <v>63</v>
      </c>
      <c r="S2350" s="119">
        <v>46330</v>
      </c>
      <c r="T2350" s="119"/>
      <c r="U2350" s="119">
        <v>46330</v>
      </c>
      <c r="V2350" s="94"/>
      <c r="W2350" s="94"/>
      <c r="X2350" s="94"/>
      <c r="Y2350" s="119">
        <v>46330</v>
      </c>
      <c r="Z2350" s="94"/>
      <c r="AA2350" s="120"/>
      <c r="AB2350" s="120"/>
      <c r="AC2350" s="120"/>
      <c r="AD2350" s="120"/>
      <c r="AE2350" s="120"/>
      <c r="AF2350" s="120"/>
      <c r="AG2350" s="94"/>
      <c r="AH2350" s="120"/>
      <c r="AI2350" s="94"/>
      <c r="AJ2350" s="94" t="s">
        <v>185</v>
      </c>
      <c r="AK2350" s="94" t="s">
        <v>229</v>
      </c>
      <c r="AL2350" s="94">
        <v>160</v>
      </c>
      <c r="AM2350" s="94" t="str">
        <f>TRIM(AJ2350)&amp;TRIM(AL2350)&amp;TRIM(AK2350)</f>
      </c>
      <c r="AN2350" s="116">
        <v>6435</v>
      </c>
      <c r="AO2350" s="116">
        <v>-120</v>
      </c>
      <c r="AP2350" s="116">
        <f>SUMIFS(M:M,AM:AM,AM2350)+SUMIFS(O:O,AM:AM,AM2350)</f>
      </c>
      <c r="AQ2350" s="116">
        <f>SUMIFS(L:L,AM:AM,AM2350)</f>
      </c>
      <c r="AR2350" s="116">
        <f>AQ2350-AP2350</f>
      </c>
      <c r="AS2350" s="94" t="str">
        <f>IF(AN2350&gt;=AQ2350,"ok","ck")</f>
      </c>
      <c r="AT2350" s="116">
        <f>-P2350</f>
      </c>
      <c r="AU2350" s="115">
        <f>IF(SUMIFS(AT:AT,AM:AM,AM2350)&gt;AO2350,(SUMIFS(AT:AT,AM:AM,AM2350)-AO2350))</f>
      </c>
      <c r="AV2350" s="116">
        <v>6435</v>
      </c>
      <c r="AW2350" s="121">
        <v>1.019</v>
      </c>
      <c r="AX2350" s="115">
        <f>AN2350-AP2350</f>
      </c>
    </row>
    <row r="2351" spans="1:50" ht="15" hidden="1" customHeight="1" x14ac:dyDescent="0.3">
      <c r="A2351" s="94" t="s">
        <v>76</v>
      </c>
      <c r="B2351" s="94"/>
      <c r="C2351" s="94"/>
      <c r="D2351" s="94"/>
      <c r="E2351" s="94"/>
      <c r="F2351" s="94"/>
      <c r="G2351" s="112">
        <f>AU2351</f>
      </c>
      <c r="H2351" s="113"/>
      <c r="I2351" s="94" t="s">
        <v>77</v>
      </c>
      <c r="J2351" s="94" t="s">
        <v>613</v>
      </c>
      <c r="K2351" s="114">
        <f>P2351/3</f>
      </c>
      <c r="L2351" s="115">
        <v>-9.94</v>
      </c>
      <c r="M2351" s="116">
        <f>L2351</f>
      </c>
      <c r="N2351" s="117">
        <f>M2351-L2351</f>
      </c>
      <c r="O2351" s="112"/>
      <c r="P2351" s="118">
        <f>N2351+O2351</f>
      </c>
      <c r="Q2351" s="94" t="s">
        <v>112</v>
      </c>
      <c r="R2351" s="94" t="s">
        <v>63</v>
      </c>
      <c r="S2351" s="119">
        <v>46320</v>
      </c>
      <c r="T2351" s="119"/>
      <c r="U2351" s="119">
        <v>46320</v>
      </c>
      <c r="V2351" s="94"/>
      <c r="W2351" s="94"/>
      <c r="X2351" s="94"/>
      <c r="Y2351" s="119">
        <v>46320</v>
      </c>
      <c r="Z2351" s="94"/>
      <c r="AA2351" s="120"/>
      <c r="AB2351" s="120"/>
      <c r="AC2351" s="120"/>
      <c r="AD2351" s="120"/>
      <c r="AE2351" s="120"/>
      <c r="AF2351" s="120"/>
      <c r="AG2351" s="94"/>
      <c r="AH2351" s="120"/>
      <c r="AI2351" s="94"/>
      <c r="AJ2351" s="94" t="s">
        <v>112</v>
      </c>
      <c r="AK2351" s="94" t="s">
        <v>613</v>
      </c>
      <c r="AL2351" s="94">
        <v>150</v>
      </c>
      <c r="AM2351" s="94" t="str">
        <f>TRIM(AJ2351)&amp;TRIM(AL2351)&amp;TRIM(AK2351)</f>
      </c>
      <c r="AN2351" s="116">
        <v>1907</v>
      </c>
      <c r="AO2351" s="116">
        <v>-41.9</v>
      </c>
      <c r="AP2351" s="116">
        <f>SUMIFS(M:M,AM:AM,AM2351)+SUMIFS(O:O,AM:AM,AM2351)</f>
      </c>
      <c r="AQ2351" s="116">
        <f>SUMIFS(L:L,AM:AM,AM2351)</f>
      </c>
      <c r="AR2351" s="116">
        <f>AQ2351-AP2351</f>
      </c>
      <c r="AS2351" s="94" t="str">
        <f>IF(AN2351&gt;=AQ2351,"ok","ck")</f>
      </c>
      <c r="AT2351" s="116">
        <f>-P2351</f>
      </c>
      <c r="AU2351" s="115">
        <f>IF(SUMIFS(AT:AT,AM:AM,AM2351)&gt;AO2351,(SUMIFS(AT:AT,AM:AM,AM2351)-AO2351))</f>
      </c>
      <c r="AV2351" s="116">
        <v>1907</v>
      </c>
      <c r="AW2351" s="121">
        <v>1.022</v>
      </c>
      <c r="AX2351" s="115">
        <f>AN2351-AP2351</f>
      </c>
    </row>
    <row r="2352" spans="1:50" ht="15" hidden="1" customHeight="1" x14ac:dyDescent="0.3">
      <c r="A2352" s="94" t="s">
        <v>76</v>
      </c>
      <c r="B2352" s="94"/>
      <c r="C2352" s="94"/>
      <c r="D2352" s="94"/>
      <c r="E2352" s="94"/>
      <c r="F2352" s="94"/>
      <c r="G2352" s="112">
        <f>AU2352</f>
      </c>
      <c r="H2352" s="113"/>
      <c r="I2352" s="94" t="s">
        <v>77</v>
      </c>
      <c r="J2352" s="94" t="s">
        <v>613</v>
      </c>
      <c r="K2352" s="114">
        <f>P2352/3</f>
      </c>
      <c r="L2352" s="115">
        <v>-3.5999999999999997E-2</v>
      </c>
      <c r="M2352" s="116">
        <f>L2352</f>
      </c>
      <c r="N2352" s="117">
        <f>M2352-L2352</f>
      </c>
      <c r="O2352" s="112"/>
      <c r="P2352" s="118">
        <f>N2352+O2352</f>
      </c>
      <c r="Q2352" s="94" t="s">
        <v>112</v>
      </c>
      <c r="R2352" s="94" t="s">
        <v>63</v>
      </c>
      <c r="S2352" s="119">
        <v>46322</v>
      </c>
      <c r="T2352" s="119"/>
      <c r="U2352" s="119">
        <v>46322</v>
      </c>
      <c r="V2352" s="94"/>
      <c r="W2352" s="94"/>
      <c r="X2352" s="94"/>
      <c r="Y2352" s="119">
        <v>46322</v>
      </c>
      <c r="Z2352" s="94"/>
      <c r="AA2352" s="120"/>
      <c r="AB2352" s="120"/>
      <c r="AC2352" s="120"/>
      <c r="AD2352" s="120"/>
      <c r="AE2352" s="120"/>
      <c r="AF2352" s="120"/>
      <c r="AG2352" s="94"/>
      <c r="AH2352" s="120"/>
      <c r="AI2352" s="94"/>
      <c r="AJ2352" s="94" t="s">
        <v>112</v>
      </c>
      <c r="AK2352" s="94" t="s">
        <v>613</v>
      </c>
      <c r="AL2352" s="94">
        <v>150</v>
      </c>
      <c r="AM2352" s="94" t="str">
        <f>TRIM(AJ2352)&amp;TRIM(AL2352)&amp;TRIM(AK2352)</f>
      </c>
      <c r="AN2352" s="116">
        <v>1907</v>
      </c>
      <c r="AO2352" s="116">
        <v>-41.9</v>
      </c>
      <c r="AP2352" s="116">
        <f>SUMIFS(M:M,AM:AM,AM2352)+SUMIFS(O:O,AM:AM,AM2352)</f>
      </c>
      <c r="AQ2352" s="116">
        <f>SUMIFS(L:L,AM:AM,AM2352)</f>
      </c>
      <c r="AR2352" s="116">
        <f>AQ2352-AP2352</f>
      </c>
      <c r="AS2352" s="94" t="str">
        <f>IF(AN2352&gt;=AQ2352,"ok","ck")</f>
      </c>
      <c r="AT2352" s="116">
        <f>-P2352</f>
      </c>
      <c r="AU2352" s="115">
        <f>IF(SUMIFS(AT:AT,AM:AM,AM2352)&gt;AO2352,(SUMIFS(AT:AT,AM:AM,AM2352)-AO2352))</f>
      </c>
      <c r="AV2352" s="116">
        <v>1907</v>
      </c>
      <c r="AW2352" s="121">
        <v>1.022</v>
      </c>
      <c r="AX2352" s="115">
        <f>AN2352-AP2352</f>
      </c>
    </row>
    <row r="2353" spans="1:50" ht="15" hidden="1" customHeight="1" x14ac:dyDescent="0.3">
      <c r="A2353" s="94" t="s">
        <v>76</v>
      </c>
      <c r="B2353" s="94"/>
      <c r="C2353" s="94"/>
      <c r="D2353" s="94"/>
      <c r="E2353" s="94"/>
      <c r="F2353" s="94"/>
      <c r="G2353" s="112">
        <f>AU2353</f>
      </c>
      <c r="H2353" s="113"/>
      <c r="I2353" s="94" t="s">
        <v>77</v>
      </c>
      <c r="J2353" s="94" t="s">
        <v>613</v>
      </c>
      <c r="K2353" s="114">
        <f>P2353/3</f>
      </c>
      <c r="L2353" s="115">
        <v>-10.738</v>
      </c>
      <c r="M2353" s="116">
        <f>L2353</f>
      </c>
      <c r="N2353" s="117">
        <f>M2353-L2353</f>
      </c>
      <c r="O2353" s="112"/>
      <c r="P2353" s="118">
        <f>N2353+O2353</f>
      </c>
      <c r="Q2353" s="94" t="s">
        <v>112</v>
      </c>
      <c r="R2353" s="94" t="s">
        <v>63</v>
      </c>
      <c r="S2353" s="119">
        <v>46327</v>
      </c>
      <c r="T2353" s="119"/>
      <c r="U2353" s="119">
        <v>46327</v>
      </c>
      <c r="V2353" s="94"/>
      <c r="W2353" s="94"/>
      <c r="X2353" s="94"/>
      <c r="Y2353" s="119">
        <v>46327</v>
      </c>
      <c r="Z2353" s="94"/>
      <c r="AA2353" s="120"/>
      <c r="AB2353" s="120"/>
      <c r="AC2353" s="120"/>
      <c r="AD2353" s="120"/>
      <c r="AE2353" s="120"/>
      <c r="AF2353" s="120"/>
      <c r="AG2353" s="94"/>
      <c r="AH2353" s="120"/>
      <c r="AI2353" s="94"/>
      <c r="AJ2353" s="94" t="s">
        <v>112</v>
      </c>
      <c r="AK2353" s="94" t="s">
        <v>613</v>
      </c>
      <c r="AL2353" s="94">
        <v>150</v>
      </c>
      <c r="AM2353" s="94" t="str">
        <f>TRIM(AJ2353)&amp;TRIM(AL2353)&amp;TRIM(AK2353)</f>
      </c>
      <c r="AN2353" s="116">
        <v>1907</v>
      </c>
      <c r="AO2353" s="116">
        <v>-41.9</v>
      </c>
      <c r="AP2353" s="116">
        <f>SUMIFS(M:M,AM:AM,AM2353)+SUMIFS(O:O,AM:AM,AM2353)</f>
      </c>
      <c r="AQ2353" s="116">
        <f>SUMIFS(L:L,AM:AM,AM2353)</f>
      </c>
      <c r="AR2353" s="116">
        <f>AQ2353-AP2353</f>
      </c>
      <c r="AS2353" s="94" t="str">
        <f>IF(AN2353&gt;=AQ2353,"ok","ck")</f>
      </c>
      <c r="AT2353" s="116">
        <f>-P2353</f>
      </c>
      <c r="AU2353" s="115">
        <f>IF(SUMIFS(AT:AT,AM:AM,AM2353)&gt;AO2353,(SUMIFS(AT:AT,AM:AM,AM2353)-AO2353))</f>
      </c>
      <c r="AV2353" s="116">
        <v>1907</v>
      </c>
      <c r="AW2353" s="121">
        <v>1.022</v>
      </c>
      <c r="AX2353" s="115">
        <f>AN2353-AP2353</f>
      </c>
    </row>
    <row r="2354" spans="1:50" ht="15" hidden="1" customHeight="1" x14ac:dyDescent="0.3">
      <c r="A2354" s="94" t="s">
        <v>151</v>
      </c>
      <c r="B2354" s="94"/>
      <c r="C2354" s="94"/>
      <c r="D2354" s="94"/>
      <c r="E2354" s="94"/>
      <c r="F2354" s="94"/>
      <c r="G2354" s="112">
        <f>AU2354</f>
      </c>
      <c r="H2354" s="113"/>
      <c r="I2354" s="94" t="s">
        <v>152</v>
      </c>
      <c r="J2354" s="94" t="s">
        <v>156</v>
      </c>
      <c r="K2354" s="114">
        <f>P2354/3</f>
      </c>
      <c r="L2354" s="115">
        <v>10.068</v>
      </c>
      <c r="M2354" s="116">
        <v>10.068</v>
      </c>
      <c r="N2354" s="117">
        <f>M2354-L2354</f>
      </c>
      <c r="O2354" s="112"/>
      <c r="P2354" s="118">
        <f>N2354+O2354</f>
      </c>
      <c r="Q2354" s="94" t="s">
        <v>213</v>
      </c>
      <c r="R2354" s="94" t="s">
        <v>63</v>
      </c>
      <c r="S2354" s="119">
        <v>46326</v>
      </c>
      <c r="T2354" s="119"/>
      <c r="U2354" s="119">
        <v>46326</v>
      </c>
      <c r="V2354" s="94"/>
      <c r="W2354" s="94"/>
      <c r="X2354" s="94"/>
      <c r="Y2354" s="119">
        <v>46326</v>
      </c>
      <c r="Z2354" s="94"/>
      <c r="AA2354" s="120"/>
      <c r="AB2354" s="120"/>
      <c r="AC2354" s="120"/>
      <c r="AD2354" s="120"/>
      <c r="AE2354" s="120"/>
      <c r="AF2354" s="120"/>
      <c r="AG2354" s="94"/>
      <c r="AH2354" s="120"/>
      <c r="AI2354" s="94"/>
      <c r="AJ2354" s="94" t="s">
        <v>213</v>
      </c>
      <c r="AK2354" s="94" t="s">
        <v>158</v>
      </c>
      <c r="AL2354" s="94">
        <v>160</v>
      </c>
      <c r="AM2354" s="94" t="str">
        <f>TRIM(AJ2354)&amp;TRIM(AL2354)&amp;TRIM(AK2354)</f>
      </c>
      <c r="AN2354" s="116">
        <v>4334.9</v>
      </c>
      <c r="AO2354" s="116">
        <v>265.1</v>
      </c>
      <c r="AP2354" s="116">
        <f>SUMIFS(M:M,AM:AM,AM2354)+SUMIFS(O:O,AM:AM,AM2354)</f>
      </c>
      <c r="AQ2354" s="116">
        <f>SUMIFS(L:L,AM:AM,AM2354)</f>
      </c>
      <c r="AR2354" s="116">
        <f>AQ2354-AP2354</f>
      </c>
      <c r="AS2354" s="94" t="str">
        <f>IF(AN2354&gt;=AQ2354,"ok","ck")</f>
      </c>
      <c r="AT2354" s="116">
        <f>-P2354</f>
      </c>
      <c r="AU2354" s="115">
        <f>IF(SUMIFS(AT:AT,AM:AM,AM2354)&gt;AO2354,(SUMIFS(AT:AT,AM:AM,AM2354)-AO2354))</f>
      </c>
      <c r="AV2354" s="116">
        <v>4334.9</v>
      </c>
      <c r="AW2354" s="121">
        <v>0.942</v>
      </c>
      <c r="AX2354" s="115">
        <f>AN2354-AP2354</f>
      </c>
    </row>
    <row r="2355" spans="1:50" ht="15" hidden="1" customHeight="1" x14ac:dyDescent="0.3">
      <c r="A2355" s="94" t="s">
        <v>151</v>
      </c>
      <c r="B2355" s="94"/>
      <c r="C2355" s="94"/>
      <c r="D2355" s="94"/>
      <c r="E2355" s="94"/>
      <c r="F2355" s="94"/>
      <c r="G2355" s="112">
        <f>AU2355</f>
      </c>
      <c r="H2355" s="113"/>
      <c r="I2355" s="94" t="s">
        <v>152</v>
      </c>
      <c r="J2355" s="94" t="s">
        <v>156</v>
      </c>
      <c r="K2355" s="114">
        <f>P2355/3</f>
      </c>
      <c r="L2355" s="115">
        <v>1006</v>
      </c>
      <c r="M2355" s="116"/>
      <c r="N2355" s="117">
        <f>M2355-L2355</f>
      </c>
      <c r="O2355" s="112"/>
      <c r="P2355" s="118">
        <f>N2355+O2355</f>
      </c>
      <c r="Q2355" s="94" t="s">
        <v>168</v>
      </c>
      <c r="R2355" s="94" t="s">
        <v>63</v>
      </c>
      <c r="S2355" s="119">
        <v>46330</v>
      </c>
      <c r="T2355" s="119"/>
      <c r="U2355" s="119" t="s">
        <v>682</v>
      </c>
      <c r="V2355" s="94"/>
      <c r="W2355" s="94"/>
      <c r="X2355" s="94"/>
      <c r="Y2355" s="119">
        <v>46329</v>
      </c>
      <c r="Z2355" s="94"/>
      <c r="AA2355" s="120"/>
      <c r="AB2355" s="120"/>
      <c r="AC2355" s="120"/>
      <c r="AD2355" s="120"/>
      <c r="AE2355" s="120"/>
      <c r="AF2355" s="120"/>
      <c r="AG2355" s="94"/>
      <c r="AH2355" s="120"/>
      <c r="AI2355" s="94"/>
      <c r="AJ2355" s="94" t="s">
        <v>168</v>
      </c>
      <c r="AK2355" s="94" t="s">
        <v>158</v>
      </c>
      <c r="AL2355" s="94">
        <v>160</v>
      </c>
      <c r="AM2355" s="94" t="str">
        <f>TRIM(AJ2355)&amp;TRIM(AL2355)&amp;TRIM(AK2355)</f>
      </c>
      <c r="AN2355" s="116">
        <v>7436</v>
      </c>
      <c r="AO2355" s="116">
        <v>12192.89</v>
      </c>
      <c r="AP2355" s="116">
        <f>SUMIFS(M:M,AM:AM,AM2355)+SUMIFS(O:O,AM:AM,AM2355)</f>
      </c>
      <c r="AQ2355" s="116">
        <f>SUMIFS(L:L,AM:AM,AM2355)</f>
      </c>
      <c r="AR2355" s="116">
        <f>AQ2355-AP2355</f>
      </c>
      <c r="AS2355" s="94" t="str">
        <f>IF(AN2355&gt;=AQ2355,"ok","ck")</f>
      </c>
      <c r="AT2355" s="116">
        <f>-P2355</f>
      </c>
      <c r="AU2355" s="115">
        <f>IF(SUMIFS(AT:AT,AM:AM,AM2355)&gt;AO2355,(SUMIFS(AT:AT,AM:AM,AM2355)-AO2355))</f>
      </c>
      <c r="AV2355" s="116">
        <v>7436</v>
      </c>
      <c r="AW2355" s="121">
        <v>0.379</v>
      </c>
      <c r="AX2355" s="115">
        <f>AN2355-AP2355</f>
      </c>
    </row>
    <row r="2356" spans="1:50" ht="15" hidden="1" customHeight="1" x14ac:dyDescent="0.3">
      <c r="A2356" s="94" t="s">
        <v>151</v>
      </c>
      <c r="B2356" s="94"/>
      <c r="C2356" s="94"/>
      <c r="D2356" s="94"/>
      <c r="E2356" s="94"/>
      <c r="F2356" s="94"/>
      <c r="G2356" s="112">
        <f>AU2356</f>
      </c>
      <c r="H2356" s="113"/>
      <c r="I2356" s="94" t="s">
        <v>152</v>
      </c>
      <c r="J2356" s="94" t="s">
        <v>193</v>
      </c>
      <c r="K2356" s="114">
        <f>P2356/3</f>
      </c>
      <c r="L2356" s="115">
        <v>1682</v>
      </c>
      <c r="M2356" s="116">
        <v>1211.3720000000001</v>
      </c>
      <c r="N2356" s="117">
        <f>M2356-L2356</f>
      </c>
      <c r="O2356" s="112"/>
      <c r="P2356" s="118">
        <f>N2356+O2356</f>
      </c>
      <c r="Q2356" s="94" t="s">
        <v>168</v>
      </c>
      <c r="R2356" s="94" t="s">
        <v>63</v>
      </c>
      <c r="S2356" s="119">
        <v>46330</v>
      </c>
      <c r="T2356" s="119"/>
      <c r="U2356" s="119" t="s">
        <v>683</v>
      </c>
      <c r="V2356" s="94"/>
      <c r="W2356" s="94"/>
      <c r="X2356" s="94"/>
      <c r="Y2356" s="119">
        <v>46324</v>
      </c>
      <c r="Z2356" s="94"/>
      <c r="AA2356" s="120"/>
      <c r="AB2356" s="120"/>
      <c r="AC2356" s="120"/>
      <c r="AD2356" s="120"/>
      <c r="AE2356" s="120"/>
      <c r="AF2356" s="120"/>
      <c r="AG2356" s="94"/>
      <c r="AH2356" s="120"/>
      <c r="AI2356" s="94"/>
      <c r="AJ2356" s="94" t="s">
        <v>168</v>
      </c>
      <c r="AK2356" s="94" t="s">
        <v>195</v>
      </c>
      <c r="AL2356" s="94">
        <v>160</v>
      </c>
      <c r="AM2356" s="94" t="str">
        <f>TRIM(AJ2356)&amp;TRIM(AL2356)&amp;TRIM(AK2356)</f>
      </c>
      <c r="AN2356" s="116">
        <v>3525</v>
      </c>
      <c r="AO2356" s="116">
        <v>3730.27</v>
      </c>
      <c r="AP2356" s="116">
        <f>SUMIFS(M:M,AM:AM,AM2356)+SUMIFS(O:O,AM:AM,AM2356)</f>
      </c>
      <c r="AQ2356" s="116">
        <f>SUMIFS(L:L,AM:AM,AM2356)</f>
      </c>
      <c r="AR2356" s="116">
        <f>AQ2356-AP2356</f>
      </c>
      <c r="AS2356" s="94" t="str">
        <f>IF(AN2356&gt;=AQ2356,"ok","ck")</f>
      </c>
      <c r="AT2356" s="116">
        <f>-P2356</f>
      </c>
      <c r="AU2356" s="115">
        <f>IF(SUMIFS(AT:AT,AM:AM,AM2356)&gt;AO2356,(SUMIFS(AT:AT,AM:AM,AM2356)-AO2356))</f>
      </c>
      <c r="AV2356" s="116">
        <v>3525</v>
      </c>
      <c r="AW2356" s="121">
        <v>0.486</v>
      </c>
      <c r="AX2356" s="115">
        <f>AN2356-AP2356</f>
      </c>
    </row>
    <row r="2357" spans="1:50" ht="15" hidden="1" customHeight="1" x14ac:dyDescent="0.3">
      <c r="A2357" s="94" t="s">
        <v>93</v>
      </c>
      <c r="B2357" s="94"/>
      <c r="C2357" s="94"/>
      <c r="D2357" s="94"/>
      <c r="E2357" s="94"/>
      <c r="F2357" s="94"/>
      <c r="G2357" s="112">
        <f>AU2357</f>
      </c>
      <c r="H2357" s="113"/>
      <c r="I2357" s="94" t="s">
        <v>494</v>
      </c>
      <c r="J2357" s="94" t="s">
        <v>614</v>
      </c>
      <c r="K2357" s="114">
        <f>P2357/3</f>
      </c>
      <c r="L2357" s="115">
        <v>0</v>
      </c>
      <c r="M2357" s="116">
        <f>L2357</f>
      </c>
      <c r="N2357" s="117">
        <f>M2357-L2357</f>
      </c>
      <c r="O2357" s="112"/>
      <c r="P2357" s="118">
        <f>N2357+O2357</f>
      </c>
      <c r="Q2357" s="94" t="s">
        <v>95</v>
      </c>
      <c r="R2357" s="94" t="s">
        <v>63</v>
      </c>
      <c r="S2357" s="119">
        <v>46320</v>
      </c>
      <c r="T2357" s="119"/>
      <c r="U2357" s="119">
        <v>46320</v>
      </c>
      <c r="V2357" s="94"/>
      <c r="W2357" s="94"/>
      <c r="X2357" s="94"/>
      <c r="Y2357" s="119">
        <v>46320</v>
      </c>
      <c r="Z2357" s="94"/>
      <c r="AA2357" s="120"/>
      <c r="AB2357" s="120"/>
      <c r="AC2357" s="120"/>
      <c r="AD2357" s="120"/>
      <c r="AE2357" s="120"/>
      <c r="AF2357" s="120"/>
      <c r="AG2357" s="94"/>
      <c r="AH2357" s="120"/>
      <c r="AI2357" s="94"/>
      <c r="AJ2357" s="94" t="s">
        <v>95</v>
      </c>
      <c r="AK2357" s="94" t="s">
        <v>614</v>
      </c>
      <c r="AL2357" s="94">
        <v>210</v>
      </c>
      <c r="AM2357" s="94" t="str">
        <f>TRIM(AJ2357)&amp;TRIM(AL2357)&amp;TRIM(AK2357)</f>
      </c>
      <c r="AN2357" s="116">
        <v>3815</v>
      </c>
      <c r="AO2357" s="116">
        <v>-35</v>
      </c>
      <c r="AP2357" s="116">
        <f>SUMIFS(M:M,AM:AM,AM2357)+SUMIFS(O:O,AM:AM,AM2357)</f>
      </c>
      <c r="AQ2357" s="116">
        <f>SUMIFS(L:L,AM:AM,AM2357)</f>
      </c>
      <c r="AR2357" s="116">
        <f>AQ2357-AP2357</f>
      </c>
      <c r="AS2357" s="94" t="str">
        <f>IF(AN2357&gt;=AQ2357,"ok","ck")</f>
      </c>
      <c r="AT2357" s="116">
        <f>-P2357</f>
      </c>
      <c r="AU2357" s="115">
        <f>IF(SUMIFS(AT:AT,AM:AM,AM2357)&gt;AO2357,(SUMIFS(AT:AT,AM:AM,AM2357)-AO2357))</f>
      </c>
      <c r="AV2357" s="116">
        <v>3815</v>
      </c>
      <c r="AW2357" s="121">
        <v>1.009</v>
      </c>
      <c r="AX2357" s="115">
        <f>AN2357-AP2357</f>
      </c>
    </row>
    <row r="2358" spans="1:50" ht="15" hidden="1" customHeight="1" x14ac:dyDescent="0.3">
      <c r="A2358" s="94" t="s">
        <v>151</v>
      </c>
      <c r="B2358" s="94"/>
      <c r="C2358" s="94"/>
      <c r="D2358" s="94"/>
      <c r="E2358" s="94"/>
      <c r="F2358" s="94"/>
      <c r="G2358" s="112">
        <f>AU2358</f>
      </c>
      <c r="H2358" s="113"/>
      <c r="I2358" s="94" t="s">
        <v>163</v>
      </c>
      <c r="J2358" s="94" t="s">
        <v>200</v>
      </c>
      <c r="K2358" s="114">
        <f>P2358/3</f>
      </c>
      <c r="L2358" s="115">
        <v>-2.7909999999999999</v>
      </c>
      <c r="M2358" s="116">
        <f>L2358</f>
      </c>
      <c r="N2358" s="117">
        <f>M2358-L2358</f>
      </c>
      <c r="O2358" s="112"/>
      <c r="P2358" s="118">
        <f>N2358+O2358</f>
      </c>
      <c r="Q2358" s="94" t="s">
        <v>183</v>
      </c>
      <c r="R2358" s="94" t="s">
        <v>63</v>
      </c>
      <c r="S2358" s="119">
        <v>46320</v>
      </c>
      <c r="T2358" s="119"/>
      <c r="U2358" s="120">
        <v>46320</v>
      </c>
      <c r="V2358" s="94"/>
      <c r="W2358" s="94"/>
      <c r="X2358" s="94"/>
      <c r="Y2358" s="119">
        <v>46320</v>
      </c>
      <c r="Z2358" s="94"/>
      <c r="AA2358" s="120"/>
      <c r="AB2358" s="120"/>
      <c r="AC2358" s="120"/>
      <c r="AD2358" s="120"/>
      <c r="AE2358" s="120"/>
      <c r="AF2358" s="120"/>
      <c r="AG2358" s="94"/>
      <c r="AH2358" s="120"/>
      <c r="AI2358" s="94"/>
      <c r="AJ2358" s="94" t="s">
        <v>183</v>
      </c>
      <c r="AK2358" s="94" t="s">
        <v>201</v>
      </c>
      <c r="AL2358" s="94">
        <v>160</v>
      </c>
      <c r="AM2358" s="94" t="str">
        <f>TRIM(AJ2358)&amp;TRIM(AL2358)&amp;TRIM(AK2358)</f>
      </c>
      <c r="AN2358" s="116">
        <v>853</v>
      </c>
      <c r="AO2358" s="116">
        <v>-31.67</v>
      </c>
      <c r="AP2358" s="116">
        <f>SUMIFS(M:M,AM:AM,AM2358)+SUMIFS(O:O,AM:AM,AM2358)</f>
      </c>
      <c r="AQ2358" s="116">
        <f>SUMIFS(L:L,AM:AM,AM2358)</f>
      </c>
      <c r="AR2358" s="116">
        <f>AQ2358-AP2358</f>
      </c>
      <c r="AS2358" s="94" t="str">
        <f>IF(AN2358&gt;=AQ2358,"ok","ck")</f>
      </c>
      <c r="AT2358" s="116">
        <f>-P2358</f>
      </c>
      <c r="AU2358" s="115">
        <f>IF(SUMIFS(AT:AT,AM:AM,AM2358)&gt;AO2358,(SUMIFS(AT:AT,AM:AM,AM2358)-AO2358))</f>
      </c>
      <c r="AV2358" s="116">
        <v>853</v>
      </c>
      <c r="AW2358" s="121">
        <v>1.039</v>
      </c>
      <c r="AX2358" s="115">
        <f>AN2358-AP2358</f>
      </c>
    </row>
    <row r="2359" spans="1:50" ht="15" hidden="1" customHeight="1" x14ac:dyDescent="0.3">
      <c r="A2359" s="94" t="s">
        <v>151</v>
      </c>
      <c r="B2359" s="94"/>
      <c r="C2359" s="94"/>
      <c r="D2359" s="94"/>
      <c r="E2359" s="94"/>
      <c r="F2359" s="94"/>
      <c r="G2359" s="112">
        <f>AU2359</f>
      </c>
      <c r="H2359" s="113"/>
      <c r="I2359" s="94" t="s">
        <v>163</v>
      </c>
      <c r="J2359" s="94" t="s">
        <v>200</v>
      </c>
      <c r="K2359" s="114">
        <f>P2359/3</f>
      </c>
      <c r="L2359" s="115">
        <v>-1.5940000000000001</v>
      </c>
      <c r="M2359" s="116">
        <f>L2359</f>
      </c>
      <c r="N2359" s="117">
        <f>M2359-L2359</f>
      </c>
      <c r="O2359" s="112"/>
      <c r="P2359" s="118">
        <f>N2359+O2359</f>
      </c>
      <c r="Q2359" s="94" t="s">
        <v>183</v>
      </c>
      <c r="R2359" s="94" t="s">
        <v>63</v>
      </c>
      <c r="S2359" s="119">
        <v>46334</v>
      </c>
      <c r="T2359" s="119"/>
      <c r="U2359" s="119">
        <v>46334</v>
      </c>
      <c r="V2359" s="94"/>
      <c r="W2359" s="94"/>
      <c r="X2359" s="94"/>
      <c r="Y2359" s="119">
        <v>46334</v>
      </c>
      <c r="Z2359" s="94"/>
      <c r="AA2359" s="120"/>
      <c r="AB2359" s="120"/>
      <c r="AC2359" s="120"/>
      <c r="AD2359" s="120"/>
      <c r="AE2359" s="120"/>
      <c r="AF2359" s="120"/>
      <c r="AG2359" s="94"/>
      <c r="AH2359" s="120"/>
      <c r="AI2359" s="94"/>
      <c r="AJ2359" s="94" t="s">
        <v>183</v>
      </c>
      <c r="AK2359" s="94" t="s">
        <v>201</v>
      </c>
      <c r="AL2359" s="94">
        <v>160</v>
      </c>
      <c r="AM2359" s="94" t="str">
        <f>TRIM(AJ2359)&amp;TRIM(AL2359)&amp;TRIM(AK2359)</f>
      </c>
      <c r="AN2359" s="116">
        <v>853</v>
      </c>
      <c r="AO2359" s="116">
        <v>-31.67</v>
      </c>
      <c r="AP2359" s="116">
        <f>SUMIFS(M:M,AM:AM,AM2359)+SUMIFS(O:O,AM:AM,AM2359)</f>
      </c>
      <c r="AQ2359" s="116">
        <f>SUMIFS(L:L,AM:AM,AM2359)</f>
      </c>
      <c r="AR2359" s="116">
        <f>AQ2359-AP2359</f>
      </c>
      <c r="AS2359" s="94" t="str">
        <f>IF(AN2359&gt;=AQ2359,"ok","ck")</f>
      </c>
      <c r="AT2359" s="116">
        <f>-P2359</f>
      </c>
      <c r="AU2359" s="115">
        <f>IF(SUMIFS(AT:AT,AM:AM,AM2359)&gt;AO2359,(SUMIFS(AT:AT,AM:AM,AM2359)-AO2359))</f>
      </c>
      <c r="AV2359" s="116">
        <v>853</v>
      </c>
      <c r="AW2359" s="121">
        <v>1.039</v>
      </c>
      <c r="AX2359" s="115">
        <f>AN2359-AP2359</f>
      </c>
    </row>
    <row r="2360" spans="1:50" ht="15" hidden="1" customHeight="1" x14ac:dyDescent="0.3">
      <c r="A2360" s="94" t="s">
        <v>151</v>
      </c>
      <c r="B2360" s="94"/>
      <c r="C2360" s="94"/>
      <c r="D2360" s="94"/>
      <c r="E2360" s="94"/>
      <c r="F2360" s="94"/>
      <c r="G2360" s="112">
        <f>AU2360</f>
      </c>
      <c r="H2360" s="113"/>
      <c r="I2360" s="94" t="s">
        <v>163</v>
      </c>
      <c r="J2360" s="94" t="s">
        <v>200</v>
      </c>
      <c r="K2360" s="114">
        <f>P2360/3</f>
      </c>
      <c r="L2360" s="115">
        <v>-1.5940000000000001</v>
      </c>
      <c r="M2360" s="116">
        <f>L2360</f>
      </c>
      <c r="N2360" s="117">
        <f>M2360-L2360</f>
      </c>
      <c r="O2360" s="112"/>
      <c r="P2360" s="118">
        <f>N2360+O2360</f>
      </c>
      <c r="Q2360" s="94" t="s">
        <v>183</v>
      </c>
      <c r="R2360" s="94" t="s">
        <v>63</v>
      </c>
      <c r="S2360" s="119">
        <v>46342</v>
      </c>
      <c r="T2360" s="119"/>
      <c r="U2360" s="119">
        <v>46342</v>
      </c>
      <c r="V2360" s="94"/>
      <c r="W2360" s="94"/>
      <c r="X2360" s="94"/>
      <c r="Y2360" s="119">
        <v>46342</v>
      </c>
      <c r="Z2360" s="94"/>
      <c r="AA2360" s="120"/>
      <c r="AB2360" s="120"/>
      <c r="AC2360" s="120"/>
      <c r="AD2360" s="120"/>
      <c r="AE2360" s="120"/>
      <c r="AF2360" s="120"/>
      <c r="AG2360" s="94"/>
      <c r="AH2360" s="120"/>
      <c r="AI2360" s="94"/>
      <c r="AJ2360" s="94" t="s">
        <v>183</v>
      </c>
      <c r="AK2360" s="94" t="s">
        <v>201</v>
      </c>
      <c r="AL2360" s="94">
        <v>160</v>
      </c>
      <c r="AM2360" s="94" t="str">
        <f>TRIM(AJ2360)&amp;TRIM(AL2360)&amp;TRIM(AK2360)</f>
      </c>
      <c r="AN2360" s="116">
        <v>853</v>
      </c>
      <c r="AO2360" s="116">
        <v>-31.67</v>
      </c>
      <c r="AP2360" s="116">
        <f>SUMIFS(M:M,AM:AM,AM2360)+SUMIFS(O:O,AM:AM,AM2360)</f>
      </c>
      <c r="AQ2360" s="116">
        <f>SUMIFS(L:L,AM:AM,AM2360)</f>
      </c>
      <c r="AR2360" s="116">
        <f>AQ2360-AP2360</f>
      </c>
      <c r="AS2360" s="94" t="str">
        <f>IF(AN2360&gt;=AQ2360,"ok","ck")</f>
      </c>
      <c r="AT2360" s="116">
        <f>-P2360</f>
      </c>
      <c r="AU2360" s="115">
        <f>IF(SUMIFS(AT:AT,AM:AM,AM2360)&gt;AO2360,(SUMIFS(AT:AT,AM:AM,AM2360)-AO2360))</f>
      </c>
      <c r="AV2360" s="116">
        <v>853</v>
      </c>
      <c r="AW2360" s="121">
        <v>1.039</v>
      </c>
      <c r="AX2360" s="115">
        <f>AN2360-AP2360</f>
      </c>
    </row>
    <row r="2361" spans="1:50" ht="15" hidden="1" customHeight="1" x14ac:dyDescent="0.3">
      <c r="A2361" s="94" t="s">
        <v>151</v>
      </c>
      <c r="B2361" s="94"/>
      <c r="C2361" s="94"/>
      <c r="D2361" s="94"/>
      <c r="E2361" s="94"/>
      <c r="F2361" s="94"/>
      <c r="G2361" s="112">
        <f>AU2361</f>
      </c>
      <c r="H2361" s="113"/>
      <c r="I2361" s="94" t="s">
        <v>152</v>
      </c>
      <c r="J2361" s="94" t="s">
        <v>189</v>
      </c>
      <c r="K2361" s="114">
        <f>P2361/3</f>
      </c>
      <c r="L2361" s="115">
        <v>6.298</v>
      </c>
      <c r="M2361" s="116">
        <f>L2361</f>
      </c>
      <c r="N2361" s="117">
        <f>M2361-L2361</f>
      </c>
      <c r="O2361" s="112"/>
      <c r="P2361" s="118">
        <f>N2361+O2361</f>
      </c>
      <c r="Q2361" s="94" t="s">
        <v>169</v>
      </c>
      <c r="R2361" s="94" t="s">
        <v>63</v>
      </c>
      <c r="S2361" s="119">
        <v>46327</v>
      </c>
      <c r="T2361" s="119"/>
      <c r="U2361" s="119">
        <v>46327</v>
      </c>
      <c r="V2361" s="94"/>
      <c r="W2361" s="94"/>
      <c r="X2361" s="94"/>
      <c r="Y2361" s="119">
        <v>46320</v>
      </c>
      <c r="Z2361" s="94"/>
      <c r="AA2361" s="120"/>
      <c r="AB2361" s="120"/>
      <c r="AC2361" s="120"/>
      <c r="AD2361" s="120"/>
      <c r="AE2361" s="120"/>
      <c r="AF2361" s="120"/>
      <c r="AG2361" s="94"/>
      <c r="AH2361" s="120"/>
      <c r="AI2361" s="94"/>
      <c r="AJ2361" s="94" t="s">
        <v>169</v>
      </c>
      <c r="AK2361" s="94" t="s">
        <v>190</v>
      </c>
      <c r="AL2361" s="94">
        <v>160</v>
      </c>
      <c r="AM2361" s="94" t="str">
        <f>TRIM(AJ2361)&amp;TRIM(AL2361)&amp;TRIM(AK2361)</f>
      </c>
      <c r="AN2361" s="116">
        <v>71</v>
      </c>
      <c r="AO2361" s="116">
        <v>1</v>
      </c>
      <c r="AP2361" s="116">
        <f>SUMIFS(M:M,AM:AM,AM2361)+SUMIFS(O:O,AM:AM,AM2361)</f>
      </c>
      <c r="AQ2361" s="116">
        <f>SUMIFS(L:L,AM:AM,AM2361)</f>
      </c>
      <c r="AR2361" s="116">
        <f>AQ2361-AP2361</f>
      </c>
      <c r="AS2361" s="94" t="str">
        <f>IF(AN2361&gt;=AQ2361,"ok","ck")</f>
      </c>
      <c r="AT2361" s="116">
        <f>-P2361</f>
      </c>
      <c r="AU2361" s="115">
        <f>IF(SUMIFS(AT:AT,AM:AM,AM2361)&gt;AO2361,(SUMIFS(AT:AT,AM:AM,AM2361)-AO2361))</f>
      </c>
      <c r="AV2361" s="116">
        <v>71</v>
      </c>
      <c r="AW2361" s="121">
        <v>0.986</v>
      </c>
      <c r="AX2361" s="115">
        <f>AN2361-AP2361</f>
      </c>
    </row>
    <row r="2362" spans="1:50" ht="15" hidden="1" customHeight="1" x14ac:dyDescent="0.3">
      <c r="A2362" s="94" t="s">
        <v>151</v>
      </c>
      <c r="B2362" s="94"/>
      <c r="C2362" s="94"/>
      <c r="D2362" s="94"/>
      <c r="E2362" s="94"/>
      <c r="F2362" s="94"/>
      <c r="G2362" s="112">
        <f>AU2362</f>
      </c>
      <c r="H2362" s="113"/>
      <c r="I2362" s="94" t="s">
        <v>152</v>
      </c>
      <c r="J2362" s="94" t="s">
        <v>156</v>
      </c>
      <c r="K2362" s="114">
        <f>P2362/3</f>
      </c>
      <c r="L2362" s="115">
        <v>101</v>
      </c>
      <c r="M2362" s="116">
        <v>101</v>
      </c>
      <c r="N2362" s="117">
        <f>M2362-L2362</f>
      </c>
      <c r="O2362" s="112"/>
      <c r="P2362" s="118">
        <f>N2362+O2362</f>
      </c>
      <c r="Q2362" s="94" t="s">
        <v>213</v>
      </c>
      <c r="R2362" s="94" t="s">
        <v>63</v>
      </c>
      <c r="S2362" s="119">
        <v>46333</v>
      </c>
      <c r="T2362" s="119"/>
      <c r="U2362" s="119" t="s">
        <v>684</v>
      </c>
      <c r="V2362" s="94"/>
      <c r="W2362" s="94"/>
      <c r="X2362" s="94"/>
      <c r="Y2362" s="119">
        <v>46320</v>
      </c>
      <c r="Z2362" s="94"/>
      <c r="AA2362" s="120"/>
      <c r="AB2362" s="120"/>
      <c r="AC2362" s="120"/>
      <c r="AD2362" s="120"/>
      <c r="AE2362" s="120"/>
      <c r="AF2362" s="120"/>
      <c r="AG2362" s="94"/>
      <c r="AH2362" s="120"/>
      <c r="AI2362" s="94"/>
      <c r="AJ2362" s="94" t="s">
        <v>213</v>
      </c>
      <c r="AK2362" s="94" t="s">
        <v>158</v>
      </c>
      <c r="AL2362" s="94">
        <v>160</v>
      </c>
      <c r="AM2362" s="94" t="str">
        <f>TRIM(AJ2362)&amp;TRIM(AL2362)&amp;TRIM(AK2362)</f>
      </c>
      <c r="AN2362" s="116">
        <v>4334.9</v>
      </c>
      <c r="AO2362" s="116">
        <v>265.1</v>
      </c>
      <c r="AP2362" s="116">
        <f>SUMIFS(M:M,AM:AM,AM2362)+SUMIFS(O:O,AM:AM,AM2362)</f>
      </c>
      <c r="AQ2362" s="116">
        <f>SUMIFS(L:L,AM:AM,AM2362)</f>
      </c>
      <c r="AR2362" s="116">
        <f>AQ2362-AP2362</f>
      </c>
      <c r="AS2362" s="94" t="str">
        <f>IF(AN2362&gt;=AQ2362,"ok","ck")</f>
      </c>
      <c r="AT2362" s="116">
        <f>-P2362</f>
      </c>
      <c r="AU2362" s="115">
        <f>IF(SUMIFS(AT:AT,AM:AM,AM2362)&gt;AO2362,(SUMIFS(AT:AT,AM:AM,AM2362)-AO2362))</f>
      </c>
      <c r="AV2362" s="116">
        <v>4334.9</v>
      </c>
      <c r="AW2362" s="121">
        <v>0.942</v>
      </c>
      <c r="AX2362" s="115">
        <f>AN2362-AP2362</f>
      </c>
    </row>
    <row r="2363" spans="1:50" ht="15" hidden="1" customHeight="1" x14ac:dyDescent="0.3">
      <c r="A2363" s="94" t="s">
        <v>151</v>
      </c>
      <c r="B2363" s="94"/>
      <c r="C2363" s="94"/>
      <c r="D2363" s="94"/>
      <c r="E2363" s="94"/>
      <c r="F2363" s="94"/>
      <c r="G2363" s="112">
        <f>AU2363</f>
      </c>
      <c r="H2363" s="113"/>
      <c r="I2363" s="94" t="s">
        <v>152</v>
      </c>
      <c r="J2363" s="94" t="s">
        <v>156</v>
      </c>
      <c r="K2363" s="114">
        <f>P2363/3</f>
      </c>
      <c r="L2363" s="115">
        <v>206</v>
      </c>
      <c r="M2363" s="116">
        <v>206</v>
      </c>
      <c r="N2363" s="117">
        <f>M2363-L2363</f>
      </c>
      <c r="O2363" s="112"/>
      <c r="P2363" s="118">
        <f>N2363+O2363</f>
      </c>
      <c r="Q2363" s="94" t="s">
        <v>213</v>
      </c>
      <c r="R2363" s="94" t="s">
        <v>63</v>
      </c>
      <c r="S2363" s="119">
        <v>46336</v>
      </c>
      <c r="T2363" s="119"/>
      <c r="U2363" s="119" t="s">
        <v>684</v>
      </c>
      <c r="V2363" s="94"/>
      <c r="W2363" s="94"/>
      <c r="X2363" s="94"/>
      <c r="Y2363" s="119">
        <v>46320</v>
      </c>
      <c r="Z2363" s="94"/>
      <c r="AA2363" s="120"/>
      <c r="AB2363" s="120"/>
      <c r="AC2363" s="120"/>
      <c r="AD2363" s="120"/>
      <c r="AE2363" s="120"/>
      <c r="AF2363" s="120"/>
      <c r="AG2363" s="94"/>
      <c r="AH2363" s="120"/>
      <c r="AI2363" s="94"/>
      <c r="AJ2363" s="94" t="s">
        <v>213</v>
      </c>
      <c r="AK2363" s="94" t="s">
        <v>158</v>
      </c>
      <c r="AL2363" s="94">
        <v>160</v>
      </c>
      <c r="AM2363" s="94" t="str">
        <f>TRIM(AJ2363)&amp;TRIM(AL2363)&amp;TRIM(AK2363)</f>
      </c>
      <c r="AN2363" s="116">
        <v>4334.9</v>
      </c>
      <c r="AO2363" s="116">
        <v>265.1</v>
      </c>
      <c r="AP2363" s="116">
        <f>SUMIFS(M:M,AM:AM,AM2363)+SUMIFS(O:O,AM:AM,AM2363)</f>
      </c>
      <c r="AQ2363" s="116">
        <f>SUMIFS(L:L,AM:AM,AM2363)</f>
      </c>
      <c r="AR2363" s="116">
        <f>AQ2363-AP2363</f>
      </c>
      <c r="AS2363" s="94" t="str">
        <f>IF(AN2363&gt;=AQ2363,"ok","ck")</f>
      </c>
      <c r="AT2363" s="116">
        <f>-P2363</f>
      </c>
      <c r="AU2363" s="115">
        <f>IF(SUMIFS(AT:AT,AM:AM,AM2363)&gt;AO2363,(SUMIFS(AT:AT,AM:AM,AM2363)-AO2363))</f>
      </c>
      <c r="AV2363" s="116">
        <v>4334.9</v>
      </c>
      <c r="AW2363" s="121">
        <v>0.942</v>
      </c>
      <c r="AX2363" s="115">
        <f>AN2363-AP2363</f>
      </c>
    </row>
    <row r="2364" spans="1:50" ht="15" hidden="1" customHeight="1" x14ac:dyDescent="0.3">
      <c r="A2364" s="94" t="s">
        <v>151</v>
      </c>
      <c r="B2364" s="94"/>
      <c r="C2364" s="94"/>
      <c r="D2364" s="94"/>
      <c r="E2364" s="94"/>
      <c r="F2364" s="94"/>
      <c r="G2364" s="112">
        <f>AU2364</f>
      </c>
      <c r="H2364" s="113"/>
      <c r="I2364" s="94" t="s">
        <v>152</v>
      </c>
      <c r="J2364" s="94" t="s">
        <v>156</v>
      </c>
      <c r="K2364" s="114">
        <f>P2364/3</f>
      </c>
      <c r="L2364" s="115">
        <v>2413</v>
      </c>
      <c r="M2364" s="116">
        <v>1603.9880000000001</v>
      </c>
      <c r="N2364" s="117">
        <f>M2364-L2364</f>
      </c>
      <c r="O2364" s="112"/>
      <c r="P2364" s="118">
        <f>N2364+O2364</f>
      </c>
      <c r="Q2364" s="94" t="s">
        <v>202</v>
      </c>
      <c r="R2364" s="94" t="s">
        <v>63</v>
      </c>
      <c r="S2364" s="119">
        <v>46348</v>
      </c>
      <c r="T2364" s="119"/>
      <c r="U2364" s="119" t="s">
        <v>685</v>
      </c>
      <c r="V2364" s="94"/>
      <c r="W2364" s="94"/>
      <c r="X2364" s="94"/>
      <c r="Y2364" s="119">
        <v>46320</v>
      </c>
      <c r="Z2364" s="94"/>
      <c r="AA2364" s="120"/>
      <c r="AB2364" s="120"/>
      <c r="AC2364" s="120"/>
      <c r="AD2364" s="120"/>
      <c r="AE2364" s="120"/>
      <c r="AF2364" s="120"/>
      <c r="AG2364" s="94"/>
      <c r="AH2364" s="120"/>
      <c r="AI2364" s="94"/>
      <c r="AJ2364" s="94" t="s">
        <v>202</v>
      </c>
      <c r="AK2364" s="94" t="s">
        <v>158</v>
      </c>
      <c r="AL2364" s="94">
        <v>160</v>
      </c>
      <c r="AM2364" s="94" t="str">
        <f>TRIM(AJ2364)&amp;TRIM(AL2364)&amp;TRIM(AK2364)</f>
      </c>
      <c r="AN2364" s="116">
        <v>5131.82</v>
      </c>
      <c r="AO2364" s="116">
        <v>7024.18</v>
      </c>
      <c r="AP2364" s="116">
        <f>SUMIFS(M:M,AM:AM,AM2364)+SUMIFS(O:O,AM:AM,AM2364)</f>
      </c>
      <c r="AQ2364" s="116">
        <f>SUMIFS(L:L,AM:AM,AM2364)</f>
      </c>
      <c r="AR2364" s="116">
        <f>AQ2364-AP2364</f>
      </c>
      <c r="AS2364" s="94" t="str">
        <f>IF(AN2364&gt;=AQ2364,"ok","ck")</f>
      </c>
      <c r="AT2364" s="116">
        <f>-P2364</f>
      </c>
      <c r="AU2364" s="115">
        <f>IF(SUMIFS(AT:AT,AM:AM,AM2364)&gt;AO2364,(SUMIFS(AT:AT,AM:AM,AM2364)-AO2364))</f>
      </c>
      <c r="AV2364" s="116">
        <v>5131.82</v>
      </c>
      <c r="AW2364" s="121">
        <v>0.422</v>
      </c>
      <c r="AX2364" s="115">
        <f>AN2364-AP2364</f>
      </c>
    </row>
    <row r="2365" spans="1:50" ht="15" hidden="1" customHeight="1" x14ac:dyDescent="0.3">
      <c r="A2365" s="94" t="s">
        <v>151</v>
      </c>
      <c r="B2365" s="94"/>
      <c r="C2365" s="94"/>
      <c r="D2365" s="94"/>
      <c r="E2365" s="94"/>
      <c r="F2365" s="94"/>
      <c r="G2365" s="112">
        <f>AU2365</f>
      </c>
      <c r="H2365" s="113"/>
      <c r="I2365" s="94" t="s">
        <v>174</v>
      </c>
      <c r="J2365" s="94" t="s">
        <v>175</v>
      </c>
      <c r="K2365" s="114">
        <f>P2365/3</f>
      </c>
      <c r="L2365" s="115">
        <v>0</v>
      </c>
      <c r="M2365" s="116"/>
      <c r="N2365" s="117">
        <f>M2365-L2365</f>
      </c>
      <c r="O2365" s="112"/>
      <c r="P2365" s="118">
        <f>N2365+O2365</f>
      </c>
      <c r="Q2365" s="94" t="s">
        <v>176</v>
      </c>
      <c r="R2365" s="94" t="s">
        <v>63</v>
      </c>
      <c r="S2365" s="119">
        <v>46320</v>
      </c>
      <c r="T2365" s="119"/>
      <c r="U2365" s="119">
        <v>46320</v>
      </c>
      <c r="V2365" s="94"/>
      <c r="W2365" s="94"/>
      <c r="X2365" s="94"/>
      <c r="Y2365" s="119">
        <v>46320</v>
      </c>
      <c r="Z2365" s="94"/>
      <c r="AA2365" s="120"/>
      <c r="AB2365" s="120"/>
      <c r="AC2365" s="120"/>
      <c r="AD2365" s="120"/>
      <c r="AE2365" s="120"/>
      <c r="AF2365" s="120"/>
      <c r="AG2365" s="94"/>
      <c r="AH2365" s="120"/>
      <c r="AI2365" s="94"/>
      <c r="AJ2365" s="94" t="s">
        <v>176</v>
      </c>
      <c r="AK2365" s="94" t="s">
        <v>177</v>
      </c>
      <c r="AL2365" s="94">
        <v>160</v>
      </c>
      <c r="AM2365" s="94" t="str">
        <f>TRIM(AJ2365)&amp;TRIM(AL2365)&amp;TRIM(AK2365)</f>
      </c>
      <c r="AN2365" s="116">
        <v>6454</v>
      </c>
      <c r="AO2365" s="116">
        <v>1656</v>
      </c>
      <c r="AP2365" s="116">
        <f>SUMIFS(M:M,AM:AM,AM2365)+SUMIFS(O:O,AM:AM,AM2365)</f>
      </c>
      <c r="AQ2365" s="116">
        <f>SUMIFS(L:L,AM:AM,AM2365)</f>
      </c>
      <c r="AR2365" s="116">
        <f>AQ2365-AP2365</f>
      </c>
      <c r="AS2365" s="94" t="str">
        <f>IF(AN2365&gt;=AQ2365,"ok","ck")</f>
      </c>
      <c r="AT2365" s="116">
        <f>-P2365</f>
      </c>
      <c r="AU2365" s="115">
        <f>IF(SUMIFS(AT:AT,AM:AM,AM2365)&gt;AO2365,(SUMIFS(AT:AT,AM:AM,AM2365)-AO2365))</f>
      </c>
      <c r="AV2365" s="116">
        <v>6454</v>
      </c>
      <c r="AW2365" s="121">
        <v>0.796</v>
      </c>
      <c r="AX2365" s="115">
        <f>AN2365-AP2365</f>
      </c>
    </row>
    <row r="2366" spans="1:50" ht="15" hidden="1" customHeight="1" x14ac:dyDescent="0.3">
      <c r="A2366" s="94" t="s">
        <v>151</v>
      </c>
      <c r="B2366" s="94"/>
      <c r="C2366" s="94"/>
      <c r="D2366" s="94"/>
      <c r="E2366" s="94"/>
      <c r="F2366" s="94"/>
      <c r="G2366" s="112">
        <f>AU2366</f>
      </c>
      <c r="H2366" s="113"/>
      <c r="I2366" s="94" t="s">
        <v>174</v>
      </c>
      <c r="J2366" s="94" t="s">
        <v>175</v>
      </c>
      <c r="K2366" s="114">
        <f>P2366/3</f>
      </c>
      <c r="L2366" s="115">
        <v>0</v>
      </c>
      <c r="M2366" s="116"/>
      <c r="N2366" s="117">
        <f>M2366-L2366</f>
      </c>
      <c r="O2366" s="112"/>
      <c r="P2366" s="118">
        <f>N2366+O2366</f>
      </c>
      <c r="Q2366" s="94" t="s">
        <v>176</v>
      </c>
      <c r="R2366" s="94" t="s">
        <v>63</v>
      </c>
      <c r="S2366" s="119">
        <v>46322</v>
      </c>
      <c r="T2366" s="119"/>
      <c r="U2366" s="119">
        <v>46322</v>
      </c>
      <c r="V2366" s="94"/>
      <c r="W2366" s="94"/>
      <c r="X2366" s="94"/>
      <c r="Y2366" s="119">
        <v>46322</v>
      </c>
      <c r="Z2366" s="94"/>
      <c r="AA2366" s="120"/>
      <c r="AB2366" s="120"/>
      <c r="AC2366" s="120"/>
      <c r="AD2366" s="120"/>
      <c r="AE2366" s="120"/>
      <c r="AF2366" s="120"/>
      <c r="AG2366" s="94"/>
      <c r="AH2366" s="120"/>
      <c r="AI2366" s="94"/>
      <c r="AJ2366" s="94" t="s">
        <v>176</v>
      </c>
      <c r="AK2366" s="94" t="s">
        <v>177</v>
      </c>
      <c r="AL2366" s="94">
        <v>160</v>
      </c>
      <c r="AM2366" s="94" t="str">
        <f>TRIM(AJ2366)&amp;TRIM(AL2366)&amp;TRIM(AK2366)</f>
      </c>
      <c r="AN2366" s="116">
        <v>6454</v>
      </c>
      <c r="AO2366" s="116">
        <v>1656</v>
      </c>
      <c r="AP2366" s="116">
        <f>SUMIFS(M:M,AM:AM,AM2366)+SUMIFS(O:O,AM:AM,AM2366)</f>
      </c>
      <c r="AQ2366" s="116">
        <f>SUMIFS(L:L,AM:AM,AM2366)</f>
      </c>
      <c r="AR2366" s="116">
        <f>AQ2366-AP2366</f>
      </c>
      <c r="AS2366" s="94" t="str">
        <f>IF(AN2366&gt;=AQ2366,"ok","ck")</f>
      </c>
      <c r="AT2366" s="116">
        <f>-P2366</f>
      </c>
      <c r="AU2366" s="115">
        <f>IF(SUMIFS(AT:AT,AM:AM,AM2366)&gt;AO2366,(SUMIFS(AT:AT,AM:AM,AM2366)-AO2366))</f>
      </c>
      <c r="AV2366" s="116">
        <v>6454</v>
      </c>
      <c r="AW2366" s="121">
        <v>0.796</v>
      </c>
      <c r="AX2366" s="115">
        <f>AN2366-AP2366</f>
      </c>
    </row>
    <row r="2367" spans="1:50" ht="15" hidden="1" customHeight="1" x14ac:dyDescent="0.3">
      <c r="A2367" s="94" t="s">
        <v>151</v>
      </c>
      <c r="B2367" s="94"/>
      <c r="C2367" s="94"/>
      <c r="D2367" s="94"/>
      <c r="E2367" s="94"/>
      <c r="F2367" s="94"/>
      <c r="G2367" s="112">
        <f>AU2367</f>
      </c>
      <c r="H2367" s="113"/>
      <c r="I2367" s="94" t="s">
        <v>152</v>
      </c>
      <c r="J2367" s="94" t="s">
        <v>186</v>
      </c>
      <c r="K2367" s="114">
        <f>P2367/3</f>
      </c>
      <c r="L2367" s="115">
        <v>0</v>
      </c>
      <c r="M2367" s="116"/>
      <c r="N2367" s="117">
        <f>M2367-L2367</f>
      </c>
      <c r="O2367" s="112"/>
      <c r="P2367" s="118">
        <f>N2367+O2367</f>
      </c>
      <c r="Q2367" s="94" t="s">
        <v>185</v>
      </c>
      <c r="R2367" s="94" t="s">
        <v>63</v>
      </c>
      <c r="S2367" s="119">
        <v>46320</v>
      </c>
      <c r="T2367" s="119"/>
      <c r="U2367" s="119">
        <v>46320</v>
      </c>
      <c r="V2367" s="94"/>
      <c r="W2367" s="94"/>
      <c r="X2367" s="94"/>
      <c r="Y2367" s="119">
        <v>46320</v>
      </c>
      <c r="Z2367" s="94"/>
      <c r="AA2367" s="120"/>
      <c r="AB2367" s="120"/>
      <c r="AC2367" s="120"/>
      <c r="AD2367" s="120"/>
      <c r="AE2367" s="120"/>
      <c r="AF2367" s="120"/>
      <c r="AG2367" s="94"/>
      <c r="AH2367" s="120"/>
      <c r="AI2367" s="94"/>
      <c r="AJ2367" s="94" t="s">
        <v>185</v>
      </c>
      <c r="AK2367" s="94" t="s">
        <v>187</v>
      </c>
      <c r="AL2367" s="94">
        <v>160</v>
      </c>
      <c r="AM2367" s="94" t="str">
        <f>TRIM(AJ2367)&amp;TRIM(AL2367)&amp;TRIM(AK2367)</f>
      </c>
      <c r="AN2367" s="116">
        <v>6162.76</v>
      </c>
      <c r="AO2367" s="116">
        <v>152.24</v>
      </c>
      <c r="AP2367" s="116">
        <f>SUMIFS(M:M,AM:AM,AM2367)+SUMIFS(O:O,AM:AM,AM2367)</f>
      </c>
      <c r="AQ2367" s="116">
        <f>SUMIFS(L:L,AM:AM,AM2367)</f>
      </c>
      <c r="AR2367" s="116">
        <f>AQ2367-AP2367</f>
      </c>
      <c r="AS2367" s="94" t="str">
        <f>IF(AN2367&gt;=AQ2367,"ok","ck")</f>
      </c>
      <c r="AT2367" s="116">
        <f>-P2367</f>
      </c>
      <c r="AU2367" s="115">
        <f>IF(SUMIFS(AT:AT,AM:AM,AM2367)&gt;AO2367,(SUMIFS(AT:AT,AM:AM,AM2367)-AO2367))</f>
      </c>
      <c r="AV2367" s="116">
        <v>6162.76</v>
      </c>
      <c r="AW2367" s="121">
        <v>0.976</v>
      </c>
      <c r="AX2367" s="115">
        <f>AN2367-AP2367</f>
      </c>
    </row>
    <row r="2368" spans="1:50" ht="15" hidden="1" customHeight="1" x14ac:dyDescent="0.3">
      <c r="A2368" s="94" t="s">
        <v>151</v>
      </c>
      <c r="B2368" s="94"/>
      <c r="C2368" s="94"/>
      <c r="D2368" s="94"/>
      <c r="E2368" s="94"/>
      <c r="F2368" s="94"/>
      <c r="G2368" s="112">
        <f>AU2368</f>
      </c>
      <c r="H2368" s="113"/>
      <c r="I2368" s="94" t="s">
        <v>152</v>
      </c>
      <c r="J2368" s="94" t="s">
        <v>186</v>
      </c>
      <c r="K2368" s="114">
        <f>P2368/3</f>
      </c>
      <c r="L2368" s="115">
        <v>2.5939999999999999</v>
      </c>
      <c r="M2368" s="116">
        <v>2.5939999999999999</v>
      </c>
      <c r="N2368" s="117">
        <f>M2368-L2368</f>
      </c>
      <c r="O2368" s="112"/>
      <c r="P2368" s="118">
        <f>N2368+O2368</f>
      </c>
      <c r="Q2368" s="94" t="s">
        <v>185</v>
      </c>
      <c r="R2368" s="94" t="s">
        <v>63</v>
      </c>
      <c r="S2368" s="119">
        <v>46330</v>
      </c>
      <c r="T2368" s="119"/>
      <c r="U2368" s="119">
        <v>46330</v>
      </c>
      <c r="V2368" s="94"/>
      <c r="W2368" s="94"/>
      <c r="X2368" s="94"/>
      <c r="Y2368" s="119">
        <v>46330</v>
      </c>
      <c r="Z2368" s="94"/>
      <c r="AA2368" s="120"/>
      <c r="AB2368" s="120"/>
      <c r="AC2368" s="120"/>
      <c r="AD2368" s="120"/>
      <c r="AE2368" s="120"/>
      <c r="AF2368" s="120"/>
      <c r="AG2368" s="94"/>
      <c r="AH2368" s="120"/>
      <c r="AI2368" s="94"/>
      <c r="AJ2368" s="94" t="s">
        <v>185</v>
      </c>
      <c r="AK2368" s="94" t="s">
        <v>187</v>
      </c>
      <c r="AL2368" s="94">
        <v>160</v>
      </c>
      <c r="AM2368" s="94" t="str">
        <f>TRIM(AJ2368)&amp;TRIM(AL2368)&amp;TRIM(AK2368)</f>
      </c>
      <c r="AN2368" s="116">
        <v>6162.76</v>
      </c>
      <c r="AO2368" s="116">
        <v>152.24</v>
      </c>
      <c r="AP2368" s="116">
        <f>SUMIFS(M:M,AM:AM,AM2368)+SUMIFS(O:O,AM:AM,AM2368)</f>
      </c>
      <c r="AQ2368" s="116">
        <f>SUMIFS(L:L,AM:AM,AM2368)</f>
      </c>
      <c r="AR2368" s="116">
        <f>AQ2368-AP2368</f>
      </c>
      <c r="AS2368" s="94" t="str">
        <f>IF(AN2368&gt;=AQ2368,"ok","ck")</f>
      </c>
      <c r="AT2368" s="116">
        <f>-P2368</f>
      </c>
      <c r="AU2368" s="115">
        <f>IF(SUMIFS(AT:AT,AM:AM,AM2368)&gt;AO2368,(SUMIFS(AT:AT,AM:AM,AM2368)-AO2368))</f>
      </c>
      <c r="AV2368" s="116">
        <v>6162.76</v>
      </c>
      <c r="AW2368" s="121">
        <v>0.976</v>
      </c>
      <c r="AX2368" s="115">
        <f>AN2368-AP2368</f>
      </c>
    </row>
    <row r="2369" spans="1:50" ht="15" hidden="1" customHeight="1" x14ac:dyDescent="0.3">
      <c r="A2369" s="94" t="s">
        <v>151</v>
      </c>
      <c r="B2369" s="94"/>
      <c r="C2369" s="94"/>
      <c r="D2369" s="94"/>
      <c r="E2369" s="94"/>
      <c r="F2369" s="94"/>
      <c r="G2369" s="112">
        <f>AU2369</f>
      </c>
      <c r="H2369" s="113"/>
      <c r="I2369" s="94" t="s">
        <v>152</v>
      </c>
      <c r="J2369" s="94" t="s">
        <v>186</v>
      </c>
      <c r="K2369" s="114">
        <f>P2369/3</f>
      </c>
      <c r="L2369" s="115">
        <v>522.58299999999997</v>
      </c>
      <c r="M2369" s="116">
        <v>522.58299999999997</v>
      </c>
      <c r="N2369" s="117">
        <f>M2369-L2369</f>
      </c>
      <c r="O2369" s="112"/>
      <c r="P2369" s="118">
        <f>N2369+O2369</f>
      </c>
      <c r="Q2369" s="94" t="s">
        <v>185</v>
      </c>
      <c r="R2369" s="94" t="s">
        <v>63</v>
      </c>
      <c r="S2369" s="119">
        <v>46330</v>
      </c>
      <c r="T2369" s="119"/>
      <c r="U2369" s="119">
        <v>46330</v>
      </c>
      <c r="V2369" s="94"/>
      <c r="W2369" s="94"/>
      <c r="X2369" s="94"/>
      <c r="Y2369" s="119">
        <v>46334</v>
      </c>
      <c r="Z2369" s="94"/>
      <c r="AA2369" s="120"/>
      <c r="AB2369" s="120"/>
      <c r="AC2369" s="120"/>
      <c r="AD2369" s="120"/>
      <c r="AE2369" s="120"/>
      <c r="AF2369" s="120"/>
      <c r="AG2369" s="94"/>
      <c r="AH2369" s="120"/>
      <c r="AI2369" s="94"/>
      <c r="AJ2369" s="94" t="s">
        <v>185</v>
      </c>
      <c r="AK2369" s="94" t="s">
        <v>187</v>
      </c>
      <c r="AL2369" s="94">
        <v>160</v>
      </c>
      <c r="AM2369" s="94" t="str">
        <f>TRIM(AJ2369)&amp;TRIM(AL2369)&amp;TRIM(AK2369)</f>
      </c>
      <c r="AN2369" s="116">
        <v>6162.76</v>
      </c>
      <c r="AO2369" s="116">
        <v>152.24</v>
      </c>
      <c r="AP2369" s="116">
        <f>SUMIFS(M:M,AM:AM,AM2369)+SUMIFS(O:O,AM:AM,AM2369)</f>
      </c>
      <c r="AQ2369" s="116">
        <f>SUMIFS(L:L,AM:AM,AM2369)</f>
      </c>
      <c r="AR2369" s="116">
        <f>AQ2369-AP2369</f>
      </c>
      <c r="AS2369" s="94" t="str">
        <f>IF(AN2369&gt;=AQ2369,"ok","ck")</f>
      </c>
      <c r="AT2369" s="116">
        <f>-P2369</f>
      </c>
      <c r="AU2369" s="115">
        <f>IF(SUMIFS(AT:AT,AM:AM,AM2369)&gt;AO2369,(SUMIFS(AT:AT,AM:AM,AM2369)-AO2369))</f>
      </c>
      <c r="AV2369" s="116">
        <v>6162.76</v>
      </c>
      <c r="AW2369" s="121">
        <v>0.976</v>
      </c>
      <c r="AX2369" s="115">
        <f>AN2369-AP2369</f>
      </c>
    </row>
    <row r="2370" spans="1:50" ht="15" hidden="1" customHeight="1" x14ac:dyDescent="0.3">
      <c r="A2370" s="94" t="s">
        <v>151</v>
      </c>
      <c r="B2370" s="94"/>
      <c r="C2370" s="94"/>
      <c r="D2370" s="94"/>
      <c r="E2370" s="94"/>
      <c r="F2370" s="94"/>
      <c r="G2370" s="112">
        <f>AU2370</f>
      </c>
      <c r="H2370" s="113"/>
      <c r="I2370" s="94" t="s">
        <v>152</v>
      </c>
      <c r="J2370" s="94" t="s">
        <v>186</v>
      </c>
      <c r="K2370" s="114">
        <f>P2370/3</f>
      </c>
      <c r="L2370" s="115">
        <v>0</v>
      </c>
      <c r="M2370" s="116"/>
      <c r="N2370" s="117">
        <f>M2370-L2370</f>
      </c>
      <c r="O2370" s="112"/>
      <c r="P2370" s="118">
        <f>N2370+O2370</f>
      </c>
      <c r="Q2370" s="94" t="s">
        <v>185</v>
      </c>
      <c r="R2370" s="94" t="s">
        <v>63</v>
      </c>
      <c r="S2370" s="119">
        <v>46320</v>
      </c>
      <c r="T2370" s="119"/>
      <c r="U2370" s="119">
        <v>46320</v>
      </c>
      <c r="V2370" s="94"/>
      <c r="W2370" s="94"/>
      <c r="X2370" s="94"/>
      <c r="Y2370" s="119">
        <v>46320</v>
      </c>
      <c r="Z2370" s="94"/>
      <c r="AA2370" s="120"/>
      <c r="AB2370" s="120"/>
      <c r="AC2370" s="120"/>
      <c r="AD2370" s="120"/>
      <c r="AE2370" s="120"/>
      <c r="AF2370" s="120"/>
      <c r="AG2370" s="94"/>
      <c r="AH2370" s="120"/>
      <c r="AI2370" s="94"/>
      <c r="AJ2370" s="94" t="s">
        <v>185</v>
      </c>
      <c r="AK2370" s="94" t="s">
        <v>187</v>
      </c>
      <c r="AL2370" s="94">
        <v>160</v>
      </c>
      <c r="AM2370" s="94" t="str">
        <f>TRIM(AJ2370)&amp;TRIM(AL2370)&amp;TRIM(AK2370)</f>
      </c>
      <c r="AN2370" s="116">
        <v>6162.76</v>
      </c>
      <c r="AO2370" s="116">
        <v>152.24</v>
      </c>
      <c r="AP2370" s="116">
        <f>SUMIFS(M:M,AM:AM,AM2370)+SUMIFS(O:O,AM:AM,AM2370)</f>
      </c>
      <c r="AQ2370" s="116">
        <f>SUMIFS(L:L,AM:AM,AM2370)</f>
      </c>
      <c r="AR2370" s="116">
        <f>AQ2370-AP2370</f>
      </c>
      <c r="AS2370" s="94" t="str">
        <f>IF(AN2370&gt;=AQ2370,"ok","ck")</f>
      </c>
      <c r="AT2370" s="116">
        <f>-P2370</f>
      </c>
      <c r="AU2370" s="115">
        <f>IF(SUMIFS(AT:AT,AM:AM,AM2370)&gt;AO2370,(SUMIFS(AT:AT,AM:AM,AM2370)-AO2370))</f>
      </c>
      <c r="AV2370" s="116">
        <v>6162.76</v>
      </c>
      <c r="AW2370" s="121">
        <v>0.976</v>
      </c>
      <c r="AX2370" s="115">
        <f>AN2370-AP2370</f>
      </c>
    </row>
    <row r="2371" spans="1:50" ht="15" hidden="1" customHeight="1" x14ac:dyDescent="0.3">
      <c r="A2371" s="94" t="s">
        <v>151</v>
      </c>
      <c r="B2371" s="94"/>
      <c r="C2371" s="94"/>
      <c r="D2371" s="94"/>
      <c r="E2371" s="94"/>
      <c r="F2371" s="94"/>
      <c r="G2371" s="112">
        <f>AU2371</f>
      </c>
      <c r="H2371" s="113"/>
      <c r="I2371" s="94" t="s">
        <v>152</v>
      </c>
      <c r="J2371" s="94" t="s">
        <v>186</v>
      </c>
      <c r="K2371" s="114">
        <f>P2371/3</f>
      </c>
      <c r="L2371" s="115">
        <v>0</v>
      </c>
      <c r="M2371" s="116"/>
      <c r="N2371" s="117">
        <f>M2371-L2371</f>
      </c>
      <c r="O2371" s="112"/>
      <c r="P2371" s="118">
        <f>N2371+O2371</f>
      </c>
      <c r="Q2371" s="94" t="s">
        <v>185</v>
      </c>
      <c r="R2371" s="94" t="s">
        <v>63</v>
      </c>
      <c r="S2371" s="119">
        <v>46320</v>
      </c>
      <c r="T2371" s="119"/>
      <c r="U2371" s="119">
        <v>46320</v>
      </c>
      <c r="V2371" s="94"/>
      <c r="W2371" s="94"/>
      <c r="X2371" s="94"/>
      <c r="Y2371" s="119">
        <v>46320</v>
      </c>
      <c r="Z2371" s="94"/>
      <c r="AA2371" s="120"/>
      <c r="AB2371" s="120"/>
      <c r="AC2371" s="120"/>
      <c r="AD2371" s="120"/>
      <c r="AE2371" s="120"/>
      <c r="AF2371" s="120"/>
      <c r="AG2371" s="94"/>
      <c r="AH2371" s="120"/>
      <c r="AI2371" s="94"/>
      <c r="AJ2371" s="94" t="s">
        <v>185</v>
      </c>
      <c r="AK2371" s="94" t="s">
        <v>187</v>
      </c>
      <c r="AL2371" s="94">
        <v>160</v>
      </c>
      <c r="AM2371" s="94" t="str">
        <f>TRIM(AJ2371)&amp;TRIM(AL2371)&amp;TRIM(AK2371)</f>
      </c>
      <c r="AN2371" s="116">
        <v>6162.76</v>
      </c>
      <c r="AO2371" s="116">
        <v>152.24</v>
      </c>
      <c r="AP2371" s="116">
        <f>SUMIFS(M:M,AM:AM,AM2371)+SUMIFS(O:O,AM:AM,AM2371)</f>
      </c>
      <c r="AQ2371" s="116">
        <f>SUMIFS(L:L,AM:AM,AM2371)</f>
      </c>
      <c r="AR2371" s="116">
        <f>AQ2371-AP2371</f>
      </c>
      <c r="AS2371" s="94" t="str">
        <f>IF(AN2371&gt;=AQ2371,"ok","ck")</f>
      </c>
      <c r="AT2371" s="116">
        <f>-P2371</f>
      </c>
      <c r="AU2371" s="115">
        <f>IF(SUMIFS(AT:AT,AM:AM,AM2371)&gt;AO2371,(SUMIFS(AT:AT,AM:AM,AM2371)-AO2371))</f>
      </c>
      <c r="AV2371" s="116">
        <v>6162.76</v>
      </c>
      <c r="AW2371" s="121">
        <v>0.976</v>
      </c>
      <c r="AX2371" s="115">
        <f>AN2371-AP2371</f>
      </c>
    </row>
    <row r="2372" spans="1:50" ht="15" hidden="1" customHeight="1" x14ac:dyDescent="0.3">
      <c r="A2372" s="94" t="s">
        <v>151</v>
      </c>
      <c r="B2372" s="94"/>
      <c r="C2372" s="94"/>
      <c r="D2372" s="94"/>
      <c r="E2372" s="94"/>
      <c r="F2372" s="94"/>
      <c r="G2372" s="112">
        <f>AU2372</f>
      </c>
      <c r="H2372" s="113"/>
      <c r="I2372" s="94" t="s">
        <v>152</v>
      </c>
      <c r="J2372" s="94" t="s">
        <v>156</v>
      </c>
      <c r="K2372" s="114">
        <f>P2372/3</f>
      </c>
      <c r="L2372" s="115">
        <v>0</v>
      </c>
      <c r="M2372" s="116"/>
      <c r="N2372" s="117">
        <f>M2372-L2372</f>
      </c>
      <c r="O2372" s="112"/>
      <c r="P2372" s="118">
        <f>N2372+O2372</f>
      </c>
      <c r="Q2372" s="94" t="s">
        <v>213</v>
      </c>
      <c r="R2372" s="94" t="s">
        <v>63</v>
      </c>
      <c r="S2372" s="119">
        <v>46320</v>
      </c>
      <c r="T2372" s="119"/>
      <c r="U2372" s="119">
        <v>46320</v>
      </c>
      <c r="V2372" s="94"/>
      <c r="W2372" s="94"/>
      <c r="X2372" s="94"/>
      <c r="Y2372" s="119">
        <v>46320</v>
      </c>
      <c r="Z2372" s="94"/>
      <c r="AA2372" s="120"/>
      <c r="AB2372" s="120"/>
      <c r="AC2372" s="120"/>
      <c r="AD2372" s="120"/>
      <c r="AE2372" s="120"/>
      <c r="AF2372" s="120"/>
      <c r="AG2372" s="94"/>
      <c r="AH2372" s="120"/>
      <c r="AI2372" s="94"/>
      <c r="AJ2372" s="94" t="s">
        <v>213</v>
      </c>
      <c r="AK2372" s="94" t="s">
        <v>158</v>
      </c>
      <c r="AL2372" s="94">
        <v>160</v>
      </c>
      <c r="AM2372" s="94" t="str">
        <f>TRIM(AJ2372)&amp;TRIM(AL2372)&amp;TRIM(AK2372)</f>
      </c>
      <c r="AN2372" s="116">
        <v>4334.9</v>
      </c>
      <c r="AO2372" s="116">
        <v>265.1</v>
      </c>
      <c r="AP2372" s="116">
        <f>SUMIFS(M:M,AM:AM,AM2372)+SUMIFS(O:O,AM:AM,AM2372)</f>
      </c>
      <c r="AQ2372" s="116">
        <f>SUMIFS(L:L,AM:AM,AM2372)</f>
      </c>
      <c r="AR2372" s="116">
        <f>AQ2372-AP2372</f>
      </c>
      <c r="AS2372" s="94" t="str">
        <f>IF(AN2372&gt;=AQ2372,"ok","ck")</f>
      </c>
      <c r="AT2372" s="116">
        <f>-P2372</f>
      </c>
      <c r="AU2372" s="115">
        <f>IF(SUMIFS(AT:AT,AM:AM,AM2372)&gt;AO2372,(SUMIFS(AT:AT,AM:AM,AM2372)-AO2372))</f>
      </c>
      <c r="AV2372" s="116">
        <v>4334.9</v>
      </c>
      <c r="AW2372" s="121">
        <v>0.942</v>
      </c>
      <c r="AX2372" s="115">
        <f>AN2372-AP2372</f>
      </c>
    </row>
    <row r="2373" spans="1:50" ht="15" hidden="1" customHeight="1" x14ac:dyDescent="0.3">
      <c r="A2373" s="94" t="s">
        <v>151</v>
      </c>
      <c r="B2373" s="94"/>
      <c r="C2373" s="94"/>
      <c r="D2373" s="94"/>
      <c r="E2373" s="94"/>
      <c r="F2373" s="94"/>
      <c r="G2373" s="112">
        <f>AU2373</f>
      </c>
      <c r="H2373" s="113"/>
      <c r="I2373" s="94" t="s">
        <v>152</v>
      </c>
      <c r="J2373" s="94" t="s">
        <v>156</v>
      </c>
      <c r="K2373" s="114">
        <f>P2373/3</f>
      </c>
      <c r="L2373" s="115">
        <v>0.30199999999999999</v>
      </c>
      <c r="M2373" s="116">
        <v>0.30199999999999999</v>
      </c>
      <c r="N2373" s="117">
        <f>M2373-L2373</f>
      </c>
      <c r="O2373" s="112"/>
      <c r="P2373" s="118">
        <f>N2373+O2373</f>
      </c>
      <c r="Q2373" s="94" t="s">
        <v>213</v>
      </c>
      <c r="R2373" s="94" t="s">
        <v>63</v>
      </c>
      <c r="S2373" s="119">
        <v>46320</v>
      </c>
      <c r="T2373" s="119"/>
      <c r="U2373" s="120">
        <v>46320</v>
      </c>
      <c r="V2373" s="94"/>
      <c r="W2373" s="94"/>
      <c r="X2373" s="94"/>
      <c r="Y2373" s="119">
        <v>46320</v>
      </c>
      <c r="Z2373" s="94"/>
      <c r="AA2373" s="120"/>
      <c r="AB2373" s="120"/>
      <c r="AC2373" s="120"/>
      <c r="AD2373" s="120"/>
      <c r="AE2373" s="120"/>
      <c r="AF2373" s="120"/>
      <c r="AG2373" s="94"/>
      <c r="AH2373" s="120"/>
      <c r="AI2373" s="94"/>
      <c r="AJ2373" s="94" t="s">
        <v>213</v>
      </c>
      <c r="AK2373" s="94" t="s">
        <v>158</v>
      </c>
      <c r="AL2373" s="94">
        <v>160</v>
      </c>
      <c r="AM2373" s="94" t="str">
        <f>TRIM(AJ2373)&amp;TRIM(AL2373)&amp;TRIM(AK2373)</f>
      </c>
      <c r="AN2373" s="116">
        <v>4334.9</v>
      </c>
      <c r="AO2373" s="116">
        <v>265.1</v>
      </c>
      <c r="AP2373" s="116">
        <f>SUMIFS(M:M,AM:AM,AM2373)+SUMIFS(O:O,AM:AM,AM2373)</f>
      </c>
      <c r="AQ2373" s="116">
        <f>SUMIFS(L:L,AM:AM,AM2373)</f>
      </c>
      <c r="AR2373" s="116">
        <f>AQ2373-AP2373</f>
      </c>
      <c r="AS2373" s="94" t="str">
        <f>IF(AN2373&gt;=AQ2373,"ok","ck")</f>
      </c>
      <c r="AT2373" s="116">
        <f>-P2373</f>
      </c>
      <c r="AU2373" s="115">
        <f>IF(SUMIFS(AT:AT,AM:AM,AM2373)&gt;AO2373,(SUMIFS(AT:AT,AM:AM,AM2373)-AO2373))</f>
      </c>
      <c r="AV2373" s="116">
        <v>4334.9</v>
      </c>
      <c r="AW2373" s="121">
        <v>0.942</v>
      </c>
      <c r="AX2373" s="115">
        <f>AN2373-AP2373</f>
      </c>
    </row>
    <row r="2374" spans="1:50" ht="15" hidden="1" customHeight="1" x14ac:dyDescent="0.3">
      <c r="A2374" s="94" t="s">
        <v>151</v>
      </c>
      <c r="B2374" s="94"/>
      <c r="C2374" s="94"/>
      <c r="D2374" s="94"/>
      <c r="E2374" s="94"/>
      <c r="F2374" s="94"/>
      <c r="G2374" s="112">
        <f>AU2374</f>
      </c>
      <c r="H2374" s="113"/>
      <c r="I2374" s="94" t="s">
        <v>152</v>
      </c>
      <c r="J2374" s="94" t="s">
        <v>156</v>
      </c>
      <c r="K2374" s="114">
        <f>P2374/3</f>
      </c>
      <c r="L2374" s="115">
        <v>0.48399999999999999</v>
      </c>
      <c r="M2374" s="116">
        <v>0.48399999999999999</v>
      </c>
      <c r="N2374" s="117">
        <f>M2374-L2374</f>
      </c>
      <c r="O2374" s="112"/>
      <c r="P2374" s="118">
        <f>N2374+O2374</f>
      </c>
      <c r="Q2374" s="94" t="s">
        <v>213</v>
      </c>
      <c r="R2374" s="94" t="s">
        <v>63</v>
      </c>
      <c r="S2374" s="119">
        <v>46320</v>
      </c>
      <c r="T2374" s="119"/>
      <c r="U2374" s="119">
        <v>46320</v>
      </c>
      <c r="V2374" s="94"/>
      <c r="W2374" s="94"/>
      <c r="X2374" s="94"/>
      <c r="Y2374" s="119">
        <v>46320</v>
      </c>
      <c r="Z2374" s="94"/>
      <c r="AA2374" s="120"/>
      <c r="AB2374" s="120"/>
      <c r="AC2374" s="120"/>
      <c r="AD2374" s="120"/>
      <c r="AE2374" s="120"/>
      <c r="AF2374" s="120"/>
      <c r="AG2374" s="94"/>
      <c r="AH2374" s="120"/>
      <c r="AI2374" s="94"/>
      <c r="AJ2374" s="94" t="s">
        <v>213</v>
      </c>
      <c r="AK2374" s="94" t="s">
        <v>158</v>
      </c>
      <c r="AL2374" s="94">
        <v>160</v>
      </c>
      <c r="AM2374" s="94" t="str">
        <f>TRIM(AJ2374)&amp;TRIM(AL2374)&amp;TRIM(AK2374)</f>
      </c>
      <c r="AN2374" s="116">
        <v>4334.9</v>
      </c>
      <c r="AO2374" s="116">
        <v>265.1</v>
      </c>
      <c r="AP2374" s="116">
        <f>SUMIFS(M:M,AM:AM,AM2374)+SUMIFS(O:O,AM:AM,AM2374)</f>
      </c>
      <c r="AQ2374" s="116">
        <f>SUMIFS(L:L,AM:AM,AM2374)</f>
      </c>
      <c r="AR2374" s="116">
        <f>AQ2374-AP2374</f>
      </c>
      <c r="AS2374" s="94" t="str">
        <f>IF(AN2374&gt;=AQ2374,"ok","ck")</f>
      </c>
      <c r="AT2374" s="116">
        <f>-P2374</f>
      </c>
      <c r="AU2374" s="115">
        <f>IF(SUMIFS(AT:AT,AM:AM,AM2374)&gt;AO2374,(SUMIFS(AT:AT,AM:AM,AM2374)-AO2374))</f>
      </c>
      <c r="AV2374" s="116">
        <v>4334.9</v>
      </c>
      <c r="AW2374" s="121">
        <v>0.942</v>
      </c>
      <c r="AX2374" s="115">
        <f>AN2374-AP2374</f>
      </c>
    </row>
    <row r="2375" spans="1:50" ht="15" hidden="1" customHeight="1" x14ac:dyDescent="0.3">
      <c r="A2375" s="94" t="s">
        <v>151</v>
      </c>
      <c r="B2375" s="94"/>
      <c r="C2375" s="94"/>
      <c r="D2375" s="94"/>
      <c r="E2375" s="94"/>
      <c r="F2375" s="94"/>
      <c r="G2375" s="112">
        <f>AU2375</f>
      </c>
      <c r="H2375" s="113"/>
      <c r="I2375" s="94" t="s">
        <v>152</v>
      </c>
      <c r="J2375" s="94" t="s">
        <v>156</v>
      </c>
      <c r="K2375" s="114">
        <f>P2375/3</f>
      </c>
      <c r="L2375" s="115">
        <v>1.0999999999999999E-2</v>
      </c>
      <c r="M2375" s="116">
        <v>1.0999999999999999E-2</v>
      </c>
      <c r="N2375" s="117">
        <f>M2375-L2375</f>
      </c>
      <c r="O2375" s="112"/>
      <c r="P2375" s="118">
        <f>N2375+O2375</f>
      </c>
      <c r="Q2375" s="94" t="s">
        <v>213</v>
      </c>
      <c r="R2375" s="94" t="s">
        <v>63</v>
      </c>
      <c r="S2375" s="119">
        <v>46320</v>
      </c>
      <c r="T2375" s="119"/>
      <c r="U2375" s="119">
        <v>46320</v>
      </c>
      <c r="V2375" s="94"/>
      <c r="W2375" s="94"/>
      <c r="X2375" s="94"/>
      <c r="Y2375" s="119">
        <v>46320</v>
      </c>
      <c r="Z2375" s="94"/>
      <c r="AA2375" s="120"/>
      <c r="AB2375" s="120"/>
      <c r="AC2375" s="120"/>
      <c r="AD2375" s="120"/>
      <c r="AE2375" s="120"/>
      <c r="AF2375" s="120"/>
      <c r="AG2375" s="94"/>
      <c r="AH2375" s="120"/>
      <c r="AI2375" s="94"/>
      <c r="AJ2375" s="94" t="s">
        <v>213</v>
      </c>
      <c r="AK2375" s="94" t="s">
        <v>158</v>
      </c>
      <c r="AL2375" s="94">
        <v>160</v>
      </c>
      <c r="AM2375" s="94" t="str">
        <f>TRIM(AJ2375)&amp;TRIM(AL2375)&amp;TRIM(AK2375)</f>
      </c>
      <c r="AN2375" s="116">
        <v>4334.9</v>
      </c>
      <c r="AO2375" s="116">
        <v>265.1</v>
      </c>
      <c r="AP2375" s="116">
        <f>SUMIFS(M:M,AM:AM,AM2375)+SUMIFS(O:O,AM:AM,AM2375)</f>
      </c>
      <c r="AQ2375" s="116">
        <f>SUMIFS(L:L,AM:AM,AM2375)</f>
      </c>
      <c r="AR2375" s="116">
        <f>AQ2375-AP2375</f>
      </c>
      <c r="AS2375" s="94" t="str">
        <f>IF(AN2375&gt;=AQ2375,"ok","ck")</f>
      </c>
      <c r="AT2375" s="116">
        <f>-P2375</f>
      </c>
      <c r="AU2375" s="115">
        <f>IF(SUMIFS(AT:AT,AM:AM,AM2375)&gt;AO2375,(SUMIFS(AT:AT,AM:AM,AM2375)-AO2375))</f>
      </c>
      <c r="AV2375" s="116">
        <v>4334.9</v>
      </c>
      <c r="AW2375" s="121">
        <v>0.942</v>
      </c>
      <c r="AX2375" s="115">
        <f>AN2375-AP2375</f>
      </c>
    </row>
    <row r="2376" spans="1:50" ht="15" hidden="1" customHeight="1" x14ac:dyDescent="0.3">
      <c r="A2376" s="94" t="s">
        <v>151</v>
      </c>
      <c r="B2376" s="94"/>
      <c r="C2376" s="94"/>
      <c r="D2376" s="94"/>
      <c r="E2376" s="94"/>
      <c r="F2376" s="94"/>
      <c r="G2376" s="112">
        <f>AU2376</f>
      </c>
      <c r="H2376" s="113"/>
      <c r="I2376" s="94" t="s">
        <v>152</v>
      </c>
      <c r="J2376" s="94" t="s">
        <v>156</v>
      </c>
      <c r="K2376" s="114">
        <f>P2376/3</f>
      </c>
      <c r="L2376" s="115">
        <v>0.35</v>
      </c>
      <c r="M2376" s="116">
        <v>0.35</v>
      </c>
      <c r="N2376" s="117">
        <f>M2376-L2376</f>
      </c>
      <c r="O2376" s="112"/>
      <c r="P2376" s="118">
        <f>N2376+O2376</f>
      </c>
      <c r="Q2376" s="94" t="s">
        <v>213</v>
      </c>
      <c r="R2376" s="94" t="s">
        <v>63</v>
      </c>
      <c r="S2376" s="119">
        <v>46320</v>
      </c>
      <c r="T2376" s="119"/>
      <c r="U2376" s="120">
        <v>46320</v>
      </c>
      <c r="V2376" s="94"/>
      <c r="W2376" s="94"/>
      <c r="X2376" s="94"/>
      <c r="Y2376" s="119">
        <v>46320</v>
      </c>
      <c r="Z2376" s="94"/>
      <c r="AA2376" s="120"/>
      <c r="AB2376" s="120"/>
      <c r="AC2376" s="120"/>
      <c r="AD2376" s="120"/>
      <c r="AE2376" s="120"/>
      <c r="AF2376" s="120"/>
      <c r="AG2376" s="94"/>
      <c r="AH2376" s="120"/>
      <c r="AI2376" s="94"/>
      <c r="AJ2376" s="94" t="s">
        <v>213</v>
      </c>
      <c r="AK2376" s="94" t="s">
        <v>158</v>
      </c>
      <c r="AL2376" s="94">
        <v>160</v>
      </c>
      <c r="AM2376" s="94" t="str">
        <f>TRIM(AJ2376)&amp;TRIM(AL2376)&amp;TRIM(AK2376)</f>
      </c>
      <c r="AN2376" s="116">
        <v>4334.9</v>
      </c>
      <c r="AO2376" s="116">
        <v>265.1</v>
      </c>
      <c r="AP2376" s="116">
        <f>SUMIFS(M:M,AM:AM,AM2376)+SUMIFS(O:O,AM:AM,AM2376)</f>
      </c>
      <c r="AQ2376" s="116">
        <f>SUMIFS(L:L,AM:AM,AM2376)</f>
      </c>
      <c r="AR2376" s="116">
        <f>AQ2376-AP2376</f>
      </c>
      <c r="AS2376" s="94" t="str">
        <f>IF(AN2376&gt;=AQ2376,"ok","ck")</f>
      </c>
      <c r="AT2376" s="116">
        <f>-P2376</f>
      </c>
      <c r="AU2376" s="115">
        <f>IF(SUMIFS(AT:AT,AM:AM,AM2376)&gt;AO2376,(SUMIFS(AT:AT,AM:AM,AM2376)-AO2376))</f>
      </c>
      <c r="AV2376" s="116">
        <v>4334.9</v>
      </c>
      <c r="AW2376" s="121">
        <v>0.942</v>
      </c>
      <c r="AX2376" s="115">
        <f>AN2376-AP2376</f>
      </c>
    </row>
    <row r="2377" spans="1:50" ht="15" hidden="1" customHeight="1" x14ac:dyDescent="0.3">
      <c r="A2377" s="94" t="s">
        <v>151</v>
      </c>
      <c r="B2377" s="94"/>
      <c r="C2377" s="94"/>
      <c r="D2377" s="94"/>
      <c r="E2377" s="94"/>
      <c r="F2377" s="94"/>
      <c r="G2377" s="112">
        <f>AU2377</f>
      </c>
      <c r="H2377" s="113"/>
      <c r="I2377" s="94" t="s">
        <v>152</v>
      </c>
      <c r="J2377" s="94" t="s">
        <v>156</v>
      </c>
      <c r="K2377" s="114">
        <f>P2377/3</f>
      </c>
      <c r="L2377" s="115">
        <v>549.96299999999997</v>
      </c>
      <c r="M2377" s="116">
        <v>549.96299999999997</v>
      </c>
      <c r="N2377" s="117">
        <f>M2377-L2377</f>
      </c>
      <c r="O2377" s="112"/>
      <c r="P2377" s="118">
        <f>N2377+O2377</f>
      </c>
      <c r="Q2377" s="94" t="s">
        <v>213</v>
      </c>
      <c r="R2377" s="94" t="s">
        <v>63</v>
      </c>
      <c r="S2377" s="119">
        <v>46331</v>
      </c>
      <c r="T2377" s="119"/>
      <c r="U2377" s="119">
        <v>46331</v>
      </c>
      <c r="V2377" s="94"/>
      <c r="W2377" s="94"/>
      <c r="X2377" s="94"/>
      <c r="Y2377" s="119">
        <v>46331</v>
      </c>
      <c r="Z2377" s="94"/>
      <c r="AA2377" s="120"/>
      <c r="AB2377" s="120"/>
      <c r="AC2377" s="120"/>
      <c r="AD2377" s="120"/>
      <c r="AE2377" s="120"/>
      <c r="AF2377" s="120"/>
      <c r="AG2377" s="94"/>
      <c r="AH2377" s="120"/>
      <c r="AI2377" s="94"/>
      <c r="AJ2377" s="94" t="s">
        <v>213</v>
      </c>
      <c r="AK2377" s="94" t="s">
        <v>158</v>
      </c>
      <c r="AL2377" s="94">
        <v>160</v>
      </c>
      <c r="AM2377" s="94" t="str">
        <f>TRIM(AJ2377)&amp;TRIM(AL2377)&amp;TRIM(AK2377)</f>
      </c>
      <c r="AN2377" s="116">
        <v>4334.9</v>
      </c>
      <c r="AO2377" s="116">
        <v>265.1</v>
      </c>
      <c r="AP2377" s="116">
        <f>SUMIFS(M:M,AM:AM,AM2377)+SUMIFS(O:O,AM:AM,AM2377)</f>
      </c>
      <c r="AQ2377" s="116">
        <f>SUMIFS(L:L,AM:AM,AM2377)</f>
      </c>
      <c r="AR2377" s="116">
        <f>AQ2377-AP2377</f>
      </c>
      <c r="AS2377" s="94" t="str">
        <f>IF(AN2377&gt;=AQ2377,"ok","ck")</f>
      </c>
      <c r="AT2377" s="116">
        <f>-P2377</f>
      </c>
      <c r="AU2377" s="115">
        <f>IF(SUMIFS(AT:AT,AM:AM,AM2377)&gt;AO2377,(SUMIFS(AT:AT,AM:AM,AM2377)-AO2377))</f>
      </c>
      <c r="AV2377" s="116">
        <v>4334.9</v>
      </c>
      <c r="AW2377" s="121">
        <v>0.942</v>
      </c>
      <c r="AX2377" s="115">
        <f>AN2377-AP2377</f>
      </c>
    </row>
    <row r="2378" spans="1:50" ht="15" hidden="1" customHeight="1" x14ac:dyDescent="0.3">
      <c r="A2378" s="94" t="s">
        <v>151</v>
      </c>
      <c r="B2378" s="94"/>
      <c r="C2378" s="94"/>
      <c r="D2378" s="94"/>
      <c r="E2378" s="94"/>
      <c r="F2378" s="94"/>
      <c r="G2378" s="112">
        <f>AU2378</f>
      </c>
      <c r="H2378" s="113"/>
      <c r="I2378" s="94" t="s">
        <v>152</v>
      </c>
      <c r="J2378" s="94" t="s">
        <v>156</v>
      </c>
      <c r="K2378" s="114">
        <f>P2378/3</f>
      </c>
      <c r="L2378" s="115">
        <v>10.7</v>
      </c>
      <c r="M2378" s="116">
        <v>10.7</v>
      </c>
      <c r="N2378" s="117">
        <f>M2378-L2378</f>
      </c>
      <c r="O2378" s="112"/>
      <c r="P2378" s="118">
        <f>N2378+O2378</f>
      </c>
      <c r="Q2378" s="94" t="s">
        <v>213</v>
      </c>
      <c r="R2378" s="94" t="s">
        <v>63</v>
      </c>
      <c r="S2378" s="119">
        <v>46320</v>
      </c>
      <c r="T2378" s="119"/>
      <c r="U2378" s="119">
        <v>46320</v>
      </c>
      <c r="V2378" s="94"/>
      <c r="W2378" s="94"/>
      <c r="X2378" s="94"/>
      <c r="Y2378" s="119">
        <v>46320</v>
      </c>
      <c r="Z2378" s="94"/>
      <c r="AA2378" s="120"/>
      <c r="AB2378" s="120"/>
      <c r="AC2378" s="120"/>
      <c r="AD2378" s="120"/>
      <c r="AE2378" s="120"/>
      <c r="AF2378" s="120"/>
      <c r="AG2378" s="94"/>
      <c r="AH2378" s="120"/>
      <c r="AI2378" s="94"/>
      <c r="AJ2378" s="94" t="s">
        <v>213</v>
      </c>
      <c r="AK2378" s="94" t="s">
        <v>158</v>
      </c>
      <c r="AL2378" s="94">
        <v>160</v>
      </c>
      <c r="AM2378" s="94" t="str">
        <f>TRIM(AJ2378)&amp;TRIM(AL2378)&amp;TRIM(AK2378)</f>
      </c>
      <c r="AN2378" s="116">
        <v>4334.9</v>
      </c>
      <c r="AO2378" s="116">
        <v>265.1</v>
      </c>
      <c r="AP2378" s="116">
        <f>SUMIFS(M:M,AM:AM,AM2378)+SUMIFS(O:O,AM:AM,AM2378)</f>
      </c>
      <c r="AQ2378" s="116">
        <f>SUMIFS(L:L,AM:AM,AM2378)</f>
      </c>
      <c r="AR2378" s="116">
        <f>AQ2378-AP2378</f>
      </c>
      <c r="AS2378" s="94" t="str">
        <f>IF(AN2378&gt;=AQ2378,"ok","ck")</f>
      </c>
      <c r="AT2378" s="116">
        <f>-P2378</f>
      </c>
      <c r="AU2378" s="115">
        <f>IF(SUMIFS(AT:AT,AM:AM,AM2378)&gt;AO2378,(SUMIFS(AT:AT,AM:AM,AM2378)-AO2378))</f>
      </c>
      <c r="AV2378" s="116">
        <v>4334.9</v>
      </c>
      <c r="AW2378" s="121">
        <v>0.942</v>
      </c>
      <c r="AX2378" s="115">
        <f>AN2378-AP2378</f>
      </c>
    </row>
    <row r="2379" spans="1:50" ht="15" hidden="1" customHeight="1" x14ac:dyDescent="0.3">
      <c r="A2379" s="94" t="s">
        <v>151</v>
      </c>
      <c r="B2379" s="94"/>
      <c r="C2379" s="94"/>
      <c r="D2379" s="94"/>
      <c r="E2379" s="94"/>
      <c r="F2379" s="94"/>
      <c r="G2379" s="112">
        <f>AU2379</f>
      </c>
      <c r="H2379" s="113"/>
      <c r="I2379" s="94" t="s">
        <v>152</v>
      </c>
      <c r="J2379" s="94" t="s">
        <v>186</v>
      </c>
      <c r="K2379" s="114">
        <f>P2379/3</f>
      </c>
      <c r="L2379" s="115">
        <v>0</v>
      </c>
      <c r="M2379" s="116"/>
      <c r="N2379" s="117">
        <f>M2379-L2379</f>
      </c>
      <c r="O2379" s="112"/>
      <c r="P2379" s="118">
        <f>N2379+O2379</f>
      </c>
      <c r="Q2379" s="94" t="s">
        <v>154</v>
      </c>
      <c r="R2379" s="94" t="s">
        <v>63</v>
      </c>
      <c r="S2379" s="119">
        <v>46320</v>
      </c>
      <c r="T2379" s="119"/>
      <c r="U2379" s="119">
        <v>46320</v>
      </c>
      <c r="V2379" s="94"/>
      <c r="W2379" s="94"/>
      <c r="X2379" s="94"/>
      <c r="Y2379" s="119">
        <v>46320</v>
      </c>
      <c r="Z2379" s="94"/>
      <c r="AA2379" s="120"/>
      <c r="AB2379" s="120"/>
      <c r="AC2379" s="120"/>
      <c r="AD2379" s="120"/>
      <c r="AE2379" s="120"/>
      <c r="AF2379" s="120"/>
      <c r="AG2379" s="94"/>
      <c r="AH2379" s="120"/>
      <c r="AI2379" s="94"/>
      <c r="AJ2379" s="94" t="s">
        <v>154</v>
      </c>
      <c r="AK2379" s="94" t="s">
        <v>187</v>
      </c>
      <c r="AL2379" s="94">
        <v>160</v>
      </c>
      <c r="AM2379" s="94" t="str">
        <f>TRIM(AJ2379)&amp;TRIM(AL2379)&amp;TRIM(AK2379)</f>
      </c>
      <c r="AN2379" s="116">
        <v>7786.29</v>
      </c>
      <c r="AO2379" s="116">
        <v>93.71</v>
      </c>
      <c r="AP2379" s="116">
        <f>SUMIFS(M:M,AM:AM,AM2379)+SUMIFS(O:O,AM:AM,AM2379)</f>
      </c>
      <c r="AQ2379" s="116">
        <f>SUMIFS(L:L,AM:AM,AM2379)</f>
      </c>
      <c r="AR2379" s="116">
        <f>AQ2379-AP2379</f>
      </c>
      <c r="AS2379" s="94" t="str">
        <f>IF(AN2379&gt;=AQ2379,"ok","ck")</f>
      </c>
      <c r="AT2379" s="116">
        <f>-P2379</f>
      </c>
      <c r="AU2379" s="115">
        <f>IF(SUMIFS(AT:AT,AM:AM,AM2379)&gt;AO2379,(SUMIFS(AT:AT,AM:AM,AM2379)-AO2379))</f>
      </c>
      <c r="AV2379" s="116">
        <v>7786.29</v>
      </c>
      <c r="AW2379" s="121">
        <v>0.988</v>
      </c>
      <c r="AX2379" s="115">
        <f>AN2379-AP2379</f>
      </c>
    </row>
    <row r="2380" spans="1:50" ht="15" hidden="1" customHeight="1" x14ac:dyDescent="0.3">
      <c r="A2380" s="94" t="s">
        <v>151</v>
      </c>
      <c r="B2380" s="94"/>
      <c r="C2380" s="94"/>
      <c r="D2380" s="94"/>
      <c r="E2380" s="94"/>
      <c r="F2380" s="94"/>
      <c r="G2380" s="112">
        <f>AU2380</f>
      </c>
      <c r="H2380" s="113"/>
      <c r="I2380" s="94" t="s">
        <v>152</v>
      </c>
      <c r="J2380" s="94" t="s">
        <v>186</v>
      </c>
      <c r="K2380" s="114">
        <f>P2380/3</f>
      </c>
      <c r="L2380" s="115">
        <v>0</v>
      </c>
      <c r="M2380" s="116"/>
      <c r="N2380" s="117">
        <f>M2380-L2380</f>
      </c>
      <c r="O2380" s="112"/>
      <c r="P2380" s="118">
        <f>N2380+O2380</f>
      </c>
      <c r="Q2380" s="94" t="s">
        <v>154</v>
      </c>
      <c r="R2380" s="94" t="s">
        <v>63</v>
      </c>
      <c r="S2380" s="119">
        <v>46334</v>
      </c>
      <c r="T2380" s="119"/>
      <c r="U2380" s="119">
        <v>46334</v>
      </c>
      <c r="V2380" s="94"/>
      <c r="W2380" s="94"/>
      <c r="X2380" s="94"/>
      <c r="Y2380" s="119">
        <v>46334</v>
      </c>
      <c r="Z2380" s="94"/>
      <c r="AA2380" s="120"/>
      <c r="AB2380" s="120"/>
      <c r="AC2380" s="120"/>
      <c r="AD2380" s="120"/>
      <c r="AE2380" s="120"/>
      <c r="AF2380" s="120"/>
      <c r="AG2380" s="94"/>
      <c r="AH2380" s="120"/>
      <c r="AI2380" s="94"/>
      <c r="AJ2380" s="94" t="s">
        <v>154</v>
      </c>
      <c r="AK2380" s="94" t="s">
        <v>187</v>
      </c>
      <c r="AL2380" s="94">
        <v>160</v>
      </c>
      <c r="AM2380" s="94" t="str">
        <f>TRIM(AJ2380)&amp;TRIM(AL2380)&amp;TRIM(AK2380)</f>
      </c>
      <c r="AN2380" s="116">
        <v>7786.29</v>
      </c>
      <c r="AO2380" s="116">
        <v>93.71</v>
      </c>
      <c r="AP2380" s="116">
        <f>SUMIFS(M:M,AM:AM,AM2380)+SUMIFS(O:O,AM:AM,AM2380)</f>
      </c>
      <c r="AQ2380" s="116">
        <f>SUMIFS(L:L,AM:AM,AM2380)</f>
      </c>
      <c r="AR2380" s="116">
        <f>AQ2380-AP2380</f>
      </c>
      <c r="AS2380" s="94" t="str">
        <f>IF(AN2380&gt;=AQ2380,"ok","ck")</f>
      </c>
      <c r="AT2380" s="116">
        <f>-P2380</f>
      </c>
      <c r="AU2380" s="115">
        <f>IF(SUMIFS(AT:AT,AM:AM,AM2380)&gt;AO2380,(SUMIFS(AT:AT,AM:AM,AM2380)-AO2380))</f>
      </c>
      <c r="AV2380" s="116">
        <v>7786.29</v>
      </c>
      <c r="AW2380" s="121">
        <v>0.988</v>
      </c>
      <c r="AX2380" s="115">
        <f>AN2380-AP2380</f>
      </c>
    </row>
    <row r="2381" spans="1:50" ht="15" hidden="1" customHeight="1" x14ac:dyDescent="0.3">
      <c r="A2381" s="94" t="s">
        <v>151</v>
      </c>
      <c r="B2381" s="94"/>
      <c r="C2381" s="94"/>
      <c r="D2381" s="94"/>
      <c r="E2381" s="94"/>
      <c r="F2381" s="94"/>
      <c r="G2381" s="112">
        <f>AU2381</f>
      </c>
      <c r="H2381" s="113"/>
      <c r="I2381" s="94" t="s">
        <v>152</v>
      </c>
      <c r="J2381" s="94" t="s">
        <v>186</v>
      </c>
      <c r="K2381" s="114">
        <f>P2381/3</f>
      </c>
      <c r="L2381" s="115">
        <v>-1</v>
      </c>
      <c r="M2381" s="116"/>
      <c r="N2381" s="117">
        <f>M2381-L2381</f>
      </c>
      <c r="O2381" s="112"/>
      <c r="P2381" s="118">
        <f>N2381+O2381</f>
      </c>
      <c r="Q2381" s="94" t="s">
        <v>154</v>
      </c>
      <c r="R2381" s="94" t="s">
        <v>63</v>
      </c>
      <c r="S2381" s="119">
        <v>46320</v>
      </c>
      <c r="T2381" s="119"/>
      <c r="U2381" s="120">
        <v>46320</v>
      </c>
      <c r="V2381" s="94"/>
      <c r="W2381" s="94"/>
      <c r="X2381" s="94"/>
      <c r="Y2381" s="119">
        <v>46320</v>
      </c>
      <c r="Z2381" s="94"/>
      <c r="AA2381" s="120"/>
      <c r="AB2381" s="120"/>
      <c r="AC2381" s="120"/>
      <c r="AD2381" s="120"/>
      <c r="AE2381" s="120"/>
      <c r="AF2381" s="120"/>
      <c r="AG2381" s="94"/>
      <c r="AH2381" s="120"/>
      <c r="AI2381" s="94"/>
      <c r="AJ2381" s="94" t="s">
        <v>154</v>
      </c>
      <c r="AK2381" s="94" t="s">
        <v>187</v>
      </c>
      <c r="AL2381" s="94">
        <v>160</v>
      </c>
      <c r="AM2381" s="94" t="str">
        <f>TRIM(AJ2381)&amp;TRIM(AL2381)&amp;TRIM(AK2381)</f>
      </c>
      <c r="AN2381" s="116">
        <v>7786.29</v>
      </c>
      <c r="AO2381" s="116">
        <v>93.71</v>
      </c>
      <c r="AP2381" s="116">
        <f>SUMIFS(M:M,AM:AM,AM2381)+SUMIFS(O:O,AM:AM,AM2381)</f>
      </c>
      <c r="AQ2381" s="116">
        <f>SUMIFS(L:L,AM:AM,AM2381)</f>
      </c>
      <c r="AR2381" s="116">
        <f>AQ2381-AP2381</f>
      </c>
      <c r="AS2381" s="94" t="str">
        <f>IF(AN2381&gt;=AQ2381,"ok","ck")</f>
      </c>
      <c r="AT2381" s="116">
        <f>-P2381</f>
      </c>
      <c r="AU2381" s="115">
        <f>IF(SUMIFS(AT:AT,AM:AM,AM2381)&gt;AO2381,(SUMIFS(AT:AT,AM:AM,AM2381)-AO2381))</f>
      </c>
      <c r="AV2381" s="116">
        <v>7786.29</v>
      </c>
      <c r="AW2381" s="121">
        <v>0.988</v>
      </c>
      <c r="AX2381" s="115">
        <f>AN2381-AP2381</f>
      </c>
    </row>
    <row r="2382" spans="1:50" ht="15" hidden="1" customHeight="1" x14ac:dyDescent="0.3">
      <c r="A2382" s="94" t="s">
        <v>151</v>
      </c>
      <c r="B2382" s="94"/>
      <c r="C2382" s="94"/>
      <c r="D2382" s="94"/>
      <c r="E2382" s="94"/>
      <c r="F2382" s="94"/>
      <c r="G2382" s="112">
        <f>AU2382</f>
      </c>
      <c r="H2382" s="113"/>
      <c r="I2382" s="94" t="s">
        <v>152</v>
      </c>
      <c r="J2382" s="94" t="s">
        <v>186</v>
      </c>
      <c r="K2382" s="114">
        <f>P2382/3</f>
      </c>
      <c r="L2382" s="115">
        <v>92.61</v>
      </c>
      <c r="M2382" s="116"/>
      <c r="N2382" s="117">
        <f>M2382-L2382</f>
      </c>
      <c r="O2382" s="112"/>
      <c r="P2382" s="118">
        <f>N2382+O2382</f>
      </c>
      <c r="Q2382" s="94" t="s">
        <v>154</v>
      </c>
      <c r="R2382" s="94" t="s">
        <v>63</v>
      </c>
      <c r="S2382" s="119">
        <v>46342</v>
      </c>
      <c r="T2382" s="119"/>
      <c r="U2382" s="120">
        <v>46342</v>
      </c>
      <c r="V2382" s="94"/>
      <c r="W2382" s="94"/>
      <c r="X2382" s="94"/>
      <c r="Y2382" s="119">
        <v>46342</v>
      </c>
      <c r="Z2382" s="94"/>
      <c r="AA2382" s="120"/>
      <c r="AB2382" s="120"/>
      <c r="AC2382" s="120"/>
      <c r="AD2382" s="120"/>
      <c r="AE2382" s="120"/>
      <c r="AF2382" s="120"/>
      <c r="AG2382" s="94"/>
      <c r="AH2382" s="120"/>
      <c r="AI2382" s="94"/>
      <c r="AJ2382" s="94" t="s">
        <v>154</v>
      </c>
      <c r="AK2382" s="94" t="s">
        <v>187</v>
      </c>
      <c r="AL2382" s="94">
        <v>160</v>
      </c>
      <c r="AM2382" s="94" t="str">
        <f>TRIM(AJ2382)&amp;TRIM(AL2382)&amp;TRIM(AK2382)</f>
      </c>
      <c r="AN2382" s="116">
        <v>7786.29</v>
      </c>
      <c r="AO2382" s="116">
        <v>93.71</v>
      </c>
      <c r="AP2382" s="116">
        <f>SUMIFS(M:M,AM:AM,AM2382)+SUMIFS(O:O,AM:AM,AM2382)</f>
      </c>
      <c r="AQ2382" s="116">
        <f>SUMIFS(L:L,AM:AM,AM2382)</f>
      </c>
      <c r="AR2382" s="116">
        <f>AQ2382-AP2382</f>
      </c>
      <c r="AS2382" s="94" t="str">
        <f>IF(AN2382&gt;=AQ2382,"ok","ck")</f>
      </c>
      <c r="AT2382" s="116">
        <f>-P2382</f>
      </c>
      <c r="AU2382" s="115">
        <f>IF(SUMIFS(AT:AT,AM:AM,AM2382)&gt;AO2382,(SUMIFS(AT:AT,AM:AM,AM2382)-AO2382))</f>
      </c>
      <c r="AV2382" s="116">
        <v>7786.29</v>
      </c>
      <c r="AW2382" s="121">
        <v>0.988</v>
      </c>
      <c r="AX2382" s="115">
        <f>AN2382-AP2382</f>
      </c>
    </row>
    <row r="2383" spans="1:50" ht="15" hidden="1" customHeight="1" x14ac:dyDescent="0.3">
      <c r="A2383" s="94" t="s">
        <v>151</v>
      </c>
      <c r="B2383" s="94"/>
      <c r="C2383" s="94"/>
      <c r="D2383" s="94"/>
      <c r="E2383" s="94"/>
      <c r="F2383" s="94"/>
      <c r="G2383" s="112">
        <f>AU2383</f>
      </c>
      <c r="H2383" s="113"/>
      <c r="I2383" s="94" t="s">
        <v>152</v>
      </c>
      <c r="J2383" s="94" t="s">
        <v>186</v>
      </c>
      <c r="K2383" s="114">
        <f>P2383/3</f>
      </c>
      <c r="L2383" s="115">
        <v>0</v>
      </c>
      <c r="M2383" s="116"/>
      <c r="N2383" s="117">
        <f>M2383-L2383</f>
      </c>
      <c r="O2383" s="112"/>
      <c r="P2383" s="118">
        <f>N2383+O2383</f>
      </c>
      <c r="Q2383" s="94" t="s">
        <v>154</v>
      </c>
      <c r="R2383" s="94" t="s">
        <v>63</v>
      </c>
      <c r="S2383" s="119">
        <v>46320</v>
      </c>
      <c r="T2383" s="119"/>
      <c r="U2383" s="120">
        <v>46320</v>
      </c>
      <c r="V2383" s="94"/>
      <c r="W2383" s="94"/>
      <c r="X2383" s="94"/>
      <c r="Y2383" s="119">
        <v>46320</v>
      </c>
      <c r="Z2383" s="94"/>
      <c r="AA2383" s="120"/>
      <c r="AB2383" s="120"/>
      <c r="AC2383" s="120"/>
      <c r="AD2383" s="120"/>
      <c r="AE2383" s="120"/>
      <c r="AF2383" s="120"/>
      <c r="AG2383" s="94"/>
      <c r="AH2383" s="120"/>
      <c r="AI2383" s="94"/>
      <c r="AJ2383" s="94" t="s">
        <v>154</v>
      </c>
      <c r="AK2383" s="94" t="s">
        <v>187</v>
      </c>
      <c r="AL2383" s="94">
        <v>160</v>
      </c>
      <c r="AM2383" s="94" t="str">
        <f>TRIM(AJ2383)&amp;TRIM(AL2383)&amp;TRIM(AK2383)</f>
      </c>
      <c r="AN2383" s="116">
        <v>7786.29</v>
      </c>
      <c r="AO2383" s="116">
        <v>93.71</v>
      </c>
      <c r="AP2383" s="116">
        <f>SUMIFS(M:M,AM:AM,AM2383)+SUMIFS(O:O,AM:AM,AM2383)</f>
      </c>
      <c r="AQ2383" s="116">
        <f>SUMIFS(L:L,AM:AM,AM2383)</f>
      </c>
      <c r="AR2383" s="116">
        <f>AQ2383-AP2383</f>
      </c>
      <c r="AS2383" s="94" t="str">
        <f>IF(AN2383&gt;=AQ2383,"ok","ck")</f>
      </c>
      <c r="AT2383" s="116">
        <f>-P2383</f>
      </c>
      <c r="AU2383" s="115">
        <f>IF(SUMIFS(AT:AT,AM:AM,AM2383)&gt;AO2383,(SUMIFS(AT:AT,AM:AM,AM2383)-AO2383))</f>
      </c>
      <c r="AV2383" s="116">
        <v>7786.29</v>
      </c>
      <c r="AW2383" s="121">
        <v>0.988</v>
      </c>
      <c r="AX2383" s="115">
        <f>AN2383-AP2383</f>
      </c>
    </row>
    <row r="2384" spans="1:50" ht="15" hidden="1" customHeight="1" x14ac:dyDescent="0.3">
      <c r="A2384" s="94" t="s">
        <v>151</v>
      </c>
      <c r="B2384" s="94"/>
      <c r="C2384" s="94"/>
      <c r="D2384" s="94"/>
      <c r="E2384" s="94"/>
      <c r="F2384" s="94"/>
      <c r="G2384" s="112">
        <f>AU2384</f>
      </c>
      <c r="H2384" s="113"/>
      <c r="I2384" s="94" t="s">
        <v>209</v>
      </c>
      <c r="J2384" s="94" t="s">
        <v>210</v>
      </c>
      <c r="K2384" s="114">
        <f>P2384/3</f>
      </c>
      <c r="L2384" s="115">
        <v>923.72</v>
      </c>
      <c r="M2384" s="116"/>
      <c r="N2384" s="117">
        <f>M2384-L2384</f>
      </c>
      <c r="O2384" s="112"/>
      <c r="P2384" s="118">
        <f>N2384+O2384</f>
      </c>
      <c r="Q2384" s="94" t="s">
        <v>839</v>
      </c>
      <c r="R2384" s="94" t="s">
        <v>63</v>
      </c>
      <c r="S2384" s="119">
        <v>46345</v>
      </c>
      <c r="T2384" s="119"/>
      <c r="U2384" s="120">
        <v>46345</v>
      </c>
      <c r="V2384" s="94"/>
      <c r="W2384" s="94"/>
      <c r="X2384" s="94"/>
      <c r="Y2384" s="119">
        <v>46321</v>
      </c>
      <c r="Z2384" s="94"/>
      <c r="AA2384" s="120"/>
      <c r="AB2384" s="120"/>
      <c r="AC2384" s="120"/>
      <c r="AD2384" s="120"/>
      <c r="AE2384" s="120"/>
      <c r="AF2384" s="120"/>
      <c r="AG2384" s="94"/>
      <c r="AH2384" s="120"/>
      <c r="AI2384" s="94"/>
      <c r="AJ2384" s="94" t="s">
        <v>839</v>
      </c>
      <c r="AK2384" s="94" t="s">
        <v>212</v>
      </c>
      <c r="AL2384" s="94">
        <v>160</v>
      </c>
      <c r="AM2384" s="94" t="str">
        <f>TRIM(AJ2384)&amp;TRIM(AL2384)&amp;TRIM(AK2384)</f>
      </c>
      <c r="AN2384" s="116">
        <v>0</v>
      </c>
      <c r="AO2384" s="116" t="inlineStr">
        <is>
          <t>#NA</t>
        </is>
      </c>
      <c r="AP2384" s="116">
        <f>SUMIFS(M:M,AM:AM,AM2384)+SUMIFS(O:O,AM:AM,AM2384)</f>
      </c>
      <c r="AQ2384" s="116">
        <f>SUMIFS(L:L,AM:AM,AM2384)</f>
      </c>
      <c r="AR2384" s="116">
        <f>AQ2384-AP2384</f>
      </c>
      <c r="AS2384" s="94" t="str">
        <f>IF(AN2384&gt;=AQ2384,"ok","ck")</f>
      </c>
      <c r="AT2384" s="116">
        <f>-P2384</f>
      </c>
      <c r="AU2384" s="115">
        <f>IF(SUMIFS(AT:AT,AM:AM,AM2384)&gt;AO2384,(SUMIFS(AT:AT,AM:AM,AM2384)-AO2384))</f>
      </c>
      <c r="AV2384" s="116">
        <v>0</v>
      </c>
      <c r="AW2384" s="121">
        <v>0</v>
      </c>
      <c r="AX2384" s="115">
        <f>AN2384-AP2384</f>
      </c>
    </row>
    <row r="2385" spans="1:50" ht="15" hidden="1" customHeight="1" x14ac:dyDescent="0.3">
      <c r="A2385" s="94" t="s">
        <v>151</v>
      </c>
      <c r="B2385" s="94"/>
      <c r="C2385" s="94"/>
      <c r="D2385" s="94"/>
      <c r="E2385" s="94"/>
      <c r="F2385" s="94"/>
      <c r="G2385" s="112">
        <f>AU2385</f>
      </c>
      <c r="H2385" s="113"/>
      <c r="I2385" s="94" t="s">
        <v>209</v>
      </c>
      <c r="J2385" s="94" t="s">
        <v>210</v>
      </c>
      <c r="K2385" s="114">
        <f>P2385/3</f>
      </c>
      <c r="L2385" s="115">
        <v>388.101</v>
      </c>
      <c r="M2385" s="116"/>
      <c r="N2385" s="117">
        <f>M2385-L2385</f>
      </c>
      <c r="O2385" s="112"/>
      <c r="P2385" s="118">
        <f>N2385+O2385</f>
      </c>
      <c r="Q2385" s="94" t="s">
        <v>839</v>
      </c>
      <c r="R2385" s="94" t="s">
        <v>63</v>
      </c>
      <c r="S2385" s="119">
        <v>46345</v>
      </c>
      <c r="T2385" s="119"/>
      <c r="U2385" s="119">
        <v>46345</v>
      </c>
      <c r="V2385" s="94"/>
      <c r="W2385" s="94"/>
      <c r="X2385" s="94"/>
      <c r="Y2385" s="119">
        <v>46326</v>
      </c>
      <c r="Z2385" s="94"/>
      <c r="AA2385" s="120"/>
      <c r="AB2385" s="120"/>
      <c r="AC2385" s="120"/>
      <c r="AD2385" s="120"/>
      <c r="AE2385" s="120"/>
      <c r="AF2385" s="120"/>
      <c r="AG2385" s="94"/>
      <c r="AH2385" s="120"/>
      <c r="AI2385" s="94"/>
      <c r="AJ2385" s="94" t="s">
        <v>839</v>
      </c>
      <c r="AK2385" s="94" t="s">
        <v>212</v>
      </c>
      <c r="AL2385" s="94">
        <v>160</v>
      </c>
      <c r="AM2385" s="94" t="str">
        <f>TRIM(AJ2385)&amp;TRIM(AL2385)&amp;TRIM(AK2385)</f>
      </c>
      <c r="AN2385" s="116">
        <v>0</v>
      </c>
      <c r="AO2385" s="116" t="inlineStr">
        <is>
          <t>#NA</t>
        </is>
      </c>
      <c r="AP2385" s="116">
        <f>SUMIFS(M:M,AM:AM,AM2385)+SUMIFS(O:O,AM:AM,AM2385)</f>
      </c>
      <c r="AQ2385" s="116">
        <f>SUMIFS(L:L,AM:AM,AM2385)</f>
      </c>
      <c r="AR2385" s="116">
        <f>AQ2385-AP2385</f>
      </c>
      <c r="AS2385" s="94" t="str">
        <f>IF(AN2385&gt;=AQ2385,"ok","ck")</f>
      </c>
      <c r="AT2385" s="116">
        <f>-P2385</f>
      </c>
      <c r="AU2385" s="115">
        <f>IF(SUMIFS(AT:AT,AM:AM,AM2385)&gt;AO2385,(SUMIFS(AT:AT,AM:AM,AM2385)-AO2385))</f>
      </c>
      <c r="AV2385" s="116">
        <v>0</v>
      </c>
      <c r="AW2385" s="121">
        <v>0</v>
      </c>
      <c r="AX2385" s="115">
        <f>AN2385-AP2385</f>
      </c>
    </row>
    <row r="2386" spans="1:50" ht="15" hidden="1" customHeight="1" x14ac:dyDescent="0.3">
      <c r="A2386" s="94" t="s">
        <v>151</v>
      </c>
      <c r="B2386" s="94"/>
      <c r="C2386" s="94"/>
      <c r="D2386" s="94"/>
      <c r="E2386" s="94"/>
      <c r="F2386" s="94"/>
      <c r="G2386" s="112">
        <f>AU2386</f>
      </c>
      <c r="H2386" s="113"/>
      <c r="I2386" s="94" t="s">
        <v>152</v>
      </c>
      <c r="J2386" s="94" t="s">
        <v>156</v>
      </c>
      <c r="K2386" s="114">
        <f>P2386/3</f>
      </c>
      <c r="L2386" s="115">
        <v>2413</v>
      </c>
      <c r="M2386" s="116"/>
      <c r="N2386" s="117">
        <f>M2386-L2386</f>
      </c>
      <c r="O2386" s="112"/>
      <c r="P2386" s="118">
        <f>N2386+O2386</f>
      </c>
      <c r="Q2386" s="94" t="s">
        <v>202</v>
      </c>
      <c r="R2386" s="94" t="s">
        <v>63</v>
      </c>
      <c r="S2386" s="119">
        <v>46350</v>
      </c>
      <c r="T2386" s="119"/>
      <c r="U2386" s="119" t="s">
        <v>685</v>
      </c>
      <c r="V2386" s="94"/>
      <c r="W2386" s="94"/>
      <c r="X2386" s="94"/>
      <c r="Y2386" s="119">
        <v>46323</v>
      </c>
      <c r="Z2386" s="94"/>
      <c r="AA2386" s="120"/>
      <c r="AB2386" s="120"/>
      <c r="AC2386" s="120"/>
      <c r="AD2386" s="120"/>
      <c r="AE2386" s="120"/>
      <c r="AF2386" s="120"/>
      <c r="AG2386" s="94"/>
      <c r="AH2386" s="120"/>
      <c r="AI2386" s="94"/>
      <c r="AJ2386" s="94" t="s">
        <v>202</v>
      </c>
      <c r="AK2386" s="94" t="s">
        <v>158</v>
      </c>
      <c r="AL2386" s="94">
        <v>160</v>
      </c>
      <c r="AM2386" s="94" t="str">
        <f>TRIM(AJ2386)&amp;TRIM(AL2386)&amp;TRIM(AK2386)</f>
      </c>
      <c r="AN2386" s="116">
        <v>5131.82</v>
      </c>
      <c r="AO2386" s="116">
        <v>7024.18</v>
      </c>
      <c r="AP2386" s="116">
        <f>SUMIFS(M:M,AM:AM,AM2386)+SUMIFS(O:O,AM:AM,AM2386)</f>
      </c>
      <c r="AQ2386" s="116">
        <f>SUMIFS(L:L,AM:AM,AM2386)</f>
      </c>
      <c r="AR2386" s="116">
        <f>AQ2386-AP2386</f>
      </c>
      <c r="AS2386" s="94" t="str">
        <f>IF(AN2386&gt;=AQ2386,"ok","ck")</f>
      </c>
      <c r="AT2386" s="116">
        <f>-P2386</f>
      </c>
      <c r="AU2386" s="115">
        <f>IF(SUMIFS(AT:AT,AM:AM,AM2386)&gt;AO2386,(SUMIFS(AT:AT,AM:AM,AM2386)-AO2386))</f>
      </c>
      <c r="AV2386" s="116">
        <v>5131.82</v>
      </c>
      <c r="AW2386" s="121">
        <v>0.422</v>
      </c>
      <c r="AX2386" s="115">
        <f>AN2386-AP2386</f>
      </c>
    </row>
    <row r="2387" spans="1:50" ht="15" hidden="1" customHeight="1" x14ac:dyDescent="0.3">
      <c r="A2387" s="94" t="s">
        <v>151</v>
      </c>
      <c r="B2387" s="94"/>
      <c r="C2387" s="94"/>
      <c r="D2387" s="94"/>
      <c r="E2387" s="94"/>
      <c r="F2387" s="94"/>
      <c r="G2387" s="112">
        <f>AU2387</f>
      </c>
      <c r="H2387" s="113"/>
      <c r="I2387" s="94" t="s">
        <v>152</v>
      </c>
      <c r="J2387" s="94" t="s">
        <v>156</v>
      </c>
      <c r="K2387" s="114">
        <f>P2387/3</f>
      </c>
      <c r="L2387" s="115">
        <v>3802.1680000000001</v>
      </c>
      <c r="M2387" s="116"/>
      <c r="N2387" s="117">
        <f>M2387-L2387</f>
      </c>
      <c r="O2387" s="112"/>
      <c r="P2387" s="118">
        <f>N2387+O2387</f>
      </c>
      <c r="Q2387" s="94" t="s">
        <v>202</v>
      </c>
      <c r="R2387" s="94" t="s">
        <v>63</v>
      </c>
      <c r="S2387" s="119">
        <v>46352</v>
      </c>
      <c r="T2387" s="119"/>
      <c r="U2387" s="119" t="s">
        <v>685</v>
      </c>
      <c r="V2387" s="94"/>
      <c r="W2387" s="94"/>
      <c r="X2387" s="94"/>
      <c r="Y2387" s="119">
        <v>46323</v>
      </c>
      <c r="Z2387" s="94"/>
      <c r="AA2387" s="120"/>
      <c r="AB2387" s="120"/>
      <c r="AC2387" s="120"/>
      <c r="AD2387" s="120"/>
      <c r="AE2387" s="120"/>
      <c r="AF2387" s="120"/>
      <c r="AG2387" s="94"/>
      <c r="AH2387" s="120"/>
      <c r="AI2387" s="94"/>
      <c r="AJ2387" s="94" t="s">
        <v>202</v>
      </c>
      <c r="AK2387" s="94" t="s">
        <v>158</v>
      </c>
      <c r="AL2387" s="94">
        <v>160</v>
      </c>
      <c r="AM2387" s="94" t="str">
        <f>TRIM(AJ2387)&amp;TRIM(AL2387)&amp;TRIM(AK2387)</f>
      </c>
      <c r="AN2387" s="116">
        <v>5131.82</v>
      </c>
      <c r="AO2387" s="116">
        <v>7024.18</v>
      </c>
      <c r="AP2387" s="116">
        <f>SUMIFS(M:M,AM:AM,AM2387)+SUMIFS(O:O,AM:AM,AM2387)</f>
      </c>
      <c r="AQ2387" s="116">
        <f>SUMIFS(L:L,AM:AM,AM2387)</f>
      </c>
      <c r="AR2387" s="116">
        <f>AQ2387-AP2387</f>
      </c>
      <c r="AS2387" s="94" t="str">
        <f>IF(AN2387&gt;=AQ2387,"ok","ck")</f>
      </c>
      <c r="AT2387" s="116">
        <f>-P2387</f>
      </c>
      <c r="AU2387" s="115">
        <f>IF(SUMIFS(AT:AT,AM:AM,AM2387)&gt;AO2387,(SUMIFS(AT:AT,AM:AM,AM2387)-AO2387))</f>
      </c>
      <c r="AV2387" s="116">
        <v>5131.82</v>
      </c>
      <c r="AW2387" s="121">
        <v>0.422</v>
      </c>
      <c r="AX2387" s="115">
        <f>AN2387-AP2387</f>
      </c>
    </row>
    <row r="2388" spans="1:50" ht="15" hidden="1" customHeight="1" x14ac:dyDescent="0.3">
      <c r="A2388" s="94" t="s">
        <v>76</v>
      </c>
      <c r="B2388" s="94"/>
      <c r="C2388" s="94"/>
      <c r="D2388" s="94"/>
      <c r="E2388" s="94"/>
      <c r="F2388" s="94"/>
      <c r="G2388" s="112">
        <f>AU2388</f>
      </c>
      <c r="H2388" s="113"/>
      <c r="I2388" s="94" t="s">
        <v>77</v>
      </c>
      <c r="J2388" s="94" t="s">
        <v>111</v>
      </c>
      <c r="K2388" s="114">
        <f>P2388/3</f>
      </c>
      <c r="L2388" s="115">
        <v>-2.262</v>
      </c>
      <c r="M2388" s="116">
        <f>L2388</f>
      </c>
      <c r="N2388" s="117">
        <f>M2388-L2388</f>
      </c>
      <c r="O2388" s="112"/>
      <c r="P2388" s="118">
        <f>N2388+O2388</f>
      </c>
      <c r="Q2388" s="94" t="s">
        <v>112</v>
      </c>
      <c r="R2388" s="94" t="s">
        <v>63</v>
      </c>
      <c r="S2388" s="119">
        <v>46320</v>
      </c>
      <c r="T2388" s="119"/>
      <c r="U2388" s="119">
        <v>46320</v>
      </c>
      <c r="V2388" s="94"/>
      <c r="W2388" s="94"/>
      <c r="X2388" s="94"/>
      <c r="Y2388" s="119">
        <v>46320</v>
      </c>
      <c r="Z2388" s="94"/>
      <c r="AA2388" s="120"/>
      <c r="AB2388" s="120"/>
      <c r="AC2388" s="120"/>
      <c r="AD2388" s="120"/>
      <c r="AE2388" s="120"/>
      <c r="AF2388" s="120"/>
      <c r="AG2388" s="94"/>
      <c r="AH2388" s="120"/>
      <c r="AI2388" s="94"/>
      <c r="AJ2388" s="94" t="s">
        <v>112</v>
      </c>
      <c r="AK2388" s="94" t="s">
        <v>110</v>
      </c>
      <c r="AL2388" s="94">
        <v>150</v>
      </c>
      <c r="AM2388" s="94" t="str">
        <f>TRIM(AJ2388)&amp;TRIM(AL2388)&amp;TRIM(AK2388)</f>
      </c>
      <c r="AN2388" s="116">
        <v>1567.81</v>
      </c>
      <c r="AO2388" s="116">
        <v>-7.95</v>
      </c>
      <c r="AP2388" s="116">
        <f>SUMIFS(M:M,AM:AM,AM2388)+SUMIFS(O:O,AM:AM,AM2388)</f>
      </c>
      <c r="AQ2388" s="116">
        <f>SUMIFS(L:L,AM:AM,AM2388)</f>
      </c>
      <c r="AR2388" s="116">
        <f>AQ2388-AP2388</f>
      </c>
      <c r="AS2388" s="94" t="str">
        <f>IF(AN2388&gt;=AQ2388,"ok","ck")</f>
      </c>
      <c r="AT2388" s="116">
        <f>-P2388</f>
      </c>
      <c r="AU2388" s="115">
        <f>IF(SUMIFS(AT:AT,AM:AM,AM2388)&gt;AO2388,(SUMIFS(AT:AT,AM:AM,AM2388)-AO2388))</f>
      </c>
      <c r="AV2388" s="116">
        <v>1567.81</v>
      </c>
      <c r="AW2388" s="121">
        <v>1.005</v>
      </c>
      <c r="AX2388" s="115">
        <f>AN2388-AP2388</f>
      </c>
    </row>
    <row r="2389" spans="1:50" ht="15" hidden="1" customHeight="1" x14ac:dyDescent="0.3">
      <c r="A2389" s="94" t="s">
        <v>76</v>
      </c>
      <c r="B2389" s="94"/>
      <c r="C2389" s="94"/>
      <c r="D2389" s="94"/>
      <c r="E2389" s="94"/>
      <c r="F2389" s="94"/>
      <c r="G2389" s="112">
        <f>AU2389</f>
      </c>
      <c r="H2389" s="113"/>
      <c r="I2389" s="94" t="s">
        <v>77</v>
      </c>
      <c r="J2389" s="94" t="s">
        <v>111</v>
      </c>
      <c r="K2389" s="114">
        <f>P2389/3</f>
      </c>
      <c r="L2389" s="115">
        <v>-1.7999999999999999E-2</v>
      </c>
      <c r="M2389" s="116">
        <f>L2389</f>
      </c>
      <c r="N2389" s="117">
        <f>M2389-L2389</f>
      </c>
      <c r="O2389" s="112"/>
      <c r="P2389" s="118">
        <f>N2389+O2389</f>
      </c>
      <c r="Q2389" s="94" t="s">
        <v>112</v>
      </c>
      <c r="R2389" s="94" t="s">
        <v>63</v>
      </c>
      <c r="S2389" s="119">
        <v>46322</v>
      </c>
      <c r="T2389" s="119"/>
      <c r="U2389" s="119">
        <v>46322</v>
      </c>
      <c r="V2389" s="94"/>
      <c r="W2389" s="94"/>
      <c r="X2389" s="94"/>
      <c r="Y2389" s="119">
        <v>46322</v>
      </c>
      <c r="Z2389" s="94"/>
      <c r="AA2389" s="120"/>
      <c r="AB2389" s="120"/>
      <c r="AC2389" s="120"/>
      <c r="AD2389" s="120"/>
      <c r="AE2389" s="120"/>
      <c r="AF2389" s="120"/>
      <c r="AG2389" s="94"/>
      <c r="AH2389" s="120"/>
      <c r="AI2389" s="94"/>
      <c r="AJ2389" s="94" t="s">
        <v>112</v>
      </c>
      <c r="AK2389" s="94" t="s">
        <v>110</v>
      </c>
      <c r="AL2389" s="94">
        <v>150</v>
      </c>
      <c r="AM2389" s="94" t="str">
        <f>TRIM(AJ2389)&amp;TRIM(AL2389)&amp;TRIM(AK2389)</f>
      </c>
      <c r="AN2389" s="116">
        <v>1567.81</v>
      </c>
      <c r="AO2389" s="116">
        <v>-7.95</v>
      </c>
      <c r="AP2389" s="116">
        <f>SUMIFS(M:M,AM:AM,AM2389)+SUMIFS(O:O,AM:AM,AM2389)</f>
      </c>
      <c r="AQ2389" s="116">
        <f>SUMIFS(L:L,AM:AM,AM2389)</f>
      </c>
      <c r="AR2389" s="116">
        <f>AQ2389-AP2389</f>
      </c>
      <c r="AS2389" s="94" t="str">
        <f>IF(AN2389&gt;=AQ2389,"ok","ck")</f>
      </c>
      <c r="AT2389" s="116">
        <f>-P2389</f>
      </c>
      <c r="AU2389" s="115">
        <f>IF(SUMIFS(AT:AT,AM:AM,AM2389)&gt;AO2389,(SUMIFS(AT:AT,AM:AM,AM2389)-AO2389))</f>
      </c>
      <c r="AV2389" s="116">
        <v>1567.81</v>
      </c>
      <c r="AW2389" s="121">
        <v>1.005</v>
      </c>
      <c r="AX2389" s="115">
        <f>AN2389-AP2389</f>
      </c>
    </row>
    <row r="2390" spans="1:50" ht="15" hidden="1" customHeight="1" x14ac:dyDescent="0.3">
      <c r="A2390" s="94" t="s">
        <v>151</v>
      </c>
      <c r="B2390" s="94"/>
      <c r="C2390" s="94"/>
      <c r="D2390" s="94"/>
      <c r="E2390" s="94"/>
      <c r="F2390" s="94"/>
      <c r="G2390" s="112">
        <f>AU2390</f>
      </c>
      <c r="H2390" s="113"/>
      <c r="I2390" s="94" t="s">
        <v>152</v>
      </c>
      <c r="J2390" s="94" t="s">
        <v>189</v>
      </c>
      <c r="K2390" s="114">
        <f>P2390/3</f>
      </c>
      <c r="L2390" s="115">
        <v>35.963999999999999</v>
      </c>
      <c r="M2390" s="116">
        <f>L2390</f>
      </c>
      <c r="N2390" s="117">
        <f>M2390-L2390</f>
      </c>
      <c r="O2390" s="112"/>
      <c r="P2390" s="118">
        <f>N2390+O2390</f>
      </c>
      <c r="Q2390" s="94" t="s">
        <v>223</v>
      </c>
      <c r="R2390" s="94" t="s">
        <v>63</v>
      </c>
      <c r="S2390" s="119">
        <v>46320</v>
      </c>
      <c r="T2390" s="119"/>
      <c r="U2390" s="119">
        <v>46320</v>
      </c>
      <c r="V2390" s="94"/>
      <c r="W2390" s="94"/>
      <c r="X2390" s="94"/>
      <c r="Y2390" s="119">
        <v>46320</v>
      </c>
      <c r="Z2390" s="94"/>
      <c r="AA2390" s="120"/>
      <c r="AB2390" s="120"/>
      <c r="AC2390" s="120"/>
      <c r="AD2390" s="120"/>
      <c r="AE2390" s="120"/>
      <c r="AF2390" s="120"/>
      <c r="AG2390" s="94"/>
      <c r="AH2390" s="120"/>
      <c r="AI2390" s="94"/>
      <c r="AJ2390" s="94" t="s">
        <v>223</v>
      </c>
      <c r="AK2390" s="94" t="s">
        <v>190</v>
      </c>
      <c r="AL2390" s="94">
        <v>160</v>
      </c>
      <c r="AM2390" s="94" t="str">
        <f>TRIM(AJ2390)&amp;TRIM(AL2390)&amp;TRIM(AK2390)</f>
      </c>
      <c r="AN2390" s="116">
        <v>293</v>
      </c>
      <c r="AO2390" s="116">
        <v>2</v>
      </c>
      <c r="AP2390" s="116">
        <f>SUMIFS(M:M,AM:AM,AM2390)+SUMIFS(O:O,AM:AM,AM2390)</f>
      </c>
      <c r="AQ2390" s="116">
        <f>SUMIFS(L:L,AM:AM,AM2390)</f>
      </c>
      <c r="AR2390" s="116">
        <f>AQ2390-AP2390</f>
      </c>
      <c r="AS2390" s="94" t="str">
        <f>IF(AN2390&gt;=AQ2390,"ok","ck")</f>
      </c>
      <c r="AT2390" s="116">
        <f>-P2390</f>
      </c>
      <c r="AU2390" s="115">
        <f>IF(SUMIFS(AT:AT,AM:AM,AM2390)&gt;AO2390,(SUMIFS(AT:AT,AM:AM,AM2390)-AO2390))</f>
      </c>
      <c r="AV2390" s="116">
        <v>293</v>
      </c>
      <c r="AW2390" s="121">
        <v>0.993</v>
      </c>
      <c r="AX2390" s="115">
        <f>AN2390-AP2390</f>
      </c>
    </row>
    <row r="2391" spans="1:50" ht="15" hidden="1" customHeight="1" x14ac:dyDescent="0.3">
      <c r="A2391" s="94" t="s">
        <v>151</v>
      </c>
      <c r="B2391" s="94"/>
      <c r="C2391" s="94"/>
      <c r="D2391" s="94"/>
      <c r="E2391" s="94"/>
      <c r="F2391" s="94"/>
      <c r="G2391" s="112">
        <f>AU2391</f>
      </c>
      <c r="H2391" s="113"/>
      <c r="I2391" s="94" t="s">
        <v>152</v>
      </c>
      <c r="J2391" s="94" t="s">
        <v>189</v>
      </c>
      <c r="K2391" s="114">
        <f>P2391/3</f>
      </c>
      <c r="L2391" s="115">
        <v>0.28999999999999998</v>
      </c>
      <c r="M2391" s="116">
        <f>L2391</f>
      </c>
      <c r="N2391" s="117">
        <f>M2391-L2391</f>
      </c>
      <c r="O2391" s="112"/>
      <c r="P2391" s="118">
        <f>N2391+O2391</f>
      </c>
      <c r="Q2391" s="94" t="s">
        <v>223</v>
      </c>
      <c r="R2391" s="94" t="s">
        <v>63</v>
      </c>
      <c r="S2391" s="119">
        <v>46320</v>
      </c>
      <c r="T2391" s="119"/>
      <c r="U2391" s="120">
        <v>46320</v>
      </c>
      <c r="V2391" s="94"/>
      <c r="W2391" s="94"/>
      <c r="X2391" s="94"/>
      <c r="Y2391" s="119">
        <v>46320</v>
      </c>
      <c r="Z2391" s="94"/>
      <c r="AA2391" s="120"/>
      <c r="AB2391" s="120"/>
      <c r="AC2391" s="120"/>
      <c r="AD2391" s="120"/>
      <c r="AE2391" s="120"/>
      <c r="AF2391" s="120"/>
      <c r="AG2391" s="94"/>
      <c r="AH2391" s="120"/>
      <c r="AI2391" s="94"/>
      <c r="AJ2391" s="94" t="s">
        <v>223</v>
      </c>
      <c r="AK2391" s="94" t="s">
        <v>190</v>
      </c>
      <c r="AL2391" s="94">
        <v>160</v>
      </c>
      <c r="AM2391" s="94" t="str">
        <f>TRIM(AJ2391)&amp;TRIM(AL2391)&amp;TRIM(AK2391)</f>
      </c>
      <c r="AN2391" s="116">
        <v>293</v>
      </c>
      <c r="AO2391" s="116">
        <v>2</v>
      </c>
      <c r="AP2391" s="116">
        <f>SUMIFS(M:M,AM:AM,AM2391)+SUMIFS(O:O,AM:AM,AM2391)</f>
      </c>
      <c r="AQ2391" s="116">
        <f>SUMIFS(L:L,AM:AM,AM2391)</f>
      </c>
      <c r="AR2391" s="116">
        <f>AQ2391-AP2391</f>
      </c>
      <c r="AS2391" s="94" t="str">
        <f>IF(AN2391&gt;=AQ2391,"ok","ck")</f>
      </c>
      <c r="AT2391" s="116">
        <f>-P2391</f>
      </c>
      <c r="AU2391" s="115">
        <f>IF(SUMIFS(AT:AT,AM:AM,AM2391)&gt;AO2391,(SUMIFS(AT:AT,AM:AM,AM2391)-AO2391))</f>
      </c>
      <c r="AV2391" s="116">
        <v>293</v>
      </c>
      <c r="AW2391" s="121">
        <v>0.993</v>
      </c>
      <c r="AX2391" s="115">
        <f>AN2391-AP2391</f>
      </c>
    </row>
    <row r="2392" spans="1:50" ht="15" hidden="1" customHeight="1" x14ac:dyDescent="0.3">
      <c r="A2392" s="94" t="s">
        <v>151</v>
      </c>
      <c r="B2392" s="94"/>
      <c r="C2392" s="94"/>
      <c r="D2392" s="94"/>
      <c r="E2392" s="94"/>
      <c r="F2392" s="94"/>
      <c r="G2392" s="112">
        <f>AU2392</f>
      </c>
      <c r="H2392" s="113"/>
      <c r="I2392" s="94" t="s">
        <v>152</v>
      </c>
      <c r="J2392" s="94" t="s">
        <v>189</v>
      </c>
      <c r="K2392" s="114">
        <f>P2392/3</f>
      </c>
      <c r="L2392" s="115">
        <v>92.483000000000004</v>
      </c>
      <c r="M2392" s="116">
        <f>L2392</f>
      </c>
      <c r="N2392" s="117">
        <f>M2392-L2392</f>
      </c>
      <c r="O2392" s="112"/>
      <c r="P2392" s="118">
        <f>N2392+O2392</f>
      </c>
      <c r="Q2392" s="94" t="s">
        <v>223</v>
      </c>
      <c r="R2392" s="94" t="s">
        <v>63</v>
      </c>
      <c r="S2392" s="119">
        <v>46320</v>
      </c>
      <c r="T2392" s="119"/>
      <c r="U2392" s="119">
        <v>46320</v>
      </c>
      <c r="V2392" s="94"/>
      <c r="W2392" s="94"/>
      <c r="X2392" s="94"/>
      <c r="Y2392" s="119">
        <v>46320</v>
      </c>
      <c r="Z2392" s="94"/>
      <c r="AA2392" s="120"/>
      <c r="AB2392" s="120"/>
      <c r="AC2392" s="120"/>
      <c r="AD2392" s="120"/>
      <c r="AE2392" s="120"/>
      <c r="AF2392" s="120"/>
      <c r="AG2392" s="94"/>
      <c r="AH2392" s="120"/>
      <c r="AI2392" s="94"/>
      <c r="AJ2392" s="94" t="s">
        <v>223</v>
      </c>
      <c r="AK2392" s="94" t="s">
        <v>190</v>
      </c>
      <c r="AL2392" s="94">
        <v>160</v>
      </c>
      <c r="AM2392" s="94" t="str">
        <f>TRIM(AJ2392)&amp;TRIM(AL2392)&amp;TRIM(AK2392)</f>
      </c>
      <c r="AN2392" s="116">
        <v>293</v>
      </c>
      <c r="AO2392" s="116">
        <v>2</v>
      </c>
      <c r="AP2392" s="116">
        <f>SUMIFS(M:M,AM:AM,AM2392)+SUMIFS(O:O,AM:AM,AM2392)</f>
      </c>
      <c r="AQ2392" s="116">
        <f>SUMIFS(L:L,AM:AM,AM2392)</f>
      </c>
      <c r="AR2392" s="116">
        <f>AQ2392-AP2392</f>
      </c>
      <c r="AS2392" s="94" t="str">
        <f>IF(AN2392&gt;=AQ2392,"ok","ck")</f>
      </c>
      <c r="AT2392" s="116">
        <f>-P2392</f>
      </c>
      <c r="AU2392" s="115">
        <f>IF(SUMIFS(AT:AT,AM:AM,AM2392)&gt;AO2392,(SUMIFS(AT:AT,AM:AM,AM2392)-AO2392))</f>
      </c>
      <c r="AV2392" s="116">
        <v>293</v>
      </c>
      <c r="AW2392" s="121">
        <v>0.993</v>
      </c>
      <c r="AX2392" s="115">
        <f>AN2392-AP2392</f>
      </c>
    </row>
    <row r="2393" spans="1:50" ht="15" hidden="1" customHeight="1" x14ac:dyDescent="0.3">
      <c r="A2393" s="94" t="s">
        <v>151</v>
      </c>
      <c r="B2393" s="94"/>
      <c r="C2393" s="94"/>
      <c r="D2393" s="94"/>
      <c r="E2393" s="94"/>
      <c r="F2393" s="94"/>
      <c r="G2393" s="112">
        <f>AU2393</f>
      </c>
      <c r="H2393" s="113"/>
      <c r="I2393" s="94" t="s">
        <v>152</v>
      </c>
      <c r="J2393" s="94" t="s">
        <v>189</v>
      </c>
      <c r="K2393" s="114">
        <f>P2393/3</f>
      </c>
      <c r="L2393" s="115">
        <v>0.47699999999999998</v>
      </c>
      <c r="M2393" s="116">
        <f>L2393</f>
      </c>
      <c r="N2393" s="117">
        <f>M2393-L2393</f>
      </c>
      <c r="O2393" s="112"/>
      <c r="P2393" s="118">
        <f>N2393+O2393</f>
      </c>
      <c r="Q2393" s="94" t="s">
        <v>223</v>
      </c>
      <c r="R2393" s="94" t="s">
        <v>63</v>
      </c>
      <c r="S2393" s="119">
        <v>46322</v>
      </c>
      <c r="T2393" s="119"/>
      <c r="U2393" s="119">
        <v>46322</v>
      </c>
      <c r="V2393" s="94"/>
      <c r="W2393" s="94"/>
      <c r="X2393" s="94"/>
      <c r="Y2393" s="119">
        <v>46322</v>
      </c>
      <c r="Z2393" s="94"/>
      <c r="AA2393" s="120"/>
      <c r="AB2393" s="120"/>
      <c r="AC2393" s="120"/>
      <c r="AD2393" s="120"/>
      <c r="AE2393" s="120"/>
      <c r="AF2393" s="120"/>
      <c r="AG2393" s="94"/>
      <c r="AH2393" s="120"/>
      <c r="AI2393" s="94"/>
      <c r="AJ2393" s="94" t="s">
        <v>223</v>
      </c>
      <c r="AK2393" s="94" t="s">
        <v>190</v>
      </c>
      <c r="AL2393" s="94">
        <v>160</v>
      </c>
      <c r="AM2393" s="94" t="str">
        <f>TRIM(AJ2393)&amp;TRIM(AL2393)&amp;TRIM(AK2393)</f>
      </c>
      <c r="AN2393" s="116">
        <v>293</v>
      </c>
      <c r="AO2393" s="116">
        <v>2</v>
      </c>
      <c r="AP2393" s="116">
        <f>SUMIFS(M:M,AM:AM,AM2393)+SUMIFS(O:O,AM:AM,AM2393)</f>
      </c>
      <c r="AQ2393" s="116">
        <f>SUMIFS(L:L,AM:AM,AM2393)</f>
      </c>
      <c r="AR2393" s="116">
        <f>AQ2393-AP2393</f>
      </c>
      <c r="AS2393" s="94" t="str">
        <f>IF(AN2393&gt;=AQ2393,"ok","ck")</f>
      </c>
      <c r="AT2393" s="116">
        <f>-P2393</f>
      </c>
      <c r="AU2393" s="115">
        <f>IF(SUMIFS(AT:AT,AM:AM,AM2393)&gt;AO2393,(SUMIFS(AT:AT,AM:AM,AM2393)-AO2393))</f>
      </c>
      <c r="AV2393" s="116">
        <v>293</v>
      </c>
      <c r="AW2393" s="121">
        <v>0.993</v>
      </c>
      <c r="AX2393" s="115">
        <f>AN2393-AP2393</f>
      </c>
    </row>
    <row r="2394" spans="1:50" ht="15" hidden="1" customHeight="1" x14ac:dyDescent="0.3">
      <c r="A2394" s="94" t="s">
        <v>151</v>
      </c>
      <c r="B2394" s="94"/>
      <c r="C2394" s="94"/>
      <c r="D2394" s="94"/>
      <c r="E2394" s="94"/>
      <c r="F2394" s="94"/>
      <c r="G2394" s="112">
        <f>AU2394</f>
      </c>
      <c r="H2394" s="113"/>
      <c r="I2394" s="94" t="s">
        <v>152</v>
      </c>
      <c r="J2394" s="94" t="s">
        <v>189</v>
      </c>
      <c r="K2394" s="114">
        <f>P2394/3</f>
      </c>
      <c r="L2394" s="115">
        <v>0.47699999999999998</v>
      </c>
      <c r="M2394" s="116">
        <f>L2394</f>
      </c>
      <c r="N2394" s="117">
        <f>M2394-L2394</f>
      </c>
      <c r="O2394" s="112"/>
      <c r="P2394" s="118">
        <f>N2394+O2394</f>
      </c>
      <c r="Q2394" s="94" t="s">
        <v>223</v>
      </c>
      <c r="R2394" s="94" t="s">
        <v>63</v>
      </c>
      <c r="S2394" s="119">
        <v>46320</v>
      </c>
      <c r="T2394" s="119"/>
      <c r="U2394" s="119">
        <v>46320</v>
      </c>
      <c r="V2394" s="94"/>
      <c r="W2394" s="94"/>
      <c r="X2394" s="94"/>
      <c r="Y2394" s="119">
        <v>46320</v>
      </c>
      <c r="Z2394" s="94"/>
      <c r="AA2394" s="120"/>
      <c r="AB2394" s="120"/>
      <c r="AC2394" s="120"/>
      <c r="AD2394" s="120"/>
      <c r="AE2394" s="120"/>
      <c r="AF2394" s="120"/>
      <c r="AG2394" s="94"/>
      <c r="AH2394" s="120"/>
      <c r="AI2394" s="94"/>
      <c r="AJ2394" s="94" t="s">
        <v>223</v>
      </c>
      <c r="AK2394" s="94" t="s">
        <v>190</v>
      </c>
      <c r="AL2394" s="94">
        <v>160</v>
      </c>
      <c r="AM2394" s="94" t="str">
        <f>TRIM(AJ2394)&amp;TRIM(AL2394)&amp;TRIM(AK2394)</f>
      </c>
      <c r="AN2394" s="116">
        <v>293</v>
      </c>
      <c r="AO2394" s="116">
        <v>2</v>
      </c>
      <c r="AP2394" s="116">
        <f>SUMIFS(M:M,AM:AM,AM2394)+SUMIFS(O:O,AM:AM,AM2394)</f>
      </c>
      <c r="AQ2394" s="116">
        <f>SUMIFS(L:L,AM:AM,AM2394)</f>
      </c>
      <c r="AR2394" s="116">
        <f>AQ2394-AP2394</f>
      </c>
      <c r="AS2394" s="94" t="str">
        <f>IF(AN2394&gt;=AQ2394,"ok","ck")</f>
      </c>
      <c r="AT2394" s="116">
        <f>-P2394</f>
      </c>
      <c r="AU2394" s="115">
        <f>IF(SUMIFS(AT:AT,AM:AM,AM2394)&gt;AO2394,(SUMIFS(AT:AT,AM:AM,AM2394)-AO2394))</f>
      </c>
      <c r="AV2394" s="116">
        <v>293</v>
      </c>
      <c r="AW2394" s="121">
        <v>0.993</v>
      </c>
      <c r="AX2394" s="115">
        <f>AN2394-AP2394</f>
      </c>
    </row>
    <row r="2395" spans="1:50" ht="15" hidden="1" customHeight="1" x14ac:dyDescent="0.3">
      <c r="A2395" s="94" t="s">
        <v>151</v>
      </c>
      <c r="B2395" s="94"/>
      <c r="C2395" s="94"/>
      <c r="D2395" s="94"/>
      <c r="E2395" s="94"/>
      <c r="F2395" s="94"/>
      <c r="G2395" s="112">
        <f>AU2395</f>
      </c>
      <c r="H2395" s="113"/>
      <c r="I2395" s="94" t="s">
        <v>188</v>
      </c>
      <c r="J2395" s="94" t="s">
        <v>159</v>
      </c>
      <c r="K2395" s="114">
        <f>P2395/3</f>
      </c>
      <c r="L2395" s="115">
        <v>-2.33</v>
      </c>
      <c r="M2395" s="116">
        <f>L2395</f>
      </c>
      <c r="N2395" s="117">
        <f>M2395-L2395</f>
      </c>
      <c r="O2395" s="112"/>
      <c r="P2395" s="118">
        <f>N2395+O2395</f>
      </c>
      <c r="Q2395" s="94" t="s">
        <v>169</v>
      </c>
      <c r="R2395" s="94" t="s">
        <v>63</v>
      </c>
      <c r="S2395" s="119">
        <v>46320</v>
      </c>
      <c r="T2395" s="119"/>
      <c r="U2395" s="119">
        <v>46320</v>
      </c>
      <c r="V2395" s="94"/>
      <c r="W2395" s="94"/>
      <c r="X2395" s="94"/>
      <c r="Y2395" s="119">
        <v>46320</v>
      </c>
      <c r="Z2395" s="94"/>
      <c r="AA2395" s="120"/>
      <c r="AB2395" s="120"/>
      <c r="AC2395" s="120"/>
      <c r="AD2395" s="120"/>
      <c r="AE2395" s="120"/>
      <c r="AF2395" s="120"/>
      <c r="AG2395" s="94"/>
      <c r="AH2395" s="120"/>
      <c r="AI2395" s="94"/>
      <c r="AJ2395" s="94" t="s">
        <v>169</v>
      </c>
      <c r="AK2395" s="94" t="s">
        <v>159</v>
      </c>
      <c r="AL2395" s="94">
        <v>165</v>
      </c>
      <c r="AM2395" s="94" t="str">
        <f>TRIM(AJ2395)&amp;TRIM(AL2395)&amp;TRIM(AK2395)</f>
      </c>
      <c r="AN2395" s="116">
        <v>928.36</v>
      </c>
      <c r="AO2395" s="116">
        <v>-18.36</v>
      </c>
      <c r="AP2395" s="116">
        <f>SUMIFS(M:M,AM:AM,AM2395)+SUMIFS(O:O,AM:AM,AM2395)</f>
      </c>
      <c r="AQ2395" s="116">
        <f>SUMIFS(L:L,AM:AM,AM2395)</f>
      </c>
      <c r="AR2395" s="116">
        <f>AQ2395-AP2395</f>
      </c>
      <c r="AS2395" s="94" t="str">
        <f>IF(AN2395&gt;=AQ2395,"ok","ck")</f>
      </c>
      <c r="AT2395" s="116">
        <f>-P2395</f>
      </c>
      <c r="AU2395" s="115">
        <f>IF(SUMIFS(AT:AT,AM:AM,AM2395)&gt;AO2395,(SUMIFS(AT:AT,AM:AM,AM2395)-AO2395))</f>
      </c>
      <c r="AV2395" s="116">
        <v>928.36</v>
      </c>
      <c r="AW2395" s="121">
        <v>1.02</v>
      </c>
      <c r="AX2395" s="115">
        <f>AN2395-AP2395</f>
      </c>
    </row>
    <row r="2396" spans="1:50" ht="15" hidden="1" customHeight="1" x14ac:dyDescent="0.3">
      <c r="A2396" s="94" t="s">
        <v>151</v>
      </c>
      <c r="B2396" s="94"/>
      <c r="C2396" s="94"/>
      <c r="D2396" s="94"/>
      <c r="E2396" s="94"/>
      <c r="F2396" s="94"/>
      <c r="G2396" s="112">
        <f>AU2396</f>
      </c>
      <c r="H2396" s="113"/>
      <c r="I2396" s="94" t="s">
        <v>188</v>
      </c>
      <c r="J2396" s="94" t="s">
        <v>159</v>
      </c>
      <c r="K2396" s="114">
        <f>P2396/3</f>
      </c>
      <c r="L2396" s="115">
        <v>-1.329</v>
      </c>
      <c r="M2396" s="116">
        <f>L2396</f>
      </c>
      <c r="N2396" s="117">
        <f>M2396-L2396</f>
      </c>
      <c r="O2396" s="112"/>
      <c r="P2396" s="118">
        <f>N2396+O2396</f>
      </c>
      <c r="Q2396" s="94" t="s">
        <v>169</v>
      </c>
      <c r="R2396" s="94" t="s">
        <v>63</v>
      </c>
      <c r="S2396" s="119">
        <v>46320</v>
      </c>
      <c r="T2396" s="119"/>
      <c r="U2396" s="119">
        <v>46320</v>
      </c>
      <c r="V2396" s="94"/>
      <c r="W2396" s="94"/>
      <c r="X2396" s="94"/>
      <c r="Y2396" s="119">
        <v>46320</v>
      </c>
      <c r="Z2396" s="94"/>
      <c r="AA2396" s="120"/>
      <c r="AB2396" s="120"/>
      <c r="AC2396" s="120"/>
      <c r="AD2396" s="120"/>
      <c r="AE2396" s="120"/>
      <c r="AF2396" s="120"/>
      <c r="AG2396" s="94"/>
      <c r="AH2396" s="120"/>
      <c r="AI2396" s="94"/>
      <c r="AJ2396" s="94" t="s">
        <v>169</v>
      </c>
      <c r="AK2396" s="94" t="s">
        <v>159</v>
      </c>
      <c r="AL2396" s="94">
        <v>165</v>
      </c>
      <c r="AM2396" s="94" t="str">
        <f>TRIM(AJ2396)&amp;TRIM(AL2396)&amp;TRIM(AK2396)</f>
      </c>
      <c r="AN2396" s="116">
        <v>928.36</v>
      </c>
      <c r="AO2396" s="116">
        <v>-18.36</v>
      </c>
      <c r="AP2396" s="116">
        <f>SUMIFS(M:M,AM:AM,AM2396)+SUMIFS(O:O,AM:AM,AM2396)</f>
      </c>
      <c r="AQ2396" s="116">
        <f>SUMIFS(L:L,AM:AM,AM2396)</f>
      </c>
      <c r="AR2396" s="116">
        <f>AQ2396-AP2396</f>
      </c>
      <c r="AS2396" s="94" t="str">
        <f>IF(AN2396&gt;=AQ2396,"ok","ck")</f>
      </c>
      <c r="AT2396" s="116">
        <f>-P2396</f>
      </c>
      <c r="AU2396" s="115">
        <f>IF(SUMIFS(AT:AT,AM:AM,AM2396)&gt;AO2396,(SUMIFS(AT:AT,AM:AM,AM2396)-AO2396))</f>
      </c>
      <c r="AV2396" s="116">
        <v>928.36</v>
      </c>
      <c r="AW2396" s="121">
        <v>1.02</v>
      </c>
      <c r="AX2396" s="115">
        <f>AN2396-AP2396</f>
      </c>
    </row>
    <row r="2397" spans="1:50" ht="15" hidden="1" customHeight="1" x14ac:dyDescent="0.3">
      <c r="A2397" s="94" t="s">
        <v>151</v>
      </c>
      <c r="B2397" s="94"/>
      <c r="C2397" s="94"/>
      <c r="D2397" s="94"/>
      <c r="E2397" s="94"/>
      <c r="F2397" s="94"/>
      <c r="G2397" s="112">
        <f>AU2397</f>
      </c>
      <c r="H2397" s="113"/>
      <c r="I2397" s="94" t="s">
        <v>188</v>
      </c>
      <c r="J2397" s="94" t="s">
        <v>159</v>
      </c>
      <c r="K2397" s="114">
        <f>P2397/3</f>
      </c>
      <c r="L2397" s="115">
        <v>-1.329</v>
      </c>
      <c r="M2397" s="116">
        <f>L2397</f>
      </c>
      <c r="N2397" s="117">
        <f>M2397-L2397</f>
      </c>
      <c r="O2397" s="112"/>
      <c r="P2397" s="118">
        <f>N2397+O2397</f>
      </c>
      <c r="Q2397" s="94" t="s">
        <v>169</v>
      </c>
      <c r="R2397" s="94" t="s">
        <v>63</v>
      </c>
      <c r="S2397" s="119">
        <v>46320</v>
      </c>
      <c r="T2397" s="119"/>
      <c r="U2397" s="119">
        <v>46320</v>
      </c>
      <c r="V2397" s="94"/>
      <c r="W2397" s="94"/>
      <c r="X2397" s="94"/>
      <c r="Y2397" s="119">
        <v>46320</v>
      </c>
      <c r="Z2397" s="94"/>
      <c r="AA2397" s="120"/>
      <c r="AB2397" s="120"/>
      <c r="AC2397" s="120"/>
      <c r="AD2397" s="120"/>
      <c r="AE2397" s="120"/>
      <c r="AF2397" s="120"/>
      <c r="AG2397" s="94"/>
      <c r="AH2397" s="120"/>
      <c r="AI2397" s="94"/>
      <c r="AJ2397" s="94" t="s">
        <v>169</v>
      </c>
      <c r="AK2397" s="94" t="s">
        <v>159</v>
      </c>
      <c r="AL2397" s="94">
        <v>165</v>
      </c>
      <c r="AM2397" s="94" t="str">
        <f>TRIM(AJ2397)&amp;TRIM(AL2397)&amp;TRIM(AK2397)</f>
      </c>
      <c r="AN2397" s="116">
        <v>928.36</v>
      </c>
      <c r="AO2397" s="116">
        <v>-18.36</v>
      </c>
      <c r="AP2397" s="116">
        <f>SUMIFS(M:M,AM:AM,AM2397)+SUMIFS(O:O,AM:AM,AM2397)</f>
      </c>
      <c r="AQ2397" s="116">
        <f>SUMIFS(L:L,AM:AM,AM2397)</f>
      </c>
      <c r="AR2397" s="116">
        <f>AQ2397-AP2397</f>
      </c>
      <c r="AS2397" s="94" t="str">
        <f>IF(AN2397&gt;=AQ2397,"ok","ck")</f>
      </c>
      <c r="AT2397" s="116">
        <f>-P2397</f>
      </c>
      <c r="AU2397" s="115">
        <f>IF(SUMIFS(AT:AT,AM:AM,AM2397)&gt;AO2397,(SUMIFS(AT:AT,AM:AM,AM2397)-AO2397))</f>
      </c>
      <c r="AV2397" s="116">
        <v>928.36</v>
      </c>
      <c r="AW2397" s="121">
        <v>1.02</v>
      </c>
      <c r="AX2397" s="115">
        <f>AN2397-AP2397</f>
      </c>
    </row>
    <row r="2398" spans="1:50" ht="15" hidden="1" customHeight="1" x14ac:dyDescent="0.3">
      <c r="A2398" s="94" t="s">
        <v>151</v>
      </c>
      <c r="B2398" s="94"/>
      <c r="C2398" s="94"/>
      <c r="D2398" s="94"/>
      <c r="E2398" s="94"/>
      <c r="F2398" s="94"/>
      <c r="G2398" s="112">
        <f>AU2398</f>
      </c>
      <c r="H2398" s="113"/>
      <c r="I2398" s="94" t="s">
        <v>188</v>
      </c>
      <c r="J2398" s="94" t="s">
        <v>159</v>
      </c>
      <c r="K2398" s="114">
        <f>P2398/3</f>
      </c>
      <c r="L2398" s="115">
        <v>-1.3939999999999999</v>
      </c>
      <c r="M2398" s="116">
        <f>L2398</f>
      </c>
      <c r="N2398" s="117">
        <f>M2398-L2398</f>
      </c>
      <c r="O2398" s="112"/>
      <c r="P2398" s="118">
        <f>N2398+O2398</f>
      </c>
      <c r="Q2398" s="94" t="s">
        <v>169</v>
      </c>
      <c r="R2398" s="94" t="s">
        <v>63</v>
      </c>
      <c r="S2398" s="119">
        <v>46320</v>
      </c>
      <c r="T2398" s="119"/>
      <c r="U2398" s="119">
        <v>46320</v>
      </c>
      <c r="V2398" s="94"/>
      <c r="W2398" s="94"/>
      <c r="X2398" s="94"/>
      <c r="Y2398" s="119">
        <v>46320</v>
      </c>
      <c r="Z2398" s="94"/>
      <c r="AA2398" s="120"/>
      <c r="AB2398" s="120"/>
      <c r="AC2398" s="120"/>
      <c r="AD2398" s="120"/>
      <c r="AE2398" s="120"/>
      <c r="AF2398" s="120"/>
      <c r="AG2398" s="94"/>
      <c r="AH2398" s="120"/>
      <c r="AI2398" s="94"/>
      <c r="AJ2398" s="94" t="s">
        <v>169</v>
      </c>
      <c r="AK2398" s="94" t="s">
        <v>159</v>
      </c>
      <c r="AL2398" s="94">
        <v>165</v>
      </c>
      <c r="AM2398" s="94" t="str">
        <f>TRIM(AJ2398)&amp;TRIM(AL2398)&amp;TRIM(AK2398)</f>
      </c>
      <c r="AN2398" s="116">
        <v>928.36</v>
      </c>
      <c r="AO2398" s="116">
        <v>-18.36</v>
      </c>
      <c r="AP2398" s="116">
        <f>SUMIFS(M:M,AM:AM,AM2398)+SUMIFS(O:O,AM:AM,AM2398)</f>
      </c>
      <c r="AQ2398" s="116">
        <f>SUMIFS(L:L,AM:AM,AM2398)</f>
      </c>
      <c r="AR2398" s="116">
        <f>AQ2398-AP2398</f>
      </c>
      <c r="AS2398" s="94" t="str">
        <f>IF(AN2398&gt;=AQ2398,"ok","ck")</f>
      </c>
      <c r="AT2398" s="116">
        <f>-P2398</f>
      </c>
      <c r="AU2398" s="115">
        <f>IF(SUMIFS(AT:AT,AM:AM,AM2398)&gt;AO2398,(SUMIFS(AT:AT,AM:AM,AM2398)-AO2398))</f>
      </c>
      <c r="AV2398" s="116">
        <v>928.36</v>
      </c>
      <c r="AW2398" s="121">
        <v>1.02</v>
      </c>
      <c r="AX2398" s="115">
        <f>AN2398-AP2398</f>
      </c>
    </row>
    <row r="2399" spans="1:50" ht="15" hidden="1" customHeight="1" x14ac:dyDescent="0.3">
      <c r="A2399" s="94" t="s">
        <v>151</v>
      </c>
      <c r="B2399" s="94"/>
      <c r="C2399" s="94"/>
      <c r="D2399" s="94"/>
      <c r="E2399" s="94"/>
      <c r="F2399" s="94"/>
      <c r="G2399" s="112">
        <f>AU2399</f>
      </c>
      <c r="H2399" s="113"/>
      <c r="I2399" s="94" t="s">
        <v>152</v>
      </c>
      <c r="J2399" s="94" t="s">
        <v>156</v>
      </c>
      <c r="K2399" s="114">
        <f>P2399/3</f>
      </c>
      <c r="L2399" s="115">
        <v>455.334</v>
      </c>
      <c r="M2399" s="116">
        <v>190.23400000000001</v>
      </c>
      <c r="N2399" s="117">
        <f>M2399-L2399</f>
      </c>
      <c r="O2399" s="112"/>
      <c r="P2399" s="118">
        <f>N2399+O2399</f>
      </c>
      <c r="Q2399" s="94" t="s">
        <v>213</v>
      </c>
      <c r="R2399" s="94" t="s">
        <v>63</v>
      </c>
      <c r="S2399" s="119">
        <v>46337</v>
      </c>
      <c r="T2399" s="119"/>
      <c r="U2399" s="119">
        <v>46337</v>
      </c>
      <c r="V2399" s="94"/>
      <c r="W2399" s="94"/>
      <c r="X2399" s="94"/>
      <c r="Y2399" s="119">
        <v>46337</v>
      </c>
      <c r="Z2399" s="94"/>
      <c r="AA2399" s="120"/>
      <c r="AB2399" s="120"/>
      <c r="AC2399" s="120"/>
      <c r="AD2399" s="120"/>
      <c r="AE2399" s="120"/>
      <c r="AF2399" s="120"/>
      <c r="AG2399" s="94"/>
      <c r="AH2399" s="120"/>
      <c r="AI2399" s="94"/>
      <c r="AJ2399" s="94" t="s">
        <v>213</v>
      </c>
      <c r="AK2399" s="94" t="s">
        <v>158</v>
      </c>
      <c r="AL2399" s="94">
        <v>160</v>
      </c>
      <c r="AM2399" s="94" t="str">
        <f>TRIM(AJ2399)&amp;TRIM(AL2399)&amp;TRIM(AK2399)</f>
      </c>
      <c r="AN2399" s="116">
        <v>4334.9</v>
      </c>
      <c r="AO2399" s="116">
        <v>265.1</v>
      </c>
      <c r="AP2399" s="116">
        <f>SUMIFS(M:M,AM:AM,AM2399)+SUMIFS(O:O,AM:AM,AM2399)</f>
      </c>
      <c r="AQ2399" s="116">
        <f>SUMIFS(L:L,AM:AM,AM2399)</f>
      </c>
      <c r="AR2399" s="116">
        <f>AQ2399-AP2399</f>
      </c>
      <c r="AS2399" s="94" t="str">
        <f>IF(AN2399&gt;=AQ2399,"ok","ck")</f>
      </c>
      <c r="AT2399" s="116">
        <f>-P2399</f>
      </c>
      <c r="AU2399" s="115">
        <f>IF(SUMIFS(AT:AT,AM:AM,AM2399)&gt;AO2399,(SUMIFS(AT:AT,AM:AM,AM2399)-AO2399))</f>
      </c>
      <c r="AV2399" s="116">
        <v>4334.9</v>
      </c>
      <c r="AW2399" s="121">
        <v>0.942</v>
      </c>
      <c r="AX2399" s="115">
        <f>AN2399-AP2399</f>
      </c>
    </row>
    <row r="2400" spans="1:50" ht="15" hidden="1" customHeight="1" x14ac:dyDescent="0.3">
      <c r="A2400" s="94" t="s">
        <v>151</v>
      </c>
      <c r="B2400" s="94"/>
      <c r="C2400" s="94"/>
      <c r="D2400" s="94"/>
      <c r="E2400" s="94"/>
      <c r="F2400" s="94"/>
      <c r="G2400" s="112">
        <f>AU2400</f>
      </c>
      <c r="H2400" s="113"/>
      <c r="I2400" s="94" t="s">
        <v>152</v>
      </c>
      <c r="J2400" s="94" t="s">
        <v>156</v>
      </c>
      <c r="K2400" s="114">
        <f>P2400/3</f>
      </c>
      <c r="L2400" s="115">
        <v>0</v>
      </c>
      <c r="M2400" s="116">
        <f>L2400</f>
      </c>
      <c r="N2400" s="117">
        <f>M2400-L2400</f>
      </c>
      <c r="O2400" s="112"/>
      <c r="P2400" s="118">
        <f>N2400+O2400</f>
      </c>
      <c r="Q2400" s="94" t="s">
        <v>161</v>
      </c>
      <c r="R2400" s="94" t="s">
        <v>63</v>
      </c>
      <c r="S2400" s="119">
        <v>46320</v>
      </c>
      <c r="T2400" s="119"/>
      <c r="U2400" s="119">
        <v>46320</v>
      </c>
      <c r="V2400" s="94"/>
      <c r="W2400" s="94"/>
      <c r="X2400" s="94"/>
      <c r="Y2400" s="119">
        <v>46320</v>
      </c>
      <c r="Z2400" s="94"/>
      <c r="AA2400" s="120"/>
      <c r="AB2400" s="120"/>
      <c r="AC2400" s="120"/>
      <c r="AD2400" s="120"/>
      <c r="AE2400" s="120"/>
      <c r="AF2400" s="120"/>
      <c r="AG2400" s="94"/>
      <c r="AH2400" s="120"/>
      <c r="AI2400" s="94"/>
      <c r="AJ2400" s="94" t="s">
        <v>161</v>
      </c>
      <c r="AK2400" s="94" t="s">
        <v>162</v>
      </c>
      <c r="AL2400" s="94">
        <v>160</v>
      </c>
      <c r="AM2400" s="94" t="str">
        <f>TRIM(AJ2400)&amp;TRIM(AL2400)&amp;TRIM(AK2400)</f>
      </c>
      <c r="AN2400" s="116">
        <v>121.15</v>
      </c>
      <c r="AO2400" s="116">
        <v>-1.15</v>
      </c>
      <c r="AP2400" s="116">
        <f>SUMIFS(M:M,AM:AM,AM2400)+SUMIFS(O:O,AM:AM,AM2400)</f>
      </c>
      <c r="AQ2400" s="116">
        <f>SUMIFS(L:L,AM:AM,AM2400)</f>
      </c>
      <c r="AR2400" s="116">
        <f>AQ2400-AP2400</f>
      </c>
      <c r="AS2400" s="94" t="str">
        <f>IF(AN2400&gt;=AQ2400,"ok","ck")</f>
      </c>
      <c r="AT2400" s="116">
        <f>-P2400</f>
      </c>
      <c r="AU2400" s="115">
        <f>IF(SUMIFS(AT:AT,AM:AM,AM2400)&gt;AO2400,(SUMIFS(AT:AT,AM:AM,AM2400)-AO2400))</f>
      </c>
      <c r="AV2400" s="116">
        <v>121.15</v>
      </c>
      <c r="AW2400" s="121">
        <v>1.01</v>
      </c>
      <c r="AX2400" s="115">
        <f>AN2400-AP2400</f>
      </c>
    </row>
    <row r="2401" spans="1:50" ht="15" hidden="1" customHeight="1" x14ac:dyDescent="0.3">
      <c r="A2401" s="94" t="s">
        <v>151</v>
      </c>
      <c r="B2401" s="94"/>
      <c r="C2401" s="94"/>
      <c r="D2401" s="94"/>
      <c r="E2401" s="94"/>
      <c r="F2401" s="94"/>
      <c r="G2401" s="112">
        <f>AU2401</f>
      </c>
      <c r="H2401" s="113"/>
      <c r="I2401" s="94" t="s">
        <v>152</v>
      </c>
      <c r="J2401" s="94" t="s">
        <v>156</v>
      </c>
      <c r="K2401" s="114">
        <f>P2401/3</f>
      </c>
      <c r="L2401" s="115">
        <v>0</v>
      </c>
      <c r="M2401" s="116">
        <f>L2401</f>
      </c>
      <c r="N2401" s="117">
        <f>M2401-L2401</f>
      </c>
      <c r="O2401" s="112"/>
      <c r="P2401" s="118">
        <f>N2401+O2401</f>
      </c>
      <c r="Q2401" s="94" t="s">
        <v>161</v>
      </c>
      <c r="R2401" s="94" t="s">
        <v>63</v>
      </c>
      <c r="S2401" s="119">
        <v>46320</v>
      </c>
      <c r="T2401" s="119"/>
      <c r="U2401" s="119">
        <v>46320</v>
      </c>
      <c r="V2401" s="94"/>
      <c r="W2401" s="94"/>
      <c r="X2401" s="94"/>
      <c r="Y2401" s="119">
        <v>46320</v>
      </c>
      <c r="Z2401" s="94"/>
      <c r="AA2401" s="120"/>
      <c r="AB2401" s="120"/>
      <c r="AC2401" s="120"/>
      <c r="AD2401" s="120"/>
      <c r="AE2401" s="120"/>
      <c r="AF2401" s="120"/>
      <c r="AG2401" s="94"/>
      <c r="AH2401" s="120"/>
      <c r="AI2401" s="94"/>
      <c r="AJ2401" s="94" t="s">
        <v>161</v>
      </c>
      <c r="AK2401" s="94" t="s">
        <v>162</v>
      </c>
      <c r="AL2401" s="94">
        <v>160</v>
      </c>
      <c r="AM2401" s="94" t="str">
        <f>TRIM(AJ2401)&amp;TRIM(AL2401)&amp;TRIM(AK2401)</f>
      </c>
      <c r="AN2401" s="116">
        <v>121.15</v>
      </c>
      <c r="AO2401" s="116">
        <v>-1.15</v>
      </c>
      <c r="AP2401" s="116">
        <f>SUMIFS(M:M,AM:AM,AM2401)+SUMIFS(O:O,AM:AM,AM2401)</f>
      </c>
      <c r="AQ2401" s="116">
        <f>SUMIFS(L:L,AM:AM,AM2401)</f>
      </c>
      <c r="AR2401" s="116">
        <f>AQ2401-AP2401</f>
      </c>
      <c r="AS2401" s="94" t="str">
        <f>IF(AN2401&gt;=AQ2401,"ok","ck")</f>
      </c>
      <c r="AT2401" s="116">
        <f>-P2401</f>
      </c>
      <c r="AU2401" s="115">
        <f>IF(SUMIFS(AT:AT,AM:AM,AM2401)&gt;AO2401,(SUMIFS(AT:AT,AM:AM,AM2401)-AO2401))</f>
      </c>
      <c r="AV2401" s="116">
        <v>121.15</v>
      </c>
      <c r="AW2401" s="121">
        <v>1.01</v>
      </c>
      <c r="AX2401" s="115">
        <f>AN2401-AP2401</f>
      </c>
    </row>
    <row r="2402" spans="1:50" ht="15" hidden="1" customHeight="1" x14ac:dyDescent="0.3">
      <c r="A2402" s="94" t="s">
        <v>151</v>
      </c>
      <c r="B2402" s="94"/>
      <c r="C2402" s="94"/>
      <c r="D2402" s="94"/>
      <c r="E2402" s="94"/>
      <c r="F2402" s="94"/>
      <c r="G2402" s="112">
        <f>AU2402</f>
      </c>
      <c r="H2402" s="113"/>
      <c r="I2402" s="94" t="s">
        <v>152</v>
      </c>
      <c r="J2402" s="94" t="s">
        <v>156</v>
      </c>
      <c r="K2402" s="114">
        <f>P2402/3</f>
      </c>
      <c r="L2402" s="115">
        <v>1111.5889999999999</v>
      </c>
      <c r="M2402" s="116">
        <v>1111.5889999999999</v>
      </c>
      <c r="N2402" s="117">
        <f>M2402-L2402</f>
      </c>
      <c r="O2402" s="112"/>
      <c r="P2402" s="118">
        <f>N2402+O2402</f>
      </c>
      <c r="Q2402" s="94" t="s">
        <v>235</v>
      </c>
      <c r="R2402" s="94" t="s">
        <v>63</v>
      </c>
      <c r="S2402" s="119">
        <v>46333</v>
      </c>
      <c r="T2402" s="119"/>
      <c r="U2402" s="119">
        <v>46333</v>
      </c>
      <c r="V2402" s="94"/>
      <c r="W2402" s="94"/>
      <c r="X2402" s="94"/>
      <c r="Y2402" s="119">
        <v>46320</v>
      </c>
      <c r="Z2402" s="94"/>
      <c r="AA2402" s="120"/>
      <c r="AB2402" s="120"/>
      <c r="AC2402" s="120"/>
      <c r="AD2402" s="120"/>
      <c r="AE2402" s="120"/>
      <c r="AF2402" s="120"/>
      <c r="AG2402" s="94"/>
      <c r="AH2402" s="120"/>
      <c r="AI2402" s="94"/>
      <c r="AJ2402" s="94" t="s">
        <v>235</v>
      </c>
      <c r="AK2402" s="94" t="s">
        <v>158</v>
      </c>
      <c r="AL2402" s="94">
        <v>160</v>
      </c>
      <c r="AM2402" s="94" t="str">
        <f>TRIM(AJ2402)&amp;TRIM(AL2402)&amp;TRIM(AK2402)</f>
      </c>
      <c r="AN2402" s="116">
        <v>5533.7</v>
      </c>
      <c r="AO2402" s="116">
        <v>151.3</v>
      </c>
      <c r="AP2402" s="116">
        <f>SUMIFS(M:M,AM:AM,AM2402)+SUMIFS(O:O,AM:AM,AM2402)</f>
      </c>
      <c r="AQ2402" s="116">
        <f>SUMIFS(L:L,AM:AM,AM2402)</f>
      </c>
      <c r="AR2402" s="116">
        <f>AQ2402-AP2402</f>
      </c>
      <c r="AS2402" s="94" t="str">
        <f>IF(AN2402&gt;=AQ2402,"ok","ck")</f>
      </c>
      <c r="AT2402" s="116">
        <f>-P2402</f>
      </c>
      <c r="AU2402" s="115">
        <f>IF(SUMIFS(AT:AT,AM:AM,AM2402)&gt;AO2402,(SUMIFS(AT:AT,AM:AM,AM2402)-AO2402))</f>
      </c>
      <c r="AV2402" s="116">
        <v>5533.7</v>
      </c>
      <c r="AW2402" s="121">
        <v>0.973</v>
      </c>
      <c r="AX2402" s="115">
        <f>AN2402-AP2402</f>
      </c>
    </row>
    <row r="2403" spans="1:50" ht="15" hidden="1" customHeight="1" x14ac:dyDescent="0.3">
      <c r="A2403" s="94" t="s">
        <v>151</v>
      </c>
      <c r="B2403" s="94"/>
      <c r="C2403" s="94"/>
      <c r="D2403" s="94"/>
      <c r="E2403" s="94"/>
      <c r="F2403" s="94"/>
      <c r="G2403" s="112">
        <f>AU2403</f>
      </c>
      <c r="H2403" s="113"/>
      <c r="I2403" s="94" t="s">
        <v>174</v>
      </c>
      <c r="J2403" s="94" t="s">
        <v>175</v>
      </c>
      <c r="K2403" s="114">
        <f>P2403/3</f>
      </c>
      <c r="L2403" s="115">
        <v>305.3</v>
      </c>
      <c r="M2403" s="116">
        <v>26.39</v>
      </c>
      <c r="N2403" s="117">
        <f>M2403-L2403</f>
      </c>
      <c r="O2403" s="112"/>
      <c r="P2403" s="118">
        <f>N2403+O2403</f>
      </c>
      <c r="Q2403" s="94" t="s">
        <v>176</v>
      </c>
      <c r="R2403" s="94" t="s">
        <v>63</v>
      </c>
      <c r="S2403" s="119">
        <v>46331</v>
      </c>
      <c r="T2403" s="119"/>
      <c r="U2403" s="119">
        <v>46331</v>
      </c>
      <c r="V2403" s="94"/>
      <c r="W2403" s="94"/>
      <c r="X2403" s="94"/>
      <c r="Y2403" s="119">
        <v>46320</v>
      </c>
      <c r="Z2403" s="94"/>
      <c r="AA2403" s="120"/>
      <c r="AB2403" s="120"/>
      <c r="AC2403" s="120"/>
      <c r="AD2403" s="120"/>
      <c r="AE2403" s="120"/>
      <c r="AF2403" s="120"/>
      <c r="AG2403" s="94"/>
      <c r="AH2403" s="120"/>
      <c r="AI2403" s="94"/>
      <c r="AJ2403" s="94" t="s">
        <v>176</v>
      </c>
      <c r="AK2403" s="94" t="s">
        <v>177</v>
      </c>
      <c r="AL2403" s="94">
        <v>160</v>
      </c>
      <c r="AM2403" s="94" t="str">
        <f>TRIM(AJ2403)&amp;TRIM(AL2403)&amp;TRIM(AK2403)</f>
      </c>
      <c r="AN2403" s="116">
        <v>6454</v>
      </c>
      <c r="AO2403" s="116">
        <v>1656</v>
      </c>
      <c r="AP2403" s="116">
        <f>SUMIFS(M:M,AM:AM,AM2403)+SUMIFS(O:O,AM:AM,AM2403)</f>
      </c>
      <c r="AQ2403" s="116">
        <f>SUMIFS(L:L,AM:AM,AM2403)</f>
      </c>
      <c r="AR2403" s="116">
        <f>AQ2403-AP2403</f>
      </c>
      <c r="AS2403" s="94" t="str">
        <f>IF(AN2403&gt;=AQ2403,"ok","ck")</f>
      </c>
      <c r="AT2403" s="116">
        <f>-P2403</f>
      </c>
      <c r="AU2403" s="115">
        <f>IF(SUMIFS(AT:AT,AM:AM,AM2403)&gt;AO2403,(SUMIFS(AT:AT,AM:AM,AM2403)-AO2403))</f>
      </c>
      <c r="AV2403" s="116">
        <v>6454</v>
      </c>
      <c r="AW2403" s="121">
        <v>0.796</v>
      </c>
      <c r="AX2403" s="115">
        <f>AN2403-AP2403</f>
      </c>
    </row>
    <row r="2404" spans="1:50" ht="15" hidden="1" customHeight="1" x14ac:dyDescent="0.3">
      <c r="A2404" s="94" t="s">
        <v>151</v>
      </c>
      <c r="B2404" s="94"/>
      <c r="C2404" s="94"/>
      <c r="D2404" s="94"/>
      <c r="E2404" s="94"/>
      <c r="F2404" s="94"/>
      <c r="G2404" s="112">
        <f>AU2404</f>
      </c>
      <c r="H2404" s="113"/>
      <c r="I2404" s="94" t="s">
        <v>174</v>
      </c>
      <c r="J2404" s="94" t="s">
        <v>175</v>
      </c>
      <c r="K2404" s="114">
        <f>P2404/3</f>
      </c>
      <c r="L2404" s="115">
        <v>925.10199999999998</v>
      </c>
      <c r="M2404" s="116"/>
      <c r="N2404" s="117">
        <f>M2404-L2404</f>
      </c>
      <c r="O2404" s="112"/>
      <c r="P2404" s="118">
        <f>N2404+O2404</f>
      </c>
      <c r="Q2404" s="94" t="s">
        <v>176</v>
      </c>
      <c r="R2404" s="94" t="s">
        <v>63</v>
      </c>
      <c r="S2404" s="119">
        <v>46331</v>
      </c>
      <c r="T2404" s="119"/>
      <c r="U2404" s="119">
        <v>46331</v>
      </c>
      <c r="V2404" s="94"/>
      <c r="W2404" s="94"/>
      <c r="X2404" s="94"/>
      <c r="Y2404" s="119">
        <v>46329</v>
      </c>
      <c r="Z2404" s="94"/>
      <c r="AA2404" s="120"/>
      <c r="AB2404" s="120"/>
      <c r="AC2404" s="120"/>
      <c r="AD2404" s="120"/>
      <c r="AE2404" s="120"/>
      <c r="AF2404" s="120"/>
      <c r="AG2404" s="94"/>
      <c r="AH2404" s="120"/>
      <c r="AI2404" s="94"/>
      <c r="AJ2404" s="94" t="s">
        <v>176</v>
      </c>
      <c r="AK2404" s="94" t="s">
        <v>177</v>
      </c>
      <c r="AL2404" s="94">
        <v>160</v>
      </c>
      <c r="AM2404" s="94" t="str">
        <f>TRIM(AJ2404)&amp;TRIM(AL2404)&amp;TRIM(AK2404)</f>
      </c>
      <c r="AN2404" s="116">
        <v>6454</v>
      </c>
      <c r="AO2404" s="116">
        <v>1656</v>
      </c>
      <c r="AP2404" s="116">
        <f>SUMIFS(M:M,AM:AM,AM2404)+SUMIFS(O:O,AM:AM,AM2404)</f>
      </c>
      <c r="AQ2404" s="116">
        <f>SUMIFS(L:L,AM:AM,AM2404)</f>
      </c>
      <c r="AR2404" s="116">
        <f>AQ2404-AP2404</f>
      </c>
      <c r="AS2404" s="94" t="str">
        <f>IF(AN2404&gt;=AQ2404,"ok","ck")</f>
      </c>
      <c r="AT2404" s="116">
        <f>-P2404</f>
      </c>
      <c r="AU2404" s="115">
        <f>IF(SUMIFS(AT:AT,AM:AM,AM2404)&gt;AO2404,(SUMIFS(AT:AT,AM:AM,AM2404)-AO2404))</f>
      </c>
      <c r="AV2404" s="116">
        <v>6454</v>
      </c>
      <c r="AW2404" s="121">
        <v>0.796</v>
      </c>
      <c r="AX2404" s="115">
        <f>AN2404-AP2404</f>
      </c>
    </row>
    <row r="2405" spans="1:50" ht="15" hidden="1" customHeight="1" x14ac:dyDescent="0.3">
      <c r="A2405" s="94" t="s">
        <v>151</v>
      </c>
      <c r="B2405" s="94"/>
      <c r="C2405" s="94"/>
      <c r="D2405" s="94"/>
      <c r="E2405" s="94"/>
      <c r="F2405" s="94"/>
      <c r="G2405" s="112">
        <f>AU2405</f>
      </c>
      <c r="H2405" s="113"/>
      <c r="I2405" s="94" t="s">
        <v>152</v>
      </c>
      <c r="J2405" s="94" t="s">
        <v>207</v>
      </c>
      <c r="K2405" s="114">
        <f>P2405/3</f>
      </c>
      <c r="L2405" s="115">
        <v>0</v>
      </c>
      <c r="M2405" s="116">
        <f>L2405</f>
      </c>
      <c r="N2405" s="117">
        <f>M2405-L2405</f>
      </c>
      <c r="O2405" s="112"/>
      <c r="P2405" s="118">
        <f>N2405+O2405</f>
      </c>
      <c r="Q2405" s="94" t="s">
        <v>154</v>
      </c>
      <c r="R2405" s="94" t="s">
        <v>63</v>
      </c>
      <c r="S2405" s="119">
        <v>46320</v>
      </c>
      <c r="T2405" s="119"/>
      <c r="U2405" s="119">
        <v>46320</v>
      </c>
      <c r="V2405" s="94"/>
      <c r="W2405" s="94"/>
      <c r="X2405" s="94"/>
      <c r="Y2405" s="119">
        <v>46320</v>
      </c>
      <c r="Z2405" s="94"/>
      <c r="AA2405" s="120"/>
      <c r="AB2405" s="120"/>
      <c r="AC2405" s="120"/>
      <c r="AD2405" s="120"/>
      <c r="AE2405" s="120"/>
      <c r="AF2405" s="120"/>
      <c r="AG2405" s="94"/>
      <c r="AH2405" s="120"/>
      <c r="AI2405" s="94"/>
      <c r="AJ2405" s="94" t="s">
        <v>154</v>
      </c>
      <c r="AK2405" s="94" t="s">
        <v>208</v>
      </c>
      <c r="AL2405" s="94">
        <v>160</v>
      </c>
      <c r="AM2405" s="94" t="str">
        <f>TRIM(AJ2405)&amp;TRIM(AL2405)&amp;TRIM(AK2405)</f>
      </c>
      <c r="AN2405" s="116">
        <v>9916</v>
      </c>
      <c r="AO2405" s="116">
        <v>-196</v>
      </c>
      <c r="AP2405" s="116">
        <f>SUMIFS(M:M,AM:AM,AM2405)+SUMIFS(O:O,AM:AM,AM2405)</f>
      </c>
      <c r="AQ2405" s="116">
        <f>SUMIFS(L:L,AM:AM,AM2405)</f>
      </c>
      <c r="AR2405" s="116">
        <f>AQ2405-AP2405</f>
      </c>
      <c r="AS2405" s="94" t="str">
        <f>IF(AN2405&gt;=AQ2405,"ok","ck")</f>
      </c>
      <c r="AT2405" s="116">
        <f>-P2405</f>
      </c>
      <c r="AU2405" s="115">
        <f>IF(SUMIFS(AT:AT,AM:AM,AM2405)&gt;AO2405,(SUMIFS(AT:AT,AM:AM,AM2405)-AO2405))</f>
      </c>
      <c r="AV2405" s="116">
        <v>9916</v>
      </c>
      <c r="AW2405" s="121">
        <v>1.02</v>
      </c>
      <c r="AX2405" s="115">
        <f>AN2405-AP2405</f>
      </c>
    </row>
    <row r="2406" spans="1:50" ht="15" hidden="1" customHeight="1" x14ac:dyDescent="0.3">
      <c r="A2406" s="94" t="s">
        <v>93</v>
      </c>
      <c r="B2406" s="94"/>
      <c r="C2406" s="94"/>
      <c r="D2406" s="94"/>
      <c r="E2406" s="94"/>
      <c r="F2406" s="94"/>
      <c r="G2406" s="112">
        <f>AU2406</f>
      </c>
      <c r="H2406" s="113"/>
      <c r="I2406" s="94" t="s">
        <v>494</v>
      </c>
      <c r="J2406" s="94" t="s">
        <v>615</v>
      </c>
      <c r="K2406" s="114">
        <f>P2406/3</f>
      </c>
      <c r="L2406" s="115">
        <v>0</v>
      </c>
      <c r="M2406" s="116">
        <f>L2406</f>
      </c>
      <c r="N2406" s="117">
        <f>M2406-L2406</f>
      </c>
      <c r="O2406" s="112"/>
      <c r="P2406" s="118">
        <f>N2406+O2406</f>
      </c>
      <c r="Q2406" s="94" t="s">
        <v>95</v>
      </c>
      <c r="R2406" s="94" t="s">
        <v>63</v>
      </c>
      <c r="S2406" s="119">
        <v>46320</v>
      </c>
      <c r="T2406" s="119"/>
      <c r="U2406" s="119">
        <v>46320</v>
      </c>
      <c r="V2406" s="94"/>
      <c r="W2406" s="94"/>
      <c r="X2406" s="94"/>
      <c r="Y2406" s="119">
        <v>46320</v>
      </c>
      <c r="Z2406" s="94"/>
      <c r="AA2406" s="120"/>
      <c r="AB2406" s="120"/>
      <c r="AC2406" s="120"/>
      <c r="AD2406" s="120"/>
      <c r="AE2406" s="120"/>
      <c r="AF2406" s="120"/>
      <c r="AG2406" s="94"/>
      <c r="AH2406" s="120"/>
      <c r="AI2406" s="94"/>
      <c r="AJ2406" s="94" t="s">
        <v>95</v>
      </c>
      <c r="AK2406" s="94" t="s">
        <v>767</v>
      </c>
      <c r="AL2406" s="94">
        <v>210</v>
      </c>
      <c r="AM2406" s="94" t="str">
        <f>TRIM(AJ2406)&amp;TRIM(AL2406)&amp;TRIM(AK2406)</f>
      </c>
      <c r="AN2406" s="116">
        <v>2070</v>
      </c>
      <c r="AO2406" s="116">
        <v>-40</v>
      </c>
      <c r="AP2406" s="116">
        <f>SUMIFS(M:M,AM:AM,AM2406)+SUMIFS(O:O,AM:AM,AM2406)</f>
      </c>
      <c r="AQ2406" s="116">
        <f>SUMIFS(L:L,AM:AM,AM2406)</f>
      </c>
      <c r="AR2406" s="116">
        <f>AQ2406-AP2406</f>
      </c>
      <c r="AS2406" s="94" t="str">
        <f>IF(AN2406&gt;=AQ2406,"ok","ck")</f>
      </c>
      <c r="AT2406" s="116">
        <f>-P2406</f>
      </c>
      <c r="AU2406" s="115">
        <f>IF(SUMIFS(AT:AT,AM:AM,AM2406)&gt;AO2406,(SUMIFS(AT:AT,AM:AM,AM2406)-AO2406))</f>
      </c>
      <c r="AV2406" s="116">
        <v>2070</v>
      </c>
      <c r="AW2406" s="121">
        <v>1.02</v>
      </c>
      <c r="AX2406" s="115">
        <f>AN2406-AP2406</f>
      </c>
    </row>
    <row r="2407" spans="1:50" ht="15" hidden="1" customHeight="1" x14ac:dyDescent="0.3">
      <c r="A2407" s="94" t="s">
        <v>93</v>
      </c>
      <c r="B2407" s="94"/>
      <c r="C2407" s="94"/>
      <c r="D2407" s="94"/>
      <c r="E2407" s="94"/>
      <c r="F2407" s="94"/>
      <c r="G2407" s="112">
        <f>AU2407</f>
      </c>
      <c r="H2407" s="113"/>
      <c r="I2407" s="94" t="s">
        <v>494</v>
      </c>
      <c r="J2407" s="94" t="s">
        <v>616</v>
      </c>
      <c r="K2407" s="114">
        <f>P2407/3</f>
      </c>
      <c r="L2407" s="115">
        <v>0</v>
      </c>
      <c r="M2407" s="116">
        <f>L2407</f>
      </c>
      <c r="N2407" s="117">
        <f>M2407-L2407</f>
      </c>
      <c r="O2407" s="112"/>
      <c r="P2407" s="118">
        <f>N2407+O2407</f>
      </c>
      <c r="Q2407" s="94" t="s">
        <v>95</v>
      </c>
      <c r="R2407" s="94" t="s">
        <v>63</v>
      </c>
      <c r="S2407" s="119">
        <v>46320</v>
      </c>
      <c r="T2407" s="119"/>
      <c r="U2407" s="119">
        <v>46320</v>
      </c>
      <c r="V2407" s="94"/>
      <c r="W2407" s="94"/>
      <c r="X2407" s="94"/>
      <c r="Y2407" s="119">
        <v>46320</v>
      </c>
      <c r="Z2407" s="94"/>
      <c r="AA2407" s="120"/>
      <c r="AB2407" s="120"/>
      <c r="AC2407" s="120"/>
      <c r="AD2407" s="120"/>
      <c r="AE2407" s="120"/>
      <c r="AF2407" s="120"/>
      <c r="AG2407" s="94"/>
      <c r="AH2407" s="120"/>
      <c r="AI2407" s="94"/>
      <c r="AJ2407" s="94" t="s">
        <v>95</v>
      </c>
      <c r="AK2407" s="94" t="s">
        <v>109</v>
      </c>
      <c r="AL2407" s="94">
        <v>210</v>
      </c>
      <c r="AM2407" s="94" t="str">
        <f>TRIM(AJ2407)&amp;TRIM(AL2407)&amp;TRIM(AK2407)</f>
      </c>
      <c r="AN2407" s="116">
        <v>2030</v>
      </c>
      <c r="AO2407" s="116">
        <v>-30</v>
      </c>
      <c r="AP2407" s="116">
        <f>SUMIFS(M:M,AM:AM,AM2407)+SUMIFS(O:O,AM:AM,AM2407)</f>
      </c>
      <c r="AQ2407" s="116">
        <f>SUMIFS(L:L,AM:AM,AM2407)</f>
      </c>
      <c r="AR2407" s="116">
        <f>AQ2407-AP2407</f>
      </c>
      <c r="AS2407" s="94" t="str">
        <f>IF(AN2407&gt;=AQ2407,"ok","ck")</f>
      </c>
      <c r="AT2407" s="116">
        <f>-P2407</f>
      </c>
      <c r="AU2407" s="115">
        <f>IF(SUMIFS(AT:AT,AM:AM,AM2407)&gt;AO2407,(SUMIFS(AT:AT,AM:AM,AM2407)-AO2407))</f>
      </c>
      <c r="AV2407" s="116">
        <v>2030</v>
      </c>
      <c r="AW2407" s="121">
        <v>1.015</v>
      </c>
      <c r="AX2407" s="115">
        <f>AN2407-AP2407</f>
      </c>
    </row>
    <row r="2408" spans="1:50" ht="15" hidden="1" customHeight="1" x14ac:dyDescent="0.3">
      <c r="A2408" s="94" t="s">
        <v>93</v>
      </c>
      <c r="B2408" s="94"/>
      <c r="C2408" s="94"/>
      <c r="D2408" s="94"/>
      <c r="E2408" s="94"/>
      <c r="F2408" s="94"/>
      <c r="G2408" s="112">
        <f>AU2408</f>
      </c>
      <c r="H2408" s="113"/>
      <c r="I2408" s="94" t="s">
        <v>494</v>
      </c>
      <c r="J2408" s="94" t="s">
        <v>616</v>
      </c>
      <c r="K2408" s="114">
        <f>P2408/3</f>
      </c>
      <c r="L2408" s="115">
        <v>0</v>
      </c>
      <c r="M2408" s="116">
        <f>L2408</f>
      </c>
      <c r="N2408" s="117">
        <f>M2408-L2408</f>
      </c>
      <c r="O2408" s="112"/>
      <c r="P2408" s="118">
        <f>N2408+O2408</f>
      </c>
      <c r="Q2408" s="94" t="s">
        <v>95</v>
      </c>
      <c r="R2408" s="94" t="s">
        <v>63</v>
      </c>
      <c r="S2408" s="119">
        <v>46320</v>
      </c>
      <c r="T2408" s="119"/>
      <c r="U2408" s="119">
        <v>46320</v>
      </c>
      <c r="V2408" s="94"/>
      <c r="W2408" s="94"/>
      <c r="X2408" s="94"/>
      <c r="Y2408" s="119">
        <v>46320</v>
      </c>
      <c r="Z2408" s="94"/>
      <c r="AA2408" s="120"/>
      <c r="AB2408" s="120"/>
      <c r="AC2408" s="120"/>
      <c r="AD2408" s="120"/>
      <c r="AE2408" s="120"/>
      <c r="AF2408" s="120"/>
      <c r="AG2408" s="94"/>
      <c r="AH2408" s="120"/>
      <c r="AI2408" s="94"/>
      <c r="AJ2408" s="94" t="s">
        <v>95</v>
      </c>
      <c r="AK2408" s="94" t="s">
        <v>109</v>
      </c>
      <c r="AL2408" s="94">
        <v>210</v>
      </c>
      <c r="AM2408" s="94" t="str">
        <f>TRIM(AJ2408)&amp;TRIM(AL2408)&amp;TRIM(AK2408)</f>
      </c>
      <c r="AN2408" s="116">
        <v>2030</v>
      </c>
      <c r="AO2408" s="116">
        <v>-30</v>
      </c>
      <c r="AP2408" s="116">
        <f>SUMIFS(M:M,AM:AM,AM2408)+SUMIFS(O:O,AM:AM,AM2408)</f>
      </c>
      <c r="AQ2408" s="116">
        <f>SUMIFS(L:L,AM:AM,AM2408)</f>
      </c>
      <c r="AR2408" s="116">
        <f>AQ2408-AP2408</f>
      </c>
      <c r="AS2408" s="94" t="str">
        <f>IF(AN2408&gt;=AQ2408,"ok","ck")</f>
      </c>
      <c r="AT2408" s="116">
        <f>-P2408</f>
      </c>
      <c r="AU2408" s="115">
        <f>IF(SUMIFS(AT:AT,AM:AM,AM2408)&gt;AO2408,(SUMIFS(AT:AT,AM:AM,AM2408)-AO2408))</f>
      </c>
      <c r="AV2408" s="116">
        <v>2030</v>
      </c>
      <c r="AW2408" s="121">
        <v>1.015</v>
      </c>
      <c r="AX2408" s="115">
        <f>AN2408-AP2408</f>
      </c>
    </row>
    <row r="2409" spans="1:50" ht="15" hidden="1" customHeight="1" x14ac:dyDescent="0.3">
      <c r="A2409" s="94" t="s">
        <v>93</v>
      </c>
      <c r="B2409" s="94"/>
      <c r="C2409" s="94"/>
      <c r="D2409" s="94"/>
      <c r="E2409" s="94"/>
      <c r="F2409" s="94"/>
      <c r="G2409" s="112">
        <f>AU2409</f>
      </c>
      <c r="H2409" s="113"/>
      <c r="I2409" s="94" t="s">
        <v>494</v>
      </c>
      <c r="J2409" s="94" t="s">
        <v>614</v>
      </c>
      <c r="K2409" s="114">
        <f>P2409/3</f>
      </c>
      <c r="L2409" s="115">
        <v>0</v>
      </c>
      <c r="M2409" s="116">
        <f>L2409</f>
      </c>
      <c r="N2409" s="117">
        <f>M2409-L2409</f>
      </c>
      <c r="O2409" s="112"/>
      <c r="P2409" s="118">
        <f>N2409+O2409</f>
      </c>
      <c r="Q2409" s="94" t="s">
        <v>95</v>
      </c>
      <c r="R2409" s="94" t="s">
        <v>63</v>
      </c>
      <c r="S2409" s="119">
        <v>46320</v>
      </c>
      <c r="T2409" s="119"/>
      <c r="U2409" s="120">
        <v>46320</v>
      </c>
      <c r="V2409" s="94"/>
      <c r="W2409" s="94"/>
      <c r="X2409" s="94"/>
      <c r="Y2409" s="119">
        <v>46320</v>
      </c>
      <c r="Z2409" s="94"/>
      <c r="AA2409" s="120"/>
      <c r="AB2409" s="120"/>
      <c r="AC2409" s="120"/>
      <c r="AD2409" s="120"/>
      <c r="AE2409" s="120"/>
      <c r="AF2409" s="120"/>
      <c r="AG2409" s="94"/>
      <c r="AH2409" s="120"/>
      <c r="AI2409" s="94"/>
      <c r="AJ2409" s="94" t="s">
        <v>95</v>
      </c>
      <c r="AK2409" s="94" t="s">
        <v>614</v>
      </c>
      <c r="AL2409" s="94">
        <v>210</v>
      </c>
      <c r="AM2409" s="94" t="str">
        <f>TRIM(AJ2409)&amp;TRIM(AL2409)&amp;TRIM(AK2409)</f>
      </c>
      <c r="AN2409" s="116">
        <v>3815</v>
      </c>
      <c r="AO2409" s="116">
        <v>-35</v>
      </c>
      <c r="AP2409" s="116">
        <f>SUMIFS(M:M,AM:AM,AM2409)+SUMIFS(O:O,AM:AM,AM2409)</f>
      </c>
      <c r="AQ2409" s="116">
        <f>SUMIFS(L:L,AM:AM,AM2409)</f>
      </c>
      <c r="AR2409" s="116">
        <f>AQ2409-AP2409</f>
      </c>
      <c r="AS2409" s="94" t="str">
        <f>IF(AN2409&gt;=AQ2409,"ok","ck")</f>
      </c>
      <c r="AT2409" s="116">
        <f>-P2409</f>
      </c>
      <c r="AU2409" s="115">
        <f>IF(SUMIFS(AT:AT,AM:AM,AM2409)&gt;AO2409,(SUMIFS(AT:AT,AM:AM,AM2409)-AO2409))</f>
      </c>
      <c r="AV2409" s="116">
        <v>3815</v>
      </c>
      <c r="AW2409" s="121">
        <v>1.009</v>
      </c>
      <c r="AX2409" s="115">
        <f>AN2409-AP2409</f>
      </c>
    </row>
    <row r="2410" spans="1:50" ht="15" hidden="1" customHeight="1" x14ac:dyDescent="0.3">
      <c r="A2410" s="94" t="s">
        <v>151</v>
      </c>
      <c r="B2410" s="94"/>
      <c r="C2410" s="94"/>
      <c r="D2410" s="94"/>
      <c r="E2410" s="94"/>
      <c r="F2410" s="94"/>
      <c r="G2410" s="112">
        <f>AU2410</f>
      </c>
      <c r="H2410" s="113"/>
      <c r="I2410" s="94" t="s">
        <v>152</v>
      </c>
      <c r="J2410" s="94" t="s">
        <v>114</v>
      </c>
      <c r="K2410" s="114">
        <f>P2410/3</f>
      </c>
      <c r="L2410" s="115">
        <v>2660.6979999999999</v>
      </c>
      <c r="M2410" s="116">
        <v>2660.6979999999999</v>
      </c>
      <c r="N2410" s="117">
        <f>M2410-L2410</f>
      </c>
      <c r="O2410" s="112"/>
      <c r="P2410" s="118">
        <f>N2410+O2410</f>
      </c>
      <c r="Q2410" s="94" t="s">
        <v>168</v>
      </c>
      <c r="R2410" s="94" t="s">
        <v>63</v>
      </c>
      <c r="S2410" s="119">
        <v>46328</v>
      </c>
      <c r="T2410" s="119"/>
      <c r="U2410" s="120">
        <v>46328</v>
      </c>
      <c r="V2410" s="94"/>
      <c r="W2410" s="94"/>
      <c r="X2410" s="94"/>
      <c r="Y2410" s="119">
        <v>46320</v>
      </c>
      <c r="Z2410" s="94"/>
      <c r="AA2410" s="120"/>
      <c r="AB2410" s="120"/>
      <c r="AC2410" s="120"/>
      <c r="AD2410" s="120"/>
      <c r="AE2410" s="120"/>
      <c r="AF2410" s="120"/>
      <c r="AG2410" s="94"/>
      <c r="AH2410" s="120"/>
      <c r="AI2410" s="94"/>
      <c r="AJ2410" s="94" t="s">
        <v>168</v>
      </c>
      <c r="AK2410" s="94" t="s">
        <v>191</v>
      </c>
      <c r="AL2410" s="94">
        <v>160</v>
      </c>
      <c r="AM2410" s="94" t="str">
        <f>TRIM(AJ2410)&amp;TRIM(AL2410)&amp;TRIM(AK2410)</f>
      </c>
      <c r="AN2410" s="116">
        <v>9410.49</v>
      </c>
      <c r="AO2410" s="116">
        <v>4940.49</v>
      </c>
      <c r="AP2410" s="116">
        <f>SUMIFS(M:M,AM:AM,AM2410)+SUMIFS(O:O,AM:AM,AM2410)</f>
      </c>
      <c r="AQ2410" s="116">
        <f>SUMIFS(L:L,AM:AM,AM2410)</f>
      </c>
      <c r="AR2410" s="116">
        <f>AQ2410-AP2410</f>
      </c>
      <c r="AS2410" s="94" t="str">
        <f>IF(AN2410&gt;=AQ2410,"ok","ck")</f>
      </c>
      <c r="AT2410" s="116">
        <f>-P2410</f>
      </c>
      <c r="AU2410" s="115">
        <f>IF(SUMIFS(AT:AT,AM:AM,AM2410)&gt;AO2410,(SUMIFS(AT:AT,AM:AM,AM2410)-AO2410))</f>
      </c>
      <c r="AV2410" s="116">
        <v>9410.49</v>
      </c>
      <c r="AW2410" s="121">
        <v>0.656</v>
      </c>
      <c r="AX2410" s="115">
        <f>AN2410-AP2410</f>
      </c>
    </row>
    <row r="2411" spans="1:50" ht="15" hidden="1" customHeight="1" x14ac:dyDescent="0.3">
      <c r="A2411" s="94" t="s">
        <v>151</v>
      </c>
      <c r="B2411" s="94"/>
      <c r="C2411" s="94"/>
      <c r="D2411" s="94"/>
      <c r="E2411" s="94"/>
      <c r="F2411" s="94"/>
      <c r="G2411" s="112">
        <f>AU2411</f>
      </c>
      <c r="H2411" s="113"/>
      <c r="I2411" s="94" t="s">
        <v>152</v>
      </c>
      <c r="J2411" s="94" t="s">
        <v>114</v>
      </c>
      <c r="K2411" s="114">
        <f>P2411/3</f>
      </c>
      <c r="L2411" s="115">
        <v>3971.018</v>
      </c>
      <c r="M2411" s="116">
        <v>2320.6370000000002</v>
      </c>
      <c r="N2411" s="117">
        <f>M2411-L2411</f>
      </c>
      <c r="O2411" s="112"/>
      <c r="P2411" s="118">
        <f>N2411+O2411</f>
      </c>
      <c r="Q2411" s="94" t="s">
        <v>168</v>
      </c>
      <c r="R2411" s="94" t="s">
        <v>63</v>
      </c>
      <c r="S2411" s="119">
        <v>46328</v>
      </c>
      <c r="T2411" s="119"/>
      <c r="U2411" s="119">
        <v>46328</v>
      </c>
      <c r="V2411" s="94"/>
      <c r="W2411" s="94"/>
      <c r="X2411" s="94"/>
      <c r="Y2411" s="119">
        <v>46338</v>
      </c>
      <c r="Z2411" s="94"/>
      <c r="AA2411" s="120"/>
      <c r="AB2411" s="120"/>
      <c r="AC2411" s="120"/>
      <c r="AD2411" s="120"/>
      <c r="AE2411" s="120"/>
      <c r="AF2411" s="120"/>
      <c r="AG2411" s="94"/>
      <c r="AH2411" s="120"/>
      <c r="AI2411" s="94"/>
      <c r="AJ2411" s="94" t="s">
        <v>168</v>
      </c>
      <c r="AK2411" s="94" t="s">
        <v>191</v>
      </c>
      <c r="AL2411" s="94">
        <v>160</v>
      </c>
      <c r="AM2411" s="94" t="str">
        <f>TRIM(AJ2411)&amp;TRIM(AL2411)&amp;TRIM(AK2411)</f>
      </c>
      <c r="AN2411" s="116">
        <v>9410.49</v>
      </c>
      <c r="AO2411" s="116">
        <v>4940.49</v>
      </c>
      <c r="AP2411" s="116">
        <f>SUMIFS(M:M,AM:AM,AM2411)+SUMIFS(O:O,AM:AM,AM2411)</f>
      </c>
      <c r="AQ2411" s="116">
        <f>SUMIFS(L:L,AM:AM,AM2411)</f>
      </c>
      <c r="AR2411" s="116">
        <f>AQ2411-AP2411</f>
      </c>
      <c r="AS2411" s="94" t="str">
        <f>IF(AN2411&gt;=AQ2411,"ok","ck")</f>
      </c>
      <c r="AT2411" s="116">
        <f>-P2411</f>
      </c>
      <c r="AU2411" s="115">
        <f>IF(SUMIFS(AT:AT,AM:AM,AM2411)&gt;AO2411,(SUMIFS(AT:AT,AM:AM,AM2411)-AO2411))</f>
      </c>
      <c r="AV2411" s="116">
        <v>9410.49</v>
      </c>
      <c r="AW2411" s="121">
        <v>0.656</v>
      </c>
      <c r="AX2411" s="115">
        <f>AN2411-AP2411</f>
      </c>
    </row>
    <row r="2412" spans="1:50" ht="15" hidden="1" customHeight="1" x14ac:dyDescent="0.3">
      <c r="A2412" s="94" t="s">
        <v>151</v>
      </c>
      <c r="B2412" s="94"/>
      <c r="C2412" s="94"/>
      <c r="D2412" s="94"/>
      <c r="E2412" s="94"/>
      <c r="F2412" s="94"/>
      <c r="G2412" s="112">
        <f>AU2412</f>
      </c>
      <c r="H2412" s="113"/>
      <c r="I2412" s="94" t="s">
        <v>152</v>
      </c>
      <c r="J2412" s="94" t="s">
        <v>114</v>
      </c>
      <c r="K2412" s="114">
        <f>P2412/3</f>
      </c>
      <c r="L2412" s="115">
        <v>3290.1089999999999</v>
      </c>
      <c r="M2412" s="116"/>
      <c r="N2412" s="117">
        <f>M2412-L2412</f>
      </c>
      <c r="O2412" s="112"/>
      <c r="P2412" s="118">
        <f>N2412+O2412</f>
      </c>
      <c r="Q2412" s="94" t="s">
        <v>168</v>
      </c>
      <c r="R2412" s="94" t="s">
        <v>63</v>
      </c>
      <c r="S2412" s="119">
        <v>46328</v>
      </c>
      <c r="T2412" s="119"/>
      <c r="U2412" s="119">
        <v>46328</v>
      </c>
      <c r="V2412" s="94"/>
      <c r="W2412" s="94"/>
      <c r="X2412" s="94"/>
      <c r="Y2412" s="119">
        <v>46320</v>
      </c>
      <c r="Z2412" s="94"/>
      <c r="AA2412" s="120"/>
      <c r="AB2412" s="120"/>
      <c r="AC2412" s="120"/>
      <c r="AD2412" s="120"/>
      <c r="AE2412" s="120"/>
      <c r="AF2412" s="120"/>
      <c r="AG2412" s="94"/>
      <c r="AH2412" s="120"/>
      <c r="AI2412" s="94"/>
      <c r="AJ2412" s="94" t="s">
        <v>168</v>
      </c>
      <c r="AK2412" s="94" t="s">
        <v>191</v>
      </c>
      <c r="AL2412" s="94">
        <v>160</v>
      </c>
      <c r="AM2412" s="94" t="str">
        <f>TRIM(AJ2412)&amp;TRIM(AL2412)&amp;TRIM(AK2412)</f>
      </c>
      <c r="AN2412" s="116">
        <v>9410.49</v>
      </c>
      <c r="AO2412" s="116">
        <v>4940.49</v>
      </c>
      <c r="AP2412" s="116">
        <f>SUMIFS(M:M,AM:AM,AM2412)+SUMIFS(O:O,AM:AM,AM2412)</f>
      </c>
      <c r="AQ2412" s="116">
        <f>SUMIFS(L:L,AM:AM,AM2412)</f>
      </c>
      <c r="AR2412" s="116">
        <f>AQ2412-AP2412</f>
      </c>
      <c r="AS2412" s="94" t="str">
        <f>IF(AN2412&gt;=AQ2412,"ok","ck")</f>
      </c>
      <c r="AT2412" s="116">
        <f>-P2412</f>
      </c>
      <c r="AU2412" s="115">
        <f>IF(SUMIFS(AT:AT,AM:AM,AM2412)&gt;AO2412,(SUMIFS(AT:AT,AM:AM,AM2412)-AO2412))</f>
      </c>
      <c r="AV2412" s="116">
        <v>9410.49</v>
      </c>
      <c r="AW2412" s="121">
        <v>0.656</v>
      </c>
      <c r="AX2412" s="115">
        <f>AN2412-AP2412</f>
      </c>
    </row>
    <row r="2413" spans="1:50" ht="15" hidden="1" customHeight="1" x14ac:dyDescent="0.3">
      <c r="A2413" s="94" t="s">
        <v>151</v>
      </c>
      <c r="B2413" s="94"/>
      <c r="C2413" s="94"/>
      <c r="D2413" s="94"/>
      <c r="E2413" s="94"/>
      <c r="F2413" s="94"/>
      <c r="G2413" s="112">
        <f>AU2413</f>
      </c>
      <c r="H2413" s="113"/>
      <c r="I2413" s="94" t="s">
        <v>152</v>
      </c>
      <c r="J2413" s="94" t="s">
        <v>159</v>
      </c>
      <c r="K2413" s="114">
        <f>P2413/3</f>
      </c>
      <c r="L2413" s="115">
        <v>-0.104</v>
      </c>
      <c r="M2413" s="116">
        <f>L2413</f>
      </c>
      <c r="N2413" s="117">
        <f>M2413-L2413</f>
      </c>
      <c r="O2413" s="112"/>
      <c r="P2413" s="118">
        <f>N2413+O2413</f>
      </c>
      <c r="Q2413" s="94" t="s">
        <v>169</v>
      </c>
      <c r="R2413" s="94" t="s">
        <v>63</v>
      </c>
      <c r="S2413" s="119">
        <v>46320</v>
      </c>
      <c r="T2413" s="119"/>
      <c r="U2413" s="120">
        <v>46320</v>
      </c>
      <c r="V2413" s="94"/>
      <c r="W2413" s="94"/>
      <c r="X2413" s="94"/>
      <c r="Y2413" s="119">
        <v>46320</v>
      </c>
      <c r="Z2413" s="94"/>
      <c r="AA2413" s="120"/>
      <c r="AB2413" s="120"/>
      <c r="AC2413" s="120"/>
      <c r="AD2413" s="120"/>
      <c r="AE2413" s="120"/>
      <c r="AF2413" s="120"/>
      <c r="AG2413" s="94"/>
      <c r="AH2413" s="120"/>
      <c r="AI2413" s="94"/>
      <c r="AJ2413" s="94" t="s">
        <v>169</v>
      </c>
      <c r="AK2413" s="94" t="s">
        <v>159</v>
      </c>
      <c r="AL2413" s="94">
        <v>160</v>
      </c>
      <c r="AM2413" s="94" t="str">
        <f>TRIM(AJ2413)&amp;TRIM(AL2413)&amp;TRIM(AK2413)</f>
      </c>
      <c r="AN2413" s="116">
        <v>80</v>
      </c>
      <c r="AO2413" s="116">
        <v>-8</v>
      </c>
      <c r="AP2413" s="116">
        <f>SUMIFS(M:M,AM:AM,AM2413)+SUMIFS(O:O,AM:AM,AM2413)</f>
      </c>
      <c r="AQ2413" s="116">
        <f>SUMIFS(L:L,AM:AM,AM2413)</f>
      </c>
      <c r="AR2413" s="116">
        <f>AQ2413-AP2413</f>
      </c>
      <c r="AS2413" s="94" t="str">
        <f>IF(AN2413&gt;=AQ2413,"ok","ck")</f>
      </c>
      <c r="AT2413" s="116">
        <f>-P2413</f>
      </c>
      <c r="AU2413" s="115">
        <f>IF(SUMIFS(AT:AT,AM:AM,AM2413)&gt;AO2413,(SUMIFS(AT:AT,AM:AM,AM2413)-AO2413))</f>
      </c>
      <c r="AV2413" s="116">
        <v>80</v>
      </c>
      <c r="AW2413" s="121">
        <v>1.111</v>
      </c>
      <c r="AX2413" s="115">
        <f>AN2413-AP2413</f>
      </c>
    </row>
    <row r="2414" spans="1:50" ht="15" hidden="1" customHeight="1" x14ac:dyDescent="0.3">
      <c r="A2414" s="94" t="s">
        <v>151</v>
      </c>
      <c r="B2414" s="94"/>
      <c r="C2414" s="94"/>
      <c r="D2414" s="94"/>
      <c r="E2414" s="94"/>
      <c r="F2414" s="94"/>
      <c r="G2414" s="112">
        <f>AU2414</f>
      </c>
      <c r="H2414" s="113"/>
      <c r="I2414" s="94" t="s">
        <v>152</v>
      </c>
      <c r="J2414" s="94" t="s">
        <v>159</v>
      </c>
      <c r="K2414" s="114">
        <f>P2414/3</f>
      </c>
      <c r="L2414" s="115">
        <v>-0.109</v>
      </c>
      <c r="M2414" s="116">
        <f>L2414</f>
      </c>
      <c r="N2414" s="117">
        <f>M2414-L2414</f>
      </c>
      <c r="O2414" s="112"/>
      <c r="P2414" s="118">
        <f>N2414+O2414</f>
      </c>
      <c r="Q2414" s="94" t="s">
        <v>169</v>
      </c>
      <c r="R2414" s="94" t="s">
        <v>63</v>
      </c>
      <c r="S2414" s="119">
        <v>46320</v>
      </c>
      <c r="T2414" s="119"/>
      <c r="U2414" s="119">
        <v>46320</v>
      </c>
      <c r="V2414" s="94"/>
      <c r="W2414" s="94"/>
      <c r="X2414" s="94"/>
      <c r="Y2414" s="119">
        <v>46320</v>
      </c>
      <c r="Z2414" s="94"/>
      <c r="AA2414" s="120"/>
      <c r="AB2414" s="120"/>
      <c r="AC2414" s="120"/>
      <c r="AD2414" s="120"/>
      <c r="AE2414" s="120"/>
      <c r="AF2414" s="120"/>
      <c r="AG2414" s="94"/>
      <c r="AH2414" s="120"/>
      <c r="AI2414" s="94"/>
      <c r="AJ2414" s="94" t="s">
        <v>169</v>
      </c>
      <c r="AK2414" s="94" t="s">
        <v>159</v>
      </c>
      <c r="AL2414" s="94">
        <v>160</v>
      </c>
      <c r="AM2414" s="94" t="str">
        <f>TRIM(AJ2414)&amp;TRIM(AL2414)&amp;TRIM(AK2414)</f>
      </c>
      <c r="AN2414" s="116">
        <v>80</v>
      </c>
      <c r="AO2414" s="116">
        <v>-8</v>
      </c>
      <c r="AP2414" s="116">
        <f>SUMIFS(M:M,AM:AM,AM2414)+SUMIFS(O:O,AM:AM,AM2414)</f>
      </c>
      <c r="AQ2414" s="116">
        <f>SUMIFS(L:L,AM:AM,AM2414)</f>
      </c>
      <c r="AR2414" s="116">
        <f>AQ2414-AP2414</f>
      </c>
      <c r="AS2414" s="94" t="str">
        <f>IF(AN2414&gt;=AQ2414,"ok","ck")</f>
      </c>
      <c r="AT2414" s="116">
        <f>-P2414</f>
      </c>
      <c r="AU2414" s="115">
        <f>IF(SUMIFS(AT:AT,AM:AM,AM2414)&gt;AO2414,(SUMIFS(AT:AT,AM:AM,AM2414)-AO2414))</f>
      </c>
      <c r="AV2414" s="116">
        <v>80</v>
      </c>
      <c r="AW2414" s="121">
        <v>1.111</v>
      </c>
      <c r="AX2414" s="115">
        <f>AN2414-AP2414</f>
      </c>
    </row>
    <row r="2415" spans="1:50" ht="15" hidden="1" customHeight="1" x14ac:dyDescent="0.3">
      <c r="A2415" s="94" t="s">
        <v>151</v>
      </c>
      <c r="B2415" s="94"/>
      <c r="C2415" s="94"/>
      <c r="D2415" s="94"/>
      <c r="E2415" s="94"/>
      <c r="F2415" s="94"/>
      <c r="G2415" s="112">
        <f>AU2415</f>
      </c>
      <c r="H2415" s="113"/>
      <c r="I2415" s="94" t="s">
        <v>152</v>
      </c>
      <c r="J2415" s="94" t="s">
        <v>159</v>
      </c>
      <c r="K2415" s="114">
        <f>P2415/3</f>
      </c>
      <c r="L2415" s="115">
        <v>-0.57699999999999996</v>
      </c>
      <c r="M2415" s="116">
        <f>L2415</f>
      </c>
      <c r="N2415" s="117">
        <f>M2415-L2415</f>
      </c>
      <c r="O2415" s="112"/>
      <c r="P2415" s="118">
        <f>N2415+O2415</f>
      </c>
      <c r="Q2415" s="94" t="s">
        <v>169</v>
      </c>
      <c r="R2415" s="94" t="s">
        <v>63</v>
      </c>
      <c r="S2415" s="119">
        <v>46320</v>
      </c>
      <c r="T2415" s="119"/>
      <c r="U2415" s="119">
        <v>46320</v>
      </c>
      <c r="V2415" s="94"/>
      <c r="W2415" s="94"/>
      <c r="X2415" s="94"/>
      <c r="Y2415" s="119">
        <v>46320</v>
      </c>
      <c r="Z2415" s="94"/>
      <c r="AA2415" s="120"/>
      <c r="AB2415" s="120"/>
      <c r="AC2415" s="120"/>
      <c r="AD2415" s="120"/>
      <c r="AE2415" s="120"/>
      <c r="AF2415" s="120"/>
      <c r="AG2415" s="94"/>
      <c r="AH2415" s="120"/>
      <c r="AI2415" s="94"/>
      <c r="AJ2415" s="94" t="s">
        <v>169</v>
      </c>
      <c r="AK2415" s="94" t="s">
        <v>159</v>
      </c>
      <c r="AL2415" s="94">
        <v>160</v>
      </c>
      <c r="AM2415" s="94" t="str">
        <f>TRIM(AJ2415)&amp;TRIM(AL2415)&amp;TRIM(AK2415)</f>
      </c>
      <c r="AN2415" s="116">
        <v>80</v>
      </c>
      <c r="AO2415" s="116">
        <v>-8</v>
      </c>
      <c r="AP2415" s="116">
        <f>SUMIFS(M:M,AM:AM,AM2415)+SUMIFS(O:O,AM:AM,AM2415)</f>
      </c>
      <c r="AQ2415" s="116">
        <f>SUMIFS(L:L,AM:AM,AM2415)</f>
      </c>
      <c r="AR2415" s="116">
        <f>AQ2415-AP2415</f>
      </c>
      <c r="AS2415" s="94" t="str">
        <f>IF(AN2415&gt;=AQ2415,"ok","ck")</f>
      </c>
      <c r="AT2415" s="116">
        <f>-P2415</f>
      </c>
      <c r="AU2415" s="115">
        <f>IF(SUMIFS(AT:AT,AM:AM,AM2415)&gt;AO2415,(SUMIFS(AT:AT,AM:AM,AM2415)-AO2415))</f>
      </c>
      <c r="AV2415" s="116">
        <v>80</v>
      </c>
      <c r="AW2415" s="121">
        <v>1.111</v>
      </c>
      <c r="AX2415" s="115">
        <f>AN2415-AP2415</f>
      </c>
    </row>
    <row r="2416" spans="1:50" ht="15" hidden="1" customHeight="1" x14ac:dyDescent="0.3">
      <c r="A2416" s="94" t="s">
        <v>151</v>
      </c>
      <c r="B2416" s="94"/>
      <c r="C2416" s="94"/>
      <c r="D2416" s="94"/>
      <c r="E2416" s="94"/>
      <c r="F2416" s="94"/>
      <c r="G2416" s="112">
        <f>AU2416</f>
      </c>
      <c r="H2416" s="113"/>
      <c r="I2416" s="94" t="s">
        <v>220</v>
      </c>
      <c r="J2416" s="94" t="s">
        <v>217</v>
      </c>
      <c r="K2416" s="114">
        <f>P2416/3</f>
      </c>
      <c r="L2416" s="115">
        <v>1900</v>
      </c>
      <c r="M2416" s="116">
        <v>1900</v>
      </c>
      <c r="N2416" s="117">
        <f>M2416-L2416</f>
      </c>
      <c r="O2416" s="112"/>
      <c r="P2416" s="118">
        <f>N2416+O2416</f>
      </c>
      <c r="Q2416" s="94" t="s">
        <v>168</v>
      </c>
      <c r="R2416" s="94" t="s">
        <v>63</v>
      </c>
      <c r="S2416" s="119">
        <v>46327</v>
      </c>
      <c r="T2416" s="119"/>
      <c r="U2416" s="119" t="s">
        <v>686</v>
      </c>
      <c r="V2416" s="94"/>
      <c r="W2416" s="94"/>
      <c r="X2416" s="94"/>
      <c r="Y2416" s="119">
        <v>46320</v>
      </c>
      <c r="Z2416" s="94"/>
      <c r="AA2416" s="120"/>
      <c r="AB2416" s="120"/>
      <c r="AC2416" s="120"/>
      <c r="AD2416" s="120"/>
      <c r="AE2416" s="120"/>
      <c r="AF2416" s="120"/>
      <c r="AG2416" s="94"/>
      <c r="AH2416" s="120"/>
      <c r="AI2416" s="94"/>
      <c r="AJ2416" s="94" t="s">
        <v>168</v>
      </c>
      <c r="AK2416" s="94" t="s">
        <v>217</v>
      </c>
      <c r="AL2416" s="94">
        <v>210</v>
      </c>
      <c r="AM2416" s="94" t="str">
        <f>TRIM(AJ2416)&amp;TRIM(AL2416)&amp;TRIM(AK2416)</f>
      </c>
      <c r="AN2416" s="116">
        <v>6238.37</v>
      </c>
      <c r="AO2416" s="116">
        <v>9914.91</v>
      </c>
      <c r="AP2416" s="116">
        <f>SUMIFS(M:M,AM:AM,AM2416)+SUMIFS(O:O,AM:AM,AM2416)</f>
      </c>
      <c r="AQ2416" s="116">
        <f>SUMIFS(L:L,AM:AM,AM2416)</f>
      </c>
      <c r="AR2416" s="116">
        <f>AQ2416-AP2416</f>
      </c>
      <c r="AS2416" s="94" t="str">
        <f>IF(AN2416&gt;=AQ2416,"ok","ck")</f>
      </c>
      <c r="AT2416" s="116">
        <f>-P2416</f>
      </c>
      <c r="AU2416" s="115">
        <f>IF(SUMIFS(AT:AT,AM:AM,AM2416)&gt;AO2416,(SUMIFS(AT:AT,AM:AM,AM2416)-AO2416))</f>
      </c>
      <c r="AV2416" s="116">
        <v>226</v>
      </c>
      <c r="AW2416" s="121">
        <v>0.884</v>
      </c>
      <c r="AX2416" s="115">
        <f>AN2416-AP2416</f>
      </c>
    </row>
    <row r="2417" spans="1:50" ht="15" hidden="1" customHeight="1" x14ac:dyDescent="0.3">
      <c r="A2417" s="94" t="s">
        <v>151</v>
      </c>
      <c r="B2417" s="94"/>
      <c r="C2417" s="94"/>
      <c r="D2417" s="94"/>
      <c r="E2417" s="94"/>
      <c r="F2417" s="94"/>
      <c r="G2417" s="112">
        <f>AU2417</f>
      </c>
      <c r="H2417" s="113"/>
      <c r="I2417" s="94" t="s">
        <v>216</v>
      </c>
      <c r="J2417" s="94" t="s">
        <v>217</v>
      </c>
      <c r="K2417" s="114">
        <f>P2417/3</f>
      </c>
      <c r="L2417" s="115">
        <v>0</v>
      </c>
      <c r="M2417" s="116"/>
      <c r="N2417" s="117">
        <f>M2417-L2417</f>
      </c>
      <c r="O2417" s="112"/>
      <c r="P2417" s="118">
        <f>N2417+O2417</f>
      </c>
      <c r="Q2417" s="94" t="s">
        <v>168</v>
      </c>
      <c r="R2417" s="94" t="s">
        <v>63</v>
      </c>
      <c r="S2417" s="119">
        <v>46320</v>
      </c>
      <c r="T2417" s="119"/>
      <c r="U2417" s="119">
        <v>46320</v>
      </c>
      <c r="V2417" s="94"/>
      <c r="W2417" s="94"/>
      <c r="X2417" s="94"/>
      <c r="Y2417" s="119">
        <v>46320</v>
      </c>
      <c r="Z2417" s="94"/>
      <c r="AA2417" s="120"/>
      <c r="AB2417" s="120"/>
      <c r="AC2417" s="120"/>
      <c r="AD2417" s="120"/>
      <c r="AE2417" s="120"/>
      <c r="AF2417" s="120"/>
      <c r="AG2417" s="94"/>
      <c r="AH2417" s="120"/>
      <c r="AI2417" s="94"/>
      <c r="AJ2417" s="94" t="s">
        <v>168</v>
      </c>
      <c r="AK2417" s="94" t="s">
        <v>217</v>
      </c>
      <c r="AL2417" s="94">
        <v>160</v>
      </c>
      <c r="AM2417" s="94" t="str">
        <f>TRIM(AJ2417)&amp;TRIM(AL2417)&amp;TRIM(AK2417)</f>
      </c>
      <c r="AN2417" s="116">
        <v>2728.65</v>
      </c>
      <c r="AO2417" s="116">
        <v>171.35</v>
      </c>
      <c r="AP2417" s="116">
        <f>SUMIFS(M:M,AM:AM,AM2417)+SUMIFS(O:O,AM:AM,AM2417)</f>
      </c>
      <c r="AQ2417" s="116">
        <f>SUMIFS(L:L,AM:AM,AM2417)</f>
      </c>
      <c r="AR2417" s="116">
        <f>AQ2417-AP2417</f>
      </c>
      <c r="AS2417" s="94" t="str">
        <f>IF(AN2417&gt;=AQ2417,"ok","ck")</f>
      </c>
      <c r="AT2417" s="116">
        <f>-P2417</f>
      </c>
      <c r="AU2417" s="115">
        <f>IF(SUMIFS(AT:AT,AM:AM,AM2417)&gt;AO2417,(SUMIFS(AT:AT,AM:AM,AM2417)-AO2417))</f>
      </c>
      <c r="AV2417" s="116">
        <v>2728.65</v>
      </c>
      <c r="AW2417" s="121">
        <v>0.941</v>
      </c>
      <c r="AX2417" s="115">
        <f>AN2417-AP2417</f>
      </c>
    </row>
    <row r="2418" spans="1:50" ht="15" hidden="1" customHeight="1" x14ac:dyDescent="0.3">
      <c r="A2418" s="94" t="s">
        <v>151</v>
      </c>
      <c r="B2418" s="94"/>
      <c r="C2418" s="94"/>
      <c r="D2418" s="94"/>
      <c r="E2418" s="94"/>
      <c r="F2418" s="94"/>
      <c r="G2418" s="112">
        <f>AU2418</f>
      </c>
      <c r="H2418" s="113"/>
      <c r="I2418" s="94" t="s">
        <v>216</v>
      </c>
      <c r="J2418" s="94" t="s">
        <v>217</v>
      </c>
      <c r="K2418" s="114">
        <f>P2418/3</f>
      </c>
      <c r="L2418" s="115">
        <v>746.21199999999999</v>
      </c>
      <c r="M2418" s="116">
        <v>746.21199999999999</v>
      </c>
      <c r="N2418" s="117">
        <f>M2418-L2418</f>
      </c>
      <c r="O2418" s="112"/>
      <c r="P2418" s="118">
        <f>N2418+O2418</f>
      </c>
      <c r="Q2418" s="94" t="s">
        <v>168</v>
      </c>
      <c r="R2418" s="94" t="s">
        <v>63</v>
      </c>
      <c r="S2418" s="119">
        <v>46320</v>
      </c>
      <c r="T2418" s="119"/>
      <c r="U2418" s="119">
        <v>46320</v>
      </c>
      <c r="V2418" s="94"/>
      <c r="W2418" s="94"/>
      <c r="X2418" s="94"/>
      <c r="Y2418" s="119">
        <v>46320</v>
      </c>
      <c r="Z2418" s="94"/>
      <c r="AA2418" s="120"/>
      <c r="AB2418" s="120"/>
      <c r="AC2418" s="120"/>
      <c r="AD2418" s="120"/>
      <c r="AE2418" s="120"/>
      <c r="AF2418" s="120"/>
      <c r="AG2418" s="94"/>
      <c r="AH2418" s="120"/>
      <c r="AI2418" s="94"/>
      <c r="AJ2418" s="94" t="s">
        <v>168</v>
      </c>
      <c r="AK2418" s="94" t="s">
        <v>217</v>
      </c>
      <c r="AL2418" s="94">
        <v>160</v>
      </c>
      <c r="AM2418" s="94" t="str">
        <f>TRIM(AJ2418)&amp;TRIM(AL2418)&amp;TRIM(AK2418)</f>
      </c>
      <c r="AN2418" s="116">
        <v>2728.65</v>
      </c>
      <c r="AO2418" s="116">
        <v>171.35</v>
      </c>
      <c r="AP2418" s="116">
        <f>SUMIFS(M:M,AM:AM,AM2418)+SUMIFS(O:O,AM:AM,AM2418)</f>
      </c>
      <c r="AQ2418" s="116">
        <f>SUMIFS(L:L,AM:AM,AM2418)</f>
      </c>
      <c r="AR2418" s="116">
        <f>AQ2418-AP2418</f>
      </c>
      <c r="AS2418" s="94" t="str">
        <f>IF(AN2418&gt;=AQ2418,"ok","ck")</f>
      </c>
      <c r="AT2418" s="116">
        <f>-P2418</f>
      </c>
      <c r="AU2418" s="115">
        <f>IF(SUMIFS(AT:AT,AM:AM,AM2418)&gt;AO2418,(SUMIFS(AT:AT,AM:AM,AM2418)-AO2418))</f>
      </c>
      <c r="AV2418" s="116">
        <v>2728.65</v>
      </c>
      <c r="AW2418" s="121">
        <v>0.941</v>
      </c>
      <c r="AX2418" s="115">
        <f>AN2418-AP2418</f>
      </c>
    </row>
    <row r="2419" spans="1:50" ht="15" hidden="1" customHeight="1" x14ac:dyDescent="0.3">
      <c r="A2419" s="94" t="s">
        <v>151</v>
      </c>
      <c r="B2419" s="94"/>
      <c r="C2419" s="94"/>
      <c r="D2419" s="94"/>
      <c r="E2419" s="94"/>
      <c r="F2419" s="94"/>
      <c r="G2419" s="112">
        <f>AU2419</f>
      </c>
      <c r="H2419" s="113"/>
      <c r="I2419" s="94" t="s">
        <v>216</v>
      </c>
      <c r="J2419" s="94" t="s">
        <v>217</v>
      </c>
      <c r="K2419" s="114">
        <f>P2419/3</f>
      </c>
      <c r="L2419" s="115">
        <v>649.81399999999996</v>
      </c>
      <c r="M2419" s="116">
        <v>478.464</v>
      </c>
      <c r="N2419" s="117">
        <f>M2419-L2419</f>
      </c>
      <c r="O2419" s="112"/>
      <c r="P2419" s="118">
        <f>N2419+O2419</f>
      </c>
      <c r="Q2419" s="94" t="s">
        <v>168</v>
      </c>
      <c r="R2419" s="94" t="s">
        <v>63</v>
      </c>
      <c r="S2419" s="119">
        <v>46345</v>
      </c>
      <c r="T2419" s="119"/>
      <c r="U2419" s="119">
        <v>46345</v>
      </c>
      <c r="V2419" s="94"/>
      <c r="W2419" s="94"/>
      <c r="X2419" s="94"/>
      <c r="Y2419" s="119">
        <v>46345</v>
      </c>
      <c r="Z2419" s="94"/>
      <c r="AA2419" s="120"/>
      <c r="AB2419" s="120"/>
      <c r="AC2419" s="120"/>
      <c r="AD2419" s="120"/>
      <c r="AE2419" s="120"/>
      <c r="AF2419" s="120"/>
      <c r="AG2419" s="94"/>
      <c r="AH2419" s="120"/>
      <c r="AI2419" s="94"/>
      <c r="AJ2419" s="94" t="s">
        <v>168</v>
      </c>
      <c r="AK2419" s="94" t="s">
        <v>217</v>
      </c>
      <c r="AL2419" s="94">
        <v>160</v>
      </c>
      <c r="AM2419" s="94" t="str">
        <f>TRIM(AJ2419)&amp;TRIM(AL2419)&amp;TRIM(AK2419)</f>
      </c>
      <c r="AN2419" s="116">
        <v>2728.65</v>
      </c>
      <c r="AO2419" s="116">
        <v>171.35</v>
      </c>
      <c r="AP2419" s="116">
        <f>SUMIFS(M:M,AM:AM,AM2419)+SUMIFS(O:O,AM:AM,AM2419)</f>
      </c>
      <c r="AQ2419" s="116">
        <f>SUMIFS(L:L,AM:AM,AM2419)</f>
      </c>
      <c r="AR2419" s="116">
        <f>AQ2419-AP2419</f>
      </c>
      <c r="AS2419" s="94" t="str">
        <f>IF(AN2419&gt;=AQ2419,"ok","ck")</f>
      </c>
      <c r="AT2419" s="116">
        <f>-P2419</f>
      </c>
      <c r="AU2419" s="115">
        <f>IF(SUMIFS(AT:AT,AM:AM,AM2419)&gt;AO2419,(SUMIFS(AT:AT,AM:AM,AM2419)-AO2419))</f>
      </c>
      <c r="AV2419" s="116">
        <v>2728.65</v>
      </c>
      <c r="AW2419" s="121">
        <v>0.941</v>
      </c>
      <c r="AX2419" s="115">
        <f>AN2419-AP2419</f>
      </c>
    </row>
    <row r="2420" spans="1:50" ht="15" hidden="1" customHeight="1" x14ac:dyDescent="0.3">
      <c r="A2420" s="94" t="s">
        <v>76</v>
      </c>
      <c r="B2420" s="94"/>
      <c r="C2420" s="94"/>
      <c r="D2420" s="94"/>
      <c r="E2420" s="94"/>
      <c r="F2420" s="94"/>
      <c r="G2420" s="112">
        <f>AU2420</f>
      </c>
      <c r="H2420" s="113"/>
      <c r="I2420" s="94" t="s">
        <v>77</v>
      </c>
      <c r="J2420" s="94" t="s">
        <v>613</v>
      </c>
      <c r="K2420" s="114">
        <f>P2420/3</f>
      </c>
      <c r="L2420" s="115">
        <v>-6.6000000000000003E-2</v>
      </c>
      <c r="M2420" s="116">
        <f>L2420</f>
      </c>
      <c r="N2420" s="117">
        <f>M2420-L2420</f>
      </c>
      <c r="O2420" s="112"/>
      <c r="P2420" s="118">
        <f>N2420+O2420</f>
      </c>
      <c r="Q2420" s="94" t="s">
        <v>112</v>
      </c>
      <c r="R2420" s="94" t="s">
        <v>63</v>
      </c>
      <c r="S2420" s="119">
        <v>46329</v>
      </c>
      <c r="T2420" s="119"/>
      <c r="U2420" s="119">
        <v>46329</v>
      </c>
      <c r="V2420" s="94"/>
      <c r="W2420" s="94"/>
      <c r="X2420" s="94"/>
      <c r="Y2420" s="119">
        <v>46329</v>
      </c>
      <c r="Z2420" s="94"/>
      <c r="AA2420" s="120"/>
      <c r="AB2420" s="120"/>
      <c r="AC2420" s="120"/>
      <c r="AD2420" s="120"/>
      <c r="AE2420" s="120"/>
      <c r="AF2420" s="120"/>
      <c r="AG2420" s="94"/>
      <c r="AH2420" s="120"/>
      <c r="AI2420" s="94"/>
      <c r="AJ2420" s="94" t="s">
        <v>112</v>
      </c>
      <c r="AK2420" s="94" t="s">
        <v>613</v>
      </c>
      <c r="AL2420" s="94">
        <v>150</v>
      </c>
      <c r="AM2420" s="94" t="str">
        <f>TRIM(AJ2420)&amp;TRIM(AL2420)&amp;TRIM(AK2420)</f>
      </c>
      <c r="AN2420" s="116">
        <v>1907</v>
      </c>
      <c r="AO2420" s="116">
        <v>-41.9</v>
      </c>
      <c r="AP2420" s="116">
        <f>SUMIFS(M:M,AM:AM,AM2420)+SUMIFS(O:O,AM:AM,AM2420)</f>
      </c>
      <c r="AQ2420" s="116">
        <f>SUMIFS(L:L,AM:AM,AM2420)</f>
      </c>
      <c r="AR2420" s="116">
        <f>AQ2420-AP2420</f>
      </c>
      <c r="AS2420" s="94" t="str">
        <f>IF(AN2420&gt;=AQ2420,"ok","ck")</f>
      </c>
      <c r="AT2420" s="116">
        <f>-P2420</f>
      </c>
      <c r="AU2420" s="115">
        <f>IF(SUMIFS(AT:AT,AM:AM,AM2420)&gt;AO2420,(SUMIFS(AT:AT,AM:AM,AM2420)-AO2420))</f>
      </c>
      <c r="AV2420" s="116">
        <v>1907</v>
      </c>
      <c r="AW2420" s="121">
        <v>1.022</v>
      </c>
      <c r="AX2420" s="115">
        <f>AN2420-AP2420</f>
      </c>
    </row>
    <row r="2421" spans="1:50" ht="15" hidden="1" customHeight="1" x14ac:dyDescent="0.3">
      <c r="A2421" s="94" t="s">
        <v>76</v>
      </c>
      <c r="B2421" s="94"/>
      <c r="C2421" s="94"/>
      <c r="D2421" s="94"/>
      <c r="E2421" s="94"/>
      <c r="F2421" s="94"/>
      <c r="G2421" s="112">
        <f>AU2421</f>
      </c>
      <c r="H2421" s="113"/>
      <c r="I2421" s="94" t="s">
        <v>77</v>
      </c>
      <c r="J2421" s="94" t="s">
        <v>613</v>
      </c>
      <c r="K2421" s="114">
        <f>P2421/3</f>
      </c>
      <c r="L2421" s="115">
        <v>-7.11</v>
      </c>
      <c r="M2421" s="116">
        <f>L2421</f>
      </c>
      <c r="N2421" s="117">
        <f>M2421-L2421</f>
      </c>
      <c r="O2421" s="112"/>
      <c r="P2421" s="118">
        <f>N2421+O2421</f>
      </c>
      <c r="Q2421" s="94" t="s">
        <v>112</v>
      </c>
      <c r="R2421" s="94" t="s">
        <v>63</v>
      </c>
      <c r="S2421" s="119">
        <v>46320</v>
      </c>
      <c r="T2421" s="119"/>
      <c r="U2421" s="119">
        <v>46320</v>
      </c>
      <c r="V2421" s="94"/>
      <c r="W2421" s="94"/>
      <c r="X2421" s="94"/>
      <c r="Y2421" s="119">
        <v>46320</v>
      </c>
      <c r="Z2421" s="94"/>
      <c r="AA2421" s="120"/>
      <c r="AB2421" s="120"/>
      <c r="AC2421" s="120"/>
      <c r="AD2421" s="120"/>
      <c r="AE2421" s="120"/>
      <c r="AF2421" s="120"/>
      <c r="AG2421" s="94"/>
      <c r="AH2421" s="120"/>
      <c r="AI2421" s="94"/>
      <c r="AJ2421" s="94" t="s">
        <v>112</v>
      </c>
      <c r="AK2421" s="94" t="s">
        <v>613</v>
      </c>
      <c r="AL2421" s="94">
        <v>150</v>
      </c>
      <c r="AM2421" s="94" t="str">
        <f>TRIM(AJ2421)&amp;TRIM(AL2421)&amp;TRIM(AK2421)</f>
      </c>
      <c r="AN2421" s="116">
        <v>1907</v>
      </c>
      <c r="AO2421" s="116">
        <v>-41.9</v>
      </c>
      <c r="AP2421" s="116">
        <f>SUMIFS(M:M,AM:AM,AM2421)+SUMIFS(O:O,AM:AM,AM2421)</f>
      </c>
      <c r="AQ2421" s="116">
        <f>SUMIFS(L:L,AM:AM,AM2421)</f>
      </c>
      <c r="AR2421" s="116">
        <f>AQ2421-AP2421</f>
      </c>
      <c r="AS2421" s="94" t="str">
        <f>IF(AN2421&gt;=AQ2421,"ok","ck")</f>
      </c>
      <c r="AT2421" s="116">
        <f>-P2421</f>
      </c>
      <c r="AU2421" s="115">
        <f>IF(SUMIFS(AT:AT,AM:AM,AM2421)&gt;AO2421,(SUMIFS(AT:AT,AM:AM,AM2421)-AO2421))</f>
      </c>
      <c r="AV2421" s="116">
        <v>1907</v>
      </c>
      <c r="AW2421" s="121">
        <v>1.022</v>
      </c>
      <c r="AX2421" s="115">
        <f>AN2421-AP2421</f>
      </c>
    </row>
    <row r="2422" spans="1:50" ht="15" hidden="1" customHeight="1" x14ac:dyDescent="0.3">
      <c r="A2422" s="94" t="s">
        <v>151</v>
      </c>
      <c r="B2422" s="94"/>
      <c r="C2422" s="94"/>
      <c r="D2422" s="94"/>
      <c r="E2422" s="94"/>
      <c r="F2422" s="94"/>
      <c r="G2422" s="112">
        <f>AU2422</f>
      </c>
      <c r="H2422" s="113"/>
      <c r="I2422" s="94" t="s">
        <v>163</v>
      </c>
      <c r="J2422" s="94" t="s">
        <v>218</v>
      </c>
      <c r="K2422" s="114">
        <f>P2422/3</f>
      </c>
      <c r="L2422" s="115">
        <v>0</v>
      </c>
      <c r="M2422" s="116">
        <f>L2422</f>
      </c>
      <c r="N2422" s="117">
        <f>M2422-L2422</f>
      </c>
      <c r="O2422" s="112"/>
      <c r="P2422" s="118">
        <f>N2422+O2422</f>
      </c>
      <c r="Q2422" s="94" t="s">
        <v>183</v>
      </c>
      <c r="R2422" s="94" t="s">
        <v>63</v>
      </c>
      <c r="S2422" s="119">
        <v>46320</v>
      </c>
      <c r="T2422" s="119"/>
      <c r="U2422" s="119">
        <v>46320</v>
      </c>
      <c r="V2422" s="94"/>
      <c r="W2422" s="94"/>
      <c r="X2422" s="94"/>
      <c r="Y2422" s="119">
        <v>46320</v>
      </c>
      <c r="Z2422" s="94"/>
      <c r="AA2422" s="120"/>
      <c r="AB2422" s="120"/>
      <c r="AC2422" s="120"/>
      <c r="AD2422" s="120"/>
      <c r="AE2422" s="120"/>
      <c r="AF2422" s="120"/>
      <c r="AG2422" s="94"/>
      <c r="AH2422" s="120"/>
      <c r="AI2422" s="94"/>
      <c r="AJ2422" s="94" t="s">
        <v>183</v>
      </c>
      <c r="AK2422" s="94" t="s">
        <v>219</v>
      </c>
      <c r="AL2422" s="94">
        <v>160</v>
      </c>
      <c r="AM2422" s="94" t="str">
        <f>TRIM(AJ2422)&amp;TRIM(AL2422)&amp;TRIM(AK2422)</f>
      </c>
      <c r="AN2422" s="116">
        <v>824.05</v>
      </c>
      <c r="AO2422" s="116">
        <v>-16.47</v>
      </c>
      <c r="AP2422" s="116">
        <f>SUMIFS(M:M,AM:AM,AM2422)+SUMIFS(O:O,AM:AM,AM2422)</f>
      </c>
      <c r="AQ2422" s="116">
        <f>SUMIFS(L:L,AM:AM,AM2422)</f>
      </c>
      <c r="AR2422" s="116">
        <f>AQ2422-AP2422</f>
      </c>
      <c r="AS2422" s="94" t="str">
        <f>IF(AN2422&gt;=AQ2422,"ok","ck")</f>
      </c>
      <c r="AT2422" s="116">
        <f>-P2422</f>
      </c>
      <c r="AU2422" s="115">
        <f>IF(SUMIFS(AT:AT,AM:AM,AM2422)&gt;AO2422,(SUMIFS(AT:AT,AM:AM,AM2422)-AO2422))</f>
      </c>
      <c r="AV2422" s="116">
        <v>824.05</v>
      </c>
      <c r="AW2422" s="121">
        <v>1.02</v>
      </c>
      <c r="AX2422" s="115">
        <f>AN2422-AP2422</f>
      </c>
    </row>
    <row r="2423" spans="1:50" ht="15" hidden="1" customHeight="1" x14ac:dyDescent="0.3">
      <c r="A2423" s="94" t="s">
        <v>76</v>
      </c>
      <c r="B2423" s="94"/>
      <c r="C2423" s="94"/>
      <c r="D2423" s="94"/>
      <c r="E2423" s="94"/>
      <c r="F2423" s="94"/>
      <c r="G2423" s="112">
        <f>AU2423</f>
      </c>
      <c r="H2423" s="113"/>
      <c r="I2423" s="94" t="s">
        <v>77</v>
      </c>
      <c r="J2423" s="94" t="s">
        <v>613</v>
      </c>
      <c r="K2423" s="114">
        <f>P2423/3</f>
      </c>
      <c r="L2423" s="115">
        <v>-3.3000000000000002E-2</v>
      </c>
      <c r="M2423" s="116">
        <f>L2423</f>
      </c>
      <c r="N2423" s="117">
        <f>M2423-L2423</f>
      </c>
      <c r="O2423" s="112"/>
      <c r="P2423" s="118">
        <f>N2423+O2423</f>
      </c>
      <c r="Q2423" s="94" t="s">
        <v>112</v>
      </c>
      <c r="R2423" s="94" t="s">
        <v>63</v>
      </c>
      <c r="S2423" s="119">
        <v>46320</v>
      </c>
      <c r="T2423" s="119"/>
      <c r="U2423" s="119">
        <v>46320</v>
      </c>
      <c r="V2423" s="94"/>
      <c r="W2423" s="94"/>
      <c r="X2423" s="94"/>
      <c r="Y2423" s="119">
        <v>46320</v>
      </c>
      <c r="Z2423" s="94"/>
      <c r="AA2423" s="120"/>
      <c r="AB2423" s="120"/>
      <c r="AC2423" s="120"/>
      <c r="AD2423" s="120"/>
      <c r="AE2423" s="120"/>
      <c r="AF2423" s="120"/>
      <c r="AG2423" s="94"/>
      <c r="AH2423" s="120"/>
      <c r="AI2423" s="94"/>
      <c r="AJ2423" s="94" t="s">
        <v>112</v>
      </c>
      <c r="AK2423" s="94" t="s">
        <v>613</v>
      </c>
      <c r="AL2423" s="94">
        <v>150</v>
      </c>
      <c r="AM2423" s="94" t="str">
        <f>TRIM(AJ2423)&amp;TRIM(AL2423)&amp;TRIM(AK2423)</f>
      </c>
      <c r="AN2423" s="116">
        <v>1907</v>
      </c>
      <c r="AO2423" s="116">
        <v>-41.9</v>
      </c>
      <c r="AP2423" s="116">
        <f>SUMIFS(M:M,AM:AM,AM2423)+SUMIFS(O:O,AM:AM,AM2423)</f>
      </c>
      <c r="AQ2423" s="116">
        <f>SUMIFS(L:L,AM:AM,AM2423)</f>
      </c>
      <c r="AR2423" s="116">
        <f>AQ2423-AP2423</f>
      </c>
      <c r="AS2423" s="94" t="str">
        <f>IF(AN2423&gt;=AQ2423,"ok","ck")</f>
      </c>
      <c r="AT2423" s="116">
        <f>-P2423</f>
      </c>
      <c r="AU2423" s="115">
        <f>IF(SUMIFS(AT:AT,AM:AM,AM2423)&gt;AO2423,(SUMIFS(AT:AT,AM:AM,AM2423)-AO2423))</f>
      </c>
      <c r="AV2423" s="116">
        <v>1907</v>
      </c>
      <c r="AW2423" s="121">
        <v>1.022</v>
      </c>
      <c r="AX2423" s="115">
        <f>AN2423-AP2423</f>
      </c>
    </row>
    <row r="2424" spans="1:50" ht="15" hidden="1" customHeight="1" x14ac:dyDescent="0.3">
      <c r="A2424" s="94" t="s">
        <v>76</v>
      </c>
      <c r="B2424" s="94"/>
      <c r="C2424" s="94"/>
      <c r="D2424" s="94"/>
      <c r="E2424" s="94"/>
      <c r="F2424" s="94"/>
      <c r="G2424" s="112">
        <f>AU2424</f>
      </c>
      <c r="H2424" s="113"/>
      <c r="I2424" s="94" t="s">
        <v>77</v>
      </c>
      <c r="J2424" s="94" t="s">
        <v>613</v>
      </c>
      <c r="K2424" s="114">
        <f>P2424/3</f>
      </c>
      <c r="L2424" s="115">
        <v>-8.9039999999999999</v>
      </c>
      <c r="M2424" s="116">
        <f>L2424</f>
      </c>
      <c r="N2424" s="117">
        <f>M2424-L2424</f>
      </c>
      <c r="O2424" s="112"/>
      <c r="P2424" s="118">
        <f>N2424+O2424</f>
      </c>
      <c r="Q2424" s="94" t="s">
        <v>112</v>
      </c>
      <c r="R2424" s="94" t="s">
        <v>63</v>
      </c>
      <c r="S2424" s="119">
        <v>46320</v>
      </c>
      <c r="T2424" s="119"/>
      <c r="U2424" s="119">
        <v>46320</v>
      </c>
      <c r="V2424" s="94"/>
      <c r="W2424" s="94"/>
      <c r="X2424" s="94"/>
      <c r="Y2424" s="119">
        <v>46320</v>
      </c>
      <c r="Z2424" s="94"/>
      <c r="AA2424" s="120"/>
      <c r="AB2424" s="120"/>
      <c r="AC2424" s="120"/>
      <c r="AD2424" s="120"/>
      <c r="AE2424" s="120"/>
      <c r="AF2424" s="120"/>
      <c r="AG2424" s="94"/>
      <c r="AH2424" s="120"/>
      <c r="AI2424" s="94"/>
      <c r="AJ2424" s="94" t="s">
        <v>112</v>
      </c>
      <c r="AK2424" s="94" t="s">
        <v>613</v>
      </c>
      <c r="AL2424" s="94">
        <v>150</v>
      </c>
      <c r="AM2424" s="94" t="str">
        <f>TRIM(AJ2424)&amp;TRIM(AL2424)&amp;TRIM(AK2424)</f>
      </c>
      <c r="AN2424" s="116">
        <v>1907</v>
      </c>
      <c r="AO2424" s="116">
        <v>-41.9</v>
      </c>
      <c r="AP2424" s="116">
        <f>SUMIFS(M:M,AM:AM,AM2424)+SUMIFS(O:O,AM:AM,AM2424)</f>
      </c>
      <c r="AQ2424" s="116">
        <f>SUMIFS(L:L,AM:AM,AM2424)</f>
      </c>
      <c r="AR2424" s="116">
        <f>AQ2424-AP2424</f>
      </c>
      <c r="AS2424" s="94" t="str">
        <f>IF(AN2424&gt;=AQ2424,"ok","ck")</f>
      </c>
      <c r="AT2424" s="116">
        <f>-P2424</f>
      </c>
      <c r="AU2424" s="115">
        <f>IF(SUMIFS(AT:AT,AM:AM,AM2424)&gt;AO2424,(SUMIFS(AT:AT,AM:AM,AM2424)-AO2424))</f>
      </c>
      <c r="AV2424" s="116">
        <v>1907</v>
      </c>
      <c r="AW2424" s="121">
        <v>1.022</v>
      </c>
      <c r="AX2424" s="115">
        <f>AN2424-AP2424</f>
      </c>
    </row>
    <row r="2425" spans="1:50" ht="15" hidden="1" customHeight="1" x14ac:dyDescent="0.3">
      <c r="A2425" s="94" t="s">
        <v>76</v>
      </c>
      <c r="B2425" s="94"/>
      <c r="C2425" s="94"/>
      <c r="D2425" s="94"/>
      <c r="E2425" s="94"/>
      <c r="F2425" s="94"/>
      <c r="G2425" s="112">
        <f>AU2425</f>
      </c>
      <c r="H2425" s="113"/>
      <c r="I2425" s="94" t="s">
        <v>77</v>
      </c>
      <c r="J2425" s="94" t="s">
        <v>613</v>
      </c>
      <c r="K2425" s="114">
        <f>P2425/3</f>
      </c>
      <c r="L2425" s="115">
        <v>-7.2999999999999995E-2</v>
      </c>
      <c r="M2425" s="116">
        <f>L2425</f>
      </c>
      <c r="N2425" s="117">
        <f>M2425-L2425</f>
      </c>
      <c r="O2425" s="112"/>
      <c r="P2425" s="118">
        <f>N2425+O2425</f>
      </c>
      <c r="Q2425" s="94" t="s">
        <v>112</v>
      </c>
      <c r="R2425" s="94" t="s">
        <v>63</v>
      </c>
      <c r="S2425" s="119">
        <v>46322</v>
      </c>
      <c r="T2425" s="119"/>
      <c r="U2425" s="119">
        <v>46322</v>
      </c>
      <c r="V2425" s="94"/>
      <c r="W2425" s="94"/>
      <c r="X2425" s="94"/>
      <c r="Y2425" s="119">
        <v>46322</v>
      </c>
      <c r="Z2425" s="94"/>
      <c r="AA2425" s="120"/>
      <c r="AB2425" s="120"/>
      <c r="AC2425" s="120"/>
      <c r="AD2425" s="120"/>
      <c r="AE2425" s="120"/>
      <c r="AF2425" s="120"/>
      <c r="AG2425" s="94"/>
      <c r="AH2425" s="120"/>
      <c r="AI2425" s="94"/>
      <c r="AJ2425" s="94" t="s">
        <v>112</v>
      </c>
      <c r="AK2425" s="94" t="s">
        <v>613</v>
      </c>
      <c r="AL2425" s="94">
        <v>150</v>
      </c>
      <c r="AM2425" s="94" t="str">
        <f>TRIM(AJ2425)&amp;TRIM(AL2425)&amp;TRIM(AK2425)</f>
      </c>
      <c r="AN2425" s="116">
        <v>1907</v>
      </c>
      <c r="AO2425" s="116">
        <v>-41.9</v>
      </c>
      <c r="AP2425" s="116">
        <f>SUMIFS(M:M,AM:AM,AM2425)+SUMIFS(O:O,AM:AM,AM2425)</f>
      </c>
      <c r="AQ2425" s="116">
        <f>SUMIFS(L:L,AM:AM,AM2425)</f>
      </c>
      <c r="AR2425" s="116">
        <f>AQ2425-AP2425</f>
      </c>
      <c r="AS2425" s="94" t="str">
        <f>IF(AN2425&gt;=AQ2425,"ok","ck")</f>
      </c>
      <c r="AT2425" s="116">
        <f>-P2425</f>
      </c>
      <c r="AU2425" s="115">
        <f>IF(SUMIFS(AT:AT,AM:AM,AM2425)&gt;AO2425,(SUMIFS(AT:AT,AM:AM,AM2425)-AO2425))</f>
      </c>
      <c r="AV2425" s="116">
        <v>1907</v>
      </c>
      <c r="AW2425" s="121">
        <v>1.022</v>
      </c>
      <c r="AX2425" s="115">
        <f>AN2425-AP2425</f>
      </c>
    </row>
    <row r="2426" spans="1:50" ht="15" hidden="1" customHeight="1" x14ac:dyDescent="0.3">
      <c r="A2426" s="94" t="s">
        <v>76</v>
      </c>
      <c r="B2426" s="94"/>
      <c r="C2426" s="94"/>
      <c r="D2426" s="94"/>
      <c r="E2426" s="94"/>
      <c r="F2426" s="94"/>
      <c r="G2426" s="112">
        <f>AU2426</f>
      </c>
      <c r="H2426" s="113"/>
      <c r="I2426" s="94" t="s">
        <v>77</v>
      </c>
      <c r="J2426" s="94" t="s">
        <v>114</v>
      </c>
      <c r="K2426" s="114">
        <f>P2426/3</f>
      </c>
      <c r="L2426" s="115">
        <v>0</v>
      </c>
      <c r="M2426" s="116"/>
      <c r="N2426" s="117">
        <f>M2426-L2426</f>
      </c>
      <c r="O2426" s="112"/>
      <c r="P2426" s="118">
        <f>N2426+O2426</f>
      </c>
      <c r="Q2426" s="94" t="s">
        <v>112</v>
      </c>
      <c r="R2426" s="94" t="s">
        <v>63</v>
      </c>
      <c r="S2426" s="119">
        <v>46320</v>
      </c>
      <c r="T2426" s="119"/>
      <c r="U2426" s="119">
        <v>46320</v>
      </c>
      <c r="V2426" s="94"/>
      <c r="W2426" s="94"/>
      <c r="X2426" s="94"/>
      <c r="Y2426" s="119">
        <v>46320</v>
      </c>
      <c r="Z2426" s="94"/>
      <c r="AA2426" s="120"/>
      <c r="AB2426" s="120"/>
      <c r="AC2426" s="120"/>
      <c r="AD2426" s="120"/>
      <c r="AE2426" s="120"/>
      <c r="AF2426" s="120"/>
      <c r="AG2426" s="94"/>
      <c r="AH2426" s="120"/>
      <c r="AI2426" s="94"/>
      <c r="AJ2426" s="94" t="s">
        <v>112</v>
      </c>
      <c r="AK2426" s="94" t="s">
        <v>115</v>
      </c>
      <c r="AL2426" s="94">
        <v>150</v>
      </c>
      <c r="AM2426" s="94" t="str">
        <f>TRIM(AJ2426)&amp;TRIM(AL2426)&amp;TRIM(AK2426)</f>
      </c>
      <c r="AN2426" s="116">
        <v>3203.07</v>
      </c>
      <c r="AO2426" s="116">
        <v>119.32</v>
      </c>
      <c r="AP2426" s="116">
        <f>SUMIFS(M:M,AM:AM,AM2426)+SUMIFS(O:O,AM:AM,AM2426)</f>
      </c>
      <c r="AQ2426" s="116">
        <f>SUMIFS(L:L,AM:AM,AM2426)</f>
      </c>
      <c r="AR2426" s="116">
        <f>AQ2426-AP2426</f>
      </c>
      <c r="AS2426" s="94" t="str">
        <f>IF(AN2426&gt;=AQ2426,"ok","ck")</f>
      </c>
      <c r="AT2426" s="116">
        <f>-P2426</f>
      </c>
      <c r="AU2426" s="115">
        <f>IF(SUMIFS(AT:AT,AM:AM,AM2426)&gt;AO2426,(SUMIFS(AT:AT,AM:AM,AM2426)-AO2426))</f>
      </c>
      <c r="AV2426" s="116">
        <v>3203.07</v>
      </c>
      <c r="AW2426" s="121">
        <v>0.964</v>
      </c>
      <c r="AX2426" s="115">
        <f>AN2426-AP2426</f>
      </c>
    </row>
    <row r="2427" spans="1:50" ht="15" hidden="1" customHeight="1" x14ac:dyDescent="0.3">
      <c r="A2427" s="94" t="s">
        <v>76</v>
      </c>
      <c r="B2427" s="94"/>
      <c r="C2427" s="94"/>
      <c r="D2427" s="94"/>
      <c r="E2427" s="94"/>
      <c r="F2427" s="94"/>
      <c r="G2427" s="112">
        <f>AU2427</f>
      </c>
      <c r="H2427" s="113"/>
      <c r="I2427" s="94" t="s">
        <v>77</v>
      </c>
      <c r="J2427" s="94" t="s">
        <v>114</v>
      </c>
      <c r="K2427" s="114">
        <f>P2427/3</f>
      </c>
      <c r="L2427" s="115">
        <v>0</v>
      </c>
      <c r="M2427" s="116"/>
      <c r="N2427" s="117">
        <f>M2427-L2427</f>
      </c>
      <c r="O2427" s="112"/>
      <c r="P2427" s="118">
        <f>N2427+O2427</f>
      </c>
      <c r="Q2427" s="94" t="s">
        <v>112</v>
      </c>
      <c r="R2427" s="94" t="s">
        <v>63</v>
      </c>
      <c r="S2427" s="119">
        <v>46320</v>
      </c>
      <c r="T2427" s="119"/>
      <c r="U2427" s="119">
        <v>46320</v>
      </c>
      <c r="V2427" s="94"/>
      <c r="W2427" s="94"/>
      <c r="X2427" s="94"/>
      <c r="Y2427" s="119">
        <v>46320</v>
      </c>
      <c r="Z2427" s="94"/>
      <c r="AA2427" s="120"/>
      <c r="AB2427" s="120"/>
      <c r="AC2427" s="120"/>
      <c r="AD2427" s="120"/>
      <c r="AE2427" s="120"/>
      <c r="AF2427" s="120"/>
      <c r="AG2427" s="94"/>
      <c r="AH2427" s="120"/>
      <c r="AI2427" s="94"/>
      <c r="AJ2427" s="94" t="s">
        <v>112</v>
      </c>
      <c r="AK2427" s="94" t="s">
        <v>115</v>
      </c>
      <c r="AL2427" s="94">
        <v>150</v>
      </c>
      <c r="AM2427" s="94" t="str">
        <f>TRIM(AJ2427)&amp;TRIM(AL2427)&amp;TRIM(AK2427)</f>
      </c>
      <c r="AN2427" s="116">
        <v>3203.07</v>
      </c>
      <c r="AO2427" s="116">
        <v>119.32</v>
      </c>
      <c r="AP2427" s="116">
        <f>SUMIFS(M:M,AM:AM,AM2427)+SUMIFS(O:O,AM:AM,AM2427)</f>
      </c>
      <c r="AQ2427" s="116">
        <f>SUMIFS(L:L,AM:AM,AM2427)</f>
      </c>
      <c r="AR2427" s="116">
        <f>AQ2427-AP2427</f>
      </c>
      <c r="AS2427" s="94" t="str">
        <f>IF(AN2427&gt;=AQ2427,"ok","ck")</f>
      </c>
      <c r="AT2427" s="116">
        <f>-P2427</f>
      </c>
      <c r="AU2427" s="115">
        <f>IF(SUMIFS(AT:AT,AM:AM,AM2427)&gt;AO2427,(SUMIFS(AT:AT,AM:AM,AM2427)-AO2427))</f>
      </c>
      <c r="AV2427" s="116">
        <v>3203.07</v>
      </c>
      <c r="AW2427" s="121">
        <v>0.964</v>
      </c>
      <c r="AX2427" s="115">
        <f>AN2427-AP2427</f>
      </c>
    </row>
    <row r="2428" spans="1:50" ht="15" hidden="1" customHeight="1" x14ac:dyDescent="0.3">
      <c r="A2428" s="94" t="s">
        <v>76</v>
      </c>
      <c r="B2428" s="94"/>
      <c r="C2428" s="94"/>
      <c r="D2428" s="94"/>
      <c r="E2428" s="94"/>
      <c r="F2428" s="94"/>
      <c r="G2428" s="112">
        <f>AU2428</f>
      </c>
      <c r="H2428" s="113"/>
      <c r="I2428" s="94" t="s">
        <v>77</v>
      </c>
      <c r="J2428" s="94" t="s">
        <v>114</v>
      </c>
      <c r="K2428" s="114">
        <f>P2428/3</f>
      </c>
      <c r="L2428" s="115">
        <v>0</v>
      </c>
      <c r="M2428" s="116"/>
      <c r="N2428" s="117">
        <f>M2428-L2428</f>
      </c>
      <c r="O2428" s="112"/>
      <c r="P2428" s="118">
        <f>N2428+O2428</f>
      </c>
      <c r="Q2428" s="94" t="s">
        <v>112</v>
      </c>
      <c r="R2428" s="94" t="s">
        <v>63</v>
      </c>
      <c r="S2428" s="119">
        <v>46320</v>
      </c>
      <c r="T2428" s="119"/>
      <c r="U2428" s="119">
        <v>46320</v>
      </c>
      <c r="V2428" s="94"/>
      <c r="W2428" s="94"/>
      <c r="X2428" s="94"/>
      <c r="Y2428" s="119">
        <v>46320</v>
      </c>
      <c r="Z2428" s="94"/>
      <c r="AA2428" s="120"/>
      <c r="AB2428" s="120"/>
      <c r="AC2428" s="120"/>
      <c r="AD2428" s="120"/>
      <c r="AE2428" s="120"/>
      <c r="AF2428" s="120"/>
      <c r="AG2428" s="94"/>
      <c r="AH2428" s="120"/>
      <c r="AI2428" s="94"/>
      <c r="AJ2428" s="94" t="s">
        <v>112</v>
      </c>
      <c r="AK2428" s="94" t="s">
        <v>115</v>
      </c>
      <c r="AL2428" s="94">
        <v>150</v>
      </c>
      <c r="AM2428" s="94" t="str">
        <f>TRIM(AJ2428)&amp;TRIM(AL2428)&amp;TRIM(AK2428)</f>
      </c>
      <c r="AN2428" s="116">
        <v>3203.07</v>
      </c>
      <c r="AO2428" s="116">
        <v>119.32</v>
      </c>
      <c r="AP2428" s="116">
        <f>SUMIFS(M:M,AM:AM,AM2428)+SUMIFS(O:O,AM:AM,AM2428)</f>
      </c>
      <c r="AQ2428" s="116">
        <f>SUMIFS(L:L,AM:AM,AM2428)</f>
      </c>
      <c r="AR2428" s="116">
        <f>AQ2428-AP2428</f>
      </c>
      <c r="AS2428" s="94" t="str">
        <f>IF(AN2428&gt;=AQ2428,"ok","ck")</f>
      </c>
      <c r="AT2428" s="116">
        <f>-P2428</f>
      </c>
      <c r="AU2428" s="115">
        <f>IF(SUMIFS(AT:AT,AM:AM,AM2428)&gt;AO2428,(SUMIFS(AT:AT,AM:AM,AM2428)-AO2428))</f>
      </c>
      <c r="AV2428" s="116">
        <v>3203.07</v>
      </c>
      <c r="AW2428" s="121">
        <v>0.964</v>
      </c>
      <c r="AX2428" s="115">
        <f>AN2428-AP2428</f>
      </c>
    </row>
    <row r="2429" spans="1:50" ht="15" hidden="1" customHeight="1" x14ac:dyDescent="0.3">
      <c r="A2429" s="94" t="s">
        <v>76</v>
      </c>
      <c r="B2429" s="94"/>
      <c r="C2429" s="94"/>
      <c r="D2429" s="94"/>
      <c r="E2429" s="94"/>
      <c r="F2429" s="94"/>
      <c r="G2429" s="112">
        <f>AU2429</f>
      </c>
      <c r="H2429" s="113"/>
      <c r="I2429" s="94" t="s">
        <v>77</v>
      </c>
      <c r="J2429" s="94" t="s">
        <v>114</v>
      </c>
      <c r="K2429" s="114">
        <f>P2429/3</f>
      </c>
      <c r="L2429" s="115">
        <v>0</v>
      </c>
      <c r="M2429" s="116"/>
      <c r="N2429" s="117">
        <f>M2429-L2429</f>
      </c>
      <c r="O2429" s="112"/>
      <c r="P2429" s="118">
        <f>N2429+O2429</f>
      </c>
      <c r="Q2429" s="94" t="s">
        <v>112</v>
      </c>
      <c r="R2429" s="94" t="s">
        <v>63</v>
      </c>
      <c r="S2429" s="119">
        <v>46322</v>
      </c>
      <c r="T2429" s="119"/>
      <c r="U2429" s="119">
        <v>46322</v>
      </c>
      <c r="V2429" s="94"/>
      <c r="W2429" s="94"/>
      <c r="X2429" s="94"/>
      <c r="Y2429" s="119">
        <v>46322</v>
      </c>
      <c r="Z2429" s="94"/>
      <c r="AA2429" s="120"/>
      <c r="AB2429" s="120"/>
      <c r="AC2429" s="120"/>
      <c r="AD2429" s="120"/>
      <c r="AE2429" s="120"/>
      <c r="AF2429" s="120"/>
      <c r="AG2429" s="94"/>
      <c r="AH2429" s="120"/>
      <c r="AI2429" s="94"/>
      <c r="AJ2429" s="94" t="s">
        <v>112</v>
      </c>
      <c r="AK2429" s="94" t="s">
        <v>115</v>
      </c>
      <c r="AL2429" s="94">
        <v>150</v>
      </c>
      <c r="AM2429" s="94" t="str">
        <f>TRIM(AJ2429)&amp;TRIM(AL2429)&amp;TRIM(AK2429)</f>
      </c>
      <c r="AN2429" s="116">
        <v>3203.07</v>
      </c>
      <c r="AO2429" s="116">
        <v>119.32</v>
      </c>
      <c r="AP2429" s="116">
        <f>SUMIFS(M:M,AM:AM,AM2429)+SUMIFS(O:O,AM:AM,AM2429)</f>
      </c>
      <c r="AQ2429" s="116">
        <f>SUMIFS(L:L,AM:AM,AM2429)</f>
      </c>
      <c r="AR2429" s="116">
        <f>AQ2429-AP2429</f>
      </c>
      <c r="AS2429" s="94" t="str">
        <f>IF(AN2429&gt;=AQ2429,"ok","ck")</f>
      </c>
      <c r="AT2429" s="116">
        <f>-P2429</f>
      </c>
      <c r="AU2429" s="115">
        <f>IF(SUMIFS(AT:AT,AM:AM,AM2429)&gt;AO2429,(SUMIFS(AT:AT,AM:AM,AM2429)-AO2429))</f>
      </c>
      <c r="AV2429" s="116">
        <v>3203.07</v>
      </c>
      <c r="AW2429" s="121">
        <v>0.964</v>
      </c>
      <c r="AX2429" s="115">
        <f>AN2429-AP2429</f>
      </c>
    </row>
    <row r="2430" spans="1:50" ht="15" hidden="1" customHeight="1" x14ac:dyDescent="0.3">
      <c r="A2430" s="94" t="s">
        <v>76</v>
      </c>
      <c r="B2430" s="94"/>
      <c r="C2430" s="94"/>
      <c r="D2430" s="94"/>
      <c r="E2430" s="94"/>
      <c r="F2430" s="94"/>
      <c r="G2430" s="112">
        <f>AU2430</f>
      </c>
      <c r="H2430" s="113"/>
      <c r="I2430" s="94" t="s">
        <v>77</v>
      </c>
      <c r="J2430" s="94" t="s">
        <v>114</v>
      </c>
      <c r="K2430" s="114">
        <f>P2430/3</f>
      </c>
      <c r="L2430" s="115">
        <v>0</v>
      </c>
      <c r="M2430" s="116"/>
      <c r="N2430" s="117">
        <f>M2430-L2430</f>
      </c>
      <c r="O2430" s="112"/>
      <c r="P2430" s="118">
        <f>N2430+O2430</f>
      </c>
      <c r="Q2430" s="94" t="s">
        <v>112</v>
      </c>
      <c r="R2430" s="94" t="s">
        <v>63</v>
      </c>
      <c r="S2430" s="119">
        <v>46329</v>
      </c>
      <c r="T2430" s="119"/>
      <c r="U2430" s="119">
        <v>46329</v>
      </c>
      <c r="V2430" s="94"/>
      <c r="W2430" s="94"/>
      <c r="X2430" s="94"/>
      <c r="Y2430" s="119">
        <v>46329</v>
      </c>
      <c r="Z2430" s="94"/>
      <c r="AA2430" s="120"/>
      <c r="AB2430" s="120"/>
      <c r="AC2430" s="120"/>
      <c r="AD2430" s="120"/>
      <c r="AE2430" s="120"/>
      <c r="AF2430" s="120"/>
      <c r="AG2430" s="94"/>
      <c r="AH2430" s="120"/>
      <c r="AI2430" s="94"/>
      <c r="AJ2430" s="94" t="s">
        <v>112</v>
      </c>
      <c r="AK2430" s="94" t="s">
        <v>115</v>
      </c>
      <c r="AL2430" s="94">
        <v>150</v>
      </c>
      <c r="AM2430" s="94" t="str">
        <f>TRIM(AJ2430)&amp;TRIM(AL2430)&amp;TRIM(AK2430)</f>
      </c>
      <c r="AN2430" s="116">
        <v>3203.07</v>
      </c>
      <c r="AO2430" s="116">
        <v>119.32</v>
      </c>
      <c r="AP2430" s="116">
        <f>SUMIFS(M:M,AM:AM,AM2430)+SUMIFS(O:O,AM:AM,AM2430)</f>
      </c>
      <c r="AQ2430" s="116">
        <f>SUMIFS(L:L,AM:AM,AM2430)</f>
      </c>
      <c r="AR2430" s="116">
        <f>AQ2430-AP2430</f>
      </c>
      <c r="AS2430" s="94" t="str">
        <f>IF(AN2430&gt;=AQ2430,"ok","ck")</f>
      </c>
      <c r="AT2430" s="116">
        <f>-P2430</f>
      </c>
      <c r="AU2430" s="115">
        <f>IF(SUMIFS(AT:AT,AM:AM,AM2430)&gt;AO2430,(SUMIFS(AT:AT,AM:AM,AM2430)-AO2430))</f>
      </c>
      <c r="AV2430" s="116">
        <v>3203.07</v>
      </c>
      <c r="AW2430" s="121">
        <v>0.964</v>
      </c>
      <c r="AX2430" s="115">
        <f>AN2430-AP2430</f>
      </c>
    </row>
    <row r="2431" spans="1:50" ht="15" hidden="1" customHeight="1" x14ac:dyDescent="0.3">
      <c r="A2431" s="94" t="s">
        <v>76</v>
      </c>
      <c r="B2431" s="94"/>
      <c r="C2431" s="94"/>
      <c r="D2431" s="94"/>
      <c r="E2431" s="94"/>
      <c r="F2431" s="94"/>
      <c r="G2431" s="112">
        <f>AU2431</f>
      </c>
      <c r="H2431" s="113"/>
      <c r="I2431" s="94" t="s">
        <v>77</v>
      </c>
      <c r="J2431" s="94" t="s">
        <v>114</v>
      </c>
      <c r="K2431" s="114">
        <f>P2431/3</f>
      </c>
      <c r="L2431" s="115">
        <v>3.3079999999999998</v>
      </c>
      <c r="M2431" s="116">
        <v>3.3079999999999998</v>
      </c>
      <c r="N2431" s="117">
        <f>M2431-L2431</f>
      </c>
      <c r="O2431" s="112"/>
      <c r="P2431" s="118">
        <f>N2431+O2431</f>
      </c>
      <c r="Q2431" s="94" t="s">
        <v>112</v>
      </c>
      <c r="R2431" s="94" t="s">
        <v>63</v>
      </c>
      <c r="S2431" s="119">
        <v>46335</v>
      </c>
      <c r="T2431" s="119"/>
      <c r="U2431" s="119">
        <v>46335</v>
      </c>
      <c r="V2431" s="94"/>
      <c r="W2431" s="94"/>
      <c r="X2431" s="94"/>
      <c r="Y2431" s="119">
        <v>46333</v>
      </c>
      <c r="Z2431" s="94"/>
      <c r="AA2431" s="120"/>
      <c r="AB2431" s="120"/>
      <c r="AC2431" s="120"/>
      <c r="AD2431" s="120"/>
      <c r="AE2431" s="120"/>
      <c r="AF2431" s="120"/>
      <c r="AG2431" s="94"/>
      <c r="AH2431" s="120"/>
      <c r="AI2431" s="94"/>
      <c r="AJ2431" s="94" t="s">
        <v>112</v>
      </c>
      <c r="AK2431" s="94" t="s">
        <v>115</v>
      </c>
      <c r="AL2431" s="94">
        <v>150</v>
      </c>
      <c r="AM2431" s="94" t="str">
        <f>TRIM(AJ2431)&amp;TRIM(AL2431)&amp;TRIM(AK2431)</f>
      </c>
      <c r="AN2431" s="116">
        <v>3203.07</v>
      </c>
      <c r="AO2431" s="116">
        <v>119.32</v>
      </c>
      <c r="AP2431" s="116">
        <f>SUMIFS(M:M,AM:AM,AM2431)+SUMIFS(O:O,AM:AM,AM2431)</f>
      </c>
      <c r="AQ2431" s="116">
        <f>SUMIFS(L:L,AM:AM,AM2431)</f>
      </c>
      <c r="AR2431" s="116">
        <f>AQ2431-AP2431</f>
      </c>
      <c r="AS2431" s="94" t="str">
        <f>IF(AN2431&gt;=AQ2431,"ok","ck")</f>
      </c>
      <c r="AT2431" s="116">
        <f>-P2431</f>
      </c>
      <c r="AU2431" s="115">
        <f>IF(SUMIFS(AT:AT,AM:AM,AM2431)&gt;AO2431,(SUMIFS(AT:AT,AM:AM,AM2431)-AO2431))</f>
      </c>
      <c r="AV2431" s="116">
        <v>3203.07</v>
      </c>
      <c r="AW2431" s="121">
        <v>0.964</v>
      </c>
      <c r="AX2431" s="115">
        <f>AN2431-AP2431</f>
      </c>
    </row>
    <row r="2432" spans="1:50" ht="15" hidden="1" customHeight="1" x14ac:dyDescent="0.3">
      <c r="A2432" s="94" t="s">
        <v>76</v>
      </c>
      <c r="B2432" s="94"/>
      <c r="C2432" s="94"/>
      <c r="D2432" s="94"/>
      <c r="E2432" s="94"/>
      <c r="F2432" s="94"/>
      <c r="G2432" s="112">
        <f>AU2432</f>
      </c>
      <c r="H2432" s="113"/>
      <c r="I2432" s="94" t="s">
        <v>77</v>
      </c>
      <c r="J2432" s="94" t="s">
        <v>114</v>
      </c>
      <c r="K2432" s="114">
        <f>P2432/3</f>
      </c>
      <c r="L2432" s="115">
        <v>188.68</v>
      </c>
      <c r="M2432" s="116">
        <v>69.36</v>
      </c>
      <c r="N2432" s="117">
        <f>M2432-L2432</f>
      </c>
      <c r="O2432" s="112"/>
      <c r="P2432" s="118">
        <f>N2432+O2432</f>
      </c>
      <c r="Q2432" s="94" t="s">
        <v>112</v>
      </c>
      <c r="R2432" s="94" t="s">
        <v>63</v>
      </c>
      <c r="S2432" s="119">
        <v>46335</v>
      </c>
      <c r="T2432" s="119"/>
      <c r="U2432" s="119">
        <v>46335</v>
      </c>
      <c r="V2432" s="94"/>
      <c r="W2432" s="94"/>
      <c r="X2432" s="94"/>
      <c r="Y2432" s="119">
        <v>46327</v>
      </c>
      <c r="Z2432" s="94"/>
      <c r="AA2432" s="120"/>
      <c r="AB2432" s="120"/>
      <c r="AC2432" s="120"/>
      <c r="AD2432" s="120"/>
      <c r="AE2432" s="120"/>
      <c r="AF2432" s="120"/>
      <c r="AG2432" s="94"/>
      <c r="AH2432" s="120"/>
      <c r="AI2432" s="94"/>
      <c r="AJ2432" s="94" t="s">
        <v>112</v>
      </c>
      <c r="AK2432" s="94" t="s">
        <v>115</v>
      </c>
      <c r="AL2432" s="94">
        <v>150</v>
      </c>
      <c r="AM2432" s="94" t="str">
        <f>TRIM(AJ2432)&amp;TRIM(AL2432)&amp;TRIM(AK2432)</f>
      </c>
      <c r="AN2432" s="116">
        <v>3203.07</v>
      </c>
      <c r="AO2432" s="116">
        <v>119.32</v>
      </c>
      <c r="AP2432" s="116">
        <f>SUMIFS(M:M,AM:AM,AM2432)+SUMIFS(O:O,AM:AM,AM2432)</f>
      </c>
      <c r="AQ2432" s="116">
        <f>SUMIFS(L:L,AM:AM,AM2432)</f>
      </c>
      <c r="AR2432" s="116">
        <f>AQ2432-AP2432</f>
      </c>
      <c r="AS2432" s="94" t="str">
        <f>IF(AN2432&gt;=AQ2432,"ok","ck")</f>
      </c>
      <c r="AT2432" s="116">
        <f>-P2432</f>
      </c>
      <c r="AU2432" s="115">
        <f>IF(SUMIFS(AT:AT,AM:AM,AM2432)&gt;AO2432,(SUMIFS(AT:AT,AM:AM,AM2432)-AO2432))</f>
      </c>
      <c r="AV2432" s="116">
        <v>3203.07</v>
      </c>
      <c r="AW2432" s="121">
        <v>0.964</v>
      </c>
      <c r="AX2432" s="115">
        <f>AN2432-AP2432</f>
      </c>
    </row>
    <row r="2433" spans="1:50" ht="15" hidden="1" customHeight="1" x14ac:dyDescent="0.3">
      <c r="A2433" s="94" t="s">
        <v>76</v>
      </c>
      <c r="B2433" s="94"/>
      <c r="C2433" s="94"/>
      <c r="D2433" s="94"/>
      <c r="E2433" s="94"/>
      <c r="F2433" s="94"/>
      <c r="G2433" s="112">
        <f>AU2433</f>
      </c>
      <c r="H2433" s="113"/>
      <c r="I2433" s="94" t="s">
        <v>77</v>
      </c>
      <c r="J2433" s="94" t="s">
        <v>114</v>
      </c>
      <c r="K2433" s="114">
        <f>P2433/3</f>
      </c>
      <c r="L2433" s="115">
        <v>0</v>
      </c>
      <c r="M2433" s="116"/>
      <c r="N2433" s="117">
        <f>M2433-L2433</f>
      </c>
      <c r="O2433" s="112"/>
      <c r="P2433" s="118">
        <f>N2433+O2433</f>
      </c>
      <c r="Q2433" s="94" t="s">
        <v>112</v>
      </c>
      <c r="R2433" s="94" t="s">
        <v>63</v>
      </c>
      <c r="S2433" s="119">
        <v>46329</v>
      </c>
      <c r="T2433" s="119"/>
      <c r="U2433" s="119">
        <v>46329</v>
      </c>
      <c r="V2433" s="94"/>
      <c r="W2433" s="94"/>
      <c r="X2433" s="94"/>
      <c r="Y2433" s="119">
        <v>46329</v>
      </c>
      <c r="Z2433" s="94"/>
      <c r="AA2433" s="120"/>
      <c r="AB2433" s="120"/>
      <c r="AC2433" s="120"/>
      <c r="AD2433" s="120"/>
      <c r="AE2433" s="120"/>
      <c r="AF2433" s="120"/>
      <c r="AG2433" s="94"/>
      <c r="AH2433" s="120"/>
      <c r="AI2433" s="94"/>
      <c r="AJ2433" s="94" t="s">
        <v>112</v>
      </c>
      <c r="AK2433" s="94" t="s">
        <v>115</v>
      </c>
      <c r="AL2433" s="94">
        <v>150</v>
      </c>
      <c r="AM2433" s="94" t="str">
        <f>TRIM(AJ2433)&amp;TRIM(AL2433)&amp;TRIM(AK2433)</f>
      </c>
      <c r="AN2433" s="116">
        <v>3203.07</v>
      </c>
      <c r="AO2433" s="116">
        <v>119.32</v>
      </c>
      <c r="AP2433" s="116">
        <f>SUMIFS(M:M,AM:AM,AM2433)+SUMIFS(O:O,AM:AM,AM2433)</f>
      </c>
      <c r="AQ2433" s="116">
        <f>SUMIFS(L:L,AM:AM,AM2433)</f>
      </c>
      <c r="AR2433" s="116">
        <f>AQ2433-AP2433</f>
      </c>
      <c r="AS2433" s="94" t="str">
        <f>IF(AN2433&gt;=AQ2433,"ok","ck")</f>
      </c>
      <c r="AT2433" s="116">
        <f>-P2433</f>
      </c>
      <c r="AU2433" s="115">
        <f>IF(SUMIFS(AT:AT,AM:AM,AM2433)&gt;AO2433,(SUMIFS(AT:AT,AM:AM,AM2433)-AO2433))</f>
      </c>
      <c r="AV2433" s="116">
        <v>3203.07</v>
      </c>
      <c r="AW2433" s="121">
        <v>0.964</v>
      </c>
      <c r="AX2433" s="115">
        <f>AN2433-AP2433</f>
      </c>
    </row>
    <row r="2434" spans="1:50" ht="15" hidden="1" customHeight="1" x14ac:dyDescent="0.3">
      <c r="A2434" s="94" t="s">
        <v>76</v>
      </c>
      <c r="B2434" s="94"/>
      <c r="C2434" s="94"/>
      <c r="D2434" s="94"/>
      <c r="E2434" s="94"/>
      <c r="F2434" s="94"/>
      <c r="G2434" s="112">
        <f>AU2434</f>
      </c>
      <c r="H2434" s="113"/>
      <c r="I2434" s="94" t="s">
        <v>77</v>
      </c>
      <c r="J2434" s="94" t="s">
        <v>114</v>
      </c>
      <c r="K2434" s="114">
        <f>P2434/3</f>
      </c>
      <c r="L2434" s="115">
        <v>0</v>
      </c>
      <c r="M2434" s="116"/>
      <c r="N2434" s="117">
        <f>M2434-L2434</f>
      </c>
      <c r="O2434" s="112"/>
      <c r="P2434" s="118">
        <f>N2434+O2434</f>
      </c>
      <c r="Q2434" s="94" t="s">
        <v>112</v>
      </c>
      <c r="R2434" s="94" t="s">
        <v>63</v>
      </c>
      <c r="S2434" s="119">
        <v>46329</v>
      </c>
      <c r="T2434" s="119"/>
      <c r="U2434" s="119">
        <v>46329</v>
      </c>
      <c r="V2434" s="94"/>
      <c r="W2434" s="94"/>
      <c r="X2434" s="94"/>
      <c r="Y2434" s="119">
        <v>46329</v>
      </c>
      <c r="Z2434" s="94"/>
      <c r="AA2434" s="120"/>
      <c r="AB2434" s="120"/>
      <c r="AC2434" s="120"/>
      <c r="AD2434" s="120"/>
      <c r="AE2434" s="120"/>
      <c r="AF2434" s="120"/>
      <c r="AG2434" s="94"/>
      <c r="AH2434" s="120"/>
      <c r="AI2434" s="94"/>
      <c r="AJ2434" s="94" t="s">
        <v>112</v>
      </c>
      <c r="AK2434" s="94" t="s">
        <v>115</v>
      </c>
      <c r="AL2434" s="94">
        <v>150</v>
      </c>
      <c r="AM2434" s="94" t="str">
        <f>TRIM(AJ2434)&amp;TRIM(AL2434)&amp;TRIM(AK2434)</f>
      </c>
      <c r="AN2434" s="116">
        <v>3203.07</v>
      </c>
      <c r="AO2434" s="116">
        <v>119.32</v>
      </c>
      <c r="AP2434" s="116">
        <f>SUMIFS(M:M,AM:AM,AM2434)+SUMIFS(O:O,AM:AM,AM2434)</f>
      </c>
      <c r="AQ2434" s="116">
        <f>SUMIFS(L:L,AM:AM,AM2434)</f>
      </c>
      <c r="AR2434" s="116">
        <f>AQ2434-AP2434</f>
      </c>
      <c r="AS2434" s="94" t="str">
        <f>IF(AN2434&gt;=AQ2434,"ok","ck")</f>
      </c>
      <c r="AT2434" s="116">
        <f>-P2434</f>
      </c>
      <c r="AU2434" s="115">
        <f>IF(SUMIFS(AT:AT,AM:AM,AM2434)&gt;AO2434,(SUMIFS(AT:AT,AM:AM,AM2434)-AO2434))</f>
      </c>
      <c r="AV2434" s="116">
        <v>3203.07</v>
      </c>
      <c r="AW2434" s="121">
        <v>0.964</v>
      </c>
      <c r="AX2434" s="115">
        <f>AN2434-AP2434</f>
      </c>
    </row>
    <row r="2435" spans="1:50" ht="15" hidden="1" customHeight="1" x14ac:dyDescent="0.3">
      <c r="A2435" s="94" t="s">
        <v>76</v>
      </c>
      <c r="B2435" s="94"/>
      <c r="C2435" s="94"/>
      <c r="D2435" s="94"/>
      <c r="E2435" s="94"/>
      <c r="F2435" s="94"/>
      <c r="G2435" s="112">
        <f>AU2435</f>
      </c>
      <c r="H2435" s="113"/>
      <c r="I2435" s="94" t="s">
        <v>77</v>
      </c>
      <c r="J2435" s="94" t="s">
        <v>114</v>
      </c>
      <c r="K2435" s="114">
        <f>P2435/3</f>
      </c>
      <c r="L2435" s="115">
        <v>0</v>
      </c>
      <c r="M2435" s="116"/>
      <c r="N2435" s="117">
        <f>M2435-L2435</f>
      </c>
      <c r="O2435" s="112"/>
      <c r="P2435" s="118">
        <f>N2435+O2435</f>
      </c>
      <c r="Q2435" s="94" t="s">
        <v>112</v>
      </c>
      <c r="R2435" s="94" t="s">
        <v>63</v>
      </c>
      <c r="S2435" s="119">
        <v>46333</v>
      </c>
      <c r="T2435" s="119"/>
      <c r="U2435" s="119">
        <v>46333</v>
      </c>
      <c r="V2435" s="94"/>
      <c r="W2435" s="94"/>
      <c r="X2435" s="94"/>
      <c r="Y2435" s="119">
        <v>46333</v>
      </c>
      <c r="Z2435" s="94"/>
      <c r="AA2435" s="120"/>
      <c r="AB2435" s="120"/>
      <c r="AC2435" s="120"/>
      <c r="AD2435" s="120"/>
      <c r="AE2435" s="120"/>
      <c r="AF2435" s="120"/>
      <c r="AG2435" s="94"/>
      <c r="AH2435" s="120"/>
      <c r="AI2435" s="94"/>
      <c r="AJ2435" s="94" t="s">
        <v>112</v>
      </c>
      <c r="AK2435" s="94" t="s">
        <v>115</v>
      </c>
      <c r="AL2435" s="94">
        <v>150</v>
      </c>
      <c r="AM2435" s="94" t="str">
        <f>TRIM(AJ2435)&amp;TRIM(AL2435)&amp;TRIM(AK2435)</f>
      </c>
      <c r="AN2435" s="116">
        <v>3203.07</v>
      </c>
      <c r="AO2435" s="116">
        <v>119.32</v>
      </c>
      <c r="AP2435" s="116">
        <f>SUMIFS(M:M,AM:AM,AM2435)+SUMIFS(O:O,AM:AM,AM2435)</f>
      </c>
      <c r="AQ2435" s="116">
        <f>SUMIFS(L:L,AM:AM,AM2435)</f>
      </c>
      <c r="AR2435" s="116">
        <f>AQ2435-AP2435</f>
      </c>
      <c r="AS2435" s="94" t="str">
        <f>IF(AN2435&gt;=AQ2435,"ok","ck")</f>
      </c>
      <c r="AT2435" s="116">
        <f>-P2435</f>
      </c>
      <c r="AU2435" s="115">
        <f>IF(SUMIFS(AT:AT,AM:AM,AM2435)&gt;AO2435,(SUMIFS(AT:AT,AM:AM,AM2435)-AO2435))</f>
      </c>
      <c r="AV2435" s="116">
        <v>3203.07</v>
      </c>
      <c r="AW2435" s="121">
        <v>0.964</v>
      </c>
      <c r="AX2435" s="115">
        <f>AN2435-AP2435</f>
      </c>
    </row>
    <row r="2436" spans="1:50" ht="15" hidden="1" customHeight="1" x14ac:dyDescent="0.3">
      <c r="A2436" s="94" t="s">
        <v>76</v>
      </c>
      <c r="B2436" s="94"/>
      <c r="C2436" s="94"/>
      <c r="D2436" s="94"/>
      <c r="E2436" s="94"/>
      <c r="F2436" s="94"/>
      <c r="G2436" s="112">
        <f>AU2436</f>
      </c>
      <c r="H2436" s="113"/>
      <c r="I2436" s="94" t="s">
        <v>77</v>
      </c>
      <c r="J2436" s="94" t="s">
        <v>114</v>
      </c>
      <c r="K2436" s="114">
        <f>P2436/3</f>
      </c>
      <c r="L2436" s="115">
        <v>0</v>
      </c>
      <c r="M2436" s="116"/>
      <c r="N2436" s="117">
        <f>M2436-L2436</f>
      </c>
      <c r="O2436" s="112"/>
      <c r="P2436" s="118">
        <f>N2436+O2436</f>
      </c>
      <c r="Q2436" s="94" t="s">
        <v>112</v>
      </c>
      <c r="R2436" s="94" t="s">
        <v>63</v>
      </c>
      <c r="S2436" s="119">
        <v>46320</v>
      </c>
      <c r="T2436" s="119"/>
      <c r="U2436" s="119">
        <v>46320</v>
      </c>
      <c r="V2436" s="94"/>
      <c r="W2436" s="94"/>
      <c r="X2436" s="94"/>
      <c r="Y2436" s="119">
        <v>46320</v>
      </c>
      <c r="Z2436" s="94"/>
      <c r="AA2436" s="120"/>
      <c r="AB2436" s="120"/>
      <c r="AC2436" s="120"/>
      <c r="AD2436" s="120"/>
      <c r="AE2436" s="120"/>
      <c r="AF2436" s="120"/>
      <c r="AG2436" s="94"/>
      <c r="AH2436" s="120"/>
      <c r="AI2436" s="94"/>
      <c r="AJ2436" s="94" t="s">
        <v>112</v>
      </c>
      <c r="AK2436" s="94" t="s">
        <v>115</v>
      </c>
      <c r="AL2436" s="94">
        <v>150</v>
      </c>
      <c r="AM2436" s="94" t="str">
        <f>TRIM(AJ2436)&amp;TRIM(AL2436)&amp;TRIM(AK2436)</f>
      </c>
      <c r="AN2436" s="116">
        <v>3203.07</v>
      </c>
      <c r="AO2436" s="116">
        <v>119.32</v>
      </c>
      <c r="AP2436" s="116">
        <f>SUMIFS(M:M,AM:AM,AM2436)+SUMIFS(O:O,AM:AM,AM2436)</f>
      </c>
      <c r="AQ2436" s="116">
        <f>SUMIFS(L:L,AM:AM,AM2436)</f>
      </c>
      <c r="AR2436" s="116">
        <f>AQ2436-AP2436</f>
      </c>
      <c r="AS2436" s="94" t="str">
        <f>IF(AN2436&gt;=AQ2436,"ok","ck")</f>
      </c>
      <c r="AT2436" s="116">
        <f>-P2436</f>
      </c>
      <c r="AU2436" s="115">
        <f>IF(SUMIFS(AT:AT,AM:AM,AM2436)&gt;AO2436,(SUMIFS(AT:AT,AM:AM,AM2436)-AO2436))</f>
      </c>
      <c r="AV2436" s="116">
        <v>3203.07</v>
      </c>
      <c r="AW2436" s="121">
        <v>0.964</v>
      </c>
      <c r="AX2436" s="115">
        <f>AN2436-AP2436</f>
      </c>
    </row>
    <row r="2437" spans="1:50" ht="15" hidden="1" customHeight="1" x14ac:dyDescent="0.3">
      <c r="A2437" s="94" t="s">
        <v>151</v>
      </c>
      <c r="B2437" s="94"/>
      <c r="C2437" s="94"/>
      <c r="D2437" s="94"/>
      <c r="E2437" s="94"/>
      <c r="F2437" s="94"/>
      <c r="G2437" s="112">
        <f>AU2437</f>
      </c>
      <c r="H2437" s="113"/>
      <c r="I2437" s="94" t="s">
        <v>152</v>
      </c>
      <c r="J2437" s="94" t="s">
        <v>156</v>
      </c>
      <c r="K2437" s="114">
        <f>P2437/3</f>
      </c>
      <c r="L2437" s="115">
        <v>1.992</v>
      </c>
      <c r="M2437" s="116"/>
      <c r="N2437" s="117">
        <f>M2437-L2437</f>
      </c>
      <c r="O2437" s="112"/>
      <c r="P2437" s="118">
        <f>N2437+O2437</f>
      </c>
      <c r="Q2437" s="94" t="s">
        <v>236</v>
      </c>
      <c r="R2437" s="94" t="s">
        <v>63</v>
      </c>
      <c r="S2437" s="119">
        <v>46331</v>
      </c>
      <c r="T2437" s="119"/>
      <c r="U2437" s="119">
        <v>46331</v>
      </c>
      <c r="V2437" s="94"/>
      <c r="W2437" s="94"/>
      <c r="X2437" s="94"/>
      <c r="Y2437" s="119">
        <v>46320</v>
      </c>
      <c r="Z2437" s="94"/>
      <c r="AA2437" s="120"/>
      <c r="AB2437" s="120"/>
      <c r="AC2437" s="120"/>
      <c r="AD2437" s="120"/>
      <c r="AE2437" s="120"/>
      <c r="AF2437" s="120"/>
      <c r="AG2437" s="94"/>
      <c r="AH2437" s="120"/>
      <c r="AI2437" s="94"/>
      <c r="AJ2437" s="94" t="s">
        <v>236</v>
      </c>
      <c r="AK2437" s="94" t="s">
        <v>158</v>
      </c>
      <c r="AL2437" s="94">
        <v>160</v>
      </c>
      <c r="AM2437" s="94" t="str">
        <f>TRIM(AJ2437)&amp;TRIM(AL2437)&amp;TRIM(AK2437)</f>
      </c>
      <c r="AN2437" s="116">
        <v>7485.15</v>
      </c>
      <c r="AO2437" s="116">
        <v>834.85</v>
      </c>
      <c r="AP2437" s="116">
        <f>SUMIFS(M:M,AM:AM,AM2437)+SUMIFS(O:O,AM:AM,AM2437)</f>
      </c>
      <c r="AQ2437" s="116">
        <f>SUMIFS(L:L,AM:AM,AM2437)</f>
      </c>
      <c r="AR2437" s="116">
        <f>AQ2437-AP2437</f>
      </c>
      <c r="AS2437" s="94" t="str">
        <f>IF(AN2437&gt;=AQ2437,"ok","ck")</f>
      </c>
      <c r="AT2437" s="116">
        <f>-P2437</f>
      </c>
      <c r="AU2437" s="115">
        <f>IF(SUMIFS(AT:AT,AM:AM,AM2437)&gt;AO2437,(SUMIFS(AT:AT,AM:AM,AM2437)-AO2437))</f>
      </c>
      <c r="AV2437" s="116">
        <v>7485.15</v>
      </c>
      <c r="AW2437" s="121">
        <v>0.9</v>
      </c>
      <c r="AX2437" s="115">
        <f>AN2437-AP2437</f>
      </c>
    </row>
    <row r="2438" spans="1:50" ht="15" hidden="1" customHeight="1" x14ac:dyDescent="0.3">
      <c r="A2438" s="94" t="s">
        <v>151</v>
      </c>
      <c r="B2438" s="94"/>
      <c r="C2438" s="94"/>
      <c r="D2438" s="94"/>
      <c r="E2438" s="94"/>
      <c r="F2438" s="94"/>
      <c r="G2438" s="112">
        <f>AU2438</f>
      </c>
      <c r="H2438" s="113"/>
      <c r="I2438" s="94" t="s">
        <v>152</v>
      </c>
      <c r="J2438" s="94" t="s">
        <v>156</v>
      </c>
      <c r="K2438" s="114">
        <f>P2438/3</f>
      </c>
      <c r="L2438" s="115">
        <v>55.284999999999997</v>
      </c>
      <c r="M2438" s="116"/>
      <c r="N2438" s="117">
        <f>M2438-L2438</f>
      </c>
      <c r="O2438" s="112"/>
      <c r="P2438" s="118">
        <f>N2438+O2438</f>
      </c>
      <c r="Q2438" s="94" t="s">
        <v>236</v>
      </c>
      <c r="R2438" s="94" t="s">
        <v>63</v>
      </c>
      <c r="S2438" s="119">
        <v>46331</v>
      </c>
      <c r="T2438" s="119"/>
      <c r="U2438" s="119">
        <v>46331</v>
      </c>
      <c r="V2438" s="94"/>
      <c r="W2438" s="94"/>
      <c r="X2438" s="94"/>
      <c r="Y2438" s="119">
        <v>46320</v>
      </c>
      <c r="Z2438" s="94"/>
      <c r="AA2438" s="120"/>
      <c r="AB2438" s="120"/>
      <c r="AC2438" s="120"/>
      <c r="AD2438" s="120"/>
      <c r="AE2438" s="120"/>
      <c r="AF2438" s="120"/>
      <c r="AG2438" s="94"/>
      <c r="AH2438" s="120"/>
      <c r="AI2438" s="94"/>
      <c r="AJ2438" s="94" t="s">
        <v>236</v>
      </c>
      <c r="AK2438" s="94" t="s">
        <v>158</v>
      </c>
      <c r="AL2438" s="94">
        <v>160</v>
      </c>
      <c r="AM2438" s="94" t="str">
        <f>TRIM(AJ2438)&amp;TRIM(AL2438)&amp;TRIM(AK2438)</f>
      </c>
      <c r="AN2438" s="116">
        <v>7485.15</v>
      </c>
      <c r="AO2438" s="116">
        <v>834.85</v>
      </c>
      <c r="AP2438" s="116">
        <f>SUMIFS(M:M,AM:AM,AM2438)+SUMIFS(O:O,AM:AM,AM2438)</f>
      </c>
      <c r="AQ2438" s="116">
        <f>SUMIFS(L:L,AM:AM,AM2438)</f>
      </c>
      <c r="AR2438" s="116">
        <f>AQ2438-AP2438</f>
      </c>
      <c r="AS2438" s="94" t="str">
        <f>IF(AN2438&gt;=AQ2438,"ok","ck")</f>
      </c>
      <c r="AT2438" s="116">
        <f>-P2438</f>
      </c>
      <c r="AU2438" s="115">
        <f>IF(SUMIFS(AT:AT,AM:AM,AM2438)&gt;AO2438,(SUMIFS(AT:AT,AM:AM,AM2438)-AO2438))</f>
      </c>
      <c r="AV2438" s="116">
        <v>7485.15</v>
      </c>
      <c r="AW2438" s="121">
        <v>0.9</v>
      </c>
      <c r="AX2438" s="115">
        <f>AN2438-AP2438</f>
      </c>
    </row>
    <row r="2439" spans="1:50" ht="15" hidden="1" customHeight="1" x14ac:dyDescent="0.3">
      <c r="A2439" s="94" t="s">
        <v>151</v>
      </c>
      <c r="B2439" s="94"/>
      <c r="C2439" s="94"/>
      <c r="D2439" s="94"/>
      <c r="E2439" s="94"/>
      <c r="F2439" s="94"/>
      <c r="G2439" s="112">
        <f>AU2439</f>
      </c>
      <c r="H2439" s="113"/>
      <c r="I2439" s="94" t="s">
        <v>152</v>
      </c>
      <c r="J2439" s="94" t="s">
        <v>156</v>
      </c>
      <c r="K2439" s="114">
        <f>P2439/3</f>
      </c>
      <c r="L2439" s="115">
        <v>223.31100000000001</v>
      </c>
      <c r="M2439" s="116"/>
      <c r="N2439" s="117">
        <f>M2439-L2439</f>
      </c>
      <c r="O2439" s="112"/>
      <c r="P2439" s="118">
        <f>N2439+O2439</f>
      </c>
      <c r="Q2439" s="94" t="s">
        <v>236</v>
      </c>
      <c r="R2439" s="94" t="s">
        <v>63</v>
      </c>
      <c r="S2439" s="119">
        <v>46331</v>
      </c>
      <c r="T2439" s="119"/>
      <c r="U2439" s="119">
        <v>46331</v>
      </c>
      <c r="V2439" s="94"/>
      <c r="W2439" s="94"/>
      <c r="X2439" s="94"/>
      <c r="Y2439" s="119">
        <v>46335</v>
      </c>
      <c r="Z2439" s="94"/>
      <c r="AA2439" s="120"/>
      <c r="AB2439" s="120"/>
      <c r="AC2439" s="120"/>
      <c r="AD2439" s="120"/>
      <c r="AE2439" s="120"/>
      <c r="AF2439" s="120"/>
      <c r="AG2439" s="94"/>
      <c r="AH2439" s="120"/>
      <c r="AI2439" s="94"/>
      <c r="AJ2439" s="94" t="s">
        <v>236</v>
      </c>
      <c r="AK2439" s="94" t="s">
        <v>158</v>
      </c>
      <c r="AL2439" s="94">
        <v>160</v>
      </c>
      <c r="AM2439" s="94" t="str">
        <f>TRIM(AJ2439)&amp;TRIM(AL2439)&amp;TRIM(AK2439)</f>
      </c>
      <c r="AN2439" s="116">
        <v>7485.15</v>
      </c>
      <c r="AO2439" s="116">
        <v>834.85</v>
      </c>
      <c r="AP2439" s="116">
        <f>SUMIFS(M:M,AM:AM,AM2439)+SUMIFS(O:O,AM:AM,AM2439)</f>
      </c>
      <c r="AQ2439" s="116">
        <f>SUMIFS(L:L,AM:AM,AM2439)</f>
      </c>
      <c r="AR2439" s="116">
        <f>AQ2439-AP2439</f>
      </c>
      <c r="AS2439" s="94" t="str">
        <f>IF(AN2439&gt;=AQ2439,"ok","ck")</f>
      </c>
      <c r="AT2439" s="116">
        <f>-P2439</f>
      </c>
      <c r="AU2439" s="115">
        <f>IF(SUMIFS(AT:AT,AM:AM,AM2439)&gt;AO2439,(SUMIFS(AT:AT,AM:AM,AM2439)-AO2439))</f>
      </c>
      <c r="AV2439" s="116">
        <v>7485.15</v>
      </c>
      <c r="AW2439" s="121">
        <v>0.9</v>
      </c>
      <c r="AX2439" s="115">
        <f>AN2439-AP2439</f>
      </c>
    </row>
    <row r="2440" spans="1:50" ht="15" hidden="1" customHeight="1" x14ac:dyDescent="0.3">
      <c r="A2440" s="94" t="s">
        <v>151</v>
      </c>
      <c r="B2440" s="94"/>
      <c r="C2440" s="94"/>
      <c r="D2440" s="94"/>
      <c r="E2440" s="94"/>
      <c r="F2440" s="94"/>
      <c r="G2440" s="112">
        <f>AU2440</f>
      </c>
      <c r="H2440" s="113"/>
      <c r="I2440" s="94" t="s">
        <v>152</v>
      </c>
      <c r="J2440" s="94" t="s">
        <v>156</v>
      </c>
      <c r="K2440" s="114">
        <f>P2440/3</f>
      </c>
      <c r="L2440" s="115">
        <v>57</v>
      </c>
      <c r="M2440" s="116"/>
      <c r="N2440" s="117">
        <f>M2440-L2440</f>
      </c>
      <c r="O2440" s="112"/>
      <c r="P2440" s="118">
        <f>N2440+O2440</f>
      </c>
      <c r="Q2440" s="94" t="s">
        <v>236</v>
      </c>
      <c r="R2440" s="94" t="s">
        <v>63</v>
      </c>
      <c r="S2440" s="119">
        <v>46331</v>
      </c>
      <c r="T2440" s="119"/>
      <c r="U2440" s="119">
        <v>46331</v>
      </c>
      <c r="V2440" s="94"/>
      <c r="W2440" s="94"/>
      <c r="X2440" s="94"/>
      <c r="Y2440" s="119">
        <v>46335</v>
      </c>
      <c r="Z2440" s="94"/>
      <c r="AA2440" s="120"/>
      <c r="AB2440" s="120"/>
      <c r="AC2440" s="120"/>
      <c r="AD2440" s="120"/>
      <c r="AE2440" s="120"/>
      <c r="AF2440" s="120"/>
      <c r="AG2440" s="94"/>
      <c r="AH2440" s="120"/>
      <c r="AI2440" s="94"/>
      <c r="AJ2440" s="94" t="s">
        <v>236</v>
      </c>
      <c r="AK2440" s="94" t="s">
        <v>158</v>
      </c>
      <c r="AL2440" s="94">
        <v>160</v>
      </c>
      <c r="AM2440" s="94" t="str">
        <f>TRIM(AJ2440)&amp;TRIM(AL2440)&amp;TRIM(AK2440)</f>
      </c>
      <c r="AN2440" s="116">
        <v>7485.15</v>
      </c>
      <c r="AO2440" s="116">
        <v>834.85</v>
      </c>
      <c r="AP2440" s="116">
        <f>SUMIFS(M:M,AM:AM,AM2440)+SUMIFS(O:O,AM:AM,AM2440)</f>
      </c>
      <c r="AQ2440" s="116">
        <f>SUMIFS(L:L,AM:AM,AM2440)</f>
      </c>
      <c r="AR2440" s="116">
        <f>AQ2440-AP2440</f>
      </c>
      <c r="AS2440" s="94" t="str">
        <f>IF(AN2440&gt;=AQ2440,"ok","ck")</f>
      </c>
      <c r="AT2440" s="116">
        <f>-P2440</f>
      </c>
      <c r="AU2440" s="115">
        <f>IF(SUMIFS(AT:AT,AM:AM,AM2440)&gt;AO2440,(SUMIFS(AT:AT,AM:AM,AM2440)-AO2440))</f>
      </c>
      <c r="AV2440" s="116">
        <v>7485.15</v>
      </c>
      <c r="AW2440" s="121">
        <v>0.9</v>
      </c>
      <c r="AX2440" s="115">
        <f>AN2440-AP2440</f>
      </c>
    </row>
    <row r="2441" spans="1:50" ht="15" hidden="1" customHeight="1" x14ac:dyDescent="0.3">
      <c r="A2441" s="94" t="s">
        <v>151</v>
      </c>
      <c r="B2441" s="94"/>
      <c r="C2441" s="94"/>
      <c r="D2441" s="94"/>
      <c r="E2441" s="94"/>
      <c r="F2441" s="94"/>
      <c r="G2441" s="112">
        <f>AU2441</f>
      </c>
      <c r="H2441" s="113"/>
      <c r="I2441" s="94" t="s">
        <v>152</v>
      </c>
      <c r="J2441" s="94" t="s">
        <v>170</v>
      </c>
      <c r="K2441" s="114">
        <f>P2441/3</f>
      </c>
      <c r="L2441" s="115">
        <v>0</v>
      </c>
      <c r="M2441" s="116"/>
      <c r="N2441" s="117">
        <f>M2441-L2441</f>
      </c>
      <c r="O2441" s="112"/>
      <c r="P2441" s="118">
        <f>N2441+O2441</f>
      </c>
      <c r="Q2441" s="94" t="s">
        <v>185</v>
      </c>
      <c r="R2441" s="94" t="s">
        <v>63</v>
      </c>
      <c r="S2441" s="119">
        <v>46320</v>
      </c>
      <c r="T2441" s="119"/>
      <c r="U2441" s="119">
        <v>46320</v>
      </c>
      <c r="V2441" s="94"/>
      <c r="W2441" s="94"/>
      <c r="X2441" s="94"/>
      <c r="Y2441" s="119">
        <v>46320</v>
      </c>
      <c r="Z2441" s="94"/>
      <c r="AA2441" s="120"/>
      <c r="AB2441" s="120"/>
      <c r="AC2441" s="120"/>
      <c r="AD2441" s="120"/>
      <c r="AE2441" s="120"/>
      <c r="AF2441" s="120"/>
      <c r="AG2441" s="94"/>
      <c r="AH2441" s="120"/>
      <c r="AI2441" s="94"/>
      <c r="AJ2441" s="94" t="s">
        <v>185</v>
      </c>
      <c r="AK2441" s="94" t="s">
        <v>171</v>
      </c>
      <c r="AL2441" s="94">
        <v>160</v>
      </c>
      <c r="AM2441" s="94" t="str">
        <f>TRIM(AJ2441)&amp;TRIM(AL2441)&amp;TRIM(AK2441)</f>
      </c>
      <c r="AN2441" s="116">
        <v>2667.36</v>
      </c>
      <c r="AO2441" s="116">
        <v>177.64</v>
      </c>
      <c r="AP2441" s="116">
        <f>SUMIFS(M:M,AM:AM,AM2441)+SUMIFS(O:O,AM:AM,AM2441)</f>
      </c>
      <c r="AQ2441" s="116">
        <f>SUMIFS(L:L,AM:AM,AM2441)</f>
      </c>
      <c r="AR2441" s="116">
        <f>AQ2441-AP2441</f>
      </c>
      <c r="AS2441" s="94" t="str">
        <f>IF(AN2441&gt;=AQ2441,"ok","ck")</f>
      </c>
      <c r="AT2441" s="116">
        <f>-P2441</f>
      </c>
      <c r="AU2441" s="115">
        <f>IF(SUMIFS(AT:AT,AM:AM,AM2441)&gt;AO2441,(SUMIFS(AT:AT,AM:AM,AM2441)-AO2441))</f>
      </c>
      <c r="AV2441" s="116">
        <v>2667.36</v>
      </c>
      <c r="AW2441" s="121">
        <v>0.938</v>
      </c>
      <c r="AX2441" s="115">
        <f>AN2441-AP2441</f>
      </c>
    </row>
    <row r="2442" spans="1:50" ht="15" hidden="1" customHeight="1" x14ac:dyDescent="0.3">
      <c r="A2442" s="94" t="s">
        <v>151</v>
      </c>
      <c r="B2442" s="94"/>
      <c r="C2442" s="94"/>
      <c r="D2442" s="94"/>
      <c r="E2442" s="94"/>
      <c r="F2442" s="94"/>
      <c r="G2442" s="112">
        <f>AU2442</f>
      </c>
      <c r="H2442" s="113"/>
      <c r="I2442" s="94" t="s">
        <v>152</v>
      </c>
      <c r="J2442" s="94" t="s">
        <v>170</v>
      </c>
      <c r="K2442" s="114">
        <f>P2442/3</f>
      </c>
      <c r="L2442" s="115">
        <v>177.27</v>
      </c>
      <c r="M2442" s="116"/>
      <c r="N2442" s="117">
        <f>M2442-L2442</f>
      </c>
      <c r="O2442" s="112"/>
      <c r="P2442" s="118">
        <f>N2442+O2442</f>
      </c>
      <c r="Q2442" s="94" t="s">
        <v>185</v>
      </c>
      <c r="R2442" s="94" t="s">
        <v>63</v>
      </c>
      <c r="S2442" s="119">
        <v>46328</v>
      </c>
      <c r="T2442" s="119"/>
      <c r="U2442" s="119">
        <v>46328</v>
      </c>
      <c r="V2442" s="94"/>
      <c r="W2442" s="94"/>
      <c r="X2442" s="94"/>
      <c r="Y2442" s="119">
        <v>46338</v>
      </c>
      <c r="Z2442" s="94"/>
      <c r="AA2442" s="120"/>
      <c r="AB2442" s="120"/>
      <c r="AC2442" s="120"/>
      <c r="AD2442" s="120"/>
      <c r="AE2442" s="120"/>
      <c r="AF2442" s="120"/>
      <c r="AG2442" s="94"/>
      <c r="AH2442" s="120"/>
      <c r="AI2442" s="94"/>
      <c r="AJ2442" s="94" t="s">
        <v>185</v>
      </c>
      <c r="AK2442" s="94" t="s">
        <v>171</v>
      </c>
      <c r="AL2442" s="94">
        <v>160</v>
      </c>
      <c r="AM2442" s="94" t="str">
        <f>TRIM(AJ2442)&amp;TRIM(AL2442)&amp;TRIM(AK2442)</f>
      </c>
      <c r="AN2442" s="116">
        <v>2667.36</v>
      </c>
      <c r="AO2442" s="116">
        <v>177.64</v>
      </c>
      <c r="AP2442" s="116">
        <f>SUMIFS(M:M,AM:AM,AM2442)+SUMIFS(O:O,AM:AM,AM2442)</f>
      </c>
      <c r="AQ2442" s="116">
        <f>SUMIFS(L:L,AM:AM,AM2442)</f>
      </c>
      <c r="AR2442" s="116">
        <f>AQ2442-AP2442</f>
      </c>
      <c r="AS2442" s="94" t="str">
        <f>IF(AN2442&gt;=AQ2442,"ok","ck")</f>
      </c>
      <c r="AT2442" s="116">
        <f>-P2442</f>
      </c>
      <c r="AU2442" s="115">
        <f>IF(SUMIFS(AT:AT,AM:AM,AM2442)&gt;AO2442,(SUMIFS(AT:AT,AM:AM,AM2442)-AO2442))</f>
      </c>
      <c r="AV2442" s="116">
        <v>2667.36</v>
      </c>
      <c r="AW2442" s="121">
        <v>0.938</v>
      </c>
      <c r="AX2442" s="115">
        <f>AN2442-AP2442</f>
      </c>
    </row>
    <row r="2443" spans="1:50" ht="15" hidden="1" customHeight="1" x14ac:dyDescent="0.3">
      <c r="A2443" s="94" t="s">
        <v>76</v>
      </c>
      <c r="B2443" s="94"/>
      <c r="C2443" s="94"/>
      <c r="D2443" s="94"/>
      <c r="E2443" s="94"/>
      <c r="F2443" s="94"/>
      <c r="G2443" s="112">
        <f>AU2443</f>
      </c>
      <c r="H2443" s="113"/>
      <c r="I2443" s="94" t="s">
        <v>77</v>
      </c>
      <c r="J2443" s="94" t="s">
        <v>79</v>
      </c>
      <c r="K2443" s="114">
        <f>P2443/3</f>
      </c>
      <c r="L2443" s="115">
        <v>0</v>
      </c>
      <c r="M2443" s="116">
        <f>L2443</f>
      </c>
      <c r="N2443" s="117">
        <f>M2443-L2443</f>
      </c>
      <c r="O2443" s="112"/>
      <c r="P2443" s="118">
        <f>N2443+O2443</f>
      </c>
      <c r="Q2443" s="94" t="s">
        <v>78</v>
      </c>
      <c r="R2443" s="94" t="s">
        <v>63</v>
      </c>
      <c r="S2443" s="119">
        <v>46333</v>
      </c>
      <c r="T2443" s="119"/>
      <c r="U2443" s="119">
        <v>46333</v>
      </c>
      <c r="V2443" s="94"/>
      <c r="W2443" s="94"/>
      <c r="X2443" s="94"/>
      <c r="Y2443" s="119">
        <v>46333</v>
      </c>
      <c r="Z2443" s="94"/>
      <c r="AA2443" s="120"/>
      <c r="AB2443" s="120"/>
      <c r="AC2443" s="120"/>
      <c r="AD2443" s="120"/>
      <c r="AE2443" s="120"/>
      <c r="AF2443" s="120"/>
      <c r="AG2443" s="94"/>
      <c r="AH2443" s="120"/>
      <c r="AI2443" s="94"/>
      <c r="AJ2443" s="94" t="s">
        <v>78</v>
      </c>
      <c r="AK2443" s="94" t="s">
        <v>79</v>
      </c>
      <c r="AL2443" s="94">
        <v>150</v>
      </c>
      <c r="AM2443" s="94" t="str">
        <f>TRIM(AJ2443)&amp;TRIM(AL2443)&amp;TRIM(AK2443)</f>
      </c>
      <c r="AN2443" s="116">
        <v>1537.22</v>
      </c>
      <c r="AO2443" s="116">
        <v>-32.55</v>
      </c>
      <c r="AP2443" s="116">
        <f>SUMIFS(M:M,AM:AM,AM2443)+SUMIFS(O:O,AM:AM,AM2443)</f>
      </c>
      <c r="AQ2443" s="116">
        <f>SUMIFS(L:L,AM:AM,AM2443)</f>
      </c>
      <c r="AR2443" s="116">
        <f>AQ2443-AP2443</f>
      </c>
      <c r="AS2443" s="94" t="str">
        <f>IF(AN2443&gt;=AQ2443,"ok","ck")</f>
      </c>
      <c r="AT2443" s="116">
        <f>-P2443</f>
      </c>
      <c r="AU2443" s="115">
        <f>IF(SUMIFS(AT:AT,AM:AM,AM2443)&gt;AO2443,(SUMIFS(AT:AT,AM:AM,AM2443)-AO2443))</f>
      </c>
      <c r="AV2443" s="116">
        <v>1537.22</v>
      </c>
      <c r="AW2443" s="121">
        <v>1.022</v>
      </c>
      <c r="AX2443" s="115">
        <f>AN2443-AP2443</f>
      </c>
    </row>
    <row r="2444" spans="1:50" ht="15" hidden="1" customHeight="1" x14ac:dyDescent="0.3">
      <c r="A2444" s="94" t="s">
        <v>76</v>
      </c>
      <c r="B2444" s="94"/>
      <c r="C2444" s="94"/>
      <c r="D2444" s="94"/>
      <c r="E2444" s="94"/>
      <c r="F2444" s="94"/>
      <c r="G2444" s="112">
        <f>AU2444</f>
      </c>
      <c r="H2444" s="113"/>
      <c r="I2444" s="94" t="s">
        <v>77</v>
      </c>
      <c r="J2444" s="94" t="s">
        <v>79</v>
      </c>
      <c r="K2444" s="114">
        <f>P2444/3</f>
      </c>
      <c r="L2444" s="115">
        <v>0</v>
      </c>
      <c r="M2444" s="116">
        <f>L2444</f>
      </c>
      <c r="N2444" s="117">
        <f>M2444-L2444</f>
      </c>
      <c r="O2444" s="112"/>
      <c r="P2444" s="118">
        <f>N2444+O2444</f>
      </c>
      <c r="Q2444" s="94" t="s">
        <v>78</v>
      </c>
      <c r="R2444" s="94" t="s">
        <v>63</v>
      </c>
      <c r="S2444" s="119">
        <v>46334</v>
      </c>
      <c r="T2444" s="119"/>
      <c r="U2444" s="119">
        <v>46334</v>
      </c>
      <c r="V2444" s="94"/>
      <c r="W2444" s="94"/>
      <c r="X2444" s="94"/>
      <c r="Y2444" s="119">
        <v>46334</v>
      </c>
      <c r="Z2444" s="94"/>
      <c r="AA2444" s="120"/>
      <c r="AB2444" s="120"/>
      <c r="AC2444" s="120"/>
      <c r="AD2444" s="120"/>
      <c r="AE2444" s="120"/>
      <c r="AF2444" s="120"/>
      <c r="AG2444" s="94"/>
      <c r="AH2444" s="120"/>
      <c r="AI2444" s="94"/>
      <c r="AJ2444" s="94" t="s">
        <v>78</v>
      </c>
      <c r="AK2444" s="94" t="s">
        <v>79</v>
      </c>
      <c r="AL2444" s="94">
        <v>150</v>
      </c>
      <c r="AM2444" s="94" t="str">
        <f>TRIM(AJ2444)&amp;TRIM(AL2444)&amp;TRIM(AK2444)</f>
      </c>
      <c r="AN2444" s="116">
        <v>1537.22</v>
      </c>
      <c r="AO2444" s="116">
        <v>-32.55</v>
      </c>
      <c r="AP2444" s="116">
        <f>SUMIFS(M:M,AM:AM,AM2444)+SUMIFS(O:O,AM:AM,AM2444)</f>
      </c>
      <c r="AQ2444" s="116">
        <f>SUMIFS(L:L,AM:AM,AM2444)</f>
      </c>
      <c r="AR2444" s="116">
        <f>AQ2444-AP2444</f>
      </c>
      <c r="AS2444" s="94" t="str">
        <f>IF(AN2444&gt;=AQ2444,"ok","ck")</f>
      </c>
      <c r="AT2444" s="116">
        <f>-P2444</f>
      </c>
      <c r="AU2444" s="115">
        <f>IF(SUMIFS(AT:AT,AM:AM,AM2444)&gt;AO2444,(SUMIFS(AT:AT,AM:AM,AM2444)-AO2444))</f>
      </c>
      <c r="AV2444" s="116">
        <v>1537.22</v>
      </c>
      <c r="AW2444" s="121">
        <v>1.022</v>
      </c>
      <c r="AX2444" s="115">
        <f>AN2444-AP2444</f>
      </c>
    </row>
    <row r="2445" spans="1:50" ht="15" hidden="1" customHeight="1" x14ac:dyDescent="0.3">
      <c r="A2445" s="94" t="s">
        <v>76</v>
      </c>
      <c r="B2445" s="94"/>
      <c r="C2445" s="94"/>
      <c r="D2445" s="94"/>
      <c r="E2445" s="94"/>
      <c r="F2445" s="94"/>
      <c r="G2445" s="112">
        <f>AU2445</f>
      </c>
      <c r="H2445" s="113"/>
      <c r="I2445" s="94" t="s">
        <v>77</v>
      </c>
      <c r="J2445" s="94" t="s">
        <v>79</v>
      </c>
      <c r="K2445" s="114">
        <f>P2445/3</f>
      </c>
      <c r="L2445" s="115">
        <v>0</v>
      </c>
      <c r="M2445" s="116">
        <f>L2445</f>
      </c>
      <c r="N2445" s="117">
        <f>M2445-L2445</f>
      </c>
      <c r="O2445" s="112"/>
      <c r="P2445" s="118">
        <f>N2445+O2445</f>
      </c>
      <c r="Q2445" s="94" t="s">
        <v>78</v>
      </c>
      <c r="R2445" s="94" t="s">
        <v>63</v>
      </c>
      <c r="S2445" s="119">
        <v>46334</v>
      </c>
      <c r="T2445" s="119"/>
      <c r="U2445" s="119">
        <v>46334</v>
      </c>
      <c r="V2445" s="94"/>
      <c r="W2445" s="94"/>
      <c r="X2445" s="94"/>
      <c r="Y2445" s="119">
        <v>46334</v>
      </c>
      <c r="Z2445" s="94"/>
      <c r="AA2445" s="120"/>
      <c r="AB2445" s="120"/>
      <c r="AC2445" s="120"/>
      <c r="AD2445" s="120"/>
      <c r="AE2445" s="120"/>
      <c r="AF2445" s="120"/>
      <c r="AG2445" s="94"/>
      <c r="AH2445" s="120"/>
      <c r="AI2445" s="94"/>
      <c r="AJ2445" s="94" t="s">
        <v>78</v>
      </c>
      <c r="AK2445" s="94" t="s">
        <v>79</v>
      </c>
      <c r="AL2445" s="94">
        <v>150</v>
      </c>
      <c r="AM2445" s="94" t="str">
        <f>TRIM(AJ2445)&amp;TRIM(AL2445)&amp;TRIM(AK2445)</f>
      </c>
      <c r="AN2445" s="116">
        <v>1537.22</v>
      </c>
      <c r="AO2445" s="116">
        <v>-32.55</v>
      </c>
      <c r="AP2445" s="116">
        <f>SUMIFS(M:M,AM:AM,AM2445)+SUMIFS(O:O,AM:AM,AM2445)</f>
      </c>
      <c r="AQ2445" s="116">
        <f>SUMIFS(L:L,AM:AM,AM2445)</f>
      </c>
      <c r="AR2445" s="116">
        <f>AQ2445-AP2445</f>
      </c>
      <c r="AS2445" s="94" t="str">
        <f>IF(AN2445&gt;=AQ2445,"ok","ck")</f>
      </c>
      <c r="AT2445" s="116">
        <f>-P2445</f>
      </c>
      <c r="AU2445" s="115">
        <f>IF(SUMIFS(AT:AT,AM:AM,AM2445)&gt;AO2445,(SUMIFS(AT:AT,AM:AM,AM2445)-AO2445))</f>
      </c>
      <c r="AV2445" s="116">
        <v>1537.22</v>
      </c>
      <c r="AW2445" s="121">
        <v>1.022</v>
      </c>
      <c r="AX2445" s="115">
        <f>AN2445-AP2445</f>
      </c>
    </row>
    <row r="2446" spans="1:50" ht="15" hidden="1" customHeight="1" x14ac:dyDescent="0.3">
      <c r="A2446" s="94" t="s">
        <v>76</v>
      </c>
      <c r="B2446" s="94"/>
      <c r="C2446" s="94"/>
      <c r="D2446" s="94"/>
      <c r="E2446" s="94"/>
      <c r="F2446" s="94"/>
      <c r="G2446" s="112">
        <f>AU2446</f>
      </c>
      <c r="H2446" s="113"/>
      <c r="I2446" s="94" t="s">
        <v>77</v>
      </c>
      <c r="J2446" s="94" t="s">
        <v>617</v>
      </c>
      <c r="K2446" s="114">
        <f>P2446/3</f>
      </c>
      <c r="L2446" s="115">
        <v>544.30100000000004</v>
      </c>
      <c r="M2446" s="116">
        <v>544.30100000000004</v>
      </c>
      <c r="N2446" s="117">
        <f>M2446-L2446</f>
      </c>
      <c r="O2446" s="112"/>
      <c r="P2446" s="118">
        <f>N2446+O2446</f>
      </c>
      <c r="Q2446" s="94" t="s">
        <v>834</v>
      </c>
      <c r="R2446" s="94" t="s">
        <v>63</v>
      </c>
      <c r="S2446" s="119">
        <v>46339</v>
      </c>
      <c r="T2446" s="119"/>
      <c r="U2446" s="119">
        <v>46339</v>
      </c>
      <c r="V2446" s="94"/>
      <c r="W2446" s="94"/>
      <c r="X2446" s="94"/>
      <c r="Y2446" s="119">
        <v>46341</v>
      </c>
      <c r="Z2446" s="94"/>
      <c r="AA2446" s="120"/>
      <c r="AB2446" s="120"/>
      <c r="AC2446" s="120"/>
      <c r="AD2446" s="120"/>
      <c r="AE2446" s="120"/>
      <c r="AF2446" s="120"/>
      <c r="AG2446" s="94"/>
      <c r="AH2446" s="120"/>
      <c r="AI2446" s="94"/>
      <c r="AJ2446" s="94" t="s">
        <v>834</v>
      </c>
      <c r="AK2446" s="94" t="s">
        <v>617</v>
      </c>
      <c r="AL2446" s="94">
        <v>150</v>
      </c>
      <c r="AM2446" s="94" t="str">
        <f>TRIM(AJ2446)&amp;TRIM(AL2446)&amp;TRIM(AK2446)</f>
      </c>
      <c r="AN2446" s="116">
        <v>835</v>
      </c>
      <c r="AO2446" s="116">
        <v>45.41</v>
      </c>
      <c r="AP2446" s="116">
        <f>SUMIFS(M:M,AM:AM,AM2446)+SUMIFS(O:O,AM:AM,AM2446)</f>
      </c>
      <c r="AQ2446" s="116">
        <f>SUMIFS(L:L,AM:AM,AM2446)</f>
      </c>
      <c r="AR2446" s="116">
        <f>AQ2446-AP2446</f>
      </c>
      <c r="AS2446" s="94" t="str">
        <f>IF(AN2446&gt;=AQ2446,"ok","ck")</f>
      </c>
      <c r="AT2446" s="116">
        <f>-P2446</f>
      </c>
      <c r="AU2446" s="115">
        <f>IF(SUMIFS(AT:AT,AM:AM,AM2446)&gt;AO2446,(SUMIFS(AT:AT,AM:AM,AM2446)-AO2446))</f>
      </c>
      <c r="AV2446" s="116">
        <v>835</v>
      </c>
      <c r="AW2446" s="121">
        <v>0.948</v>
      </c>
      <c r="AX2446" s="115">
        <f>AN2446-AP2446</f>
      </c>
    </row>
    <row r="2447" spans="1:50" ht="15" hidden="1" customHeight="1" x14ac:dyDescent="0.3">
      <c r="A2447" s="94" t="s">
        <v>76</v>
      </c>
      <c r="B2447" s="94"/>
      <c r="C2447" s="94"/>
      <c r="D2447" s="94"/>
      <c r="E2447" s="94"/>
      <c r="F2447" s="94"/>
      <c r="G2447" s="112">
        <f>AU2447</f>
      </c>
      <c r="H2447" s="113"/>
      <c r="I2447" s="94" t="s">
        <v>77</v>
      </c>
      <c r="J2447" s="94" t="s">
        <v>617</v>
      </c>
      <c r="K2447" s="114">
        <f>P2447/3</f>
      </c>
      <c r="L2447" s="115">
        <v>3.577</v>
      </c>
      <c r="M2447" s="116">
        <v>3.577</v>
      </c>
      <c r="N2447" s="117">
        <f>M2447-L2447</f>
      </c>
      <c r="O2447" s="112"/>
      <c r="P2447" s="118">
        <f>N2447+O2447</f>
      </c>
      <c r="Q2447" s="94" t="s">
        <v>834</v>
      </c>
      <c r="R2447" s="94" t="s">
        <v>63</v>
      </c>
      <c r="S2447" s="119">
        <v>46339</v>
      </c>
      <c r="T2447" s="119"/>
      <c r="U2447" s="119">
        <v>46339</v>
      </c>
      <c r="V2447" s="94"/>
      <c r="W2447" s="94"/>
      <c r="X2447" s="94"/>
      <c r="Y2447" s="119">
        <v>46343</v>
      </c>
      <c r="Z2447" s="94"/>
      <c r="AA2447" s="120"/>
      <c r="AB2447" s="120"/>
      <c r="AC2447" s="120"/>
      <c r="AD2447" s="120"/>
      <c r="AE2447" s="120"/>
      <c r="AF2447" s="120"/>
      <c r="AG2447" s="94"/>
      <c r="AH2447" s="120"/>
      <c r="AI2447" s="94"/>
      <c r="AJ2447" s="94" t="s">
        <v>834</v>
      </c>
      <c r="AK2447" s="94" t="s">
        <v>617</v>
      </c>
      <c r="AL2447" s="94">
        <v>150</v>
      </c>
      <c r="AM2447" s="94" t="str">
        <f>TRIM(AJ2447)&amp;TRIM(AL2447)&amp;TRIM(AK2447)</f>
      </c>
      <c r="AN2447" s="116">
        <v>835</v>
      </c>
      <c r="AO2447" s="116">
        <v>45.41</v>
      </c>
      <c r="AP2447" s="116">
        <f>SUMIFS(M:M,AM:AM,AM2447)+SUMIFS(O:O,AM:AM,AM2447)</f>
      </c>
      <c r="AQ2447" s="116">
        <f>SUMIFS(L:L,AM:AM,AM2447)</f>
      </c>
      <c r="AR2447" s="116">
        <f>AQ2447-AP2447</f>
      </c>
      <c r="AS2447" s="94" t="str">
        <f>IF(AN2447&gt;=AQ2447,"ok","ck")</f>
      </c>
      <c r="AT2447" s="116">
        <f>-P2447</f>
      </c>
      <c r="AU2447" s="115">
        <f>IF(SUMIFS(AT:AT,AM:AM,AM2447)&gt;AO2447,(SUMIFS(AT:AT,AM:AM,AM2447)-AO2447))</f>
      </c>
      <c r="AV2447" s="116">
        <v>835</v>
      </c>
      <c r="AW2447" s="121">
        <v>0.948</v>
      </c>
      <c r="AX2447" s="115">
        <f>AN2447-AP2447</f>
      </c>
    </row>
    <row r="2448" spans="1:50" ht="15" hidden="1" customHeight="1" x14ac:dyDescent="0.3">
      <c r="A2448" s="94" t="s">
        <v>76</v>
      </c>
      <c r="B2448" s="94"/>
      <c r="C2448" s="94"/>
      <c r="D2448" s="94"/>
      <c r="E2448" s="94"/>
      <c r="F2448" s="94"/>
      <c r="G2448" s="112">
        <f>AU2448</f>
      </c>
      <c r="H2448" s="113"/>
      <c r="I2448" s="94" t="s">
        <v>77</v>
      </c>
      <c r="J2448" s="94" t="s">
        <v>119</v>
      </c>
      <c r="K2448" s="114">
        <f>P2448/3</f>
      </c>
      <c r="L2448" s="115">
        <v>330.80200000000002</v>
      </c>
      <c r="M2448" s="116"/>
      <c r="N2448" s="117">
        <f>M2448-L2448</f>
      </c>
      <c r="O2448" s="112"/>
      <c r="P2448" s="118">
        <f>N2448+O2448</f>
      </c>
      <c r="Q2448" s="94" t="s">
        <v>834</v>
      </c>
      <c r="R2448" s="94" t="s">
        <v>63</v>
      </c>
      <c r="S2448" s="119">
        <v>46339</v>
      </c>
      <c r="T2448" s="119"/>
      <c r="U2448" s="119">
        <v>46339</v>
      </c>
      <c r="V2448" s="94"/>
      <c r="W2448" s="94"/>
      <c r="X2448" s="94"/>
      <c r="Y2448" s="119">
        <v>46337</v>
      </c>
      <c r="Z2448" s="94"/>
      <c r="AA2448" s="120"/>
      <c r="AB2448" s="120"/>
      <c r="AC2448" s="120"/>
      <c r="AD2448" s="120"/>
      <c r="AE2448" s="120"/>
      <c r="AF2448" s="120"/>
      <c r="AG2448" s="94"/>
      <c r="AH2448" s="120"/>
      <c r="AI2448" s="94"/>
      <c r="AJ2448" s="94" t="s">
        <v>834</v>
      </c>
      <c r="AK2448" s="94" t="s">
        <v>120</v>
      </c>
      <c r="AL2448" s="94">
        <v>150</v>
      </c>
      <c r="AM2448" s="94" t="str">
        <f>TRIM(AJ2448)&amp;TRIM(AL2448)&amp;TRIM(AK2448)</f>
      </c>
      <c r="AN2448" s="116">
        <v>0</v>
      </c>
      <c r="AO2448" s="116" t="inlineStr">
        <is>
          <t>#NA</t>
        </is>
      </c>
      <c r="AP2448" s="116">
        <f>SUMIFS(M:M,AM:AM,AM2448)+SUMIFS(O:O,AM:AM,AM2448)</f>
      </c>
      <c r="AQ2448" s="116">
        <f>SUMIFS(L:L,AM:AM,AM2448)</f>
      </c>
      <c r="AR2448" s="116">
        <f>AQ2448-AP2448</f>
      </c>
      <c r="AS2448" s="94" t="str">
        <f>IF(AN2448&gt;=AQ2448,"ok","ck")</f>
      </c>
      <c r="AT2448" s="116">
        <f>-P2448</f>
      </c>
      <c r="AU2448" s="115">
        <f>IF(SUMIFS(AT:AT,AM:AM,AM2448)&gt;AO2448,(SUMIFS(AT:AT,AM:AM,AM2448)-AO2448))</f>
      </c>
      <c r="AV2448" s="116">
        <v>0</v>
      </c>
      <c r="AW2448" s="121">
        <v>0</v>
      </c>
      <c r="AX2448" s="115">
        <f>AN2448-AP2448</f>
      </c>
    </row>
    <row r="2449" spans="1:50" ht="15" hidden="1" customHeight="1" x14ac:dyDescent="0.3">
      <c r="A2449" s="94" t="s">
        <v>76</v>
      </c>
      <c r="B2449" s="94"/>
      <c r="C2449" s="94"/>
      <c r="D2449" s="94"/>
      <c r="E2449" s="94"/>
      <c r="F2449" s="94"/>
      <c r="G2449" s="112">
        <f>AU2449</f>
      </c>
      <c r="H2449" s="113"/>
      <c r="I2449" s="94" t="s">
        <v>77</v>
      </c>
      <c r="J2449" s="94" t="s">
        <v>119</v>
      </c>
      <c r="K2449" s="114">
        <f>P2449/3</f>
      </c>
      <c r="L2449" s="115">
        <v>1.7370000000000001</v>
      </c>
      <c r="M2449" s="116"/>
      <c r="N2449" s="117">
        <f>M2449-L2449</f>
      </c>
      <c r="O2449" s="112"/>
      <c r="P2449" s="118">
        <f>N2449+O2449</f>
      </c>
      <c r="Q2449" s="94" t="s">
        <v>834</v>
      </c>
      <c r="R2449" s="94" t="s">
        <v>63</v>
      </c>
      <c r="S2449" s="119">
        <v>46339</v>
      </c>
      <c r="T2449" s="119"/>
      <c r="U2449" s="119">
        <v>46339</v>
      </c>
      <c r="V2449" s="94"/>
      <c r="W2449" s="94"/>
      <c r="X2449" s="94"/>
      <c r="Y2449" s="119">
        <v>46340</v>
      </c>
      <c r="Z2449" s="94"/>
      <c r="AA2449" s="120"/>
      <c r="AB2449" s="120"/>
      <c r="AC2449" s="120"/>
      <c r="AD2449" s="120"/>
      <c r="AE2449" s="120"/>
      <c r="AF2449" s="120"/>
      <c r="AG2449" s="94"/>
      <c r="AH2449" s="120"/>
      <c r="AI2449" s="94"/>
      <c r="AJ2449" s="94" t="s">
        <v>834</v>
      </c>
      <c r="AK2449" s="94" t="s">
        <v>120</v>
      </c>
      <c r="AL2449" s="94">
        <v>150</v>
      </c>
      <c r="AM2449" s="94" t="str">
        <f>TRIM(AJ2449)&amp;TRIM(AL2449)&amp;TRIM(AK2449)</f>
      </c>
      <c r="AN2449" s="116">
        <v>0</v>
      </c>
      <c r="AO2449" s="116" t="inlineStr">
        <is>
          <t>#NA</t>
        </is>
      </c>
      <c r="AP2449" s="116">
        <f>SUMIFS(M:M,AM:AM,AM2449)+SUMIFS(O:O,AM:AM,AM2449)</f>
      </c>
      <c r="AQ2449" s="116">
        <f>SUMIFS(L:L,AM:AM,AM2449)</f>
      </c>
      <c r="AR2449" s="116">
        <f>AQ2449-AP2449</f>
      </c>
      <c r="AS2449" s="94" t="str">
        <f>IF(AN2449&gt;=AQ2449,"ok","ck")</f>
      </c>
      <c r="AT2449" s="116">
        <f>-P2449</f>
      </c>
      <c r="AU2449" s="115">
        <f>IF(SUMIFS(AT:AT,AM:AM,AM2449)&gt;AO2449,(SUMIFS(AT:AT,AM:AM,AM2449)-AO2449))</f>
      </c>
      <c r="AV2449" s="116">
        <v>0</v>
      </c>
      <c r="AW2449" s="121">
        <v>0</v>
      </c>
      <c r="AX2449" s="115">
        <f>AN2449-AP2449</f>
      </c>
    </row>
    <row r="2450" spans="1:50" ht="15" hidden="1" customHeight="1" x14ac:dyDescent="0.3">
      <c r="A2450" s="94" t="s">
        <v>76</v>
      </c>
      <c r="B2450" s="94"/>
      <c r="C2450" s="94"/>
      <c r="D2450" s="94"/>
      <c r="E2450" s="94"/>
      <c r="F2450" s="94"/>
      <c r="G2450" s="112">
        <f>AU2450</f>
      </c>
      <c r="H2450" s="113"/>
      <c r="I2450" s="94" t="s">
        <v>77</v>
      </c>
      <c r="J2450" s="94" t="s">
        <v>119</v>
      </c>
      <c r="K2450" s="114">
        <f>P2450/3</f>
      </c>
      <c r="L2450" s="115">
        <v>544.30100000000004</v>
      </c>
      <c r="M2450" s="116"/>
      <c r="N2450" s="117">
        <f>M2450-L2450</f>
      </c>
      <c r="O2450" s="112"/>
      <c r="P2450" s="118">
        <f>N2450+O2450</f>
      </c>
      <c r="Q2450" s="94" t="s">
        <v>834</v>
      </c>
      <c r="R2450" s="94" t="s">
        <v>63</v>
      </c>
      <c r="S2450" s="119">
        <v>46339</v>
      </c>
      <c r="T2450" s="119"/>
      <c r="U2450" s="119">
        <v>46339</v>
      </c>
      <c r="V2450" s="94"/>
      <c r="W2450" s="94"/>
      <c r="X2450" s="94"/>
      <c r="Y2450" s="119">
        <v>46341</v>
      </c>
      <c r="Z2450" s="94"/>
      <c r="AA2450" s="120"/>
      <c r="AB2450" s="120"/>
      <c r="AC2450" s="120"/>
      <c r="AD2450" s="120"/>
      <c r="AE2450" s="120"/>
      <c r="AF2450" s="120"/>
      <c r="AG2450" s="94"/>
      <c r="AH2450" s="120"/>
      <c r="AI2450" s="94"/>
      <c r="AJ2450" s="94" t="s">
        <v>834</v>
      </c>
      <c r="AK2450" s="94" t="s">
        <v>120</v>
      </c>
      <c r="AL2450" s="94">
        <v>150</v>
      </c>
      <c r="AM2450" s="94" t="str">
        <f>TRIM(AJ2450)&amp;TRIM(AL2450)&amp;TRIM(AK2450)</f>
      </c>
      <c r="AN2450" s="116">
        <v>0</v>
      </c>
      <c r="AO2450" s="116" t="inlineStr">
        <is>
          <t>#NA</t>
        </is>
      </c>
      <c r="AP2450" s="116">
        <f>SUMIFS(M:M,AM:AM,AM2450)+SUMIFS(O:O,AM:AM,AM2450)</f>
      </c>
      <c r="AQ2450" s="116">
        <f>SUMIFS(L:L,AM:AM,AM2450)</f>
      </c>
      <c r="AR2450" s="116">
        <f>AQ2450-AP2450</f>
      </c>
      <c r="AS2450" s="94" t="str">
        <f>IF(AN2450&gt;=AQ2450,"ok","ck")</f>
      </c>
      <c r="AT2450" s="116">
        <f>-P2450</f>
      </c>
      <c r="AU2450" s="115">
        <f>IF(SUMIFS(AT:AT,AM:AM,AM2450)&gt;AO2450,(SUMIFS(AT:AT,AM:AM,AM2450)-AO2450))</f>
      </c>
      <c r="AV2450" s="116">
        <v>0</v>
      </c>
      <c r="AW2450" s="121">
        <v>0</v>
      </c>
      <c r="AX2450" s="115">
        <f>AN2450-AP2450</f>
      </c>
    </row>
    <row r="2451" spans="1:50" ht="15" hidden="1" customHeight="1" x14ac:dyDescent="0.3">
      <c r="A2451" s="94" t="s">
        <v>76</v>
      </c>
      <c r="B2451" s="94"/>
      <c r="C2451" s="94"/>
      <c r="D2451" s="94"/>
      <c r="E2451" s="94"/>
      <c r="F2451" s="94"/>
      <c r="G2451" s="112">
        <f>AU2451</f>
      </c>
      <c r="H2451" s="113"/>
      <c r="I2451" s="94" t="s">
        <v>77</v>
      </c>
      <c r="J2451" s="94" t="s">
        <v>119</v>
      </c>
      <c r="K2451" s="114">
        <f>P2451/3</f>
      </c>
      <c r="L2451" s="115">
        <v>3.577</v>
      </c>
      <c r="M2451" s="116"/>
      <c r="N2451" s="117">
        <f>M2451-L2451</f>
      </c>
      <c r="O2451" s="112"/>
      <c r="P2451" s="118">
        <f>N2451+O2451</f>
      </c>
      <c r="Q2451" s="94" t="s">
        <v>834</v>
      </c>
      <c r="R2451" s="94" t="s">
        <v>63</v>
      </c>
      <c r="S2451" s="119">
        <v>46339</v>
      </c>
      <c r="T2451" s="119"/>
      <c r="U2451" s="119">
        <v>46339</v>
      </c>
      <c r="V2451" s="94"/>
      <c r="W2451" s="94"/>
      <c r="X2451" s="94"/>
      <c r="Y2451" s="119">
        <v>46343</v>
      </c>
      <c r="Z2451" s="94"/>
      <c r="AA2451" s="120"/>
      <c r="AB2451" s="120"/>
      <c r="AC2451" s="120"/>
      <c r="AD2451" s="120"/>
      <c r="AE2451" s="120"/>
      <c r="AF2451" s="120"/>
      <c r="AG2451" s="94"/>
      <c r="AH2451" s="120"/>
      <c r="AI2451" s="94"/>
      <c r="AJ2451" s="94" t="s">
        <v>834</v>
      </c>
      <c r="AK2451" s="94" t="s">
        <v>120</v>
      </c>
      <c r="AL2451" s="94">
        <v>150</v>
      </c>
      <c r="AM2451" s="94" t="str">
        <f>TRIM(AJ2451)&amp;TRIM(AL2451)&amp;TRIM(AK2451)</f>
      </c>
      <c r="AN2451" s="116">
        <v>0</v>
      </c>
      <c r="AO2451" s="116" t="inlineStr">
        <is>
          <t>#NA</t>
        </is>
      </c>
      <c r="AP2451" s="116">
        <f>SUMIFS(M:M,AM:AM,AM2451)+SUMIFS(O:O,AM:AM,AM2451)</f>
      </c>
      <c r="AQ2451" s="116">
        <f>SUMIFS(L:L,AM:AM,AM2451)</f>
      </c>
      <c r="AR2451" s="116">
        <f>AQ2451-AP2451</f>
      </c>
      <c r="AS2451" s="94" t="str">
        <f>IF(AN2451&gt;=AQ2451,"ok","ck")</f>
      </c>
      <c r="AT2451" s="116">
        <f>-P2451</f>
      </c>
      <c r="AU2451" s="115">
        <f>IF(SUMIFS(AT:AT,AM:AM,AM2451)&gt;AO2451,(SUMIFS(AT:AT,AM:AM,AM2451)-AO2451))</f>
      </c>
      <c r="AV2451" s="116">
        <v>0</v>
      </c>
      <c r="AW2451" s="121">
        <v>0</v>
      </c>
      <c r="AX2451" s="115">
        <f>AN2451-AP2451</f>
      </c>
    </row>
    <row r="2452" spans="1:50" ht="15" hidden="1" customHeight="1" x14ac:dyDescent="0.3">
      <c r="A2452" s="94" t="s">
        <v>76</v>
      </c>
      <c r="B2452" s="94"/>
      <c r="C2452" s="94"/>
      <c r="D2452" s="94"/>
      <c r="E2452" s="94"/>
      <c r="F2452" s="94"/>
      <c r="G2452" s="112">
        <f>AU2452</f>
      </c>
      <c r="H2452" s="113"/>
      <c r="I2452" s="94" t="s">
        <v>77</v>
      </c>
      <c r="J2452" s="94" t="s">
        <v>618</v>
      </c>
      <c r="K2452" s="114">
        <f>P2452/3</f>
      </c>
      <c r="L2452" s="115">
        <v>-2.2989999999999999</v>
      </c>
      <c r="M2452" s="116">
        <f>L2452</f>
      </c>
      <c r="N2452" s="117">
        <f>M2452-L2452</f>
      </c>
      <c r="O2452" s="112"/>
      <c r="P2452" s="118">
        <f>N2452+O2452</f>
      </c>
      <c r="Q2452" s="94" t="s">
        <v>834</v>
      </c>
      <c r="R2452" s="94" t="s">
        <v>63</v>
      </c>
      <c r="S2452" s="119">
        <v>46340</v>
      </c>
      <c r="T2452" s="119"/>
      <c r="U2452" s="119">
        <v>46340</v>
      </c>
      <c r="V2452" s="94"/>
      <c r="W2452" s="94"/>
      <c r="X2452" s="94"/>
      <c r="Y2452" s="119">
        <v>46340</v>
      </c>
      <c r="Z2452" s="94"/>
      <c r="AA2452" s="120"/>
      <c r="AB2452" s="120"/>
      <c r="AC2452" s="120"/>
      <c r="AD2452" s="120"/>
      <c r="AE2452" s="120"/>
      <c r="AF2452" s="120"/>
      <c r="AG2452" s="94"/>
      <c r="AH2452" s="120"/>
      <c r="AI2452" s="94"/>
      <c r="AJ2452" s="94" t="s">
        <v>834</v>
      </c>
      <c r="AK2452" s="94" t="s">
        <v>754</v>
      </c>
      <c r="AL2452" s="94">
        <v>150</v>
      </c>
      <c r="AM2452" s="94" t="str">
        <f>TRIM(AJ2452)&amp;TRIM(AL2452)&amp;TRIM(AK2452)</f>
      </c>
      <c r="AN2452" s="116">
        <v>334</v>
      </c>
      <c r="AO2452" s="116">
        <v>-1.47</v>
      </c>
      <c r="AP2452" s="116">
        <f>SUMIFS(M:M,AM:AM,AM2452)+SUMIFS(O:O,AM:AM,AM2452)</f>
      </c>
      <c r="AQ2452" s="116">
        <f>SUMIFS(L:L,AM:AM,AM2452)</f>
      </c>
      <c r="AR2452" s="116">
        <f>AQ2452-AP2452</f>
      </c>
      <c r="AS2452" s="94" t="str">
        <f>IF(AN2452&gt;=AQ2452,"ok","ck")</f>
      </c>
      <c r="AT2452" s="116">
        <f>-P2452</f>
      </c>
      <c r="AU2452" s="115">
        <f>IF(SUMIFS(AT:AT,AM:AM,AM2452)&gt;AO2452,(SUMIFS(AT:AT,AM:AM,AM2452)-AO2452))</f>
      </c>
      <c r="AV2452" s="116">
        <v>334</v>
      </c>
      <c r="AW2452" s="121">
        <v>1.004</v>
      </c>
      <c r="AX2452" s="115">
        <f>AN2452-AP2452</f>
      </c>
    </row>
    <row r="2453" spans="1:50" ht="15" hidden="1" customHeight="1" x14ac:dyDescent="0.3">
      <c r="A2453" s="94" t="s">
        <v>76</v>
      </c>
      <c r="B2453" s="94"/>
      <c r="C2453" s="94"/>
      <c r="D2453" s="94"/>
      <c r="E2453" s="94"/>
      <c r="F2453" s="94"/>
      <c r="G2453" s="112">
        <f>AU2453</f>
      </c>
      <c r="H2453" s="113"/>
      <c r="I2453" s="94" t="s">
        <v>77</v>
      </c>
      <c r="J2453" s="94" t="s">
        <v>618</v>
      </c>
      <c r="K2453" s="114">
        <f>P2453/3</f>
      </c>
      <c r="L2453" s="115">
        <v>-1.2E-2</v>
      </c>
      <c r="M2453" s="116">
        <f>L2453</f>
      </c>
      <c r="N2453" s="117">
        <f>M2453-L2453</f>
      </c>
      <c r="O2453" s="112"/>
      <c r="P2453" s="118">
        <f>N2453+O2453</f>
      </c>
      <c r="Q2453" s="94" t="s">
        <v>834</v>
      </c>
      <c r="R2453" s="94" t="s">
        <v>63</v>
      </c>
      <c r="S2453" s="119">
        <v>46341</v>
      </c>
      <c r="T2453" s="119"/>
      <c r="U2453" s="120">
        <v>46341</v>
      </c>
      <c r="V2453" s="94"/>
      <c r="W2453" s="94"/>
      <c r="X2453" s="94"/>
      <c r="Y2453" s="119">
        <v>46341</v>
      </c>
      <c r="Z2453" s="94"/>
      <c r="AA2453" s="120"/>
      <c r="AB2453" s="120"/>
      <c r="AC2453" s="120"/>
      <c r="AD2453" s="120"/>
      <c r="AE2453" s="120"/>
      <c r="AF2453" s="120"/>
      <c r="AG2453" s="94"/>
      <c r="AH2453" s="120"/>
      <c r="AI2453" s="94"/>
      <c r="AJ2453" s="94" t="s">
        <v>834</v>
      </c>
      <c r="AK2453" s="94" t="s">
        <v>754</v>
      </c>
      <c r="AL2453" s="94">
        <v>150</v>
      </c>
      <c r="AM2453" s="94" t="str">
        <f>TRIM(AJ2453)&amp;TRIM(AL2453)&amp;TRIM(AK2453)</f>
      </c>
      <c r="AN2453" s="116">
        <v>334</v>
      </c>
      <c r="AO2453" s="116">
        <v>-1.47</v>
      </c>
      <c r="AP2453" s="116">
        <f>SUMIFS(M:M,AM:AM,AM2453)+SUMIFS(O:O,AM:AM,AM2453)</f>
      </c>
      <c r="AQ2453" s="116">
        <f>SUMIFS(L:L,AM:AM,AM2453)</f>
      </c>
      <c r="AR2453" s="116">
        <f>AQ2453-AP2453</f>
      </c>
      <c r="AS2453" s="94" t="str">
        <f>IF(AN2453&gt;=AQ2453,"ok","ck")</f>
      </c>
      <c r="AT2453" s="116">
        <f>-P2453</f>
      </c>
      <c r="AU2453" s="115">
        <f>IF(SUMIFS(AT:AT,AM:AM,AM2453)&gt;AO2453,(SUMIFS(AT:AT,AM:AM,AM2453)-AO2453))</f>
      </c>
      <c r="AV2453" s="116">
        <v>334</v>
      </c>
      <c r="AW2453" s="121">
        <v>1.004</v>
      </c>
      <c r="AX2453" s="115">
        <f>AN2453-AP2453</f>
      </c>
    </row>
    <row r="2454" spans="1:50" ht="15" hidden="1" customHeight="1" x14ac:dyDescent="0.3">
      <c r="A2454" s="94" t="s">
        <v>76</v>
      </c>
      <c r="B2454" s="94"/>
      <c r="C2454" s="94"/>
      <c r="D2454" s="94"/>
      <c r="E2454" s="94"/>
      <c r="F2454" s="94"/>
      <c r="G2454" s="112">
        <f>AU2454</f>
      </c>
      <c r="H2454" s="113"/>
      <c r="I2454" s="94" t="s">
        <v>77</v>
      </c>
      <c r="J2454" s="94" t="s">
        <v>114</v>
      </c>
      <c r="K2454" s="114">
        <f>P2454/3</f>
      </c>
      <c r="L2454" s="115">
        <v>330.80200000000002</v>
      </c>
      <c r="M2454" s="116"/>
      <c r="N2454" s="117">
        <f>M2454-L2454</f>
      </c>
      <c r="O2454" s="112"/>
      <c r="P2454" s="118">
        <f>N2454+O2454</f>
      </c>
      <c r="Q2454" s="94" t="s">
        <v>834</v>
      </c>
      <c r="R2454" s="94" t="s">
        <v>63</v>
      </c>
      <c r="S2454" s="119">
        <v>46341</v>
      </c>
      <c r="T2454" s="119"/>
      <c r="U2454" s="119">
        <v>46341</v>
      </c>
      <c r="V2454" s="94"/>
      <c r="W2454" s="94"/>
      <c r="X2454" s="94"/>
      <c r="Y2454" s="119">
        <v>46337</v>
      </c>
      <c r="Z2454" s="94"/>
      <c r="AA2454" s="120"/>
      <c r="AB2454" s="120"/>
      <c r="AC2454" s="120"/>
      <c r="AD2454" s="120"/>
      <c r="AE2454" s="120"/>
      <c r="AF2454" s="120"/>
      <c r="AG2454" s="94"/>
      <c r="AH2454" s="120"/>
      <c r="AI2454" s="94"/>
      <c r="AJ2454" s="94" t="s">
        <v>834</v>
      </c>
      <c r="AK2454" s="94" t="s">
        <v>115</v>
      </c>
      <c r="AL2454" s="94">
        <v>150</v>
      </c>
      <c r="AM2454" s="94" t="str">
        <f>TRIM(AJ2454)&amp;TRIM(AL2454)&amp;TRIM(AK2454)</f>
      </c>
      <c r="AN2454" s="116">
        <v>0</v>
      </c>
      <c r="AO2454" s="116" t="inlineStr">
        <is>
          <t>#NA</t>
        </is>
      </c>
      <c r="AP2454" s="116">
        <f>SUMIFS(M:M,AM:AM,AM2454)+SUMIFS(O:O,AM:AM,AM2454)</f>
      </c>
      <c r="AQ2454" s="116">
        <f>SUMIFS(L:L,AM:AM,AM2454)</f>
      </c>
      <c r="AR2454" s="116">
        <f>AQ2454-AP2454</f>
      </c>
      <c r="AS2454" s="94" t="str">
        <f>IF(AN2454&gt;=AQ2454,"ok","ck")</f>
      </c>
      <c r="AT2454" s="116">
        <f>-P2454</f>
      </c>
      <c r="AU2454" s="115">
        <f>IF(SUMIFS(AT:AT,AM:AM,AM2454)&gt;AO2454,(SUMIFS(AT:AT,AM:AM,AM2454)-AO2454))</f>
      </c>
      <c r="AV2454" s="116">
        <v>0</v>
      </c>
      <c r="AW2454" s="121">
        <v>0</v>
      </c>
      <c r="AX2454" s="115">
        <f>AN2454-AP2454</f>
      </c>
    </row>
    <row r="2455" spans="1:50" ht="15" hidden="1" customHeight="1" x14ac:dyDescent="0.3">
      <c r="A2455" s="94" t="s">
        <v>151</v>
      </c>
      <c r="B2455" s="94"/>
      <c r="C2455" s="94"/>
      <c r="D2455" s="94"/>
      <c r="E2455" s="94"/>
      <c r="F2455" s="94"/>
      <c r="G2455" s="112">
        <f>AU2455</f>
      </c>
      <c r="H2455" s="113"/>
      <c r="I2455" s="94" t="s">
        <v>152</v>
      </c>
      <c r="J2455" s="94" t="s">
        <v>186</v>
      </c>
      <c r="K2455" s="114">
        <f>P2455/3</f>
      </c>
      <c r="L2455" s="115">
        <v>428.209</v>
      </c>
      <c r="M2455" s="116">
        <v>428.209</v>
      </c>
      <c r="N2455" s="117">
        <f>M2455-L2455</f>
      </c>
      <c r="O2455" s="112"/>
      <c r="P2455" s="118">
        <f>N2455+O2455</f>
      </c>
      <c r="Q2455" s="94" t="s">
        <v>185</v>
      </c>
      <c r="R2455" s="94" t="s">
        <v>63</v>
      </c>
      <c r="S2455" s="119">
        <v>46330</v>
      </c>
      <c r="T2455" s="119"/>
      <c r="U2455" s="119">
        <v>46330</v>
      </c>
      <c r="V2455" s="94"/>
      <c r="W2455" s="94"/>
      <c r="X2455" s="94"/>
      <c r="Y2455" s="119">
        <v>46327</v>
      </c>
      <c r="Z2455" s="94"/>
      <c r="AA2455" s="120"/>
      <c r="AB2455" s="120"/>
      <c r="AC2455" s="120"/>
      <c r="AD2455" s="120"/>
      <c r="AE2455" s="120"/>
      <c r="AF2455" s="120"/>
      <c r="AG2455" s="94"/>
      <c r="AH2455" s="120"/>
      <c r="AI2455" s="94"/>
      <c r="AJ2455" s="94" t="s">
        <v>185</v>
      </c>
      <c r="AK2455" s="94" t="s">
        <v>187</v>
      </c>
      <c r="AL2455" s="94">
        <v>160</v>
      </c>
      <c r="AM2455" s="94" t="str">
        <f>TRIM(AJ2455)&amp;TRIM(AL2455)&amp;TRIM(AK2455)</f>
      </c>
      <c r="AN2455" s="116">
        <v>6162.76</v>
      </c>
      <c r="AO2455" s="116">
        <v>152.24</v>
      </c>
      <c r="AP2455" s="116">
        <f>SUMIFS(M:M,AM:AM,AM2455)+SUMIFS(O:O,AM:AM,AM2455)</f>
      </c>
      <c r="AQ2455" s="116">
        <f>SUMIFS(L:L,AM:AM,AM2455)</f>
      </c>
      <c r="AR2455" s="116">
        <f>AQ2455-AP2455</f>
      </c>
      <c r="AS2455" s="94" t="str">
        <f>IF(AN2455&gt;=AQ2455,"ok","ck")</f>
      </c>
      <c r="AT2455" s="116">
        <f>-P2455</f>
      </c>
      <c r="AU2455" s="115">
        <f>IF(SUMIFS(AT:AT,AM:AM,AM2455)&gt;AO2455,(SUMIFS(AT:AT,AM:AM,AM2455)-AO2455))</f>
      </c>
      <c r="AV2455" s="116">
        <v>6162.76</v>
      </c>
      <c r="AW2455" s="121">
        <v>0.976</v>
      </c>
      <c r="AX2455" s="115">
        <f>AN2455-AP2455</f>
      </c>
    </row>
    <row r="2456" spans="1:50" ht="15" hidden="1" customHeight="1" x14ac:dyDescent="0.3">
      <c r="A2456" s="94" t="s">
        <v>151</v>
      </c>
      <c r="B2456" s="94"/>
      <c r="C2456" s="94"/>
      <c r="D2456" s="94"/>
      <c r="E2456" s="94"/>
      <c r="F2456" s="94"/>
      <c r="G2456" s="112">
        <f>AU2456</f>
      </c>
      <c r="H2456" s="113"/>
      <c r="I2456" s="94" t="s">
        <v>152</v>
      </c>
      <c r="J2456" s="94" t="s">
        <v>186</v>
      </c>
      <c r="K2456" s="114">
        <f>P2456/3</f>
      </c>
      <c r="L2456" s="115">
        <v>428.20800000000003</v>
      </c>
      <c r="M2456" s="116">
        <v>275.96800000000002</v>
      </c>
      <c r="N2456" s="117">
        <f>M2456-L2456</f>
      </c>
      <c r="O2456" s="112"/>
      <c r="P2456" s="118">
        <f>N2456+O2456</f>
      </c>
      <c r="Q2456" s="94" t="s">
        <v>185</v>
      </c>
      <c r="R2456" s="94" t="s">
        <v>63</v>
      </c>
      <c r="S2456" s="119">
        <v>46330</v>
      </c>
      <c r="T2456" s="119"/>
      <c r="U2456" s="119">
        <v>46330</v>
      </c>
      <c r="V2456" s="94"/>
      <c r="W2456" s="94"/>
      <c r="X2456" s="94"/>
      <c r="Y2456" s="119">
        <v>46330</v>
      </c>
      <c r="Z2456" s="94"/>
      <c r="AA2456" s="120"/>
      <c r="AB2456" s="120"/>
      <c r="AC2456" s="120"/>
      <c r="AD2456" s="120"/>
      <c r="AE2456" s="120"/>
      <c r="AF2456" s="120"/>
      <c r="AG2456" s="94"/>
      <c r="AH2456" s="120"/>
      <c r="AI2456" s="94"/>
      <c r="AJ2456" s="94" t="s">
        <v>185</v>
      </c>
      <c r="AK2456" s="94" t="s">
        <v>187</v>
      </c>
      <c r="AL2456" s="94">
        <v>160</v>
      </c>
      <c r="AM2456" s="94" t="str">
        <f>TRIM(AJ2456)&amp;TRIM(AL2456)&amp;TRIM(AK2456)</f>
      </c>
      <c r="AN2456" s="116">
        <v>6162.76</v>
      </c>
      <c r="AO2456" s="116">
        <v>152.24</v>
      </c>
      <c r="AP2456" s="116">
        <f>SUMIFS(M:M,AM:AM,AM2456)+SUMIFS(O:O,AM:AM,AM2456)</f>
      </c>
      <c r="AQ2456" s="116">
        <f>SUMIFS(L:L,AM:AM,AM2456)</f>
      </c>
      <c r="AR2456" s="116">
        <f>AQ2456-AP2456</f>
      </c>
      <c r="AS2456" s="94" t="str">
        <f>IF(AN2456&gt;=AQ2456,"ok","ck")</f>
      </c>
      <c r="AT2456" s="116">
        <f>-P2456</f>
      </c>
      <c r="AU2456" s="115">
        <f>IF(SUMIFS(AT:AT,AM:AM,AM2456)&gt;AO2456,(SUMIFS(AT:AT,AM:AM,AM2456)-AO2456))</f>
      </c>
      <c r="AV2456" s="116">
        <v>6162.76</v>
      </c>
      <c r="AW2456" s="121">
        <v>0.976</v>
      </c>
      <c r="AX2456" s="115">
        <f>AN2456-AP2456</f>
      </c>
    </row>
    <row r="2457" spans="1:50" ht="15" hidden="1" customHeight="1" x14ac:dyDescent="0.3">
      <c r="A2457" s="94" t="s">
        <v>151</v>
      </c>
      <c r="B2457" s="94"/>
      <c r="C2457" s="94"/>
      <c r="D2457" s="94"/>
      <c r="E2457" s="94"/>
      <c r="F2457" s="94"/>
      <c r="G2457" s="112">
        <f>AU2457</f>
      </c>
      <c r="H2457" s="113"/>
      <c r="I2457" s="94" t="s">
        <v>209</v>
      </c>
      <c r="J2457" s="94" t="s">
        <v>156</v>
      </c>
      <c r="K2457" s="114">
        <f>P2457/3</f>
      </c>
      <c r="L2457" s="115">
        <v>17.3</v>
      </c>
      <c r="M2457" s="116">
        <f>L2457</f>
      </c>
      <c r="N2457" s="117">
        <f>M2457-L2457</f>
      </c>
      <c r="O2457" s="112"/>
      <c r="P2457" s="118">
        <f>N2457+O2457</f>
      </c>
      <c r="Q2457" s="94" t="s">
        <v>840</v>
      </c>
      <c r="R2457" s="94" t="s">
        <v>63</v>
      </c>
      <c r="S2457" s="119">
        <v>46336</v>
      </c>
      <c r="T2457" s="119"/>
      <c r="U2457" s="119">
        <v>46336</v>
      </c>
      <c r="V2457" s="94"/>
      <c r="W2457" s="94"/>
      <c r="X2457" s="94"/>
      <c r="Y2457" s="119">
        <v>46336</v>
      </c>
      <c r="Z2457" s="94"/>
      <c r="AA2457" s="120"/>
      <c r="AB2457" s="120"/>
      <c r="AC2457" s="120"/>
      <c r="AD2457" s="120"/>
      <c r="AE2457" s="120"/>
      <c r="AF2457" s="120"/>
      <c r="AG2457" s="94"/>
      <c r="AH2457" s="120"/>
      <c r="AI2457" s="94"/>
      <c r="AJ2457" s="94" t="s">
        <v>840</v>
      </c>
      <c r="AK2457" s="94" t="s">
        <v>162</v>
      </c>
      <c r="AL2457" s="94">
        <v>160</v>
      </c>
      <c r="AM2457" s="94" t="str">
        <f>TRIM(AJ2457)&amp;TRIM(AL2457)&amp;TRIM(AK2457)</f>
      </c>
      <c r="AN2457" s="116">
        <v>829.7</v>
      </c>
      <c r="AO2457" s="116">
        <v>17.3</v>
      </c>
      <c r="AP2457" s="116">
        <f>SUMIFS(M:M,AM:AM,AM2457)+SUMIFS(O:O,AM:AM,AM2457)</f>
      </c>
      <c r="AQ2457" s="116">
        <f>SUMIFS(L:L,AM:AM,AM2457)</f>
      </c>
      <c r="AR2457" s="116">
        <f>AQ2457-AP2457</f>
      </c>
      <c r="AS2457" s="94" t="str">
        <f>IF(AN2457&gt;=AQ2457,"ok","ck")</f>
      </c>
      <c r="AT2457" s="116">
        <f>-P2457</f>
      </c>
      <c r="AU2457" s="115">
        <f>IF(SUMIFS(AT:AT,AM:AM,AM2457)&gt;AO2457,(SUMIFS(AT:AT,AM:AM,AM2457)-AO2457))</f>
      </c>
      <c r="AV2457" s="116">
        <v>829.7</v>
      </c>
      <c r="AW2457" s="121">
        <v>0.98</v>
      </c>
      <c r="AX2457" s="115">
        <f>AN2457-AP2457</f>
      </c>
    </row>
    <row r="2458" spans="1:50" ht="15" hidden="1" customHeight="1" x14ac:dyDescent="0.3">
      <c r="A2458" s="94" t="s">
        <v>151</v>
      </c>
      <c r="B2458" s="94"/>
      <c r="C2458" s="94"/>
      <c r="D2458" s="94"/>
      <c r="E2458" s="94"/>
      <c r="F2458" s="94"/>
      <c r="G2458" s="112">
        <f>AU2458</f>
      </c>
      <c r="H2458" s="113"/>
      <c r="I2458" s="94" t="s">
        <v>209</v>
      </c>
      <c r="J2458" s="94" t="s">
        <v>114</v>
      </c>
      <c r="K2458" s="114">
        <f>P2458/3</f>
      </c>
      <c r="L2458" s="115">
        <v>138.63999999999999</v>
      </c>
      <c r="M2458" s="116"/>
      <c r="N2458" s="117">
        <f>M2458-L2458</f>
      </c>
      <c r="O2458" s="112"/>
      <c r="P2458" s="118">
        <f>N2458+O2458</f>
      </c>
      <c r="Q2458" s="94" t="s">
        <v>840</v>
      </c>
      <c r="R2458" s="94" t="s">
        <v>63</v>
      </c>
      <c r="S2458" s="119">
        <v>46342</v>
      </c>
      <c r="T2458" s="119"/>
      <c r="U2458" s="119">
        <v>46342</v>
      </c>
      <c r="V2458" s="94"/>
      <c r="W2458" s="94"/>
      <c r="X2458" s="94"/>
      <c r="Y2458" s="119">
        <v>46342</v>
      </c>
      <c r="Z2458" s="94"/>
      <c r="AA2458" s="120"/>
      <c r="AB2458" s="120"/>
      <c r="AC2458" s="120"/>
      <c r="AD2458" s="120"/>
      <c r="AE2458" s="120"/>
      <c r="AF2458" s="120"/>
      <c r="AG2458" s="94"/>
      <c r="AH2458" s="120"/>
      <c r="AI2458" s="94"/>
      <c r="AJ2458" s="94" t="s">
        <v>840</v>
      </c>
      <c r="AK2458" s="94" t="s">
        <v>227</v>
      </c>
      <c r="AL2458" s="94">
        <v>160</v>
      </c>
      <c r="AM2458" s="94" t="str">
        <f>TRIM(AJ2458)&amp;TRIM(AL2458)&amp;TRIM(AK2458)</f>
      </c>
      <c r="AN2458" s="116">
        <v>864</v>
      </c>
      <c r="AO2458" s="116">
        <v>139</v>
      </c>
      <c r="AP2458" s="116">
        <f>SUMIFS(M:M,AM:AM,AM2458)+SUMIFS(O:O,AM:AM,AM2458)</f>
      </c>
      <c r="AQ2458" s="116">
        <f>SUMIFS(L:L,AM:AM,AM2458)</f>
      </c>
      <c r="AR2458" s="116">
        <f>AQ2458-AP2458</f>
      </c>
      <c r="AS2458" s="94" t="str">
        <f>IF(AN2458&gt;=AQ2458,"ok","ck")</f>
      </c>
      <c r="AT2458" s="116">
        <f>-P2458</f>
      </c>
      <c r="AU2458" s="115">
        <f>IF(SUMIFS(AT:AT,AM:AM,AM2458)&gt;AO2458,(SUMIFS(AT:AT,AM:AM,AM2458)-AO2458))</f>
      </c>
      <c r="AV2458" s="116">
        <v>864</v>
      </c>
      <c r="AW2458" s="121">
        <v>0.861</v>
      </c>
      <c r="AX2458" s="115">
        <f>AN2458-AP2458</f>
      </c>
    </row>
    <row r="2459" spans="1:50" ht="15" hidden="1" customHeight="1" x14ac:dyDescent="0.3">
      <c r="A2459" s="94" t="s">
        <v>76</v>
      </c>
      <c r="B2459" s="94"/>
      <c r="C2459" s="94"/>
      <c r="D2459" s="94"/>
      <c r="E2459" s="94"/>
      <c r="F2459" s="94"/>
      <c r="G2459" s="112">
        <f>AU2459</f>
      </c>
      <c r="H2459" s="113"/>
      <c r="I2459" s="94" t="s">
        <v>77</v>
      </c>
      <c r="J2459" s="94" t="s">
        <v>90</v>
      </c>
      <c r="K2459" s="114">
        <f>P2459/3</f>
      </c>
      <c r="L2459" s="115">
        <v>-4.0519999999999996</v>
      </c>
      <c r="M2459" s="116">
        <f>L2459</f>
      </c>
      <c r="N2459" s="117">
        <f>M2459-L2459</f>
      </c>
      <c r="O2459" s="112"/>
      <c r="P2459" s="118">
        <f>N2459+O2459</f>
      </c>
      <c r="Q2459" s="94" t="s">
        <v>112</v>
      </c>
      <c r="R2459" s="94" t="s">
        <v>63</v>
      </c>
      <c r="S2459" s="119">
        <v>46320</v>
      </c>
      <c r="T2459" s="119"/>
      <c r="U2459" s="119">
        <v>46320</v>
      </c>
      <c r="V2459" s="94"/>
      <c r="W2459" s="94"/>
      <c r="X2459" s="94"/>
      <c r="Y2459" s="119">
        <v>46320</v>
      </c>
      <c r="Z2459" s="94"/>
      <c r="AA2459" s="120"/>
      <c r="AB2459" s="120"/>
      <c r="AC2459" s="120"/>
      <c r="AD2459" s="120"/>
      <c r="AE2459" s="120"/>
      <c r="AF2459" s="120"/>
      <c r="AG2459" s="94"/>
      <c r="AH2459" s="120"/>
      <c r="AI2459" s="94"/>
      <c r="AJ2459" s="94" t="s">
        <v>112</v>
      </c>
      <c r="AK2459" s="94" t="s">
        <v>91</v>
      </c>
      <c r="AL2459" s="94">
        <v>150</v>
      </c>
      <c r="AM2459" s="94" t="str">
        <f>TRIM(AJ2459)&amp;TRIM(AL2459)&amp;TRIM(AK2459)</f>
      </c>
      <c r="AN2459" s="116">
        <v>1129.04</v>
      </c>
      <c r="AO2459" s="116">
        <v>-22.14</v>
      </c>
      <c r="AP2459" s="116">
        <f>SUMIFS(M:M,AM:AM,AM2459)+SUMIFS(O:O,AM:AM,AM2459)</f>
      </c>
      <c r="AQ2459" s="116">
        <f>SUMIFS(L:L,AM:AM,AM2459)</f>
      </c>
      <c r="AR2459" s="116">
        <f>AQ2459-AP2459</f>
      </c>
      <c r="AS2459" s="94" t="str">
        <f>IF(AN2459&gt;=AQ2459,"ok","ck")</f>
      </c>
      <c r="AT2459" s="116">
        <f>-P2459</f>
      </c>
      <c r="AU2459" s="115">
        <f>IF(SUMIFS(AT:AT,AM:AM,AM2459)&gt;AO2459,(SUMIFS(AT:AT,AM:AM,AM2459)-AO2459))</f>
      </c>
      <c r="AV2459" s="116">
        <v>1129.04</v>
      </c>
      <c r="AW2459" s="121">
        <v>1.02</v>
      </c>
      <c r="AX2459" s="115">
        <f>AN2459-AP2459</f>
      </c>
    </row>
    <row r="2460" spans="1:50" ht="15" hidden="1" customHeight="1" x14ac:dyDescent="0.3">
      <c r="A2460" s="94" t="s">
        <v>76</v>
      </c>
      <c r="B2460" s="94"/>
      <c r="C2460" s="94"/>
      <c r="D2460" s="94"/>
      <c r="E2460" s="94"/>
      <c r="F2460" s="94"/>
      <c r="G2460" s="112">
        <f>AU2460</f>
      </c>
      <c r="H2460" s="113"/>
      <c r="I2460" s="94" t="s">
        <v>77</v>
      </c>
      <c r="J2460" s="94" t="s">
        <v>90</v>
      </c>
      <c r="K2460" s="114">
        <f>P2460/3</f>
      </c>
      <c r="L2460" s="115">
        <v>-3.5000000000000003E-2</v>
      </c>
      <c r="M2460" s="116">
        <f>L2460</f>
      </c>
      <c r="N2460" s="117">
        <f>M2460-L2460</f>
      </c>
      <c r="O2460" s="112"/>
      <c r="P2460" s="118">
        <f>N2460+O2460</f>
      </c>
      <c r="Q2460" s="94" t="s">
        <v>112</v>
      </c>
      <c r="R2460" s="94" t="s">
        <v>63</v>
      </c>
      <c r="S2460" s="119">
        <v>46320</v>
      </c>
      <c r="T2460" s="119"/>
      <c r="U2460" s="119">
        <v>46320</v>
      </c>
      <c r="V2460" s="94"/>
      <c r="W2460" s="94"/>
      <c r="X2460" s="94"/>
      <c r="Y2460" s="119">
        <v>46320</v>
      </c>
      <c r="Z2460" s="94"/>
      <c r="AA2460" s="120"/>
      <c r="AB2460" s="120"/>
      <c r="AC2460" s="120"/>
      <c r="AD2460" s="120"/>
      <c r="AE2460" s="120"/>
      <c r="AF2460" s="120"/>
      <c r="AG2460" s="94"/>
      <c r="AH2460" s="120"/>
      <c r="AI2460" s="94"/>
      <c r="AJ2460" s="94" t="s">
        <v>112</v>
      </c>
      <c r="AK2460" s="94" t="s">
        <v>91</v>
      </c>
      <c r="AL2460" s="94">
        <v>150</v>
      </c>
      <c r="AM2460" s="94" t="str">
        <f>TRIM(AJ2460)&amp;TRIM(AL2460)&amp;TRIM(AK2460)</f>
      </c>
      <c r="AN2460" s="116">
        <v>1129.04</v>
      </c>
      <c r="AO2460" s="116">
        <v>-22.14</v>
      </c>
      <c r="AP2460" s="116">
        <f>SUMIFS(M:M,AM:AM,AM2460)+SUMIFS(O:O,AM:AM,AM2460)</f>
      </c>
      <c r="AQ2460" s="116">
        <f>SUMIFS(L:L,AM:AM,AM2460)</f>
      </c>
      <c r="AR2460" s="116">
        <f>AQ2460-AP2460</f>
      </c>
      <c r="AS2460" s="94" t="str">
        <f>IF(AN2460&gt;=AQ2460,"ok","ck")</f>
      </c>
      <c r="AT2460" s="116">
        <f>-P2460</f>
      </c>
      <c r="AU2460" s="115">
        <f>IF(SUMIFS(AT:AT,AM:AM,AM2460)&gt;AO2460,(SUMIFS(AT:AT,AM:AM,AM2460)-AO2460))</f>
      </c>
      <c r="AV2460" s="116">
        <v>1129.04</v>
      </c>
      <c r="AW2460" s="121">
        <v>1.02</v>
      </c>
      <c r="AX2460" s="115">
        <f>AN2460-AP2460</f>
      </c>
    </row>
    <row r="2461" spans="1:50" ht="15" hidden="1" customHeight="1" x14ac:dyDescent="0.3">
      <c r="A2461" s="94" t="s">
        <v>76</v>
      </c>
      <c r="B2461" s="94"/>
      <c r="C2461" s="94"/>
      <c r="D2461" s="94"/>
      <c r="E2461" s="94"/>
      <c r="F2461" s="94"/>
      <c r="G2461" s="112">
        <f>AU2461</f>
      </c>
      <c r="H2461" s="113"/>
      <c r="I2461" s="94" t="s">
        <v>77</v>
      </c>
      <c r="J2461" s="94" t="s">
        <v>90</v>
      </c>
      <c r="K2461" s="114">
        <f>P2461/3</f>
      </c>
      <c r="L2461" s="115">
        <v>-10.833</v>
      </c>
      <c r="M2461" s="116">
        <f>L2461</f>
      </c>
      <c r="N2461" s="117">
        <f>M2461-L2461</f>
      </c>
      <c r="O2461" s="112"/>
      <c r="P2461" s="118">
        <f>N2461+O2461</f>
      </c>
      <c r="Q2461" s="94" t="s">
        <v>112</v>
      </c>
      <c r="R2461" s="94" t="s">
        <v>63</v>
      </c>
      <c r="S2461" s="119">
        <v>46329</v>
      </c>
      <c r="T2461" s="119"/>
      <c r="U2461" s="119">
        <v>46329</v>
      </c>
      <c r="V2461" s="94"/>
      <c r="W2461" s="94"/>
      <c r="X2461" s="94"/>
      <c r="Y2461" s="119">
        <v>46329</v>
      </c>
      <c r="Z2461" s="94"/>
      <c r="AA2461" s="120"/>
      <c r="AB2461" s="120"/>
      <c r="AC2461" s="120"/>
      <c r="AD2461" s="120"/>
      <c r="AE2461" s="120"/>
      <c r="AF2461" s="120"/>
      <c r="AG2461" s="94"/>
      <c r="AH2461" s="120"/>
      <c r="AI2461" s="94"/>
      <c r="AJ2461" s="94" t="s">
        <v>112</v>
      </c>
      <c r="AK2461" s="94" t="s">
        <v>91</v>
      </c>
      <c r="AL2461" s="94">
        <v>150</v>
      </c>
      <c r="AM2461" s="94" t="str">
        <f>TRIM(AJ2461)&amp;TRIM(AL2461)&amp;TRIM(AK2461)</f>
      </c>
      <c r="AN2461" s="116">
        <v>1129.04</v>
      </c>
      <c r="AO2461" s="116">
        <v>-22.14</v>
      </c>
      <c r="AP2461" s="116">
        <f>SUMIFS(M:M,AM:AM,AM2461)+SUMIFS(O:O,AM:AM,AM2461)</f>
      </c>
      <c r="AQ2461" s="116">
        <f>SUMIFS(L:L,AM:AM,AM2461)</f>
      </c>
      <c r="AR2461" s="116">
        <f>AQ2461-AP2461</f>
      </c>
      <c r="AS2461" s="94" t="str">
        <f>IF(AN2461&gt;=AQ2461,"ok","ck")</f>
      </c>
      <c r="AT2461" s="116">
        <f>-P2461</f>
      </c>
      <c r="AU2461" s="115">
        <f>IF(SUMIFS(AT:AT,AM:AM,AM2461)&gt;AO2461,(SUMIFS(AT:AT,AM:AM,AM2461)-AO2461))</f>
      </c>
      <c r="AV2461" s="116">
        <v>1129.04</v>
      </c>
      <c r="AW2461" s="121">
        <v>1.02</v>
      </c>
      <c r="AX2461" s="115">
        <f>AN2461-AP2461</f>
      </c>
    </row>
    <row r="2462" spans="1:50" ht="15" hidden="1" customHeight="1" x14ac:dyDescent="0.3">
      <c r="A2462" s="94" t="s">
        <v>76</v>
      </c>
      <c r="B2462" s="94"/>
      <c r="C2462" s="94"/>
      <c r="D2462" s="94"/>
      <c r="E2462" s="94"/>
      <c r="F2462" s="94"/>
      <c r="G2462" s="112">
        <f>AU2462</f>
      </c>
      <c r="H2462" s="113"/>
      <c r="I2462" s="94" t="s">
        <v>77</v>
      </c>
      <c r="J2462" s="94" t="s">
        <v>90</v>
      </c>
      <c r="K2462" s="114">
        <f>P2462/3</f>
      </c>
      <c r="L2462" s="115">
        <v>-6.6000000000000003E-2</v>
      </c>
      <c r="M2462" s="116">
        <f>L2462</f>
      </c>
      <c r="N2462" s="117">
        <f>M2462-L2462</f>
      </c>
      <c r="O2462" s="112"/>
      <c r="P2462" s="118">
        <f>N2462+O2462</f>
      </c>
      <c r="Q2462" s="94" t="s">
        <v>112</v>
      </c>
      <c r="R2462" s="94" t="s">
        <v>63</v>
      </c>
      <c r="S2462" s="119">
        <v>46333</v>
      </c>
      <c r="T2462" s="119"/>
      <c r="U2462" s="119">
        <v>46333</v>
      </c>
      <c r="V2462" s="94"/>
      <c r="W2462" s="94"/>
      <c r="X2462" s="94"/>
      <c r="Y2462" s="119">
        <v>46333</v>
      </c>
      <c r="Z2462" s="94"/>
      <c r="AA2462" s="120"/>
      <c r="AB2462" s="120"/>
      <c r="AC2462" s="120"/>
      <c r="AD2462" s="120"/>
      <c r="AE2462" s="120"/>
      <c r="AF2462" s="120"/>
      <c r="AG2462" s="94"/>
      <c r="AH2462" s="120"/>
      <c r="AI2462" s="94"/>
      <c r="AJ2462" s="94" t="s">
        <v>112</v>
      </c>
      <c r="AK2462" s="94" t="s">
        <v>91</v>
      </c>
      <c r="AL2462" s="94">
        <v>150</v>
      </c>
      <c r="AM2462" s="94" t="str">
        <f>TRIM(AJ2462)&amp;TRIM(AL2462)&amp;TRIM(AK2462)</f>
      </c>
      <c r="AN2462" s="116">
        <v>1129.04</v>
      </c>
      <c r="AO2462" s="116">
        <v>-22.14</v>
      </c>
      <c r="AP2462" s="116">
        <f>SUMIFS(M:M,AM:AM,AM2462)+SUMIFS(O:O,AM:AM,AM2462)</f>
      </c>
      <c r="AQ2462" s="116">
        <f>SUMIFS(L:L,AM:AM,AM2462)</f>
      </c>
      <c r="AR2462" s="116">
        <f>AQ2462-AP2462</f>
      </c>
      <c r="AS2462" s="94" t="str">
        <f>IF(AN2462&gt;=AQ2462,"ok","ck")</f>
      </c>
      <c r="AT2462" s="116">
        <f>-P2462</f>
      </c>
      <c r="AU2462" s="115">
        <f>IF(SUMIFS(AT:AT,AM:AM,AM2462)&gt;AO2462,(SUMIFS(AT:AT,AM:AM,AM2462)-AO2462))</f>
      </c>
      <c r="AV2462" s="116">
        <v>1129.04</v>
      </c>
      <c r="AW2462" s="121">
        <v>1.02</v>
      </c>
      <c r="AX2462" s="115">
        <f>AN2462-AP2462</f>
      </c>
    </row>
    <row r="2463" spans="1:50" ht="15" hidden="1" customHeight="1" x14ac:dyDescent="0.3">
      <c r="A2463" s="94" t="s">
        <v>76</v>
      </c>
      <c r="B2463" s="94"/>
      <c r="C2463" s="94"/>
      <c r="D2463" s="94"/>
      <c r="E2463" s="94"/>
      <c r="F2463" s="94"/>
      <c r="G2463" s="112">
        <f>AU2463</f>
      </c>
      <c r="H2463" s="113"/>
      <c r="I2463" s="94" t="s">
        <v>77</v>
      </c>
      <c r="J2463" s="94" t="s">
        <v>90</v>
      </c>
      <c r="K2463" s="114">
        <f>P2463/3</f>
      </c>
      <c r="L2463" s="115">
        <v>-7.0739999999999998</v>
      </c>
      <c r="M2463" s="116">
        <f>L2463</f>
      </c>
      <c r="N2463" s="117">
        <f>M2463-L2463</f>
      </c>
      <c r="O2463" s="112"/>
      <c r="P2463" s="118">
        <f>N2463+O2463</f>
      </c>
      <c r="Q2463" s="94" t="s">
        <v>112</v>
      </c>
      <c r="R2463" s="94" t="s">
        <v>63</v>
      </c>
      <c r="S2463" s="119">
        <v>46329</v>
      </c>
      <c r="T2463" s="119"/>
      <c r="U2463" s="120">
        <v>46329</v>
      </c>
      <c r="V2463" s="94"/>
      <c r="W2463" s="94"/>
      <c r="X2463" s="94"/>
      <c r="Y2463" s="119">
        <v>46329</v>
      </c>
      <c r="Z2463" s="94"/>
      <c r="AA2463" s="120"/>
      <c r="AB2463" s="120"/>
      <c r="AC2463" s="120"/>
      <c r="AD2463" s="120"/>
      <c r="AE2463" s="120"/>
      <c r="AF2463" s="120"/>
      <c r="AG2463" s="94"/>
      <c r="AH2463" s="120"/>
      <c r="AI2463" s="94"/>
      <c r="AJ2463" s="94" t="s">
        <v>112</v>
      </c>
      <c r="AK2463" s="94" t="s">
        <v>91</v>
      </c>
      <c r="AL2463" s="94">
        <v>150</v>
      </c>
      <c r="AM2463" s="94" t="str">
        <f>TRIM(AJ2463)&amp;TRIM(AL2463)&amp;TRIM(AK2463)</f>
      </c>
      <c r="AN2463" s="116">
        <v>1129.04</v>
      </c>
      <c r="AO2463" s="116">
        <v>-22.14</v>
      </c>
      <c r="AP2463" s="116">
        <f>SUMIFS(M:M,AM:AM,AM2463)+SUMIFS(O:O,AM:AM,AM2463)</f>
      </c>
      <c r="AQ2463" s="116">
        <f>SUMIFS(L:L,AM:AM,AM2463)</f>
      </c>
      <c r="AR2463" s="116">
        <f>AQ2463-AP2463</f>
      </c>
      <c r="AS2463" s="94" t="str">
        <f>IF(AN2463&gt;=AQ2463,"ok","ck")</f>
      </c>
      <c r="AT2463" s="116">
        <f>-P2463</f>
      </c>
      <c r="AU2463" s="115">
        <f>IF(SUMIFS(AT:AT,AM:AM,AM2463)&gt;AO2463,(SUMIFS(AT:AT,AM:AM,AM2463)-AO2463))</f>
      </c>
      <c r="AV2463" s="116">
        <v>1129.04</v>
      </c>
      <c r="AW2463" s="121">
        <v>1.02</v>
      </c>
      <c r="AX2463" s="115">
        <f>AN2463-AP2463</f>
      </c>
    </row>
    <row r="2464" spans="1:50" ht="15" hidden="1" customHeight="1" x14ac:dyDescent="0.3">
      <c r="A2464" s="94" t="s">
        <v>76</v>
      </c>
      <c r="B2464" s="94"/>
      <c r="C2464" s="94"/>
      <c r="D2464" s="94"/>
      <c r="E2464" s="94"/>
      <c r="F2464" s="94"/>
      <c r="G2464" s="112">
        <f>AU2464</f>
      </c>
      <c r="H2464" s="113"/>
      <c r="I2464" s="94" t="s">
        <v>77</v>
      </c>
      <c r="J2464" s="94" t="s">
        <v>90</v>
      </c>
      <c r="K2464" s="114">
        <f>P2464/3</f>
      </c>
      <c r="L2464" s="115">
        <v>-3.5000000000000003E-2</v>
      </c>
      <c r="M2464" s="116">
        <f>L2464</f>
      </c>
      <c r="N2464" s="117">
        <f>M2464-L2464</f>
      </c>
      <c r="O2464" s="112"/>
      <c r="P2464" s="118">
        <f>N2464+O2464</f>
      </c>
      <c r="Q2464" s="94" t="s">
        <v>112</v>
      </c>
      <c r="R2464" s="94" t="s">
        <v>63</v>
      </c>
      <c r="S2464" s="119">
        <v>46333</v>
      </c>
      <c r="T2464" s="119"/>
      <c r="U2464" s="119">
        <v>46333</v>
      </c>
      <c r="V2464" s="94"/>
      <c r="W2464" s="94"/>
      <c r="X2464" s="94"/>
      <c r="Y2464" s="119">
        <v>46333</v>
      </c>
      <c r="Z2464" s="94"/>
      <c r="AA2464" s="120"/>
      <c r="AB2464" s="120"/>
      <c r="AC2464" s="120"/>
      <c r="AD2464" s="120"/>
      <c r="AE2464" s="120"/>
      <c r="AF2464" s="120"/>
      <c r="AG2464" s="94"/>
      <c r="AH2464" s="120"/>
      <c r="AI2464" s="94"/>
      <c r="AJ2464" s="94" t="s">
        <v>112</v>
      </c>
      <c r="AK2464" s="94" t="s">
        <v>91</v>
      </c>
      <c r="AL2464" s="94">
        <v>150</v>
      </c>
      <c r="AM2464" s="94" t="str">
        <f>TRIM(AJ2464)&amp;TRIM(AL2464)&amp;TRIM(AK2464)</f>
      </c>
      <c r="AN2464" s="116">
        <v>1129.04</v>
      </c>
      <c r="AO2464" s="116">
        <v>-22.14</v>
      </c>
      <c r="AP2464" s="116">
        <f>SUMIFS(M:M,AM:AM,AM2464)+SUMIFS(O:O,AM:AM,AM2464)</f>
      </c>
      <c r="AQ2464" s="116">
        <f>SUMIFS(L:L,AM:AM,AM2464)</f>
      </c>
      <c r="AR2464" s="116">
        <f>AQ2464-AP2464</f>
      </c>
      <c r="AS2464" s="94" t="str">
        <f>IF(AN2464&gt;=AQ2464,"ok","ck")</f>
      </c>
      <c r="AT2464" s="116">
        <f>-P2464</f>
      </c>
      <c r="AU2464" s="115">
        <f>IF(SUMIFS(AT:AT,AM:AM,AM2464)&gt;AO2464,(SUMIFS(AT:AT,AM:AM,AM2464)-AO2464))</f>
      </c>
      <c r="AV2464" s="116">
        <v>1129.04</v>
      </c>
      <c r="AW2464" s="121">
        <v>1.02</v>
      </c>
      <c r="AX2464" s="115">
        <f>AN2464-AP2464</f>
      </c>
    </row>
    <row r="2465" spans="1:50" ht="15" hidden="1" customHeight="1" x14ac:dyDescent="0.3">
      <c r="A2465" s="94" t="s">
        <v>151</v>
      </c>
      <c r="B2465" s="94"/>
      <c r="C2465" s="94"/>
      <c r="D2465" s="94"/>
      <c r="E2465" s="94"/>
      <c r="F2465" s="94"/>
      <c r="G2465" s="112">
        <f>AU2465</f>
      </c>
      <c r="H2465" s="113"/>
      <c r="I2465" s="94" t="s">
        <v>495</v>
      </c>
      <c r="J2465" s="94" t="s">
        <v>619</v>
      </c>
      <c r="K2465" s="114">
        <f>P2465/3</f>
      </c>
      <c r="L2465" s="115">
        <v>50</v>
      </c>
      <c r="M2465" s="116"/>
      <c r="N2465" s="117">
        <f>M2465-L2465</f>
      </c>
      <c r="O2465" s="112"/>
      <c r="P2465" s="118">
        <f>N2465+O2465</f>
      </c>
      <c r="Q2465" s="94" t="s">
        <v>835</v>
      </c>
      <c r="R2465" s="94" t="s">
        <v>63</v>
      </c>
      <c r="S2465" s="119">
        <v>46334</v>
      </c>
      <c r="T2465" s="119"/>
      <c r="U2465" s="120">
        <v>46334</v>
      </c>
      <c r="V2465" s="94"/>
      <c r="W2465" s="94"/>
      <c r="X2465" s="94"/>
      <c r="Y2465" s="119">
        <v>46326</v>
      </c>
      <c r="Z2465" s="94"/>
      <c r="AA2465" s="120"/>
      <c r="AB2465" s="120"/>
      <c r="AC2465" s="120"/>
      <c r="AD2465" s="120"/>
      <c r="AE2465" s="120"/>
      <c r="AF2465" s="120"/>
      <c r="AG2465" s="94"/>
      <c r="AH2465" s="120"/>
      <c r="AI2465" s="94"/>
      <c r="AJ2465" s="94" t="s">
        <v>835</v>
      </c>
      <c r="AK2465" s="94" t="s">
        <v>619</v>
      </c>
      <c r="AL2465" s="94">
        <v>160</v>
      </c>
      <c r="AM2465" s="94" t="str">
        <f>TRIM(AJ2465)&amp;TRIM(AL2465)&amp;TRIM(AK2465)</f>
      </c>
      <c r="AN2465" s="116">
        <v>0</v>
      </c>
      <c r="AO2465" s="116" t="inlineStr">
        <is>
          <t>#NA</t>
        </is>
      </c>
      <c r="AP2465" s="116">
        <f>SUMIFS(M:M,AM:AM,AM2465)+SUMIFS(O:O,AM:AM,AM2465)</f>
      </c>
      <c r="AQ2465" s="116">
        <f>SUMIFS(L:L,AM:AM,AM2465)</f>
      </c>
      <c r="AR2465" s="116">
        <f>AQ2465-AP2465</f>
      </c>
      <c r="AS2465" s="94" t="str">
        <f>IF(AN2465&gt;=AQ2465,"ok","ck")</f>
      </c>
      <c r="AT2465" s="116">
        <f>-P2465</f>
      </c>
      <c r="AU2465" s="115">
        <f>IF(SUMIFS(AT:AT,AM:AM,AM2465)&gt;AO2465,(SUMIFS(AT:AT,AM:AM,AM2465)-AO2465))</f>
      </c>
      <c r="AV2465" s="116">
        <v>0</v>
      </c>
      <c r="AW2465" s="121">
        <v>0</v>
      </c>
      <c r="AX2465" s="115">
        <f>AN2465-AP2465</f>
      </c>
    </row>
    <row r="2466" spans="1:50" ht="15" hidden="1" customHeight="1" x14ac:dyDescent="0.3">
      <c r="A2466" s="94" t="s">
        <v>151</v>
      </c>
      <c r="B2466" s="94"/>
      <c r="C2466" s="94"/>
      <c r="D2466" s="94"/>
      <c r="E2466" s="94"/>
      <c r="F2466" s="94"/>
      <c r="G2466" s="112">
        <f>AU2466</f>
      </c>
      <c r="H2466" s="113"/>
      <c r="I2466" s="94" t="s">
        <v>209</v>
      </c>
      <c r="J2466" s="94" t="s">
        <v>620</v>
      </c>
      <c r="K2466" s="114">
        <f>P2466/3</f>
      </c>
      <c r="L2466" s="115">
        <v>57</v>
      </c>
      <c r="M2466" s="116"/>
      <c r="N2466" s="117">
        <f>M2466-L2466</f>
      </c>
      <c r="O2466" s="112"/>
      <c r="P2466" s="118">
        <f>N2466+O2466</f>
      </c>
      <c r="Q2466" s="94" t="s">
        <v>835</v>
      </c>
      <c r="R2466" s="94" t="s">
        <v>63</v>
      </c>
      <c r="S2466" s="119">
        <v>46334</v>
      </c>
      <c r="T2466" s="119"/>
      <c r="U2466" s="120">
        <v>46334</v>
      </c>
      <c r="V2466" s="94"/>
      <c r="W2466" s="94"/>
      <c r="X2466" s="94"/>
      <c r="Y2466" s="119">
        <v>46320</v>
      </c>
      <c r="Z2466" s="94"/>
      <c r="AA2466" s="120"/>
      <c r="AB2466" s="120"/>
      <c r="AC2466" s="120"/>
      <c r="AD2466" s="120"/>
      <c r="AE2466" s="120"/>
      <c r="AF2466" s="120"/>
      <c r="AG2466" s="94"/>
      <c r="AH2466" s="120"/>
      <c r="AI2466" s="94"/>
      <c r="AJ2466" s="94" t="s">
        <v>835</v>
      </c>
      <c r="AK2466" s="94" t="s">
        <v>619</v>
      </c>
      <c r="AL2466" s="94">
        <v>160</v>
      </c>
      <c r="AM2466" s="94" t="str">
        <f>TRIM(AJ2466)&amp;TRIM(AL2466)&amp;TRIM(AK2466)</f>
      </c>
      <c r="AN2466" s="116">
        <v>0</v>
      </c>
      <c r="AO2466" s="116" t="inlineStr">
        <is>
          <t>#NA</t>
        </is>
      </c>
      <c r="AP2466" s="116">
        <f>SUMIFS(M:M,AM:AM,AM2466)+SUMIFS(O:O,AM:AM,AM2466)</f>
      </c>
      <c r="AQ2466" s="116">
        <f>SUMIFS(L:L,AM:AM,AM2466)</f>
      </c>
      <c r="AR2466" s="116">
        <f>AQ2466-AP2466</f>
      </c>
      <c r="AS2466" s="94" t="str">
        <f>IF(AN2466&gt;=AQ2466,"ok","ck")</f>
      </c>
      <c r="AT2466" s="116">
        <f>-P2466</f>
      </c>
      <c r="AU2466" s="115">
        <f>IF(SUMIFS(AT:AT,AM:AM,AM2466)&gt;AO2466,(SUMIFS(AT:AT,AM:AM,AM2466)-AO2466))</f>
      </c>
      <c r="AV2466" s="116">
        <v>0</v>
      </c>
      <c r="AW2466" s="121">
        <v>0</v>
      </c>
      <c r="AX2466" s="115">
        <f>AN2466-AP2466</f>
      </c>
    </row>
    <row r="2467" spans="1:50" ht="15" hidden="1" customHeight="1" x14ac:dyDescent="0.3">
      <c r="A2467" s="94" t="s">
        <v>93</v>
      </c>
      <c r="B2467" s="94"/>
      <c r="C2467" s="94"/>
      <c r="D2467" s="94"/>
      <c r="E2467" s="94"/>
      <c r="F2467" s="94"/>
      <c r="G2467" s="112">
        <f>AU2467</f>
      </c>
      <c r="H2467" s="113"/>
      <c r="I2467" s="94" t="s">
        <v>107</v>
      </c>
      <c r="J2467" s="94" t="s">
        <v>227</v>
      </c>
      <c r="K2467" s="114">
        <f>P2467/3</f>
      </c>
      <c r="L2467" s="115">
        <v>109.959</v>
      </c>
      <c r="M2467" s="116"/>
      <c r="N2467" s="117">
        <f>M2467-L2467</f>
      </c>
      <c r="O2467" s="112"/>
      <c r="P2467" s="118">
        <f>N2467+O2467</f>
      </c>
      <c r="Q2467" s="94" t="s">
        <v>841</v>
      </c>
      <c r="R2467" s="94" t="s">
        <v>63</v>
      </c>
      <c r="S2467" s="119">
        <v>46346</v>
      </c>
      <c r="T2467" s="119"/>
      <c r="U2467" s="120" t="s">
        <v>687</v>
      </c>
      <c r="V2467" s="94"/>
      <c r="W2467" s="94"/>
      <c r="X2467" s="94"/>
      <c r="Y2467" s="119">
        <v>46342</v>
      </c>
      <c r="Z2467" s="94"/>
      <c r="AA2467" s="120"/>
      <c r="AB2467" s="120"/>
      <c r="AC2467" s="120"/>
      <c r="AD2467" s="120"/>
      <c r="AE2467" s="120"/>
      <c r="AF2467" s="120"/>
      <c r="AG2467" s="94"/>
      <c r="AH2467" s="120"/>
      <c r="AI2467" s="94"/>
      <c r="AJ2467" s="94" t="s">
        <v>841</v>
      </c>
      <c r="AK2467" s="94" t="s">
        <v>227</v>
      </c>
      <c r="AL2467" s="94">
        <v>140</v>
      </c>
      <c r="AM2467" s="94" t="str">
        <f>TRIM(AJ2467)&amp;TRIM(AL2467)&amp;TRIM(AK2467)</f>
      </c>
      <c r="AN2467" s="116">
        <v>0</v>
      </c>
      <c r="AO2467" s="116" t="inlineStr">
        <is>
          <t>#NA</t>
        </is>
      </c>
      <c r="AP2467" s="116">
        <f>SUMIFS(M:M,AM:AM,AM2467)+SUMIFS(O:O,AM:AM,AM2467)</f>
      </c>
      <c r="AQ2467" s="116">
        <f>SUMIFS(L:L,AM:AM,AM2467)</f>
      </c>
      <c r="AR2467" s="116">
        <f>AQ2467-AP2467</f>
      </c>
      <c r="AS2467" s="94" t="str">
        <f>IF(AN2467&gt;=AQ2467,"ok","ck")</f>
      </c>
      <c r="AT2467" s="116">
        <f>-P2467</f>
      </c>
      <c r="AU2467" s="115">
        <f>IF(SUMIFS(AT:AT,AM:AM,AM2467)&gt;AO2467,(SUMIFS(AT:AT,AM:AM,AM2467)-AO2467))</f>
      </c>
      <c r="AV2467" s="116">
        <v>0</v>
      </c>
      <c r="AW2467" s="121">
        <v>0</v>
      </c>
      <c r="AX2467" s="115">
        <f>AN2467-AP2467</f>
      </c>
    </row>
    <row r="2468" spans="1:50" ht="15" hidden="1" customHeight="1" x14ac:dyDescent="0.3">
      <c r="A2468" s="94" t="s">
        <v>93</v>
      </c>
      <c r="B2468" s="94"/>
      <c r="C2468" s="94"/>
      <c r="D2468" s="94"/>
      <c r="E2468" s="94"/>
      <c r="F2468" s="94"/>
      <c r="G2468" s="112">
        <f>AU2468</f>
      </c>
      <c r="H2468" s="113"/>
      <c r="I2468" s="94" t="s">
        <v>107</v>
      </c>
      <c r="J2468" s="94" t="s">
        <v>227</v>
      </c>
      <c r="K2468" s="114">
        <f>P2468/3</f>
      </c>
      <c r="L2468" s="115">
        <v>50.780999999999999</v>
      </c>
      <c r="M2468" s="116"/>
      <c r="N2468" s="117">
        <f>M2468-L2468</f>
      </c>
      <c r="O2468" s="112"/>
      <c r="P2468" s="118">
        <f>N2468+O2468</f>
      </c>
      <c r="Q2468" s="94" t="s">
        <v>841</v>
      </c>
      <c r="R2468" s="94" t="s">
        <v>63</v>
      </c>
      <c r="S2468" s="119">
        <v>46347</v>
      </c>
      <c r="T2468" s="119"/>
      <c r="U2468" s="120" t="s">
        <v>687</v>
      </c>
      <c r="V2468" s="94"/>
      <c r="W2468" s="94"/>
      <c r="X2468" s="94"/>
      <c r="Y2468" s="119">
        <v>46342</v>
      </c>
      <c r="Z2468" s="94"/>
      <c r="AA2468" s="120"/>
      <c r="AB2468" s="120"/>
      <c r="AC2468" s="120"/>
      <c r="AD2468" s="120"/>
      <c r="AE2468" s="120"/>
      <c r="AF2468" s="120"/>
      <c r="AG2468" s="94"/>
      <c r="AH2468" s="120"/>
      <c r="AI2468" s="94"/>
      <c r="AJ2468" s="94" t="s">
        <v>841</v>
      </c>
      <c r="AK2468" s="94" t="s">
        <v>227</v>
      </c>
      <c r="AL2468" s="94">
        <v>140</v>
      </c>
      <c r="AM2468" s="94" t="str">
        <f>TRIM(AJ2468)&amp;TRIM(AL2468)&amp;TRIM(AK2468)</f>
      </c>
      <c r="AN2468" s="116">
        <v>0</v>
      </c>
      <c r="AO2468" s="116" t="inlineStr">
        <is>
          <t>#NA</t>
        </is>
      </c>
      <c r="AP2468" s="116">
        <f>SUMIFS(M:M,AM:AM,AM2468)+SUMIFS(O:O,AM:AM,AM2468)</f>
      </c>
      <c r="AQ2468" s="116">
        <f>SUMIFS(L:L,AM:AM,AM2468)</f>
      </c>
      <c r="AR2468" s="116">
        <f>AQ2468-AP2468</f>
      </c>
      <c r="AS2468" s="94" t="str">
        <f>IF(AN2468&gt;=AQ2468,"ok","ck")</f>
      </c>
      <c r="AT2468" s="116">
        <f>-P2468</f>
      </c>
      <c r="AU2468" s="115">
        <f>IF(SUMIFS(AT:AT,AM:AM,AM2468)&gt;AO2468,(SUMIFS(AT:AT,AM:AM,AM2468)-AO2468))</f>
      </c>
      <c r="AV2468" s="116">
        <v>0</v>
      </c>
      <c r="AW2468" s="121">
        <v>0</v>
      </c>
      <c r="AX2468" s="115">
        <f>AN2468-AP2468</f>
      </c>
    </row>
    <row r="2469" spans="1:50" ht="15" hidden="1" customHeight="1" x14ac:dyDescent="0.3">
      <c r="A2469" s="94" t="s">
        <v>93</v>
      </c>
      <c r="B2469" s="94"/>
      <c r="C2469" s="94"/>
      <c r="D2469" s="94"/>
      <c r="E2469" s="94"/>
      <c r="F2469" s="94"/>
      <c r="G2469" s="112">
        <f>AU2469</f>
      </c>
      <c r="H2469" s="113"/>
      <c r="I2469" s="94" t="s">
        <v>107</v>
      </c>
      <c r="J2469" s="94" t="s">
        <v>227</v>
      </c>
      <c r="K2469" s="114">
        <f>P2469/3</f>
      </c>
      <c r="L2469" s="115">
        <v>109.959</v>
      </c>
      <c r="M2469" s="116"/>
      <c r="N2469" s="117">
        <f>M2469-L2469</f>
      </c>
      <c r="O2469" s="112"/>
      <c r="P2469" s="118">
        <f>N2469+O2469</f>
      </c>
      <c r="Q2469" s="94" t="s">
        <v>841</v>
      </c>
      <c r="R2469" s="94" t="s">
        <v>63</v>
      </c>
      <c r="S2469" s="119">
        <v>46348</v>
      </c>
      <c r="T2469" s="119"/>
      <c r="U2469" s="120" t="s">
        <v>687</v>
      </c>
      <c r="V2469" s="94"/>
      <c r="W2469" s="94"/>
      <c r="X2469" s="94"/>
      <c r="Y2469" s="119">
        <v>46342</v>
      </c>
      <c r="Z2469" s="94"/>
      <c r="AA2469" s="120"/>
      <c r="AB2469" s="120"/>
      <c r="AC2469" s="120"/>
      <c r="AD2469" s="120"/>
      <c r="AE2469" s="120"/>
      <c r="AF2469" s="120"/>
      <c r="AG2469" s="94"/>
      <c r="AH2469" s="120"/>
      <c r="AI2469" s="94"/>
      <c r="AJ2469" s="94" t="s">
        <v>841</v>
      </c>
      <c r="AK2469" s="94" t="s">
        <v>227</v>
      </c>
      <c r="AL2469" s="94">
        <v>140</v>
      </c>
      <c r="AM2469" s="94" t="str">
        <f>TRIM(AJ2469)&amp;TRIM(AL2469)&amp;TRIM(AK2469)</f>
      </c>
      <c r="AN2469" s="116">
        <v>0</v>
      </c>
      <c r="AO2469" s="116" t="inlineStr">
        <is>
          <t>#NA</t>
        </is>
      </c>
      <c r="AP2469" s="116">
        <f>SUMIFS(M:M,AM:AM,AM2469)+SUMIFS(O:O,AM:AM,AM2469)</f>
      </c>
      <c r="AQ2469" s="116">
        <f>SUMIFS(L:L,AM:AM,AM2469)</f>
      </c>
      <c r="AR2469" s="116">
        <f>AQ2469-AP2469</f>
      </c>
      <c r="AS2469" s="94" t="str">
        <f>IF(AN2469&gt;=AQ2469,"ok","ck")</f>
      </c>
      <c r="AT2469" s="116">
        <f>-P2469</f>
      </c>
      <c r="AU2469" s="115">
        <f>IF(SUMIFS(AT:AT,AM:AM,AM2469)&gt;AO2469,(SUMIFS(AT:AT,AM:AM,AM2469)-AO2469))</f>
      </c>
      <c r="AV2469" s="116">
        <v>0</v>
      </c>
      <c r="AW2469" s="121">
        <v>0</v>
      </c>
      <c r="AX2469" s="115">
        <f>AN2469-AP2469</f>
      </c>
    </row>
    <row r="2470" spans="1:50" ht="15" hidden="1" customHeight="1" x14ac:dyDescent="0.3">
      <c r="A2470" s="94" t="s">
        <v>93</v>
      </c>
      <c r="B2470" s="94"/>
      <c r="C2470" s="94"/>
      <c r="D2470" s="94"/>
      <c r="E2470" s="94"/>
      <c r="F2470" s="94"/>
      <c r="G2470" s="112">
        <f>AU2470</f>
      </c>
      <c r="H2470" s="113"/>
      <c r="I2470" s="94" t="s">
        <v>107</v>
      </c>
      <c r="J2470" s="94" t="s">
        <v>227</v>
      </c>
      <c r="K2470" s="114">
        <f>P2470/3</f>
      </c>
      <c r="L2470" s="115">
        <v>109.959</v>
      </c>
      <c r="M2470" s="116"/>
      <c r="N2470" s="117">
        <f>M2470-L2470</f>
      </c>
      <c r="O2470" s="112"/>
      <c r="P2470" s="118">
        <f>N2470+O2470</f>
      </c>
      <c r="Q2470" s="94" t="s">
        <v>841</v>
      </c>
      <c r="R2470" s="94" t="s">
        <v>63</v>
      </c>
      <c r="S2470" s="119">
        <v>46350</v>
      </c>
      <c r="T2470" s="119"/>
      <c r="U2470" s="120" t="s">
        <v>687</v>
      </c>
      <c r="V2470" s="94"/>
      <c r="W2470" s="94"/>
      <c r="X2470" s="94"/>
      <c r="Y2470" s="119">
        <v>46342</v>
      </c>
      <c r="Z2470" s="94"/>
      <c r="AA2470" s="120"/>
      <c r="AB2470" s="120"/>
      <c r="AC2470" s="120"/>
      <c r="AD2470" s="120"/>
      <c r="AE2470" s="120"/>
      <c r="AF2470" s="120"/>
      <c r="AG2470" s="94"/>
      <c r="AH2470" s="120"/>
      <c r="AI2470" s="94"/>
      <c r="AJ2470" s="94" t="s">
        <v>841</v>
      </c>
      <c r="AK2470" s="94" t="s">
        <v>227</v>
      </c>
      <c r="AL2470" s="94">
        <v>140</v>
      </c>
      <c r="AM2470" s="94" t="str">
        <f>TRIM(AJ2470)&amp;TRIM(AL2470)&amp;TRIM(AK2470)</f>
      </c>
      <c r="AN2470" s="116">
        <v>0</v>
      </c>
      <c r="AO2470" s="116" t="inlineStr">
        <is>
          <t>#NA</t>
        </is>
      </c>
      <c r="AP2470" s="116">
        <f>SUMIFS(M:M,AM:AM,AM2470)+SUMIFS(O:O,AM:AM,AM2470)</f>
      </c>
      <c r="AQ2470" s="116">
        <f>SUMIFS(L:L,AM:AM,AM2470)</f>
      </c>
      <c r="AR2470" s="116">
        <f>AQ2470-AP2470</f>
      </c>
      <c r="AS2470" s="94" t="str">
        <f>IF(AN2470&gt;=AQ2470,"ok","ck")</f>
      </c>
      <c r="AT2470" s="116">
        <f>-P2470</f>
      </c>
      <c r="AU2470" s="115">
        <f>IF(SUMIFS(AT:AT,AM:AM,AM2470)&gt;AO2470,(SUMIFS(AT:AT,AM:AM,AM2470)-AO2470))</f>
      </c>
      <c r="AV2470" s="116">
        <v>0</v>
      </c>
      <c r="AW2470" s="121">
        <v>0</v>
      </c>
      <c r="AX2470" s="115">
        <f>AN2470-AP2470</f>
      </c>
    </row>
    <row r="2471" spans="1:50" ht="15" hidden="1" customHeight="1" x14ac:dyDescent="0.3">
      <c r="A2471" s="94" t="s">
        <v>93</v>
      </c>
      <c r="B2471" s="94"/>
      <c r="C2471" s="94"/>
      <c r="D2471" s="94"/>
      <c r="E2471" s="94"/>
      <c r="F2471" s="94"/>
      <c r="G2471" s="112">
        <f>AU2471</f>
      </c>
      <c r="H2471" s="113"/>
      <c r="I2471" s="94" t="s">
        <v>107</v>
      </c>
      <c r="J2471" s="94" t="s">
        <v>227</v>
      </c>
      <c r="K2471" s="114">
        <f>P2471/3</f>
      </c>
      <c r="L2471" s="115">
        <v>23.91</v>
      </c>
      <c r="M2471" s="116"/>
      <c r="N2471" s="117">
        <f>M2471-L2471</f>
      </c>
      <c r="O2471" s="112"/>
      <c r="P2471" s="118">
        <f>N2471+O2471</f>
      </c>
      <c r="Q2471" s="94" t="s">
        <v>841</v>
      </c>
      <c r="R2471" s="94" t="s">
        <v>63</v>
      </c>
      <c r="S2471" s="119">
        <v>46351</v>
      </c>
      <c r="T2471" s="119"/>
      <c r="U2471" s="119" t="s">
        <v>687</v>
      </c>
      <c r="V2471" s="94"/>
      <c r="W2471" s="94"/>
      <c r="X2471" s="94"/>
      <c r="Y2471" s="119">
        <v>46342</v>
      </c>
      <c r="Z2471" s="94"/>
      <c r="AA2471" s="120"/>
      <c r="AB2471" s="120"/>
      <c r="AC2471" s="120"/>
      <c r="AD2471" s="120"/>
      <c r="AE2471" s="120"/>
      <c r="AF2471" s="120"/>
      <c r="AG2471" s="94"/>
      <c r="AH2471" s="120"/>
      <c r="AI2471" s="94"/>
      <c r="AJ2471" s="94" t="s">
        <v>841</v>
      </c>
      <c r="AK2471" s="94" t="s">
        <v>227</v>
      </c>
      <c r="AL2471" s="94">
        <v>140</v>
      </c>
      <c r="AM2471" s="94" t="str">
        <f>TRIM(AJ2471)&amp;TRIM(AL2471)&amp;TRIM(AK2471)</f>
      </c>
      <c r="AN2471" s="116">
        <v>0</v>
      </c>
      <c r="AO2471" s="116" t="inlineStr">
        <is>
          <t>#NA</t>
        </is>
      </c>
      <c r="AP2471" s="116">
        <f>SUMIFS(M:M,AM:AM,AM2471)+SUMIFS(O:O,AM:AM,AM2471)</f>
      </c>
      <c r="AQ2471" s="116">
        <f>SUMIFS(L:L,AM:AM,AM2471)</f>
      </c>
      <c r="AR2471" s="116">
        <f>AQ2471-AP2471</f>
      </c>
      <c r="AS2471" s="94" t="str">
        <f>IF(AN2471&gt;=AQ2471,"ok","ck")</f>
      </c>
      <c r="AT2471" s="116">
        <f>-P2471</f>
      </c>
      <c r="AU2471" s="115">
        <f>IF(SUMIFS(AT:AT,AM:AM,AM2471)&gt;AO2471,(SUMIFS(AT:AT,AM:AM,AM2471)-AO2471))</f>
      </c>
      <c r="AV2471" s="116">
        <v>0</v>
      </c>
      <c r="AW2471" s="121">
        <v>0</v>
      </c>
      <c r="AX2471" s="115">
        <f>AN2471-AP2471</f>
      </c>
    </row>
    <row r="2472" spans="1:50" ht="15" hidden="1" customHeight="1" x14ac:dyDescent="0.3">
      <c r="A2472" s="94" t="s">
        <v>151</v>
      </c>
      <c r="B2472" s="94"/>
      <c r="C2472" s="94"/>
      <c r="D2472" s="94"/>
      <c r="E2472" s="94"/>
      <c r="F2472" s="94"/>
      <c r="G2472" s="112">
        <f>AU2472</f>
      </c>
      <c r="H2472" s="113"/>
      <c r="I2472" s="94" t="s">
        <v>152</v>
      </c>
      <c r="J2472" s="94" t="s">
        <v>156</v>
      </c>
      <c r="K2472" s="114">
        <f>P2472/3</f>
      </c>
      <c r="L2472" s="115">
        <v>2437</v>
      </c>
      <c r="M2472" s="116"/>
      <c r="N2472" s="117">
        <f>M2472-L2472</f>
      </c>
      <c r="O2472" s="112"/>
      <c r="P2472" s="118">
        <f>N2472+O2472</f>
      </c>
      <c r="Q2472" s="94" t="s">
        <v>168</v>
      </c>
      <c r="R2472" s="94" t="s">
        <v>63</v>
      </c>
      <c r="S2472" s="119">
        <v>46331</v>
      </c>
      <c r="T2472" s="119"/>
      <c r="U2472" s="119" t="s">
        <v>682</v>
      </c>
      <c r="V2472" s="94"/>
      <c r="W2472" s="94"/>
      <c r="X2472" s="94"/>
      <c r="Y2472" s="119">
        <v>46320</v>
      </c>
      <c r="Z2472" s="94"/>
      <c r="AA2472" s="120"/>
      <c r="AB2472" s="120"/>
      <c r="AC2472" s="120"/>
      <c r="AD2472" s="120"/>
      <c r="AE2472" s="120"/>
      <c r="AF2472" s="120"/>
      <c r="AG2472" s="94"/>
      <c r="AH2472" s="120"/>
      <c r="AI2472" s="94"/>
      <c r="AJ2472" s="94" t="s">
        <v>168</v>
      </c>
      <c r="AK2472" s="94" t="s">
        <v>158</v>
      </c>
      <c r="AL2472" s="94">
        <v>160</v>
      </c>
      <c r="AM2472" s="94" t="str">
        <f>TRIM(AJ2472)&amp;TRIM(AL2472)&amp;TRIM(AK2472)</f>
      </c>
      <c r="AN2472" s="116">
        <v>7436</v>
      </c>
      <c r="AO2472" s="116">
        <v>12192.89</v>
      </c>
      <c r="AP2472" s="116">
        <f>SUMIFS(M:M,AM:AM,AM2472)+SUMIFS(O:O,AM:AM,AM2472)</f>
      </c>
      <c r="AQ2472" s="116">
        <f>SUMIFS(L:L,AM:AM,AM2472)</f>
      </c>
      <c r="AR2472" s="116">
        <f>AQ2472-AP2472</f>
      </c>
      <c r="AS2472" s="94" t="str">
        <f>IF(AN2472&gt;=AQ2472,"ok","ck")</f>
      </c>
      <c r="AT2472" s="116">
        <f>-P2472</f>
      </c>
      <c r="AU2472" s="115">
        <f>IF(SUMIFS(AT:AT,AM:AM,AM2472)&gt;AO2472,(SUMIFS(AT:AT,AM:AM,AM2472)-AO2472))</f>
      </c>
      <c r="AV2472" s="116">
        <v>7436</v>
      </c>
      <c r="AW2472" s="121">
        <v>0.379</v>
      </c>
      <c r="AX2472" s="115">
        <f>AN2472-AP2472</f>
      </c>
    </row>
    <row r="2473" spans="1:50" ht="15" hidden="1" customHeight="1" x14ac:dyDescent="0.3">
      <c r="A2473" s="94" t="s">
        <v>151</v>
      </c>
      <c r="B2473" s="94"/>
      <c r="C2473" s="94"/>
      <c r="D2473" s="94"/>
      <c r="E2473" s="94"/>
      <c r="F2473" s="94"/>
      <c r="G2473" s="112">
        <f>AU2473</f>
      </c>
      <c r="H2473" s="113"/>
      <c r="I2473" s="94" t="s">
        <v>152</v>
      </c>
      <c r="J2473" s="94" t="s">
        <v>156</v>
      </c>
      <c r="K2473" s="114">
        <f>P2473/3</f>
      </c>
      <c r="L2473" s="115">
        <v>2437</v>
      </c>
      <c r="M2473" s="116"/>
      <c r="N2473" s="117">
        <f>M2473-L2473</f>
      </c>
      <c r="O2473" s="112"/>
      <c r="P2473" s="118">
        <f>N2473+O2473</f>
      </c>
      <c r="Q2473" s="94" t="s">
        <v>168</v>
      </c>
      <c r="R2473" s="94" t="s">
        <v>63</v>
      </c>
      <c r="S2473" s="119">
        <v>46332</v>
      </c>
      <c r="T2473" s="119"/>
      <c r="U2473" s="119" t="s">
        <v>682</v>
      </c>
      <c r="V2473" s="94"/>
      <c r="W2473" s="94"/>
      <c r="X2473" s="94"/>
      <c r="Y2473" s="119">
        <v>46320</v>
      </c>
      <c r="Z2473" s="94"/>
      <c r="AA2473" s="120"/>
      <c r="AB2473" s="120"/>
      <c r="AC2473" s="120"/>
      <c r="AD2473" s="120"/>
      <c r="AE2473" s="120"/>
      <c r="AF2473" s="120"/>
      <c r="AG2473" s="94"/>
      <c r="AH2473" s="120"/>
      <c r="AI2473" s="94"/>
      <c r="AJ2473" s="94" t="s">
        <v>168</v>
      </c>
      <c r="AK2473" s="94" t="s">
        <v>158</v>
      </c>
      <c r="AL2473" s="94">
        <v>160</v>
      </c>
      <c r="AM2473" s="94" t="str">
        <f>TRIM(AJ2473)&amp;TRIM(AL2473)&amp;TRIM(AK2473)</f>
      </c>
      <c r="AN2473" s="116">
        <v>7436</v>
      </c>
      <c r="AO2473" s="116">
        <v>12192.89</v>
      </c>
      <c r="AP2473" s="116">
        <f>SUMIFS(M:M,AM:AM,AM2473)+SUMIFS(O:O,AM:AM,AM2473)</f>
      </c>
      <c r="AQ2473" s="116">
        <f>SUMIFS(L:L,AM:AM,AM2473)</f>
      </c>
      <c r="AR2473" s="116">
        <f>AQ2473-AP2473</f>
      </c>
      <c r="AS2473" s="94" t="str">
        <f>IF(AN2473&gt;=AQ2473,"ok","ck")</f>
      </c>
      <c r="AT2473" s="116">
        <f>-P2473</f>
      </c>
      <c r="AU2473" s="115">
        <f>IF(SUMIFS(AT:AT,AM:AM,AM2473)&gt;AO2473,(SUMIFS(AT:AT,AM:AM,AM2473)-AO2473))</f>
      </c>
      <c r="AV2473" s="116">
        <v>7436</v>
      </c>
      <c r="AW2473" s="121">
        <v>0.379</v>
      </c>
      <c r="AX2473" s="115">
        <f>AN2473-AP2473</f>
      </c>
    </row>
    <row r="2474" spans="1:50" ht="15" hidden="1" customHeight="1" x14ac:dyDescent="0.3">
      <c r="A2474" s="94" t="s">
        <v>151</v>
      </c>
      <c r="B2474" s="94"/>
      <c r="C2474" s="94"/>
      <c r="D2474" s="94"/>
      <c r="E2474" s="94"/>
      <c r="F2474" s="94"/>
      <c r="G2474" s="112">
        <f>AU2474</f>
      </c>
      <c r="H2474" s="113"/>
      <c r="I2474" s="94" t="s">
        <v>152</v>
      </c>
      <c r="J2474" s="94" t="s">
        <v>156</v>
      </c>
      <c r="K2474" s="114">
        <f>P2474/3</f>
      </c>
      <c r="L2474" s="115">
        <v>2437</v>
      </c>
      <c r="M2474" s="116"/>
      <c r="N2474" s="117">
        <f>M2474-L2474</f>
      </c>
      <c r="O2474" s="112"/>
      <c r="P2474" s="118">
        <f>N2474+O2474</f>
      </c>
      <c r="Q2474" s="94" t="s">
        <v>168</v>
      </c>
      <c r="R2474" s="94" t="s">
        <v>63</v>
      </c>
      <c r="S2474" s="119">
        <v>46334</v>
      </c>
      <c r="T2474" s="119"/>
      <c r="U2474" s="119" t="s">
        <v>682</v>
      </c>
      <c r="V2474" s="94"/>
      <c r="W2474" s="94"/>
      <c r="X2474" s="94"/>
      <c r="Y2474" s="119">
        <v>46320</v>
      </c>
      <c r="Z2474" s="94"/>
      <c r="AA2474" s="120"/>
      <c r="AB2474" s="120"/>
      <c r="AC2474" s="120"/>
      <c r="AD2474" s="120"/>
      <c r="AE2474" s="120"/>
      <c r="AF2474" s="120"/>
      <c r="AG2474" s="94"/>
      <c r="AH2474" s="120"/>
      <c r="AI2474" s="94"/>
      <c r="AJ2474" s="94" t="s">
        <v>168</v>
      </c>
      <c r="AK2474" s="94" t="s">
        <v>158</v>
      </c>
      <c r="AL2474" s="94">
        <v>160</v>
      </c>
      <c r="AM2474" s="94" t="str">
        <f>TRIM(AJ2474)&amp;TRIM(AL2474)&amp;TRIM(AK2474)</f>
      </c>
      <c r="AN2474" s="116">
        <v>7436</v>
      </c>
      <c r="AO2474" s="116">
        <v>12192.89</v>
      </c>
      <c r="AP2474" s="116">
        <f>SUMIFS(M:M,AM:AM,AM2474)+SUMIFS(O:O,AM:AM,AM2474)</f>
      </c>
      <c r="AQ2474" s="116">
        <f>SUMIFS(L:L,AM:AM,AM2474)</f>
      </c>
      <c r="AR2474" s="116">
        <f>AQ2474-AP2474</f>
      </c>
      <c r="AS2474" s="94" t="str">
        <f>IF(AN2474&gt;=AQ2474,"ok","ck")</f>
      </c>
      <c r="AT2474" s="116">
        <f>-P2474</f>
      </c>
      <c r="AU2474" s="115">
        <f>IF(SUMIFS(AT:AT,AM:AM,AM2474)&gt;AO2474,(SUMIFS(AT:AT,AM:AM,AM2474)-AO2474))</f>
      </c>
      <c r="AV2474" s="116">
        <v>7436</v>
      </c>
      <c r="AW2474" s="121">
        <v>0.379</v>
      </c>
      <c r="AX2474" s="115">
        <f>AN2474-AP2474</f>
      </c>
    </row>
    <row r="2475" spans="1:50" ht="15" hidden="1" customHeight="1" x14ac:dyDescent="0.3">
      <c r="A2475" s="94" t="s">
        <v>151</v>
      </c>
      <c r="B2475" s="94"/>
      <c r="C2475" s="94"/>
      <c r="D2475" s="94"/>
      <c r="E2475" s="94"/>
      <c r="F2475" s="94"/>
      <c r="G2475" s="112">
        <f>AU2475</f>
      </c>
      <c r="H2475" s="113"/>
      <c r="I2475" s="94" t="s">
        <v>188</v>
      </c>
      <c r="J2475" s="94" t="s">
        <v>156</v>
      </c>
      <c r="K2475" s="114">
        <f>P2475/3</f>
      </c>
      <c r="L2475" s="115">
        <v>0</v>
      </c>
      <c r="M2475" s="116"/>
      <c r="N2475" s="117">
        <f>M2475-L2475</f>
      </c>
      <c r="O2475" s="112"/>
      <c r="P2475" s="118">
        <f>N2475+O2475</f>
      </c>
      <c r="Q2475" s="94" t="s">
        <v>161</v>
      </c>
      <c r="R2475" s="94" t="s">
        <v>63</v>
      </c>
      <c r="S2475" s="119">
        <v>46320</v>
      </c>
      <c r="T2475" s="119"/>
      <c r="U2475" s="119">
        <v>46320</v>
      </c>
      <c r="V2475" s="94"/>
      <c r="W2475" s="94"/>
      <c r="X2475" s="94"/>
      <c r="Y2475" s="119">
        <v>46320</v>
      </c>
      <c r="Z2475" s="94"/>
      <c r="AA2475" s="120"/>
      <c r="AB2475" s="120"/>
      <c r="AC2475" s="120"/>
      <c r="AD2475" s="120"/>
      <c r="AE2475" s="120"/>
      <c r="AF2475" s="120"/>
      <c r="AG2475" s="94"/>
      <c r="AH2475" s="120"/>
      <c r="AI2475" s="94"/>
      <c r="AJ2475" s="94" t="s">
        <v>161</v>
      </c>
      <c r="AK2475" s="94" t="s">
        <v>162</v>
      </c>
      <c r="AL2475" s="94">
        <v>165</v>
      </c>
      <c r="AM2475" s="94" t="str">
        <f>TRIM(AJ2475)&amp;TRIM(AL2475)&amp;TRIM(AK2475)</f>
      </c>
      <c r="AN2475" s="116">
        <v>1219.16</v>
      </c>
      <c r="AO2475" s="116">
        <v>205.84</v>
      </c>
      <c r="AP2475" s="116">
        <f>SUMIFS(M:M,AM:AM,AM2475)+SUMIFS(O:O,AM:AM,AM2475)</f>
      </c>
      <c r="AQ2475" s="116">
        <f>SUMIFS(L:L,AM:AM,AM2475)</f>
      </c>
      <c r="AR2475" s="116">
        <f>AQ2475-AP2475</f>
      </c>
      <c r="AS2475" s="94" t="str">
        <f>IF(AN2475&gt;=AQ2475,"ok","ck")</f>
      </c>
      <c r="AT2475" s="116">
        <f>-P2475</f>
      </c>
      <c r="AU2475" s="115">
        <f>IF(SUMIFS(AT:AT,AM:AM,AM2475)&gt;AO2475,(SUMIFS(AT:AT,AM:AM,AM2475)-AO2475))</f>
      </c>
      <c r="AV2475" s="116">
        <v>1219.16</v>
      </c>
      <c r="AW2475" s="121">
        <v>0.856</v>
      </c>
      <c r="AX2475" s="115">
        <f>AN2475-AP2475</f>
      </c>
    </row>
    <row r="2476" spans="1:50" ht="15" hidden="1" customHeight="1" x14ac:dyDescent="0.3">
      <c r="A2476" s="94" t="s">
        <v>151</v>
      </c>
      <c r="B2476" s="94"/>
      <c r="C2476" s="94"/>
      <c r="D2476" s="94"/>
      <c r="E2476" s="94"/>
      <c r="F2476" s="94"/>
      <c r="G2476" s="112">
        <f>AU2476</f>
      </c>
      <c r="H2476" s="113"/>
      <c r="I2476" s="94" t="s">
        <v>152</v>
      </c>
      <c r="J2476" s="94" t="s">
        <v>159</v>
      </c>
      <c r="K2476" s="114">
        <f>P2476/3</f>
      </c>
      <c r="L2476" s="115">
        <v>-0.183</v>
      </c>
      <c r="M2476" s="116">
        <f>L2476</f>
      </c>
      <c r="N2476" s="117">
        <f>M2476-L2476</f>
      </c>
      <c r="O2476" s="112"/>
      <c r="P2476" s="118">
        <f>N2476+O2476</f>
      </c>
      <c r="Q2476" s="94" t="s">
        <v>169</v>
      </c>
      <c r="R2476" s="94" t="s">
        <v>63</v>
      </c>
      <c r="S2476" s="119">
        <v>46320</v>
      </c>
      <c r="T2476" s="119"/>
      <c r="U2476" s="119">
        <v>46320</v>
      </c>
      <c r="V2476" s="94"/>
      <c r="W2476" s="94"/>
      <c r="X2476" s="94"/>
      <c r="Y2476" s="119">
        <v>46320</v>
      </c>
      <c r="Z2476" s="94"/>
      <c r="AA2476" s="120"/>
      <c r="AB2476" s="120"/>
      <c r="AC2476" s="120"/>
      <c r="AD2476" s="120"/>
      <c r="AE2476" s="120"/>
      <c r="AF2476" s="120"/>
      <c r="AG2476" s="94"/>
      <c r="AH2476" s="120"/>
      <c r="AI2476" s="94"/>
      <c r="AJ2476" s="94" t="s">
        <v>169</v>
      </c>
      <c r="AK2476" s="94" t="s">
        <v>159</v>
      </c>
      <c r="AL2476" s="94">
        <v>160</v>
      </c>
      <c r="AM2476" s="94" t="str">
        <f>TRIM(AJ2476)&amp;TRIM(AL2476)&amp;TRIM(AK2476)</f>
      </c>
      <c r="AN2476" s="116">
        <v>80</v>
      </c>
      <c r="AO2476" s="116">
        <v>-8</v>
      </c>
      <c r="AP2476" s="116">
        <f>SUMIFS(M:M,AM:AM,AM2476)+SUMIFS(O:O,AM:AM,AM2476)</f>
      </c>
      <c r="AQ2476" s="116">
        <f>SUMIFS(L:L,AM:AM,AM2476)</f>
      </c>
      <c r="AR2476" s="116">
        <f>AQ2476-AP2476</f>
      </c>
      <c r="AS2476" s="94" t="str">
        <f>IF(AN2476&gt;=AQ2476,"ok","ck")</f>
      </c>
      <c r="AT2476" s="116">
        <f>-P2476</f>
      </c>
      <c r="AU2476" s="115">
        <f>IF(SUMIFS(AT:AT,AM:AM,AM2476)&gt;AO2476,(SUMIFS(AT:AT,AM:AM,AM2476)-AO2476))</f>
      </c>
      <c r="AV2476" s="116">
        <v>80</v>
      </c>
      <c r="AW2476" s="121">
        <v>1.111</v>
      </c>
      <c r="AX2476" s="115">
        <f>AN2476-AP2476</f>
      </c>
    </row>
    <row r="2477" spans="1:50" ht="15" hidden="1" customHeight="1" x14ac:dyDescent="0.3">
      <c r="A2477" s="94" t="s">
        <v>151</v>
      </c>
      <c r="B2477" s="94"/>
      <c r="C2477" s="94"/>
      <c r="D2477" s="94"/>
      <c r="E2477" s="94"/>
      <c r="F2477" s="94"/>
      <c r="G2477" s="112">
        <f>AU2477</f>
      </c>
      <c r="H2477" s="113"/>
      <c r="I2477" s="94" t="s">
        <v>152</v>
      </c>
      <c r="J2477" s="94" t="s">
        <v>159</v>
      </c>
      <c r="K2477" s="114">
        <f>P2477/3</f>
      </c>
      <c r="L2477" s="115">
        <v>-0.104</v>
      </c>
      <c r="M2477" s="116">
        <f>L2477</f>
      </c>
      <c r="N2477" s="117">
        <f>M2477-L2477</f>
      </c>
      <c r="O2477" s="112"/>
      <c r="P2477" s="118">
        <f>N2477+O2477</f>
      </c>
      <c r="Q2477" s="94" t="s">
        <v>169</v>
      </c>
      <c r="R2477" s="94" t="s">
        <v>63</v>
      </c>
      <c r="S2477" s="119">
        <v>46320</v>
      </c>
      <c r="T2477" s="119"/>
      <c r="U2477" s="119">
        <v>46320</v>
      </c>
      <c r="V2477" s="94"/>
      <c r="W2477" s="94"/>
      <c r="X2477" s="94"/>
      <c r="Y2477" s="119">
        <v>46320</v>
      </c>
      <c r="Z2477" s="94"/>
      <c r="AA2477" s="120"/>
      <c r="AB2477" s="120"/>
      <c r="AC2477" s="120"/>
      <c r="AD2477" s="120"/>
      <c r="AE2477" s="120"/>
      <c r="AF2477" s="120"/>
      <c r="AG2477" s="94"/>
      <c r="AH2477" s="120"/>
      <c r="AI2477" s="94"/>
      <c r="AJ2477" s="94" t="s">
        <v>169</v>
      </c>
      <c r="AK2477" s="94" t="s">
        <v>159</v>
      </c>
      <c r="AL2477" s="94">
        <v>160</v>
      </c>
      <c r="AM2477" s="94" t="str">
        <f>TRIM(AJ2477)&amp;TRIM(AL2477)&amp;TRIM(AK2477)</f>
      </c>
      <c r="AN2477" s="116">
        <v>80</v>
      </c>
      <c r="AO2477" s="116">
        <v>-8</v>
      </c>
      <c r="AP2477" s="116">
        <f>SUMIFS(M:M,AM:AM,AM2477)+SUMIFS(O:O,AM:AM,AM2477)</f>
      </c>
      <c r="AQ2477" s="116">
        <f>SUMIFS(L:L,AM:AM,AM2477)</f>
      </c>
      <c r="AR2477" s="116">
        <f>AQ2477-AP2477</f>
      </c>
      <c r="AS2477" s="94" t="str">
        <f>IF(AN2477&gt;=AQ2477,"ok","ck")</f>
      </c>
      <c r="AT2477" s="116">
        <f>-P2477</f>
      </c>
      <c r="AU2477" s="115">
        <f>IF(SUMIFS(AT:AT,AM:AM,AM2477)&gt;AO2477,(SUMIFS(AT:AT,AM:AM,AM2477)-AO2477))</f>
      </c>
      <c r="AV2477" s="116">
        <v>80</v>
      </c>
      <c r="AW2477" s="121">
        <v>1.111</v>
      </c>
      <c r="AX2477" s="115">
        <f>AN2477-AP2477</f>
      </c>
    </row>
    <row r="2478" spans="1:50" ht="15" hidden="1" customHeight="1" x14ac:dyDescent="0.3">
      <c r="A2478" s="94" t="s">
        <v>151</v>
      </c>
      <c r="B2478" s="94"/>
      <c r="C2478" s="94"/>
      <c r="D2478" s="94"/>
      <c r="E2478" s="94"/>
      <c r="F2478" s="94"/>
      <c r="G2478" s="112">
        <f>AU2478</f>
      </c>
      <c r="H2478" s="113"/>
      <c r="I2478" s="94" t="s">
        <v>496</v>
      </c>
      <c r="J2478" s="94" t="s">
        <v>156</v>
      </c>
      <c r="K2478" s="114">
        <f>P2478/3</f>
      </c>
      <c r="L2478" s="115">
        <v>3123</v>
      </c>
      <c r="M2478" s="116">
        <v>1041.588</v>
      </c>
      <c r="N2478" s="117">
        <f>M2478-L2478</f>
      </c>
      <c r="O2478" s="112"/>
      <c r="P2478" s="118">
        <f>N2478+O2478</f>
      </c>
      <c r="Q2478" s="94" t="s">
        <v>842</v>
      </c>
      <c r="R2478" s="94" t="s">
        <v>63</v>
      </c>
      <c r="S2478" s="119">
        <v>46336</v>
      </c>
      <c r="T2478" s="119"/>
      <c r="U2478" s="119" t="s">
        <v>688</v>
      </c>
      <c r="V2478" s="94"/>
      <c r="W2478" s="94"/>
      <c r="X2478" s="94"/>
      <c r="Y2478" s="119">
        <v>46320</v>
      </c>
      <c r="Z2478" s="94"/>
      <c r="AA2478" s="120"/>
      <c r="AB2478" s="120"/>
      <c r="AC2478" s="120"/>
      <c r="AD2478" s="120"/>
      <c r="AE2478" s="120"/>
      <c r="AF2478" s="120"/>
      <c r="AG2478" s="94"/>
      <c r="AH2478" s="120"/>
      <c r="AI2478" s="94"/>
      <c r="AJ2478" s="94" t="s">
        <v>842</v>
      </c>
      <c r="AK2478" s="94" t="s">
        <v>162</v>
      </c>
      <c r="AL2478" s="94">
        <v>210</v>
      </c>
      <c r="AM2478" s="94" t="str">
        <f>TRIM(AJ2478)&amp;TRIM(AL2478)&amp;TRIM(AK2478)</f>
      </c>
      <c r="AN2478" s="116">
        <v>4632.18</v>
      </c>
      <c r="AO2478" s="116">
        <v>12159.81</v>
      </c>
      <c r="AP2478" s="116">
        <f>SUMIFS(M:M,AM:AM,AM2478)+SUMIFS(O:O,AM:AM,AM2478)</f>
      </c>
      <c r="AQ2478" s="116">
        <f>SUMIFS(L:L,AM:AM,AM2478)</f>
      </c>
      <c r="AR2478" s="116">
        <f>AQ2478-AP2478</f>
      </c>
      <c r="AS2478" s="94" t="str">
        <f>IF(AN2478&gt;=AQ2478,"ok","ck")</f>
      </c>
      <c r="AT2478" s="116">
        <f>-P2478</f>
      </c>
      <c r="AU2478" s="115">
        <f>IF(SUMIFS(AT:AT,AM:AM,AM2478)&gt;AO2478,(SUMIFS(AT:AT,AM:AM,AM2478)-AO2478))</f>
      </c>
      <c r="AV2478" s="116">
        <v>425</v>
      </c>
      <c r="AW2478" s="121">
        <v>0.41</v>
      </c>
      <c r="AX2478" s="115">
        <f>AN2478-AP2478</f>
      </c>
    </row>
    <row r="2479" spans="1:50" ht="15" hidden="1" customHeight="1" x14ac:dyDescent="0.3">
      <c r="A2479" s="94" t="s">
        <v>481</v>
      </c>
      <c r="B2479" s="94"/>
      <c r="C2479" s="94"/>
      <c r="D2479" s="94"/>
      <c r="E2479" s="94"/>
      <c r="F2479" s="94"/>
      <c r="G2479" s="112">
        <f>AU2479</f>
      </c>
      <c r="H2479" s="113"/>
      <c r="I2479" s="94" t="s">
        <v>152</v>
      </c>
      <c r="J2479" s="94" t="s">
        <v>228</v>
      </c>
      <c r="K2479" s="114">
        <f>P2479/3</f>
      </c>
      <c r="L2479" s="115">
        <v>0</v>
      </c>
      <c r="M2479" s="116"/>
      <c r="N2479" s="117">
        <f>M2479-L2479</f>
      </c>
      <c r="O2479" s="112"/>
      <c r="P2479" s="118">
        <f>N2479+O2479</f>
      </c>
      <c r="Q2479" s="94"/>
      <c r="R2479" s="94" t="s">
        <v>63</v>
      </c>
      <c r="S2479" s="119">
        <v>46320</v>
      </c>
      <c r="T2479" s="119"/>
      <c r="U2479" s="119">
        <v>46320</v>
      </c>
      <c r="V2479" s="94"/>
      <c r="W2479" s="94"/>
      <c r="X2479" s="94"/>
      <c r="Y2479" s="119">
        <v>46320</v>
      </c>
      <c r="Z2479" s="94"/>
      <c r="AA2479" s="120"/>
      <c r="AB2479" s="120"/>
      <c r="AC2479" s="120"/>
      <c r="AD2479" s="120"/>
      <c r="AE2479" s="120"/>
      <c r="AF2479" s="120"/>
      <c r="AG2479" s="94"/>
      <c r="AH2479" s="120"/>
      <c r="AI2479" s="94"/>
      <c r="AJ2479" s="94"/>
      <c r="AK2479" s="94"/>
      <c r="AL2479" s="94">
        <v>160</v>
      </c>
      <c r="AM2479" s="94" t="str">
        <f>TRIM(AJ2479)&amp;TRIM(AL2479)&amp;TRIM(AK2479)</f>
      </c>
      <c r="AN2479" s="116">
        <v>0</v>
      </c>
      <c r="AO2479" s="116" t="inlineStr">
        <is>
          <t>#NA</t>
        </is>
      </c>
      <c r="AP2479" s="116">
        <f>SUMIFS(M:M,AM:AM,AM2479)+SUMIFS(O:O,AM:AM,AM2479)</f>
      </c>
      <c r="AQ2479" s="116">
        <f>SUMIFS(L:L,AM:AM,AM2479)</f>
      </c>
      <c r="AR2479" s="116">
        <f>AQ2479-AP2479</f>
      </c>
      <c r="AS2479" s="94" t="str">
        <f>IF(AN2479&gt;=AQ2479,"ok","ck")</f>
      </c>
      <c r="AT2479" s="116">
        <f>-P2479</f>
      </c>
      <c r="AU2479" s="115">
        <f>IF(SUMIFS(AT:AT,AM:AM,AM2479)&gt;AO2479,(SUMIFS(AT:AT,AM:AM,AM2479)-AO2479))</f>
      </c>
      <c r="AV2479" s="116" t="e">
        <v>#N/A</v>
      </c>
      <c r="AW2479" s="121" t="e">
        <v>#N/A</v>
      </c>
      <c r="AX2479" s="115">
        <f>AN2479-AP2479</f>
      </c>
    </row>
    <row r="2480" spans="1:50" ht="15" hidden="1" customHeight="1" x14ac:dyDescent="0.3">
      <c r="A2480" s="94" t="s">
        <v>151</v>
      </c>
      <c r="B2480" s="94"/>
      <c r="C2480" s="94"/>
      <c r="D2480" s="94"/>
      <c r="E2480" s="94"/>
      <c r="F2480" s="94"/>
      <c r="G2480" s="112">
        <f>AU2480</f>
      </c>
      <c r="H2480" s="113"/>
      <c r="I2480" s="94" t="s">
        <v>152</v>
      </c>
      <c r="J2480" s="94" t="s">
        <v>189</v>
      </c>
      <c r="K2480" s="114">
        <f>P2480/3</f>
      </c>
      <c r="L2480" s="115">
        <v>0</v>
      </c>
      <c r="M2480" s="116"/>
      <c r="N2480" s="117">
        <f>M2480-L2480</f>
      </c>
      <c r="O2480" s="112"/>
      <c r="P2480" s="118">
        <f>N2480+O2480</f>
      </c>
      <c r="Q2480" s="94" t="s">
        <v>176</v>
      </c>
      <c r="R2480" s="94" t="s">
        <v>63</v>
      </c>
      <c r="S2480" s="119">
        <v>46320</v>
      </c>
      <c r="T2480" s="119"/>
      <c r="U2480" s="119">
        <v>46320</v>
      </c>
      <c r="V2480" s="94"/>
      <c r="W2480" s="94"/>
      <c r="X2480" s="94"/>
      <c r="Y2480" s="119">
        <v>46320</v>
      </c>
      <c r="Z2480" s="94"/>
      <c r="AA2480" s="120"/>
      <c r="AB2480" s="120"/>
      <c r="AC2480" s="120"/>
      <c r="AD2480" s="120"/>
      <c r="AE2480" s="120"/>
      <c r="AF2480" s="120"/>
      <c r="AG2480" s="94"/>
      <c r="AH2480" s="120"/>
      <c r="AI2480" s="94"/>
      <c r="AJ2480" s="94" t="s">
        <v>176</v>
      </c>
      <c r="AK2480" s="94" t="s">
        <v>190</v>
      </c>
      <c r="AL2480" s="94">
        <v>160</v>
      </c>
      <c r="AM2480" s="94" t="str">
        <f>TRIM(AJ2480)&amp;TRIM(AL2480)&amp;TRIM(AK2480)</f>
      </c>
      <c r="AN2480" s="116">
        <v>723</v>
      </c>
      <c r="AO2480" s="116">
        <v>32</v>
      </c>
      <c r="AP2480" s="116">
        <f>SUMIFS(M:M,AM:AM,AM2480)+SUMIFS(O:O,AM:AM,AM2480)</f>
      </c>
      <c r="AQ2480" s="116">
        <f>SUMIFS(L:L,AM:AM,AM2480)</f>
      </c>
      <c r="AR2480" s="116">
        <f>AQ2480-AP2480</f>
      </c>
      <c r="AS2480" s="94" t="str">
        <f>IF(AN2480&gt;=AQ2480,"ok","ck")</f>
      </c>
      <c r="AT2480" s="116">
        <f>-P2480</f>
      </c>
      <c r="AU2480" s="115">
        <f>IF(SUMIFS(AT:AT,AM:AM,AM2480)&gt;AO2480,(SUMIFS(AT:AT,AM:AM,AM2480)-AO2480))</f>
      </c>
      <c r="AV2480" s="116">
        <v>723</v>
      </c>
      <c r="AW2480" s="121">
        <v>0.958</v>
      </c>
      <c r="AX2480" s="115">
        <f>AN2480-AP2480</f>
      </c>
    </row>
    <row r="2481" spans="1:50" ht="15" hidden="1" customHeight="1" x14ac:dyDescent="0.3">
      <c r="A2481" s="94" t="s">
        <v>151</v>
      </c>
      <c r="B2481" s="94"/>
      <c r="C2481" s="94"/>
      <c r="D2481" s="94"/>
      <c r="E2481" s="94"/>
      <c r="F2481" s="94"/>
      <c r="G2481" s="112">
        <f>AU2481</f>
      </c>
      <c r="H2481" s="113"/>
      <c r="I2481" s="94" t="s">
        <v>152</v>
      </c>
      <c r="J2481" s="94" t="s">
        <v>156</v>
      </c>
      <c r="K2481" s="114">
        <f>P2481/3</f>
      </c>
      <c r="L2481" s="115">
        <v>0</v>
      </c>
      <c r="M2481" s="116"/>
      <c r="N2481" s="117">
        <f>M2481-L2481</f>
      </c>
      <c r="O2481" s="112"/>
      <c r="P2481" s="118">
        <f>N2481+O2481</f>
      </c>
      <c r="Q2481" s="94" t="s">
        <v>236</v>
      </c>
      <c r="R2481" s="94" t="s">
        <v>63</v>
      </c>
      <c r="S2481" s="119">
        <v>46338</v>
      </c>
      <c r="T2481" s="119"/>
      <c r="U2481" s="119">
        <v>46338</v>
      </c>
      <c r="V2481" s="94"/>
      <c r="W2481" s="94"/>
      <c r="X2481" s="94"/>
      <c r="Y2481" s="119">
        <v>46338</v>
      </c>
      <c r="Z2481" s="94"/>
      <c r="AA2481" s="120"/>
      <c r="AB2481" s="120"/>
      <c r="AC2481" s="120"/>
      <c r="AD2481" s="120"/>
      <c r="AE2481" s="120"/>
      <c r="AF2481" s="120"/>
      <c r="AG2481" s="94"/>
      <c r="AH2481" s="120"/>
      <c r="AI2481" s="94"/>
      <c r="AJ2481" s="94" t="s">
        <v>236</v>
      </c>
      <c r="AK2481" s="94" t="s">
        <v>158</v>
      </c>
      <c r="AL2481" s="94">
        <v>160</v>
      </c>
      <c r="AM2481" s="94" t="str">
        <f>TRIM(AJ2481)&amp;TRIM(AL2481)&amp;TRIM(AK2481)</f>
      </c>
      <c r="AN2481" s="116">
        <v>7485.15</v>
      </c>
      <c r="AO2481" s="116">
        <v>834.85</v>
      </c>
      <c r="AP2481" s="116">
        <f>SUMIFS(M:M,AM:AM,AM2481)+SUMIFS(O:O,AM:AM,AM2481)</f>
      </c>
      <c r="AQ2481" s="116">
        <f>SUMIFS(L:L,AM:AM,AM2481)</f>
      </c>
      <c r="AR2481" s="116">
        <f>AQ2481-AP2481</f>
      </c>
      <c r="AS2481" s="94" t="str">
        <f>IF(AN2481&gt;=AQ2481,"ok","ck")</f>
      </c>
      <c r="AT2481" s="116">
        <f>-P2481</f>
      </c>
      <c r="AU2481" s="115">
        <f>IF(SUMIFS(AT:AT,AM:AM,AM2481)&gt;AO2481,(SUMIFS(AT:AT,AM:AM,AM2481)-AO2481))</f>
      </c>
      <c r="AV2481" s="116">
        <v>7485.15</v>
      </c>
      <c r="AW2481" s="121">
        <v>0.9</v>
      </c>
      <c r="AX2481" s="115">
        <f>AN2481-AP2481</f>
      </c>
    </row>
    <row r="2482" spans="1:50" ht="15" hidden="1" customHeight="1" x14ac:dyDescent="0.3">
      <c r="A2482" s="94" t="s">
        <v>151</v>
      </c>
      <c r="B2482" s="94"/>
      <c r="C2482" s="94"/>
      <c r="D2482" s="94"/>
      <c r="E2482" s="94"/>
      <c r="F2482" s="94"/>
      <c r="G2482" s="112">
        <f>AU2482</f>
      </c>
      <c r="H2482" s="113"/>
      <c r="I2482" s="94" t="s">
        <v>152</v>
      </c>
      <c r="J2482" s="94" t="s">
        <v>156</v>
      </c>
      <c r="K2482" s="114">
        <f>P2482/3</f>
      </c>
      <c r="L2482" s="115">
        <v>0</v>
      </c>
      <c r="M2482" s="116"/>
      <c r="N2482" s="117">
        <f>M2482-L2482</f>
      </c>
      <c r="O2482" s="112"/>
      <c r="P2482" s="118">
        <f>N2482+O2482</f>
      </c>
      <c r="Q2482" s="94" t="s">
        <v>236</v>
      </c>
      <c r="R2482" s="94" t="s">
        <v>63</v>
      </c>
      <c r="S2482" s="119">
        <v>46320</v>
      </c>
      <c r="T2482" s="119"/>
      <c r="U2482" s="119">
        <v>46320</v>
      </c>
      <c r="V2482" s="94"/>
      <c r="W2482" s="94"/>
      <c r="X2482" s="94"/>
      <c r="Y2482" s="119">
        <v>46320</v>
      </c>
      <c r="Z2482" s="94"/>
      <c r="AA2482" s="120"/>
      <c r="AB2482" s="120"/>
      <c r="AC2482" s="120"/>
      <c r="AD2482" s="120"/>
      <c r="AE2482" s="120"/>
      <c r="AF2482" s="120"/>
      <c r="AG2482" s="94"/>
      <c r="AH2482" s="120"/>
      <c r="AI2482" s="94"/>
      <c r="AJ2482" s="94" t="s">
        <v>236</v>
      </c>
      <c r="AK2482" s="94" t="s">
        <v>158</v>
      </c>
      <c r="AL2482" s="94">
        <v>160</v>
      </c>
      <c r="AM2482" s="94" t="str">
        <f>TRIM(AJ2482)&amp;TRIM(AL2482)&amp;TRIM(AK2482)</f>
      </c>
      <c r="AN2482" s="116">
        <v>7485.15</v>
      </c>
      <c r="AO2482" s="116">
        <v>834.85</v>
      </c>
      <c r="AP2482" s="116">
        <f>SUMIFS(M:M,AM:AM,AM2482)+SUMIFS(O:O,AM:AM,AM2482)</f>
      </c>
      <c r="AQ2482" s="116">
        <f>SUMIFS(L:L,AM:AM,AM2482)</f>
      </c>
      <c r="AR2482" s="116">
        <f>AQ2482-AP2482</f>
      </c>
      <c r="AS2482" s="94" t="str">
        <f>IF(AN2482&gt;=AQ2482,"ok","ck")</f>
      </c>
      <c r="AT2482" s="116">
        <f>-P2482</f>
      </c>
      <c r="AU2482" s="115">
        <f>IF(SUMIFS(AT:AT,AM:AM,AM2482)&gt;AO2482,(SUMIFS(AT:AT,AM:AM,AM2482)-AO2482))</f>
      </c>
      <c r="AV2482" s="116">
        <v>7485.15</v>
      </c>
      <c r="AW2482" s="121">
        <v>0.9</v>
      </c>
      <c r="AX2482" s="115">
        <f>AN2482-AP2482</f>
      </c>
    </row>
    <row r="2483" spans="1:50" ht="15" hidden="1" customHeight="1" x14ac:dyDescent="0.3">
      <c r="A2483" s="94" t="s">
        <v>151</v>
      </c>
      <c r="B2483" s="94"/>
      <c r="C2483" s="94"/>
      <c r="D2483" s="94"/>
      <c r="E2483" s="94"/>
      <c r="F2483" s="94"/>
      <c r="G2483" s="112">
        <f>AU2483</f>
      </c>
      <c r="H2483" s="113"/>
      <c r="I2483" s="94" t="s">
        <v>152</v>
      </c>
      <c r="J2483" s="94" t="s">
        <v>156</v>
      </c>
      <c r="K2483" s="114">
        <f>P2483/3</f>
      </c>
      <c r="L2483" s="115">
        <v>0</v>
      </c>
      <c r="M2483" s="116"/>
      <c r="N2483" s="117">
        <f>M2483-L2483</f>
      </c>
      <c r="O2483" s="112"/>
      <c r="P2483" s="118">
        <f>N2483+O2483</f>
      </c>
      <c r="Q2483" s="94" t="s">
        <v>236</v>
      </c>
      <c r="R2483" s="94" t="s">
        <v>63</v>
      </c>
      <c r="S2483" s="119">
        <v>46320</v>
      </c>
      <c r="T2483" s="119"/>
      <c r="U2483" s="119">
        <v>46320</v>
      </c>
      <c r="V2483" s="94"/>
      <c r="W2483" s="94"/>
      <c r="X2483" s="94"/>
      <c r="Y2483" s="119">
        <v>46320</v>
      </c>
      <c r="Z2483" s="94"/>
      <c r="AA2483" s="120"/>
      <c r="AB2483" s="120"/>
      <c r="AC2483" s="120"/>
      <c r="AD2483" s="120"/>
      <c r="AE2483" s="120"/>
      <c r="AF2483" s="120"/>
      <c r="AG2483" s="94"/>
      <c r="AH2483" s="120"/>
      <c r="AI2483" s="94"/>
      <c r="AJ2483" s="94" t="s">
        <v>236</v>
      </c>
      <c r="AK2483" s="94" t="s">
        <v>158</v>
      </c>
      <c r="AL2483" s="94">
        <v>160</v>
      </c>
      <c r="AM2483" s="94" t="str">
        <f>TRIM(AJ2483)&amp;TRIM(AL2483)&amp;TRIM(AK2483)</f>
      </c>
      <c r="AN2483" s="116">
        <v>7485.15</v>
      </c>
      <c r="AO2483" s="116">
        <v>834.85</v>
      </c>
      <c r="AP2483" s="116">
        <f>SUMIFS(M:M,AM:AM,AM2483)+SUMIFS(O:O,AM:AM,AM2483)</f>
      </c>
      <c r="AQ2483" s="116">
        <f>SUMIFS(L:L,AM:AM,AM2483)</f>
      </c>
      <c r="AR2483" s="116">
        <f>AQ2483-AP2483</f>
      </c>
      <c r="AS2483" s="94" t="str">
        <f>IF(AN2483&gt;=AQ2483,"ok","ck")</f>
      </c>
      <c r="AT2483" s="116">
        <f>-P2483</f>
      </c>
      <c r="AU2483" s="115">
        <f>IF(SUMIFS(AT:AT,AM:AM,AM2483)&gt;AO2483,(SUMIFS(AT:AT,AM:AM,AM2483)-AO2483))</f>
      </c>
      <c r="AV2483" s="116">
        <v>7485.15</v>
      </c>
      <c r="AW2483" s="121">
        <v>0.9</v>
      </c>
      <c r="AX2483" s="115">
        <f>AN2483-AP2483</f>
      </c>
    </row>
    <row r="2484" spans="1:50" ht="15" hidden="1" customHeight="1" x14ac:dyDescent="0.3">
      <c r="A2484" s="94" t="s">
        <v>151</v>
      </c>
      <c r="B2484" s="94"/>
      <c r="C2484" s="94"/>
      <c r="D2484" s="94"/>
      <c r="E2484" s="94"/>
      <c r="F2484" s="94"/>
      <c r="G2484" s="112">
        <f>AU2484</f>
      </c>
      <c r="H2484" s="113"/>
      <c r="I2484" s="94" t="s">
        <v>152</v>
      </c>
      <c r="J2484" s="94" t="s">
        <v>156</v>
      </c>
      <c r="K2484" s="114">
        <f>P2484/3</f>
      </c>
      <c r="L2484" s="115">
        <v>0</v>
      </c>
      <c r="M2484" s="116"/>
      <c r="N2484" s="117">
        <f>M2484-L2484</f>
      </c>
      <c r="O2484" s="112"/>
      <c r="P2484" s="118">
        <f>N2484+O2484</f>
      </c>
      <c r="Q2484" s="94" t="s">
        <v>236</v>
      </c>
      <c r="R2484" s="94" t="s">
        <v>63</v>
      </c>
      <c r="S2484" s="119">
        <v>46321</v>
      </c>
      <c r="T2484" s="119"/>
      <c r="U2484" s="119">
        <v>46321</v>
      </c>
      <c r="V2484" s="94"/>
      <c r="W2484" s="94"/>
      <c r="X2484" s="94"/>
      <c r="Y2484" s="119">
        <v>46321</v>
      </c>
      <c r="Z2484" s="94"/>
      <c r="AA2484" s="120"/>
      <c r="AB2484" s="120"/>
      <c r="AC2484" s="120"/>
      <c r="AD2484" s="120"/>
      <c r="AE2484" s="120"/>
      <c r="AF2484" s="120"/>
      <c r="AG2484" s="94"/>
      <c r="AH2484" s="120"/>
      <c r="AI2484" s="94"/>
      <c r="AJ2484" s="94" t="s">
        <v>236</v>
      </c>
      <c r="AK2484" s="94" t="s">
        <v>158</v>
      </c>
      <c r="AL2484" s="94">
        <v>160</v>
      </c>
      <c r="AM2484" s="94" t="str">
        <f>TRIM(AJ2484)&amp;TRIM(AL2484)&amp;TRIM(AK2484)</f>
      </c>
      <c r="AN2484" s="116">
        <v>7485.15</v>
      </c>
      <c r="AO2484" s="116">
        <v>834.85</v>
      </c>
      <c r="AP2484" s="116">
        <f>SUMIFS(M:M,AM:AM,AM2484)+SUMIFS(O:O,AM:AM,AM2484)</f>
      </c>
      <c r="AQ2484" s="116">
        <f>SUMIFS(L:L,AM:AM,AM2484)</f>
      </c>
      <c r="AR2484" s="116">
        <f>AQ2484-AP2484</f>
      </c>
      <c r="AS2484" s="94" t="str">
        <f>IF(AN2484&gt;=AQ2484,"ok","ck")</f>
      </c>
      <c r="AT2484" s="116">
        <f>-P2484</f>
      </c>
      <c r="AU2484" s="115">
        <f>IF(SUMIFS(AT:AT,AM:AM,AM2484)&gt;AO2484,(SUMIFS(AT:AT,AM:AM,AM2484)-AO2484))</f>
      </c>
      <c r="AV2484" s="116">
        <v>7485.15</v>
      </c>
      <c r="AW2484" s="121">
        <v>0.9</v>
      </c>
      <c r="AX2484" s="115">
        <f>AN2484-AP2484</f>
      </c>
    </row>
    <row r="2485" spans="1:50" ht="15" hidden="1" customHeight="1" x14ac:dyDescent="0.3">
      <c r="A2485" s="94" t="s">
        <v>151</v>
      </c>
      <c r="B2485" s="94"/>
      <c r="C2485" s="94"/>
      <c r="D2485" s="94"/>
      <c r="E2485" s="94"/>
      <c r="F2485" s="94"/>
      <c r="G2485" s="112">
        <f>AU2485</f>
      </c>
      <c r="H2485" s="113"/>
      <c r="I2485" s="94" t="s">
        <v>152</v>
      </c>
      <c r="J2485" s="94" t="s">
        <v>156</v>
      </c>
      <c r="K2485" s="114">
        <f>P2485/3</f>
      </c>
      <c r="L2485" s="115">
        <v>0</v>
      </c>
      <c r="M2485" s="116"/>
      <c r="N2485" s="117">
        <f>M2485-L2485</f>
      </c>
      <c r="O2485" s="112"/>
      <c r="P2485" s="118">
        <f>N2485+O2485</f>
      </c>
      <c r="Q2485" s="94" t="s">
        <v>236</v>
      </c>
      <c r="R2485" s="94" t="s">
        <v>63</v>
      </c>
      <c r="S2485" s="119">
        <v>46328</v>
      </c>
      <c r="T2485" s="119"/>
      <c r="U2485" s="119">
        <v>46328</v>
      </c>
      <c r="V2485" s="94"/>
      <c r="W2485" s="94"/>
      <c r="X2485" s="94"/>
      <c r="Y2485" s="119">
        <v>46328</v>
      </c>
      <c r="Z2485" s="94"/>
      <c r="AA2485" s="120"/>
      <c r="AB2485" s="120"/>
      <c r="AC2485" s="120"/>
      <c r="AD2485" s="120"/>
      <c r="AE2485" s="120"/>
      <c r="AF2485" s="120"/>
      <c r="AG2485" s="94"/>
      <c r="AH2485" s="120"/>
      <c r="AI2485" s="94"/>
      <c r="AJ2485" s="94" t="s">
        <v>236</v>
      </c>
      <c r="AK2485" s="94" t="s">
        <v>158</v>
      </c>
      <c r="AL2485" s="94">
        <v>160</v>
      </c>
      <c r="AM2485" s="94" t="str">
        <f>TRIM(AJ2485)&amp;TRIM(AL2485)&amp;TRIM(AK2485)</f>
      </c>
      <c r="AN2485" s="116">
        <v>7485.15</v>
      </c>
      <c r="AO2485" s="116">
        <v>834.85</v>
      </c>
      <c r="AP2485" s="116">
        <f>SUMIFS(M:M,AM:AM,AM2485)+SUMIFS(O:O,AM:AM,AM2485)</f>
      </c>
      <c r="AQ2485" s="116">
        <f>SUMIFS(L:L,AM:AM,AM2485)</f>
      </c>
      <c r="AR2485" s="116">
        <f>AQ2485-AP2485</f>
      </c>
      <c r="AS2485" s="94" t="str">
        <f>IF(AN2485&gt;=AQ2485,"ok","ck")</f>
      </c>
      <c r="AT2485" s="116">
        <f>-P2485</f>
      </c>
      <c r="AU2485" s="115">
        <f>IF(SUMIFS(AT:AT,AM:AM,AM2485)&gt;AO2485,(SUMIFS(AT:AT,AM:AM,AM2485)-AO2485))</f>
      </c>
      <c r="AV2485" s="116">
        <v>7485.15</v>
      </c>
      <c r="AW2485" s="121">
        <v>0.9</v>
      </c>
      <c r="AX2485" s="115">
        <f>AN2485-AP2485</f>
      </c>
    </row>
    <row r="2486" spans="1:50" ht="15" hidden="1" customHeight="1" x14ac:dyDescent="0.3">
      <c r="A2486" s="94" t="s">
        <v>151</v>
      </c>
      <c r="B2486" s="94"/>
      <c r="C2486" s="94"/>
      <c r="D2486" s="94"/>
      <c r="E2486" s="94"/>
      <c r="F2486" s="94"/>
      <c r="G2486" s="112">
        <f>AU2486</f>
      </c>
      <c r="H2486" s="113"/>
      <c r="I2486" s="94" t="s">
        <v>152</v>
      </c>
      <c r="J2486" s="94" t="s">
        <v>156</v>
      </c>
      <c r="K2486" s="114">
        <f>P2486/3</f>
      </c>
      <c r="L2486" s="115">
        <v>0</v>
      </c>
      <c r="M2486" s="116"/>
      <c r="N2486" s="117">
        <f>M2486-L2486</f>
      </c>
      <c r="O2486" s="112"/>
      <c r="P2486" s="118">
        <f>N2486+O2486</f>
      </c>
      <c r="Q2486" s="94" t="s">
        <v>236</v>
      </c>
      <c r="R2486" s="94" t="s">
        <v>63</v>
      </c>
      <c r="S2486" s="119">
        <v>46328</v>
      </c>
      <c r="T2486" s="119"/>
      <c r="U2486" s="119">
        <v>46328</v>
      </c>
      <c r="V2486" s="94"/>
      <c r="W2486" s="94"/>
      <c r="X2486" s="94"/>
      <c r="Y2486" s="119">
        <v>46328</v>
      </c>
      <c r="Z2486" s="94"/>
      <c r="AA2486" s="120"/>
      <c r="AB2486" s="120"/>
      <c r="AC2486" s="120"/>
      <c r="AD2486" s="120"/>
      <c r="AE2486" s="120"/>
      <c r="AF2486" s="120"/>
      <c r="AG2486" s="94"/>
      <c r="AH2486" s="120"/>
      <c r="AI2486" s="94"/>
      <c r="AJ2486" s="94" t="s">
        <v>236</v>
      </c>
      <c r="AK2486" s="94" t="s">
        <v>158</v>
      </c>
      <c r="AL2486" s="94">
        <v>160</v>
      </c>
      <c r="AM2486" s="94" t="str">
        <f>TRIM(AJ2486)&amp;TRIM(AL2486)&amp;TRIM(AK2486)</f>
      </c>
      <c r="AN2486" s="116">
        <v>7485.15</v>
      </c>
      <c r="AO2486" s="116">
        <v>834.85</v>
      </c>
      <c r="AP2486" s="116">
        <f>SUMIFS(M:M,AM:AM,AM2486)+SUMIFS(O:O,AM:AM,AM2486)</f>
      </c>
      <c r="AQ2486" s="116">
        <f>SUMIFS(L:L,AM:AM,AM2486)</f>
      </c>
      <c r="AR2486" s="116">
        <f>AQ2486-AP2486</f>
      </c>
      <c r="AS2486" s="94" t="str">
        <f>IF(AN2486&gt;=AQ2486,"ok","ck")</f>
      </c>
      <c r="AT2486" s="116">
        <f>-P2486</f>
      </c>
      <c r="AU2486" s="115">
        <f>IF(SUMIFS(AT:AT,AM:AM,AM2486)&gt;AO2486,(SUMIFS(AT:AT,AM:AM,AM2486)-AO2486))</f>
      </c>
      <c r="AV2486" s="116">
        <v>7485.15</v>
      </c>
      <c r="AW2486" s="121">
        <v>0.9</v>
      </c>
      <c r="AX2486" s="115">
        <f>AN2486-AP2486</f>
      </c>
    </row>
    <row r="2487" spans="1:50" ht="15" hidden="1" customHeight="1" x14ac:dyDescent="0.3">
      <c r="A2487" s="94" t="s">
        <v>151</v>
      </c>
      <c r="B2487" s="94"/>
      <c r="C2487" s="94"/>
      <c r="D2487" s="94"/>
      <c r="E2487" s="94"/>
      <c r="F2487" s="94"/>
      <c r="G2487" s="112">
        <f>AU2487</f>
      </c>
      <c r="H2487" s="113"/>
      <c r="I2487" s="94" t="s">
        <v>152</v>
      </c>
      <c r="J2487" s="94" t="s">
        <v>156</v>
      </c>
      <c r="K2487" s="114">
        <f>P2487/3</f>
      </c>
      <c r="L2487" s="115">
        <v>-9.9000000000000005E-2</v>
      </c>
      <c r="M2487" s="116"/>
      <c r="N2487" s="117">
        <f>M2487-L2487</f>
      </c>
      <c r="O2487" s="112"/>
      <c r="P2487" s="118">
        <f>N2487+O2487</f>
      </c>
      <c r="Q2487" s="94" t="s">
        <v>236</v>
      </c>
      <c r="R2487" s="94" t="s">
        <v>63</v>
      </c>
      <c r="S2487" s="119">
        <v>46336</v>
      </c>
      <c r="T2487" s="119"/>
      <c r="U2487" s="119">
        <v>46336</v>
      </c>
      <c r="V2487" s="94"/>
      <c r="W2487" s="94"/>
      <c r="X2487" s="94"/>
      <c r="Y2487" s="119">
        <v>46336</v>
      </c>
      <c r="Z2487" s="94"/>
      <c r="AA2487" s="120"/>
      <c r="AB2487" s="120"/>
      <c r="AC2487" s="120"/>
      <c r="AD2487" s="120"/>
      <c r="AE2487" s="120"/>
      <c r="AF2487" s="120"/>
      <c r="AG2487" s="94"/>
      <c r="AH2487" s="120"/>
      <c r="AI2487" s="94"/>
      <c r="AJ2487" s="94" t="s">
        <v>236</v>
      </c>
      <c r="AK2487" s="94" t="s">
        <v>158</v>
      </c>
      <c r="AL2487" s="94">
        <v>160</v>
      </c>
      <c r="AM2487" s="94" t="str">
        <f>TRIM(AJ2487)&amp;TRIM(AL2487)&amp;TRIM(AK2487)</f>
      </c>
      <c r="AN2487" s="116">
        <v>7485.15</v>
      </c>
      <c r="AO2487" s="116">
        <v>834.85</v>
      </c>
      <c r="AP2487" s="116">
        <f>SUMIFS(M:M,AM:AM,AM2487)+SUMIFS(O:O,AM:AM,AM2487)</f>
      </c>
      <c r="AQ2487" s="116">
        <f>SUMIFS(L:L,AM:AM,AM2487)</f>
      </c>
      <c r="AR2487" s="116">
        <f>AQ2487-AP2487</f>
      </c>
      <c r="AS2487" s="94" t="str">
        <f>IF(AN2487&gt;=AQ2487,"ok","ck")</f>
      </c>
      <c r="AT2487" s="116">
        <f>-P2487</f>
      </c>
      <c r="AU2487" s="115">
        <f>IF(SUMIFS(AT:AT,AM:AM,AM2487)&gt;AO2487,(SUMIFS(AT:AT,AM:AM,AM2487)-AO2487))</f>
      </c>
      <c r="AV2487" s="116">
        <v>7485.15</v>
      </c>
      <c r="AW2487" s="121">
        <v>0.9</v>
      </c>
      <c r="AX2487" s="115">
        <f>AN2487-AP2487</f>
      </c>
    </row>
    <row r="2488" spans="1:50" ht="15" hidden="1" customHeight="1" x14ac:dyDescent="0.3">
      <c r="A2488" s="94" t="s">
        <v>151</v>
      </c>
      <c r="B2488" s="94"/>
      <c r="C2488" s="94"/>
      <c r="D2488" s="94"/>
      <c r="E2488" s="94"/>
      <c r="F2488" s="94"/>
      <c r="G2488" s="112">
        <f>AU2488</f>
      </c>
      <c r="H2488" s="113"/>
      <c r="I2488" s="94" t="s">
        <v>152</v>
      </c>
      <c r="J2488" s="94" t="s">
        <v>156</v>
      </c>
      <c r="K2488" s="114">
        <f>P2488/3</f>
      </c>
      <c r="L2488" s="115">
        <v>84.525999999999996</v>
      </c>
      <c r="M2488" s="116"/>
      <c r="N2488" s="117">
        <f>M2488-L2488</f>
      </c>
      <c r="O2488" s="112"/>
      <c r="P2488" s="118">
        <f>N2488+O2488</f>
      </c>
      <c r="Q2488" s="94" t="s">
        <v>236</v>
      </c>
      <c r="R2488" s="94" t="s">
        <v>63</v>
      </c>
      <c r="S2488" s="119">
        <v>46331</v>
      </c>
      <c r="T2488" s="119"/>
      <c r="U2488" s="119">
        <v>46331</v>
      </c>
      <c r="V2488" s="94"/>
      <c r="W2488" s="94"/>
      <c r="X2488" s="94"/>
      <c r="Y2488" s="119">
        <v>46336</v>
      </c>
      <c r="Z2488" s="94"/>
      <c r="AA2488" s="120"/>
      <c r="AB2488" s="120"/>
      <c r="AC2488" s="120"/>
      <c r="AD2488" s="120"/>
      <c r="AE2488" s="120"/>
      <c r="AF2488" s="120"/>
      <c r="AG2488" s="94"/>
      <c r="AH2488" s="120"/>
      <c r="AI2488" s="94"/>
      <c r="AJ2488" s="94" t="s">
        <v>236</v>
      </c>
      <c r="AK2488" s="94" t="s">
        <v>158</v>
      </c>
      <c r="AL2488" s="94">
        <v>160</v>
      </c>
      <c r="AM2488" s="94" t="str">
        <f>TRIM(AJ2488)&amp;TRIM(AL2488)&amp;TRIM(AK2488)</f>
      </c>
      <c r="AN2488" s="116">
        <v>7485.15</v>
      </c>
      <c r="AO2488" s="116">
        <v>834.85</v>
      </c>
      <c r="AP2488" s="116">
        <f>SUMIFS(M:M,AM:AM,AM2488)+SUMIFS(O:O,AM:AM,AM2488)</f>
      </c>
      <c r="AQ2488" s="116">
        <f>SUMIFS(L:L,AM:AM,AM2488)</f>
      </c>
      <c r="AR2488" s="116">
        <f>AQ2488-AP2488</f>
      </c>
      <c r="AS2488" s="94" t="str">
        <f>IF(AN2488&gt;=AQ2488,"ok","ck")</f>
      </c>
      <c r="AT2488" s="116">
        <f>-P2488</f>
      </c>
      <c r="AU2488" s="115">
        <f>IF(SUMIFS(AT:AT,AM:AM,AM2488)&gt;AO2488,(SUMIFS(AT:AT,AM:AM,AM2488)-AO2488))</f>
      </c>
      <c r="AV2488" s="116">
        <v>7485.15</v>
      </c>
      <c r="AW2488" s="121">
        <v>0.9</v>
      </c>
      <c r="AX2488" s="115">
        <f>AN2488-AP2488</f>
      </c>
    </row>
    <row r="2489" spans="1:50" ht="15" hidden="1" customHeight="1" x14ac:dyDescent="0.3">
      <c r="A2489" s="94" t="s">
        <v>151</v>
      </c>
      <c r="B2489" s="94"/>
      <c r="C2489" s="94"/>
      <c r="D2489" s="94"/>
      <c r="E2489" s="94"/>
      <c r="F2489" s="94"/>
      <c r="G2489" s="112">
        <f>AU2489</f>
      </c>
      <c r="H2489" s="113"/>
      <c r="I2489" s="94" t="s">
        <v>152</v>
      </c>
      <c r="J2489" s="94" t="s">
        <v>156</v>
      </c>
      <c r="K2489" s="114">
        <f>P2489/3</f>
      </c>
      <c r="L2489" s="115">
        <v>0</v>
      </c>
      <c r="M2489" s="116"/>
      <c r="N2489" s="117">
        <f>M2489-L2489</f>
      </c>
      <c r="O2489" s="112"/>
      <c r="P2489" s="118">
        <f>N2489+O2489</f>
      </c>
      <c r="Q2489" s="94" t="s">
        <v>236</v>
      </c>
      <c r="R2489" s="94" t="s">
        <v>63</v>
      </c>
      <c r="S2489" s="119">
        <v>46320</v>
      </c>
      <c r="T2489" s="119"/>
      <c r="U2489" s="119">
        <v>46320</v>
      </c>
      <c r="V2489" s="94"/>
      <c r="W2489" s="94"/>
      <c r="X2489" s="94"/>
      <c r="Y2489" s="119">
        <v>46320</v>
      </c>
      <c r="Z2489" s="94"/>
      <c r="AA2489" s="120"/>
      <c r="AB2489" s="120"/>
      <c r="AC2489" s="120"/>
      <c r="AD2489" s="120"/>
      <c r="AE2489" s="120"/>
      <c r="AF2489" s="120"/>
      <c r="AG2489" s="94"/>
      <c r="AH2489" s="120"/>
      <c r="AI2489" s="94"/>
      <c r="AJ2489" s="94" t="s">
        <v>236</v>
      </c>
      <c r="AK2489" s="94" t="s">
        <v>158</v>
      </c>
      <c r="AL2489" s="94">
        <v>160</v>
      </c>
      <c r="AM2489" s="94" t="str">
        <f>TRIM(AJ2489)&amp;TRIM(AL2489)&amp;TRIM(AK2489)</f>
      </c>
      <c r="AN2489" s="116">
        <v>7485.15</v>
      </c>
      <c r="AO2489" s="116">
        <v>834.85</v>
      </c>
      <c r="AP2489" s="116">
        <f>SUMIFS(M:M,AM:AM,AM2489)+SUMIFS(O:O,AM:AM,AM2489)</f>
      </c>
      <c r="AQ2489" s="116">
        <f>SUMIFS(L:L,AM:AM,AM2489)</f>
      </c>
      <c r="AR2489" s="116">
        <f>AQ2489-AP2489</f>
      </c>
      <c r="AS2489" s="94" t="str">
        <f>IF(AN2489&gt;=AQ2489,"ok","ck")</f>
      </c>
      <c r="AT2489" s="116">
        <f>-P2489</f>
      </c>
      <c r="AU2489" s="115">
        <f>IF(SUMIFS(AT:AT,AM:AM,AM2489)&gt;AO2489,(SUMIFS(AT:AT,AM:AM,AM2489)-AO2489))</f>
      </c>
      <c r="AV2489" s="116">
        <v>7485.15</v>
      </c>
      <c r="AW2489" s="121">
        <v>0.9</v>
      </c>
      <c r="AX2489" s="115">
        <f>AN2489-AP2489</f>
      </c>
    </row>
    <row r="2490" spans="1:50" ht="15" hidden="1" customHeight="1" x14ac:dyDescent="0.3">
      <c r="A2490" s="94" t="s">
        <v>151</v>
      </c>
      <c r="B2490" s="94"/>
      <c r="C2490" s="94"/>
      <c r="D2490" s="94"/>
      <c r="E2490" s="94"/>
      <c r="F2490" s="94"/>
      <c r="G2490" s="112">
        <f>AU2490</f>
      </c>
      <c r="H2490" s="113"/>
      <c r="I2490" s="94" t="s">
        <v>152</v>
      </c>
      <c r="J2490" s="94" t="s">
        <v>203</v>
      </c>
      <c r="K2490" s="114">
        <f>P2490/3</f>
      </c>
      <c r="L2490" s="115">
        <v>-4.2549999999999999</v>
      </c>
      <c r="M2490" s="116">
        <f>L2490</f>
      </c>
      <c r="N2490" s="117">
        <f>M2490-L2490</f>
      </c>
      <c r="O2490" s="112"/>
      <c r="P2490" s="118">
        <f>N2490+O2490</f>
      </c>
      <c r="Q2490" s="94" t="s">
        <v>194</v>
      </c>
      <c r="R2490" s="94" t="s">
        <v>63</v>
      </c>
      <c r="S2490" s="119">
        <v>46320</v>
      </c>
      <c r="T2490" s="119"/>
      <c r="U2490" s="119">
        <v>46320</v>
      </c>
      <c r="V2490" s="94"/>
      <c r="W2490" s="94"/>
      <c r="X2490" s="94"/>
      <c r="Y2490" s="119">
        <v>46320</v>
      </c>
      <c r="Z2490" s="94"/>
      <c r="AA2490" s="120"/>
      <c r="AB2490" s="120"/>
      <c r="AC2490" s="120"/>
      <c r="AD2490" s="120"/>
      <c r="AE2490" s="120"/>
      <c r="AF2490" s="120"/>
      <c r="AG2490" s="94"/>
      <c r="AH2490" s="120"/>
      <c r="AI2490" s="94"/>
      <c r="AJ2490" s="94" t="s">
        <v>194</v>
      </c>
      <c r="AK2490" s="94" t="s">
        <v>204</v>
      </c>
      <c r="AL2490" s="94">
        <v>160</v>
      </c>
      <c r="AM2490" s="94" t="str">
        <f>TRIM(AJ2490)&amp;TRIM(AL2490)&amp;TRIM(AK2490)</f>
      </c>
      <c r="AN2490" s="116">
        <v>1314</v>
      </c>
      <c r="AO2490" s="116">
        <v>-34</v>
      </c>
      <c r="AP2490" s="116">
        <f>SUMIFS(M:M,AM:AM,AM2490)+SUMIFS(O:O,AM:AM,AM2490)</f>
      </c>
      <c r="AQ2490" s="116">
        <f>SUMIFS(L:L,AM:AM,AM2490)</f>
      </c>
      <c r="AR2490" s="116">
        <f>AQ2490-AP2490</f>
      </c>
      <c r="AS2490" s="94" t="str">
        <f>IF(AN2490&gt;=AQ2490,"ok","ck")</f>
      </c>
      <c r="AT2490" s="116">
        <f>-P2490</f>
      </c>
      <c r="AU2490" s="115">
        <f>IF(SUMIFS(AT:AT,AM:AM,AM2490)&gt;AO2490,(SUMIFS(AT:AT,AM:AM,AM2490)-AO2490))</f>
      </c>
      <c r="AV2490" s="116">
        <v>1314</v>
      </c>
      <c r="AW2490" s="121">
        <v>1.027</v>
      </c>
      <c r="AX2490" s="115">
        <f>AN2490-AP2490</f>
      </c>
    </row>
    <row r="2491" spans="1:50" ht="15" hidden="1" customHeight="1" x14ac:dyDescent="0.3">
      <c r="A2491" s="94" t="s">
        <v>151</v>
      </c>
      <c r="B2491" s="94"/>
      <c r="C2491" s="94"/>
      <c r="D2491" s="94"/>
      <c r="E2491" s="94"/>
      <c r="F2491" s="94"/>
      <c r="G2491" s="112">
        <f>AU2491</f>
      </c>
      <c r="H2491" s="113"/>
      <c r="I2491" s="94" t="s">
        <v>192</v>
      </c>
      <c r="J2491" s="94" t="s">
        <v>205</v>
      </c>
      <c r="K2491" s="114">
        <f>P2491/3</f>
      </c>
      <c r="L2491" s="115">
        <v>0</v>
      </c>
      <c r="M2491" s="116">
        <f>L2491</f>
      </c>
      <c r="N2491" s="117">
        <f>M2491-L2491</f>
      </c>
      <c r="O2491" s="112"/>
      <c r="P2491" s="118">
        <f>N2491+O2491</f>
      </c>
      <c r="Q2491" s="94" t="s">
        <v>194</v>
      </c>
      <c r="R2491" s="94" t="s">
        <v>63</v>
      </c>
      <c r="S2491" s="119">
        <v>46320</v>
      </c>
      <c r="T2491" s="119"/>
      <c r="U2491" s="119">
        <v>46320</v>
      </c>
      <c r="V2491" s="94"/>
      <c r="W2491" s="94"/>
      <c r="X2491" s="94"/>
      <c r="Y2491" s="119">
        <v>46320</v>
      </c>
      <c r="Z2491" s="94"/>
      <c r="AA2491" s="120"/>
      <c r="AB2491" s="120"/>
      <c r="AC2491" s="120"/>
      <c r="AD2491" s="120"/>
      <c r="AE2491" s="120"/>
      <c r="AF2491" s="120"/>
      <c r="AG2491" s="94"/>
      <c r="AH2491" s="120"/>
      <c r="AI2491" s="94"/>
      <c r="AJ2491" s="94" t="s">
        <v>194</v>
      </c>
      <c r="AK2491" s="94" t="s">
        <v>206</v>
      </c>
      <c r="AL2491" s="94">
        <v>180</v>
      </c>
      <c r="AM2491" s="94" t="str">
        <f>TRIM(AJ2491)&amp;TRIM(AL2491)&amp;TRIM(AK2491)</f>
      </c>
      <c r="AN2491" s="116">
        <v>4559.63</v>
      </c>
      <c r="AO2491" s="116">
        <v>10.37</v>
      </c>
      <c r="AP2491" s="116">
        <f>SUMIFS(M:M,AM:AM,AM2491)+SUMIFS(O:O,AM:AM,AM2491)</f>
      </c>
      <c r="AQ2491" s="116">
        <f>SUMIFS(L:L,AM:AM,AM2491)</f>
      </c>
      <c r="AR2491" s="116">
        <f>AQ2491-AP2491</f>
      </c>
      <c r="AS2491" s="94" t="str">
        <f>IF(AN2491&gt;=AQ2491,"ok","ck")</f>
      </c>
      <c r="AT2491" s="116">
        <f>-P2491</f>
      </c>
      <c r="AU2491" s="115">
        <f>IF(SUMIFS(AT:AT,AM:AM,AM2491)&gt;AO2491,(SUMIFS(AT:AT,AM:AM,AM2491)-AO2491))</f>
      </c>
      <c r="AV2491" s="116">
        <v>4559.63</v>
      </c>
      <c r="AW2491" s="121">
        <v>0.998</v>
      </c>
      <c r="AX2491" s="115">
        <f>AN2491-AP2491</f>
      </c>
    </row>
    <row r="2492" spans="1:50" ht="15" hidden="1" customHeight="1" x14ac:dyDescent="0.3">
      <c r="A2492" s="94" t="s">
        <v>151</v>
      </c>
      <c r="B2492" s="94"/>
      <c r="C2492" s="94"/>
      <c r="D2492" s="94"/>
      <c r="E2492" s="94"/>
      <c r="F2492" s="94"/>
      <c r="G2492" s="112">
        <f>AU2492</f>
      </c>
      <c r="H2492" s="113"/>
      <c r="I2492" s="94" t="s">
        <v>192</v>
      </c>
      <c r="J2492" s="94" t="s">
        <v>205</v>
      </c>
      <c r="K2492" s="114">
        <f>P2492/3</f>
      </c>
      <c r="L2492" s="115">
        <v>0</v>
      </c>
      <c r="M2492" s="116">
        <f>L2492</f>
      </c>
      <c r="N2492" s="117">
        <f>M2492-L2492</f>
      </c>
      <c r="O2492" s="112"/>
      <c r="P2492" s="118">
        <f>N2492+O2492</f>
      </c>
      <c r="Q2492" s="94" t="s">
        <v>194</v>
      </c>
      <c r="R2492" s="94" t="s">
        <v>63</v>
      </c>
      <c r="S2492" s="119">
        <v>46320</v>
      </c>
      <c r="T2492" s="119"/>
      <c r="U2492" s="119">
        <v>46320</v>
      </c>
      <c r="V2492" s="94"/>
      <c r="W2492" s="94"/>
      <c r="X2492" s="94"/>
      <c r="Y2492" s="119">
        <v>46320</v>
      </c>
      <c r="Z2492" s="94"/>
      <c r="AA2492" s="120"/>
      <c r="AB2492" s="120"/>
      <c r="AC2492" s="120"/>
      <c r="AD2492" s="120"/>
      <c r="AE2492" s="120"/>
      <c r="AF2492" s="120"/>
      <c r="AG2492" s="94"/>
      <c r="AH2492" s="120"/>
      <c r="AI2492" s="94"/>
      <c r="AJ2492" s="94" t="s">
        <v>194</v>
      </c>
      <c r="AK2492" s="94" t="s">
        <v>206</v>
      </c>
      <c r="AL2492" s="94">
        <v>180</v>
      </c>
      <c r="AM2492" s="94" t="str">
        <f>TRIM(AJ2492)&amp;TRIM(AL2492)&amp;TRIM(AK2492)</f>
      </c>
      <c r="AN2492" s="116">
        <v>4559.63</v>
      </c>
      <c r="AO2492" s="116">
        <v>10.37</v>
      </c>
      <c r="AP2492" s="116">
        <f>SUMIFS(M:M,AM:AM,AM2492)+SUMIFS(O:O,AM:AM,AM2492)</f>
      </c>
      <c r="AQ2492" s="116">
        <f>SUMIFS(L:L,AM:AM,AM2492)</f>
      </c>
      <c r="AR2492" s="116">
        <f>AQ2492-AP2492</f>
      </c>
      <c r="AS2492" s="94" t="str">
        <f>IF(AN2492&gt;=AQ2492,"ok","ck")</f>
      </c>
      <c r="AT2492" s="116">
        <f>-P2492</f>
      </c>
      <c r="AU2492" s="115">
        <f>IF(SUMIFS(AT:AT,AM:AM,AM2492)&gt;AO2492,(SUMIFS(AT:AT,AM:AM,AM2492)-AO2492))</f>
      </c>
      <c r="AV2492" s="116">
        <v>4559.63</v>
      </c>
      <c r="AW2492" s="121">
        <v>0.998</v>
      </c>
      <c r="AX2492" s="115">
        <f>AN2492-AP2492</f>
      </c>
    </row>
    <row r="2493" spans="1:50" ht="15" hidden="1" customHeight="1" x14ac:dyDescent="0.3">
      <c r="A2493" s="94" t="s">
        <v>151</v>
      </c>
      <c r="B2493" s="94"/>
      <c r="C2493" s="94"/>
      <c r="D2493" s="94"/>
      <c r="E2493" s="94"/>
      <c r="F2493" s="94"/>
      <c r="G2493" s="112">
        <f>AU2493</f>
      </c>
      <c r="H2493" s="113"/>
      <c r="I2493" s="94" t="s">
        <v>192</v>
      </c>
      <c r="J2493" s="94" t="s">
        <v>205</v>
      </c>
      <c r="K2493" s="114">
        <f>P2493/3</f>
      </c>
      <c r="L2493" s="115">
        <v>8.76</v>
      </c>
      <c r="M2493" s="116">
        <f>L2493</f>
      </c>
      <c r="N2493" s="117">
        <f>M2493-L2493</f>
      </c>
      <c r="O2493" s="112"/>
      <c r="P2493" s="118">
        <f>N2493+O2493</f>
      </c>
      <c r="Q2493" s="94" t="s">
        <v>194</v>
      </c>
      <c r="R2493" s="94" t="s">
        <v>63</v>
      </c>
      <c r="S2493" s="119">
        <v>46328</v>
      </c>
      <c r="T2493" s="119"/>
      <c r="U2493" s="119">
        <v>46328</v>
      </c>
      <c r="V2493" s="94"/>
      <c r="W2493" s="94"/>
      <c r="X2493" s="94"/>
      <c r="Y2493" s="119">
        <v>46320</v>
      </c>
      <c r="Z2493" s="94"/>
      <c r="AA2493" s="120"/>
      <c r="AB2493" s="120"/>
      <c r="AC2493" s="120"/>
      <c r="AD2493" s="120"/>
      <c r="AE2493" s="120"/>
      <c r="AF2493" s="120"/>
      <c r="AG2493" s="94"/>
      <c r="AH2493" s="120"/>
      <c r="AI2493" s="94"/>
      <c r="AJ2493" s="94" t="s">
        <v>194</v>
      </c>
      <c r="AK2493" s="94" t="s">
        <v>206</v>
      </c>
      <c r="AL2493" s="94">
        <v>180</v>
      </c>
      <c r="AM2493" s="94" t="str">
        <f>TRIM(AJ2493)&amp;TRIM(AL2493)&amp;TRIM(AK2493)</f>
      </c>
      <c r="AN2493" s="116">
        <v>4559.63</v>
      </c>
      <c r="AO2493" s="116">
        <v>10.37</v>
      </c>
      <c r="AP2493" s="116">
        <f>SUMIFS(M:M,AM:AM,AM2493)+SUMIFS(O:O,AM:AM,AM2493)</f>
      </c>
      <c r="AQ2493" s="116">
        <f>SUMIFS(L:L,AM:AM,AM2493)</f>
      </c>
      <c r="AR2493" s="116">
        <f>AQ2493-AP2493</f>
      </c>
      <c r="AS2493" s="94" t="str">
        <f>IF(AN2493&gt;=AQ2493,"ok","ck")</f>
      </c>
      <c r="AT2493" s="116">
        <f>-P2493</f>
      </c>
      <c r="AU2493" s="115">
        <f>IF(SUMIFS(AT:AT,AM:AM,AM2493)&gt;AO2493,(SUMIFS(AT:AT,AM:AM,AM2493)-AO2493))</f>
      </c>
      <c r="AV2493" s="116">
        <v>4559.63</v>
      </c>
      <c r="AW2493" s="121">
        <v>0.998</v>
      </c>
      <c r="AX2493" s="115">
        <f>AN2493-AP2493</f>
      </c>
    </row>
    <row r="2494" spans="1:50" ht="15" hidden="1" customHeight="1" x14ac:dyDescent="0.3">
      <c r="A2494" s="94" t="s">
        <v>151</v>
      </c>
      <c r="B2494" s="94"/>
      <c r="C2494" s="94"/>
      <c r="D2494" s="94"/>
      <c r="E2494" s="94"/>
      <c r="F2494" s="94"/>
      <c r="G2494" s="112">
        <f>AU2494</f>
      </c>
      <c r="H2494" s="113"/>
      <c r="I2494" s="94" t="s">
        <v>192</v>
      </c>
      <c r="J2494" s="94" t="s">
        <v>193</v>
      </c>
      <c r="K2494" s="114">
        <f>P2494/3</f>
      </c>
      <c r="L2494" s="115">
        <v>0</v>
      </c>
      <c r="M2494" s="116"/>
      <c r="N2494" s="117">
        <f>M2494-L2494</f>
      </c>
      <c r="O2494" s="112"/>
      <c r="P2494" s="118">
        <f>N2494+O2494</f>
      </c>
      <c r="Q2494" s="94" t="s">
        <v>194</v>
      </c>
      <c r="R2494" s="94" t="s">
        <v>63</v>
      </c>
      <c r="S2494" s="119">
        <v>46320</v>
      </c>
      <c r="T2494" s="119"/>
      <c r="U2494" s="119">
        <v>46320</v>
      </c>
      <c r="V2494" s="94"/>
      <c r="W2494" s="94"/>
      <c r="X2494" s="94"/>
      <c r="Y2494" s="119">
        <v>46320</v>
      </c>
      <c r="Z2494" s="94"/>
      <c r="AA2494" s="120"/>
      <c r="AB2494" s="120"/>
      <c r="AC2494" s="120"/>
      <c r="AD2494" s="120"/>
      <c r="AE2494" s="120"/>
      <c r="AF2494" s="120"/>
      <c r="AG2494" s="94"/>
      <c r="AH2494" s="120"/>
      <c r="AI2494" s="94"/>
      <c r="AJ2494" s="94" t="s">
        <v>194</v>
      </c>
      <c r="AK2494" s="94" t="s">
        <v>195</v>
      </c>
      <c r="AL2494" s="94">
        <v>180</v>
      </c>
      <c r="AM2494" s="94" t="str">
        <f>TRIM(AJ2494)&amp;TRIM(AL2494)&amp;TRIM(AK2494)</f>
      </c>
      <c r="AN2494" s="116">
        <v>1857.4</v>
      </c>
      <c r="AO2494" s="116">
        <v>210.6</v>
      </c>
      <c r="AP2494" s="116">
        <f>SUMIFS(M:M,AM:AM,AM2494)+SUMIFS(O:O,AM:AM,AM2494)</f>
      </c>
      <c r="AQ2494" s="116">
        <f>SUMIFS(L:L,AM:AM,AM2494)</f>
      </c>
      <c r="AR2494" s="116">
        <f>AQ2494-AP2494</f>
      </c>
      <c r="AS2494" s="94" t="str">
        <f>IF(AN2494&gt;=AQ2494,"ok","ck")</f>
      </c>
      <c r="AT2494" s="116">
        <f>-P2494</f>
      </c>
      <c r="AU2494" s="115">
        <f>IF(SUMIFS(AT:AT,AM:AM,AM2494)&gt;AO2494,(SUMIFS(AT:AT,AM:AM,AM2494)-AO2494))</f>
      </c>
      <c r="AV2494" s="116">
        <v>1857.4</v>
      </c>
      <c r="AW2494" s="121">
        <v>0.898</v>
      </c>
      <c r="AX2494" s="115">
        <f>AN2494-AP2494</f>
      </c>
    </row>
    <row r="2495" spans="1:50" ht="15" hidden="1" customHeight="1" x14ac:dyDescent="0.3">
      <c r="A2495" s="94" t="s">
        <v>151</v>
      </c>
      <c r="B2495" s="94"/>
      <c r="C2495" s="94"/>
      <c r="D2495" s="94"/>
      <c r="E2495" s="94"/>
      <c r="F2495" s="94"/>
      <c r="G2495" s="112">
        <f>AU2495</f>
      </c>
      <c r="H2495" s="113"/>
      <c r="I2495" s="94" t="s">
        <v>192</v>
      </c>
      <c r="J2495" s="94" t="s">
        <v>193</v>
      </c>
      <c r="K2495" s="114">
        <f>P2495/3</f>
      </c>
      <c r="L2495" s="115">
        <v>0</v>
      </c>
      <c r="M2495" s="116"/>
      <c r="N2495" s="117">
        <f>M2495-L2495</f>
      </c>
      <c r="O2495" s="112"/>
      <c r="P2495" s="118">
        <f>N2495+O2495</f>
      </c>
      <c r="Q2495" s="94" t="s">
        <v>194</v>
      </c>
      <c r="R2495" s="94" t="s">
        <v>63</v>
      </c>
      <c r="S2495" s="119">
        <v>46320</v>
      </c>
      <c r="T2495" s="119"/>
      <c r="U2495" s="119">
        <v>46320</v>
      </c>
      <c r="V2495" s="94"/>
      <c r="W2495" s="94"/>
      <c r="X2495" s="94"/>
      <c r="Y2495" s="119">
        <v>46320</v>
      </c>
      <c r="Z2495" s="94"/>
      <c r="AA2495" s="120"/>
      <c r="AB2495" s="120"/>
      <c r="AC2495" s="120"/>
      <c r="AD2495" s="120"/>
      <c r="AE2495" s="120"/>
      <c r="AF2495" s="120"/>
      <c r="AG2495" s="94"/>
      <c r="AH2495" s="120"/>
      <c r="AI2495" s="94"/>
      <c r="AJ2495" s="94" t="s">
        <v>194</v>
      </c>
      <c r="AK2495" s="94" t="s">
        <v>195</v>
      </c>
      <c r="AL2495" s="94">
        <v>180</v>
      </c>
      <c r="AM2495" s="94" t="str">
        <f>TRIM(AJ2495)&amp;TRIM(AL2495)&amp;TRIM(AK2495)</f>
      </c>
      <c r="AN2495" s="116">
        <v>1857.4</v>
      </c>
      <c r="AO2495" s="116">
        <v>210.6</v>
      </c>
      <c r="AP2495" s="116">
        <f>SUMIFS(M:M,AM:AM,AM2495)+SUMIFS(O:O,AM:AM,AM2495)</f>
      </c>
      <c r="AQ2495" s="116">
        <f>SUMIFS(L:L,AM:AM,AM2495)</f>
      </c>
      <c r="AR2495" s="116">
        <f>AQ2495-AP2495</f>
      </c>
      <c r="AS2495" s="94" t="str">
        <f>IF(AN2495&gt;=AQ2495,"ok","ck")</f>
      </c>
      <c r="AT2495" s="116">
        <f>-P2495</f>
      </c>
      <c r="AU2495" s="115">
        <f>IF(SUMIFS(AT:AT,AM:AM,AM2495)&gt;AO2495,(SUMIFS(AT:AT,AM:AM,AM2495)-AO2495))</f>
      </c>
      <c r="AV2495" s="116">
        <v>1857.4</v>
      </c>
      <c r="AW2495" s="121">
        <v>0.898</v>
      </c>
      <c r="AX2495" s="115">
        <f>AN2495-AP2495</f>
      </c>
    </row>
    <row r="2496" spans="1:50" ht="15" hidden="1" customHeight="1" x14ac:dyDescent="0.3">
      <c r="A2496" s="94" t="s">
        <v>151</v>
      </c>
      <c r="B2496" s="94"/>
      <c r="C2496" s="94"/>
      <c r="D2496" s="94"/>
      <c r="E2496" s="94"/>
      <c r="F2496" s="94"/>
      <c r="G2496" s="112">
        <f>AU2496</f>
      </c>
      <c r="H2496" s="113"/>
      <c r="I2496" s="94" t="s">
        <v>192</v>
      </c>
      <c r="J2496" s="94" t="s">
        <v>193</v>
      </c>
      <c r="K2496" s="114">
        <f>P2496/3</f>
      </c>
      <c r="L2496" s="115">
        <v>0</v>
      </c>
      <c r="M2496" s="116"/>
      <c r="N2496" s="117">
        <f>M2496-L2496</f>
      </c>
      <c r="O2496" s="112"/>
      <c r="P2496" s="118">
        <f>N2496+O2496</f>
      </c>
      <c r="Q2496" s="94" t="s">
        <v>194</v>
      </c>
      <c r="R2496" s="94" t="s">
        <v>63</v>
      </c>
      <c r="S2496" s="120">
        <v>46320</v>
      </c>
      <c r="T2496" s="120"/>
      <c r="U2496" s="120">
        <v>46320</v>
      </c>
      <c r="V2496" s="94"/>
      <c r="W2496" s="94"/>
      <c r="X2496" s="94"/>
      <c r="Y2496" s="119">
        <v>46320</v>
      </c>
      <c r="Z2496" s="94"/>
      <c r="AA2496" s="120"/>
      <c r="AB2496" s="120"/>
      <c r="AC2496" s="120"/>
      <c r="AD2496" s="120"/>
      <c r="AE2496" s="120"/>
      <c r="AF2496" s="120"/>
      <c r="AG2496" s="94"/>
      <c r="AH2496" s="120"/>
      <c r="AI2496" s="94"/>
      <c r="AJ2496" s="94" t="s">
        <v>194</v>
      </c>
      <c r="AK2496" s="94" t="s">
        <v>195</v>
      </c>
      <c r="AL2496" s="94">
        <v>180</v>
      </c>
      <c r="AM2496" s="94" t="str">
        <f>TRIM(AJ2496)&amp;TRIM(AL2496)&amp;TRIM(AK2496)</f>
      </c>
      <c r="AN2496" s="116">
        <v>1857.4</v>
      </c>
      <c r="AO2496" s="116">
        <v>210.6</v>
      </c>
      <c r="AP2496" s="116">
        <f>SUMIFS(M:M,AM:AM,AM2496)+SUMIFS(O:O,AM:AM,AM2496)</f>
      </c>
      <c r="AQ2496" s="116">
        <f>SUMIFS(L:L,AM:AM,AM2496)</f>
      </c>
      <c r="AR2496" s="116">
        <f>AQ2496-AP2496</f>
      </c>
      <c r="AS2496" s="94" t="str">
        <f>IF(AN2496&gt;=AQ2496,"ok","ck")</f>
      </c>
      <c r="AT2496" s="116">
        <f>-P2496</f>
      </c>
      <c r="AU2496" s="115">
        <f>IF(SUMIFS(AT:AT,AM:AM,AM2496)&gt;AO2496,(SUMIFS(AT:AT,AM:AM,AM2496)-AO2496))</f>
      </c>
      <c r="AV2496" s="116">
        <v>1857.4</v>
      </c>
      <c r="AW2496" s="121">
        <v>0.898</v>
      </c>
      <c r="AX2496" s="115">
        <f>AN2496-AP2496</f>
      </c>
    </row>
    <row r="2497" spans="1:50" ht="15" hidden="1" customHeight="1" x14ac:dyDescent="0.3">
      <c r="A2497" s="94" t="s">
        <v>151</v>
      </c>
      <c r="B2497" s="94"/>
      <c r="C2497" s="94"/>
      <c r="D2497" s="94"/>
      <c r="E2497" s="94"/>
      <c r="F2497" s="94"/>
      <c r="G2497" s="112">
        <f>AU2497</f>
      </c>
      <c r="H2497" s="113"/>
      <c r="I2497" s="94" t="s">
        <v>192</v>
      </c>
      <c r="J2497" s="94" t="s">
        <v>193</v>
      </c>
      <c r="K2497" s="114">
        <f>P2497/3</f>
      </c>
      <c r="L2497" s="115">
        <v>209.31</v>
      </c>
      <c r="M2497" s="116"/>
      <c r="N2497" s="117">
        <f>M2497-L2497</f>
      </c>
      <c r="O2497" s="112"/>
      <c r="P2497" s="118">
        <f>N2497+O2497</f>
      </c>
      <c r="Q2497" s="94" t="s">
        <v>194</v>
      </c>
      <c r="R2497" s="94" t="s">
        <v>63</v>
      </c>
      <c r="S2497" s="120">
        <v>46328</v>
      </c>
      <c r="T2497" s="120"/>
      <c r="U2497" s="120">
        <v>46328</v>
      </c>
      <c r="V2497" s="94"/>
      <c r="W2497" s="94"/>
      <c r="X2497" s="94"/>
      <c r="Y2497" s="119">
        <v>46320</v>
      </c>
      <c r="Z2497" s="94"/>
      <c r="AA2497" s="120"/>
      <c r="AB2497" s="120"/>
      <c r="AC2497" s="120"/>
      <c r="AD2497" s="120"/>
      <c r="AE2497" s="120"/>
      <c r="AF2497" s="120"/>
      <c r="AG2497" s="94"/>
      <c r="AH2497" s="120"/>
      <c r="AI2497" s="94"/>
      <c r="AJ2497" s="94" t="s">
        <v>194</v>
      </c>
      <c r="AK2497" s="94" t="s">
        <v>195</v>
      </c>
      <c r="AL2497" s="94">
        <v>180</v>
      </c>
      <c r="AM2497" s="94" t="str">
        <f>TRIM(AJ2497)&amp;TRIM(AL2497)&amp;TRIM(AK2497)</f>
      </c>
      <c r="AN2497" s="116">
        <v>1857.4</v>
      </c>
      <c r="AO2497" s="116">
        <v>210.6</v>
      </c>
      <c r="AP2497" s="116">
        <f>SUMIFS(M:M,AM:AM,AM2497)+SUMIFS(O:O,AM:AM,AM2497)</f>
      </c>
      <c r="AQ2497" s="116">
        <f>SUMIFS(L:L,AM:AM,AM2497)</f>
      </c>
      <c r="AR2497" s="116">
        <f>AQ2497-AP2497</f>
      </c>
      <c r="AS2497" s="94" t="str">
        <f>IF(AN2497&gt;=AQ2497,"ok","ck")</f>
      </c>
      <c r="AT2497" s="116">
        <f>-P2497</f>
      </c>
      <c r="AU2497" s="115">
        <f>IF(SUMIFS(AT:AT,AM:AM,AM2497)&gt;AO2497,(SUMIFS(AT:AT,AM:AM,AM2497)-AO2497))</f>
      </c>
      <c r="AV2497" s="116">
        <v>1857.4</v>
      </c>
      <c r="AW2497" s="121">
        <v>0.898</v>
      </c>
      <c r="AX2497" s="115">
        <f>AN2497-AP2497</f>
      </c>
    </row>
    <row r="2498" spans="1:50" ht="15" hidden="1" customHeight="1" x14ac:dyDescent="0.3">
      <c r="A2498" s="94" t="s">
        <v>151</v>
      </c>
      <c r="B2498" s="94"/>
      <c r="C2498" s="94"/>
      <c r="D2498" s="94"/>
      <c r="E2498" s="94"/>
      <c r="F2498" s="94"/>
      <c r="G2498" s="112">
        <f>AU2498</f>
      </c>
      <c r="H2498" s="113"/>
      <c r="I2498" s="94" t="s">
        <v>152</v>
      </c>
      <c r="J2498" s="94" t="s">
        <v>156</v>
      </c>
      <c r="K2498" s="114">
        <f>P2498/3</f>
      </c>
      <c r="L2498" s="115">
        <v>0</v>
      </c>
      <c r="M2498" s="116"/>
      <c r="N2498" s="117">
        <f>M2498-L2498</f>
      </c>
      <c r="O2498" s="112"/>
      <c r="P2498" s="118">
        <f>N2498+O2498</f>
      </c>
      <c r="Q2498" s="94" t="s">
        <v>236</v>
      </c>
      <c r="R2498" s="94" t="s">
        <v>63</v>
      </c>
      <c r="S2498" s="120">
        <v>46320</v>
      </c>
      <c r="T2498" s="120"/>
      <c r="U2498" s="120">
        <v>46320</v>
      </c>
      <c r="V2498" s="94"/>
      <c r="W2498" s="94"/>
      <c r="X2498" s="94"/>
      <c r="Y2498" s="119">
        <v>46320</v>
      </c>
      <c r="Z2498" s="94"/>
      <c r="AA2498" s="120"/>
      <c r="AB2498" s="120"/>
      <c r="AC2498" s="120"/>
      <c r="AD2498" s="120"/>
      <c r="AE2498" s="120"/>
      <c r="AF2498" s="120"/>
      <c r="AG2498" s="94"/>
      <c r="AH2498" s="120"/>
      <c r="AI2498" s="94"/>
      <c r="AJ2498" s="94" t="s">
        <v>236</v>
      </c>
      <c r="AK2498" s="94" t="s">
        <v>158</v>
      </c>
      <c r="AL2498" s="94">
        <v>160</v>
      </c>
      <c r="AM2498" s="94" t="str">
        <f>TRIM(AJ2498)&amp;TRIM(AL2498)&amp;TRIM(AK2498)</f>
      </c>
      <c r="AN2498" s="116">
        <v>7485.15</v>
      </c>
      <c r="AO2498" s="116">
        <v>834.85</v>
      </c>
      <c r="AP2498" s="116">
        <f>SUMIFS(M:M,AM:AM,AM2498)+SUMIFS(O:O,AM:AM,AM2498)</f>
      </c>
      <c r="AQ2498" s="116">
        <f>SUMIFS(L:L,AM:AM,AM2498)</f>
      </c>
      <c r="AR2498" s="116">
        <f>AQ2498-AP2498</f>
      </c>
      <c r="AS2498" s="94" t="str">
        <f>IF(AN2498&gt;=AQ2498,"ok","ck")</f>
      </c>
      <c r="AT2498" s="116">
        <f>-P2498</f>
      </c>
      <c r="AU2498" s="115">
        <f>IF(SUMIFS(AT:AT,AM:AM,AM2498)&gt;AO2498,(SUMIFS(AT:AT,AM:AM,AM2498)-AO2498))</f>
      </c>
      <c r="AV2498" s="116">
        <v>7485.15</v>
      </c>
      <c r="AW2498" s="121">
        <v>0.9</v>
      </c>
      <c r="AX2498" s="115">
        <f>AN2498-AP2498</f>
      </c>
    </row>
    <row r="2499" spans="1:50" ht="15" hidden="1" customHeight="1" x14ac:dyDescent="0.3">
      <c r="A2499" s="94" t="s">
        <v>93</v>
      </c>
      <c r="B2499" s="94"/>
      <c r="C2499" s="94"/>
      <c r="D2499" s="94"/>
      <c r="E2499" s="94"/>
      <c r="F2499" s="94"/>
      <c r="G2499" s="112">
        <f>AU2499</f>
      </c>
      <c r="H2499" s="113"/>
      <c r="I2499" s="94" t="s">
        <v>494</v>
      </c>
      <c r="J2499" s="94" t="s">
        <v>621</v>
      </c>
      <c r="K2499" s="114">
        <f>P2499/3</f>
      </c>
      <c r="L2499" s="115">
        <v>0</v>
      </c>
      <c r="M2499" s="116">
        <f>L2499</f>
      </c>
      <c r="N2499" s="117">
        <f>M2499-L2499</f>
      </c>
      <c r="O2499" s="112"/>
      <c r="P2499" s="118">
        <f>N2499+O2499</f>
      </c>
      <c r="Q2499" s="94" t="s">
        <v>95</v>
      </c>
      <c r="R2499" s="94" t="s">
        <v>63</v>
      </c>
      <c r="S2499" s="120">
        <v>46320</v>
      </c>
      <c r="T2499" s="120"/>
      <c r="U2499" s="120">
        <v>46320</v>
      </c>
      <c r="V2499" s="94"/>
      <c r="W2499" s="94"/>
      <c r="X2499" s="94"/>
      <c r="Y2499" s="119">
        <v>46320</v>
      </c>
      <c r="Z2499" s="94"/>
      <c r="AA2499" s="120"/>
      <c r="AB2499" s="120"/>
      <c r="AC2499" s="120"/>
      <c r="AD2499" s="120"/>
      <c r="AE2499" s="120"/>
      <c r="AF2499" s="120"/>
      <c r="AG2499" s="94"/>
      <c r="AH2499" s="120"/>
      <c r="AI2499" s="94"/>
      <c r="AJ2499" s="94" t="s">
        <v>95</v>
      </c>
      <c r="AK2499" s="94" t="s">
        <v>768</v>
      </c>
      <c r="AL2499" s="94">
        <v>210</v>
      </c>
      <c r="AM2499" s="94" t="str">
        <f>TRIM(AJ2499)&amp;TRIM(AL2499)&amp;TRIM(AK2499)</f>
      </c>
      <c r="AN2499" s="116">
        <v>2743</v>
      </c>
      <c r="AO2499" s="116">
        <v>-24</v>
      </c>
      <c r="AP2499" s="116">
        <f>SUMIFS(M:M,AM:AM,AM2499)+SUMIFS(O:O,AM:AM,AM2499)</f>
      </c>
      <c r="AQ2499" s="116">
        <f>SUMIFS(L:L,AM:AM,AM2499)</f>
      </c>
      <c r="AR2499" s="116">
        <f>AQ2499-AP2499</f>
      </c>
      <c r="AS2499" s="94" t="str">
        <f>IF(AN2499&gt;=AQ2499,"ok","ck")</f>
      </c>
      <c r="AT2499" s="116">
        <f>-P2499</f>
      </c>
      <c r="AU2499" s="115">
        <f>IF(SUMIFS(AT:AT,AM:AM,AM2499)&gt;AO2499,(SUMIFS(AT:AT,AM:AM,AM2499)-AO2499))</f>
      </c>
      <c r="AV2499" s="116">
        <v>2743</v>
      </c>
      <c r="AW2499" s="121">
        <v>1.009</v>
      </c>
      <c r="AX2499" s="115">
        <f>AN2499-AP2499</f>
      </c>
    </row>
    <row r="2500" spans="1:50" ht="15" hidden="1" customHeight="1" x14ac:dyDescent="0.3">
      <c r="A2500" s="94" t="s">
        <v>93</v>
      </c>
      <c r="B2500" s="94"/>
      <c r="C2500" s="94"/>
      <c r="D2500" s="94"/>
      <c r="E2500" s="94"/>
      <c r="F2500" s="94"/>
      <c r="G2500" s="112">
        <f>AU2500</f>
      </c>
      <c r="H2500" s="113"/>
      <c r="I2500" s="94" t="s">
        <v>494</v>
      </c>
      <c r="J2500" s="94" t="s">
        <v>621</v>
      </c>
      <c r="K2500" s="114">
        <f>P2500/3</f>
      </c>
      <c r="L2500" s="115">
        <v>0</v>
      </c>
      <c r="M2500" s="116">
        <f>L2500</f>
      </c>
      <c r="N2500" s="117">
        <f>M2500-L2500</f>
      </c>
      <c r="O2500" s="112"/>
      <c r="P2500" s="118">
        <f>N2500+O2500</f>
      </c>
      <c r="Q2500" s="94" t="s">
        <v>95</v>
      </c>
      <c r="R2500" s="94" t="s">
        <v>63</v>
      </c>
      <c r="S2500" s="120">
        <v>46320</v>
      </c>
      <c r="T2500" s="120"/>
      <c r="U2500" s="120">
        <v>46320</v>
      </c>
      <c r="V2500" s="94"/>
      <c r="W2500" s="94"/>
      <c r="X2500" s="94"/>
      <c r="Y2500" s="119">
        <v>46320</v>
      </c>
      <c r="Z2500" s="94"/>
      <c r="AA2500" s="120"/>
      <c r="AB2500" s="120"/>
      <c r="AC2500" s="120"/>
      <c r="AD2500" s="120"/>
      <c r="AE2500" s="120"/>
      <c r="AF2500" s="120"/>
      <c r="AG2500" s="94"/>
      <c r="AH2500" s="120"/>
      <c r="AI2500" s="94"/>
      <c r="AJ2500" s="94" t="s">
        <v>95</v>
      </c>
      <c r="AK2500" s="94" t="s">
        <v>768</v>
      </c>
      <c r="AL2500" s="94">
        <v>210</v>
      </c>
      <c r="AM2500" s="94" t="str">
        <f>TRIM(AJ2500)&amp;TRIM(AL2500)&amp;TRIM(AK2500)</f>
      </c>
      <c r="AN2500" s="116">
        <v>2743</v>
      </c>
      <c r="AO2500" s="116">
        <v>-24</v>
      </c>
      <c r="AP2500" s="116">
        <f>SUMIFS(M:M,AM:AM,AM2500)+SUMIFS(O:O,AM:AM,AM2500)</f>
      </c>
      <c r="AQ2500" s="116">
        <f>SUMIFS(L:L,AM:AM,AM2500)</f>
      </c>
      <c r="AR2500" s="116">
        <f>AQ2500-AP2500</f>
      </c>
      <c r="AS2500" s="94" t="str">
        <f>IF(AN2500&gt;=AQ2500,"ok","ck")</f>
      </c>
      <c r="AT2500" s="116">
        <f>-P2500</f>
      </c>
      <c r="AU2500" s="115">
        <f>IF(SUMIFS(AT:AT,AM:AM,AM2500)&gt;AO2500,(SUMIFS(AT:AT,AM:AM,AM2500)-AO2500))</f>
      </c>
      <c r="AV2500" s="116">
        <v>2743</v>
      </c>
      <c r="AW2500" s="121">
        <v>1.009</v>
      </c>
      <c r="AX2500" s="115">
        <f>AN2500-AP2500</f>
      </c>
    </row>
    <row r="2501" spans="1:50" ht="15" hidden="1" customHeight="1" x14ac:dyDescent="0.3">
      <c r="A2501" s="94" t="s">
        <v>93</v>
      </c>
      <c r="B2501" s="94"/>
      <c r="C2501" s="94"/>
      <c r="D2501" s="94"/>
      <c r="E2501" s="94"/>
      <c r="F2501" s="94"/>
      <c r="G2501" s="112">
        <f>AU2501</f>
      </c>
      <c r="H2501" s="113"/>
      <c r="I2501" s="94" t="s">
        <v>494</v>
      </c>
      <c r="J2501" s="94" t="s">
        <v>159</v>
      </c>
      <c r="K2501" s="114">
        <f>P2501/3</f>
      </c>
      <c r="L2501" s="115">
        <v>0</v>
      </c>
      <c r="M2501" s="116">
        <f>L2501</f>
      </c>
      <c r="N2501" s="117">
        <f>M2501-L2501</f>
      </c>
      <c r="O2501" s="112"/>
      <c r="P2501" s="118">
        <f>N2501+O2501</f>
      </c>
      <c r="Q2501" s="94" t="s">
        <v>95</v>
      </c>
      <c r="R2501" s="94" t="s">
        <v>63</v>
      </c>
      <c r="S2501" s="119">
        <v>46320</v>
      </c>
      <c r="T2501" s="119"/>
      <c r="U2501" s="119">
        <v>46320</v>
      </c>
      <c r="V2501" s="94"/>
      <c r="W2501" s="94"/>
      <c r="X2501" s="94"/>
      <c r="Y2501" s="119">
        <v>46320</v>
      </c>
      <c r="Z2501" s="94"/>
      <c r="AA2501" s="120"/>
      <c r="AB2501" s="120"/>
      <c r="AC2501" s="120"/>
      <c r="AD2501" s="120"/>
      <c r="AE2501" s="120"/>
      <c r="AF2501" s="120"/>
      <c r="AG2501" s="94"/>
      <c r="AH2501" s="120"/>
      <c r="AI2501" s="94"/>
      <c r="AJ2501" s="94" t="s">
        <v>95</v>
      </c>
      <c r="AK2501" s="94" t="s">
        <v>159</v>
      </c>
      <c r="AL2501" s="94">
        <v>210</v>
      </c>
      <c r="AM2501" s="94" t="str">
        <f>TRIM(AJ2501)&amp;TRIM(AL2501)&amp;TRIM(AK2501)</f>
      </c>
      <c r="AN2501" s="116">
        <v>1335</v>
      </c>
      <c r="AO2501" s="116">
        <v>10</v>
      </c>
      <c r="AP2501" s="116">
        <f>SUMIFS(M:M,AM:AM,AM2501)+SUMIFS(O:O,AM:AM,AM2501)</f>
      </c>
      <c r="AQ2501" s="116">
        <f>SUMIFS(L:L,AM:AM,AM2501)</f>
      </c>
      <c r="AR2501" s="116">
        <f>AQ2501-AP2501</f>
      </c>
      <c r="AS2501" s="94" t="str">
        <f>IF(AN2501&gt;=AQ2501,"ok","ck")</f>
      </c>
      <c r="AT2501" s="116">
        <f>-P2501</f>
      </c>
      <c r="AU2501" s="115">
        <f>IF(SUMIFS(AT:AT,AM:AM,AM2501)&gt;AO2501,(SUMIFS(AT:AT,AM:AM,AM2501)-AO2501))</f>
      </c>
      <c r="AV2501" s="116">
        <v>1335</v>
      </c>
      <c r="AW2501" s="121">
        <v>0.993</v>
      </c>
      <c r="AX2501" s="115">
        <f>AN2501-AP2501</f>
      </c>
    </row>
    <row r="2502" spans="1:50" ht="15" hidden="1" customHeight="1" x14ac:dyDescent="0.3">
      <c r="A2502" s="94" t="s">
        <v>151</v>
      </c>
      <c r="B2502" s="94"/>
      <c r="C2502" s="94"/>
      <c r="D2502" s="94"/>
      <c r="E2502" s="94"/>
      <c r="F2502" s="94"/>
      <c r="G2502" s="112">
        <f>AU2502</f>
      </c>
      <c r="H2502" s="113"/>
      <c r="I2502" s="94" t="s">
        <v>152</v>
      </c>
      <c r="J2502" s="94" t="s">
        <v>203</v>
      </c>
      <c r="K2502" s="114">
        <f>P2502/3</f>
      </c>
      <c r="L2502" s="115">
        <v>-4.2549999999999999</v>
      </c>
      <c r="M2502" s="116">
        <f>L2502</f>
      </c>
      <c r="N2502" s="117">
        <f>M2502-L2502</f>
      </c>
      <c r="O2502" s="112"/>
      <c r="P2502" s="118">
        <f>N2502+O2502</f>
      </c>
      <c r="Q2502" s="94" t="s">
        <v>194</v>
      </c>
      <c r="R2502" s="94" t="s">
        <v>63</v>
      </c>
      <c r="S2502" s="119">
        <v>46320</v>
      </c>
      <c r="T2502" s="119"/>
      <c r="U2502" s="119">
        <v>46320</v>
      </c>
      <c r="V2502" s="94"/>
      <c r="W2502" s="94"/>
      <c r="X2502" s="94"/>
      <c r="Y2502" s="119">
        <v>46320</v>
      </c>
      <c r="Z2502" s="94"/>
      <c r="AA2502" s="120"/>
      <c r="AB2502" s="120"/>
      <c r="AC2502" s="120"/>
      <c r="AD2502" s="120"/>
      <c r="AE2502" s="120"/>
      <c r="AF2502" s="120"/>
      <c r="AG2502" s="94"/>
      <c r="AH2502" s="120"/>
      <c r="AI2502" s="94"/>
      <c r="AJ2502" s="94" t="s">
        <v>194</v>
      </c>
      <c r="AK2502" s="94" t="s">
        <v>204</v>
      </c>
      <c r="AL2502" s="94">
        <v>160</v>
      </c>
      <c r="AM2502" s="94" t="str">
        <f>TRIM(AJ2502)&amp;TRIM(AL2502)&amp;TRIM(AK2502)</f>
      </c>
      <c r="AN2502" s="116">
        <v>1314</v>
      </c>
      <c r="AO2502" s="116">
        <v>-34</v>
      </c>
      <c r="AP2502" s="116">
        <f>SUMIFS(M:M,AM:AM,AM2502)+SUMIFS(O:O,AM:AM,AM2502)</f>
      </c>
      <c r="AQ2502" s="116">
        <f>SUMIFS(L:L,AM:AM,AM2502)</f>
      </c>
      <c r="AR2502" s="116">
        <f>AQ2502-AP2502</f>
      </c>
      <c r="AS2502" s="94" t="str">
        <f>IF(AN2502&gt;=AQ2502,"ok","ck")</f>
      </c>
      <c r="AT2502" s="116">
        <f>-P2502</f>
      </c>
      <c r="AU2502" s="115">
        <f>IF(SUMIFS(AT:AT,AM:AM,AM2502)&gt;AO2502,(SUMIFS(AT:AT,AM:AM,AM2502)-AO2502))</f>
      </c>
      <c r="AV2502" s="116">
        <v>1314</v>
      </c>
      <c r="AW2502" s="121">
        <v>1.027</v>
      </c>
      <c r="AX2502" s="115">
        <f>AN2502-AP2502</f>
      </c>
    </row>
    <row r="2503" spans="1:50" ht="15" hidden="1" customHeight="1" x14ac:dyDescent="0.3">
      <c r="A2503" s="94" t="s">
        <v>151</v>
      </c>
      <c r="B2503" s="94"/>
      <c r="C2503" s="94"/>
      <c r="D2503" s="94"/>
      <c r="E2503" s="94"/>
      <c r="F2503" s="94"/>
      <c r="G2503" s="112">
        <f>AU2503</f>
      </c>
      <c r="H2503" s="113"/>
      <c r="I2503" s="94" t="s">
        <v>152</v>
      </c>
      <c r="J2503" s="94" t="s">
        <v>203</v>
      </c>
      <c r="K2503" s="114">
        <f>P2503/3</f>
      </c>
      <c r="L2503" s="115">
        <v>-4.2549999999999999</v>
      </c>
      <c r="M2503" s="116">
        <f>L2503</f>
      </c>
      <c r="N2503" s="117">
        <f>M2503-L2503</f>
      </c>
      <c r="O2503" s="112"/>
      <c r="P2503" s="118">
        <f>N2503+O2503</f>
      </c>
      <c r="Q2503" s="94" t="s">
        <v>194</v>
      </c>
      <c r="R2503" s="94" t="s">
        <v>63</v>
      </c>
      <c r="S2503" s="119">
        <v>46320</v>
      </c>
      <c r="T2503" s="119"/>
      <c r="U2503" s="119">
        <v>46320</v>
      </c>
      <c r="V2503" s="94"/>
      <c r="W2503" s="94"/>
      <c r="X2503" s="94"/>
      <c r="Y2503" s="119">
        <v>46320</v>
      </c>
      <c r="Z2503" s="94"/>
      <c r="AA2503" s="120"/>
      <c r="AB2503" s="120"/>
      <c r="AC2503" s="120"/>
      <c r="AD2503" s="120"/>
      <c r="AE2503" s="120"/>
      <c r="AF2503" s="120"/>
      <c r="AG2503" s="94"/>
      <c r="AH2503" s="120"/>
      <c r="AI2503" s="94"/>
      <c r="AJ2503" s="94" t="s">
        <v>194</v>
      </c>
      <c r="AK2503" s="94" t="s">
        <v>204</v>
      </c>
      <c r="AL2503" s="94">
        <v>160</v>
      </c>
      <c r="AM2503" s="94" t="str">
        <f>TRIM(AJ2503)&amp;TRIM(AL2503)&amp;TRIM(AK2503)</f>
      </c>
      <c r="AN2503" s="116">
        <v>1314</v>
      </c>
      <c r="AO2503" s="116">
        <v>-34</v>
      </c>
      <c r="AP2503" s="116">
        <f>SUMIFS(M:M,AM:AM,AM2503)+SUMIFS(O:O,AM:AM,AM2503)</f>
      </c>
      <c r="AQ2503" s="116">
        <f>SUMIFS(L:L,AM:AM,AM2503)</f>
      </c>
      <c r="AR2503" s="116">
        <f>AQ2503-AP2503</f>
      </c>
      <c r="AS2503" s="94" t="str">
        <f>IF(AN2503&gt;=AQ2503,"ok","ck")</f>
      </c>
      <c r="AT2503" s="116">
        <f>-P2503</f>
      </c>
      <c r="AU2503" s="115">
        <f>IF(SUMIFS(AT:AT,AM:AM,AM2503)&gt;AO2503,(SUMIFS(AT:AT,AM:AM,AM2503)-AO2503))</f>
      </c>
      <c r="AV2503" s="116">
        <v>1314</v>
      </c>
      <c r="AW2503" s="121">
        <v>1.027</v>
      </c>
      <c r="AX2503" s="115">
        <f>AN2503-AP2503</f>
      </c>
    </row>
    <row r="2504" spans="1:50" ht="15" hidden="1" customHeight="1" x14ac:dyDescent="0.3">
      <c r="A2504" s="94" t="s">
        <v>76</v>
      </c>
      <c r="B2504" s="94"/>
      <c r="C2504" s="94"/>
      <c r="D2504" s="94"/>
      <c r="E2504" s="94"/>
      <c r="F2504" s="94"/>
      <c r="G2504" s="112">
        <f>AU2504</f>
      </c>
      <c r="H2504" s="113"/>
      <c r="I2504" s="94" t="s">
        <v>77</v>
      </c>
      <c r="J2504" s="94" t="s">
        <v>79</v>
      </c>
      <c r="K2504" s="114">
        <f>P2504/3</f>
      </c>
      <c r="L2504" s="115">
        <v>0</v>
      </c>
      <c r="M2504" s="116">
        <f>L2504</f>
      </c>
      <c r="N2504" s="117">
        <f>M2504-L2504</f>
      </c>
      <c r="O2504" s="112"/>
      <c r="P2504" s="118">
        <f>N2504+O2504</f>
      </c>
      <c r="Q2504" s="94" t="s">
        <v>78</v>
      </c>
      <c r="R2504" s="94" t="s">
        <v>63</v>
      </c>
      <c r="S2504" s="119">
        <v>46331</v>
      </c>
      <c r="T2504" s="119"/>
      <c r="U2504" s="119">
        <v>46331</v>
      </c>
      <c r="V2504" s="94"/>
      <c r="W2504" s="94"/>
      <c r="X2504" s="94"/>
      <c r="Y2504" s="119">
        <v>46331</v>
      </c>
      <c r="Z2504" s="94"/>
      <c r="AA2504" s="120"/>
      <c r="AB2504" s="120"/>
      <c r="AC2504" s="120"/>
      <c r="AD2504" s="120"/>
      <c r="AE2504" s="120"/>
      <c r="AF2504" s="120"/>
      <c r="AG2504" s="94"/>
      <c r="AH2504" s="120"/>
      <c r="AI2504" s="94"/>
      <c r="AJ2504" s="94" t="s">
        <v>78</v>
      </c>
      <c r="AK2504" s="94" t="s">
        <v>79</v>
      </c>
      <c r="AL2504" s="94">
        <v>150</v>
      </c>
      <c r="AM2504" s="94" t="str">
        <f>TRIM(AJ2504)&amp;TRIM(AL2504)&amp;TRIM(AK2504)</f>
      </c>
      <c r="AN2504" s="116">
        <v>1537.22</v>
      </c>
      <c r="AO2504" s="116">
        <v>-32.55</v>
      </c>
      <c r="AP2504" s="116">
        <f>SUMIFS(M:M,AM:AM,AM2504)+SUMIFS(O:O,AM:AM,AM2504)</f>
      </c>
      <c r="AQ2504" s="116">
        <f>SUMIFS(L:L,AM:AM,AM2504)</f>
      </c>
      <c r="AR2504" s="116">
        <f>AQ2504-AP2504</f>
      </c>
      <c r="AS2504" s="94" t="str">
        <f>IF(AN2504&gt;=AQ2504,"ok","ck")</f>
      </c>
      <c r="AT2504" s="116">
        <f>-P2504</f>
      </c>
      <c r="AU2504" s="115">
        <f>IF(SUMIFS(AT:AT,AM:AM,AM2504)&gt;AO2504,(SUMIFS(AT:AT,AM:AM,AM2504)-AO2504))</f>
      </c>
      <c r="AV2504" s="116">
        <v>1537.22</v>
      </c>
      <c r="AW2504" s="121">
        <v>1.022</v>
      </c>
      <c r="AX2504" s="115">
        <f>AN2504-AP2504</f>
      </c>
    </row>
    <row r="2505" spans="1:50" ht="15" hidden="1" customHeight="1" x14ac:dyDescent="0.3">
      <c r="A2505" s="94" t="s">
        <v>76</v>
      </c>
      <c r="B2505" s="94"/>
      <c r="C2505" s="94"/>
      <c r="D2505" s="94"/>
      <c r="E2505" s="94"/>
      <c r="F2505" s="94"/>
      <c r="G2505" s="112">
        <f>AU2505</f>
      </c>
      <c r="H2505" s="113"/>
      <c r="I2505" s="94" t="s">
        <v>77</v>
      </c>
      <c r="J2505" s="94" t="s">
        <v>79</v>
      </c>
      <c r="K2505" s="114">
        <f>P2505/3</f>
      </c>
      <c r="L2505" s="115">
        <v>0</v>
      </c>
      <c r="M2505" s="116">
        <f>L2505</f>
      </c>
      <c r="N2505" s="117">
        <f>M2505-L2505</f>
      </c>
      <c r="O2505" s="112"/>
      <c r="P2505" s="118">
        <f>N2505+O2505</f>
      </c>
      <c r="Q2505" s="94" t="s">
        <v>78</v>
      </c>
      <c r="R2505" s="94" t="s">
        <v>63</v>
      </c>
      <c r="S2505" s="119">
        <v>46333</v>
      </c>
      <c r="T2505" s="119"/>
      <c r="U2505" s="119">
        <v>46333</v>
      </c>
      <c r="V2505" s="94"/>
      <c r="W2505" s="94"/>
      <c r="X2505" s="94"/>
      <c r="Y2505" s="119">
        <v>46333</v>
      </c>
      <c r="Z2505" s="94"/>
      <c r="AA2505" s="120"/>
      <c r="AB2505" s="120"/>
      <c r="AC2505" s="120"/>
      <c r="AD2505" s="120"/>
      <c r="AE2505" s="120"/>
      <c r="AF2505" s="120"/>
      <c r="AG2505" s="94"/>
      <c r="AH2505" s="120"/>
      <c r="AI2505" s="94"/>
      <c r="AJ2505" s="94" t="s">
        <v>78</v>
      </c>
      <c r="AK2505" s="94" t="s">
        <v>79</v>
      </c>
      <c r="AL2505" s="94">
        <v>150</v>
      </c>
      <c r="AM2505" s="94" t="str">
        <f>TRIM(AJ2505)&amp;TRIM(AL2505)&amp;TRIM(AK2505)</f>
      </c>
      <c r="AN2505" s="116">
        <v>1537.22</v>
      </c>
      <c r="AO2505" s="116">
        <v>-32.55</v>
      </c>
      <c r="AP2505" s="116">
        <f>SUMIFS(M:M,AM:AM,AM2505)+SUMIFS(O:O,AM:AM,AM2505)</f>
      </c>
      <c r="AQ2505" s="116">
        <f>SUMIFS(L:L,AM:AM,AM2505)</f>
      </c>
      <c r="AR2505" s="116">
        <f>AQ2505-AP2505</f>
      </c>
      <c r="AS2505" s="94" t="str">
        <f>IF(AN2505&gt;=AQ2505,"ok","ck")</f>
      </c>
      <c r="AT2505" s="116">
        <f>-P2505</f>
      </c>
      <c r="AU2505" s="115">
        <f>IF(SUMIFS(AT:AT,AM:AM,AM2505)&gt;AO2505,(SUMIFS(AT:AT,AM:AM,AM2505)-AO2505))</f>
      </c>
      <c r="AV2505" s="116">
        <v>1537.22</v>
      </c>
      <c r="AW2505" s="121">
        <v>1.022</v>
      </c>
      <c r="AX2505" s="115">
        <f>AN2505-AP2505</f>
      </c>
    </row>
    <row r="2506" spans="1:50" ht="15" hidden="1" customHeight="1" x14ac:dyDescent="0.3">
      <c r="A2506" s="94" t="s">
        <v>76</v>
      </c>
      <c r="B2506" s="94"/>
      <c r="C2506" s="94"/>
      <c r="D2506" s="94"/>
      <c r="E2506" s="94"/>
      <c r="F2506" s="94"/>
      <c r="G2506" s="112">
        <f>AU2506</f>
      </c>
      <c r="H2506" s="113"/>
      <c r="I2506" s="94" t="s">
        <v>77</v>
      </c>
      <c r="J2506" s="94" t="s">
        <v>79</v>
      </c>
      <c r="K2506" s="114">
        <f>P2506/3</f>
      </c>
      <c r="L2506" s="115">
        <v>0</v>
      </c>
      <c r="M2506" s="116">
        <f>L2506</f>
      </c>
      <c r="N2506" s="117">
        <f>M2506-L2506</f>
      </c>
      <c r="O2506" s="112"/>
      <c r="P2506" s="118">
        <f>N2506+O2506</f>
      </c>
      <c r="Q2506" s="94" t="s">
        <v>78</v>
      </c>
      <c r="R2506" s="94" t="s">
        <v>63</v>
      </c>
      <c r="S2506" s="119">
        <v>46333</v>
      </c>
      <c r="T2506" s="119"/>
      <c r="U2506" s="119">
        <v>46333</v>
      </c>
      <c r="V2506" s="94"/>
      <c r="W2506" s="94"/>
      <c r="X2506" s="94"/>
      <c r="Y2506" s="119">
        <v>46333</v>
      </c>
      <c r="Z2506" s="94"/>
      <c r="AA2506" s="120"/>
      <c r="AB2506" s="120"/>
      <c r="AC2506" s="120"/>
      <c r="AD2506" s="120"/>
      <c r="AE2506" s="120"/>
      <c r="AF2506" s="120"/>
      <c r="AG2506" s="94"/>
      <c r="AH2506" s="120"/>
      <c r="AI2506" s="94"/>
      <c r="AJ2506" s="94" t="s">
        <v>78</v>
      </c>
      <c r="AK2506" s="94" t="s">
        <v>79</v>
      </c>
      <c r="AL2506" s="94">
        <v>150</v>
      </c>
      <c r="AM2506" s="94" t="str">
        <f>TRIM(AJ2506)&amp;TRIM(AL2506)&amp;TRIM(AK2506)</f>
      </c>
      <c r="AN2506" s="116">
        <v>1537.22</v>
      </c>
      <c r="AO2506" s="116">
        <v>-32.55</v>
      </c>
      <c r="AP2506" s="116">
        <f>SUMIFS(M:M,AM:AM,AM2506)+SUMIFS(O:O,AM:AM,AM2506)</f>
      </c>
      <c r="AQ2506" s="116">
        <f>SUMIFS(L:L,AM:AM,AM2506)</f>
      </c>
      <c r="AR2506" s="116">
        <f>AQ2506-AP2506</f>
      </c>
      <c r="AS2506" s="94" t="str">
        <f>IF(AN2506&gt;=AQ2506,"ok","ck")</f>
      </c>
      <c r="AT2506" s="116">
        <f>-P2506</f>
      </c>
      <c r="AU2506" s="115">
        <f>IF(SUMIFS(AT:AT,AM:AM,AM2506)&gt;AO2506,(SUMIFS(AT:AT,AM:AM,AM2506)-AO2506))</f>
      </c>
      <c r="AV2506" s="116">
        <v>1537.22</v>
      </c>
      <c r="AW2506" s="121">
        <v>1.022</v>
      </c>
      <c r="AX2506" s="115">
        <f>AN2506-AP2506</f>
      </c>
    </row>
    <row r="2507" spans="1:50" ht="15" hidden="1" customHeight="1" x14ac:dyDescent="0.3">
      <c r="A2507" s="94" t="s">
        <v>151</v>
      </c>
      <c r="B2507" s="94"/>
      <c r="C2507" s="94"/>
      <c r="D2507" s="94"/>
      <c r="E2507" s="94"/>
      <c r="F2507" s="94"/>
      <c r="G2507" s="112">
        <f>AU2507</f>
      </c>
      <c r="H2507" s="113"/>
      <c r="I2507" s="94" t="s">
        <v>163</v>
      </c>
      <c r="J2507" s="94" t="s">
        <v>200</v>
      </c>
      <c r="K2507" s="114">
        <f>P2507/3</f>
      </c>
      <c r="L2507" s="115">
        <v>-1.5329999999999999</v>
      </c>
      <c r="M2507" s="116">
        <f>L2507</f>
      </c>
      <c r="N2507" s="117">
        <f>M2507-L2507</f>
      </c>
      <c r="O2507" s="112"/>
      <c r="P2507" s="118">
        <f>N2507+O2507</f>
      </c>
      <c r="Q2507" s="94" t="s">
        <v>183</v>
      </c>
      <c r="R2507" s="94" t="s">
        <v>63</v>
      </c>
      <c r="S2507" s="119">
        <v>46343</v>
      </c>
      <c r="T2507" s="119"/>
      <c r="U2507" s="119">
        <v>46343</v>
      </c>
      <c r="V2507" s="94"/>
      <c r="W2507" s="94"/>
      <c r="X2507" s="94"/>
      <c r="Y2507" s="119">
        <v>46343</v>
      </c>
      <c r="Z2507" s="94"/>
      <c r="AA2507" s="120"/>
      <c r="AB2507" s="120"/>
      <c r="AC2507" s="120"/>
      <c r="AD2507" s="120"/>
      <c r="AE2507" s="120"/>
      <c r="AF2507" s="120"/>
      <c r="AG2507" s="94"/>
      <c r="AH2507" s="120"/>
      <c r="AI2507" s="94"/>
      <c r="AJ2507" s="94" t="s">
        <v>183</v>
      </c>
      <c r="AK2507" s="94" t="s">
        <v>201</v>
      </c>
      <c r="AL2507" s="94">
        <v>160</v>
      </c>
      <c r="AM2507" s="94" t="str">
        <f>TRIM(AJ2507)&amp;TRIM(AL2507)&amp;TRIM(AK2507)</f>
      </c>
      <c r="AN2507" s="116">
        <v>853</v>
      </c>
      <c r="AO2507" s="116">
        <v>-31.67</v>
      </c>
      <c r="AP2507" s="116">
        <f>SUMIFS(M:M,AM:AM,AM2507)+SUMIFS(O:O,AM:AM,AM2507)</f>
      </c>
      <c r="AQ2507" s="116">
        <f>SUMIFS(L:L,AM:AM,AM2507)</f>
      </c>
      <c r="AR2507" s="116">
        <f>AQ2507-AP2507</f>
      </c>
      <c r="AS2507" s="94" t="str">
        <f>IF(AN2507&gt;=AQ2507,"ok","ck")</f>
      </c>
      <c r="AT2507" s="116">
        <f>-P2507</f>
      </c>
      <c r="AU2507" s="115">
        <f>IF(SUMIFS(AT:AT,AM:AM,AM2507)&gt;AO2507,(SUMIFS(AT:AT,AM:AM,AM2507)-AO2507))</f>
      </c>
      <c r="AV2507" s="116">
        <v>853</v>
      </c>
      <c r="AW2507" s="121">
        <v>1.039</v>
      </c>
      <c r="AX2507" s="115">
        <f>AN2507-AP2507</f>
      </c>
    </row>
    <row r="2508" spans="1:50" ht="15" hidden="1" customHeight="1" x14ac:dyDescent="0.3">
      <c r="A2508" s="94" t="s">
        <v>151</v>
      </c>
      <c r="B2508" s="94"/>
      <c r="C2508" s="94"/>
      <c r="D2508" s="94"/>
      <c r="E2508" s="94"/>
      <c r="F2508" s="94"/>
      <c r="G2508" s="112">
        <f>AU2508</f>
      </c>
      <c r="H2508" s="113"/>
      <c r="I2508" s="94" t="s">
        <v>163</v>
      </c>
      <c r="J2508" s="94" t="s">
        <v>237</v>
      </c>
      <c r="K2508" s="114">
        <f>P2508/3</f>
      </c>
      <c r="L2508" s="115">
        <v>0</v>
      </c>
      <c r="M2508" s="116">
        <f>L2508</f>
      </c>
      <c r="N2508" s="117">
        <f>M2508-L2508</f>
      </c>
      <c r="O2508" s="112"/>
      <c r="P2508" s="118">
        <f>N2508+O2508</f>
      </c>
      <c r="Q2508" s="94" t="s">
        <v>165</v>
      </c>
      <c r="R2508" s="94" t="s">
        <v>63</v>
      </c>
      <c r="S2508" s="119">
        <v>46324</v>
      </c>
      <c r="T2508" s="119"/>
      <c r="U2508" s="119">
        <v>46324</v>
      </c>
      <c r="V2508" s="94"/>
      <c r="W2508" s="94"/>
      <c r="X2508" s="94"/>
      <c r="Y2508" s="119">
        <v>46324</v>
      </c>
      <c r="Z2508" s="94"/>
      <c r="AA2508" s="120"/>
      <c r="AB2508" s="120"/>
      <c r="AC2508" s="120"/>
      <c r="AD2508" s="120"/>
      <c r="AE2508" s="120"/>
      <c r="AF2508" s="120"/>
      <c r="AG2508" s="94"/>
      <c r="AH2508" s="120"/>
      <c r="AI2508" s="94"/>
      <c r="AJ2508" s="94" t="s">
        <v>165</v>
      </c>
      <c r="AK2508" s="94" t="s">
        <v>238</v>
      </c>
      <c r="AL2508" s="94">
        <v>160</v>
      </c>
      <c r="AM2508" s="94" t="str">
        <f>TRIM(AJ2508)&amp;TRIM(AL2508)&amp;TRIM(AK2508)</f>
      </c>
      <c r="AN2508" s="116">
        <v>239</v>
      </c>
      <c r="AO2508" s="116">
        <v>-7.46</v>
      </c>
      <c r="AP2508" s="116">
        <f>SUMIFS(M:M,AM:AM,AM2508)+SUMIFS(O:O,AM:AM,AM2508)</f>
      </c>
      <c r="AQ2508" s="116">
        <f>SUMIFS(L:L,AM:AM,AM2508)</f>
      </c>
      <c r="AR2508" s="116">
        <f>AQ2508-AP2508</f>
      </c>
      <c r="AS2508" s="94" t="str">
        <f>IF(AN2508&gt;=AQ2508,"ok","ck")</f>
      </c>
      <c r="AT2508" s="116">
        <f>-P2508</f>
      </c>
      <c r="AU2508" s="115">
        <f>IF(SUMIFS(AT:AT,AM:AM,AM2508)&gt;AO2508,(SUMIFS(AT:AT,AM:AM,AM2508)-AO2508))</f>
      </c>
      <c r="AV2508" s="116">
        <v>239</v>
      </c>
      <c r="AW2508" s="121">
        <v>1.032</v>
      </c>
      <c r="AX2508" s="115">
        <f>AN2508-AP2508</f>
      </c>
    </row>
    <row r="2509" spans="1:50" ht="15" hidden="1" customHeight="1" x14ac:dyDescent="0.3">
      <c r="A2509" s="94" t="s">
        <v>151</v>
      </c>
      <c r="B2509" s="94"/>
      <c r="C2509" s="94"/>
      <c r="D2509" s="94"/>
      <c r="E2509" s="94"/>
      <c r="F2509" s="94"/>
      <c r="G2509" s="112">
        <f>AU2509</f>
      </c>
      <c r="H2509" s="113"/>
      <c r="I2509" s="94" t="s">
        <v>163</v>
      </c>
      <c r="J2509" s="94" t="s">
        <v>237</v>
      </c>
      <c r="K2509" s="114">
        <f>P2509/3</f>
      </c>
      <c r="L2509" s="115">
        <v>0</v>
      </c>
      <c r="M2509" s="116">
        <f>L2509</f>
      </c>
      <c r="N2509" s="117">
        <f>M2509-L2509</f>
      </c>
      <c r="O2509" s="112"/>
      <c r="P2509" s="118">
        <f>N2509+O2509</f>
      </c>
      <c r="Q2509" s="94" t="s">
        <v>165</v>
      </c>
      <c r="R2509" s="94" t="s">
        <v>63</v>
      </c>
      <c r="S2509" s="119">
        <v>46324</v>
      </c>
      <c r="T2509" s="119"/>
      <c r="U2509" s="119">
        <v>46324</v>
      </c>
      <c r="V2509" s="94"/>
      <c r="W2509" s="94"/>
      <c r="X2509" s="94"/>
      <c r="Y2509" s="119">
        <v>46324</v>
      </c>
      <c r="Z2509" s="94"/>
      <c r="AA2509" s="120"/>
      <c r="AB2509" s="120"/>
      <c r="AC2509" s="120"/>
      <c r="AD2509" s="120"/>
      <c r="AE2509" s="120"/>
      <c r="AF2509" s="120"/>
      <c r="AG2509" s="94"/>
      <c r="AH2509" s="120"/>
      <c r="AI2509" s="94"/>
      <c r="AJ2509" s="94" t="s">
        <v>165</v>
      </c>
      <c r="AK2509" s="94" t="s">
        <v>238</v>
      </c>
      <c r="AL2509" s="94">
        <v>160</v>
      </c>
      <c r="AM2509" s="94" t="str">
        <f>TRIM(AJ2509)&amp;TRIM(AL2509)&amp;TRIM(AK2509)</f>
      </c>
      <c r="AN2509" s="116">
        <v>239</v>
      </c>
      <c r="AO2509" s="116">
        <v>-7.46</v>
      </c>
      <c r="AP2509" s="116">
        <f>SUMIFS(M:M,AM:AM,AM2509)+SUMIFS(O:O,AM:AM,AM2509)</f>
      </c>
      <c r="AQ2509" s="116">
        <f>SUMIFS(L:L,AM:AM,AM2509)</f>
      </c>
      <c r="AR2509" s="116">
        <f>AQ2509-AP2509</f>
      </c>
      <c r="AS2509" s="94" t="str">
        <f>IF(AN2509&gt;=AQ2509,"ok","ck")</f>
      </c>
      <c r="AT2509" s="116">
        <f>-P2509</f>
      </c>
      <c r="AU2509" s="115">
        <f>IF(SUMIFS(AT:AT,AM:AM,AM2509)&gt;AO2509,(SUMIFS(AT:AT,AM:AM,AM2509)-AO2509))</f>
      </c>
      <c r="AV2509" s="116">
        <v>239</v>
      </c>
      <c r="AW2509" s="121">
        <v>1.032</v>
      </c>
      <c r="AX2509" s="115">
        <f>AN2509-AP2509</f>
      </c>
    </row>
    <row r="2510" spans="1:50" ht="15" hidden="1" customHeight="1" x14ac:dyDescent="0.3">
      <c r="A2510" s="94" t="s">
        <v>151</v>
      </c>
      <c r="B2510" s="94"/>
      <c r="C2510" s="94"/>
      <c r="D2510" s="94"/>
      <c r="E2510" s="94"/>
      <c r="F2510" s="94"/>
      <c r="G2510" s="112">
        <f>AU2510</f>
      </c>
      <c r="H2510" s="113"/>
      <c r="I2510" s="94" t="s">
        <v>163</v>
      </c>
      <c r="J2510" s="94" t="s">
        <v>178</v>
      </c>
      <c r="K2510" s="114">
        <f>P2510/3</f>
      </c>
      <c r="L2510" s="115">
        <v>-0.86799999999999999</v>
      </c>
      <c r="M2510" s="116">
        <f>L2510</f>
      </c>
      <c r="N2510" s="117">
        <f>M2510-L2510</f>
      </c>
      <c r="O2510" s="112"/>
      <c r="P2510" s="118">
        <f>N2510+O2510</f>
      </c>
      <c r="Q2510" s="94" t="s">
        <v>165</v>
      </c>
      <c r="R2510" s="94" t="s">
        <v>63</v>
      </c>
      <c r="S2510" s="119">
        <v>46320</v>
      </c>
      <c r="T2510" s="119"/>
      <c r="U2510" s="119">
        <v>46320</v>
      </c>
      <c r="V2510" s="94"/>
      <c r="W2510" s="94"/>
      <c r="X2510" s="94"/>
      <c r="Y2510" s="119">
        <v>46320</v>
      </c>
      <c r="Z2510" s="94"/>
      <c r="AA2510" s="120"/>
      <c r="AB2510" s="120"/>
      <c r="AC2510" s="120"/>
      <c r="AD2510" s="120"/>
      <c r="AE2510" s="120"/>
      <c r="AF2510" s="120"/>
      <c r="AG2510" s="94"/>
      <c r="AH2510" s="120"/>
      <c r="AI2510" s="94"/>
      <c r="AJ2510" s="94" t="s">
        <v>165</v>
      </c>
      <c r="AK2510" s="94" t="s">
        <v>179</v>
      </c>
      <c r="AL2510" s="94">
        <v>160</v>
      </c>
      <c r="AM2510" s="94" t="str">
        <f>TRIM(AJ2510)&amp;TRIM(AL2510)&amp;TRIM(AK2510)</f>
      </c>
      <c r="AN2510" s="116">
        <v>239</v>
      </c>
      <c r="AO2510" s="116">
        <v>-9</v>
      </c>
      <c r="AP2510" s="116">
        <f>SUMIFS(M:M,AM:AM,AM2510)+SUMIFS(O:O,AM:AM,AM2510)</f>
      </c>
      <c r="AQ2510" s="116">
        <f>SUMIFS(L:L,AM:AM,AM2510)</f>
      </c>
      <c r="AR2510" s="116">
        <f>AQ2510-AP2510</f>
      </c>
      <c r="AS2510" s="94" t="str">
        <f>IF(AN2510&gt;=AQ2510,"ok","ck")</f>
      </c>
      <c r="AT2510" s="116">
        <f>-P2510</f>
      </c>
      <c r="AU2510" s="115">
        <f>IF(SUMIFS(AT:AT,AM:AM,AM2510)&gt;AO2510,(SUMIFS(AT:AT,AM:AM,AM2510)-AO2510))</f>
      </c>
      <c r="AV2510" s="116">
        <v>239</v>
      </c>
      <c r="AW2510" s="121">
        <v>1.039</v>
      </c>
      <c r="AX2510" s="115">
        <f>AN2510-AP2510</f>
      </c>
    </row>
    <row r="2511" spans="1:50" ht="15" hidden="1" customHeight="1" x14ac:dyDescent="0.3">
      <c r="A2511" s="94" t="s">
        <v>151</v>
      </c>
      <c r="B2511" s="94"/>
      <c r="C2511" s="94"/>
      <c r="D2511" s="94"/>
      <c r="E2511" s="94"/>
      <c r="F2511" s="94"/>
      <c r="G2511" s="112">
        <f>AU2511</f>
      </c>
      <c r="H2511" s="113"/>
      <c r="I2511" s="94" t="s">
        <v>163</v>
      </c>
      <c r="J2511" s="94" t="s">
        <v>178</v>
      </c>
      <c r="K2511" s="114">
        <f>P2511/3</f>
      </c>
      <c r="L2511" s="115">
        <v>-0.86799999999999999</v>
      </c>
      <c r="M2511" s="116">
        <f>L2511</f>
      </c>
      <c r="N2511" s="117">
        <f>M2511-L2511</f>
      </c>
      <c r="O2511" s="112"/>
      <c r="P2511" s="118">
        <f>N2511+O2511</f>
      </c>
      <c r="Q2511" s="94" t="s">
        <v>165</v>
      </c>
      <c r="R2511" s="94" t="s">
        <v>63</v>
      </c>
      <c r="S2511" s="119">
        <v>46331</v>
      </c>
      <c r="T2511" s="119"/>
      <c r="U2511" s="119">
        <v>46331</v>
      </c>
      <c r="V2511" s="94"/>
      <c r="W2511" s="94"/>
      <c r="X2511" s="94"/>
      <c r="Y2511" s="119">
        <v>46331</v>
      </c>
      <c r="Z2511" s="94"/>
      <c r="AA2511" s="120"/>
      <c r="AB2511" s="120"/>
      <c r="AC2511" s="120"/>
      <c r="AD2511" s="120"/>
      <c r="AE2511" s="120"/>
      <c r="AF2511" s="120"/>
      <c r="AG2511" s="94"/>
      <c r="AH2511" s="120"/>
      <c r="AI2511" s="94"/>
      <c r="AJ2511" s="94" t="s">
        <v>165</v>
      </c>
      <c r="AK2511" s="94" t="s">
        <v>179</v>
      </c>
      <c r="AL2511" s="94">
        <v>160</v>
      </c>
      <c r="AM2511" s="94" t="str">
        <f>TRIM(AJ2511)&amp;TRIM(AL2511)&amp;TRIM(AK2511)</f>
      </c>
      <c r="AN2511" s="116">
        <v>239</v>
      </c>
      <c r="AO2511" s="116">
        <v>-9</v>
      </c>
      <c r="AP2511" s="116">
        <f>SUMIFS(M:M,AM:AM,AM2511)+SUMIFS(O:O,AM:AM,AM2511)</f>
      </c>
      <c r="AQ2511" s="116">
        <f>SUMIFS(L:L,AM:AM,AM2511)</f>
      </c>
      <c r="AR2511" s="116">
        <f>AQ2511-AP2511</f>
      </c>
      <c r="AS2511" s="94" t="str">
        <f>IF(AN2511&gt;=AQ2511,"ok","ck")</f>
      </c>
      <c r="AT2511" s="116">
        <f>-P2511</f>
      </c>
      <c r="AU2511" s="115">
        <f>IF(SUMIFS(AT:AT,AM:AM,AM2511)&gt;AO2511,(SUMIFS(AT:AT,AM:AM,AM2511)-AO2511))</f>
      </c>
      <c r="AV2511" s="116">
        <v>239</v>
      </c>
      <c r="AW2511" s="121">
        <v>1.039</v>
      </c>
      <c r="AX2511" s="115">
        <f>AN2511-AP2511</f>
      </c>
    </row>
    <row r="2512" spans="1:50" ht="15" hidden="1" customHeight="1" x14ac:dyDescent="0.3">
      <c r="A2512" s="94" t="s">
        <v>151</v>
      </c>
      <c r="B2512" s="94"/>
      <c r="C2512" s="94"/>
      <c r="D2512" s="94"/>
      <c r="E2512" s="94"/>
      <c r="F2512" s="94"/>
      <c r="G2512" s="112">
        <f>AU2512</f>
      </c>
      <c r="H2512" s="113"/>
      <c r="I2512" s="94" t="s">
        <v>163</v>
      </c>
      <c r="J2512" s="94" t="s">
        <v>178</v>
      </c>
      <c r="K2512" s="114">
        <f>P2512/3</f>
      </c>
      <c r="L2512" s="115">
        <v>-1.0589999999999999</v>
      </c>
      <c r="M2512" s="116">
        <f>L2512</f>
      </c>
      <c r="N2512" s="117">
        <f>M2512-L2512</f>
      </c>
      <c r="O2512" s="112"/>
      <c r="P2512" s="118">
        <f>N2512+O2512</f>
      </c>
      <c r="Q2512" s="94" t="s">
        <v>165</v>
      </c>
      <c r="R2512" s="94" t="s">
        <v>63</v>
      </c>
      <c r="S2512" s="119">
        <v>46343</v>
      </c>
      <c r="T2512" s="119"/>
      <c r="U2512" s="119">
        <v>46343</v>
      </c>
      <c r="V2512" s="94"/>
      <c r="W2512" s="94"/>
      <c r="X2512" s="94"/>
      <c r="Y2512" s="119">
        <v>46343</v>
      </c>
      <c r="Z2512" s="94"/>
      <c r="AA2512" s="120"/>
      <c r="AB2512" s="120"/>
      <c r="AC2512" s="120"/>
      <c r="AD2512" s="120"/>
      <c r="AE2512" s="120"/>
      <c r="AF2512" s="120"/>
      <c r="AG2512" s="94"/>
      <c r="AH2512" s="120"/>
      <c r="AI2512" s="94"/>
      <c r="AJ2512" s="94" t="s">
        <v>165</v>
      </c>
      <c r="AK2512" s="94" t="s">
        <v>179</v>
      </c>
      <c r="AL2512" s="94">
        <v>160</v>
      </c>
      <c r="AM2512" s="94" t="str">
        <f>TRIM(AJ2512)&amp;TRIM(AL2512)&amp;TRIM(AK2512)</f>
      </c>
      <c r="AN2512" s="116">
        <v>239</v>
      </c>
      <c r="AO2512" s="116">
        <v>-9</v>
      </c>
      <c r="AP2512" s="116">
        <f>SUMIFS(M:M,AM:AM,AM2512)+SUMIFS(O:O,AM:AM,AM2512)</f>
      </c>
      <c r="AQ2512" s="116">
        <f>SUMIFS(L:L,AM:AM,AM2512)</f>
      </c>
      <c r="AR2512" s="116">
        <f>AQ2512-AP2512</f>
      </c>
      <c r="AS2512" s="94" t="str">
        <f>IF(AN2512&gt;=AQ2512,"ok","ck")</f>
      </c>
      <c r="AT2512" s="116">
        <f>-P2512</f>
      </c>
      <c r="AU2512" s="115">
        <f>IF(SUMIFS(AT:AT,AM:AM,AM2512)&gt;AO2512,(SUMIFS(AT:AT,AM:AM,AM2512)-AO2512))</f>
      </c>
      <c r="AV2512" s="116">
        <v>239</v>
      </c>
      <c r="AW2512" s="121">
        <v>1.039</v>
      </c>
      <c r="AX2512" s="115">
        <f>AN2512-AP2512</f>
      </c>
    </row>
    <row r="2513" spans="1:50" ht="15" hidden="1" customHeight="1" x14ac:dyDescent="0.3">
      <c r="A2513" s="94" t="s">
        <v>151</v>
      </c>
      <c r="B2513" s="94"/>
      <c r="C2513" s="94"/>
      <c r="D2513" s="94"/>
      <c r="E2513" s="94"/>
      <c r="F2513" s="94"/>
      <c r="G2513" s="112">
        <f>AU2513</f>
      </c>
      <c r="H2513" s="113"/>
      <c r="I2513" s="94" t="s">
        <v>152</v>
      </c>
      <c r="J2513" s="94" t="s">
        <v>170</v>
      </c>
      <c r="K2513" s="114">
        <f>P2513/3</f>
      </c>
      <c r="L2513" s="115">
        <v>-5.8999999999999997E-2</v>
      </c>
      <c r="M2513" s="116">
        <f>L2513</f>
      </c>
      <c r="N2513" s="117">
        <f>M2513-L2513</f>
      </c>
      <c r="O2513" s="112"/>
      <c r="P2513" s="118">
        <f>N2513+O2513</f>
      </c>
      <c r="Q2513" s="94" t="s">
        <v>169</v>
      </c>
      <c r="R2513" s="94" t="s">
        <v>63</v>
      </c>
      <c r="S2513" s="119">
        <v>46320</v>
      </c>
      <c r="T2513" s="119"/>
      <c r="U2513" s="119">
        <v>46320</v>
      </c>
      <c r="V2513" s="94"/>
      <c r="W2513" s="94"/>
      <c r="X2513" s="94"/>
      <c r="Y2513" s="119">
        <v>46320</v>
      </c>
      <c r="Z2513" s="94"/>
      <c r="AA2513" s="120"/>
      <c r="AB2513" s="120"/>
      <c r="AC2513" s="120"/>
      <c r="AD2513" s="120"/>
      <c r="AE2513" s="120"/>
      <c r="AF2513" s="120"/>
      <c r="AG2513" s="94"/>
      <c r="AH2513" s="120"/>
      <c r="AI2513" s="94"/>
      <c r="AJ2513" s="94" t="s">
        <v>169</v>
      </c>
      <c r="AK2513" s="94" t="s">
        <v>171</v>
      </c>
      <c r="AL2513" s="94">
        <v>160</v>
      </c>
      <c r="AM2513" s="94" t="str">
        <f>TRIM(AJ2513)&amp;TRIM(AL2513)&amp;TRIM(AK2513)</f>
      </c>
      <c r="AN2513" s="116">
        <v>84</v>
      </c>
      <c r="AO2513" s="116">
        <v>0</v>
      </c>
      <c r="AP2513" s="116">
        <f>SUMIFS(M:M,AM:AM,AM2513)+SUMIFS(O:O,AM:AM,AM2513)</f>
      </c>
      <c r="AQ2513" s="116">
        <f>SUMIFS(L:L,AM:AM,AM2513)</f>
      </c>
      <c r="AR2513" s="116">
        <f>AQ2513-AP2513</f>
      </c>
      <c r="AS2513" s="94" t="str">
        <f>IF(AN2513&gt;=AQ2513,"ok","ck")</f>
      </c>
      <c r="AT2513" s="116">
        <f>-P2513</f>
      </c>
      <c r="AU2513" s="115">
        <f>IF(SUMIFS(AT:AT,AM:AM,AM2513)&gt;AO2513,(SUMIFS(AT:AT,AM:AM,AM2513)-AO2513))</f>
      </c>
      <c r="AV2513" s="116">
        <v>84</v>
      </c>
      <c r="AW2513" s="121">
        <v>1</v>
      </c>
      <c r="AX2513" s="115">
        <f>AN2513-AP2513</f>
      </c>
    </row>
    <row r="2514" spans="1:50" ht="15" hidden="1" customHeight="1" x14ac:dyDescent="0.3">
      <c r="A2514" s="94" t="s">
        <v>151</v>
      </c>
      <c r="B2514" s="94"/>
      <c r="C2514" s="94"/>
      <c r="D2514" s="94"/>
      <c r="E2514" s="94"/>
      <c r="F2514" s="94"/>
      <c r="G2514" s="112">
        <f>AU2514</f>
      </c>
      <c r="H2514" s="113"/>
      <c r="I2514" s="94" t="s">
        <v>152</v>
      </c>
      <c r="J2514" s="94" t="s">
        <v>189</v>
      </c>
      <c r="K2514" s="114">
        <f>P2514/3</f>
      </c>
      <c r="L2514" s="115">
        <v>9.2219999999999995</v>
      </c>
      <c r="M2514" s="116">
        <f>L2514</f>
      </c>
      <c r="N2514" s="117">
        <f>M2514-L2514</f>
      </c>
      <c r="O2514" s="112"/>
      <c r="P2514" s="118">
        <f>N2514+O2514</f>
      </c>
      <c r="Q2514" s="94" t="s">
        <v>169</v>
      </c>
      <c r="R2514" s="94" t="s">
        <v>63</v>
      </c>
      <c r="S2514" s="119">
        <v>46327</v>
      </c>
      <c r="T2514" s="119"/>
      <c r="U2514" s="119">
        <v>46327</v>
      </c>
      <c r="V2514" s="94"/>
      <c r="W2514" s="94"/>
      <c r="X2514" s="94"/>
      <c r="Y2514" s="119">
        <v>46320</v>
      </c>
      <c r="Z2514" s="94"/>
      <c r="AA2514" s="120"/>
      <c r="AB2514" s="120"/>
      <c r="AC2514" s="120"/>
      <c r="AD2514" s="120"/>
      <c r="AE2514" s="120"/>
      <c r="AF2514" s="120"/>
      <c r="AG2514" s="94"/>
      <c r="AH2514" s="120"/>
      <c r="AI2514" s="94"/>
      <c r="AJ2514" s="94" t="s">
        <v>169</v>
      </c>
      <c r="AK2514" s="94" t="s">
        <v>190</v>
      </c>
      <c r="AL2514" s="94">
        <v>160</v>
      </c>
      <c r="AM2514" s="94" t="str">
        <f>TRIM(AJ2514)&amp;TRIM(AL2514)&amp;TRIM(AK2514)</f>
      </c>
      <c r="AN2514" s="116">
        <v>71</v>
      </c>
      <c r="AO2514" s="116">
        <v>1</v>
      </c>
      <c r="AP2514" s="116">
        <f>SUMIFS(M:M,AM:AM,AM2514)+SUMIFS(O:O,AM:AM,AM2514)</f>
      </c>
      <c r="AQ2514" s="116">
        <f>SUMIFS(L:L,AM:AM,AM2514)</f>
      </c>
      <c r="AR2514" s="116">
        <f>AQ2514-AP2514</f>
      </c>
      <c r="AS2514" s="94" t="str">
        <f>IF(AN2514&gt;=AQ2514,"ok","ck")</f>
      </c>
      <c r="AT2514" s="116">
        <f>-P2514</f>
      </c>
      <c r="AU2514" s="115">
        <f>IF(SUMIFS(AT:AT,AM:AM,AM2514)&gt;AO2514,(SUMIFS(AT:AT,AM:AM,AM2514)-AO2514))</f>
      </c>
      <c r="AV2514" s="116">
        <v>71</v>
      </c>
      <c r="AW2514" s="121">
        <v>0.986</v>
      </c>
      <c r="AX2514" s="115">
        <f>AN2514-AP2514</f>
      </c>
    </row>
    <row r="2515" spans="1:50" ht="15" hidden="1" customHeight="1" x14ac:dyDescent="0.3">
      <c r="A2515" s="94" t="s">
        <v>151</v>
      </c>
      <c r="B2515" s="94"/>
      <c r="C2515" s="94"/>
      <c r="D2515" s="94"/>
      <c r="E2515" s="94"/>
      <c r="F2515" s="94"/>
      <c r="G2515" s="112">
        <f>AU2515</f>
      </c>
      <c r="H2515" s="113"/>
      <c r="I2515" s="94" t="s">
        <v>152</v>
      </c>
      <c r="J2515" s="94" t="s">
        <v>189</v>
      </c>
      <c r="K2515" s="114">
        <f>P2515/3</f>
      </c>
      <c r="L2515" s="115">
        <v>5.266</v>
      </c>
      <c r="M2515" s="116">
        <f>L2515</f>
      </c>
      <c r="N2515" s="117">
        <f>M2515-L2515</f>
      </c>
      <c r="O2515" s="112"/>
      <c r="P2515" s="118">
        <f>N2515+O2515</f>
      </c>
      <c r="Q2515" s="94" t="s">
        <v>169</v>
      </c>
      <c r="R2515" s="94" t="s">
        <v>63</v>
      </c>
      <c r="S2515" s="119">
        <v>46327</v>
      </c>
      <c r="T2515" s="119"/>
      <c r="U2515" s="119">
        <v>46327</v>
      </c>
      <c r="V2515" s="94"/>
      <c r="W2515" s="94"/>
      <c r="X2515" s="94"/>
      <c r="Y2515" s="119">
        <v>46320</v>
      </c>
      <c r="Z2515" s="94"/>
      <c r="AA2515" s="120"/>
      <c r="AB2515" s="120"/>
      <c r="AC2515" s="120"/>
      <c r="AD2515" s="120"/>
      <c r="AE2515" s="120"/>
      <c r="AF2515" s="120"/>
      <c r="AG2515" s="94"/>
      <c r="AH2515" s="120"/>
      <c r="AI2515" s="94"/>
      <c r="AJ2515" s="94" t="s">
        <v>169</v>
      </c>
      <c r="AK2515" s="94" t="s">
        <v>190</v>
      </c>
      <c r="AL2515" s="94">
        <v>160</v>
      </c>
      <c r="AM2515" s="94" t="str">
        <f>TRIM(AJ2515)&amp;TRIM(AL2515)&amp;TRIM(AK2515)</f>
      </c>
      <c r="AN2515" s="116">
        <v>71</v>
      </c>
      <c r="AO2515" s="116">
        <v>1</v>
      </c>
      <c r="AP2515" s="116">
        <f>SUMIFS(M:M,AM:AM,AM2515)+SUMIFS(O:O,AM:AM,AM2515)</f>
      </c>
      <c r="AQ2515" s="116">
        <f>SUMIFS(L:L,AM:AM,AM2515)</f>
      </c>
      <c r="AR2515" s="116">
        <f>AQ2515-AP2515</f>
      </c>
      <c r="AS2515" s="94" t="str">
        <f>IF(AN2515&gt;=AQ2515,"ok","ck")</f>
      </c>
      <c r="AT2515" s="116">
        <f>-P2515</f>
      </c>
      <c r="AU2515" s="115">
        <f>IF(SUMIFS(AT:AT,AM:AM,AM2515)&gt;AO2515,(SUMIFS(AT:AT,AM:AM,AM2515)-AO2515))</f>
      </c>
      <c r="AV2515" s="116">
        <v>71</v>
      </c>
      <c r="AW2515" s="121">
        <v>0.986</v>
      </c>
      <c r="AX2515" s="115">
        <f>AN2515-AP2515</f>
      </c>
    </row>
    <row r="2516" spans="1:50" ht="15" hidden="1" customHeight="1" x14ac:dyDescent="0.3">
      <c r="A2516" s="94" t="s">
        <v>151</v>
      </c>
      <c r="B2516" s="94"/>
      <c r="C2516" s="94"/>
      <c r="D2516" s="94"/>
      <c r="E2516" s="94"/>
      <c r="F2516" s="94"/>
      <c r="G2516" s="112">
        <f>AU2516</f>
      </c>
      <c r="H2516" s="113"/>
      <c r="I2516" s="94" t="s">
        <v>152</v>
      </c>
      <c r="J2516" s="94" t="s">
        <v>189</v>
      </c>
      <c r="K2516" s="114">
        <f>P2516/3</f>
      </c>
      <c r="L2516" s="115">
        <v>5.266</v>
      </c>
      <c r="M2516" s="116">
        <f>L2516</f>
      </c>
      <c r="N2516" s="117">
        <f>M2516-L2516</f>
      </c>
      <c r="O2516" s="112"/>
      <c r="P2516" s="118">
        <f>N2516+O2516</f>
      </c>
      <c r="Q2516" s="94" t="s">
        <v>169</v>
      </c>
      <c r="R2516" s="94" t="s">
        <v>63</v>
      </c>
      <c r="S2516" s="119">
        <v>46327</v>
      </c>
      <c r="T2516" s="119"/>
      <c r="U2516" s="119">
        <v>46327</v>
      </c>
      <c r="V2516" s="94"/>
      <c r="W2516" s="94"/>
      <c r="X2516" s="94"/>
      <c r="Y2516" s="119">
        <v>46320</v>
      </c>
      <c r="Z2516" s="94"/>
      <c r="AA2516" s="120"/>
      <c r="AB2516" s="120"/>
      <c r="AC2516" s="120"/>
      <c r="AD2516" s="120"/>
      <c r="AE2516" s="120"/>
      <c r="AF2516" s="120"/>
      <c r="AG2516" s="94"/>
      <c r="AH2516" s="120"/>
      <c r="AI2516" s="94"/>
      <c r="AJ2516" s="94" t="s">
        <v>169</v>
      </c>
      <c r="AK2516" s="94" t="s">
        <v>190</v>
      </c>
      <c r="AL2516" s="94">
        <v>160</v>
      </c>
      <c r="AM2516" s="94" t="str">
        <f>TRIM(AJ2516)&amp;TRIM(AL2516)&amp;TRIM(AK2516)</f>
      </c>
      <c r="AN2516" s="116">
        <v>71</v>
      </c>
      <c r="AO2516" s="116">
        <v>1</v>
      </c>
      <c r="AP2516" s="116">
        <f>SUMIFS(M:M,AM:AM,AM2516)+SUMIFS(O:O,AM:AM,AM2516)</f>
      </c>
      <c r="AQ2516" s="116">
        <f>SUMIFS(L:L,AM:AM,AM2516)</f>
      </c>
      <c r="AR2516" s="116">
        <f>AQ2516-AP2516</f>
      </c>
      <c r="AS2516" s="94" t="str">
        <f>IF(AN2516&gt;=AQ2516,"ok","ck")</f>
      </c>
      <c r="AT2516" s="116">
        <f>-P2516</f>
      </c>
      <c r="AU2516" s="115">
        <f>IF(SUMIFS(AT:AT,AM:AM,AM2516)&gt;AO2516,(SUMIFS(AT:AT,AM:AM,AM2516)-AO2516))</f>
      </c>
      <c r="AV2516" s="116">
        <v>71</v>
      </c>
      <c r="AW2516" s="121">
        <v>0.986</v>
      </c>
      <c r="AX2516" s="115">
        <f>AN2516-AP2516</f>
      </c>
    </row>
    <row r="2517" spans="1:50" ht="15" hidden="1" customHeight="1" x14ac:dyDescent="0.3">
      <c r="A2517" s="94" t="s">
        <v>151</v>
      </c>
      <c r="B2517" s="94"/>
      <c r="C2517" s="94"/>
      <c r="D2517" s="94"/>
      <c r="E2517" s="94"/>
      <c r="F2517" s="94"/>
      <c r="G2517" s="112">
        <f>AU2517</f>
      </c>
      <c r="H2517" s="113"/>
      <c r="I2517" s="94" t="s">
        <v>152</v>
      </c>
      <c r="J2517" s="94" t="s">
        <v>189</v>
      </c>
      <c r="K2517" s="114">
        <f>P2517/3</f>
      </c>
      <c r="L2517" s="115">
        <v>5.548</v>
      </c>
      <c r="M2517" s="116">
        <f>L2517</f>
      </c>
      <c r="N2517" s="117">
        <f>M2517-L2517</f>
      </c>
      <c r="O2517" s="112"/>
      <c r="P2517" s="118">
        <f>N2517+O2517</f>
      </c>
      <c r="Q2517" s="94" t="s">
        <v>169</v>
      </c>
      <c r="R2517" s="94" t="s">
        <v>63</v>
      </c>
      <c r="S2517" s="119">
        <v>46327</v>
      </c>
      <c r="T2517" s="119"/>
      <c r="U2517" s="119">
        <v>46327</v>
      </c>
      <c r="V2517" s="94"/>
      <c r="W2517" s="94"/>
      <c r="X2517" s="94"/>
      <c r="Y2517" s="119">
        <v>46320</v>
      </c>
      <c r="Z2517" s="94"/>
      <c r="AA2517" s="120"/>
      <c r="AB2517" s="120"/>
      <c r="AC2517" s="120"/>
      <c r="AD2517" s="120"/>
      <c r="AE2517" s="120"/>
      <c r="AF2517" s="120"/>
      <c r="AG2517" s="94"/>
      <c r="AH2517" s="120"/>
      <c r="AI2517" s="94"/>
      <c r="AJ2517" s="94" t="s">
        <v>169</v>
      </c>
      <c r="AK2517" s="94" t="s">
        <v>190</v>
      </c>
      <c r="AL2517" s="94">
        <v>160</v>
      </c>
      <c r="AM2517" s="94" t="str">
        <f>TRIM(AJ2517)&amp;TRIM(AL2517)&amp;TRIM(AK2517)</f>
      </c>
      <c r="AN2517" s="116">
        <v>71</v>
      </c>
      <c r="AO2517" s="116">
        <v>1</v>
      </c>
      <c r="AP2517" s="116">
        <f>SUMIFS(M:M,AM:AM,AM2517)+SUMIFS(O:O,AM:AM,AM2517)</f>
      </c>
      <c r="AQ2517" s="116">
        <f>SUMIFS(L:L,AM:AM,AM2517)</f>
      </c>
      <c r="AR2517" s="116">
        <f>AQ2517-AP2517</f>
      </c>
      <c r="AS2517" s="94" t="str">
        <f>IF(AN2517&gt;=AQ2517,"ok","ck")</f>
      </c>
      <c r="AT2517" s="116">
        <f>-P2517</f>
      </c>
      <c r="AU2517" s="115">
        <f>IF(SUMIFS(AT:AT,AM:AM,AM2517)&gt;AO2517,(SUMIFS(AT:AT,AM:AM,AM2517)-AO2517))</f>
      </c>
      <c r="AV2517" s="116">
        <v>71</v>
      </c>
      <c r="AW2517" s="121">
        <v>0.986</v>
      </c>
      <c r="AX2517" s="115">
        <f>AN2517-AP2517</f>
      </c>
    </row>
    <row r="2518" spans="1:50" ht="15" hidden="1" customHeight="1" x14ac:dyDescent="0.3">
      <c r="A2518" s="94" t="s">
        <v>151</v>
      </c>
      <c r="B2518" s="94"/>
      <c r="C2518" s="94"/>
      <c r="D2518" s="94"/>
      <c r="E2518" s="94"/>
      <c r="F2518" s="94"/>
      <c r="G2518" s="112">
        <f>AU2518</f>
      </c>
      <c r="H2518" s="113"/>
      <c r="I2518" s="94" t="s">
        <v>152</v>
      </c>
      <c r="J2518" s="94" t="s">
        <v>153</v>
      </c>
      <c r="K2518" s="114">
        <f>P2518/3</f>
      </c>
      <c r="L2518" s="115">
        <v>0</v>
      </c>
      <c r="M2518" s="116">
        <f>L2518</f>
      </c>
      <c r="N2518" s="117">
        <f>M2518-L2518</f>
      </c>
      <c r="O2518" s="112"/>
      <c r="P2518" s="118">
        <f>N2518+O2518</f>
      </c>
      <c r="Q2518" s="94" t="s">
        <v>154</v>
      </c>
      <c r="R2518" s="94" t="s">
        <v>63</v>
      </c>
      <c r="S2518" s="119">
        <v>46320</v>
      </c>
      <c r="T2518" s="119"/>
      <c r="U2518" s="119">
        <v>46320</v>
      </c>
      <c r="V2518" s="94"/>
      <c r="W2518" s="94"/>
      <c r="X2518" s="94"/>
      <c r="Y2518" s="119">
        <v>46320</v>
      </c>
      <c r="Z2518" s="94"/>
      <c r="AA2518" s="120"/>
      <c r="AB2518" s="120"/>
      <c r="AC2518" s="120"/>
      <c r="AD2518" s="120"/>
      <c r="AE2518" s="120"/>
      <c r="AF2518" s="120"/>
      <c r="AG2518" s="94"/>
      <c r="AH2518" s="120"/>
      <c r="AI2518" s="94"/>
      <c r="AJ2518" s="94" t="s">
        <v>154</v>
      </c>
      <c r="AK2518" s="94" t="s">
        <v>155</v>
      </c>
      <c r="AL2518" s="94">
        <v>160</v>
      </c>
      <c r="AM2518" s="94" t="str">
        <f>TRIM(AJ2518)&amp;TRIM(AL2518)&amp;TRIM(AK2518)</f>
      </c>
      <c r="AN2518" s="116">
        <v>10071.74</v>
      </c>
      <c r="AO2518" s="116">
        <v>-356.74</v>
      </c>
      <c r="AP2518" s="116">
        <f>SUMIFS(M:M,AM:AM,AM2518)+SUMIFS(O:O,AM:AM,AM2518)</f>
      </c>
      <c r="AQ2518" s="116">
        <f>SUMIFS(L:L,AM:AM,AM2518)</f>
      </c>
      <c r="AR2518" s="116">
        <f>AQ2518-AP2518</f>
      </c>
      <c r="AS2518" s="94" t="str">
        <f>IF(AN2518&gt;=AQ2518,"ok","ck")</f>
      </c>
      <c r="AT2518" s="116">
        <f>-P2518</f>
      </c>
      <c r="AU2518" s="115">
        <f>IF(SUMIFS(AT:AT,AM:AM,AM2518)&gt;AO2518,(SUMIFS(AT:AT,AM:AM,AM2518)-AO2518))</f>
      </c>
      <c r="AV2518" s="116">
        <v>10071.74</v>
      </c>
      <c r="AW2518" s="121">
        <v>1.037</v>
      </c>
      <c r="AX2518" s="115">
        <f>AN2518-AP2518</f>
      </c>
    </row>
    <row r="2519" spans="1:50" ht="15" hidden="1" customHeight="1" x14ac:dyDescent="0.3">
      <c r="A2519" s="94" t="s">
        <v>151</v>
      </c>
      <c r="B2519" s="94"/>
      <c r="C2519" s="94"/>
      <c r="D2519" s="94"/>
      <c r="E2519" s="94"/>
      <c r="F2519" s="94"/>
      <c r="G2519" s="112">
        <f>AU2519</f>
      </c>
      <c r="H2519" s="113"/>
      <c r="I2519" s="94" t="s">
        <v>152</v>
      </c>
      <c r="J2519" s="94" t="s">
        <v>153</v>
      </c>
      <c r="K2519" s="114">
        <f>P2519/3</f>
      </c>
      <c r="L2519" s="115">
        <v>180.31</v>
      </c>
      <c r="M2519" s="116">
        <f>L2519</f>
      </c>
      <c r="N2519" s="117">
        <f>M2519-L2519</f>
      </c>
      <c r="O2519" s="112"/>
      <c r="P2519" s="118">
        <f>N2519+O2519</f>
      </c>
      <c r="Q2519" s="94" t="s">
        <v>154</v>
      </c>
      <c r="R2519" s="94" t="s">
        <v>63</v>
      </c>
      <c r="S2519" s="119">
        <v>46338</v>
      </c>
      <c r="T2519" s="119"/>
      <c r="U2519" s="119">
        <v>46338</v>
      </c>
      <c r="V2519" s="94"/>
      <c r="W2519" s="94"/>
      <c r="X2519" s="94"/>
      <c r="Y2519" s="119">
        <v>46338</v>
      </c>
      <c r="Z2519" s="94"/>
      <c r="AA2519" s="120"/>
      <c r="AB2519" s="120"/>
      <c r="AC2519" s="120"/>
      <c r="AD2519" s="120"/>
      <c r="AE2519" s="120"/>
      <c r="AF2519" s="120"/>
      <c r="AG2519" s="94"/>
      <c r="AH2519" s="120"/>
      <c r="AI2519" s="94"/>
      <c r="AJ2519" s="94" t="s">
        <v>154</v>
      </c>
      <c r="AK2519" s="94" t="s">
        <v>155</v>
      </c>
      <c r="AL2519" s="94">
        <v>160</v>
      </c>
      <c r="AM2519" s="94" t="str">
        <f>TRIM(AJ2519)&amp;TRIM(AL2519)&amp;TRIM(AK2519)</f>
      </c>
      <c r="AN2519" s="116">
        <v>10071.74</v>
      </c>
      <c r="AO2519" s="116">
        <v>-356.74</v>
      </c>
      <c r="AP2519" s="116">
        <f>SUMIFS(M:M,AM:AM,AM2519)+SUMIFS(O:O,AM:AM,AM2519)</f>
      </c>
      <c r="AQ2519" s="116">
        <f>SUMIFS(L:L,AM:AM,AM2519)</f>
      </c>
      <c r="AR2519" s="116">
        <f>AQ2519-AP2519</f>
      </c>
      <c r="AS2519" s="94" t="str">
        <f>IF(AN2519&gt;=AQ2519,"ok","ck")</f>
      </c>
      <c r="AT2519" s="116">
        <f>-P2519</f>
      </c>
      <c r="AU2519" s="115">
        <f>IF(SUMIFS(AT:AT,AM:AM,AM2519)&gt;AO2519,(SUMIFS(AT:AT,AM:AM,AM2519)-AO2519))</f>
      </c>
      <c r="AV2519" s="116">
        <v>10071.74</v>
      </c>
      <c r="AW2519" s="121">
        <v>1.037</v>
      </c>
      <c r="AX2519" s="115">
        <f>AN2519-AP2519</f>
      </c>
    </row>
    <row r="2520" spans="1:50" ht="15" hidden="1" customHeight="1" x14ac:dyDescent="0.3">
      <c r="A2520" s="94" t="s">
        <v>151</v>
      </c>
      <c r="B2520" s="94"/>
      <c r="C2520" s="94"/>
      <c r="D2520" s="94"/>
      <c r="E2520" s="94"/>
      <c r="F2520" s="94"/>
      <c r="G2520" s="112">
        <f>AU2520</f>
      </c>
      <c r="H2520" s="113"/>
      <c r="I2520" s="94" t="s">
        <v>188</v>
      </c>
      <c r="J2520" s="94" t="s">
        <v>156</v>
      </c>
      <c r="K2520" s="114">
        <f>P2520/3</f>
      </c>
      <c r="L2520" s="115">
        <v>0</v>
      </c>
      <c r="M2520" s="116"/>
      <c r="N2520" s="117">
        <f>M2520-L2520</f>
      </c>
      <c r="O2520" s="112"/>
      <c r="P2520" s="118">
        <f>N2520+O2520</f>
      </c>
      <c r="Q2520" s="94" t="s">
        <v>161</v>
      </c>
      <c r="R2520" s="94" t="s">
        <v>63</v>
      </c>
      <c r="S2520" s="119">
        <v>46320</v>
      </c>
      <c r="T2520" s="119"/>
      <c r="U2520" s="119">
        <v>46320</v>
      </c>
      <c r="V2520" s="94"/>
      <c r="W2520" s="94"/>
      <c r="X2520" s="94"/>
      <c r="Y2520" s="119">
        <v>46320</v>
      </c>
      <c r="Z2520" s="94"/>
      <c r="AA2520" s="120"/>
      <c r="AB2520" s="120"/>
      <c r="AC2520" s="120"/>
      <c r="AD2520" s="120"/>
      <c r="AE2520" s="120"/>
      <c r="AF2520" s="120"/>
      <c r="AG2520" s="94"/>
      <c r="AH2520" s="120"/>
      <c r="AI2520" s="94"/>
      <c r="AJ2520" s="94" t="s">
        <v>161</v>
      </c>
      <c r="AK2520" s="94" t="s">
        <v>162</v>
      </c>
      <c r="AL2520" s="94">
        <v>165</v>
      </c>
      <c r="AM2520" s="94" t="str">
        <f>TRIM(AJ2520)&amp;TRIM(AL2520)&amp;TRIM(AK2520)</f>
      </c>
      <c r="AN2520" s="116">
        <v>1219.16</v>
      </c>
      <c r="AO2520" s="116">
        <v>205.84</v>
      </c>
      <c r="AP2520" s="116">
        <f>SUMIFS(M:M,AM:AM,AM2520)+SUMIFS(O:O,AM:AM,AM2520)</f>
      </c>
      <c r="AQ2520" s="116">
        <f>SUMIFS(L:L,AM:AM,AM2520)</f>
      </c>
      <c r="AR2520" s="116">
        <f>AQ2520-AP2520</f>
      </c>
      <c r="AS2520" s="94" t="str">
        <f>IF(AN2520&gt;=AQ2520,"ok","ck")</f>
      </c>
      <c r="AT2520" s="116">
        <f>-P2520</f>
      </c>
      <c r="AU2520" s="115">
        <f>IF(SUMIFS(AT:AT,AM:AM,AM2520)&gt;AO2520,(SUMIFS(AT:AT,AM:AM,AM2520)-AO2520))</f>
      </c>
      <c r="AV2520" s="116">
        <v>1219.16</v>
      </c>
      <c r="AW2520" s="121">
        <v>0.856</v>
      </c>
      <c r="AX2520" s="115">
        <f>AN2520-AP2520</f>
      </c>
    </row>
    <row r="2521" spans="1:50" ht="15" hidden="1" customHeight="1" x14ac:dyDescent="0.3">
      <c r="A2521" s="94" t="s">
        <v>151</v>
      </c>
      <c r="B2521" s="94"/>
      <c r="C2521" s="94"/>
      <c r="D2521" s="94"/>
      <c r="E2521" s="94"/>
      <c r="F2521" s="94"/>
      <c r="G2521" s="112">
        <f>AU2521</f>
      </c>
      <c r="H2521" s="113"/>
      <c r="I2521" s="94" t="s">
        <v>188</v>
      </c>
      <c r="J2521" s="94" t="s">
        <v>156</v>
      </c>
      <c r="K2521" s="114">
        <f>P2521/3</f>
      </c>
      <c r="L2521" s="115">
        <v>65.022000000000006</v>
      </c>
      <c r="M2521" s="116"/>
      <c r="N2521" s="117">
        <f>M2521-L2521</f>
      </c>
      <c r="O2521" s="112"/>
      <c r="P2521" s="118">
        <f>N2521+O2521</f>
      </c>
      <c r="Q2521" s="94" t="s">
        <v>161</v>
      </c>
      <c r="R2521" s="94" t="s">
        <v>63</v>
      </c>
      <c r="S2521" s="119">
        <v>46355</v>
      </c>
      <c r="T2521" s="119"/>
      <c r="U2521" s="119">
        <v>46355</v>
      </c>
      <c r="V2521" s="94"/>
      <c r="W2521" s="94"/>
      <c r="X2521" s="94"/>
      <c r="Y2521" s="119">
        <v>46320</v>
      </c>
      <c r="Z2521" s="94"/>
      <c r="AA2521" s="120"/>
      <c r="AB2521" s="120"/>
      <c r="AC2521" s="120"/>
      <c r="AD2521" s="120"/>
      <c r="AE2521" s="120"/>
      <c r="AF2521" s="120"/>
      <c r="AG2521" s="94"/>
      <c r="AH2521" s="120"/>
      <c r="AI2521" s="94"/>
      <c r="AJ2521" s="94" t="s">
        <v>161</v>
      </c>
      <c r="AK2521" s="94" t="s">
        <v>162</v>
      </c>
      <c r="AL2521" s="94">
        <v>165</v>
      </c>
      <c r="AM2521" s="94" t="str">
        <f>TRIM(AJ2521)&amp;TRIM(AL2521)&amp;TRIM(AK2521)</f>
      </c>
      <c r="AN2521" s="116">
        <v>1219.16</v>
      </c>
      <c r="AO2521" s="116">
        <v>205.84</v>
      </c>
      <c r="AP2521" s="116">
        <f>SUMIFS(M:M,AM:AM,AM2521)+SUMIFS(O:O,AM:AM,AM2521)</f>
      </c>
      <c r="AQ2521" s="116">
        <f>SUMIFS(L:L,AM:AM,AM2521)</f>
      </c>
      <c r="AR2521" s="116">
        <f>AQ2521-AP2521</f>
      </c>
      <c r="AS2521" s="94" t="str">
        <f>IF(AN2521&gt;=AQ2521,"ok","ck")</f>
      </c>
      <c r="AT2521" s="116">
        <f>-P2521</f>
      </c>
      <c r="AU2521" s="115">
        <f>IF(SUMIFS(AT:AT,AM:AM,AM2521)&gt;AO2521,(SUMIFS(AT:AT,AM:AM,AM2521)-AO2521))</f>
      </c>
      <c r="AV2521" s="116">
        <v>1219.16</v>
      </c>
      <c r="AW2521" s="121">
        <v>0.856</v>
      </c>
      <c r="AX2521" s="115">
        <f>AN2521-AP2521</f>
      </c>
    </row>
    <row r="2522" spans="1:50" ht="15" hidden="1" customHeight="1" x14ac:dyDescent="0.3">
      <c r="A2522" s="94" t="s">
        <v>151</v>
      </c>
      <c r="B2522" s="94"/>
      <c r="C2522" s="94"/>
      <c r="D2522" s="94"/>
      <c r="E2522" s="94"/>
      <c r="F2522" s="94"/>
      <c r="G2522" s="112">
        <f>AU2522</f>
      </c>
      <c r="H2522" s="113"/>
      <c r="I2522" s="94" t="s">
        <v>220</v>
      </c>
      <c r="J2522" s="94" t="s">
        <v>217</v>
      </c>
      <c r="K2522" s="114">
        <f>P2522/3</f>
      </c>
      <c r="L2522" s="115">
        <v>1900</v>
      </c>
      <c r="M2522" s="116">
        <v>152.06200000000001</v>
      </c>
      <c r="N2522" s="117">
        <f>M2522-L2522</f>
      </c>
      <c r="O2522" s="112"/>
      <c r="P2522" s="118">
        <f>N2522+O2522</f>
      </c>
      <c r="Q2522" s="94" t="s">
        <v>168</v>
      </c>
      <c r="R2522" s="94" t="s">
        <v>63</v>
      </c>
      <c r="S2522" s="119">
        <v>46328</v>
      </c>
      <c r="T2522" s="119"/>
      <c r="U2522" s="119" t="s">
        <v>686</v>
      </c>
      <c r="V2522" s="94"/>
      <c r="W2522" s="94"/>
      <c r="X2522" s="94"/>
      <c r="Y2522" s="119">
        <v>46320</v>
      </c>
      <c r="Z2522" s="94"/>
      <c r="AA2522" s="120"/>
      <c r="AB2522" s="120"/>
      <c r="AC2522" s="120"/>
      <c r="AD2522" s="120"/>
      <c r="AE2522" s="120"/>
      <c r="AF2522" s="120"/>
      <c r="AG2522" s="94"/>
      <c r="AH2522" s="120"/>
      <c r="AI2522" s="94"/>
      <c r="AJ2522" s="94" t="s">
        <v>168</v>
      </c>
      <c r="AK2522" s="94" t="s">
        <v>217</v>
      </c>
      <c r="AL2522" s="94">
        <v>210</v>
      </c>
      <c r="AM2522" s="94" t="str">
        <f>TRIM(AJ2522)&amp;TRIM(AL2522)&amp;TRIM(AK2522)</f>
      </c>
      <c r="AN2522" s="116">
        <v>6238.37</v>
      </c>
      <c r="AO2522" s="116">
        <v>9914.91</v>
      </c>
      <c r="AP2522" s="116">
        <f>SUMIFS(M:M,AM:AM,AM2522)+SUMIFS(O:O,AM:AM,AM2522)</f>
      </c>
      <c r="AQ2522" s="116">
        <f>SUMIFS(L:L,AM:AM,AM2522)</f>
      </c>
      <c r="AR2522" s="116">
        <f>AQ2522-AP2522</f>
      </c>
      <c r="AS2522" s="94" t="str">
        <f>IF(AN2522&gt;=AQ2522,"ok","ck")</f>
      </c>
      <c r="AT2522" s="116">
        <f>-P2522</f>
      </c>
      <c r="AU2522" s="115">
        <f>IF(SUMIFS(AT:AT,AM:AM,AM2522)&gt;AO2522,(SUMIFS(AT:AT,AM:AM,AM2522)-AO2522))</f>
      </c>
      <c r="AV2522" s="116">
        <v>226</v>
      </c>
      <c r="AW2522" s="121">
        <v>0.884</v>
      </c>
      <c r="AX2522" s="115">
        <f>AN2522-AP2522</f>
      </c>
    </row>
    <row r="2523" spans="1:50" ht="15" hidden="1" customHeight="1" x14ac:dyDescent="0.3">
      <c r="A2523" s="94" t="s">
        <v>151</v>
      </c>
      <c r="B2523" s="94"/>
      <c r="C2523" s="94"/>
      <c r="D2523" s="94"/>
      <c r="E2523" s="94"/>
      <c r="F2523" s="94"/>
      <c r="G2523" s="112">
        <f>AU2523</f>
      </c>
      <c r="H2523" s="113"/>
      <c r="I2523" s="94" t="s">
        <v>220</v>
      </c>
      <c r="J2523" s="94" t="s">
        <v>217</v>
      </c>
      <c r="K2523" s="114">
        <f>P2523/3</f>
      </c>
      <c r="L2523" s="115">
        <v>1900</v>
      </c>
      <c r="M2523" s="116"/>
      <c r="N2523" s="117">
        <f>M2523-L2523</f>
      </c>
      <c r="O2523" s="112"/>
      <c r="P2523" s="118">
        <f>N2523+O2523</f>
      </c>
      <c r="Q2523" s="94" t="s">
        <v>168</v>
      </c>
      <c r="R2523" s="94" t="s">
        <v>63</v>
      </c>
      <c r="S2523" s="119">
        <v>46338</v>
      </c>
      <c r="T2523" s="119"/>
      <c r="U2523" s="119" t="s">
        <v>686</v>
      </c>
      <c r="V2523" s="94"/>
      <c r="W2523" s="94"/>
      <c r="X2523" s="94"/>
      <c r="Y2523" s="119">
        <v>46320</v>
      </c>
      <c r="Z2523" s="94"/>
      <c r="AA2523" s="120"/>
      <c r="AB2523" s="120"/>
      <c r="AC2523" s="120"/>
      <c r="AD2523" s="120"/>
      <c r="AE2523" s="120"/>
      <c r="AF2523" s="120"/>
      <c r="AG2523" s="94"/>
      <c r="AH2523" s="120"/>
      <c r="AI2523" s="94"/>
      <c r="AJ2523" s="94" t="s">
        <v>168</v>
      </c>
      <c r="AK2523" s="94" t="s">
        <v>217</v>
      </c>
      <c r="AL2523" s="94">
        <v>210</v>
      </c>
      <c r="AM2523" s="94" t="str">
        <f>TRIM(AJ2523)&amp;TRIM(AL2523)&amp;TRIM(AK2523)</f>
      </c>
      <c r="AN2523" s="116">
        <v>6238.37</v>
      </c>
      <c r="AO2523" s="116">
        <v>9914.91</v>
      </c>
      <c r="AP2523" s="116">
        <f>SUMIFS(M:M,AM:AM,AM2523)+SUMIFS(O:O,AM:AM,AM2523)</f>
      </c>
      <c r="AQ2523" s="116">
        <f>SUMIFS(L:L,AM:AM,AM2523)</f>
      </c>
      <c r="AR2523" s="116">
        <f>AQ2523-AP2523</f>
      </c>
      <c r="AS2523" s="94" t="str">
        <f>IF(AN2523&gt;=AQ2523,"ok","ck")</f>
      </c>
      <c r="AT2523" s="116">
        <f>-P2523</f>
      </c>
      <c r="AU2523" s="115">
        <f>IF(SUMIFS(AT:AT,AM:AM,AM2523)&gt;AO2523,(SUMIFS(AT:AT,AM:AM,AM2523)-AO2523))</f>
      </c>
      <c r="AV2523" s="116">
        <v>226</v>
      </c>
      <c r="AW2523" s="121">
        <v>0.884</v>
      </c>
      <c r="AX2523" s="115">
        <f>AN2523-AP2523</f>
      </c>
    </row>
    <row r="2524" spans="1:50" ht="15" hidden="1" customHeight="1" x14ac:dyDescent="0.3">
      <c r="A2524" s="94" t="s">
        <v>151</v>
      </c>
      <c r="B2524" s="94"/>
      <c r="C2524" s="94"/>
      <c r="D2524" s="94"/>
      <c r="E2524" s="94"/>
      <c r="F2524" s="94"/>
      <c r="G2524" s="112">
        <f>AU2524</f>
      </c>
      <c r="H2524" s="113"/>
      <c r="I2524" s="94" t="s">
        <v>220</v>
      </c>
      <c r="J2524" s="94" t="s">
        <v>217</v>
      </c>
      <c r="K2524" s="114">
        <f>P2524/3</f>
      </c>
      <c r="L2524" s="115">
        <v>1900</v>
      </c>
      <c r="M2524" s="116"/>
      <c r="N2524" s="117">
        <f>M2524-L2524</f>
      </c>
      <c r="O2524" s="112"/>
      <c r="P2524" s="118">
        <f>N2524+O2524</f>
      </c>
      <c r="Q2524" s="94" t="s">
        <v>168</v>
      </c>
      <c r="R2524" s="94" t="s">
        <v>63</v>
      </c>
      <c r="S2524" s="119">
        <v>46339</v>
      </c>
      <c r="T2524" s="119"/>
      <c r="U2524" s="119" t="s">
        <v>686</v>
      </c>
      <c r="V2524" s="94"/>
      <c r="W2524" s="94"/>
      <c r="X2524" s="94"/>
      <c r="Y2524" s="119">
        <v>46320</v>
      </c>
      <c r="Z2524" s="94"/>
      <c r="AA2524" s="120"/>
      <c r="AB2524" s="120"/>
      <c r="AC2524" s="120"/>
      <c r="AD2524" s="120"/>
      <c r="AE2524" s="120"/>
      <c r="AF2524" s="120"/>
      <c r="AG2524" s="94"/>
      <c r="AH2524" s="120"/>
      <c r="AI2524" s="94"/>
      <c r="AJ2524" s="94" t="s">
        <v>168</v>
      </c>
      <c r="AK2524" s="94" t="s">
        <v>217</v>
      </c>
      <c r="AL2524" s="94">
        <v>210</v>
      </c>
      <c r="AM2524" s="94" t="str">
        <f>TRIM(AJ2524)&amp;TRIM(AL2524)&amp;TRIM(AK2524)</f>
      </c>
      <c r="AN2524" s="116">
        <v>6238.37</v>
      </c>
      <c r="AO2524" s="116">
        <v>9914.91</v>
      </c>
      <c r="AP2524" s="116">
        <f>SUMIFS(M:M,AM:AM,AM2524)+SUMIFS(O:O,AM:AM,AM2524)</f>
      </c>
      <c r="AQ2524" s="116">
        <f>SUMIFS(L:L,AM:AM,AM2524)</f>
      </c>
      <c r="AR2524" s="116">
        <f>AQ2524-AP2524</f>
      </c>
      <c r="AS2524" s="94" t="str">
        <f>IF(AN2524&gt;=AQ2524,"ok","ck")</f>
      </c>
      <c r="AT2524" s="116">
        <f>-P2524</f>
      </c>
      <c r="AU2524" s="115">
        <f>IF(SUMIFS(AT:AT,AM:AM,AM2524)&gt;AO2524,(SUMIFS(AT:AT,AM:AM,AM2524)-AO2524))</f>
      </c>
      <c r="AV2524" s="116">
        <v>226</v>
      </c>
      <c r="AW2524" s="121">
        <v>0.884</v>
      </c>
      <c r="AX2524" s="115">
        <f>AN2524-AP2524</f>
      </c>
    </row>
    <row r="2525" spans="1:50" ht="15" hidden="1" customHeight="1" x14ac:dyDescent="0.3">
      <c r="A2525" s="94" t="s">
        <v>151</v>
      </c>
      <c r="B2525" s="94"/>
      <c r="C2525" s="94"/>
      <c r="D2525" s="94"/>
      <c r="E2525" s="94"/>
      <c r="F2525" s="94"/>
      <c r="G2525" s="112">
        <f>AU2525</f>
      </c>
      <c r="H2525" s="113"/>
      <c r="I2525" s="94" t="s">
        <v>220</v>
      </c>
      <c r="J2525" s="94" t="s">
        <v>217</v>
      </c>
      <c r="K2525" s="114">
        <f>P2525/3</f>
      </c>
      <c r="L2525" s="115">
        <v>1900</v>
      </c>
      <c r="M2525" s="116"/>
      <c r="N2525" s="117">
        <f>M2525-L2525</f>
      </c>
      <c r="O2525" s="112"/>
      <c r="P2525" s="118">
        <f>N2525+O2525</f>
      </c>
      <c r="Q2525" s="94" t="s">
        <v>168</v>
      </c>
      <c r="R2525" s="94" t="s">
        <v>63</v>
      </c>
      <c r="S2525" s="120">
        <v>46340</v>
      </c>
      <c r="T2525" s="120"/>
      <c r="U2525" s="120" t="s">
        <v>686</v>
      </c>
      <c r="V2525" s="94"/>
      <c r="W2525" s="94"/>
      <c r="X2525" s="94"/>
      <c r="Y2525" s="119">
        <v>46320</v>
      </c>
      <c r="Z2525" s="94"/>
      <c r="AA2525" s="120"/>
      <c r="AB2525" s="120"/>
      <c r="AC2525" s="120"/>
      <c r="AD2525" s="120"/>
      <c r="AE2525" s="120"/>
      <c r="AF2525" s="120"/>
      <c r="AG2525" s="94"/>
      <c r="AH2525" s="120"/>
      <c r="AI2525" s="94"/>
      <c r="AJ2525" s="94" t="s">
        <v>168</v>
      </c>
      <c r="AK2525" s="94" t="s">
        <v>217</v>
      </c>
      <c r="AL2525" s="94">
        <v>210</v>
      </c>
      <c r="AM2525" s="94" t="str">
        <f>TRIM(AJ2525)&amp;TRIM(AL2525)&amp;TRIM(AK2525)</f>
      </c>
      <c r="AN2525" s="116">
        <v>6238.37</v>
      </c>
      <c r="AO2525" s="116">
        <v>9914.91</v>
      </c>
      <c r="AP2525" s="116">
        <f>SUMIFS(M:M,AM:AM,AM2525)+SUMIFS(O:O,AM:AM,AM2525)</f>
      </c>
      <c r="AQ2525" s="116">
        <f>SUMIFS(L:L,AM:AM,AM2525)</f>
      </c>
      <c r="AR2525" s="116">
        <f>AQ2525-AP2525</f>
      </c>
      <c r="AS2525" s="94" t="str">
        <f>IF(AN2525&gt;=AQ2525,"ok","ck")</f>
      </c>
      <c r="AT2525" s="116">
        <f>-P2525</f>
      </c>
      <c r="AU2525" s="115">
        <f>IF(SUMIFS(AT:AT,AM:AM,AM2525)&gt;AO2525,(SUMIFS(AT:AT,AM:AM,AM2525)-AO2525))</f>
      </c>
      <c r="AV2525" s="116">
        <v>226</v>
      </c>
      <c r="AW2525" s="121">
        <v>0.884</v>
      </c>
      <c r="AX2525" s="115">
        <f>AN2525-AP2525</f>
      </c>
    </row>
    <row r="2526" spans="1:50" ht="15" hidden="1" customHeight="1" x14ac:dyDescent="0.3">
      <c r="A2526" s="94" t="s">
        <v>151</v>
      </c>
      <c r="B2526" s="94"/>
      <c r="C2526" s="94"/>
      <c r="D2526" s="94"/>
      <c r="E2526" s="94"/>
      <c r="F2526" s="94"/>
      <c r="G2526" s="112">
        <f>AU2526</f>
      </c>
      <c r="H2526" s="113"/>
      <c r="I2526" s="94" t="s">
        <v>220</v>
      </c>
      <c r="J2526" s="94" t="s">
        <v>217</v>
      </c>
      <c r="K2526" s="114">
        <f>P2526/3</f>
      </c>
      <c r="L2526" s="115">
        <v>1900</v>
      </c>
      <c r="M2526" s="116"/>
      <c r="N2526" s="117">
        <f>M2526-L2526</f>
      </c>
      <c r="O2526" s="112"/>
      <c r="P2526" s="118">
        <f>N2526+O2526</f>
      </c>
      <c r="Q2526" s="94" t="s">
        <v>168</v>
      </c>
      <c r="R2526" s="94" t="s">
        <v>63</v>
      </c>
      <c r="S2526" s="119">
        <v>46341</v>
      </c>
      <c r="T2526" s="119"/>
      <c r="U2526" s="119" t="s">
        <v>686</v>
      </c>
      <c r="V2526" s="94"/>
      <c r="W2526" s="94"/>
      <c r="X2526" s="94"/>
      <c r="Y2526" s="119">
        <v>46345</v>
      </c>
      <c r="Z2526" s="94"/>
      <c r="AA2526" s="120"/>
      <c r="AB2526" s="120"/>
      <c r="AC2526" s="120"/>
      <c r="AD2526" s="120"/>
      <c r="AE2526" s="120"/>
      <c r="AF2526" s="120"/>
      <c r="AG2526" s="94"/>
      <c r="AH2526" s="120"/>
      <c r="AI2526" s="94"/>
      <c r="AJ2526" s="94" t="s">
        <v>168</v>
      </c>
      <c r="AK2526" s="94" t="s">
        <v>217</v>
      </c>
      <c r="AL2526" s="94">
        <v>210</v>
      </c>
      <c r="AM2526" s="94" t="str">
        <f>TRIM(AJ2526)&amp;TRIM(AL2526)&amp;TRIM(AK2526)</f>
      </c>
      <c r="AN2526" s="116">
        <v>6238.37</v>
      </c>
      <c r="AO2526" s="116">
        <v>9914.91</v>
      </c>
      <c r="AP2526" s="116">
        <f>SUMIFS(M:M,AM:AM,AM2526)+SUMIFS(O:O,AM:AM,AM2526)</f>
      </c>
      <c r="AQ2526" s="116">
        <f>SUMIFS(L:L,AM:AM,AM2526)</f>
      </c>
      <c r="AR2526" s="116">
        <f>AQ2526-AP2526</f>
      </c>
      <c r="AS2526" s="94" t="str">
        <f>IF(AN2526&gt;=AQ2526,"ok","ck")</f>
      </c>
      <c r="AT2526" s="116">
        <f>-P2526</f>
      </c>
      <c r="AU2526" s="115">
        <f>IF(SUMIFS(AT:AT,AM:AM,AM2526)&gt;AO2526,(SUMIFS(AT:AT,AM:AM,AM2526)-AO2526))</f>
      </c>
      <c r="AV2526" s="116">
        <v>226</v>
      </c>
      <c r="AW2526" s="121">
        <v>0.884</v>
      </c>
      <c r="AX2526" s="115">
        <f>AN2526-AP2526</f>
      </c>
    </row>
    <row r="2527" spans="1:50" ht="15" hidden="1" customHeight="1" x14ac:dyDescent="0.3">
      <c r="A2527" s="94" t="s">
        <v>151</v>
      </c>
      <c r="B2527" s="94"/>
      <c r="C2527" s="94"/>
      <c r="D2527" s="94"/>
      <c r="E2527" s="94"/>
      <c r="F2527" s="94"/>
      <c r="G2527" s="112">
        <f>AU2527</f>
      </c>
      <c r="H2527" s="113"/>
      <c r="I2527" s="94" t="s">
        <v>220</v>
      </c>
      <c r="J2527" s="94" t="s">
        <v>217</v>
      </c>
      <c r="K2527" s="114">
        <f>P2527/3</f>
      </c>
      <c r="L2527" s="115">
        <v>566.97199999999998</v>
      </c>
      <c r="M2527" s="116"/>
      <c r="N2527" s="117">
        <f>M2527-L2527</f>
      </c>
      <c r="O2527" s="112"/>
      <c r="P2527" s="118">
        <f>N2527+O2527</f>
      </c>
      <c r="Q2527" s="94" t="s">
        <v>168</v>
      </c>
      <c r="R2527" s="94" t="s">
        <v>63</v>
      </c>
      <c r="S2527" s="119">
        <v>46342</v>
      </c>
      <c r="T2527" s="119"/>
      <c r="U2527" s="119" t="s">
        <v>686</v>
      </c>
      <c r="V2527" s="94"/>
      <c r="W2527" s="94"/>
      <c r="X2527" s="94"/>
      <c r="Y2527" s="119">
        <v>46345</v>
      </c>
      <c r="Z2527" s="94"/>
      <c r="AA2527" s="120"/>
      <c r="AB2527" s="120"/>
      <c r="AC2527" s="120"/>
      <c r="AD2527" s="120"/>
      <c r="AE2527" s="120"/>
      <c r="AF2527" s="120"/>
      <c r="AG2527" s="94"/>
      <c r="AH2527" s="120"/>
      <c r="AI2527" s="94"/>
      <c r="AJ2527" s="94" t="s">
        <v>168</v>
      </c>
      <c r="AK2527" s="94" t="s">
        <v>217</v>
      </c>
      <c r="AL2527" s="94">
        <v>210</v>
      </c>
      <c r="AM2527" s="94" t="str">
        <f>TRIM(AJ2527)&amp;TRIM(AL2527)&amp;TRIM(AK2527)</f>
      </c>
      <c r="AN2527" s="116">
        <v>6238.37</v>
      </c>
      <c r="AO2527" s="116">
        <v>9914.91</v>
      </c>
      <c r="AP2527" s="116">
        <f>SUMIFS(M:M,AM:AM,AM2527)+SUMIFS(O:O,AM:AM,AM2527)</f>
      </c>
      <c r="AQ2527" s="116">
        <f>SUMIFS(L:L,AM:AM,AM2527)</f>
      </c>
      <c r="AR2527" s="116">
        <f>AQ2527-AP2527</f>
      </c>
      <c r="AS2527" s="94" t="str">
        <f>IF(AN2527&gt;=AQ2527,"ok","ck")</f>
      </c>
      <c r="AT2527" s="116">
        <f>-P2527</f>
      </c>
      <c r="AU2527" s="115">
        <f>IF(SUMIFS(AT:AT,AM:AM,AM2527)&gt;AO2527,(SUMIFS(AT:AT,AM:AM,AM2527)-AO2527))</f>
      </c>
      <c r="AV2527" s="116">
        <v>226</v>
      </c>
      <c r="AW2527" s="121">
        <v>0.884</v>
      </c>
      <c r="AX2527" s="115">
        <f>AN2527-AP2527</f>
      </c>
    </row>
    <row r="2528" spans="1:50" ht="15" hidden="1" customHeight="1" x14ac:dyDescent="0.3">
      <c r="A2528" s="94" t="s">
        <v>151</v>
      </c>
      <c r="B2528" s="94"/>
      <c r="C2528" s="94"/>
      <c r="D2528" s="94"/>
      <c r="E2528" s="94"/>
      <c r="F2528" s="94"/>
      <c r="G2528" s="112">
        <f>AU2528</f>
      </c>
      <c r="H2528" s="113"/>
      <c r="I2528" s="94" t="s">
        <v>163</v>
      </c>
      <c r="J2528" s="94" t="s">
        <v>200</v>
      </c>
      <c r="K2528" s="114">
        <f>P2528/3</f>
      </c>
      <c r="L2528" s="115">
        <v>-2.6819999999999999</v>
      </c>
      <c r="M2528" s="116">
        <f>L2528</f>
      </c>
      <c r="N2528" s="117">
        <f>M2528-L2528</f>
      </c>
      <c r="O2528" s="112"/>
      <c r="P2528" s="118">
        <f>N2528+O2528</f>
      </c>
      <c r="Q2528" s="94" t="s">
        <v>183</v>
      </c>
      <c r="R2528" s="94" t="s">
        <v>63</v>
      </c>
      <c r="S2528" s="119">
        <v>46320</v>
      </c>
      <c r="T2528" s="119"/>
      <c r="U2528" s="119">
        <v>46320</v>
      </c>
      <c r="V2528" s="94"/>
      <c r="W2528" s="94"/>
      <c r="X2528" s="94"/>
      <c r="Y2528" s="119">
        <v>46320</v>
      </c>
      <c r="Z2528" s="94"/>
      <c r="AA2528" s="120"/>
      <c r="AB2528" s="120"/>
      <c r="AC2528" s="120"/>
      <c r="AD2528" s="120"/>
      <c r="AE2528" s="120"/>
      <c r="AF2528" s="120"/>
      <c r="AG2528" s="94"/>
      <c r="AH2528" s="120"/>
      <c r="AI2528" s="94"/>
      <c r="AJ2528" s="94" t="s">
        <v>183</v>
      </c>
      <c r="AK2528" s="94" t="s">
        <v>201</v>
      </c>
      <c r="AL2528" s="94">
        <v>160</v>
      </c>
      <c r="AM2528" s="94" t="str">
        <f>TRIM(AJ2528)&amp;TRIM(AL2528)&amp;TRIM(AK2528)</f>
      </c>
      <c r="AN2528" s="116">
        <v>853</v>
      </c>
      <c r="AO2528" s="116">
        <v>-31.67</v>
      </c>
      <c r="AP2528" s="116">
        <f>SUMIFS(M:M,AM:AM,AM2528)+SUMIFS(O:O,AM:AM,AM2528)</f>
      </c>
      <c r="AQ2528" s="116">
        <f>SUMIFS(L:L,AM:AM,AM2528)</f>
      </c>
      <c r="AR2528" s="116">
        <f>AQ2528-AP2528</f>
      </c>
      <c r="AS2528" s="94" t="str">
        <f>IF(AN2528&gt;=AQ2528,"ok","ck")</f>
      </c>
      <c r="AT2528" s="116">
        <f>-P2528</f>
      </c>
      <c r="AU2528" s="115">
        <f>IF(SUMIFS(AT:AT,AM:AM,AM2528)&gt;AO2528,(SUMIFS(AT:AT,AM:AM,AM2528)-AO2528))</f>
      </c>
      <c r="AV2528" s="116">
        <v>853</v>
      </c>
      <c r="AW2528" s="121">
        <v>1.039</v>
      </c>
      <c r="AX2528" s="115">
        <f>AN2528-AP2528</f>
      </c>
    </row>
    <row r="2529" spans="1:50" ht="15" hidden="1" customHeight="1" x14ac:dyDescent="0.3">
      <c r="A2529" s="94" t="s">
        <v>151</v>
      </c>
      <c r="B2529" s="94"/>
      <c r="C2529" s="94"/>
      <c r="D2529" s="94"/>
      <c r="E2529" s="94"/>
      <c r="F2529" s="94"/>
      <c r="G2529" s="112">
        <f>AU2529</f>
      </c>
      <c r="H2529" s="113"/>
      <c r="I2529" s="94" t="s">
        <v>163</v>
      </c>
      <c r="J2529" s="94" t="s">
        <v>200</v>
      </c>
      <c r="K2529" s="114">
        <f>P2529/3</f>
      </c>
      <c r="L2529" s="115">
        <v>-1.5329999999999999</v>
      </c>
      <c r="M2529" s="116">
        <f>L2529</f>
      </c>
      <c r="N2529" s="117">
        <f>M2529-L2529</f>
      </c>
      <c r="O2529" s="112"/>
      <c r="P2529" s="118">
        <f>N2529+O2529</f>
      </c>
      <c r="Q2529" s="94" t="s">
        <v>183</v>
      </c>
      <c r="R2529" s="94" t="s">
        <v>63</v>
      </c>
      <c r="S2529" s="119">
        <v>46337</v>
      </c>
      <c r="T2529" s="119"/>
      <c r="U2529" s="119">
        <v>46337</v>
      </c>
      <c r="V2529" s="94"/>
      <c r="W2529" s="94"/>
      <c r="X2529" s="94"/>
      <c r="Y2529" s="119">
        <v>46337</v>
      </c>
      <c r="Z2529" s="94"/>
      <c r="AA2529" s="120"/>
      <c r="AB2529" s="120"/>
      <c r="AC2529" s="120"/>
      <c r="AD2529" s="120"/>
      <c r="AE2529" s="120"/>
      <c r="AF2529" s="120"/>
      <c r="AG2529" s="94"/>
      <c r="AH2529" s="120"/>
      <c r="AI2529" s="94"/>
      <c r="AJ2529" s="94" t="s">
        <v>183</v>
      </c>
      <c r="AK2529" s="94" t="s">
        <v>201</v>
      </c>
      <c r="AL2529" s="94">
        <v>160</v>
      </c>
      <c r="AM2529" s="94" t="str">
        <f>TRIM(AJ2529)&amp;TRIM(AL2529)&amp;TRIM(AK2529)</f>
      </c>
      <c r="AN2529" s="116">
        <v>853</v>
      </c>
      <c r="AO2529" s="116">
        <v>-31.67</v>
      </c>
      <c r="AP2529" s="116">
        <f>SUMIFS(M:M,AM:AM,AM2529)+SUMIFS(O:O,AM:AM,AM2529)</f>
      </c>
      <c r="AQ2529" s="116">
        <f>SUMIFS(L:L,AM:AM,AM2529)</f>
      </c>
      <c r="AR2529" s="116">
        <f>AQ2529-AP2529</f>
      </c>
      <c r="AS2529" s="94" t="str">
        <f>IF(AN2529&gt;=AQ2529,"ok","ck")</f>
      </c>
      <c r="AT2529" s="116">
        <f>-P2529</f>
      </c>
      <c r="AU2529" s="115">
        <f>IF(SUMIFS(AT:AT,AM:AM,AM2529)&gt;AO2529,(SUMIFS(AT:AT,AM:AM,AM2529)-AO2529))</f>
      </c>
      <c r="AV2529" s="116">
        <v>853</v>
      </c>
      <c r="AW2529" s="121">
        <v>1.039</v>
      </c>
      <c r="AX2529" s="115">
        <f>AN2529-AP2529</f>
      </c>
    </row>
    <row r="2530" spans="1:50" ht="15" hidden="1" customHeight="1" x14ac:dyDescent="0.3">
      <c r="A2530" s="94" t="s">
        <v>151</v>
      </c>
      <c r="B2530" s="94"/>
      <c r="C2530" s="94"/>
      <c r="D2530" s="94"/>
      <c r="E2530" s="94"/>
      <c r="F2530" s="94"/>
      <c r="G2530" s="112">
        <f>AU2530</f>
      </c>
      <c r="H2530" s="113"/>
      <c r="I2530" s="94" t="s">
        <v>152</v>
      </c>
      <c r="J2530" s="94" t="s">
        <v>156</v>
      </c>
      <c r="K2530" s="114">
        <f>P2530/3</f>
      </c>
      <c r="L2530" s="115">
        <v>-1.6140000000000001</v>
      </c>
      <c r="M2530" s="116">
        <f>L2530</f>
      </c>
      <c r="N2530" s="117">
        <f>M2530-L2530</f>
      </c>
      <c r="O2530" s="112"/>
      <c r="P2530" s="118">
        <f>N2530+O2530</f>
      </c>
      <c r="Q2530" s="94" t="s">
        <v>161</v>
      </c>
      <c r="R2530" s="94" t="s">
        <v>63</v>
      </c>
      <c r="S2530" s="119">
        <v>46320</v>
      </c>
      <c r="T2530" s="119"/>
      <c r="U2530" s="119">
        <v>46320</v>
      </c>
      <c r="V2530" s="94"/>
      <c r="W2530" s="94"/>
      <c r="X2530" s="94"/>
      <c r="Y2530" s="119">
        <v>46320</v>
      </c>
      <c r="Z2530" s="94"/>
      <c r="AA2530" s="120"/>
      <c r="AB2530" s="120"/>
      <c r="AC2530" s="120"/>
      <c r="AD2530" s="120"/>
      <c r="AE2530" s="120"/>
      <c r="AF2530" s="120"/>
      <c r="AG2530" s="94"/>
      <c r="AH2530" s="120"/>
      <c r="AI2530" s="94"/>
      <c r="AJ2530" s="94" t="s">
        <v>161</v>
      </c>
      <c r="AK2530" s="94" t="s">
        <v>162</v>
      </c>
      <c r="AL2530" s="94">
        <v>160</v>
      </c>
      <c r="AM2530" s="94" t="str">
        <f>TRIM(AJ2530)&amp;TRIM(AL2530)&amp;TRIM(AK2530)</f>
      </c>
      <c r="AN2530" s="116">
        <v>121.15</v>
      </c>
      <c r="AO2530" s="116">
        <v>-1.15</v>
      </c>
      <c r="AP2530" s="116">
        <f>SUMIFS(M:M,AM:AM,AM2530)+SUMIFS(O:O,AM:AM,AM2530)</f>
      </c>
      <c r="AQ2530" s="116">
        <f>SUMIFS(L:L,AM:AM,AM2530)</f>
      </c>
      <c r="AR2530" s="116">
        <f>AQ2530-AP2530</f>
      </c>
      <c r="AS2530" s="94" t="str">
        <f>IF(AN2530&gt;=AQ2530,"ok","ck")</f>
      </c>
      <c r="AT2530" s="116">
        <f>-P2530</f>
      </c>
      <c r="AU2530" s="115">
        <f>IF(SUMIFS(AT:AT,AM:AM,AM2530)&gt;AO2530,(SUMIFS(AT:AT,AM:AM,AM2530)-AO2530))</f>
      </c>
      <c r="AV2530" s="116">
        <v>121.15</v>
      </c>
      <c r="AW2530" s="121">
        <v>1.01</v>
      </c>
      <c r="AX2530" s="115">
        <f>AN2530-AP2530</f>
      </c>
    </row>
    <row r="2531" spans="1:50" ht="15" hidden="1" customHeight="1" x14ac:dyDescent="0.3">
      <c r="A2531" s="94" t="s">
        <v>151</v>
      </c>
      <c r="B2531" s="94"/>
      <c r="C2531" s="94"/>
      <c r="D2531" s="94"/>
      <c r="E2531" s="94"/>
      <c r="F2531" s="94"/>
      <c r="G2531" s="112">
        <f>AU2531</f>
      </c>
      <c r="H2531" s="113"/>
      <c r="I2531" s="94" t="s">
        <v>188</v>
      </c>
      <c r="J2531" s="94" t="s">
        <v>156</v>
      </c>
      <c r="K2531" s="114">
        <f>P2531/3</f>
      </c>
      <c r="L2531" s="115">
        <v>0</v>
      </c>
      <c r="M2531" s="116"/>
      <c r="N2531" s="117">
        <f>M2531-L2531</f>
      </c>
      <c r="O2531" s="112"/>
      <c r="P2531" s="118">
        <f>N2531+O2531</f>
      </c>
      <c r="Q2531" s="94" t="s">
        <v>161</v>
      </c>
      <c r="R2531" s="94" t="s">
        <v>63</v>
      </c>
      <c r="S2531" s="119">
        <v>46320</v>
      </c>
      <c r="T2531" s="119"/>
      <c r="U2531" s="119">
        <v>46320</v>
      </c>
      <c r="V2531" s="94"/>
      <c r="W2531" s="94"/>
      <c r="X2531" s="94"/>
      <c r="Y2531" s="119">
        <v>46320</v>
      </c>
      <c r="Z2531" s="94"/>
      <c r="AA2531" s="120"/>
      <c r="AB2531" s="120"/>
      <c r="AC2531" s="120"/>
      <c r="AD2531" s="120"/>
      <c r="AE2531" s="120"/>
      <c r="AF2531" s="120"/>
      <c r="AG2531" s="94"/>
      <c r="AH2531" s="120"/>
      <c r="AI2531" s="94"/>
      <c r="AJ2531" s="94" t="s">
        <v>161</v>
      </c>
      <c r="AK2531" s="94" t="s">
        <v>162</v>
      </c>
      <c r="AL2531" s="94">
        <v>165</v>
      </c>
      <c r="AM2531" s="94" t="str">
        <f>TRIM(AJ2531)&amp;TRIM(AL2531)&amp;TRIM(AK2531)</f>
      </c>
      <c r="AN2531" s="116">
        <v>1219.16</v>
      </c>
      <c r="AO2531" s="116">
        <v>205.84</v>
      </c>
      <c r="AP2531" s="116">
        <f>SUMIFS(M:M,AM:AM,AM2531)+SUMIFS(O:O,AM:AM,AM2531)</f>
      </c>
      <c r="AQ2531" s="116">
        <f>SUMIFS(L:L,AM:AM,AM2531)</f>
      </c>
      <c r="AR2531" s="116">
        <f>AQ2531-AP2531</f>
      </c>
      <c r="AS2531" s="94" t="str">
        <f>IF(AN2531&gt;=AQ2531,"ok","ck")</f>
      </c>
      <c r="AT2531" s="116">
        <f>-P2531</f>
      </c>
      <c r="AU2531" s="115">
        <f>IF(SUMIFS(AT:AT,AM:AM,AM2531)&gt;AO2531,(SUMIFS(AT:AT,AM:AM,AM2531)-AO2531))</f>
      </c>
      <c r="AV2531" s="116">
        <v>1219.16</v>
      </c>
      <c r="AW2531" s="121">
        <v>0.856</v>
      </c>
      <c r="AX2531" s="115">
        <f>AN2531-AP2531</f>
      </c>
    </row>
    <row r="2532" spans="1:50" ht="15" hidden="1" customHeight="1" x14ac:dyDescent="0.3">
      <c r="A2532" s="94" t="s">
        <v>151</v>
      </c>
      <c r="B2532" s="94"/>
      <c r="C2532" s="94"/>
      <c r="D2532" s="94"/>
      <c r="E2532" s="94"/>
      <c r="F2532" s="94"/>
      <c r="G2532" s="112">
        <f>AU2532</f>
      </c>
      <c r="H2532" s="113"/>
      <c r="I2532" s="94" t="s">
        <v>152</v>
      </c>
      <c r="J2532" s="94" t="s">
        <v>193</v>
      </c>
      <c r="K2532" s="114">
        <f>P2532/3</f>
      </c>
      <c r="L2532" s="115">
        <v>3259.6419999999998</v>
      </c>
      <c r="M2532" s="116"/>
      <c r="N2532" s="117">
        <f>M2532-L2532</f>
      </c>
      <c r="O2532" s="112"/>
      <c r="P2532" s="118">
        <f>N2532+O2532</f>
      </c>
      <c r="Q2532" s="94" t="s">
        <v>168</v>
      </c>
      <c r="R2532" s="94" t="s">
        <v>63</v>
      </c>
      <c r="S2532" s="119">
        <v>46346</v>
      </c>
      <c r="T2532" s="119"/>
      <c r="U2532" s="119" t="s">
        <v>683</v>
      </c>
      <c r="V2532" s="94"/>
      <c r="W2532" s="94"/>
      <c r="X2532" s="94"/>
      <c r="Y2532" s="119">
        <v>46320</v>
      </c>
      <c r="Z2532" s="94"/>
      <c r="AA2532" s="120"/>
      <c r="AB2532" s="120"/>
      <c r="AC2532" s="120"/>
      <c r="AD2532" s="120"/>
      <c r="AE2532" s="120"/>
      <c r="AF2532" s="120"/>
      <c r="AG2532" s="94"/>
      <c r="AH2532" s="120"/>
      <c r="AI2532" s="94"/>
      <c r="AJ2532" s="94" t="s">
        <v>168</v>
      </c>
      <c r="AK2532" s="94" t="s">
        <v>195</v>
      </c>
      <c r="AL2532" s="94">
        <v>160</v>
      </c>
      <c r="AM2532" s="94" t="str">
        <f>TRIM(AJ2532)&amp;TRIM(AL2532)&amp;TRIM(AK2532)</f>
      </c>
      <c r="AN2532" s="116">
        <v>3525</v>
      </c>
      <c r="AO2532" s="116">
        <v>3730.27</v>
      </c>
      <c r="AP2532" s="116">
        <f>SUMIFS(M:M,AM:AM,AM2532)+SUMIFS(O:O,AM:AM,AM2532)</f>
      </c>
      <c r="AQ2532" s="116">
        <f>SUMIFS(L:L,AM:AM,AM2532)</f>
      </c>
      <c r="AR2532" s="116">
        <f>AQ2532-AP2532</f>
      </c>
      <c r="AS2532" s="94" t="str">
        <f>IF(AN2532&gt;=AQ2532,"ok","ck")</f>
      </c>
      <c r="AT2532" s="116">
        <f>-P2532</f>
      </c>
      <c r="AU2532" s="115">
        <f>IF(SUMIFS(AT:AT,AM:AM,AM2532)&gt;AO2532,(SUMIFS(AT:AT,AM:AM,AM2532)-AO2532))</f>
      </c>
      <c r="AV2532" s="116">
        <v>3525</v>
      </c>
      <c r="AW2532" s="121">
        <v>0.486</v>
      </c>
      <c r="AX2532" s="115">
        <f>AN2532-AP2532</f>
      </c>
    </row>
    <row r="2533" spans="1:50" ht="15" hidden="1" customHeight="1" x14ac:dyDescent="0.3">
      <c r="A2533" s="94" t="s">
        <v>151</v>
      </c>
      <c r="B2533" s="94"/>
      <c r="C2533" s="94"/>
      <c r="D2533" s="94"/>
      <c r="E2533" s="94"/>
      <c r="F2533" s="94"/>
      <c r="G2533" s="112">
        <f>AU2533</f>
      </c>
      <c r="H2533" s="113"/>
      <c r="I2533" s="94" t="s">
        <v>174</v>
      </c>
      <c r="J2533" s="94" t="s">
        <v>196</v>
      </c>
      <c r="K2533" s="114">
        <f>P2533/3</f>
      </c>
      <c r="L2533" s="115">
        <v>0</v>
      </c>
      <c r="M2533" s="116">
        <f>L2533</f>
      </c>
      <c r="N2533" s="117">
        <f>M2533-L2533</f>
      </c>
      <c r="O2533" s="112"/>
      <c r="P2533" s="118">
        <f>N2533+O2533</f>
      </c>
      <c r="Q2533" s="94" t="s">
        <v>197</v>
      </c>
      <c r="R2533" s="94" t="s">
        <v>63</v>
      </c>
      <c r="S2533" s="119">
        <v>46320</v>
      </c>
      <c r="T2533" s="119"/>
      <c r="U2533" s="119">
        <v>46320</v>
      </c>
      <c r="V2533" s="94"/>
      <c r="W2533" s="94"/>
      <c r="X2533" s="94"/>
      <c r="Y2533" s="119">
        <v>46320</v>
      </c>
      <c r="Z2533" s="94"/>
      <c r="AA2533" s="120"/>
      <c r="AB2533" s="120"/>
      <c r="AC2533" s="120"/>
      <c r="AD2533" s="120"/>
      <c r="AE2533" s="120"/>
      <c r="AF2533" s="120"/>
      <c r="AG2533" s="94"/>
      <c r="AH2533" s="120"/>
      <c r="AI2533" s="94"/>
      <c r="AJ2533" s="94" t="s">
        <v>197</v>
      </c>
      <c r="AK2533" s="94" t="s">
        <v>158</v>
      </c>
      <c r="AL2533" s="94">
        <v>160</v>
      </c>
      <c r="AM2533" s="94" t="str">
        <f>TRIM(AJ2533)&amp;TRIM(AL2533)&amp;TRIM(AK2533)</f>
      </c>
      <c r="AN2533" s="116">
        <v>4691</v>
      </c>
      <c r="AO2533" s="116">
        <v>-106</v>
      </c>
      <c r="AP2533" s="116">
        <f>SUMIFS(M:M,AM:AM,AM2533)+SUMIFS(O:O,AM:AM,AM2533)</f>
      </c>
      <c r="AQ2533" s="116">
        <f>SUMIFS(L:L,AM:AM,AM2533)</f>
      </c>
      <c r="AR2533" s="116">
        <f>AQ2533-AP2533</f>
      </c>
      <c r="AS2533" s="94" t="str">
        <f>IF(AN2533&gt;=AQ2533,"ok","ck")</f>
      </c>
      <c r="AT2533" s="116">
        <f>-P2533</f>
      </c>
      <c r="AU2533" s="115">
        <f>IF(SUMIFS(AT:AT,AM:AM,AM2533)&gt;AO2533,(SUMIFS(AT:AT,AM:AM,AM2533)-AO2533))</f>
      </c>
      <c r="AV2533" s="116">
        <v>4691</v>
      </c>
      <c r="AW2533" s="121">
        <v>1.023</v>
      </c>
      <c r="AX2533" s="115">
        <f>AN2533-AP2533</f>
      </c>
    </row>
    <row r="2534" spans="1:50" ht="15" hidden="1" customHeight="1" x14ac:dyDescent="0.3">
      <c r="A2534" s="94" t="s">
        <v>151</v>
      </c>
      <c r="B2534" s="94"/>
      <c r="C2534" s="94"/>
      <c r="D2534" s="94"/>
      <c r="E2534" s="94"/>
      <c r="F2534" s="94"/>
      <c r="G2534" s="112">
        <f>AU2534</f>
      </c>
      <c r="H2534" s="113"/>
      <c r="I2534" s="94" t="s">
        <v>174</v>
      </c>
      <c r="J2534" s="94" t="s">
        <v>196</v>
      </c>
      <c r="K2534" s="114">
        <f>P2534/3</f>
      </c>
      <c r="L2534" s="115">
        <v>683.79200000000003</v>
      </c>
      <c r="M2534" s="116">
        <f>L2534</f>
      </c>
      <c r="N2534" s="117">
        <f>M2534-L2534</f>
      </c>
      <c r="O2534" s="112"/>
      <c r="P2534" s="118">
        <f>N2534+O2534</f>
      </c>
      <c r="Q2534" s="94" t="s">
        <v>197</v>
      </c>
      <c r="R2534" s="94" t="s">
        <v>63</v>
      </c>
      <c r="S2534" s="119">
        <v>46344</v>
      </c>
      <c r="T2534" s="119"/>
      <c r="U2534" s="119">
        <v>46344</v>
      </c>
      <c r="V2534" s="94"/>
      <c r="W2534" s="94"/>
      <c r="X2534" s="94"/>
      <c r="Y2534" s="119">
        <v>46321</v>
      </c>
      <c r="Z2534" s="94"/>
      <c r="AA2534" s="120"/>
      <c r="AB2534" s="120"/>
      <c r="AC2534" s="120"/>
      <c r="AD2534" s="120"/>
      <c r="AE2534" s="120"/>
      <c r="AF2534" s="120"/>
      <c r="AG2534" s="94"/>
      <c r="AH2534" s="120"/>
      <c r="AI2534" s="94"/>
      <c r="AJ2534" s="94" t="s">
        <v>197</v>
      </c>
      <c r="AK2534" s="94" t="s">
        <v>158</v>
      </c>
      <c r="AL2534" s="94">
        <v>160</v>
      </c>
      <c r="AM2534" s="94" t="str">
        <f>TRIM(AJ2534)&amp;TRIM(AL2534)&amp;TRIM(AK2534)</f>
      </c>
      <c r="AN2534" s="116">
        <v>4691</v>
      </c>
      <c r="AO2534" s="116">
        <v>-106</v>
      </c>
      <c r="AP2534" s="116">
        <f>SUMIFS(M:M,AM:AM,AM2534)+SUMIFS(O:O,AM:AM,AM2534)</f>
      </c>
      <c r="AQ2534" s="116">
        <f>SUMIFS(L:L,AM:AM,AM2534)</f>
      </c>
      <c r="AR2534" s="116">
        <f>AQ2534-AP2534</f>
      </c>
      <c r="AS2534" s="94" t="str">
        <f>IF(AN2534&gt;=AQ2534,"ok","ck")</f>
      </c>
      <c r="AT2534" s="116">
        <f>-P2534</f>
      </c>
      <c r="AU2534" s="115">
        <f>IF(SUMIFS(AT:AT,AM:AM,AM2534)&gt;AO2534,(SUMIFS(AT:AT,AM:AM,AM2534)-AO2534))</f>
      </c>
      <c r="AV2534" s="116">
        <v>4691</v>
      </c>
      <c r="AW2534" s="121">
        <v>1.023</v>
      </c>
      <c r="AX2534" s="115">
        <f>AN2534-AP2534</f>
      </c>
    </row>
    <row r="2535" spans="1:50" ht="15" hidden="1" customHeight="1" x14ac:dyDescent="0.3">
      <c r="A2535" s="94" t="s">
        <v>151</v>
      </c>
      <c r="B2535" s="94"/>
      <c r="C2535" s="94"/>
      <c r="D2535" s="94"/>
      <c r="E2535" s="94"/>
      <c r="F2535" s="94"/>
      <c r="G2535" s="112">
        <f>AU2535</f>
      </c>
      <c r="H2535" s="113"/>
      <c r="I2535" s="94" t="s">
        <v>174</v>
      </c>
      <c r="J2535" s="94" t="s">
        <v>196</v>
      </c>
      <c r="K2535" s="114">
        <f>P2535/3</f>
      </c>
      <c r="L2535" s="115">
        <v>496.36700000000002</v>
      </c>
      <c r="M2535" s="116">
        <f>L2535</f>
      </c>
      <c r="N2535" s="117">
        <f>M2535-L2535</f>
      </c>
      <c r="O2535" s="112"/>
      <c r="P2535" s="118">
        <f>N2535+O2535</f>
      </c>
      <c r="Q2535" s="94" t="s">
        <v>197</v>
      </c>
      <c r="R2535" s="94" t="s">
        <v>63</v>
      </c>
      <c r="S2535" s="119">
        <v>46344</v>
      </c>
      <c r="T2535" s="119"/>
      <c r="U2535" s="119">
        <v>46344</v>
      </c>
      <c r="V2535" s="94"/>
      <c r="W2535" s="94"/>
      <c r="X2535" s="94"/>
      <c r="Y2535" s="119">
        <v>46328</v>
      </c>
      <c r="Z2535" s="94"/>
      <c r="AA2535" s="120"/>
      <c r="AB2535" s="120"/>
      <c r="AC2535" s="120"/>
      <c r="AD2535" s="120"/>
      <c r="AE2535" s="120"/>
      <c r="AF2535" s="120"/>
      <c r="AG2535" s="94"/>
      <c r="AH2535" s="120"/>
      <c r="AI2535" s="94"/>
      <c r="AJ2535" s="94" t="s">
        <v>197</v>
      </c>
      <c r="AK2535" s="94" t="s">
        <v>158</v>
      </c>
      <c r="AL2535" s="94">
        <v>160</v>
      </c>
      <c r="AM2535" s="94" t="str">
        <f>TRIM(AJ2535)&amp;TRIM(AL2535)&amp;TRIM(AK2535)</f>
      </c>
      <c r="AN2535" s="116">
        <v>4691</v>
      </c>
      <c r="AO2535" s="116">
        <v>-106</v>
      </c>
      <c r="AP2535" s="116">
        <f>SUMIFS(M:M,AM:AM,AM2535)+SUMIFS(O:O,AM:AM,AM2535)</f>
      </c>
      <c r="AQ2535" s="116">
        <f>SUMIFS(L:L,AM:AM,AM2535)</f>
      </c>
      <c r="AR2535" s="116">
        <f>AQ2535-AP2535</f>
      </c>
      <c r="AS2535" s="94" t="str">
        <f>IF(AN2535&gt;=AQ2535,"ok","ck")</f>
      </c>
      <c r="AT2535" s="116">
        <f>-P2535</f>
      </c>
      <c r="AU2535" s="115">
        <f>IF(SUMIFS(AT:AT,AM:AM,AM2535)&gt;AO2535,(SUMIFS(AT:AT,AM:AM,AM2535)-AO2535))</f>
      </c>
      <c r="AV2535" s="116">
        <v>4691</v>
      </c>
      <c r="AW2535" s="121">
        <v>1.023</v>
      </c>
      <c r="AX2535" s="115">
        <f>AN2535-AP2535</f>
      </c>
    </row>
    <row r="2536" spans="1:50" ht="15" hidden="1" customHeight="1" x14ac:dyDescent="0.3">
      <c r="A2536" s="94" t="s">
        <v>151</v>
      </c>
      <c r="B2536" s="94"/>
      <c r="C2536" s="94"/>
      <c r="D2536" s="94"/>
      <c r="E2536" s="94"/>
      <c r="F2536" s="94"/>
      <c r="G2536" s="112">
        <f>AU2536</f>
      </c>
      <c r="H2536" s="113"/>
      <c r="I2536" s="94" t="s">
        <v>174</v>
      </c>
      <c r="J2536" s="94" t="s">
        <v>196</v>
      </c>
      <c r="K2536" s="114">
        <f>P2536/3</f>
      </c>
      <c r="L2536" s="115">
        <v>496.36700000000002</v>
      </c>
      <c r="M2536" s="116">
        <f>L2536</f>
      </c>
      <c r="N2536" s="117">
        <f>M2536-L2536</f>
      </c>
      <c r="O2536" s="112"/>
      <c r="P2536" s="118">
        <f>N2536+O2536</f>
      </c>
      <c r="Q2536" s="94" t="s">
        <v>197</v>
      </c>
      <c r="R2536" s="94" t="s">
        <v>63</v>
      </c>
      <c r="S2536" s="119">
        <v>46344</v>
      </c>
      <c r="T2536" s="119"/>
      <c r="U2536" s="119">
        <v>46344</v>
      </c>
      <c r="V2536" s="94"/>
      <c r="W2536" s="94"/>
      <c r="X2536" s="94"/>
      <c r="Y2536" s="119">
        <v>46336</v>
      </c>
      <c r="Z2536" s="94"/>
      <c r="AA2536" s="120"/>
      <c r="AB2536" s="120"/>
      <c r="AC2536" s="120"/>
      <c r="AD2536" s="120"/>
      <c r="AE2536" s="120"/>
      <c r="AF2536" s="120"/>
      <c r="AG2536" s="94"/>
      <c r="AH2536" s="120"/>
      <c r="AI2536" s="94"/>
      <c r="AJ2536" s="94" t="s">
        <v>197</v>
      </c>
      <c r="AK2536" s="94" t="s">
        <v>158</v>
      </c>
      <c r="AL2536" s="94">
        <v>160</v>
      </c>
      <c r="AM2536" s="94" t="str">
        <f>TRIM(AJ2536)&amp;TRIM(AL2536)&amp;TRIM(AK2536)</f>
      </c>
      <c r="AN2536" s="116">
        <v>4691</v>
      </c>
      <c r="AO2536" s="116">
        <v>-106</v>
      </c>
      <c r="AP2536" s="116">
        <f>SUMIFS(M:M,AM:AM,AM2536)+SUMIFS(O:O,AM:AM,AM2536)</f>
      </c>
      <c r="AQ2536" s="116">
        <f>SUMIFS(L:L,AM:AM,AM2536)</f>
      </c>
      <c r="AR2536" s="116">
        <f>AQ2536-AP2536</f>
      </c>
      <c r="AS2536" s="94" t="str">
        <f>IF(AN2536&gt;=AQ2536,"ok","ck")</f>
      </c>
      <c r="AT2536" s="116">
        <f>-P2536</f>
      </c>
      <c r="AU2536" s="115">
        <f>IF(SUMIFS(AT:AT,AM:AM,AM2536)&gt;AO2536,(SUMIFS(AT:AT,AM:AM,AM2536)-AO2536))</f>
      </c>
      <c r="AV2536" s="116">
        <v>4691</v>
      </c>
      <c r="AW2536" s="121">
        <v>1.023</v>
      </c>
      <c r="AX2536" s="115">
        <f>AN2536-AP2536</f>
      </c>
    </row>
    <row r="2537" spans="1:50" ht="15" hidden="1" customHeight="1" x14ac:dyDescent="0.3">
      <c r="A2537" s="94" t="s">
        <v>151</v>
      </c>
      <c r="B2537" s="94"/>
      <c r="C2537" s="94"/>
      <c r="D2537" s="94"/>
      <c r="E2537" s="94"/>
      <c r="F2537" s="94"/>
      <c r="G2537" s="112">
        <f>AU2537</f>
      </c>
      <c r="H2537" s="113"/>
      <c r="I2537" s="94" t="s">
        <v>152</v>
      </c>
      <c r="J2537" s="94" t="s">
        <v>207</v>
      </c>
      <c r="K2537" s="114">
        <f>P2537/3</f>
      </c>
      <c r="L2537" s="115">
        <v>496.57</v>
      </c>
      <c r="M2537" s="116">
        <f>L2537</f>
      </c>
      <c r="N2537" s="117">
        <f>M2537-L2537</f>
      </c>
      <c r="O2537" s="112"/>
      <c r="P2537" s="118">
        <f>N2537+O2537</f>
      </c>
      <c r="Q2537" s="94" t="s">
        <v>154</v>
      </c>
      <c r="R2537" s="94" t="s">
        <v>63</v>
      </c>
      <c r="S2537" s="119">
        <v>46338</v>
      </c>
      <c r="T2537" s="119"/>
      <c r="U2537" s="119">
        <v>46338</v>
      </c>
      <c r="V2537" s="94"/>
      <c r="W2537" s="94"/>
      <c r="X2537" s="94"/>
      <c r="Y2537" s="119">
        <v>46338</v>
      </c>
      <c r="Z2537" s="94"/>
      <c r="AA2537" s="120"/>
      <c r="AB2537" s="120"/>
      <c r="AC2537" s="120"/>
      <c r="AD2537" s="120"/>
      <c r="AE2537" s="120"/>
      <c r="AF2537" s="120"/>
      <c r="AG2537" s="94"/>
      <c r="AH2537" s="120"/>
      <c r="AI2537" s="94"/>
      <c r="AJ2537" s="94" t="s">
        <v>154</v>
      </c>
      <c r="AK2537" s="94" t="s">
        <v>208</v>
      </c>
      <c r="AL2537" s="94">
        <v>160</v>
      </c>
      <c r="AM2537" s="94" t="str">
        <f>TRIM(AJ2537)&amp;TRIM(AL2537)&amp;TRIM(AK2537)</f>
      </c>
      <c r="AN2537" s="116">
        <v>9916</v>
      </c>
      <c r="AO2537" s="116">
        <v>-196</v>
      </c>
      <c r="AP2537" s="116">
        <f>SUMIFS(M:M,AM:AM,AM2537)+SUMIFS(O:O,AM:AM,AM2537)</f>
      </c>
      <c r="AQ2537" s="116">
        <f>SUMIFS(L:L,AM:AM,AM2537)</f>
      </c>
      <c r="AR2537" s="116">
        <f>AQ2537-AP2537</f>
      </c>
      <c r="AS2537" s="94" t="str">
        <f>IF(AN2537&gt;=AQ2537,"ok","ck")</f>
      </c>
      <c r="AT2537" s="116">
        <f>-P2537</f>
      </c>
      <c r="AU2537" s="115">
        <f>IF(SUMIFS(AT:AT,AM:AM,AM2537)&gt;AO2537,(SUMIFS(AT:AT,AM:AM,AM2537)-AO2537))</f>
      </c>
      <c r="AV2537" s="116">
        <v>9916</v>
      </c>
      <c r="AW2537" s="121">
        <v>1.02</v>
      </c>
      <c r="AX2537" s="115">
        <f>AN2537-AP2537</f>
      </c>
    </row>
    <row r="2538" spans="1:50" ht="15" hidden="1" customHeight="1" x14ac:dyDescent="0.3">
      <c r="A2538" s="94" t="s">
        <v>151</v>
      </c>
      <c r="B2538" s="94"/>
      <c r="C2538" s="94"/>
      <c r="D2538" s="94"/>
      <c r="E2538" s="94"/>
      <c r="F2538" s="94"/>
      <c r="G2538" s="112">
        <f>AU2538</f>
      </c>
      <c r="H2538" s="113"/>
      <c r="I2538" s="94" t="s">
        <v>163</v>
      </c>
      <c r="J2538" s="94" t="s">
        <v>170</v>
      </c>
      <c r="K2538" s="114">
        <f>P2538/3</f>
      </c>
      <c r="L2538" s="115">
        <v>-2.077</v>
      </c>
      <c r="M2538" s="116">
        <f>L2538</f>
      </c>
      <c r="N2538" s="117">
        <f>M2538-L2538</f>
      </c>
      <c r="O2538" s="112"/>
      <c r="P2538" s="118">
        <f>N2538+O2538</f>
      </c>
      <c r="Q2538" s="94" t="s">
        <v>183</v>
      </c>
      <c r="R2538" s="94" t="s">
        <v>63</v>
      </c>
      <c r="S2538" s="119">
        <v>46320</v>
      </c>
      <c r="T2538" s="119"/>
      <c r="U2538" s="119">
        <v>46320</v>
      </c>
      <c r="V2538" s="94"/>
      <c r="W2538" s="94"/>
      <c r="X2538" s="94"/>
      <c r="Y2538" s="119">
        <v>46320</v>
      </c>
      <c r="Z2538" s="94"/>
      <c r="AA2538" s="120"/>
      <c r="AB2538" s="120"/>
      <c r="AC2538" s="120"/>
      <c r="AD2538" s="120"/>
      <c r="AE2538" s="120"/>
      <c r="AF2538" s="120"/>
      <c r="AG2538" s="94"/>
      <c r="AH2538" s="120"/>
      <c r="AI2538" s="94"/>
      <c r="AJ2538" s="94" t="s">
        <v>183</v>
      </c>
      <c r="AK2538" s="94" t="s">
        <v>171</v>
      </c>
      <c r="AL2538" s="94">
        <v>160</v>
      </c>
      <c r="AM2538" s="94" t="str">
        <f>TRIM(AJ2538)&amp;TRIM(AL2538)&amp;TRIM(AK2538)</f>
      </c>
      <c r="AN2538" s="116">
        <v>814</v>
      </c>
      <c r="AO2538" s="116">
        <v>-10.98</v>
      </c>
      <c r="AP2538" s="116">
        <f>SUMIFS(M:M,AM:AM,AM2538)+SUMIFS(O:O,AM:AM,AM2538)</f>
      </c>
      <c r="AQ2538" s="116">
        <f>SUMIFS(L:L,AM:AM,AM2538)</f>
      </c>
      <c r="AR2538" s="116">
        <f>AQ2538-AP2538</f>
      </c>
      <c r="AS2538" s="94" t="str">
        <f>IF(AN2538&gt;=AQ2538,"ok","ck")</f>
      </c>
      <c r="AT2538" s="116">
        <f>-P2538</f>
      </c>
      <c r="AU2538" s="115">
        <f>IF(SUMIFS(AT:AT,AM:AM,AM2538)&gt;AO2538,(SUMIFS(AT:AT,AM:AM,AM2538)-AO2538))</f>
      </c>
      <c r="AV2538" s="116">
        <v>814</v>
      </c>
      <c r="AW2538" s="121">
        <v>1.014</v>
      </c>
      <c r="AX2538" s="115">
        <f>AN2538-AP2538</f>
      </c>
    </row>
    <row r="2539" spans="1:50" ht="15" hidden="1" customHeight="1" x14ac:dyDescent="0.3">
      <c r="A2539" s="94" t="s">
        <v>151</v>
      </c>
      <c r="B2539" s="94"/>
      <c r="C2539" s="94"/>
      <c r="D2539" s="94"/>
      <c r="E2539" s="94"/>
      <c r="F2539" s="94"/>
      <c r="G2539" s="112">
        <f>AU2539</f>
      </c>
      <c r="H2539" s="113"/>
      <c r="I2539" s="94" t="s">
        <v>163</v>
      </c>
      <c r="J2539" s="94" t="s">
        <v>170</v>
      </c>
      <c r="K2539" s="114">
        <f>P2539/3</f>
      </c>
      <c r="L2539" s="115">
        <v>-1.1859999999999999</v>
      </c>
      <c r="M2539" s="116">
        <f>L2539</f>
      </c>
      <c r="N2539" s="117">
        <f>M2539-L2539</f>
      </c>
      <c r="O2539" s="112"/>
      <c r="P2539" s="118">
        <f>N2539+O2539</f>
      </c>
      <c r="Q2539" s="94" t="s">
        <v>183</v>
      </c>
      <c r="R2539" s="94" t="s">
        <v>63</v>
      </c>
      <c r="S2539" s="119">
        <v>46337</v>
      </c>
      <c r="T2539" s="119"/>
      <c r="U2539" s="119">
        <v>46337</v>
      </c>
      <c r="V2539" s="94"/>
      <c r="W2539" s="94"/>
      <c r="X2539" s="94"/>
      <c r="Y2539" s="119">
        <v>46337</v>
      </c>
      <c r="Z2539" s="94"/>
      <c r="AA2539" s="120"/>
      <c r="AB2539" s="120"/>
      <c r="AC2539" s="120"/>
      <c r="AD2539" s="120"/>
      <c r="AE2539" s="120"/>
      <c r="AF2539" s="120"/>
      <c r="AG2539" s="94"/>
      <c r="AH2539" s="120"/>
      <c r="AI2539" s="94"/>
      <c r="AJ2539" s="94" t="s">
        <v>183</v>
      </c>
      <c r="AK2539" s="94" t="s">
        <v>171</v>
      </c>
      <c r="AL2539" s="94">
        <v>160</v>
      </c>
      <c r="AM2539" s="94" t="str">
        <f>TRIM(AJ2539)&amp;TRIM(AL2539)&amp;TRIM(AK2539)</f>
      </c>
      <c r="AN2539" s="116">
        <v>814</v>
      </c>
      <c r="AO2539" s="116">
        <v>-10.98</v>
      </c>
      <c r="AP2539" s="116">
        <f>SUMIFS(M:M,AM:AM,AM2539)+SUMIFS(O:O,AM:AM,AM2539)</f>
      </c>
      <c r="AQ2539" s="116">
        <f>SUMIFS(L:L,AM:AM,AM2539)</f>
      </c>
      <c r="AR2539" s="116">
        <f>AQ2539-AP2539</f>
      </c>
      <c r="AS2539" s="94" t="str">
        <f>IF(AN2539&gt;=AQ2539,"ok","ck")</f>
      </c>
      <c r="AT2539" s="116">
        <f>-P2539</f>
      </c>
      <c r="AU2539" s="115">
        <f>IF(SUMIFS(AT:AT,AM:AM,AM2539)&gt;AO2539,(SUMIFS(AT:AT,AM:AM,AM2539)-AO2539))</f>
      </c>
      <c r="AV2539" s="116">
        <v>814</v>
      </c>
      <c r="AW2539" s="121">
        <v>1.014</v>
      </c>
      <c r="AX2539" s="115">
        <f>AN2539-AP2539</f>
      </c>
    </row>
    <row r="2540" spans="1:50" ht="15" hidden="1" customHeight="1" x14ac:dyDescent="0.3">
      <c r="A2540" s="94" t="s">
        <v>151</v>
      </c>
      <c r="B2540" s="94"/>
      <c r="C2540" s="94"/>
      <c r="D2540" s="94"/>
      <c r="E2540" s="94"/>
      <c r="F2540" s="94"/>
      <c r="G2540" s="112">
        <f>AU2540</f>
      </c>
      <c r="H2540" s="113"/>
      <c r="I2540" s="94" t="s">
        <v>163</v>
      </c>
      <c r="J2540" s="94" t="s">
        <v>170</v>
      </c>
      <c r="K2540" s="114">
        <f>P2540/3</f>
      </c>
      <c r="L2540" s="115">
        <v>-1.1859999999999999</v>
      </c>
      <c r="M2540" s="116">
        <f>L2540</f>
      </c>
      <c r="N2540" s="117">
        <f>M2540-L2540</f>
      </c>
      <c r="O2540" s="112"/>
      <c r="P2540" s="118">
        <f>N2540+O2540</f>
      </c>
      <c r="Q2540" s="94" t="s">
        <v>183</v>
      </c>
      <c r="R2540" s="94" t="s">
        <v>63</v>
      </c>
      <c r="S2540" s="119">
        <v>46343</v>
      </c>
      <c r="T2540" s="119"/>
      <c r="U2540" s="119">
        <v>46343</v>
      </c>
      <c r="V2540" s="94"/>
      <c r="W2540" s="94"/>
      <c r="X2540" s="94"/>
      <c r="Y2540" s="119">
        <v>46343</v>
      </c>
      <c r="Z2540" s="94"/>
      <c r="AA2540" s="120"/>
      <c r="AB2540" s="120"/>
      <c r="AC2540" s="120"/>
      <c r="AD2540" s="120"/>
      <c r="AE2540" s="120"/>
      <c r="AF2540" s="120"/>
      <c r="AG2540" s="94"/>
      <c r="AH2540" s="120"/>
      <c r="AI2540" s="94"/>
      <c r="AJ2540" s="94" t="s">
        <v>183</v>
      </c>
      <c r="AK2540" s="94" t="s">
        <v>171</v>
      </c>
      <c r="AL2540" s="94">
        <v>160</v>
      </c>
      <c r="AM2540" s="94" t="str">
        <f>TRIM(AJ2540)&amp;TRIM(AL2540)&amp;TRIM(AK2540)</f>
      </c>
      <c r="AN2540" s="116">
        <v>814</v>
      </c>
      <c r="AO2540" s="116">
        <v>-10.98</v>
      </c>
      <c r="AP2540" s="116">
        <f>SUMIFS(M:M,AM:AM,AM2540)+SUMIFS(O:O,AM:AM,AM2540)</f>
      </c>
      <c r="AQ2540" s="116">
        <f>SUMIFS(L:L,AM:AM,AM2540)</f>
      </c>
      <c r="AR2540" s="116">
        <f>AQ2540-AP2540</f>
      </c>
      <c r="AS2540" s="94" t="str">
        <f>IF(AN2540&gt;=AQ2540,"ok","ck")</f>
      </c>
      <c r="AT2540" s="116">
        <f>-P2540</f>
      </c>
      <c r="AU2540" s="115">
        <f>IF(SUMIFS(AT:AT,AM:AM,AM2540)&gt;AO2540,(SUMIFS(AT:AT,AM:AM,AM2540)-AO2540))</f>
      </c>
      <c r="AV2540" s="116">
        <v>814</v>
      </c>
      <c r="AW2540" s="121">
        <v>1.014</v>
      </c>
      <c r="AX2540" s="115">
        <f>AN2540-AP2540</f>
      </c>
    </row>
    <row r="2541" spans="1:50" ht="15" hidden="1" customHeight="1" x14ac:dyDescent="0.3">
      <c r="A2541" s="94" t="s">
        <v>151</v>
      </c>
      <c r="B2541" s="94"/>
      <c r="C2541" s="94"/>
      <c r="D2541" s="94"/>
      <c r="E2541" s="94"/>
      <c r="F2541" s="94"/>
      <c r="G2541" s="112">
        <f>AU2541</f>
      </c>
      <c r="H2541" s="113"/>
      <c r="I2541" s="94" t="s">
        <v>163</v>
      </c>
      <c r="J2541" s="94" t="s">
        <v>170</v>
      </c>
      <c r="K2541" s="114">
        <f>P2541/3</f>
      </c>
      <c r="L2541" s="115">
        <v>-2.1589999999999998</v>
      </c>
      <c r="M2541" s="116">
        <f>L2541</f>
      </c>
      <c r="N2541" s="117">
        <f>M2541-L2541</f>
      </c>
      <c r="O2541" s="112"/>
      <c r="P2541" s="118">
        <f>N2541+O2541</f>
      </c>
      <c r="Q2541" s="94" t="s">
        <v>183</v>
      </c>
      <c r="R2541" s="94" t="s">
        <v>63</v>
      </c>
      <c r="S2541" s="119">
        <v>46320</v>
      </c>
      <c r="T2541" s="119"/>
      <c r="U2541" s="119">
        <v>46320</v>
      </c>
      <c r="V2541" s="94"/>
      <c r="W2541" s="94"/>
      <c r="X2541" s="94"/>
      <c r="Y2541" s="119">
        <v>46320</v>
      </c>
      <c r="Z2541" s="94"/>
      <c r="AA2541" s="120"/>
      <c r="AB2541" s="120"/>
      <c r="AC2541" s="120"/>
      <c r="AD2541" s="120"/>
      <c r="AE2541" s="120"/>
      <c r="AF2541" s="120"/>
      <c r="AG2541" s="94"/>
      <c r="AH2541" s="120"/>
      <c r="AI2541" s="94"/>
      <c r="AJ2541" s="94" t="s">
        <v>183</v>
      </c>
      <c r="AK2541" s="94" t="s">
        <v>171</v>
      </c>
      <c r="AL2541" s="94">
        <v>160</v>
      </c>
      <c r="AM2541" s="94" t="str">
        <f>TRIM(AJ2541)&amp;TRIM(AL2541)&amp;TRIM(AK2541)</f>
      </c>
      <c r="AN2541" s="116">
        <v>814</v>
      </c>
      <c r="AO2541" s="116">
        <v>-10.98</v>
      </c>
      <c r="AP2541" s="116">
        <f>SUMIFS(M:M,AM:AM,AM2541)+SUMIFS(O:O,AM:AM,AM2541)</f>
      </c>
      <c r="AQ2541" s="116">
        <f>SUMIFS(L:L,AM:AM,AM2541)</f>
      </c>
      <c r="AR2541" s="116">
        <f>AQ2541-AP2541</f>
      </c>
      <c r="AS2541" s="94" t="str">
        <f>IF(AN2541&gt;=AQ2541,"ok","ck")</f>
      </c>
      <c r="AT2541" s="116">
        <f>-P2541</f>
      </c>
      <c r="AU2541" s="115">
        <f>IF(SUMIFS(AT:AT,AM:AM,AM2541)&gt;AO2541,(SUMIFS(AT:AT,AM:AM,AM2541)-AO2541))</f>
      </c>
      <c r="AV2541" s="116">
        <v>814</v>
      </c>
      <c r="AW2541" s="121">
        <v>1.014</v>
      </c>
      <c r="AX2541" s="115">
        <f>AN2541-AP2541</f>
      </c>
    </row>
    <row r="2542" spans="1:50" ht="15" hidden="1" customHeight="1" x14ac:dyDescent="0.3">
      <c r="A2542" s="94" t="s">
        <v>151</v>
      </c>
      <c r="B2542" s="94"/>
      <c r="C2542" s="94"/>
      <c r="D2542" s="94"/>
      <c r="E2542" s="94"/>
      <c r="F2542" s="94"/>
      <c r="G2542" s="112">
        <f>AU2542</f>
      </c>
      <c r="H2542" s="113"/>
      <c r="I2542" s="94" t="s">
        <v>163</v>
      </c>
      <c r="J2542" s="94" t="s">
        <v>170</v>
      </c>
      <c r="K2542" s="114">
        <f>P2542/3</f>
      </c>
      <c r="L2542" s="115">
        <v>-1.2330000000000001</v>
      </c>
      <c r="M2542" s="116">
        <f>L2542</f>
      </c>
      <c r="N2542" s="117">
        <f>M2542-L2542</f>
      </c>
      <c r="O2542" s="112"/>
      <c r="P2542" s="118">
        <f>N2542+O2542</f>
      </c>
      <c r="Q2542" s="94" t="s">
        <v>183</v>
      </c>
      <c r="R2542" s="94" t="s">
        <v>63</v>
      </c>
      <c r="S2542" s="119">
        <v>46334</v>
      </c>
      <c r="T2542" s="119"/>
      <c r="U2542" s="119">
        <v>46334</v>
      </c>
      <c r="V2542" s="94"/>
      <c r="W2542" s="94"/>
      <c r="X2542" s="94"/>
      <c r="Y2542" s="119">
        <v>46334</v>
      </c>
      <c r="Z2542" s="94"/>
      <c r="AA2542" s="120"/>
      <c r="AB2542" s="120"/>
      <c r="AC2542" s="120"/>
      <c r="AD2542" s="120"/>
      <c r="AE2542" s="120"/>
      <c r="AF2542" s="120"/>
      <c r="AG2542" s="94"/>
      <c r="AH2542" s="120"/>
      <c r="AI2542" s="94"/>
      <c r="AJ2542" s="94" t="s">
        <v>183</v>
      </c>
      <c r="AK2542" s="94" t="s">
        <v>171</v>
      </c>
      <c r="AL2542" s="94">
        <v>160</v>
      </c>
      <c r="AM2542" s="94" t="str">
        <f>TRIM(AJ2542)&amp;TRIM(AL2542)&amp;TRIM(AK2542)</f>
      </c>
      <c r="AN2542" s="116">
        <v>814</v>
      </c>
      <c r="AO2542" s="116">
        <v>-10.98</v>
      </c>
      <c r="AP2542" s="116">
        <f>SUMIFS(M:M,AM:AM,AM2542)+SUMIFS(O:O,AM:AM,AM2542)</f>
      </c>
      <c r="AQ2542" s="116">
        <f>SUMIFS(L:L,AM:AM,AM2542)</f>
      </c>
      <c r="AR2542" s="116">
        <f>AQ2542-AP2542</f>
      </c>
      <c r="AS2542" s="94" t="str">
        <f>IF(AN2542&gt;=AQ2542,"ok","ck")</f>
      </c>
      <c r="AT2542" s="116">
        <f>-P2542</f>
      </c>
      <c r="AU2542" s="115">
        <f>IF(SUMIFS(AT:AT,AM:AM,AM2542)&gt;AO2542,(SUMIFS(AT:AT,AM:AM,AM2542)-AO2542))</f>
      </c>
      <c r="AV2542" s="116">
        <v>814</v>
      </c>
      <c r="AW2542" s="121">
        <v>1.014</v>
      </c>
      <c r="AX2542" s="115">
        <f>AN2542-AP2542</f>
      </c>
    </row>
    <row r="2543" spans="1:50" ht="15" hidden="1" customHeight="1" x14ac:dyDescent="0.3">
      <c r="A2543" s="94" t="s">
        <v>151</v>
      </c>
      <c r="B2543" s="94"/>
      <c r="C2543" s="94"/>
      <c r="D2543" s="94"/>
      <c r="E2543" s="94"/>
      <c r="F2543" s="94"/>
      <c r="G2543" s="112">
        <f>AU2543</f>
      </c>
      <c r="H2543" s="113"/>
      <c r="I2543" s="94" t="s">
        <v>163</v>
      </c>
      <c r="J2543" s="94" t="s">
        <v>170</v>
      </c>
      <c r="K2543" s="114">
        <f>P2543/3</f>
      </c>
      <c r="L2543" s="115">
        <v>-1.2330000000000001</v>
      </c>
      <c r="M2543" s="116">
        <f>L2543</f>
      </c>
      <c r="N2543" s="117">
        <f>M2543-L2543</f>
      </c>
      <c r="O2543" s="112"/>
      <c r="P2543" s="118">
        <f>N2543+O2543</f>
      </c>
      <c r="Q2543" s="94" t="s">
        <v>183</v>
      </c>
      <c r="R2543" s="94" t="s">
        <v>63</v>
      </c>
      <c r="S2543" s="119">
        <v>46342</v>
      </c>
      <c r="T2543" s="119"/>
      <c r="U2543" s="119">
        <v>46342</v>
      </c>
      <c r="V2543" s="94"/>
      <c r="W2543" s="94"/>
      <c r="X2543" s="94"/>
      <c r="Y2543" s="119">
        <v>46342</v>
      </c>
      <c r="Z2543" s="94"/>
      <c r="AA2543" s="120"/>
      <c r="AB2543" s="120"/>
      <c r="AC2543" s="120"/>
      <c r="AD2543" s="120"/>
      <c r="AE2543" s="120"/>
      <c r="AF2543" s="120"/>
      <c r="AG2543" s="94"/>
      <c r="AH2543" s="120"/>
      <c r="AI2543" s="94"/>
      <c r="AJ2543" s="94" t="s">
        <v>183</v>
      </c>
      <c r="AK2543" s="94" t="s">
        <v>171</v>
      </c>
      <c r="AL2543" s="94">
        <v>160</v>
      </c>
      <c r="AM2543" s="94" t="str">
        <f>TRIM(AJ2543)&amp;TRIM(AL2543)&amp;TRIM(AK2543)</f>
      </c>
      <c r="AN2543" s="116">
        <v>814</v>
      </c>
      <c r="AO2543" s="116">
        <v>-10.98</v>
      </c>
      <c r="AP2543" s="116">
        <f>SUMIFS(M:M,AM:AM,AM2543)+SUMIFS(O:O,AM:AM,AM2543)</f>
      </c>
      <c r="AQ2543" s="116">
        <f>SUMIFS(L:L,AM:AM,AM2543)</f>
      </c>
      <c r="AR2543" s="116">
        <f>AQ2543-AP2543</f>
      </c>
      <c r="AS2543" s="94" t="str">
        <f>IF(AN2543&gt;=AQ2543,"ok","ck")</f>
      </c>
      <c r="AT2543" s="116">
        <f>-P2543</f>
      </c>
      <c r="AU2543" s="115">
        <f>IF(SUMIFS(AT:AT,AM:AM,AM2543)&gt;AO2543,(SUMIFS(AT:AT,AM:AM,AM2543)-AO2543))</f>
      </c>
      <c r="AV2543" s="116">
        <v>814</v>
      </c>
      <c r="AW2543" s="121">
        <v>1.014</v>
      </c>
      <c r="AX2543" s="115">
        <f>AN2543-AP2543</f>
      </c>
    </row>
    <row r="2544" spans="1:50" ht="15" hidden="1" customHeight="1" x14ac:dyDescent="0.3">
      <c r="A2544" s="94" t="s">
        <v>151</v>
      </c>
      <c r="B2544" s="94"/>
      <c r="C2544" s="94"/>
      <c r="D2544" s="94"/>
      <c r="E2544" s="94"/>
      <c r="F2544" s="94"/>
      <c r="G2544" s="112">
        <f>AU2544</f>
      </c>
      <c r="H2544" s="113"/>
      <c r="I2544" s="94" t="s">
        <v>163</v>
      </c>
      <c r="J2544" s="94" t="s">
        <v>164</v>
      </c>
      <c r="K2544" s="114">
        <f>P2544/3</f>
      </c>
      <c r="L2544" s="115">
        <v>-0.88100000000000001</v>
      </c>
      <c r="M2544" s="116">
        <f>L2544</f>
      </c>
      <c r="N2544" s="117">
        <f>M2544-L2544</f>
      </c>
      <c r="O2544" s="112"/>
      <c r="P2544" s="118">
        <f>N2544+O2544</f>
      </c>
      <c r="Q2544" s="94" t="s">
        <v>165</v>
      </c>
      <c r="R2544" s="94" t="s">
        <v>63</v>
      </c>
      <c r="S2544" s="119">
        <v>46320</v>
      </c>
      <c r="T2544" s="119"/>
      <c r="U2544" s="119">
        <v>46320</v>
      </c>
      <c r="V2544" s="94"/>
      <c r="W2544" s="94"/>
      <c r="X2544" s="94"/>
      <c r="Y2544" s="119">
        <v>46320</v>
      </c>
      <c r="Z2544" s="94"/>
      <c r="AA2544" s="120"/>
      <c r="AB2544" s="120"/>
      <c r="AC2544" s="120"/>
      <c r="AD2544" s="120"/>
      <c r="AE2544" s="120"/>
      <c r="AF2544" s="120"/>
      <c r="AG2544" s="94"/>
      <c r="AH2544" s="120"/>
      <c r="AI2544" s="94"/>
      <c r="AJ2544" s="94" t="s">
        <v>165</v>
      </c>
      <c r="AK2544" s="94" t="s">
        <v>166</v>
      </c>
      <c r="AL2544" s="94">
        <v>160</v>
      </c>
      <c r="AM2544" s="94" t="str">
        <f>TRIM(AJ2544)&amp;TRIM(AL2544)&amp;TRIM(AK2544)</f>
      </c>
      <c r="AN2544" s="116">
        <v>240</v>
      </c>
      <c r="AO2544" s="116">
        <v>-10.8</v>
      </c>
      <c r="AP2544" s="116">
        <f>SUMIFS(M:M,AM:AM,AM2544)+SUMIFS(O:O,AM:AM,AM2544)</f>
      </c>
      <c r="AQ2544" s="116">
        <f>SUMIFS(L:L,AM:AM,AM2544)</f>
      </c>
      <c r="AR2544" s="116">
        <f>AQ2544-AP2544</f>
      </c>
      <c r="AS2544" s="94" t="str">
        <f>IF(AN2544&gt;=AQ2544,"ok","ck")</f>
      </c>
      <c r="AT2544" s="116">
        <f>-P2544</f>
      </c>
      <c r="AU2544" s="115">
        <f>IF(SUMIFS(AT:AT,AM:AM,AM2544)&gt;AO2544,(SUMIFS(AT:AT,AM:AM,AM2544)-AO2544))</f>
      </c>
      <c r="AV2544" s="116">
        <v>240</v>
      </c>
      <c r="AW2544" s="121">
        <v>1.047</v>
      </c>
      <c r="AX2544" s="115">
        <f>AN2544-AP2544</f>
      </c>
    </row>
    <row r="2545" spans="1:50" ht="15" hidden="1" customHeight="1" x14ac:dyDescent="0.3">
      <c r="A2545" s="94" t="s">
        <v>151</v>
      </c>
      <c r="B2545" s="94"/>
      <c r="C2545" s="94"/>
      <c r="D2545" s="94"/>
      <c r="E2545" s="94"/>
      <c r="F2545" s="94"/>
      <c r="G2545" s="112">
        <f>AU2545</f>
      </c>
      <c r="H2545" s="113"/>
      <c r="I2545" s="94" t="s">
        <v>163</v>
      </c>
      <c r="J2545" s="94" t="s">
        <v>164</v>
      </c>
      <c r="K2545" s="114">
        <f>P2545/3</f>
      </c>
      <c r="L2545" s="115">
        <v>-0.88100000000000001</v>
      </c>
      <c r="M2545" s="116">
        <f>L2545</f>
      </c>
      <c r="N2545" s="117">
        <f>M2545-L2545</f>
      </c>
      <c r="O2545" s="112"/>
      <c r="P2545" s="118">
        <f>N2545+O2545</f>
      </c>
      <c r="Q2545" s="94" t="s">
        <v>165</v>
      </c>
      <c r="R2545" s="94" t="s">
        <v>63</v>
      </c>
      <c r="S2545" s="119">
        <v>46331</v>
      </c>
      <c r="T2545" s="119"/>
      <c r="U2545" s="119">
        <v>46331</v>
      </c>
      <c r="V2545" s="94"/>
      <c r="W2545" s="94"/>
      <c r="X2545" s="94"/>
      <c r="Y2545" s="119">
        <v>46331</v>
      </c>
      <c r="Z2545" s="94"/>
      <c r="AA2545" s="120"/>
      <c r="AB2545" s="120"/>
      <c r="AC2545" s="120"/>
      <c r="AD2545" s="120"/>
      <c r="AE2545" s="120"/>
      <c r="AF2545" s="120"/>
      <c r="AG2545" s="94"/>
      <c r="AH2545" s="120"/>
      <c r="AI2545" s="94"/>
      <c r="AJ2545" s="94" t="s">
        <v>165</v>
      </c>
      <c r="AK2545" s="94" t="s">
        <v>166</v>
      </c>
      <c r="AL2545" s="94">
        <v>160</v>
      </c>
      <c r="AM2545" s="94" t="str">
        <f>TRIM(AJ2545)&amp;TRIM(AL2545)&amp;TRIM(AK2545)</f>
      </c>
      <c r="AN2545" s="116">
        <v>240</v>
      </c>
      <c r="AO2545" s="116">
        <v>-10.8</v>
      </c>
      <c r="AP2545" s="116">
        <f>SUMIFS(M:M,AM:AM,AM2545)+SUMIFS(O:O,AM:AM,AM2545)</f>
      </c>
      <c r="AQ2545" s="116">
        <f>SUMIFS(L:L,AM:AM,AM2545)</f>
      </c>
      <c r="AR2545" s="116">
        <f>AQ2545-AP2545</f>
      </c>
      <c r="AS2545" s="94" t="str">
        <f>IF(AN2545&gt;=AQ2545,"ok","ck")</f>
      </c>
      <c r="AT2545" s="116">
        <f>-P2545</f>
      </c>
      <c r="AU2545" s="115">
        <f>IF(SUMIFS(AT:AT,AM:AM,AM2545)&gt;AO2545,(SUMIFS(AT:AT,AM:AM,AM2545)-AO2545))</f>
      </c>
      <c r="AV2545" s="116">
        <v>240</v>
      </c>
      <c r="AW2545" s="121">
        <v>1.047</v>
      </c>
      <c r="AX2545" s="115">
        <f>AN2545-AP2545</f>
      </c>
    </row>
    <row r="2546" spans="1:50" ht="15" hidden="1" customHeight="1" x14ac:dyDescent="0.3">
      <c r="A2546" s="94" t="s">
        <v>151</v>
      </c>
      <c r="B2546" s="94"/>
      <c r="C2546" s="94"/>
      <c r="D2546" s="94"/>
      <c r="E2546" s="94"/>
      <c r="F2546" s="94"/>
      <c r="G2546" s="112">
        <f>AU2546</f>
      </c>
      <c r="H2546" s="113"/>
      <c r="I2546" s="94" t="s">
        <v>163</v>
      </c>
      <c r="J2546" s="94" t="s">
        <v>164</v>
      </c>
      <c r="K2546" s="114">
        <f>P2546/3</f>
      </c>
      <c r="L2546" s="115">
        <v>-1.0740000000000001</v>
      </c>
      <c r="M2546" s="116">
        <f>L2546</f>
      </c>
      <c r="N2546" s="117">
        <f>M2546-L2546</f>
      </c>
      <c r="O2546" s="112"/>
      <c r="P2546" s="118">
        <f>N2546+O2546</f>
      </c>
      <c r="Q2546" s="94" t="s">
        <v>165</v>
      </c>
      <c r="R2546" s="94" t="s">
        <v>63</v>
      </c>
      <c r="S2546" s="119">
        <v>46343</v>
      </c>
      <c r="T2546" s="119"/>
      <c r="U2546" s="119">
        <v>46343</v>
      </c>
      <c r="V2546" s="94"/>
      <c r="W2546" s="94"/>
      <c r="X2546" s="94"/>
      <c r="Y2546" s="119">
        <v>46343</v>
      </c>
      <c r="Z2546" s="94"/>
      <c r="AA2546" s="120"/>
      <c r="AB2546" s="120"/>
      <c r="AC2546" s="120"/>
      <c r="AD2546" s="120"/>
      <c r="AE2546" s="120"/>
      <c r="AF2546" s="120"/>
      <c r="AG2546" s="94"/>
      <c r="AH2546" s="120"/>
      <c r="AI2546" s="94"/>
      <c r="AJ2546" s="94" t="s">
        <v>165</v>
      </c>
      <c r="AK2546" s="94" t="s">
        <v>166</v>
      </c>
      <c r="AL2546" s="94">
        <v>160</v>
      </c>
      <c r="AM2546" s="94" t="str">
        <f>TRIM(AJ2546)&amp;TRIM(AL2546)&amp;TRIM(AK2546)</f>
      </c>
      <c r="AN2546" s="116">
        <v>240</v>
      </c>
      <c r="AO2546" s="116">
        <v>-10.8</v>
      </c>
      <c r="AP2546" s="116">
        <f>SUMIFS(M:M,AM:AM,AM2546)+SUMIFS(O:O,AM:AM,AM2546)</f>
      </c>
      <c r="AQ2546" s="116">
        <f>SUMIFS(L:L,AM:AM,AM2546)</f>
      </c>
      <c r="AR2546" s="116">
        <f>AQ2546-AP2546</f>
      </c>
      <c r="AS2546" s="94" t="str">
        <f>IF(AN2546&gt;=AQ2546,"ok","ck")</f>
      </c>
      <c r="AT2546" s="116">
        <f>-P2546</f>
      </c>
      <c r="AU2546" s="115">
        <f>IF(SUMIFS(AT:AT,AM:AM,AM2546)&gt;AO2546,(SUMIFS(AT:AT,AM:AM,AM2546)-AO2546))</f>
      </c>
      <c r="AV2546" s="116">
        <v>240</v>
      </c>
      <c r="AW2546" s="121">
        <v>1.047</v>
      </c>
      <c r="AX2546" s="115">
        <f>AN2546-AP2546</f>
      </c>
    </row>
    <row r="2547" spans="1:50" ht="15" hidden="1" customHeight="1" x14ac:dyDescent="0.3">
      <c r="A2547" s="94" t="s">
        <v>151</v>
      </c>
      <c r="B2547" s="94"/>
      <c r="C2547" s="94"/>
      <c r="D2547" s="94"/>
      <c r="E2547" s="94"/>
      <c r="F2547" s="94"/>
      <c r="G2547" s="112">
        <f>AU2547</f>
      </c>
      <c r="H2547" s="113"/>
      <c r="I2547" s="94" t="s">
        <v>174</v>
      </c>
      <c r="J2547" s="94" t="s">
        <v>196</v>
      </c>
      <c r="K2547" s="114">
        <f>P2547/3</f>
      </c>
      <c r="L2547" s="115">
        <v>-0.91700000000000004</v>
      </c>
      <c r="M2547" s="116">
        <f>L2547</f>
      </c>
      <c r="N2547" s="117">
        <f>M2547-L2547</f>
      </c>
      <c r="O2547" s="112"/>
      <c r="P2547" s="118">
        <f>N2547+O2547</f>
      </c>
      <c r="Q2547" s="94" t="s">
        <v>197</v>
      </c>
      <c r="R2547" s="94" t="s">
        <v>63</v>
      </c>
      <c r="S2547" s="119">
        <v>46320</v>
      </c>
      <c r="T2547" s="119"/>
      <c r="U2547" s="119">
        <v>46320</v>
      </c>
      <c r="V2547" s="94"/>
      <c r="W2547" s="94"/>
      <c r="X2547" s="94"/>
      <c r="Y2547" s="119">
        <v>46320</v>
      </c>
      <c r="Z2547" s="94"/>
      <c r="AA2547" s="120"/>
      <c r="AB2547" s="120"/>
      <c r="AC2547" s="120"/>
      <c r="AD2547" s="120"/>
      <c r="AE2547" s="120"/>
      <c r="AF2547" s="120"/>
      <c r="AG2547" s="94"/>
      <c r="AH2547" s="120"/>
      <c r="AI2547" s="94"/>
      <c r="AJ2547" s="94" t="s">
        <v>197</v>
      </c>
      <c r="AK2547" s="94" t="s">
        <v>158</v>
      </c>
      <c r="AL2547" s="94">
        <v>160</v>
      </c>
      <c r="AM2547" s="94" t="str">
        <f>TRIM(AJ2547)&amp;TRIM(AL2547)&amp;TRIM(AK2547)</f>
      </c>
      <c r="AN2547" s="116">
        <v>4691</v>
      </c>
      <c r="AO2547" s="116">
        <v>-106</v>
      </c>
      <c r="AP2547" s="116">
        <f>SUMIFS(M:M,AM:AM,AM2547)+SUMIFS(O:O,AM:AM,AM2547)</f>
      </c>
      <c r="AQ2547" s="116">
        <f>SUMIFS(L:L,AM:AM,AM2547)</f>
      </c>
      <c r="AR2547" s="116">
        <f>AQ2547-AP2547</f>
      </c>
      <c r="AS2547" s="94" t="str">
        <f>IF(AN2547&gt;=AQ2547,"ok","ck")</f>
      </c>
      <c r="AT2547" s="116">
        <f>-P2547</f>
      </c>
      <c r="AU2547" s="115">
        <f>IF(SUMIFS(AT:AT,AM:AM,AM2547)&gt;AO2547,(SUMIFS(AT:AT,AM:AM,AM2547)-AO2547))</f>
      </c>
      <c r="AV2547" s="116">
        <v>4691</v>
      </c>
      <c r="AW2547" s="121">
        <v>1.023</v>
      </c>
      <c r="AX2547" s="115">
        <f>AN2547-AP2547</f>
      </c>
    </row>
    <row r="2548" spans="1:50" ht="15" hidden="1" customHeight="1" x14ac:dyDescent="0.3">
      <c r="A2548" s="94" t="s">
        <v>151</v>
      </c>
      <c r="B2548" s="94"/>
      <c r="C2548" s="94"/>
      <c r="D2548" s="94"/>
      <c r="E2548" s="94"/>
      <c r="F2548" s="94"/>
      <c r="G2548" s="112">
        <f>AU2548</f>
      </c>
      <c r="H2548" s="113"/>
      <c r="I2548" s="94" t="s">
        <v>174</v>
      </c>
      <c r="J2548" s="94" t="s">
        <v>196</v>
      </c>
      <c r="K2548" s="114">
        <f>P2548/3</f>
      </c>
      <c r="L2548" s="115">
        <v>391.78899999999999</v>
      </c>
      <c r="M2548" s="116">
        <f>L2548</f>
      </c>
      <c r="N2548" s="117">
        <f>M2548-L2548</f>
      </c>
      <c r="O2548" s="112"/>
      <c r="P2548" s="118">
        <f>N2548+O2548</f>
      </c>
      <c r="Q2548" s="94" t="s">
        <v>197</v>
      </c>
      <c r="R2548" s="94" t="s">
        <v>63</v>
      </c>
      <c r="S2548" s="119">
        <v>46344</v>
      </c>
      <c r="T2548" s="119"/>
      <c r="U2548" s="119">
        <v>46344</v>
      </c>
      <c r="V2548" s="94"/>
      <c r="W2548" s="94"/>
      <c r="X2548" s="94"/>
      <c r="Y2548" s="119">
        <v>46320</v>
      </c>
      <c r="Z2548" s="94"/>
      <c r="AA2548" s="120"/>
      <c r="AB2548" s="120"/>
      <c r="AC2548" s="120"/>
      <c r="AD2548" s="120"/>
      <c r="AE2548" s="120"/>
      <c r="AF2548" s="120"/>
      <c r="AG2548" s="94"/>
      <c r="AH2548" s="120"/>
      <c r="AI2548" s="94"/>
      <c r="AJ2548" s="94" t="s">
        <v>197</v>
      </c>
      <c r="AK2548" s="94" t="s">
        <v>158</v>
      </c>
      <c r="AL2548" s="94">
        <v>160</v>
      </c>
      <c r="AM2548" s="94" t="str">
        <f>TRIM(AJ2548)&amp;TRIM(AL2548)&amp;TRIM(AK2548)</f>
      </c>
      <c r="AN2548" s="116">
        <v>4691</v>
      </c>
      <c r="AO2548" s="116">
        <v>-106</v>
      </c>
      <c r="AP2548" s="116">
        <f>SUMIFS(M:M,AM:AM,AM2548)+SUMIFS(O:O,AM:AM,AM2548)</f>
      </c>
      <c r="AQ2548" s="116">
        <f>SUMIFS(L:L,AM:AM,AM2548)</f>
      </c>
      <c r="AR2548" s="116">
        <f>AQ2548-AP2548</f>
      </c>
      <c r="AS2548" s="94" t="str">
        <f>IF(AN2548&gt;=AQ2548,"ok","ck")</f>
      </c>
      <c r="AT2548" s="116">
        <f>-P2548</f>
      </c>
      <c r="AU2548" s="115">
        <f>IF(SUMIFS(AT:AT,AM:AM,AM2548)&gt;AO2548,(SUMIFS(AT:AT,AM:AM,AM2548)-AO2548))</f>
      </c>
      <c r="AV2548" s="116">
        <v>4691</v>
      </c>
      <c r="AW2548" s="121">
        <v>1.023</v>
      </c>
      <c r="AX2548" s="115">
        <f>AN2548-AP2548</f>
      </c>
    </row>
    <row r="2549" spans="1:50" ht="15" hidden="1" customHeight="1" x14ac:dyDescent="0.3">
      <c r="A2549" s="94" t="s">
        <v>151</v>
      </c>
      <c r="B2549" s="94"/>
      <c r="C2549" s="94"/>
      <c r="D2549" s="94"/>
      <c r="E2549" s="94"/>
      <c r="F2549" s="94"/>
      <c r="G2549" s="112">
        <f>AU2549</f>
      </c>
      <c r="H2549" s="113"/>
      <c r="I2549" s="94" t="s">
        <v>174</v>
      </c>
      <c r="J2549" s="94" t="s">
        <v>196</v>
      </c>
      <c r="K2549" s="114">
        <f>P2549/3</f>
      </c>
      <c r="L2549" s="115">
        <v>391.78899999999999</v>
      </c>
      <c r="M2549" s="116">
        <f>L2549</f>
      </c>
      <c r="N2549" s="117">
        <f>M2549-L2549</f>
      </c>
      <c r="O2549" s="112"/>
      <c r="P2549" s="118">
        <f>N2549+O2549</f>
      </c>
      <c r="Q2549" s="94" t="s">
        <v>197</v>
      </c>
      <c r="R2549" s="94" t="s">
        <v>63</v>
      </c>
      <c r="S2549" s="120">
        <v>46344</v>
      </c>
      <c r="T2549" s="120"/>
      <c r="U2549" s="120">
        <v>46344</v>
      </c>
      <c r="V2549" s="94"/>
      <c r="W2549" s="94"/>
      <c r="X2549" s="94"/>
      <c r="Y2549" s="119">
        <v>46334</v>
      </c>
      <c r="Z2549" s="94"/>
      <c r="AA2549" s="120"/>
      <c r="AB2549" s="120"/>
      <c r="AC2549" s="120"/>
      <c r="AD2549" s="120"/>
      <c r="AE2549" s="120"/>
      <c r="AF2549" s="120"/>
      <c r="AG2549" s="94"/>
      <c r="AH2549" s="120"/>
      <c r="AI2549" s="94"/>
      <c r="AJ2549" s="94" t="s">
        <v>197</v>
      </c>
      <c r="AK2549" s="94" t="s">
        <v>158</v>
      </c>
      <c r="AL2549" s="94">
        <v>160</v>
      </c>
      <c r="AM2549" s="94" t="str">
        <f>TRIM(AJ2549)&amp;TRIM(AL2549)&amp;TRIM(AK2549)</f>
      </c>
      <c r="AN2549" s="116">
        <v>4691</v>
      </c>
      <c r="AO2549" s="116">
        <v>-106</v>
      </c>
      <c r="AP2549" s="116">
        <f>SUMIFS(M:M,AM:AM,AM2549)+SUMIFS(O:O,AM:AM,AM2549)</f>
      </c>
      <c r="AQ2549" s="116">
        <f>SUMIFS(L:L,AM:AM,AM2549)</f>
      </c>
      <c r="AR2549" s="116">
        <f>AQ2549-AP2549</f>
      </c>
      <c r="AS2549" s="94" t="str">
        <f>IF(AN2549&gt;=AQ2549,"ok","ck")</f>
      </c>
      <c r="AT2549" s="116">
        <f>-P2549</f>
      </c>
      <c r="AU2549" s="115">
        <f>IF(SUMIFS(AT:AT,AM:AM,AM2549)&gt;AO2549,(SUMIFS(AT:AT,AM:AM,AM2549)-AO2549))</f>
      </c>
      <c r="AV2549" s="116">
        <v>4691</v>
      </c>
      <c r="AW2549" s="121">
        <v>1.023</v>
      </c>
      <c r="AX2549" s="115">
        <f>AN2549-AP2549</f>
      </c>
    </row>
    <row r="2550" spans="1:50" ht="15" hidden="1" customHeight="1" x14ac:dyDescent="0.3">
      <c r="A2550" s="94" t="s">
        <v>151</v>
      </c>
      <c r="B2550" s="94"/>
      <c r="C2550" s="94"/>
      <c r="D2550" s="94"/>
      <c r="E2550" s="94"/>
      <c r="F2550" s="94"/>
      <c r="G2550" s="112">
        <f>AU2550</f>
      </c>
      <c r="H2550" s="113"/>
      <c r="I2550" s="94" t="s">
        <v>174</v>
      </c>
      <c r="J2550" s="94" t="s">
        <v>196</v>
      </c>
      <c r="K2550" s="114">
        <f>P2550/3</f>
      </c>
      <c r="L2550" s="115">
        <v>417.83100000000002</v>
      </c>
      <c r="M2550" s="116">
        <f>L2550</f>
      </c>
      <c r="N2550" s="117">
        <f>M2550-L2550</f>
      </c>
      <c r="O2550" s="112"/>
      <c r="P2550" s="118">
        <f>N2550+O2550</f>
      </c>
      <c r="Q2550" s="94" t="s">
        <v>197</v>
      </c>
      <c r="R2550" s="94" t="s">
        <v>63</v>
      </c>
      <c r="S2550" s="119">
        <v>46344</v>
      </c>
      <c r="T2550" s="119"/>
      <c r="U2550" s="119">
        <v>46344</v>
      </c>
      <c r="V2550" s="94"/>
      <c r="W2550" s="94"/>
      <c r="X2550" s="94"/>
      <c r="Y2550" s="119">
        <v>46337</v>
      </c>
      <c r="Z2550" s="94"/>
      <c r="AA2550" s="120"/>
      <c r="AB2550" s="120"/>
      <c r="AC2550" s="120"/>
      <c r="AD2550" s="120"/>
      <c r="AE2550" s="120"/>
      <c r="AF2550" s="120"/>
      <c r="AG2550" s="94"/>
      <c r="AH2550" s="120"/>
      <c r="AI2550" s="94"/>
      <c r="AJ2550" s="94" t="s">
        <v>197</v>
      </c>
      <c r="AK2550" s="94" t="s">
        <v>158</v>
      </c>
      <c r="AL2550" s="94">
        <v>160</v>
      </c>
      <c r="AM2550" s="94" t="str">
        <f>TRIM(AJ2550)&amp;TRIM(AL2550)&amp;TRIM(AK2550)</f>
      </c>
      <c r="AN2550" s="116">
        <v>4691</v>
      </c>
      <c r="AO2550" s="116">
        <v>-106</v>
      </c>
      <c r="AP2550" s="116">
        <f>SUMIFS(M:M,AM:AM,AM2550)+SUMIFS(O:O,AM:AM,AM2550)</f>
      </c>
      <c r="AQ2550" s="116">
        <f>SUMIFS(L:L,AM:AM,AM2550)</f>
      </c>
      <c r="AR2550" s="116">
        <f>AQ2550-AP2550</f>
      </c>
      <c r="AS2550" s="94" t="str">
        <f>IF(AN2550&gt;=AQ2550,"ok","ck")</f>
      </c>
      <c r="AT2550" s="116">
        <f>-P2550</f>
      </c>
      <c r="AU2550" s="115">
        <f>IF(SUMIFS(AT:AT,AM:AM,AM2550)&gt;AO2550,(SUMIFS(AT:AT,AM:AM,AM2550)-AO2550))</f>
      </c>
      <c r="AV2550" s="116">
        <v>4691</v>
      </c>
      <c r="AW2550" s="121">
        <v>1.023</v>
      </c>
      <c r="AX2550" s="115">
        <f>AN2550-AP2550</f>
      </c>
    </row>
    <row r="2551" spans="1:50" ht="15" hidden="1" customHeight="1" x14ac:dyDescent="0.3">
      <c r="A2551" s="94" t="s">
        <v>151</v>
      </c>
      <c r="B2551" s="94"/>
      <c r="C2551" s="94"/>
      <c r="D2551" s="94"/>
      <c r="E2551" s="94"/>
      <c r="F2551" s="94"/>
      <c r="G2551" s="112">
        <f>AU2551</f>
      </c>
      <c r="H2551" s="113"/>
      <c r="I2551" s="94" t="s">
        <v>174</v>
      </c>
      <c r="J2551" s="94" t="s">
        <v>196</v>
      </c>
      <c r="K2551" s="114">
        <f>P2551/3</f>
      </c>
      <c r="L2551" s="115">
        <v>0</v>
      </c>
      <c r="M2551" s="116">
        <f>L2551</f>
      </c>
      <c r="N2551" s="117">
        <f>M2551-L2551</f>
      </c>
      <c r="O2551" s="112"/>
      <c r="P2551" s="118">
        <f>N2551+O2551</f>
      </c>
      <c r="Q2551" s="94" t="s">
        <v>197</v>
      </c>
      <c r="R2551" s="94" t="s">
        <v>63</v>
      </c>
      <c r="S2551" s="119">
        <v>46320</v>
      </c>
      <c r="T2551" s="119"/>
      <c r="U2551" s="119">
        <v>46320</v>
      </c>
      <c r="V2551" s="94"/>
      <c r="W2551" s="94"/>
      <c r="X2551" s="94"/>
      <c r="Y2551" s="119">
        <v>46320</v>
      </c>
      <c r="Z2551" s="94"/>
      <c r="AA2551" s="120"/>
      <c r="AB2551" s="120"/>
      <c r="AC2551" s="120"/>
      <c r="AD2551" s="120"/>
      <c r="AE2551" s="120"/>
      <c r="AF2551" s="120"/>
      <c r="AG2551" s="94"/>
      <c r="AH2551" s="120"/>
      <c r="AI2551" s="94"/>
      <c r="AJ2551" s="94" t="s">
        <v>197</v>
      </c>
      <c r="AK2551" s="94" t="s">
        <v>158</v>
      </c>
      <c r="AL2551" s="94">
        <v>160</v>
      </c>
      <c r="AM2551" s="94" t="str">
        <f>TRIM(AJ2551)&amp;TRIM(AL2551)&amp;TRIM(AK2551)</f>
      </c>
      <c r="AN2551" s="116">
        <v>4691</v>
      </c>
      <c r="AO2551" s="116">
        <v>-106</v>
      </c>
      <c r="AP2551" s="116">
        <f>SUMIFS(M:M,AM:AM,AM2551)+SUMIFS(O:O,AM:AM,AM2551)</f>
      </c>
      <c r="AQ2551" s="116">
        <f>SUMIFS(L:L,AM:AM,AM2551)</f>
      </c>
      <c r="AR2551" s="116">
        <f>AQ2551-AP2551</f>
      </c>
      <c r="AS2551" s="94" t="str">
        <f>IF(AN2551&gt;=AQ2551,"ok","ck")</f>
      </c>
      <c r="AT2551" s="116">
        <f>-P2551</f>
      </c>
      <c r="AU2551" s="115">
        <f>IF(SUMIFS(AT:AT,AM:AM,AM2551)&gt;AO2551,(SUMIFS(AT:AT,AM:AM,AM2551)-AO2551))</f>
      </c>
      <c r="AV2551" s="116">
        <v>4691</v>
      </c>
      <c r="AW2551" s="121">
        <v>1.023</v>
      </c>
      <c r="AX2551" s="115">
        <f>AN2551-AP2551</f>
      </c>
    </row>
    <row r="2552" spans="1:50" ht="15" hidden="1" customHeight="1" x14ac:dyDescent="0.3">
      <c r="A2552" s="94" t="s">
        <v>151</v>
      </c>
      <c r="B2552" s="94"/>
      <c r="C2552" s="94"/>
      <c r="D2552" s="94"/>
      <c r="E2552" s="94"/>
      <c r="F2552" s="94"/>
      <c r="G2552" s="112">
        <f>AU2552</f>
      </c>
      <c r="H2552" s="113"/>
      <c r="I2552" s="94" t="s">
        <v>174</v>
      </c>
      <c r="J2552" s="94" t="s">
        <v>196</v>
      </c>
      <c r="K2552" s="114">
        <f>P2552/3</f>
      </c>
      <c r="L2552" s="115">
        <v>0</v>
      </c>
      <c r="M2552" s="116">
        <f>L2552</f>
      </c>
      <c r="N2552" s="117">
        <f>M2552-L2552</f>
      </c>
      <c r="O2552" s="112"/>
      <c r="P2552" s="118">
        <f>N2552+O2552</f>
      </c>
      <c r="Q2552" s="94" t="s">
        <v>197</v>
      </c>
      <c r="R2552" s="94" t="s">
        <v>63</v>
      </c>
      <c r="S2552" s="119">
        <v>46320</v>
      </c>
      <c r="T2552" s="119"/>
      <c r="U2552" s="119">
        <v>46320</v>
      </c>
      <c r="V2552" s="94"/>
      <c r="W2552" s="94"/>
      <c r="X2552" s="94"/>
      <c r="Y2552" s="119">
        <v>46320</v>
      </c>
      <c r="Z2552" s="94"/>
      <c r="AA2552" s="120"/>
      <c r="AB2552" s="120"/>
      <c r="AC2552" s="120"/>
      <c r="AD2552" s="120"/>
      <c r="AE2552" s="120"/>
      <c r="AF2552" s="120"/>
      <c r="AG2552" s="94"/>
      <c r="AH2552" s="120"/>
      <c r="AI2552" s="94"/>
      <c r="AJ2552" s="94" t="s">
        <v>197</v>
      </c>
      <c r="AK2552" s="94" t="s">
        <v>158</v>
      </c>
      <c r="AL2552" s="94">
        <v>160</v>
      </c>
      <c r="AM2552" s="94" t="str">
        <f>TRIM(AJ2552)&amp;TRIM(AL2552)&amp;TRIM(AK2552)</f>
      </c>
      <c r="AN2552" s="116">
        <v>4691</v>
      </c>
      <c r="AO2552" s="116">
        <v>-106</v>
      </c>
      <c r="AP2552" s="116">
        <f>SUMIFS(M:M,AM:AM,AM2552)+SUMIFS(O:O,AM:AM,AM2552)</f>
      </c>
      <c r="AQ2552" s="116">
        <f>SUMIFS(L:L,AM:AM,AM2552)</f>
      </c>
      <c r="AR2552" s="116">
        <f>AQ2552-AP2552</f>
      </c>
      <c r="AS2552" s="94" t="str">
        <f>IF(AN2552&gt;=AQ2552,"ok","ck")</f>
      </c>
      <c r="AT2552" s="116">
        <f>-P2552</f>
      </c>
      <c r="AU2552" s="115">
        <f>IF(SUMIFS(AT:AT,AM:AM,AM2552)&gt;AO2552,(SUMIFS(AT:AT,AM:AM,AM2552)-AO2552))</f>
      </c>
      <c r="AV2552" s="116">
        <v>4691</v>
      </c>
      <c r="AW2552" s="121">
        <v>1.023</v>
      </c>
      <c r="AX2552" s="115">
        <f>AN2552-AP2552</f>
      </c>
    </row>
    <row r="2553" spans="1:50" ht="15" hidden="1" customHeight="1" x14ac:dyDescent="0.3">
      <c r="A2553" s="94" t="s">
        <v>151</v>
      </c>
      <c r="B2553" s="94"/>
      <c r="C2553" s="94"/>
      <c r="D2553" s="94"/>
      <c r="E2553" s="94"/>
      <c r="F2553" s="94"/>
      <c r="G2553" s="112">
        <f>AU2553</f>
      </c>
      <c r="H2553" s="113"/>
      <c r="I2553" s="94" t="s">
        <v>174</v>
      </c>
      <c r="J2553" s="94" t="s">
        <v>196</v>
      </c>
      <c r="K2553" s="114">
        <f>P2553/3</f>
      </c>
      <c r="L2553" s="115">
        <v>0</v>
      </c>
      <c r="M2553" s="116">
        <f>L2553</f>
      </c>
      <c r="N2553" s="117">
        <f>M2553-L2553</f>
      </c>
      <c r="O2553" s="112"/>
      <c r="P2553" s="118">
        <f>N2553+O2553</f>
      </c>
      <c r="Q2553" s="94" t="s">
        <v>197</v>
      </c>
      <c r="R2553" s="94" t="s">
        <v>63</v>
      </c>
      <c r="S2553" s="119">
        <v>46320</v>
      </c>
      <c r="T2553" s="119"/>
      <c r="U2553" s="119">
        <v>46320</v>
      </c>
      <c r="V2553" s="94"/>
      <c r="W2553" s="94"/>
      <c r="X2553" s="94"/>
      <c r="Y2553" s="119">
        <v>46320</v>
      </c>
      <c r="Z2553" s="94"/>
      <c r="AA2553" s="120"/>
      <c r="AB2553" s="120"/>
      <c r="AC2553" s="120"/>
      <c r="AD2553" s="120"/>
      <c r="AE2553" s="120"/>
      <c r="AF2553" s="120"/>
      <c r="AG2553" s="94"/>
      <c r="AH2553" s="120"/>
      <c r="AI2553" s="94"/>
      <c r="AJ2553" s="94" t="s">
        <v>197</v>
      </c>
      <c r="AK2553" s="94" t="s">
        <v>158</v>
      </c>
      <c r="AL2553" s="94">
        <v>160</v>
      </c>
      <c r="AM2553" s="94" t="str">
        <f>TRIM(AJ2553)&amp;TRIM(AL2553)&amp;TRIM(AK2553)</f>
      </c>
      <c r="AN2553" s="116">
        <v>4691</v>
      </c>
      <c r="AO2553" s="116">
        <v>-106</v>
      </c>
      <c r="AP2553" s="116">
        <f>SUMIFS(M:M,AM:AM,AM2553)+SUMIFS(O:O,AM:AM,AM2553)</f>
      </c>
      <c r="AQ2553" s="116">
        <f>SUMIFS(L:L,AM:AM,AM2553)</f>
      </c>
      <c r="AR2553" s="116">
        <f>AQ2553-AP2553</f>
      </c>
      <c r="AS2553" s="94" t="str">
        <f>IF(AN2553&gt;=AQ2553,"ok","ck")</f>
      </c>
      <c r="AT2553" s="116">
        <f>-P2553</f>
      </c>
      <c r="AU2553" s="115">
        <f>IF(SUMIFS(AT:AT,AM:AM,AM2553)&gt;AO2553,(SUMIFS(AT:AT,AM:AM,AM2553)-AO2553))</f>
      </c>
      <c r="AV2553" s="116">
        <v>4691</v>
      </c>
      <c r="AW2553" s="121">
        <v>1.023</v>
      </c>
      <c r="AX2553" s="115">
        <f>AN2553-AP2553</f>
      </c>
    </row>
    <row r="2554" spans="1:50" ht="15" hidden="1" customHeight="1" x14ac:dyDescent="0.3">
      <c r="A2554" s="94" t="s">
        <v>151</v>
      </c>
      <c r="B2554" s="94"/>
      <c r="C2554" s="94"/>
      <c r="D2554" s="94"/>
      <c r="E2554" s="94"/>
      <c r="F2554" s="94"/>
      <c r="G2554" s="112">
        <f>AU2554</f>
      </c>
      <c r="H2554" s="113"/>
      <c r="I2554" s="94" t="s">
        <v>152</v>
      </c>
      <c r="J2554" s="94" t="s">
        <v>156</v>
      </c>
      <c r="K2554" s="114">
        <f>P2554/3</f>
      </c>
      <c r="L2554" s="115">
        <v>0</v>
      </c>
      <c r="M2554" s="116">
        <f>L2554</f>
      </c>
      <c r="N2554" s="117">
        <f>M2554-L2554</f>
      </c>
      <c r="O2554" s="112"/>
      <c r="P2554" s="118">
        <f>N2554+O2554</f>
      </c>
      <c r="Q2554" s="94" t="s">
        <v>197</v>
      </c>
      <c r="R2554" s="94" t="s">
        <v>63</v>
      </c>
      <c r="S2554" s="119">
        <v>46320</v>
      </c>
      <c r="T2554" s="119"/>
      <c r="U2554" s="119">
        <v>46320</v>
      </c>
      <c r="V2554" s="94"/>
      <c r="W2554" s="94"/>
      <c r="X2554" s="94"/>
      <c r="Y2554" s="119">
        <v>46320</v>
      </c>
      <c r="Z2554" s="94"/>
      <c r="AA2554" s="120"/>
      <c r="AB2554" s="120"/>
      <c r="AC2554" s="120"/>
      <c r="AD2554" s="120"/>
      <c r="AE2554" s="120"/>
      <c r="AF2554" s="120"/>
      <c r="AG2554" s="94"/>
      <c r="AH2554" s="120"/>
      <c r="AI2554" s="94"/>
      <c r="AJ2554" s="94" t="s">
        <v>197</v>
      </c>
      <c r="AK2554" s="94" t="s">
        <v>158</v>
      </c>
      <c r="AL2554" s="94">
        <v>160</v>
      </c>
      <c r="AM2554" s="94" t="str">
        <f>TRIM(AJ2554)&amp;TRIM(AL2554)&amp;TRIM(AK2554)</f>
      </c>
      <c r="AN2554" s="116">
        <v>4691</v>
      </c>
      <c r="AO2554" s="116">
        <v>-106</v>
      </c>
      <c r="AP2554" s="116">
        <f>SUMIFS(M:M,AM:AM,AM2554)+SUMIFS(O:O,AM:AM,AM2554)</f>
      </c>
      <c r="AQ2554" s="116">
        <f>SUMIFS(L:L,AM:AM,AM2554)</f>
      </c>
      <c r="AR2554" s="116">
        <f>AQ2554-AP2554</f>
      </c>
      <c r="AS2554" s="94" t="str">
        <f>IF(AN2554&gt;=AQ2554,"ok","ck")</f>
      </c>
      <c r="AT2554" s="116">
        <f>-P2554</f>
      </c>
      <c r="AU2554" s="115">
        <f>IF(SUMIFS(AT:AT,AM:AM,AM2554)&gt;AO2554,(SUMIFS(AT:AT,AM:AM,AM2554)-AO2554))</f>
      </c>
      <c r="AV2554" s="116">
        <v>4691</v>
      </c>
      <c r="AW2554" s="121">
        <v>1.023</v>
      </c>
      <c r="AX2554" s="115">
        <f>AN2554-AP2554</f>
      </c>
    </row>
    <row r="2555" spans="1:50" ht="15" hidden="1" customHeight="1" x14ac:dyDescent="0.3">
      <c r="A2555" s="94" t="s">
        <v>151</v>
      </c>
      <c r="B2555" s="94"/>
      <c r="C2555" s="94"/>
      <c r="D2555" s="94"/>
      <c r="E2555" s="94"/>
      <c r="F2555" s="94"/>
      <c r="G2555" s="112">
        <f>AU2555</f>
      </c>
      <c r="H2555" s="113"/>
      <c r="I2555" s="94" t="s">
        <v>152</v>
      </c>
      <c r="J2555" s="94" t="s">
        <v>156</v>
      </c>
      <c r="K2555" s="114">
        <f>P2555/3</f>
      </c>
      <c r="L2555" s="115">
        <v>0</v>
      </c>
      <c r="M2555" s="116">
        <f>L2555</f>
      </c>
      <c r="N2555" s="117">
        <f>M2555-L2555</f>
      </c>
      <c r="O2555" s="112"/>
      <c r="P2555" s="118">
        <f>N2555+O2555</f>
      </c>
      <c r="Q2555" s="94" t="s">
        <v>197</v>
      </c>
      <c r="R2555" s="94" t="s">
        <v>63</v>
      </c>
      <c r="S2555" s="119">
        <v>46338</v>
      </c>
      <c r="T2555" s="119"/>
      <c r="U2555" s="119">
        <v>46338</v>
      </c>
      <c r="V2555" s="94"/>
      <c r="W2555" s="94"/>
      <c r="X2555" s="94"/>
      <c r="Y2555" s="119">
        <v>46338</v>
      </c>
      <c r="Z2555" s="94"/>
      <c r="AA2555" s="120"/>
      <c r="AB2555" s="120"/>
      <c r="AC2555" s="120"/>
      <c r="AD2555" s="120"/>
      <c r="AE2555" s="120"/>
      <c r="AF2555" s="120"/>
      <c r="AG2555" s="94"/>
      <c r="AH2555" s="120"/>
      <c r="AI2555" s="94"/>
      <c r="AJ2555" s="94" t="s">
        <v>197</v>
      </c>
      <c r="AK2555" s="94" t="s">
        <v>158</v>
      </c>
      <c r="AL2555" s="94">
        <v>160</v>
      </c>
      <c r="AM2555" s="94" t="str">
        <f>TRIM(AJ2555)&amp;TRIM(AL2555)&amp;TRIM(AK2555)</f>
      </c>
      <c r="AN2555" s="116">
        <v>4691</v>
      </c>
      <c r="AO2555" s="116">
        <v>-106</v>
      </c>
      <c r="AP2555" s="116">
        <f>SUMIFS(M:M,AM:AM,AM2555)+SUMIFS(O:O,AM:AM,AM2555)</f>
      </c>
      <c r="AQ2555" s="116">
        <f>SUMIFS(L:L,AM:AM,AM2555)</f>
      </c>
      <c r="AR2555" s="116">
        <f>AQ2555-AP2555</f>
      </c>
      <c r="AS2555" s="94" t="str">
        <f>IF(AN2555&gt;=AQ2555,"ok","ck")</f>
      </c>
      <c r="AT2555" s="116">
        <f>-P2555</f>
      </c>
      <c r="AU2555" s="115">
        <f>IF(SUMIFS(AT:AT,AM:AM,AM2555)&gt;AO2555,(SUMIFS(AT:AT,AM:AM,AM2555)-AO2555))</f>
      </c>
      <c r="AV2555" s="116">
        <v>4691</v>
      </c>
      <c r="AW2555" s="121">
        <v>1.023</v>
      </c>
      <c r="AX2555" s="115">
        <f>AN2555-AP2555</f>
      </c>
    </row>
    <row r="2556" spans="1:50" ht="15" hidden="1" customHeight="1" x14ac:dyDescent="0.3">
      <c r="A2556" s="94" t="s">
        <v>151</v>
      </c>
      <c r="B2556" s="94"/>
      <c r="C2556" s="94"/>
      <c r="D2556" s="94"/>
      <c r="E2556" s="94"/>
      <c r="F2556" s="94"/>
      <c r="G2556" s="112">
        <f>AU2556</f>
      </c>
      <c r="H2556" s="113"/>
      <c r="I2556" s="94" t="s">
        <v>152</v>
      </c>
      <c r="J2556" s="94" t="s">
        <v>228</v>
      </c>
      <c r="K2556" s="114">
        <f>P2556/3</f>
      </c>
      <c r="L2556" s="115">
        <v>0</v>
      </c>
      <c r="M2556" s="116">
        <f>L2556</f>
      </c>
      <c r="N2556" s="117">
        <f>M2556-L2556</f>
      </c>
      <c r="O2556" s="112"/>
      <c r="P2556" s="118">
        <f>N2556+O2556</f>
      </c>
      <c r="Q2556" s="94" t="s">
        <v>185</v>
      </c>
      <c r="R2556" s="94" t="s">
        <v>63</v>
      </c>
      <c r="S2556" s="119">
        <v>46334</v>
      </c>
      <c r="T2556" s="119"/>
      <c r="U2556" s="119">
        <v>46334</v>
      </c>
      <c r="V2556" s="94"/>
      <c r="W2556" s="94"/>
      <c r="X2556" s="94"/>
      <c r="Y2556" s="119">
        <v>46334</v>
      </c>
      <c r="Z2556" s="94"/>
      <c r="AA2556" s="120"/>
      <c r="AB2556" s="120"/>
      <c r="AC2556" s="120"/>
      <c r="AD2556" s="120"/>
      <c r="AE2556" s="120"/>
      <c r="AF2556" s="120"/>
      <c r="AG2556" s="94"/>
      <c r="AH2556" s="120"/>
      <c r="AI2556" s="94"/>
      <c r="AJ2556" s="94" t="s">
        <v>185</v>
      </c>
      <c r="AK2556" s="94" t="s">
        <v>229</v>
      </c>
      <c r="AL2556" s="94">
        <v>160</v>
      </c>
      <c r="AM2556" s="94" t="str">
        <f>TRIM(AJ2556)&amp;TRIM(AL2556)&amp;TRIM(AK2556)</f>
      </c>
      <c r="AN2556" s="116">
        <v>6435</v>
      </c>
      <c r="AO2556" s="116">
        <v>-120</v>
      </c>
      <c r="AP2556" s="116">
        <f>SUMIFS(M:M,AM:AM,AM2556)+SUMIFS(O:O,AM:AM,AM2556)</f>
      </c>
      <c r="AQ2556" s="116">
        <f>SUMIFS(L:L,AM:AM,AM2556)</f>
      </c>
      <c r="AR2556" s="116">
        <f>AQ2556-AP2556</f>
      </c>
      <c r="AS2556" s="94" t="str">
        <f>IF(AN2556&gt;=AQ2556,"ok","ck")</f>
      </c>
      <c r="AT2556" s="116">
        <f>-P2556</f>
      </c>
      <c r="AU2556" s="115">
        <f>IF(SUMIFS(AT:AT,AM:AM,AM2556)&gt;AO2556,(SUMIFS(AT:AT,AM:AM,AM2556)-AO2556))</f>
      </c>
      <c r="AV2556" s="116">
        <v>6435</v>
      </c>
      <c r="AW2556" s="121">
        <v>1.019</v>
      </c>
      <c r="AX2556" s="115">
        <f>AN2556-AP2556</f>
      </c>
    </row>
    <row r="2557" spans="1:50" ht="15" hidden="1" customHeight="1" x14ac:dyDescent="0.3">
      <c r="A2557" s="94" t="s">
        <v>76</v>
      </c>
      <c r="B2557" s="94"/>
      <c r="C2557" s="94"/>
      <c r="D2557" s="94"/>
      <c r="E2557" s="94"/>
      <c r="F2557" s="94"/>
      <c r="G2557" s="112">
        <f>AU2557</f>
      </c>
      <c r="H2557" s="113"/>
      <c r="I2557" s="94" t="s">
        <v>77</v>
      </c>
      <c r="J2557" s="94" t="s">
        <v>114</v>
      </c>
      <c r="K2557" s="114">
        <f>P2557/3</f>
      </c>
      <c r="L2557" s="115">
        <v>0</v>
      </c>
      <c r="M2557" s="116"/>
      <c r="N2557" s="117">
        <f>M2557-L2557</f>
      </c>
      <c r="O2557" s="112"/>
      <c r="P2557" s="118">
        <f>N2557+O2557</f>
      </c>
      <c r="Q2557" s="94" t="s">
        <v>78</v>
      </c>
      <c r="R2557" s="94" t="s">
        <v>63</v>
      </c>
      <c r="S2557" s="119">
        <v>46331</v>
      </c>
      <c r="T2557" s="119"/>
      <c r="U2557" s="119">
        <v>46331</v>
      </c>
      <c r="V2557" s="94"/>
      <c r="W2557" s="94"/>
      <c r="X2557" s="94"/>
      <c r="Y2557" s="119">
        <v>46331</v>
      </c>
      <c r="Z2557" s="94"/>
      <c r="AA2557" s="120"/>
      <c r="AB2557" s="120"/>
      <c r="AC2557" s="120"/>
      <c r="AD2557" s="120"/>
      <c r="AE2557" s="120"/>
      <c r="AF2557" s="120"/>
      <c r="AG2557" s="94"/>
      <c r="AH2557" s="120"/>
      <c r="AI2557" s="94"/>
      <c r="AJ2557" s="94" t="s">
        <v>78</v>
      </c>
      <c r="AK2557" s="94" t="s">
        <v>115</v>
      </c>
      <c r="AL2557" s="94">
        <v>150</v>
      </c>
      <c r="AM2557" s="94" t="str">
        <f>TRIM(AJ2557)&amp;TRIM(AL2557)&amp;TRIM(AK2557)</f>
      </c>
      <c r="AN2557" s="116">
        <v>1439.16</v>
      </c>
      <c r="AO2557" s="116">
        <v>65.51</v>
      </c>
      <c r="AP2557" s="116">
        <f>SUMIFS(M:M,AM:AM,AM2557)+SUMIFS(O:O,AM:AM,AM2557)</f>
      </c>
      <c r="AQ2557" s="116">
        <f>SUMIFS(L:L,AM:AM,AM2557)</f>
      </c>
      <c r="AR2557" s="116">
        <f>AQ2557-AP2557</f>
      </c>
      <c r="AS2557" s="94" t="str">
        <f>IF(AN2557&gt;=AQ2557,"ok","ck")</f>
      </c>
      <c r="AT2557" s="116">
        <f>-P2557</f>
      </c>
      <c r="AU2557" s="115">
        <f>IF(SUMIFS(AT:AT,AM:AM,AM2557)&gt;AO2557,(SUMIFS(AT:AT,AM:AM,AM2557)-AO2557))</f>
      </c>
      <c r="AV2557" s="116">
        <v>1439.16</v>
      </c>
      <c r="AW2557" s="121">
        <v>0.956</v>
      </c>
      <c r="AX2557" s="115">
        <f>AN2557-AP2557</f>
      </c>
    </row>
    <row r="2558" spans="1:50" ht="15" hidden="1" customHeight="1" x14ac:dyDescent="0.3">
      <c r="A2558" s="94" t="s">
        <v>76</v>
      </c>
      <c r="B2558" s="94"/>
      <c r="C2558" s="94"/>
      <c r="D2558" s="94"/>
      <c r="E2558" s="94"/>
      <c r="F2558" s="94"/>
      <c r="G2558" s="112">
        <f>AU2558</f>
      </c>
      <c r="H2558" s="113"/>
      <c r="I2558" s="94" t="s">
        <v>77</v>
      </c>
      <c r="J2558" s="94" t="s">
        <v>114</v>
      </c>
      <c r="K2558" s="114">
        <f>P2558/3</f>
      </c>
      <c r="L2558" s="115">
        <v>0</v>
      </c>
      <c r="M2558" s="116"/>
      <c r="N2558" s="117">
        <f>M2558-L2558</f>
      </c>
      <c r="O2558" s="112"/>
      <c r="P2558" s="118">
        <f>N2558+O2558</f>
      </c>
      <c r="Q2558" s="94" t="s">
        <v>78</v>
      </c>
      <c r="R2558" s="94" t="s">
        <v>63</v>
      </c>
      <c r="S2558" s="119">
        <v>46333</v>
      </c>
      <c r="T2558" s="119"/>
      <c r="U2558" s="119">
        <v>46333</v>
      </c>
      <c r="V2558" s="94"/>
      <c r="W2558" s="94"/>
      <c r="X2558" s="94"/>
      <c r="Y2558" s="119">
        <v>46333</v>
      </c>
      <c r="Z2558" s="94"/>
      <c r="AA2558" s="120"/>
      <c r="AB2558" s="120"/>
      <c r="AC2558" s="120"/>
      <c r="AD2558" s="120"/>
      <c r="AE2558" s="120"/>
      <c r="AF2558" s="120"/>
      <c r="AG2558" s="94"/>
      <c r="AH2558" s="120"/>
      <c r="AI2558" s="94"/>
      <c r="AJ2558" s="94" t="s">
        <v>78</v>
      </c>
      <c r="AK2558" s="94" t="s">
        <v>115</v>
      </c>
      <c r="AL2558" s="94">
        <v>150</v>
      </c>
      <c r="AM2558" s="94" t="str">
        <f>TRIM(AJ2558)&amp;TRIM(AL2558)&amp;TRIM(AK2558)</f>
      </c>
      <c r="AN2558" s="116">
        <v>1439.16</v>
      </c>
      <c r="AO2558" s="116">
        <v>65.51</v>
      </c>
      <c r="AP2558" s="116">
        <f>SUMIFS(M:M,AM:AM,AM2558)+SUMIFS(O:O,AM:AM,AM2558)</f>
      </c>
      <c r="AQ2558" s="116">
        <f>SUMIFS(L:L,AM:AM,AM2558)</f>
      </c>
      <c r="AR2558" s="116">
        <f>AQ2558-AP2558</f>
      </c>
      <c r="AS2558" s="94" t="str">
        <f>IF(AN2558&gt;=AQ2558,"ok","ck")</f>
      </c>
      <c r="AT2558" s="116">
        <f>-P2558</f>
      </c>
      <c r="AU2558" s="115">
        <f>IF(SUMIFS(AT:AT,AM:AM,AM2558)&gt;AO2558,(SUMIFS(AT:AT,AM:AM,AM2558)-AO2558))</f>
      </c>
      <c r="AV2558" s="116">
        <v>1439.16</v>
      </c>
      <c r="AW2558" s="121">
        <v>0.956</v>
      </c>
      <c r="AX2558" s="115">
        <f>AN2558-AP2558</f>
      </c>
    </row>
    <row r="2559" spans="1:50" ht="15" hidden="1" customHeight="1" x14ac:dyDescent="0.3">
      <c r="A2559" s="94" t="s">
        <v>76</v>
      </c>
      <c r="B2559" s="94"/>
      <c r="C2559" s="94"/>
      <c r="D2559" s="94"/>
      <c r="E2559" s="94"/>
      <c r="F2559" s="94"/>
      <c r="G2559" s="112">
        <f>AU2559</f>
      </c>
      <c r="H2559" s="113"/>
      <c r="I2559" s="94" t="s">
        <v>77</v>
      </c>
      <c r="J2559" s="94" t="s">
        <v>114</v>
      </c>
      <c r="K2559" s="114">
        <f>P2559/3</f>
      </c>
      <c r="L2559" s="115">
        <v>1.89</v>
      </c>
      <c r="M2559" s="116">
        <v>3.0000000000000001E-3</v>
      </c>
      <c r="N2559" s="117">
        <f>M2559-L2559</f>
      </c>
      <c r="O2559" s="112"/>
      <c r="P2559" s="118">
        <f>N2559+O2559</f>
      </c>
      <c r="Q2559" s="94" t="s">
        <v>78</v>
      </c>
      <c r="R2559" s="94" t="s">
        <v>63</v>
      </c>
      <c r="S2559" s="119">
        <v>46337</v>
      </c>
      <c r="T2559" s="119"/>
      <c r="U2559" s="119">
        <v>46337</v>
      </c>
      <c r="V2559" s="94"/>
      <c r="W2559" s="94"/>
      <c r="X2559" s="94"/>
      <c r="Y2559" s="119">
        <v>46333</v>
      </c>
      <c r="Z2559" s="94"/>
      <c r="AA2559" s="120"/>
      <c r="AB2559" s="120"/>
      <c r="AC2559" s="120"/>
      <c r="AD2559" s="120"/>
      <c r="AE2559" s="120"/>
      <c r="AF2559" s="120"/>
      <c r="AG2559" s="94"/>
      <c r="AH2559" s="120"/>
      <c r="AI2559" s="94"/>
      <c r="AJ2559" s="94" t="s">
        <v>78</v>
      </c>
      <c r="AK2559" s="94" t="s">
        <v>115</v>
      </c>
      <c r="AL2559" s="94">
        <v>150</v>
      </c>
      <c r="AM2559" s="94" t="str">
        <f>TRIM(AJ2559)&amp;TRIM(AL2559)&amp;TRIM(AK2559)</f>
      </c>
      <c r="AN2559" s="116">
        <v>1439.16</v>
      </c>
      <c r="AO2559" s="116">
        <v>65.51</v>
      </c>
      <c r="AP2559" s="116">
        <f>SUMIFS(M:M,AM:AM,AM2559)+SUMIFS(O:O,AM:AM,AM2559)</f>
      </c>
      <c r="AQ2559" s="116">
        <f>SUMIFS(L:L,AM:AM,AM2559)</f>
      </c>
      <c r="AR2559" s="116">
        <f>AQ2559-AP2559</f>
      </c>
      <c r="AS2559" s="94" t="str">
        <f>IF(AN2559&gt;=AQ2559,"ok","ck")</f>
      </c>
      <c r="AT2559" s="116">
        <f>-P2559</f>
      </c>
      <c r="AU2559" s="115">
        <f>IF(SUMIFS(AT:AT,AM:AM,AM2559)&gt;AO2559,(SUMIFS(AT:AT,AM:AM,AM2559)-AO2559))</f>
      </c>
      <c r="AV2559" s="116">
        <v>1439.16</v>
      </c>
      <c r="AW2559" s="121">
        <v>0.956</v>
      </c>
      <c r="AX2559" s="115">
        <f>AN2559-AP2559</f>
      </c>
    </row>
    <row r="2560" spans="1:50" ht="15" hidden="1" customHeight="1" x14ac:dyDescent="0.3">
      <c r="A2560" s="94" t="s">
        <v>76</v>
      </c>
      <c r="B2560" s="94"/>
      <c r="C2560" s="94"/>
      <c r="D2560" s="94"/>
      <c r="E2560" s="94"/>
      <c r="F2560" s="94"/>
      <c r="G2560" s="112">
        <f>AU2560</f>
      </c>
      <c r="H2560" s="113"/>
      <c r="I2560" s="94" t="s">
        <v>77</v>
      </c>
      <c r="J2560" s="94" t="s">
        <v>114</v>
      </c>
      <c r="K2560" s="114">
        <f>P2560/3</f>
      </c>
      <c r="L2560" s="115">
        <v>63.622999999999998</v>
      </c>
      <c r="M2560" s="116"/>
      <c r="N2560" s="117">
        <f>M2560-L2560</f>
      </c>
      <c r="O2560" s="112"/>
      <c r="P2560" s="118">
        <f>N2560+O2560</f>
      </c>
      <c r="Q2560" s="94" t="s">
        <v>78</v>
      </c>
      <c r="R2560" s="94" t="s">
        <v>63</v>
      </c>
      <c r="S2560" s="119">
        <v>46337</v>
      </c>
      <c r="T2560" s="119"/>
      <c r="U2560" s="119">
        <v>46337</v>
      </c>
      <c r="V2560" s="94"/>
      <c r="W2560" s="94"/>
      <c r="X2560" s="94"/>
      <c r="Y2560" s="119">
        <v>46333</v>
      </c>
      <c r="Z2560" s="94"/>
      <c r="AA2560" s="120"/>
      <c r="AB2560" s="120"/>
      <c r="AC2560" s="120"/>
      <c r="AD2560" s="120"/>
      <c r="AE2560" s="120"/>
      <c r="AF2560" s="120"/>
      <c r="AG2560" s="94"/>
      <c r="AH2560" s="120"/>
      <c r="AI2560" s="94"/>
      <c r="AJ2560" s="94" t="s">
        <v>78</v>
      </c>
      <c r="AK2560" s="94" t="s">
        <v>115</v>
      </c>
      <c r="AL2560" s="94">
        <v>150</v>
      </c>
      <c r="AM2560" s="94" t="str">
        <f>TRIM(AJ2560)&amp;TRIM(AL2560)&amp;TRIM(AK2560)</f>
      </c>
      <c r="AN2560" s="116">
        <v>1439.16</v>
      </c>
      <c r="AO2560" s="116">
        <v>65.51</v>
      </c>
      <c r="AP2560" s="116">
        <f>SUMIFS(M:M,AM:AM,AM2560)+SUMIFS(O:O,AM:AM,AM2560)</f>
      </c>
      <c r="AQ2560" s="116">
        <f>SUMIFS(L:L,AM:AM,AM2560)</f>
      </c>
      <c r="AR2560" s="116">
        <f>AQ2560-AP2560</f>
      </c>
      <c r="AS2560" s="94" t="str">
        <f>IF(AN2560&gt;=AQ2560,"ok","ck")</f>
      </c>
      <c r="AT2560" s="116">
        <f>-P2560</f>
      </c>
      <c r="AU2560" s="115">
        <f>IF(SUMIFS(AT:AT,AM:AM,AM2560)&gt;AO2560,(SUMIFS(AT:AT,AM:AM,AM2560)-AO2560))</f>
      </c>
      <c r="AV2560" s="116">
        <v>1439.16</v>
      </c>
      <c r="AW2560" s="121">
        <v>0.956</v>
      </c>
      <c r="AX2560" s="115">
        <f>AN2560-AP2560</f>
      </c>
    </row>
    <row r="2561" spans="1:50" ht="15" hidden="1" customHeight="1" x14ac:dyDescent="0.3">
      <c r="A2561" s="94" t="s">
        <v>76</v>
      </c>
      <c r="B2561" s="94"/>
      <c r="C2561" s="94"/>
      <c r="D2561" s="94"/>
      <c r="E2561" s="94"/>
      <c r="F2561" s="94"/>
      <c r="G2561" s="112">
        <f>AU2561</f>
      </c>
      <c r="H2561" s="113"/>
      <c r="I2561" s="94" t="s">
        <v>77</v>
      </c>
      <c r="J2561" s="94" t="s">
        <v>114</v>
      </c>
      <c r="K2561" s="114">
        <f>P2561/3</f>
      </c>
      <c r="L2561" s="115">
        <v>0</v>
      </c>
      <c r="M2561" s="116"/>
      <c r="N2561" s="117">
        <f>M2561-L2561</f>
      </c>
      <c r="O2561" s="112"/>
      <c r="P2561" s="118">
        <f>N2561+O2561</f>
      </c>
      <c r="Q2561" s="94" t="s">
        <v>78</v>
      </c>
      <c r="R2561" s="94" t="s">
        <v>63</v>
      </c>
      <c r="S2561" s="119">
        <v>46334</v>
      </c>
      <c r="T2561" s="119"/>
      <c r="U2561" s="119">
        <v>46334</v>
      </c>
      <c r="V2561" s="94"/>
      <c r="W2561" s="94"/>
      <c r="X2561" s="94"/>
      <c r="Y2561" s="119">
        <v>46334</v>
      </c>
      <c r="Z2561" s="94"/>
      <c r="AA2561" s="120"/>
      <c r="AB2561" s="120"/>
      <c r="AC2561" s="120"/>
      <c r="AD2561" s="120"/>
      <c r="AE2561" s="120"/>
      <c r="AF2561" s="120"/>
      <c r="AG2561" s="94"/>
      <c r="AH2561" s="120"/>
      <c r="AI2561" s="94"/>
      <c r="AJ2561" s="94" t="s">
        <v>78</v>
      </c>
      <c r="AK2561" s="94" t="s">
        <v>115</v>
      </c>
      <c r="AL2561" s="94">
        <v>150</v>
      </c>
      <c r="AM2561" s="94" t="str">
        <f>TRIM(AJ2561)&amp;TRIM(AL2561)&amp;TRIM(AK2561)</f>
      </c>
      <c r="AN2561" s="116">
        <v>1439.16</v>
      </c>
      <c r="AO2561" s="116">
        <v>65.51</v>
      </c>
      <c r="AP2561" s="116">
        <f>SUMIFS(M:M,AM:AM,AM2561)+SUMIFS(O:O,AM:AM,AM2561)</f>
      </c>
      <c r="AQ2561" s="116">
        <f>SUMIFS(L:L,AM:AM,AM2561)</f>
      </c>
      <c r="AR2561" s="116">
        <f>AQ2561-AP2561</f>
      </c>
      <c r="AS2561" s="94" t="str">
        <f>IF(AN2561&gt;=AQ2561,"ok","ck")</f>
      </c>
      <c r="AT2561" s="116">
        <f>-P2561</f>
      </c>
      <c r="AU2561" s="115">
        <f>IF(SUMIFS(AT:AT,AM:AM,AM2561)&gt;AO2561,(SUMIFS(AT:AT,AM:AM,AM2561)-AO2561))</f>
      </c>
      <c r="AV2561" s="116">
        <v>1439.16</v>
      </c>
      <c r="AW2561" s="121">
        <v>0.956</v>
      </c>
      <c r="AX2561" s="115">
        <f>AN2561-AP2561</f>
      </c>
    </row>
    <row r="2562" spans="1:50" ht="15" hidden="1" customHeight="1" x14ac:dyDescent="0.3">
      <c r="A2562" s="94" t="s">
        <v>76</v>
      </c>
      <c r="B2562" s="94"/>
      <c r="C2562" s="94"/>
      <c r="D2562" s="94"/>
      <c r="E2562" s="94"/>
      <c r="F2562" s="94"/>
      <c r="G2562" s="112">
        <f>AU2562</f>
      </c>
      <c r="H2562" s="113"/>
      <c r="I2562" s="94" t="s">
        <v>77</v>
      </c>
      <c r="J2562" s="94" t="s">
        <v>114</v>
      </c>
      <c r="K2562" s="114">
        <f>P2562/3</f>
      </c>
      <c r="L2562" s="115">
        <v>0</v>
      </c>
      <c r="M2562" s="116"/>
      <c r="N2562" s="117">
        <f>M2562-L2562</f>
      </c>
      <c r="O2562" s="112"/>
      <c r="P2562" s="118">
        <f>N2562+O2562</f>
      </c>
      <c r="Q2562" s="94" t="s">
        <v>78</v>
      </c>
      <c r="R2562" s="94" t="s">
        <v>63</v>
      </c>
      <c r="S2562" s="119">
        <v>46334</v>
      </c>
      <c r="T2562" s="119"/>
      <c r="U2562" s="119">
        <v>46334</v>
      </c>
      <c r="V2562" s="94"/>
      <c r="W2562" s="94"/>
      <c r="X2562" s="94"/>
      <c r="Y2562" s="119">
        <v>46334</v>
      </c>
      <c r="Z2562" s="94"/>
      <c r="AA2562" s="120"/>
      <c r="AB2562" s="120"/>
      <c r="AC2562" s="120"/>
      <c r="AD2562" s="120"/>
      <c r="AE2562" s="120"/>
      <c r="AF2562" s="120"/>
      <c r="AG2562" s="94"/>
      <c r="AH2562" s="120"/>
      <c r="AI2562" s="94"/>
      <c r="AJ2562" s="94" t="s">
        <v>78</v>
      </c>
      <c r="AK2562" s="94" t="s">
        <v>115</v>
      </c>
      <c r="AL2562" s="94">
        <v>150</v>
      </c>
      <c r="AM2562" s="94" t="str">
        <f>TRIM(AJ2562)&amp;TRIM(AL2562)&amp;TRIM(AK2562)</f>
      </c>
      <c r="AN2562" s="116">
        <v>1439.16</v>
      </c>
      <c r="AO2562" s="116">
        <v>65.51</v>
      </c>
      <c r="AP2562" s="116">
        <f>SUMIFS(M:M,AM:AM,AM2562)+SUMIFS(O:O,AM:AM,AM2562)</f>
      </c>
      <c r="AQ2562" s="116">
        <f>SUMIFS(L:L,AM:AM,AM2562)</f>
      </c>
      <c r="AR2562" s="116">
        <f>AQ2562-AP2562</f>
      </c>
      <c r="AS2562" s="94" t="str">
        <f>IF(AN2562&gt;=AQ2562,"ok","ck")</f>
      </c>
      <c r="AT2562" s="116">
        <f>-P2562</f>
      </c>
      <c r="AU2562" s="115">
        <f>IF(SUMIFS(AT:AT,AM:AM,AM2562)&gt;AO2562,(SUMIFS(AT:AT,AM:AM,AM2562)-AO2562))</f>
      </c>
      <c r="AV2562" s="116">
        <v>1439.16</v>
      </c>
      <c r="AW2562" s="121">
        <v>0.956</v>
      </c>
      <c r="AX2562" s="115">
        <f>AN2562-AP2562</f>
      </c>
    </row>
    <row r="2563" spans="1:50" ht="15" hidden="1" customHeight="1" x14ac:dyDescent="0.3">
      <c r="A2563" s="94" t="s">
        <v>76</v>
      </c>
      <c r="B2563" s="94"/>
      <c r="C2563" s="94"/>
      <c r="D2563" s="94"/>
      <c r="E2563" s="94"/>
      <c r="F2563" s="94"/>
      <c r="G2563" s="112">
        <f>AU2563</f>
      </c>
      <c r="H2563" s="113"/>
      <c r="I2563" s="94" t="s">
        <v>77</v>
      </c>
      <c r="J2563" s="94" t="s">
        <v>114</v>
      </c>
      <c r="K2563" s="114">
        <f>P2563/3</f>
      </c>
      <c r="L2563" s="115">
        <v>0</v>
      </c>
      <c r="M2563" s="116"/>
      <c r="N2563" s="117">
        <f>M2563-L2563</f>
      </c>
      <c r="O2563" s="112"/>
      <c r="P2563" s="118">
        <f>N2563+O2563</f>
      </c>
      <c r="Q2563" s="94" t="s">
        <v>112</v>
      </c>
      <c r="R2563" s="94" t="s">
        <v>63</v>
      </c>
      <c r="S2563" s="119">
        <v>46320</v>
      </c>
      <c r="T2563" s="119"/>
      <c r="U2563" s="119">
        <v>46320</v>
      </c>
      <c r="V2563" s="94"/>
      <c r="W2563" s="94"/>
      <c r="X2563" s="94"/>
      <c r="Y2563" s="119">
        <v>46320</v>
      </c>
      <c r="Z2563" s="94"/>
      <c r="AA2563" s="120"/>
      <c r="AB2563" s="120"/>
      <c r="AC2563" s="120"/>
      <c r="AD2563" s="120"/>
      <c r="AE2563" s="120"/>
      <c r="AF2563" s="120"/>
      <c r="AG2563" s="94"/>
      <c r="AH2563" s="120"/>
      <c r="AI2563" s="94"/>
      <c r="AJ2563" s="94" t="s">
        <v>112</v>
      </c>
      <c r="AK2563" s="94" t="s">
        <v>115</v>
      </c>
      <c r="AL2563" s="94">
        <v>150</v>
      </c>
      <c r="AM2563" s="94" t="str">
        <f>TRIM(AJ2563)&amp;TRIM(AL2563)&amp;TRIM(AK2563)</f>
      </c>
      <c r="AN2563" s="116">
        <v>3203.07</v>
      </c>
      <c r="AO2563" s="116">
        <v>119.32</v>
      </c>
      <c r="AP2563" s="116">
        <f>SUMIFS(M:M,AM:AM,AM2563)+SUMIFS(O:O,AM:AM,AM2563)</f>
      </c>
      <c r="AQ2563" s="116">
        <f>SUMIFS(L:L,AM:AM,AM2563)</f>
      </c>
      <c r="AR2563" s="116">
        <f>AQ2563-AP2563</f>
      </c>
      <c r="AS2563" s="94" t="str">
        <f>IF(AN2563&gt;=AQ2563,"ok","ck")</f>
      </c>
      <c r="AT2563" s="116">
        <f>-P2563</f>
      </c>
      <c r="AU2563" s="115">
        <f>IF(SUMIFS(AT:AT,AM:AM,AM2563)&gt;AO2563,(SUMIFS(AT:AT,AM:AM,AM2563)-AO2563))</f>
      </c>
      <c r="AV2563" s="116">
        <v>3203.07</v>
      </c>
      <c r="AW2563" s="121">
        <v>0.964</v>
      </c>
      <c r="AX2563" s="115">
        <f>AN2563-AP2563</f>
      </c>
    </row>
    <row r="2564" spans="1:50" ht="15" hidden="1" customHeight="1" x14ac:dyDescent="0.3">
      <c r="A2564" s="94" t="s">
        <v>76</v>
      </c>
      <c r="B2564" s="94"/>
      <c r="C2564" s="94"/>
      <c r="D2564" s="94"/>
      <c r="E2564" s="94"/>
      <c r="F2564" s="94"/>
      <c r="G2564" s="112">
        <f>AU2564</f>
      </c>
      <c r="H2564" s="113"/>
      <c r="I2564" s="94" t="s">
        <v>77</v>
      </c>
      <c r="J2564" s="94" t="s">
        <v>114</v>
      </c>
      <c r="K2564" s="114">
        <f>P2564/3</f>
      </c>
      <c r="L2564" s="115">
        <v>0</v>
      </c>
      <c r="M2564" s="116"/>
      <c r="N2564" s="117">
        <f>M2564-L2564</f>
      </c>
      <c r="O2564" s="112"/>
      <c r="P2564" s="118">
        <f>N2564+O2564</f>
      </c>
      <c r="Q2564" s="94" t="s">
        <v>112</v>
      </c>
      <c r="R2564" s="94" t="s">
        <v>63</v>
      </c>
      <c r="S2564" s="119">
        <v>46320</v>
      </c>
      <c r="T2564" s="119"/>
      <c r="U2564" s="119">
        <v>46320</v>
      </c>
      <c r="V2564" s="94"/>
      <c r="W2564" s="94"/>
      <c r="X2564" s="94"/>
      <c r="Y2564" s="119">
        <v>46320</v>
      </c>
      <c r="Z2564" s="94"/>
      <c r="AA2564" s="120"/>
      <c r="AB2564" s="120"/>
      <c r="AC2564" s="120"/>
      <c r="AD2564" s="120"/>
      <c r="AE2564" s="120"/>
      <c r="AF2564" s="120"/>
      <c r="AG2564" s="94"/>
      <c r="AH2564" s="120"/>
      <c r="AI2564" s="94"/>
      <c r="AJ2564" s="94" t="s">
        <v>112</v>
      </c>
      <c r="AK2564" s="94" t="s">
        <v>115</v>
      </c>
      <c r="AL2564" s="94">
        <v>150</v>
      </c>
      <c r="AM2564" s="94" t="str">
        <f>TRIM(AJ2564)&amp;TRIM(AL2564)&amp;TRIM(AK2564)</f>
      </c>
      <c r="AN2564" s="116">
        <v>3203.07</v>
      </c>
      <c r="AO2564" s="116">
        <v>119.32</v>
      </c>
      <c r="AP2564" s="116">
        <f>SUMIFS(M:M,AM:AM,AM2564)+SUMIFS(O:O,AM:AM,AM2564)</f>
      </c>
      <c r="AQ2564" s="116">
        <f>SUMIFS(L:L,AM:AM,AM2564)</f>
      </c>
      <c r="AR2564" s="116">
        <f>AQ2564-AP2564</f>
      </c>
      <c r="AS2564" s="94" t="str">
        <f>IF(AN2564&gt;=AQ2564,"ok","ck")</f>
      </c>
      <c r="AT2564" s="116">
        <f>-P2564</f>
      </c>
      <c r="AU2564" s="115">
        <f>IF(SUMIFS(AT:AT,AM:AM,AM2564)&gt;AO2564,(SUMIFS(AT:AT,AM:AM,AM2564)-AO2564))</f>
      </c>
      <c r="AV2564" s="116">
        <v>3203.07</v>
      </c>
      <c r="AW2564" s="121">
        <v>0.964</v>
      </c>
      <c r="AX2564" s="115">
        <f>AN2564-AP2564</f>
      </c>
    </row>
    <row r="2565" spans="1:50" ht="15" hidden="1" customHeight="1" x14ac:dyDescent="0.3">
      <c r="A2565" s="94" t="s">
        <v>76</v>
      </c>
      <c r="B2565" s="94"/>
      <c r="C2565" s="94"/>
      <c r="D2565" s="94"/>
      <c r="E2565" s="94"/>
      <c r="F2565" s="94"/>
      <c r="G2565" s="112">
        <f>AU2565</f>
      </c>
      <c r="H2565" s="113"/>
      <c r="I2565" s="94" t="s">
        <v>77</v>
      </c>
      <c r="J2565" s="94" t="s">
        <v>114</v>
      </c>
      <c r="K2565" s="114">
        <f>P2565/3</f>
      </c>
      <c r="L2565" s="115">
        <v>0</v>
      </c>
      <c r="M2565" s="116"/>
      <c r="N2565" s="117">
        <f>M2565-L2565</f>
      </c>
      <c r="O2565" s="112"/>
      <c r="P2565" s="118">
        <f>N2565+O2565</f>
      </c>
      <c r="Q2565" s="94" t="s">
        <v>112</v>
      </c>
      <c r="R2565" s="94" t="s">
        <v>63</v>
      </c>
      <c r="S2565" s="119">
        <v>46322</v>
      </c>
      <c r="T2565" s="119"/>
      <c r="U2565" s="119">
        <v>46322</v>
      </c>
      <c r="V2565" s="94"/>
      <c r="W2565" s="94"/>
      <c r="X2565" s="94"/>
      <c r="Y2565" s="119">
        <v>46322</v>
      </c>
      <c r="Z2565" s="94"/>
      <c r="AA2565" s="120"/>
      <c r="AB2565" s="120"/>
      <c r="AC2565" s="120"/>
      <c r="AD2565" s="120"/>
      <c r="AE2565" s="120"/>
      <c r="AF2565" s="120"/>
      <c r="AG2565" s="94"/>
      <c r="AH2565" s="120"/>
      <c r="AI2565" s="94"/>
      <c r="AJ2565" s="94" t="s">
        <v>112</v>
      </c>
      <c r="AK2565" s="94" t="s">
        <v>115</v>
      </c>
      <c r="AL2565" s="94">
        <v>150</v>
      </c>
      <c r="AM2565" s="94" t="str">
        <f>TRIM(AJ2565)&amp;TRIM(AL2565)&amp;TRIM(AK2565)</f>
      </c>
      <c r="AN2565" s="116">
        <v>3203.07</v>
      </c>
      <c r="AO2565" s="116">
        <v>119.32</v>
      </c>
      <c r="AP2565" s="116">
        <f>SUMIFS(M:M,AM:AM,AM2565)+SUMIFS(O:O,AM:AM,AM2565)</f>
      </c>
      <c r="AQ2565" s="116">
        <f>SUMIFS(L:L,AM:AM,AM2565)</f>
      </c>
      <c r="AR2565" s="116">
        <f>AQ2565-AP2565</f>
      </c>
      <c r="AS2565" s="94" t="str">
        <f>IF(AN2565&gt;=AQ2565,"ok","ck")</f>
      </c>
      <c r="AT2565" s="116">
        <f>-P2565</f>
      </c>
      <c r="AU2565" s="115">
        <f>IF(SUMIFS(AT:AT,AM:AM,AM2565)&gt;AO2565,(SUMIFS(AT:AT,AM:AM,AM2565)-AO2565))</f>
      </c>
      <c r="AV2565" s="116">
        <v>3203.07</v>
      </c>
      <c r="AW2565" s="121">
        <v>0.964</v>
      </c>
      <c r="AX2565" s="115">
        <f>AN2565-AP2565</f>
      </c>
    </row>
    <row r="2566" spans="1:50" ht="15" hidden="1" customHeight="1" x14ac:dyDescent="0.3">
      <c r="A2566" s="94" t="s">
        <v>76</v>
      </c>
      <c r="B2566" s="94"/>
      <c r="C2566" s="94"/>
      <c r="D2566" s="94"/>
      <c r="E2566" s="94"/>
      <c r="F2566" s="94"/>
      <c r="G2566" s="112">
        <f>AU2566</f>
      </c>
      <c r="H2566" s="113"/>
      <c r="I2566" s="94" t="s">
        <v>77</v>
      </c>
      <c r="J2566" s="94" t="s">
        <v>119</v>
      </c>
      <c r="K2566" s="114">
        <f>P2566/3</f>
      </c>
      <c r="L2566" s="115">
        <v>-1.0089999999999999</v>
      </c>
      <c r="M2566" s="116">
        <f>L2566</f>
      </c>
      <c r="N2566" s="117">
        <f>M2566-L2566</f>
      </c>
      <c r="O2566" s="112"/>
      <c r="P2566" s="118">
        <f>N2566+O2566</f>
      </c>
      <c r="Q2566" s="94" t="s">
        <v>112</v>
      </c>
      <c r="R2566" s="94" t="s">
        <v>63</v>
      </c>
      <c r="S2566" s="119">
        <v>46320</v>
      </c>
      <c r="T2566" s="119"/>
      <c r="U2566" s="119">
        <v>46320</v>
      </c>
      <c r="V2566" s="94"/>
      <c r="W2566" s="94"/>
      <c r="X2566" s="94"/>
      <c r="Y2566" s="119">
        <v>46320</v>
      </c>
      <c r="Z2566" s="94"/>
      <c r="AA2566" s="120"/>
      <c r="AB2566" s="120"/>
      <c r="AC2566" s="120"/>
      <c r="AD2566" s="120"/>
      <c r="AE2566" s="120"/>
      <c r="AF2566" s="120"/>
      <c r="AG2566" s="94"/>
      <c r="AH2566" s="120"/>
      <c r="AI2566" s="94"/>
      <c r="AJ2566" s="94" t="s">
        <v>112</v>
      </c>
      <c r="AK2566" s="94" t="s">
        <v>120</v>
      </c>
      <c r="AL2566" s="94">
        <v>150</v>
      </c>
      <c r="AM2566" s="94" t="str">
        <f>TRIM(AJ2566)&amp;TRIM(AL2566)&amp;TRIM(AK2566)</f>
      </c>
      <c r="AN2566" s="116">
        <v>1052.32</v>
      </c>
      <c r="AO2566" s="116">
        <v>-2.11</v>
      </c>
      <c r="AP2566" s="116">
        <f>SUMIFS(M:M,AM:AM,AM2566)+SUMIFS(O:O,AM:AM,AM2566)</f>
      </c>
      <c r="AQ2566" s="116">
        <f>SUMIFS(L:L,AM:AM,AM2566)</f>
      </c>
      <c r="AR2566" s="116">
        <f>AQ2566-AP2566</f>
      </c>
      <c r="AS2566" s="94" t="str">
        <f>IF(AN2566&gt;=AQ2566,"ok","ck")</f>
      </c>
      <c r="AT2566" s="116">
        <f>-P2566</f>
      </c>
      <c r="AU2566" s="115">
        <f>IF(SUMIFS(AT:AT,AM:AM,AM2566)&gt;AO2566,(SUMIFS(AT:AT,AM:AM,AM2566)-AO2566))</f>
      </c>
      <c r="AV2566" s="116">
        <v>1052.32</v>
      </c>
      <c r="AW2566" s="121">
        <v>1.002</v>
      </c>
      <c r="AX2566" s="115">
        <f>AN2566-AP2566</f>
      </c>
    </row>
    <row r="2567" spans="1:50" ht="15" hidden="1" customHeight="1" x14ac:dyDescent="0.3">
      <c r="A2567" s="94" t="s">
        <v>76</v>
      </c>
      <c r="B2567" s="94"/>
      <c r="C2567" s="94"/>
      <c r="D2567" s="94"/>
      <c r="E2567" s="94"/>
      <c r="F2567" s="94"/>
      <c r="G2567" s="112">
        <f>AU2567</f>
      </c>
      <c r="H2567" s="113"/>
      <c r="I2567" s="94" t="s">
        <v>77</v>
      </c>
      <c r="J2567" s="94" t="s">
        <v>119</v>
      </c>
      <c r="K2567" s="114">
        <f>P2567/3</f>
      </c>
      <c r="L2567" s="115">
        <v>-3.0000000000000001E-3</v>
      </c>
      <c r="M2567" s="116">
        <f>L2567</f>
      </c>
      <c r="N2567" s="117">
        <f>M2567-L2567</f>
      </c>
      <c r="O2567" s="112"/>
      <c r="P2567" s="118">
        <f>N2567+O2567</f>
      </c>
      <c r="Q2567" s="94" t="s">
        <v>112</v>
      </c>
      <c r="R2567" s="94" t="s">
        <v>63</v>
      </c>
      <c r="S2567" s="119">
        <v>46322</v>
      </c>
      <c r="T2567" s="119"/>
      <c r="U2567" s="119">
        <v>46322</v>
      </c>
      <c r="V2567" s="94"/>
      <c r="W2567" s="94"/>
      <c r="X2567" s="94"/>
      <c r="Y2567" s="119">
        <v>46322</v>
      </c>
      <c r="Z2567" s="94"/>
      <c r="AA2567" s="120"/>
      <c r="AB2567" s="120"/>
      <c r="AC2567" s="120"/>
      <c r="AD2567" s="120"/>
      <c r="AE2567" s="120"/>
      <c r="AF2567" s="120"/>
      <c r="AG2567" s="94"/>
      <c r="AH2567" s="120"/>
      <c r="AI2567" s="94"/>
      <c r="AJ2567" s="94" t="s">
        <v>112</v>
      </c>
      <c r="AK2567" s="94" t="s">
        <v>120</v>
      </c>
      <c r="AL2567" s="94">
        <v>150</v>
      </c>
      <c r="AM2567" s="94" t="str">
        <f>TRIM(AJ2567)&amp;TRIM(AL2567)&amp;TRIM(AK2567)</f>
      </c>
      <c r="AN2567" s="116">
        <v>1052.32</v>
      </c>
      <c r="AO2567" s="116">
        <v>-2.11</v>
      </c>
      <c r="AP2567" s="116">
        <f>SUMIFS(M:M,AM:AM,AM2567)+SUMIFS(O:O,AM:AM,AM2567)</f>
      </c>
      <c r="AQ2567" s="116">
        <f>SUMIFS(L:L,AM:AM,AM2567)</f>
      </c>
      <c r="AR2567" s="116">
        <f>AQ2567-AP2567</f>
      </c>
      <c r="AS2567" s="94" t="str">
        <f>IF(AN2567&gt;=AQ2567,"ok","ck")</f>
      </c>
      <c r="AT2567" s="116">
        <f>-P2567</f>
      </c>
      <c r="AU2567" s="115">
        <f>IF(SUMIFS(AT:AT,AM:AM,AM2567)&gt;AO2567,(SUMIFS(AT:AT,AM:AM,AM2567)-AO2567))</f>
      </c>
      <c r="AV2567" s="116">
        <v>1052.32</v>
      </c>
      <c r="AW2567" s="121">
        <v>1.002</v>
      </c>
      <c r="AX2567" s="115">
        <f>AN2567-AP2567</f>
      </c>
    </row>
    <row r="2568" spans="1:50" ht="15" hidden="1" customHeight="1" x14ac:dyDescent="0.3">
      <c r="A2568" s="94" t="s">
        <v>76</v>
      </c>
      <c r="B2568" s="94"/>
      <c r="C2568" s="94"/>
      <c r="D2568" s="94"/>
      <c r="E2568" s="94"/>
      <c r="F2568" s="94"/>
      <c r="G2568" s="112">
        <f>AU2568</f>
      </c>
      <c r="H2568" s="113"/>
      <c r="I2568" s="94" t="s">
        <v>77</v>
      </c>
      <c r="J2568" s="94" t="s">
        <v>119</v>
      </c>
      <c r="K2568" s="114">
        <f>P2568/3</f>
      </c>
      <c r="L2568" s="115">
        <v>-1.0920000000000001</v>
      </c>
      <c r="M2568" s="116">
        <f>L2568</f>
      </c>
      <c r="N2568" s="117">
        <f>M2568-L2568</f>
      </c>
      <c r="O2568" s="112"/>
      <c r="P2568" s="118">
        <f>N2568+O2568</f>
      </c>
      <c r="Q2568" s="94" t="s">
        <v>112</v>
      </c>
      <c r="R2568" s="94" t="s">
        <v>63</v>
      </c>
      <c r="S2568" s="119">
        <v>46327</v>
      </c>
      <c r="T2568" s="119"/>
      <c r="U2568" s="119">
        <v>46327</v>
      </c>
      <c r="V2568" s="94"/>
      <c r="W2568" s="94"/>
      <c r="X2568" s="94"/>
      <c r="Y2568" s="119">
        <v>46327</v>
      </c>
      <c r="Z2568" s="94"/>
      <c r="AA2568" s="120"/>
      <c r="AB2568" s="120"/>
      <c r="AC2568" s="120"/>
      <c r="AD2568" s="120"/>
      <c r="AE2568" s="120"/>
      <c r="AF2568" s="120"/>
      <c r="AG2568" s="94"/>
      <c r="AH2568" s="120"/>
      <c r="AI2568" s="94"/>
      <c r="AJ2568" s="94" t="s">
        <v>112</v>
      </c>
      <c r="AK2568" s="94" t="s">
        <v>120</v>
      </c>
      <c r="AL2568" s="94">
        <v>150</v>
      </c>
      <c r="AM2568" s="94" t="str">
        <f>TRIM(AJ2568)&amp;TRIM(AL2568)&amp;TRIM(AK2568)</f>
      </c>
      <c r="AN2568" s="116">
        <v>1052.32</v>
      </c>
      <c r="AO2568" s="116">
        <v>-2.11</v>
      </c>
      <c r="AP2568" s="116">
        <f>SUMIFS(M:M,AM:AM,AM2568)+SUMIFS(O:O,AM:AM,AM2568)</f>
      </c>
      <c r="AQ2568" s="116">
        <f>SUMIFS(L:L,AM:AM,AM2568)</f>
      </c>
      <c r="AR2568" s="116">
        <f>AQ2568-AP2568</f>
      </c>
      <c r="AS2568" s="94" t="str">
        <f>IF(AN2568&gt;=AQ2568,"ok","ck")</f>
      </c>
      <c r="AT2568" s="116">
        <f>-P2568</f>
      </c>
      <c r="AU2568" s="115">
        <f>IF(SUMIFS(AT:AT,AM:AM,AM2568)&gt;AO2568,(SUMIFS(AT:AT,AM:AM,AM2568)-AO2568))</f>
      </c>
      <c r="AV2568" s="116">
        <v>1052.32</v>
      </c>
      <c r="AW2568" s="121">
        <v>1.002</v>
      </c>
      <c r="AX2568" s="115">
        <f>AN2568-AP2568</f>
      </c>
    </row>
    <row r="2569" spans="1:50" ht="15" hidden="1" customHeight="1" x14ac:dyDescent="0.3">
      <c r="A2569" s="94" t="s">
        <v>76</v>
      </c>
      <c r="B2569" s="94"/>
      <c r="C2569" s="94"/>
      <c r="D2569" s="94"/>
      <c r="E2569" s="94"/>
      <c r="F2569" s="94"/>
      <c r="G2569" s="112">
        <f>AU2569</f>
      </c>
      <c r="H2569" s="113"/>
      <c r="I2569" s="94" t="s">
        <v>77</v>
      </c>
      <c r="J2569" s="94" t="s">
        <v>119</v>
      </c>
      <c r="K2569" s="114">
        <f>P2569/3</f>
      </c>
      <c r="L2569" s="115">
        <v>-6.0000000000000001E-3</v>
      </c>
      <c r="M2569" s="116">
        <f>L2569</f>
      </c>
      <c r="N2569" s="117">
        <f>M2569-L2569</f>
      </c>
      <c r="O2569" s="112"/>
      <c r="P2569" s="118">
        <f>N2569+O2569</f>
      </c>
      <c r="Q2569" s="94" t="s">
        <v>112</v>
      </c>
      <c r="R2569" s="94" t="s">
        <v>63</v>
      </c>
      <c r="S2569" s="119">
        <v>46329</v>
      </c>
      <c r="T2569" s="119"/>
      <c r="U2569" s="119">
        <v>46329</v>
      </c>
      <c r="V2569" s="94"/>
      <c r="W2569" s="94"/>
      <c r="X2569" s="94"/>
      <c r="Y2569" s="119">
        <v>46329</v>
      </c>
      <c r="Z2569" s="94"/>
      <c r="AA2569" s="120"/>
      <c r="AB2569" s="120"/>
      <c r="AC2569" s="120"/>
      <c r="AD2569" s="120"/>
      <c r="AE2569" s="120"/>
      <c r="AF2569" s="120"/>
      <c r="AG2569" s="94"/>
      <c r="AH2569" s="120"/>
      <c r="AI2569" s="94"/>
      <c r="AJ2569" s="94" t="s">
        <v>112</v>
      </c>
      <c r="AK2569" s="94" t="s">
        <v>120</v>
      </c>
      <c r="AL2569" s="94">
        <v>150</v>
      </c>
      <c r="AM2569" s="94" t="str">
        <f>TRIM(AJ2569)&amp;TRIM(AL2569)&amp;TRIM(AK2569)</f>
      </c>
      <c r="AN2569" s="116">
        <v>1052.32</v>
      </c>
      <c r="AO2569" s="116">
        <v>-2.11</v>
      </c>
      <c r="AP2569" s="116">
        <f>SUMIFS(M:M,AM:AM,AM2569)+SUMIFS(O:O,AM:AM,AM2569)</f>
      </c>
      <c r="AQ2569" s="116">
        <f>SUMIFS(L:L,AM:AM,AM2569)</f>
      </c>
      <c r="AR2569" s="116">
        <f>AQ2569-AP2569</f>
      </c>
      <c r="AS2569" s="94" t="str">
        <f>IF(AN2569&gt;=AQ2569,"ok","ck")</f>
      </c>
      <c r="AT2569" s="116">
        <f>-P2569</f>
      </c>
      <c r="AU2569" s="115">
        <f>IF(SUMIFS(AT:AT,AM:AM,AM2569)&gt;AO2569,(SUMIFS(AT:AT,AM:AM,AM2569)-AO2569))</f>
      </c>
      <c r="AV2569" s="116">
        <v>1052.32</v>
      </c>
      <c r="AW2569" s="121">
        <v>1.002</v>
      </c>
      <c r="AX2569" s="115">
        <f>AN2569-AP2569</f>
      </c>
    </row>
    <row r="2570" spans="1:50" ht="15" hidden="1" customHeight="1" x14ac:dyDescent="0.3">
      <c r="A2570" s="94" t="s">
        <v>76</v>
      </c>
      <c r="B2570" s="94"/>
      <c r="C2570" s="94"/>
      <c r="D2570" s="94"/>
      <c r="E2570" s="94"/>
      <c r="F2570" s="94"/>
      <c r="G2570" s="112">
        <f>AU2570</f>
      </c>
      <c r="H2570" s="113"/>
      <c r="I2570" s="94" t="s">
        <v>77</v>
      </c>
      <c r="J2570" s="94" t="s">
        <v>111</v>
      </c>
      <c r="K2570" s="114">
        <f>P2570/3</f>
      </c>
      <c r="L2570" s="115">
        <v>-1.0329999999999999</v>
      </c>
      <c r="M2570" s="116">
        <f>L2570</f>
      </c>
      <c r="N2570" s="117">
        <f>M2570-L2570</f>
      </c>
      <c r="O2570" s="112"/>
      <c r="P2570" s="118">
        <f>N2570+O2570</f>
      </c>
      <c r="Q2570" s="94" t="s">
        <v>112</v>
      </c>
      <c r="R2570" s="94" t="s">
        <v>63</v>
      </c>
      <c r="S2570" s="119">
        <v>46320</v>
      </c>
      <c r="T2570" s="119"/>
      <c r="U2570" s="119">
        <v>46320</v>
      </c>
      <c r="V2570" s="94"/>
      <c r="W2570" s="94"/>
      <c r="X2570" s="94"/>
      <c r="Y2570" s="119">
        <v>46320</v>
      </c>
      <c r="Z2570" s="94"/>
      <c r="AA2570" s="120"/>
      <c r="AB2570" s="120"/>
      <c r="AC2570" s="120"/>
      <c r="AD2570" s="120"/>
      <c r="AE2570" s="120"/>
      <c r="AF2570" s="120"/>
      <c r="AG2570" s="94"/>
      <c r="AH2570" s="120"/>
      <c r="AI2570" s="94"/>
      <c r="AJ2570" s="94" t="s">
        <v>112</v>
      </c>
      <c r="AK2570" s="94" t="s">
        <v>110</v>
      </c>
      <c r="AL2570" s="94">
        <v>150</v>
      </c>
      <c r="AM2570" s="94" t="str">
        <f>TRIM(AJ2570)&amp;TRIM(AL2570)&amp;TRIM(AK2570)</f>
      </c>
      <c r="AN2570" s="116">
        <v>1567.81</v>
      </c>
      <c r="AO2570" s="116">
        <v>-7.95</v>
      </c>
      <c r="AP2570" s="116">
        <f>SUMIFS(M:M,AM:AM,AM2570)+SUMIFS(O:O,AM:AM,AM2570)</f>
      </c>
      <c r="AQ2570" s="116">
        <f>SUMIFS(L:L,AM:AM,AM2570)</f>
      </c>
      <c r="AR2570" s="116">
        <f>AQ2570-AP2570</f>
      </c>
      <c r="AS2570" s="94" t="str">
        <f>IF(AN2570&gt;=AQ2570,"ok","ck")</f>
      </c>
      <c r="AT2570" s="116">
        <f>-P2570</f>
      </c>
      <c r="AU2570" s="115">
        <f>IF(SUMIFS(AT:AT,AM:AM,AM2570)&gt;AO2570,(SUMIFS(AT:AT,AM:AM,AM2570)-AO2570))</f>
      </c>
      <c r="AV2570" s="116">
        <v>1567.81</v>
      </c>
      <c r="AW2570" s="121">
        <v>1.005</v>
      </c>
      <c r="AX2570" s="115">
        <f>AN2570-AP2570</f>
      </c>
    </row>
    <row r="2571" spans="1:50" ht="15" hidden="1" customHeight="1" x14ac:dyDescent="0.3">
      <c r="A2571" s="94" t="s">
        <v>76</v>
      </c>
      <c r="B2571" s="94"/>
      <c r="C2571" s="94"/>
      <c r="D2571" s="94"/>
      <c r="E2571" s="94"/>
      <c r="F2571" s="94"/>
      <c r="G2571" s="112">
        <f>AU2571</f>
      </c>
      <c r="H2571" s="113"/>
      <c r="I2571" s="94" t="s">
        <v>77</v>
      </c>
      <c r="J2571" s="94" t="s">
        <v>111</v>
      </c>
      <c r="K2571" s="114">
        <f>P2571/3</f>
      </c>
      <c r="L2571" s="115">
        <v>-8.9999999999999993E-3</v>
      </c>
      <c r="M2571" s="116">
        <f>L2571</f>
      </c>
      <c r="N2571" s="117">
        <f>M2571-L2571</f>
      </c>
      <c r="O2571" s="112"/>
      <c r="P2571" s="118">
        <f>N2571+O2571</f>
      </c>
      <c r="Q2571" s="94" t="s">
        <v>112</v>
      </c>
      <c r="R2571" s="94" t="s">
        <v>63</v>
      </c>
      <c r="S2571" s="119">
        <v>46320</v>
      </c>
      <c r="T2571" s="119"/>
      <c r="U2571" s="119">
        <v>46320</v>
      </c>
      <c r="V2571" s="94"/>
      <c r="W2571" s="94"/>
      <c r="X2571" s="94"/>
      <c r="Y2571" s="119">
        <v>46320</v>
      </c>
      <c r="Z2571" s="94"/>
      <c r="AA2571" s="120"/>
      <c r="AB2571" s="120"/>
      <c r="AC2571" s="120"/>
      <c r="AD2571" s="120"/>
      <c r="AE2571" s="120"/>
      <c r="AF2571" s="120"/>
      <c r="AG2571" s="94"/>
      <c r="AH2571" s="120"/>
      <c r="AI2571" s="94"/>
      <c r="AJ2571" s="94" t="s">
        <v>112</v>
      </c>
      <c r="AK2571" s="94" t="s">
        <v>110</v>
      </c>
      <c r="AL2571" s="94">
        <v>150</v>
      </c>
      <c r="AM2571" s="94" t="str">
        <f>TRIM(AJ2571)&amp;TRIM(AL2571)&amp;TRIM(AK2571)</f>
      </c>
      <c r="AN2571" s="116">
        <v>1567.81</v>
      </c>
      <c r="AO2571" s="116">
        <v>-7.95</v>
      </c>
      <c r="AP2571" s="116">
        <f>SUMIFS(M:M,AM:AM,AM2571)+SUMIFS(O:O,AM:AM,AM2571)</f>
      </c>
      <c r="AQ2571" s="116">
        <f>SUMIFS(L:L,AM:AM,AM2571)</f>
      </c>
      <c r="AR2571" s="116">
        <f>AQ2571-AP2571</f>
      </c>
      <c r="AS2571" s="94" t="str">
        <f>IF(AN2571&gt;=AQ2571,"ok","ck")</f>
      </c>
      <c r="AT2571" s="116">
        <f>-P2571</f>
      </c>
      <c r="AU2571" s="115">
        <f>IF(SUMIFS(AT:AT,AM:AM,AM2571)&gt;AO2571,(SUMIFS(AT:AT,AM:AM,AM2571)-AO2571))</f>
      </c>
      <c r="AV2571" s="116">
        <v>1567.81</v>
      </c>
      <c r="AW2571" s="121">
        <v>1.005</v>
      </c>
      <c r="AX2571" s="115">
        <f>AN2571-AP2571</f>
      </c>
    </row>
    <row r="2572" spans="1:50" ht="15" hidden="1" customHeight="1" x14ac:dyDescent="0.3">
      <c r="A2572" s="94" t="s">
        <v>76</v>
      </c>
      <c r="B2572" s="94"/>
      <c r="C2572" s="94"/>
      <c r="D2572" s="94"/>
      <c r="E2572" s="94"/>
      <c r="F2572" s="94"/>
      <c r="G2572" s="112">
        <f>AU2572</f>
      </c>
      <c r="H2572" s="113"/>
      <c r="I2572" s="94" t="s">
        <v>77</v>
      </c>
      <c r="J2572" s="94" t="s">
        <v>111</v>
      </c>
      <c r="K2572" s="114">
        <f>P2572/3</f>
      </c>
      <c r="L2572" s="115">
        <v>-2.7669999999999999</v>
      </c>
      <c r="M2572" s="116">
        <f>L2572</f>
      </c>
      <c r="N2572" s="117">
        <f>M2572-L2572</f>
      </c>
      <c r="O2572" s="112"/>
      <c r="P2572" s="118">
        <f>N2572+O2572</f>
      </c>
      <c r="Q2572" s="94" t="s">
        <v>112</v>
      </c>
      <c r="R2572" s="94" t="s">
        <v>63</v>
      </c>
      <c r="S2572" s="119">
        <v>46329</v>
      </c>
      <c r="T2572" s="119"/>
      <c r="U2572" s="119">
        <v>46329</v>
      </c>
      <c r="V2572" s="94"/>
      <c r="W2572" s="94"/>
      <c r="X2572" s="94"/>
      <c r="Y2572" s="119">
        <v>46329</v>
      </c>
      <c r="Z2572" s="94"/>
      <c r="AA2572" s="120"/>
      <c r="AB2572" s="120"/>
      <c r="AC2572" s="120"/>
      <c r="AD2572" s="120"/>
      <c r="AE2572" s="120"/>
      <c r="AF2572" s="120"/>
      <c r="AG2572" s="94"/>
      <c r="AH2572" s="120"/>
      <c r="AI2572" s="94"/>
      <c r="AJ2572" s="94" t="s">
        <v>112</v>
      </c>
      <c r="AK2572" s="94" t="s">
        <v>110</v>
      </c>
      <c r="AL2572" s="94">
        <v>150</v>
      </c>
      <c r="AM2572" s="94" t="str">
        <f>TRIM(AJ2572)&amp;TRIM(AL2572)&amp;TRIM(AK2572)</f>
      </c>
      <c r="AN2572" s="116">
        <v>1567.81</v>
      </c>
      <c r="AO2572" s="116">
        <v>-7.95</v>
      </c>
      <c r="AP2572" s="116">
        <f>SUMIFS(M:M,AM:AM,AM2572)+SUMIFS(O:O,AM:AM,AM2572)</f>
      </c>
      <c r="AQ2572" s="116">
        <f>SUMIFS(L:L,AM:AM,AM2572)</f>
      </c>
      <c r="AR2572" s="116">
        <f>AQ2572-AP2572</f>
      </c>
      <c r="AS2572" s="94" t="str">
        <f>IF(AN2572&gt;=AQ2572,"ok","ck")</f>
      </c>
      <c r="AT2572" s="116">
        <f>-P2572</f>
      </c>
      <c r="AU2572" s="115">
        <f>IF(SUMIFS(AT:AT,AM:AM,AM2572)&gt;AO2572,(SUMIFS(AT:AT,AM:AM,AM2572)-AO2572))</f>
      </c>
      <c r="AV2572" s="116">
        <v>1567.81</v>
      </c>
      <c r="AW2572" s="121">
        <v>1.005</v>
      </c>
      <c r="AX2572" s="115">
        <f>AN2572-AP2572</f>
      </c>
    </row>
    <row r="2573" spans="1:50" ht="15" hidden="1" customHeight="1" x14ac:dyDescent="0.3">
      <c r="A2573" s="94" t="s">
        <v>151</v>
      </c>
      <c r="B2573" s="94"/>
      <c r="C2573" s="94"/>
      <c r="D2573" s="94"/>
      <c r="E2573" s="94"/>
      <c r="F2573" s="94"/>
      <c r="G2573" s="112">
        <f>AU2573</f>
      </c>
      <c r="H2573" s="113"/>
      <c r="I2573" s="94" t="s">
        <v>163</v>
      </c>
      <c r="J2573" s="94" t="s">
        <v>224</v>
      </c>
      <c r="K2573" s="114">
        <f>P2573/3</f>
      </c>
      <c r="L2573" s="115">
        <v>775</v>
      </c>
      <c r="M2573" s="116"/>
      <c r="N2573" s="117">
        <f>M2573-L2573</f>
      </c>
      <c r="O2573" s="112"/>
      <c r="P2573" s="118">
        <f>N2573+O2573</f>
      </c>
      <c r="Q2573" s="94" t="s">
        <v>843</v>
      </c>
      <c r="R2573" s="94" t="s">
        <v>63</v>
      </c>
      <c r="S2573" s="119">
        <v>46340</v>
      </c>
      <c r="T2573" s="119"/>
      <c r="U2573" s="119" t="s">
        <v>689</v>
      </c>
      <c r="V2573" s="94"/>
      <c r="W2573" s="94"/>
      <c r="X2573" s="94"/>
      <c r="Y2573" s="119">
        <v>46335</v>
      </c>
      <c r="Z2573" s="94"/>
      <c r="AA2573" s="120"/>
      <c r="AB2573" s="120"/>
      <c r="AC2573" s="120"/>
      <c r="AD2573" s="120"/>
      <c r="AE2573" s="120"/>
      <c r="AF2573" s="120"/>
      <c r="AG2573" s="94"/>
      <c r="AH2573" s="120"/>
      <c r="AI2573" s="94"/>
      <c r="AJ2573" s="94" t="s">
        <v>843</v>
      </c>
      <c r="AK2573" s="94" t="s">
        <v>225</v>
      </c>
      <c r="AL2573" s="94">
        <v>160</v>
      </c>
      <c r="AM2573" s="94" t="str">
        <f>TRIM(AJ2573)&amp;TRIM(AL2573)&amp;TRIM(AK2573)</f>
      </c>
      <c r="AN2573" s="116">
        <v>0</v>
      </c>
      <c r="AO2573" s="116" t="inlineStr">
        <is>
          <t>#NA</t>
        </is>
      </c>
      <c r="AP2573" s="116">
        <f>SUMIFS(M:M,AM:AM,AM2573)+SUMIFS(O:O,AM:AM,AM2573)</f>
      </c>
      <c r="AQ2573" s="116">
        <f>SUMIFS(L:L,AM:AM,AM2573)</f>
      </c>
      <c r="AR2573" s="116">
        <f>AQ2573-AP2573</f>
      </c>
      <c r="AS2573" s="94" t="str">
        <f>IF(AN2573&gt;=AQ2573,"ok","ck")</f>
      </c>
      <c r="AT2573" s="116">
        <f>-P2573</f>
      </c>
      <c r="AU2573" s="115">
        <f>IF(SUMIFS(AT:AT,AM:AM,AM2573)&gt;AO2573,(SUMIFS(AT:AT,AM:AM,AM2573)-AO2573))</f>
      </c>
      <c r="AV2573" s="116">
        <v>0</v>
      </c>
      <c r="AW2573" s="121">
        <v>0</v>
      </c>
      <c r="AX2573" s="115">
        <f>AN2573-AP2573</f>
      </c>
    </row>
    <row r="2574" spans="1:50" ht="15" hidden="1" customHeight="1" x14ac:dyDescent="0.3">
      <c r="A2574" s="94" t="s">
        <v>151</v>
      </c>
      <c r="B2574" s="94"/>
      <c r="C2574" s="94"/>
      <c r="D2574" s="94"/>
      <c r="E2574" s="94"/>
      <c r="F2574" s="94"/>
      <c r="G2574" s="112">
        <f>AU2574</f>
      </c>
      <c r="H2574" s="113"/>
      <c r="I2574" s="94" t="s">
        <v>163</v>
      </c>
      <c r="J2574" s="94" t="s">
        <v>224</v>
      </c>
      <c r="K2574" s="114">
        <f>P2574/3</f>
      </c>
      <c r="L2574" s="115">
        <v>2388</v>
      </c>
      <c r="M2574" s="116"/>
      <c r="N2574" s="117">
        <f>M2574-L2574</f>
      </c>
      <c r="O2574" s="112"/>
      <c r="P2574" s="118">
        <f>N2574+O2574</f>
      </c>
      <c r="Q2574" s="94" t="s">
        <v>843</v>
      </c>
      <c r="R2574" s="94" t="s">
        <v>63</v>
      </c>
      <c r="S2574" s="119">
        <v>46348</v>
      </c>
      <c r="T2574" s="119"/>
      <c r="U2574" s="119" t="s">
        <v>689</v>
      </c>
      <c r="V2574" s="94"/>
      <c r="W2574" s="94"/>
      <c r="X2574" s="94"/>
      <c r="Y2574" s="119">
        <v>46335</v>
      </c>
      <c r="Z2574" s="94"/>
      <c r="AA2574" s="120"/>
      <c r="AB2574" s="120"/>
      <c r="AC2574" s="120"/>
      <c r="AD2574" s="120"/>
      <c r="AE2574" s="120"/>
      <c r="AF2574" s="120"/>
      <c r="AG2574" s="94"/>
      <c r="AH2574" s="120"/>
      <c r="AI2574" s="94"/>
      <c r="AJ2574" s="94" t="s">
        <v>843</v>
      </c>
      <c r="AK2574" s="94" t="s">
        <v>225</v>
      </c>
      <c r="AL2574" s="94">
        <v>160</v>
      </c>
      <c r="AM2574" s="94" t="str">
        <f>TRIM(AJ2574)&amp;TRIM(AL2574)&amp;TRIM(AK2574)</f>
      </c>
      <c r="AN2574" s="116">
        <v>0</v>
      </c>
      <c r="AO2574" s="116" t="inlineStr">
        <is>
          <t>#NA</t>
        </is>
      </c>
      <c r="AP2574" s="116">
        <f>SUMIFS(M:M,AM:AM,AM2574)+SUMIFS(O:O,AM:AM,AM2574)</f>
      </c>
      <c r="AQ2574" s="116">
        <f>SUMIFS(L:L,AM:AM,AM2574)</f>
      </c>
      <c r="AR2574" s="116">
        <f>AQ2574-AP2574</f>
      </c>
      <c r="AS2574" s="94" t="str">
        <f>IF(AN2574&gt;=AQ2574,"ok","ck")</f>
      </c>
      <c r="AT2574" s="116">
        <f>-P2574</f>
      </c>
      <c r="AU2574" s="115">
        <f>IF(SUMIFS(AT:AT,AM:AM,AM2574)&gt;AO2574,(SUMIFS(AT:AT,AM:AM,AM2574)-AO2574))</f>
      </c>
      <c r="AV2574" s="116">
        <v>0</v>
      </c>
      <c r="AW2574" s="121">
        <v>0</v>
      </c>
      <c r="AX2574" s="115">
        <f>AN2574-AP2574</f>
      </c>
    </row>
    <row r="2575" spans="1:50" ht="15" hidden="1" customHeight="1" x14ac:dyDescent="0.3">
      <c r="A2575" s="94" t="s">
        <v>151</v>
      </c>
      <c r="B2575" s="94"/>
      <c r="C2575" s="94"/>
      <c r="D2575" s="94"/>
      <c r="E2575" s="94"/>
      <c r="F2575" s="94"/>
      <c r="G2575" s="112">
        <f>AU2575</f>
      </c>
      <c r="H2575" s="113"/>
      <c r="I2575" s="94" t="s">
        <v>226</v>
      </c>
      <c r="J2575" s="94" t="s">
        <v>217</v>
      </c>
      <c r="K2575" s="114">
        <f>P2575/3</f>
      </c>
      <c r="L2575" s="115">
        <v>1600</v>
      </c>
      <c r="M2575" s="116"/>
      <c r="N2575" s="117">
        <f>M2575-L2575</f>
      </c>
      <c r="O2575" s="112"/>
      <c r="P2575" s="118">
        <f>N2575+O2575</f>
      </c>
      <c r="Q2575" s="94" t="s">
        <v>843</v>
      </c>
      <c r="R2575" s="94" t="s">
        <v>63</v>
      </c>
      <c r="S2575" s="119">
        <v>46347</v>
      </c>
      <c r="T2575" s="119"/>
      <c r="U2575" s="119">
        <v>46347</v>
      </c>
      <c r="V2575" s="94"/>
      <c r="W2575" s="94"/>
      <c r="X2575" s="94"/>
      <c r="Y2575" s="119">
        <v>46343</v>
      </c>
      <c r="Z2575" s="94"/>
      <c r="AA2575" s="120"/>
      <c r="AB2575" s="120"/>
      <c r="AC2575" s="120"/>
      <c r="AD2575" s="120"/>
      <c r="AE2575" s="120"/>
      <c r="AF2575" s="120"/>
      <c r="AG2575" s="94"/>
      <c r="AH2575" s="120"/>
      <c r="AI2575" s="94"/>
      <c r="AJ2575" s="94" t="s">
        <v>843</v>
      </c>
      <c r="AK2575" s="94" t="s">
        <v>217</v>
      </c>
      <c r="AL2575" s="94">
        <v>160</v>
      </c>
      <c r="AM2575" s="94" t="str">
        <f>TRIM(AJ2575)&amp;TRIM(AL2575)&amp;TRIM(AK2575)</f>
      </c>
      <c r="AN2575" s="116">
        <v>0</v>
      </c>
      <c r="AO2575" s="116" t="inlineStr">
        <is>
          <t>#NA</t>
        </is>
      </c>
      <c r="AP2575" s="116">
        <f>SUMIFS(M:M,AM:AM,AM2575)+SUMIFS(O:O,AM:AM,AM2575)</f>
      </c>
      <c r="AQ2575" s="116">
        <f>SUMIFS(L:L,AM:AM,AM2575)</f>
      </c>
      <c r="AR2575" s="116">
        <f>AQ2575-AP2575</f>
      </c>
      <c r="AS2575" s="94" t="str">
        <f>IF(AN2575&gt;=AQ2575,"ok","ck")</f>
      </c>
      <c r="AT2575" s="116">
        <f>-P2575</f>
      </c>
      <c r="AU2575" s="115">
        <f>IF(SUMIFS(AT:AT,AM:AM,AM2575)&gt;AO2575,(SUMIFS(AT:AT,AM:AM,AM2575)-AO2575))</f>
      </c>
      <c r="AV2575" s="116">
        <v>0</v>
      </c>
      <c r="AW2575" s="121">
        <v>0</v>
      </c>
      <c r="AX2575" s="115">
        <f>AN2575-AP2575</f>
      </c>
    </row>
    <row r="2576" spans="1:50" ht="15" hidden="1" customHeight="1" x14ac:dyDescent="0.3">
      <c r="A2576" s="94" t="s">
        <v>76</v>
      </c>
      <c r="B2576" s="94"/>
      <c r="C2576" s="94"/>
      <c r="D2576" s="94"/>
      <c r="E2576" s="94"/>
      <c r="F2576" s="94"/>
      <c r="G2576" s="112">
        <f>AU2576</f>
      </c>
      <c r="H2576" s="113"/>
      <c r="I2576" s="94" t="s">
        <v>77</v>
      </c>
      <c r="J2576" s="94" t="s">
        <v>111</v>
      </c>
      <c r="K2576" s="114">
        <f>P2576/3</f>
      </c>
      <c r="L2576" s="115">
        <v>-8.0000000000000002E-3</v>
      </c>
      <c r="M2576" s="116">
        <f>L2576</f>
      </c>
      <c r="N2576" s="117">
        <f>M2576-L2576</f>
      </c>
      <c r="O2576" s="112"/>
      <c r="P2576" s="118">
        <f>N2576+O2576</f>
      </c>
      <c r="Q2576" s="94" t="s">
        <v>112</v>
      </c>
      <c r="R2576" s="94" t="s">
        <v>63</v>
      </c>
      <c r="S2576" s="119">
        <v>46320</v>
      </c>
      <c r="T2576" s="119"/>
      <c r="U2576" s="119">
        <v>46320</v>
      </c>
      <c r="V2576" s="94"/>
      <c r="W2576" s="94"/>
      <c r="X2576" s="94"/>
      <c r="Y2576" s="119">
        <v>46320</v>
      </c>
      <c r="Z2576" s="94"/>
      <c r="AA2576" s="120"/>
      <c r="AB2576" s="120"/>
      <c r="AC2576" s="120"/>
      <c r="AD2576" s="120"/>
      <c r="AE2576" s="120"/>
      <c r="AF2576" s="120"/>
      <c r="AG2576" s="94"/>
      <c r="AH2576" s="120"/>
      <c r="AI2576" s="94"/>
      <c r="AJ2576" s="94" t="s">
        <v>112</v>
      </c>
      <c r="AK2576" s="94" t="s">
        <v>110</v>
      </c>
      <c r="AL2576" s="94">
        <v>150</v>
      </c>
      <c r="AM2576" s="94" t="str">
        <f>TRIM(AJ2576)&amp;TRIM(AL2576)&amp;TRIM(AK2576)</f>
      </c>
      <c r="AN2576" s="116">
        <v>1567.81</v>
      </c>
      <c r="AO2576" s="116">
        <v>-7.95</v>
      </c>
      <c r="AP2576" s="116">
        <f>SUMIFS(M:M,AM:AM,AM2576)+SUMIFS(O:O,AM:AM,AM2576)</f>
      </c>
      <c r="AQ2576" s="116">
        <f>SUMIFS(L:L,AM:AM,AM2576)</f>
      </c>
      <c r="AR2576" s="116">
        <f>AQ2576-AP2576</f>
      </c>
      <c r="AS2576" s="94" t="str">
        <f>IF(AN2576&gt;=AQ2576,"ok","ck")</f>
      </c>
      <c r="AT2576" s="116">
        <f>-P2576</f>
      </c>
      <c r="AU2576" s="115">
        <f>IF(SUMIFS(AT:AT,AM:AM,AM2576)&gt;AO2576,(SUMIFS(AT:AT,AM:AM,AM2576)-AO2576))</f>
      </c>
      <c r="AV2576" s="116">
        <v>1567.81</v>
      </c>
      <c r="AW2576" s="121">
        <v>1.005</v>
      </c>
      <c r="AX2576" s="115">
        <f>AN2576-AP2576</f>
      </c>
    </row>
    <row r="2577" spans="1:50" ht="15" hidden="1" customHeight="1" x14ac:dyDescent="0.3">
      <c r="A2577" s="94" t="s">
        <v>76</v>
      </c>
      <c r="B2577" s="94"/>
      <c r="C2577" s="94"/>
      <c r="D2577" s="94"/>
      <c r="E2577" s="94"/>
      <c r="F2577" s="94"/>
      <c r="G2577" s="112">
        <f>AU2577</f>
      </c>
      <c r="H2577" s="113"/>
      <c r="I2577" s="94" t="s">
        <v>77</v>
      </c>
      <c r="J2577" s="94" t="s">
        <v>111</v>
      </c>
      <c r="K2577" s="114">
        <f>P2577/3</f>
      </c>
      <c r="L2577" s="115">
        <v>-1.6E-2</v>
      </c>
      <c r="M2577" s="116">
        <f>L2577</f>
      </c>
      <c r="N2577" s="117">
        <f>M2577-L2577</f>
      </c>
      <c r="O2577" s="112"/>
      <c r="P2577" s="118">
        <f>N2577+O2577</f>
      </c>
      <c r="Q2577" s="94" t="s">
        <v>112</v>
      </c>
      <c r="R2577" s="94" t="s">
        <v>63</v>
      </c>
      <c r="S2577" s="119">
        <v>46333</v>
      </c>
      <c r="T2577" s="119"/>
      <c r="U2577" s="119">
        <v>46333</v>
      </c>
      <c r="V2577" s="94"/>
      <c r="W2577" s="94"/>
      <c r="X2577" s="94"/>
      <c r="Y2577" s="119">
        <v>46333</v>
      </c>
      <c r="Z2577" s="94"/>
      <c r="AA2577" s="120"/>
      <c r="AB2577" s="120"/>
      <c r="AC2577" s="120"/>
      <c r="AD2577" s="120"/>
      <c r="AE2577" s="120"/>
      <c r="AF2577" s="120"/>
      <c r="AG2577" s="94"/>
      <c r="AH2577" s="120"/>
      <c r="AI2577" s="94"/>
      <c r="AJ2577" s="94" t="s">
        <v>112</v>
      </c>
      <c r="AK2577" s="94" t="s">
        <v>110</v>
      </c>
      <c r="AL2577" s="94">
        <v>150</v>
      </c>
      <c r="AM2577" s="94" t="str">
        <f>TRIM(AJ2577)&amp;TRIM(AL2577)&amp;TRIM(AK2577)</f>
      </c>
      <c r="AN2577" s="116">
        <v>1567.81</v>
      </c>
      <c r="AO2577" s="116">
        <v>-7.95</v>
      </c>
      <c r="AP2577" s="116">
        <f>SUMIFS(M:M,AM:AM,AM2577)+SUMIFS(O:O,AM:AM,AM2577)</f>
      </c>
      <c r="AQ2577" s="116">
        <f>SUMIFS(L:L,AM:AM,AM2577)</f>
      </c>
      <c r="AR2577" s="116">
        <f>AQ2577-AP2577</f>
      </c>
      <c r="AS2577" s="94" t="str">
        <f>IF(AN2577&gt;=AQ2577,"ok","ck")</f>
      </c>
      <c r="AT2577" s="116">
        <f>-P2577</f>
      </c>
      <c r="AU2577" s="115">
        <f>IF(SUMIFS(AT:AT,AM:AM,AM2577)&gt;AO2577,(SUMIFS(AT:AT,AM:AM,AM2577)-AO2577))</f>
      </c>
      <c r="AV2577" s="116">
        <v>1567.81</v>
      </c>
      <c r="AW2577" s="121">
        <v>1.005</v>
      </c>
      <c r="AX2577" s="115">
        <f>AN2577-AP2577</f>
      </c>
    </row>
    <row r="2578" spans="1:50" ht="15" hidden="1" customHeight="1" x14ac:dyDescent="0.3">
      <c r="A2578" s="94" t="s">
        <v>76</v>
      </c>
      <c r="B2578" s="94"/>
      <c r="C2578" s="94"/>
      <c r="D2578" s="94"/>
      <c r="E2578" s="94"/>
      <c r="F2578" s="94"/>
      <c r="G2578" s="112">
        <f>AU2578</f>
      </c>
      <c r="H2578" s="113"/>
      <c r="I2578" s="94" t="s">
        <v>77</v>
      </c>
      <c r="J2578" s="94" t="s">
        <v>111</v>
      </c>
      <c r="K2578" s="114">
        <f>P2578/3</f>
      </c>
      <c r="L2578" s="115">
        <v>-1.829</v>
      </c>
      <c r="M2578" s="116">
        <f>L2578</f>
      </c>
      <c r="N2578" s="117">
        <f>M2578-L2578</f>
      </c>
      <c r="O2578" s="112"/>
      <c r="P2578" s="118">
        <f>N2578+O2578</f>
      </c>
      <c r="Q2578" s="94" t="s">
        <v>112</v>
      </c>
      <c r="R2578" s="94" t="s">
        <v>63</v>
      </c>
      <c r="S2578" s="119">
        <v>46320</v>
      </c>
      <c r="T2578" s="119"/>
      <c r="U2578" s="119">
        <v>46320</v>
      </c>
      <c r="V2578" s="94"/>
      <c r="W2578" s="94"/>
      <c r="X2578" s="94"/>
      <c r="Y2578" s="119">
        <v>46320</v>
      </c>
      <c r="Z2578" s="94"/>
      <c r="AA2578" s="120"/>
      <c r="AB2578" s="120"/>
      <c r="AC2578" s="120"/>
      <c r="AD2578" s="120"/>
      <c r="AE2578" s="120"/>
      <c r="AF2578" s="120"/>
      <c r="AG2578" s="94"/>
      <c r="AH2578" s="120"/>
      <c r="AI2578" s="94"/>
      <c r="AJ2578" s="94" t="s">
        <v>112</v>
      </c>
      <c r="AK2578" s="94" t="s">
        <v>110</v>
      </c>
      <c r="AL2578" s="94">
        <v>150</v>
      </c>
      <c r="AM2578" s="94" t="str">
        <f>TRIM(AJ2578)&amp;TRIM(AL2578)&amp;TRIM(AK2578)</f>
      </c>
      <c r="AN2578" s="116">
        <v>1567.81</v>
      </c>
      <c r="AO2578" s="116">
        <v>-7.95</v>
      </c>
      <c r="AP2578" s="116">
        <f>SUMIFS(M:M,AM:AM,AM2578)+SUMIFS(O:O,AM:AM,AM2578)</f>
      </c>
      <c r="AQ2578" s="116">
        <f>SUMIFS(L:L,AM:AM,AM2578)</f>
      </c>
      <c r="AR2578" s="116">
        <f>AQ2578-AP2578</f>
      </c>
      <c r="AS2578" s="94" t="str">
        <f>IF(AN2578&gt;=AQ2578,"ok","ck")</f>
      </c>
      <c r="AT2578" s="116">
        <f>-P2578</f>
      </c>
      <c r="AU2578" s="115">
        <f>IF(SUMIFS(AT:AT,AM:AM,AM2578)&gt;AO2578,(SUMIFS(AT:AT,AM:AM,AM2578)-AO2578))</f>
      </c>
      <c r="AV2578" s="116">
        <v>1567.81</v>
      </c>
      <c r="AW2578" s="121">
        <v>1.005</v>
      </c>
      <c r="AX2578" s="115">
        <f>AN2578-AP2578</f>
      </c>
    </row>
    <row r="2579" spans="1:50" ht="15" hidden="1" customHeight="1" x14ac:dyDescent="0.3">
      <c r="A2579" s="94" t="s">
        <v>151</v>
      </c>
      <c r="B2579" s="94"/>
      <c r="C2579" s="94"/>
      <c r="D2579" s="94"/>
      <c r="E2579" s="94"/>
      <c r="F2579" s="94"/>
      <c r="G2579" s="112">
        <f>AU2579</f>
      </c>
      <c r="H2579" s="113"/>
      <c r="I2579" s="94" t="s">
        <v>152</v>
      </c>
      <c r="J2579" s="94" t="s">
        <v>159</v>
      </c>
      <c r="K2579" s="114">
        <f>P2579/3</f>
      </c>
      <c r="L2579" s="115">
        <v>-2.0099999999999998</v>
      </c>
      <c r="M2579" s="116">
        <f>L2579</f>
      </c>
      <c r="N2579" s="117">
        <f>M2579-L2579</f>
      </c>
      <c r="O2579" s="112"/>
      <c r="P2579" s="118">
        <f>N2579+O2579</f>
      </c>
      <c r="Q2579" s="94" t="s">
        <v>160</v>
      </c>
      <c r="R2579" s="94" t="s">
        <v>63</v>
      </c>
      <c r="S2579" s="119">
        <v>46320</v>
      </c>
      <c r="T2579" s="119"/>
      <c r="U2579" s="119">
        <v>46320</v>
      </c>
      <c r="V2579" s="94"/>
      <c r="W2579" s="94"/>
      <c r="X2579" s="94"/>
      <c r="Y2579" s="119">
        <v>46320</v>
      </c>
      <c r="Z2579" s="94"/>
      <c r="AA2579" s="120"/>
      <c r="AB2579" s="120"/>
      <c r="AC2579" s="120"/>
      <c r="AD2579" s="120"/>
      <c r="AE2579" s="120"/>
      <c r="AF2579" s="120"/>
      <c r="AG2579" s="94"/>
      <c r="AH2579" s="120"/>
      <c r="AI2579" s="94"/>
      <c r="AJ2579" s="94" t="s">
        <v>160</v>
      </c>
      <c r="AK2579" s="94" t="s">
        <v>159</v>
      </c>
      <c r="AL2579" s="94">
        <v>160</v>
      </c>
      <c r="AM2579" s="94" t="str">
        <f>TRIM(AJ2579)&amp;TRIM(AL2579)&amp;TRIM(AK2579)</f>
      </c>
      <c r="AN2579" s="116">
        <v>1264.17</v>
      </c>
      <c r="AO2579" s="116">
        <v>-24.17</v>
      </c>
      <c r="AP2579" s="116">
        <f>SUMIFS(M:M,AM:AM,AM2579)+SUMIFS(O:O,AM:AM,AM2579)</f>
      </c>
      <c r="AQ2579" s="116">
        <f>SUMIFS(L:L,AM:AM,AM2579)</f>
      </c>
      <c r="AR2579" s="116">
        <f>AQ2579-AP2579</f>
      </c>
      <c r="AS2579" s="94" t="str">
        <f>IF(AN2579&gt;=AQ2579,"ok","ck")</f>
      </c>
      <c r="AT2579" s="116">
        <f>-P2579</f>
      </c>
      <c r="AU2579" s="115">
        <f>IF(SUMIFS(AT:AT,AM:AM,AM2579)&gt;AO2579,(SUMIFS(AT:AT,AM:AM,AM2579)-AO2579))</f>
      </c>
      <c r="AV2579" s="116">
        <v>1264.17</v>
      </c>
      <c r="AW2579" s="121">
        <v>1.019</v>
      </c>
      <c r="AX2579" s="115">
        <f>AN2579-AP2579</f>
      </c>
    </row>
    <row r="2580" spans="1:50" ht="15" hidden="1" customHeight="1" x14ac:dyDescent="0.3">
      <c r="A2580" s="94" t="s">
        <v>151</v>
      </c>
      <c r="B2580" s="94"/>
      <c r="C2580" s="94"/>
      <c r="D2580" s="94"/>
      <c r="E2580" s="94"/>
      <c r="F2580" s="94"/>
      <c r="G2580" s="112">
        <f>AU2580</f>
      </c>
      <c r="H2580" s="113"/>
      <c r="I2580" s="94" t="s">
        <v>152</v>
      </c>
      <c r="J2580" s="94" t="s">
        <v>159</v>
      </c>
      <c r="K2580" s="114">
        <f>P2580/3</f>
      </c>
      <c r="L2580" s="115">
        <v>-1.143</v>
      </c>
      <c r="M2580" s="116">
        <f>L2580</f>
      </c>
      <c r="N2580" s="117">
        <f>M2580-L2580</f>
      </c>
      <c r="O2580" s="112"/>
      <c r="P2580" s="118">
        <f>N2580+O2580</f>
      </c>
      <c r="Q2580" s="94" t="s">
        <v>160</v>
      </c>
      <c r="R2580" s="94" t="s">
        <v>63</v>
      </c>
      <c r="S2580" s="119">
        <v>46328</v>
      </c>
      <c r="T2580" s="119"/>
      <c r="U2580" s="119">
        <v>46328</v>
      </c>
      <c r="V2580" s="94"/>
      <c r="W2580" s="94"/>
      <c r="X2580" s="94"/>
      <c r="Y2580" s="119">
        <v>46328</v>
      </c>
      <c r="Z2580" s="94"/>
      <c r="AA2580" s="120"/>
      <c r="AB2580" s="120"/>
      <c r="AC2580" s="120"/>
      <c r="AD2580" s="120"/>
      <c r="AE2580" s="120"/>
      <c r="AF2580" s="120"/>
      <c r="AG2580" s="94"/>
      <c r="AH2580" s="120"/>
      <c r="AI2580" s="94"/>
      <c r="AJ2580" s="94" t="s">
        <v>160</v>
      </c>
      <c r="AK2580" s="94" t="s">
        <v>159</v>
      </c>
      <c r="AL2580" s="94">
        <v>160</v>
      </c>
      <c r="AM2580" s="94" t="str">
        <f>TRIM(AJ2580)&amp;TRIM(AL2580)&amp;TRIM(AK2580)</f>
      </c>
      <c r="AN2580" s="116">
        <v>1264.17</v>
      </c>
      <c r="AO2580" s="116">
        <v>-24.17</v>
      </c>
      <c r="AP2580" s="116">
        <f>SUMIFS(M:M,AM:AM,AM2580)+SUMIFS(O:O,AM:AM,AM2580)</f>
      </c>
      <c r="AQ2580" s="116">
        <f>SUMIFS(L:L,AM:AM,AM2580)</f>
      </c>
      <c r="AR2580" s="116">
        <f>AQ2580-AP2580</f>
      </c>
      <c r="AS2580" s="94" t="str">
        <f>IF(AN2580&gt;=AQ2580,"ok","ck")</f>
      </c>
      <c r="AT2580" s="116">
        <f>-P2580</f>
      </c>
      <c r="AU2580" s="115">
        <f>IF(SUMIFS(AT:AT,AM:AM,AM2580)&gt;AO2580,(SUMIFS(AT:AT,AM:AM,AM2580)-AO2580))</f>
      </c>
      <c r="AV2580" s="116">
        <v>1264.17</v>
      </c>
      <c r="AW2580" s="121">
        <v>1.019</v>
      </c>
      <c r="AX2580" s="115">
        <f>AN2580-AP2580</f>
      </c>
    </row>
    <row r="2581" spans="1:50" ht="15" hidden="1" customHeight="1" x14ac:dyDescent="0.3">
      <c r="A2581" s="94" t="s">
        <v>151</v>
      </c>
      <c r="B2581" s="94"/>
      <c r="C2581" s="94"/>
      <c r="D2581" s="94"/>
      <c r="E2581" s="94"/>
      <c r="F2581" s="94"/>
      <c r="G2581" s="112">
        <f>AU2581</f>
      </c>
      <c r="H2581" s="113"/>
      <c r="I2581" s="94" t="s">
        <v>152</v>
      </c>
      <c r="J2581" s="94" t="s">
        <v>159</v>
      </c>
      <c r="K2581" s="114">
        <f>P2581/3</f>
      </c>
      <c r="L2581" s="115">
        <v>-1.143</v>
      </c>
      <c r="M2581" s="116">
        <f>L2581</f>
      </c>
      <c r="N2581" s="117">
        <f>M2581-L2581</f>
      </c>
      <c r="O2581" s="112"/>
      <c r="P2581" s="118">
        <f>N2581+O2581</f>
      </c>
      <c r="Q2581" s="94" t="s">
        <v>160</v>
      </c>
      <c r="R2581" s="94" t="s">
        <v>63</v>
      </c>
      <c r="S2581" s="119">
        <v>46322</v>
      </c>
      <c r="T2581" s="119"/>
      <c r="U2581" s="119">
        <v>46322</v>
      </c>
      <c r="V2581" s="94"/>
      <c r="W2581" s="94"/>
      <c r="X2581" s="94"/>
      <c r="Y2581" s="119">
        <v>46322</v>
      </c>
      <c r="Z2581" s="94"/>
      <c r="AA2581" s="120"/>
      <c r="AB2581" s="120"/>
      <c r="AC2581" s="120"/>
      <c r="AD2581" s="120"/>
      <c r="AE2581" s="120"/>
      <c r="AF2581" s="120"/>
      <c r="AG2581" s="94"/>
      <c r="AH2581" s="120"/>
      <c r="AI2581" s="94"/>
      <c r="AJ2581" s="94" t="s">
        <v>160</v>
      </c>
      <c r="AK2581" s="94" t="s">
        <v>159</v>
      </c>
      <c r="AL2581" s="94">
        <v>160</v>
      </c>
      <c r="AM2581" s="94" t="str">
        <f>TRIM(AJ2581)&amp;TRIM(AL2581)&amp;TRIM(AK2581)</f>
      </c>
      <c r="AN2581" s="116">
        <v>1264.17</v>
      </c>
      <c r="AO2581" s="116">
        <v>-24.17</v>
      </c>
      <c r="AP2581" s="116">
        <f>SUMIFS(M:M,AM:AM,AM2581)+SUMIFS(O:O,AM:AM,AM2581)</f>
      </c>
      <c r="AQ2581" s="116">
        <f>SUMIFS(L:L,AM:AM,AM2581)</f>
      </c>
      <c r="AR2581" s="116">
        <f>AQ2581-AP2581</f>
      </c>
      <c r="AS2581" s="94" t="str">
        <f>IF(AN2581&gt;=AQ2581,"ok","ck")</f>
      </c>
      <c r="AT2581" s="116">
        <f>-P2581</f>
      </c>
      <c r="AU2581" s="115">
        <f>IF(SUMIFS(AT:AT,AM:AM,AM2581)&gt;AO2581,(SUMIFS(AT:AT,AM:AM,AM2581)-AO2581))</f>
      </c>
      <c r="AV2581" s="116">
        <v>1264.17</v>
      </c>
      <c r="AW2581" s="121">
        <v>1.019</v>
      </c>
      <c r="AX2581" s="115">
        <f>AN2581-AP2581</f>
      </c>
    </row>
    <row r="2582" spans="1:50" ht="15" hidden="1" customHeight="1" x14ac:dyDescent="0.3">
      <c r="A2582" s="94" t="s">
        <v>151</v>
      </c>
      <c r="B2582" s="94"/>
      <c r="C2582" s="94"/>
      <c r="D2582" s="94"/>
      <c r="E2582" s="94"/>
      <c r="F2582" s="94"/>
      <c r="G2582" s="112">
        <f>AU2582</f>
      </c>
      <c r="H2582" s="113"/>
      <c r="I2582" s="94" t="s">
        <v>152</v>
      </c>
      <c r="J2582" s="94" t="s">
        <v>159</v>
      </c>
      <c r="K2582" s="114">
        <f>P2582/3</f>
      </c>
      <c r="L2582" s="115">
        <v>-1.1819999999999999</v>
      </c>
      <c r="M2582" s="116">
        <f>L2582</f>
      </c>
      <c r="N2582" s="117">
        <f>M2582-L2582</f>
      </c>
      <c r="O2582" s="112"/>
      <c r="P2582" s="118">
        <f>N2582+O2582</f>
      </c>
      <c r="Q2582" s="94" t="s">
        <v>160</v>
      </c>
      <c r="R2582" s="94" t="s">
        <v>63</v>
      </c>
      <c r="S2582" s="119">
        <v>46335</v>
      </c>
      <c r="T2582" s="119"/>
      <c r="U2582" s="119">
        <v>46335</v>
      </c>
      <c r="V2582" s="94"/>
      <c r="W2582" s="94"/>
      <c r="X2582" s="94"/>
      <c r="Y2582" s="119">
        <v>46335</v>
      </c>
      <c r="Z2582" s="94"/>
      <c r="AA2582" s="120"/>
      <c r="AB2582" s="120"/>
      <c r="AC2582" s="120"/>
      <c r="AD2582" s="120"/>
      <c r="AE2582" s="120"/>
      <c r="AF2582" s="120"/>
      <c r="AG2582" s="94"/>
      <c r="AH2582" s="120"/>
      <c r="AI2582" s="94"/>
      <c r="AJ2582" s="94" t="s">
        <v>160</v>
      </c>
      <c r="AK2582" s="94" t="s">
        <v>159</v>
      </c>
      <c r="AL2582" s="94">
        <v>160</v>
      </c>
      <c r="AM2582" s="94" t="str">
        <f>TRIM(AJ2582)&amp;TRIM(AL2582)&amp;TRIM(AK2582)</f>
      </c>
      <c r="AN2582" s="116">
        <v>1264.17</v>
      </c>
      <c r="AO2582" s="116">
        <v>-24.17</v>
      </c>
      <c r="AP2582" s="116">
        <f>SUMIFS(M:M,AM:AM,AM2582)+SUMIFS(O:O,AM:AM,AM2582)</f>
      </c>
      <c r="AQ2582" s="116">
        <f>SUMIFS(L:L,AM:AM,AM2582)</f>
      </c>
      <c r="AR2582" s="116">
        <f>AQ2582-AP2582</f>
      </c>
      <c r="AS2582" s="94" t="str">
        <f>IF(AN2582&gt;=AQ2582,"ok","ck")</f>
      </c>
      <c r="AT2582" s="116">
        <f>-P2582</f>
      </c>
      <c r="AU2582" s="115">
        <f>IF(SUMIFS(AT:AT,AM:AM,AM2582)&gt;AO2582,(SUMIFS(AT:AT,AM:AM,AM2582)-AO2582))</f>
      </c>
      <c r="AV2582" s="116">
        <v>1264.17</v>
      </c>
      <c r="AW2582" s="121">
        <v>1.019</v>
      </c>
      <c r="AX2582" s="115">
        <f>AN2582-AP2582</f>
      </c>
    </row>
    <row r="2583" spans="1:50" ht="15" hidden="1" customHeight="1" x14ac:dyDescent="0.3">
      <c r="A2583" s="94" t="s">
        <v>76</v>
      </c>
      <c r="B2583" s="94"/>
      <c r="C2583" s="94"/>
      <c r="D2583" s="94"/>
      <c r="E2583" s="94"/>
      <c r="F2583" s="94"/>
      <c r="G2583" s="112">
        <f>AU2583</f>
      </c>
      <c r="H2583" s="113"/>
      <c r="I2583" s="94" t="s">
        <v>77</v>
      </c>
      <c r="J2583" s="94" t="s">
        <v>90</v>
      </c>
      <c r="K2583" s="114">
        <f>P2583/3</f>
      </c>
      <c r="L2583" s="115">
        <v>72.84</v>
      </c>
      <c r="M2583" s="116"/>
      <c r="N2583" s="117">
        <f>M2583-L2583</f>
      </c>
      <c r="O2583" s="112"/>
      <c r="P2583" s="118">
        <f>N2583+O2583</f>
      </c>
      <c r="Q2583" s="94" t="s">
        <v>844</v>
      </c>
      <c r="R2583" s="94" t="s">
        <v>63</v>
      </c>
      <c r="S2583" s="119">
        <v>46341</v>
      </c>
      <c r="T2583" s="119"/>
      <c r="U2583" s="119">
        <v>46341</v>
      </c>
      <c r="V2583" s="94"/>
      <c r="W2583" s="94"/>
      <c r="X2583" s="94"/>
      <c r="Y2583" s="119">
        <v>46337</v>
      </c>
      <c r="Z2583" s="94"/>
      <c r="AA2583" s="120"/>
      <c r="AB2583" s="120"/>
      <c r="AC2583" s="120"/>
      <c r="AD2583" s="120"/>
      <c r="AE2583" s="120"/>
      <c r="AF2583" s="120"/>
      <c r="AG2583" s="94"/>
      <c r="AH2583" s="120"/>
      <c r="AI2583" s="94"/>
      <c r="AJ2583" s="94" t="s">
        <v>844</v>
      </c>
      <c r="AK2583" s="94" t="s">
        <v>91</v>
      </c>
      <c r="AL2583" s="94">
        <v>150</v>
      </c>
      <c r="AM2583" s="94" t="str">
        <f>TRIM(AJ2583)&amp;TRIM(AL2583)&amp;TRIM(AK2583)</f>
      </c>
      <c r="AN2583" s="116">
        <v>0</v>
      </c>
      <c r="AO2583" s="116" t="inlineStr">
        <is>
          <t>#NA</t>
        </is>
      </c>
      <c r="AP2583" s="116">
        <f>SUMIFS(M:M,AM:AM,AM2583)+SUMIFS(O:O,AM:AM,AM2583)</f>
      </c>
      <c r="AQ2583" s="116">
        <f>SUMIFS(L:L,AM:AM,AM2583)</f>
      </c>
      <c r="AR2583" s="116">
        <f>AQ2583-AP2583</f>
      </c>
      <c r="AS2583" s="94" t="str">
        <f>IF(AN2583&gt;=AQ2583,"ok","ck")</f>
      </c>
      <c r="AT2583" s="116">
        <f>-P2583</f>
      </c>
      <c r="AU2583" s="115">
        <f>IF(SUMIFS(AT:AT,AM:AM,AM2583)&gt;AO2583,(SUMIFS(AT:AT,AM:AM,AM2583)-AO2583))</f>
      </c>
      <c r="AV2583" s="116">
        <v>0</v>
      </c>
      <c r="AW2583" s="121">
        <v>0</v>
      </c>
      <c r="AX2583" s="115">
        <f>AN2583-AP2583</f>
      </c>
    </row>
    <row r="2584" spans="1:50" ht="15" hidden="1" customHeight="1" x14ac:dyDescent="0.3">
      <c r="A2584" s="94" t="s">
        <v>76</v>
      </c>
      <c r="B2584" s="94"/>
      <c r="C2584" s="94"/>
      <c r="D2584" s="94"/>
      <c r="E2584" s="94"/>
      <c r="F2584" s="94"/>
      <c r="G2584" s="112">
        <f>AU2584</f>
      </c>
      <c r="H2584" s="113"/>
      <c r="I2584" s="94" t="s">
        <v>77</v>
      </c>
      <c r="J2584" s="94" t="s">
        <v>90</v>
      </c>
      <c r="K2584" s="114">
        <f>P2584/3</f>
      </c>
      <c r="L2584" s="115">
        <v>300.46499999999997</v>
      </c>
      <c r="M2584" s="116"/>
      <c r="N2584" s="117">
        <f>M2584-L2584</f>
      </c>
      <c r="O2584" s="112"/>
      <c r="P2584" s="118">
        <f>N2584+O2584</f>
      </c>
      <c r="Q2584" s="94" t="s">
        <v>844</v>
      </c>
      <c r="R2584" s="94" t="s">
        <v>63</v>
      </c>
      <c r="S2584" s="119">
        <v>46341</v>
      </c>
      <c r="T2584" s="119"/>
      <c r="U2584" s="119">
        <v>46341</v>
      </c>
      <c r="V2584" s="94"/>
      <c r="W2584" s="94"/>
      <c r="X2584" s="94"/>
      <c r="Y2584" s="119">
        <v>46338</v>
      </c>
      <c r="Z2584" s="94"/>
      <c r="AA2584" s="120"/>
      <c r="AB2584" s="120"/>
      <c r="AC2584" s="120"/>
      <c r="AD2584" s="120"/>
      <c r="AE2584" s="120"/>
      <c r="AF2584" s="120"/>
      <c r="AG2584" s="94"/>
      <c r="AH2584" s="120"/>
      <c r="AI2584" s="94"/>
      <c r="AJ2584" s="94" t="s">
        <v>844</v>
      </c>
      <c r="AK2584" s="94" t="s">
        <v>91</v>
      </c>
      <c r="AL2584" s="94">
        <v>150</v>
      </c>
      <c r="AM2584" s="94" t="str">
        <f>TRIM(AJ2584)&amp;TRIM(AL2584)&amp;TRIM(AK2584)</f>
      </c>
      <c r="AN2584" s="116">
        <v>0</v>
      </c>
      <c r="AO2584" s="116" t="inlineStr">
        <is>
          <t>#NA</t>
        </is>
      </c>
      <c r="AP2584" s="116">
        <f>SUMIFS(M:M,AM:AM,AM2584)+SUMIFS(O:O,AM:AM,AM2584)</f>
      </c>
      <c r="AQ2584" s="116">
        <f>SUMIFS(L:L,AM:AM,AM2584)</f>
      </c>
      <c r="AR2584" s="116">
        <f>AQ2584-AP2584</f>
      </c>
      <c r="AS2584" s="94" t="str">
        <f>IF(AN2584&gt;=AQ2584,"ok","ck")</f>
      </c>
      <c r="AT2584" s="116">
        <f>-P2584</f>
      </c>
      <c r="AU2584" s="115">
        <f>IF(SUMIFS(AT:AT,AM:AM,AM2584)&gt;AO2584,(SUMIFS(AT:AT,AM:AM,AM2584)-AO2584))</f>
      </c>
      <c r="AV2584" s="116">
        <v>0</v>
      </c>
      <c r="AW2584" s="121">
        <v>0</v>
      </c>
      <c r="AX2584" s="115">
        <f>AN2584-AP2584</f>
      </c>
    </row>
    <row r="2585" spans="1:50" ht="15" hidden="1" customHeight="1" x14ac:dyDescent="0.3">
      <c r="A2585" s="94" t="s">
        <v>76</v>
      </c>
      <c r="B2585" s="94"/>
      <c r="C2585" s="94"/>
      <c r="D2585" s="94"/>
      <c r="E2585" s="94"/>
      <c r="F2585" s="94"/>
      <c r="G2585" s="112">
        <f>AU2585</f>
      </c>
      <c r="H2585" s="113"/>
      <c r="I2585" s="94" t="s">
        <v>77</v>
      </c>
      <c r="J2585" s="94" t="s">
        <v>90</v>
      </c>
      <c r="K2585" s="114">
        <f>P2585/3</f>
      </c>
      <c r="L2585" s="115">
        <v>1.093</v>
      </c>
      <c r="M2585" s="116"/>
      <c r="N2585" s="117">
        <f>M2585-L2585</f>
      </c>
      <c r="O2585" s="112"/>
      <c r="P2585" s="118">
        <f>N2585+O2585</f>
      </c>
      <c r="Q2585" s="94" t="s">
        <v>844</v>
      </c>
      <c r="R2585" s="94" t="s">
        <v>63</v>
      </c>
      <c r="S2585" s="119">
        <v>46341</v>
      </c>
      <c r="T2585" s="119"/>
      <c r="U2585" s="119">
        <v>46341</v>
      </c>
      <c r="V2585" s="94"/>
      <c r="W2585" s="94"/>
      <c r="X2585" s="94"/>
      <c r="Y2585" s="119">
        <v>46338</v>
      </c>
      <c r="Z2585" s="94"/>
      <c r="AA2585" s="120"/>
      <c r="AB2585" s="120"/>
      <c r="AC2585" s="120"/>
      <c r="AD2585" s="120"/>
      <c r="AE2585" s="120"/>
      <c r="AF2585" s="120"/>
      <c r="AG2585" s="94"/>
      <c r="AH2585" s="120"/>
      <c r="AI2585" s="94"/>
      <c r="AJ2585" s="94" t="s">
        <v>844</v>
      </c>
      <c r="AK2585" s="94" t="s">
        <v>91</v>
      </c>
      <c r="AL2585" s="94">
        <v>150</v>
      </c>
      <c r="AM2585" s="94" t="str">
        <f>TRIM(AJ2585)&amp;TRIM(AL2585)&amp;TRIM(AK2585)</f>
      </c>
      <c r="AN2585" s="116">
        <v>0</v>
      </c>
      <c r="AO2585" s="116" t="inlineStr">
        <is>
          <t>#NA</t>
        </is>
      </c>
      <c r="AP2585" s="116">
        <f>SUMIFS(M:M,AM:AM,AM2585)+SUMIFS(O:O,AM:AM,AM2585)</f>
      </c>
      <c r="AQ2585" s="116">
        <f>SUMIFS(L:L,AM:AM,AM2585)</f>
      </c>
      <c r="AR2585" s="116">
        <f>AQ2585-AP2585</f>
      </c>
      <c r="AS2585" s="94" t="str">
        <f>IF(AN2585&gt;=AQ2585,"ok","ck")</f>
      </c>
      <c r="AT2585" s="116">
        <f>-P2585</f>
      </c>
      <c r="AU2585" s="115">
        <f>IF(SUMIFS(AT:AT,AM:AM,AM2585)&gt;AO2585,(SUMIFS(AT:AT,AM:AM,AM2585)-AO2585))</f>
      </c>
      <c r="AV2585" s="116">
        <v>0</v>
      </c>
      <c r="AW2585" s="121">
        <v>0</v>
      </c>
      <c r="AX2585" s="115">
        <f>AN2585-AP2585</f>
      </c>
    </row>
    <row r="2586" spans="1:50" ht="15" hidden="1" customHeight="1" x14ac:dyDescent="0.3">
      <c r="A2586" s="94" t="s">
        <v>151</v>
      </c>
      <c r="B2586" s="94"/>
      <c r="C2586" s="94"/>
      <c r="D2586" s="94"/>
      <c r="E2586" s="94"/>
      <c r="F2586" s="94"/>
      <c r="G2586" s="112">
        <f>AU2586</f>
      </c>
      <c r="H2586" s="113"/>
      <c r="I2586" s="94" t="s">
        <v>152</v>
      </c>
      <c r="J2586" s="94" t="s">
        <v>156</v>
      </c>
      <c r="K2586" s="114">
        <f>P2586/3</f>
      </c>
      <c r="L2586" s="115">
        <v>0</v>
      </c>
      <c r="M2586" s="116"/>
      <c r="N2586" s="117">
        <f>M2586-L2586</f>
      </c>
      <c r="O2586" s="112"/>
      <c r="P2586" s="118">
        <f>N2586+O2586</f>
      </c>
      <c r="Q2586" s="94" t="s">
        <v>236</v>
      </c>
      <c r="R2586" s="94" t="s">
        <v>63</v>
      </c>
      <c r="S2586" s="119">
        <v>46320</v>
      </c>
      <c r="T2586" s="119"/>
      <c r="U2586" s="119">
        <v>46320</v>
      </c>
      <c r="V2586" s="94"/>
      <c r="W2586" s="94"/>
      <c r="X2586" s="94"/>
      <c r="Y2586" s="119">
        <v>46320</v>
      </c>
      <c r="Z2586" s="94"/>
      <c r="AA2586" s="120"/>
      <c r="AB2586" s="120"/>
      <c r="AC2586" s="120"/>
      <c r="AD2586" s="120"/>
      <c r="AE2586" s="120"/>
      <c r="AF2586" s="120"/>
      <c r="AG2586" s="94"/>
      <c r="AH2586" s="120"/>
      <c r="AI2586" s="94"/>
      <c r="AJ2586" s="94" t="s">
        <v>236</v>
      </c>
      <c r="AK2586" s="94" t="s">
        <v>158</v>
      </c>
      <c r="AL2586" s="94">
        <v>160</v>
      </c>
      <c r="AM2586" s="94" t="str">
        <f>TRIM(AJ2586)&amp;TRIM(AL2586)&amp;TRIM(AK2586)</f>
      </c>
      <c r="AN2586" s="116">
        <v>7485.15</v>
      </c>
      <c r="AO2586" s="116">
        <v>834.85</v>
      </c>
      <c r="AP2586" s="116">
        <f>SUMIFS(M:M,AM:AM,AM2586)+SUMIFS(O:O,AM:AM,AM2586)</f>
      </c>
      <c r="AQ2586" s="116">
        <f>SUMIFS(L:L,AM:AM,AM2586)</f>
      </c>
      <c r="AR2586" s="116">
        <f>AQ2586-AP2586</f>
      </c>
      <c r="AS2586" s="94" t="str">
        <f>IF(AN2586&gt;=AQ2586,"ok","ck")</f>
      </c>
      <c r="AT2586" s="116">
        <f>-P2586</f>
      </c>
      <c r="AU2586" s="115">
        <f>IF(SUMIFS(AT:AT,AM:AM,AM2586)&gt;AO2586,(SUMIFS(AT:AT,AM:AM,AM2586)-AO2586))</f>
      </c>
      <c r="AV2586" s="116">
        <v>7485.15</v>
      </c>
      <c r="AW2586" s="121">
        <v>0.9</v>
      </c>
      <c r="AX2586" s="115">
        <f>AN2586-AP2586</f>
      </c>
    </row>
    <row r="2587" spans="1:50" ht="15" hidden="1" customHeight="1" x14ac:dyDescent="0.3">
      <c r="A2587" s="94" t="s">
        <v>151</v>
      </c>
      <c r="B2587" s="94"/>
      <c r="C2587" s="94"/>
      <c r="D2587" s="94"/>
      <c r="E2587" s="94"/>
      <c r="F2587" s="94"/>
      <c r="G2587" s="112">
        <f>AU2587</f>
      </c>
      <c r="H2587" s="113"/>
      <c r="I2587" s="94" t="s">
        <v>152</v>
      </c>
      <c r="J2587" s="94" t="s">
        <v>156</v>
      </c>
      <c r="K2587" s="114">
        <f>P2587/3</f>
      </c>
      <c r="L2587" s="115">
        <v>0</v>
      </c>
      <c r="M2587" s="116"/>
      <c r="N2587" s="117">
        <f>M2587-L2587</f>
      </c>
      <c r="O2587" s="112"/>
      <c r="P2587" s="118">
        <f>N2587+O2587</f>
      </c>
      <c r="Q2587" s="94" t="s">
        <v>236</v>
      </c>
      <c r="R2587" s="94" t="s">
        <v>63</v>
      </c>
      <c r="S2587" s="119">
        <v>46334</v>
      </c>
      <c r="T2587" s="119"/>
      <c r="U2587" s="119">
        <v>46334</v>
      </c>
      <c r="V2587" s="94"/>
      <c r="W2587" s="94"/>
      <c r="X2587" s="94"/>
      <c r="Y2587" s="119">
        <v>46334</v>
      </c>
      <c r="Z2587" s="94"/>
      <c r="AA2587" s="120"/>
      <c r="AB2587" s="120"/>
      <c r="AC2587" s="120"/>
      <c r="AD2587" s="120"/>
      <c r="AE2587" s="120"/>
      <c r="AF2587" s="120"/>
      <c r="AG2587" s="94"/>
      <c r="AH2587" s="120"/>
      <c r="AI2587" s="94"/>
      <c r="AJ2587" s="94" t="s">
        <v>236</v>
      </c>
      <c r="AK2587" s="94" t="s">
        <v>158</v>
      </c>
      <c r="AL2587" s="94">
        <v>160</v>
      </c>
      <c r="AM2587" s="94" t="str">
        <f>TRIM(AJ2587)&amp;TRIM(AL2587)&amp;TRIM(AK2587)</f>
      </c>
      <c r="AN2587" s="116">
        <v>7485.15</v>
      </c>
      <c r="AO2587" s="116">
        <v>834.85</v>
      </c>
      <c r="AP2587" s="116">
        <f>SUMIFS(M:M,AM:AM,AM2587)+SUMIFS(O:O,AM:AM,AM2587)</f>
      </c>
      <c r="AQ2587" s="116">
        <f>SUMIFS(L:L,AM:AM,AM2587)</f>
      </c>
      <c r="AR2587" s="116">
        <f>AQ2587-AP2587</f>
      </c>
      <c r="AS2587" s="94" t="str">
        <f>IF(AN2587&gt;=AQ2587,"ok","ck")</f>
      </c>
      <c r="AT2587" s="116">
        <f>-P2587</f>
      </c>
      <c r="AU2587" s="115">
        <f>IF(SUMIFS(AT:AT,AM:AM,AM2587)&gt;AO2587,(SUMIFS(AT:AT,AM:AM,AM2587)-AO2587))</f>
      </c>
      <c r="AV2587" s="116">
        <v>7485.15</v>
      </c>
      <c r="AW2587" s="121">
        <v>0.9</v>
      </c>
      <c r="AX2587" s="115">
        <f>AN2587-AP2587</f>
      </c>
    </row>
    <row r="2588" spans="1:50" ht="15" hidden="1" customHeight="1" x14ac:dyDescent="0.3">
      <c r="A2588" s="94" t="s">
        <v>151</v>
      </c>
      <c r="B2588" s="94"/>
      <c r="C2588" s="94"/>
      <c r="D2588" s="94"/>
      <c r="E2588" s="94"/>
      <c r="F2588" s="94"/>
      <c r="G2588" s="112">
        <f>AU2588</f>
      </c>
      <c r="H2588" s="113"/>
      <c r="I2588" s="94" t="s">
        <v>152</v>
      </c>
      <c r="J2588" s="94" t="s">
        <v>156</v>
      </c>
      <c r="K2588" s="114">
        <f>P2588/3</f>
      </c>
      <c r="L2588" s="115">
        <v>90.174000000000007</v>
      </c>
      <c r="M2588" s="116"/>
      <c r="N2588" s="117">
        <f>M2588-L2588</f>
      </c>
      <c r="O2588" s="112"/>
      <c r="P2588" s="118">
        <f>N2588+O2588</f>
      </c>
      <c r="Q2588" s="94" t="s">
        <v>236</v>
      </c>
      <c r="R2588" s="94" t="s">
        <v>63</v>
      </c>
      <c r="S2588" s="119">
        <v>46331</v>
      </c>
      <c r="T2588" s="119"/>
      <c r="U2588" s="119">
        <v>46331</v>
      </c>
      <c r="V2588" s="94"/>
      <c r="W2588" s="94"/>
      <c r="X2588" s="94"/>
      <c r="Y2588" s="119">
        <v>46337</v>
      </c>
      <c r="Z2588" s="94"/>
      <c r="AA2588" s="120"/>
      <c r="AB2588" s="120"/>
      <c r="AC2588" s="120"/>
      <c r="AD2588" s="120"/>
      <c r="AE2588" s="120"/>
      <c r="AF2588" s="120"/>
      <c r="AG2588" s="94"/>
      <c r="AH2588" s="120"/>
      <c r="AI2588" s="94"/>
      <c r="AJ2588" s="94" t="s">
        <v>236</v>
      </c>
      <c r="AK2588" s="94" t="s">
        <v>158</v>
      </c>
      <c r="AL2588" s="94">
        <v>160</v>
      </c>
      <c r="AM2588" s="94" t="str">
        <f>TRIM(AJ2588)&amp;TRIM(AL2588)&amp;TRIM(AK2588)</f>
      </c>
      <c r="AN2588" s="116">
        <v>7485.15</v>
      </c>
      <c r="AO2588" s="116">
        <v>834.85</v>
      </c>
      <c r="AP2588" s="116">
        <f>SUMIFS(M:M,AM:AM,AM2588)+SUMIFS(O:O,AM:AM,AM2588)</f>
      </c>
      <c r="AQ2588" s="116">
        <f>SUMIFS(L:L,AM:AM,AM2588)</f>
      </c>
      <c r="AR2588" s="116">
        <f>AQ2588-AP2588</f>
      </c>
      <c r="AS2588" s="94" t="str">
        <f>IF(AN2588&gt;=AQ2588,"ok","ck")</f>
      </c>
      <c r="AT2588" s="116">
        <f>-P2588</f>
      </c>
      <c r="AU2588" s="115">
        <f>IF(SUMIFS(AT:AT,AM:AM,AM2588)&gt;AO2588,(SUMIFS(AT:AT,AM:AM,AM2588)-AO2588))</f>
      </c>
      <c r="AV2588" s="116">
        <v>7485.15</v>
      </c>
      <c r="AW2588" s="121">
        <v>0.9</v>
      </c>
      <c r="AX2588" s="115">
        <f>AN2588-AP2588</f>
      </c>
    </row>
    <row r="2589" spans="1:50" ht="15" hidden="1" customHeight="1" x14ac:dyDescent="0.3">
      <c r="A2589" s="94" t="s">
        <v>151</v>
      </c>
      <c r="B2589" s="94"/>
      <c r="C2589" s="94"/>
      <c r="D2589" s="94"/>
      <c r="E2589" s="94"/>
      <c r="F2589" s="94"/>
      <c r="G2589" s="112">
        <f>AU2589</f>
      </c>
      <c r="H2589" s="113"/>
      <c r="I2589" s="94" t="s">
        <v>152</v>
      </c>
      <c r="J2589" s="94" t="s">
        <v>156</v>
      </c>
      <c r="K2589" s="114">
        <f>P2589/3</f>
      </c>
      <c r="L2589" s="115">
        <v>0</v>
      </c>
      <c r="M2589" s="116"/>
      <c r="N2589" s="117">
        <f>M2589-L2589</f>
      </c>
      <c r="O2589" s="112"/>
      <c r="P2589" s="118">
        <f>N2589+O2589</f>
      </c>
      <c r="Q2589" s="94" t="s">
        <v>236</v>
      </c>
      <c r="R2589" s="94" t="s">
        <v>63</v>
      </c>
      <c r="S2589" s="119">
        <v>46320</v>
      </c>
      <c r="T2589" s="119"/>
      <c r="U2589" s="119">
        <v>46320</v>
      </c>
      <c r="V2589" s="94"/>
      <c r="W2589" s="94"/>
      <c r="X2589" s="94"/>
      <c r="Y2589" s="119">
        <v>46320</v>
      </c>
      <c r="Z2589" s="94"/>
      <c r="AA2589" s="120"/>
      <c r="AB2589" s="120"/>
      <c r="AC2589" s="120"/>
      <c r="AD2589" s="120"/>
      <c r="AE2589" s="120"/>
      <c r="AF2589" s="120"/>
      <c r="AG2589" s="94"/>
      <c r="AH2589" s="120"/>
      <c r="AI2589" s="94"/>
      <c r="AJ2589" s="94" t="s">
        <v>236</v>
      </c>
      <c r="AK2589" s="94" t="s">
        <v>158</v>
      </c>
      <c r="AL2589" s="94">
        <v>160</v>
      </c>
      <c r="AM2589" s="94" t="str">
        <f>TRIM(AJ2589)&amp;TRIM(AL2589)&amp;TRIM(AK2589)</f>
      </c>
      <c r="AN2589" s="116">
        <v>7485.15</v>
      </c>
      <c r="AO2589" s="116">
        <v>834.85</v>
      </c>
      <c r="AP2589" s="116">
        <f>SUMIFS(M:M,AM:AM,AM2589)+SUMIFS(O:O,AM:AM,AM2589)</f>
      </c>
      <c r="AQ2589" s="116">
        <f>SUMIFS(L:L,AM:AM,AM2589)</f>
      </c>
      <c r="AR2589" s="116">
        <f>AQ2589-AP2589</f>
      </c>
      <c r="AS2589" s="94" t="str">
        <f>IF(AN2589&gt;=AQ2589,"ok","ck")</f>
      </c>
      <c r="AT2589" s="116">
        <f>-P2589</f>
      </c>
      <c r="AU2589" s="115">
        <f>IF(SUMIFS(AT:AT,AM:AM,AM2589)&gt;AO2589,(SUMIFS(AT:AT,AM:AM,AM2589)-AO2589))</f>
      </c>
      <c r="AV2589" s="116">
        <v>7485.15</v>
      </c>
      <c r="AW2589" s="121">
        <v>0.9</v>
      </c>
      <c r="AX2589" s="115">
        <f>AN2589-AP2589</f>
      </c>
    </row>
    <row r="2590" spans="1:50" ht="15" hidden="1" customHeight="1" x14ac:dyDescent="0.3">
      <c r="A2590" s="94" t="s">
        <v>151</v>
      </c>
      <c r="B2590" s="94"/>
      <c r="C2590" s="94"/>
      <c r="D2590" s="94"/>
      <c r="E2590" s="94"/>
      <c r="F2590" s="94"/>
      <c r="G2590" s="112">
        <f>AU2590</f>
      </c>
      <c r="H2590" s="113"/>
      <c r="I2590" s="94" t="s">
        <v>152</v>
      </c>
      <c r="J2590" s="94" t="s">
        <v>156</v>
      </c>
      <c r="K2590" s="114">
        <f>P2590/3</f>
      </c>
      <c r="L2590" s="115">
        <v>0</v>
      </c>
      <c r="M2590" s="116"/>
      <c r="N2590" s="117">
        <f>M2590-L2590</f>
      </c>
      <c r="O2590" s="112"/>
      <c r="P2590" s="118">
        <f>N2590+O2590</f>
      </c>
      <c r="Q2590" s="94" t="s">
        <v>236</v>
      </c>
      <c r="R2590" s="94" t="s">
        <v>63</v>
      </c>
      <c r="S2590" s="119">
        <v>46320</v>
      </c>
      <c r="T2590" s="119"/>
      <c r="U2590" s="119">
        <v>46320</v>
      </c>
      <c r="V2590" s="94"/>
      <c r="W2590" s="94"/>
      <c r="X2590" s="94"/>
      <c r="Y2590" s="119">
        <v>46320</v>
      </c>
      <c r="Z2590" s="94"/>
      <c r="AA2590" s="120"/>
      <c r="AB2590" s="120"/>
      <c r="AC2590" s="120"/>
      <c r="AD2590" s="120"/>
      <c r="AE2590" s="120"/>
      <c r="AF2590" s="120"/>
      <c r="AG2590" s="94"/>
      <c r="AH2590" s="120"/>
      <c r="AI2590" s="94"/>
      <c r="AJ2590" s="94" t="s">
        <v>236</v>
      </c>
      <c r="AK2590" s="94" t="s">
        <v>158</v>
      </c>
      <c r="AL2590" s="94">
        <v>160</v>
      </c>
      <c r="AM2590" s="94" t="str">
        <f>TRIM(AJ2590)&amp;TRIM(AL2590)&amp;TRIM(AK2590)</f>
      </c>
      <c r="AN2590" s="116">
        <v>7485.15</v>
      </c>
      <c r="AO2590" s="116">
        <v>834.85</v>
      </c>
      <c r="AP2590" s="116">
        <f>SUMIFS(M:M,AM:AM,AM2590)+SUMIFS(O:O,AM:AM,AM2590)</f>
      </c>
      <c r="AQ2590" s="116">
        <f>SUMIFS(L:L,AM:AM,AM2590)</f>
      </c>
      <c r="AR2590" s="116">
        <f>AQ2590-AP2590</f>
      </c>
      <c r="AS2590" s="94" t="str">
        <f>IF(AN2590&gt;=AQ2590,"ok","ck")</f>
      </c>
      <c r="AT2590" s="116">
        <f>-P2590</f>
      </c>
      <c r="AU2590" s="115">
        <f>IF(SUMIFS(AT:AT,AM:AM,AM2590)&gt;AO2590,(SUMIFS(AT:AT,AM:AM,AM2590)-AO2590))</f>
      </c>
      <c r="AV2590" s="116">
        <v>7485.15</v>
      </c>
      <c r="AW2590" s="121">
        <v>0.9</v>
      </c>
      <c r="AX2590" s="115">
        <f>AN2590-AP2590</f>
      </c>
    </row>
    <row r="2591" spans="1:50" ht="15" hidden="1" customHeight="1" x14ac:dyDescent="0.3">
      <c r="A2591" s="94" t="s">
        <v>151</v>
      </c>
      <c r="B2591" s="94"/>
      <c r="C2591" s="94"/>
      <c r="D2591" s="94"/>
      <c r="E2591" s="94"/>
      <c r="F2591" s="94"/>
      <c r="G2591" s="112">
        <f>AU2591</f>
      </c>
      <c r="H2591" s="113"/>
      <c r="I2591" s="94" t="s">
        <v>152</v>
      </c>
      <c r="J2591" s="94" t="s">
        <v>156</v>
      </c>
      <c r="K2591" s="114">
        <f>P2591/3</f>
      </c>
      <c r="L2591" s="115">
        <v>0</v>
      </c>
      <c r="M2591" s="116"/>
      <c r="N2591" s="117">
        <f>M2591-L2591</f>
      </c>
      <c r="O2591" s="112"/>
      <c r="P2591" s="118">
        <f>N2591+O2591</f>
      </c>
      <c r="Q2591" s="94" t="s">
        <v>236</v>
      </c>
      <c r="R2591" s="94" t="s">
        <v>63</v>
      </c>
      <c r="S2591" s="119">
        <v>46320</v>
      </c>
      <c r="T2591" s="119"/>
      <c r="U2591" s="119">
        <v>46320</v>
      </c>
      <c r="V2591" s="94"/>
      <c r="W2591" s="94"/>
      <c r="X2591" s="94"/>
      <c r="Y2591" s="119">
        <v>46320</v>
      </c>
      <c r="Z2591" s="94"/>
      <c r="AA2591" s="120"/>
      <c r="AB2591" s="120"/>
      <c r="AC2591" s="120"/>
      <c r="AD2591" s="120"/>
      <c r="AE2591" s="120"/>
      <c r="AF2591" s="120"/>
      <c r="AG2591" s="94"/>
      <c r="AH2591" s="120"/>
      <c r="AI2591" s="94"/>
      <c r="AJ2591" s="94" t="s">
        <v>236</v>
      </c>
      <c r="AK2591" s="94" t="s">
        <v>158</v>
      </c>
      <c r="AL2591" s="94">
        <v>160</v>
      </c>
      <c r="AM2591" s="94" t="str">
        <f>TRIM(AJ2591)&amp;TRIM(AL2591)&amp;TRIM(AK2591)</f>
      </c>
      <c r="AN2591" s="116">
        <v>7485.15</v>
      </c>
      <c r="AO2591" s="116">
        <v>834.85</v>
      </c>
      <c r="AP2591" s="116">
        <f>SUMIFS(M:M,AM:AM,AM2591)+SUMIFS(O:O,AM:AM,AM2591)</f>
      </c>
      <c r="AQ2591" s="116">
        <f>SUMIFS(L:L,AM:AM,AM2591)</f>
      </c>
      <c r="AR2591" s="116">
        <f>AQ2591-AP2591</f>
      </c>
      <c r="AS2591" s="94" t="str">
        <f>IF(AN2591&gt;=AQ2591,"ok","ck")</f>
      </c>
      <c r="AT2591" s="116">
        <f>-P2591</f>
      </c>
      <c r="AU2591" s="115">
        <f>IF(SUMIFS(AT:AT,AM:AM,AM2591)&gt;AO2591,(SUMIFS(AT:AT,AM:AM,AM2591)-AO2591))</f>
      </c>
      <c r="AV2591" s="116">
        <v>7485.15</v>
      </c>
      <c r="AW2591" s="121">
        <v>0.9</v>
      </c>
      <c r="AX2591" s="115">
        <f>AN2591-AP2591</f>
      </c>
    </row>
    <row r="2592" spans="1:50" ht="15" hidden="1" customHeight="1" x14ac:dyDescent="0.3">
      <c r="A2592" s="94" t="s">
        <v>151</v>
      </c>
      <c r="B2592" s="94"/>
      <c r="C2592" s="94"/>
      <c r="D2592" s="94"/>
      <c r="E2592" s="94"/>
      <c r="F2592" s="94"/>
      <c r="G2592" s="112">
        <f>AU2592</f>
      </c>
      <c r="H2592" s="113"/>
      <c r="I2592" s="94" t="s">
        <v>152</v>
      </c>
      <c r="J2592" s="94" t="s">
        <v>156</v>
      </c>
      <c r="K2592" s="114">
        <f>P2592/3</f>
      </c>
      <c r="L2592" s="115">
        <v>0</v>
      </c>
      <c r="M2592" s="116"/>
      <c r="N2592" s="117">
        <f>M2592-L2592</f>
      </c>
      <c r="O2592" s="112"/>
      <c r="P2592" s="118">
        <f>N2592+O2592</f>
      </c>
      <c r="Q2592" s="94" t="s">
        <v>236</v>
      </c>
      <c r="R2592" s="94" t="s">
        <v>63</v>
      </c>
      <c r="S2592" s="119">
        <v>46320</v>
      </c>
      <c r="T2592" s="119"/>
      <c r="U2592" s="119">
        <v>46320</v>
      </c>
      <c r="V2592" s="94"/>
      <c r="W2592" s="94"/>
      <c r="X2592" s="94"/>
      <c r="Y2592" s="119">
        <v>46320</v>
      </c>
      <c r="Z2592" s="94"/>
      <c r="AA2592" s="120"/>
      <c r="AB2592" s="120"/>
      <c r="AC2592" s="120"/>
      <c r="AD2592" s="120"/>
      <c r="AE2592" s="120"/>
      <c r="AF2592" s="120"/>
      <c r="AG2592" s="94"/>
      <c r="AH2592" s="120"/>
      <c r="AI2592" s="94"/>
      <c r="AJ2592" s="94" t="s">
        <v>236</v>
      </c>
      <c r="AK2592" s="94" t="s">
        <v>158</v>
      </c>
      <c r="AL2592" s="94">
        <v>160</v>
      </c>
      <c r="AM2592" s="94" t="str">
        <f>TRIM(AJ2592)&amp;TRIM(AL2592)&amp;TRIM(AK2592)</f>
      </c>
      <c r="AN2592" s="116">
        <v>7485.15</v>
      </c>
      <c r="AO2592" s="116">
        <v>834.85</v>
      </c>
      <c r="AP2592" s="116">
        <f>SUMIFS(M:M,AM:AM,AM2592)+SUMIFS(O:O,AM:AM,AM2592)</f>
      </c>
      <c r="AQ2592" s="116">
        <f>SUMIFS(L:L,AM:AM,AM2592)</f>
      </c>
      <c r="AR2592" s="116">
        <f>AQ2592-AP2592</f>
      </c>
      <c r="AS2592" s="94" t="str">
        <f>IF(AN2592&gt;=AQ2592,"ok","ck")</f>
      </c>
      <c r="AT2592" s="116">
        <f>-P2592</f>
      </c>
      <c r="AU2592" s="115">
        <f>IF(SUMIFS(AT:AT,AM:AM,AM2592)&gt;AO2592,(SUMIFS(AT:AT,AM:AM,AM2592)-AO2592))</f>
      </c>
      <c r="AV2592" s="116">
        <v>7485.15</v>
      </c>
      <c r="AW2592" s="121">
        <v>0.9</v>
      </c>
      <c r="AX2592" s="115">
        <f>AN2592-AP2592</f>
      </c>
    </row>
    <row r="2593" spans="1:50" ht="15" hidden="1" customHeight="1" x14ac:dyDescent="0.3">
      <c r="A2593" s="94" t="s">
        <v>151</v>
      </c>
      <c r="B2593" s="94"/>
      <c r="C2593" s="94"/>
      <c r="D2593" s="94"/>
      <c r="E2593" s="94"/>
      <c r="F2593" s="94"/>
      <c r="G2593" s="112">
        <f>AU2593</f>
      </c>
      <c r="H2593" s="113"/>
      <c r="I2593" s="94" t="s">
        <v>152</v>
      </c>
      <c r="J2593" s="94" t="s">
        <v>156</v>
      </c>
      <c r="K2593" s="114">
        <f>P2593/3</f>
      </c>
      <c r="L2593" s="115">
        <v>0</v>
      </c>
      <c r="M2593" s="116"/>
      <c r="N2593" s="117">
        <f>M2593-L2593</f>
      </c>
      <c r="O2593" s="112"/>
      <c r="P2593" s="118">
        <f>N2593+O2593</f>
      </c>
      <c r="Q2593" s="94" t="s">
        <v>236</v>
      </c>
      <c r="R2593" s="94" t="s">
        <v>63</v>
      </c>
      <c r="S2593" s="119">
        <v>46320</v>
      </c>
      <c r="T2593" s="119"/>
      <c r="U2593" s="119">
        <v>46320</v>
      </c>
      <c r="V2593" s="94"/>
      <c r="W2593" s="94"/>
      <c r="X2593" s="94"/>
      <c r="Y2593" s="119">
        <v>46320</v>
      </c>
      <c r="Z2593" s="94"/>
      <c r="AA2593" s="120"/>
      <c r="AB2593" s="120"/>
      <c r="AC2593" s="120"/>
      <c r="AD2593" s="120"/>
      <c r="AE2593" s="120"/>
      <c r="AF2593" s="120"/>
      <c r="AG2593" s="94"/>
      <c r="AH2593" s="120"/>
      <c r="AI2593" s="94"/>
      <c r="AJ2593" s="94" t="s">
        <v>236</v>
      </c>
      <c r="AK2593" s="94" t="s">
        <v>158</v>
      </c>
      <c r="AL2593" s="94">
        <v>160</v>
      </c>
      <c r="AM2593" s="94" t="str">
        <f>TRIM(AJ2593)&amp;TRIM(AL2593)&amp;TRIM(AK2593)</f>
      </c>
      <c r="AN2593" s="116">
        <v>7485.15</v>
      </c>
      <c r="AO2593" s="116">
        <v>834.85</v>
      </c>
      <c r="AP2593" s="116">
        <f>SUMIFS(M:M,AM:AM,AM2593)+SUMIFS(O:O,AM:AM,AM2593)</f>
      </c>
      <c r="AQ2593" s="116">
        <f>SUMIFS(L:L,AM:AM,AM2593)</f>
      </c>
      <c r="AR2593" s="116">
        <f>AQ2593-AP2593</f>
      </c>
      <c r="AS2593" s="94" t="str">
        <f>IF(AN2593&gt;=AQ2593,"ok","ck")</f>
      </c>
      <c r="AT2593" s="116">
        <f>-P2593</f>
      </c>
      <c r="AU2593" s="115">
        <f>IF(SUMIFS(AT:AT,AM:AM,AM2593)&gt;AO2593,(SUMIFS(AT:AT,AM:AM,AM2593)-AO2593))</f>
      </c>
      <c r="AV2593" s="116">
        <v>7485.15</v>
      </c>
      <c r="AW2593" s="121">
        <v>0.9</v>
      </c>
      <c r="AX2593" s="115">
        <f>AN2593-AP2593</f>
      </c>
    </row>
    <row r="2594" spans="1:50" ht="15" hidden="1" customHeight="1" x14ac:dyDescent="0.3">
      <c r="A2594" s="94" t="s">
        <v>151</v>
      </c>
      <c r="B2594" s="94"/>
      <c r="C2594" s="94"/>
      <c r="D2594" s="94"/>
      <c r="E2594" s="94"/>
      <c r="F2594" s="94"/>
      <c r="G2594" s="112">
        <f>AU2594</f>
      </c>
      <c r="H2594" s="113"/>
      <c r="I2594" s="94" t="s">
        <v>152</v>
      </c>
      <c r="J2594" s="94" t="s">
        <v>156</v>
      </c>
      <c r="K2594" s="114">
        <f>P2594/3</f>
      </c>
      <c r="L2594" s="115">
        <v>9.9000000000000005E-2</v>
      </c>
      <c r="M2594" s="116"/>
      <c r="N2594" s="117">
        <f>M2594-L2594</f>
      </c>
      <c r="O2594" s="112"/>
      <c r="P2594" s="118">
        <f>N2594+O2594</f>
      </c>
      <c r="Q2594" s="94" t="s">
        <v>236</v>
      </c>
      <c r="R2594" s="94" t="s">
        <v>63</v>
      </c>
      <c r="S2594" s="119">
        <v>46320</v>
      </c>
      <c r="T2594" s="119"/>
      <c r="U2594" s="119">
        <v>46320</v>
      </c>
      <c r="V2594" s="94"/>
      <c r="W2594" s="94"/>
      <c r="X2594" s="94"/>
      <c r="Y2594" s="119">
        <v>46320</v>
      </c>
      <c r="Z2594" s="94"/>
      <c r="AA2594" s="120"/>
      <c r="AB2594" s="120"/>
      <c r="AC2594" s="120"/>
      <c r="AD2594" s="120"/>
      <c r="AE2594" s="120"/>
      <c r="AF2594" s="120"/>
      <c r="AG2594" s="94"/>
      <c r="AH2594" s="120"/>
      <c r="AI2594" s="94"/>
      <c r="AJ2594" s="94" t="s">
        <v>236</v>
      </c>
      <c r="AK2594" s="94" t="s">
        <v>158</v>
      </c>
      <c r="AL2594" s="94">
        <v>160</v>
      </c>
      <c r="AM2594" s="94" t="str">
        <f>TRIM(AJ2594)&amp;TRIM(AL2594)&amp;TRIM(AK2594)</f>
      </c>
      <c r="AN2594" s="116">
        <v>7485.15</v>
      </c>
      <c r="AO2594" s="116">
        <v>834.85</v>
      </c>
      <c r="AP2594" s="116">
        <f>SUMIFS(M:M,AM:AM,AM2594)+SUMIFS(O:O,AM:AM,AM2594)</f>
      </c>
      <c r="AQ2594" s="116">
        <f>SUMIFS(L:L,AM:AM,AM2594)</f>
      </c>
      <c r="AR2594" s="116">
        <f>AQ2594-AP2594</f>
      </c>
      <c r="AS2594" s="94" t="str">
        <f>IF(AN2594&gt;=AQ2594,"ok","ck")</f>
      </c>
      <c r="AT2594" s="116">
        <f>-P2594</f>
      </c>
      <c r="AU2594" s="115">
        <f>IF(SUMIFS(AT:AT,AM:AM,AM2594)&gt;AO2594,(SUMIFS(AT:AT,AM:AM,AM2594)-AO2594))</f>
      </c>
      <c r="AV2594" s="116">
        <v>7485.15</v>
      </c>
      <c r="AW2594" s="121">
        <v>0.9</v>
      </c>
      <c r="AX2594" s="115">
        <f>AN2594-AP2594</f>
      </c>
    </row>
    <row r="2595" spans="1:50" ht="15" hidden="1" customHeight="1" x14ac:dyDescent="0.3">
      <c r="A2595" s="94" t="s">
        <v>151</v>
      </c>
      <c r="B2595" s="94"/>
      <c r="C2595" s="94"/>
      <c r="D2595" s="94"/>
      <c r="E2595" s="94"/>
      <c r="F2595" s="94"/>
      <c r="G2595" s="112">
        <f>AU2595</f>
      </c>
      <c r="H2595" s="113"/>
      <c r="I2595" s="94" t="s">
        <v>152</v>
      </c>
      <c r="J2595" s="94" t="s">
        <v>156</v>
      </c>
      <c r="K2595" s="114">
        <f>P2595/3</f>
      </c>
      <c r="L2595" s="115">
        <v>115.65</v>
      </c>
      <c r="M2595" s="116"/>
      <c r="N2595" s="117">
        <f>M2595-L2595</f>
      </c>
      <c r="O2595" s="112"/>
      <c r="P2595" s="118">
        <f>N2595+O2595</f>
      </c>
      <c r="Q2595" s="94" t="s">
        <v>236</v>
      </c>
      <c r="R2595" s="94" t="s">
        <v>63</v>
      </c>
      <c r="S2595" s="119">
        <v>46331</v>
      </c>
      <c r="T2595" s="119"/>
      <c r="U2595" s="119">
        <v>46331</v>
      </c>
      <c r="V2595" s="94"/>
      <c r="W2595" s="94"/>
      <c r="X2595" s="94"/>
      <c r="Y2595" s="119">
        <v>46331</v>
      </c>
      <c r="Z2595" s="94"/>
      <c r="AA2595" s="120"/>
      <c r="AB2595" s="120"/>
      <c r="AC2595" s="120"/>
      <c r="AD2595" s="120"/>
      <c r="AE2595" s="120"/>
      <c r="AF2595" s="120"/>
      <c r="AG2595" s="94"/>
      <c r="AH2595" s="120"/>
      <c r="AI2595" s="94"/>
      <c r="AJ2595" s="94" t="s">
        <v>236</v>
      </c>
      <c r="AK2595" s="94" t="s">
        <v>158</v>
      </c>
      <c r="AL2595" s="94">
        <v>160</v>
      </c>
      <c r="AM2595" s="94" t="str">
        <f>TRIM(AJ2595)&amp;TRIM(AL2595)&amp;TRIM(AK2595)</f>
      </c>
      <c r="AN2595" s="116">
        <v>7485.15</v>
      </c>
      <c r="AO2595" s="116">
        <v>834.85</v>
      </c>
      <c r="AP2595" s="116">
        <f>SUMIFS(M:M,AM:AM,AM2595)+SUMIFS(O:O,AM:AM,AM2595)</f>
      </c>
      <c r="AQ2595" s="116">
        <f>SUMIFS(L:L,AM:AM,AM2595)</f>
      </c>
      <c r="AR2595" s="116">
        <f>AQ2595-AP2595</f>
      </c>
      <c r="AS2595" s="94" t="str">
        <f>IF(AN2595&gt;=AQ2595,"ok","ck")</f>
      </c>
      <c r="AT2595" s="116">
        <f>-P2595</f>
      </c>
      <c r="AU2595" s="115">
        <f>IF(SUMIFS(AT:AT,AM:AM,AM2595)&gt;AO2595,(SUMIFS(AT:AT,AM:AM,AM2595)-AO2595))</f>
      </c>
      <c r="AV2595" s="116">
        <v>7485.15</v>
      </c>
      <c r="AW2595" s="121">
        <v>0.9</v>
      </c>
      <c r="AX2595" s="115">
        <f>AN2595-AP2595</f>
      </c>
    </row>
    <row r="2596" spans="1:50" ht="15" hidden="1" customHeight="1" x14ac:dyDescent="0.3">
      <c r="A2596" s="94" t="s">
        <v>151</v>
      </c>
      <c r="B2596" s="94"/>
      <c r="C2596" s="94"/>
      <c r="D2596" s="94"/>
      <c r="E2596" s="94"/>
      <c r="F2596" s="94"/>
      <c r="G2596" s="112">
        <f>AU2596</f>
      </c>
      <c r="H2596" s="113"/>
      <c r="I2596" s="94" t="s">
        <v>152</v>
      </c>
      <c r="J2596" s="94" t="s">
        <v>156</v>
      </c>
      <c r="K2596" s="114">
        <f>P2596/3</f>
      </c>
      <c r="L2596" s="115">
        <v>0</v>
      </c>
      <c r="M2596" s="116"/>
      <c r="N2596" s="117">
        <f>M2596-L2596</f>
      </c>
      <c r="O2596" s="112"/>
      <c r="P2596" s="118">
        <f>N2596+O2596</f>
      </c>
      <c r="Q2596" s="94" t="s">
        <v>236</v>
      </c>
      <c r="R2596" s="94" t="s">
        <v>63</v>
      </c>
      <c r="S2596" s="119">
        <v>46320</v>
      </c>
      <c r="T2596" s="119"/>
      <c r="U2596" s="119">
        <v>46320</v>
      </c>
      <c r="V2596" s="94"/>
      <c r="W2596" s="94"/>
      <c r="X2596" s="94"/>
      <c r="Y2596" s="119">
        <v>46320</v>
      </c>
      <c r="Z2596" s="94"/>
      <c r="AA2596" s="120"/>
      <c r="AB2596" s="120"/>
      <c r="AC2596" s="120"/>
      <c r="AD2596" s="120"/>
      <c r="AE2596" s="120"/>
      <c r="AF2596" s="120"/>
      <c r="AG2596" s="94"/>
      <c r="AH2596" s="120"/>
      <c r="AI2596" s="94"/>
      <c r="AJ2596" s="94" t="s">
        <v>236</v>
      </c>
      <c r="AK2596" s="94" t="s">
        <v>158</v>
      </c>
      <c r="AL2596" s="94">
        <v>160</v>
      </c>
      <c r="AM2596" s="94" t="str">
        <f>TRIM(AJ2596)&amp;TRIM(AL2596)&amp;TRIM(AK2596)</f>
      </c>
      <c r="AN2596" s="116">
        <v>7485.15</v>
      </c>
      <c r="AO2596" s="116">
        <v>834.85</v>
      </c>
      <c r="AP2596" s="116">
        <f>SUMIFS(M:M,AM:AM,AM2596)+SUMIFS(O:O,AM:AM,AM2596)</f>
      </c>
      <c r="AQ2596" s="116">
        <f>SUMIFS(L:L,AM:AM,AM2596)</f>
      </c>
      <c r="AR2596" s="116">
        <f>AQ2596-AP2596</f>
      </c>
      <c r="AS2596" s="94" t="str">
        <f>IF(AN2596&gt;=AQ2596,"ok","ck")</f>
      </c>
      <c r="AT2596" s="116">
        <f>-P2596</f>
      </c>
      <c r="AU2596" s="115">
        <f>IF(SUMIFS(AT:AT,AM:AM,AM2596)&gt;AO2596,(SUMIFS(AT:AT,AM:AM,AM2596)-AO2596))</f>
      </c>
      <c r="AV2596" s="116">
        <v>7485.15</v>
      </c>
      <c r="AW2596" s="121">
        <v>0.9</v>
      </c>
      <c r="AX2596" s="115">
        <f>AN2596-AP2596</f>
      </c>
    </row>
    <row r="2597" spans="1:50" ht="15" hidden="1" customHeight="1" x14ac:dyDescent="0.3">
      <c r="A2597" s="94" t="s">
        <v>151</v>
      </c>
      <c r="B2597" s="94"/>
      <c r="C2597" s="94"/>
      <c r="D2597" s="94"/>
      <c r="E2597" s="94"/>
      <c r="F2597" s="94"/>
      <c r="G2597" s="112">
        <f>AU2597</f>
      </c>
      <c r="H2597" s="113"/>
      <c r="I2597" s="94" t="s">
        <v>152</v>
      </c>
      <c r="J2597" s="94" t="s">
        <v>156</v>
      </c>
      <c r="K2597" s="114">
        <f>P2597/3</f>
      </c>
      <c r="L2597" s="115">
        <v>0</v>
      </c>
      <c r="M2597" s="116"/>
      <c r="N2597" s="117">
        <f>M2597-L2597</f>
      </c>
      <c r="O2597" s="112"/>
      <c r="P2597" s="118">
        <f>N2597+O2597</f>
      </c>
      <c r="Q2597" s="94" t="s">
        <v>236</v>
      </c>
      <c r="R2597" s="94" t="s">
        <v>63</v>
      </c>
      <c r="S2597" s="119">
        <v>46320</v>
      </c>
      <c r="T2597" s="119"/>
      <c r="U2597" s="119">
        <v>46320</v>
      </c>
      <c r="V2597" s="94"/>
      <c r="W2597" s="94"/>
      <c r="X2597" s="94"/>
      <c r="Y2597" s="119">
        <v>46320</v>
      </c>
      <c r="Z2597" s="94"/>
      <c r="AA2597" s="120"/>
      <c r="AB2597" s="120"/>
      <c r="AC2597" s="120"/>
      <c r="AD2597" s="120"/>
      <c r="AE2597" s="120"/>
      <c r="AF2597" s="120"/>
      <c r="AG2597" s="94"/>
      <c r="AH2597" s="120"/>
      <c r="AI2597" s="94"/>
      <c r="AJ2597" s="94" t="s">
        <v>236</v>
      </c>
      <c r="AK2597" s="94" t="s">
        <v>158</v>
      </c>
      <c r="AL2597" s="94">
        <v>160</v>
      </c>
      <c r="AM2597" s="94" t="str">
        <f>TRIM(AJ2597)&amp;TRIM(AL2597)&amp;TRIM(AK2597)</f>
      </c>
      <c r="AN2597" s="116">
        <v>7485.15</v>
      </c>
      <c r="AO2597" s="116">
        <v>834.85</v>
      </c>
      <c r="AP2597" s="116">
        <f>SUMIFS(M:M,AM:AM,AM2597)+SUMIFS(O:O,AM:AM,AM2597)</f>
      </c>
      <c r="AQ2597" s="116">
        <f>SUMIFS(L:L,AM:AM,AM2597)</f>
      </c>
      <c r="AR2597" s="116">
        <f>AQ2597-AP2597</f>
      </c>
      <c r="AS2597" s="94" t="str">
        <f>IF(AN2597&gt;=AQ2597,"ok","ck")</f>
      </c>
      <c r="AT2597" s="116">
        <f>-P2597</f>
      </c>
      <c r="AU2597" s="115">
        <f>IF(SUMIFS(AT:AT,AM:AM,AM2597)&gt;AO2597,(SUMIFS(AT:AT,AM:AM,AM2597)-AO2597))</f>
      </c>
      <c r="AV2597" s="116">
        <v>7485.15</v>
      </c>
      <c r="AW2597" s="121">
        <v>0.9</v>
      </c>
      <c r="AX2597" s="115">
        <f>AN2597-AP2597</f>
      </c>
    </row>
    <row r="2598" spans="1:50" ht="15" hidden="1" customHeight="1" x14ac:dyDescent="0.3">
      <c r="A2598" s="94" t="s">
        <v>151</v>
      </c>
      <c r="B2598" s="94"/>
      <c r="C2598" s="94"/>
      <c r="D2598" s="94"/>
      <c r="E2598" s="94"/>
      <c r="F2598" s="94"/>
      <c r="G2598" s="112">
        <f>AU2598</f>
      </c>
      <c r="H2598" s="113"/>
      <c r="I2598" s="94" t="s">
        <v>152</v>
      </c>
      <c r="J2598" s="94" t="s">
        <v>156</v>
      </c>
      <c r="K2598" s="114">
        <f>P2598/3</f>
      </c>
      <c r="L2598" s="115">
        <v>0</v>
      </c>
      <c r="M2598" s="116"/>
      <c r="N2598" s="117">
        <f>M2598-L2598</f>
      </c>
      <c r="O2598" s="112"/>
      <c r="P2598" s="118">
        <f>N2598+O2598</f>
      </c>
      <c r="Q2598" s="94" t="s">
        <v>236</v>
      </c>
      <c r="R2598" s="94" t="s">
        <v>63</v>
      </c>
      <c r="S2598" s="119">
        <v>46326</v>
      </c>
      <c r="T2598" s="119"/>
      <c r="U2598" s="119">
        <v>46326</v>
      </c>
      <c r="V2598" s="94"/>
      <c r="W2598" s="94"/>
      <c r="X2598" s="94"/>
      <c r="Y2598" s="119">
        <v>46326</v>
      </c>
      <c r="Z2598" s="94"/>
      <c r="AA2598" s="120"/>
      <c r="AB2598" s="120"/>
      <c r="AC2598" s="120"/>
      <c r="AD2598" s="120"/>
      <c r="AE2598" s="120"/>
      <c r="AF2598" s="120"/>
      <c r="AG2598" s="94"/>
      <c r="AH2598" s="120"/>
      <c r="AI2598" s="94"/>
      <c r="AJ2598" s="94" t="s">
        <v>236</v>
      </c>
      <c r="AK2598" s="94" t="s">
        <v>158</v>
      </c>
      <c r="AL2598" s="94">
        <v>160</v>
      </c>
      <c r="AM2598" s="94" t="str">
        <f>TRIM(AJ2598)&amp;TRIM(AL2598)&amp;TRIM(AK2598)</f>
      </c>
      <c r="AN2598" s="116">
        <v>7485.15</v>
      </c>
      <c r="AO2598" s="116">
        <v>834.85</v>
      </c>
      <c r="AP2598" s="116">
        <f>SUMIFS(M:M,AM:AM,AM2598)+SUMIFS(O:O,AM:AM,AM2598)</f>
      </c>
      <c r="AQ2598" s="116">
        <f>SUMIFS(L:L,AM:AM,AM2598)</f>
      </c>
      <c r="AR2598" s="116">
        <f>AQ2598-AP2598</f>
      </c>
      <c r="AS2598" s="94" t="str">
        <f>IF(AN2598&gt;=AQ2598,"ok","ck")</f>
      </c>
      <c r="AT2598" s="116">
        <f>-P2598</f>
      </c>
      <c r="AU2598" s="115">
        <f>IF(SUMIFS(AT:AT,AM:AM,AM2598)&gt;AO2598,(SUMIFS(AT:AT,AM:AM,AM2598)-AO2598))</f>
      </c>
      <c r="AV2598" s="116">
        <v>7485.15</v>
      </c>
      <c r="AW2598" s="121">
        <v>0.9</v>
      </c>
      <c r="AX2598" s="115">
        <f>AN2598-AP2598</f>
      </c>
    </row>
    <row r="2599" spans="1:50" ht="15" hidden="1" customHeight="1" x14ac:dyDescent="0.3">
      <c r="A2599" s="94" t="s">
        <v>151</v>
      </c>
      <c r="B2599" s="94"/>
      <c r="C2599" s="94"/>
      <c r="D2599" s="94"/>
      <c r="E2599" s="94"/>
      <c r="F2599" s="94"/>
      <c r="G2599" s="112">
        <f>AU2599</f>
      </c>
      <c r="H2599" s="113"/>
      <c r="I2599" s="94" t="s">
        <v>152</v>
      </c>
      <c r="J2599" s="94" t="s">
        <v>156</v>
      </c>
      <c r="K2599" s="114">
        <f>P2599/3</f>
      </c>
      <c r="L2599" s="115">
        <v>0</v>
      </c>
      <c r="M2599" s="116"/>
      <c r="N2599" s="117">
        <f>M2599-L2599</f>
      </c>
      <c r="O2599" s="112"/>
      <c r="P2599" s="118">
        <f>N2599+O2599</f>
      </c>
      <c r="Q2599" s="94" t="s">
        <v>236</v>
      </c>
      <c r="R2599" s="94" t="s">
        <v>63</v>
      </c>
      <c r="S2599" s="119">
        <v>46326</v>
      </c>
      <c r="T2599" s="119"/>
      <c r="U2599" s="119">
        <v>46326</v>
      </c>
      <c r="V2599" s="94"/>
      <c r="W2599" s="94"/>
      <c r="X2599" s="94"/>
      <c r="Y2599" s="119">
        <v>46326</v>
      </c>
      <c r="Z2599" s="94"/>
      <c r="AA2599" s="120"/>
      <c r="AB2599" s="120"/>
      <c r="AC2599" s="120"/>
      <c r="AD2599" s="120"/>
      <c r="AE2599" s="120"/>
      <c r="AF2599" s="120"/>
      <c r="AG2599" s="94"/>
      <c r="AH2599" s="120"/>
      <c r="AI2599" s="94"/>
      <c r="AJ2599" s="94" t="s">
        <v>236</v>
      </c>
      <c r="AK2599" s="94" t="s">
        <v>158</v>
      </c>
      <c r="AL2599" s="94">
        <v>160</v>
      </c>
      <c r="AM2599" s="94" t="str">
        <f>TRIM(AJ2599)&amp;TRIM(AL2599)&amp;TRIM(AK2599)</f>
      </c>
      <c r="AN2599" s="116">
        <v>7485.15</v>
      </c>
      <c r="AO2599" s="116">
        <v>834.85</v>
      </c>
      <c r="AP2599" s="116">
        <f>SUMIFS(M:M,AM:AM,AM2599)+SUMIFS(O:O,AM:AM,AM2599)</f>
      </c>
      <c r="AQ2599" s="116">
        <f>SUMIFS(L:L,AM:AM,AM2599)</f>
      </c>
      <c r="AR2599" s="116">
        <f>AQ2599-AP2599</f>
      </c>
      <c r="AS2599" s="94" t="str">
        <f>IF(AN2599&gt;=AQ2599,"ok","ck")</f>
      </c>
      <c r="AT2599" s="116">
        <f>-P2599</f>
      </c>
      <c r="AU2599" s="115">
        <f>IF(SUMIFS(AT:AT,AM:AM,AM2599)&gt;AO2599,(SUMIFS(AT:AT,AM:AM,AM2599)-AO2599))</f>
      </c>
      <c r="AV2599" s="116">
        <v>7485.15</v>
      </c>
      <c r="AW2599" s="121">
        <v>0.9</v>
      </c>
      <c r="AX2599" s="115">
        <f>AN2599-AP2599</f>
      </c>
    </row>
    <row r="2600" spans="1:50" ht="15" hidden="1" customHeight="1" x14ac:dyDescent="0.3">
      <c r="A2600" s="94" t="s">
        <v>151</v>
      </c>
      <c r="B2600" s="94"/>
      <c r="C2600" s="94"/>
      <c r="D2600" s="94"/>
      <c r="E2600" s="94"/>
      <c r="F2600" s="94"/>
      <c r="G2600" s="112">
        <f>AU2600</f>
      </c>
      <c r="H2600" s="113"/>
      <c r="I2600" s="94" t="s">
        <v>152</v>
      </c>
      <c r="J2600" s="94" t="s">
        <v>159</v>
      </c>
      <c r="K2600" s="114">
        <f>P2600/3</f>
      </c>
      <c r="L2600" s="115">
        <v>-1.1000000000000001</v>
      </c>
      <c r="M2600" s="116">
        <f>L2600</f>
      </c>
      <c r="N2600" s="117">
        <f>M2600-L2600</f>
      </c>
      <c r="O2600" s="112"/>
      <c r="P2600" s="118">
        <f>N2600+O2600</f>
      </c>
      <c r="Q2600" s="94" t="s">
        <v>160</v>
      </c>
      <c r="R2600" s="94" t="s">
        <v>63</v>
      </c>
      <c r="S2600" s="119">
        <v>46320</v>
      </c>
      <c r="T2600" s="119"/>
      <c r="U2600" s="119">
        <v>46320</v>
      </c>
      <c r="V2600" s="94"/>
      <c r="W2600" s="94"/>
      <c r="X2600" s="94"/>
      <c r="Y2600" s="119">
        <v>46320</v>
      </c>
      <c r="Z2600" s="94"/>
      <c r="AA2600" s="120"/>
      <c r="AB2600" s="120"/>
      <c r="AC2600" s="120"/>
      <c r="AD2600" s="120"/>
      <c r="AE2600" s="120"/>
      <c r="AF2600" s="120"/>
      <c r="AG2600" s="94"/>
      <c r="AH2600" s="120"/>
      <c r="AI2600" s="94"/>
      <c r="AJ2600" s="94" t="s">
        <v>160</v>
      </c>
      <c r="AK2600" s="94" t="s">
        <v>159</v>
      </c>
      <c r="AL2600" s="94">
        <v>160</v>
      </c>
      <c r="AM2600" s="94" t="str">
        <f>TRIM(AJ2600)&amp;TRIM(AL2600)&amp;TRIM(AK2600)</f>
      </c>
      <c r="AN2600" s="116">
        <v>1264.17</v>
      </c>
      <c r="AO2600" s="116">
        <v>-24.17</v>
      </c>
      <c r="AP2600" s="116">
        <f>SUMIFS(M:M,AM:AM,AM2600)+SUMIFS(O:O,AM:AM,AM2600)</f>
      </c>
      <c r="AQ2600" s="116">
        <f>SUMIFS(L:L,AM:AM,AM2600)</f>
      </c>
      <c r="AR2600" s="116">
        <f>AQ2600-AP2600</f>
      </c>
      <c r="AS2600" s="94" t="str">
        <f>IF(AN2600&gt;=AQ2600,"ok","ck")</f>
      </c>
      <c r="AT2600" s="116">
        <f>-P2600</f>
      </c>
      <c r="AU2600" s="115">
        <f>IF(SUMIFS(AT:AT,AM:AM,AM2600)&gt;AO2600,(SUMIFS(AT:AT,AM:AM,AM2600)-AO2600))</f>
      </c>
      <c r="AV2600" s="116">
        <v>1264.17</v>
      </c>
      <c r="AW2600" s="121">
        <v>1.019</v>
      </c>
      <c r="AX2600" s="115">
        <f>AN2600-AP2600</f>
      </c>
    </row>
    <row r="2601" spans="1:50" ht="15" hidden="1" customHeight="1" x14ac:dyDescent="0.3">
      <c r="A2601" s="94" t="s">
        <v>151</v>
      </c>
      <c r="B2601" s="94"/>
      <c r="C2601" s="94"/>
      <c r="D2601" s="94"/>
      <c r="E2601" s="94"/>
      <c r="F2601" s="94"/>
      <c r="G2601" s="112">
        <f>AU2601</f>
      </c>
      <c r="H2601" s="113"/>
      <c r="I2601" s="94" t="s">
        <v>152</v>
      </c>
      <c r="J2601" s="94" t="s">
        <v>159</v>
      </c>
      <c r="K2601" s="114">
        <f>P2601/3</f>
      </c>
      <c r="L2601" s="115">
        <v>-1.135</v>
      </c>
      <c r="M2601" s="116">
        <f>L2601</f>
      </c>
      <c r="N2601" s="117">
        <f>M2601-L2601</f>
      </c>
      <c r="O2601" s="112"/>
      <c r="P2601" s="118">
        <f>N2601+O2601</f>
      </c>
      <c r="Q2601" s="94" t="s">
        <v>160</v>
      </c>
      <c r="R2601" s="94" t="s">
        <v>63</v>
      </c>
      <c r="S2601" s="119">
        <v>46342</v>
      </c>
      <c r="T2601" s="119"/>
      <c r="U2601" s="119">
        <v>46342</v>
      </c>
      <c r="V2601" s="94"/>
      <c r="W2601" s="94"/>
      <c r="X2601" s="94"/>
      <c r="Y2601" s="119">
        <v>46342</v>
      </c>
      <c r="Z2601" s="94"/>
      <c r="AA2601" s="120"/>
      <c r="AB2601" s="120"/>
      <c r="AC2601" s="120"/>
      <c r="AD2601" s="120"/>
      <c r="AE2601" s="120"/>
      <c r="AF2601" s="120"/>
      <c r="AG2601" s="94"/>
      <c r="AH2601" s="120"/>
      <c r="AI2601" s="94"/>
      <c r="AJ2601" s="94" t="s">
        <v>160</v>
      </c>
      <c r="AK2601" s="94" t="s">
        <v>159</v>
      </c>
      <c r="AL2601" s="94">
        <v>160</v>
      </c>
      <c r="AM2601" s="94" t="str">
        <f>TRIM(AJ2601)&amp;TRIM(AL2601)&amp;TRIM(AK2601)</f>
      </c>
      <c r="AN2601" s="116">
        <v>1264.17</v>
      </c>
      <c r="AO2601" s="116">
        <v>-24.17</v>
      </c>
      <c r="AP2601" s="116">
        <f>SUMIFS(M:M,AM:AM,AM2601)+SUMIFS(O:O,AM:AM,AM2601)</f>
      </c>
      <c r="AQ2601" s="116">
        <f>SUMIFS(L:L,AM:AM,AM2601)</f>
      </c>
      <c r="AR2601" s="116">
        <f>AQ2601-AP2601</f>
      </c>
      <c r="AS2601" s="94" t="str">
        <f>IF(AN2601&gt;=AQ2601,"ok","ck")</f>
      </c>
      <c r="AT2601" s="116">
        <f>-P2601</f>
      </c>
      <c r="AU2601" s="115">
        <f>IF(SUMIFS(AT:AT,AM:AM,AM2601)&gt;AO2601,(SUMIFS(AT:AT,AM:AM,AM2601)-AO2601))</f>
      </c>
      <c r="AV2601" s="116">
        <v>1264.17</v>
      </c>
      <c r="AW2601" s="121">
        <v>1.019</v>
      </c>
      <c r="AX2601" s="115">
        <f>AN2601-AP2601</f>
      </c>
    </row>
    <row r="2602" spans="1:50" ht="15" hidden="1" customHeight="1" x14ac:dyDescent="0.3">
      <c r="A2602" s="94" t="s">
        <v>151</v>
      </c>
      <c r="B2602" s="94"/>
      <c r="C2602" s="94"/>
      <c r="D2602" s="94"/>
      <c r="E2602" s="94"/>
      <c r="F2602" s="94"/>
      <c r="G2602" s="112">
        <f>AU2602</f>
      </c>
      <c r="H2602" s="113"/>
      <c r="I2602" s="94" t="s">
        <v>152</v>
      </c>
      <c r="J2602" s="94" t="s">
        <v>159</v>
      </c>
      <c r="K2602" s="114">
        <f>P2602/3</f>
      </c>
      <c r="L2602" s="115">
        <v>-1.5009999999999999</v>
      </c>
      <c r="M2602" s="116">
        <f>L2602</f>
      </c>
      <c r="N2602" s="117">
        <f>M2602-L2602</f>
      </c>
      <c r="O2602" s="112"/>
      <c r="P2602" s="118">
        <f>N2602+O2602</f>
      </c>
      <c r="Q2602" s="94" t="s">
        <v>160</v>
      </c>
      <c r="R2602" s="94" t="s">
        <v>63</v>
      </c>
      <c r="S2602" s="119">
        <v>46320</v>
      </c>
      <c r="T2602" s="119"/>
      <c r="U2602" s="119">
        <v>46320</v>
      </c>
      <c r="V2602" s="94"/>
      <c r="W2602" s="94"/>
      <c r="X2602" s="94"/>
      <c r="Y2602" s="119">
        <v>46320</v>
      </c>
      <c r="Z2602" s="94"/>
      <c r="AA2602" s="120"/>
      <c r="AB2602" s="120"/>
      <c r="AC2602" s="120"/>
      <c r="AD2602" s="120"/>
      <c r="AE2602" s="120"/>
      <c r="AF2602" s="120"/>
      <c r="AG2602" s="94"/>
      <c r="AH2602" s="120"/>
      <c r="AI2602" s="94"/>
      <c r="AJ2602" s="94" t="s">
        <v>160</v>
      </c>
      <c r="AK2602" s="94" t="s">
        <v>159</v>
      </c>
      <c r="AL2602" s="94">
        <v>160</v>
      </c>
      <c r="AM2602" s="94" t="str">
        <f>TRIM(AJ2602)&amp;TRIM(AL2602)&amp;TRIM(AK2602)</f>
      </c>
      <c r="AN2602" s="116">
        <v>1264.17</v>
      </c>
      <c r="AO2602" s="116">
        <v>-24.17</v>
      </c>
      <c r="AP2602" s="116">
        <f>SUMIFS(M:M,AM:AM,AM2602)+SUMIFS(O:O,AM:AM,AM2602)</f>
      </c>
      <c r="AQ2602" s="116">
        <f>SUMIFS(L:L,AM:AM,AM2602)</f>
      </c>
      <c r="AR2602" s="116">
        <f>AQ2602-AP2602</f>
      </c>
      <c r="AS2602" s="94" t="str">
        <f>IF(AN2602&gt;=AQ2602,"ok","ck")</f>
      </c>
      <c r="AT2602" s="116">
        <f>-P2602</f>
      </c>
      <c r="AU2602" s="115">
        <f>IF(SUMIFS(AT:AT,AM:AM,AM2602)&gt;AO2602,(SUMIFS(AT:AT,AM:AM,AM2602)-AO2602))</f>
      </c>
      <c r="AV2602" s="116">
        <v>1264.17</v>
      </c>
      <c r="AW2602" s="121">
        <v>1.019</v>
      </c>
      <c r="AX2602" s="115">
        <f>AN2602-AP2602</f>
      </c>
    </row>
    <row r="2603" spans="1:50" ht="15" hidden="1" customHeight="1" x14ac:dyDescent="0.3">
      <c r="A2603" s="94" t="s">
        <v>151</v>
      </c>
      <c r="B2603" s="94"/>
      <c r="C2603" s="94"/>
      <c r="D2603" s="94"/>
      <c r="E2603" s="94"/>
      <c r="F2603" s="94"/>
      <c r="G2603" s="112">
        <f>AU2603</f>
      </c>
      <c r="H2603" s="113"/>
      <c r="I2603" s="94" t="s">
        <v>152</v>
      </c>
      <c r="J2603" s="94" t="s">
        <v>159</v>
      </c>
      <c r="K2603" s="114">
        <f>P2603/3</f>
      </c>
      <c r="L2603" s="115">
        <v>-0.85799999999999998</v>
      </c>
      <c r="M2603" s="116">
        <f>L2603</f>
      </c>
      <c r="N2603" s="117">
        <f>M2603-L2603</f>
      </c>
      <c r="O2603" s="112"/>
      <c r="P2603" s="118">
        <f>N2603+O2603</f>
      </c>
      <c r="Q2603" s="94" t="s">
        <v>160</v>
      </c>
      <c r="R2603" s="94" t="s">
        <v>63</v>
      </c>
      <c r="S2603" s="119">
        <v>46330</v>
      </c>
      <c r="T2603" s="119"/>
      <c r="U2603" s="119">
        <v>46330</v>
      </c>
      <c r="V2603" s="94"/>
      <c r="W2603" s="94"/>
      <c r="X2603" s="94"/>
      <c r="Y2603" s="119">
        <v>46330</v>
      </c>
      <c r="Z2603" s="94"/>
      <c r="AA2603" s="120"/>
      <c r="AB2603" s="120"/>
      <c r="AC2603" s="120"/>
      <c r="AD2603" s="120"/>
      <c r="AE2603" s="120"/>
      <c r="AF2603" s="120"/>
      <c r="AG2603" s="94"/>
      <c r="AH2603" s="120"/>
      <c r="AI2603" s="94"/>
      <c r="AJ2603" s="94" t="s">
        <v>160</v>
      </c>
      <c r="AK2603" s="94" t="s">
        <v>159</v>
      </c>
      <c r="AL2603" s="94">
        <v>160</v>
      </c>
      <c r="AM2603" s="94" t="str">
        <f>TRIM(AJ2603)&amp;TRIM(AL2603)&amp;TRIM(AK2603)</f>
      </c>
      <c r="AN2603" s="116">
        <v>1264.17</v>
      </c>
      <c r="AO2603" s="116">
        <v>-24.17</v>
      </c>
      <c r="AP2603" s="116">
        <f>SUMIFS(M:M,AM:AM,AM2603)+SUMIFS(O:O,AM:AM,AM2603)</f>
      </c>
      <c r="AQ2603" s="116">
        <f>SUMIFS(L:L,AM:AM,AM2603)</f>
      </c>
      <c r="AR2603" s="116">
        <f>AQ2603-AP2603</f>
      </c>
      <c r="AS2603" s="94" t="str">
        <f>IF(AN2603&gt;=AQ2603,"ok","ck")</f>
      </c>
      <c r="AT2603" s="116">
        <f>-P2603</f>
      </c>
      <c r="AU2603" s="115">
        <f>IF(SUMIFS(AT:AT,AM:AM,AM2603)&gt;AO2603,(SUMIFS(AT:AT,AM:AM,AM2603)-AO2603))</f>
      </c>
      <c r="AV2603" s="116">
        <v>1264.17</v>
      </c>
      <c r="AW2603" s="121">
        <v>1.019</v>
      </c>
      <c r="AX2603" s="115">
        <f>AN2603-AP2603</f>
      </c>
    </row>
    <row r="2604" spans="1:50" ht="15" hidden="1" customHeight="1" x14ac:dyDescent="0.3">
      <c r="A2604" s="94" t="s">
        <v>151</v>
      </c>
      <c r="B2604" s="94"/>
      <c r="C2604" s="94"/>
      <c r="D2604" s="94"/>
      <c r="E2604" s="94"/>
      <c r="F2604" s="94"/>
      <c r="G2604" s="112">
        <f>AU2604</f>
      </c>
      <c r="H2604" s="113"/>
      <c r="I2604" s="94" t="s">
        <v>152</v>
      </c>
      <c r="J2604" s="94" t="s">
        <v>159</v>
      </c>
      <c r="K2604" s="114">
        <f>P2604/3</f>
      </c>
      <c r="L2604" s="115">
        <v>-0.85799999999999998</v>
      </c>
      <c r="M2604" s="116">
        <f>L2604</f>
      </c>
      <c r="N2604" s="117">
        <f>M2604-L2604</f>
      </c>
      <c r="O2604" s="112"/>
      <c r="P2604" s="118">
        <f>N2604+O2604</f>
      </c>
      <c r="Q2604" s="94" t="s">
        <v>160</v>
      </c>
      <c r="R2604" s="94" t="s">
        <v>63</v>
      </c>
      <c r="S2604" s="119">
        <v>46334</v>
      </c>
      <c r="T2604" s="119"/>
      <c r="U2604" s="119">
        <v>46334</v>
      </c>
      <c r="V2604" s="94"/>
      <c r="W2604" s="94"/>
      <c r="X2604" s="94"/>
      <c r="Y2604" s="119">
        <v>46334</v>
      </c>
      <c r="Z2604" s="94"/>
      <c r="AA2604" s="120"/>
      <c r="AB2604" s="120"/>
      <c r="AC2604" s="120"/>
      <c r="AD2604" s="120"/>
      <c r="AE2604" s="120"/>
      <c r="AF2604" s="120"/>
      <c r="AG2604" s="94"/>
      <c r="AH2604" s="120"/>
      <c r="AI2604" s="94"/>
      <c r="AJ2604" s="94" t="s">
        <v>160</v>
      </c>
      <c r="AK2604" s="94" t="s">
        <v>159</v>
      </c>
      <c r="AL2604" s="94">
        <v>160</v>
      </c>
      <c r="AM2604" s="94" t="str">
        <f>TRIM(AJ2604)&amp;TRIM(AL2604)&amp;TRIM(AK2604)</f>
      </c>
      <c r="AN2604" s="116">
        <v>1264.17</v>
      </c>
      <c r="AO2604" s="116">
        <v>-24.17</v>
      </c>
      <c r="AP2604" s="116">
        <f>SUMIFS(M:M,AM:AM,AM2604)+SUMIFS(O:O,AM:AM,AM2604)</f>
      </c>
      <c r="AQ2604" s="116">
        <f>SUMIFS(L:L,AM:AM,AM2604)</f>
      </c>
      <c r="AR2604" s="116">
        <f>AQ2604-AP2604</f>
      </c>
      <c r="AS2604" s="94" t="str">
        <f>IF(AN2604&gt;=AQ2604,"ok","ck")</f>
      </c>
      <c r="AT2604" s="116">
        <f>-P2604</f>
      </c>
      <c r="AU2604" s="115">
        <f>IF(SUMIFS(AT:AT,AM:AM,AM2604)&gt;AO2604,(SUMIFS(AT:AT,AM:AM,AM2604)-AO2604))</f>
      </c>
      <c r="AV2604" s="116">
        <v>1264.17</v>
      </c>
      <c r="AW2604" s="121">
        <v>1.019</v>
      </c>
      <c r="AX2604" s="115">
        <f>AN2604-AP2604</f>
      </c>
    </row>
    <row r="2605" spans="1:50" ht="15" hidden="1" customHeight="1" x14ac:dyDescent="0.3">
      <c r="A2605" s="94" t="s">
        <v>151</v>
      </c>
      <c r="B2605" s="94"/>
      <c r="C2605" s="94"/>
      <c r="D2605" s="94"/>
      <c r="E2605" s="94"/>
      <c r="F2605" s="94"/>
      <c r="G2605" s="112">
        <f>AU2605</f>
      </c>
      <c r="H2605" s="113"/>
      <c r="I2605" s="94" t="s">
        <v>152</v>
      </c>
      <c r="J2605" s="94" t="s">
        <v>159</v>
      </c>
      <c r="K2605" s="114">
        <f>P2605/3</f>
      </c>
      <c r="L2605" s="115">
        <v>-2.4239999999999999</v>
      </c>
      <c r="M2605" s="116">
        <f>L2605</f>
      </c>
      <c r="N2605" s="117">
        <f>M2605-L2605</f>
      </c>
      <c r="O2605" s="112"/>
      <c r="P2605" s="118">
        <f>N2605+O2605</f>
      </c>
      <c r="Q2605" s="94" t="s">
        <v>160</v>
      </c>
      <c r="R2605" s="94" t="s">
        <v>63</v>
      </c>
      <c r="S2605" s="119">
        <v>46320</v>
      </c>
      <c r="T2605" s="119"/>
      <c r="U2605" s="119">
        <v>46320</v>
      </c>
      <c r="V2605" s="94"/>
      <c r="W2605" s="94"/>
      <c r="X2605" s="94"/>
      <c r="Y2605" s="119">
        <v>46320</v>
      </c>
      <c r="Z2605" s="94"/>
      <c r="AA2605" s="120"/>
      <c r="AB2605" s="120"/>
      <c r="AC2605" s="120"/>
      <c r="AD2605" s="120"/>
      <c r="AE2605" s="120"/>
      <c r="AF2605" s="120"/>
      <c r="AG2605" s="94"/>
      <c r="AH2605" s="120"/>
      <c r="AI2605" s="94"/>
      <c r="AJ2605" s="94" t="s">
        <v>160</v>
      </c>
      <c r="AK2605" s="94" t="s">
        <v>159</v>
      </c>
      <c r="AL2605" s="94">
        <v>160</v>
      </c>
      <c r="AM2605" s="94" t="str">
        <f>TRIM(AJ2605)&amp;TRIM(AL2605)&amp;TRIM(AK2605)</f>
      </c>
      <c r="AN2605" s="116">
        <v>1264.17</v>
      </c>
      <c r="AO2605" s="116">
        <v>-24.17</v>
      </c>
      <c r="AP2605" s="116">
        <f>SUMIFS(M:M,AM:AM,AM2605)+SUMIFS(O:O,AM:AM,AM2605)</f>
      </c>
      <c r="AQ2605" s="116">
        <f>SUMIFS(L:L,AM:AM,AM2605)</f>
      </c>
      <c r="AR2605" s="116">
        <f>AQ2605-AP2605</f>
      </c>
      <c r="AS2605" s="94" t="str">
        <f>IF(AN2605&gt;=AQ2605,"ok","ck")</f>
      </c>
      <c r="AT2605" s="116">
        <f>-P2605</f>
      </c>
      <c r="AU2605" s="115">
        <f>IF(SUMIFS(AT:AT,AM:AM,AM2605)&gt;AO2605,(SUMIFS(AT:AT,AM:AM,AM2605)-AO2605))</f>
      </c>
      <c r="AV2605" s="116">
        <v>1264.17</v>
      </c>
      <c r="AW2605" s="121">
        <v>1.019</v>
      </c>
      <c r="AX2605" s="115">
        <f>AN2605-AP2605</f>
      </c>
    </row>
    <row r="2606" spans="1:50" ht="15" hidden="1" customHeight="1" x14ac:dyDescent="0.3">
      <c r="A2606" s="94" t="s">
        <v>481</v>
      </c>
      <c r="B2606" s="94"/>
      <c r="C2606" s="94"/>
      <c r="D2606" s="94"/>
      <c r="E2606" s="94"/>
      <c r="F2606" s="94"/>
      <c r="G2606" s="112">
        <f>AU2606</f>
      </c>
      <c r="H2606" s="113"/>
      <c r="I2606" s="94" t="s">
        <v>209</v>
      </c>
      <c r="J2606" s="94" t="s">
        <v>156</v>
      </c>
      <c r="K2606" s="114">
        <f>P2606/3</f>
      </c>
      <c r="L2606" s="115">
        <v>4300.2</v>
      </c>
      <c r="M2606" s="116"/>
      <c r="N2606" s="117">
        <f>M2606-L2606</f>
      </c>
      <c r="O2606" s="112"/>
      <c r="P2606" s="118">
        <f>N2606+O2606</f>
      </c>
      <c r="Q2606" s="94" t="s">
        <v>861</v>
      </c>
      <c r="R2606" s="94" t="s">
        <v>63</v>
      </c>
      <c r="S2606" s="119" t="s">
        <v>74</v>
      </c>
      <c r="T2606" s="119"/>
      <c r="U2606" s="119" t="s">
        <v>74</v>
      </c>
      <c r="V2606" s="94"/>
      <c r="W2606" s="94"/>
      <c r="X2606" s="94"/>
      <c r="Y2606" s="119">
        <v>46320</v>
      </c>
      <c r="Z2606" s="94"/>
      <c r="AA2606" s="120"/>
      <c r="AB2606" s="120"/>
      <c r="AC2606" s="120"/>
      <c r="AD2606" s="120"/>
      <c r="AE2606" s="120"/>
      <c r="AF2606" s="120"/>
      <c r="AG2606" s="94"/>
      <c r="AH2606" s="120"/>
      <c r="AI2606" s="94"/>
      <c r="AJ2606" s="94" t="s">
        <v>75</v>
      </c>
      <c r="AK2606" s="94" t="s">
        <v>75</v>
      </c>
      <c r="AL2606" s="94">
        <v>160</v>
      </c>
      <c r="AM2606" s="94" t="str">
        <f>TRIM(AJ2606)&amp;TRIM(AL2606)&amp;TRIM(AK2606)</f>
      </c>
      <c r="AN2606" s="116">
        <v>0</v>
      </c>
      <c r="AO2606" s="116" t="inlineStr">
        <is>
          <t>#NA</t>
        </is>
      </c>
      <c r="AP2606" s="116">
        <f>SUMIFS(M:M,AM:AM,AM2606)+SUMIFS(O:O,AM:AM,AM2606)</f>
      </c>
      <c r="AQ2606" s="116">
        <f>SUMIFS(L:L,AM:AM,AM2606)</f>
      </c>
      <c r="AR2606" s="116">
        <f>AQ2606-AP2606</f>
      </c>
      <c r="AS2606" s="94" t="str">
        <f>IF(AN2606&gt;=AQ2606,"ok","ck")</f>
      </c>
      <c r="AT2606" s="116">
        <f>-P2606</f>
      </c>
      <c r="AU2606" s="115">
        <f>IF(SUMIFS(AT:AT,AM:AM,AM2606)&gt;AO2606,(SUMIFS(AT:AT,AM:AM,AM2606)-AO2606))</f>
      </c>
      <c r="AV2606" s="116" t="e">
        <v>#N/A</v>
      </c>
      <c r="AW2606" s="121" t="e">
        <v>#N/A</v>
      </c>
      <c r="AX2606" s="115">
        <f>AN2606-AP2606</f>
      </c>
    </row>
    <row r="2607" spans="1:50" ht="15" hidden="1" customHeight="1" x14ac:dyDescent="0.3">
      <c r="A2607" s="94" t="s">
        <v>151</v>
      </c>
      <c r="B2607" s="94"/>
      <c r="C2607" s="94"/>
      <c r="D2607" s="94"/>
      <c r="E2607" s="94"/>
      <c r="F2607" s="94"/>
      <c r="G2607" s="112">
        <f>AU2607</f>
      </c>
      <c r="H2607" s="113"/>
      <c r="I2607" s="94" t="s">
        <v>152</v>
      </c>
      <c r="J2607" s="94" t="s">
        <v>159</v>
      </c>
      <c r="K2607" s="114">
        <f>P2607/3</f>
      </c>
      <c r="L2607" s="115">
        <v>-0.85799999999999998</v>
      </c>
      <c r="M2607" s="116">
        <f>L2607</f>
      </c>
      <c r="N2607" s="117">
        <f>M2607-L2607</f>
      </c>
      <c r="O2607" s="112"/>
      <c r="P2607" s="118">
        <f>N2607+O2607</f>
      </c>
      <c r="Q2607" s="94" t="s">
        <v>160</v>
      </c>
      <c r="R2607" s="94" t="s">
        <v>63</v>
      </c>
      <c r="S2607" s="119">
        <v>46327</v>
      </c>
      <c r="T2607" s="119"/>
      <c r="U2607" s="119">
        <v>46327</v>
      </c>
      <c r="V2607" s="94"/>
      <c r="W2607" s="94"/>
      <c r="X2607" s="94"/>
      <c r="Y2607" s="119">
        <v>46327</v>
      </c>
      <c r="Z2607" s="94"/>
      <c r="AA2607" s="120"/>
      <c r="AB2607" s="120"/>
      <c r="AC2607" s="120"/>
      <c r="AD2607" s="120"/>
      <c r="AE2607" s="120"/>
      <c r="AF2607" s="120"/>
      <c r="AG2607" s="94"/>
      <c r="AH2607" s="120"/>
      <c r="AI2607" s="94"/>
      <c r="AJ2607" s="94" t="s">
        <v>160</v>
      </c>
      <c r="AK2607" s="94" t="s">
        <v>159</v>
      </c>
      <c r="AL2607" s="94">
        <v>160</v>
      </c>
      <c r="AM2607" s="94" t="str">
        <f>TRIM(AJ2607)&amp;TRIM(AL2607)&amp;TRIM(AK2607)</f>
      </c>
      <c r="AN2607" s="116">
        <v>1264.17</v>
      </c>
      <c r="AO2607" s="116">
        <v>-24.17</v>
      </c>
      <c r="AP2607" s="116">
        <f>SUMIFS(M:M,AM:AM,AM2607)+SUMIFS(O:O,AM:AM,AM2607)</f>
      </c>
      <c r="AQ2607" s="116">
        <f>SUMIFS(L:L,AM:AM,AM2607)</f>
      </c>
      <c r="AR2607" s="116">
        <f>AQ2607-AP2607</f>
      </c>
      <c r="AS2607" s="94" t="str">
        <f>IF(AN2607&gt;=AQ2607,"ok","ck")</f>
      </c>
      <c r="AT2607" s="116">
        <f>-P2607</f>
      </c>
      <c r="AU2607" s="115">
        <f>IF(SUMIFS(AT:AT,AM:AM,AM2607)&gt;AO2607,(SUMIFS(AT:AT,AM:AM,AM2607)-AO2607))</f>
      </c>
      <c r="AV2607" s="116">
        <v>1264.17</v>
      </c>
      <c r="AW2607" s="121">
        <v>1.019</v>
      </c>
      <c r="AX2607" s="115">
        <f>AN2607-AP2607</f>
      </c>
    </row>
    <row r="2608" spans="1:50" ht="15" hidden="1" customHeight="1" x14ac:dyDescent="0.3">
      <c r="A2608" s="94" t="s">
        <v>151</v>
      </c>
      <c r="B2608" s="94"/>
      <c r="C2608" s="94"/>
      <c r="D2608" s="94"/>
      <c r="E2608" s="94"/>
      <c r="F2608" s="94"/>
      <c r="G2608" s="112">
        <f>AU2608</f>
      </c>
      <c r="H2608" s="113"/>
      <c r="I2608" s="94" t="s">
        <v>152</v>
      </c>
      <c r="J2608" s="94" t="s">
        <v>159</v>
      </c>
      <c r="K2608" s="114">
        <f>P2608/3</f>
      </c>
      <c r="L2608" s="115">
        <v>-0.85799999999999998</v>
      </c>
      <c r="M2608" s="116">
        <f>L2608</f>
      </c>
      <c r="N2608" s="117">
        <f>M2608-L2608</f>
      </c>
      <c r="O2608" s="112"/>
      <c r="P2608" s="118">
        <f>N2608+O2608</f>
      </c>
      <c r="Q2608" s="94" t="s">
        <v>160</v>
      </c>
      <c r="R2608" s="94" t="s">
        <v>63</v>
      </c>
      <c r="S2608" s="119">
        <v>46330</v>
      </c>
      <c r="T2608" s="119"/>
      <c r="U2608" s="119">
        <v>46330</v>
      </c>
      <c r="V2608" s="94"/>
      <c r="W2608" s="94"/>
      <c r="X2608" s="94"/>
      <c r="Y2608" s="119">
        <v>46330</v>
      </c>
      <c r="Z2608" s="94"/>
      <c r="AA2608" s="120"/>
      <c r="AB2608" s="120"/>
      <c r="AC2608" s="120"/>
      <c r="AD2608" s="120"/>
      <c r="AE2608" s="120"/>
      <c r="AF2608" s="120"/>
      <c r="AG2608" s="94"/>
      <c r="AH2608" s="120"/>
      <c r="AI2608" s="94"/>
      <c r="AJ2608" s="94" t="s">
        <v>160</v>
      </c>
      <c r="AK2608" s="94" t="s">
        <v>159</v>
      </c>
      <c r="AL2608" s="94">
        <v>160</v>
      </c>
      <c r="AM2608" s="94" t="str">
        <f>TRIM(AJ2608)&amp;TRIM(AL2608)&amp;TRIM(AK2608)</f>
      </c>
      <c r="AN2608" s="116">
        <v>1264.17</v>
      </c>
      <c r="AO2608" s="116">
        <v>-24.17</v>
      </c>
      <c r="AP2608" s="116">
        <f>SUMIFS(M:M,AM:AM,AM2608)+SUMIFS(O:O,AM:AM,AM2608)</f>
      </c>
      <c r="AQ2608" s="116">
        <f>SUMIFS(L:L,AM:AM,AM2608)</f>
      </c>
      <c r="AR2608" s="116">
        <f>AQ2608-AP2608</f>
      </c>
      <c r="AS2608" s="94" t="str">
        <f>IF(AN2608&gt;=AQ2608,"ok","ck")</f>
      </c>
      <c r="AT2608" s="116">
        <f>-P2608</f>
      </c>
      <c r="AU2608" s="115">
        <f>IF(SUMIFS(AT:AT,AM:AM,AM2608)&gt;AO2608,(SUMIFS(AT:AT,AM:AM,AM2608)-AO2608))</f>
      </c>
      <c r="AV2608" s="116">
        <v>1264.17</v>
      </c>
      <c r="AW2608" s="121">
        <v>1.019</v>
      </c>
      <c r="AX2608" s="115">
        <f>AN2608-AP2608</f>
      </c>
    </row>
    <row r="2609" spans="1:50" ht="15" hidden="1" customHeight="1" x14ac:dyDescent="0.3">
      <c r="A2609" s="94" t="s">
        <v>151</v>
      </c>
      <c r="B2609" s="94"/>
      <c r="C2609" s="94"/>
      <c r="D2609" s="94"/>
      <c r="E2609" s="94"/>
      <c r="F2609" s="94"/>
      <c r="G2609" s="112">
        <f>AU2609</f>
      </c>
      <c r="H2609" s="113"/>
      <c r="I2609" s="94" t="s">
        <v>152</v>
      </c>
      <c r="J2609" s="94" t="s">
        <v>159</v>
      </c>
      <c r="K2609" s="114">
        <f>P2609/3</f>
      </c>
      <c r="L2609" s="115">
        <v>-0.499</v>
      </c>
      <c r="M2609" s="116">
        <f>L2609</f>
      </c>
      <c r="N2609" s="117">
        <f>M2609-L2609</f>
      </c>
      <c r="O2609" s="112"/>
      <c r="P2609" s="118">
        <f>N2609+O2609</f>
      </c>
      <c r="Q2609" s="94" t="s">
        <v>160</v>
      </c>
      <c r="R2609" s="94" t="s">
        <v>63</v>
      </c>
      <c r="S2609" s="119">
        <v>46320</v>
      </c>
      <c r="T2609" s="119"/>
      <c r="U2609" s="119">
        <v>46320</v>
      </c>
      <c r="V2609" s="94"/>
      <c r="W2609" s="94"/>
      <c r="X2609" s="94"/>
      <c r="Y2609" s="119">
        <v>46320</v>
      </c>
      <c r="Z2609" s="94"/>
      <c r="AA2609" s="120"/>
      <c r="AB2609" s="120"/>
      <c r="AC2609" s="120"/>
      <c r="AD2609" s="120"/>
      <c r="AE2609" s="120"/>
      <c r="AF2609" s="120"/>
      <c r="AG2609" s="94"/>
      <c r="AH2609" s="120"/>
      <c r="AI2609" s="94"/>
      <c r="AJ2609" s="94" t="s">
        <v>160</v>
      </c>
      <c r="AK2609" s="94" t="s">
        <v>159</v>
      </c>
      <c r="AL2609" s="94">
        <v>160</v>
      </c>
      <c r="AM2609" s="94" t="str">
        <f>TRIM(AJ2609)&amp;TRIM(AL2609)&amp;TRIM(AK2609)</f>
      </c>
      <c r="AN2609" s="116">
        <v>1264.17</v>
      </c>
      <c r="AO2609" s="116">
        <v>-24.17</v>
      </c>
      <c r="AP2609" s="116">
        <f>SUMIFS(M:M,AM:AM,AM2609)+SUMIFS(O:O,AM:AM,AM2609)</f>
      </c>
      <c r="AQ2609" s="116">
        <f>SUMIFS(L:L,AM:AM,AM2609)</f>
      </c>
      <c r="AR2609" s="116">
        <f>AQ2609-AP2609</f>
      </c>
      <c r="AS2609" s="94" t="str">
        <f>IF(AN2609&gt;=AQ2609,"ok","ck")</f>
      </c>
      <c r="AT2609" s="116">
        <f>-P2609</f>
      </c>
      <c r="AU2609" s="115">
        <f>IF(SUMIFS(AT:AT,AM:AM,AM2609)&gt;AO2609,(SUMIFS(AT:AT,AM:AM,AM2609)-AO2609))</f>
      </c>
      <c r="AV2609" s="116">
        <v>1264.17</v>
      </c>
      <c r="AW2609" s="121">
        <v>1.019</v>
      </c>
      <c r="AX2609" s="115">
        <f>AN2609-AP2609</f>
      </c>
    </row>
    <row r="2610" spans="1:50" ht="15" hidden="1" customHeight="1" x14ac:dyDescent="0.3">
      <c r="A2610" s="94" t="s">
        <v>151</v>
      </c>
      <c r="B2610" s="94"/>
      <c r="C2610" s="94"/>
      <c r="D2610" s="94"/>
      <c r="E2610" s="94"/>
      <c r="F2610" s="94"/>
      <c r="G2610" s="112">
        <f>AU2610</f>
      </c>
      <c r="H2610" s="113"/>
      <c r="I2610" s="94" t="s">
        <v>152</v>
      </c>
      <c r="J2610" s="94" t="s">
        <v>159</v>
      </c>
      <c r="K2610" s="114">
        <f>P2610/3</f>
      </c>
      <c r="L2610" s="115">
        <v>-4.0000000000000001E-3</v>
      </c>
      <c r="M2610" s="116">
        <f>L2610</f>
      </c>
      <c r="N2610" s="117">
        <f>M2610-L2610</f>
      </c>
      <c r="O2610" s="112"/>
      <c r="P2610" s="118">
        <f>N2610+O2610</f>
      </c>
      <c r="Q2610" s="94" t="s">
        <v>160</v>
      </c>
      <c r="R2610" s="94" t="s">
        <v>63</v>
      </c>
      <c r="S2610" s="119">
        <v>46320</v>
      </c>
      <c r="T2610" s="119"/>
      <c r="U2610" s="119">
        <v>46320</v>
      </c>
      <c r="V2610" s="94"/>
      <c r="W2610" s="94"/>
      <c r="X2610" s="94"/>
      <c r="Y2610" s="119">
        <v>46320</v>
      </c>
      <c r="Z2610" s="94"/>
      <c r="AA2610" s="120"/>
      <c r="AB2610" s="120"/>
      <c r="AC2610" s="120"/>
      <c r="AD2610" s="120"/>
      <c r="AE2610" s="120"/>
      <c r="AF2610" s="120"/>
      <c r="AG2610" s="94"/>
      <c r="AH2610" s="120"/>
      <c r="AI2610" s="94"/>
      <c r="AJ2610" s="94" t="s">
        <v>160</v>
      </c>
      <c r="AK2610" s="94" t="s">
        <v>159</v>
      </c>
      <c r="AL2610" s="94">
        <v>160</v>
      </c>
      <c r="AM2610" s="94" t="str">
        <f>TRIM(AJ2610)&amp;TRIM(AL2610)&amp;TRIM(AK2610)</f>
      </c>
      <c r="AN2610" s="116">
        <v>1264.17</v>
      </c>
      <c r="AO2610" s="116">
        <v>-24.17</v>
      </c>
      <c r="AP2610" s="116">
        <f>SUMIFS(M:M,AM:AM,AM2610)+SUMIFS(O:O,AM:AM,AM2610)</f>
      </c>
      <c r="AQ2610" s="116">
        <f>SUMIFS(L:L,AM:AM,AM2610)</f>
      </c>
      <c r="AR2610" s="116">
        <f>AQ2610-AP2610</f>
      </c>
      <c r="AS2610" s="94" t="str">
        <f>IF(AN2610&gt;=AQ2610,"ok","ck")</f>
      </c>
      <c r="AT2610" s="116">
        <f>-P2610</f>
      </c>
      <c r="AU2610" s="115">
        <f>IF(SUMIFS(AT:AT,AM:AM,AM2610)&gt;AO2610,(SUMIFS(AT:AT,AM:AM,AM2610)-AO2610))</f>
      </c>
      <c r="AV2610" s="116">
        <v>1264.17</v>
      </c>
      <c r="AW2610" s="121">
        <v>1.019</v>
      </c>
      <c r="AX2610" s="115">
        <f>AN2610-AP2610</f>
      </c>
    </row>
    <row r="2611" spans="1:50" ht="15" hidden="1" customHeight="1" x14ac:dyDescent="0.3">
      <c r="A2611" s="94" t="s">
        <v>151</v>
      </c>
      <c r="B2611" s="94"/>
      <c r="C2611" s="94"/>
      <c r="D2611" s="94"/>
      <c r="E2611" s="94"/>
      <c r="F2611" s="94"/>
      <c r="G2611" s="112">
        <f>AU2611</f>
      </c>
      <c r="H2611" s="113"/>
      <c r="I2611" s="94" t="s">
        <v>152</v>
      </c>
      <c r="J2611" s="94" t="s">
        <v>159</v>
      </c>
      <c r="K2611" s="114">
        <f>P2611/3</f>
      </c>
      <c r="L2611" s="115">
        <v>-1.5009999999999999</v>
      </c>
      <c r="M2611" s="116">
        <f>L2611</f>
      </c>
      <c r="N2611" s="117">
        <f>M2611-L2611</f>
      </c>
      <c r="O2611" s="112"/>
      <c r="P2611" s="118">
        <f>N2611+O2611</f>
      </c>
      <c r="Q2611" s="94" t="s">
        <v>160</v>
      </c>
      <c r="R2611" s="94" t="s">
        <v>63</v>
      </c>
      <c r="S2611" s="119">
        <v>46320</v>
      </c>
      <c r="T2611" s="119"/>
      <c r="U2611" s="119">
        <v>46320</v>
      </c>
      <c r="V2611" s="94"/>
      <c r="W2611" s="94"/>
      <c r="X2611" s="94"/>
      <c r="Y2611" s="119">
        <v>46320</v>
      </c>
      <c r="Z2611" s="94"/>
      <c r="AA2611" s="120"/>
      <c r="AB2611" s="120"/>
      <c r="AC2611" s="120"/>
      <c r="AD2611" s="120"/>
      <c r="AE2611" s="120"/>
      <c r="AF2611" s="120"/>
      <c r="AG2611" s="94"/>
      <c r="AH2611" s="120"/>
      <c r="AI2611" s="94"/>
      <c r="AJ2611" s="94" t="s">
        <v>160</v>
      </c>
      <c r="AK2611" s="94" t="s">
        <v>159</v>
      </c>
      <c r="AL2611" s="94">
        <v>160</v>
      </c>
      <c r="AM2611" s="94" t="str">
        <f>TRIM(AJ2611)&amp;TRIM(AL2611)&amp;TRIM(AK2611)</f>
      </c>
      <c r="AN2611" s="116">
        <v>1264.17</v>
      </c>
      <c r="AO2611" s="116">
        <v>-24.17</v>
      </c>
      <c r="AP2611" s="116">
        <f>SUMIFS(M:M,AM:AM,AM2611)+SUMIFS(O:O,AM:AM,AM2611)</f>
      </c>
      <c r="AQ2611" s="116">
        <f>SUMIFS(L:L,AM:AM,AM2611)</f>
      </c>
      <c r="AR2611" s="116">
        <f>AQ2611-AP2611</f>
      </c>
      <c r="AS2611" s="94" t="str">
        <f>IF(AN2611&gt;=AQ2611,"ok","ck")</f>
      </c>
      <c r="AT2611" s="116">
        <f>-P2611</f>
      </c>
      <c r="AU2611" s="115">
        <f>IF(SUMIFS(AT:AT,AM:AM,AM2611)&gt;AO2611,(SUMIFS(AT:AT,AM:AM,AM2611)-AO2611))</f>
      </c>
      <c r="AV2611" s="116">
        <v>1264.17</v>
      </c>
      <c r="AW2611" s="121">
        <v>1.019</v>
      </c>
      <c r="AX2611" s="115">
        <f>AN2611-AP2611</f>
      </c>
    </row>
    <row r="2612" spans="1:50" ht="15" hidden="1" customHeight="1" x14ac:dyDescent="0.3">
      <c r="A2612" s="94" t="s">
        <v>151</v>
      </c>
      <c r="B2612" s="94"/>
      <c r="C2612" s="94"/>
      <c r="D2612" s="94"/>
      <c r="E2612" s="94"/>
      <c r="F2612" s="94"/>
      <c r="G2612" s="112">
        <f>AU2612</f>
      </c>
      <c r="H2612" s="113"/>
      <c r="I2612" s="94" t="s">
        <v>163</v>
      </c>
      <c r="J2612" s="94" t="s">
        <v>198</v>
      </c>
      <c r="K2612" s="114">
        <f>P2612/3</f>
      </c>
      <c r="L2612" s="115">
        <v>44.991999999999997</v>
      </c>
      <c r="M2612" s="116">
        <f>L2612</f>
      </c>
      <c r="N2612" s="117">
        <f>M2612-L2612</f>
      </c>
      <c r="O2612" s="112"/>
      <c r="P2612" s="118">
        <f>N2612+O2612</f>
      </c>
      <c r="Q2612" s="94" t="s">
        <v>165</v>
      </c>
      <c r="R2612" s="94" t="s">
        <v>63</v>
      </c>
      <c r="S2612" s="119">
        <v>46324</v>
      </c>
      <c r="T2612" s="119"/>
      <c r="U2612" s="119">
        <v>46324</v>
      </c>
      <c r="V2612" s="94"/>
      <c r="W2612" s="94"/>
      <c r="X2612" s="94"/>
      <c r="Y2612" s="119">
        <v>46324</v>
      </c>
      <c r="Z2612" s="94"/>
      <c r="AA2612" s="120"/>
      <c r="AB2612" s="120"/>
      <c r="AC2612" s="120"/>
      <c r="AD2612" s="120"/>
      <c r="AE2612" s="120"/>
      <c r="AF2612" s="120"/>
      <c r="AG2612" s="94"/>
      <c r="AH2612" s="120"/>
      <c r="AI2612" s="94"/>
      <c r="AJ2612" s="94" t="s">
        <v>165</v>
      </c>
      <c r="AK2612" s="94" t="s">
        <v>199</v>
      </c>
      <c r="AL2612" s="94">
        <v>160</v>
      </c>
      <c r="AM2612" s="94" t="str">
        <f>TRIM(AJ2612)&amp;TRIM(AL2612)&amp;TRIM(AK2612)</f>
      </c>
      <c r="AN2612" s="116">
        <v>240</v>
      </c>
      <c r="AO2612" s="116">
        <v>-8.46</v>
      </c>
      <c r="AP2612" s="116">
        <f>SUMIFS(M:M,AM:AM,AM2612)+SUMIFS(O:O,AM:AM,AM2612)</f>
      </c>
      <c r="AQ2612" s="116">
        <f>SUMIFS(L:L,AM:AM,AM2612)</f>
      </c>
      <c r="AR2612" s="116">
        <f>AQ2612-AP2612</f>
      </c>
      <c r="AS2612" s="94" t="str">
        <f>IF(AN2612&gt;=AQ2612,"ok","ck")</f>
      </c>
      <c r="AT2612" s="116">
        <f>-P2612</f>
      </c>
      <c r="AU2612" s="115">
        <f>IF(SUMIFS(AT:AT,AM:AM,AM2612)&gt;AO2612,(SUMIFS(AT:AT,AM:AM,AM2612)-AO2612))</f>
      </c>
      <c r="AV2612" s="116">
        <v>240</v>
      </c>
      <c r="AW2612" s="121">
        <v>1.037</v>
      </c>
      <c r="AX2612" s="115">
        <f>AN2612-AP2612</f>
      </c>
    </row>
    <row r="2613" spans="1:50" ht="15" hidden="1" customHeight="1" x14ac:dyDescent="0.3">
      <c r="A2613" s="94" t="s">
        <v>151</v>
      </c>
      <c r="B2613" s="94"/>
      <c r="C2613" s="94"/>
      <c r="D2613" s="94"/>
      <c r="E2613" s="94"/>
      <c r="F2613" s="94"/>
      <c r="G2613" s="112">
        <f>AU2613</f>
      </c>
      <c r="H2613" s="113"/>
      <c r="I2613" s="94" t="s">
        <v>163</v>
      </c>
      <c r="J2613" s="94" t="s">
        <v>198</v>
      </c>
      <c r="K2613" s="114">
        <f>P2613/3</f>
      </c>
      <c r="L2613" s="115">
        <v>44.991999999999997</v>
      </c>
      <c r="M2613" s="116">
        <f>L2613</f>
      </c>
      <c r="N2613" s="117">
        <f>M2613-L2613</f>
      </c>
      <c r="O2613" s="112"/>
      <c r="P2613" s="118">
        <f>N2613+O2613</f>
      </c>
      <c r="Q2613" s="94" t="s">
        <v>165</v>
      </c>
      <c r="R2613" s="94" t="s">
        <v>63</v>
      </c>
      <c r="S2613" s="119">
        <v>46324</v>
      </c>
      <c r="T2613" s="119"/>
      <c r="U2613" s="119">
        <v>46324</v>
      </c>
      <c r="V2613" s="94"/>
      <c r="W2613" s="94"/>
      <c r="X2613" s="94"/>
      <c r="Y2613" s="119">
        <v>46324</v>
      </c>
      <c r="Z2613" s="94"/>
      <c r="AA2613" s="120"/>
      <c r="AB2613" s="120"/>
      <c r="AC2613" s="120"/>
      <c r="AD2613" s="120"/>
      <c r="AE2613" s="120"/>
      <c r="AF2613" s="120"/>
      <c r="AG2613" s="94"/>
      <c r="AH2613" s="120"/>
      <c r="AI2613" s="94"/>
      <c r="AJ2613" s="94" t="s">
        <v>165</v>
      </c>
      <c r="AK2613" s="94" t="s">
        <v>199</v>
      </c>
      <c r="AL2613" s="94">
        <v>160</v>
      </c>
      <c r="AM2613" s="94" t="str">
        <f>TRIM(AJ2613)&amp;TRIM(AL2613)&amp;TRIM(AK2613)</f>
      </c>
      <c r="AN2613" s="116">
        <v>240</v>
      </c>
      <c r="AO2613" s="116">
        <v>-8.46</v>
      </c>
      <c r="AP2613" s="116">
        <f>SUMIFS(M:M,AM:AM,AM2613)+SUMIFS(O:O,AM:AM,AM2613)</f>
      </c>
      <c r="AQ2613" s="116">
        <f>SUMIFS(L:L,AM:AM,AM2613)</f>
      </c>
      <c r="AR2613" s="116">
        <f>AQ2613-AP2613</f>
      </c>
      <c r="AS2613" s="94" t="str">
        <f>IF(AN2613&gt;=AQ2613,"ok","ck")</f>
      </c>
      <c r="AT2613" s="116">
        <f>-P2613</f>
      </c>
      <c r="AU2613" s="115">
        <f>IF(SUMIFS(AT:AT,AM:AM,AM2613)&gt;AO2613,(SUMIFS(AT:AT,AM:AM,AM2613)-AO2613))</f>
      </c>
      <c r="AV2613" s="116">
        <v>240</v>
      </c>
      <c r="AW2613" s="121">
        <v>1.037</v>
      </c>
      <c r="AX2613" s="115">
        <f>AN2613-AP2613</f>
      </c>
    </row>
    <row r="2614" spans="1:50" ht="15" hidden="1" customHeight="1" x14ac:dyDescent="0.3">
      <c r="A2614" s="94" t="s">
        <v>151</v>
      </c>
      <c r="B2614" s="94"/>
      <c r="C2614" s="94"/>
      <c r="D2614" s="94"/>
      <c r="E2614" s="94"/>
      <c r="F2614" s="94"/>
      <c r="G2614" s="112">
        <f>AU2614</f>
      </c>
      <c r="H2614" s="113"/>
      <c r="I2614" s="94" t="s">
        <v>163</v>
      </c>
      <c r="J2614" s="94" t="s">
        <v>198</v>
      </c>
      <c r="K2614" s="114">
        <f>P2614/3</f>
      </c>
      <c r="L2614" s="115">
        <v>54</v>
      </c>
      <c r="M2614" s="116">
        <f>L2614</f>
      </c>
      <c r="N2614" s="117">
        <f>M2614-L2614</f>
      </c>
      <c r="O2614" s="112"/>
      <c r="P2614" s="118">
        <f>N2614+O2614</f>
      </c>
      <c r="Q2614" s="94" t="s">
        <v>165</v>
      </c>
      <c r="R2614" s="94" t="s">
        <v>63</v>
      </c>
      <c r="S2614" s="119">
        <v>46337</v>
      </c>
      <c r="T2614" s="119"/>
      <c r="U2614" s="119">
        <v>46337</v>
      </c>
      <c r="V2614" s="94"/>
      <c r="W2614" s="94"/>
      <c r="X2614" s="94"/>
      <c r="Y2614" s="119">
        <v>46337</v>
      </c>
      <c r="Z2614" s="94"/>
      <c r="AA2614" s="120"/>
      <c r="AB2614" s="120"/>
      <c r="AC2614" s="120"/>
      <c r="AD2614" s="120"/>
      <c r="AE2614" s="120"/>
      <c r="AF2614" s="120"/>
      <c r="AG2614" s="94"/>
      <c r="AH2614" s="120"/>
      <c r="AI2614" s="94"/>
      <c r="AJ2614" s="94" t="s">
        <v>165</v>
      </c>
      <c r="AK2614" s="94" t="s">
        <v>199</v>
      </c>
      <c r="AL2614" s="94">
        <v>160</v>
      </c>
      <c r="AM2614" s="94" t="str">
        <f>TRIM(AJ2614)&amp;TRIM(AL2614)&amp;TRIM(AK2614)</f>
      </c>
      <c r="AN2614" s="116">
        <v>240</v>
      </c>
      <c r="AO2614" s="116">
        <v>-8.46</v>
      </c>
      <c r="AP2614" s="116">
        <f>SUMIFS(M:M,AM:AM,AM2614)+SUMIFS(O:O,AM:AM,AM2614)</f>
      </c>
      <c r="AQ2614" s="116">
        <f>SUMIFS(L:L,AM:AM,AM2614)</f>
      </c>
      <c r="AR2614" s="116">
        <f>AQ2614-AP2614</f>
      </c>
      <c r="AS2614" s="94" t="str">
        <f>IF(AN2614&gt;=AQ2614,"ok","ck")</f>
      </c>
      <c r="AT2614" s="116">
        <f>-P2614</f>
      </c>
      <c r="AU2614" s="115">
        <f>IF(SUMIFS(AT:AT,AM:AM,AM2614)&gt;AO2614,(SUMIFS(AT:AT,AM:AM,AM2614)-AO2614))</f>
      </c>
      <c r="AV2614" s="116">
        <v>240</v>
      </c>
      <c r="AW2614" s="121">
        <v>1.037</v>
      </c>
      <c r="AX2614" s="115">
        <f>AN2614-AP2614</f>
      </c>
    </row>
    <row r="2615" spans="1:50" ht="15" hidden="1" customHeight="1" x14ac:dyDescent="0.3">
      <c r="A2615" s="94" t="s">
        <v>151</v>
      </c>
      <c r="B2615" s="94"/>
      <c r="C2615" s="94"/>
      <c r="D2615" s="94"/>
      <c r="E2615" s="94"/>
      <c r="F2615" s="94"/>
      <c r="G2615" s="112">
        <f>AU2615</f>
      </c>
      <c r="H2615" s="113"/>
      <c r="I2615" s="94" t="s">
        <v>163</v>
      </c>
      <c r="J2615" s="94" t="s">
        <v>180</v>
      </c>
      <c r="K2615" s="114">
        <f>P2615/3</f>
      </c>
      <c r="L2615" s="115">
        <v>0</v>
      </c>
      <c r="M2615" s="116">
        <f>L2615</f>
      </c>
      <c r="N2615" s="117">
        <f>M2615-L2615</f>
      </c>
      <c r="O2615" s="112"/>
      <c r="P2615" s="118">
        <f>N2615+O2615</f>
      </c>
      <c r="Q2615" s="94" t="s">
        <v>165</v>
      </c>
      <c r="R2615" s="94" t="s">
        <v>63</v>
      </c>
      <c r="S2615" s="119">
        <v>46324</v>
      </c>
      <c r="T2615" s="119"/>
      <c r="U2615" s="119">
        <v>46324</v>
      </c>
      <c r="V2615" s="94"/>
      <c r="W2615" s="94"/>
      <c r="X2615" s="94"/>
      <c r="Y2615" s="119">
        <v>46324</v>
      </c>
      <c r="Z2615" s="94"/>
      <c r="AA2615" s="120"/>
      <c r="AB2615" s="120"/>
      <c r="AC2615" s="120"/>
      <c r="AD2615" s="120"/>
      <c r="AE2615" s="120"/>
      <c r="AF2615" s="120"/>
      <c r="AG2615" s="94"/>
      <c r="AH2615" s="120"/>
      <c r="AI2615" s="94"/>
      <c r="AJ2615" s="94" t="s">
        <v>165</v>
      </c>
      <c r="AK2615" s="94" t="s">
        <v>181</v>
      </c>
      <c r="AL2615" s="94">
        <v>160</v>
      </c>
      <c r="AM2615" s="94" t="str">
        <f>TRIM(AJ2615)&amp;TRIM(AL2615)&amp;TRIM(AK2615)</f>
      </c>
      <c r="AN2615" s="116">
        <v>231</v>
      </c>
      <c r="AO2615" s="116">
        <v>0.54</v>
      </c>
      <c r="AP2615" s="116">
        <f>SUMIFS(M:M,AM:AM,AM2615)+SUMIFS(O:O,AM:AM,AM2615)</f>
      </c>
      <c r="AQ2615" s="116">
        <f>SUMIFS(L:L,AM:AM,AM2615)</f>
      </c>
      <c r="AR2615" s="116">
        <f>AQ2615-AP2615</f>
      </c>
      <c r="AS2615" s="94" t="str">
        <f>IF(AN2615&gt;=AQ2615,"ok","ck")</f>
      </c>
      <c r="AT2615" s="116">
        <f>-P2615</f>
      </c>
      <c r="AU2615" s="115">
        <f>IF(SUMIFS(AT:AT,AM:AM,AM2615)&gt;AO2615,(SUMIFS(AT:AT,AM:AM,AM2615)-AO2615))</f>
      </c>
      <c r="AV2615" s="116">
        <v>231</v>
      </c>
      <c r="AW2615" s="121">
        <v>0.998</v>
      </c>
      <c r="AX2615" s="115">
        <f>AN2615-AP2615</f>
      </c>
    </row>
    <row r="2616" spans="1:50" ht="15" hidden="1" customHeight="1" x14ac:dyDescent="0.3">
      <c r="A2616" s="94" t="s">
        <v>151</v>
      </c>
      <c r="B2616" s="94"/>
      <c r="C2616" s="94"/>
      <c r="D2616" s="94"/>
      <c r="E2616" s="94"/>
      <c r="F2616" s="94"/>
      <c r="G2616" s="112">
        <f>AU2616</f>
      </c>
      <c r="H2616" s="113"/>
      <c r="I2616" s="94" t="s">
        <v>163</v>
      </c>
      <c r="J2616" s="94" t="s">
        <v>180</v>
      </c>
      <c r="K2616" s="114">
        <f>P2616/3</f>
      </c>
      <c r="L2616" s="115">
        <v>0</v>
      </c>
      <c r="M2616" s="116">
        <f>L2616</f>
      </c>
      <c r="N2616" s="117">
        <f>M2616-L2616</f>
      </c>
      <c r="O2616" s="112"/>
      <c r="P2616" s="118">
        <f>N2616+O2616</f>
      </c>
      <c r="Q2616" s="94" t="s">
        <v>165</v>
      </c>
      <c r="R2616" s="94" t="s">
        <v>63</v>
      </c>
      <c r="S2616" s="119">
        <v>46324</v>
      </c>
      <c r="T2616" s="119"/>
      <c r="U2616" s="119">
        <v>46324</v>
      </c>
      <c r="V2616" s="94"/>
      <c r="W2616" s="94"/>
      <c r="X2616" s="94"/>
      <c r="Y2616" s="119">
        <v>46324</v>
      </c>
      <c r="Z2616" s="94"/>
      <c r="AA2616" s="120"/>
      <c r="AB2616" s="120"/>
      <c r="AC2616" s="120"/>
      <c r="AD2616" s="120"/>
      <c r="AE2616" s="120"/>
      <c r="AF2616" s="120"/>
      <c r="AG2616" s="94"/>
      <c r="AH2616" s="120"/>
      <c r="AI2616" s="94"/>
      <c r="AJ2616" s="94" t="s">
        <v>165</v>
      </c>
      <c r="AK2616" s="94" t="s">
        <v>181</v>
      </c>
      <c r="AL2616" s="94">
        <v>160</v>
      </c>
      <c r="AM2616" s="94" t="str">
        <f>TRIM(AJ2616)&amp;TRIM(AL2616)&amp;TRIM(AK2616)</f>
      </c>
      <c r="AN2616" s="116">
        <v>231</v>
      </c>
      <c r="AO2616" s="116">
        <v>0.54</v>
      </c>
      <c r="AP2616" s="116">
        <f>SUMIFS(M:M,AM:AM,AM2616)+SUMIFS(O:O,AM:AM,AM2616)</f>
      </c>
      <c r="AQ2616" s="116">
        <f>SUMIFS(L:L,AM:AM,AM2616)</f>
      </c>
      <c r="AR2616" s="116">
        <f>AQ2616-AP2616</f>
      </c>
      <c r="AS2616" s="94" t="str">
        <f>IF(AN2616&gt;=AQ2616,"ok","ck")</f>
      </c>
      <c r="AT2616" s="116">
        <f>-P2616</f>
      </c>
      <c r="AU2616" s="115">
        <f>IF(SUMIFS(AT:AT,AM:AM,AM2616)&gt;AO2616,(SUMIFS(AT:AT,AM:AM,AM2616)-AO2616))</f>
      </c>
      <c r="AV2616" s="116">
        <v>231</v>
      </c>
      <c r="AW2616" s="121">
        <v>0.998</v>
      </c>
      <c r="AX2616" s="115">
        <f>AN2616-AP2616</f>
      </c>
    </row>
    <row r="2617" spans="1:50" ht="15" hidden="1" customHeight="1" x14ac:dyDescent="0.3">
      <c r="A2617" s="94" t="s">
        <v>151</v>
      </c>
      <c r="B2617" s="94"/>
      <c r="C2617" s="94"/>
      <c r="D2617" s="94"/>
      <c r="E2617" s="94"/>
      <c r="F2617" s="94"/>
      <c r="G2617" s="112">
        <f>AU2617</f>
      </c>
      <c r="H2617" s="113"/>
      <c r="I2617" s="94" t="s">
        <v>163</v>
      </c>
      <c r="J2617" s="94" t="s">
        <v>180</v>
      </c>
      <c r="K2617" s="114">
        <f>P2617/3</f>
      </c>
      <c r="L2617" s="115">
        <v>8.4000000000000005E-2</v>
      </c>
      <c r="M2617" s="116">
        <f>L2617</f>
      </c>
      <c r="N2617" s="117">
        <f>M2617-L2617</f>
      </c>
      <c r="O2617" s="112"/>
      <c r="P2617" s="118">
        <f>N2617+O2617</f>
      </c>
      <c r="Q2617" s="94" t="s">
        <v>165</v>
      </c>
      <c r="R2617" s="94" t="s">
        <v>63</v>
      </c>
      <c r="S2617" s="119">
        <v>46337</v>
      </c>
      <c r="T2617" s="119"/>
      <c r="U2617" s="119">
        <v>46337</v>
      </c>
      <c r="V2617" s="94"/>
      <c r="W2617" s="94"/>
      <c r="X2617" s="94"/>
      <c r="Y2617" s="119">
        <v>46337</v>
      </c>
      <c r="Z2617" s="94"/>
      <c r="AA2617" s="120"/>
      <c r="AB2617" s="120"/>
      <c r="AC2617" s="120"/>
      <c r="AD2617" s="120"/>
      <c r="AE2617" s="120"/>
      <c r="AF2617" s="120"/>
      <c r="AG2617" s="94"/>
      <c r="AH2617" s="120"/>
      <c r="AI2617" s="94"/>
      <c r="AJ2617" s="94" t="s">
        <v>165</v>
      </c>
      <c r="AK2617" s="94" t="s">
        <v>181</v>
      </c>
      <c r="AL2617" s="94">
        <v>160</v>
      </c>
      <c r="AM2617" s="94" t="str">
        <f>TRIM(AJ2617)&amp;TRIM(AL2617)&amp;TRIM(AK2617)</f>
      </c>
      <c r="AN2617" s="116">
        <v>231</v>
      </c>
      <c r="AO2617" s="116">
        <v>0.54</v>
      </c>
      <c r="AP2617" s="116">
        <f>SUMIFS(M:M,AM:AM,AM2617)+SUMIFS(O:O,AM:AM,AM2617)</f>
      </c>
      <c r="AQ2617" s="116">
        <f>SUMIFS(L:L,AM:AM,AM2617)</f>
      </c>
      <c r="AR2617" s="116">
        <f>AQ2617-AP2617</f>
      </c>
      <c r="AS2617" s="94" t="str">
        <f>IF(AN2617&gt;=AQ2617,"ok","ck")</f>
      </c>
      <c r="AT2617" s="116">
        <f>-P2617</f>
      </c>
      <c r="AU2617" s="115">
        <f>IF(SUMIFS(AT:AT,AM:AM,AM2617)&gt;AO2617,(SUMIFS(AT:AT,AM:AM,AM2617)-AO2617))</f>
      </c>
      <c r="AV2617" s="116">
        <v>231</v>
      </c>
      <c r="AW2617" s="121">
        <v>0.998</v>
      </c>
      <c r="AX2617" s="115">
        <f>AN2617-AP2617</f>
      </c>
    </row>
    <row r="2618" spans="1:50" ht="15" hidden="1" customHeight="1" x14ac:dyDescent="0.3">
      <c r="A2618" s="94" t="s">
        <v>151</v>
      </c>
      <c r="B2618" s="94"/>
      <c r="C2618" s="94"/>
      <c r="D2618" s="94"/>
      <c r="E2618" s="94"/>
      <c r="F2618" s="94"/>
      <c r="G2618" s="112">
        <f>AU2618</f>
      </c>
      <c r="H2618" s="113"/>
      <c r="I2618" s="94" t="s">
        <v>163</v>
      </c>
      <c r="J2618" s="94" t="s">
        <v>221</v>
      </c>
      <c r="K2618" s="114">
        <f>P2618/3</f>
      </c>
      <c r="L2618" s="115">
        <v>0</v>
      </c>
      <c r="M2618" s="116">
        <f>L2618</f>
      </c>
      <c r="N2618" s="117">
        <f>M2618-L2618</f>
      </c>
      <c r="O2618" s="112"/>
      <c r="P2618" s="118">
        <f>N2618+O2618</f>
      </c>
      <c r="Q2618" s="94" t="s">
        <v>165</v>
      </c>
      <c r="R2618" s="94" t="s">
        <v>63</v>
      </c>
      <c r="S2618" s="119">
        <v>46320</v>
      </c>
      <c r="T2618" s="119"/>
      <c r="U2618" s="119">
        <v>46320</v>
      </c>
      <c r="V2618" s="94"/>
      <c r="W2618" s="94"/>
      <c r="X2618" s="94"/>
      <c r="Y2618" s="119">
        <v>46320</v>
      </c>
      <c r="Z2618" s="94"/>
      <c r="AA2618" s="120"/>
      <c r="AB2618" s="120"/>
      <c r="AC2618" s="120"/>
      <c r="AD2618" s="120"/>
      <c r="AE2618" s="120"/>
      <c r="AF2618" s="120"/>
      <c r="AG2618" s="94"/>
      <c r="AH2618" s="120"/>
      <c r="AI2618" s="94"/>
      <c r="AJ2618" s="94" t="s">
        <v>165</v>
      </c>
      <c r="AK2618" s="94" t="s">
        <v>222</v>
      </c>
      <c r="AL2618" s="94">
        <v>160</v>
      </c>
      <c r="AM2618" s="94" t="str">
        <f>TRIM(AJ2618)&amp;TRIM(AL2618)&amp;TRIM(AK2618)</f>
      </c>
      <c r="AN2618" s="116">
        <v>229</v>
      </c>
      <c r="AO2618" s="116">
        <v>1</v>
      </c>
      <c r="AP2618" s="116">
        <f>SUMIFS(M:M,AM:AM,AM2618)+SUMIFS(O:O,AM:AM,AM2618)</f>
      </c>
      <c r="AQ2618" s="116">
        <f>SUMIFS(L:L,AM:AM,AM2618)</f>
      </c>
      <c r="AR2618" s="116">
        <f>AQ2618-AP2618</f>
      </c>
      <c r="AS2618" s="94" t="str">
        <f>IF(AN2618&gt;=AQ2618,"ok","ck")</f>
      </c>
      <c r="AT2618" s="116">
        <f>-P2618</f>
      </c>
      <c r="AU2618" s="115">
        <f>IF(SUMIFS(AT:AT,AM:AM,AM2618)&gt;AO2618,(SUMIFS(AT:AT,AM:AM,AM2618)-AO2618))</f>
      </c>
      <c r="AV2618" s="116">
        <v>229</v>
      </c>
      <c r="AW2618" s="121">
        <v>0.996</v>
      </c>
      <c r="AX2618" s="115">
        <f>AN2618-AP2618</f>
      </c>
    </row>
    <row r="2619" spans="1:50" ht="15" hidden="1" customHeight="1" x14ac:dyDescent="0.3">
      <c r="A2619" s="94" t="s">
        <v>151</v>
      </c>
      <c r="B2619" s="94"/>
      <c r="C2619" s="94"/>
      <c r="D2619" s="94"/>
      <c r="E2619" s="94"/>
      <c r="F2619" s="94"/>
      <c r="G2619" s="112">
        <f>AU2619</f>
      </c>
      <c r="H2619" s="113"/>
      <c r="I2619" s="94" t="s">
        <v>163</v>
      </c>
      <c r="J2619" s="94" t="s">
        <v>221</v>
      </c>
      <c r="K2619" s="114">
        <f>P2619/3</f>
      </c>
      <c r="L2619" s="115">
        <v>0</v>
      </c>
      <c r="M2619" s="116">
        <f>L2619</f>
      </c>
      <c r="N2619" s="117">
        <f>M2619-L2619</f>
      </c>
      <c r="O2619" s="112"/>
      <c r="P2619" s="118">
        <f>N2619+O2619</f>
      </c>
      <c r="Q2619" s="94" t="s">
        <v>165</v>
      </c>
      <c r="R2619" s="94" t="s">
        <v>63</v>
      </c>
      <c r="S2619" s="119">
        <v>46331</v>
      </c>
      <c r="T2619" s="119"/>
      <c r="U2619" s="119">
        <v>46331</v>
      </c>
      <c r="V2619" s="94"/>
      <c r="W2619" s="94"/>
      <c r="X2619" s="94"/>
      <c r="Y2619" s="119">
        <v>46331</v>
      </c>
      <c r="Z2619" s="94"/>
      <c r="AA2619" s="120"/>
      <c r="AB2619" s="120"/>
      <c r="AC2619" s="120"/>
      <c r="AD2619" s="120"/>
      <c r="AE2619" s="120"/>
      <c r="AF2619" s="120"/>
      <c r="AG2619" s="94"/>
      <c r="AH2619" s="120"/>
      <c r="AI2619" s="94"/>
      <c r="AJ2619" s="94" t="s">
        <v>165</v>
      </c>
      <c r="AK2619" s="94" t="s">
        <v>222</v>
      </c>
      <c r="AL2619" s="94">
        <v>160</v>
      </c>
      <c r="AM2619" s="94" t="str">
        <f>TRIM(AJ2619)&amp;TRIM(AL2619)&amp;TRIM(AK2619)</f>
      </c>
      <c r="AN2619" s="116">
        <v>229</v>
      </c>
      <c r="AO2619" s="116">
        <v>1</v>
      </c>
      <c r="AP2619" s="116">
        <f>SUMIFS(M:M,AM:AM,AM2619)+SUMIFS(O:O,AM:AM,AM2619)</f>
      </c>
      <c r="AQ2619" s="116">
        <f>SUMIFS(L:L,AM:AM,AM2619)</f>
      </c>
      <c r="AR2619" s="116">
        <f>AQ2619-AP2619</f>
      </c>
      <c r="AS2619" s="94" t="str">
        <f>IF(AN2619&gt;=AQ2619,"ok","ck")</f>
      </c>
      <c r="AT2619" s="116">
        <f>-P2619</f>
      </c>
      <c r="AU2619" s="115">
        <f>IF(SUMIFS(AT:AT,AM:AM,AM2619)&gt;AO2619,(SUMIFS(AT:AT,AM:AM,AM2619)-AO2619))</f>
      </c>
      <c r="AV2619" s="116">
        <v>229</v>
      </c>
      <c r="AW2619" s="121">
        <v>0.996</v>
      </c>
      <c r="AX2619" s="115">
        <f>AN2619-AP2619</f>
      </c>
    </row>
    <row r="2620" spans="1:50" ht="15" hidden="1" customHeight="1" x14ac:dyDescent="0.3">
      <c r="A2620" s="94" t="s">
        <v>151</v>
      </c>
      <c r="B2620" s="94"/>
      <c r="C2620" s="94"/>
      <c r="D2620" s="94"/>
      <c r="E2620" s="94"/>
      <c r="F2620" s="94"/>
      <c r="G2620" s="112">
        <f>AU2620</f>
      </c>
      <c r="H2620" s="113"/>
      <c r="I2620" s="94" t="s">
        <v>163</v>
      </c>
      <c r="J2620" s="94" t="s">
        <v>221</v>
      </c>
      <c r="K2620" s="114">
        <f>P2620/3</f>
      </c>
      <c r="L2620" s="115">
        <v>0.56000000000000005</v>
      </c>
      <c r="M2620" s="116">
        <f>L2620</f>
      </c>
      <c r="N2620" s="117">
        <f>M2620-L2620</f>
      </c>
      <c r="O2620" s="112"/>
      <c r="P2620" s="118">
        <f>N2620+O2620</f>
      </c>
      <c r="Q2620" s="94" t="s">
        <v>165</v>
      </c>
      <c r="R2620" s="94" t="s">
        <v>63</v>
      </c>
      <c r="S2620" s="119">
        <v>46343</v>
      </c>
      <c r="T2620" s="119"/>
      <c r="U2620" s="119">
        <v>46343</v>
      </c>
      <c r="V2620" s="94"/>
      <c r="W2620" s="94"/>
      <c r="X2620" s="94"/>
      <c r="Y2620" s="119">
        <v>46343</v>
      </c>
      <c r="Z2620" s="94"/>
      <c r="AA2620" s="120"/>
      <c r="AB2620" s="120"/>
      <c r="AC2620" s="120"/>
      <c r="AD2620" s="120"/>
      <c r="AE2620" s="120"/>
      <c r="AF2620" s="120"/>
      <c r="AG2620" s="94"/>
      <c r="AH2620" s="120"/>
      <c r="AI2620" s="94"/>
      <c r="AJ2620" s="94" t="s">
        <v>165</v>
      </c>
      <c r="AK2620" s="94" t="s">
        <v>222</v>
      </c>
      <c r="AL2620" s="94">
        <v>160</v>
      </c>
      <c r="AM2620" s="94" t="str">
        <f>TRIM(AJ2620)&amp;TRIM(AL2620)&amp;TRIM(AK2620)</f>
      </c>
      <c r="AN2620" s="116">
        <v>229</v>
      </c>
      <c r="AO2620" s="116">
        <v>1</v>
      </c>
      <c r="AP2620" s="116">
        <f>SUMIFS(M:M,AM:AM,AM2620)+SUMIFS(O:O,AM:AM,AM2620)</f>
      </c>
      <c r="AQ2620" s="116">
        <f>SUMIFS(L:L,AM:AM,AM2620)</f>
      </c>
      <c r="AR2620" s="116">
        <f>AQ2620-AP2620</f>
      </c>
      <c r="AS2620" s="94" t="str">
        <f>IF(AN2620&gt;=AQ2620,"ok","ck")</f>
      </c>
      <c r="AT2620" s="116">
        <f>-P2620</f>
      </c>
      <c r="AU2620" s="115">
        <f>IF(SUMIFS(AT:AT,AM:AM,AM2620)&gt;AO2620,(SUMIFS(AT:AT,AM:AM,AM2620)-AO2620))</f>
      </c>
      <c r="AV2620" s="116">
        <v>229</v>
      </c>
      <c r="AW2620" s="121">
        <v>0.996</v>
      </c>
      <c r="AX2620" s="115">
        <f>AN2620-AP2620</f>
      </c>
    </row>
    <row r="2621" spans="1:50" ht="15" hidden="1" customHeight="1" x14ac:dyDescent="0.3">
      <c r="A2621" s="94" t="s">
        <v>76</v>
      </c>
      <c r="B2621" s="94"/>
      <c r="C2621" s="94"/>
      <c r="D2621" s="94"/>
      <c r="E2621" s="94"/>
      <c r="F2621" s="94"/>
      <c r="G2621" s="112">
        <f>AU2621</f>
      </c>
      <c r="H2621" s="113"/>
      <c r="I2621" s="94" t="s">
        <v>77</v>
      </c>
      <c r="J2621" s="94" t="s">
        <v>114</v>
      </c>
      <c r="K2621" s="114">
        <f>P2621/3</f>
      </c>
      <c r="L2621" s="115">
        <v>-11.829000000000001</v>
      </c>
      <c r="M2621" s="116">
        <f>L2621</f>
      </c>
      <c r="N2621" s="117">
        <f>M2621-L2621</f>
      </c>
      <c r="O2621" s="112"/>
      <c r="P2621" s="118">
        <f>N2621+O2621</f>
      </c>
      <c r="Q2621" s="94" t="s">
        <v>398</v>
      </c>
      <c r="R2621" s="94" t="s">
        <v>63</v>
      </c>
      <c r="S2621" s="119">
        <v>46326</v>
      </c>
      <c r="T2621" s="119"/>
      <c r="U2621" s="119">
        <v>46326</v>
      </c>
      <c r="V2621" s="94"/>
      <c r="W2621" s="94"/>
      <c r="X2621" s="94"/>
      <c r="Y2621" s="119">
        <v>46326</v>
      </c>
      <c r="Z2621" s="94"/>
      <c r="AA2621" s="120"/>
      <c r="AB2621" s="120"/>
      <c r="AC2621" s="120"/>
      <c r="AD2621" s="120"/>
      <c r="AE2621" s="120"/>
      <c r="AF2621" s="120"/>
      <c r="AG2621" s="94"/>
      <c r="AH2621" s="120"/>
      <c r="AI2621" s="94"/>
      <c r="AJ2621" s="94" t="s">
        <v>398</v>
      </c>
      <c r="AK2621" s="94" t="s">
        <v>115</v>
      </c>
      <c r="AL2621" s="94">
        <v>150</v>
      </c>
      <c r="AM2621" s="94" t="str">
        <f>TRIM(AJ2621)&amp;TRIM(AL2621)&amp;TRIM(AK2621)</f>
      </c>
      <c r="AN2621" s="116">
        <v>620</v>
      </c>
      <c r="AO2621" s="116">
        <v>-16.11</v>
      </c>
      <c r="AP2621" s="116">
        <f>SUMIFS(M:M,AM:AM,AM2621)+SUMIFS(O:O,AM:AM,AM2621)</f>
      </c>
      <c r="AQ2621" s="116">
        <f>SUMIFS(L:L,AM:AM,AM2621)</f>
      </c>
      <c r="AR2621" s="116">
        <f>AQ2621-AP2621</f>
      </c>
      <c r="AS2621" s="94" t="str">
        <f>IF(AN2621&gt;=AQ2621,"ok","ck")</f>
      </c>
      <c r="AT2621" s="116">
        <f>-P2621</f>
      </c>
      <c r="AU2621" s="115">
        <f>IF(SUMIFS(AT:AT,AM:AM,AM2621)&gt;AO2621,(SUMIFS(AT:AT,AM:AM,AM2621)-AO2621))</f>
      </c>
      <c r="AV2621" s="116">
        <v>620</v>
      </c>
      <c r="AW2621" s="121">
        <v>1.027</v>
      </c>
      <c r="AX2621" s="115">
        <f>AN2621-AP2621</f>
      </c>
    </row>
    <row r="2622" spans="1:50" ht="15" hidden="1" customHeight="1" x14ac:dyDescent="0.3">
      <c r="A2622" s="94" t="s">
        <v>76</v>
      </c>
      <c r="B2622" s="94"/>
      <c r="C2622" s="94"/>
      <c r="D2622" s="94"/>
      <c r="E2622" s="94"/>
      <c r="F2622" s="94"/>
      <c r="G2622" s="112">
        <f>AU2622</f>
      </c>
      <c r="H2622" s="113"/>
      <c r="I2622" s="94" t="s">
        <v>77</v>
      </c>
      <c r="J2622" s="94" t="s">
        <v>114</v>
      </c>
      <c r="K2622" s="114">
        <f>P2622/3</f>
      </c>
      <c r="L2622" s="115">
        <v>-7.1999999999999995E-2</v>
      </c>
      <c r="M2622" s="116">
        <f>L2622</f>
      </c>
      <c r="N2622" s="117">
        <f>M2622-L2622</f>
      </c>
      <c r="O2622" s="112"/>
      <c r="P2622" s="118">
        <f>N2622+O2622</f>
      </c>
      <c r="Q2622" s="94" t="s">
        <v>398</v>
      </c>
      <c r="R2622" s="94" t="s">
        <v>63</v>
      </c>
      <c r="S2622" s="119">
        <v>46329</v>
      </c>
      <c r="T2622" s="119"/>
      <c r="U2622" s="119">
        <v>46329</v>
      </c>
      <c r="V2622" s="94"/>
      <c r="W2622" s="94"/>
      <c r="X2622" s="94"/>
      <c r="Y2622" s="119">
        <v>46329</v>
      </c>
      <c r="Z2622" s="94"/>
      <c r="AA2622" s="120"/>
      <c r="AB2622" s="120"/>
      <c r="AC2622" s="120"/>
      <c r="AD2622" s="120"/>
      <c r="AE2622" s="120"/>
      <c r="AF2622" s="120"/>
      <c r="AG2622" s="94"/>
      <c r="AH2622" s="120"/>
      <c r="AI2622" s="94"/>
      <c r="AJ2622" s="94" t="s">
        <v>398</v>
      </c>
      <c r="AK2622" s="94" t="s">
        <v>115</v>
      </c>
      <c r="AL2622" s="94">
        <v>150</v>
      </c>
      <c r="AM2622" s="94" t="str">
        <f>TRIM(AJ2622)&amp;TRIM(AL2622)&amp;TRIM(AK2622)</f>
      </c>
      <c r="AN2622" s="116">
        <v>620</v>
      </c>
      <c r="AO2622" s="116">
        <v>-16.11</v>
      </c>
      <c r="AP2622" s="116">
        <f>SUMIFS(M:M,AM:AM,AM2622)+SUMIFS(O:O,AM:AM,AM2622)</f>
      </c>
      <c r="AQ2622" s="116">
        <f>SUMIFS(L:L,AM:AM,AM2622)</f>
      </c>
      <c r="AR2622" s="116">
        <f>AQ2622-AP2622</f>
      </c>
      <c r="AS2622" s="94" t="str">
        <f>IF(AN2622&gt;=AQ2622,"ok","ck")</f>
      </c>
      <c r="AT2622" s="116">
        <f>-P2622</f>
      </c>
      <c r="AU2622" s="115">
        <f>IF(SUMIFS(AT:AT,AM:AM,AM2622)&gt;AO2622,(SUMIFS(AT:AT,AM:AM,AM2622)-AO2622))</f>
      </c>
      <c r="AV2622" s="116">
        <v>620</v>
      </c>
      <c r="AW2622" s="121">
        <v>1.027</v>
      </c>
      <c r="AX2622" s="115">
        <f>AN2622-AP2622</f>
      </c>
    </row>
    <row r="2623" spans="1:50" ht="15" hidden="1" customHeight="1" x14ac:dyDescent="0.3">
      <c r="A2623" s="94" t="s">
        <v>151</v>
      </c>
      <c r="B2623" s="94"/>
      <c r="C2623" s="94"/>
      <c r="D2623" s="94"/>
      <c r="E2623" s="94"/>
      <c r="F2623" s="94"/>
      <c r="G2623" s="112">
        <f>AU2623</f>
      </c>
      <c r="H2623" s="113"/>
      <c r="I2623" s="94" t="s">
        <v>216</v>
      </c>
      <c r="J2623" s="94" t="s">
        <v>217</v>
      </c>
      <c r="K2623" s="114">
        <f>P2623/3</f>
      </c>
      <c r="L2623" s="115">
        <v>0</v>
      </c>
      <c r="M2623" s="116"/>
      <c r="N2623" s="117">
        <f>M2623-L2623</f>
      </c>
      <c r="O2623" s="112"/>
      <c r="P2623" s="118">
        <f>N2623+O2623</f>
      </c>
      <c r="Q2623" s="94" t="s">
        <v>168</v>
      </c>
      <c r="R2623" s="94" t="s">
        <v>63</v>
      </c>
      <c r="S2623" s="119">
        <v>46320</v>
      </c>
      <c r="T2623" s="119"/>
      <c r="U2623" s="119">
        <v>46320</v>
      </c>
      <c r="V2623" s="94"/>
      <c r="W2623" s="94"/>
      <c r="X2623" s="94"/>
      <c r="Y2623" s="119">
        <v>46320</v>
      </c>
      <c r="Z2623" s="94"/>
      <c r="AA2623" s="120"/>
      <c r="AB2623" s="120"/>
      <c r="AC2623" s="120"/>
      <c r="AD2623" s="120"/>
      <c r="AE2623" s="120"/>
      <c r="AF2623" s="120"/>
      <c r="AG2623" s="94"/>
      <c r="AH2623" s="120"/>
      <c r="AI2623" s="94"/>
      <c r="AJ2623" s="94" t="s">
        <v>168</v>
      </c>
      <c r="AK2623" s="94" t="s">
        <v>217</v>
      </c>
      <c r="AL2623" s="94">
        <v>160</v>
      </c>
      <c r="AM2623" s="94" t="str">
        <f>TRIM(AJ2623)&amp;TRIM(AL2623)&amp;TRIM(AK2623)</f>
      </c>
      <c r="AN2623" s="116">
        <v>2728.65</v>
      </c>
      <c r="AO2623" s="116">
        <v>171.35</v>
      </c>
      <c r="AP2623" s="116">
        <f>SUMIFS(M:M,AM:AM,AM2623)+SUMIFS(O:O,AM:AM,AM2623)</f>
      </c>
      <c r="AQ2623" s="116">
        <f>SUMIFS(L:L,AM:AM,AM2623)</f>
      </c>
      <c r="AR2623" s="116">
        <f>AQ2623-AP2623</f>
      </c>
      <c r="AS2623" s="94" t="str">
        <f>IF(AN2623&gt;=AQ2623,"ok","ck")</f>
      </c>
      <c r="AT2623" s="116">
        <f>-P2623</f>
      </c>
      <c r="AU2623" s="115">
        <f>IF(SUMIFS(AT:AT,AM:AM,AM2623)&gt;AO2623,(SUMIFS(AT:AT,AM:AM,AM2623)-AO2623))</f>
      </c>
      <c r="AV2623" s="116">
        <v>2728.65</v>
      </c>
      <c r="AW2623" s="121">
        <v>0.941</v>
      </c>
      <c r="AX2623" s="115">
        <f>AN2623-AP2623</f>
      </c>
    </row>
    <row r="2624" spans="1:50" ht="15" hidden="1" customHeight="1" x14ac:dyDescent="0.3">
      <c r="A2624" s="94" t="s">
        <v>76</v>
      </c>
      <c r="B2624" s="94"/>
      <c r="C2624" s="94"/>
      <c r="D2624" s="94"/>
      <c r="E2624" s="94"/>
      <c r="F2624" s="94"/>
      <c r="G2624" s="112">
        <f>AU2624</f>
      </c>
      <c r="H2624" s="113"/>
      <c r="I2624" s="94" t="s">
        <v>77</v>
      </c>
      <c r="J2624" s="94" t="s">
        <v>119</v>
      </c>
      <c r="K2624" s="114">
        <f>P2624/3</f>
      </c>
      <c r="L2624" s="115">
        <v>366.44900000000001</v>
      </c>
      <c r="M2624" s="116"/>
      <c r="N2624" s="117">
        <f>M2624-L2624</f>
      </c>
      <c r="O2624" s="112"/>
      <c r="P2624" s="118">
        <f>N2624+O2624</f>
      </c>
      <c r="Q2624" s="94" t="s">
        <v>833</v>
      </c>
      <c r="R2624" s="94" t="s">
        <v>63</v>
      </c>
      <c r="S2624" s="119">
        <v>46339</v>
      </c>
      <c r="T2624" s="119"/>
      <c r="U2624" s="119">
        <v>46339</v>
      </c>
      <c r="V2624" s="94"/>
      <c r="W2624" s="94"/>
      <c r="X2624" s="94"/>
      <c r="Y2624" s="119">
        <v>46343</v>
      </c>
      <c r="Z2624" s="94"/>
      <c r="AA2624" s="120"/>
      <c r="AB2624" s="120"/>
      <c r="AC2624" s="120"/>
      <c r="AD2624" s="120"/>
      <c r="AE2624" s="120"/>
      <c r="AF2624" s="120"/>
      <c r="AG2624" s="94"/>
      <c r="AH2624" s="120"/>
      <c r="AI2624" s="94"/>
      <c r="AJ2624" s="94" t="s">
        <v>833</v>
      </c>
      <c r="AK2624" s="94" t="s">
        <v>120</v>
      </c>
      <c r="AL2624" s="94">
        <v>150</v>
      </c>
      <c r="AM2624" s="94" t="str">
        <f>TRIM(AJ2624)&amp;TRIM(AL2624)&amp;TRIM(AK2624)</f>
      </c>
      <c r="AN2624" s="116">
        <v>0</v>
      </c>
      <c r="AO2624" s="116" t="inlineStr">
        <is>
          <t>#NA</t>
        </is>
      </c>
      <c r="AP2624" s="116">
        <f>SUMIFS(M:M,AM:AM,AM2624)+SUMIFS(O:O,AM:AM,AM2624)</f>
      </c>
      <c r="AQ2624" s="116">
        <f>SUMIFS(L:L,AM:AM,AM2624)</f>
      </c>
      <c r="AR2624" s="116">
        <f>AQ2624-AP2624</f>
      </c>
      <c r="AS2624" s="94" t="str">
        <f>IF(AN2624&gt;=AQ2624,"ok","ck")</f>
      </c>
      <c r="AT2624" s="116">
        <f>-P2624</f>
      </c>
      <c r="AU2624" s="115">
        <f>IF(SUMIFS(AT:AT,AM:AM,AM2624)&gt;AO2624,(SUMIFS(AT:AT,AM:AM,AM2624)-AO2624))</f>
      </c>
      <c r="AV2624" s="116">
        <v>0</v>
      </c>
      <c r="AW2624" s="121">
        <v>0</v>
      </c>
      <c r="AX2624" s="115">
        <f>AN2624-AP2624</f>
      </c>
    </row>
    <row r="2625" spans="1:50" ht="15" hidden="1" customHeight="1" x14ac:dyDescent="0.3">
      <c r="A2625" s="94" t="s">
        <v>151</v>
      </c>
      <c r="B2625" s="94"/>
      <c r="C2625" s="94"/>
      <c r="D2625" s="94"/>
      <c r="E2625" s="94"/>
      <c r="F2625" s="94"/>
      <c r="G2625" s="112">
        <f>AU2625</f>
      </c>
      <c r="H2625" s="113"/>
      <c r="I2625" s="94" t="s">
        <v>152</v>
      </c>
      <c r="J2625" s="94" t="s">
        <v>156</v>
      </c>
      <c r="K2625" s="114">
        <f>P2625/3</f>
      </c>
      <c r="L2625" s="115">
        <v>0</v>
      </c>
      <c r="M2625" s="116"/>
      <c r="N2625" s="117">
        <f>M2625-L2625</f>
      </c>
      <c r="O2625" s="112"/>
      <c r="P2625" s="118">
        <f>N2625+O2625</f>
      </c>
      <c r="Q2625" s="94" t="s">
        <v>213</v>
      </c>
      <c r="R2625" s="94" t="s">
        <v>63</v>
      </c>
      <c r="S2625" s="119">
        <v>46320</v>
      </c>
      <c r="T2625" s="119"/>
      <c r="U2625" s="119">
        <v>46320</v>
      </c>
      <c r="V2625" s="94"/>
      <c r="W2625" s="94"/>
      <c r="X2625" s="94"/>
      <c r="Y2625" s="119">
        <v>46320</v>
      </c>
      <c r="Z2625" s="94"/>
      <c r="AA2625" s="120"/>
      <c r="AB2625" s="120"/>
      <c r="AC2625" s="120"/>
      <c r="AD2625" s="120"/>
      <c r="AE2625" s="120"/>
      <c r="AF2625" s="120"/>
      <c r="AG2625" s="94"/>
      <c r="AH2625" s="120"/>
      <c r="AI2625" s="94"/>
      <c r="AJ2625" s="94" t="s">
        <v>213</v>
      </c>
      <c r="AK2625" s="94" t="s">
        <v>158</v>
      </c>
      <c r="AL2625" s="94">
        <v>160</v>
      </c>
      <c r="AM2625" s="94" t="str">
        <f>TRIM(AJ2625)&amp;TRIM(AL2625)&amp;TRIM(AK2625)</f>
      </c>
      <c r="AN2625" s="116">
        <v>4334.9</v>
      </c>
      <c r="AO2625" s="116">
        <v>265.1</v>
      </c>
      <c r="AP2625" s="116">
        <f>SUMIFS(M:M,AM:AM,AM2625)+SUMIFS(O:O,AM:AM,AM2625)</f>
      </c>
      <c r="AQ2625" s="116">
        <f>SUMIFS(L:L,AM:AM,AM2625)</f>
      </c>
      <c r="AR2625" s="116">
        <f>AQ2625-AP2625</f>
      </c>
      <c r="AS2625" s="94" t="str">
        <f>IF(AN2625&gt;=AQ2625,"ok","ck")</f>
      </c>
      <c r="AT2625" s="116">
        <f>-P2625</f>
      </c>
      <c r="AU2625" s="115">
        <f>IF(SUMIFS(AT:AT,AM:AM,AM2625)&gt;AO2625,(SUMIFS(AT:AT,AM:AM,AM2625)-AO2625))</f>
      </c>
      <c r="AV2625" s="116">
        <v>4334.9</v>
      </c>
      <c r="AW2625" s="121">
        <v>0.942</v>
      </c>
      <c r="AX2625" s="115">
        <f>AN2625-AP2625</f>
      </c>
    </row>
    <row r="2626" spans="1:50" ht="15" hidden="1" customHeight="1" x14ac:dyDescent="0.3">
      <c r="A2626" s="94" t="s">
        <v>151</v>
      </c>
      <c r="B2626" s="94"/>
      <c r="C2626" s="94"/>
      <c r="D2626" s="94"/>
      <c r="E2626" s="94"/>
      <c r="F2626" s="94"/>
      <c r="G2626" s="112">
        <f>AU2626</f>
      </c>
      <c r="H2626" s="113"/>
      <c r="I2626" s="94" t="s">
        <v>152</v>
      </c>
      <c r="J2626" s="94" t="s">
        <v>156</v>
      </c>
      <c r="K2626" s="114">
        <f>P2626/3</f>
      </c>
      <c r="L2626" s="115">
        <v>147.81299999999999</v>
      </c>
      <c r="M2626" s="116">
        <v>147.81299999999999</v>
      </c>
      <c r="N2626" s="117">
        <f>M2626-L2626</f>
      </c>
      <c r="O2626" s="112"/>
      <c r="P2626" s="118">
        <f>N2626+O2626</f>
      </c>
      <c r="Q2626" s="94" t="s">
        <v>213</v>
      </c>
      <c r="R2626" s="94" t="s">
        <v>63</v>
      </c>
      <c r="S2626" s="119">
        <v>46321</v>
      </c>
      <c r="T2626" s="119"/>
      <c r="U2626" s="119">
        <v>46321</v>
      </c>
      <c r="V2626" s="94"/>
      <c r="W2626" s="94"/>
      <c r="X2626" s="94"/>
      <c r="Y2626" s="119">
        <v>46321</v>
      </c>
      <c r="Z2626" s="94"/>
      <c r="AA2626" s="120"/>
      <c r="AB2626" s="120"/>
      <c r="AC2626" s="120"/>
      <c r="AD2626" s="120"/>
      <c r="AE2626" s="120"/>
      <c r="AF2626" s="120"/>
      <c r="AG2626" s="94"/>
      <c r="AH2626" s="120"/>
      <c r="AI2626" s="94"/>
      <c r="AJ2626" s="94" t="s">
        <v>213</v>
      </c>
      <c r="AK2626" s="94" t="s">
        <v>158</v>
      </c>
      <c r="AL2626" s="94">
        <v>160</v>
      </c>
      <c r="AM2626" s="94" t="str">
        <f>TRIM(AJ2626)&amp;TRIM(AL2626)&amp;TRIM(AK2626)</f>
      </c>
      <c r="AN2626" s="116">
        <v>4334.9</v>
      </c>
      <c r="AO2626" s="116">
        <v>265.1</v>
      </c>
      <c r="AP2626" s="116">
        <f>SUMIFS(M:M,AM:AM,AM2626)+SUMIFS(O:O,AM:AM,AM2626)</f>
      </c>
      <c r="AQ2626" s="116">
        <f>SUMIFS(L:L,AM:AM,AM2626)</f>
      </c>
      <c r="AR2626" s="116">
        <f>AQ2626-AP2626</f>
      </c>
      <c r="AS2626" s="94" t="str">
        <f>IF(AN2626&gt;=AQ2626,"ok","ck")</f>
      </c>
      <c r="AT2626" s="116">
        <f>-P2626</f>
      </c>
      <c r="AU2626" s="115">
        <f>IF(SUMIFS(AT:AT,AM:AM,AM2626)&gt;AO2626,(SUMIFS(AT:AT,AM:AM,AM2626)-AO2626))</f>
      </c>
      <c r="AV2626" s="116">
        <v>4334.9</v>
      </c>
      <c r="AW2626" s="121">
        <v>0.942</v>
      </c>
      <c r="AX2626" s="115">
        <f>AN2626-AP2626</f>
      </c>
    </row>
    <row r="2627" spans="1:50" ht="15" hidden="1" customHeight="1" x14ac:dyDescent="0.3">
      <c r="A2627" s="94" t="s">
        <v>151</v>
      </c>
      <c r="B2627" s="94"/>
      <c r="C2627" s="94"/>
      <c r="D2627" s="94"/>
      <c r="E2627" s="94"/>
      <c r="F2627" s="94"/>
      <c r="G2627" s="112">
        <f>AU2627</f>
      </c>
      <c r="H2627" s="113"/>
      <c r="I2627" s="94" t="s">
        <v>152</v>
      </c>
      <c r="J2627" s="94" t="s">
        <v>186</v>
      </c>
      <c r="K2627" s="114">
        <f>P2627/3</f>
      </c>
      <c r="L2627" s="115">
        <v>0</v>
      </c>
      <c r="M2627" s="116"/>
      <c r="N2627" s="117">
        <f>M2627-L2627</f>
      </c>
      <c r="O2627" s="112"/>
      <c r="P2627" s="118">
        <f>N2627+O2627</f>
      </c>
      <c r="Q2627" s="94" t="s">
        <v>154</v>
      </c>
      <c r="R2627" s="94" t="s">
        <v>63</v>
      </c>
      <c r="S2627" s="119">
        <v>46320</v>
      </c>
      <c r="T2627" s="119"/>
      <c r="U2627" s="119">
        <v>46320</v>
      </c>
      <c r="V2627" s="94"/>
      <c r="W2627" s="94"/>
      <c r="X2627" s="94"/>
      <c r="Y2627" s="119">
        <v>46320</v>
      </c>
      <c r="Z2627" s="94"/>
      <c r="AA2627" s="120"/>
      <c r="AB2627" s="120"/>
      <c r="AC2627" s="120"/>
      <c r="AD2627" s="120"/>
      <c r="AE2627" s="120"/>
      <c r="AF2627" s="120"/>
      <c r="AG2627" s="94"/>
      <c r="AH2627" s="120"/>
      <c r="AI2627" s="94"/>
      <c r="AJ2627" s="94" t="s">
        <v>154</v>
      </c>
      <c r="AK2627" s="94" t="s">
        <v>187</v>
      </c>
      <c r="AL2627" s="94">
        <v>160</v>
      </c>
      <c r="AM2627" s="94" t="str">
        <f>TRIM(AJ2627)&amp;TRIM(AL2627)&amp;TRIM(AK2627)</f>
      </c>
      <c r="AN2627" s="116">
        <v>7786.29</v>
      </c>
      <c r="AO2627" s="116">
        <v>93.71</v>
      </c>
      <c r="AP2627" s="116">
        <f>SUMIFS(M:M,AM:AM,AM2627)+SUMIFS(O:O,AM:AM,AM2627)</f>
      </c>
      <c r="AQ2627" s="116">
        <f>SUMIFS(L:L,AM:AM,AM2627)</f>
      </c>
      <c r="AR2627" s="116">
        <f>AQ2627-AP2627</f>
      </c>
      <c r="AS2627" s="94" t="str">
        <f>IF(AN2627&gt;=AQ2627,"ok","ck")</f>
      </c>
      <c r="AT2627" s="116">
        <f>-P2627</f>
      </c>
      <c r="AU2627" s="115">
        <f>IF(SUMIFS(AT:AT,AM:AM,AM2627)&gt;AO2627,(SUMIFS(AT:AT,AM:AM,AM2627)-AO2627))</f>
      </c>
      <c r="AV2627" s="116">
        <v>7786.29</v>
      </c>
      <c r="AW2627" s="121">
        <v>0.988</v>
      </c>
      <c r="AX2627" s="115">
        <f>AN2627-AP2627</f>
      </c>
    </row>
    <row r="2628" spans="1:50" ht="15" hidden="1" customHeight="1" x14ac:dyDescent="0.3">
      <c r="A2628" s="94" t="s">
        <v>76</v>
      </c>
      <c r="B2628" s="94"/>
      <c r="C2628" s="94"/>
      <c r="D2628" s="94"/>
      <c r="E2628" s="94"/>
      <c r="F2628" s="94"/>
      <c r="G2628" s="112">
        <f>AU2628</f>
      </c>
      <c r="H2628" s="113"/>
      <c r="I2628" s="94" t="s">
        <v>77</v>
      </c>
      <c r="J2628" s="94" t="s">
        <v>119</v>
      </c>
      <c r="K2628" s="114">
        <f>P2628/3</f>
      </c>
      <c r="L2628" s="115">
        <v>1.7649999999999999</v>
      </c>
      <c r="M2628" s="116"/>
      <c r="N2628" s="117">
        <f>M2628-L2628</f>
      </c>
      <c r="O2628" s="112"/>
      <c r="P2628" s="118">
        <f>N2628+O2628</f>
      </c>
      <c r="Q2628" s="94" t="s">
        <v>833</v>
      </c>
      <c r="R2628" s="94" t="s">
        <v>63</v>
      </c>
      <c r="S2628" s="119">
        <v>46339</v>
      </c>
      <c r="T2628" s="119"/>
      <c r="U2628" s="119">
        <v>46339</v>
      </c>
      <c r="V2628" s="94"/>
      <c r="W2628" s="94"/>
      <c r="X2628" s="94"/>
      <c r="Y2628" s="119">
        <v>46345</v>
      </c>
      <c r="Z2628" s="94"/>
      <c r="AA2628" s="120"/>
      <c r="AB2628" s="120"/>
      <c r="AC2628" s="120"/>
      <c r="AD2628" s="120"/>
      <c r="AE2628" s="120"/>
      <c r="AF2628" s="120"/>
      <c r="AG2628" s="94"/>
      <c r="AH2628" s="120"/>
      <c r="AI2628" s="94"/>
      <c r="AJ2628" s="94" t="s">
        <v>833</v>
      </c>
      <c r="AK2628" s="94" t="s">
        <v>120</v>
      </c>
      <c r="AL2628" s="94">
        <v>150</v>
      </c>
      <c r="AM2628" s="94" t="str">
        <f>TRIM(AJ2628)&amp;TRIM(AL2628)&amp;TRIM(AK2628)</f>
      </c>
      <c r="AN2628" s="116">
        <v>0</v>
      </c>
      <c r="AO2628" s="116" t="inlineStr">
        <is>
          <t>#NA</t>
        </is>
      </c>
      <c r="AP2628" s="116">
        <f>SUMIFS(M:M,AM:AM,AM2628)+SUMIFS(O:O,AM:AM,AM2628)</f>
      </c>
      <c r="AQ2628" s="116">
        <f>SUMIFS(L:L,AM:AM,AM2628)</f>
      </c>
      <c r="AR2628" s="116">
        <f>AQ2628-AP2628</f>
      </c>
      <c r="AS2628" s="94" t="str">
        <f>IF(AN2628&gt;=AQ2628,"ok","ck")</f>
      </c>
      <c r="AT2628" s="116">
        <f>-P2628</f>
      </c>
      <c r="AU2628" s="115">
        <f>IF(SUMIFS(AT:AT,AM:AM,AM2628)&gt;AO2628,(SUMIFS(AT:AT,AM:AM,AM2628)-AO2628))</f>
      </c>
      <c r="AV2628" s="116">
        <v>0</v>
      </c>
      <c r="AW2628" s="121">
        <v>0</v>
      </c>
      <c r="AX2628" s="115">
        <f>AN2628-AP2628</f>
      </c>
    </row>
    <row r="2629" spans="1:50" ht="15" hidden="1" customHeight="1" x14ac:dyDescent="0.3">
      <c r="A2629" s="94" t="s">
        <v>151</v>
      </c>
      <c r="B2629" s="94"/>
      <c r="C2629" s="94"/>
      <c r="D2629" s="94"/>
      <c r="E2629" s="94"/>
      <c r="F2629" s="94"/>
      <c r="G2629" s="112">
        <f>AU2629</f>
      </c>
      <c r="H2629" s="113"/>
      <c r="I2629" s="94" t="s">
        <v>152</v>
      </c>
      <c r="J2629" s="94" t="s">
        <v>203</v>
      </c>
      <c r="K2629" s="114">
        <f>P2629/3</f>
      </c>
      <c r="L2629" s="115">
        <v>-4.2549999999999999</v>
      </c>
      <c r="M2629" s="116">
        <f>L2629</f>
      </c>
      <c r="N2629" s="117">
        <f>M2629-L2629</f>
      </c>
      <c r="O2629" s="112"/>
      <c r="P2629" s="118">
        <f>N2629+O2629</f>
      </c>
      <c r="Q2629" s="94" t="s">
        <v>194</v>
      </c>
      <c r="R2629" s="94" t="s">
        <v>63</v>
      </c>
      <c r="S2629" s="119">
        <v>46320</v>
      </c>
      <c r="T2629" s="119"/>
      <c r="U2629" s="119">
        <v>46320</v>
      </c>
      <c r="V2629" s="94"/>
      <c r="W2629" s="94"/>
      <c r="X2629" s="94"/>
      <c r="Y2629" s="119">
        <v>46320</v>
      </c>
      <c r="Z2629" s="94"/>
      <c r="AA2629" s="120"/>
      <c r="AB2629" s="120"/>
      <c r="AC2629" s="120"/>
      <c r="AD2629" s="120"/>
      <c r="AE2629" s="120"/>
      <c r="AF2629" s="120"/>
      <c r="AG2629" s="94"/>
      <c r="AH2629" s="120"/>
      <c r="AI2629" s="94"/>
      <c r="AJ2629" s="94" t="s">
        <v>194</v>
      </c>
      <c r="AK2629" s="94" t="s">
        <v>204</v>
      </c>
      <c r="AL2629" s="94">
        <v>160</v>
      </c>
      <c r="AM2629" s="94" t="str">
        <f>TRIM(AJ2629)&amp;TRIM(AL2629)&amp;TRIM(AK2629)</f>
      </c>
      <c r="AN2629" s="116">
        <v>1314</v>
      </c>
      <c r="AO2629" s="116">
        <v>-34</v>
      </c>
      <c r="AP2629" s="116">
        <f>SUMIFS(M:M,AM:AM,AM2629)+SUMIFS(O:O,AM:AM,AM2629)</f>
      </c>
      <c r="AQ2629" s="116">
        <f>SUMIFS(L:L,AM:AM,AM2629)</f>
      </c>
      <c r="AR2629" s="116">
        <f>AQ2629-AP2629</f>
      </c>
      <c r="AS2629" s="94" t="str">
        <f>IF(AN2629&gt;=AQ2629,"ok","ck")</f>
      </c>
      <c r="AT2629" s="116">
        <f>-P2629</f>
      </c>
      <c r="AU2629" s="115">
        <f>IF(SUMIFS(AT:AT,AM:AM,AM2629)&gt;AO2629,(SUMIFS(AT:AT,AM:AM,AM2629)-AO2629))</f>
      </c>
      <c r="AV2629" s="116">
        <v>1314</v>
      </c>
      <c r="AW2629" s="121">
        <v>1.027</v>
      </c>
      <c r="AX2629" s="115">
        <f>AN2629-AP2629</f>
      </c>
    </row>
    <row r="2630" spans="1:50" ht="15" hidden="1" customHeight="1" x14ac:dyDescent="0.3">
      <c r="A2630" s="94" t="s">
        <v>151</v>
      </c>
      <c r="B2630" s="94"/>
      <c r="C2630" s="94"/>
      <c r="D2630" s="94"/>
      <c r="E2630" s="94"/>
      <c r="F2630" s="94"/>
      <c r="G2630" s="112">
        <f>AU2630</f>
      </c>
      <c r="H2630" s="113"/>
      <c r="I2630" s="94" t="s">
        <v>152</v>
      </c>
      <c r="J2630" s="94" t="s">
        <v>203</v>
      </c>
      <c r="K2630" s="114">
        <f>P2630/3</f>
      </c>
      <c r="L2630" s="115">
        <v>-4.2549999999999999</v>
      </c>
      <c r="M2630" s="116">
        <f>L2630</f>
      </c>
      <c r="N2630" s="117">
        <f>M2630-L2630</f>
      </c>
      <c r="O2630" s="112"/>
      <c r="P2630" s="118">
        <f>N2630+O2630</f>
      </c>
      <c r="Q2630" s="94" t="s">
        <v>194</v>
      </c>
      <c r="R2630" s="94" t="s">
        <v>63</v>
      </c>
      <c r="S2630" s="119">
        <v>46320</v>
      </c>
      <c r="T2630" s="119"/>
      <c r="U2630" s="119">
        <v>46320</v>
      </c>
      <c r="V2630" s="94"/>
      <c r="W2630" s="94"/>
      <c r="X2630" s="94"/>
      <c r="Y2630" s="119">
        <v>46320</v>
      </c>
      <c r="Z2630" s="94"/>
      <c r="AA2630" s="120"/>
      <c r="AB2630" s="120"/>
      <c r="AC2630" s="120"/>
      <c r="AD2630" s="120"/>
      <c r="AE2630" s="120"/>
      <c r="AF2630" s="120"/>
      <c r="AG2630" s="94"/>
      <c r="AH2630" s="120"/>
      <c r="AI2630" s="94"/>
      <c r="AJ2630" s="94" t="s">
        <v>194</v>
      </c>
      <c r="AK2630" s="94" t="s">
        <v>204</v>
      </c>
      <c r="AL2630" s="94">
        <v>160</v>
      </c>
      <c r="AM2630" s="94" t="str">
        <f>TRIM(AJ2630)&amp;TRIM(AL2630)&amp;TRIM(AK2630)</f>
      </c>
      <c r="AN2630" s="116">
        <v>1314</v>
      </c>
      <c r="AO2630" s="116">
        <v>-34</v>
      </c>
      <c r="AP2630" s="116">
        <f>SUMIFS(M:M,AM:AM,AM2630)+SUMIFS(O:O,AM:AM,AM2630)</f>
      </c>
      <c r="AQ2630" s="116">
        <f>SUMIFS(L:L,AM:AM,AM2630)</f>
      </c>
      <c r="AR2630" s="116">
        <f>AQ2630-AP2630</f>
      </c>
      <c r="AS2630" s="94" t="str">
        <f>IF(AN2630&gt;=AQ2630,"ok","ck")</f>
      </c>
      <c r="AT2630" s="116">
        <f>-P2630</f>
      </c>
      <c r="AU2630" s="115">
        <f>IF(SUMIFS(AT:AT,AM:AM,AM2630)&gt;AO2630,(SUMIFS(AT:AT,AM:AM,AM2630)-AO2630))</f>
      </c>
      <c r="AV2630" s="116">
        <v>1314</v>
      </c>
      <c r="AW2630" s="121">
        <v>1.027</v>
      </c>
      <c r="AX2630" s="115">
        <f>AN2630-AP2630</f>
      </c>
    </row>
    <row r="2631" spans="1:50" ht="15" hidden="1" customHeight="1" x14ac:dyDescent="0.3">
      <c r="A2631" s="94" t="s">
        <v>76</v>
      </c>
      <c r="B2631" s="94"/>
      <c r="C2631" s="94"/>
      <c r="D2631" s="94"/>
      <c r="E2631" s="94"/>
      <c r="F2631" s="94"/>
      <c r="G2631" s="112">
        <f>AU2631</f>
      </c>
      <c r="H2631" s="113"/>
      <c r="I2631" s="94" t="s">
        <v>77</v>
      </c>
      <c r="J2631" s="94" t="s">
        <v>90</v>
      </c>
      <c r="K2631" s="114">
        <f>P2631/3</f>
      </c>
      <c r="L2631" s="115">
        <v>140</v>
      </c>
      <c r="M2631" s="116">
        <v>140</v>
      </c>
      <c r="N2631" s="117">
        <f>M2631-L2631</f>
      </c>
      <c r="O2631" s="112"/>
      <c r="P2631" s="118">
        <f>N2631+O2631</f>
      </c>
      <c r="Q2631" s="94" t="s">
        <v>78</v>
      </c>
      <c r="R2631" s="94" t="s">
        <v>63</v>
      </c>
      <c r="S2631" s="119">
        <v>46334</v>
      </c>
      <c r="T2631" s="119"/>
      <c r="U2631" s="119">
        <v>46334</v>
      </c>
      <c r="V2631" s="94"/>
      <c r="W2631" s="94"/>
      <c r="X2631" s="94"/>
      <c r="Y2631" s="119">
        <v>46334</v>
      </c>
      <c r="Z2631" s="94"/>
      <c r="AA2631" s="120"/>
      <c r="AB2631" s="120"/>
      <c r="AC2631" s="120"/>
      <c r="AD2631" s="120"/>
      <c r="AE2631" s="120"/>
      <c r="AF2631" s="120"/>
      <c r="AG2631" s="94"/>
      <c r="AH2631" s="120"/>
      <c r="AI2631" s="94"/>
      <c r="AJ2631" s="94" t="s">
        <v>78</v>
      </c>
      <c r="AK2631" s="94" t="s">
        <v>91</v>
      </c>
      <c r="AL2631" s="94">
        <v>150</v>
      </c>
      <c r="AM2631" s="94" t="str">
        <f>TRIM(AJ2631)&amp;TRIM(AL2631)&amp;TRIM(AK2631)</f>
      </c>
      <c r="AN2631" s="116">
        <v>11712.82</v>
      </c>
      <c r="AO2631" s="116">
        <v>161.4</v>
      </c>
      <c r="AP2631" s="116">
        <f>SUMIFS(M:M,AM:AM,AM2631)+SUMIFS(O:O,AM:AM,AM2631)</f>
      </c>
      <c r="AQ2631" s="116">
        <f>SUMIFS(L:L,AM:AM,AM2631)</f>
      </c>
      <c r="AR2631" s="116">
        <f>AQ2631-AP2631</f>
      </c>
      <c r="AS2631" s="94" t="str">
        <f>IF(AN2631&gt;=AQ2631,"ok","ck")</f>
      </c>
      <c r="AT2631" s="116">
        <f>-P2631</f>
      </c>
      <c r="AU2631" s="115">
        <f>IF(SUMIFS(AT:AT,AM:AM,AM2631)&gt;AO2631,(SUMIFS(AT:AT,AM:AM,AM2631)-AO2631))</f>
      </c>
      <c r="AV2631" s="116">
        <v>11712.82</v>
      </c>
      <c r="AW2631" s="121">
        <v>0.986</v>
      </c>
      <c r="AX2631" s="115">
        <f>AN2631-AP2631</f>
      </c>
    </row>
    <row r="2632" spans="1:50" ht="15" hidden="1" customHeight="1" x14ac:dyDescent="0.3">
      <c r="A2632" s="94" t="s">
        <v>76</v>
      </c>
      <c r="B2632" s="94"/>
      <c r="C2632" s="94"/>
      <c r="D2632" s="94"/>
      <c r="E2632" s="94"/>
      <c r="F2632" s="94"/>
      <c r="G2632" s="112">
        <f>AU2632</f>
      </c>
      <c r="H2632" s="113"/>
      <c r="I2632" s="94" t="s">
        <v>77</v>
      </c>
      <c r="J2632" s="94" t="s">
        <v>90</v>
      </c>
      <c r="K2632" s="114">
        <f>P2632/3</f>
      </c>
      <c r="L2632" s="115">
        <v>3.6</v>
      </c>
      <c r="M2632" s="116">
        <v>3.6</v>
      </c>
      <c r="N2632" s="117">
        <f>M2632-L2632</f>
      </c>
      <c r="O2632" s="112"/>
      <c r="P2632" s="118">
        <f>N2632+O2632</f>
      </c>
      <c r="Q2632" s="94" t="s">
        <v>78</v>
      </c>
      <c r="R2632" s="94" t="s">
        <v>63</v>
      </c>
      <c r="S2632" s="119">
        <v>46334</v>
      </c>
      <c r="T2632" s="119"/>
      <c r="U2632" s="119">
        <v>46334</v>
      </c>
      <c r="V2632" s="94"/>
      <c r="W2632" s="94"/>
      <c r="X2632" s="94"/>
      <c r="Y2632" s="119">
        <v>46334</v>
      </c>
      <c r="Z2632" s="94"/>
      <c r="AA2632" s="120"/>
      <c r="AB2632" s="120"/>
      <c r="AC2632" s="120"/>
      <c r="AD2632" s="120"/>
      <c r="AE2632" s="120"/>
      <c r="AF2632" s="120"/>
      <c r="AG2632" s="94"/>
      <c r="AH2632" s="120"/>
      <c r="AI2632" s="94"/>
      <c r="AJ2632" s="94" t="s">
        <v>78</v>
      </c>
      <c r="AK2632" s="94" t="s">
        <v>91</v>
      </c>
      <c r="AL2632" s="94">
        <v>150</v>
      </c>
      <c r="AM2632" s="94" t="str">
        <f>TRIM(AJ2632)&amp;TRIM(AL2632)&amp;TRIM(AK2632)</f>
      </c>
      <c r="AN2632" s="116">
        <v>11712.82</v>
      </c>
      <c r="AO2632" s="116">
        <v>161.4</v>
      </c>
      <c r="AP2632" s="116">
        <f>SUMIFS(M:M,AM:AM,AM2632)+SUMIFS(O:O,AM:AM,AM2632)</f>
      </c>
      <c r="AQ2632" s="116">
        <f>SUMIFS(L:L,AM:AM,AM2632)</f>
      </c>
      <c r="AR2632" s="116">
        <f>AQ2632-AP2632</f>
      </c>
      <c r="AS2632" s="94" t="str">
        <f>IF(AN2632&gt;=AQ2632,"ok","ck")</f>
      </c>
      <c r="AT2632" s="116">
        <f>-P2632</f>
      </c>
      <c r="AU2632" s="115">
        <f>IF(SUMIFS(AT:AT,AM:AM,AM2632)&gt;AO2632,(SUMIFS(AT:AT,AM:AM,AM2632)-AO2632))</f>
      </c>
      <c r="AV2632" s="116">
        <v>11712.82</v>
      </c>
      <c r="AW2632" s="121">
        <v>0.986</v>
      </c>
      <c r="AX2632" s="115">
        <f>AN2632-AP2632</f>
      </c>
    </row>
    <row r="2633" spans="1:50" ht="15" hidden="1" customHeight="1" x14ac:dyDescent="0.3">
      <c r="A2633" s="94" t="s">
        <v>76</v>
      </c>
      <c r="B2633" s="94"/>
      <c r="C2633" s="94"/>
      <c r="D2633" s="94"/>
      <c r="E2633" s="94"/>
      <c r="F2633" s="94"/>
      <c r="G2633" s="112">
        <f>AU2633</f>
      </c>
      <c r="H2633" s="113"/>
      <c r="I2633" s="94" t="s">
        <v>77</v>
      </c>
      <c r="J2633" s="94" t="s">
        <v>90</v>
      </c>
      <c r="K2633" s="114">
        <f>P2633/3</f>
      </c>
      <c r="L2633" s="115">
        <v>1137.7280000000001</v>
      </c>
      <c r="M2633" s="116">
        <v>1137.7280000000001</v>
      </c>
      <c r="N2633" s="117">
        <f>M2633-L2633</f>
      </c>
      <c r="O2633" s="112"/>
      <c r="P2633" s="118">
        <f>N2633+O2633</f>
      </c>
      <c r="Q2633" s="94" t="s">
        <v>78</v>
      </c>
      <c r="R2633" s="94" t="s">
        <v>63</v>
      </c>
      <c r="S2633" s="119">
        <v>46343</v>
      </c>
      <c r="T2633" s="119"/>
      <c r="U2633" s="119">
        <v>46343</v>
      </c>
      <c r="V2633" s="94"/>
      <c r="W2633" s="94"/>
      <c r="X2633" s="94"/>
      <c r="Y2633" s="119">
        <v>46343</v>
      </c>
      <c r="Z2633" s="94"/>
      <c r="AA2633" s="120"/>
      <c r="AB2633" s="120"/>
      <c r="AC2633" s="120"/>
      <c r="AD2633" s="120"/>
      <c r="AE2633" s="120"/>
      <c r="AF2633" s="120"/>
      <c r="AG2633" s="94"/>
      <c r="AH2633" s="120"/>
      <c r="AI2633" s="94"/>
      <c r="AJ2633" s="94" t="s">
        <v>78</v>
      </c>
      <c r="AK2633" s="94" t="s">
        <v>91</v>
      </c>
      <c r="AL2633" s="94">
        <v>150</v>
      </c>
      <c r="AM2633" s="94" t="str">
        <f>TRIM(AJ2633)&amp;TRIM(AL2633)&amp;TRIM(AK2633)</f>
      </c>
      <c r="AN2633" s="116">
        <v>11712.82</v>
      </c>
      <c r="AO2633" s="116">
        <v>161.4</v>
      </c>
      <c r="AP2633" s="116">
        <f>SUMIFS(M:M,AM:AM,AM2633)+SUMIFS(O:O,AM:AM,AM2633)</f>
      </c>
      <c r="AQ2633" s="116">
        <f>SUMIFS(L:L,AM:AM,AM2633)</f>
      </c>
      <c r="AR2633" s="116">
        <f>AQ2633-AP2633</f>
      </c>
      <c r="AS2633" s="94" t="str">
        <f>IF(AN2633&gt;=AQ2633,"ok","ck")</f>
      </c>
      <c r="AT2633" s="116">
        <f>-P2633</f>
      </c>
      <c r="AU2633" s="115">
        <f>IF(SUMIFS(AT:AT,AM:AM,AM2633)&gt;AO2633,(SUMIFS(AT:AT,AM:AM,AM2633)-AO2633))</f>
      </c>
      <c r="AV2633" s="116">
        <v>11712.82</v>
      </c>
      <c r="AW2633" s="121">
        <v>0.986</v>
      </c>
      <c r="AX2633" s="115">
        <f>AN2633-AP2633</f>
      </c>
    </row>
    <row r="2634" spans="1:50" ht="15" hidden="1" customHeight="1" x14ac:dyDescent="0.3">
      <c r="A2634" s="94" t="s">
        <v>76</v>
      </c>
      <c r="B2634" s="94"/>
      <c r="C2634" s="94"/>
      <c r="D2634" s="94"/>
      <c r="E2634" s="94"/>
      <c r="F2634" s="94"/>
      <c r="G2634" s="112">
        <f>AU2634</f>
      </c>
      <c r="H2634" s="113"/>
      <c r="I2634" s="94" t="s">
        <v>77</v>
      </c>
      <c r="J2634" s="94" t="s">
        <v>90</v>
      </c>
      <c r="K2634" s="114">
        <f>P2634/3</f>
      </c>
      <c r="L2634" s="115">
        <v>1041.875</v>
      </c>
      <c r="M2634" s="116">
        <v>880.47500000000002</v>
      </c>
      <c r="N2634" s="117">
        <f>M2634-L2634</f>
      </c>
      <c r="O2634" s="112"/>
      <c r="P2634" s="118">
        <f>N2634+O2634</f>
      </c>
      <c r="Q2634" s="94" t="s">
        <v>78</v>
      </c>
      <c r="R2634" s="94" t="s">
        <v>63</v>
      </c>
      <c r="S2634" s="119">
        <v>46345</v>
      </c>
      <c r="T2634" s="119"/>
      <c r="U2634" s="119">
        <v>46345</v>
      </c>
      <c r="V2634" s="94"/>
      <c r="W2634" s="94"/>
      <c r="X2634" s="94"/>
      <c r="Y2634" s="119">
        <v>46345</v>
      </c>
      <c r="Z2634" s="94"/>
      <c r="AA2634" s="120"/>
      <c r="AB2634" s="120"/>
      <c r="AC2634" s="120"/>
      <c r="AD2634" s="120"/>
      <c r="AE2634" s="120"/>
      <c r="AF2634" s="120"/>
      <c r="AG2634" s="94"/>
      <c r="AH2634" s="120"/>
      <c r="AI2634" s="94"/>
      <c r="AJ2634" s="94" t="s">
        <v>78</v>
      </c>
      <c r="AK2634" s="94" t="s">
        <v>91</v>
      </c>
      <c r="AL2634" s="94">
        <v>150</v>
      </c>
      <c r="AM2634" s="94" t="str">
        <f>TRIM(AJ2634)&amp;TRIM(AL2634)&amp;TRIM(AK2634)</f>
      </c>
      <c r="AN2634" s="116">
        <v>11712.82</v>
      </c>
      <c r="AO2634" s="116">
        <v>161.4</v>
      </c>
      <c r="AP2634" s="116">
        <f>SUMIFS(M:M,AM:AM,AM2634)+SUMIFS(O:O,AM:AM,AM2634)</f>
      </c>
      <c r="AQ2634" s="116">
        <f>SUMIFS(L:L,AM:AM,AM2634)</f>
      </c>
      <c r="AR2634" s="116">
        <f>AQ2634-AP2634</f>
      </c>
      <c r="AS2634" s="94" t="str">
        <f>IF(AN2634&gt;=AQ2634,"ok","ck")</f>
      </c>
      <c r="AT2634" s="116">
        <f>-P2634</f>
      </c>
      <c r="AU2634" s="115">
        <f>IF(SUMIFS(AT:AT,AM:AM,AM2634)&gt;AO2634,(SUMIFS(AT:AT,AM:AM,AM2634)-AO2634))</f>
      </c>
      <c r="AV2634" s="116">
        <v>11712.82</v>
      </c>
      <c r="AW2634" s="121">
        <v>0.986</v>
      </c>
      <c r="AX2634" s="115">
        <f>AN2634-AP2634</f>
      </c>
    </row>
    <row r="2635" spans="1:50" ht="15" hidden="1" customHeight="1" x14ac:dyDescent="0.3">
      <c r="A2635" s="94" t="s">
        <v>151</v>
      </c>
      <c r="B2635" s="94"/>
      <c r="C2635" s="94"/>
      <c r="D2635" s="94"/>
      <c r="E2635" s="94"/>
      <c r="F2635" s="94"/>
      <c r="G2635" s="112">
        <f>AU2635</f>
      </c>
      <c r="H2635" s="113"/>
      <c r="I2635" s="94" t="s">
        <v>152</v>
      </c>
      <c r="J2635" s="94" t="s">
        <v>156</v>
      </c>
      <c r="K2635" s="114">
        <f>P2635/3</f>
      </c>
      <c r="L2635" s="115">
        <v>0.13900000000000001</v>
      </c>
      <c r="M2635" s="116">
        <f>L2635</f>
      </c>
      <c r="N2635" s="117">
        <f>M2635-L2635</f>
      </c>
      <c r="O2635" s="112"/>
      <c r="P2635" s="118">
        <f>N2635+O2635</f>
      </c>
      <c r="Q2635" s="94" t="s">
        <v>234</v>
      </c>
      <c r="R2635" s="94" t="s">
        <v>63</v>
      </c>
      <c r="S2635" s="119">
        <v>46320</v>
      </c>
      <c r="T2635" s="119"/>
      <c r="U2635" s="119">
        <v>46320</v>
      </c>
      <c r="V2635" s="94"/>
      <c r="W2635" s="94"/>
      <c r="X2635" s="94"/>
      <c r="Y2635" s="119">
        <v>46320</v>
      </c>
      <c r="Z2635" s="94"/>
      <c r="AA2635" s="120"/>
      <c r="AB2635" s="120"/>
      <c r="AC2635" s="120"/>
      <c r="AD2635" s="120"/>
      <c r="AE2635" s="120"/>
      <c r="AF2635" s="120"/>
      <c r="AG2635" s="94"/>
      <c r="AH2635" s="120"/>
      <c r="AI2635" s="94"/>
      <c r="AJ2635" s="94" t="s">
        <v>234</v>
      </c>
      <c r="AK2635" s="94" t="s">
        <v>158</v>
      </c>
      <c r="AL2635" s="94">
        <v>160</v>
      </c>
      <c r="AM2635" s="94" t="str">
        <f>TRIM(AJ2635)&amp;TRIM(AL2635)&amp;TRIM(AK2635)</f>
      </c>
      <c r="AN2635" s="116">
        <v>2385.17</v>
      </c>
      <c r="AO2635" s="116">
        <v>-25.17</v>
      </c>
      <c r="AP2635" s="116">
        <f>SUMIFS(M:M,AM:AM,AM2635)+SUMIFS(O:O,AM:AM,AM2635)</f>
      </c>
      <c r="AQ2635" s="116">
        <f>SUMIFS(L:L,AM:AM,AM2635)</f>
      </c>
      <c r="AR2635" s="116">
        <f>AQ2635-AP2635</f>
      </c>
      <c r="AS2635" s="94" t="str">
        <f>IF(AN2635&gt;=AQ2635,"ok","ck")</f>
      </c>
      <c r="AT2635" s="116">
        <f>-P2635</f>
      </c>
      <c r="AU2635" s="115">
        <f>IF(SUMIFS(AT:AT,AM:AM,AM2635)&gt;AO2635,(SUMIFS(AT:AT,AM:AM,AM2635)-AO2635))</f>
      </c>
      <c r="AV2635" s="116">
        <v>2385.17</v>
      </c>
      <c r="AW2635" s="121">
        <v>1.011</v>
      </c>
      <c r="AX2635" s="115">
        <f>AN2635-AP2635</f>
      </c>
    </row>
    <row r="2636" spans="1:50" ht="15" hidden="1" customHeight="1" x14ac:dyDescent="0.3">
      <c r="A2636" s="94" t="s">
        <v>151</v>
      </c>
      <c r="B2636" s="94"/>
      <c r="C2636" s="94"/>
      <c r="D2636" s="94"/>
      <c r="E2636" s="94"/>
      <c r="F2636" s="94"/>
      <c r="G2636" s="112">
        <f>AU2636</f>
      </c>
      <c r="H2636" s="113"/>
      <c r="I2636" s="94" t="s">
        <v>152</v>
      </c>
      <c r="J2636" s="94" t="s">
        <v>156</v>
      </c>
      <c r="K2636" s="114">
        <f>P2636/3</f>
      </c>
      <c r="L2636" s="115">
        <v>270.50200000000001</v>
      </c>
      <c r="M2636" s="116">
        <f>L2636</f>
      </c>
      <c r="N2636" s="117">
        <f>M2636-L2636</f>
      </c>
      <c r="O2636" s="112"/>
      <c r="P2636" s="118">
        <f>N2636+O2636</f>
      </c>
      <c r="Q2636" s="94" t="s">
        <v>234</v>
      </c>
      <c r="R2636" s="94" t="s">
        <v>63</v>
      </c>
      <c r="S2636" s="119">
        <v>46326</v>
      </c>
      <c r="T2636" s="119"/>
      <c r="U2636" s="119">
        <v>46326</v>
      </c>
      <c r="V2636" s="94"/>
      <c r="W2636" s="94"/>
      <c r="X2636" s="94"/>
      <c r="Y2636" s="119">
        <v>46326</v>
      </c>
      <c r="Z2636" s="94"/>
      <c r="AA2636" s="120"/>
      <c r="AB2636" s="120"/>
      <c r="AC2636" s="120"/>
      <c r="AD2636" s="120"/>
      <c r="AE2636" s="120"/>
      <c r="AF2636" s="120"/>
      <c r="AG2636" s="94"/>
      <c r="AH2636" s="120"/>
      <c r="AI2636" s="94"/>
      <c r="AJ2636" s="94" t="s">
        <v>234</v>
      </c>
      <c r="AK2636" s="94" t="s">
        <v>158</v>
      </c>
      <c r="AL2636" s="94">
        <v>160</v>
      </c>
      <c r="AM2636" s="94" t="str">
        <f>TRIM(AJ2636)&amp;TRIM(AL2636)&amp;TRIM(AK2636)</f>
      </c>
      <c r="AN2636" s="116">
        <v>2385.17</v>
      </c>
      <c r="AO2636" s="116">
        <v>-25.17</v>
      </c>
      <c r="AP2636" s="116">
        <f>SUMIFS(M:M,AM:AM,AM2636)+SUMIFS(O:O,AM:AM,AM2636)</f>
      </c>
      <c r="AQ2636" s="116">
        <f>SUMIFS(L:L,AM:AM,AM2636)</f>
      </c>
      <c r="AR2636" s="116">
        <f>AQ2636-AP2636</f>
      </c>
      <c r="AS2636" s="94" t="str">
        <f>IF(AN2636&gt;=AQ2636,"ok","ck")</f>
      </c>
      <c r="AT2636" s="116">
        <f>-P2636</f>
      </c>
      <c r="AU2636" s="115">
        <f>IF(SUMIFS(AT:AT,AM:AM,AM2636)&gt;AO2636,(SUMIFS(AT:AT,AM:AM,AM2636)-AO2636))</f>
      </c>
      <c r="AV2636" s="116">
        <v>2385.17</v>
      </c>
      <c r="AW2636" s="121">
        <v>1.011</v>
      </c>
      <c r="AX2636" s="115">
        <f>AN2636-AP2636</f>
      </c>
    </row>
    <row r="2637" spans="1:50" ht="15" hidden="1" customHeight="1" x14ac:dyDescent="0.3">
      <c r="A2637" s="94" t="s">
        <v>151</v>
      </c>
      <c r="B2637" s="94"/>
      <c r="C2637" s="94"/>
      <c r="D2637" s="94"/>
      <c r="E2637" s="94"/>
      <c r="F2637" s="94"/>
      <c r="G2637" s="112">
        <f>AU2637</f>
      </c>
      <c r="H2637" s="113"/>
      <c r="I2637" s="94" t="s">
        <v>152</v>
      </c>
      <c r="J2637" s="94" t="s">
        <v>156</v>
      </c>
      <c r="K2637" s="114">
        <f>P2637/3</f>
      </c>
      <c r="L2637" s="115">
        <v>63.375</v>
      </c>
      <c r="M2637" s="116">
        <f>L2637</f>
      </c>
      <c r="N2637" s="117">
        <f>M2637-L2637</f>
      </c>
      <c r="O2637" s="112"/>
      <c r="P2637" s="118">
        <f>N2637+O2637</f>
      </c>
      <c r="Q2637" s="94" t="s">
        <v>234</v>
      </c>
      <c r="R2637" s="94" t="s">
        <v>63</v>
      </c>
      <c r="S2637" s="119">
        <v>46335</v>
      </c>
      <c r="T2637" s="119"/>
      <c r="U2637" s="119">
        <v>46335</v>
      </c>
      <c r="V2637" s="94"/>
      <c r="W2637" s="94"/>
      <c r="X2637" s="94"/>
      <c r="Y2637" s="119">
        <v>46335</v>
      </c>
      <c r="Z2637" s="94"/>
      <c r="AA2637" s="120"/>
      <c r="AB2637" s="120"/>
      <c r="AC2637" s="120"/>
      <c r="AD2637" s="120"/>
      <c r="AE2637" s="120"/>
      <c r="AF2637" s="120"/>
      <c r="AG2637" s="94"/>
      <c r="AH2637" s="120"/>
      <c r="AI2637" s="94"/>
      <c r="AJ2637" s="94" t="s">
        <v>234</v>
      </c>
      <c r="AK2637" s="94" t="s">
        <v>158</v>
      </c>
      <c r="AL2637" s="94">
        <v>160</v>
      </c>
      <c r="AM2637" s="94" t="str">
        <f>TRIM(AJ2637)&amp;TRIM(AL2637)&amp;TRIM(AK2637)</f>
      </c>
      <c r="AN2637" s="116">
        <v>2385.17</v>
      </c>
      <c r="AO2637" s="116">
        <v>-25.17</v>
      </c>
      <c r="AP2637" s="116">
        <f>SUMIFS(M:M,AM:AM,AM2637)+SUMIFS(O:O,AM:AM,AM2637)</f>
      </c>
      <c r="AQ2637" s="116">
        <f>SUMIFS(L:L,AM:AM,AM2637)</f>
      </c>
      <c r="AR2637" s="116">
        <f>AQ2637-AP2637</f>
      </c>
      <c r="AS2637" s="94" t="str">
        <f>IF(AN2637&gt;=AQ2637,"ok","ck")</f>
      </c>
      <c r="AT2637" s="116">
        <f>-P2637</f>
      </c>
      <c r="AU2637" s="115">
        <f>IF(SUMIFS(AT:AT,AM:AM,AM2637)&gt;AO2637,(SUMIFS(AT:AT,AM:AM,AM2637)-AO2637))</f>
      </c>
      <c r="AV2637" s="116">
        <v>2385.17</v>
      </c>
      <c r="AW2637" s="121">
        <v>1.011</v>
      </c>
      <c r="AX2637" s="115">
        <f>AN2637-AP2637</f>
      </c>
    </row>
    <row r="2638" spans="1:50" ht="15" hidden="1" customHeight="1" x14ac:dyDescent="0.3">
      <c r="A2638" s="94" t="s">
        <v>151</v>
      </c>
      <c r="B2638" s="94"/>
      <c r="C2638" s="94"/>
      <c r="D2638" s="94"/>
      <c r="E2638" s="94"/>
      <c r="F2638" s="94"/>
      <c r="G2638" s="112">
        <f>AU2638</f>
      </c>
      <c r="H2638" s="113"/>
      <c r="I2638" s="94" t="s">
        <v>152</v>
      </c>
      <c r="J2638" s="94" t="s">
        <v>156</v>
      </c>
      <c r="K2638" s="114">
        <f>P2638/3</f>
      </c>
      <c r="L2638" s="115">
        <v>798.404</v>
      </c>
      <c r="M2638" s="116">
        <f>L2638</f>
      </c>
      <c r="N2638" s="117">
        <f>M2638-L2638</f>
      </c>
      <c r="O2638" s="112"/>
      <c r="P2638" s="118">
        <f>N2638+O2638</f>
      </c>
      <c r="Q2638" s="94" t="s">
        <v>234</v>
      </c>
      <c r="R2638" s="94" t="s">
        <v>63</v>
      </c>
      <c r="S2638" s="119">
        <v>46326</v>
      </c>
      <c r="T2638" s="119"/>
      <c r="U2638" s="119">
        <v>46326</v>
      </c>
      <c r="V2638" s="94"/>
      <c r="W2638" s="94"/>
      <c r="X2638" s="94"/>
      <c r="Y2638" s="119">
        <v>46326</v>
      </c>
      <c r="Z2638" s="94"/>
      <c r="AA2638" s="120"/>
      <c r="AB2638" s="120"/>
      <c r="AC2638" s="120"/>
      <c r="AD2638" s="120"/>
      <c r="AE2638" s="120"/>
      <c r="AF2638" s="120"/>
      <c r="AG2638" s="94"/>
      <c r="AH2638" s="120"/>
      <c r="AI2638" s="94"/>
      <c r="AJ2638" s="94" t="s">
        <v>234</v>
      </c>
      <c r="AK2638" s="94" t="s">
        <v>158</v>
      </c>
      <c r="AL2638" s="94">
        <v>160</v>
      </c>
      <c r="AM2638" s="94" t="str">
        <f>TRIM(AJ2638)&amp;TRIM(AL2638)&amp;TRIM(AK2638)</f>
      </c>
      <c r="AN2638" s="116">
        <v>2385.17</v>
      </c>
      <c r="AO2638" s="116">
        <v>-25.17</v>
      </c>
      <c r="AP2638" s="116">
        <f>SUMIFS(M:M,AM:AM,AM2638)+SUMIFS(O:O,AM:AM,AM2638)</f>
      </c>
      <c r="AQ2638" s="116">
        <f>SUMIFS(L:L,AM:AM,AM2638)</f>
      </c>
      <c r="AR2638" s="116">
        <f>AQ2638-AP2638</f>
      </c>
      <c r="AS2638" s="94" t="str">
        <f>IF(AN2638&gt;=AQ2638,"ok","ck")</f>
      </c>
      <c r="AT2638" s="116">
        <f>-P2638</f>
      </c>
      <c r="AU2638" s="115">
        <f>IF(SUMIFS(AT:AT,AM:AM,AM2638)&gt;AO2638,(SUMIFS(AT:AT,AM:AM,AM2638)-AO2638))</f>
      </c>
      <c r="AV2638" s="116">
        <v>2385.17</v>
      </c>
      <c r="AW2638" s="121">
        <v>1.011</v>
      </c>
      <c r="AX2638" s="115">
        <f>AN2638-AP2638</f>
      </c>
    </row>
    <row r="2639" spans="1:50" ht="15" hidden="1" customHeight="1" x14ac:dyDescent="0.3">
      <c r="A2639" s="94" t="s">
        <v>151</v>
      </c>
      <c r="B2639" s="94"/>
      <c r="C2639" s="94"/>
      <c r="D2639" s="94"/>
      <c r="E2639" s="94"/>
      <c r="F2639" s="94"/>
      <c r="G2639" s="112">
        <f>AU2639</f>
      </c>
      <c r="H2639" s="113"/>
      <c r="I2639" s="94" t="s">
        <v>496</v>
      </c>
      <c r="J2639" s="94" t="s">
        <v>156</v>
      </c>
      <c r="K2639" s="114">
        <f>P2639/3</f>
      </c>
      <c r="L2639" s="115">
        <v>911</v>
      </c>
      <c r="M2639" s="116"/>
      <c r="N2639" s="117">
        <f>M2639-L2639</f>
      </c>
      <c r="O2639" s="112"/>
      <c r="P2639" s="118">
        <f>N2639+O2639</f>
      </c>
      <c r="Q2639" s="94" t="s">
        <v>842</v>
      </c>
      <c r="R2639" s="94" t="s">
        <v>63</v>
      </c>
      <c r="S2639" s="119">
        <v>46349</v>
      </c>
      <c r="T2639" s="119"/>
      <c r="U2639" s="119" t="s">
        <v>688</v>
      </c>
      <c r="V2639" s="94"/>
      <c r="W2639" s="94"/>
      <c r="X2639" s="94"/>
      <c r="Y2639" s="119">
        <v>46336</v>
      </c>
      <c r="Z2639" s="94"/>
      <c r="AA2639" s="120"/>
      <c r="AB2639" s="120"/>
      <c r="AC2639" s="120"/>
      <c r="AD2639" s="120"/>
      <c r="AE2639" s="120"/>
      <c r="AF2639" s="120"/>
      <c r="AG2639" s="94"/>
      <c r="AH2639" s="120"/>
      <c r="AI2639" s="94"/>
      <c r="AJ2639" s="94" t="s">
        <v>842</v>
      </c>
      <c r="AK2639" s="94" t="s">
        <v>162</v>
      </c>
      <c r="AL2639" s="94">
        <v>210</v>
      </c>
      <c r="AM2639" s="94" t="str">
        <f>TRIM(AJ2639)&amp;TRIM(AL2639)&amp;TRIM(AK2639)</f>
      </c>
      <c r="AN2639" s="116">
        <v>4632.18</v>
      </c>
      <c r="AO2639" s="116">
        <v>12159.81</v>
      </c>
      <c r="AP2639" s="116">
        <f>SUMIFS(M:M,AM:AM,AM2639)+SUMIFS(O:O,AM:AM,AM2639)</f>
      </c>
      <c r="AQ2639" s="116">
        <f>SUMIFS(L:L,AM:AM,AM2639)</f>
      </c>
      <c r="AR2639" s="116">
        <f>AQ2639-AP2639</f>
      </c>
      <c r="AS2639" s="94" t="str">
        <f>IF(AN2639&gt;=AQ2639,"ok","ck")</f>
      </c>
      <c r="AT2639" s="116">
        <f>-P2639</f>
      </c>
      <c r="AU2639" s="115">
        <f>IF(SUMIFS(AT:AT,AM:AM,AM2639)&gt;AO2639,(SUMIFS(AT:AT,AM:AM,AM2639)-AO2639))</f>
      </c>
      <c r="AV2639" s="116">
        <v>425</v>
      </c>
      <c r="AW2639" s="121">
        <v>0.41</v>
      </c>
      <c r="AX2639" s="115">
        <f>AN2639-AP2639</f>
      </c>
    </row>
    <row r="2640" spans="1:50" ht="15" hidden="1" customHeight="1" x14ac:dyDescent="0.3">
      <c r="A2640" s="94" t="s">
        <v>151</v>
      </c>
      <c r="B2640" s="94"/>
      <c r="C2640" s="94"/>
      <c r="D2640" s="94"/>
      <c r="E2640" s="94"/>
      <c r="F2640" s="94"/>
      <c r="G2640" s="112">
        <f>AU2640</f>
      </c>
      <c r="H2640" s="113"/>
      <c r="I2640" s="94" t="s">
        <v>496</v>
      </c>
      <c r="J2640" s="94" t="s">
        <v>156</v>
      </c>
      <c r="K2640" s="114">
        <f>P2640/3</f>
      </c>
      <c r="L2640" s="115">
        <v>911</v>
      </c>
      <c r="M2640" s="116"/>
      <c r="N2640" s="117">
        <f>M2640-L2640</f>
      </c>
      <c r="O2640" s="112"/>
      <c r="P2640" s="118">
        <f>N2640+O2640</f>
      </c>
      <c r="Q2640" s="94" t="s">
        <v>842</v>
      </c>
      <c r="R2640" s="94" t="s">
        <v>63</v>
      </c>
      <c r="S2640" s="119">
        <v>46351</v>
      </c>
      <c r="T2640" s="119"/>
      <c r="U2640" s="119" t="s">
        <v>688</v>
      </c>
      <c r="V2640" s="94"/>
      <c r="W2640" s="94"/>
      <c r="X2640" s="94"/>
      <c r="Y2640" s="119">
        <v>46336</v>
      </c>
      <c r="Z2640" s="94"/>
      <c r="AA2640" s="120"/>
      <c r="AB2640" s="120"/>
      <c r="AC2640" s="120"/>
      <c r="AD2640" s="120"/>
      <c r="AE2640" s="120"/>
      <c r="AF2640" s="120"/>
      <c r="AG2640" s="94"/>
      <c r="AH2640" s="120"/>
      <c r="AI2640" s="94"/>
      <c r="AJ2640" s="94" t="s">
        <v>842</v>
      </c>
      <c r="AK2640" s="94" t="s">
        <v>162</v>
      </c>
      <c r="AL2640" s="94">
        <v>210</v>
      </c>
      <c r="AM2640" s="94" t="str">
        <f>TRIM(AJ2640)&amp;TRIM(AL2640)&amp;TRIM(AK2640)</f>
      </c>
      <c r="AN2640" s="116">
        <v>4632.18</v>
      </c>
      <c r="AO2640" s="116">
        <v>12159.81</v>
      </c>
      <c r="AP2640" s="116">
        <f>SUMIFS(M:M,AM:AM,AM2640)+SUMIFS(O:O,AM:AM,AM2640)</f>
      </c>
      <c r="AQ2640" s="116">
        <f>SUMIFS(L:L,AM:AM,AM2640)</f>
      </c>
      <c r="AR2640" s="116">
        <f>AQ2640-AP2640</f>
      </c>
      <c r="AS2640" s="94" t="str">
        <f>IF(AN2640&gt;=AQ2640,"ok","ck")</f>
      </c>
      <c r="AT2640" s="116">
        <f>-P2640</f>
      </c>
      <c r="AU2640" s="115">
        <f>IF(SUMIFS(AT:AT,AM:AM,AM2640)&gt;AO2640,(SUMIFS(AT:AT,AM:AM,AM2640)-AO2640))</f>
      </c>
      <c r="AV2640" s="116">
        <v>425</v>
      </c>
      <c r="AW2640" s="121">
        <v>0.41</v>
      </c>
      <c r="AX2640" s="115">
        <f>AN2640-AP2640</f>
      </c>
    </row>
    <row r="2641" spans="1:50" ht="15" hidden="1" customHeight="1" x14ac:dyDescent="0.3">
      <c r="A2641" s="94" t="s">
        <v>151</v>
      </c>
      <c r="B2641" s="94"/>
      <c r="C2641" s="94"/>
      <c r="D2641" s="94"/>
      <c r="E2641" s="94"/>
      <c r="F2641" s="94"/>
      <c r="G2641" s="112">
        <f>AU2641</f>
      </c>
      <c r="H2641" s="113"/>
      <c r="I2641" s="94" t="s">
        <v>496</v>
      </c>
      <c r="J2641" s="94" t="s">
        <v>156</v>
      </c>
      <c r="K2641" s="114">
        <f>P2641/3</f>
      </c>
      <c r="L2641" s="115">
        <v>911</v>
      </c>
      <c r="M2641" s="116"/>
      <c r="N2641" s="117">
        <f>M2641-L2641</f>
      </c>
      <c r="O2641" s="112"/>
      <c r="P2641" s="118">
        <f>N2641+O2641</f>
      </c>
      <c r="Q2641" s="94" t="s">
        <v>842</v>
      </c>
      <c r="R2641" s="94" t="s">
        <v>63</v>
      </c>
      <c r="S2641" s="119">
        <v>46353</v>
      </c>
      <c r="T2641" s="119"/>
      <c r="U2641" s="119" t="s">
        <v>688</v>
      </c>
      <c r="V2641" s="94"/>
      <c r="W2641" s="94"/>
      <c r="X2641" s="94"/>
      <c r="Y2641" s="119">
        <v>46336</v>
      </c>
      <c r="Z2641" s="94"/>
      <c r="AA2641" s="120"/>
      <c r="AB2641" s="120"/>
      <c r="AC2641" s="120"/>
      <c r="AD2641" s="120"/>
      <c r="AE2641" s="120"/>
      <c r="AF2641" s="120"/>
      <c r="AG2641" s="94"/>
      <c r="AH2641" s="120"/>
      <c r="AI2641" s="94"/>
      <c r="AJ2641" s="94" t="s">
        <v>842</v>
      </c>
      <c r="AK2641" s="94" t="s">
        <v>162</v>
      </c>
      <c r="AL2641" s="94">
        <v>210</v>
      </c>
      <c r="AM2641" s="94" t="str">
        <f>TRIM(AJ2641)&amp;TRIM(AL2641)&amp;TRIM(AK2641)</f>
      </c>
      <c r="AN2641" s="116">
        <v>4632.18</v>
      </c>
      <c r="AO2641" s="116">
        <v>12159.81</v>
      </c>
      <c r="AP2641" s="116">
        <f>SUMIFS(M:M,AM:AM,AM2641)+SUMIFS(O:O,AM:AM,AM2641)</f>
      </c>
      <c r="AQ2641" s="116">
        <f>SUMIFS(L:L,AM:AM,AM2641)</f>
      </c>
      <c r="AR2641" s="116">
        <f>AQ2641-AP2641</f>
      </c>
      <c r="AS2641" s="94" t="str">
        <f>IF(AN2641&gt;=AQ2641,"ok","ck")</f>
      </c>
      <c r="AT2641" s="116">
        <f>-P2641</f>
      </c>
      <c r="AU2641" s="115">
        <f>IF(SUMIFS(AT:AT,AM:AM,AM2641)&gt;AO2641,(SUMIFS(AT:AT,AM:AM,AM2641)-AO2641))</f>
      </c>
      <c r="AV2641" s="116">
        <v>425</v>
      </c>
      <c r="AW2641" s="121">
        <v>0.41</v>
      </c>
      <c r="AX2641" s="115">
        <f>AN2641-AP2641</f>
      </c>
    </row>
    <row r="2642" spans="1:50" ht="15" hidden="1" customHeight="1" x14ac:dyDescent="0.3">
      <c r="A2642" s="94" t="s">
        <v>151</v>
      </c>
      <c r="B2642" s="94"/>
      <c r="C2642" s="94"/>
      <c r="D2642" s="94"/>
      <c r="E2642" s="94"/>
      <c r="F2642" s="94"/>
      <c r="G2642" s="112">
        <f>AU2642</f>
      </c>
      <c r="H2642" s="113"/>
      <c r="I2642" s="94" t="s">
        <v>496</v>
      </c>
      <c r="J2642" s="94" t="s">
        <v>156</v>
      </c>
      <c r="K2642" s="114">
        <f>P2642/3</f>
      </c>
      <c r="L2642" s="115">
        <v>911</v>
      </c>
      <c r="M2642" s="116"/>
      <c r="N2642" s="117">
        <f>M2642-L2642</f>
      </c>
      <c r="O2642" s="112"/>
      <c r="P2642" s="118">
        <f>N2642+O2642</f>
      </c>
      <c r="Q2642" s="94" t="s">
        <v>842</v>
      </c>
      <c r="R2642" s="94" t="s">
        <v>63</v>
      </c>
      <c r="S2642" s="119">
        <v>46355</v>
      </c>
      <c r="T2642" s="119"/>
      <c r="U2642" s="119" t="s">
        <v>688</v>
      </c>
      <c r="V2642" s="94"/>
      <c r="W2642" s="94"/>
      <c r="X2642" s="94"/>
      <c r="Y2642" s="119">
        <v>46336</v>
      </c>
      <c r="Z2642" s="94"/>
      <c r="AA2642" s="120"/>
      <c r="AB2642" s="120"/>
      <c r="AC2642" s="120"/>
      <c r="AD2642" s="120"/>
      <c r="AE2642" s="120"/>
      <c r="AF2642" s="120"/>
      <c r="AG2642" s="94"/>
      <c r="AH2642" s="120"/>
      <c r="AI2642" s="94"/>
      <c r="AJ2642" s="94" t="s">
        <v>842</v>
      </c>
      <c r="AK2642" s="94" t="s">
        <v>162</v>
      </c>
      <c r="AL2642" s="94">
        <v>210</v>
      </c>
      <c r="AM2642" s="94" t="str">
        <f>TRIM(AJ2642)&amp;TRIM(AL2642)&amp;TRIM(AK2642)</f>
      </c>
      <c r="AN2642" s="116">
        <v>4632.18</v>
      </c>
      <c r="AO2642" s="116">
        <v>12159.81</v>
      </c>
      <c r="AP2642" s="116">
        <f>SUMIFS(M:M,AM:AM,AM2642)+SUMIFS(O:O,AM:AM,AM2642)</f>
      </c>
      <c r="AQ2642" s="116">
        <f>SUMIFS(L:L,AM:AM,AM2642)</f>
      </c>
      <c r="AR2642" s="116">
        <f>AQ2642-AP2642</f>
      </c>
      <c r="AS2642" s="94" t="str">
        <f>IF(AN2642&gt;=AQ2642,"ok","ck")</f>
      </c>
      <c r="AT2642" s="116">
        <f>-P2642</f>
      </c>
      <c r="AU2642" s="115">
        <f>IF(SUMIFS(AT:AT,AM:AM,AM2642)&gt;AO2642,(SUMIFS(AT:AT,AM:AM,AM2642)-AO2642))</f>
      </c>
      <c r="AV2642" s="116">
        <v>425</v>
      </c>
      <c r="AW2642" s="121">
        <v>0.41</v>
      </c>
      <c r="AX2642" s="115">
        <f>AN2642-AP2642</f>
      </c>
    </row>
    <row r="2643" spans="1:50" ht="15" hidden="1" customHeight="1" x14ac:dyDescent="0.3">
      <c r="A2643" s="94" t="s">
        <v>151</v>
      </c>
      <c r="B2643" s="94"/>
      <c r="C2643" s="94"/>
      <c r="D2643" s="94"/>
      <c r="E2643" s="94"/>
      <c r="F2643" s="94"/>
      <c r="G2643" s="112">
        <f>AU2643</f>
      </c>
      <c r="H2643" s="113"/>
      <c r="I2643" s="94" t="s">
        <v>496</v>
      </c>
      <c r="J2643" s="94" t="s">
        <v>156</v>
      </c>
      <c r="K2643" s="114">
        <f>P2643/3</f>
      </c>
      <c r="L2643" s="115">
        <v>911</v>
      </c>
      <c r="M2643" s="116"/>
      <c r="N2643" s="117">
        <f>M2643-L2643</f>
      </c>
      <c r="O2643" s="112"/>
      <c r="P2643" s="118">
        <f>N2643+O2643</f>
      </c>
      <c r="Q2643" s="94" t="s">
        <v>842</v>
      </c>
      <c r="R2643" s="94" t="s">
        <v>63</v>
      </c>
      <c r="S2643" s="119">
        <v>46357</v>
      </c>
      <c r="T2643" s="119"/>
      <c r="U2643" s="119" t="s">
        <v>688</v>
      </c>
      <c r="V2643" s="94"/>
      <c r="W2643" s="94"/>
      <c r="X2643" s="94"/>
      <c r="Y2643" s="119">
        <v>46340</v>
      </c>
      <c r="Z2643" s="94"/>
      <c r="AA2643" s="120"/>
      <c r="AB2643" s="120"/>
      <c r="AC2643" s="120"/>
      <c r="AD2643" s="120"/>
      <c r="AE2643" s="120"/>
      <c r="AF2643" s="120"/>
      <c r="AG2643" s="94"/>
      <c r="AH2643" s="120"/>
      <c r="AI2643" s="94"/>
      <c r="AJ2643" s="94" t="s">
        <v>842</v>
      </c>
      <c r="AK2643" s="94" t="s">
        <v>162</v>
      </c>
      <c r="AL2643" s="94">
        <v>210</v>
      </c>
      <c r="AM2643" s="94" t="str">
        <f>TRIM(AJ2643)&amp;TRIM(AL2643)&amp;TRIM(AK2643)</f>
      </c>
      <c r="AN2643" s="116">
        <v>4632.18</v>
      </c>
      <c r="AO2643" s="116">
        <v>12159.81</v>
      </c>
      <c r="AP2643" s="116">
        <f>SUMIFS(M:M,AM:AM,AM2643)+SUMIFS(O:O,AM:AM,AM2643)</f>
      </c>
      <c r="AQ2643" s="116">
        <f>SUMIFS(L:L,AM:AM,AM2643)</f>
      </c>
      <c r="AR2643" s="116">
        <f>AQ2643-AP2643</f>
      </c>
      <c r="AS2643" s="94" t="str">
        <f>IF(AN2643&gt;=AQ2643,"ok","ck")</f>
      </c>
      <c r="AT2643" s="116">
        <f>-P2643</f>
      </c>
      <c r="AU2643" s="115">
        <f>IF(SUMIFS(AT:AT,AM:AM,AM2643)&gt;AO2643,(SUMIFS(AT:AT,AM:AM,AM2643)-AO2643))</f>
      </c>
      <c r="AV2643" s="116">
        <v>425</v>
      </c>
      <c r="AW2643" s="121">
        <v>0.41</v>
      </c>
      <c r="AX2643" s="115">
        <f>AN2643-AP2643</f>
      </c>
    </row>
    <row r="2644" spans="1:50" ht="15" hidden="1" customHeight="1" x14ac:dyDescent="0.3">
      <c r="A2644" s="94" t="s">
        <v>151</v>
      </c>
      <c r="B2644" s="94"/>
      <c r="C2644" s="94"/>
      <c r="D2644" s="94"/>
      <c r="E2644" s="94"/>
      <c r="F2644" s="94"/>
      <c r="G2644" s="112">
        <f>AU2644</f>
      </c>
      <c r="H2644" s="113"/>
      <c r="I2644" s="94" t="s">
        <v>496</v>
      </c>
      <c r="J2644" s="94" t="s">
        <v>156</v>
      </c>
      <c r="K2644" s="114">
        <f>P2644/3</f>
      </c>
      <c r="L2644" s="115">
        <v>911</v>
      </c>
      <c r="M2644" s="116"/>
      <c r="N2644" s="117">
        <f>M2644-L2644</f>
      </c>
      <c r="O2644" s="112"/>
      <c r="P2644" s="118">
        <f>N2644+O2644</f>
      </c>
      <c r="Q2644" s="94" t="s">
        <v>842</v>
      </c>
      <c r="R2644" s="94" t="s">
        <v>63</v>
      </c>
      <c r="S2644" s="119">
        <v>46359</v>
      </c>
      <c r="T2644" s="119"/>
      <c r="U2644" s="119" t="s">
        <v>688</v>
      </c>
      <c r="V2644" s="94"/>
      <c r="W2644" s="94"/>
      <c r="X2644" s="94"/>
      <c r="Y2644" s="119">
        <v>46340</v>
      </c>
      <c r="Z2644" s="94"/>
      <c r="AA2644" s="120"/>
      <c r="AB2644" s="120"/>
      <c r="AC2644" s="120"/>
      <c r="AD2644" s="120"/>
      <c r="AE2644" s="120"/>
      <c r="AF2644" s="120"/>
      <c r="AG2644" s="94"/>
      <c r="AH2644" s="120"/>
      <c r="AI2644" s="94"/>
      <c r="AJ2644" s="94" t="s">
        <v>842</v>
      </c>
      <c r="AK2644" s="94" t="s">
        <v>162</v>
      </c>
      <c r="AL2644" s="94">
        <v>210</v>
      </c>
      <c r="AM2644" s="94" t="str">
        <f>TRIM(AJ2644)&amp;TRIM(AL2644)&amp;TRIM(AK2644)</f>
      </c>
      <c r="AN2644" s="116">
        <v>4632.18</v>
      </c>
      <c r="AO2644" s="116">
        <v>12159.81</v>
      </c>
      <c r="AP2644" s="116">
        <f>SUMIFS(M:M,AM:AM,AM2644)+SUMIFS(O:O,AM:AM,AM2644)</f>
      </c>
      <c r="AQ2644" s="116">
        <f>SUMIFS(L:L,AM:AM,AM2644)</f>
      </c>
      <c r="AR2644" s="116">
        <f>AQ2644-AP2644</f>
      </c>
      <c r="AS2644" s="94" t="str">
        <f>IF(AN2644&gt;=AQ2644,"ok","ck")</f>
      </c>
      <c r="AT2644" s="116">
        <f>-P2644</f>
      </c>
      <c r="AU2644" s="115">
        <f>IF(SUMIFS(AT:AT,AM:AM,AM2644)&gt;AO2644,(SUMIFS(AT:AT,AM:AM,AM2644)-AO2644))</f>
      </c>
      <c r="AV2644" s="116">
        <v>425</v>
      </c>
      <c r="AW2644" s="121">
        <v>0.41</v>
      </c>
      <c r="AX2644" s="115">
        <f>AN2644-AP2644</f>
      </c>
    </row>
    <row r="2645" spans="1:50" ht="15" hidden="1" customHeight="1" x14ac:dyDescent="0.3">
      <c r="A2645" s="94" t="s">
        <v>151</v>
      </c>
      <c r="B2645" s="94"/>
      <c r="C2645" s="94"/>
      <c r="D2645" s="94"/>
      <c r="E2645" s="94"/>
      <c r="F2645" s="94"/>
      <c r="G2645" s="112">
        <f>AU2645</f>
      </c>
      <c r="H2645" s="113"/>
      <c r="I2645" s="94" t="s">
        <v>496</v>
      </c>
      <c r="J2645" s="94" t="s">
        <v>156</v>
      </c>
      <c r="K2645" s="114">
        <f>P2645/3</f>
      </c>
      <c r="L2645" s="115">
        <v>911</v>
      </c>
      <c r="M2645" s="116"/>
      <c r="N2645" s="117">
        <f>M2645-L2645</f>
      </c>
      <c r="O2645" s="112"/>
      <c r="P2645" s="118">
        <f>N2645+O2645</f>
      </c>
      <c r="Q2645" s="94" t="s">
        <v>842</v>
      </c>
      <c r="R2645" s="94" t="s">
        <v>63</v>
      </c>
      <c r="S2645" s="119">
        <v>46360</v>
      </c>
      <c r="T2645" s="119"/>
      <c r="U2645" s="119" t="s">
        <v>688</v>
      </c>
      <c r="V2645" s="94"/>
      <c r="W2645" s="94"/>
      <c r="X2645" s="94"/>
      <c r="Y2645" s="119">
        <v>46340</v>
      </c>
      <c r="Z2645" s="94"/>
      <c r="AA2645" s="120"/>
      <c r="AB2645" s="120"/>
      <c r="AC2645" s="120"/>
      <c r="AD2645" s="120"/>
      <c r="AE2645" s="120"/>
      <c r="AF2645" s="120"/>
      <c r="AG2645" s="94"/>
      <c r="AH2645" s="120"/>
      <c r="AI2645" s="94"/>
      <c r="AJ2645" s="94" t="s">
        <v>842</v>
      </c>
      <c r="AK2645" s="94" t="s">
        <v>162</v>
      </c>
      <c r="AL2645" s="94">
        <v>210</v>
      </c>
      <c r="AM2645" s="94" t="str">
        <f>TRIM(AJ2645)&amp;TRIM(AL2645)&amp;TRIM(AK2645)</f>
      </c>
      <c r="AN2645" s="116">
        <v>4632.18</v>
      </c>
      <c r="AO2645" s="116">
        <v>12159.81</v>
      </c>
      <c r="AP2645" s="116">
        <f>SUMIFS(M:M,AM:AM,AM2645)+SUMIFS(O:O,AM:AM,AM2645)</f>
      </c>
      <c r="AQ2645" s="116">
        <f>SUMIFS(L:L,AM:AM,AM2645)</f>
      </c>
      <c r="AR2645" s="116">
        <f>AQ2645-AP2645</f>
      </c>
      <c r="AS2645" s="94" t="str">
        <f>IF(AN2645&gt;=AQ2645,"ok","ck")</f>
      </c>
      <c r="AT2645" s="116">
        <f>-P2645</f>
      </c>
      <c r="AU2645" s="115">
        <f>IF(SUMIFS(AT:AT,AM:AM,AM2645)&gt;AO2645,(SUMIFS(AT:AT,AM:AM,AM2645)-AO2645))</f>
      </c>
      <c r="AV2645" s="116">
        <v>425</v>
      </c>
      <c r="AW2645" s="121">
        <v>0.41</v>
      </c>
      <c r="AX2645" s="115">
        <f>AN2645-AP2645</f>
      </c>
    </row>
    <row r="2646" spans="1:50" ht="15" hidden="1" customHeight="1" x14ac:dyDescent="0.3">
      <c r="A2646" s="94" t="s">
        <v>151</v>
      </c>
      <c r="B2646" s="94"/>
      <c r="C2646" s="94"/>
      <c r="D2646" s="94"/>
      <c r="E2646" s="94"/>
      <c r="F2646" s="94"/>
      <c r="G2646" s="112">
        <f>AU2646</f>
      </c>
      <c r="H2646" s="113"/>
      <c r="I2646" s="94" t="s">
        <v>496</v>
      </c>
      <c r="J2646" s="94" t="s">
        <v>156</v>
      </c>
      <c r="K2646" s="114">
        <f>P2646/3</f>
      </c>
      <c r="L2646" s="115">
        <v>911</v>
      </c>
      <c r="M2646" s="116"/>
      <c r="N2646" s="117">
        <f>M2646-L2646</f>
      </c>
      <c r="O2646" s="112"/>
      <c r="P2646" s="118">
        <f>N2646+O2646</f>
      </c>
      <c r="Q2646" s="94" t="s">
        <v>842</v>
      </c>
      <c r="R2646" s="94" t="s">
        <v>63</v>
      </c>
      <c r="S2646" s="119">
        <v>46361</v>
      </c>
      <c r="T2646" s="119"/>
      <c r="U2646" s="119" t="s">
        <v>688</v>
      </c>
      <c r="V2646" s="94"/>
      <c r="W2646" s="94"/>
      <c r="X2646" s="94"/>
      <c r="Y2646" s="119">
        <v>46340</v>
      </c>
      <c r="Z2646" s="94"/>
      <c r="AA2646" s="120"/>
      <c r="AB2646" s="120"/>
      <c r="AC2646" s="120"/>
      <c r="AD2646" s="120"/>
      <c r="AE2646" s="120"/>
      <c r="AF2646" s="120"/>
      <c r="AG2646" s="94"/>
      <c r="AH2646" s="120"/>
      <c r="AI2646" s="94"/>
      <c r="AJ2646" s="94" t="s">
        <v>842</v>
      </c>
      <c r="AK2646" s="94" t="s">
        <v>162</v>
      </c>
      <c r="AL2646" s="94">
        <v>210</v>
      </c>
      <c r="AM2646" s="94" t="str">
        <f>TRIM(AJ2646)&amp;TRIM(AL2646)&amp;TRIM(AK2646)</f>
      </c>
      <c r="AN2646" s="116">
        <v>4632.18</v>
      </c>
      <c r="AO2646" s="116">
        <v>12159.81</v>
      </c>
      <c r="AP2646" s="116">
        <f>SUMIFS(M:M,AM:AM,AM2646)+SUMIFS(O:O,AM:AM,AM2646)</f>
      </c>
      <c r="AQ2646" s="116">
        <f>SUMIFS(L:L,AM:AM,AM2646)</f>
      </c>
      <c r="AR2646" s="116">
        <f>AQ2646-AP2646</f>
      </c>
      <c r="AS2646" s="94" t="str">
        <f>IF(AN2646&gt;=AQ2646,"ok","ck")</f>
      </c>
      <c r="AT2646" s="116">
        <f>-P2646</f>
      </c>
      <c r="AU2646" s="115">
        <f>IF(SUMIFS(AT:AT,AM:AM,AM2646)&gt;AO2646,(SUMIFS(AT:AT,AM:AM,AM2646)-AO2646))</f>
      </c>
      <c r="AV2646" s="116">
        <v>425</v>
      </c>
      <c r="AW2646" s="121">
        <v>0.41</v>
      </c>
      <c r="AX2646" s="115">
        <f>AN2646-AP2646</f>
      </c>
    </row>
    <row r="2647" spans="1:50" ht="15" hidden="1" customHeight="1" x14ac:dyDescent="0.3">
      <c r="A2647" s="94" t="s">
        <v>151</v>
      </c>
      <c r="B2647" s="94"/>
      <c r="C2647" s="94"/>
      <c r="D2647" s="94"/>
      <c r="E2647" s="94"/>
      <c r="F2647" s="94"/>
      <c r="G2647" s="112">
        <f>AU2647</f>
      </c>
      <c r="H2647" s="113"/>
      <c r="I2647" s="94" t="s">
        <v>496</v>
      </c>
      <c r="J2647" s="94" t="s">
        <v>156</v>
      </c>
      <c r="K2647" s="114">
        <f>P2647/3</f>
      </c>
      <c r="L2647" s="115">
        <v>911</v>
      </c>
      <c r="M2647" s="116"/>
      <c r="N2647" s="117">
        <f>M2647-L2647</f>
      </c>
      <c r="O2647" s="112"/>
      <c r="P2647" s="118">
        <f>N2647+O2647</f>
      </c>
      <c r="Q2647" s="94" t="s">
        <v>842</v>
      </c>
      <c r="R2647" s="94" t="s">
        <v>63</v>
      </c>
      <c r="S2647" s="119">
        <v>46362</v>
      </c>
      <c r="T2647" s="119"/>
      <c r="U2647" s="119" t="s">
        <v>688</v>
      </c>
      <c r="V2647" s="94"/>
      <c r="W2647" s="94"/>
      <c r="X2647" s="94"/>
      <c r="Y2647" s="119">
        <v>46343</v>
      </c>
      <c r="Z2647" s="94"/>
      <c r="AA2647" s="120"/>
      <c r="AB2647" s="120"/>
      <c r="AC2647" s="120"/>
      <c r="AD2647" s="120"/>
      <c r="AE2647" s="120"/>
      <c r="AF2647" s="120"/>
      <c r="AG2647" s="94"/>
      <c r="AH2647" s="120"/>
      <c r="AI2647" s="94"/>
      <c r="AJ2647" s="94" t="s">
        <v>842</v>
      </c>
      <c r="AK2647" s="94" t="s">
        <v>162</v>
      </c>
      <c r="AL2647" s="94">
        <v>210</v>
      </c>
      <c r="AM2647" s="94" t="str">
        <f>TRIM(AJ2647)&amp;TRIM(AL2647)&amp;TRIM(AK2647)</f>
      </c>
      <c r="AN2647" s="116">
        <v>4632.18</v>
      </c>
      <c r="AO2647" s="116">
        <v>12159.81</v>
      </c>
      <c r="AP2647" s="116">
        <f>SUMIFS(M:M,AM:AM,AM2647)+SUMIFS(O:O,AM:AM,AM2647)</f>
      </c>
      <c r="AQ2647" s="116">
        <f>SUMIFS(L:L,AM:AM,AM2647)</f>
      </c>
      <c r="AR2647" s="116">
        <f>AQ2647-AP2647</f>
      </c>
      <c r="AS2647" s="94" t="str">
        <f>IF(AN2647&gt;=AQ2647,"ok","ck")</f>
      </c>
      <c r="AT2647" s="116">
        <f>-P2647</f>
      </c>
      <c r="AU2647" s="115">
        <f>IF(SUMIFS(AT:AT,AM:AM,AM2647)&gt;AO2647,(SUMIFS(AT:AT,AM:AM,AM2647)-AO2647))</f>
      </c>
      <c r="AV2647" s="116">
        <v>425</v>
      </c>
      <c r="AW2647" s="121">
        <v>0.41</v>
      </c>
      <c r="AX2647" s="115">
        <f>AN2647-AP2647</f>
      </c>
    </row>
    <row r="2648" spans="1:50" ht="15" hidden="1" customHeight="1" x14ac:dyDescent="0.3">
      <c r="A2648" s="94" t="s">
        <v>151</v>
      </c>
      <c r="B2648" s="94"/>
      <c r="C2648" s="94"/>
      <c r="D2648" s="94"/>
      <c r="E2648" s="94"/>
      <c r="F2648" s="94"/>
      <c r="G2648" s="112">
        <f>AU2648</f>
      </c>
      <c r="H2648" s="113"/>
      <c r="I2648" s="94" t="s">
        <v>496</v>
      </c>
      <c r="J2648" s="94" t="s">
        <v>156</v>
      </c>
      <c r="K2648" s="114">
        <f>P2648/3</f>
      </c>
      <c r="L2648" s="115">
        <v>911</v>
      </c>
      <c r="M2648" s="116"/>
      <c r="N2648" s="117">
        <f>M2648-L2648</f>
      </c>
      <c r="O2648" s="112"/>
      <c r="P2648" s="118">
        <f>N2648+O2648</f>
      </c>
      <c r="Q2648" s="94" t="s">
        <v>842</v>
      </c>
      <c r="R2648" s="94" t="s">
        <v>63</v>
      </c>
      <c r="S2648" s="119">
        <v>46364</v>
      </c>
      <c r="T2648" s="119"/>
      <c r="U2648" s="119" t="s">
        <v>688</v>
      </c>
      <c r="V2648" s="94"/>
      <c r="W2648" s="94"/>
      <c r="X2648" s="94"/>
      <c r="Y2648" s="119">
        <v>46343</v>
      </c>
      <c r="Z2648" s="94"/>
      <c r="AA2648" s="120"/>
      <c r="AB2648" s="120"/>
      <c r="AC2648" s="120"/>
      <c r="AD2648" s="120"/>
      <c r="AE2648" s="120"/>
      <c r="AF2648" s="120"/>
      <c r="AG2648" s="94"/>
      <c r="AH2648" s="120"/>
      <c r="AI2648" s="94"/>
      <c r="AJ2648" s="94" t="s">
        <v>842</v>
      </c>
      <c r="AK2648" s="94" t="s">
        <v>162</v>
      </c>
      <c r="AL2648" s="94">
        <v>210</v>
      </c>
      <c r="AM2648" s="94" t="str">
        <f>TRIM(AJ2648)&amp;TRIM(AL2648)&amp;TRIM(AK2648)</f>
      </c>
      <c r="AN2648" s="116">
        <v>4632.18</v>
      </c>
      <c r="AO2648" s="116">
        <v>12159.81</v>
      </c>
      <c r="AP2648" s="116">
        <f>SUMIFS(M:M,AM:AM,AM2648)+SUMIFS(O:O,AM:AM,AM2648)</f>
      </c>
      <c r="AQ2648" s="116">
        <f>SUMIFS(L:L,AM:AM,AM2648)</f>
      </c>
      <c r="AR2648" s="116">
        <f>AQ2648-AP2648</f>
      </c>
      <c r="AS2648" s="94" t="str">
        <f>IF(AN2648&gt;=AQ2648,"ok","ck")</f>
      </c>
      <c r="AT2648" s="116">
        <f>-P2648</f>
      </c>
      <c r="AU2648" s="115">
        <f>IF(SUMIFS(AT:AT,AM:AM,AM2648)&gt;AO2648,(SUMIFS(AT:AT,AM:AM,AM2648)-AO2648))</f>
      </c>
      <c r="AV2648" s="116">
        <v>425</v>
      </c>
      <c r="AW2648" s="121">
        <v>0.41</v>
      </c>
      <c r="AX2648" s="115">
        <f>AN2648-AP2648</f>
      </c>
    </row>
    <row r="2649" spans="1:50" ht="15" hidden="1" customHeight="1" x14ac:dyDescent="0.3">
      <c r="A2649" s="94" t="s">
        <v>151</v>
      </c>
      <c r="B2649" s="94"/>
      <c r="C2649" s="94"/>
      <c r="D2649" s="94"/>
      <c r="E2649" s="94"/>
      <c r="F2649" s="94"/>
      <c r="G2649" s="112">
        <f>AU2649</f>
      </c>
      <c r="H2649" s="113"/>
      <c r="I2649" s="94" t="s">
        <v>496</v>
      </c>
      <c r="J2649" s="94" t="s">
        <v>156</v>
      </c>
      <c r="K2649" s="114">
        <f>P2649/3</f>
      </c>
      <c r="L2649" s="115">
        <v>911</v>
      </c>
      <c r="M2649" s="116"/>
      <c r="N2649" s="117">
        <f>M2649-L2649</f>
      </c>
      <c r="O2649" s="112"/>
      <c r="P2649" s="118">
        <f>N2649+O2649</f>
      </c>
      <c r="Q2649" s="94" t="s">
        <v>842</v>
      </c>
      <c r="R2649" s="94" t="s">
        <v>63</v>
      </c>
      <c r="S2649" s="119">
        <v>46365</v>
      </c>
      <c r="T2649" s="119"/>
      <c r="U2649" s="119" t="s">
        <v>688</v>
      </c>
      <c r="V2649" s="94"/>
      <c r="W2649" s="94"/>
      <c r="X2649" s="94"/>
      <c r="Y2649" s="119">
        <v>46343</v>
      </c>
      <c r="Z2649" s="94"/>
      <c r="AA2649" s="120"/>
      <c r="AB2649" s="120"/>
      <c r="AC2649" s="120"/>
      <c r="AD2649" s="120"/>
      <c r="AE2649" s="120"/>
      <c r="AF2649" s="120"/>
      <c r="AG2649" s="94"/>
      <c r="AH2649" s="120"/>
      <c r="AI2649" s="94"/>
      <c r="AJ2649" s="94" t="s">
        <v>842</v>
      </c>
      <c r="AK2649" s="94" t="s">
        <v>162</v>
      </c>
      <c r="AL2649" s="94">
        <v>210</v>
      </c>
      <c r="AM2649" s="94" t="str">
        <f>TRIM(AJ2649)&amp;TRIM(AL2649)&amp;TRIM(AK2649)</f>
      </c>
      <c r="AN2649" s="116">
        <v>4632.18</v>
      </c>
      <c r="AO2649" s="116">
        <v>12159.81</v>
      </c>
      <c r="AP2649" s="116">
        <f>SUMIFS(M:M,AM:AM,AM2649)+SUMIFS(O:O,AM:AM,AM2649)</f>
      </c>
      <c r="AQ2649" s="116">
        <f>SUMIFS(L:L,AM:AM,AM2649)</f>
      </c>
      <c r="AR2649" s="116">
        <f>AQ2649-AP2649</f>
      </c>
      <c r="AS2649" s="94" t="str">
        <f>IF(AN2649&gt;=AQ2649,"ok","ck")</f>
      </c>
      <c r="AT2649" s="116">
        <f>-P2649</f>
      </c>
      <c r="AU2649" s="115">
        <f>IF(SUMIFS(AT:AT,AM:AM,AM2649)&gt;AO2649,(SUMIFS(AT:AT,AM:AM,AM2649)-AO2649))</f>
      </c>
      <c r="AV2649" s="116">
        <v>425</v>
      </c>
      <c r="AW2649" s="121">
        <v>0.41</v>
      </c>
      <c r="AX2649" s="115">
        <f>AN2649-AP2649</f>
      </c>
    </row>
    <row r="2650" spans="1:50" ht="15" hidden="1" customHeight="1" x14ac:dyDescent="0.3">
      <c r="A2650" s="94" t="s">
        <v>151</v>
      </c>
      <c r="B2650" s="94"/>
      <c r="C2650" s="94"/>
      <c r="D2650" s="94"/>
      <c r="E2650" s="94"/>
      <c r="F2650" s="94"/>
      <c r="G2650" s="112">
        <f>AU2650</f>
      </c>
      <c r="H2650" s="113"/>
      <c r="I2650" s="94" t="s">
        <v>496</v>
      </c>
      <c r="J2650" s="94" t="s">
        <v>156</v>
      </c>
      <c r="K2650" s="114">
        <f>P2650/3</f>
      </c>
      <c r="L2650" s="115">
        <v>57.398000000000003</v>
      </c>
      <c r="M2650" s="116"/>
      <c r="N2650" s="117">
        <f>M2650-L2650</f>
      </c>
      <c r="O2650" s="112"/>
      <c r="P2650" s="118">
        <f>N2650+O2650</f>
      </c>
      <c r="Q2650" s="94" t="s">
        <v>842</v>
      </c>
      <c r="R2650" s="94" t="s">
        <v>63</v>
      </c>
      <c r="S2650" s="119">
        <v>46366</v>
      </c>
      <c r="T2650" s="119"/>
      <c r="U2650" s="119" t="s">
        <v>688</v>
      </c>
      <c r="V2650" s="94"/>
      <c r="W2650" s="94"/>
      <c r="X2650" s="94"/>
      <c r="Y2650" s="119">
        <v>46343</v>
      </c>
      <c r="Z2650" s="94"/>
      <c r="AA2650" s="120"/>
      <c r="AB2650" s="120"/>
      <c r="AC2650" s="120"/>
      <c r="AD2650" s="120"/>
      <c r="AE2650" s="120"/>
      <c r="AF2650" s="120"/>
      <c r="AG2650" s="94"/>
      <c r="AH2650" s="120"/>
      <c r="AI2650" s="94"/>
      <c r="AJ2650" s="94" t="s">
        <v>842</v>
      </c>
      <c r="AK2650" s="94" t="s">
        <v>162</v>
      </c>
      <c r="AL2650" s="94">
        <v>210</v>
      </c>
      <c r="AM2650" s="94" t="str">
        <f>TRIM(AJ2650)&amp;TRIM(AL2650)&amp;TRIM(AK2650)</f>
      </c>
      <c r="AN2650" s="116">
        <v>4632.18</v>
      </c>
      <c r="AO2650" s="116">
        <v>12159.81</v>
      </c>
      <c r="AP2650" s="116">
        <f>SUMIFS(M:M,AM:AM,AM2650)+SUMIFS(O:O,AM:AM,AM2650)</f>
      </c>
      <c r="AQ2650" s="116">
        <f>SUMIFS(L:L,AM:AM,AM2650)</f>
      </c>
      <c r="AR2650" s="116">
        <f>AQ2650-AP2650</f>
      </c>
      <c r="AS2650" s="94" t="str">
        <f>IF(AN2650&gt;=AQ2650,"ok","ck")</f>
      </c>
      <c r="AT2650" s="116">
        <f>-P2650</f>
      </c>
      <c r="AU2650" s="115">
        <f>IF(SUMIFS(AT:AT,AM:AM,AM2650)&gt;AO2650,(SUMIFS(AT:AT,AM:AM,AM2650)-AO2650))</f>
      </c>
      <c r="AV2650" s="116">
        <v>425</v>
      </c>
      <c r="AW2650" s="121">
        <v>0.41</v>
      </c>
      <c r="AX2650" s="115">
        <f>AN2650-AP2650</f>
      </c>
    </row>
    <row r="2651" spans="1:50" ht="15" hidden="1" customHeight="1" x14ac:dyDescent="0.3">
      <c r="A2651" s="94" t="s">
        <v>151</v>
      </c>
      <c r="B2651" s="94"/>
      <c r="C2651" s="94"/>
      <c r="D2651" s="94"/>
      <c r="E2651" s="94"/>
      <c r="F2651" s="94"/>
      <c r="G2651" s="112">
        <f>AU2651</f>
      </c>
      <c r="H2651" s="113"/>
      <c r="I2651" s="94" t="s">
        <v>152</v>
      </c>
      <c r="J2651" s="94" t="s">
        <v>156</v>
      </c>
      <c r="K2651" s="114">
        <f>P2651/3</f>
      </c>
      <c r="L2651" s="115">
        <v>0</v>
      </c>
      <c r="M2651" s="116">
        <f>L2651</f>
      </c>
      <c r="N2651" s="117">
        <f>M2651-L2651</f>
      </c>
      <c r="O2651" s="112"/>
      <c r="P2651" s="118">
        <f>N2651+O2651</f>
      </c>
      <c r="Q2651" s="94" t="s">
        <v>197</v>
      </c>
      <c r="R2651" s="94" t="s">
        <v>63</v>
      </c>
      <c r="S2651" s="119">
        <v>46320</v>
      </c>
      <c r="T2651" s="119"/>
      <c r="U2651" s="119">
        <v>46320</v>
      </c>
      <c r="V2651" s="94"/>
      <c r="W2651" s="94"/>
      <c r="X2651" s="94"/>
      <c r="Y2651" s="119">
        <v>46320</v>
      </c>
      <c r="Z2651" s="94"/>
      <c r="AA2651" s="120"/>
      <c r="AB2651" s="120"/>
      <c r="AC2651" s="120"/>
      <c r="AD2651" s="120"/>
      <c r="AE2651" s="120"/>
      <c r="AF2651" s="120"/>
      <c r="AG2651" s="94"/>
      <c r="AH2651" s="120"/>
      <c r="AI2651" s="94"/>
      <c r="AJ2651" s="94" t="s">
        <v>197</v>
      </c>
      <c r="AK2651" s="94" t="s">
        <v>158</v>
      </c>
      <c r="AL2651" s="94">
        <v>160</v>
      </c>
      <c r="AM2651" s="94" t="str">
        <f>TRIM(AJ2651)&amp;TRIM(AL2651)&amp;TRIM(AK2651)</f>
      </c>
      <c r="AN2651" s="116">
        <v>4691</v>
      </c>
      <c r="AO2651" s="116">
        <v>-106</v>
      </c>
      <c r="AP2651" s="116">
        <f>SUMIFS(M:M,AM:AM,AM2651)+SUMIFS(O:O,AM:AM,AM2651)</f>
      </c>
      <c r="AQ2651" s="116">
        <f>SUMIFS(L:L,AM:AM,AM2651)</f>
      </c>
      <c r="AR2651" s="116">
        <f>AQ2651-AP2651</f>
      </c>
      <c r="AS2651" s="94" t="str">
        <f>IF(AN2651&gt;=AQ2651,"ok","ck")</f>
      </c>
      <c r="AT2651" s="116">
        <f>-P2651</f>
      </c>
      <c r="AU2651" s="115">
        <f>IF(SUMIFS(AT:AT,AM:AM,AM2651)&gt;AO2651,(SUMIFS(AT:AT,AM:AM,AM2651)-AO2651))</f>
      </c>
      <c r="AV2651" s="116">
        <v>4691</v>
      </c>
      <c r="AW2651" s="121">
        <v>1.023</v>
      </c>
      <c r="AX2651" s="115">
        <f>AN2651-AP2651</f>
      </c>
    </row>
    <row r="2652" spans="1:50" ht="15" hidden="1" customHeight="1" x14ac:dyDescent="0.3">
      <c r="A2652" s="94" t="s">
        <v>151</v>
      </c>
      <c r="B2652" s="94"/>
      <c r="C2652" s="94"/>
      <c r="D2652" s="94"/>
      <c r="E2652" s="94"/>
      <c r="F2652" s="94"/>
      <c r="G2652" s="112">
        <f>AU2652</f>
      </c>
      <c r="H2652" s="113"/>
      <c r="I2652" s="94" t="s">
        <v>152</v>
      </c>
      <c r="J2652" s="94" t="s">
        <v>156</v>
      </c>
      <c r="K2652" s="114">
        <f>P2652/3</f>
      </c>
      <c r="L2652" s="115">
        <v>0</v>
      </c>
      <c r="M2652" s="116">
        <f>L2652</f>
      </c>
      <c r="N2652" s="117">
        <f>M2652-L2652</f>
      </c>
      <c r="O2652" s="112"/>
      <c r="P2652" s="118">
        <f>N2652+O2652</f>
      </c>
      <c r="Q2652" s="94" t="s">
        <v>197</v>
      </c>
      <c r="R2652" s="94" t="s">
        <v>63</v>
      </c>
      <c r="S2652" s="119">
        <v>46326</v>
      </c>
      <c r="T2652" s="119"/>
      <c r="U2652" s="119">
        <v>46326</v>
      </c>
      <c r="V2652" s="94"/>
      <c r="W2652" s="94"/>
      <c r="X2652" s="94"/>
      <c r="Y2652" s="119">
        <v>46326</v>
      </c>
      <c r="Z2652" s="94"/>
      <c r="AA2652" s="120"/>
      <c r="AB2652" s="120"/>
      <c r="AC2652" s="120"/>
      <c r="AD2652" s="120"/>
      <c r="AE2652" s="120"/>
      <c r="AF2652" s="120"/>
      <c r="AG2652" s="94"/>
      <c r="AH2652" s="120"/>
      <c r="AI2652" s="94"/>
      <c r="AJ2652" s="94" t="s">
        <v>197</v>
      </c>
      <c r="AK2652" s="94" t="s">
        <v>158</v>
      </c>
      <c r="AL2652" s="94">
        <v>160</v>
      </c>
      <c r="AM2652" s="94" t="str">
        <f>TRIM(AJ2652)&amp;TRIM(AL2652)&amp;TRIM(AK2652)</f>
      </c>
      <c r="AN2652" s="116">
        <v>4691</v>
      </c>
      <c r="AO2652" s="116">
        <v>-106</v>
      </c>
      <c r="AP2652" s="116">
        <f>SUMIFS(M:M,AM:AM,AM2652)+SUMIFS(O:O,AM:AM,AM2652)</f>
      </c>
      <c r="AQ2652" s="116">
        <f>SUMIFS(L:L,AM:AM,AM2652)</f>
      </c>
      <c r="AR2652" s="116">
        <f>AQ2652-AP2652</f>
      </c>
      <c r="AS2652" s="94" t="str">
        <f>IF(AN2652&gt;=AQ2652,"ok","ck")</f>
      </c>
      <c r="AT2652" s="116">
        <f>-P2652</f>
      </c>
      <c r="AU2652" s="115">
        <f>IF(SUMIFS(AT:AT,AM:AM,AM2652)&gt;AO2652,(SUMIFS(AT:AT,AM:AM,AM2652)-AO2652))</f>
      </c>
      <c r="AV2652" s="116">
        <v>4691</v>
      </c>
      <c r="AW2652" s="121">
        <v>1.023</v>
      </c>
      <c r="AX2652" s="115">
        <f>AN2652-AP2652</f>
      </c>
    </row>
    <row r="2653" spans="1:50" ht="15" hidden="1" customHeight="1" x14ac:dyDescent="0.3">
      <c r="A2653" s="94" t="s">
        <v>151</v>
      </c>
      <c r="B2653" s="94"/>
      <c r="C2653" s="94"/>
      <c r="D2653" s="94"/>
      <c r="E2653" s="94"/>
      <c r="F2653" s="94"/>
      <c r="G2653" s="112">
        <f>AU2653</f>
      </c>
      <c r="H2653" s="113"/>
      <c r="I2653" s="94" t="s">
        <v>152</v>
      </c>
      <c r="J2653" s="94" t="s">
        <v>156</v>
      </c>
      <c r="K2653" s="114">
        <f>P2653/3</f>
      </c>
      <c r="L2653" s="115">
        <v>0</v>
      </c>
      <c r="M2653" s="116">
        <f>L2653</f>
      </c>
      <c r="N2653" s="117">
        <f>M2653-L2653</f>
      </c>
      <c r="O2653" s="112"/>
      <c r="P2653" s="118">
        <f>N2653+O2653</f>
      </c>
      <c r="Q2653" s="94" t="s">
        <v>197</v>
      </c>
      <c r="R2653" s="94" t="s">
        <v>63</v>
      </c>
      <c r="S2653" s="119">
        <v>46326</v>
      </c>
      <c r="T2653" s="119"/>
      <c r="U2653" s="119">
        <v>46326</v>
      </c>
      <c r="V2653" s="94"/>
      <c r="W2653" s="94"/>
      <c r="X2653" s="94"/>
      <c r="Y2653" s="119">
        <v>46326</v>
      </c>
      <c r="Z2653" s="94"/>
      <c r="AA2653" s="120"/>
      <c r="AB2653" s="120"/>
      <c r="AC2653" s="120"/>
      <c r="AD2653" s="120"/>
      <c r="AE2653" s="120"/>
      <c r="AF2653" s="120"/>
      <c r="AG2653" s="94"/>
      <c r="AH2653" s="120"/>
      <c r="AI2653" s="94"/>
      <c r="AJ2653" s="94" t="s">
        <v>197</v>
      </c>
      <c r="AK2653" s="94" t="s">
        <v>158</v>
      </c>
      <c r="AL2653" s="94">
        <v>160</v>
      </c>
      <c r="AM2653" s="94" t="str">
        <f>TRIM(AJ2653)&amp;TRIM(AL2653)&amp;TRIM(AK2653)</f>
      </c>
      <c r="AN2653" s="116">
        <v>4691</v>
      </c>
      <c r="AO2653" s="116">
        <v>-106</v>
      </c>
      <c r="AP2653" s="116">
        <f>SUMIFS(M:M,AM:AM,AM2653)+SUMIFS(O:O,AM:AM,AM2653)</f>
      </c>
      <c r="AQ2653" s="116">
        <f>SUMIFS(L:L,AM:AM,AM2653)</f>
      </c>
      <c r="AR2653" s="116">
        <f>AQ2653-AP2653</f>
      </c>
      <c r="AS2653" s="94" t="str">
        <f>IF(AN2653&gt;=AQ2653,"ok","ck")</f>
      </c>
      <c r="AT2653" s="116">
        <f>-P2653</f>
      </c>
      <c r="AU2653" s="115">
        <f>IF(SUMIFS(AT:AT,AM:AM,AM2653)&gt;AO2653,(SUMIFS(AT:AT,AM:AM,AM2653)-AO2653))</f>
      </c>
      <c r="AV2653" s="116">
        <v>4691</v>
      </c>
      <c r="AW2653" s="121">
        <v>1.023</v>
      </c>
      <c r="AX2653" s="115">
        <f>AN2653-AP2653</f>
      </c>
    </row>
    <row r="2654" spans="1:50" ht="15" hidden="1" customHeight="1" x14ac:dyDescent="0.3">
      <c r="A2654" s="94" t="s">
        <v>151</v>
      </c>
      <c r="B2654" s="94"/>
      <c r="C2654" s="94"/>
      <c r="D2654" s="94"/>
      <c r="E2654" s="94"/>
      <c r="F2654" s="94"/>
      <c r="G2654" s="112">
        <f>AU2654</f>
      </c>
      <c r="H2654" s="113"/>
      <c r="I2654" s="94" t="s">
        <v>152</v>
      </c>
      <c r="J2654" s="94" t="s">
        <v>156</v>
      </c>
      <c r="K2654" s="114">
        <f>P2654/3</f>
      </c>
      <c r="L2654" s="115">
        <v>0</v>
      </c>
      <c r="M2654" s="116">
        <f>L2654</f>
      </c>
      <c r="N2654" s="117">
        <f>M2654-L2654</f>
      </c>
      <c r="O2654" s="112"/>
      <c r="P2654" s="118">
        <f>N2654+O2654</f>
      </c>
      <c r="Q2654" s="94" t="s">
        <v>197</v>
      </c>
      <c r="R2654" s="94" t="s">
        <v>63</v>
      </c>
      <c r="S2654" s="119">
        <v>46320</v>
      </c>
      <c r="T2654" s="119"/>
      <c r="U2654" s="119">
        <v>46320</v>
      </c>
      <c r="V2654" s="94"/>
      <c r="W2654" s="94"/>
      <c r="X2654" s="94"/>
      <c r="Y2654" s="119">
        <v>46320</v>
      </c>
      <c r="Z2654" s="94"/>
      <c r="AA2654" s="120"/>
      <c r="AB2654" s="120"/>
      <c r="AC2654" s="120"/>
      <c r="AD2654" s="120"/>
      <c r="AE2654" s="120"/>
      <c r="AF2654" s="120"/>
      <c r="AG2654" s="94"/>
      <c r="AH2654" s="120"/>
      <c r="AI2654" s="94"/>
      <c r="AJ2654" s="94" t="s">
        <v>197</v>
      </c>
      <c r="AK2654" s="94" t="s">
        <v>158</v>
      </c>
      <c r="AL2654" s="94">
        <v>160</v>
      </c>
      <c r="AM2654" s="94" t="str">
        <f>TRIM(AJ2654)&amp;TRIM(AL2654)&amp;TRIM(AK2654)</f>
      </c>
      <c r="AN2654" s="116">
        <v>4691</v>
      </c>
      <c r="AO2654" s="116">
        <v>-106</v>
      </c>
      <c r="AP2654" s="116">
        <f>SUMIFS(M:M,AM:AM,AM2654)+SUMIFS(O:O,AM:AM,AM2654)</f>
      </c>
      <c r="AQ2654" s="116">
        <f>SUMIFS(L:L,AM:AM,AM2654)</f>
      </c>
      <c r="AR2654" s="116">
        <f>AQ2654-AP2654</f>
      </c>
      <c r="AS2654" s="94" t="str">
        <f>IF(AN2654&gt;=AQ2654,"ok","ck")</f>
      </c>
      <c r="AT2654" s="116">
        <f>-P2654</f>
      </c>
      <c r="AU2654" s="115">
        <f>IF(SUMIFS(AT:AT,AM:AM,AM2654)&gt;AO2654,(SUMIFS(AT:AT,AM:AM,AM2654)-AO2654))</f>
      </c>
      <c r="AV2654" s="116">
        <v>4691</v>
      </c>
      <c r="AW2654" s="121">
        <v>1.023</v>
      </c>
      <c r="AX2654" s="115">
        <f>AN2654-AP2654</f>
      </c>
    </row>
    <row r="2655" spans="1:50" ht="15" hidden="1" customHeight="1" x14ac:dyDescent="0.3">
      <c r="A2655" s="94" t="s">
        <v>151</v>
      </c>
      <c r="B2655" s="94"/>
      <c r="C2655" s="94"/>
      <c r="D2655" s="94"/>
      <c r="E2655" s="94"/>
      <c r="F2655" s="94"/>
      <c r="G2655" s="112">
        <f>AU2655</f>
      </c>
      <c r="H2655" s="113"/>
      <c r="I2655" s="94" t="s">
        <v>152</v>
      </c>
      <c r="J2655" s="94" t="s">
        <v>156</v>
      </c>
      <c r="K2655" s="114">
        <f>P2655/3</f>
      </c>
      <c r="L2655" s="115">
        <v>0</v>
      </c>
      <c r="M2655" s="116">
        <f>L2655</f>
      </c>
      <c r="N2655" s="117">
        <f>M2655-L2655</f>
      </c>
      <c r="O2655" s="112"/>
      <c r="P2655" s="118">
        <f>N2655+O2655</f>
      </c>
      <c r="Q2655" s="94" t="s">
        <v>197</v>
      </c>
      <c r="R2655" s="94" t="s">
        <v>63</v>
      </c>
      <c r="S2655" s="119">
        <v>46320</v>
      </c>
      <c r="T2655" s="119"/>
      <c r="U2655" s="119">
        <v>46320</v>
      </c>
      <c r="V2655" s="94"/>
      <c r="W2655" s="94"/>
      <c r="X2655" s="94"/>
      <c r="Y2655" s="119">
        <v>46320</v>
      </c>
      <c r="Z2655" s="94"/>
      <c r="AA2655" s="120"/>
      <c r="AB2655" s="120"/>
      <c r="AC2655" s="120"/>
      <c r="AD2655" s="120"/>
      <c r="AE2655" s="120"/>
      <c r="AF2655" s="120"/>
      <c r="AG2655" s="94"/>
      <c r="AH2655" s="120"/>
      <c r="AI2655" s="94"/>
      <c r="AJ2655" s="94" t="s">
        <v>197</v>
      </c>
      <c r="AK2655" s="94" t="s">
        <v>158</v>
      </c>
      <c r="AL2655" s="94">
        <v>160</v>
      </c>
      <c r="AM2655" s="94" t="str">
        <f>TRIM(AJ2655)&amp;TRIM(AL2655)&amp;TRIM(AK2655)</f>
      </c>
      <c r="AN2655" s="116">
        <v>4691</v>
      </c>
      <c r="AO2655" s="116">
        <v>-106</v>
      </c>
      <c r="AP2655" s="116">
        <f>SUMIFS(M:M,AM:AM,AM2655)+SUMIFS(O:O,AM:AM,AM2655)</f>
      </c>
      <c r="AQ2655" s="116">
        <f>SUMIFS(L:L,AM:AM,AM2655)</f>
      </c>
      <c r="AR2655" s="116">
        <f>AQ2655-AP2655</f>
      </c>
      <c r="AS2655" s="94" t="str">
        <f>IF(AN2655&gt;=AQ2655,"ok","ck")</f>
      </c>
      <c r="AT2655" s="116">
        <f>-P2655</f>
      </c>
      <c r="AU2655" s="115">
        <f>IF(SUMIFS(AT:AT,AM:AM,AM2655)&gt;AO2655,(SUMIFS(AT:AT,AM:AM,AM2655)-AO2655))</f>
      </c>
      <c r="AV2655" s="116">
        <v>4691</v>
      </c>
      <c r="AW2655" s="121">
        <v>1.023</v>
      </c>
      <c r="AX2655" s="115">
        <f>AN2655-AP2655</f>
      </c>
    </row>
    <row r="2656" spans="1:50" ht="15" hidden="1" customHeight="1" x14ac:dyDescent="0.3">
      <c r="A2656" s="94" t="s">
        <v>151</v>
      </c>
      <c r="B2656" s="94"/>
      <c r="C2656" s="94"/>
      <c r="D2656" s="94"/>
      <c r="E2656" s="94"/>
      <c r="F2656" s="94"/>
      <c r="G2656" s="112">
        <f>AU2656</f>
      </c>
      <c r="H2656" s="113"/>
      <c r="I2656" s="94" t="s">
        <v>152</v>
      </c>
      <c r="J2656" s="94" t="s">
        <v>156</v>
      </c>
      <c r="K2656" s="114">
        <f>P2656/3</f>
      </c>
      <c r="L2656" s="115">
        <v>31.89</v>
      </c>
      <c r="M2656" s="116">
        <f>L2656</f>
      </c>
      <c r="N2656" s="117">
        <f>M2656-L2656</f>
      </c>
      <c r="O2656" s="112"/>
      <c r="P2656" s="118">
        <f>N2656+O2656</f>
      </c>
      <c r="Q2656" s="94" t="s">
        <v>197</v>
      </c>
      <c r="R2656" s="94" t="s">
        <v>63</v>
      </c>
      <c r="S2656" s="119">
        <v>46335</v>
      </c>
      <c r="T2656" s="119"/>
      <c r="U2656" s="119">
        <v>46335</v>
      </c>
      <c r="V2656" s="94"/>
      <c r="W2656" s="94"/>
      <c r="X2656" s="94"/>
      <c r="Y2656" s="119">
        <v>46335</v>
      </c>
      <c r="Z2656" s="94"/>
      <c r="AA2656" s="120"/>
      <c r="AB2656" s="120"/>
      <c r="AC2656" s="120"/>
      <c r="AD2656" s="120"/>
      <c r="AE2656" s="120"/>
      <c r="AF2656" s="120"/>
      <c r="AG2656" s="94"/>
      <c r="AH2656" s="120"/>
      <c r="AI2656" s="94"/>
      <c r="AJ2656" s="94" t="s">
        <v>197</v>
      </c>
      <c r="AK2656" s="94" t="s">
        <v>158</v>
      </c>
      <c r="AL2656" s="94">
        <v>160</v>
      </c>
      <c r="AM2656" s="94" t="str">
        <f>TRIM(AJ2656)&amp;TRIM(AL2656)&amp;TRIM(AK2656)</f>
      </c>
      <c r="AN2656" s="116">
        <v>4691</v>
      </c>
      <c r="AO2656" s="116">
        <v>-106</v>
      </c>
      <c r="AP2656" s="116">
        <f>SUMIFS(M:M,AM:AM,AM2656)+SUMIFS(O:O,AM:AM,AM2656)</f>
      </c>
      <c r="AQ2656" s="116">
        <f>SUMIFS(L:L,AM:AM,AM2656)</f>
      </c>
      <c r="AR2656" s="116">
        <f>AQ2656-AP2656</f>
      </c>
      <c r="AS2656" s="94" t="str">
        <f>IF(AN2656&gt;=AQ2656,"ok","ck")</f>
      </c>
      <c r="AT2656" s="116">
        <f>-P2656</f>
      </c>
      <c r="AU2656" s="115">
        <f>IF(SUMIFS(AT:AT,AM:AM,AM2656)&gt;AO2656,(SUMIFS(AT:AT,AM:AM,AM2656)-AO2656))</f>
      </c>
      <c r="AV2656" s="116">
        <v>4691</v>
      </c>
      <c r="AW2656" s="121">
        <v>1.023</v>
      </c>
      <c r="AX2656" s="115">
        <f>AN2656-AP2656</f>
      </c>
    </row>
    <row r="2657" spans="1:50" ht="15" hidden="1" customHeight="1" x14ac:dyDescent="0.3">
      <c r="A2657" s="94" t="s">
        <v>151</v>
      </c>
      <c r="B2657" s="94"/>
      <c r="C2657" s="94"/>
      <c r="D2657" s="94"/>
      <c r="E2657" s="94"/>
      <c r="F2657" s="94"/>
      <c r="G2657" s="112">
        <f>AU2657</f>
      </c>
      <c r="H2657" s="113"/>
      <c r="I2657" s="94" t="s">
        <v>152</v>
      </c>
      <c r="J2657" s="94" t="s">
        <v>156</v>
      </c>
      <c r="K2657" s="114">
        <f>P2657/3</f>
      </c>
      <c r="L2657" s="115">
        <v>0</v>
      </c>
      <c r="M2657" s="116">
        <f>L2657</f>
      </c>
      <c r="N2657" s="117">
        <f>M2657-L2657</f>
      </c>
      <c r="O2657" s="112"/>
      <c r="P2657" s="118">
        <f>N2657+O2657</f>
      </c>
      <c r="Q2657" s="94" t="s">
        <v>197</v>
      </c>
      <c r="R2657" s="94" t="s">
        <v>63</v>
      </c>
      <c r="S2657" s="119">
        <v>46335</v>
      </c>
      <c r="T2657" s="119"/>
      <c r="U2657" s="119">
        <v>46335</v>
      </c>
      <c r="V2657" s="94"/>
      <c r="W2657" s="94"/>
      <c r="X2657" s="94"/>
      <c r="Y2657" s="119">
        <v>46335</v>
      </c>
      <c r="Z2657" s="94"/>
      <c r="AA2657" s="120"/>
      <c r="AB2657" s="120"/>
      <c r="AC2657" s="120"/>
      <c r="AD2657" s="120"/>
      <c r="AE2657" s="120"/>
      <c r="AF2657" s="120"/>
      <c r="AG2657" s="94"/>
      <c r="AH2657" s="120"/>
      <c r="AI2657" s="94"/>
      <c r="AJ2657" s="94" t="s">
        <v>197</v>
      </c>
      <c r="AK2657" s="94" t="s">
        <v>158</v>
      </c>
      <c r="AL2657" s="94">
        <v>160</v>
      </c>
      <c r="AM2657" s="94" t="str">
        <f>TRIM(AJ2657)&amp;TRIM(AL2657)&amp;TRIM(AK2657)</f>
      </c>
      <c r="AN2657" s="116">
        <v>4691</v>
      </c>
      <c r="AO2657" s="116">
        <v>-106</v>
      </c>
      <c r="AP2657" s="116">
        <f>SUMIFS(M:M,AM:AM,AM2657)+SUMIFS(O:O,AM:AM,AM2657)</f>
      </c>
      <c r="AQ2657" s="116">
        <f>SUMIFS(L:L,AM:AM,AM2657)</f>
      </c>
      <c r="AR2657" s="116">
        <f>AQ2657-AP2657</f>
      </c>
      <c r="AS2657" s="94" t="str">
        <f>IF(AN2657&gt;=AQ2657,"ok","ck")</f>
      </c>
      <c r="AT2657" s="116">
        <f>-P2657</f>
      </c>
      <c r="AU2657" s="115">
        <f>IF(SUMIFS(AT:AT,AM:AM,AM2657)&gt;AO2657,(SUMIFS(AT:AT,AM:AM,AM2657)-AO2657))</f>
      </c>
      <c r="AV2657" s="116">
        <v>4691</v>
      </c>
      <c r="AW2657" s="121">
        <v>1.023</v>
      </c>
      <c r="AX2657" s="115">
        <f>AN2657-AP2657</f>
      </c>
    </row>
    <row r="2658" spans="1:50" ht="15" hidden="1" customHeight="1" x14ac:dyDescent="0.3">
      <c r="A2658" s="94" t="s">
        <v>151</v>
      </c>
      <c r="B2658" s="94"/>
      <c r="C2658" s="94"/>
      <c r="D2658" s="94"/>
      <c r="E2658" s="94"/>
      <c r="F2658" s="94"/>
      <c r="G2658" s="112">
        <f>AU2658</f>
      </c>
      <c r="H2658" s="113"/>
      <c r="I2658" s="94" t="s">
        <v>152</v>
      </c>
      <c r="J2658" s="94" t="s">
        <v>196</v>
      </c>
      <c r="K2658" s="114">
        <f>P2658/3</f>
      </c>
      <c r="L2658" s="115">
        <v>0</v>
      </c>
      <c r="M2658" s="116">
        <f>L2658</f>
      </c>
      <c r="N2658" s="117">
        <f>M2658-L2658</f>
      </c>
      <c r="O2658" s="112"/>
      <c r="P2658" s="118">
        <f>N2658+O2658</f>
      </c>
      <c r="Q2658" s="94" t="s">
        <v>197</v>
      </c>
      <c r="R2658" s="94" t="s">
        <v>63</v>
      </c>
      <c r="S2658" s="119">
        <v>46320</v>
      </c>
      <c r="T2658" s="119"/>
      <c r="U2658" s="119">
        <v>46320</v>
      </c>
      <c r="V2658" s="94"/>
      <c r="W2658" s="94"/>
      <c r="X2658" s="94"/>
      <c r="Y2658" s="119">
        <v>46320</v>
      </c>
      <c r="Z2658" s="94"/>
      <c r="AA2658" s="120"/>
      <c r="AB2658" s="120"/>
      <c r="AC2658" s="120"/>
      <c r="AD2658" s="120"/>
      <c r="AE2658" s="120"/>
      <c r="AF2658" s="120"/>
      <c r="AG2658" s="94"/>
      <c r="AH2658" s="120"/>
      <c r="AI2658" s="94"/>
      <c r="AJ2658" s="94" t="s">
        <v>197</v>
      </c>
      <c r="AK2658" s="94" t="s">
        <v>158</v>
      </c>
      <c r="AL2658" s="94">
        <v>160</v>
      </c>
      <c r="AM2658" s="94" t="str">
        <f>TRIM(AJ2658)&amp;TRIM(AL2658)&amp;TRIM(AK2658)</f>
      </c>
      <c r="AN2658" s="116">
        <v>4691</v>
      </c>
      <c r="AO2658" s="116">
        <v>-106</v>
      </c>
      <c r="AP2658" s="116">
        <f>SUMIFS(M:M,AM:AM,AM2658)+SUMIFS(O:O,AM:AM,AM2658)</f>
      </c>
      <c r="AQ2658" s="116">
        <f>SUMIFS(L:L,AM:AM,AM2658)</f>
      </c>
      <c r="AR2658" s="116">
        <f>AQ2658-AP2658</f>
      </c>
      <c r="AS2658" s="94" t="str">
        <f>IF(AN2658&gt;=AQ2658,"ok","ck")</f>
      </c>
      <c r="AT2658" s="116">
        <f>-P2658</f>
      </c>
      <c r="AU2658" s="115">
        <f>IF(SUMIFS(AT:AT,AM:AM,AM2658)&gt;AO2658,(SUMIFS(AT:AT,AM:AM,AM2658)-AO2658))</f>
      </c>
      <c r="AV2658" s="116">
        <v>4691</v>
      </c>
      <c r="AW2658" s="121">
        <v>1.023</v>
      </c>
      <c r="AX2658" s="115">
        <f>AN2658-AP2658</f>
      </c>
    </row>
    <row r="2659" spans="1:50" ht="15" hidden="1" customHeight="1" x14ac:dyDescent="0.3">
      <c r="A2659" s="94" t="s">
        <v>151</v>
      </c>
      <c r="B2659" s="94"/>
      <c r="C2659" s="94"/>
      <c r="D2659" s="94"/>
      <c r="E2659" s="94"/>
      <c r="F2659" s="94"/>
      <c r="G2659" s="112">
        <f>AU2659</f>
      </c>
      <c r="H2659" s="113"/>
      <c r="I2659" s="94" t="s">
        <v>152</v>
      </c>
      <c r="J2659" s="94" t="s">
        <v>196</v>
      </c>
      <c r="K2659" s="114">
        <f>P2659/3</f>
      </c>
      <c r="L2659" s="115">
        <v>0</v>
      </c>
      <c r="M2659" s="116">
        <f>L2659</f>
      </c>
      <c r="N2659" s="117">
        <f>M2659-L2659</f>
      </c>
      <c r="O2659" s="112"/>
      <c r="P2659" s="118">
        <f>N2659+O2659</f>
      </c>
      <c r="Q2659" s="94" t="s">
        <v>197</v>
      </c>
      <c r="R2659" s="94" t="s">
        <v>63</v>
      </c>
      <c r="S2659" s="119">
        <v>46338</v>
      </c>
      <c r="T2659" s="119"/>
      <c r="U2659" s="119">
        <v>46338</v>
      </c>
      <c r="V2659" s="94"/>
      <c r="W2659" s="94"/>
      <c r="X2659" s="94"/>
      <c r="Y2659" s="119">
        <v>46338</v>
      </c>
      <c r="Z2659" s="94"/>
      <c r="AA2659" s="120"/>
      <c r="AB2659" s="120"/>
      <c r="AC2659" s="120"/>
      <c r="AD2659" s="120"/>
      <c r="AE2659" s="120"/>
      <c r="AF2659" s="120"/>
      <c r="AG2659" s="94"/>
      <c r="AH2659" s="120"/>
      <c r="AI2659" s="94"/>
      <c r="AJ2659" s="94" t="s">
        <v>197</v>
      </c>
      <c r="AK2659" s="94" t="s">
        <v>158</v>
      </c>
      <c r="AL2659" s="94">
        <v>160</v>
      </c>
      <c r="AM2659" s="94" t="str">
        <f>TRIM(AJ2659)&amp;TRIM(AL2659)&amp;TRIM(AK2659)</f>
      </c>
      <c r="AN2659" s="116">
        <v>4691</v>
      </c>
      <c r="AO2659" s="116">
        <v>-106</v>
      </c>
      <c r="AP2659" s="116">
        <f>SUMIFS(M:M,AM:AM,AM2659)+SUMIFS(O:O,AM:AM,AM2659)</f>
      </c>
      <c r="AQ2659" s="116">
        <f>SUMIFS(L:L,AM:AM,AM2659)</f>
      </c>
      <c r="AR2659" s="116">
        <f>AQ2659-AP2659</f>
      </c>
      <c r="AS2659" s="94" t="str">
        <f>IF(AN2659&gt;=AQ2659,"ok","ck")</f>
      </c>
      <c r="AT2659" s="116">
        <f>-P2659</f>
      </c>
      <c r="AU2659" s="115">
        <f>IF(SUMIFS(AT:AT,AM:AM,AM2659)&gt;AO2659,(SUMIFS(AT:AT,AM:AM,AM2659)-AO2659))</f>
      </c>
      <c r="AV2659" s="116">
        <v>4691</v>
      </c>
      <c r="AW2659" s="121">
        <v>1.023</v>
      </c>
      <c r="AX2659" s="115">
        <f>AN2659-AP2659</f>
      </c>
    </row>
    <row r="2660" spans="1:50" ht="15" hidden="1" customHeight="1" x14ac:dyDescent="0.3">
      <c r="A2660" s="94" t="s">
        <v>151</v>
      </c>
      <c r="B2660" s="94"/>
      <c r="C2660" s="94"/>
      <c r="D2660" s="94"/>
      <c r="E2660" s="94"/>
      <c r="F2660" s="94"/>
      <c r="G2660" s="112">
        <f>AU2660</f>
      </c>
      <c r="H2660" s="113"/>
      <c r="I2660" s="94" t="s">
        <v>152</v>
      </c>
      <c r="J2660" s="94" t="s">
        <v>156</v>
      </c>
      <c r="K2660" s="114">
        <f>P2660/3</f>
      </c>
      <c r="L2660" s="115">
        <v>0</v>
      </c>
      <c r="M2660" s="116">
        <f>L2660</f>
      </c>
      <c r="N2660" s="117">
        <f>M2660-L2660</f>
      </c>
      <c r="O2660" s="112"/>
      <c r="P2660" s="118">
        <f>N2660+O2660</f>
      </c>
      <c r="Q2660" s="94" t="s">
        <v>197</v>
      </c>
      <c r="R2660" s="94" t="s">
        <v>63</v>
      </c>
      <c r="S2660" s="119">
        <v>46320</v>
      </c>
      <c r="T2660" s="119"/>
      <c r="U2660" s="119">
        <v>46320</v>
      </c>
      <c r="V2660" s="94"/>
      <c r="W2660" s="94"/>
      <c r="X2660" s="94"/>
      <c r="Y2660" s="119">
        <v>46320</v>
      </c>
      <c r="Z2660" s="94"/>
      <c r="AA2660" s="120"/>
      <c r="AB2660" s="120"/>
      <c r="AC2660" s="120"/>
      <c r="AD2660" s="120"/>
      <c r="AE2660" s="120"/>
      <c r="AF2660" s="120"/>
      <c r="AG2660" s="94"/>
      <c r="AH2660" s="120"/>
      <c r="AI2660" s="94"/>
      <c r="AJ2660" s="94" t="s">
        <v>197</v>
      </c>
      <c r="AK2660" s="94" t="s">
        <v>158</v>
      </c>
      <c r="AL2660" s="94">
        <v>160</v>
      </c>
      <c r="AM2660" s="94" t="str">
        <f>TRIM(AJ2660)&amp;TRIM(AL2660)&amp;TRIM(AK2660)</f>
      </c>
      <c r="AN2660" s="116">
        <v>4691</v>
      </c>
      <c r="AO2660" s="116">
        <v>-106</v>
      </c>
      <c r="AP2660" s="116">
        <f>SUMIFS(M:M,AM:AM,AM2660)+SUMIFS(O:O,AM:AM,AM2660)</f>
      </c>
      <c r="AQ2660" s="116">
        <f>SUMIFS(L:L,AM:AM,AM2660)</f>
      </c>
      <c r="AR2660" s="116">
        <f>AQ2660-AP2660</f>
      </c>
      <c r="AS2660" s="94" t="str">
        <f>IF(AN2660&gt;=AQ2660,"ok","ck")</f>
      </c>
      <c r="AT2660" s="116">
        <f>-P2660</f>
      </c>
      <c r="AU2660" s="115">
        <f>IF(SUMIFS(AT:AT,AM:AM,AM2660)&gt;AO2660,(SUMIFS(AT:AT,AM:AM,AM2660)-AO2660))</f>
      </c>
      <c r="AV2660" s="116">
        <v>4691</v>
      </c>
      <c r="AW2660" s="121">
        <v>1.023</v>
      </c>
      <c r="AX2660" s="115">
        <f>AN2660-AP2660</f>
      </c>
    </row>
    <row r="2661" spans="1:50" ht="15" hidden="1" customHeight="1" x14ac:dyDescent="0.3">
      <c r="A2661" s="94" t="s">
        <v>151</v>
      </c>
      <c r="B2661" s="94"/>
      <c r="C2661" s="94"/>
      <c r="D2661" s="94"/>
      <c r="E2661" s="94"/>
      <c r="F2661" s="94"/>
      <c r="G2661" s="112">
        <f>AU2661</f>
      </c>
      <c r="H2661" s="113"/>
      <c r="I2661" s="94" t="s">
        <v>152</v>
      </c>
      <c r="J2661" s="94" t="s">
        <v>156</v>
      </c>
      <c r="K2661" s="114">
        <f>P2661/3</f>
      </c>
      <c r="L2661" s="115">
        <v>0</v>
      </c>
      <c r="M2661" s="116">
        <f>L2661</f>
      </c>
      <c r="N2661" s="117">
        <f>M2661-L2661</f>
      </c>
      <c r="O2661" s="112"/>
      <c r="P2661" s="118">
        <f>N2661+O2661</f>
      </c>
      <c r="Q2661" s="94" t="s">
        <v>197</v>
      </c>
      <c r="R2661" s="94" t="s">
        <v>63</v>
      </c>
      <c r="S2661" s="119">
        <v>46331</v>
      </c>
      <c r="T2661" s="119"/>
      <c r="U2661" s="119">
        <v>46331</v>
      </c>
      <c r="V2661" s="94"/>
      <c r="W2661" s="94"/>
      <c r="X2661" s="94"/>
      <c r="Y2661" s="119">
        <v>46331</v>
      </c>
      <c r="Z2661" s="94"/>
      <c r="AA2661" s="120"/>
      <c r="AB2661" s="120"/>
      <c r="AC2661" s="120"/>
      <c r="AD2661" s="120"/>
      <c r="AE2661" s="120"/>
      <c r="AF2661" s="120"/>
      <c r="AG2661" s="94"/>
      <c r="AH2661" s="120"/>
      <c r="AI2661" s="94"/>
      <c r="AJ2661" s="94" t="s">
        <v>197</v>
      </c>
      <c r="AK2661" s="94" t="s">
        <v>158</v>
      </c>
      <c r="AL2661" s="94">
        <v>160</v>
      </c>
      <c r="AM2661" s="94" t="str">
        <f>TRIM(AJ2661)&amp;TRIM(AL2661)&amp;TRIM(AK2661)</f>
      </c>
      <c r="AN2661" s="116">
        <v>4691</v>
      </c>
      <c r="AO2661" s="116">
        <v>-106</v>
      </c>
      <c r="AP2661" s="116">
        <f>SUMIFS(M:M,AM:AM,AM2661)+SUMIFS(O:O,AM:AM,AM2661)</f>
      </c>
      <c r="AQ2661" s="116">
        <f>SUMIFS(L:L,AM:AM,AM2661)</f>
      </c>
      <c r="AR2661" s="116">
        <f>AQ2661-AP2661</f>
      </c>
      <c r="AS2661" s="94" t="str">
        <f>IF(AN2661&gt;=AQ2661,"ok","ck")</f>
      </c>
      <c r="AT2661" s="116">
        <f>-P2661</f>
      </c>
      <c r="AU2661" s="115">
        <f>IF(SUMIFS(AT:AT,AM:AM,AM2661)&gt;AO2661,(SUMIFS(AT:AT,AM:AM,AM2661)-AO2661))</f>
      </c>
      <c r="AV2661" s="116">
        <v>4691</v>
      </c>
      <c r="AW2661" s="121">
        <v>1.023</v>
      </c>
      <c r="AX2661" s="115">
        <f>AN2661-AP2661</f>
      </c>
    </row>
    <row r="2662" spans="1:50" ht="15" hidden="1" customHeight="1" x14ac:dyDescent="0.3">
      <c r="A2662" s="94" t="s">
        <v>151</v>
      </c>
      <c r="B2662" s="94"/>
      <c r="C2662" s="94"/>
      <c r="D2662" s="94"/>
      <c r="E2662" s="94"/>
      <c r="F2662" s="94"/>
      <c r="G2662" s="112">
        <f>AU2662</f>
      </c>
      <c r="H2662" s="113"/>
      <c r="I2662" s="94" t="s">
        <v>152</v>
      </c>
      <c r="J2662" s="94" t="s">
        <v>156</v>
      </c>
      <c r="K2662" s="114">
        <f>P2662/3</f>
      </c>
      <c r="L2662" s="115">
        <v>2437</v>
      </c>
      <c r="M2662" s="116"/>
      <c r="N2662" s="117">
        <f>M2662-L2662</f>
      </c>
      <c r="O2662" s="112"/>
      <c r="P2662" s="118">
        <f>N2662+O2662</f>
      </c>
      <c r="Q2662" s="94" t="s">
        <v>168</v>
      </c>
      <c r="R2662" s="94" t="s">
        <v>63</v>
      </c>
      <c r="S2662" s="119">
        <v>46336</v>
      </c>
      <c r="T2662" s="119"/>
      <c r="U2662" s="119" t="s">
        <v>682</v>
      </c>
      <c r="V2662" s="94"/>
      <c r="W2662" s="94"/>
      <c r="X2662" s="94"/>
      <c r="Y2662" s="119">
        <v>46320</v>
      </c>
      <c r="Z2662" s="94"/>
      <c r="AA2662" s="120"/>
      <c r="AB2662" s="120"/>
      <c r="AC2662" s="120"/>
      <c r="AD2662" s="120"/>
      <c r="AE2662" s="120"/>
      <c r="AF2662" s="120"/>
      <c r="AG2662" s="94"/>
      <c r="AH2662" s="120"/>
      <c r="AI2662" s="94"/>
      <c r="AJ2662" s="94" t="s">
        <v>168</v>
      </c>
      <c r="AK2662" s="94" t="s">
        <v>158</v>
      </c>
      <c r="AL2662" s="94">
        <v>160</v>
      </c>
      <c r="AM2662" s="94" t="str">
        <f>TRIM(AJ2662)&amp;TRIM(AL2662)&amp;TRIM(AK2662)</f>
      </c>
      <c r="AN2662" s="116">
        <v>7436</v>
      </c>
      <c r="AO2662" s="116">
        <v>12192.89</v>
      </c>
      <c r="AP2662" s="116">
        <f>SUMIFS(M:M,AM:AM,AM2662)+SUMIFS(O:O,AM:AM,AM2662)</f>
      </c>
      <c r="AQ2662" s="116">
        <f>SUMIFS(L:L,AM:AM,AM2662)</f>
      </c>
      <c r="AR2662" s="116">
        <f>AQ2662-AP2662</f>
      </c>
      <c r="AS2662" s="94" t="str">
        <f>IF(AN2662&gt;=AQ2662,"ok","ck")</f>
      </c>
      <c r="AT2662" s="116">
        <f>-P2662</f>
      </c>
      <c r="AU2662" s="115">
        <f>IF(SUMIFS(AT:AT,AM:AM,AM2662)&gt;AO2662,(SUMIFS(AT:AT,AM:AM,AM2662)-AO2662))</f>
      </c>
      <c r="AV2662" s="116">
        <v>7436</v>
      </c>
      <c r="AW2662" s="121">
        <v>0.379</v>
      </c>
      <c r="AX2662" s="115">
        <f>AN2662-AP2662</f>
      </c>
    </row>
    <row r="2663" spans="1:50" ht="15" hidden="1" customHeight="1" x14ac:dyDescent="0.3">
      <c r="A2663" s="94" t="s">
        <v>151</v>
      </c>
      <c r="B2663" s="94"/>
      <c r="C2663" s="94"/>
      <c r="D2663" s="94"/>
      <c r="E2663" s="94"/>
      <c r="F2663" s="94"/>
      <c r="G2663" s="112">
        <f>AU2663</f>
      </c>
      <c r="H2663" s="113"/>
      <c r="I2663" s="94" t="s">
        <v>152</v>
      </c>
      <c r="J2663" s="94" t="s">
        <v>156</v>
      </c>
      <c r="K2663" s="114">
        <f>P2663/3</f>
      </c>
      <c r="L2663" s="115">
        <v>473.42700000000002</v>
      </c>
      <c r="M2663" s="116"/>
      <c r="N2663" s="117">
        <f>M2663-L2663</f>
      </c>
      <c r="O2663" s="112"/>
      <c r="P2663" s="118">
        <f>N2663+O2663</f>
      </c>
      <c r="Q2663" s="94" t="s">
        <v>168</v>
      </c>
      <c r="R2663" s="94" t="s">
        <v>63</v>
      </c>
      <c r="S2663" s="119">
        <v>46338</v>
      </c>
      <c r="T2663" s="119"/>
      <c r="U2663" s="119" t="s">
        <v>682</v>
      </c>
      <c r="V2663" s="94"/>
      <c r="W2663" s="94"/>
      <c r="X2663" s="94"/>
      <c r="Y2663" s="119">
        <v>46320</v>
      </c>
      <c r="Z2663" s="94"/>
      <c r="AA2663" s="120"/>
      <c r="AB2663" s="120"/>
      <c r="AC2663" s="120"/>
      <c r="AD2663" s="120"/>
      <c r="AE2663" s="120"/>
      <c r="AF2663" s="120"/>
      <c r="AG2663" s="94"/>
      <c r="AH2663" s="120"/>
      <c r="AI2663" s="94"/>
      <c r="AJ2663" s="94" t="s">
        <v>168</v>
      </c>
      <c r="AK2663" s="94" t="s">
        <v>158</v>
      </c>
      <c r="AL2663" s="94">
        <v>160</v>
      </c>
      <c r="AM2663" s="94" t="str">
        <f>TRIM(AJ2663)&amp;TRIM(AL2663)&amp;TRIM(AK2663)</f>
      </c>
      <c r="AN2663" s="116">
        <v>7436</v>
      </c>
      <c r="AO2663" s="116">
        <v>12192.89</v>
      </c>
      <c r="AP2663" s="116">
        <f>SUMIFS(M:M,AM:AM,AM2663)+SUMIFS(O:O,AM:AM,AM2663)</f>
      </c>
      <c r="AQ2663" s="116">
        <f>SUMIFS(L:L,AM:AM,AM2663)</f>
      </c>
      <c r="AR2663" s="116">
        <f>AQ2663-AP2663</f>
      </c>
      <c r="AS2663" s="94" t="str">
        <f>IF(AN2663&gt;=AQ2663,"ok","ck")</f>
      </c>
      <c r="AT2663" s="116">
        <f>-P2663</f>
      </c>
      <c r="AU2663" s="115">
        <f>IF(SUMIFS(AT:AT,AM:AM,AM2663)&gt;AO2663,(SUMIFS(AT:AT,AM:AM,AM2663)-AO2663))</f>
      </c>
      <c r="AV2663" s="116">
        <v>7436</v>
      </c>
      <c r="AW2663" s="121">
        <v>0.379</v>
      </c>
      <c r="AX2663" s="115">
        <f>AN2663-AP2663</f>
      </c>
    </row>
    <row r="2664" spans="1:50" ht="15" hidden="1" customHeight="1" x14ac:dyDescent="0.3">
      <c r="A2664" s="94" t="s">
        <v>93</v>
      </c>
      <c r="B2664" s="94"/>
      <c r="C2664" s="94"/>
      <c r="D2664" s="94"/>
      <c r="E2664" s="94"/>
      <c r="F2664" s="94"/>
      <c r="G2664" s="112">
        <f>AU2664</f>
      </c>
      <c r="H2664" s="113"/>
      <c r="I2664" s="94" t="s">
        <v>107</v>
      </c>
      <c r="J2664" s="94" t="s">
        <v>622</v>
      </c>
      <c r="K2664" s="114">
        <f>P2664/3</f>
      </c>
      <c r="L2664" s="115">
        <v>0</v>
      </c>
      <c r="M2664" s="116">
        <f>L2664</f>
      </c>
      <c r="N2664" s="117">
        <f>M2664-L2664</f>
      </c>
      <c r="O2664" s="112"/>
      <c r="P2664" s="118">
        <f>N2664+O2664</f>
      </c>
      <c r="Q2664" s="94" t="s">
        <v>95</v>
      </c>
      <c r="R2664" s="94" t="s">
        <v>63</v>
      </c>
      <c r="S2664" s="119">
        <v>46320</v>
      </c>
      <c r="T2664" s="119"/>
      <c r="U2664" s="119">
        <v>46320</v>
      </c>
      <c r="V2664" s="94"/>
      <c r="W2664" s="94"/>
      <c r="X2664" s="94"/>
      <c r="Y2664" s="119">
        <v>46320</v>
      </c>
      <c r="Z2664" s="94"/>
      <c r="AA2664" s="120"/>
      <c r="AB2664" s="120"/>
      <c r="AC2664" s="120"/>
      <c r="AD2664" s="120"/>
      <c r="AE2664" s="120"/>
      <c r="AF2664" s="120"/>
      <c r="AG2664" s="94"/>
      <c r="AH2664" s="120"/>
      <c r="AI2664" s="94"/>
      <c r="AJ2664" s="94" t="s">
        <v>95</v>
      </c>
      <c r="AK2664" s="94" t="s">
        <v>159</v>
      </c>
      <c r="AL2664" s="94">
        <v>140</v>
      </c>
      <c r="AM2664" s="94" t="str">
        <f>TRIM(AJ2664)&amp;TRIM(AL2664)&amp;TRIM(AK2664)</f>
      </c>
      <c r="AN2664" s="116">
        <v>99</v>
      </c>
      <c r="AO2664" s="116">
        <v>-8</v>
      </c>
      <c r="AP2664" s="116">
        <f>SUMIFS(M:M,AM:AM,AM2664)+SUMIFS(O:O,AM:AM,AM2664)</f>
      </c>
      <c r="AQ2664" s="116">
        <f>SUMIFS(L:L,AM:AM,AM2664)</f>
      </c>
      <c r="AR2664" s="116">
        <f>AQ2664-AP2664</f>
      </c>
      <c r="AS2664" s="94" t="str">
        <f>IF(AN2664&gt;=AQ2664,"ok","ck")</f>
      </c>
      <c r="AT2664" s="116">
        <f>-P2664</f>
      </c>
      <c r="AU2664" s="115">
        <f>IF(SUMIFS(AT:AT,AM:AM,AM2664)&gt;AO2664,(SUMIFS(AT:AT,AM:AM,AM2664)-AO2664))</f>
      </c>
      <c r="AV2664" s="116">
        <v>99</v>
      </c>
      <c r="AW2664" s="121">
        <v>1.088</v>
      </c>
      <c r="AX2664" s="115">
        <f>AN2664-AP2664</f>
      </c>
    </row>
    <row r="2665" spans="1:50" ht="15" hidden="1" customHeight="1" x14ac:dyDescent="0.3">
      <c r="A2665" s="94" t="s">
        <v>93</v>
      </c>
      <c r="B2665" s="94"/>
      <c r="C2665" s="94"/>
      <c r="D2665" s="94"/>
      <c r="E2665" s="94"/>
      <c r="F2665" s="94"/>
      <c r="G2665" s="112">
        <f>AU2665</f>
      </c>
      <c r="H2665" s="113"/>
      <c r="I2665" s="94" t="s">
        <v>107</v>
      </c>
      <c r="J2665" s="94" t="s">
        <v>108</v>
      </c>
      <c r="K2665" s="114">
        <f>P2665/3</f>
      </c>
      <c r="L2665" s="115">
        <v>0</v>
      </c>
      <c r="M2665" s="116">
        <f>L2665</f>
      </c>
      <c r="N2665" s="117">
        <f>M2665-L2665</f>
      </c>
      <c r="O2665" s="112"/>
      <c r="P2665" s="118">
        <f>N2665+O2665</f>
      </c>
      <c r="Q2665" s="94" t="s">
        <v>95</v>
      </c>
      <c r="R2665" s="94" t="s">
        <v>63</v>
      </c>
      <c r="S2665" s="119">
        <v>46320</v>
      </c>
      <c r="T2665" s="119"/>
      <c r="U2665" s="119">
        <v>46320</v>
      </c>
      <c r="V2665" s="94"/>
      <c r="W2665" s="94"/>
      <c r="X2665" s="94"/>
      <c r="Y2665" s="119">
        <v>46320</v>
      </c>
      <c r="Z2665" s="94"/>
      <c r="AA2665" s="120"/>
      <c r="AB2665" s="120"/>
      <c r="AC2665" s="120"/>
      <c r="AD2665" s="120"/>
      <c r="AE2665" s="120"/>
      <c r="AF2665" s="120"/>
      <c r="AG2665" s="94"/>
      <c r="AH2665" s="120"/>
      <c r="AI2665" s="94"/>
      <c r="AJ2665" s="94" t="s">
        <v>95</v>
      </c>
      <c r="AK2665" s="94" t="s">
        <v>109</v>
      </c>
      <c r="AL2665" s="94">
        <v>140</v>
      </c>
      <c r="AM2665" s="94" t="str">
        <f>TRIM(AJ2665)&amp;TRIM(AL2665)&amp;TRIM(AK2665)</f>
      </c>
      <c r="AN2665" s="116">
        <v>119</v>
      </c>
      <c r="AO2665" s="116">
        <v>-28</v>
      </c>
      <c r="AP2665" s="116">
        <f>SUMIFS(M:M,AM:AM,AM2665)+SUMIFS(O:O,AM:AM,AM2665)</f>
      </c>
      <c r="AQ2665" s="116">
        <f>SUMIFS(L:L,AM:AM,AM2665)</f>
      </c>
      <c r="AR2665" s="116">
        <f>AQ2665-AP2665</f>
      </c>
      <c r="AS2665" s="94" t="str">
        <f>IF(AN2665&gt;=AQ2665,"ok","ck")</f>
      </c>
      <c r="AT2665" s="116">
        <f>-P2665</f>
      </c>
      <c r="AU2665" s="115">
        <f>IF(SUMIFS(AT:AT,AM:AM,AM2665)&gt;AO2665,(SUMIFS(AT:AT,AM:AM,AM2665)-AO2665))</f>
      </c>
      <c r="AV2665" s="116">
        <v>119</v>
      </c>
      <c r="AW2665" s="121">
        <v>1.308</v>
      </c>
      <c r="AX2665" s="115">
        <f>AN2665-AP2665</f>
      </c>
    </row>
    <row r="2666" spans="1:50" ht="15" hidden="1" customHeight="1" x14ac:dyDescent="0.3">
      <c r="A2666" s="94" t="s">
        <v>93</v>
      </c>
      <c r="B2666" s="94"/>
      <c r="C2666" s="94"/>
      <c r="D2666" s="94"/>
      <c r="E2666" s="94"/>
      <c r="F2666" s="94"/>
      <c r="G2666" s="112">
        <f>AU2666</f>
      </c>
      <c r="H2666" s="113"/>
      <c r="I2666" s="94" t="s">
        <v>107</v>
      </c>
      <c r="J2666" s="94" t="s">
        <v>623</v>
      </c>
      <c r="K2666" s="114">
        <f>P2666/3</f>
      </c>
      <c r="L2666" s="115">
        <v>0</v>
      </c>
      <c r="M2666" s="116">
        <f>L2666</f>
      </c>
      <c r="N2666" s="117">
        <f>M2666-L2666</f>
      </c>
      <c r="O2666" s="112"/>
      <c r="P2666" s="118">
        <f>N2666+O2666</f>
      </c>
      <c r="Q2666" s="94" t="s">
        <v>95</v>
      </c>
      <c r="R2666" s="94" t="s">
        <v>63</v>
      </c>
      <c r="S2666" s="119">
        <v>46320</v>
      </c>
      <c r="T2666" s="119"/>
      <c r="U2666" s="119">
        <v>46320</v>
      </c>
      <c r="V2666" s="94"/>
      <c r="W2666" s="94"/>
      <c r="X2666" s="94"/>
      <c r="Y2666" s="119">
        <v>46320</v>
      </c>
      <c r="Z2666" s="94"/>
      <c r="AA2666" s="120"/>
      <c r="AB2666" s="120"/>
      <c r="AC2666" s="120"/>
      <c r="AD2666" s="120"/>
      <c r="AE2666" s="120"/>
      <c r="AF2666" s="120"/>
      <c r="AG2666" s="94"/>
      <c r="AH2666" s="120"/>
      <c r="AI2666" s="94"/>
      <c r="AJ2666" s="94" t="s">
        <v>95</v>
      </c>
      <c r="AK2666" s="94" t="s">
        <v>614</v>
      </c>
      <c r="AL2666" s="94">
        <v>140</v>
      </c>
      <c r="AM2666" s="94" t="str">
        <f>TRIM(AJ2666)&amp;TRIM(AL2666)&amp;TRIM(AK2666)</f>
      </c>
      <c r="AN2666" s="116">
        <v>190</v>
      </c>
      <c r="AO2666" s="116">
        <v>-8</v>
      </c>
      <c r="AP2666" s="116">
        <f>SUMIFS(M:M,AM:AM,AM2666)+SUMIFS(O:O,AM:AM,AM2666)</f>
      </c>
      <c r="AQ2666" s="116">
        <f>SUMIFS(L:L,AM:AM,AM2666)</f>
      </c>
      <c r="AR2666" s="116">
        <f>AQ2666-AP2666</f>
      </c>
      <c r="AS2666" s="94" t="str">
        <f>IF(AN2666&gt;=AQ2666,"ok","ck")</f>
      </c>
      <c r="AT2666" s="116">
        <f>-P2666</f>
      </c>
      <c r="AU2666" s="115">
        <f>IF(SUMIFS(AT:AT,AM:AM,AM2666)&gt;AO2666,(SUMIFS(AT:AT,AM:AM,AM2666)-AO2666))</f>
      </c>
      <c r="AV2666" s="116">
        <v>190</v>
      </c>
      <c r="AW2666" s="121">
        <v>1.044</v>
      </c>
      <c r="AX2666" s="115">
        <f>AN2666-AP2666</f>
      </c>
    </row>
    <row r="2667" spans="1:50" ht="15" hidden="1" customHeight="1" x14ac:dyDescent="0.3">
      <c r="A2667" s="94" t="s">
        <v>151</v>
      </c>
      <c r="B2667" s="94"/>
      <c r="C2667" s="94"/>
      <c r="D2667" s="94"/>
      <c r="E2667" s="94"/>
      <c r="F2667" s="94"/>
      <c r="G2667" s="112">
        <f>AU2667</f>
      </c>
      <c r="H2667" s="113"/>
      <c r="I2667" s="94" t="s">
        <v>152</v>
      </c>
      <c r="J2667" s="94" t="s">
        <v>156</v>
      </c>
      <c r="K2667" s="114">
        <f>P2667/3</f>
      </c>
      <c r="L2667" s="115">
        <v>0</v>
      </c>
      <c r="M2667" s="116">
        <f>L2667</f>
      </c>
      <c r="N2667" s="117">
        <f>M2667-L2667</f>
      </c>
      <c r="O2667" s="112"/>
      <c r="P2667" s="118">
        <f>N2667+O2667</f>
      </c>
      <c r="Q2667" s="94" t="s">
        <v>197</v>
      </c>
      <c r="R2667" s="94" t="s">
        <v>63</v>
      </c>
      <c r="S2667" s="119">
        <v>46320</v>
      </c>
      <c r="T2667" s="119"/>
      <c r="U2667" s="119">
        <v>46320</v>
      </c>
      <c r="V2667" s="94"/>
      <c r="W2667" s="94"/>
      <c r="X2667" s="94"/>
      <c r="Y2667" s="119">
        <v>46320</v>
      </c>
      <c r="Z2667" s="94"/>
      <c r="AA2667" s="120"/>
      <c r="AB2667" s="120"/>
      <c r="AC2667" s="120"/>
      <c r="AD2667" s="120"/>
      <c r="AE2667" s="120"/>
      <c r="AF2667" s="120"/>
      <c r="AG2667" s="94"/>
      <c r="AH2667" s="120"/>
      <c r="AI2667" s="94"/>
      <c r="AJ2667" s="94" t="s">
        <v>197</v>
      </c>
      <c r="AK2667" s="94" t="s">
        <v>158</v>
      </c>
      <c r="AL2667" s="94">
        <v>160</v>
      </c>
      <c r="AM2667" s="94" t="str">
        <f>TRIM(AJ2667)&amp;TRIM(AL2667)&amp;TRIM(AK2667)</f>
      </c>
      <c r="AN2667" s="116">
        <v>4691</v>
      </c>
      <c r="AO2667" s="116">
        <v>-106</v>
      </c>
      <c r="AP2667" s="116">
        <f>SUMIFS(M:M,AM:AM,AM2667)+SUMIFS(O:O,AM:AM,AM2667)</f>
      </c>
      <c r="AQ2667" s="116">
        <f>SUMIFS(L:L,AM:AM,AM2667)</f>
      </c>
      <c r="AR2667" s="116">
        <f>AQ2667-AP2667</f>
      </c>
      <c r="AS2667" s="94" t="str">
        <f>IF(AN2667&gt;=AQ2667,"ok","ck")</f>
      </c>
      <c r="AT2667" s="116">
        <f>-P2667</f>
      </c>
      <c r="AU2667" s="115">
        <f>IF(SUMIFS(AT:AT,AM:AM,AM2667)&gt;AO2667,(SUMIFS(AT:AT,AM:AM,AM2667)-AO2667))</f>
      </c>
      <c r="AV2667" s="116">
        <v>4691</v>
      </c>
      <c r="AW2667" s="121">
        <v>1.023</v>
      </c>
      <c r="AX2667" s="115">
        <f>AN2667-AP2667</f>
      </c>
    </row>
    <row r="2668" spans="1:50" ht="15" hidden="1" customHeight="1" x14ac:dyDescent="0.3">
      <c r="A2668" s="94" t="s">
        <v>93</v>
      </c>
      <c r="B2668" s="94"/>
      <c r="C2668" s="94"/>
      <c r="D2668" s="94"/>
      <c r="E2668" s="94"/>
      <c r="F2668" s="94"/>
      <c r="G2668" s="112">
        <f>AU2668</f>
      </c>
      <c r="H2668" s="113"/>
      <c r="I2668" s="94" t="s">
        <v>107</v>
      </c>
      <c r="J2668" s="94" t="s">
        <v>624</v>
      </c>
      <c r="K2668" s="114">
        <f>P2668/3</f>
      </c>
      <c r="L2668" s="115">
        <v>0</v>
      </c>
      <c r="M2668" s="116">
        <f>L2668</f>
      </c>
      <c r="N2668" s="117">
        <f>M2668-L2668</f>
      </c>
      <c r="O2668" s="112"/>
      <c r="P2668" s="118">
        <f>N2668+O2668</f>
      </c>
      <c r="Q2668" s="94" t="s">
        <v>95</v>
      </c>
      <c r="R2668" s="94" t="s">
        <v>63</v>
      </c>
      <c r="S2668" s="119">
        <v>46320</v>
      </c>
      <c r="T2668" s="119"/>
      <c r="U2668" s="119">
        <v>46320</v>
      </c>
      <c r="V2668" s="94"/>
      <c r="W2668" s="94"/>
      <c r="X2668" s="94"/>
      <c r="Y2668" s="119">
        <v>46320</v>
      </c>
      <c r="Z2668" s="94"/>
      <c r="AA2668" s="120"/>
      <c r="AB2668" s="120"/>
      <c r="AC2668" s="120"/>
      <c r="AD2668" s="120"/>
      <c r="AE2668" s="120"/>
      <c r="AF2668" s="120"/>
      <c r="AG2668" s="94"/>
      <c r="AH2668" s="120"/>
      <c r="AI2668" s="94"/>
      <c r="AJ2668" s="94" t="s">
        <v>95</v>
      </c>
      <c r="AK2668" s="94" t="s">
        <v>769</v>
      </c>
      <c r="AL2668" s="94">
        <v>140</v>
      </c>
      <c r="AM2668" s="94" t="str">
        <f>TRIM(AJ2668)&amp;TRIM(AL2668)&amp;TRIM(AK2668)</f>
      </c>
      <c r="AN2668" s="116">
        <v>92</v>
      </c>
      <c r="AO2668" s="116">
        <v>-1</v>
      </c>
      <c r="AP2668" s="116">
        <f>SUMIFS(M:M,AM:AM,AM2668)+SUMIFS(O:O,AM:AM,AM2668)</f>
      </c>
      <c r="AQ2668" s="116">
        <f>SUMIFS(L:L,AM:AM,AM2668)</f>
      </c>
      <c r="AR2668" s="116">
        <f>AQ2668-AP2668</f>
      </c>
      <c r="AS2668" s="94" t="str">
        <f>IF(AN2668&gt;=AQ2668,"ok","ck")</f>
      </c>
      <c r="AT2668" s="116">
        <f>-P2668</f>
      </c>
      <c r="AU2668" s="115">
        <f>IF(SUMIFS(AT:AT,AM:AM,AM2668)&gt;AO2668,(SUMIFS(AT:AT,AM:AM,AM2668)-AO2668))</f>
      </c>
      <c r="AV2668" s="116">
        <v>92</v>
      </c>
      <c r="AW2668" s="121">
        <v>1.011</v>
      </c>
      <c r="AX2668" s="115">
        <f>AN2668-AP2668</f>
      </c>
    </row>
    <row r="2669" spans="1:50" ht="15" hidden="1" customHeight="1" x14ac:dyDescent="0.3">
      <c r="A2669" s="94" t="s">
        <v>93</v>
      </c>
      <c r="B2669" s="94"/>
      <c r="C2669" s="94"/>
      <c r="D2669" s="94"/>
      <c r="E2669" s="94"/>
      <c r="F2669" s="94"/>
      <c r="G2669" s="112">
        <f>AU2669</f>
      </c>
      <c r="H2669" s="113"/>
      <c r="I2669" s="94" t="s">
        <v>107</v>
      </c>
      <c r="J2669" s="94" t="s">
        <v>625</v>
      </c>
      <c r="K2669" s="114">
        <f>P2669/3</f>
      </c>
      <c r="L2669" s="115">
        <v>0</v>
      </c>
      <c r="M2669" s="116">
        <f>L2669</f>
      </c>
      <c r="N2669" s="117">
        <f>M2669-L2669</f>
      </c>
      <c r="O2669" s="112"/>
      <c r="P2669" s="118">
        <f>N2669+O2669</f>
      </c>
      <c r="Q2669" s="94" t="s">
        <v>95</v>
      </c>
      <c r="R2669" s="94" t="s">
        <v>63</v>
      </c>
      <c r="S2669" s="119">
        <v>46320</v>
      </c>
      <c r="T2669" s="119"/>
      <c r="U2669" s="119">
        <v>46320</v>
      </c>
      <c r="V2669" s="94"/>
      <c r="W2669" s="94"/>
      <c r="X2669" s="94"/>
      <c r="Y2669" s="119">
        <v>46320</v>
      </c>
      <c r="Z2669" s="94"/>
      <c r="AA2669" s="120"/>
      <c r="AB2669" s="120"/>
      <c r="AC2669" s="120"/>
      <c r="AD2669" s="120"/>
      <c r="AE2669" s="120"/>
      <c r="AF2669" s="120"/>
      <c r="AG2669" s="94"/>
      <c r="AH2669" s="120"/>
      <c r="AI2669" s="94"/>
      <c r="AJ2669" s="94" t="s">
        <v>95</v>
      </c>
      <c r="AK2669" s="94" t="s">
        <v>767</v>
      </c>
      <c r="AL2669" s="94">
        <v>140</v>
      </c>
      <c r="AM2669" s="94" t="str">
        <f>TRIM(AJ2669)&amp;TRIM(AL2669)&amp;TRIM(AK2669)</f>
      </c>
      <c r="AN2669" s="116">
        <v>181</v>
      </c>
      <c r="AO2669" s="116">
        <v>1</v>
      </c>
      <c r="AP2669" s="116">
        <f>SUMIFS(M:M,AM:AM,AM2669)+SUMIFS(O:O,AM:AM,AM2669)</f>
      </c>
      <c r="AQ2669" s="116">
        <f>SUMIFS(L:L,AM:AM,AM2669)</f>
      </c>
      <c r="AR2669" s="116">
        <f>AQ2669-AP2669</f>
      </c>
      <c r="AS2669" s="94" t="str">
        <f>IF(AN2669&gt;=AQ2669,"ok","ck")</f>
      </c>
      <c r="AT2669" s="116">
        <f>-P2669</f>
      </c>
      <c r="AU2669" s="115">
        <f>IF(SUMIFS(AT:AT,AM:AM,AM2669)&gt;AO2669,(SUMIFS(AT:AT,AM:AM,AM2669)-AO2669))</f>
      </c>
      <c r="AV2669" s="116">
        <v>181</v>
      </c>
      <c r="AW2669" s="121">
        <v>0.995</v>
      </c>
      <c r="AX2669" s="115">
        <f>AN2669-AP2669</f>
      </c>
    </row>
    <row r="2670" spans="1:50" ht="15" hidden="1" customHeight="1" x14ac:dyDescent="0.3">
      <c r="A2670" s="94" t="s">
        <v>93</v>
      </c>
      <c r="B2670" s="94"/>
      <c r="C2670" s="94"/>
      <c r="D2670" s="94"/>
      <c r="E2670" s="94"/>
      <c r="F2670" s="94"/>
      <c r="G2670" s="112">
        <f>AU2670</f>
      </c>
      <c r="H2670" s="113"/>
      <c r="I2670" s="94" t="s">
        <v>94</v>
      </c>
      <c r="J2670" s="94" t="s">
        <v>66</v>
      </c>
      <c r="K2670" s="114">
        <f>P2670/3</f>
      </c>
      <c r="L2670" s="115">
        <v>0</v>
      </c>
      <c r="M2670" s="116">
        <f>L2670</f>
      </c>
      <c r="N2670" s="117">
        <f>M2670-L2670</f>
      </c>
      <c r="O2670" s="112"/>
      <c r="P2670" s="118">
        <f>N2670+O2670</f>
      </c>
      <c r="Q2670" s="94" t="s">
        <v>95</v>
      </c>
      <c r="R2670" s="94" t="s">
        <v>63</v>
      </c>
      <c r="S2670" s="119">
        <v>46320</v>
      </c>
      <c r="T2670" s="119"/>
      <c r="U2670" s="119">
        <v>46320</v>
      </c>
      <c r="V2670" s="94"/>
      <c r="W2670" s="94"/>
      <c r="X2670" s="94"/>
      <c r="Y2670" s="119">
        <v>46320</v>
      </c>
      <c r="Z2670" s="94"/>
      <c r="AA2670" s="120"/>
      <c r="AB2670" s="120"/>
      <c r="AC2670" s="120"/>
      <c r="AD2670" s="120"/>
      <c r="AE2670" s="120"/>
      <c r="AF2670" s="120"/>
      <c r="AG2670" s="94"/>
      <c r="AH2670" s="120"/>
      <c r="AI2670" s="94"/>
      <c r="AJ2670" s="94" t="s">
        <v>95</v>
      </c>
      <c r="AK2670" s="94" t="s">
        <v>66</v>
      </c>
      <c r="AL2670" s="94">
        <v>140</v>
      </c>
      <c r="AM2670" s="94" t="str">
        <f>TRIM(AJ2670)&amp;TRIM(AL2670)&amp;TRIM(AK2670)</f>
      </c>
      <c r="AN2670" s="116">
        <v>747</v>
      </c>
      <c r="AO2670" s="116">
        <v>-14</v>
      </c>
      <c r="AP2670" s="116">
        <f>SUMIFS(M:M,AM:AM,AM2670)+SUMIFS(O:O,AM:AM,AM2670)</f>
      </c>
      <c r="AQ2670" s="116">
        <f>SUMIFS(L:L,AM:AM,AM2670)</f>
      </c>
      <c r="AR2670" s="116">
        <f>AQ2670-AP2670</f>
      </c>
      <c r="AS2670" s="94" t="str">
        <f>IF(AN2670&gt;=AQ2670,"ok","ck")</f>
      </c>
      <c r="AT2670" s="116">
        <f>-P2670</f>
      </c>
      <c r="AU2670" s="115">
        <f>IF(SUMIFS(AT:AT,AM:AM,AM2670)&gt;AO2670,(SUMIFS(AT:AT,AM:AM,AM2670)-AO2670))</f>
      </c>
      <c r="AV2670" s="116">
        <v>747</v>
      </c>
      <c r="AW2670" s="121">
        <v>1.019</v>
      </c>
      <c r="AX2670" s="115">
        <f>AN2670-AP2670</f>
      </c>
    </row>
    <row r="2671" spans="1:50" ht="15" hidden="1" customHeight="1" x14ac:dyDescent="0.3">
      <c r="A2671" s="94" t="s">
        <v>93</v>
      </c>
      <c r="B2671" s="94"/>
      <c r="C2671" s="94"/>
      <c r="D2671" s="94"/>
      <c r="E2671" s="94"/>
      <c r="F2671" s="94"/>
      <c r="G2671" s="112">
        <f>AU2671</f>
      </c>
      <c r="H2671" s="113"/>
      <c r="I2671" s="94" t="s">
        <v>106</v>
      </c>
      <c r="J2671" s="94" t="s">
        <v>66</v>
      </c>
      <c r="K2671" s="114">
        <f>P2671/3</f>
      </c>
      <c r="L2671" s="115">
        <v>0</v>
      </c>
      <c r="M2671" s="116">
        <f>L2671</f>
      </c>
      <c r="N2671" s="117">
        <f>M2671-L2671</f>
      </c>
      <c r="O2671" s="112"/>
      <c r="P2671" s="118">
        <f>N2671+O2671</f>
      </c>
      <c r="Q2671" s="94" t="s">
        <v>95</v>
      </c>
      <c r="R2671" s="94" t="s">
        <v>63</v>
      </c>
      <c r="S2671" s="119">
        <v>46320</v>
      </c>
      <c r="T2671" s="119"/>
      <c r="U2671" s="119">
        <v>46320</v>
      </c>
      <c r="V2671" s="94"/>
      <c r="W2671" s="94"/>
      <c r="X2671" s="94"/>
      <c r="Y2671" s="119">
        <v>46320</v>
      </c>
      <c r="Z2671" s="94"/>
      <c r="AA2671" s="120"/>
      <c r="AB2671" s="120"/>
      <c r="AC2671" s="120"/>
      <c r="AD2671" s="120"/>
      <c r="AE2671" s="120"/>
      <c r="AF2671" s="120"/>
      <c r="AG2671" s="94"/>
      <c r="AH2671" s="120"/>
      <c r="AI2671" s="94"/>
      <c r="AJ2671" s="94" t="s">
        <v>95</v>
      </c>
      <c r="AK2671" s="94" t="s">
        <v>66</v>
      </c>
      <c r="AL2671" s="94">
        <v>150</v>
      </c>
      <c r="AM2671" s="94" t="str">
        <f>TRIM(AJ2671)&amp;TRIM(AL2671)&amp;TRIM(AK2671)</f>
      </c>
      <c r="AN2671" s="116">
        <v>7348</v>
      </c>
      <c r="AO2671" s="116">
        <v>-144</v>
      </c>
      <c r="AP2671" s="116">
        <f>SUMIFS(M:M,AM:AM,AM2671)+SUMIFS(O:O,AM:AM,AM2671)</f>
      </c>
      <c r="AQ2671" s="116">
        <f>SUMIFS(L:L,AM:AM,AM2671)</f>
      </c>
      <c r="AR2671" s="116">
        <f>AQ2671-AP2671</f>
      </c>
      <c r="AS2671" s="94" t="str">
        <f>IF(AN2671&gt;=AQ2671,"ok","ck")</f>
      </c>
      <c r="AT2671" s="116">
        <f>-P2671</f>
      </c>
      <c r="AU2671" s="115">
        <f>IF(SUMIFS(AT:AT,AM:AM,AM2671)&gt;AO2671,(SUMIFS(AT:AT,AM:AM,AM2671)-AO2671))</f>
      </c>
      <c r="AV2671" s="116">
        <v>7348</v>
      </c>
      <c r="AW2671" s="121">
        <v>1.02</v>
      </c>
      <c r="AX2671" s="115">
        <f>AN2671-AP2671</f>
      </c>
    </row>
    <row r="2672" spans="1:50" ht="15" hidden="1" customHeight="1" x14ac:dyDescent="0.3">
      <c r="A2672" s="94" t="s">
        <v>151</v>
      </c>
      <c r="B2672" s="94"/>
      <c r="C2672" s="94"/>
      <c r="D2672" s="94"/>
      <c r="E2672" s="94"/>
      <c r="F2672" s="94"/>
      <c r="G2672" s="112">
        <f>AU2672</f>
      </c>
      <c r="H2672" s="113"/>
      <c r="I2672" s="94" t="s">
        <v>152</v>
      </c>
      <c r="J2672" s="94" t="s">
        <v>156</v>
      </c>
      <c r="K2672" s="114">
        <f>P2672/3</f>
      </c>
      <c r="L2672" s="115">
        <v>0</v>
      </c>
      <c r="M2672" s="116">
        <f>L2672</f>
      </c>
      <c r="N2672" s="117">
        <f>M2672-L2672</f>
      </c>
      <c r="O2672" s="112"/>
      <c r="P2672" s="118">
        <f>N2672+O2672</f>
      </c>
      <c r="Q2672" s="94" t="s">
        <v>197</v>
      </c>
      <c r="R2672" s="94" t="s">
        <v>63</v>
      </c>
      <c r="S2672" s="119">
        <v>46320</v>
      </c>
      <c r="T2672" s="119"/>
      <c r="U2672" s="119">
        <v>46320</v>
      </c>
      <c r="V2672" s="94"/>
      <c r="W2672" s="94"/>
      <c r="X2672" s="94"/>
      <c r="Y2672" s="119">
        <v>46320</v>
      </c>
      <c r="Z2672" s="94"/>
      <c r="AA2672" s="120"/>
      <c r="AB2672" s="120"/>
      <c r="AC2672" s="120"/>
      <c r="AD2672" s="120"/>
      <c r="AE2672" s="120"/>
      <c r="AF2672" s="120"/>
      <c r="AG2672" s="94"/>
      <c r="AH2672" s="120"/>
      <c r="AI2672" s="94"/>
      <c r="AJ2672" s="94" t="s">
        <v>197</v>
      </c>
      <c r="AK2672" s="94" t="s">
        <v>158</v>
      </c>
      <c r="AL2672" s="94">
        <v>160</v>
      </c>
      <c r="AM2672" s="94" t="str">
        <f>TRIM(AJ2672)&amp;TRIM(AL2672)&amp;TRIM(AK2672)</f>
      </c>
      <c r="AN2672" s="116">
        <v>4691</v>
      </c>
      <c r="AO2672" s="116">
        <v>-106</v>
      </c>
      <c r="AP2672" s="116">
        <f>SUMIFS(M:M,AM:AM,AM2672)+SUMIFS(O:O,AM:AM,AM2672)</f>
      </c>
      <c r="AQ2672" s="116">
        <f>SUMIFS(L:L,AM:AM,AM2672)</f>
      </c>
      <c r="AR2672" s="116">
        <f>AQ2672-AP2672</f>
      </c>
      <c r="AS2672" s="94" t="str">
        <f>IF(AN2672&gt;=AQ2672,"ok","ck")</f>
      </c>
      <c r="AT2672" s="116">
        <f>-P2672</f>
      </c>
      <c r="AU2672" s="115">
        <f>IF(SUMIFS(AT:AT,AM:AM,AM2672)&gt;AO2672,(SUMIFS(AT:AT,AM:AM,AM2672)-AO2672))</f>
      </c>
      <c r="AV2672" s="116">
        <v>4691</v>
      </c>
      <c r="AW2672" s="121">
        <v>1.023</v>
      </c>
      <c r="AX2672" s="115">
        <f>AN2672-AP2672</f>
      </c>
    </row>
    <row r="2673" spans="1:50" ht="15" hidden="1" customHeight="1" x14ac:dyDescent="0.3">
      <c r="A2673" s="94" t="s">
        <v>151</v>
      </c>
      <c r="B2673" s="94"/>
      <c r="C2673" s="94"/>
      <c r="D2673" s="94"/>
      <c r="E2673" s="94"/>
      <c r="F2673" s="94"/>
      <c r="G2673" s="112">
        <f>AU2673</f>
      </c>
      <c r="H2673" s="113"/>
      <c r="I2673" s="94" t="s">
        <v>152</v>
      </c>
      <c r="J2673" s="94" t="s">
        <v>156</v>
      </c>
      <c r="K2673" s="114">
        <f>P2673/3</f>
      </c>
      <c r="L2673" s="115">
        <v>437.45699999999999</v>
      </c>
      <c r="M2673" s="116">
        <f>L2673</f>
      </c>
      <c r="N2673" s="117">
        <f>M2673-L2673</f>
      </c>
      <c r="O2673" s="112"/>
      <c r="P2673" s="118">
        <f>N2673+O2673</f>
      </c>
      <c r="Q2673" s="94" t="s">
        <v>234</v>
      </c>
      <c r="R2673" s="94" t="s">
        <v>63</v>
      </c>
      <c r="S2673" s="119">
        <v>46320</v>
      </c>
      <c r="T2673" s="119"/>
      <c r="U2673" s="119">
        <v>46320</v>
      </c>
      <c r="V2673" s="94"/>
      <c r="W2673" s="94"/>
      <c r="X2673" s="94"/>
      <c r="Y2673" s="119">
        <v>46320</v>
      </c>
      <c r="Z2673" s="94"/>
      <c r="AA2673" s="120"/>
      <c r="AB2673" s="120"/>
      <c r="AC2673" s="120"/>
      <c r="AD2673" s="120"/>
      <c r="AE2673" s="120"/>
      <c r="AF2673" s="120"/>
      <c r="AG2673" s="94"/>
      <c r="AH2673" s="120"/>
      <c r="AI2673" s="94"/>
      <c r="AJ2673" s="94" t="s">
        <v>234</v>
      </c>
      <c r="AK2673" s="94" t="s">
        <v>158</v>
      </c>
      <c r="AL2673" s="94">
        <v>160</v>
      </c>
      <c r="AM2673" s="94" t="str">
        <f>TRIM(AJ2673)&amp;TRIM(AL2673)&amp;TRIM(AK2673)</f>
      </c>
      <c r="AN2673" s="116">
        <v>2385.17</v>
      </c>
      <c r="AO2673" s="116">
        <v>-25.17</v>
      </c>
      <c r="AP2673" s="116">
        <f>SUMIFS(M:M,AM:AM,AM2673)+SUMIFS(O:O,AM:AM,AM2673)</f>
      </c>
      <c r="AQ2673" s="116">
        <f>SUMIFS(L:L,AM:AM,AM2673)</f>
      </c>
      <c r="AR2673" s="116">
        <f>AQ2673-AP2673</f>
      </c>
      <c r="AS2673" s="94" t="str">
        <f>IF(AN2673&gt;=AQ2673,"ok","ck")</f>
      </c>
      <c r="AT2673" s="116">
        <f>-P2673</f>
      </c>
      <c r="AU2673" s="115">
        <f>IF(SUMIFS(AT:AT,AM:AM,AM2673)&gt;AO2673,(SUMIFS(AT:AT,AM:AM,AM2673)-AO2673))</f>
      </c>
      <c r="AV2673" s="116">
        <v>2385.17</v>
      </c>
      <c r="AW2673" s="121">
        <v>1.011</v>
      </c>
      <c r="AX2673" s="115">
        <f>AN2673-AP2673</f>
      </c>
    </row>
    <row r="2674" spans="1:50" ht="15" hidden="1" customHeight="1" x14ac:dyDescent="0.3">
      <c r="A2674" s="94" t="s">
        <v>151</v>
      </c>
      <c r="B2674" s="94"/>
      <c r="C2674" s="94"/>
      <c r="D2674" s="94"/>
      <c r="E2674" s="94"/>
      <c r="F2674" s="94"/>
      <c r="G2674" s="112">
        <f>AU2674</f>
      </c>
      <c r="H2674" s="113"/>
      <c r="I2674" s="94" t="s">
        <v>163</v>
      </c>
      <c r="J2674" s="94" t="s">
        <v>182</v>
      </c>
      <c r="K2674" s="114">
        <f>P2674/3</f>
      </c>
      <c r="L2674" s="115">
        <v>0</v>
      </c>
      <c r="M2674" s="116">
        <f>L2674</f>
      </c>
      <c r="N2674" s="117">
        <f>M2674-L2674</f>
      </c>
      <c r="O2674" s="112"/>
      <c r="P2674" s="118">
        <f>N2674+O2674</f>
      </c>
      <c r="Q2674" s="94" t="s">
        <v>183</v>
      </c>
      <c r="R2674" s="94" t="s">
        <v>63</v>
      </c>
      <c r="S2674" s="119">
        <v>46320</v>
      </c>
      <c r="T2674" s="119"/>
      <c r="U2674" s="119">
        <v>46320</v>
      </c>
      <c r="V2674" s="94"/>
      <c r="W2674" s="94"/>
      <c r="X2674" s="94"/>
      <c r="Y2674" s="119">
        <v>46320</v>
      </c>
      <c r="Z2674" s="94"/>
      <c r="AA2674" s="120"/>
      <c r="AB2674" s="120"/>
      <c r="AC2674" s="120"/>
      <c r="AD2674" s="120"/>
      <c r="AE2674" s="120"/>
      <c r="AF2674" s="120"/>
      <c r="AG2674" s="94"/>
      <c r="AH2674" s="120"/>
      <c r="AI2674" s="94"/>
      <c r="AJ2674" s="94" t="s">
        <v>183</v>
      </c>
      <c r="AK2674" s="94" t="s">
        <v>184</v>
      </c>
      <c r="AL2674" s="94">
        <v>160</v>
      </c>
      <c r="AM2674" s="94" t="str">
        <f>TRIM(AJ2674)&amp;TRIM(AL2674)&amp;TRIM(AK2674)</f>
      </c>
      <c r="AN2674" s="116">
        <v>1637</v>
      </c>
      <c r="AO2674" s="116">
        <v>-31.85</v>
      </c>
      <c r="AP2674" s="116">
        <f>SUMIFS(M:M,AM:AM,AM2674)+SUMIFS(O:O,AM:AM,AM2674)</f>
      </c>
      <c r="AQ2674" s="116">
        <f>SUMIFS(L:L,AM:AM,AM2674)</f>
      </c>
      <c r="AR2674" s="116">
        <f>AQ2674-AP2674</f>
      </c>
      <c r="AS2674" s="94" t="str">
        <f>IF(AN2674&gt;=AQ2674,"ok","ck")</f>
      </c>
      <c r="AT2674" s="116">
        <f>-P2674</f>
      </c>
      <c r="AU2674" s="115">
        <f>IF(SUMIFS(AT:AT,AM:AM,AM2674)&gt;AO2674,(SUMIFS(AT:AT,AM:AM,AM2674)-AO2674))</f>
      </c>
      <c r="AV2674" s="116">
        <v>1637</v>
      </c>
      <c r="AW2674" s="121">
        <v>1.02</v>
      </c>
      <c r="AX2674" s="115">
        <f>AN2674-AP2674</f>
      </c>
    </row>
    <row r="2675" spans="1:50" ht="15" hidden="1" customHeight="1" x14ac:dyDescent="0.3">
      <c r="A2675" s="94" t="s">
        <v>151</v>
      </c>
      <c r="B2675" s="94"/>
      <c r="C2675" s="94"/>
      <c r="D2675" s="94"/>
      <c r="E2675" s="94"/>
      <c r="F2675" s="94"/>
      <c r="G2675" s="112">
        <f>AU2675</f>
      </c>
      <c r="H2675" s="113"/>
      <c r="I2675" s="94" t="s">
        <v>163</v>
      </c>
      <c r="J2675" s="94" t="s">
        <v>182</v>
      </c>
      <c r="K2675" s="114">
        <f>P2675/3</f>
      </c>
      <c r="L2675" s="115">
        <v>0</v>
      </c>
      <c r="M2675" s="116">
        <f>L2675</f>
      </c>
      <c r="N2675" s="117">
        <f>M2675-L2675</f>
      </c>
      <c r="O2675" s="112"/>
      <c r="P2675" s="118">
        <f>N2675+O2675</f>
      </c>
      <c r="Q2675" s="94" t="s">
        <v>183</v>
      </c>
      <c r="R2675" s="94" t="s">
        <v>63</v>
      </c>
      <c r="S2675" s="119">
        <v>46328</v>
      </c>
      <c r="T2675" s="119"/>
      <c r="U2675" s="119">
        <v>46328</v>
      </c>
      <c r="V2675" s="94"/>
      <c r="W2675" s="94"/>
      <c r="X2675" s="94"/>
      <c r="Y2675" s="119">
        <v>46328</v>
      </c>
      <c r="Z2675" s="94"/>
      <c r="AA2675" s="120"/>
      <c r="AB2675" s="120"/>
      <c r="AC2675" s="120"/>
      <c r="AD2675" s="120"/>
      <c r="AE2675" s="120"/>
      <c r="AF2675" s="120"/>
      <c r="AG2675" s="94"/>
      <c r="AH2675" s="120"/>
      <c r="AI2675" s="94"/>
      <c r="AJ2675" s="94" t="s">
        <v>183</v>
      </c>
      <c r="AK2675" s="94" t="s">
        <v>184</v>
      </c>
      <c r="AL2675" s="94">
        <v>160</v>
      </c>
      <c r="AM2675" s="94" t="str">
        <f>TRIM(AJ2675)&amp;TRIM(AL2675)&amp;TRIM(AK2675)</f>
      </c>
      <c r="AN2675" s="116">
        <v>1637</v>
      </c>
      <c r="AO2675" s="116">
        <v>-31.85</v>
      </c>
      <c r="AP2675" s="116">
        <f>SUMIFS(M:M,AM:AM,AM2675)+SUMIFS(O:O,AM:AM,AM2675)</f>
      </c>
      <c r="AQ2675" s="116">
        <f>SUMIFS(L:L,AM:AM,AM2675)</f>
      </c>
      <c r="AR2675" s="116">
        <f>AQ2675-AP2675</f>
      </c>
      <c r="AS2675" s="94" t="str">
        <f>IF(AN2675&gt;=AQ2675,"ok","ck")</f>
      </c>
      <c r="AT2675" s="116">
        <f>-P2675</f>
      </c>
      <c r="AU2675" s="115">
        <f>IF(SUMIFS(AT:AT,AM:AM,AM2675)&gt;AO2675,(SUMIFS(AT:AT,AM:AM,AM2675)-AO2675))</f>
      </c>
      <c r="AV2675" s="116">
        <v>1637</v>
      </c>
      <c r="AW2675" s="121">
        <v>1.02</v>
      </c>
      <c r="AX2675" s="115">
        <f>AN2675-AP2675</f>
      </c>
    </row>
    <row r="2676" spans="1:50" ht="15" hidden="1" customHeight="1" x14ac:dyDescent="0.3">
      <c r="A2676" s="94" t="s">
        <v>151</v>
      </c>
      <c r="B2676" s="94"/>
      <c r="C2676" s="94"/>
      <c r="D2676" s="94"/>
      <c r="E2676" s="94"/>
      <c r="F2676" s="94"/>
      <c r="G2676" s="112">
        <f>AU2676</f>
      </c>
      <c r="H2676" s="113"/>
      <c r="I2676" s="94" t="s">
        <v>163</v>
      </c>
      <c r="J2676" s="94" t="s">
        <v>182</v>
      </c>
      <c r="K2676" s="114">
        <f>P2676/3</f>
      </c>
      <c r="L2676" s="115">
        <v>0</v>
      </c>
      <c r="M2676" s="116">
        <f>L2676</f>
      </c>
      <c r="N2676" s="117">
        <f>M2676-L2676</f>
      </c>
      <c r="O2676" s="112"/>
      <c r="P2676" s="118">
        <f>N2676+O2676</f>
      </c>
      <c r="Q2676" s="94" t="s">
        <v>183</v>
      </c>
      <c r="R2676" s="94" t="s">
        <v>63</v>
      </c>
      <c r="S2676" s="119">
        <v>46320</v>
      </c>
      <c r="T2676" s="119"/>
      <c r="U2676" s="119">
        <v>46320</v>
      </c>
      <c r="V2676" s="94"/>
      <c r="W2676" s="94"/>
      <c r="X2676" s="94"/>
      <c r="Y2676" s="119">
        <v>46320</v>
      </c>
      <c r="Z2676" s="94"/>
      <c r="AA2676" s="120"/>
      <c r="AB2676" s="120"/>
      <c r="AC2676" s="120"/>
      <c r="AD2676" s="120"/>
      <c r="AE2676" s="120"/>
      <c r="AF2676" s="120"/>
      <c r="AG2676" s="94"/>
      <c r="AH2676" s="120"/>
      <c r="AI2676" s="94"/>
      <c r="AJ2676" s="94" t="s">
        <v>183</v>
      </c>
      <c r="AK2676" s="94" t="s">
        <v>184</v>
      </c>
      <c r="AL2676" s="94">
        <v>160</v>
      </c>
      <c r="AM2676" s="94" t="str">
        <f>TRIM(AJ2676)&amp;TRIM(AL2676)&amp;TRIM(AK2676)</f>
      </c>
      <c r="AN2676" s="116">
        <v>1637</v>
      </c>
      <c r="AO2676" s="116">
        <v>-31.85</v>
      </c>
      <c r="AP2676" s="116">
        <f>SUMIFS(M:M,AM:AM,AM2676)+SUMIFS(O:O,AM:AM,AM2676)</f>
      </c>
      <c r="AQ2676" s="116">
        <f>SUMIFS(L:L,AM:AM,AM2676)</f>
      </c>
      <c r="AR2676" s="116">
        <f>AQ2676-AP2676</f>
      </c>
      <c r="AS2676" s="94" t="str">
        <f>IF(AN2676&gt;=AQ2676,"ok","ck")</f>
      </c>
      <c r="AT2676" s="116">
        <f>-P2676</f>
      </c>
      <c r="AU2676" s="115">
        <f>IF(SUMIFS(AT:AT,AM:AM,AM2676)&gt;AO2676,(SUMIFS(AT:AT,AM:AM,AM2676)-AO2676))</f>
      </c>
      <c r="AV2676" s="116">
        <v>1637</v>
      </c>
      <c r="AW2676" s="121">
        <v>1.02</v>
      </c>
      <c r="AX2676" s="115">
        <f>AN2676-AP2676</f>
      </c>
    </row>
    <row r="2677" spans="1:50" ht="15" hidden="1" customHeight="1" x14ac:dyDescent="0.3">
      <c r="A2677" s="94" t="s">
        <v>151</v>
      </c>
      <c r="B2677" s="94"/>
      <c r="C2677" s="94"/>
      <c r="D2677" s="94"/>
      <c r="E2677" s="94"/>
      <c r="F2677" s="94"/>
      <c r="G2677" s="112">
        <f>AU2677</f>
      </c>
      <c r="H2677" s="113"/>
      <c r="I2677" s="94" t="s">
        <v>163</v>
      </c>
      <c r="J2677" s="94" t="s">
        <v>182</v>
      </c>
      <c r="K2677" s="114">
        <f>P2677/3</f>
      </c>
      <c r="L2677" s="115">
        <v>0</v>
      </c>
      <c r="M2677" s="116">
        <f>L2677</f>
      </c>
      <c r="N2677" s="117">
        <f>M2677-L2677</f>
      </c>
      <c r="O2677" s="112"/>
      <c r="P2677" s="118">
        <f>N2677+O2677</f>
      </c>
      <c r="Q2677" s="94" t="s">
        <v>183</v>
      </c>
      <c r="R2677" s="94" t="s">
        <v>63</v>
      </c>
      <c r="S2677" s="119">
        <v>46330</v>
      </c>
      <c r="T2677" s="119"/>
      <c r="U2677" s="119">
        <v>46330</v>
      </c>
      <c r="V2677" s="94"/>
      <c r="W2677" s="94"/>
      <c r="X2677" s="94"/>
      <c r="Y2677" s="119">
        <v>46330</v>
      </c>
      <c r="Z2677" s="94"/>
      <c r="AA2677" s="120"/>
      <c r="AB2677" s="120"/>
      <c r="AC2677" s="120"/>
      <c r="AD2677" s="120"/>
      <c r="AE2677" s="120"/>
      <c r="AF2677" s="120"/>
      <c r="AG2677" s="94"/>
      <c r="AH2677" s="120"/>
      <c r="AI2677" s="94"/>
      <c r="AJ2677" s="94" t="s">
        <v>183</v>
      </c>
      <c r="AK2677" s="94" t="s">
        <v>184</v>
      </c>
      <c r="AL2677" s="94">
        <v>160</v>
      </c>
      <c r="AM2677" s="94" t="str">
        <f>TRIM(AJ2677)&amp;TRIM(AL2677)&amp;TRIM(AK2677)</f>
      </c>
      <c r="AN2677" s="116">
        <v>1637</v>
      </c>
      <c r="AO2677" s="116">
        <v>-31.85</v>
      </c>
      <c r="AP2677" s="116">
        <f>SUMIFS(M:M,AM:AM,AM2677)+SUMIFS(O:O,AM:AM,AM2677)</f>
      </c>
      <c r="AQ2677" s="116">
        <f>SUMIFS(L:L,AM:AM,AM2677)</f>
      </c>
      <c r="AR2677" s="116">
        <f>AQ2677-AP2677</f>
      </c>
      <c r="AS2677" s="94" t="str">
        <f>IF(AN2677&gt;=AQ2677,"ok","ck")</f>
      </c>
      <c r="AT2677" s="116">
        <f>-P2677</f>
      </c>
      <c r="AU2677" s="115">
        <f>IF(SUMIFS(AT:AT,AM:AM,AM2677)&gt;AO2677,(SUMIFS(AT:AT,AM:AM,AM2677)-AO2677))</f>
      </c>
      <c r="AV2677" s="116">
        <v>1637</v>
      </c>
      <c r="AW2677" s="121">
        <v>1.02</v>
      </c>
      <c r="AX2677" s="115">
        <f>AN2677-AP2677</f>
      </c>
    </row>
    <row r="2678" spans="1:50" ht="15" hidden="1" customHeight="1" x14ac:dyDescent="0.3">
      <c r="A2678" s="94" t="s">
        <v>151</v>
      </c>
      <c r="B2678" s="94"/>
      <c r="C2678" s="94"/>
      <c r="D2678" s="94"/>
      <c r="E2678" s="94"/>
      <c r="F2678" s="94"/>
      <c r="G2678" s="112">
        <f>AU2678</f>
      </c>
      <c r="H2678" s="113"/>
      <c r="I2678" s="94" t="s">
        <v>163</v>
      </c>
      <c r="J2678" s="94" t="s">
        <v>182</v>
      </c>
      <c r="K2678" s="114">
        <f>P2678/3</f>
      </c>
      <c r="L2678" s="115">
        <v>0</v>
      </c>
      <c r="M2678" s="116">
        <f>L2678</f>
      </c>
      <c r="N2678" s="117">
        <f>M2678-L2678</f>
      </c>
      <c r="O2678" s="112"/>
      <c r="P2678" s="118">
        <f>N2678+O2678</f>
      </c>
      <c r="Q2678" s="94" t="s">
        <v>183</v>
      </c>
      <c r="R2678" s="94" t="s">
        <v>63</v>
      </c>
      <c r="S2678" s="119">
        <v>46340</v>
      </c>
      <c r="T2678" s="119"/>
      <c r="U2678" s="119">
        <v>46340</v>
      </c>
      <c r="V2678" s="94"/>
      <c r="W2678" s="94"/>
      <c r="X2678" s="94"/>
      <c r="Y2678" s="119">
        <v>46340</v>
      </c>
      <c r="Z2678" s="94"/>
      <c r="AA2678" s="120"/>
      <c r="AB2678" s="120"/>
      <c r="AC2678" s="120"/>
      <c r="AD2678" s="120"/>
      <c r="AE2678" s="120"/>
      <c r="AF2678" s="120"/>
      <c r="AG2678" s="94"/>
      <c r="AH2678" s="120"/>
      <c r="AI2678" s="94"/>
      <c r="AJ2678" s="94" t="s">
        <v>183</v>
      </c>
      <c r="AK2678" s="94" t="s">
        <v>184</v>
      </c>
      <c r="AL2678" s="94">
        <v>160</v>
      </c>
      <c r="AM2678" s="94" t="str">
        <f>TRIM(AJ2678)&amp;TRIM(AL2678)&amp;TRIM(AK2678)</f>
      </c>
      <c r="AN2678" s="116">
        <v>1637</v>
      </c>
      <c r="AO2678" s="116">
        <v>-31.85</v>
      </c>
      <c r="AP2678" s="116">
        <f>SUMIFS(M:M,AM:AM,AM2678)+SUMIFS(O:O,AM:AM,AM2678)</f>
      </c>
      <c r="AQ2678" s="116">
        <f>SUMIFS(L:L,AM:AM,AM2678)</f>
      </c>
      <c r="AR2678" s="116">
        <f>AQ2678-AP2678</f>
      </c>
      <c r="AS2678" s="94" t="str">
        <f>IF(AN2678&gt;=AQ2678,"ok","ck")</f>
      </c>
      <c r="AT2678" s="116">
        <f>-P2678</f>
      </c>
      <c r="AU2678" s="115">
        <f>IF(SUMIFS(AT:AT,AM:AM,AM2678)&gt;AO2678,(SUMIFS(AT:AT,AM:AM,AM2678)-AO2678))</f>
      </c>
      <c r="AV2678" s="116">
        <v>1637</v>
      </c>
      <c r="AW2678" s="121">
        <v>1.02</v>
      </c>
      <c r="AX2678" s="115">
        <f>AN2678-AP2678</f>
      </c>
    </row>
    <row r="2679" spans="1:50" ht="15" hidden="1" customHeight="1" x14ac:dyDescent="0.3">
      <c r="A2679" s="94" t="s">
        <v>76</v>
      </c>
      <c r="B2679" s="94"/>
      <c r="C2679" s="94"/>
      <c r="D2679" s="94"/>
      <c r="E2679" s="94"/>
      <c r="F2679" s="94"/>
      <c r="G2679" s="112">
        <f>AU2679</f>
      </c>
      <c r="H2679" s="113"/>
      <c r="I2679" s="94" t="s">
        <v>77</v>
      </c>
      <c r="J2679" s="94" t="s">
        <v>111</v>
      </c>
      <c r="K2679" s="114">
        <f>P2679/3</f>
      </c>
      <c r="L2679" s="115">
        <v>-6.5000000000000002E-2</v>
      </c>
      <c r="M2679" s="116">
        <f>L2679</f>
      </c>
      <c r="N2679" s="117">
        <f>M2679-L2679</f>
      </c>
      <c r="O2679" s="112"/>
      <c r="P2679" s="118">
        <f>N2679+O2679</f>
      </c>
      <c r="Q2679" s="94" t="s">
        <v>78</v>
      </c>
      <c r="R2679" s="94" t="s">
        <v>63</v>
      </c>
      <c r="S2679" s="119">
        <v>46331</v>
      </c>
      <c r="T2679" s="119"/>
      <c r="U2679" s="119">
        <v>46331</v>
      </c>
      <c r="V2679" s="94"/>
      <c r="W2679" s="94"/>
      <c r="X2679" s="94"/>
      <c r="Y2679" s="119">
        <v>46331</v>
      </c>
      <c r="Z2679" s="94"/>
      <c r="AA2679" s="120"/>
      <c r="AB2679" s="120"/>
      <c r="AC2679" s="120"/>
      <c r="AD2679" s="120"/>
      <c r="AE2679" s="120"/>
      <c r="AF2679" s="120"/>
      <c r="AG2679" s="94"/>
      <c r="AH2679" s="120"/>
      <c r="AI2679" s="94"/>
      <c r="AJ2679" s="94" t="s">
        <v>78</v>
      </c>
      <c r="AK2679" s="94" t="s">
        <v>110</v>
      </c>
      <c r="AL2679" s="94">
        <v>150</v>
      </c>
      <c r="AM2679" s="94" t="str">
        <f>TRIM(AJ2679)&amp;TRIM(AL2679)&amp;TRIM(AK2679)</f>
      </c>
      <c r="AN2679" s="116">
        <v>1542</v>
      </c>
      <c r="AO2679" s="116">
        <v>-37.33</v>
      </c>
      <c r="AP2679" s="116">
        <f>SUMIFS(M:M,AM:AM,AM2679)+SUMIFS(O:O,AM:AM,AM2679)</f>
      </c>
      <c r="AQ2679" s="116">
        <f>SUMIFS(L:L,AM:AM,AM2679)</f>
      </c>
      <c r="AR2679" s="116">
        <f>AQ2679-AP2679</f>
      </c>
      <c r="AS2679" s="94" t="str">
        <f>IF(AN2679&gt;=AQ2679,"ok","ck")</f>
      </c>
      <c r="AT2679" s="116">
        <f>-P2679</f>
      </c>
      <c r="AU2679" s="115">
        <f>IF(SUMIFS(AT:AT,AM:AM,AM2679)&gt;AO2679,(SUMIFS(AT:AT,AM:AM,AM2679)-AO2679))</f>
      </c>
      <c r="AV2679" s="116">
        <v>1542</v>
      </c>
      <c r="AW2679" s="121">
        <v>1.025</v>
      </c>
      <c r="AX2679" s="115">
        <f>AN2679-AP2679</f>
      </c>
    </row>
    <row r="2680" spans="1:50" ht="15" hidden="1" customHeight="1" x14ac:dyDescent="0.3">
      <c r="A2680" s="94" t="s">
        <v>76</v>
      </c>
      <c r="B2680" s="94"/>
      <c r="C2680" s="94"/>
      <c r="D2680" s="94"/>
      <c r="E2680" s="94"/>
      <c r="F2680" s="94"/>
      <c r="G2680" s="112">
        <f>AU2680</f>
      </c>
      <c r="H2680" s="113"/>
      <c r="I2680" s="94" t="s">
        <v>77</v>
      </c>
      <c r="J2680" s="94" t="s">
        <v>111</v>
      </c>
      <c r="K2680" s="114">
        <f>P2680/3</f>
      </c>
      <c r="L2680" s="115">
        <v>-0.03</v>
      </c>
      <c r="M2680" s="116">
        <f>L2680</f>
      </c>
      <c r="N2680" s="117">
        <f>M2680-L2680</f>
      </c>
      <c r="O2680" s="112"/>
      <c r="P2680" s="118">
        <f>N2680+O2680</f>
      </c>
      <c r="Q2680" s="94" t="s">
        <v>78</v>
      </c>
      <c r="R2680" s="94" t="s">
        <v>63</v>
      </c>
      <c r="S2680" s="119">
        <v>46333</v>
      </c>
      <c r="T2680" s="119"/>
      <c r="U2680" s="119">
        <v>46333</v>
      </c>
      <c r="V2680" s="94"/>
      <c r="W2680" s="94"/>
      <c r="X2680" s="94"/>
      <c r="Y2680" s="119">
        <v>46333</v>
      </c>
      <c r="Z2680" s="94"/>
      <c r="AA2680" s="120"/>
      <c r="AB2680" s="120"/>
      <c r="AC2680" s="120"/>
      <c r="AD2680" s="120"/>
      <c r="AE2680" s="120"/>
      <c r="AF2680" s="120"/>
      <c r="AG2680" s="94"/>
      <c r="AH2680" s="120"/>
      <c r="AI2680" s="94"/>
      <c r="AJ2680" s="94" t="s">
        <v>78</v>
      </c>
      <c r="AK2680" s="94" t="s">
        <v>110</v>
      </c>
      <c r="AL2680" s="94">
        <v>150</v>
      </c>
      <c r="AM2680" s="94" t="str">
        <f>TRIM(AJ2680)&amp;TRIM(AL2680)&amp;TRIM(AK2680)</f>
      </c>
      <c r="AN2680" s="116">
        <v>1542</v>
      </c>
      <c r="AO2680" s="116">
        <v>-37.33</v>
      </c>
      <c r="AP2680" s="116">
        <f>SUMIFS(M:M,AM:AM,AM2680)+SUMIFS(O:O,AM:AM,AM2680)</f>
      </c>
      <c r="AQ2680" s="116">
        <f>SUMIFS(L:L,AM:AM,AM2680)</f>
      </c>
      <c r="AR2680" s="116">
        <f>AQ2680-AP2680</f>
      </c>
      <c r="AS2680" s="94" t="str">
        <f>IF(AN2680&gt;=AQ2680,"ok","ck")</f>
      </c>
      <c r="AT2680" s="116">
        <f>-P2680</f>
      </c>
      <c r="AU2680" s="115">
        <f>IF(SUMIFS(AT:AT,AM:AM,AM2680)&gt;AO2680,(SUMIFS(AT:AT,AM:AM,AM2680)-AO2680))</f>
      </c>
      <c r="AV2680" s="116">
        <v>1542</v>
      </c>
      <c r="AW2680" s="121">
        <v>1.025</v>
      </c>
      <c r="AX2680" s="115">
        <f>AN2680-AP2680</f>
      </c>
    </row>
    <row r="2681" spans="1:50" ht="15" hidden="1" customHeight="1" x14ac:dyDescent="0.3">
      <c r="A2681" s="94" t="s">
        <v>76</v>
      </c>
      <c r="B2681" s="94"/>
      <c r="C2681" s="94"/>
      <c r="D2681" s="94"/>
      <c r="E2681" s="94"/>
      <c r="F2681" s="94"/>
      <c r="G2681" s="112">
        <f>AU2681</f>
      </c>
      <c r="H2681" s="113"/>
      <c r="I2681" s="94" t="s">
        <v>77</v>
      </c>
      <c r="J2681" s="94" t="s">
        <v>111</v>
      </c>
      <c r="K2681" s="114">
        <f>P2681/3</f>
      </c>
      <c r="L2681" s="115">
        <v>0</v>
      </c>
      <c r="M2681" s="116">
        <f>L2681</f>
      </c>
      <c r="N2681" s="117">
        <f>M2681-L2681</f>
      </c>
      <c r="O2681" s="112"/>
      <c r="P2681" s="118">
        <f>N2681+O2681</f>
      </c>
      <c r="Q2681" s="94" t="s">
        <v>78</v>
      </c>
      <c r="R2681" s="94" t="s">
        <v>63</v>
      </c>
      <c r="S2681" s="119">
        <v>46333</v>
      </c>
      <c r="T2681" s="119"/>
      <c r="U2681" s="119">
        <v>46333</v>
      </c>
      <c r="V2681" s="94"/>
      <c r="W2681" s="94"/>
      <c r="X2681" s="94"/>
      <c r="Y2681" s="119">
        <v>46333</v>
      </c>
      <c r="Z2681" s="94"/>
      <c r="AA2681" s="120"/>
      <c r="AB2681" s="120"/>
      <c r="AC2681" s="120"/>
      <c r="AD2681" s="120"/>
      <c r="AE2681" s="120"/>
      <c r="AF2681" s="120"/>
      <c r="AG2681" s="94"/>
      <c r="AH2681" s="120"/>
      <c r="AI2681" s="94"/>
      <c r="AJ2681" s="94" t="s">
        <v>78</v>
      </c>
      <c r="AK2681" s="94" t="s">
        <v>110</v>
      </c>
      <c r="AL2681" s="94">
        <v>150</v>
      </c>
      <c r="AM2681" s="94" t="str">
        <f>TRIM(AJ2681)&amp;TRIM(AL2681)&amp;TRIM(AK2681)</f>
      </c>
      <c r="AN2681" s="116">
        <v>1542</v>
      </c>
      <c r="AO2681" s="116">
        <v>-37.33</v>
      </c>
      <c r="AP2681" s="116">
        <f>SUMIFS(M:M,AM:AM,AM2681)+SUMIFS(O:O,AM:AM,AM2681)</f>
      </c>
      <c r="AQ2681" s="116">
        <f>SUMIFS(L:L,AM:AM,AM2681)</f>
      </c>
      <c r="AR2681" s="116">
        <f>AQ2681-AP2681</f>
      </c>
      <c r="AS2681" s="94" t="str">
        <f>IF(AN2681&gt;=AQ2681,"ok","ck")</f>
      </c>
      <c r="AT2681" s="116">
        <f>-P2681</f>
      </c>
      <c r="AU2681" s="115">
        <f>IF(SUMIFS(AT:AT,AM:AM,AM2681)&gt;AO2681,(SUMIFS(AT:AT,AM:AM,AM2681)-AO2681))</f>
      </c>
      <c r="AV2681" s="116">
        <v>1542</v>
      </c>
      <c r="AW2681" s="121">
        <v>1.025</v>
      </c>
      <c r="AX2681" s="115">
        <f>AN2681-AP2681</f>
      </c>
    </row>
    <row r="2682" spans="1:50" ht="15" hidden="1" customHeight="1" x14ac:dyDescent="0.3">
      <c r="A2682" s="94" t="s">
        <v>76</v>
      </c>
      <c r="B2682" s="94"/>
      <c r="C2682" s="94"/>
      <c r="D2682" s="94"/>
      <c r="E2682" s="94"/>
      <c r="F2682" s="94"/>
      <c r="G2682" s="112">
        <f>AU2682</f>
      </c>
      <c r="H2682" s="113"/>
      <c r="I2682" s="94" t="s">
        <v>77</v>
      </c>
      <c r="J2682" s="94" t="s">
        <v>111</v>
      </c>
      <c r="K2682" s="114">
        <f>P2682/3</f>
      </c>
      <c r="L2682" s="115">
        <v>-5.8000000000000003E-2</v>
      </c>
      <c r="M2682" s="116">
        <f>L2682</f>
      </c>
      <c r="N2682" s="117">
        <f>M2682-L2682</f>
      </c>
      <c r="O2682" s="112"/>
      <c r="P2682" s="118">
        <f>N2682+O2682</f>
      </c>
      <c r="Q2682" s="94" t="s">
        <v>78</v>
      </c>
      <c r="R2682" s="94" t="s">
        <v>63</v>
      </c>
      <c r="S2682" s="119">
        <v>46333</v>
      </c>
      <c r="T2682" s="119"/>
      <c r="U2682" s="119">
        <v>46333</v>
      </c>
      <c r="V2682" s="94"/>
      <c r="W2682" s="94"/>
      <c r="X2682" s="94"/>
      <c r="Y2682" s="119">
        <v>46333</v>
      </c>
      <c r="Z2682" s="94"/>
      <c r="AA2682" s="120"/>
      <c r="AB2682" s="120"/>
      <c r="AC2682" s="120"/>
      <c r="AD2682" s="120"/>
      <c r="AE2682" s="120"/>
      <c r="AF2682" s="120"/>
      <c r="AG2682" s="94"/>
      <c r="AH2682" s="120"/>
      <c r="AI2682" s="94"/>
      <c r="AJ2682" s="94" t="s">
        <v>78</v>
      </c>
      <c r="AK2682" s="94" t="s">
        <v>110</v>
      </c>
      <c r="AL2682" s="94">
        <v>150</v>
      </c>
      <c r="AM2682" s="94" t="str">
        <f>TRIM(AJ2682)&amp;TRIM(AL2682)&amp;TRIM(AK2682)</f>
      </c>
      <c r="AN2682" s="116">
        <v>1542</v>
      </c>
      <c r="AO2682" s="116">
        <v>-37.33</v>
      </c>
      <c r="AP2682" s="116">
        <f>SUMIFS(M:M,AM:AM,AM2682)+SUMIFS(O:O,AM:AM,AM2682)</f>
      </c>
      <c r="AQ2682" s="116">
        <f>SUMIFS(L:L,AM:AM,AM2682)</f>
      </c>
      <c r="AR2682" s="116">
        <f>AQ2682-AP2682</f>
      </c>
      <c r="AS2682" s="94" t="str">
        <f>IF(AN2682&gt;=AQ2682,"ok","ck")</f>
      </c>
      <c r="AT2682" s="116">
        <f>-P2682</f>
      </c>
      <c r="AU2682" s="115">
        <f>IF(SUMIFS(AT:AT,AM:AM,AM2682)&gt;AO2682,(SUMIFS(AT:AT,AM:AM,AM2682)-AO2682))</f>
      </c>
      <c r="AV2682" s="116">
        <v>1542</v>
      </c>
      <c r="AW2682" s="121">
        <v>1.025</v>
      </c>
      <c r="AX2682" s="115">
        <f>AN2682-AP2682</f>
      </c>
    </row>
    <row r="2683" spans="1:50" ht="15" hidden="1" customHeight="1" x14ac:dyDescent="0.3">
      <c r="A2683" s="94" t="s">
        <v>76</v>
      </c>
      <c r="B2683" s="94"/>
      <c r="C2683" s="94"/>
      <c r="D2683" s="94"/>
      <c r="E2683" s="94"/>
      <c r="F2683" s="94"/>
      <c r="G2683" s="112">
        <f>AU2683</f>
      </c>
      <c r="H2683" s="113"/>
      <c r="I2683" s="94" t="s">
        <v>77</v>
      </c>
      <c r="J2683" s="94" t="s">
        <v>111</v>
      </c>
      <c r="K2683" s="114">
        <f>P2683/3</f>
      </c>
      <c r="L2683" s="115">
        <v>-1.7999999999999999E-2</v>
      </c>
      <c r="M2683" s="116">
        <f>L2683</f>
      </c>
      <c r="N2683" s="117">
        <f>M2683-L2683</f>
      </c>
      <c r="O2683" s="112"/>
      <c r="P2683" s="118">
        <f>N2683+O2683</f>
      </c>
      <c r="Q2683" s="94" t="s">
        <v>78</v>
      </c>
      <c r="R2683" s="94" t="s">
        <v>63</v>
      </c>
      <c r="S2683" s="119">
        <v>46334</v>
      </c>
      <c r="T2683" s="119"/>
      <c r="U2683" s="119">
        <v>46334</v>
      </c>
      <c r="V2683" s="94"/>
      <c r="W2683" s="94"/>
      <c r="X2683" s="94"/>
      <c r="Y2683" s="119">
        <v>46334</v>
      </c>
      <c r="Z2683" s="94"/>
      <c r="AA2683" s="120"/>
      <c r="AB2683" s="120"/>
      <c r="AC2683" s="120"/>
      <c r="AD2683" s="120"/>
      <c r="AE2683" s="120"/>
      <c r="AF2683" s="120"/>
      <c r="AG2683" s="94"/>
      <c r="AH2683" s="120"/>
      <c r="AI2683" s="94"/>
      <c r="AJ2683" s="94" t="s">
        <v>78</v>
      </c>
      <c r="AK2683" s="94" t="s">
        <v>110</v>
      </c>
      <c r="AL2683" s="94">
        <v>150</v>
      </c>
      <c r="AM2683" s="94" t="str">
        <f>TRIM(AJ2683)&amp;TRIM(AL2683)&amp;TRIM(AK2683)</f>
      </c>
      <c r="AN2683" s="116">
        <v>1542</v>
      </c>
      <c r="AO2683" s="116">
        <v>-37.33</v>
      </c>
      <c r="AP2683" s="116">
        <f>SUMIFS(M:M,AM:AM,AM2683)+SUMIFS(O:O,AM:AM,AM2683)</f>
      </c>
      <c r="AQ2683" s="116">
        <f>SUMIFS(L:L,AM:AM,AM2683)</f>
      </c>
      <c r="AR2683" s="116">
        <f>AQ2683-AP2683</f>
      </c>
      <c r="AS2683" s="94" t="str">
        <f>IF(AN2683&gt;=AQ2683,"ok","ck")</f>
      </c>
      <c r="AT2683" s="116">
        <f>-P2683</f>
      </c>
      <c r="AU2683" s="115">
        <f>IF(SUMIFS(AT:AT,AM:AM,AM2683)&gt;AO2683,(SUMIFS(AT:AT,AM:AM,AM2683)-AO2683))</f>
      </c>
      <c r="AV2683" s="116">
        <v>1542</v>
      </c>
      <c r="AW2683" s="121">
        <v>1.025</v>
      </c>
      <c r="AX2683" s="115">
        <f>AN2683-AP2683</f>
      </c>
    </row>
    <row r="2684" spans="1:50" ht="15" hidden="1" customHeight="1" x14ac:dyDescent="0.3">
      <c r="A2684" s="94" t="s">
        <v>76</v>
      </c>
      <c r="B2684" s="94"/>
      <c r="C2684" s="94"/>
      <c r="D2684" s="94"/>
      <c r="E2684" s="94"/>
      <c r="F2684" s="94"/>
      <c r="G2684" s="112">
        <f>AU2684</f>
      </c>
      <c r="H2684" s="113"/>
      <c r="I2684" s="94" t="s">
        <v>77</v>
      </c>
      <c r="J2684" s="94" t="s">
        <v>111</v>
      </c>
      <c r="K2684" s="114">
        <f>P2684/3</f>
      </c>
      <c r="L2684" s="115">
        <v>0</v>
      </c>
      <c r="M2684" s="116">
        <f>L2684</f>
      </c>
      <c r="N2684" s="117">
        <f>M2684-L2684</f>
      </c>
      <c r="O2684" s="112"/>
      <c r="P2684" s="118">
        <f>N2684+O2684</f>
      </c>
      <c r="Q2684" s="94" t="s">
        <v>78</v>
      </c>
      <c r="R2684" s="94" t="s">
        <v>63</v>
      </c>
      <c r="S2684" s="119">
        <v>46334</v>
      </c>
      <c r="T2684" s="119"/>
      <c r="U2684" s="119">
        <v>46334</v>
      </c>
      <c r="V2684" s="94"/>
      <c r="W2684" s="94"/>
      <c r="X2684" s="94"/>
      <c r="Y2684" s="119">
        <v>46334</v>
      </c>
      <c r="Z2684" s="94"/>
      <c r="AA2684" s="120"/>
      <c r="AB2684" s="120"/>
      <c r="AC2684" s="120"/>
      <c r="AD2684" s="120"/>
      <c r="AE2684" s="120"/>
      <c r="AF2684" s="120"/>
      <c r="AG2684" s="94"/>
      <c r="AH2684" s="120"/>
      <c r="AI2684" s="94"/>
      <c r="AJ2684" s="94" t="s">
        <v>78</v>
      </c>
      <c r="AK2684" s="94" t="s">
        <v>110</v>
      </c>
      <c r="AL2684" s="94">
        <v>150</v>
      </c>
      <c r="AM2684" s="94" t="str">
        <f>TRIM(AJ2684)&amp;TRIM(AL2684)&amp;TRIM(AK2684)</f>
      </c>
      <c r="AN2684" s="116">
        <v>1542</v>
      </c>
      <c r="AO2684" s="116">
        <v>-37.33</v>
      </c>
      <c r="AP2684" s="116">
        <f>SUMIFS(M:M,AM:AM,AM2684)+SUMIFS(O:O,AM:AM,AM2684)</f>
      </c>
      <c r="AQ2684" s="116">
        <f>SUMIFS(L:L,AM:AM,AM2684)</f>
      </c>
      <c r="AR2684" s="116">
        <f>AQ2684-AP2684</f>
      </c>
      <c r="AS2684" s="94" t="str">
        <f>IF(AN2684&gt;=AQ2684,"ok","ck")</f>
      </c>
      <c r="AT2684" s="116">
        <f>-P2684</f>
      </c>
      <c r="AU2684" s="115">
        <f>IF(SUMIFS(AT:AT,AM:AM,AM2684)&gt;AO2684,(SUMIFS(AT:AT,AM:AM,AM2684)-AO2684))</f>
      </c>
      <c r="AV2684" s="116">
        <v>1542</v>
      </c>
      <c r="AW2684" s="121">
        <v>1.025</v>
      </c>
      <c r="AX2684" s="115">
        <f>AN2684-AP2684</f>
      </c>
    </row>
    <row r="2685" spans="1:50" ht="15" hidden="1" customHeight="1" x14ac:dyDescent="0.3">
      <c r="A2685" s="94" t="s">
        <v>76</v>
      </c>
      <c r="B2685" s="94"/>
      <c r="C2685" s="94"/>
      <c r="D2685" s="94"/>
      <c r="E2685" s="94"/>
      <c r="F2685" s="94"/>
      <c r="G2685" s="112">
        <f>AU2685</f>
      </c>
      <c r="H2685" s="113"/>
      <c r="I2685" s="94" t="s">
        <v>77</v>
      </c>
      <c r="J2685" s="94" t="s">
        <v>90</v>
      </c>
      <c r="K2685" s="114">
        <f>P2685/3</f>
      </c>
      <c r="L2685" s="115">
        <v>1172.914</v>
      </c>
      <c r="M2685" s="116">
        <v>1172.914</v>
      </c>
      <c r="N2685" s="117">
        <f>M2685-L2685</f>
      </c>
      <c r="O2685" s="112"/>
      <c r="P2685" s="118">
        <f>N2685+O2685</f>
      </c>
      <c r="Q2685" s="94" t="s">
        <v>78</v>
      </c>
      <c r="R2685" s="94" t="s">
        <v>63</v>
      </c>
      <c r="S2685" s="119">
        <v>46329</v>
      </c>
      <c r="T2685" s="119"/>
      <c r="U2685" s="119">
        <v>46329</v>
      </c>
      <c r="V2685" s="94"/>
      <c r="W2685" s="94"/>
      <c r="X2685" s="94"/>
      <c r="Y2685" s="119">
        <v>46329</v>
      </c>
      <c r="Z2685" s="94"/>
      <c r="AA2685" s="120"/>
      <c r="AB2685" s="120"/>
      <c r="AC2685" s="120"/>
      <c r="AD2685" s="120"/>
      <c r="AE2685" s="120"/>
      <c r="AF2685" s="120"/>
      <c r="AG2685" s="94"/>
      <c r="AH2685" s="120"/>
      <c r="AI2685" s="94"/>
      <c r="AJ2685" s="94" t="s">
        <v>78</v>
      </c>
      <c r="AK2685" s="94" t="s">
        <v>91</v>
      </c>
      <c r="AL2685" s="94">
        <v>150</v>
      </c>
      <c r="AM2685" s="94" t="str">
        <f>TRIM(AJ2685)&amp;TRIM(AL2685)&amp;TRIM(AK2685)</f>
      </c>
      <c r="AN2685" s="116">
        <v>11712.82</v>
      </c>
      <c r="AO2685" s="116">
        <v>161.4</v>
      </c>
      <c r="AP2685" s="116">
        <f>SUMIFS(M:M,AM:AM,AM2685)+SUMIFS(O:O,AM:AM,AM2685)</f>
      </c>
      <c r="AQ2685" s="116">
        <f>SUMIFS(L:L,AM:AM,AM2685)</f>
      </c>
      <c r="AR2685" s="116">
        <f>AQ2685-AP2685</f>
      </c>
      <c r="AS2685" s="94" t="str">
        <f>IF(AN2685&gt;=AQ2685,"ok","ck")</f>
      </c>
      <c r="AT2685" s="116">
        <f>-P2685</f>
      </c>
      <c r="AU2685" s="115">
        <f>IF(SUMIFS(AT:AT,AM:AM,AM2685)&gt;AO2685,(SUMIFS(AT:AT,AM:AM,AM2685)-AO2685))</f>
      </c>
      <c r="AV2685" s="116">
        <v>11712.82</v>
      </c>
      <c r="AW2685" s="121">
        <v>0.986</v>
      </c>
      <c r="AX2685" s="115">
        <f>AN2685-AP2685</f>
      </c>
    </row>
    <row r="2686" spans="1:50" ht="15" hidden="1" customHeight="1" x14ac:dyDescent="0.3">
      <c r="A2686" s="94" t="s">
        <v>76</v>
      </c>
      <c r="B2686" s="94"/>
      <c r="C2686" s="94"/>
      <c r="D2686" s="94"/>
      <c r="E2686" s="94"/>
      <c r="F2686" s="94"/>
      <c r="G2686" s="112">
        <f>AU2686</f>
      </c>
      <c r="H2686" s="113"/>
      <c r="I2686" s="94" t="s">
        <v>77</v>
      </c>
      <c r="J2686" s="94" t="s">
        <v>90</v>
      </c>
      <c r="K2686" s="114">
        <f>P2686/3</f>
      </c>
      <c r="L2686" s="115">
        <v>795.375</v>
      </c>
      <c r="M2686" s="116">
        <v>795.375</v>
      </c>
      <c r="N2686" s="117">
        <f>M2686-L2686</f>
      </c>
      <c r="O2686" s="112"/>
      <c r="P2686" s="118">
        <f>N2686+O2686</f>
      </c>
      <c r="Q2686" s="94" t="s">
        <v>78</v>
      </c>
      <c r="R2686" s="94" t="s">
        <v>63</v>
      </c>
      <c r="S2686" s="119">
        <v>46330</v>
      </c>
      <c r="T2686" s="119"/>
      <c r="U2686" s="119">
        <v>46330</v>
      </c>
      <c r="V2686" s="94"/>
      <c r="W2686" s="94"/>
      <c r="X2686" s="94"/>
      <c r="Y2686" s="119">
        <v>46330</v>
      </c>
      <c r="Z2686" s="94"/>
      <c r="AA2686" s="120"/>
      <c r="AB2686" s="120"/>
      <c r="AC2686" s="120"/>
      <c r="AD2686" s="120"/>
      <c r="AE2686" s="120"/>
      <c r="AF2686" s="120"/>
      <c r="AG2686" s="94"/>
      <c r="AH2686" s="120"/>
      <c r="AI2686" s="94"/>
      <c r="AJ2686" s="94" t="s">
        <v>78</v>
      </c>
      <c r="AK2686" s="94" t="s">
        <v>91</v>
      </c>
      <c r="AL2686" s="94">
        <v>150</v>
      </c>
      <c r="AM2686" s="94" t="str">
        <f>TRIM(AJ2686)&amp;TRIM(AL2686)&amp;TRIM(AK2686)</f>
      </c>
      <c r="AN2686" s="116">
        <v>11712.82</v>
      </c>
      <c r="AO2686" s="116">
        <v>161.4</v>
      </c>
      <c r="AP2686" s="116">
        <f>SUMIFS(M:M,AM:AM,AM2686)+SUMIFS(O:O,AM:AM,AM2686)</f>
      </c>
      <c r="AQ2686" s="116">
        <f>SUMIFS(L:L,AM:AM,AM2686)</f>
      </c>
      <c r="AR2686" s="116">
        <f>AQ2686-AP2686</f>
      </c>
      <c r="AS2686" s="94" t="str">
        <f>IF(AN2686&gt;=AQ2686,"ok","ck")</f>
      </c>
      <c r="AT2686" s="116">
        <f>-P2686</f>
      </c>
      <c r="AU2686" s="115">
        <f>IF(SUMIFS(AT:AT,AM:AM,AM2686)&gt;AO2686,(SUMIFS(AT:AT,AM:AM,AM2686)-AO2686))</f>
      </c>
      <c r="AV2686" s="116">
        <v>11712.82</v>
      </c>
      <c r="AW2686" s="121">
        <v>0.986</v>
      </c>
      <c r="AX2686" s="115">
        <f>AN2686-AP2686</f>
      </c>
    </row>
    <row r="2687" spans="1:50" ht="15" hidden="1" customHeight="1" x14ac:dyDescent="0.3">
      <c r="A2687" s="94" t="s">
        <v>76</v>
      </c>
      <c r="B2687" s="94"/>
      <c r="C2687" s="94"/>
      <c r="D2687" s="94"/>
      <c r="E2687" s="94"/>
      <c r="F2687" s="94"/>
      <c r="G2687" s="112">
        <f>AU2687</f>
      </c>
      <c r="H2687" s="113"/>
      <c r="I2687" s="94" t="s">
        <v>77</v>
      </c>
      <c r="J2687" s="94" t="s">
        <v>90</v>
      </c>
      <c r="K2687" s="114">
        <f>P2687/3</f>
      </c>
      <c r="L2687" s="115">
        <v>9.5449999999999999</v>
      </c>
      <c r="M2687" s="116">
        <v>9.5449999999999999</v>
      </c>
      <c r="N2687" s="117">
        <f>M2687-L2687</f>
      </c>
      <c r="O2687" s="112"/>
      <c r="P2687" s="118">
        <f>N2687+O2687</f>
      </c>
      <c r="Q2687" s="94" t="s">
        <v>78</v>
      </c>
      <c r="R2687" s="94" t="s">
        <v>63</v>
      </c>
      <c r="S2687" s="119">
        <v>46331</v>
      </c>
      <c r="T2687" s="119"/>
      <c r="U2687" s="119">
        <v>46331</v>
      </c>
      <c r="V2687" s="94"/>
      <c r="W2687" s="94"/>
      <c r="X2687" s="94"/>
      <c r="Y2687" s="119">
        <v>46331</v>
      </c>
      <c r="Z2687" s="94"/>
      <c r="AA2687" s="120"/>
      <c r="AB2687" s="120"/>
      <c r="AC2687" s="120"/>
      <c r="AD2687" s="120"/>
      <c r="AE2687" s="120"/>
      <c r="AF2687" s="120"/>
      <c r="AG2687" s="94"/>
      <c r="AH2687" s="120"/>
      <c r="AI2687" s="94"/>
      <c r="AJ2687" s="94" t="s">
        <v>78</v>
      </c>
      <c r="AK2687" s="94" t="s">
        <v>91</v>
      </c>
      <c r="AL2687" s="94">
        <v>150</v>
      </c>
      <c r="AM2687" s="94" t="str">
        <f>TRIM(AJ2687)&amp;TRIM(AL2687)&amp;TRIM(AK2687)</f>
      </c>
      <c r="AN2687" s="116">
        <v>11712.82</v>
      </c>
      <c r="AO2687" s="116">
        <v>161.4</v>
      </c>
      <c r="AP2687" s="116">
        <f>SUMIFS(M:M,AM:AM,AM2687)+SUMIFS(O:O,AM:AM,AM2687)</f>
      </c>
      <c r="AQ2687" s="116">
        <f>SUMIFS(L:L,AM:AM,AM2687)</f>
      </c>
      <c r="AR2687" s="116">
        <f>AQ2687-AP2687</f>
      </c>
      <c r="AS2687" s="94" t="str">
        <f>IF(AN2687&gt;=AQ2687,"ok","ck")</f>
      </c>
      <c r="AT2687" s="116">
        <f>-P2687</f>
      </c>
      <c r="AU2687" s="115">
        <f>IF(SUMIFS(AT:AT,AM:AM,AM2687)&gt;AO2687,(SUMIFS(AT:AT,AM:AM,AM2687)-AO2687))</f>
      </c>
      <c r="AV2687" s="116">
        <v>11712.82</v>
      </c>
      <c r="AW2687" s="121">
        <v>0.986</v>
      </c>
      <c r="AX2687" s="115">
        <f>AN2687-AP2687</f>
      </c>
    </row>
    <row r="2688" spans="1:50" ht="15" hidden="1" customHeight="1" x14ac:dyDescent="0.3">
      <c r="A2688" s="94" t="s">
        <v>76</v>
      </c>
      <c r="B2688" s="94"/>
      <c r="C2688" s="94"/>
      <c r="D2688" s="94"/>
      <c r="E2688" s="94"/>
      <c r="F2688" s="94"/>
      <c r="G2688" s="112">
        <f>AU2688</f>
      </c>
      <c r="H2688" s="113"/>
      <c r="I2688" s="94" t="s">
        <v>77</v>
      </c>
      <c r="J2688" s="94" t="s">
        <v>90</v>
      </c>
      <c r="K2688" s="114">
        <f>P2688/3</f>
      </c>
      <c r="L2688" s="115">
        <v>0</v>
      </c>
      <c r="M2688" s="116"/>
      <c r="N2688" s="117">
        <f>M2688-L2688</f>
      </c>
      <c r="O2688" s="112"/>
      <c r="P2688" s="118">
        <f>N2688+O2688</f>
      </c>
      <c r="Q2688" s="94" t="s">
        <v>78</v>
      </c>
      <c r="R2688" s="94" t="s">
        <v>63</v>
      </c>
      <c r="S2688" s="119">
        <v>46331</v>
      </c>
      <c r="T2688" s="119"/>
      <c r="U2688" s="119">
        <v>46331</v>
      </c>
      <c r="V2688" s="94"/>
      <c r="W2688" s="94"/>
      <c r="X2688" s="94"/>
      <c r="Y2688" s="119">
        <v>46331</v>
      </c>
      <c r="Z2688" s="94"/>
      <c r="AA2688" s="120"/>
      <c r="AB2688" s="120"/>
      <c r="AC2688" s="120"/>
      <c r="AD2688" s="120"/>
      <c r="AE2688" s="120"/>
      <c r="AF2688" s="120"/>
      <c r="AG2688" s="94"/>
      <c r="AH2688" s="120"/>
      <c r="AI2688" s="94"/>
      <c r="AJ2688" s="94" t="s">
        <v>78</v>
      </c>
      <c r="AK2688" s="94" t="s">
        <v>91</v>
      </c>
      <c r="AL2688" s="94">
        <v>150</v>
      </c>
      <c r="AM2688" s="94" t="str">
        <f>TRIM(AJ2688)&amp;TRIM(AL2688)&amp;TRIM(AK2688)</f>
      </c>
      <c r="AN2688" s="116">
        <v>11712.82</v>
      </c>
      <c r="AO2688" s="116">
        <v>161.4</v>
      </c>
      <c r="AP2688" s="116">
        <f>SUMIFS(M:M,AM:AM,AM2688)+SUMIFS(O:O,AM:AM,AM2688)</f>
      </c>
      <c r="AQ2688" s="116">
        <f>SUMIFS(L:L,AM:AM,AM2688)</f>
      </c>
      <c r="AR2688" s="116">
        <f>AQ2688-AP2688</f>
      </c>
      <c r="AS2688" s="94" t="str">
        <f>IF(AN2688&gt;=AQ2688,"ok","ck")</f>
      </c>
      <c r="AT2688" s="116">
        <f>-P2688</f>
      </c>
      <c r="AU2688" s="115">
        <f>IF(SUMIFS(AT:AT,AM:AM,AM2688)&gt;AO2688,(SUMIFS(AT:AT,AM:AM,AM2688)-AO2688))</f>
      </c>
      <c r="AV2688" s="116">
        <v>11712.82</v>
      </c>
      <c r="AW2688" s="121">
        <v>0.986</v>
      </c>
      <c r="AX2688" s="115">
        <f>AN2688-AP2688</f>
      </c>
    </row>
    <row r="2689" spans="1:50" ht="15" hidden="1" customHeight="1" x14ac:dyDescent="0.3">
      <c r="A2689" s="94" t="s">
        <v>76</v>
      </c>
      <c r="B2689" s="94"/>
      <c r="C2689" s="94"/>
      <c r="D2689" s="94"/>
      <c r="E2689" s="94"/>
      <c r="F2689" s="94"/>
      <c r="G2689" s="112">
        <f>AU2689</f>
      </c>
      <c r="H2689" s="113"/>
      <c r="I2689" s="94" t="s">
        <v>77</v>
      </c>
      <c r="J2689" s="94" t="s">
        <v>90</v>
      </c>
      <c r="K2689" s="114">
        <f>P2689/3</f>
      </c>
      <c r="L2689" s="115">
        <v>231</v>
      </c>
      <c r="M2689" s="116">
        <v>231</v>
      </c>
      <c r="N2689" s="117">
        <f>M2689-L2689</f>
      </c>
      <c r="O2689" s="112"/>
      <c r="P2689" s="118">
        <f>N2689+O2689</f>
      </c>
      <c r="Q2689" s="94" t="s">
        <v>78</v>
      </c>
      <c r="R2689" s="94" t="s">
        <v>63</v>
      </c>
      <c r="S2689" s="119">
        <v>46333</v>
      </c>
      <c r="T2689" s="119"/>
      <c r="U2689" s="119">
        <v>46333</v>
      </c>
      <c r="V2689" s="94"/>
      <c r="W2689" s="94"/>
      <c r="X2689" s="94"/>
      <c r="Y2689" s="119">
        <v>46333</v>
      </c>
      <c r="Z2689" s="94"/>
      <c r="AA2689" s="120"/>
      <c r="AB2689" s="120"/>
      <c r="AC2689" s="120"/>
      <c r="AD2689" s="120"/>
      <c r="AE2689" s="120"/>
      <c r="AF2689" s="120"/>
      <c r="AG2689" s="94"/>
      <c r="AH2689" s="120"/>
      <c r="AI2689" s="94"/>
      <c r="AJ2689" s="94" t="s">
        <v>78</v>
      </c>
      <c r="AK2689" s="94" t="s">
        <v>91</v>
      </c>
      <c r="AL2689" s="94">
        <v>150</v>
      </c>
      <c r="AM2689" s="94" t="str">
        <f>TRIM(AJ2689)&amp;TRIM(AL2689)&amp;TRIM(AK2689)</f>
      </c>
      <c r="AN2689" s="116">
        <v>11712.82</v>
      </c>
      <c r="AO2689" s="116">
        <v>161.4</v>
      </c>
      <c r="AP2689" s="116">
        <f>SUMIFS(M:M,AM:AM,AM2689)+SUMIFS(O:O,AM:AM,AM2689)</f>
      </c>
      <c r="AQ2689" s="116">
        <f>SUMIFS(L:L,AM:AM,AM2689)</f>
      </c>
      <c r="AR2689" s="116">
        <f>AQ2689-AP2689</f>
      </c>
      <c r="AS2689" s="94" t="str">
        <f>IF(AN2689&gt;=AQ2689,"ok","ck")</f>
      </c>
      <c r="AT2689" s="116">
        <f>-P2689</f>
      </c>
      <c r="AU2689" s="115">
        <f>IF(SUMIFS(AT:AT,AM:AM,AM2689)&gt;AO2689,(SUMIFS(AT:AT,AM:AM,AM2689)-AO2689))</f>
      </c>
      <c r="AV2689" s="116">
        <v>11712.82</v>
      </c>
      <c r="AW2689" s="121">
        <v>0.986</v>
      </c>
      <c r="AX2689" s="115">
        <f>AN2689-AP2689</f>
      </c>
    </row>
    <row r="2690" spans="1:50" ht="15" hidden="1" customHeight="1" x14ac:dyDescent="0.3">
      <c r="A2690" s="94" t="s">
        <v>76</v>
      </c>
      <c r="B2690" s="94"/>
      <c r="C2690" s="94"/>
      <c r="D2690" s="94"/>
      <c r="E2690" s="94"/>
      <c r="F2690" s="94"/>
      <c r="G2690" s="112">
        <f>AU2690</f>
      </c>
      <c r="H2690" s="113"/>
      <c r="I2690" s="94" t="s">
        <v>77</v>
      </c>
      <c r="J2690" s="94" t="s">
        <v>90</v>
      </c>
      <c r="K2690" s="114">
        <f>P2690/3</f>
      </c>
      <c r="L2690" s="115">
        <v>3.78</v>
      </c>
      <c r="M2690" s="116">
        <v>3.78</v>
      </c>
      <c r="N2690" s="117">
        <f>M2690-L2690</f>
      </c>
      <c r="O2690" s="112"/>
      <c r="P2690" s="118">
        <f>N2690+O2690</f>
      </c>
      <c r="Q2690" s="94" t="s">
        <v>78</v>
      </c>
      <c r="R2690" s="94" t="s">
        <v>63</v>
      </c>
      <c r="S2690" s="119">
        <v>46333</v>
      </c>
      <c r="T2690" s="119"/>
      <c r="U2690" s="119">
        <v>46333</v>
      </c>
      <c r="V2690" s="94"/>
      <c r="W2690" s="94"/>
      <c r="X2690" s="94"/>
      <c r="Y2690" s="119">
        <v>46333</v>
      </c>
      <c r="Z2690" s="94"/>
      <c r="AA2690" s="120"/>
      <c r="AB2690" s="120"/>
      <c r="AC2690" s="120"/>
      <c r="AD2690" s="120"/>
      <c r="AE2690" s="120"/>
      <c r="AF2690" s="120"/>
      <c r="AG2690" s="94"/>
      <c r="AH2690" s="120"/>
      <c r="AI2690" s="94"/>
      <c r="AJ2690" s="94" t="s">
        <v>78</v>
      </c>
      <c r="AK2690" s="94" t="s">
        <v>91</v>
      </c>
      <c r="AL2690" s="94">
        <v>150</v>
      </c>
      <c r="AM2690" s="94" t="str">
        <f>TRIM(AJ2690)&amp;TRIM(AL2690)&amp;TRIM(AK2690)</f>
      </c>
      <c r="AN2690" s="116">
        <v>11712.82</v>
      </c>
      <c r="AO2690" s="116">
        <v>161.4</v>
      </c>
      <c r="AP2690" s="116">
        <f>SUMIFS(M:M,AM:AM,AM2690)+SUMIFS(O:O,AM:AM,AM2690)</f>
      </c>
      <c r="AQ2690" s="116">
        <f>SUMIFS(L:L,AM:AM,AM2690)</f>
      </c>
      <c r="AR2690" s="116">
        <f>AQ2690-AP2690</f>
      </c>
      <c r="AS2690" s="94" t="str">
        <f>IF(AN2690&gt;=AQ2690,"ok","ck")</f>
      </c>
      <c r="AT2690" s="116">
        <f>-P2690</f>
      </c>
      <c r="AU2690" s="115">
        <f>IF(SUMIFS(AT:AT,AM:AM,AM2690)&gt;AO2690,(SUMIFS(AT:AT,AM:AM,AM2690)-AO2690))</f>
      </c>
      <c r="AV2690" s="116">
        <v>11712.82</v>
      </c>
      <c r="AW2690" s="121">
        <v>0.986</v>
      </c>
      <c r="AX2690" s="115">
        <f>AN2690-AP2690</f>
      </c>
    </row>
    <row r="2691" spans="1:50" ht="15" hidden="1" customHeight="1" x14ac:dyDescent="0.3">
      <c r="A2691" s="94" t="s">
        <v>93</v>
      </c>
      <c r="B2691" s="94"/>
      <c r="C2691" s="94"/>
      <c r="D2691" s="94"/>
      <c r="E2691" s="94"/>
      <c r="F2691" s="94"/>
      <c r="G2691" s="112">
        <f>AU2691</f>
      </c>
      <c r="H2691" s="113"/>
      <c r="I2691" s="94" t="s">
        <v>494</v>
      </c>
      <c r="J2691" s="94" t="s">
        <v>626</v>
      </c>
      <c r="K2691" s="114">
        <f>P2691/3</f>
      </c>
      <c r="L2691" s="115">
        <v>1789.0409999999999</v>
      </c>
      <c r="M2691" s="116"/>
      <c r="N2691" s="117">
        <f>M2691-L2691</f>
      </c>
      <c r="O2691" s="112"/>
      <c r="P2691" s="118">
        <f>N2691+O2691</f>
      </c>
      <c r="Q2691" s="94" t="s">
        <v>841</v>
      </c>
      <c r="R2691" s="94" t="s">
        <v>63</v>
      </c>
      <c r="S2691" s="119">
        <v>46346</v>
      </c>
      <c r="T2691" s="119"/>
      <c r="U2691" s="119" t="s">
        <v>687</v>
      </c>
      <c r="V2691" s="94"/>
      <c r="W2691" s="94"/>
      <c r="X2691" s="94"/>
      <c r="Y2691" s="119">
        <v>46342</v>
      </c>
      <c r="Z2691" s="94"/>
      <c r="AA2691" s="120"/>
      <c r="AB2691" s="120"/>
      <c r="AC2691" s="120"/>
      <c r="AD2691" s="120"/>
      <c r="AE2691" s="120"/>
      <c r="AF2691" s="120"/>
      <c r="AG2691" s="94"/>
      <c r="AH2691" s="120"/>
      <c r="AI2691" s="94"/>
      <c r="AJ2691" s="94" t="s">
        <v>841</v>
      </c>
      <c r="AK2691" s="94" t="s">
        <v>227</v>
      </c>
      <c r="AL2691" s="94">
        <v>210</v>
      </c>
      <c r="AM2691" s="94" t="str">
        <f>TRIM(AJ2691)&amp;TRIM(AL2691)&amp;TRIM(AK2691)</f>
      </c>
      <c r="AN2691" s="116">
        <v>0</v>
      </c>
      <c r="AO2691" s="116" t="inlineStr">
        <is>
          <t>#NA</t>
        </is>
      </c>
      <c r="AP2691" s="116">
        <f>SUMIFS(M:M,AM:AM,AM2691)+SUMIFS(O:O,AM:AM,AM2691)</f>
      </c>
      <c r="AQ2691" s="116">
        <f>SUMIFS(L:L,AM:AM,AM2691)</f>
      </c>
      <c r="AR2691" s="116">
        <f>AQ2691-AP2691</f>
      </c>
      <c r="AS2691" s="94" t="str">
        <f>IF(AN2691&gt;=AQ2691,"ok","ck")</f>
      </c>
      <c r="AT2691" s="116">
        <f>-P2691</f>
      </c>
      <c r="AU2691" s="115">
        <f>IF(SUMIFS(AT:AT,AM:AM,AM2691)&gt;AO2691,(SUMIFS(AT:AT,AM:AM,AM2691)-AO2691))</f>
      </c>
      <c r="AV2691" s="116">
        <v>0</v>
      </c>
      <c r="AW2691" s="121">
        <v>0</v>
      </c>
      <c r="AX2691" s="115">
        <f>AN2691-AP2691</f>
      </c>
    </row>
    <row r="2692" spans="1:50" ht="15" hidden="1" customHeight="1" x14ac:dyDescent="0.3">
      <c r="A2692" s="94" t="s">
        <v>93</v>
      </c>
      <c r="B2692" s="94"/>
      <c r="C2692" s="94"/>
      <c r="D2692" s="94"/>
      <c r="E2692" s="94"/>
      <c r="F2692" s="94"/>
      <c r="G2692" s="112">
        <f>AU2692</f>
      </c>
      <c r="H2692" s="113"/>
      <c r="I2692" s="94" t="s">
        <v>494</v>
      </c>
      <c r="J2692" s="94" t="s">
        <v>626</v>
      </c>
      <c r="K2692" s="114">
        <f>P2692/3</f>
      </c>
      <c r="L2692" s="115">
        <v>826.21900000000005</v>
      </c>
      <c r="M2692" s="116"/>
      <c r="N2692" s="117">
        <f>M2692-L2692</f>
      </c>
      <c r="O2692" s="112"/>
      <c r="P2692" s="118">
        <f>N2692+O2692</f>
      </c>
      <c r="Q2692" s="94" t="s">
        <v>841</v>
      </c>
      <c r="R2692" s="94" t="s">
        <v>63</v>
      </c>
      <c r="S2692" s="119">
        <v>46347</v>
      </c>
      <c r="T2692" s="119"/>
      <c r="U2692" s="119" t="s">
        <v>687</v>
      </c>
      <c r="V2692" s="94"/>
      <c r="W2692" s="94"/>
      <c r="X2692" s="94"/>
      <c r="Y2692" s="119">
        <v>46342</v>
      </c>
      <c r="Z2692" s="94"/>
      <c r="AA2692" s="120"/>
      <c r="AB2692" s="120"/>
      <c r="AC2692" s="120"/>
      <c r="AD2692" s="120"/>
      <c r="AE2692" s="120"/>
      <c r="AF2692" s="120"/>
      <c r="AG2692" s="94"/>
      <c r="AH2692" s="120"/>
      <c r="AI2692" s="94"/>
      <c r="AJ2692" s="94" t="s">
        <v>841</v>
      </c>
      <c r="AK2692" s="94" t="s">
        <v>227</v>
      </c>
      <c r="AL2692" s="94">
        <v>210</v>
      </c>
      <c r="AM2692" s="94" t="str">
        <f>TRIM(AJ2692)&amp;TRIM(AL2692)&amp;TRIM(AK2692)</f>
      </c>
      <c r="AN2692" s="116">
        <v>0</v>
      </c>
      <c r="AO2692" s="116" t="inlineStr">
        <is>
          <t>#NA</t>
        </is>
      </c>
      <c r="AP2692" s="116">
        <f>SUMIFS(M:M,AM:AM,AM2692)+SUMIFS(O:O,AM:AM,AM2692)</f>
      </c>
      <c r="AQ2692" s="116">
        <f>SUMIFS(L:L,AM:AM,AM2692)</f>
      </c>
      <c r="AR2692" s="116">
        <f>AQ2692-AP2692</f>
      </c>
      <c r="AS2692" s="94" t="str">
        <f>IF(AN2692&gt;=AQ2692,"ok","ck")</f>
      </c>
      <c r="AT2692" s="116">
        <f>-P2692</f>
      </c>
      <c r="AU2692" s="115">
        <f>IF(SUMIFS(AT:AT,AM:AM,AM2692)&gt;AO2692,(SUMIFS(AT:AT,AM:AM,AM2692)-AO2692))</f>
      </c>
      <c r="AV2692" s="116">
        <v>0</v>
      </c>
      <c r="AW2692" s="121">
        <v>0</v>
      </c>
      <c r="AX2692" s="115">
        <f>AN2692-AP2692</f>
      </c>
    </row>
    <row r="2693" spans="1:50" ht="15" hidden="1" customHeight="1" x14ac:dyDescent="0.3">
      <c r="A2693" s="94" t="s">
        <v>93</v>
      </c>
      <c r="B2693" s="94"/>
      <c r="C2693" s="94"/>
      <c r="D2693" s="94"/>
      <c r="E2693" s="94"/>
      <c r="F2693" s="94"/>
      <c r="G2693" s="112">
        <f>AU2693</f>
      </c>
      <c r="H2693" s="113"/>
      <c r="I2693" s="94" t="s">
        <v>494</v>
      </c>
      <c r="J2693" s="94" t="s">
        <v>626</v>
      </c>
      <c r="K2693" s="114">
        <f>P2693/3</f>
      </c>
      <c r="L2693" s="115">
        <v>1789.0409999999999</v>
      </c>
      <c r="M2693" s="116"/>
      <c r="N2693" s="117">
        <f>M2693-L2693</f>
      </c>
      <c r="O2693" s="112"/>
      <c r="P2693" s="118">
        <f>N2693+O2693</f>
      </c>
      <c r="Q2693" s="94" t="s">
        <v>841</v>
      </c>
      <c r="R2693" s="94" t="s">
        <v>63</v>
      </c>
      <c r="S2693" s="119">
        <v>46348</v>
      </c>
      <c r="T2693" s="119"/>
      <c r="U2693" s="119" t="s">
        <v>687</v>
      </c>
      <c r="V2693" s="94"/>
      <c r="W2693" s="94"/>
      <c r="X2693" s="94"/>
      <c r="Y2693" s="119">
        <v>46342</v>
      </c>
      <c r="Z2693" s="94"/>
      <c r="AA2693" s="120"/>
      <c r="AB2693" s="120"/>
      <c r="AC2693" s="120"/>
      <c r="AD2693" s="120"/>
      <c r="AE2693" s="120"/>
      <c r="AF2693" s="120"/>
      <c r="AG2693" s="94"/>
      <c r="AH2693" s="120"/>
      <c r="AI2693" s="94"/>
      <c r="AJ2693" s="94" t="s">
        <v>841</v>
      </c>
      <c r="AK2693" s="94" t="s">
        <v>227</v>
      </c>
      <c r="AL2693" s="94">
        <v>210</v>
      </c>
      <c r="AM2693" s="94" t="str">
        <f>TRIM(AJ2693)&amp;TRIM(AL2693)&amp;TRIM(AK2693)</f>
      </c>
      <c r="AN2693" s="116">
        <v>0</v>
      </c>
      <c r="AO2693" s="116" t="inlineStr">
        <is>
          <t>#NA</t>
        </is>
      </c>
      <c r="AP2693" s="116">
        <f>SUMIFS(M:M,AM:AM,AM2693)+SUMIFS(O:O,AM:AM,AM2693)</f>
      </c>
      <c r="AQ2693" s="116">
        <f>SUMIFS(L:L,AM:AM,AM2693)</f>
      </c>
      <c r="AR2693" s="116">
        <f>AQ2693-AP2693</f>
      </c>
      <c r="AS2693" s="94" t="str">
        <f>IF(AN2693&gt;=AQ2693,"ok","ck")</f>
      </c>
      <c r="AT2693" s="116">
        <f>-P2693</f>
      </c>
      <c r="AU2693" s="115">
        <f>IF(SUMIFS(AT:AT,AM:AM,AM2693)&gt;AO2693,(SUMIFS(AT:AT,AM:AM,AM2693)-AO2693))</f>
      </c>
      <c r="AV2693" s="116">
        <v>0</v>
      </c>
      <c r="AW2693" s="121">
        <v>0</v>
      </c>
      <c r="AX2693" s="115">
        <f>AN2693-AP2693</f>
      </c>
    </row>
    <row r="2694" spans="1:50" ht="15" hidden="1" customHeight="1" x14ac:dyDescent="0.3">
      <c r="A2694" s="94" t="s">
        <v>93</v>
      </c>
      <c r="B2694" s="94"/>
      <c r="C2694" s="94"/>
      <c r="D2694" s="94"/>
      <c r="E2694" s="94"/>
      <c r="F2694" s="94"/>
      <c r="G2694" s="112">
        <f>AU2694</f>
      </c>
      <c r="H2694" s="113"/>
      <c r="I2694" s="94" t="s">
        <v>494</v>
      </c>
      <c r="J2694" s="94" t="s">
        <v>626</v>
      </c>
      <c r="K2694" s="114">
        <f>P2694/3</f>
      </c>
      <c r="L2694" s="115">
        <v>1789.0409999999999</v>
      </c>
      <c r="M2694" s="116"/>
      <c r="N2694" s="117">
        <f>M2694-L2694</f>
      </c>
      <c r="O2694" s="112"/>
      <c r="P2694" s="118">
        <f>N2694+O2694</f>
      </c>
      <c r="Q2694" s="94" t="s">
        <v>841</v>
      </c>
      <c r="R2694" s="94" t="s">
        <v>63</v>
      </c>
      <c r="S2694" s="119">
        <v>46350</v>
      </c>
      <c r="T2694" s="119"/>
      <c r="U2694" s="119" t="s">
        <v>687</v>
      </c>
      <c r="V2694" s="94"/>
      <c r="W2694" s="94"/>
      <c r="X2694" s="94"/>
      <c r="Y2694" s="119">
        <v>46342</v>
      </c>
      <c r="Z2694" s="94"/>
      <c r="AA2694" s="120"/>
      <c r="AB2694" s="120"/>
      <c r="AC2694" s="120"/>
      <c r="AD2694" s="120"/>
      <c r="AE2694" s="120"/>
      <c r="AF2694" s="120"/>
      <c r="AG2694" s="94"/>
      <c r="AH2694" s="120"/>
      <c r="AI2694" s="94"/>
      <c r="AJ2694" s="94" t="s">
        <v>841</v>
      </c>
      <c r="AK2694" s="94" t="s">
        <v>227</v>
      </c>
      <c r="AL2694" s="94">
        <v>210</v>
      </c>
      <c r="AM2694" s="94" t="str">
        <f>TRIM(AJ2694)&amp;TRIM(AL2694)&amp;TRIM(AK2694)</f>
      </c>
      <c r="AN2694" s="116">
        <v>0</v>
      </c>
      <c r="AO2694" s="116" t="inlineStr">
        <is>
          <t>#NA</t>
        </is>
      </c>
      <c r="AP2694" s="116">
        <f>SUMIFS(M:M,AM:AM,AM2694)+SUMIFS(O:O,AM:AM,AM2694)</f>
      </c>
      <c r="AQ2694" s="116">
        <f>SUMIFS(L:L,AM:AM,AM2694)</f>
      </c>
      <c r="AR2694" s="116">
        <f>AQ2694-AP2694</f>
      </c>
      <c r="AS2694" s="94" t="str">
        <f>IF(AN2694&gt;=AQ2694,"ok","ck")</f>
      </c>
      <c r="AT2694" s="116">
        <f>-P2694</f>
      </c>
      <c r="AU2694" s="115">
        <f>IF(SUMIFS(AT:AT,AM:AM,AM2694)&gt;AO2694,(SUMIFS(AT:AT,AM:AM,AM2694)-AO2694))</f>
      </c>
      <c r="AV2694" s="116">
        <v>0</v>
      </c>
      <c r="AW2694" s="121">
        <v>0</v>
      </c>
      <c r="AX2694" s="115">
        <f>AN2694-AP2694</f>
      </c>
    </row>
    <row r="2695" spans="1:50" ht="15" hidden="1" customHeight="1" x14ac:dyDescent="0.3">
      <c r="A2695" s="94" t="s">
        <v>93</v>
      </c>
      <c r="B2695" s="94"/>
      <c r="C2695" s="94"/>
      <c r="D2695" s="94"/>
      <c r="E2695" s="94"/>
      <c r="F2695" s="94"/>
      <c r="G2695" s="112">
        <f>AU2695</f>
      </c>
      <c r="H2695" s="113"/>
      <c r="I2695" s="94" t="s">
        <v>494</v>
      </c>
      <c r="J2695" s="94" t="s">
        <v>626</v>
      </c>
      <c r="K2695" s="114">
        <f>P2695/3</f>
      </c>
      <c r="L2695" s="115">
        <v>389.02699999999999</v>
      </c>
      <c r="M2695" s="116"/>
      <c r="N2695" s="117">
        <f>M2695-L2695</f>
      </c>
      <c r="O2695" s="112"/>
      <c r="P2695" s="118">
        <f>N2695+O2695</f>
      </c>
      <c r="Q2695" s="94" t="s">
        <v>841</v>
      </c>
      <c r="R2695" s="94" t="s">
        <v>63</v>
      </c>
      <c r="S2695" s="119">
        <v>46351</v>
      </c>
      <c r="T2695" s="119"/>
      <c r="U2695" s="119" t="s">
        <v>687</v>
      </c>
      <c r="V2695" s="94"/>
      <c r="W2695" s="94"/>
      <c r="X2695" s="94"/>
      <c r="Y2695" s="119">
        <v>46342</v>
      </c>
      <c r="Z2695" s="94"/>
      <c r="AA2695" s="120"/>
      <c r="AB2695" s="120"/>
      <c r="AC2695" s="120"/>
      <c r="AD2695" s="120"/>
      <c r="AE2695" s="120"/>
      <c r="AF2695" s="120"/>
      <c r="AG2695" s="94"/>
      <c r="AH2695" s="120"/>
      <c r="AI2695" s="94"/>
      <c r="AJ2695" s="94" t="s">
        <v>841</v>
      </c>
      <c r="AK2695" s="94" t="s">
        <v>227</v>
      </c>
      <c r="AL2695" s="94">
        <v>210</v>
      </c>
      <c r="AM2695" s="94" t="str">
        <f>TRIM(AJ2695)&amp;TRIM(AL2695)&amp;TRIM(AK2695)</f>
      </c>
      <c r="AN2695" s="116">
        <v>0</v>
      </c>
      <c r="AO2695" s="116" t="inlineStr">
        <is>
          <t>#NA</t>
        </is>
      </c>
      <c r="AP2695" s="116">
        <f>SUMIFS(M:M,AM:AM,AM2695)+SUMIFS(O:O,AM:AM,AM2695)</f>
      </c>
      <c r="AQ2695" s="116">
        <f>SUMIFS(L:L,AM:AM,AM2695)</f>
      </c>
      <c r="AR2695" s="116">
        <f>AQ2695-AP2695</f>
      </c>
      <c r="AS2695" s="94" t="str">
        <f>IF(AN2695&gt;=AQ2695,"ok","ck")</f>
      </c>
      <c r="AT2695" s="116">
        <f>-P2695</f>
      </c>
      <c r="AU2695" s="115">
        <f>IF(SUMIFS(AT:AT,AM:AM,AM2695)&gt;AO2695,(SUMIFS(AT:AT,AM:AM,AM2695)-AO2695))</f>
      </c>
      <c r="AV2695" s="116">
        <v>0</v>
      </c>
      <c r="AW2695" s="121">
        <v>0</v>
      </c>
      <c r="AX2695" s="115">
        <f>AN2695-AP2695</f>
      </c>
    </row>
    <row r="2696" spans="1:50" ht="15" hidden="1" customHeight="1" x14ac:dyDescent="0.3">
      <c r="A2696" s="94" t="s">
        <v>151</v>
      </c>
      <c r="B2696" s="94"/>
      <c r="C2696" s="94"/>
      <c r="D2696" s="94"/>
      <c r="E2696" s="94"/>
      <c r="F2696" s="94"/>
      <c r="G2696" s="112">
        <f>AU2696</f>
      </c>
      <c r="H2696" s="113"/>
      <c r="I2696" s="94" t="s">
        <v>152</v>
      </c>
      <c r="J2696" s="94" t="s">
        <v>156</v>
      </c>
      <c r="K2696" s="114">
        <f>P2696/3</f>
      </c>
      <c r="L2696" s="115">
        <v>0</v>
      </c>
      <c r="M2696" s="116">
        <f>L2696</f>
      </c>
      <c r="N2696" s="117">
        <f>M2696-L2696</f>
      </c>
      <c r="O2696" s="112"/>
      <c r="P2696" s="118">
        <f>N2696+O2696</f>
      </c>
      <c r="Q2696" s="94" t="s">
        <v>197</v>
      </c>
      <c r="R2696" s="94" t="s">
        <v>63</v>
      </c>
      <c r="S2696" s="119">
        <v>46321</v>
      </c>
      <c r="T2696" s="119"/>
      <c r="U2696" s="119">
        <v>46321</v>
      </c>
      <c r="V2696" s="94"/>
      <c r="W2696" s="94"/>
      <c r="X2696" s="94"/>
      <c r="Y2696" s="119">
        <v>46321</v>
      </c>
      <c r="Z2696" s="94"/>
      <c r="AA2696" s="120"/>
      <c r="AB2696" s="120"/>
      <c r="AC2696" s="120"/>
      <c r="AD2696" s="120"/>
      <c r="AE2696" s="120"/>
      <c r="AF2696" s="120"/>
      <c r="AG2696" s="94"/>
      <c r="AH2696" s="120"/>
      <c r="AI2696" s="94"/>
      <c r="AJ2696" s="94" t="s">
        <v>197</v>
      </c>
      <c r="AK2696" s="94" t="s">
        <v>158</v>
      </c>
      <c r="AL2696" s="94">
        <v>160</v>
      </c>
      <c r="AM2696" s="94" t="str">
        <f>TRIM(AJ2696)&amp;TRIM(AL2696)&amp;TRIM(AK2696)</f>
      </c>
      <c r="AN2696" s="116">
        <v>4691</v>
      </c>
      <c r="AO2696" s="116">
        <v>-106</v>
      </c>
      <c r="AP2696" s="116">
        <f>SUMIFS(M:M,AM:AM,AM2696)+SUMIFS(O:O,AM:AM,AM2696)</f>
      </c>
      <c r="AQ2696" s="116">
        <f>SUMIFS(L:L,AM:AM,AM2696)</f>
      </c>
      <c r="AR2696" s="116">
        <f>AQ2696-AP2696</f>
      </c>
      <c r="AS2696" s="94" t="str">
        <f>IF(AN2696&gt;=AQ2696,"ok","ck")</f>
      </c>
      <c r="AT2696" s="116">
        <f>-P2696</f>
      </c>
      <c r="AU2696" s="115">
        <f>IF(SUMIFS(AT:AT,AM:AM,AM2696)&gt;AO2696,(SUMIFS(AT:AT,AM:AM,AM2696)-AO2696))</f>
      </c>
      <c r="AV2696" s="116">
        <v>4691</v>
      </c>
      <c r="AW2696" s="121">
        <v>1.023</v>
      </c>
      <c r="AX2696" s="115">
        <f>AN2696-AP2696</f>
      </c>
    </row>
    <row r="2697" spans="1:50" ht="15" hidden="1" customHeight="1" x14ac:dyDescent="0.3">
      <c r="A2697" s="94" t="s">
        <v>151</v>
      </c>
      <c r="B2697" s="94"/>
      <c r="C2697" s="94"/>
      <c r="D2697" s="94"/>
      <c r="E2697" s="94"/>
      <c r="F2697" s="94"/>
      <c r="G2697" s="112">
        <f>AU2697</f>
      </c>
      <c r="H2697" s="113"/>
      <c r="I2697" s="94" t="s">
        <v>152</v>
      </c>
      <c r="J2697" s="94" t="s">
        <v>156</v>
      </c>
      <c r="K2697" s="114">
        <f>P2697/3</f>
      </c>
      <c r="L2697" s="115">
        <v>0</v>
      </c>
      <c r="M2697" s="116">
        <f>L2697</f>
      </c>
      <c r="N2697" s="117">
        <f>M2697-L2697</f>
      </c>
      <c r="O2697" s="112"/>
      <c r="P2697" s="118">
        <f>N2697+O2697</f>
      </c>
      <c r="Q2697" s="94" t="s">
        <v>197</v>
      </c>
      <c r="R2697" s="94" t="s">
        <v>63</v>
      </c>
      <c r="S2697" s="119">
        <v>46328</v>
      </c>
      <c r="T2697" s="119"/>
      <c r="U2697" s="119">
        <v>46328</v>
      </c>
      <c r="V2697" s="94"/>
      <c r="W2697" s="94"/>
      <c r="X2697" s="94"/>
      <c r="Y2697" s="119">
        <v>46328</v>
      </c>
      <c r="Z2697" s="94"/>
      <c r="AA2697" s="120"/>
      <c r="AB2697" s="120"/>
      <c r="AC2697" s="120"/>
      <c r="AD2697" s="120"/>
      <c r="AE2697" s="120"/>
      <c r="AF2697" s="120"/>
      <c r="AG2697" s="94"/>
      <c r="AH2697" s="120"/>
      <c r="AI2697" s="94"/>
      <c r="AJ2697" s="94" t="s">
        <v>197</v>
      </c>
      <c r="AK2697" s="94" t="s">
        <v>158</v>
      </c>
      <c r="AL2697" s="94">
        <v>160</v>
      </c>
      <c r="AM2697" s="94" t="str">
        <f>TRIM(AJ2697)&amp;TRIM(AL2697)&amp;TRIM(AK2697)</f>
      </c>
      <c r="AN2697" s="116">
        <v>4691</v>
      </c>
      <c r="AO2697" s="116">
        <v>-106</v>
      </c>
      <c r="AP2697" s="116">
        <f>SUMIFS(M:M,AM:AM,AM2697)+SUMIFS(O:O,AM:AM,AM2697)</f>
      </c>
      <c r="AQ2697" s="116">
        <f>SUMIFS(L:L,AM:AM,AM2697)</f>
      </c>
      <c r="AR2697" s="116">
        <f>AQ2697-AP2697</f>
      </c>
      <c r="AS2697" s="94" t="str">
        <f>IF(AN2697&gt;=AQ2697,"ok","ck")</f>
      </c>
      <c r="AT2697" s="116">
        <f>-P2697</f>
      </c>
      <c r="AU2697" s="115">
        <f>IF(SUMIFS(AT:AT,AM:AM,AM2697)&gt;AO2697,(SUMIFS(AT:AT,AM:AM,AM2697)-AO2697))</f>
      </c>
      <c r="AV2697" s="116">
        <v>4691</v>
      </c>
      <c r="AW2697" s="121">
        <v>1.023</v>
      </c>
      <c r="AX2697" s="115">
        <f>AN2697-AP2697</f>
      </c>
    </row>
    <row r="2698" spans="1:50" ht="15" hidden="1" customHeight="1" x14ac:dyDescent="0.3">
      <c r="A2698" s="94" t="s">
        <v>151</v>
      </c>
      <c r="B2698" s="94"/>
      <c r="C2698" s="94"/>
      <c r="D2698" s="94"/>
      <c r="E2698" s="94"/>
      <c r="F2698" s="94"/>
      <c r="G2698" s="112">
        <f>AU2698</f>
      </c>
      <c r="H2698" s="113"/>
      <c r="I2698" s="94" t="s">
        <v>152</v>
      </c>
      <c r="J2698" s="94" t="s">
        <v>156</v>
      </c>
      <c r="K2698" s="114">
        <f>P2698/3</f>
      </c>
      <c r="L2698" s="115">
        <v>0</v>
      </c>
      <c r="M2698" s="116">
        <f>L2698</f>
      </c>
      <c r="N2698" s="117">
        <f>M2698-L2698</f>
      </c>
      <c r="O2698" s="112"/>
      <c r="P2698" s="118">
        <f>N2698+O2698</f>
      </c>
      <c r="Q2698" s="94" t="s">
        <v>197</v>
      </c>
      <c r="R2698" s="94" t="s">
        <v>63</v>
      </c>
      <c r="S2698" s="119">
        <v>46336</v>
      </c>
      <c r="T2698" s="119"/>
      <c r="U2698" s="119">
        <v>46336</v>
      </c>
      <c r="V2698" s="94"/>
      <c r="W2698" s="94"/>
      <c r="X2698" s="94"/>
      <c r="Y2698" s="119">
        <v>46336</v>
      </c>
      <c r="Z2698" s="94"/>
      <c r="AA2698" s="120"/>
      <c r="AB2698" s="120"/>
      <c r="AC2698" s="120"/>
      <c r="AD2698" s="120"/>
      <c r="AE2698" s="120"/>
      <c r="AF2698" s="120"/>
      <c r="AG2698" s="94"/>
      <c r="AH2698" s="120"/>
      <c r="AI2698" s="94"/>
      <c r="AJ2698" s="94" t="s">
        <v>197</v>
      </c>
      <c r="AK2698" s="94" t="s">
        <v>158</v>
      </c>
      <c r="AL2698" s="94">
        <v>160</v>
      </c>
      <c r="AM2698" s="94" t="str">
        <f>TRIM(AJ2698)&amp;TRIM(AL2698)&amp;TRIM(AK2698)</f>
      </c>
      <c r="AN2698" s="116">
        <v>4691</v>
      </c>
      <c r="AO2698" s="116">
        <v>-106</v>
      </c>
      <c r="AP2698" s="116">
        <f>SUMIFS(M:M,AM:AM,AM2698)+SUMIFS(O:O,AM:AM,AM2698)</f>
      </c>
      <c r="AQ2698" s="116">
        <f>SUMIFS(L:L,AM:AM,AM2698)</f>
      </c>
      <c r="AR2698" s="116">
        <f>AQ2698-AP2698</f>
      </c>
      <c r="AS2698" s="94" t="str">
        <f>IF(AN2698&gt;=AQ2698,"ok","ck")</f>
      </c>
      <c r="AT2698" s="116">
        <f>-P2698</f>
      </c>
      <c r="AU2698" s="115">
        <f>IF(SUMIFS(AT:AT,AM:AM,AM2698)&gt;AO2698,(SUMIFS(AT:AT,AM:AM,AM2698)-AO2698))</f>
      </c>
      <c r="AV2698" s="116">
        <v>4691</v>
      </c>
      <c r="AW2698" s="121">
        <v>1.023</v>
      </c>
      <c r="AX2698" s="115">
        <f>AN2698-AP2698</f>
      </c>
    </row>
    <row r="2699" spans="1:50" ht="15" hidden="1" customHeight="1" x14ac:dyDescent="0.3">
      <c r="A2699" s="94" t="s">
        <v>151</v>
      </c>
      <c r="B2699" s="94"/>
      <c r="C2699" s="94"/>
      <c r="D2699" s="94"/>
      <c r="E2699" s="94"/>
      <c r="F2699" s="94"/>
      <c r="G2699" s="112">
        <f>AU2699</f>
      </c>
      <c r="H2699" s="113"/>
      <c r="I2699" s="94" t="s">
        <v>152</v>
      </c>
      <c r="J2699" s="94" t="s">
        <v>156</v>
      </c>
      <c r="K2699" s="114">
        <f>P2699/3</f>
      </c>
      <c r="L2699" s="115">
        <v>0</v>
      </c>
      <c r="M2699" s="116">
        <f>L2699</f>
      </c>
      <c r="N2699" s="117">
        <f>M2699-L2699</f>
      </c>
      <c r="O2699" s="112"/>
      <c r="P2699" s="118">
        <f>N2699+O2699</f>
      </c>
      <c r="Q2699" s="94" t="s">
        <v>197</v>
      </c>
      <c r="R2699" s="94" t="s">
        <v>63</v>
      </c>
      <c r="S2699" s="119">
        <v>46320</v>
      </c>
      <c r="T2699" s="119"/>
      <c r="U2699" s="119">
        <v>46320</v>
      </c>
      <c r="V2699" s="94"/>
      <c r="W2699" s="94"/>
      <c r="X2699" s="94"/>
      <c r="Y2699" s="119">
        <v>46320</v>
      </c>
      <c r="Z2699" s="94"/>
      <c r="AA2699" s="120"/>
      <c r="AB2699" s="120"/>
      <c r="AC2699" s="120"/>
      <c r="AD2699" s="120"/>
      <c r="AE2699" s="120"/>
      <c r="AF2699" s="120"/>
      <c r="AG2699" s="94"/>
      <c r="AH2699" s="120"/>
      <c r="AI2699" s="94"/>
      <c r="AJ2699" s="94" t="s">
        <v>197</v>
      </c>
      <c r="AK2699" s="94" t="s">
        <v>158</v>
      </c>
      <c r="AL2699" s="94">
        <v>160</v>
      </c>
      <c r="AM2699" s="94" t="str">
        <f>TRIM(AJ2699)&amp;TRIM(AL2699)&amp;TRIM(AK2699)</f>
      </c>
      <c r="AN2699" s="116">
        <v>4691</v>
      </c>
      <c r="AO2699" s="116">
        <v>-106</v>
      </c>
      <c r="AP2699" s="116">
        <f>SUMIFS(M:M,AM:AM,AM2699)+SUMIFS(O:O,AM:AM,AM2699)</f>
      </c>
      <c r="AQ2699" s="116">
        <f>SUMIFS(L:L,AM:AM,AM2699)</f>
      </c>
      <c r="AR2699" s="116">
        <f>AQ2699-AP2699</f>
      </c>
      <c r="AS2699" s="94" t="str">
        <f>IF(AN2699&gt;=AQ2699,"ok","ck")</f>
      </c>
      <c r="AT2699" s="116">
        <f>-P2699</f>
      </c>
      <c r="AU2699" s="115">
        <f>IF(SUMIFS(AT:AT,AM:AM,AM2699)&gt;AO2699,(SUMIFS(AT:AT,AM:AM,AM2699)-AO2699))</f>
      </c>
      <c r="AV2699" s="116">
        <v>4691</v>
      </c>
      <c r="AW2699" s="121">
        <v>1.023</v>
      </c>
      <c r="AX2699" s="115">
        <f>AN2699-AP2699</f>
      </c>
    </row>
    <row r="2700" spans="1:50" ht="15" hidden="1" customHeight="1" x14ac:dyDescent="0.3">
      <c r="A2700" s="94" t="s">
        <v>151</v>
      </c>
      <c r="B2700" s="94"/>
      <c r="C2700" s="94"/>
      <c r="D2700" s="94"/>
      <c r="E2700" s="94"/>
      <c r="F2700" s="94"/>
      <c r="G2700" s="112">
        <f>AU2700</f>
      </c>
      <c r="H2700" s="113"/>
      <c r="I2700" s="94" t="s">
        <v>152</v>
      </c>
      <c r="J2700" s="94" t="s">
        <v>156</v>
      </c>
      <c r="K2700" s="114">
        <f>P2700/3</f>
      </c>
      <c r="L2700" s="115">
        <v>0</v>
      </c>
      <c r="M2700" s="116">
        <f>L2700</f>
      </c>
      <c r="N2700" s="117">
        <f>M2700-L2700</f>
      </c>
      <c r="O2700" s="112"/>
      <c r="P2700" s="118">
        <f>N2700+O2700</f>
      </c>
      <c r="Q2700" s="94" t="s">
        <v>197</v>
      </c>
      <c r="R2700" s="94" t="s">
        <v>63</v>
      </c>
      <c r="S2700" s="119">
        <v>46320</v>
      </c>
      <c r="T2700" s="119"/>
      <c r="U2700" s="119">
        <v>46320</v>
      </c>
      <c r="V2700" s="94"/>
      <c r="W2700" s="94"/>
      <c r="X2700" s="94"/>
      <c r="Y2700" s="119">
        <v>46320</v>
      </c>
      <c r="Z2700" s="94"/>
      <c r="AA2700" s="120"/>
      <c r="AB2700" s="120"/>
      <c r="AC2700" s="120"/>
      <c r="AD2700" s="120"/>
      <c r="AE2700" s="120"/>
      <c r="AF2700" s="120"/>
      <c r="AG2700" s="94"/>
      <c r="AH2700" s="120"/>
      <c r="AI2700" s="94"/>
      <c r="AJ2700" s="94" t="s">
        <v>197</v>
      </c>
      <c r="AK2700" s="94" t="s">
        <v>158</v>
      </c>
      <c r="AL2700" s="94">
        <v>160</v>
      </c>
      <c r="AM2700" s="94" t="str">
        <f>TRIM(AJ2700)&amp;TRIM(AL2700)&amp;TRIM(AK2700)</f>
      </c>
      <c r="AN2700" s="116">
        <v>4691</v>
      </c>
      <c r="AO2700" s="116">
        <v>-106</v>
      </c>
      <c r="AP2700" s="116">
        <f>SUMIFS(M:M,AM:AM,AM2700)+SUMIFS(O:O,AM:AM,AM2700)</f>
      </c>
      <c r="AQ2700" s="116">
        <f>SUMIFS(L:L,AM:AM,AM2700)</f>
      </c>
      <c r="AR2700" s="116">
        <f>AQ2700-AP2700</f>
      </c>
      <c r="AS2700" s="94" t="str">
        <f>IF(AN2700&gt;=AQ2700,"ok","ck")</f>
      </c>
      <c r="AT2700" s="116">
        <f>-P2700</f>
      </c>
      <c r="AU2700" s="115">
        <f>IF(SUMIFS(AT:AT,AM:AM,AM2700)&gt;AO2700,(SUMIFS(AT:AT,AM:AM,AM2700)-AO2700))</f>
      </c>
      <c r="AV2700" s="116">
        <v>4691</v>
      </c>
      <c r="AW2700" s="121">
        <v>1.023</v>
      </c>
      <c r="AX2700" s="115">
        <f>AN2700-AP2700</f>
      </c>
    </row>
    <row r="2701" spans="1:50" ht="15" hidden="1" customHeight="1" x14ac:dyDescent="0.3">
      <c r="A2701" s="94" t="s">
        <v>151</v>
      </c>
      <c r="B2701" s="94"/>
      <c r="C2701" s="94"/>
      <c r="D2701" s="94"/>
      <c r="E2701" s="94"/>
      <c r="F2701" s="94"/>
      <c r="G2701" s="112">
        <f>AU2701</f>
      </c>
      <c r="H2701" s="113"/>
      <c r="I2701" s="94" t="s">
        <v>152</v>
      </c>
      <c r="J2701" s="94" t="s">
        <v>156</v>
      </c>
      <c r="K2701" s="114">
        <f>P2701/3</f>
      </c>
      <c r="L2701" s="115">
        <v>0</v>
      </c>
      <c r="M2701" s="116">
        <f>L2701</f>
      </c>
      <c r="N2701" s="117">
        <f>M2701-L2701</f>
      </c>
      <c r="O2701" s="112"/>
      <c r="P2701" s="118">
        <f>N2701+O2701</f>
      </c>
      <c r="Q2701" s="94" t="s">
        <v>197</v>
      </c>
      <c r="R2701" s="94" t="s">
        <v>63</v>
      </c>
      <c r="S2701" s="119">
        <v>46334</v>
      </c>
      <c r="T2701" s="119"/>
      <c r="U2701" s="119">
        <v>46334</v>
      </c>
      <c r="V2701" s="94"/>
      <c r="W2701" s="94"/>
      <c r="X2701" s="94"/>
      <c r="Y2701" s="119">
        <v>46334</v>
      </c>
      <c r="Z2701" s="94"/>
      <c r="AA2701" s="120"/>
      <c r="AB2701" s="120"/>
      <c r="AC2701" s="120"/>
      <c r="AD2701" s="120"/>
      <c r="AE2701" s="120"/>
      <c r="AF2701" s="120"/>
      <c r="AG2701" s="94"/>
      <c r="AH2701" s="120"/>
      <c r="AI2701" s="94"/>
      <c r="AJ2701" s="94" t="s">
        <v>197</v>
      </c>
      <c r="AK2701" s="94" t="s">
        <v>158</v>
      </c>
      <c r="AL2701" s="94">
        <v>160</v>
      </c>
      <c r="AM2701" s="94" t="str">
        <f>TRIM(AJ2701)&amp;TRIM(AL2701)&amp;TRIM(AK2701)</f>
      </c>
      <c r="AN2701" s="116">
        <v>4691</v>
      </c>
      <c r="AO2701" s="116">
        <v>-106</v>
      </c>
      <c r="AP2701" s="116">
        <f>SUMIFS(M:M,AM:AM,AM2701)+SUMIFS(O:O,AM:AM,AM2701)</f>
      </c>
      <c r="AQ2701" s="116">
        <f>SUMIFS(L:L,AM:AM,AM2701)</f>
      </c>
      <c r="AR2701" s="116">
        <f>AQ2701-AP2701</f>
      </c>
      <c r="AS2701" s="94" t="str">
        <f>IF(AN2701&gt;=AQ2701,"ok","ck")</f>
      </c>
      <c r="AT2701" s="116">
        <f>-P2701</f>
      </c>
      <c r="AU2701" s="115">
        <f>IF(SUMIFS(AT:AT,AM:AM,AM2701)&gt;AO2701,(SUMIFS(AT:AT,AM:AM,AM2701)-AO2701))</f>
      </c>
      <c r="AV2701" s="116">
        <v>4691</v>
      </c>
      <c r="AW2701" s="121">
        <v>1.023</v>
      </c>
      <c r="AX2701" s="115">
        <f>AN2701-AP2701</f>
      </c>
    </row>
    <row r="2702" spans="1:50" ht="15" hidden="1" customHeight="1" x14ac:dyDescent="0.3">
      <c r="A2702" s="94" t="s">
        <v>151</v>
      </c>
      <c r="B2702" s="94"/>
      <c r="C2702" s="94"/>
      <c r="D2702" s="94"/>
      <c r="E2702" s="94"/>
      <c r="F2702" s="94"/>
      <c r="G2702" s="112">
        <f>AU2702</f>
      </c>
      <c r="H2702" s="113"/>
      <c r="I2702" s="94" t="s">
        <v>152</v>
      </c>
      <c r="J2702" s="94" t="s">
        <v>156</v>
      </c>
      <c r="K2702" s="114">
        <f>P2702/3</f>
      </c>
      <c r="L2702" s="115">
        <v>0</v>
      </c>
      <c r="M2702" s="116">
        <f>L2702</f>
      </c>
      <c r="N2702" s="117">
        <f>M2702-L2702</f>
      </c>
      <c r="O2702" s="112"/>
      <c r="P2702" s="118">
        <f>N2702+O2702</f>
      </c>
      <c r="Q2702" s="94" t="s">
        <v>197</v>
      </c>
      <c r="R2702" s="94" t="s">
        <v>63</v>
      </c>
      <c r="S2702" s="119">
        <v>46337</v>
      </c>
      <c r="T2702" s="119"/>
      <c r="U2702" s="119">
        <v>46337</v>
      </c>
      <c r="V2702" s="94"/>
      <c r="W2702" s="94"/>
      <c r="X2702" s="94"/>
      <c r="Y2702" s="119">
        <v>46337</v>
      </c>
      <c r="Z2702" s="94"/>
      <c r="AA2702" s="120"/>
      <c r="AB2702" s="120"/>
      <c r="AC2702" s="120"/>
      <c r="AD2702" s="120"/>
      <c r="AE2702" s="120"/>
      <c r="AF2702" s="120"/>
      <c r="AG2702" s="94"/>
      <c r="AH2702" s="120"/>
      <c r="AI2702" s="94"/>
      <c r="AJ2702" s="94" t="s">
        <v>197</v>
      </c>
      <c r="AK2702" s="94" t="s">
        <v>158</v>
      </c>
      <c r="AL2702" s="94">
        <v>160</v>
      </c>
      <c r="AM2702" s="94" t="str">
        <f>TRIM(AJ2702)&amp;TRIM(AL2702)&amp;TRIM(AK2702)</f>
      </c>
      <c r="AN2702" s="116">
        <v>4691</v>
      </c>
      <c r="AO2702" s="116">
        <v>-106</v>
      </c>
      <c r="AP2702" s="116">
        <f>SUMIFS(M:M,AM:AM,AM2702)+SUMIFS(O:O,AM:AM,AM2702)</f>
      </c>
      <c r="AQ2702" s="116">
        <f>SUMIFS(L:L,AM:AM,AM2702)</f>
      </c>
      <c r="AR2702" s="116">
        <f>AQ2702-AP2702</f>
      </c>
      <c r="AS2702" s="94" t="str">
        <f>IF(AN2702&gt;=AQ2702,"ok","ck")</f>
      </c>
      <c r="AT2702" s="116">
        <f>-P2702</f>
      </c>
      <c r="AU2702" s="115">
        <f>IF(SUMIFS(AT:AT,AM:AM,AM2702)&gt;AO2702,(SUMIFS(AT:AT,AM:AM,AM2702)-AO2702))</f>
      </c>
      <c r="AV2702" s="116">
        <v>4691</v>
      </c>
      <c r="AW2702" s="121">
        <v>1.023</v>
      </c>
      <c r="AX2702" s="115">
        <f>AN2702-AP2702</f>
      </c>
    </row>
    <row r="2703" spans="1:50" ht="15" hidden="1" customHeight="1" x14ac:dyDescent="0.3">
      <c r="A2703" s="94" t="s">
        <v>151</v>
      </c>
      <c r="B2703" s="94"/>
      <c r="C2703" s="94"/>
      <c r="D2703" s="94"/>
      <c r="E2703" s="94"/>
      <c r="F2703" s="94"/>
      <c r="G2703" s="112">
        <f>AU2703</f>
      </c>
      <c r="H2703" s="113"/>
      <c r="I2703" s="94" t="s">
        <v>152</v>
      </c>
      <c r="J2703" s="94" t="s">
        <v>156</v>
      </c>
      <c r="K2703" s="114">
        <f>P2703/3</f>
      </c>
      <c r="L2703" s="115">
        <v>0</v>
      </c>
      <c r="M2703" s="116">
        <f>L2703</f>
      </c>
      <c r="N2703" s="117">
        <f>M2703-L2703</f>
      </c>
      <c r="O2703" s="112"/>
      <c r="P2703" s="118">
        <f>N2703+O2703</f>
      </c>
      <c r="Q2703" s="94" t="s">
        <v>197</v>
      </c>
      <c r="R2703" s="94" t="s">
        <v>63</v>
      </c>
      <c r="S2703" s="119">
        <v>46320</v>
      </c>
      <c r="T2703" s="119"/>
      <c r="U2703" s="119">
        <v>46320</v>
      </c>
      <c r="V2703" s="94"/>
      <c r="W2703" s="94"/>
      <c r="X2703" s="94"/>
      <c r="Y2703" s="119">
        <v>46320</v>
      </c>
      <c r="Z2703" s="94"/>
      <c r="AA2703" s="120"/>
      <c r="AB2703" s="120"/>
      <c r="AC2703" s="120"/>
      <c r="AD2703" s="120"/>
      <c r="AE2703" s="120"/>
      <c r="AF2703" s="120"/>
      <c r="AG2703" s="94"/>
      <c r="AH2703" s="120"/>
      <c r="AI2703" s="94"/>
      <c r="AJ2703" s="94" t="s">
        <v>197</v>
      </c>
      <c r="AK2703" s="94" t="s">
        <v>158</v>
      </c>
      <c r="AL2703" s="94">
        <v>160</v>
      </c>
      <c r="AM2703" s="94" t="str">
        <f>TRIM(AJ2703)&amp;TRIM(AL2703)&amp;TRIM(AK2703)</f>
      </c>
      <c r="AN2703" s="116">
        <v>4691</v>
      </c>
      <c r="AO2703" s="116">
        <v>-106</v>
      </c>
      <c r="AP2703" s="116">
        <f>SUMIFS(M:M,AM:AM,AM2703)+SUMIFS(O:O,AM:AM,AM2703)</f>
      </c>
      <c r="AQ2703" s="116">
        <f>SUMIFS(L:L,AM:AM,AM2703)</f>
      </c>
      <c r="AR2703" s="116">
        <f>AQ2703-AP2703</f>
      </c>
      <c r="AS2703" s="94" t="str">
        <f>IF(AN2703&gt;=AQ2703,"ok","ck")</f>
      </c>
      <c r="AT2703" s="116">
        <f>-P2703</f>
      </c>
      <c r="AU2703" s="115">
        <f>IF(SUMIFS(AT:AT,AM:AM,AM2703)&gt;AO2703,(SUMIFS(AT:AT,AM:AM,AM2703)-AO2703))</f>
      </c>
      <c r="AV2703" s="116">
        <v>4691</v>
      </c>
      <c r="AW2703" s="121">
        <v>1.023</v>
      </c>
      <c r="AX2703" s="115">
        <f>AN2703-AP2703</f>
      </c>
    </row>
    <row r="2704" spans="1:50" ht="15" hidden="1" customHeight="1" x14ac:dyDescent="0.3">
      <c r="A2704" s="94" t="s">
        <v>151</v>
      </c>
      <c r="B2704" s="94"/>
      <c r="C2704" s="94"/>
      <c r="D2704" s="94"/>
      <c r="E2704" s="94"/>
      <c r="F2704" s="94"/>
      <c r="G2704" s="112">
        <f>AU2704</f>
      </c>
      <c r="H2704" s="113"/>
      <c r="I2704" s="94" t="s">
        <v>152</v>
      </c>
      <c r="J2704" s="94" t="s">
        <v>156</v>
      </c>
      <c r="K2704" s="114">
        <f>P2704/3</f>
      </c>
      <c r="L2704" s="115">
        <v>0</v>
      </c>
      <c r="M2704" s="116">
        <f>L2704</f>
      </c>
      <c r="N2704" s="117">
        <f>M2704-L2704</f>
      </c>
      <c r="O2704" s="112"/>
      <c r="P2704" s="118">
        <f>N2704+O2704</f>
      </c>
      <c r="Q2704" s="94" t="s">
        <v>197</v>
      </c>
      <c r="R2704" s="94" t="s">
        <v>63</v>
      </c>
      <c r="S2704" s="119">
        <v>46320</v>
      </c>
      <c r="T2704" s="119"/>
      <c r="U2704" s="119">
        <v>46320</v>
      </c>
      <c r="V2704" s="94"/>
      <c r="W2704" s="94"/>
      <c r="X2704" s="94"/>
      <c r="Y2704" s="119">
        <v>46320</v>
      </c>
      <c r="Z2704" s="94"/>
      <c r="AA2704" s="120"/>
      <c r="AB2704" s="120"/>
      <c r="AC2704" s="120"/>
      <c r="AD2704" s="120"/>
      <c r="AE2704" s="120"/>
      <c r="AF2704" s="120"/>
      <c r="AG2704" s="94"/>
      <c r="AH2704" s="120"/>
      <c r="AI2704" s="94"/>
      <c r="AJ2704" s="94" t="s">
        <v>197</v>
      </c>
      <c r="AK2704" s="94" t="s">
        <v>158</v>
      </c>
      <c r="AL2704" s="94">
        <v>160</v>
      </c>
      <c r="AM2704" s="94" t="str">
        <f>TRIM(AJ2704)&amp;TRIM(AL2704)&amp;TRIM(AK2704)</f>
      </c>
      <c r="AN2704" s="116">
        <v>4691</v>
      </c>
      <c r="AO2704" s="116">
        <v>-106</v>
      </c>
      <c r="AP2704" s="116">
        <f>SUMIFS(M:M,AM:AM,AM2704)+SUMIFS(O:O,AM:AM,AM2704)</f>
      </c>
      <c r="AQ2704" s="116">
        <f>SUMIFS(L:L,AM:AM,AM2704)</f>
      </c>
      <c r="AR2704" s="116">
        <f>AQ2704-AP2704</f>
      </c>
      <c r="AS2704" s="94" t="str">
        <f>IF(AN2704&gt;=AQ2704,"ok","ck")</f>
      </c>
      <c r="AT2704" s="116">
        <f>-P2704</f>
      </c>
      <c r="AU2704" s="115">
        <f>IF(SUMIFS(AT:AT,AM:AM,AM2704)&gt;AO2704,(SUMIFS(AT:AT,AM:AM,AM2704)-AO2704))</f>
      </c>
      <c r="AV2704" s="116">
        <v>4691</v>
      </c>
      <c r="AW2704" s="121">
        <v>1.023</v>
      </c>
      <c r="AX2704" s="115">
        <f>AN2704-AP2704</f>
      </c>
    </row>
    <row r="2705" spans="1:50" ht="15" hidden="1" customHeight="1" x14ac:dyDescent="0.3">
      <c r="A2705" s="94" t="s">
        <v>481</v>
      </c>
      <c r="B2705" s="94"/>
      <c r="C2705" s="94"/>
      <c r="D2705" s="94"/>
      <c r="E2705" s="94"/>
      <c r="F2705" s="94"/>
      <c r="G2705" s="112">
        <f>AU2705</f>
      </c>
      <c r="H2705" s="113"/>
      <c r="I2705" s="94" t="s">
        <v>152</v>
      </c>
      <c r="J2705" s="94" t="s">
        <v>228</v>
      </c>
      <c r="K2705" s="114">
        <f>P2705/3</f>
      </c>
      <c r="L2705" s="115">
        <v>0</v>
      </c>
      <c r="M2705" s="116"/>
      <c r="N2705" s="117">
        <f>M2705-L2705</f>
      </c>
      <c r="O2705" s="112"/>
      <c r="P2705" s="118">
        <f>N2705+O2705</f>
      </c>
      <c r="Q2705" s="94"/>
      <c r="R2705" s="94" t="s">
        <v>63</v>
      </c>
      <c r="S2705" s="119">
        <v>46342</v>
      </c>
      <c r="T2705" s="119"/>
      <c r="U2705" s="119">
        <v>46342</v>
      </c>
      <c r="V2705" s="94"/>
      <c r="W2705" s="94"/>
      <c r="X2705" s="94"/>
      <c r="Y2705" s="119">
        <v>46342</v>
      </c>
      <c r="Z2705" s="94"/>
      <c r="AA2705" s="120"/>
      <c r="AB2705" s="120"/>
      <c r="AC2705" s="120"/>
      <c r="AD2705" s="120"/>
      <c r="AE2705" s="120"/>
      <c r="AF2705" s="120"/>
      <c r="AG2705" s="94"/>
      <c r="AH2705" s="120"/>
      <c r="AI2705" s="94"/>
      <c r="AJ2705" s="94"/>
      <c r="AK2705" s="94"/>
      <c r="AL2705" s="94">
        <v>160</v>
      </c>
      <c r="AM2705" s="94" t="str">
        <f>TRIM(AJ2705)&amp;TRIM(AL2705)&amp;TRIM(AK2705)</f>
      </c>
      <c r="AN2705" s="116">
        <v>0</v>
      </c>
      <c r="AO2705" s="116" t="inlineStr">
        <is>
          <t>#NA</t>
        </is>
      </c>
      <c r="AP2705" s="116">
        <f>SUMIFS(M:M,AM:AM,AM2705)+SUMIFS(O:O,AM:AM,AM2705)</f>
      </c>
      <c r="AQ2705" s="116">
        <f>SUMIFS(L:L,AM:AM,AM2705)</f>
      </c>
      <c r="AR2705" s="116">
        <f>AQ2705-AP2705</f>
      </c>
      <c r="AS2705" s="94" t="str">
        <f>IF(AN2705&gt;=AQ2705,"ok","ck")</f>
      </c>
      <c r="AT2705" s="116">
        <f>-P2705</f>
      </c>
      <c r="AU2705" s="115">
        <f>IF(SUMIFS(AT:AT,AM:AM,AM2705)&gt;AO2705,(SUMIFS(AT:AT,AM:AM,AM2705)-AO2705))</f>
      </c>
      <c r="AV2705" s="116" t="e">
        <v>#N/A</v>
      </c>
      <c r="AW2705" s="121" t="e">
        <v>#N/A</v>
      </c>
      <c r="AX2705" s="115">
        <f>AN2705-AP2705</f>
      </c>
    </row>
    <row r="2706" spans="1:50" ht="15" hidden="1" customHeight="1" x14ac:dyDescent="0.3">
      <c r="A2706" s="94" t="s">
        <v>151</v>
      </c>
      <c r="B2706" s="94"/>
      <c r="C2706" s="94"/>
      <c r="D2706" s="94"/>
      <c r="E2706" s="94"/>
      <c r="F2706" s="94"/>
      <c r="G2706" s="112">
        <f>AU2706</f>
      </c>
      <c r="H2706" s="113"/>
      <c r="I2706" s="94" t="s">
        <v>188</v>
      </c>
      <c r="J2706" s="94" t="s">
        <v>159</v>
      </c>
      <c r="K2706" s="114">
        <f>P2706/3</f>
      </c>
      <c r="L2706" s="115">
        <v>-1.637</v>
      </c>
      <c r="M2706" s="116">
        <f>L2706</f>
      </c>
      <c r="N2706" s="117">
        <f>M2706-L2706</f>
      </c>
      <c r="O2706" s="112"/>
      <c r="P2706" s="118">
        <f>N2706+O2706</f>
      </c>
      <c r="Q2706" s="94" t="s">
        <v>169</v>
      </c>
      <c r="R2706" s="94" t="s">
        <v>63</v>
      </c>
      <c r="S2706" s="119">
        <v>46320</v>
      </c>
      <c r="T2706" s="119"/>
      <c r="U2706" s="119">
        <v>46320</v>
      </c>
      <c r="V2706" s="94"/>
      <c r="W2706" s="94"/>
      <c r="X2706" s="94"/>
      <c r="Y2706" s="119">
        <v>46320</v>
      </c>
      <c r="Z2706" s="94"/>
      <c r="AA2706" s="120"/>
      <c r="AB2706" s="120"/>
      <c r="AC2706" s="120"/>
      <c r="AD2706" s="120"/>
      <c r="AE2706" s="120"/>
      <c r="AF2706" s="120"/>
      <c r="AG2706" s="94"/>
      <c r="AH2706" s="120"/>
      <c r="AI2706" s="94"/>
      <c r="AJ2706" s="94" t="s">
        <v>169</v>
      </c>
      <c r="AK2706" s="94" t="s">
        <v>159</v>
      </c>
      <c r="AL2706" s="94">
        <v>165</v>
      </c>
      <c r="AM2706" s="94" t="str">
        <f>TRIM(AJ2706)&amp;TRIM(AL2706)&amp;TRIM(AK2706)</f>
      </c>
      <c r="AN2706" s="116">
        <v>928.36</v>
      </c>
      <c r="AO2706" s="116">
        <v>-18.36</v>
      </c>
      <c r="AP2706" s="116">
        <f>SUMIFS(M:M,AM:AM,AM2706)+SUMIFS(O:O,AM:AM,AM2706)</f>
      </c>
      <c r="AQ2706" s="116">
        <f>SUMIFS(L:L,AM:AM,AM2706)</f>
      </c>
      <c r="AR2706" s="116">
        <f>AQ2706-AP2706</f>
      </c>
      <c r="AS2706" s="94" t="str">
        <f>IF(AN2706&gt;=AQ2706,"ok","ck")</f>
      </c>
      <c r="AT2706" s="116">
        <f>-P2706</f>
      </c>
      <c r="AU2706" s="115">
        <f>IF(SUMIFS(AT:AT,AM:AM,AM2706)&gt;AO2706,(SUMIFS(AT:AT,AM:AM,AM2706)-AO2706))</f>
      </c>
      <c r="AV2706" s="116">
        <v>928.36</v>
      </c>
      <c r="AW2706" s="121">
        <v>1.02</v>
      </c>
      <c r="AX2706" s="115">
        <f>AN2706-AP2706</f>
      </c>
    </row>
    <row r="2707" spans="1:50" ht="15" hidden="1" customHeight="1" x14ac:dyDescent="0.3">
      <c r="A2707" s="94" t="s">
        <v>151</v>
      </c>
      <c r="B2707" s="94"/>
      <c r="C2707" s="94"/>
      <c r="D2707" s="94"/>
      <c r="E2707" s="94"/>
      <c r="F2707" s="94"/>
      <c r="G2707" s="112">
        <f>AU2707</f>
      </c>
      <c r="H2707" s="113"/>
      <c r="I2707" s="94" t="s">
        <v>188</v>
      </c>
      <c r="J2707" s="94" t="s">
        <v>170</v>
      </c>
      <c r="K2707" s="114">
        <f>P2707/3</f>
      </c>
      <c r="L2707" s="115">
        <v>-2.83</v>
      </c>
      <c r="M2707" s="116">
        <f>L2707</f>
      </c>
      <c r="N2707" s="117">
        <f>M2707-L2707</f>
      </c>
      <c r="O2707" s="112"/>
      <c r="P2707" s="118">
        <f>N2707+O2707</f>
      </c>
      <c r="Q2707" s="94" t="s">
        <v>169</v>
      </c>
      <c r="R2707" s="94" t="s">
        <v>63</v>
      </c>
      <c r="S2707" s="119">
        <v>46320</v>
      </c>
      <c r="T2707" s="119"/>
      <c r="U2707" s="119">
        <v>46320</v>
      </c>
      <c r="V2707" s="94"/>
      <c r="W2707" s="94"/>
      <c r="X2707" s="94"/>
      <c r="Y2707" s="119">
        <v>46320</v>
      </c>
      <c r="Z2707" s="94"/>
      <c r="AA2707" s="120"/>
      <c r="AB2707" s="120"/>
      <c r="AC2707" s="120"/>
      <c r="AD2707" s="120"/>
      <c r="AE2707" s="120"/>
      <c r="AF2707" s="120"/>
      <c r="AG2707" s="94"/>
      <c r="AH2707" s="120"/>
      <c r="AI2707" s="94"/>
      <c r="AJ2707" s="94" t="s">
        <v>169</v>
      </c>
      <c r="AK2707" s="94" t="s">
        <v>171</v>
      </c>
      <c r="AL2707" s="94">
        <v>165</v>
      </c>
      <c r="AM2707" s="94" t="str">
        <f>TRIM(AJ2707)&amp;TRIM(AL2707)&amp;TRIM(AK2707)</f>
      </c>
      <c r="AN2707" s="116">
        <v>1149</v>
      </c>
      <c r="AO2707" s="116">
        <v>-69</v>
      </c>
      <c r="AP2707" s="116">
        <f>SUMIFS(M:M,AM:AM,AM2707)+SUMIFS(O:O,AM:AM,AM2707)</f>
      </c>
      <c r="AQ2707" s="116">
        <f>SUMIFS(L:L,AM:AM,AM2707)</f>
      </c>
      <c r="AR2707" s="116">
        <f>AQ2707-AP2707</f>
      </c>
      <c r="AS2707" s="94" t="str">
        <f>IF(AN2707&gt;=AQ2707,"ok","ck")</f>
      </c>
      <c r="AT2707" s="116">
        <f>-P2707</f>
      </c>
      <c r="AU2707" s="115">
        <f>IF(SUMIFS(AT:AT,AM:AM,AM2707)&gt;AO2707,(SUMIFS(AT:AT,AM:AM,AM2707)-AO2707))</f>
      </c>
      <c r="AV2707" s="116">
        <v>1149</v>
      </c>
      <c r="AW2707" s="121">
        <v>1.064</v>
      </c>
      <c r="AX2707" s="115">
        <f>AN2707-AP2707</f>
      </c>
    </row>
    <row r="2708" spans="1:50" ht="15" hidden="1" customHeight="1" x14ac:dyDescent="0.3">
      <c r="A2708" s="94" t="s">
        <v>151</v>
      </c>
      <c r="B2708" s="94"/>
      <c r="C2708" s="94"/>
      <c r="D2708" s="94"/>
      <c r="E2708" s="94"/>
      <c r="F2708" s="94"/>
      <c r="G2708" s="112">
        <f>AU2708</f>
      </c>
      <c r="H2708" s="113"/>
      <c r="I2708" s="94" t="s">
        <v>188</v>
      </c>
      <c r="J2708" s="94" t="s">
        <v>170</v>
      </c>
      <c r="K2708" s="114">
        <f>P2708/3</f>
      </c>
      <c r="L2708" s="115">
        <v>-1.6180000000000001</v>
      </c>
      <c r="M2708" s="116">
        <f>L2708</f>
      </c>
      <c r="N2708" s="117">
        <f>M2708-L2708</f>
      </c>
      <c r="O2708" s="112"/>
      <c r="P2708" s="118">
        <f>N2708+O2708</f>
      </c>
      <c r="Q2708" s="94" t="s">
        <v>169</v>
      </c>
      <c r="R2708" s="94" t="s">
        <v>63</v>
      </c>
      <c r="S2708" s="119">
        <v>46320</v>
      </c>
      <c r="T2708" s="119"/>
      <c r="U2708" s="119">
        <v>46320</v>
      </c>
      <c r="V2708" s="94"/>
      <c r="W2708" s="94"/>
      <c r="X2708" s="94"/>
      <c r="Y2708" s="119">
        <v>46320</v>
      </c>
      <c r="Z2708" s="94"/>
      <c r="AA2708" s="120"/>
      <c r="AB2708" s="120"/>
      <c r="AC2708" s="120"/>
      <c r="AD2708" s="120"/>
      <c r="AE2708" s="120"/>
      <c r="AF2708" s="120"/>
      <c r="AG2708" s="94"/>
      <c r="AH2708" s="120"/>
      <c r="AI2708" s="94"/>
      <c r="AJ2708" s="94" t="s">
        <v>169</v>
      </c>
      <c r="AK2708" s="94" t="s">
        <v>171</v>
      </c>
      <c r="AL2708" s="94">
        <v>165</v>
      </c>
      <c r="AM2708" s="94" t="str">
        <f>TRIM(AJ2708)&amp;TRIM(AL2708)&amp;TRIM(AK2708)</f>
      </c>
      <c r="AN2708" s="116">
        <v>1149</v>
      </c>
      <c r="AO2708" s="116">
        <v>-69</v>
      </c>
      <c r="AP2708" s="116">
        <f>SUMIFS(M:M,AM:AM,AM2708)+SUMIFS(O:O,AM:AM,AM2708)</f>
      </c>
      <c r="AQ2708" s="116">
        <f>SUMIFS(L:L,AM:AM,AM2708)</f>
      </c>
      <c r="AR2708" s="116">
        <f>AQ2708-AP2708</f>
      </c>
      <c r="AS2708" s="94" t="str">
        <f>IF(AN2708&gt;=AQ2708,"ok","ck")</f>
      </c>
      <c r="AT2708" s="116">
        <f>-P2708</f>
      </c>
      <c r="AU2708" s="115">
        <f>IF(SUMIFS(AT:AT,AM:AM,AM2708)&gt;AO2708,(SUMIFS(AT:AT,AM:AM,AM2708)-AO2708))</f>
      </c>
      <c r="AV2708" s="116">
        <v>1149</v>
      </c>
      <c r="AW2708" s="121">
        <v>1.064</v>
      </c>
      <c r="AX2708" s="115">
        <f>AN2708-AP2708</f>
      </c>
    </row>
    <row r="2709" spans="1:50" ht="15" hidden="1" customHeight="1" x14ac:dyDescent="0.3">
      <c r="A2709" s="94" t="s">
        <v>151</v>
      </c>
      <c r="B2709" s="94"/>
      <c r="C2709" s="94"/>
      <c r="D2709" s="94"/>
      <c r="E2709" s="94"/>
      <c r="F2709" s="94"/>
      <c r="G2709" s="112">
        <f>AU2709</f>
      </c>
      <c r="H2709" s="113"/>
      <c r="I2709" s="94" t="s">
        <v>174</v>
      </c>
      <c r="J2709" s="94" t="s">
        <v>196</v>
      </c>
      <c r="K2709" s="114">
        <f>P2709/3</f>
      </c>
      <c r="L2709" s="115">
        <v>0</v>
      </c>
      <c r="M2709" s="116">
        <f>L2709</f>
      </c>
      <c r="N2709" s="117">
        <f>M2709-L2709</f>
      </c>
      <c r="O2709" s="112"/>
      <c r="P2709" s="118">
        <f>N2709+O2709</f>
      </c>
      <c r="Q2709" s="94" t="s">
        <v>197</v>
      </c>
      <c r="R2709" s="94" t="s">
        <v>63</v>
      </c>
      <c r="S2709" s="119">
        <v>46320</v>
      </c>
      <c r="T2709" s="119"/>
      <c r="U2709" s="119">
        <v>46320</v>
      </c>
      <c r="V2709" s="94"/>
      <c r="W2709" s="94"/>
      <c r="X2709" s="94"/>
      <c r="Y2709" s="119">
        <v>46320</v>
      </c>
      <c r="Z2709" s="94"/>
      <c r="AA2709" s="120"/>
      <c r="AB2709" s="120"/>
      <c r="AC2709" s="120"/>
      <c r="AD2709" s="120"/>
      <c r="AE2709" s="120"/>
      <c r="AF2709" s="120"/>
      <c r="AG2709" s="94"/>
      <c r="AH2709" s="120"/>
      <c r="AI2709" s="94"/>
      <c r="AJ2709" s="94" t="s">
        <v>197</v>
      </c>
      <c r="AK2709" s="94" t="s">
        <v>158</v>
      </c>
      <c r="AL2709" s="94">
        <v>160</v>
      </c>
      <c r="AM2709" s="94" t="str">
        <f>TRIM(AJ2709)&amp;TRIM(AL2709)&amp;TRIM(AK2709)</f>
      </c>
      <c r="AN2709" s="116">
        <v>4691</v>
      </c>
      <c r="AO2709" s="116">
        <v>-106</v>
      </c>
      <c r="AP2709" s="116">
        <f>SUMIFS(M:M,AM:AM,AM2709)+SUMIFS(O:O,AM:AM,AM2709)</f>
      </c>
      <c r="AQ2709" s="116">
        <f>SUMIFS(L:L,AM:AM,AM2709)</f>
      </c>
      <c r="AR2709" s="116">
        <f>AQ2709-AP2709</f>
      </c>
      <c r="AS2709" s="94" t="str">
        <f>IF(AN2709&gt;=AQ2709,"ok","ck")</f>
      </c>
      <c r="AT2709" s="116">
        <f>-P2709</f>
      </c>
      <c r="AU2709" s="115">
        <f>IF(SUMIFS(AT:AT,AM:AM,AM2709)&gt;AO2709,(SUMIFS(AT:AT,AM:AM,AM2709)-AO2709))</f>
      </c>
      <c r="AV2709" s="116">
        <v>4691</v>
      </c>
      <c r="AW2709" s="121">
        <v>1.023</v>
      </c>
      <c r="AX2709" s="115">
        <f>AN2709-AP2709</f>
      </c>
    </row>
    <row r="2710" spans="1:50" ht="15" hidden="1" customHeight="1" x14ac:dyDescent="0.3">
      <c r="A2710" s="94" t="s">
        <v>151</v>
      </c>
      <c r="B2710" s="94"/>
      <c r="C2710" s="94"/>
      <c r="D2710" s="94"/>
      <c r="E2710" s="94"/>
      <c r="F2710" s="94"/>
      <c r="G2710" s="112">
        <f>AU2710</f>
      </c>
      <c r="H2710" s="113"/>
      <c r="I2710" s="94" t="s">
        <v>174</v>
      </c>
      <c r="J2710" s="94" t="s">
        <v>196</v>
      </c>
      <c r="K2710" s="114">
        <f>P2710/3</f>
      </c>
      <c r="L2710" s="115">
        <v>310.73200000000003</v>
      </c>
      <c r="M2710" s="116">
        <f>L2710</f>
      </c>
      <c r="N2710" s="117">
        <f>M2710-L2710</f>
      </c>
      <c r="O2710" s="112"/>
      <c r="P2710" s="118">
        <f>N2710+O2710</f>
      </c>
      <c r="Q2710" s="94" t="s">
        <v>197</v>
      </c>
      <c r="R2710" s="94" t="s">
        <v>63</v>
      </c>
      <c r="S2710" s="119">
        <v>46344</v>
      </c>
      <c r="T2710" s="119"/>
      <c r="U2710" s="119">
        <v>46344</v>
      </c>
      <c r="V2710" s="94"/>
      <c r="W2710" s="94"/>
      <c r="X2710" s="94"/>
      <c r="Y2710" s="119">
        <v>46326</v>
      </c>
      <c r="Z2710" s="94"/>
      <c r="AA2710" s="120"/>
      <c r="AB2710" s="120"/>
      <c r="AC2710" s="120"/>
      <c r="AD2710" s="120"/>
      <c r="AE2710" s="120"/>
      <c r="AF2710" s="120"/>
      <c r="AG2710" s="94"/>
      <c r="AH2710" s="120"/>
      <c r="AI2710" s="94"/>
      <c r="AJ2710" s="94" t="s">
        <v>197</v>
      </c>
      <c r="AK2710" s="94" t="s">
        <v>158</v>
      </c>
      <c r="AL2710" s="94">
        <v>160</v>
      </c>
      <c r="AM2710" s="94" t="str">
        <f>TRIM(AJ2710)&amp;TRIM(AL2710)&amp;TRIM(AK2710)</f>
      </c>
      <c r="AN2710" s="116">
        <v>4691</v>
      </c>
      <c r="AO2710" s="116">
        <v>-106</v>
      </c>
      <c r="AP2710" s="116">
        <f>SUMIFS(M:M,AM:AM,AM2710)+SUMIFS(O:O,AM:AM,AM2710)</f>
      </c>
      <c r="AQ2710" s="116">
        <f>SUMIFS(L:L,AM:AM,AM2710)</f>
      </c>
      <c r="AR2710" s="116">
        <f>AQ2710-AP2710</f>
      </c>
      <c r="AS2710" s="94" t="str">
        <f>IF(AN2710&gt;=AQ2710,"ok","ck")</f>
      </c>
      <c r="AT2710" s="116">
        <f>-P2710</f>
      </c>
      <c r="AU2710" s="115">
        <f>IF(SUMIFS(AT:AT,AM:AM,AM2710)&gt;AO2710,(SUMIFS(AT:AT,AM:AM,AM2710)-AO2710))</f>
      </c>
      <c r="AV2710" s="116">
        <v>4691</v>
      </c>
      <c r="AW2710" s="121">
        <v>1.023</v>
      </c>
      <c r="AX2710" s="115">
        <f>AN2710-AP2710</f>
      </c>
    </row>
    <row r="2711" spans="1:50" ht="15" hidden="1" customHeight="1" x14ac:dyDescent="0.3">
      <c r="A2711" s="94" t="s">
        <v>151</v>
      </c>
      <c r="B2711" s="94"/>
      <c r="C2711" s="94"/>
      <c r="D2711" s="94"/>
      <c r="E2711" s="94"/>
      <c r="F2711" s="94"/>
      <c r="G2711" s="112">
        <f>AU2711</f>
      </c>
      <c r="H2711" s="113"/>
      <c r="I2711" s="94" t="s">
        <v>174</v>
      </c>
      <c r="J2711" s="94" t="s">
        <v>196</v>
      </c>
      <c r="K2711" s="114">
        <f>P2711/3</f>
      </c>
      <c r="L2711" s="115">
        <v>310.73200000000003</v>
      </c>
      <c r="M2711" s="116">
        <f>L2711</f>
      </c>
      <c r="N2711" s="117">
        <f>M2711-L2711</f>
      </c>
      <c r="O2711" s="112"/>
      <c r="P2711" s="118">
        <f>N2711+O2711</f>
      </c>
      <c r="Q2711" s="94" t="s">
        <v>197</v>
      </c>
      <c r="R2711" s="94" t="s">
        <v>63</v>
      </c>
      <c r="S2711" s="119">
        <v>46344</v>
      </c>
      <c r="T2711" s="119"/>
      <c r="U2711" s="119">
        <v>46344</v>
      </c>
      <c r="V2711" s="94"/>
      <c r="W2711" s="94"/>
      <c r="X2711" s="94"/>
      <c r="Y2711" s="119">
        <v>46320</v>
      </c>
      <c r="Z2711" s="94"/>
      <c r="AA2711" s="120"/>
      <c r="AB2711" s="120"/>
      <c r="AC2711" s="120"/>
      <c r="AD2711" s="120"/>
      <c r="AE2711" s="120"/>
      <c r="AF2711" s="120"/>
      <c r="AG2711" s="94"/>
      <c r="AH2711" s="120"/>
      <c r="AI2711" s="94"/>
      <c r="AJ2711" s="94" t="s">
        <v>197</v>
      </c>
      <c r="AK2711" s="94" t="s">
        <v>158</v>
      </c>
      <c r="AL2711" s="94">
        <v>160</v>
      </c>
      <c r="AM2711" s="94" t="str">
        <f>TRIM(AJ2711)&amp;TRIM(AL2711)&amp;TRIM(AK2711)</f>
      </c>
      <c r="AN2711" s="116">
        <v>4691</v>
      </c>
      <c r="AO2711" s="116">
        <v>-106</v>
      </c>
      <c r="AP2711" s="116">
        <f>SUMIFS(M:M,AM:AM,AM2711)+SUMIFS(O:O,AM:AM,AM2711)</f>
      </c>
      <c r="AQ2711" s="116">
        <f>SUMIFS(L:L,AM:AM,AM2711)</f>
      </c>
      <c r="AR2711" s="116">
        <f>AQ2711-AP2711</f>
      </c>
      <c r="AS2711" s="94" t="str">
        <f>IF(AN2711&gt;=AQ2711,"ok","ck")</f>
      </c>
      <c r="AT2711" s="116">
        <f>-P2711</f>
      </c>
      <c r="AU2711" s="115">
        <f>IF(SUMIFS(AT:AT,AM:AM,AM2711)&gt;AO2711,(SUMIFS(AT:AT,AM:AM,AM2711)-AO2711))</f>
      </c>
      <c r="AV2711" s="116">
        <v>4691</v>
      </c>
      <c r="AW2711" s="121">
        <v>1.023</v>
      </c>
      <c r="AX2711" s="115">
        <f>AN2711-AP2711</f>
      </c>
    </row>
    <row r="2712" spans="1:50" ht="15" hidden="1" customHeight="1" x14ac:dyDescent="0.3">
      <c r="A2712" s="94" t="s">
        <v>151</v>
      </c>
      <c r="B2712" s="94"/>
      <c r="C2712" s="94"/>
      <c r="D2712" s="94"/>
      <c r="E2712" s="94"/>
      <c r="F2712" s="94"/>
      <c r="G2712" s="112">
        <f>AU2712</f>
      </c>
      <c r="H2712" s="113"/>
      <c r="I2712" s="94" t="s">
        <v>174</v>
      </c>
      <c r="J2712" s="94" t="s">
        <v>196</v>
      </c>
      <c r="K2712" s="114">
        <f>P2712/3</f>
      </c>
      <c r="L2712" s="115">
        <v>320.37200000000001</v>
      </c>
      <c r="M2712" s="116">
        <f>L2712</f>
      </c>
      <c r="N2712" s="117">
        <f>M2712-L2712</f>
      </c>
      <c r="O2712" s="112"/>
      <c r="P2712" s="118">
        <f>N2712+O2712</f>
      </c>
      <c r="Q2712" s="94" t="s">
        <v>197</v>
      </c>
      <c r="R2712" s="94" t="s">
        <v>63</v>
      </c>
      <c r="S2712" s="119">
        <v>46344</v>
      </c>
      <c r="T2712" s="119"/>
      <c r="U2712" s="119">
        <v>46344</v>
      </c>
      <c r="V2712" s="94"/>
      <c r="W2712" s="94"/>
      <c r="X2712" s="94"/>
      <c r="Y2712" s="119">
        <v>46335</v>
      </c>
      <c r="Z2712" s="94"/>
      <c r="AA2712" s="120"/>
      <c r="AB2712" s="120"/>
      <c r="AC2712" s="120"/>
      <c r="AD2712" s="120"/>
      <c r="AE2712" s="120"/>
      <c r="AF2712" s="120"/>
      <c r="AG2712" s="94"/>
      <c r="AH2712" s="120"/>
      <c r="AI2712" s="94"/>
      <c r="AJ2712" s="94" t="s">
        <v>197</v>
      </c>
      <c r="AK2712" s="94" t="s">
        <v>158</v>
      </c>
      <c r="AL2712" s="94">
        <v>160</v>
      </c>
      <c r="AM2712" s="94" t="str">
        <f>TRIM(AJ2712)&amp;TRIM(AL2712)&amp;TRIM(AK2712)</f>
      </c>
      <c r="AN2712" s="116">
        <v>4691</v>
      </c>
      <c r="AO2712" s="116">
        <v>-106</v>
      </c>
      <c r="AP2712" s="116">
        <f>SUMIFS(M:M,AM:AM,AM2712)+SUMIFS(O:O,AM:AM,AM2712)</f>
      </c>
      <c r="AQ2712" s="116">
        <f>SUMIFS(L:L,AM:AM,AM2712)</f>
      </c>
      <c r="AR2712" s="116">
        <f>AQ2712-AP2712</f>
      </c>
      <c r="AS2712" s="94" t="str">
        <f>IF(AN2712&gt;=AQ2712,"ok","ck")</f>
      </c>
      <c r="AT2712" s="116">
        <f>-P2712</f>
      </c>
      <c r="AU2712" s="115">
        <f>IF(SUMIFS(AT:AT,AM:AM,AM2712)&gt;AO2712,(SUMIFS(AT:AT,AM:AM,AM2712)-AO2712))</f>
      </c>
      <c r="AV2712" s="116">
        <v>4691</v>
      </c>
      <c r="AW2712" s="121">
        <v>1.023</v>
      </c>
      <c r="AX2712" s="115">
        <f>AN2712-AP2712</f>
      </c>
    </row>
    <row r="2713" spans="1:50" ht="15" hidden="1" customHeight="1" x14ac:dyDescent="0.3">
      <c r="A2713" s="94" t="s">
        <v>151</v>
      </c>
      <c r="B2713" s="94"/>
      <c r="C2713" s="94"/>
      <c r="D2713" s="94"/>
      <c r="E2713" s="94"/>
      <c r="F2713" s="94"/>
      <c r="G2713" s="112">
        <f>AU2713</f>
      </c>
      <c r="H2713" s="113"/>
      <c r="I2713" s="94" t="s">
        <v>152</v>
      </c>
      <c r="J2713" s="94" t="s">
        <v>170</v>
      </c>
      <c r="K2713" s="114">
        <f>P2713/3</f>
      </c>
      <c r="L2713" s="115">
        <v>-9.0999999999999998E-2</v>
      </c>
      <c r="M2713" s="116">
        <f>L2713</f>
      </c>
      <c r="N2713" s="117">
        <f>M2713-L2713</f>
      </c>
      <c r="O2713" s="112"/>
      <c r="P2713" s="118">
        <f>N2713+O2713</f>
      </c>
      <c r="Q2713" s="94" t="s">
        <v>169</v>
      </c>
      <c r="R2713" s="94" t="s">
        <v>63</v>
      </c>
      <c r="S2713" s="119">
        <v>46320</v>
      </c>
      <c r="T2713" s="119"/>
      <c r="U2713" s="119">
        <v>46320</v>
      </c>
      <c r="V2713" s="94"/>
      <c r="W2713" s="94"/>
      <c r="X2713" s="94"/>
      <c r="Y2713" s="119">
        <v>46320</v>
      </c>
      <c r="Z2713" s="94"/>
      <c r="AA2713" s="120"/>
      <c r="AB2713" s="120"/>
      <c r="AC2713" s="120"/>
      <c r="AD2713" s="120"/>
      <c r="AE2713" s="120"/>
      <c r="AF2713" s="120"/>
      <c r="AG2713" s="94"/>
      <c r="AH2713" s="120"/>
      <c r="AI2713" s="94"/>
      <c r="AJ2713" s="94" t="s">
        <v>169</v>
      </c>
      <c r="AK2713" s="94" t="s">
        <v>171</v>
      </c>
      <c r="AL2713" s="94">
        <v>160</v>
      </c>
      <c r="AM2713" s="94" t="str">
        <f>TRIM(AJ2713)&amp;TRIM(AL2713)&amp;TRIM(AK2713)</f>
      </c>
      <c r="AN2713" s="116">
        <v>84</v>
      </c>
      <c r="AO2713" s="116">
        <v>0</v>
      </c>
      <c r="AP2713" s="116">
        <f>SUMIFS(M:M,AM:AM,AM2713)+SUMIFS(O:O,AM:AM,AM2713)</f>
      </c>
      <c r="AQ2713" s="116">
        <f>SUMIFS(L:L,AM:AM,AM2713)</f>
      </c>
      <c r="AR2713" s="116">
        <f>AQ2713-AP2713</f>
      </c>
      <c r="AS2713" s="94" t="str">
        <f>IF(AN2713&gt;=AQ2713,"ok","ck")</f>
      </c>
      <c r="AT2713" s="116">
        <f>-P2713</f>
      </c>
      <c r="AU2713" s="115">
        <f>IF(SUMIFS(AT:AT,AM:AM,AM2713)&gt;AO2713,(SUMIFS(AT:AT,AM:AM,AM2713)-AO2713))</f>
      </c>
      <c r="AV2713" s="116">
        <v>84</v>
      </c>
      <c r="AW2713" s="121">
        <v>1</v>
      </c>
      <c r="AX2713" s="115">
        <f>AN2713-AP2713</f>
      </c>
    </row>
    <row r="2714" spans="1:50" ht="15" hidden="1" customHeight="1" x14ac:dyDescent="0.3">
      <c r="A2714" s="94" t="s">
        <v>151</v>
      </c>
      <c r="B2714" s="94"/>
      <c r="C2714" s="94"/>
      <c r="D2714" s="94"/>
      <c r="E2714" s="94"/>
      <c r="F2714" s="94"/>
      <c r="G2714" s="112">
        <f>AU2714</f>
      </c>
      <c r="H2714" s="113"/>
      <c r="I2714" s="94" t="s">
        <v>152</v>
      </c>
      <c r="J2714" s="94" t="s">
        <v>170</v>
      </c>
      <c r="K2714" s="114">
        <f>P2714/3</f>
      </c>
      <c r="L2714" s="115">
        <v>-5.1999999999999998E-2</v>
      </c>
      <c r="M2714" s="116">
        <f>L2714</f>
      </c>
      <c r="N2714" s="117">
        <f>M2714-L2714</f>
      </c>
      <c r="O2714" s="112"/>
      <c r="P2714" s="118">
        <f>N2714+O2714</f>
      </c>
      <c r="Q2714" s="94" t="s">
        <v>169</v>
      </c>
      <c r="R2714" s="94" t="s">
        <v>63</v>
      </c>
      <c r="S2714" s="119">
        <v>46320</v>
      </c>
      <c r="T2714" s="119"/>
      <c r="U2714" s="119">
        <v>46320</v>
      </c>
      <c r="V2714" s="94"/>
      <c r="W2714" s="94"/>
      <c r="X2714" s="94"/>
      <c r="Y2714" s="119">
        <v>46320</v>
      </c>
      <c r="Z2714" s="94"/>
      <c r="AA2714" s="120"/>
      <c r="AB2714" s="120"/>
      <c r="AC2714" s="120"/>
      <c r="AD2714" s="120"/>
      <c r="AE2714" s="120"/>
      <c r="AF2714" s="120"/>
      <c r="AG2714" s="94"/>
      <c r="AH2714" s="120"/>
      <c r="AI2714" s="94"/>
      <c r="AJ2714" s="94" t="s">
        <v>169</v>
      </c>
      <c r="AK2714" s="94" t="s">
        <v>171</v>
      </c>
      <c r="AL2714" s="94">
        <v>160</v>
      </c>
      <c r="AM2714" s="94" t="str">
        <f>TRIM(AJ2714)&amp;TRIM(AL2714)&amp;TRIM(AK2714)</f>
      </c>
      <c r="AN2714" s="116">
        <v>84</v>
      </c>
      <c r="AO2714" s="116">
        <v>0</v>
      </c>
      <c r="AP2714" s="116">
        <f>SUMIFS(M:M,AM:AM,AM2714)+SUMIFS(O:O,AM:AM,AM2714)</f>
      </c>
      <c r="AQ2714" s="116">
        <f>SUMIFS(L:L,AM:AM,AM2714)</f>
      </c>
      <c r="AR2714" s="116">
        <f>AQ2714-AP2714</f>
      </c>
      <c r="AS2714" s="94" t="str">
        <f>IF(AN2714&gt;=AQ2714,"ok","ck")</f>
      </c>
      <c r="AT2714" s="116">
        <f>-P2714</f>
      </c>
      <c r="AU2714" s="115">
        <f>IF(SUMIFS(AT:AT,AM:AM,AM2714)&gt;AO2714,(SUMIFS(AT:AT,AM:AM,AM2714)-AO2714))</f>
      </c>
      <c r="AV2714" s="116">
        <v>84</v>
      </c>
      <c r="AW2714" s="121">
        <v>1</v>
      </c>
      <c r="AX2714" s="115">
        <f>AN2714-AP2714</f>
      </c>
    </row>
    <row r="2715" spans="1:50" ht="15" hidden="1" customHeight="1" x14ac:dyDescent="0.3">
      <c r="A2715" s="94" t="s">
        <v>151</v>
      </c>
      <c r="B2715" s="94"/>
      <c r="C2715" s="94"/>
      <c r="D2715" s="94"/>
      <c r="E2715" s="94"/>
      <c r="F2715" s="94"/>
      <c r="G2715" s="112">
        <f>AU2715</f>
      </c>
      <c r="H2715" s="113"/>
      <c r="I2715" s="94" t="s">
        <v>152</v>
      </c>
      <c r="J2715" s="94" t="s">
        <v>156</v>
      </c>
      <c r="K2715" s="114">
        <f>P2715/3</f>
      </c>
      <c r="L2715" s="115">
        <v>0</v>
      </c>
      <c r="M2715" s="116">
        <f>L2715</f>
      </c>
      <c r="N2715" s="117">
        <f>M2715-L2715</f>
      </c>
      <c r="O2715" s="112"/>
      <c r="P2715" s="118">
        <f>N2715+O2715</f>
      </c>
      <c r="Q2715" s="94" t="s">
        <v>197</v>
      </c>
      <c r="R2715" s="94" t="s">
        <v>63</v>
      </c>
      <c r="S2715" s="119">
        <v>46320</v>
      </c>
      <c r="T2715" s="119"/>
      <c r="U2715" s="119">
        <v>46320</v>
      </c>
      <c r="V2715" s="94"/>
      <c r="W2715" s="94"/>
      <c r="X2715" s="94"/>
      <c r="Y2715" s="119">
        <v>46320</v>
      </c>
      <c r="Z2715" s="94"/>
      <c r="AA2715" s="120"/>
      <c r="AB2715" s="120"/>
      <c r="AC2715" s="120"/>
      <c r="AD2715" s="120"/>
      <c r="AE2715" s="120"/>
      <c r="AF2715" s="120"/>
      <c r="AG2715" s="94"/>
      <c r="AH2715" s="120"/>
      <c r="AI2715" s="94"/>
      <c r="AJ2715" s="94" t="s">
        <v>197</v>
      </c>
      <c r="AK2715" s="94" t="s">
        <v>158</v>
      </c>
      <c r="AL2715" s="94">
        <v>160</v>
      </c>
      <c r="AM2715" s="94" t="str">
        <f>TRIM(AJ2715)&amp;TRIM(AL2715)&amp;TRIM(AK2715)</f>
      </c>
      <c r="AN2715" s="116">
        <v>4691</v>
      </c>
      <c r="AO2715" s="116">
        <v>-106</v>
      </c>
      <c r="AP2715" s="116">
        <f>SUMIFS(M:M,AM:AM,AM2715)+SUMIFS(O:O,AM:AM,AM2715)</f>
      </c>
      <c r="AQ2715" s="116">
        <f>SUMIFS(L:L,AM:AM,AM2715)</f>
      </c>
      <c r="AR2715" s="116">
        <f>AQ2715-AP2715</f>
      </c>
      <c r="AS2715" s="94" t="str">
        <f>IF(AN2715&gt;=AQ2715,"ok","ck")</f>
      </c>
      <c r="AT2715" s="116">
        <f>-P2715</f>
      </c>
      <c r="AU2715" s="115">
        <f>IF(SUMIFS(AT:AT,AM:AM,AM2715)&gt;AO2715,(SUMIFS(AT:AT,AM:AM,AM2715)-AO2715))</f>
      </c>
      <c r="AV2715" s="116">
        <v>4691</v>
      </c>
      <c r="AW2715" s="121">
        <v>1.023</v>
      </c>
      <c r="AX2715" s="115">
        <f>AN2715-AP2715</f>
      </c>
    </row>
    <row r="2716" spans="1:50" ht="15" hidden="1" customHeight="1" x14ac:dyDescent="0.3">
      <c r="A2716" s="94" t="s">
        <v>76</v>
      </c>
      <c r="B2716" s="94"/>
      <c r="C2716" s="94"/>
      <c r="D2716" s="94"/>
      <c r="E2716" s="94"/>
      <c r="F2716" s="94"/>
      <c r="G2716" s="112">
        <f>AU2716</f>
      </c>
      <c r="H2716" s="113"/>
      <c r="I2716" s="94" t="s">
        <v>77</v>
      </c>
      <c r="J2716" s="94" t="s">
        <v>79</v>
      </c>
      <c r="K2716" s="114">
        <f>P2716/3</f>
      </c>
      <c r="L2716" s="115">
        <v>-4.7910000000000004</v>
      </c>
      <c r="M2716" s="116">
        <f>L2716</f>
      </c>
      <c r="N2716" s="117">
        <f>M2716-L2716</f>
      </c>
      <c r="O2716" s="112"/>
      <c r="P2716" s="118">
        <f>N2716+O2716</f>
      </c>
      <c r="Q2716" s="94" t="s">
        <v>845</v>
      </c>
      <c r="R2716" s="94" t="s">
        <v>63</v>
      </c>
      <c r="S2716" s="119">
        <v>46323</v>
      </c>
      <c r="T2716" s="119"/>
      <c r="U2716" s="119">
        <v>46323</v>
      </c>
      <c r="V2716" s="94"/>
      <c r="W2716" s="94"/>
      <c r="X2716" s="94"/>
      <c r="Y2716" s="119">
        <v>46323</v>
      </c>
      <c r="Z2716" s="94"/>
      <c r="AA2716" s="120"/>
      <c r="AB2716" s="120"/>
      <c r="AC2716" s="120"/>
      <c r="AD2716" s="120"/>
      <c r="AE2716" s="120"/>
      <c r="AF2716" s="120"/>
      <c r="AG2716" s="94"/>
      <c r="AH2716" s="120"/>
      <c r="AI2716" s="94"/>
      <c r="AJ2716" s="94" t="s">
        <v>845</v>
      </c>
      <c r="AK2716" s="94" t="s">
        <v>79</v>
      </c>
      <c r="AL2716" s="94">
        <v>150</v>
      </c>
      <c r="AM2716" s="94" t="str">
        <f>TRIM(AJ2716)&amp;TRIM(AL2716)&amp;TRIM(AK2716)</f>
      </c>
      <c r="AN2716" s="116">
        <v>2428</v>
      </c>
      <c r="AO2716" s="116">
        <v>-45.81</v>
      </c>
      <c r="AP2716" s="116">
        <f>SUMIFS(M:M,AM:AM,AM2716)+SUMIFS(O:O,AM:AM,AM2716)</f>
      </c>
      <c r="AQ2716" s="116">
        <f>SUMIFS(L:L,AM:AM,AM2716)</f>
      </c>
      <c r="AR2716" s="116">
        <f>AQ2716-AP2716</f>
      </c>
      <c r="AS2716" s="94" t="str">
        <f>IF(AN2716&gt;=AQ2716,"ok","ck")</f>
      </c>
      <c r="AT2716" s="116">
        <f>-P2716</f>
      </c>
      <c r="AU2716" s="115">
        <f>IF(SUMIFS(AT:AT,AM:AM,AM2716)&gt;AO2716,(SUMIFS(AT:AT,AM:AM,AM2716)-AO2716))</f>
      </c>
      <c r="AV2716" s="116">
        <v>2428</v>
      </c>
      <c r="AW2716" s="121">
        <v>1.019</v>
      </c>
      <c r="AX2716" s="115">
        <f>AN2716-AP2716</f>
      </c>
    </row>
    <row r="2717" spans="1:50" ht="15" hidden="1" customHeight="1" x14ac:dyDescent="0.3">
      <c r="A2717" s="94" t="s">
        <v>151</v>
      </c>
      <c r="B2717" s="94"/>
      <c r="C2717" s="94"/>
      <c r="D2717" s="94"/>
      <c r="E2717" s="94"/>
      <c r="F2717" s="94"/>
      <c r="G2717" s="112">
        <f>AU2717</f>
      </c>
      <c r="H2717" s="113"/>
      <c r="I2717" s="94" t="s">
        <v>174</v>
      </c>
      <c r="J2717" s="94" t="s">
        <v>196</v>
      </c>
      <c r="K2717" s="114">
        <f>P2717/3</f>
      </c>
      <c r="L2717" s="115">
        <v>3.0219999999999998</v>
      </c>
      <c r="M2717" s="116">
        <f>L2717</f>
      </c>
      <c r="N2717" s="117">
        <f>M2717-L2717</f>
      </c>
      <c r="O2717" s="112"/>
      <c r="P2717" s="118">
        <f>N2717+O2717</f>
      </c>
      <c r="Q2717" s="94" t="s">
        <v>197</v>
      </c>
      <c r="R2717" s="94" t="s">
        <v>63</v>
      </c>
      <c r="S2717" s="119">
        <v>46344</v>
      </c>
      <c r="T2717" s="119"/>
      <c r="U2717" s="119">
        <v>46344</v>
      </c>
      <c r="V2717" s="94"/>
      <c r="W2717" s="94"/>
      <c r="X2717" s="94"/>
      <c r="Y2717" s="119">
        <v>46320</v>
      </c>
      <c r="Z2717" s="94"/>
      <c r="AA2717" s="120"/>
      <c r="AB2717" s="120"/>
      <c r="AC2717" s="120"/>
      <c r="AD2717" s="120"/>
      <c r="AE2717" s="120"/>
      <c r="AF2717" s="120"/>
      <c r="AG2717" s="94"/>
      <c r="AH2717" s="120"/>
      <c r="AI2717" s="94"/>
      <c r="AJ2717" s="94" t="s">
        <v>197</v>
      </c>
      <c r="AK2717" s="94" t="s">
        <v>158</v>
      </c>
      <c r="AL2717" s="94">
        <v>160</v>
      </c>
      <c r="AM2717" s="94" t="str">
        <f>TRIM(AJ2717)&amp;TRIM(AL2717)&amp;TRIM(AK2717)</f>
      </c>
      <c r="AN2717" s="116">
        <v>4691</v>
      </c>
      <c r="AO2717" s="116">
        <v>-106</v>
      </c>
      <c r="AP2717" s="116">
        <f>SUMIFS(M:M,AM:AM,AM2717)+SUMIFS(O:O,AM:AM,AM2717)</f>
      </c>
      <c r="AQ2717" s="116">
        <f>SUMIFS(L:L,AM:AM,AM2717)</f>
      </c>
      <c r="AR2717" s="116">
        <f>AQ2717-AP2717</f>
      </c>
      <c r="AS2717" s="94" t="str">
        <f>IF(AN2717&gt;=AQ2717,"ok","ck")</f>
      </c>
      <c r="AT2717" s="116">
        <f>-P2717</f>
      </c>
      <c r="AU2717" s="115">
        <f>IF(SUMIFS(AT:AT,AM:AM,AM2717)&gt;AO2717,(SUMIFS(AT:AT,AM:AM,AM2717)-AO2717))</f>
      </c>
      <c r="AV2717" s="116">
        <v>4691</v>
      </c>
      <c r="AW2717" s="121">
        <v>1.023</v>
      </c>
      <c r="AX2717" s="115">
        <f>AN2717-AP2717</f>
      </c>
    </row>
    <row r="2718" spans="1:50" ht="15" hidden="1" customHeight="1" x14ac:dyDescent="0.3">
      <c r="A2718" s="94" t="s">
        <v>151</v>
      </c>
      <c r="B2718" s="94"/>
      <c r="C2718" s="94"/>
      <c r="D2718" s="94"/>
      <c r="E2718" s="94"/>
      <c r="F2718" s="94"/>
      <c r="G2718" s="112">
        <f>AU2718</f>
      </c>
      <c r="H2718" s="113"/>
      <c r="I2718" s="94" t="s">
        <v>174</v>
      </c>
      <c r="J2718" s="94" t="s">
        <v>196</v>
      </c>
      <c r="K2718" s="114">
        <f>P2718/3</f>
      </c>
      <c r="L2718" s="115">
        <v>503.79700000000003</v>
      </c>
      <c r="M2718" s="116">
        <f>L2718</f>
      </c>
      <c r="N2718" s="117">
        <f>M2718-L2718</f>
      </c>
      <c r="O2718" s="112"/>
      <c r="P2718" s="118">
        <f>N2718+O2718</f>
      </c>
      <c r="Q2718" s="94" t="s">
        <v>197</v>
      </c>
      <c r="R2718" s="94" t="s">
        <v>63</v>
      </c>
      <c r="S2718" s="119">
        <v>46344</v>
      </c>
      <c r="T2718" s="119"/>
      <c r="U2718" s="119">
        <v>46344</v>
      </c>
      <c r="V2718" s="94"/>
      <c r="W2718" s="94"/>
      <c r="X2718" s="94"/>
      <c r="Y2718" s="119">
        <v>46331</v>
      </c>
      <c r="Z2718" s="94"/>
      <c r="AA2718" s="120"/>
      <c r="AB2718" s="120"/>
      <c r="AC2718" s="120"/>
      <c r="AD2718" s="120"/>
      <c r="AE2718" s="120"/>
      <c r="AF2718" s="120"/>
      <c r="AG2718" s="94"/>
      <c r="AH2718" s="120"/>
      <c r="AI2718" s="94"/>
      <c r="AJ2718" s="94" t="s">
        <v>197</v>
      </c>
      <c r="AK2718" s="94" t="s">
        <v>158</v>
      </c>
      <c r="AL2718" s="94">
        <v>160</v>
      </c>
      <c r="AM2718" s="94" t="str">
        <f>TRIM(AJ2718)&amp;TRIM(AL2718)&amp;TRIM(AK2718)</f>
      </c>
      <c r="AN2718" s="116">
        <v>4691</v>
      </c>
      <c r="AO2718" s="116">
        <v>-106</v>
      </c>
      <c r="AP2718" s="116">
        <f>SUMIFS(M:M,AM:AM,AM2718)+SUMIFS(O:O,AM:AM,AM2718)</f>
      </c>
      <c r="AQ2718" s="116">
        <f>SUMIFS(L:L,AM:AM,AM2718)</f>
      </c>
      <c r="AR2718" s="116">
        <f>AQ2718-AP2718</f>
      </c>
      <c r="AS2718" s="94" t="str">
        <f>IF(AN2718&gt;=AQ2718,"ok","ck")</f>
      </c>
      <c r="AT2718" s="116">
        <f>-P2718</f>
      </c>
      <c r="AU2718" s="115">
        <f>IF(SUMIFS(AT:AT,AM:AM,AM2718)&gt;AO2718,(SUMIFS(AT:AT,AM:AM,AM2718)-AO2718))</f>
      </c>
      <c r="AV2718" s="116">
        <v>4691</v>
      </c>
      <c r="AW2718" s="121">
        <v>1.023</v>
      </c>
      <c r="AX2718" s="115">
        <f>AN2718-AP2718</f>
      </c>
    </row>
    <row r="2719" spans="1:50" ht="15" hidden="1" customHeight="1" x14ac:dyDescent="0.3">
      <c r="A2719" s="94" t="s">
        <v>151</v>
      </c>
      <c r="B2719" s="94"/>
      <c r="C2719" s="94"/>
      <c r="D2719" s="94"/>
      <c r="E2719" s="94"/>
      <c r="F2719" s="94"/>
      <c r="G2719" s="112">
        <f>AU2719</f>
      </c>
      <c r="H2719" s="113"/>
      <c r="I2719" s="94" t="s">
        <v>152</v>
      </c>
      <c r="J2719" s="94" t="s">
        <v>189</v>
      </c>
      <c r="K2719" s="114">
        <f>P2719/3</f>
      </c>
      <c r="L2719" s="115">
        <v>0</v>
      </c>
      <c r="M2719" s="116"/>
      <c r="N2719" s="117">
        <f>M2719-L2719</f>
      </c>
      <c r="O2719" s="112"/>
      <c r="P2719" s="118">
        <f>N2719+O2719</f>
      </c>
      <c r="Q2719" s="94" t="s">
        <v>176</v>
      </c>
      <c r="R2719" s="94" t="s">
        <v>63</v>
      </c>
      <c r="S2719" s="119">
        <v>46320</v>
      </c>
      <c r="T2719" s="119"/>
      <c r="U2719" s="119">
        <v>46320</v>
      </c>
      <c r="V2719" s="94"/>
      <c r="W2719" s="94"/>
      <c r="X2719" s="94"/>
      <c r="Y2719" s="119">
        <v>46320</v>
      </c>
      <c r="Z2719" s="94"/>
      <c r="AA2719" s="120"/>
      <c r="AB2719" s="120"/>
      <c r="AC2719" s="120"/>
      <c r="AD2719" s="120"/>
      <c r="AE2719" s="120"/>
      <c r="AF2719" s="120"/>
      <c r="AG2719" s="94"/>
      <c r="AH2719" s="120"/>
      <c r="AI2719" s="94"/>
      <c r="AJ2719" s="94" t="s">
        <v>176</v>
      </c>
      <c r="AK2719" s="94" t="s">
        <v>190</v>
      </c>
      <c r="AL2719" s="94">
        <v>160</v>
      </c>
      <c r="AM2719" s="94" t="str">
        <f>TRIM(AJ2719)&amp;TRIM(AL2719)&amp;TRIM(AK2719)</f>
      </c>
      <c r="AN2719" s="116">
        <v>723</v>
      </c>
      <c r="AO2719" s="116">
        <v>32</v>
      </c>
      <c r="AP2719" s="116">
        <f>SUMIFS(M:M,AM:AM,AM2719)+SUMIFS(O:O,AM:AM,AM2719)</f>
      </c>
      <c r="AQ2719" s="116">
        <f>SUMIFS(L:L,AM:AM,AM2719)</f>
      </c>
      <c r="AR2719" s="116">
        <f>AQ2719-AP2719</f>
      </c>
      <c r="AS2719" s="94" t="str">
        <f>IF(AN2719&gt;=AQ2719,"ok","ck")</f>
      </c>
      <c r="AT2719" s="116">
        <f>-P2719</f>
      </c>
      <c r="AU2719" s="115">
        <f>IF(SUMIFS(AT:AT,AM:AM,AM2719)&gt;AO2719,(SUMIFS(AT:AT,AM:AM,AM2719)-AO2719))</f>
      </c>
      <c r="AV2719" s="116">
        <v>723</v>
      </c>
      <c r="AW2719" s="121">
        <v>0.958</v>
      </c>
      <c r="AX2719" s="115">
        <f>AN2719-AP2719</f>
      </c>
    </row>
    <row r="2720" spans="1:50" ht="15" hidden="1" customHeight="1" x14ac:dyDescent="0.3">
      <c r="A2720" s="94" t="s">
        <v>151</v>
      </c>
      <c r="B2720" s="94"/>
      <c r="C2720" s="94"/>
      <c r="D2720" s="94"/>
      <c r="E2720" s="94"/>
      <c r="F2720" s="94"/>
      <c r="G2720" s="112">
        <f>AU2720</f>
      </c>
      <c r="H2720" s="113"/>
      <c r="I2720" s="94" t="s">
        <v>152</v>
      </c>
      <c r="J2720" s="94" t="s">
        <v>189</v>
      </c>
      <c r="K2720" s="114">
        <f>P2720/3</f>
      </c>
      <c r="L2720" s="115">
        <v>0</v>
      </c>
      <c r="M2720" s="116"/>
      <c r="N2720" s="117">
        <f>M2720-L2720</f>
      </c>
      <c r="O2720" s="112"/>
      <c r="P2720" s="118">
        <f>N2720+O2720</f>
      </c>
      <c r="Q2720" s="94" t="s">
        <v>176</v>
      </c>
      <c r="R2720" s="94" t="s">
        <v>63</v>
      </c>
      <c r="S2720" s="119">
        <v>46322</v>
      </c>
      <c r="T2720" s="119"/>
      <c r="U2720" s="119">
        <v>46322</v>
      </c>
      <c r="V2720" s="94"/>
      <c r="W2720" s="94"/>
      <c r="X2720" s="94"/>
      <c r="Y2720" s="119">
        <v>46322</v>
      </c>
      <c r="Z2720" s="94"/>
      <c r="AA2720" s="120"/>
      <c r="AB2720" s="120"/>
      <c r="AC2720" s="120"/>
      <c r="AD2720" s="120"/>
      <c r="AE2720" s="120"/>
      <c r="AF2720" s="120"/>
      <c r="AG2720" s="94"/>
      <c r="AH2720" s="120"/>
      <c r="AI2720" s="94"/>
      <c r="AJ2720" s="94" t="s">
        <v>176</v>
      </c>
      <c r="AK2720" s="94" t="s">
        <v>190</v>
      </c>
      <c r="AL2720" s="94">
        <v>160</v>
      </c>
      <c r="AM2720" s="94" t="str">
        <f>TRIM(AJ2720)&amp;TRIM(AL2720)&amp;TRIM(AK2720)</f>
      </c>
      <c r="AN2720" s="116">
        <v>723</v>
      </c>
      <c r="AO2720" s="116">
        <v>32</v>
      </c>
      <c r="AP2720" s="116">
        <f>SUMIFS(M:M,AM:AM,AM2720)+SUMIFS(O:O,AM:AM,AM2720)</f>
      </c>
      <c r="AQ2720" s="116">
        <f>SUMIFS(L:L,AM:AM,AM2720)</f>
      </c>
      <c r="AR2720" s="116">
        <f>AQ2720-AP2720</f>
      </c>
      <c r="AS2720" s="94" t="str">
        <f>IF(AN2720&gt;=AQ2720,"ok","ck")</f>
      </c>
      <c r="AT2720" s="116">
        <f>-P2720</f>
      </c>
      <c r="AU2720" s="115">
        <f>IF(SUMIFS(AT:AT,AM:AM,AM2720)&gt;AO2720,(SUMIFS(AT:AT,AM:AM,AM2720)-AO2720))</f>
      </c>
      <c r="AV2720" s="116">
        <v>723</v>
      </c>
      <c r="AW2720" s="121">
        <v>0.958</v>
      </c>
      <c r="AX2720" s="115">
        <f>AN2720-AP2720</f>
      </c>
    </row>
    <row r="2721" spans="1:50" ht="15" hidden="1" customHeight="1" x14ac:dyDescent="0.3">
      <c r="A2721" s="94" t="s">
        <v>151</v>
      </c>
      <c r="B2721" s="94"/>
      <c r="C2721" s="94"/>
      <c r="D2721" s="94"/>
      <c r="E2721" s="94"/>
      <c r="F2721" s="94"/>
      <c r="G2721" s="112">
        <f>AU2721</f>
      </c>
      <c r="H2721" s="113"/>
      <c r="I2721" s="94" t="s">
        <v>152</v>
      </c>
      <c r="J2721" s="94" t="s">
        <v>189</v>
      </c>
      <c r="K2721" s="114">
        <f>P2721/3</f>
      </c>
      <c r="L2721" s="115">
        <v>0</v>
      </c>
      <c r="M2721" s="116"/>
      <c r="N2721" s="117">
        <f>M2721-L2721</f>
      </c>
      <c r="O2721" s="112"/>
      <c r="P2721" s="118">
        <f>N2721+O2721</f>
      </c>
      <c r="Q2721" s="94" t="s">
        <v>176</v>
      </c>
      <c r="R2721" s="94" t="s">
        <v>63</v>
      </c>
      <c r="S2721" s="119">
        <v>46320</v>
      </c>
      <c r="T2721" s="119"/>
      <c r="U2721" s="119">
        <v>46320</v>
      </c>
      <c r="V2721" s="94"/>
      <c r="W2721" s="94"/>
      <c r="X2721" s="94"/>
      <c r="Y2721" s="119">
        <v>46320</v>
      </c>
      <c r="Z2721" s="94"/>
      <c r="AA2721" s="120"/>
      <c r="AB2721" s="120"/>
      <c r="AC2721" s="120"/>
      <c r="AD2721" s="120"/>
      <c r="AE2721" s="120"/>
      <c r="AF2721" s="120"/>
      <c r="AG2721" s="94"/>
      <c r="AH2721" s="120"/>
      <c r="AI2721" s="94"/>
      <c r="AJ2721" s="94" t="s">
        <v>176</v>
      </c>
      <c r="AK2721" s="94" t="s">
        <v>190</v>
      </c>
      <c r="AL2721" s="94">
        <v>160</v>
      </c>
      <c r="AM2721" s="94" t="str">
        <f>TRIM(AJ2721)&amp;TRIM(AL2721)&amp;TRIM(AK2721)</f>
      </c>
      <c r="AN2721" s="116">
        <v>723</v>
      </c>
      <c r="AO2721" s="116">
        <v>32</v>
      </c>
      <c r="AP2721" s="116">
        <f>SUMIFS(M:M,AM:AM,AM2721)+SUMIFS(O:O,AM:AM,AM2721)</f>
      </c>
      <c r="AQ2721" s="116">
        <f>SUMIFS(L:L,AM:AM,AM2721)</f>
      </c>
      <c r="AR2721" s="116">
        <f>AQ2721-AP2721</f>
      </c>
      <c r="AS2721" s="94" t="str">
        <f>IF(AN2721&gt;=AQ2721,"ok","ck")</f>
      </c>
      <c r="AT2721" s="116">
        <f>-P2721</f>
      </c>
      <c r="AU2721" s="115">
        <f>IF(SUMIFS(AT:AT,AM:AM,AM2721)&gt;AO2721,(SUMIFS(AT:AT,AM:AM,AM2721)-AO2721))</f>
      </c>
      <c r="AV2721" s="116">
        <v>723</v>
      </c>
      <c r="AW2721" s="121">
        <v>0.958</v>
      </c>
      <c r="AX2721" s="115">
        <f>AN2721-AP2721</f>
      </c>
    </row>
    <row r="2722" spans="1:50" ht="15" hidden="1" customHeight="1" x14ac:dyDescent="0.3">
      <c r="A2722" s="94" t="s">
        <v>151</v>
      </c>
      <c r="B2722" s="94"/>
      <c r="C2722" s="94"/>
      <c r="D2722" s="94"/>
      <c r="E2722" s="94"/>
      <c r="F2722" s="94"/>
      <c r="G2722" s="112">
        <f>AU2722</f>
      </c>
      <c r="H2722" s="113"/>
      <c r="I2722" s="94" t="s">
        <v>152</v>
      </c>
      <c r="J2722" s="94" t="s">
        <v>189</v>
      </c>
      <c r="K2722" s="114">
        <f>P2722/3</f>
      </c>
      <c r="L2722" s="115">
        <v>31.45</v>
      </c>
      <c r="M2722" s="116"/>
      <c r="N2722" s="117">
        <f>M2722-L2722</f>
      </c>
      <c r="O2722" s="112"/>
      <c r="P2722" s="118">
        <f>N2722+O2722</f>
      </c>
      <c r="Q2722" s="94" t="s">
        <v>176</v>
      </c>
      <c r="R2722" s="94" t="s">
        <v>63</v>
      </c>
      <c r="S2722" s="119">
        <v>46329</v>
      </c>
      <c r="T2722" s="119"/>
      <c r="U2722" s="119">
        <v>46329</v>
      </c>
      <c r="V2722" s="94"/>
      <c r="W2722" s="94"/>
      <c r="X2722" s="94"/>
      <c r="Y2722" s="119">
        <v>46329</v>
      </c>
      <c r="Z2722" s="94"/>
      <c r="AA2722" s="120"/>
      <c r="AB2722" s="120"/>
      <c r="AC2722" s="120"/>
      <c r="AD2722" s="120"/>
      <c r="AE2722" s="120"/>
      <c r="AF2722" s="120"/>
      <c r="AG2722" s="94"/>
      <c r="AH2722" s="120"/>
      <c r="AI2722" s="94"/>
      <c r="AJ2722" s="94" t="s">
        <v>176</v>
      </c>
      <c r="AK2722" s="94" t="s">
        <v>190</v>
      </c>
      <c r="AL2722" s="94">
        <v>160</v>
      </c>
      <c r="AM2722" s="94" t="str">
        <f>TRIM(AJ2722)&amp;TRIM(AL2722)&amp;TRIM(AK2722)</f>
      </c>
      <c r="AN2722" s="116">
        <v>723</v>
      </c>
      <c r="AO2722" s="116">
        <v>32</v>
      </c>
      <c r="AP2722" s="116">
        <f>SUMIFS(M:M,AM:AM,AM2722)+SUMIFS(O:O,AM:AM,AM2722)</f>
      </c>
      <c r="AQ2722" s="116">
        <f>SUMIFS(L:L,AM:AM,AM2722)</f>
      </c>
      <c r="AR2722" s="116">
        <f>AQ2722-AP2722</f>
      </c>
      <c r="AS2722" s="94" t="str">
        <f>IF(AN2722&gt;=AQ2722,"ok","ck")</f>
      </c>
      <c r="AT2722" s="116">
        <f>-P2722</f>
      </c>
      <c r="AU2722" s="115">
        <f>IF(SUMIFS(AT:AT,AM:AM,AM2722)&gt;AO2722,(SUMIFS(AT:AT,AM:AM,AM2722)-AO2722))</f>
      </c>
      <c r="AV2722" s="116">
        <v>723</v>
      </c>
      <c r="AW2722" s="121">
        <v>0.958</v>
      </c>
      <c r="AX2722" s="115">
        <f>AN2722-AP2722</f>
      </c>
    </row>
    <row r="2723" spans="1:50" ht="15" hidden="1" customHeight="1" x14ac:dyDescent="0.3">
      <c r="A2723" s="94" t="s">
        <v>151</v>
      </c>
      <c r="B2723" s="94"/>
      <c r="C2723" s="94"/>
      <c r="D2723" s="94"/>
      <c r="E2723" s="94"/>
      <c r="F2723" s="94"/>
      <c r="G2723" s="112">
        <f>AU2723</f>
      </c>
      <c r="H2723" s="113"/>
      <c r="I2723" s="94" t="s">
        <v>174</v>
      </c>
      <c r="J2723" s="94" t="s">
        <v>175</v>
      </c>
      <c r="K2723" s="114">
        <f>P2723/3</f>
      </c>
      <c r="L2723" s="115">
        <v>451.988</v>
      </c>
      <c r="M2723" s="116"/>
      <c r="N2723" s="117">
        <f>M2723-L2723</f>
      </c>
      <c r="O2723" s="112"/>
      <c r="P2723" s="118">
        <f>N2723+O2723</f>
      </c>
      <c r="Q2723" s="94" t="s">
        <v>176</v>
      </c>
      <c r="R2723" s="94" t="s">
        <v>63</v>
      </c>
      <c r="S2723" s="119">
        <v>46331</v>
      </c>
      <c r="T2723" s="119"/>
      <c r="U2723" s="119">
        <v>46331</v>
      </c>
      <c r="V2723" s="94"/>
      <c r="W2723" s="94"/>
      <c r="X2723" s="94"/>
      <c r="Y2723" s="119">
        <v>46320</v>
      </c>
      <c r="Z2723" s="94"/>
      <c r="AA2723" s="120"/>
      <c r="AB2723" s="120"/>
      <c r="AC2723" s="120"/>
      <c r="AD2723" s="120"/>
      <c r="AE2723" s="120"/>
      <c r="AF2723" s="120"/>
      <c r="AG2723" s="94"/>
      <c r="AH2723" s="120"/>
      <c r="AI2723" s="94"/>
      <c r="AJ2723" s="94" t="s">
        <v>176</v>
      </c>
      <c r="AK2723" s="94" t="s">
        <v>177</v>
      </c>
      <c r="AL2723" s="94">
        <v>160</v>
      </c>
      <c r="AM2723" s="94" t="str">
        <f>TRIM(AJ2723)&amp;TRIM(AL2723)&amp;TRIM(AK2723)</f>
      </c>
      <c r="AN2723" s="116">
        <v>6454</v>
      </c>
      <c r="AO2723" s="116">
        <v>1656</v>
      </c>
      <c r="AP2723" s="116">
        <f>SUMIFS(M:M,AM:AM,AM2723)+SUMIFS(O:O,AM:AM,AM2723)</f>
      </c>
      <c r="AQ2723" s="116">
        <f>SUMIFS(L:L,AM:AM,AM2723)</f>
      </c>
      <c r="AR2723" s="116">
        <f>AQ2723-AP2723</f>
      </c>
      <c r="AS2723" s="94" t="str">
        <f>IF(AN2723&gt;=AQ2723,"ok","ck")</f>
      </c>
      <c r="AT2723" s="116">
        <f>-P2723</f>
      </c>
      <c r="AU2723" s="115">
        <f>IF(SUMIFS(AT:AT,AM:AM,AM2723)&gt;AO2723,(SUMIFS(AT:AT,AM:AM,AM2723)-AO2723))</f>
      </c>
      <c r="AV2723" s="116">
        <v>6454</v>
      </c>
      <c r="AW2723" s="121">
        <v>0.796</v>
      </c>
      <c r="AX2723" s="115">
        <f>AN2723-AP2723</f>
      </c>
    </row>
    <row r="2724" spans="1:50" ht="15" hidden="1" customHeight="1" x14ac:dyDescent="0.3">
      <c r="A2724" s="94" t="s">
        <v>151</v>
      </c>
      <c r="B2724" s="94"/>
      <c r="C2724" s="94"/>
      <c r="D2724" s="94"/>
      <c r="E2724" s="94"/>
      <c r="F2724" s="94"/>
      <c r="G2724" s="112">
        <f>AU2724</f>
      </c>
      <c r="H2724" s="113"/>
      <c r="I2724" s="94" t="s">
        <v>188</v>
      </c>
      <c r="J2724" s="94" t="s">
        <v>189</v>
      </c>
      <c r="K2724" s="114">
        <f>P2724/3</f>
      </c>
      <c r="L2724" s="115">
        <v>-2.0939999999999999</v>
      </c>
      <c r="M2724" s="116">
        <f>L2724</f>
      </c>
      <c r="N2724" s="117">
        <f>M2724-L2724</f>
      </c>
      <c r="O2724" s="112"/>
      <c r="P2724" s="118">
        <f>N2724+O2724</f>
      </c>
      <c r="Q2724" s="94" t="s">
        <v>169</v>
      </c>
      <c r="R2724" s="94" t="s">
        <v>63</v>
      </c>
      <c r="S2724" s="119">
        <v>46320</v>
      </c>
      <c r="T2724" s="119"/>
      <c r="U2724" s="119">
        <v>46320</v>
      </c>
      <c r="V2724" s="94"/>
      <c r="W2724" s="94"/>
      <c r="X2724" s="94"/>
      <c r="Y2724" s="119">
        <v>46320</v>
      </c>
      <c r="Z2724" s="94"/>
      <c r="AA2724" s="120"/>
      <c r="AB2724" s="120"/>
      <c r="AC2724" s="120"/>
      <c r="AD2724" s="120"/>
      <c r="AE2724" s="120"/>
      <c r="AF2724" s="120"/>
      <c r="AG2724" s="94"/>
      <c r="AH2724" s="120"/>
      <c r="AI2724" s="94"/>
      <c r="AJ2724" s="94" t="s">
        <v>169</v>
      </c>
      <c r="AK2724" s="94" t="s">
        <v>190</v>
      </c>
      <c r="AL2724" s="94">
        <v>165</v>
      </c>
      <c r="AM2724" s="94" t="str">
        <f>TRIM(AJ2724)&amp;TRIM(AL2724)&amp;TRIM(AK2724)</f>
      </c>
      <c r="AN2724" s="116">
        <v>862.65</v>
      </c>
      <c r="AO2724" s="116">
        <v>-17.65</v>
      </c>
      <c r="AP2724" s="116">
        <f>SUMIFS(M:M,AM:AM,AM2724)+SUMIFS(O:O,AM:AM,AM2724)</f>
      </c>
      <c r="AQ2724" s="116">
        <f>SUMIFS(L:L,AM:AM,AM2724)</f>
      </c>
      <c r="AR2724" s="116">
        <f>AQ2724-AP2724</f>
      </c>
      <c r="AS2724" s="94" t="str">
        <f>IF(AN2724&gt;=AQ2724,"ok","ck")</f>
      </c>
      <c r="AT2724" s="116">
        <f>-P2724</f>
      </c>
      <c r="AU2724" s="115">
        <f>IF(SUMIFS(AT:AT,AM:AM,AM2724)&gt;AO2724,(SUMIFS(AT:AT,AM:AM,AM2724)-AO2724))</f>
      </c>
      <c r="AV2724" s="116">
        <v>862.65</v>
      </c>
      <c r="AW2724" s="121">
        <v>1.021</v>
      </c>
      <c r="AX2724" s="115">
        <f>AN2724-AP2724</f>
      </c>
    </row>
    <row r="2725" spans="1:50" ht="15" hidden="1" customHeight="1" x14ac:dyDescent="0.3">
      <c r="A2725" s="94" t="s">
        <v>151</v>
      </c>
      <c r="B2725" s="94"/>
      <c r="C2725" s="94"/>
      <c r="D2725" s="94"/>
      <c r="E2725" s="94"/>
      <c r="F2725" s="94"/>
      <c r="G2725" s="112">
        <f>AU2725</f>
      </c>
      <c r="H2725" s="113"/>
      <c r="I2725" s="94" t="s">
        <v>188</v>
      </c>
      <c r="J2725" s="94" t="s">
        <v>189</v>
      </c>
      <c r="K2725" s="114">
        <f>P2725/3</f>
      </c>
      <c r="L2725" s="115">
        <v>-1.1950000000000001</v>
      </c>
      <c r="M2725" s="116">
        <f>L2725</f>
      </c>
      <c r="N2725" s="117">
        <f>M2725-L2725</f>
      </c>
      <c r="O2725" s="112"/>
      <c r="P2725" s="118">
        <f>N2725+O2725</f>
      </c>
      <c r="Q2725" s="94" t="s">
        <v>169</v>
      </c>
      <c r="R2725" s="94" t="s">
        <v>63</v>
      </c>
      <c r="S2725" s="119">
        <v>46320</v>
      </c>
      <c r="T2725" s="119"/>
      <c r="U2725" s="119">
        <v>46320</v>
      </c>
      <c r="V2725" s="94"/>
      <c r="W2725" s="94"/>
      <c r="X2725" s="94"/>
      <c r="Y2725" s="119">
        <v>46320</v>
      </c>
      <c r="Z2725" s="94"/>
      <c r="AA2725" s="120"/>
      <c r="AB2725" s="120"/>
      <c r="AC2725" s="120"/>
      <c r="AD2725" s="120"/>
      <c r="AE2725" s="120"/>
      <c r="AF2725" s="120"/>
      <c r="AG2725" s="94"/>
      <c r="AH2725" s="120"/>
      <c r="AI2725" s="94"/>
      <c r="AJ2725" s="94" t="s">
        <v>169</v>
      </c>
      <c r="AK2725" s="94" t="s">
        <v>190</v>
      </c>
      <c r="AL2725" s="94">
        <v>165</v>
      </c>
      <c r="AM2725" s="94" t="str">
        <f>TRIM(AJ2725)&amp;TRIM(AL2725)&amp;TRIM(AK2725)</f>
      </c>
      <c r="AN2725" s="116">
        <v>862.65</v>
      </c>
      <c r="AO2725" s="116">
        <v>-17.65</v>
      </c>
      <c r="AP2725" s="116">
        <f>SUMIFS(M:M,AM:AM,AM2725)+SUMIFS(O:O,AM:AM,AM2725)</f>
      </c>
      <c r="AQ2725" s="116">
        <f>SUMIFS(L:L,AM:AM,AM2725)</f>
      </c>
      <c r="AR2725" s="116">
        <f>AQ2725-AP2725</f>
      </c>
      <c r="AS2725" s="94" t="str">
        <f>IF(AN2725&gt;=AQ2725,"ok","ck")</f>
      </c>
      <c r="AT2725" s="116">
        <f>-P2725</f>
      </c>
      <c r="AU2725" s="115">
        <f>IF(SUMIFS(AT:AT,AM:AM,AM2725)&gt;AO2725,(SUMIFS(AT:AT,AM:AM,AM2725)-AO2725))</f>
      </c>
      <c r="AV2725" s="116">
        <v>862.65</v>
      </c>
      <c r="AW2725" s="121">
        <v>1.021</v>
      </c>
      <c r="AX2725" s="115">
        <f>AN2725-AP2725</f>
      </c>
    </row>
    <row r="2726" spans="1:50" ht="15" hidden="1" customHeight="1" x14ac:dyDescent="0.3">
      <c r="A2726" s="94" t="s">
        <v>151</v>
      </c>
      <c r="B2726" s="94"/>
      <c r="C2726" s="94"/>
      <c r="D2726" s="94"/>
      <c r="E2726" s="94"/>
      <c r="F2726" s="94"/>
      <c r="G2726" s="112">
        <f>AU2726</f>
      </c>
      <c r="H2726" s="113"/>
      <c r="I2726" s="94" t="s">
        <v>152</v>
      </c>
      <c r="J2726" s="94" t="s">
        <v>156</v>
      </c>
      <c r="K2726" s="114">
        <f>P2726/3</f>
      </c>
      <c r="L2726" s="115">
        <v>153.679</v>
      </c>
      <c r="M2726" s="116">
        <v>153.679</v>
      </c>
      <c r="N2726" s="117">
        <f>M2726-L2726</f>
      </c>
      <c r="O2726" s="112"/>
      <c r="P2726" s="118">
        <f>N2726+O2726</f>
      </c>
      <c r="Q2726" s="94" t="s">
        <v>235</v>
      </c>
      <c r="R2726" s="94" t="s">
        <v>63</v>
      </c>
      <c r="S2726" s="119">
        <v>46333</v>
      </c>
      <c r="T2726" s="119"/>
      <c r="U2726" s="119">
        <v>46333</v>
      </c>
      <c r="V2726" s="94"/>
      <c r="W2726" s="94"/>
      <c r="X2726" s="94"/>
      <c r="Y2726" s="119">
        <v>46320</v>
      </c>
      <c r="Z2726" s="94"/>
      <c r="AA2726" s="120"/>
      <c r="AB2726" s="120"/>
      <c r="AC2726" s="120"/>
      <c r="AD2726" s="120"/>
      <c r="AE2726" s="120"/>
      <c r="AF2726" s="120"/>
      <c r="AG2726" s="94"/>
      <c r="AH2726" s="120"/>
      <c r="AI2726" s="94"/>
      <c r="AJ2726" s="94" t="s">
        <v>235</v>
      </c>
      <c r="AK2726" s="94" t="s">
        <v>158</v>
      </c>
      <c r="AL2726" s="94">
        <v>160</v>
      </c>
      <c r="AM2726" s="94" t="str">
        <f>TRIM(AJ2726)&amp;TRIM(AL2726)&amp;TRIM(AK2726)</f>
      </c>
      <c r="AN2726" s="116">
        <v>5533.7</v>
      </c>
      <c r="AO2726" s="116">
        <v>151.3</v>
      </c>
      <c r="AP2726" s="116">
        <f>SUMIFS(M:M,AM:AM,AM2726)+SUMIFS(O:O,AM:AM,AM2726)</f>
      </c>
      <c r="AQ2726" s="116">
        <f>SUMIFS(L:L,AM:AM,AM2726)</f>
      </c>
      <c r="AR2726" s="116">
        <f>AQ2726-AP2726</f>
      </c>
      <c r="AS2726" s="94" t="str">
        <f>IF(AN2726&gt;=AQ2726,"ok","ck")</f>
      </c>
      <c r="AT2726" s="116">
        <f>-P2726</f>
      </c>
      <c r="AU2726" s="115">
        <f>IF(SUMIFS(AT:AT,AM:AM,AM2726)&gt;AO2726,(SUMIFS(AT:AT,AM:AM,AM2726)-AO2726))</f>
      </c>
      <c r="AV2726" s="116">
        <v>5533.7</v>
      </c>
      <c r="AW2726" s="121">
        <v>0.973</v>
      </c>
      <c r="AX2726" s="115">
        <f>AN2726-AP2726</f>
      </c>
    </row>
    <row r="2727" spans="1:50" ht="15" hidden="1" customHeight="1" x14ac:dyDescent="0.3">
      <c r="A2727" s="94" t="s">
        <v>151</v>
      </c>
      <c r="B2727" s="94"/>
      <c r="C2727" s="94"/>
      <c r="D2727" s="94"/>
      <c r="E2727" s="94"/>
      <c r="F2727" s="94"/>
      <c r="G2727" s="112">
        <f>AU2727</f>
      </c>
      <c r="H2727" s="113"/>
      <c r="I2727" s="94" t="s">
        <v>152</v>
      </c>
      <c r="J2727" s="94" t="s">
        <v>156</v>
      </c>
      <c r="K2727" s="114">
        <f>P2727/3</f>
      </c>
      <c r="L2727" s="115">
        <v>115.67</v>
      </c>
      <c r="M2727" s="116">
        <v>115.67</v>
      </c>
      <c r="N2727" s="117">
        <f>M2727-L2727</f>
      </c>
      <c r="O2727" s="112"/>
      <c r="P2727" s="118">
        <f>N2727+O2727</f>
      </c>
      <c r="Q2727" s="94" t="s">
        <v>235</v>
      </c>
      <c r="R2727" s="94" t="s">
        <v>63</v>
      </c>
      <c r="S2727" s="119">
        <v>46333</v>
      </c>
      <c r="T2727" s="119"/>
      <c r="U2727" s="119">
        <v>46333</v>
      </c>
      <c r="V2727" s="94"/>
      <c r="W2727" s="94"/>
      <c r="X2727" s="94"/>
      <c r="Y2727" s="119">
        <v>46320</v>
      </c>
      <c r="Z2727" s="94"/>
      <c r="AA2727" s="120"/>
      <c r="AB2727" s="120"/>
      <c r="AC2727" s="120"/>
      <c r="AD2727" s="120"/>
      <c r="AE2727" s="120"/>
      <c r="AF2727" s="120"/>
      <c r="AG2727" s="94"/>
      <c r="AH2727" s="120"/>
      <c r="AI2727" s="94"/>
      <c r="AJ2727" s="94" t="s">
        <v>235</v>
      </c>
      <c r="AK2727" s="94" t="s">
        <v>158</v>
      </c>
      <c r="AL2727" s="94">
        <v>160</v>
      </c>
      <c r="AM2727" s="94" t="str">
        <f>TRIM(AJ2727)&amp;TRIM(AL2727)&amp;TRIM(AK2727)</f>
      </c>
      <c r="AN2727" s="116">
        <v>5533.7</v>
      </c>
      <c r="AO2727" s="116">
        <v>151.3</v>
      </c>
      <c r="AP2727" s="116">
        <f>SUMIFS(M:M,AM:AM,AM2727)+SUMIFS(O:O,AM:AM,AM2727)</f>
      </c>
      <c r="AQ2727" s="116">
        <f>SUMIFS(L:L,AM:AM,AM2727)</f>
      </c>
      <c r="AR2727" s="116">
        <f>AQ2727-AP2727</f>
      </c>
      <c r="AS2727" s="94" t="str">
        <f>IF(AN2727&gt;=AQ2727,"ok","ck")</f>
      </c>
      <c r="AT2727" s="116">
        <f>-P2727</f>
      </c>
      <c r="AU2727" s="115">
        <f>IF(SUMIFS(AT:AT,AM:AM,AM2727)&gt;AO2727,(SUMIFS(AT:AT,AM:AM,AM2727)-AO2727))</f>
      </c>
      <c r="AV2727" s="116">
        <v>5533.7</v>
      </c>
      <c r="AW2727" s="121">
        <v>0.973</v>
      </c>
      <c r="AX2727" s="115">
        <f>AN2727-AP2727</f>
      </c>
    </row>
    <row r="2728" spans="1:50" ht="15" hidden="1" customHeight="1" x14ac:dyDescent="0.3">
      <c r="A2728" s="94" t="s">
        <v>151</v>
      </c>
      <c r="B2728" s="94"/>
      <c r="C2728" s="94"/>
      <c r="D2728" s="94"/>
      <c r="E2728" s="94"/>
      <c r="F2728" s="94"/>
      <c r="G2728" s="112">
        <f>AU2728</f>
      </c>
      <c r="H2728" s="113"/>
      <c r="I2728" s="94" t="s">
        <v>152</v>
      </c>
      <c r="J2728" s="94" t="s">
        <v>156</v>
      </c>
      <c r="K2728" s="114">
        <f>P2728/3</f>
      </c>
      <c r="L2728" s="115">
        <v>153.679</v>
      </c>
      <c r="M2728" s="116">
        <v>153.679</v>
      </c>
      <c r="N2728" s="117">
        <f>M2728-L2728</f>
      </c>
      <c r="O2728" s="112"/>
      <c r="P2728" s="118">
        <f>N2728+O2728</f>
      </c>
      <c r="Q2728" s="94" t="s">
        <v>235</v>
      </c>
      <c r="R2728" s="94" t="s">
        <v>63</v>
      </c>
      <c r="S2728" s="119">
        <v>46333</v>
      </c>
      <c r="T2728" s="119"/>
      <c r="U2728" s="119">
        <v>46333</v>
      </c>
      <c r="V2728" s="94"/>
      <c r="W2728" s="94"/>
      <c r="X2728" s="94"/>
      <c r="Y2728" s="119">
        <v>46320</v>
      </c>
      <c r="Z2728" s="94"/>
      <c r="AA2728" s="120"/>
      <c r="AB2728" s="120"/>
      <c r="AC2728" s="120"/>
      <c r="AD2728" s="120"/>
      <c r="AE2728" s="120"/>
      <c r="AF2728" s="120"/>
      <c r="AG2728" s="94"/>
      <c r="AH2728" s="120"/>
      <c r="AI2728" s="94"/>
      <c r="AJ2728" s="94" t="s">
        <v>235</v>
      </c>
      <c r="AK2728" s="94" t="s">
        <v>158</v>
      </c>
      <c r="AL2728" s="94">
        <v>160</v>
      </c>
      <c r="AM2728" s="94" t="str">
        <f>TRIM(AJ2728)&amp;TRIM(AL2728)&amp;TRIM(AK2728)</f>
      </c>
      <c r="AN2728" s="116">
        <v>5533.7</v>
      </c>
      <c r="AO2728" s="116">
        <v>151.3</v>
      </c>
      <c r="AP2728" s="116">
        <f>SUMIFS(M:M,AM:AM,AM2728)+SUMIFS(O:O,AM:AM,AM2728)</f>
      </c>
      <c r="AQ2728" s="116">
        <f>SUMIFS(L:L,AM:AM,AM2728)</f>
      </c>
      <c r="AR2728" s="116">
        <f>AQ2728-AP2728</f>
      </c>
      <c r="AS2728" s="94" t="str">
        <f>IF(AN2728&gt;=AQ2728,"ok","ck")</f>
      </c>
      <c r="AT2728" s="116">
        <f>-P2728</f>
      </c>
      <c r="AU2728" s="115">
        <f>IF(SUMIFS(AT:AT,AM:AM,AM2728)&gt;AO2728,(SUMIFS(AT:AT,AM:AM,AM2728)-AO2728))</f>
      </c>
      <c r="AV2728" s="116">
        <v>5533.7</v>
      </c>
      <c r="AW2728" s="121">
        <v>0.973</v>
      </c>
      <c r="AX2728" s="115">
        <f>AN2728-AP2728</f>
      </c>
    </row>
    <row r="2729" spans="1:50" ht="15" hidden="1" customHeight="1" x14ac:dyDescent="0.3">
      <c r="A2729" s="94" t="s">
        <v>151</v>
      </c>
      <c r="B2729" s="94"/>
      <c r="C2729" s="94"/>
      <c r="D2729" s="94"/>
      <c r="E2729" s="94"/>
      <c r="F2729" s="94"/>
      <c r="G2729" s="112">
        <f>AU2729</f>
      </c>
      <c r="H2729" s="113"/>
      <c r="I2729" s="94" t="s">
        <v>152</v>
      </c>
      <c r="J2729" s="94" t="s">
        <v>156</v>
      </c>
      <c r="K2729" s="114">
        <f>P2729/3</f>
      </c>
      <c r="L2729" s="115">
        <v>120.46299999999999</v>
      </c>
      <c r="M2729" s="116">
        <v>120.46299999999999</v>
      </c>
      <c r="N2729" s="117">
        <f>M2729-L2729</f>
      </c>
      <c r="O2729" s="112"/>
      <c r="P2729" s="118">
        <f>N2729+O2729</f>
      </c>
      <c r="Q2729" s="94" t="s">
        <v>235</v>
      </c>
      <c r="R2729" s="94" t="s">
        <v>63</v>
      </c>
      <c r="S2729" s="119">
        <v>46333</v>
      </c>
      <c r="T2729" s="119"/>
      <c r="U2729" s="119">
        <v>46333</v>
      </c>
      <c r="V2729" s="94"/>
      <c r="W2729" s="94"/>
      <c r="X2729" s="94"/>
      <c r="Y2729" s="119">
        <v>46320</v>
      </c>
      <c r="Z2729" s="94"/>
      <c r="AA2729" s="120"/>
      <c r="AB2729" s="120"/>
      <c r="AC2729" s="120"/>
      <c r="AD2729" s="120"/>
      <c r="AE2729" s="120"/>
      <c r="AF2729" s="120"/>
      <c r="AG2729" s="94"/>
      <c r="AH2729" s="120"/>
      <c r="AI2729" s="94"/>
      <c r="AJ2729" s="94" t="s">
        <v>235</v>
      </c>
      <c r="AK2729" s="94" t="s">
        <v>158</v>
      </c>
      <c r="AL2729" s="94">
        <v>160</v>
      </c>
      <c r="AM2729" s="94" t="str">
        <f>TRIM(AJ2729)&amp;TRIM(AL2729)&amp;TRIM(AK2729)</f>
      </c>
      <c r="AN2729" s="116">
        <v>5533.7</v>
      </c>
      <c r="AO2729" s="116">
        <v>151.3</v>
      </c>
      <c r="AP2729" s="116">
        <f>SUMIFS(M:M,AM:AM,AM2729)+SUMIFS(O:O,AM:AM,AM2729)</f>
      </c>
      <c r="AQ2729" s="116">
        <f>SUMIFS(L:L,AM:AM,AM2729)</f>
      </c>
      <c r="AR2729" s="116">
        <f>AQ2729-AP2729</f>
      </c>
      <c r="AS2729" s="94" t="str">
        <f>IF(AN2729&gt;=AQ2729,"ok","ck")</f>
      </c>
      <c r="AT2729" s="116">
        <f>-P2729</f>
      </c>
      <c r="AU2729" s="115">
        <f>IF(SUMIFS(AT:AT,AM:AM,AM2729)&gt;AO2729,(SUMIFS(AT:AT,AM:AM,AM2729)-AO2729))</f>
      </c>
      <c r="AV2729" s="116">
        <v>5533.7</v>
      </c>
      <c r="AW2729" s="121">
        <v>0.973</v>
      </c>
      <c r="AX2729" s="115">
        <f>AN2729-AP2729</f>
      </c>
    </row>
    <row r="2730" spans="1:50" ht="15" hidden="1" customHeight="1" x14ac:dyDescent="0.3">
      <c r="A2730" s="94" t="s">
        <v>151</v>
      </c>
      <c r="B2730" s="94"/>
      <c r="C2730" s="94"/>
      <c r="D2730" s="94"/>
      <c r="E2730" s="94"/>
      <c r="F2730" s="94"/>
      <c r="G2730" s="112">
        <f>AU2730</f>
      </c>
      <c r="H2730" s="113"/>
      <c r="I2730" s="94" t="s">
        <v>152</v>
      </c>
      <c r="J2730" s="94" t="s">
        <v>156</v>
      </c>
      <c r="K2730" s="114">
        <f>P2730/3</f>
      </c>
      <c r="L2730" s="115">
        <v>86.045000000000002</v>
      </c>
      <c r="M2730" s="116">
        <v>86.045000000000002</v>
      </c>
      <c r="N2730" s="117">
        <f>M2730-L2730</f>
      </c>
      <c r="O2730" s="112"/>
      <c r="P2730" s="118">
        <f>N2730+O2730</f>
      </c>
      <c r="Q2730" s="94" t="s">
        <v>235</v>
      </c>
      <c r="R2730" s="94" t="s">
        <v>63</v>
      </c>
      <c r="S2730" s="119">
        <v>46333</v>
      </c>
      <c r="T2730" s="119"/>
      <c r="U2730" s="119">
        <v>46333</v>
      </c>
      <c r="V2730" s="94"/>
      <c r="W2730" s="94"/>
      <c r="X2730" s="94"/>
      <c r="Y2730" s="119">
        <v>46320</v>
      </c>
      <c r="Z2730" s="94"/>
      <c r="AA2730" s="120"/>
      <c r="AB2730" s="120"/>
      <c r="AC2730" s="120"/>
      <c r="AD2730" s="120"/>
      <c r="AE2730" s="120"/>
      <c r="AF2730" s="120"/>
      <c r="AG2730" s="94"/>
      <c r="AH2730" s="120"/>
      <c r="AI2730" s="94"/>
      <c r="AJ2730" s="94" t="s">
        <v>235</v>
      </c>
      <c r="AK2730" s="94" t="s">
        <v>158</v>
      </c>
      <c r="AL2730" s="94">
        <v>160</v>
      </c>
      <c r="AM2730" s="94" t="str">
        <f>TRIM(AJ2730)&amp;TRIM(AL2730)&amp;TRIM(AK2730)</f>
      </c>
      <c r="AN2730" s="116">
        <v>5533.7</v>
      </c>
      <c r="AO2730" s="116">
        <v>151.3</v>
      </c>
      <c r="AP2730" s="116">
        <f>SUMIFS(M:M,AM:AM,AM2730)+SUMIFS(O:O,AM:AM,AM2730)</f>
      </c>
      <c r="AQ2730" s="116">
        <f>SUMIFS(L:L,AM:AM,AM2730)</f>
      </c>
      <c r="AR2730" s="116">
        <f>AQ2730-AP2730</f>
      </c>
      <c r="AS2730" s="94" t="str">
        <f>IF(AN2730&gt;=AQ2730,"ok","ck")</f>
      </c>
      <c r="AT2730" s="116">
        <f>-P2730</f>
      </c>
      <c r="AU2730" s="115">
        <f>IF(SUMIFS(AT:AT,AM:AM,AM2730)&gt;AO2730,(SUMIFS(AT:AT,AM:AM,AM2730)-AO2730))</f>
      </c>
      <c r="AV2730" s="116">
        <v>5533.7</v>
      </c>
      <c r="AW2730" s="121">
        <v>0.973</v>
      </c>
      <c r="AX2730" s="115">
        <f>AN2730-AP2730</f>
      </c>
    </row>
    <row r="2731" spans="1:50" ht="15" hidden="1" customHeight="1" x14ac:dyDescent="0.3">
      <c r="A2731" s="94" t="s">
        <v>151</v>
      </c>
      <c r="B2731" s="94"/>
      <c r="C2731" s="94"/>
      <c r="D2731" s="94"/>
      <c r="E2731" s="94"/>
      <c r="F2731" s="94"/>
      <c r="G2731" s="112">
        <f>AU2731</f>
      </c>
      <c r="H2731" s="113"/>
      <c r="I2731" s="94" t="s">
        <v>152</v>
      </c>
      <c r="J2731" s="94" t="s">
        <v>156</v>
      </c>
      <c r="K2731" s="114">
        <f>P2731/3</f>
      </c>
      <c r="L2731" s="115">
        <v>1213.6969999999999</v>
      </c>
      <c r="M2731" s="116">
        <v>1062.3969999999999</v>
      </c>
      <c r="N2731" s="117">
        <f>M2731-L2731</f>
      </c>
      <c r="O2731" s="112"/>
      <c r="P2731" s="118">
        <f>N2731+O2731</f>
      </c>
      <c r="Q2731" s="94" t="s">
        <v>235</v>
      </c>
      <c r="R2731" s="94" t="s">
        <v>63</v>
      </c>
      <c r="S2731" s="119">
        <v>46333</v>
      </c>
      <c r="T2731" s="119"/>
      <c r="U2731" s="119">
        <v>46333</v>
      </c>
      <c r="V2731" s="94"/>
      <c r="W2731" s="94"/>
      <c r="X2731" s="94"/>
      <c r="Y2731" s="119">
        <v>46320</v>
      </c>
      <c r="Z2731" s="94"/>
      <c r="AA2731" s="120"/>
      <c r="AB2731" s="120"/>
      <c r="AC2731" s="120"/>
      <c r="AD2731" s="120"/>
      <c r="AE2731" s="120"/>
      <c r="AF2731" s="120"/>
      <c r="AG2731" s="94"/>
      <c r="AH2731" s="120"/>
      <c r="AI2731" s="94"/>
      <c r="AJ2731" s="94" t="s">
        <v>235</v>
      </c>
      <c r="AK2731" s="94" t="s">
        <v>158</v>
      </c>
      <c r="AL2731" s="94">
        <v>160</v>
      </c>
      <c r="AM2731" s="94" t="str">
        <f>TRIM(AJ2731)&amp;TRIM(AL2731)&amp;TRIM(AK2731)</f>
      </c>
      <c r="AN2731" s="116">
        <v>5533.7</v>
      </c>
      <c r="AO2731" s="116">
        <v>151.3</v>
      </c>
      <c r="AP2731" s="116">
        <f>SUMIFS(M:M,AM:AM,AM2731)+SUMIFS(O:O,AM:AM,AM2731)</f>
      </c>
      <c r="AQ2731" s="116">
        <f>SUMIFS(L:L,AM:AM,AM2731)</f>
      </c>
      <c r="AR2731" s="116">
        <f>AQ2731-AP2731</f>
      </c>
      <c r="AS2731" s="94" t="str">
        <f>IF(AN2731&gt;=AQ2731,"ok","ck")</f>
      </c>
      <c r="AT2731" s="116">
        <f>-P2731</f>
      </c>
      <c r="AU2731" s="115">
        <f>IF(SUMIFS(AT:AT,AM:AM,AM2731)&gt;AO2731,(SUMIFS(AT:AT,AM:AM,AM2731)-AO2731))</f>
      </c>
      <c r="AV2731" s="116">
        <v>5533.7</v>
      </c>
      <c r="AW2731" s="121">
        <v>0.973</v>
      </c>
      <c r="AX2731" s="115">
        <f>AN2731-AP2731</f>
      </c>
    </row>
    <row r="2732" spans="1:50" ht="15" hidden="1" customHeight="1" x14ac:dyDescent="0.3">
      <c r="A2732" s="94" t="s">
        <v>76</v>
      </c>
      <c r="B2732" s="94"/>
      <c r="C2732" s="94"/>
      <c r="D2732" s="94"/>
      <c r="E2732" s="94"/>
      <c r="F2732" s="94"/>
      <c r="G2732" s="112">
        <f>AU2732</f>
      </c>
      <c r="H2732" s="113"/>
      <c r="I2732" s="94" t="s">
        <v>77</v>
      </c>
      <c r="J2732" s="94" t="s">
        <v>90</v>
      </c>
      <c r="K2732" s="114">
        <f>P2732/3</f>
      </c>
      <c r="L2732" s="115">
        <v>442.8</v>
      </c>
      <c r="M2732" s="116">
        <v>442.8</v>
      </c>
      <c r="N2732" s="117">
        <f>M2732-L2732</f>
      </c>
      <c r="O2732" s="112"/>
      <c r="P2732" s="118">
        <f>N2732+O2732</f>
      </c>
      <c r="Q2732" s="94" t="s">
        <v>78</v>
      </c>
      <c r="R2732" s="94" t="s">
        <v>63</v>
      </c>
      <c r="S2732" s="119">
        <v>46333</v>
      </c>
      <c r="T2732" s="119"/>
      <c r="U2732" s="119">
        <v>46333</v>
      </c>
      <c r="V2732" s="94"/>
      <c r="W2732" s="94"/>
      <c r="X2732" s="94"/>
      <c r="Y2732" s="119">
        <v>46333</v>
      </c>
      <c r="Z2732" s="94"/>
      <c r="AA2732" s="120"/>
      <c r="AB2732" s="120"/>
      <c r="AC2732" s="120"/>
      <c r="AD2732" s="120"/>
      <c r="AE2732" s="120"/>
      <c r="AF2732" s="120"/>
      <c r="AG2732" s="94"/>
      <c r="AH2732" s="120"/>
      <c r="AI2732" s="94"/>
      <c r="AJ2732" s="94" t="s">
        <v>78</v>
      </c>
      <c r="AK2732" s="94" t="s">
        <v>91</v>
      </c>
      <c r="AL2732" s="94">
        <v>150</v>
      </c>
      <c r="AM2732" s="94" t="str">
        <f>TRIM(AJ2732)&amp;TRIM(AL2732)&amp;TRIM(AK2732)</f>
      </c>
      <c r="AN2732" s="116">
        <v>11712.82</v>
      </c>
      <c r="AO2732" s="116">
        <v>161.4</v>
      </c>
      <c r="AP2732" s="116">
        <f>SUMIFS(M:M,AM:AM,AM2732)+SUMIFS(O:O,AM:AM,AM2732)</f>
      </c>
      <c r="AQ2732" s="116">
        <f>SUMIFS(L:L,AM:AM,AM2732)</f>
      </c>
      <c r="AR2732" s="116">
        <f>AQ2732-AP2732</f>
      </c>
      <c r="AS2732" s="94" t="str">
        <f>IF(AN2732&gt;=AQ2732,"ok","ck")</f>
      </c>
      <c r="AT2732" s="116">
        <f>-P2732</f>
      </c>
      <c r="AU2732" s="115">
        <f>IF(SUMIFS(AT:AT,AM:AM,AM2732)&gt;AO2732,(SUMIFS(AT:AT,AM:AM,AM2732)-AO2732))</f>
      </c>
      <c r="AV2732" s="116">
        <v>11712.82</v>
      </c>
      <c r="AW2732" s="121">
        <v>0.986</v>
      </c>
      <c r="AX2732" s="115">
        <f>AN2732-AP2732</f>
      </c>
    </row>
    <row r="2733" spans="1:50" ht="15" hidden="1" customHeight="1" x14ac:dyDescent="0.3">
      <c r="A2733" s="94" t="s">
        <v>151</v>
      </c>
      <c r="B2733" s="94"/>
      <c r="C2733" s="94"/>
      <c r="D2733" s="94"/>
      <c r="E2733" s="94"/>
      <c r="F2733" s="94"/>
      <c r="G2733" s="112">
        <f>AU2733</f>
      </c>
      <c r="H2733" s="113"/>
      <c r="I2733" s="94" t="s">
        <v>167</v>
      </c>
      <c r="J2733" s="94" t="s">
        <v>156</v>
      </c>
      <c r="K2733" s="114">
        <f>P2733/3</f>
      </c>
      <c r="L2733" s="115">
        <v>1900</v>
      </c>
      <c r="M2733" s="116"/>
      <c r="N2733" s="117">
        <f>M2733-L2733</f>
      </c>
      <c r="O2733" s="112"/>
      <c r="P2733" s="118">
        <f>N2733+O2733</f>
      </c>
      <c r="Q2733" s="94" t="s">
        <v>168</v>
      </c>
      <c r="R2733" s="94" t="s">
        <v>63</v>
      </c>
      <c r="S2733" s="119">
        <v>46325</v>
      </c>
      <c r="T2733" s="119"/>
      <c r="U2733" s="119" t="s">
        <v>690</v>
      </c>
      <c r="V2733" s="94"/>
      <c r="W2733" s="94"/>
      <c r="X2733" s="94"/>
      <c r="Y2733" s="119">
        <v>46320</v>
      </c>
      <c r="Z2733" s="94"/>
      <c r="AA2733" s="120"/>
      <c r="AB2733" s="120"/>
      <c r="AC2733" s="120"/>
      <c r="AD2733" s="120"/>
      <c r="AE2733" s="120"/>
      <c r="AF2733" s="120"/>
      <c r="AG2733" s="94"/>
      <c r="AH2733" s="120"/>
      <c r="AI2733" s="94"/>
      <c r="AJ2733" s="94" t="s">
        <v>168</v>
      </c>
      <c r="AK2733" s="94" t="s">
        <v>158</v>
      </c>
      <c r="AL2733" s="94">
        <v>210</v>
      </c>
      <c r="AM2733" s="94" t="str">
        <f>TRIM(AJ2733)&amp;TRIM(AL2733)&amp;TRIM(AK2733)</f>
      </c>
      <c r="AN2733" s="116">
        <v>7935</v>
      </c>
      <c r="AO2733" s="116">
        <v>22816.29</v>
      </c>
      <c r="AP2733" s="116">
        <f>SUMIFS(M:M,AM:AM,AM2733)+SUMIFS(O:O,AM:AM,AM2733)</f>
      </c>
      <c r="AQ2733" s="116">
        <f>SUMIFS(L:L,AM:AM,AM2733)</f>
      </c>
      <c r="AR2733" s="116">
        <f>AQ2733-AP2733</f>
      </c>
      <c r="AS2733" s="94" t="str">
        <f>IF(AN2733&gt;=AQ2733,"ok","ck")</f>
      </c>
      <c r="AT2733" s="116">
        <f>-P2733</f>
      </c>
      <c r="AU2733" s="115">
        <f>IF(SUMIFS(AT:AT,AM:AM,AM2733)&gt;AO2733,(SUMIFS(AT:AT,AM:AM,AM2733)-AO2733))</f>
      </c>
      <c r="AV2733" s="116">
        <v>224</v>
      </c>
      <c r="AW2733" s="121">
        <v>0.947</v>
      </c>
      <c r="AX2733" s="115">
        <f>AN2733-AP2733</f>
      </c>
    </row>
    <row r="2734" spans="1:50" ht="15" hidden="1" customHeight="1" x14ac:dyDescent="0.3">
      <c r="A2734" s="94" t="s">
        <v>151</v>
      </c>
      <c r="B2734" s="94"/>
      <c r="C2734" s="94"/>
      <c r="D2734" s="94"/>
      <c r="E2734" s="94"/>
      <c r="F2734" s="94"/>
      <c r="G2734" s="112">
        <f>AU2734</f>
      </c>
      <c r="H2734" s="113"/>
      <c r="I2734" s="94" t="s">
        <v>167</v>
      </c>
      <c r="J2734" s="94" t="s">
        <v>156</v>
      </c>
      <c r="K2734" s="114">
        <f>P2734/3</f>
      </c>
      <c r="L2734" s="115">
        <v>1900</v>
      </c>
      <c r="M2734" s="116"/>
      <c r="N2734" s="117">
        <f>M2734-L2734</f>
      </c>
      <c r="O2734" s="112"/>
      <c r="P2734" s="118">
        <f>N2734+O2734</f>
      </c>
      <c r="Q2734" s="94" t="s">
        <v>168</v>
      </c>
      <c r="R2734" s="94" t="s">
        <v>63</v>
      </c>
      <c r="S2734" s="119">
        <v>46328</v>
      </c>
      <c r="T2734" s="119"/>
      <c r="U2734" s="119" t="s">
        <v>690</v>
      </c>
      <c r="V2734" s="94"/>
      <c r="W2734" s="94"/>
      <c r="X2734" s="94"/>
      <c r="Y2734" s="119">
        <v>46320</v>
      </c>
      <c r="Z2734" s="94"/>
      <c r="AA2734" s="120"/>
      <c r="AB2734" s="120"/>
      <c r="AC2734" s="120"/>
      <c r="AD2734" s="120"/>
      <c r="AE2734" s="120"/>
      <c r="AF2734" s="120"/>
      <c r="AG2734" s="94"/>
      <c r="AH2734" s="120"/>
      <c r="AI2734" s="94"/>
      <c r="AJ2734" s="94" t="s">
        <v>168</v>
      </c>
      <c r="AK2734" s="94" t="s">
        <v>158</v>
      </c>
      <c r="AL2734" s="94">
        <v>210</v>
      </c>
      <c r="AM2734" s="94" t="str">
        <f>TRIM(AJ2734)&amp;TRIM(AL2734)&amp;TRIM(AK2734)</f>
      </c>
      <c r="AN2734" s="116">
        <v>7935</v>
      </c>
      <c r="AO2734" s="116">
        <v>22816.29</v>
      </c>
      <c r="AP2734" s="116">
        <f>SUMIFS(M:M,AM:AM,AM2734)+SUMIFS(O:O,AM:AM,AM2734)</f>
      </c>
      <c r="AQ2734" s="116">
        <f>SUMIFS(L:L,AM:AM,AM2734)</f>
      </c>
      <c r="AR2734" s="116">
        <f>AQ2734-AP2734</f>
      </c>
      <c r="AS2734" s="94" t="str">
        <f>IF(AN2734&gt;=AQ2734,"ok","ck")</f>
      </c>
      <c r="AT2734" s="116">
        <f>-P2734</f>
      </c>
      <c r="AU2734" s="115">
        <f>IF(SUMIFS(AT:AT,AM:AM,AM2734)&gt;AO2734,(SUMIFS(AT:AT,AM:AM,AM2734)-AO2734))</f>
      </c>
      <c r="AV2734" s="116">
        <v>224</v>
      </c>
      <c r="AW2734" s="121">
        <v>0.947</v>
      </c>
      <c r="AX2734" s="115">
        <f>AN2734-AP2734</f>
      </c>
    </row>
    <row r="2735" spans="1:50" ht="15" hidden="1" customHeight="1" x14ac:dyDescent="0.3">
      <c r="A2735" s="94" t="s">
        <v>151</v>
      </c>
      <c r="B2735" s="94"/>
      <c r="C2735" s="94"/>
      <c r="D2735" s="94"/>
      <c r="E2735" s="94"/>
      <c r="F2735" s="94"/>
      <c r="G2735" s="112">
        <f>AU2735</f>
      </c>
      <c r="H2735" s="113"/>
      <c r="I2735" s="94" t="s">
        <v>167</v>
      </c>
      <c r="J2735" s="94" t="s">
        <v>156</v>
      </c>
      <c r="K2735" s="114">
        <f>P2735/3</f>
      </c>
      <c r="L2735" s="115">
        <v>1900</v>
      </c>
      <c r="M2735" s="116"/>
      <c r="N2735" s="117">
        <f>M2735-L2735</f>
      </c>
      <c r="O2735" s="112"/>
      <c r="P2735" s="118">
        <f>N2735+O2735</f>
      </c>
      <c r="Q2735" s="94" t="s">
        <v>168</v>
      </c>
      <c r="R2735" s="94" t="s">
        <v>63</v>
      </c>
      <c r="S2735" s="119">
        <v>46329</v>
      </c>
      <c r="T2735" s="119"/>
      <c r="U2735" s="119" t="s">
        <v>690</v>
      </c>
      <c r="V2735" s="94"/>
      <c r="W2735" s="94"/>
      <c r="X2735" s="94"/>
      <c r="Y2735" s="119">
        <v>46320</v>
      </c>
      <c r="Z2735" s="94"/>
      <c r="AA2735" s="120"/>
      <c r="AB2735" s="120"/>
      <c r="AC2735" s="120"/>
      <c r="AD2735" s="120"/>
      <c r="AE2735" s="120"/>
      <c r="AF2735" s="120"/>
      <c r="AG2735" s="94"/>
      <c r="AH2735" s="120"/>
      <c r="AI2735" s="94"/>
      <c r="AJ2735" s="94" t="s">
        <v>168</v>
      </c>
      <c r="AK2735" s="94" t="s">
        <v>158</v>
      </c>
      <c r="AL2735" s="94">
        <v>210</v>
      </c>
      <c r="AM2735" s="94" t="str">
        <f>TRIM(AJ2735)&amp;TRIM(AL2735)&amp;TRIM(AK2735)</f>
      </c>
      <c r="AN2735" s="116">
        <v>7935</v>
      </c>
      <c r="AO2735" s="116">
        <v>22816.29</v>
      </c>
      <c r="AP2735" s="116">
        <f>SUMIFS(M:M,AM:AM,AM2735)+SUMIFS(O:O,AM:AM,AM2735)</f>
      </c>
      <c r="AQ2735" s="116">
        <f>SUMIFS(L:L,AM:AM,AM2735)</f>
      </c>
      <c r="AR2735" s="116">
        <f>AQ2735-AP2735</f>
      </c>
      <c r="AS2735" s="94" t="str">
        <f>IF(AN2735&gt;=AQ2735,"ok","ck")</f>
      </c>
      <c r="AT2735" s="116">
        <f>-P2735</f>
      </c>
      <c r="AU2735" s="115">
        <f>IF(SUMIFS(AT:AT,AM:AM,AM2735)&gt;AO2735,(SUMIFS(AT:AT,AM:AM,AM2735)-AO2735))</f>
      </c>
      <c r="AV2735" s="116">
        <v>224</v>
      </c>
      <c r="AW2735" s="121">
        <v>0.947</v>
      </c>
      <c r="AX2735" s="115">
        <f>AN2735-AP2735</f>
      </c>
    </row>
    <row r="2736" spans="1:50" ht="15" hidden="1" customHeight="1" x14ac:dyDescent="0.3">
      <c r="A2736" s="94" t="s">
        <v>151</v>
      </c>
      <c r="B2736" s="94"/>
      <c r="C2736" s="94"/>
      <c r="D2736" s="94"/>
      <c r="E2736" s="94"/>
      <c r="F2736" s="94"/>
      <c r="G2736" s="112">
        <f>AU2736</f>
      </c>
      <c r="H2736" s="113"/>
      <c r="I2736" s="94" t="s">
        <v>167</v>
      </c>
      <c r="J2736" s="94" t="s">
        <v>156</v>
      </c>
      <c r="K2736" s="114">
        <f>P2736/3</f>
      </c>
      <c r="L2736" s="115">
        <v>1900</v>
      </c>
      <c r="M2736" s="116"/>
      <c r="N2736" s="117">
        <f>M2736-L2736</f>
      </c>
      <c r="O2736" s="112"/>
      <c r="P2736" s="118">
        <f>N2736+O2736</f>
      </c>
      <c r="Q2736" s="94" t="s">
        <v>168</v>
      </c>
      <c r="R2736" s="94" t="s">
        <v>63</v>
      </c>
      <c r="S2736" s="119">
        <v>46330</v>
      </c>
      <c r="T2736" s="119"/>
      <c r="U2736" s="119" t="s">
        <v>690</v>
      </c>
      <c r="V2736" s="94"/>
      <c r="W2736" s="94"/>
      <c r="X2736" s="94"/>
      <c r="Y2736" s="119">
        <v>46320</v>
      </c>
      <c r="Z2736" s="94"/>
      <c r="AA2736" s="120"/>
      <c r="AB2736" s="120"/>
      <c r="AC2736" s="120"/>
      <c r="AD2736" s="120"/>
      <c r="AE2736" s="120"/>
      <c r="AF2736" s="120"/>
      <c r="AG2736" s="94"/>
      <c r="AH2736" s="120"/>
      <c r="AI2736" s="94"/>
      <c r="AJ2736" s="94" t="s">
        <v>168</v>
      </c>
      <c r="AK2736" s="94" t="s">
        <v>158</v>
      </c>
      <c r="AL2736" s="94">
        <v>210</v>
      </c>
      <c r="AM2736" s="94" t="str">
        <f>TRIM(AJ2736)&amp;TRIM(AL2736)&amp;TRIM(AK2736)</f>
      </c>
      <c r="AN2736" s="116">
        <v>7935</v>
      </c>
      <c r="AO2736" s="116">
        <v>22816.29</v>
      </c>
      <c r="AP2736" s="116">
        <f>SUMIFS(M:M,AM:AM,AM2736)+SUMIFS(O:O,AM:AM,AM2736)</f>
      </c>
      <c r="AQ2736" s="116">
        <f>SUMIFS(L:L,AM:AM,AM2736)</f>
      </c>
      <c r="AR2736" s="116">
        <f>AQ2736-AP2736</f>
      </c>
      <c r="AS2736" s="94" t="str">
        <f>IF(AN2736&gt;=AQ2736,"ok","ck")</f>
      </c>
      <c r="AT2736" s="116">
        <f>-P2736</f>
      </c>
      <c r="AU2736" s="115">
        <f>IF(SUMIFS(AT:AT,AM:AM,AM2736)&gt;AO2736,(SUMIFS(AT:AT,AM:AM,AM2736)-AO2736))</f>
      </c>
      <c r="AV2736" s="116">
        <v>224</v>
      </c>
      <c r="AW2736" s="121">
        <v>0.947</v>
      </c>
      <c r="AX2736" s="115">
        <f>AN2736-AP2736</f>
      </c>
    </row>
    <row r="2737" spans="1:50" ht="15" hidden="1" customHeight="1" x14ac:dyDescent="0.3">
      <c r="A2737" s="94" t="s">
        <v>151</v>
      </c>
      <c r="B2737" s="94"/>
      <c r="C2737" s="94"/>
      <c r="D2737" s="94"/>
      <c r="E2737" s="94"/>
      <c r="F2737" s="94"/>
      <c r="G2737" s="112">
        <f>AU2737</f>
      </c>
      <c r="H2737" s="113"/>
      <c r="I2737" s="94" t="s">
        <v>167</v>
      </c>
      <c r="J2737" s="94" t="s">
        <v>156</v>
      </c>
      <c r="K2737" s="114">
        <f>P2737/3</f>
      </c>
      <c r="L2737" s="115">
        <v>1900</v>
      </c>
      <c r="M2737" s="116"/>
      <c r="N2737" s="117">
        <f>M2737-L2737</f>
      </c>
      <c r="O2737" s="112"/>
      <c r="P2737" s="118">
        <f>N2737+O2737</f>
      </c>
      <c r="Q2737" s="94" t="s">
        <v>168</v>
      </c>
      <c r="R2737" s="94" t="s">
        <v>63</v>
      </c>
      <c r="S2737" s="119">
        <v>46335</v>
      </c>
      <c r="T2737" s="119"/>
      <c r="U2737" s="119" t="s">
        <v>690</v>
      </c>
      <c r="V2737" s="94"/>
      <c r="W2737" s="94"/>
      <c r="X2737" s="94"/>
      <c r="Y2737" s="119">
        <v>46320</v>
      </c>
      <c r="Z2737" s="94"/>
      <c r="AA2737" s="120"/>
      <c r="AB2737" s="120"/>
      <c r="AC2737" s="120"/>
      <c r="AD2737" s="120"/>
      <c r="AE2737" s="120"/>
      <c r="AF2737" s="120"/>
      <c r="AG2737" s="94"/>
      <c r="AH2737" s="120"/>
      <c r="AI2737" s="94"/>
      <c r="AJ2737" s="94" t="s">
        <v>168</v>
      </c>
      <c r="AK2737" s="94" t="s">
        <v>158</v>
      </c>
      <c r="AL2737" s="94">
        <v>210</v>
      </c>
      <c r="AM2737" s="94" t="str">
        <f>TRIM(AJ2737)&amp;TRIM(AL2737)&amp;TRIM(AK2737)</f>
      </c>
      <c r="AN2737" s="116">
        <v>7935</v>
      </c>
      <c r="AO2737" s="116">
        <v>22816.29</v>
      </c>
      <c r="AP2737" s="116">
        <f>SUMIFS(M:M,AM:AM,AM2737)+SUMIFS(O:O,AM:AM,AM2737)</f>
      </c>
      <c r="AQ2737" s="116">
        <f>SUMIFS(L:L,AM:AM,AM2737)</f>
      </c>
      <c r="AR2737" s="116">
        <f>AQ2737-AP2737</f>
      </c>
      <c r="AS2737" s="94" t="str">
        <f>IF(AN2737&gt;=AQ2737,"ok","ck")</f>
      </c>
      <c r="AT2737" s="116">
        <f>-P2737</f>
      </c>
      <c r="AU2737" s="115">
        <f>IF(SUMIFS(AT:AT,AM:AM,AM2737)&gt;AO2737,(SUMIFS(AT:AT,AM:AM,AM2737)-AO2737))</f>
      </c>
      <c r="AV2737" s="116">
        <v>224</v>
      </c>
      <c r="AW2737" s="121">
        <v>0.947</v>
      </c>
      <c r="AX2737" s="115">
        <f>AN2737-AP2737</f>
      </c>
    </row>
    <row r="2738" spans="1:50" ht="15" hidden="1" customHeight="1" x14ac:dyDescent="0.3">
      <c r="A2738" s="94" t="s">
        <v>151</v>
      </c>
      <c r="B2738" s="94"/>
      <c r="C2738" s="94"/>
      <c r="D2738" s="94"/>
      <c r="E2738" s="94"/>
      <c r="F2738" s="94"/>
      <c r="G2738" s="112">
        <f>AU2738</f>
      </c>
      <c r="H2738" s="113"/>
      <c r="I2738" s="94" t="s">
        <v>167</v>
      </c>
      <c r="J2738" s="94" t="s">
        <v>156</v>
      </c>
      <c r="K2738" s="114">
        <f>P2738/3</f>
      </c>
      <c r="L2738" s="115">
        <v>1900</v>
      </c>
      <c r="M2738" s="116"/>
      <c r="N2738" s="117">
        <f>M2738-L2738</f>
      </c>
      <c r="O2738" s="112"/>
      <c r="P2738" s="118">
        <f>N2738+O2738</f>
      </c>
      <c r="Q2738" s="94" t="s">
        <v>168</v>
      </c>
      <c r="R2738" s="94" t="s">
        <v>63</v>
      </c>
      <c r="S2738" s="119">
        <v>46336</v>
      </c>
      <c r="T2738" s="119"/>
      <c r="U2738" s="119" t="s">
        <v>690</v>
      </c>
      <c r="V2738" s="94"/>
      <c r="W2738" s="94"/>
      <c r="X2738" s="94"/>
      <c r="Y2738" s="119">
        <v>46320</v>
      </c>
      <c r="Z2738" s="94"/>
      <c r="AA2738" s="120"/>
      <c r="AB2738" s="120"/>
      <c r="AC2738" s="120"/>
      <c r="AD2738" s="120"/>
      <c r="AE2738" s="120"/>
      <c r="AF2738" s="120"/>
      <c r="AG2738" s="94"/>
      <c r="AH2738" s="120"/>
      <c r="AI2738" s="94"/>
      <c r="AJ2738" s="94" t="s">
        <v>168</v>
      </c>
      <c r="AK2738" s="94" t="s">
        <v>158</v>
      </c>
      <c r="AL2738" s="94">
        <v>210</v>
      </c>
      <c r="AM2738" s="94" t="str">
        <f>TRIM(AJ2738)&amp;TRIM(AL2738)&amp;TRIM(AK2738)</f>
      </c>
      <c r="AN2738" s="116">
        <v>7935</v>
      </c>
      <c r="AO2738" s="116">
        <v>22816.29</v>
      </c>
      <c r="AP2738" s="116">
        <f>SUMIFS(M:M,AM:AM,AM2738)+SUMIFS(O:O,AM:AM,AM2738)</f>
      </c>
      <c r="AQ2738" s="116">
        <f>SUMIFS(L:L,AM:AM,AM2738)</f>
      </c>
      <c r="AR2738" s="116">
        <f>AQ2738-AP2738</f>
      </c>
      <c r="AS2738" s="94" t="str">
        <f>IF(AN2738&gt;=AQ2738,"ok","ck")</f>
      </c>
      <c r="AT2738" s="116">
        <f>-P2738</f>
      </c>
      <c r="AU2738" s="115">
        <f>IF(SUMIFS(AT:AT,AM:AM,AM2738)&gt;AO2738,(SUMIFS(AT:AT,AM:AM,AM2738)-AO2738))</f>
      </c>
      <c r="AV2738" s="116">
        <v>224</v>
      </c>
      <c r="AW2738" s="121">
        <v>0.947</v>
      </c>
      <c r="AX2738" s="115">
        <f>AN2738-AP2738</f>
      </c>
    </row>
    <row r="2739" spans="1:50" ht="15" hidden="1" customHeight="1" x14ac:dyDescent="0.3">
      <c r="A2739" s="94" t="s">
        <v>151</v>
      </c>
      <c r="B2739" s="94"/>
      <c r="C2739" s="94"/>
      <c r="D2739" s="94"/>
      <c r="E2739" s="94"/>
      <c r="F2739" s="94"/>
      <c r="G2739" s="112">
        <f>AU2739</f>
      </c>
      <c r="H2739" s="113"/>
      <c r="I2739" s="94" t="s">
        <v>167</v>
      </c>
      <c r="J2739" s="94" t="s">
        <v>156</v>
      </c>
      <c r="K2739" s="114">
        <f>P2739/3</f>
      </c>
      <c r="L2739" s="115">
        <v>1900</v>
      </c>
      <c r="M2739" s="116"/>
      <c r="N2739" s="117">
        <f>M2739-L2739</f>
      </c>
      <c r="O2739" s="112"/>
      <c r="P2739" s="118">
        <f>N2739+O2739</f>
      </c>
      <c r="Q2739" s="94" t="s">
        <v>168</v>
      </c>
      <c r="R2739" s="94" t="s">
        <v>63</v>
      </c>
      <c r="S2739" s="119">
        <v>46337</v>
      </c>
      <c r="T2739" s="119"/>
      <c r="U2739" s="119" t="s">
        <v>690</v>
      </c>
      <c r="V2739" s="94"/>
      <c r="W2739" s="94"/>
      <c r="X2739" s="94"/>
      <c r="Y2739" s="119">
        <v>46320</v>
      </c>
      <c r="Z2739" s="94"/>
      <c r="AA2739" s="120"/>
      <c r="AB2739" s="120"/>
      <c r="AC2739" s="120"/>
      <c r="AD2739" s="120"/>
      <c r="AE2739" s="120"/>
      <c r="AF2739" s="120"/>
      <c r="AG2739" s="94"/>
      <c r="AH2739" s="120"/>
      <c r="AI2739" s="94"/>
      <c r="AJ2739" s="94" t="s">
        <v>168</v>
      </c>
      <c r="AK2739" s="94" t="s">
        <v>158</v>
      </c>
      <c r="AL2739" s="94">
        <v>210</v>
      </c>
      <c r="AM2739" s="94" t="str">
        <f>TRIM(AJ2739)&amp;TRIM(AL2739)&amp;TRIM(AK2739)</f>
      </c>
      <c r="AN2739" s="116">
        <v>7935</v>
      </c>
      <c r="AO2739" s="116">
        <v>22816.29</v>
      </c>
      <c r="AP2739" s="116">
        <f>SUMIFS(M:M,AM:AM,AM2739)+SUMIFS(O:O,AM:AM,AM2739)</f>
      </c>
      <c r="AQ2739" s="116">
        <f>SUMIFS(L:L,AM:AM,AM2739)</f>
      </c>
      <c r="AR2739" s="116">
        <f>AQ2739-AP2739</f>
      </c>
      <c r="AS2739" s="94" t="str">
        <f>IF(AN2739&gt;=AQ2739,"ok","ck")</f>
      </c>
      <c r="AT2739" s="116">
        <f>-P2739</f>
      </c>
      <c r="AU2739" s="115">
        <f>IF(SUMIFS(AT:AT,AM:AM,AM2739)&gt;AO2739,(SUMIFS(AT:AT,AM:AM,AM2739)-AO2739))</f>
      </c>
      <c r="AV2739" s="116">
        <v>224</v>
      </c>
      <c r="AW2739" s="121">
        <v>0.947</v>
      </c>
      <c r="AX2739" s="115">
        <f>AN2739-AP2739</f>
      </c>
    </row>
    <row r="2740" spans="1:50" ht="15" hidden="1" customHeight="1" x14ac:dyDescent="0.3">
      <c r="A2740" s="94" t="s">
        <v>151</v>
      </c>
      <c r="B2740" s="94"/>
      <c r="C2740" s="94"/>
      <c r="D2740" s="94"/>
      <c r="E2740" s="94"/>
      <c r="F2740" s="94"/>
      <c r="G2740" s="112">
        <f>AU2740</f>
      </c>
      <c r="H2740" s="113"/>
      <c r="I2740" s="94" t="s">
        <v>167</v>
      </c>
      <c r="J2740" s="94" t="s">
        <v>156</v>
      </c>
      <c r="K2740" s="114">
        <f>P2740/3</f>
      </c>
      <c r="L2740" s="115">
        <v>1900</v>
      </c>
      <c r="M2740" s="116"/>
      <c r="N2740" s="117">
        <f>M2740-L2740</f>
      </c>
      <c r="O2740" s="112"/>
      <c r="P2740" s="118">
        <f>N2740+O2740</f>
      </c>
      <c r="Q2740" s="94" t="s">
        <v>168</v>
      </c>
      <c r="R2740" s="94" t="s">
        <v>63</v>
      </c>
      <c r="S2740" s="119">
        <v>46338</v>
      </c>
      <c r="T2740" s="119"/>
      <c r="U2740" s="119" t="s">
        <v>690</v>
      </c>
      <c r="V2740" s="94"/>
      <c r="W2740" s="94"/>
      <c r="X2740" s="94"/>
      <c r="Y2740" s="119">
        <v>46320</v>
      </c>
      <c r="Z2740" s="94"/>
      <c r="AA2740" s="120"/>
      <c r="AB2740" s="120"/>
      <c r="AC2740" s="120"/>
      <c r="AD2740" s="120"/>
      <c r="AE2740" s="120"/>
      <c r="AF2740" s="120"/>
      <c r="AG2740" s="94"/>
      <c r="AH2740" s="120"/>
      <c r="AI2740" s="94"/>
      <c r="AJ2740" s="94" t="s">
        <v>168</v>
      </c>
      <c r="AK2740" s="94" t="s">
        <v>158</v>
      </c>
      <c r="AL2740" s="94">
        <v>210</v>
      </c>
      <c r="AM2740" s="94" t="str">
        <f>TRIM(AJ2740)&amp;TRIM(AL2740)&amp;TRIM(AK2740)</f>
      </c>
      <c r="AN2740" s="116">
        <v>7935</v>
      </c>
      <c r="AO2740" s="116">
        <v>22816.29</v>
      </c>
      <c r="AP2740" s="116">
        <f>SUMIFS(M:M,AM:AM,AM2740)+SUMIFS(O:O,AM:AM,AM2740)</f>
      </c>
      <c r="AQ2740" s="116">
        <f>SUMIFS(L:L,AM:AM,AM2740)</f>
      </c>
      <c r="AR2740" s="116">
        <f>AQ2740-AP2740</f>
      </c>
      <c r="AS2740" s="94" t="str">
        <f>IF(AN2740&gt;=AQ2740,"ok","ck")</f>
      </c>
      <c r="AT2740" s="116">
        <f>-P2740</f>
      </c>
      <c r="AU2740" s="115">
        <f>IF(SUMIFS(AT:AT,AM:AM,AM2740)&gt;AO2740,(SUMIFS(AT:AT,AM:AM,AM2740)-AO2740))</f>
      </c>
      <c r="AV2740" s="116">
        <v>224</v>
      </c>
      <c r="AW2740" s="121">
        <v>0.947</v>
      </c>
      <c r="AX2740" s="115">
        <f>AN2740-AP2740</f>
      </c>
    </row>
    <row r="2741" spans="1:50" ht="15" hidden="1" customHeight="1" x14ac:dyDescent="0.3">
      <c r="A2741" s="94" t="s">
        <v>151</v>
      </c>
      <c r="B2741" s="94"/>
      <c r="C2741" s="94"/>
      <c r="D2741" s="94"/>
      <c r="E2741" s="94"/>
      <c r="F2741" s="94"/>
      <c r="G2741" s="112">
        <f>AU2741</f>
      </c>
      <c r="H2741" s="113"/>
      <c r="I2741" s="94" t="s">
        <v>167</v>
      </c>
      <c r="J2741" s="94" t="s">
        <v>156</v>
      </c>
      <c r="K2741" s="114">
        <f>P2741/3</f>
      </c>
      <c r="L2741" s="115">
        <v>1900</v>
      </c>
      <c r="M2741" s="116"/>
      <c r="N2741" s="117">
        <f>M2741-L2741</f>
      </c>
      <c r="O2741" s="112"/>
      <c r="P2741" s="118">
        <f>N2741+O2741</f>
      </c>
      <c r="Q2741" s="94" t="s">
        <v>168</v>
      </c>
      <c r="R2741" s="94" t="s">
        <v>63</v>
      </c>
      <c r="S2741" s="119">
        <v>46339</v>
      </c>
      <c r="T2741" s="119"/>
      <c r="U2741" s="119" t="s">
        <v>690</v>
      </c>
      <c r="V2741" s="94"/>
      <c r="W2741" s="94"/>
      <c r="X2741" s="94"/>
      <c r="Y2741" s="119">
        <v>46320</v>
      </c>
      <c r="Z2741" s="94"/>
      <c r="AA2741" s="120"/>
      <c r="AB2741" s="120"/>
      <c r="AC2741" s="120"/>
      <c r="AD2741" s="120"/>
      <c r="AE2741" s="120"/>
      <c r="AF2741" s="120"/>
      <c r="AG2741" s="94"/>
      <c r="AH2741" s="120"/>
      <c r="AI2741" s="94"/>
      <c r="AJ2741" s="94" t="s">
        <v>168</v>
      </c>
      <c r="AK2741" s="94" t="s">
        <v>158</v>
      </c>
      <c r="AL2741" s="94">
        <v>210</v>
      </c>
      <c r="AM2741" s="94" t="str">
        <f>TRIM(AJ2741)&amp;TRIM(AL2741)&amp;TRIM(AK2741)</f>
      </c>
      <c r="AN2741" s="116">
        <v>7935</v>
      </c>
      <c r="AO2741" s="116">
        <v>22816.29</v>
      </c>
      <c r="AP2741" s="116">
        <f>SUMIFS(M:M,AM:AM,AM2741)+SUMIFS(O:O,AM:AM,AM2741)</f>
      </c>
      <c r="AQ2741" s="116">
        <f>SUMIFS(L:L,AM:AM,AM2741)</f>
      </c>
      <c r="AR2741" s="116">
        <f>AQ2741-AP2741</f>
      </c>
      <c r="AS2741" s="94" t="str">
        <f>IF(AN2741&gt;=AQ2741,"ok","ck")</f>
      </c>
      <c r="AT2741" s="116">
        <f>-P2741</f>
      </c>
      <c r="AU2741" s="115">
        <f>IF(SUMIFS(AT:AT,AM:AM,AM2741)&gt;AO2741,(SUMIFS(AT:AT,AM:AM,AM2741)-AO2741))</f>
      </c>
      <c r="AV2741" s="116">
        <v>224</v>
      </c>
      <c r="AW2741" s="121">
        <v>0.947</v>
      </c>
      <c r="AX2741" s="115">
        <f>AN2741-AP2741</f>
      </c>
    </row>
    <row r="2742" spans="1:50" ht="15" hidden="1" customHeight="1" x14ac:dyDescent="0.3">
      <c r="A2742" s="94" t="s">
        <v>151</v>
      </c>
      <c r="B2742" s="94"/>
      <c r="C2742" s="94"/>
      <c r="D2742" s="94"/>
      <c r="E2742" s="94"/>
      <c r="F2742" s="94"/>
      <c r="G2742" s="112">
        <f>AU2742</f>
      </c>
      <c r="H2742" s="113"/>
      <c r="I2742" s="94" t="s">
        <v>167</v>
      </c>
      <c r="J2742" s="94" t="s">
        <v>156</v>
      </c>
      <c r="K2742" s="114">
        <f>P2742/3</f>
      </c>
      <c r="L2742" s="115">
        <v>1900</v>
      </c>
      <c r="M2742" s="116"/>
      <c r="N2742" s="117">
        <f>M2742-L2742</f>
      </c>
      <c r="O2742" s="112"/>
      <c r="P2742" s="118">
        <f>N2742+O2742</f>
      </c>
      <c r="Q2742" s="94" t="s">
        <v>168</v>
      </c>
      <c r="R2742" s="94" t="s">
        <v>63</v>
      </c>
      <c r="S2742" s="119">
        <v>46340</v>
      </c>
      <c r="T2742" s="119"/>
      <c r="U2742" s="119" t="s">
        <v>690</v>
      </c>
      <c r="V2742" s="94"/>
      <c r="W2742" s="94"/>
      <c r="X2742" s="94"/>
      <c r="Y2742" s="119">
        <v>46320</v>
      </c>
      <c r="Z2742" s="94"/>
      <c r="AA2742" s="120"/>
      <c r="AB2742" s="120"/>
      <c r="AC2742" s="120"/>
      <c r="AD2742" s="120"/>
      <c r="AE2742" s="120"/>
      <c r="AF2742" s="120"/>
      <c r="AG2742" s="94"/>
      <c r="AH2742" s="120"/>
      <c r="AI2742" s="94"/>
      <c r="AJ2742" s="94" t="s">
        <v>168</v>
      </c>
      <c r="AK2742" s="94" t="s">
        <v>158</v>
      </c>
      <c r="AL2742" s="94">
        <v>210</v>
      </c>
      <c r="AM2742" s="94" t="str">
        <f>TRIM(AJ2742)&amp;TRIM(AL2742)&amp;TRIM(AK2742)</f>
      </c>
      <c r="AN2742" s="116">
        <v>7935</v>
      </c>
      <c r="AO2742" s="116">
        <v>22816.29</v>
      </c>
      <c r="AP2742" s="116">
        <f>SUMIFS(M:M,AM:AM,AM2742)+SUMIFS(O:O,AM:AM,AM2742)</f>
      </c>
      <c r="AQ2742" s="116">
        <f>SUMIFS(L:L,AM:AM,AM2742)</f>
      </c>
      <c r="AR2742" s="116">
        <f>AQ2742-AP2742</f>
      </c>
      <c r="AS2742" s="94" t="str">
        <f>IF(AN2742&gt;=AQ2742,"ok","ck")</f>
      </c>
      <c r="AT2742" s="116">
        <f>-P2742</f>
      </c>
      <c r="AU2742" s="115">
        <f>IF(SUMIFS(AT:AT,AM:AM,AM2742)&gt;AO2742,(SUMIFS(AT:AT,AM:AM,AM2742)-AO2742))</f>
      </c>
      <c r="AV2742" s="116">
        <v>224</v>
      </c>
      <c r="AW2742" s="121">
        <v>0.947</v>
      </c>
      <c r="AX2742" s="115">
        <f>AN2742-AP2742</f>
      </c>
    </row>
    <row r="2743" spans="1:50" ht="15" hidden="1" customHeight="1" x14ac:dyDescent="0.3">
      <c r="A2743" s="94" t="s">
        <v>151</v>
      </c>
      <c r="B2743" s="94"/>
      <c r="C2743" s="94"/>
      <c r="D2743" s="94"/>
      <c r="E2743" s="94"/>
      <c r="F2743" s="94"/>
      <c r="G2743" s="112">
        <f>AU2743</f>
      </c>
      <c r="H2743" s="113"/>
      <c r="I2743" s="94" t="s">
        <v>167</v>
      </c>
      <c r="J2743" s="94" t="s">
        <v>156</v>
      </c>
      <c r="K2743" s="114">
        <f>P2743/3</f>
      </c>
      <c r="L2743" s="115">
        <v>1502.9770000000001</v>
      </c>
      <c r="M2743" s="116"/>
      <c r="N2743" s="117">
        <f>M2743-L2743</f>
      </c>
      <c r="O2743" s="112"/>
      <c r="P2743" s="118">
        <f>N2743+O2743</f>
      </c>
      <c r="Q2743" s="94" t="s">
        <v>168</v>
      </c>
      <c r="R2743" s="94" t="s">
        <v>63</v>
      </c>
      <c r="S2743" s="119">
        <v>46341</v>
      </c>
      <c r="T2743" s="119"/>
      <c r="U2743" s="119" t="s">
        <v>690</v>
      </c>
      <c r="V2743" s="94"/>
      <c r="W2743" s="94"/>
      <c r="X2743" s="94"/>
      <c r="Y2743" s="119">
        <v>46320</v>
      </c>
      <c r="Z2743" s="94"/>
      <c r="AA2743" s="120"/>
      <c r="AB2743" s="120"/>
      <c r="AC2743" s="120"/>
      <c r="AD2743" s="120"/>
      <c r="AE2743" s="120"/>
      <c r="AF2743" s="120"/>
      <c r="AG2743" s="94"/>
      <c r="AH2743" s="120"/>
      <c r="AI2743" s="94"/>
      <c r="AJ2743" s="94" t="s">
        <v>168</v>
      </c>
      <c r="AK2743" s="94" t="s">
        <v>158</v>
      </c>
      <c r="AL2743" s="94">
        <v>210</v>
      </c>
      <c r="AM2743" s="94" t="str">
        <f>TRIM(AJ2743)&amp;TRIM(AL2743)&amp;TRIM(AK2743)</f>
      </c>
      <c r="AN2743" s="116">
        <v>7935</v>
      </c>
      <c r="AO2743" s="116">
        <v>22816.29</v>
      </c>
      <c r="AP2743" s="116">
        <f>SUMIFS(M:M,AM:AM,AM2743)+SUMIFS(O:O,AM:AM,AM2743)</f>
      </c>
      <c r="AQ2743" s="116">
        <f>SUMIFS(L:L,AM:AM,AM2743)</f>
      </c>
      <c r="AR2743" s="116">
        <f>AQ2743-AP2743</f>
      </c>
      <c r="AS2743" s="94" t="str">
        <f>IF(AN2743&gt;=AQ2743,"ok","ck")</f>
      </c>
      <c r="AT2743" s="116">
        <f>-P2743</f>
      </c>
      <c r="AU2743" s="115">
        <f>IF(SUMIFS(AT:AT,AM:AM,AM2743)&gt;AO2743,(SUMIFS(AT:AT,AM:AM,AM2743)-AO2743))</f>
      </c>
      <c r="AV2743" s="116">
        <v>224</v>
      </c>
      <c r="AW2743" s="121">
        <v>0.947</v>
      </c>
      <c r="AX2743" s="115">
        <f>AN2743-AP2743</f>
      </c>
    </row>
    <row r="2744" spans="1:50" ht="15" hidden="1" customHeight="1" x14ac:dyDescent="0.3">
      <c r="A2744" s="94" t="s">
        <v>151</v>
      </c>
      <c r="B2744" s="94"/>
      <c r="C2744" s="94"/>
      <c r="D2744" s="94"/>
      <c r="E2744" s="94"/>
      <c r="F2744" s="94"/>
      <c r="G2744" s="112">
        <f>AU2744</f>
      </c>
      <c r="H2744" s="113"/>
      <c r="I2744" s="94" t="s">
        <v>167</v>
      </c>
      <c r="J2744" s="94" t="s">
        <v>156</v>
      </c>
      <c r="K2744" s="114">
        <f>P2744/3</f>
      </c>
      <c r="L2744" s="115">
        <v>0</v>
      </c>
      <c r="M2744" s="116"/>
      <c r="N2744" s="117">
        <f>M2744-L2744</f>
      </c>
      <c r="O2744" s="112"/>
      <c r="P2744" s="118">
        <f>N2744+O2744</f>
      </c>
      <c r="Q2744" s="94" t="s">
        <v>168</v>
      </c>
      <c r="R2744" s="94" t="s">
        <v>63</v>
      </c>
      <c r="S2744" s="119">
        <v>46345</v>
      </c>
      <c r="T2744" s="119"/>
      <c r="U2744" s="119">
        <v>46345</v>
      </c>
      <c r="V2744" s="94"/>
      <c r="W2744" s="94"/>
      <c r="X2744" s="94"/>
      <c r="Y2744" s="119">
        <v>46345</v>
      </c>
      <c r="Z2744" s="94"/>
      <c r="AA2744" s="120"/>
      <c r="AB2744" s="120"/>
      <c r="AC2744" s="120"/>
      <c r="AD2744" s="120"/>
      <c r="AE2744" s="120"/>
      <c r="AF2744" s="120"/>
      <c r="AG2744" s="94"/>
      <c r="AH2744" s="120"/>
      <c r="AI2744" s="94"/>
      <c r="AJ2744" s="94" t="s">
        <v>168</v>
      </c>
      <c r="AK2744" s="94" t="s">
        <v>158</v>
      </c>
      <c r="AL2744" s="94">
        <v>210</v>
      </c>
      <c r="AM2744" s="94" t="str">
        <f>TRIM(AJ2744)&amp;TRIM(AL2744)&amp;TRIM(AK2744)</f>
      </c>
      <c r="AN2744" s="116">
        <v>7935</v>
      </c>
      <c r="AO2744" s="116">
        <v>22816.29</v>
      </c>
      <c r="AP2744" s="116">
        <f>SUMIFS(M:M,AM:AM,AM2744)+SUMIFS(O:O,AM:AM,AM2744)</f>
      </c>
      <c r="AQ2744" s="116">
        <f>SUMIFS(L:L,AM:AM,AM2744)</f>
      </c>
      <c r="AR2744" s="116">
        <f>AQ2744-AP2744</f>
      </c>
      <c r="AS2744" s="94" t="str">
        <f>IF(AN2744&gt;=AQ2744,"ok","ck")</f>
      </c>
      <c r="AT2744" s="116">
        <f>-P2744</f>
      </c>
      <c r="AU2744" s="115">
        <f>IF(SUMIFS(AT:AT,AM:AM,AM2744)&gt;AO2744,(SUMIFS(AT:AT,AM:AM,AM2744)-AO2744))</f>
      </c>
      <c r="AV2744" s="116">
        <v>224</v>
      </c>
      <c r="AW2744" s="121">
        <v>0.947</v>
      </c>
      <c r="AX2744" s="115">
        <f>AN2744-AP2744</f>
      </c>
    </row>
    <row r="2745" spans="1:50" ht="15" hidden="1" customHeight="1" x14ac:dyDescent="0.3">
      <c r="A2745" s="94" t="s">
        <v>151</v>
      </c>
      <c r="B2745" s="94"/>
      <c r="C2745" s="94"/>
      <c r="D2745" s="94"/>
      <c r="E2745" s="94"/>
      <c r="F2745" s="94"/>
      <c r="G2745" s="112">
        <f>AU2745</f>
      </c>
      <c r="H2745" s="113"/>
      <c r="I2745" s="94" t="s">
        <v>163</v>
      </c>
      <c r="J2745" s="94" t="s">
        <v>218</v>
      </c>
      <c r="K2745" s="114">
        <f>P2745/3</f>
      </c>
      <c r="L2745" s="115">
        <v>0</v>
      </c>
      <c r="M2745" s="116">
        <f>L2745</f>
      </c>
      <c r="N2745" s="117">
        <f>M2745-L2745</f>
      </c>
      <c r="O2745" s="112"/>
      <c r="P2745" s="118">
        <f>N2745+O2745</f>
      </c>
      <c r="Q2745" s="94" t="s">
        <v>183</v>
      </c>
      <c r="R2745" s="94" t="s">
        <v>63</v>
      </c>
      <c r="S2745" s="119">
        <v>46330</v>
      </c>
      <c r="T2745" s="119"/>
      <c r="U2745" s="119">
        <v>46330</v>
      </c>
      <c r="V2745" s="94"/>
      <c r="W2745" s="94"/>
      <c r="X2745" s="94"/>
      <c r="Y2745" s="119">
        <v>46330</v>
      </c>
      <c r="Z2745" s="94"/>
      <c r="AA2745" s="120"/>
      <c r="AB2745" s="120"/>
      <c r="AC2745" s="120"/>
      <c r="AD2745" s="120"/>
      <c r="AE2745" s="120"/>
      <c r="AF2745" s="120"/>
      <c r="AG2745" s="94"/>
      <c r="AH2745" s="120"/>
      <c r="AI2745" s="94"/>
      <c r="AJ2745" s="94" t="s">
        <v>183</v>
      </c>
      <c r="AK2745" s="94" t="s">
        <v>219</v>
      </c>
      <c r="AL2745" s="94">
        <v>160</v>
      </c>
      <c r="AM2745" s="94" t="str">
        <f>TRIM(AJ2745)&amp;TRIM(AL2745)&amp;TRIM(AK2745)</f>
      </c>
      <c r="AN2745" s="116">
        <v>824.05</v>
      </c>
      <c r="AO2745" s="116">
        <v>-16.47</v>
      </c>
      <c r="AP2745" s="116">
        <f>SUMIFS(M:M,AM:AM,AM2745)+SUMIFS(O:O,AM:AM,AM2745)</f>
      </c>
      <c r="AQ2745" s="116">
        <f>SUMIFS(L:L,AM:AM,AM2745)</f>
      </c>
      <c r="AR2745" s="116">
        <f>AQ2745-AP2745</f>
      </c>
      <c r="AS2745" s="94" t="str">
        <f>IF(AN2745&gt;=AQ2745,"ok","ck")</f>
      </c>
      <c r="AT2745" s="116">
        <f>-P2745</f>
      </c>
      <c r="AU2745" s="115">
        <f>IF(SUMIFS(AT:AT,AM:AM,AM2745)&gt;AO2745,(SUMIFS(AT:AT,AM:AM,AM2745)-AO2745))</f>
      </c>
      <c r="AV2745" s="116">
        <v>824.05</v>
      </c>
      <c r="AW2745" s="121">
        <v>1.02</v>
      </c>
      <c r="AX2745" s="115">
        <f>AN2745-AP2745</f>
      </c>
    </row>
    <row r="2746" spans="1:50" ht="15" hidden="1" customHeight="1" x14ac:dyDescent="0.3">
      <c r="A2746" s="94" t="s">
        <v>151</v>
      </c>
      <c r="B2746" s="94"/>
      <c r="C2746" s="94"/>
      <c r="D2746" s="94"/>
      <c r="E2746" s="94"/>
      <c r="F2746" s="94"/>
      <c r="G2746" s="112">
        <f>AU2746</f>
      </c>
      <c r="H2746" s="113"/>
      <c r="I2746" s="94" t="s">
        <v>163</v>
      </c>
      <c r="J2746" s="94" t="s">
        <v>218</v>
      </c>
      <c r="K2746" s="114">
        <f>P2746/3</f>
      </c>
      <c r="L2746" s="115">
        <v>0</v>
      </c>
      <c r="M2746" s="116">
        <f>L2746</f>
      </c>
      <c r="N2746" s="117">
        <f>M2746-L2746</f>
      </c>
      <c r="O2746" s="112"/>
      <c r="P2746" s="118">
        <f>N2746+O2746</f>
      </c>
      <c r="Q2746" s="94" t="s">
        <v>183</v>
      </c>
      <c r="R2746" s="94" t="s">
        <v>63</v>
      </c>
      <c r="S2746" s="119">
        <v>46340</v>
      </c>
      <c r="T2746" s="119"/>
      <c r="U2746" s="119">
        <v>46340</v>
      </c>
      <c r="V2746" s="94"/>
      <c r="W2746" s="94"/>
      <c r="X2746" s="94"/>
      <c r="Y2746" s="119">
        <v>46340</v>
      </c>
      <c r="Z2746" s="94"/>
      <c r="AA2746" s="120"/>
      <c r="AB2746" s="120"/>
      <c r="AC2746" s="120"/>
      <c r="AD2746" s="120"/>
      <c r="AE2746" s="120"/>
      <c r="AF2746" s="120"/>
      <c r="AG2746" s="94"/>
      <c r="AH2746" s="120"/>
      <c r="AI2746" s="94"/>
      <c r="AJ2746" s="94" t="s">
        <v>183</v>
      </c>
      <c r="AK2746" s="94" t="s">
        <v>219</v>
      </c>
      <c r="AL2746" s="94">
        <v>160</v>
      </c>
      <c r="AM2746" s="94" t="str">
        <f>TRIM(AJ2746)&amp;TRIM(AL2746)&amp;TRIM(AK2746)</f>
      </c>
      <c r="AN2746" s="116">
        <v>824.05</v>
      </c>
      <c r="AO2746" s="116">
        <v>-16.47</v>
      </c>
      <c r="AP2746" s="116">
        <f>SUMIFS(M:M,AM:AM,AM2746)+SUMIFS(O:O,AM:AM,AM2746)</f>
      </c>
      <c r="AQ2746" s="116">
        <f>SUMIFS(L:L,AM:AM,AM2746)</f>
      </c>
      <c r="AR2746" s="116">
        <f>AQ2746-AP2746</f>
      </c>
      <c r="AS2746" s="94" t="str">
        <f>IF(AN2746&gt;=AQ2746,"ok","ck")</f>
      </c>
      <c r="AT2746" s="116">
        <f>-P2746</f>
      </c>
      <c r="AU2746" s="115">
        <f>IF(SUMIFS(AT:AT,AM:AM,AM2746)&gt;AO2746,(SUMIFS(AT:AT,AM:AM,AM2746)-AO2746))</f>
      </c>
      <c r="AV2746" s="116">
        <v>824.05</v>
      </c>
      <c r="AW2746" s="121">
        <v>1.02</v>
      </c>
      <c r="AX2746" s="115">
        <f>AN2746-AP2746</f>
      </c>
    </row>
    <row r="2747" spans="1:50" ht="15" hidden="1" customHeight="1" x14ac:dyDescent="0.3">
      <c r="A2747" s="94" t="s">
        <v>151</v>
      </c>
      <c r="B2747" s="94"/>
      <c r="C2747" s="94"/>
      <c r="D2747" s="94"/>
      <c r="E2747" s="94"/>
      <c r="F2747" s="94"/>
      <c r="G2747" s="112">
        <f>AU2747</f>
      </c>
      <c r="H2747" s="113"/>
      <c r="I2747" s="94" t="s">
        <v>188</v>
      </c>
      <c r="J2747" s="94" t="s">
        <v>189</v>
      </c>
      <c r="K2747" s="114">
        <f>P2747/3</f>
      </c>
      <c r="L2747" s="115">
        <v>-1.1950000000000001</v>
      </c>
      <c r="M2747" s="116">
        <f>L2747</f>
      </c>
      <c r="N2747" s="117">
        <f>M2747-L2747</f>
      </c>
      <c r="O2747" s="112"/>
      <c r="P2747" s="118">
        <f>N2747+O2747</f>
      </c>
      <c r="Q2747" s="94" t="s">
        <v>169</v>
      </c>
      <c r="R2747" s="94" t="s">
        <v>63</v>
      </c>
      <c r="S2747" s="119">
        <v>46320</v>
      </c>
      <c r="T2747" s="119"/>
      <c r="U2747" s="119">
        <v>46320</v>
      </c>
      <c r="V2747" s="94"/>
      <c r="W2747" s="94"/>
      <c r="X2747" s="94"/>
      <c r="Y2747" s="119">
        <v>46320</v>
      </c>
      <c r="Z2747" s="94"/>
      <c r="AA2747" s="120"/>
      <c r="AB2747" s="120"/>
      <c r="AC2747" s="120"/>
      <c r="AD2747" s="120"/>
      <c r="AE2747" s="120"/>
      <c r="AF2747" s="120"/>
      <c r="AG2747" s="94"/>
      <c r="AH2747" s="120"/>
      <c r="AI2747" s="94"/>
      <c r="AJ2747" s="94" t="s">
        <v>169</v>
      </c>
      <c r="AK2747" s="94" t="s">
        <v>190</v>
      </c>
      <c r="AL2747" s="94">
        <v>165</v>
      </c>
      <c r="AM2747" s="94" t="str">
        <f>TRIM(AJ2747)&amp;TRIM(AL2747)&amp;TRIM(AK2747)</f>
      </c>
      <c r="AN2747" s="116">
        <v>862.65</v>
      </c>
      <c r="AO2747" s="116">
        <v>-17.65</v>
      </c>
      <c r="AP2747" s="116">
        <f>SUMIFS(M:M,AM:AM,AM2747)+SUMIFS(O:O,AM:AM,AM2747)</f>
      </c>
      <c r="AQ2747" s="116">
        <f>SUMIFS(L:L,AM:AM,AM2747)</f>
      </c>
      <c r="AR2747" s="116">
        <f>AQ2747-AP2747</f>
      </c>
      <c r="AS2747" s="94" t="str">
        <f>IF(AN2747&gt;=AQ2747,"ok","ck")</f>
      </c>
      <c r="AT2747" s="116">
        <f>-P2747</f>
      </c>
      <c r="AU2747" s="115">
        <f>IF(SUMIFS(AT:AT,AM:AM,AM2747)&gt;AO2747,(SUMIFS(AT:AT,AM:AM,AM2747)-AO2747))</f>
      </c>
      <c r="AV2747" s="116">
        <v>862.65</v>
      </c>
      <c r="AW2747" s="121">
        <v>1.021</v>
      </c>
      <c r="AX2747" s="115">
        <f>AN2747-AP2747</f>
      </c>
    </row>
    <row r="2748" spans="1:50" ht="15" hidden="1" customHeight="1" x14ac:dyDescent="0.3">
      <c r="A2748" s="94" t="s">
        <v>151</v>
      </c>
      <c r="B2748" s="94"/>
      <c r="C2748" s="94"/>
      <c r="D2748" s="94"/>
      <c r="E2748" s="94"/>
      <c r="F2748" s="94"/>
      <c r="G2748" s="112">
        <f>AU2748</f>
      </c>
      <c r="H2748" s="113"/>
      <c r="I2748" s="94" t="s">
        <v>188</v>
      </c>
      <c r="J2748" s="94" t="s">
        <v>189</v>
      </c>
      <c r="K2748" s="114">
        <f>P2748/3</f>
      </c>
      <c r="L2748" s="115">
        <v>-1.26</v>
      </c>
      <c r="M2748" s="116">
        <f>L2748</f>
      </c>
      <c r="N2748" s="117">
        <f>M2748-L2748</f>
      </c>
      <c r="O2748" s="112"/>
      <c r="P2748" s="118">
        <f>N2748+O2748</f>
      </c>
      <c r="Q2748" s="94" t="s">
        <v>169</v>
      </c>
      <c r="R2748" s="94" t="s">
        <v>63</v>
      </c>
      <c r="S2748" s="119">
        <v>46320</v>
      </c>
      <c r="T2748" s="119"/>
      <c r="U2748" s="119">
        <v>46320</v>
      </c>
      <c r="V2748" s="94"/>
      <c r="W2748" s="94"/>
      <c r="X2748" s="94"/>
      <c r="Y2748" s="119">
        <v>46320</v>
      </c>
      <c r="Z2748" s="94"/>
      <c r="AA2748" s="120"/>
      <c r="AB2748" s="120"/>
      <c r="AC2748" s="120"/>
      <c r="AD2748" s="120"/>
      <c r="AE2748" s="120"/>
      <c r="AF2748" s="120"/>
      <c r="AG2748" s="94"/>
      <c r="AH2748" s="120"/>
      <c r="AI2748" s="94"/>
      <c r="AJ2748" s="94" t="s">
        <v>169</v>
      </c>
      <c r="AK2748" s="94" t="s">
        <v>190</v>
      </c>
      <c r="AL2748" s="94">
        <v>165</v>
      </c>
      <c r="AM2748" s="94" t="str">
        <f>TRIM(AJ2748)&amp;TRIM(AL2748)&amp;TRIM(AK2748)</f>
      </c>
      <c r="AN2748" s="116">
        <v>862.65</v>
      </c>
      <c r="AO2748" s="116">
        <v>-17.65</v>
      </c>
      <c r="AP2748" s="116">
        <f>SUMIFS(M:M,AM:AM,AM2748)+SUMIFS(O:O,AM:AM,AM2748)</f>
      </c>
      <c r="AQ2748" s="116">
        <f>SUMIFS(L:L,AM:AM,AM2748)</f>
      </c>
      <c r="AR2748" s="116">
        <f>AQ2748-AP2748</f>
      </c>
      <c r="AS2748" s="94" t="str">
        <f>IF(AN2748&gt;=AQ2748,"ok","ck")</f>
      </c>
      <c r="AT2748" s="116">
        <f>-P2748</f>
      </c>
      <c r="AU2748" s="115">
        <f>IF(SUMIFS(AT:AT,AM:AM,AM2748)&gt;AO2748,(SUMIFS(AT:AT,AM:AM,AM2748)-AO2748))</f>
      </c>
      <c r="AV2748" s="116">
        <v>862.65</v>
      </c>
      <c r="AW2748" s="121">
        <v>1.021</v>
      </c>
      <c r="AX2748" s="115">
        <f>AN2748-AP2748</f>
      </c>
    </row>
    <row r="2749" spans="1:50" ht="15" hidden="1" customHeight="1" x14ac:dyDescent="0.3">
      <c r="A2749" s="94" t="s">
        <v>151</v>
      </c>
      <c r="B2749" s="94"/>
      <c r="C2749" s="94"/>
      <c r="D2749" s="94"/>
      <c r="E2749" s="94"/>
      <c r="F2749" s="94"/>
      <c r="G2749" s="112">
        <f>AU2749</f>
      </c>
      <c r="H2749" s="113"/>
      <c r="I2749" s="94" t="s">
        <v>188</v>
      </c>
      <c r="J2749" s="94" t="s">
        <v>189</v>
      </c>
      <c r="K2749" s="114">
        <f>P2749/3</f>
      </c>
      <c r="L2749" s="115">
        <v>-1.48</v>
      </c>
      <c r="M2749" s="116">
        <f>L2749</f>
      </c>
      <c r="N2749" s="117">
        <f>M2749-L2749</f>
      </c>
      <c r="O2749" s="112"/>
      <c r="P2749" s="118">
        <f>N2749+O2749</f>
      </c>
      <c r="Q2749" s="94" t="s">
        <v>169</v>
      </c>
      <c r="R2749" s="94" t="s">
        <v>63</v>
      </c>
      <c r="S2749" s="119">
        <v>46320</v>
      </c>
      <c r="T2749" s="119"/>
      <c r="U2749" s="119">
        <v>46320</v>
      </c>
      <c r="V2749" s="94"/>
      <c r="W2749" s="94"/>
      <c r="X2749" s="94"/>
      <c r="Y2749" s="119">
        <v>46320</v>
      </c>
      <c r="Z2749" s="94"/>
      <c r="AA2749" s="120"/>
      <c r="AB2749" s="120"/>
      <c r="AC2749" s="120"/>
      <c r="AD2749" s="120"/>
      <c r="AE2749" s="120"/>
      <c r="AF2749" s="120"/>
      <c r="AG2749" s="94"/>
      <c r="AH2749" s="120"/>
      <c r="AI2749" s="94"/>
      <c r="AJ2749" s="94" t="s">
        <v>169</v>
      </c>
      <c r="AK2749" s="94" t="s">
        <v>190</v>
      </c>
      <c r="AL2749" s="94">
        <v>165</v>
      </c>
      <c r="AM2749" s="94" t="str">
        <f>TRIM(AJ2749)&amp;TRIM(AL2749)&amp;TRIM(AK2749)</f>
      </c>
      <c r="AN2749" s="116">
        <v>862.65</v>
      </c>
      <c r="AO2749" s="116">
        <v>-17.65</v>
      </c>
      <c r="AP2749" s="116">
        <f>SUMIFS(M:M,AM:AM,AM2749)+SUMIFS(O:O,AM:AM,AM2749)</f>
      </c>
      <c r="AQ2749" s="116">
        <f>SUMIFS(L:L,AM:AM,AM2749)</f>
      </c>
      <c r="AR2749" s="116">
        <f>AQ2749-AP2749</f>
      </c>
      <c r="AS2749" s="94" t="str">
        <f>IF(AN2749&gt;=AQ2749,"ok","ck")</f>
      </c>
      <c r="AT2749" s="116">
        <f>-P2749</f>
      </c>
      <c r="AU2749" s="115">
        <f>IF(SUMIFS(AT:AT,AM:AM,AM2749)&gt;AO2749,(SUMIFS(AT:AT,AM:AM,AM2749)-AO2749))</f>
      </c>
      <c r="AV2749" s="116">
        <v>862.65</v>
      </c>
      <c r="AW2749" s="121">
        <v>1.021</v>
      </c>
      <c r="AX2749" s="115">
        <f>AN2749-AP2749</f>
      </c>
    </row>
    <row r="2750" spans="1:50" ht="15" hidden="1" customHeight="1" x14ac:dyDescent="0.3">
      <c r="A2750" s="94" t="s">
        <v>151</v>
      </c>
      <c r="B2750" s="94"/>
      <c r="C2750" s="94"/>
      <c r="D2750" s="94"/>
      <c r="E2750" s="94"/>
      <c r="F2750" s="94"/>
      <c r="G2750" s="112">
        <f>AU2750</f>
      </c>
      <c r="H2750" s="113"/>
      <c r="I2750" s="94" t="s">
        <v>152</v>
      </c>
      <c r="J2750" s="94" t="s">
        <v>189</v>
      </c>
      <c r="K2750" s="114">
        <f>P2750/3</f>
      </c>
      <c r="L2750" s="115">
        <v>-4.3230000000000004</v>
      </c>
      <c r="M2750" s="116">
        <f>L2750</f>
      </c>
      <c r="N2750" s="117">
        <f>M2750-L2750</f>
      </c>
      <c r="O2750" s="112"/>
      <c r="P2750" s="118">
        <f>N2750+O2750</f>
      </c>
      <c r="Q2750" s="94" t="s">
        <v>233</v>
      </c>
      <c r="R2750" s="94" t="s">
        <v>63</v>
      </c>
      <c r="S2750" s="119">
        <v>46320</v>
      </c>
      <c r="T2750" s="119"/>
      <c r="U2750" s="119">
        <v>46320</v>
      </c>
      <c r="V2750" s="94"/>
      <c r="W2750" s="94"/>
      <c r="X2750" s="94"/>
      <c r="Y2750" s="119">
        <v>46320</v>
      </c>
      <c r="Z2750" s="94"/>
      <c r="AA2750" s="120"/>
      <c r="AB2750" s="120"/>
      <c r="AC2750" s="120"/>
      <c r="AD2750" s="120"/>
      <c r="AE2750" s="120"/>
      <c r="AF2750" s="120"/>
      <c r="AG2750" s="94"/>
      <c r="AH2750" s="120"/>
      <c r="AI2750" s="94"/>
      <c r="AJ2750" s="94" t="s">
        <v>233</v>
      </c>
      <c r="AK2750" s="94" t="s">
        <v>190</v>
      </c>
      <c r="AL2750" s="94">
        <v>160</v>
      </c>
      <c r="AM2750" s="94" t="str">
        <f>TRIM(AJ2750)&amp;TRIM(AL2750)&amp;TRIM(AK2750)</f>
      </c>
      <c r="AN2750" s="116">
        <v>2100.6</v>
      </c>
      <c r="AO2750" s="116">
        <v>-20.6</v>
      </c>
      <c r="AP2750" s="116">
        <f>SUMIFS(M:M,AM:AM,AM2750)+SUMIFS(O:O,AM:AM,AM2750)</f>
      </c>
      <c r="AQ2750" s="116">
        <f>SUMIFS(L:L,AM:AM,AM2750)</f>
      </c>
      <c r="AR2750" s="116">
        <f>AQ2750-AP2750</f>
      </c>
      <c r="AS2750" s="94" t="str">
        <f>IF(AN2750&gt;=AQ2750,"ok","ck")</f>
      </c>
      <c r="AT2750" s="116">
        <f>-P2750</f>
      </c>
      <c r="AU2750" s="115">
        <f>IF(SUMIFS(AT:AT,AM:AM,AM2750)&gt;AO2750,(SUMIFS(AT:AT,AM:AM,AM2750)-AO2750))</f>
      </c>
      <c r="AV2750" s="116">
        <v>2100.6</v>
      </c>
      <c r="AW2750" s="121">
        <v>1.01</v>
      </c>
      <c r="AX2750" s="115">
        <f>AN2750-AP2750</f>
      </c>
    </row>
    <row r="2751" spans="1:50" ht="15" hidden="1" customHeight="1" x14ac:dyDescent="0.3">
      <c r="A2751" s="94" t="s">
        <v>151</v>
      </c>
      <c r="B2751" s="94"/>
      <c r="C2751" s="94"/>
      <c r="D2751" s="94"/>
      <c r="E2751" s="94"/>
      <c r="F2751" s="94"/>
      <c r="G2751" s="112">
        <f>AU2751</f>
      </c>
      <c r="H2751" s="113"/>
      <c r="I2751" s="94" t="s">
        <v>152</v>
      </c>
      <c r="J2751" s="94" t="s">
        <v>189</v>
      </c>
      <c r="K2751" s="114">
        <f>P2751/3</f>
      </c>
      <c r="L2751" s="115">
        <v>-4.55</v>
      </c>
      <c r="M2751" s="116">
        <f>L2751</f>
      </c>
      <c r="N2751" s="117">
        <f>M2751-L2751</f>
      </c>
      <c r="O2751" s="112"/>
      <c r="P2751" s="118">
        <f>N2751+O2751</f>
      </c>
      <c r="Q2751" s="94" t="s">
        <v>233</v>
      </c>
      <c r="R2751" s="94" t="s">
        <v>63</v>
      </c>
      <c r="S2751" s="119">
        <v>46320</v>
      </c>
      <c r="T2751" s="119"/>
      <c r="U2751" s="119">
        <v>46320</v>
      </c>
      <c r="V2751" s="94"/>
      <c r="W2751" s="94"/>
      <c r="X2751" s="94"/>
      <c r="Y2751" s="119">
        <v>46320</v>
      </c>
      <c r="Z2751" s="94"/>
      <c r="AA2751" s="120"/>
      <c r="AB2751" s="120"/>
      <c r="AC2751" s="120"/>
      <c r="AD2751" s="120"/>
      <c r="AE2751" s="120"/>
      <c r="AF2751" s="120"/>
      <c r="AG2751" s="94"/>
      <c r="AH2751" s="120"/>
      <c r="AI2751" s="94"/>
      <c r="AJ2751" s="94" t="s">
        <v>233</v>
      </c>
      <c r="AK2751" s="94" t="s">
        <v>190</v>
      </c>
      <c r="AL2751" s="94">
        <v>160</v>
      </c>
      <c r="AM2751" s="94" t="str">
        <f>TRIM(AJ2751)&amp;TRIM(AL2751)&amp;TRIM(AK2751)</f>
      </c>
      <c r="AN2751" s="116">
        <v>2100.6</v>
      </c>
      <c r="AO2751" s="116">
        <v>-20.6</v>
      </c>
      <c r="AP2751" s="116">
        <f>SUMIFS(M:M,AM:AM,AM2751)+SUMIFS(O:O,AM:AM,AM2751)</f>
      </c>
      <c r="AQ2751" s="116">
        <f>SUMIFS(L:L,AM:AM,AM2751)</f>
      </c>
      <c r="AR2751" s="116">
        <f>AQ2751-AP2751</f>
      </c>
      <c r="AS2751" s="94" t="str">
        <f>IF(AN2751&gt;=AQ2751,"ok","ck")</f>
      </c>
      <c r="AT2751" s="116">
        <f>-P2751</f>
      </c>
      <c r="AU2751" s="115">
        <f>IF(SUMIFS(AT:AT,AM:AM,AM2751)&gt;AO2751,(SUMIFS(AT:AT,AM:AM,AM2751)-AO2751))</f>
      </c>
      <c r="AV2751" s="116">
        <v>2100.6</v>
      </c>
      <c r="AW2751" s="121">
        <v>1.01</v>
      </c>
      <c r="AX2751" s="115">
        <f>AN2751-AP2751</f>
      </c>
    </row>
    <row r="2752" spans="1:50" ht="15" hidden="1" customHeight="1" x14ac:dyDescent="0.3">
      <c r="A2752" s="94" t="s">
        <v>76</v>
      </c>
      <c r="B2752" s="94"/>
      <c r="C2752" s="94"/>
      <c r="D2752" s="94"/>
      <c r="E2752" s="94"/>
      <c r="F2752" s="94"/>
      <c r="G2752" s="112">
        <f>AU2752</f>
      </c>
      <c r="H2752" s="113"/>
      <c r="I2752" s="94" t="s">
        <v>77</v>
      </c>
      <c r="J2752" s="94" t="s">
        <v>111</v>
      </c>
      <c r="K2752" s="114">
        <f>P2752/3</f>
      </c>
      <c r="L2752" s="115">
        <v>-11.928000000000001</v>
      </c>
      <c r="M2752" s="116">
        <f>L2752</f>
      </c>
      <c r="N2752" s="117">
        <f>M2752-L2752</f>
      </c>
      <c r="O2752" s="112"/>
      <c r="P2752" s="118">
        <f>N2752+O2752</f>
      </c>
      <c r="Q2752" s="94" t="s">
        <v>398</v>
      </c>
      <c r="R2752" s="94" t="s">
        <v>63</v>
      </c>
      <c r="S2752" s="119">
        <v>46326</v>
      </c>
      <c r="T2752" s="119"/>
      <c r="U2752" s="119">
        <v>46326</v>
      </c>
      <c r="V2752" s="94"/>
      <c r="W2752" s="94"/>
      <c r="X2752" s="94"/>
      <c r="Y2752" s="119">
        <v>46326</v>
      </c>
      <c r="Z2752" s="94"/>
      <c r="AA2752" s="120"/>
      <c r="AB2752" s="120"/>
      <c r="AC2752" s="120"/>
      <c r="AD2752" s="120"/>
      <c r="AE2752" s="120"/>
      <c r="AF2752" s="120"/>
      <c r="AG2752" s="94"/>
      <c r="AH2752" s="120"/>
      <c r="AI2752" s="94"/>
      <c r="AJ2752" s="94" t="s">
        <v>398</v>
      </c>
      <c r="AK2752" s="94" t="s">
        <v>110</v>
      </c>
      <c r="AL2752" s="94">
        <v>150</v>
      </c>
      <c r="AM2752" s="94" t="str">
        <f>TRIM(AJ2752)&amp;TRIM(AL2752)&amp;TRIM(AK2752)</f>
      </c>
      <c r="AN2752" s="116">
        <v>619</v>
      </c>
      <c r="AO2752" s="116">
        <v>-15.11</v>
      </c>
      <c r="AP2752" s="116">
        <f>SUMIFS(M:M,AM:AM,AM2752)+SUMIFS(O:O,AM:AM,AM2752)</f>
      </c>
      <c r="AQ2752" s="116">
        <f>SUMIFS(L:L,AM:AM,AM2752)</f>
      </c>
      <c r="AR2752" s="116">
        <f>AQ2752-AP2752</f>
      </c>
      <c r="AS2752" s="94" t="str">
        <f>IF(AN2752&gt;=AQ2752,"ok","ck")</f>
      </c>
      <c r="AT2752" s="116">
        <f>-P2752</f>
      </c>
      <c r="AU2752" s="115">
        <f>IF(SUMIFS(AT:AT,AM:AM,AM2752)&gt;AO2752,(SUMIFS(AT:AT,AM:AM,AM2752)-AO2752))</f>
      </c>
      <c r="AV2752" s="116">
        <v>619</v>
      </c>
      <c r="AW2752" s="121">
        <v>1.025</v>
      </c>
      <c r="AX2752" s="115">
        <f>AN2752-AP2752</f>
      </c>
    </row>
    <row r="2753" spans="1:50" ht="15" hidden="1" customHeight="1" x14ac:dyDescent="0.3">
      <c r="A2753" s="94" t="s">
        <v>76</v>
      </c>
      <c r="B2753" s="94"/>
      <c r="C2753" s="94"/>
      <c r="D2753" s="94"/>
      <c r="E2753" s="94"/>
      <c r="F2753" s="94"/>
      <c r="G2753" s="112">
        <f>AU2753</f>
      </c>
      <c r="H2753" s="113"/>
      <c r="I2753" s="94" t="s">
        <v>77</v>
      </c>
      <c r="J2753" s="94" t="s">
        <v>111</v>
      </c>
      <c r="K2753" s="114">
        <f>P2753/3</f>
      </c>
      <c r="L2753" s="115">
        <v>-7.2999999999999995E-2</v>
      </c>
      <c r="M2753" s="116">
        <f>L2753</f>
      </c>
      <c r="N2753" s="117">
        <f>M2753-L2753</f>
      </c>
      <c r="O2753" s="112"/>
      <c r="P2753" s="118">
        <f>N2753+O2753</f>
      </c>
      <c r="Q2753" s="94" t="s">
        <v>398</v>
      </c>
      <c r="R2753" s="94" t="s">
        <v>63</v>
      </c>
      <c r="S2753" s="119">
        <v>46329</v>
      </c>
      <c r="T2753" s="119"/>
      <c r="U2753" s="119">
        <v>46329</v>
      </c>
      <c r="V2753" s="94"/>
      <c r="W2753" s="94"/>
      <c r="X2753" s="94"/>
      <c r="Y2753" s="119">
        <v>46329</v>
      </c>
      <c r="Z2753" s="94"/>
      <c r="AA2753" s="120"/>
      <c r="AB2753" s="120"/>
      <c r="AC2753" s="120"/>
      <c r="AD2753" s="120"/>
      <c r="AE2753" s="120"/>
      <c r="AF2753" s="120"/>
      <c r="AG2753" s="94"/>
      <c r="AH2753" s="120"/>
      <c r="AI2753" s="94"/>
      <c r="AJ2753" s="94" t="s">
        <v>398</v>
      </c>
      <c r="AK2753" s="94" t="s">
        <v>110</v>
      </c>
      <c r="AL2753" s="94">
        <v>150</v>
      </c>
      <c r="AM2753" s="94" t="str">
        <f>TRIM(AJ2753)&amp;TRIM(AL2753)&amp;TRIM(AK2753)</f>
      </c>
      <c r="AN2753" s="116">
        <v>619</v>
      </c>
      <c r="AO2753" s="116">
        <v>-15.11</v>
      </c>
      <c r="AP2753" s="116">
        <f>SUMIFS(M:M,AM:AM,AM2753)+SUMIFS(O:O,AM:AM,AM2753)</f>
      </c>
      <c r="AQ2753" s="116">
        <f>SUMIFS(L:L,AM:AM,AM2753)</f>
      </c>
      <c r="AR2753" s="116">
        <f>AQ2753-AP2753</f>
      </c>
      <c r="AS2753" s="94" t="str">
        <f>IF(AN2753&gt;=AQ2753,"ok","ck")</f>
      </c>
      <c r="AT2753" s="116">
        <f>-P2753</f>
      </c>
      <c r="AU2753" s="115">
        <f>IF(SUMIFS(AT:AT,AM:AM,AM2753)&gt;AO2753,(SUMIFS(AT:AT,AM:AM,AM2753)-AO2753))</f>
      </c>
      <c r="AV2753" s="116">
        <v>619</v>
      </c>
      <c r="AW2753" s="121">
        <v>1.025</v>
      </c>
      <c r="AX2753" s="115">
        <f>AN2753-AP2753</f>
      </c>
    </row>
    <row r="2754" spans="1:50" ht="15" hidden="1" customHeight="1" x14ac:dyDescent="0.3">
      <c r="A2754" s="94" t="s">
        <v>151</v>
      </c>
      <c r="B2754" s="94"/>
      <c r="C2754" s="94"/>
      <c r="D2754" s="94"/>
      <c r="E2754" s="94"/>
      <c r="F2754" s="94"/>
      <c r="G2754" s="112">
        <f>AU2754</f>
      </c>
      <c r="H2754" s="113"/>
      <c r="I2754" s="94" t="s">
        <v>188</v>
      </c>
      <c r="J2754" s="94" t="s">
        <v>170</v>
      </c>
      <c r="K2754" s="114">
        <f>P2754/3</f>
      </c>
      <c r="L2754" s="115">
        <v>-1.9019999999999999</v>
      </c>
      <c r="M2754" s="116">
        <f>L2754</f>
      </c>
      <c r="N2754" s="117">
        <f>M2754-L2754</f>
      </c>
      <c r="O2754" s="112"/>
      <c r="P2754" s="118">
        <f>N2754+O2754</f>
      </c>
      <c r="Q2754" s="94" t="s">
        <v>169</v>
      </c>
      <c r="R2754" s="94" t="s">
        <v>63</v>
      </c>
      <c r="S2754" s="119">
        <v>46320</v>
      </c>
      <c r="T2754" s="119"/>
      <c r="U2754" s="119">
        <v>46320</v>
      </c>
      <c r="V2754" s="94"/>
      <c r="W2754" s="94"/>
      <c r="X2754" s="94"/>
      <c r="Y2754" s="119">
        <v>46320</v>
      </c>
      <c r="Z2754" s="94"/>
      <c r="AA2754" s="120"/>
      <c r="AB2754" s="120"/>
      <c r="AC2754" s="120"/>
      <c r="AD2754" s="120"/>
      <c r="AE2754" s="120"/>
      <c r="AF2754" s="120"/>
      <c r="AG2754" s="94"/>
      <c r="AH2754" s="120"/>
      <c r="AI2754" s="94"/>
      <c r="AJ2754" s="94" t="s">
        <v>169</v>
      </c>
      <c r="AK2754" s="94" t="s">
        <v>171</v>
      </c>
      <c r="AL2754" s="94">
        <v>165</v>
      </c>
      <c r="AM2754" s="94" t="str">
        <f>TRIM(AJ2754)&amp;TRIM(AL2754)&amp;TRIM(AK2754)</f>
      </c>
      <c r="AN2754" s="116">
        <v>1149</v>
      </c>
      <c r="AO2754" s="116">
        <v>-69</v>
      </c>
      <c r="AP2754" s="116">
        <f>SUMIFS(M:M,AM:AM,AM2754)+SUMIFS(O:O,AM:AM,AM2754)</f>
      </c>
      <c r="AQ2754" s="116">
        <f>SUMIFS(L:L,AM:AM,AM2754)</f>
      </c>
      <c r="AR2754" s="116">
        <f>AQ2754-AP2754</f>
      </c>
      <c r="AS2754" s="94" t="str">
        <f>IF(AN2754&gt;=AQ2754,"ok","ck")</f>
      </c>
      <c r="AT2754" s="116">
        <f>-P2754</f>
      </c>
      <c r="AU2754" s="115">
        <f>IF(SUMIFS(AT:AT,AM:AM,AM2754)&gt;AO2754,(SUMIFS(AT:AT,AM:AM,AM2754)-AO2754))</f>
      </c>
      <c r="AV2754" s="116">
        <v>1149</v>
      </c>
      <c r="AW2754" s="121">
        <v>1.064</v>
      </c>
      <c r="AX2754" s="115">
        <f>AN2754-AP2754</f>
      </c>
    </row>
    <row r="2755" spans="1:50" ht="15" hidden="1" customHeight="1" x14ac:dyDescent="0.3">
      <c r="A2755" s="94" t="s">
        <v>151</v>
      </c>
      <c r="B2755" s="94"/>
      <c r="C2755" s="94"/>
      <c r="D2755" s="94"/>
      <c r="E2755" s="94"/>
      <c r="F2755" s="94"/>
      <c r="G2755" s="112">
        <f>AU2755</f>
      </c>
      <c r="H2755" s="113"/>
      <c r="I2755" s="94" t="s">
        <v>152</v>
      </c>
      <c r="J2755" s="94" t="s">
        <v>228</v>
      </c>
      <c r="K2755" s="114">
        <f>P2755/3</f>
      </c>
      <c r="L2755" s="115">
        <v>0</v>
      </c>
      <c r="M2755" s="116">
        <f>L2755</f>
      </c>
      <c r="N2755" s="117">
        <f>M2755-L2755</f>
      </c>
      <c r="O2755" s="112"/>
      <c r="P2755" s="118">
        <f>N2755+O2755</f>
      </c>
      <c r="Q2755" s="94" t="s">
        <v>154</v>
      </c>
      <c r="R2755" s="94" t="s">
        <v>63</v>
      </c>
      <c r="S2755" s="119">
        <v>46320</v>
      </c>
      <c r="T2755" s="119"/>
      <c r="U2755" s="119">
        <v>46320</v>
      </c>
      <c r="V2755" s="94"/>
      <c r="W2755" s="94"/>
      <c r="X2755" s="94"/>
      <c r="Y2755" s="119">
        <v>46320</v>
      </c>
      <c r="Z2755" s="94"/>
      <c r="AA2755" s="120"/>
      <c r="AB2755" s="120"/>
      <c r="AC2755" s="120"/>
      <c r="AD2755" s="120"/>
      <c r="AE2755" s="120"/>
      <c r="AF2755" s="120"/>
      <c r="AG2755" s="94"/>
      <c r="AH2755" s="120"/>
      <c r="AI2755" s="94"/>
      <c r="AJ2755" s="94" t="s">
        <v>154</v>
      </c>
      <c r="AK2755" s="94" t="s">
        <v>229</v>
      </c>
      <c r="AL2755" s="94">
        <v>160</v>
      </c>
      <c r="AM2755" s="94" t="str">
        <f>TRIM(AJ2755)&amp;TRIM(AL2755)&amp;TRIM(AK2755)</f>
      </c>
      <c r="AN2755" s="116">
        <v>8053.14</v>
      </c>
      <c r="AO2755" s="116">
        <v>-173.14</v>
      </c>
      <c r="AP2755" s="116">
        <f>SUMIFS(M:M,AM:AM,AM2755)+SUMIFS(O:O,AM:AM,AM2755)</f>
      </c>
      <c r="AQ2755" s="116">
        <f>SUMIFS(L:L,AM:AM,AM2755)</f>
      </c>
      <c r="AR2755" s="116">
        <f>AQ2755-AP2755</f>
      </c>
      <c r="AS2755" s="94" t="str">
        <f>IF(AN2755&gt;=AQ2755,"ok","ck")</f>
      </c>
      <c r="AT2755" s="116">
        <f>-P2755</f>
      </c>
      <c r="AU2755" s="115">
        <f>IF(SUMIFS(AT:AT,AM:AM,AM2755)&gt;AO2755,(SUMIFS(AT:AT,AM:AM,AM2755)-AO2755))</f>
      </c>
      <c r="AV2755" s="116">
        <v>8053.14</v>
      </c>
      <c r="AW2755" s="121">
        <v>1.022</v>
      </c>
      <c r="AX2755" s="115">
        <f>AN2755-AP2755</f>
      </c>
    </row>
    <row r="2756" spans="1:50" ht="15" hidden="1" customHeight="1" x14ac:dyDescent="0.3">
      <c r="A2756" s="94" t="s">
        <v>151</v>
      </c>
      <c r="B2756" s="94"/>
      <c r="C2756" s="94"/>
      <c r="D2756" s="94"/>
      <c r="E2756" s="94"/>
      <c r="F2756" s="94"/>
      <c r="G2756" s="112">
        <f>AU2756</f>
      </c>
      <c r="H2756" s="113"/>
      <c r="I2756" s="94" t="s">
        <v>152</v>
      </c>
      <c r="J2756" s="94" t="s">
        <v>228</v>
      </c>
      <c r="K2756" s="114">
        <f>P2756/3</f>
      </c>
      <c r="L2756" s="115">
        <v>0</v>
      </c>
      <c r="M2756" s="116">
        <f>L2756</f>
      </c>
      <c r="N2756" s="117">
        <f>M2756-L2756</f>
      </c>
      <c r="O2756" s="112"/>
      <c r="P2756" s="118">
        <f>N2756+O2756</f>
      </c>
      <c r="Q2756" s="94" t="s">
        <v>154</v>
      </c>
      <c r="R2756" s="94" t="s">
        <v>63</v>
      </c>
      <c r="S2756" s="119">
        <v>46334</v>
      </c>
      <c r="T2756" s="119"/>
      <c r="U2756" s="119">
        <v>46334</v>
      </c>
      <c r="V2756" s="94"/>
      <c r="W2756" s="94"/>
      <c r="X2756" s="94"/>
      <c r="Y2756" s="119">
        <v>46334</v>
      </c>
      <c r="Z2756" s="94"/>
      <c r="AA2756" s="120"/>
      <c r="AB2756" s="120"/>
      <c r="AC2756" s="120"/>
      <c r="AD2756" s="120"/>
      <c r="AE2756" s="120"/>
      <c r="AF2756" s="120"/>
      <c r="AG2756" s="94"/>
      <c r="AH2756" s="120"/>
      <c r="AI2756" s="94"/>
      <c r="AJ2756" s="94" t="s">
        <v>154</v>
      </c>
      <c r="AK2756" s="94" t="s">
        <v>229</v>
      </c>
      <c r="AL2756" s="94">
        <v>160</v>
      </c>
      <c r="AM2756" s="94" t="str">
        <f>TRIM(AJ2756)&amp;TRIM(AL2756)&amp;TRIM(AK2756)</f>
      </c>
      <c r="AN2756" s="116">
        <v>8053.14</v>
      </c>
      <c r="AO2756" s="116">
        <v>-173.14</v>
      </c>
      <c r="AP2756" s="116">
        <f>SUMIFS(M:M,AM:AM,AM2756)+SUMIFS(O:O,AM:AM,AM2756)</f>
      </c>
      <c r="AQ2756" s="116">
        <f>SUMIFS(L:L,AM:AM,AM2756)</f>
      </c>
      <c r="AR2756" s="116">
        <f>AQ2756-AP2756</f>
      </c>
      <c r="AS2756" s="94" t="str">
        <f>IF(AN2756&gt;=AQ2756,"ok","ck")</f>
      </c>
      <c r="AT2756" s="116">
        <f>-P2756</f>
      </c>
      <c r="AU2756" s="115">
        <f>IF(SUMIFS(AT:AT,AM:AM,AM2756)&gt;AO2756,(SUMIFS(AT:AT,AM:AM,AM2756)-AO2756))</f>
      </c>
      <c r="AV2756" s="116">
        <v>8053.14</v>
      </c>
      <c r="AW2756" s="121">
        <v>1.022</v>
      </c>
      <c r="AX2756" s="115">
        <f>AN2756-AP2756</f>
      </c>
    </row>
    <row r="2757" spans="1:50" ht="15" hidden="1" customHeight="1" x14ac:dyDescent="0.3">
      <c r="A2757" s="94" t="s">
        <v>151</v>
      </c>
      <c r="B2757" s="94"/>
      <c r="C2757" s="94"/>
      <c r="D2757" s="94"/>
      <c r="E2757" s="94"/>
      <c r="F2757" s="94"/>
      <c r="G2757" s="112">
        <f>AU2757</f>
      </c>
      <c r="H2757" s="113"/>
      <c r="I2757" s="94" t="s">
        <v>152</v>
      </c>
      <c r="J2757" s="94" t="s">
        <v>228</v>
      </c>
      <c r="K2757" s="114">
        <f>P2757/3</f>
      </c>
      <c r="L2757" s="115">
        <v>0</v>
      </c>
      <c r="M2757" s="116">
        <f>L2757</f>
      </c>
      <c r="N2757" s="117">
        <f>M2757-L2757</f>
      </c>
      <c r="O2757" s="112"/>
      <c r="P2757" s="118">
        <f>N2757+O2757</f>
      </c>
      <c r="Q2757" s="94" t="s">
        <v>154</v>
      </c>
      <c r="R2757" s="94" t="s">
        <v>63</v>
      </c>
      <c r="S2757" s="119">
        <v>46320</v>
      </c>
      <c r="T2757" s="119"/>
      <c r="U2757" s="119">
        <v>46320</v>
      </c>
      <c r="V2757" s="94"/>
      <c r="W2757" s="94"/>
      <c r="X2757" s="94"/>
      <c r="Y2757" s="119">
        <v>46320</v>
      </c>
      <c r="Z2757" s="94"/>
      <c r="AA2757" s="120"/>
      <c r="AB2757" s="120"/>
      <c r="AC2757" s="120"/>
      <c r="AD2757" s="120"/>
      <c r="AE2757" s="120"/>
      <c r="AF2757" s="120"/>
      <c r="AG2757" s="94"/>
      <c r="AH2757" s="120"/>
      <c r="AI2757" s="94"/>
      <c r="AJ2757" s="94" t="s">
        <v>154</v>
      </c>
      <c r="AK2757" s="94" t="s">
        <v>229</v>
      </c>
      <c r="AL2757" s="94">
        <v>160</v>
      </c>
      <c r="AM2757" s="94" t="str">
        <f>TRIM(AJ2757)&amp;TRIM(AL2757)&amp;TRIM(AK2757)</f>
      </c>
      <c r="AN2757" s="116">
        <v>8053.14</v>
      </c>
      <c r="AO2757" s="116">
        <v>-173.14</v>
      </c>
      <c r="AP2757" s="116">
        <f>SUMIFS(M:M,AM:AM,AM2757)+SUMIFS(O:O,AM:AM,AM2757)</f>
      </c>
      <c r="AQ2757" s="116">
        <f>SUMIFS(L:L,AM:AM,AM2757)</f>
      </c>
      <c r="AR2757" s="116">
        <f>AQ2757-AP2757</f>
      </c>
      <c r="AS2757" s="94" t="str">
        <f>IF(AN2757&gt;=AQ2757,"ok","ck")</f>
      </c>
      <c r="AT2757" s="116">
        <f>-P2757</f>
      </c>
      <c r="AU2757" s="115">
        <f>IF(SUMIFS(AT:AT,AM:AM,AM2757)&gt;AO2757,(SUMIFS(AT:AT,AM:AM,AM2757)-AO2757))</f>
      </c>
      <c r="AV2757" s="116">
        <v>8053.14</v>
      </c>
      <c r="AW2757" s="121">
        <v>1.022</v>
      </c>
      <c r="AX2757" s="115">
        <f>AN2757-AP2757</f>
      </c>
    </row>
    <row r="2758" spans="1:50" ht="15" hidden="1" customHeight="1" x14ac:dyDescent="0.3">
      <c r="A2758" s="94" t="s">
        <v>151</v>
      </c>
      <c r="B2758" s="94"/>
      <c r="C2758" s="94"/>
      <c r="D2758" s="94"/>
      <c r="E2758" s="94"/>
      <c r="F2758" s="94"/>
      <c r="G2758" s="112">
        <f>AU2758</f>
      </c>
      <c r="H2758" s="113"/>
      <c r="I2758" s="94" t="s">
        <v>152</v>
      </c>
      <c r="J2758" s="94" t="s">
        <v>228</v>
      </c>
      <c r="K2758" s="114">
        <f>P2758/3</f>
      </c>
      <c r="L2758" s="115">
        <v>0</v>
      </c>
      <c r="M2758" s="116">
        <f>L2758</f>
      </c>
      <c r="N2758" s="117">
        <f>M2758-L2758</f>
      </c>
      <c r="O2758" s="112"/>
      <c r="P2758" s="118">
        <f>N2758+O2758</f>
      </c>
      <c r="Q2758" s="94" t="s">
        <v>154</v>
      </c>
      <c r="R2758" s="94" t="s">
        <v>63</v>
      </c>
      <c r="S2758" s="119">
        <v>46342</v>
      </c>
      <c r="T2758" s="119"/>
      <c r="U2758" s="119">
        <v>46342</v>
      </c>
      <c r="V2758" s="94"/>
      <c r="W2758" s="94"/>
      <c r="X2758" s="94"/>
      <c r="Y2758" s="119">
        <v>46342</v>
      </c>
      <c r="Z2758" s="94"/>
      <c r="AA2758" s="120"/>
      <c r="AB2758" s="120"/>
      <c r="AC2758" s="120"/>
      <c r="AD2758" s="120"/>
      <c r="AE2758" s="120"/>
      <c r="AF2758" s="120"/>
      <c r="AG2758" s="94"/>
      <c r="AH2758" s="120"/>
      <c r="AI2758" s="94"/>
      <c r="AJ2758" s="94" t="s">
        <v>154</v>
      </c>
      <c r="AK2758" s="94" t="s">
        <v>229</v>
      </c>
      <c r="AL2758" s="94">
        <v>160</v>
      </c>
      <c r="AM2758" s="94" t="str">
        <f>TRIM(AJ2758)&amp;TRIM(AL2758)&amp;TRIM(AK2758)</f>
      </c>
      <c r="AN2758" s="116">
        <v>8053.14</v>
      </c>
      <c r="AO2758" s="116">
        <v>-173.14</v>
      </c>
      <c r="AP2758" s="116">
        <f>SUMIFS(M:M,AM:AM,AM2758)+SUMIFS(O:O,AM:AM,AM2758)</f>
      </c>
      <c r="AQ2758" s="116">
        <f>SUMIFS(L:L,AM:AM,AM2758)</f>
      </c>
      <c r="AR2758" s="116">
        <f>AQ2758-AP2758</f>
      </c>
      <c r="AS2758" s="94" t="str">
        <f>IF(AN2758&gt;=AQ2758,"ok","ck")</f>
      </c>
      <c r="AT2758" s="116">
        <f>-P2758</f>
      </c>
      <c r="AU2758" s="115">
        <f>IF(SUMIFS(AT:AT,AM:AM,AM2758)&gt;AO2758,(SUMIFS(AT:AT,AM:AM,AM2758)-AO2758))</f>
      </c>
      <c r="AV2758" s="116">
        <v>8053.14</v>
      </c>
      <c r="AW2758" s="121">
        <v>1.022</v>
      </c>
      <c r="AX2758" s="115">
        <f>AN2758-AP2758</f>
      </c>
    </row>
    <row r="2759" spans="1:50" ht="15" hidden="1" customHeight="1" x14ac:dyDescent="0.3">
      <c r="A2759" s="94" t="s">
        <v>151</v>
      </c>
      <c r="B2759" s="94"/>
      <c r="C2759" s="94"/>
      <c r="D2759" s="94"/>
      <c r="E2759" s="94"/>
      <c r="F2759" s="94"/>
      <c r="G2759" s="112">
        <f>AU2759</f>
      </c>
      <c r="H2759" s="113"/>
      <c r="I2759" s="94" t="s">
        <v>152</v>
      </c>
      <c r="J2759" s="94" t="s">
        <v>228</v>
      </c>
      <c r="K2759" s="114">
        <f>P2759/3</f>
      </c>
      <c r="L2759" s="115">
        <v>0</v>
      </c>
      <c r="M2759" s="116">
        <f>L2759</f>
      </c>
      <c r="N2759" s="117">
        <f>M2759-L2759</f>
      </c>
      <c r="O2759" s="112"/>
      <c r="P2759" s="118">
        <f>N2759+O2759</f>
      </c>
      <c r="Q2759" s="94" t="s">
        <v>154</v>
      </c>
      <c r="R2759" s="94" t="s">
        <v>63</v>
      </c>
      <c r="S2759" s="119">
        <v>46320</v>
      </c>
      <c r="T2759" s="119"/>
      <c r="U2759" s="119">
        <v>46320</v>
      </c>
      <c r="V2759" s="94"/>
      <c r="W2759" s="94"/>
      <c r="X2759" s="94"/>
      <c r="Y2759" s="119">
        <v>46320</v>
      </c>
      <c r="Z2759" s="94"/>
      <c r="AA2759" s="120"/>
      <c r="AB2759" s="120"/>
      <c r="AC2759" s="120"/>
      <c r="AD2759" s="120"/>
      <c r="AE2759" s="120"/>
      <c r="AF2759" s="120"/>
      <c r="AG2759" s="94"/>
      <c r="AH2759" s="120"/>
      <c r="AI2759" s="94"/>
      <c r="AJ2759" s="94" t="s">
        <v>154</v>
      </c>
      <c r="AK2759" s="94" t="s">
        <v>229</v>
      </c>
      <c r="AL2759" s="94">
        <v>160</v>
      </c>
      <c r="AM2759" s="94" t="str">
        <f>TRIM(AJ2759)&amp;TRIM(AL2759)&amp;TRIM(AK2759)</f>
      </c>
      <c r="AN2759" s="116">
        <v>8053.14</v>
      </c>
      <c r="AO2759" s="116">
        <v>-173.14</v>
      </c>
      <c r="AP2759" s="116">
        <f>SUMIFS(M:M,AM:AM,AM2759)+SUMIFS(O:O,AM:AM,AM2759)</f>
      </c>
      <c r="AQ2759" s="116">
        <f>SUMIFS(L:L,AM:AM,AM2759)</f>
      </c>
      <c r="AR2759" s="116">
        <f>AQ2759-AP2759</f>
      </c>
      <c r="AS2759" s="94" t="str">
        <f>IF(AN2759&gt;=AQ2759,"ok","ck")</f>
      </c>
      <c r="AT2759" s="116">
        <f>-P2759</f>
      </c>
      <c r="AU2759" s="115">
        <f>IF(SUMIFS(AT:AT,AM:AM,AM2759)&gt;AO2759,(SUMIFS(AT:AT,AM:AM,AM2759)-AO2759))</f>
      </c>
      <c r="AV2759" s="116">
        <v>8053.14</v>
      </c>
      <c r="AW2759" s="121">
        <v>1.022</v>
      </c>
      <c r="AX2759" s="115">
        <f>AN2759-AP2759</f>
      </c>
    </row>
    <row r="2760" spans="1:50" ht="15" hidden="1" customHeight="1" x14ac:dyDescent="0.3">
      <c r="A2760" s="94" t="s">
        <v>151</v>
      </c>
      <c r="B2760" s="94"/>
      <c r="C2760" s="94"/>
      <c r="D2760" s="94"/>
      <c r="E2760" s="94"/>
      <c r="F2760" s="94"/>
      <c r="G2760" s="112">
        <f>AU2760</f>
      </c>
      <c r="H2760" s="113"/>
      <c r="I2760" s="94" t="s">
        <v>152</v>
      </c>
      <c r="J2760" s="94" t="s">
        <v>228</v>
      </c>
      <c r="K2760" s="114">
        <f>P2760/3</f>
      </c>
      <c r="L2760" s="115">
        <v>0</v>
      </c>
      <c r="M2760" s="116">
        <f>L2760</f>
      </c>
      <c r="N2760" s="117">
        <f>M2760-L2760</f>
      </c>
      <c r="O2760" s="112"/>
      <c r="P2760" s="118">
        <f>N2760+O2760</f>
      </c>
      <c r="Q2760" s="94" t="s">
        <v>154</v>
      </c>
      <c r="R2760" s="94" t="s">
        <v>63</v>
      </c>
      <c r="S2760" s="119">
        <v>46320</v>
      </c>
      <c r="T2760" s="119"/>
      <c r="U2760" s="119">
        <v>46320</v>
      </c>
      <c r="V2760" s="94"/>
      <c r="W2760" s="94"/>
      <c r="X2760" s="94"/>
      <c r="Y2760" s="119">
        <v>46320</v>
      </c>
      <c r="Z2760" s="94"/>
      <c r="AA2760" s="120"/>
      <c r="AB2760" s="120"/>
      <c r="AC2760" s="120"/>
      <c r="AD2760" s="120"/>
      <c r="AE2760" s="120"/>
      <c r="AF2760" s="120"/>
      <c r="AG2760" s="94"/>
      <c r="AH2760" s="120"/>
      <c r="AI2760" s="94"/>
      <c r="AJ2760" s="94" t="s">
        <v>154</v>
      </c>
      <c r="AK2760" s="94" t="s">
        <v>229</v>
      </c>
      <c r="AL2760" s="94">
        <v>160</v>
      </c>
      <c r="AM2760" s="94" t="str">
        <f>TRIM(AJ2760)&amp;TRIM(AL2760)&amp;TRIM(AK2760)</f>
      </c>
      <c r="AN2760" s="116">
        <v>8053.14</v>
      </c>
      <c r="AO2760" s="116">
        <v>-173.14</v>
      </c>
      <c r="AP2760" s="116">
        <f>SUMIFS(M:M,AM:AM,AM2760)+SUMIFS(O:O,AM:AM,AM2760)</f>
      </c>
      <c r="AQ2760" s="116">
        <f>SUMIFS(L:L,AM:AM,AM2760)</f>
      </c>
      <c r="AR2760" s="116">
        <f>AQ2760-AP2760</f>
      </c>
      <c r="AS2760" s="94" t="str">
        <f>IF(AN2760&gt;=AQ2760,"ok","ck")</f>
      </c>
      <c r="AT2760" s="116">
        <f>-P2760</f>
      </c>
      <c r="AU2760" s="115">
        <f>IF(SUMIFS(AT:AT,AM:AM,AM2760)&gt;AO2760,(SUMIFS(AT:AT,AM:AM,AM2760)-AO2760))</f>
      </c>
      <c r="AV2760" s="116">
        <v>8053.14</v>
      </c>
      <c r="AW2760" s="121">
        <v>1.022</v>
      </c>
      <c r="AX2760" s="115">
        <f>AN2760-AP2760</f>
      </c>
    </row>
    <row r="2761" spans="1:50" ht="15" hidden="1" customHeight="1" x14ac:dyDescent="0.3">
      <c r="A2761" s="94" t="s">
        <v>151</v>
      </c>
      <c r="B2761" s="94"/>
      <c r="C2761" s="94"/>
      <c r="D2761" s="94"/>
      <c r="E2761" s="94"/>
      <c r="F2761" s="94"/>
      <c r="G2761" s="112">
        <f>AU2761</f>
      </c>
      <c r="H2761" s="113"/>
      <c r="I2761" s="94" t="s">
        <v>163</v>
      </c>
      <c r="J2761" s="94" t="s">
        <v>237</v>
      </c>
      <c r="K2761" s="114">
        <f>P2761/3</f>
      </c>
      <c r="L2761" s="115">
        <v>-4.4560000000000004</v>
      </c>
      <c r="M2761" s="116">
        <f>L2761</f>
      </c>
      <c r="N2761" s="117">
        <f>M2761-L2761</f>
      </c>
      <c r="O2761" s="112"/>
      <c r="P2761" s="118">
        <f>N2761+O2761</f>
      </c>
      <c r="Q2761" s="94" t="s">
        <v>165</v>
      </c>
      <c r="R2761" s="94" t="s">
        <v>63</v>
      </c>
      <c r="S2761" s="119">
        <v>46337</v>
      </c>
      <c r="T2761" s="119"/>
      <c r="U2761" s="119">
        <v>46337</v>
      </c>
      <c r="V2761" s="94"/>
      <c r="W2761" s="94"/>
      <c r="X2761" s="94"/>
      <c r="Y2761" s="119">
        <v>46337</v>
      </c>
      <c r="Z2761" s="94"/>
      <c r="AA2761" s="120"/>
      <c r="AB2761" s="120"/>
      <c r="AC2761" s="120"/>
      <c r="AD2761" s="120"/>
      <c r="AE2761" s="120"/>
      <c r="AF2761" s="120"/>
      <c r="AG2761" s="94"/>
      <c r="AH2761" s="120"/>
      <c r="AI2761" s="94"/>
      <c r="AJ2761" s="94" t="s">
        <v>165</v>
      </c>
      <c r="AK2761" s="94" t="s">
        <v>238</v>
      </c>
      <c r="AL2761" s="94">
        <v>160</v>
      </c>
      <c r="AM2761" s="94" t="str">
        <f>TRIM(AJ2761)&amp;TRIM(AL2761)&amp;TRIM(AK2761)</f>
      </c>
      <c r="AN2761" s="116">
        <v>239</v>
      </c>
      <c r="AO2761" s="116">
        <v>-7.46</v>
      </c>
      <c r="AP2761" s="116">
        <f>SUMIFS(M:M,AM:AM,AM2761)+SUMIFS(O:O,AM:AM,AM2761)</f>
      </c>
      <c r="AQ2761" s="116">
        <f>SUMIFS(L:L,AM:AM,AM2761)</f>
      </c>
      <c r="AR2761" s="116">
        <f>AQ2761-AP2761</f>
      </c>
      <c r="AS2761" s="94" t="str">
        <f>IF(AN2761&gt;=AQ2761,"ok","ck")</f>
      </c>
      <c r="AT2761" s="116">
        <f>-P2761</f>
      </c>
      <c r="AU2761" s="115">
        <f>IF(SUMIFS(AT:AT,AM:AM,AM2761)&gt;AO2761,(SUMIFS(AT:AT,AM:AM,AM2761)-AO2761))</f>
      </c>
      <c r="AV2761" s="116">
        <v>239</v>
      </c>
      <c r="AW2761" s="121">
        <v>1.032</v>
      </c>
      <c r="AX2761" s="115">
        <f>AN2761-AP2761</f>
      </c>
    </row>
    <row r="2762" spans="1:50" ht="15" hidden="1" customHeight="1" x14ac:dyDescent="0.3">
      <c r="A2762" s="94" t="s">
        <v>151</v>
      </c>
      <c r="B2762" s="94"/>
      <c r="C2762" s="94"/>
      <c r="D2762" s="94"/>
      <c r="E2762" s="94"/>
      <c r="F2762" s="94"/>
      <c r="G2762" s="112">
        <f>AU2762</f>
      </c>
      <c r="H2762" s="113"/>
      <c r="I2762" s="94" t="s">
        <v>163</v>
      </c>
      <c r="J2762" s="94" t="s">
        <v>156</v>
      </c>
      <c r="K2762" s="114">
        <f>P2762/3</f>
      </c>
      <c r="L2762" s="115">
        <v>550</v>
      </c>
      <c r="M2762" s="116">
        <f>L2762</f>
      </c>
      <c r="N2762" s="117">
        <f>M2762-L2762</f>
      </c>
      <c r="O2762" s="112"/>
      <c r="P2762" s="118">
        <f>N2762+O2762</f>
      </c>
      <c r="Q2762" s="94" t="s">
        <v>232</v>
      </c>
      <c r="R2762" s="94" t="s">
        <v>63</v>
      </c>
      <c r="S2762" s="119">
        <v>46327</v>
      </c>
      <c r="T2762" s="119"/>
      <c r="U2762" s="119">
        <v>46327</v>
      </c>
      <c r="V2762" s="94"/>
      <c r="W2762" s="94"/>
      <c r="X2762" s="94"/>
      <c r="Y2762" s="119">
        <v>46320</v>
      </c>
      <c r="Z2762" s="94"/>
      <c r="AA2762" s="120"/>
      <c r="AB2762" s="120"/>
      <c r="AC2762" s="120"/>
      <c r="AD2762" s="120"/>
      <c r="AE2762" s="120"/>
      <c r="AF2762" s="120"/>
      <c r="AG2762" s="94"/>
      <c r="AH2762" s="120"/>
      <c r="AI2762" s="94"/>
      <c r="AJ2762" s="94" t="s">
        <v>232</v>
      </c>
      <c r="AK2762" s="94" t="s">
        <v>158</v>
      </c>
      <c r="AL2762" s="94">
        <v>160</v>
      </c>
      <c r="AM2762" s="94" t="str">
        <f>TRIM(AJ2762)&amp;TRIM(AL2762)&amp;TRIM(AK2762)</f>
      </c>
      <c r="AN2762" s="116">
        <v>886</v>
      </c>
      <c r="AO2762" s="116">
        <v>-36</v>
      </c>
      <c r="AP2762" s="116">
        <f>SUMIFS(M:M,AM:AM,AM2762)+SUMIFS(O:O,AM:AM,AM2762)</f>
      </c>
      <c r="AQ2762" s="116">
        <f>SUMIFS(L:L,AM:AM,AM2762)</f>
      </c>
      <c r="AR2762" s="116">
        <f>AQ2762-AP2762</f>
      </c>
      <c r="AS2762" s="94" t="str">
        <f>IF(AN2762&gt;=AQ2762,"ok","ck")</f>
      </c>
      <c r="AT2762" s="116">
        <f>-P2762</f>
      </c>
      <c r="AU2762" s="115">
        <f>IF(SUMIFS(AT:AT,AM:AM,AM2762)&gt;AO2762,(SUMIFS(AT:AT,AM:AM,AM2762)-AO2762))</f>
      </c>
      <c r="AV2762" s="116">
        <v>886</v>
      </c>
      <c r="AW2762" s="121">
        <v>1.042</v>
      </c>
      <c r="AX2762" s="115">
        <f>AN2762-AP2762</f>
      </c>
    </row>
    <row r="2763" spans="1:50" ht="15" hidden="1" customHeight="1" x14ac:dyDescent="0.3">
      <c r="A2763" s="94" t="s">
        <v>151</v>
      </c>
      <c r="B2763" s="94"/>
      <c r="C2763" s="94"/>
      <c r="D2763" s="94"/>
      <c r="E2763" s="94"/>
      <c r="F2763" s="94"/>
      <c r="G2763" s="112">
        <f>AU2763</f>
      </c>
      <c r="H2763" s="113"/>
      <c r="I2763" s="94" t="s">
        <v>163</v>
      </c>
      <c r="J2763" s="94" t="s">
        <v>224</v>
      </c>
      <c r="K2763" s="114">
        <f>P2763/3</f>
      </c>
      <c r="L2763" s="115">
        <v>230</v>
      </c>
      <c r="M2763" s="116"/>
      <c r="N2763" s="117">
        <f>M2763-L2763</f>
      </c>
      <c r="O2763" s="112"/>
      <c r="P2763" s="118">
        <f>N2763+O2763</f>
      </c>
      <c r="Q2763" s="94" t="s">
        <v>232</v>
      </c>
      <c r="R2763" s="94" t="s">
        <v>63</v>
      </c>
      <c r="S2763" s="119">
        <v>46327</v>
      </c>
      <c r="T2763" s="119"/>
      <c r="U2763" s="119">
        <v>46327</v>
      </c>
      <c r="V2763" s="94"/>
      <c r="W2763" s="94"/>
      <c r="X2763" s="94"/>
      <c r="Y2763" s="119">
        <v>46323</v>
      </c>
      <c r="Z2763" s="94"/>
      <c r="AA2763" s="120"/>
      <c r="AB2763" s="120"/>
      <c r="AC2763" s="120"/>
      <c r="AD2763" s="120"/>
      <c r="AE2763" s="120"/>
      <c r="AF2763" s="120"/>
      <c r="AG2763" s="94"/>
      <c r="AH2763" s="120"/>
      <c r="AI2763" s="94"/>
      <c r="AJ2763" s="94" t="s">
        <v>232</v>
      </c>
      <c r="AK2763" s="94" t="s">
        <v>225</v>
      </c>
      <c r="AL2763" s="94">
        <v>160</v>
      </c>
      <c r="AM2763" s="94" t="str">
        <f>TRIM(AJ2763)&amp;TRIM(AL2763)&amp;TRIM(AK2763)</f>
      </c>
      <c r="AN2763" s="116">
        <v>0</v>
      </c>
      <c r="AO2763" s="116" t="inlineStr">
        <is>
          <t>#NA</t>
        </is>
      </c>
      <c r="AP2763" s="116">
        <f>SUMIFS(M:M,AM:AM,AM2763)+SUMIFS(O:O,AM:AM,AM2763)</f>
      </c>
      <c r="AQ2763" s="116">
        <f>SUMIFS(L:L,AM:AM,AM2763)</f>
      </c>
      <c r="AR2763" s="116">
        <f>AQ2763-AP2763</f>
      </c>
      <c r="AS2763" s="94" t="str">
        <f>IF(AN2763&gt;=AQ2763,"ok","ck")</f>
      </c>
      <c r="AT2763" s="116">
        <f>-P2763</f>
      </c>
      <c r="AU2763" s="115">
        <f>IF(SUMIFS(AT:AT,AM:AM,AM2763)&gt;AO2763,(SUMIFS(AT:AT,AM:AM,AM2763)-AO2763))</f>
      </c>
      <c r="AV2763" s="116">
        <v>0</v>
      </c>
      <c r="AW2763" s="121">
        <v>0</v>
      </c>
      <c r="AX2763" s="115">
        <f>AN2763-AP2763</f>
      </c>
    </row>
    <row r="2764" spans="1:50" ht="15" hidden="1" customHeight="1" x14ac:dyDescent="0.3">
      <c r="A2764" s="94" t="s">
        <v>151</v>
      </c>
      <c r="B2764" s="94"/>
      <c r="C2764" s="94"/>
      <c r="D2764" s="94"/>
      <c r="E2764" s="94"/>
      <c r="F2764" s="94"/>
      <c r="G2764" s="112">
        <f>AU2764</f>
      </c>
      <c r="H2764" s="113"/>
      <c r="I2764" s="94" t="s">
        <v>226</v>
      </c>
      <c r="J2764" s="94" t="s">
        <v>217</v>
      </c>
      <c r="K2764" s="114">
        <f>P2764/3</f>
      </c>
      <c r="L2764" s="115">
        <v>230</v>
      </c>
      <c r="M2764" s="116">
        <f>L2764</f>
      </c>
      <c r="N2764" s="117">
        <f>M2764-L2764</f>
      </c>
      <c r="O2764" s="112"/>
      <c r="P2764" s="118">
        <f>N2764+O2764</f>
      </c>
      <c r="Q2764" s="94" t="s">
        <v>232</v>
      </c>
      <c r="R2764" s="94" t="s">
        <v>63</v>
      </c>
      <c r="S2764" s="119">
        <v>46323</v>
      </c>
      <c r="T2764" s="119"/>
      <c r="U2764" s="119">
        <v>46323</v>
      </c>
      <c r="V2764" s="94"/>
      <c r="W2764" s="94"/>
      <c r="X2764" s="94"/>
      <c r="Y2764" s="119">
        <v>46323</v>
      </c>
      <c r="Z2764" s="94"/>
      <c r="AA2764" s="120"/>
      <c r="AB2764" s="120"/>
      <c r="AC2764" s="120"/>
      <c r="AD2764" s="120"/>
      <c r="AE2764" s="120"/>
      <c r="AF2764" s="120"/>
      <c r="AG2764" s="94"/>
      <c r="AH2764" s="120"/>
      <c r="AI2764" s="94"/>
      <c r="AJ2764" s="94" t="s">
        <v>232</v>
      </c>
      <c r="AK2764" s="94" t="s">
        <v>217</v>
      </c>
      <c r="AL2764" s="94">
        <v>160</v>
      </c>
      <c r="AM2764" s="94" t="str">
        <f>TRIM(AJ2764)&amp;TRIM(AL2764)&amp;TRIM(AK2764)</f>
      </c>
      <c r="AN2764" s="116">
        <v>498.21</v>
      </c>
      <c r="AO2764" s="116">
        <v>1.79</v>
      </c>
      <c r="AP2764" s="116">
        <f>SUMIFS(M:M,AM:AM,AM2764)+SUMIFS(O:O,AM:AM,AM2764)</f>
      </c>
      <c r="AQ2764" s="116">
        <f>SUMIFS(L:L,AM:AM,AM2764)</f>
      </c>
      <c r="AR2764" s="116">
        <f>AQ2764-AP2764</f>
      </c>
      <c r="AS2764" s="94" t="str">
        <f>IF(AN2764&gt;=AQ2764,"ok","ck")</f>
      </c>
      <c r="AT2764" s="116">
        <f>-P2764</f>
      </c>
      <c r="AU2764" s="115">
        <f>IF(SUMIFS(AT:AT,AM:AM,AM2764)&gt;AO2764,(SUMIFS(AT:AT,AM:AM,AM2764)-AO2764))</f>
      </c>
      <c r="AV2764" s="116">
        <v>498.21</v>
      </c>
      <c r="AW2764" s="121">
        <v>0.996</v>
      </c>
      <c r="AX2764" s="115">
        <f>AN2764-AP2764</f>
      </c>
    </row>
    <row r="2765" spans="1:50" ht="15" hidden="1" customHeight="1" x14ac:dyDescent="0.3">
      <c r="A2765" s="94" t="s">
        <v>76</v>
      </c>
      <c r="B2765" s="94"/>
      <c r="C2765" s="94"/>
      <c r="D2765" s="94"/>
      <c r="E2765" s="94"/>
      <c r="F2765" s="94"/>
      <c r="G2765" s="112">
        <f>AU2765</f>
      </c>
      <c r="H2765" s="113"/>
      <c r="I2765" s="94" t="s">
        <v>77</v>
      </c>
      <c r="J2765" s="94" t="s">
        <v>114</v>
      </c>
      <c r="K2765" s="114">
        <f>P2765/3</f>
      </c>
      <c r="L2765" s="115">
        <v>366.44900000000001</v>
      </c>
      <c r="M2765" s="116"/>
      <c r="N2765" s="117">
        <f>M2765-L2765</f>
      </c>
      <c r="O2765" s="112"/>
      <c r="P2765" s="118">
        <f>N2765+O2765</f>
      </c>
      <c r="Q2765" s="94" t="s">
        <v>833</v>
      </c>
      <c r="R2765" s="94" t="s">
        <v>63</v>
      </c>
      <c r="S2765" s="119">
        <v>46342</v>
      </c>
      <c r="T2765" s="119"/>
      <c r="U2765" s="119">
        <v>46342</v>
      </c>
      <c r="V2765" s="94"/>
      <c r="W2765" s="94"/>
      <c r="X2765" s="94"/>
      <c r="Y2765" s="119">
        <v>46343</v>
      </c>
      <c r="Z2765" s="94"/>
      <c r="AA2765" s="120"/>
      <c r="AB2765" s="120"/>
      <c r="AC2765" s="120"/>
      <c r="AD2765" s="120"/>
      <c r="AE2765" s="120"/>
      <c r="AF2765" s="120"/>
      <c r="AG2765" s="94"/>
      <c r="AH2765" s="120"/>
      <c r="AI2765" s="94"/>
      <c r="AJ2765" s="94" t="s">
        <v>833</v>
      </c>
      <c r="AK2765" s="94" t="s">
        <v>115</v>
      </c>
      <c r="AL2765" s="94">
        <v>150</v>
      </c>
      <c r="AM2765" s="94" t="str">
        <f>TRIM(AJ2765)&amp;TRIM(AL2765)&amp;TRIM(AK2765)</f>
      </c>
      <c r="AN2765" s="116">
        <v>0</v>
      </c>
      <c r="AO2765" s="116" t="inlineStr">
        <is>
          <t>#NA</t>
        </is>
      </c>
      <c r="AP2765" s="116">
        <f>SUMIFS(M:M,AM:AM,AM2765)+SUMIFS(O:O,AM:AM,AM2765)</f>
      </c>
      <c r="AQ2765" s="116">
        <f>SUMIFS(L:L,AM:AM,AM2765)</f>
      </c>
      <c r="AR2765" s="116">
        <f>AQ2765-AP2765</f>
      </c>
      <c r="AS2765" s="94" t="str">
        <f>IF(AN2765&gt;=AQ2765,"ok","ck")</f>
      </c>
      <c r="AT2765" s="116">
        <f>-P2765</f>
      </c>
      <c r="AU2765" s="115">
        <f>IF(SUMIFS(AT:AT,AM:AM,AM2765)&gt;AO2765,(SUMIFS(AT:AT,AM:AM,AM2765)-AO2765))</f>
      </c>
      <c r="AV2765" s="116">
        <v>0</v>
      </c>
      <c r="AW2765" s="121">
        <v>0</v>
      </c>
      <c r="AX2765" s="115">
        <f>AN2765-AP2765</f>
      </c>
    </row>
    <row r="2766" spans="1:50" ht="15" hidden="1" customHeight="1" x14ac:dyDescent="0.3">
      <c r="A2766" s="94" t="s">
        <v>76</v>
      </c>
      <c r="B2766" s="94"/>
      <c r="C2766" s="94"/>
      <c r="D2766" s="94"/>
      <c r="E2766" s="94"/>
      <c r="F2766" s="94"/>
      <c r="G2766" s="112">
        <f>AU2766</f>
      </c>
      <c r="H2766" s="113"/>
      <c r="I2766" s="94" t="s">
        <v>77</v>
      </c>
      <c r="J2766" s="94" t="s">
        <v>114</v>
      </c>
      <c r="K2766" s="114">
        <f>P2766/3</f>
      </c>
      <c r="L2766" s="115">
        <v>1.7649999999999999</v>
      </c>
      <c r="M2766" s="116"/>
      <c r="N2766" s="117">
        <f>M2766-L2766</f>
      </c>
      <c r="O2766" s="112"/>
      <c r="P2766" s="118">
        <f>N2766+O2766</f>
      </c>
      <c r="Q2766" s="94" t="s">
        <v>833</v>
      </c>
      <c r="R2766" s="94" t="s">
        <v>63</v>
      </c>
      <c r="S2766" s="119">
        <v>46342</v>
      </c>
      <c r="T2766" s="119"/>
      <c r="U2766" s="119">
        <v>46342</v>
      </c>
      <c r="V2766" s="94"/>
      <c r="W2766" s="94"/>
      <c r="X2766" s="94"/>
      <c r="Y2766" s="119">
        <v>46345</v>
      </c>
      <c r="Z2766" s="94"/>
      <c r="AA2766" s="120"/>
      <c r="AB2766" s="120"/>
      <c r="AC2766" s="120"/>
      <c r="AD2766" s="120"/>
      <c r="AE2766" s="120"/>
      <c r="AF2766" s="120"/>
      <c r="AG2766" s="94"/>
      <c r="AH2766" s="120"/>
      <c r="AI2766" s="94"/>
      <c r="AJ2766" s="94" t="s">
        <v>833</v>
      </c>
      <c r="AK2766" s="94" t="s">
        <v>115</v>
      </c>
      <c r="AL2766" s="94">
        <v>150</v>
      </c>
      <c r="AM2766" s="94" t="str">
        <f>TRIM(AJ2766)&amp;TRIM(AL2766)&amp;TRIM(AK2766)</f>
      </c>
      <c r="AN2766" s="116">
        <v>0</v>
      </c>
      <c r="AO2766" s="116" t="inlineStr">
        <is>
          <t>#NA</t>
        </is>
      </c>
      <c r="AP2766" s="116">
        <f>SUMIFS(M:M,AM:AM,AM2766)+SUMIFS(O:O,AM:AM,AM2766)</f>
      </c>
      <c r="AQ2766" s="116">
        <f>SUMIFS(L:L,AM:AM,AM2766)</f>
      </c>
      <c r="AR2766" s="116">
        <f>AQ2766-AP2766</f>
      </c>
      <c r="AS2766" s="94" t="str">
        <f>IF(AN2766&gt;=AQ2766,"ok","ck")</f>
      </c>
      <c r="AT2766" s="116">
        <f>-P2766</f>
      </c>
      <c r="AU2766" s="115">
        <f>IF(SUMIFS(AT:AT,AM:AM,AM2766)&gt;AO2766,(SUMIFS(AT:AT,AM:AM,AM2766)-AO2766))</f>
      </c>
      <c r="AV2766" s="116">
        <v>0</v>
      </c>
      <c r="AW2766" s="121">
        <v>0</v>
      </c>
      <c r="AX2766" s="115">
        <f>AN2766-AP2766</f>
      </c>
    </row>
    <row r="2767" spans="1:50" ht="15" hidden="1" customHeight="1" x14ac:dyDescent="0.3">
      <c r="A2767" s="94" t="s">
        <v>151</v>
      </c>
      <c r="B2767" s="94"/>
      <c r="C2767" s="94"/>
      <c r="D2767" s="94"/>
      <c r="E2767" s="94"/>
      <c r="F2767" s="94"/>
      <c r="G2767" s="112">
        <f>AU2767</f>
      </c>
      <c r="H2767" s="113"/>
      <c r="I2767" s="94" t="s">
        <v>152</v>
      </c>
      <c r="J2767" s="94" t="s">
        <v>156</v>
      </c>
      <c r="K2767" s="114">
        <f>P2767/3</f>
      </c>
      <c r="L2767" s="115">
        <v>0</v>
      </c>
      <c r="M2767" s="116"/>
      <c r="N2767" s="117">
        <f>M2767-L2767</f>
      </c>
      <c r="O2767" s="112"/>
      <c r="P2767" s="118">
        <f>N2767+O2767</f>
      </c>
      <c r="Q2767" s="94" t="s">
        <v>213</v>
      </c>
      <c r="R2767" s="94" t="s">
        <v>63</v>
      </c>
      <c r="S2767" s="119">
        <v>46320</v>
      </c>
      <c r="T2767" s="119"/>
      <c r="U2767" s="119">
        <v>46320</v>
      </c>
      <c r="V2767" s="94"/>
      <c r="W2767" s="94"/>
      <c r="X2767" s="94"/>
      <c r="Y2767" s="119">
        <v>46320</v>
      </c>
      <c r="Z2767" s="94"/>
      <c r="AA2767" s="120"/>
      <c r="AB2767" s="120"/>
      <c r="AC2767" s="120"/>
      <c r="AD2767" s="120"/>
      <c r="AE2767" s="120"/>
      <c r="AF2767" s="120"/>
      <c r="AG2767" s="94"/>
      <c r="AH2767" s="120"/>
      <c r="AI2767" s="94"/>
      <c r="AJ2767" s="94" t="s">
        <v>213</v>
      </c>
      <c r="AK2767" s="94" t="s">
        <v>158</v>
      </c>
      <c r="AL2767" s="94">
        <v>160</v>
      </c>
      <c r="AM2767" s="94" t="str">
        <f>TRIM(AJ2767)&amp;TRIM(AL2767)&amp;TRIM(AK2767)</f>
      </c>
      <c r="AN2767" s="116">
        <v>4334.9</v>
      </c>
      <c r="AO2767" s="116">
        <v>265.1</v>
      </c>
      <c r="AP2767" s="116">
        <f>SUMIFS(M:M,AM:AM,AM2767)+SUMIFS(O:O,AM:AM,AM2767)</f>
      </c>
      <c r="AQ2767" s="116">
        <f>SUMIFS(L:L,AM:AM,AM2767)</f>
      </c>
      <c r="AR2767" s="116">
        <f>AQ2767-AP2767</f>
      </c>
      <c r="AS2767" s="94" t="str">
        <f>IF(AN2767&gt;=AQ2767,"ok","ck")</f>
      </c>
      <c r="AT2767" s="116">
        <f>-P2767</f>
      </c>
      <c r="AU2767" s="115">
        <f>IF(SUMIFS(AT:AT,AM:AM,AM2767)&gt;AO2767,(SUMIFS(AT:AT,AM:AM,AM2767)-AO2767))</f>
      </c>
      <c r="AV2767" s="116">
        <v>4334.9</v>
      </c>
      <c r="AW2767" s="121">
        <v>0.942</v>
      </c>
      <c r="AX2767" s="115">
        <f>AN2767-AP2767</f>
      </c>
    </row>
    <row r="2768" spans="1:50" ht="15" hidden="1" customHeight="1" x14ac:dyDescent="0.3">
      <c r="A2768" s="94" t="s">
        <v>151</v>
      </c>
      <c r="B2768" s="94"/>
      <c r="C2768" s="94"/>
      <c r="D2768" s="94"/>
      <c r="E2768" s="94"/>
      <c r="F2768" s="94"/>
      <c r="G2768" s="112">
        <f>AU2768</f>
      </c>
      <c r="H2768" s="113"/>
      <c r="I2768" s="94" t="s">
        <v>152</v>
      </c>
      <c r="J2768" s="94" t="s">
        <v>156</v>
      </c>
      <c r="K2768" s="114">
        <f>P2768/3</f>
      </c>
      <c r="L2768" s="115">
        <v>306.49200000000002</v>
      </c>
      <c r="M2768" s="116">
        <v>306.49200000000002</v>
      </c>
      <c r="N2768" s="117">
        <f>M2768-L2768</f>
      </c>
      <c r="O2768" s="112"/>
      <c r="P2768" s="118">
        <f>N2768+O2768</f>
      </c>
      <c r="Q2768" s="94" t="s">
        <v>213</v>
      </c>
      <c r="R2768" s="94" t="s">
        <v>63</v>
      </c>
      <c r="S2768" s="119">
        <v>46320</v>
      </c>
      <c r="T2768" s="119"/>
      <c r="U2768" s="119">
        <v>46320</v>
      </c>
      <c r="V2768" s="94"/>
      <c r="W2768" s="94"/>
      <c r="X2768" s="94"/>
      <c r="Y2768" s="119">
        <v>46320</v>
      </c>
      <c r="Z2768" s="94"/>
      <c r="AA2768" s="120"/>
      <c r="AB2768" s="120"/>
      <c r="AC2768" s="120"/>
      <c r="AD2768" s="120"/>
      <c r="AE2768" s="120"/>
      <c r="AF2768" s="120"/>
      <c r="AG2768" s="94"/>
      <c r="AH2768" s="120"/>
      <c r="AI2768" s="94"/>
      <c r="AJ2768" s="94" t="s">
        <v>213</v>
      </c>
      <c r="AK2768" s="94" t="s">
        <v>158</v>
      </c>
      <c r="AL2768" s="94">
        <v>160</v>
      </c>
      <c r="AM2768" s="94" t="str">
        <f>TRIM(AJ2768)&amp;TRIM(AL2768)&amp;TRIM(AK2768)</f>
      </c>
      <c r="AN2768" s="116">
        <v>4334.9</v>
      </c>
      <c r="AO2768" s="116">
        <v>265.1</v>
      </c>
      <c r="AP2768" s="116">
        <f>SUMIFS(M:M,AM:AM,AM2768)+SUMIFS(O:O,AM:AM,AM2768)</f>
      </c>
      <c r="AQ2768" s="116">
        <f>SUMIFS(L:L,AM:AM,AM2768)</f>
      </c>
      <c r="AR2768" s="116">
        <f>AQ2768-AP2768</f>
      </c>
      <c r="AS2768" s="94" t="str">
        <f>IF(AN2768&gt;=AQ2768,"ok","ck")</f>
      </c>
      <c r="AT2768" s="116">
        <f>-P2768</f>
      </c>
      <c r="AU2768" s="115">
        <f>IF(SUMIFS(AT:AT,AM:AM,AM2768)&gt;AO2768,(SUMIFS(AT:AT,AM:AM,AM2768)-AO2768))</f>
      </c>
      <c r="AV2768" s="116">
        <v>4334.9</v>
      </c>
      <c r="AW2768" s="121">
        <v>0.942</v>
      </c>
      <c r="AX2768" s="115">
        <f>AN2768-AP2768</f>
      </c>
    </row>
    <row r="2769" spans="1:50" ht="15" hidden="1" customHeight="1" x14ac:dyDescent="0.3">
      <c r="A2769" s="94" t="s">
        <v>151</v>
      </c>
      <c r="B2769" s="94"/>
      <c r="C2769" s="94"/>
      <c r="D2769" s="94"/>
      <c r="E2769" s="94"/>
      <c r="F2769" s="94"/>
      <c r="G2769" s="112">
        <f>AU2769</f>
      </c>
      <c r="H2769" s="113"/>
      <c r="I2769" s="94" t="s">
        <v>152</v>
      </c>
      <c r="J2769" s="94" t="s">
        <v>156</v>
      </c>
      <c r="K2769" s="114">
        <f>P2769/3</f>
      </c>
      <c r="L2769" s="115">
        <v>84.484999999999999</v>
      </c>
      <c r="M2769" s="116">
        <v>84.484999999999999</v>
      </c>
      <c r="N2769" s="117">
        <f>M2769-L2769</f>
      </c>
      <c r="O2769" s="112"/>
      <c r="P2769" s="118">
        <f>N2769+O2769</f>
      </c>
      <c r="Q2769" s="94" t="s">
        <v>213</v>
      </c>
      <c r="R2769" s="94" t="s">
        <v>63</v>
      </c>
      <c r="S2769" s="119">
        <v>46320</v>
      </c>
      <c r="T2769" s="119"/>
      <c r="U2769" s="119">
        <v>46320</v>
      </c>
      <c r="V2769" s="94"/>
      <c r="W2769" s="94"/>
      <c r="X2769" s="94"/>
      <c r="Y2769" s="119">
        <v>46320</v>
      </c>
      <c r="Z2769" s="94"/>
      <c r="AA2769" s="120"/>
      <c r="AB2769" s="120"/>
      <c r="AC2769" s="120"/>
      <c r="AD2769" s="120"/>
      <c r="AE2769" s="120"/>
      <c r="AF2769" s="120"/>
      <c r="AG2769" s="94"/>
      <c r="AH2769" s="120"/>
      <c r="AI2769" s="94"/>
      <c r="AJ2769" s="94" t="s">
        <v>213</v>
      </c>
      <c r="AK2769" s="94" t="s">
        <v>158</v>
      </c>
      <c r="AL2769" s="94">
        <v>160</v>
      </c>
      <c r="AM2769" s="94" t="str">
        <f>TRIM(AJ2769)&amp;TRIM(AL2769)&amp;TRIM(AK2769)</f>
      </c>
      <c r="AN2769" s="116">
        <v>4334.9</v>
      </c>
      <c r="AO2769" s="116">
        <v>265.1</v>
      </c>
      <c r="AP2769" s="116">
        <f>SUMIFS(M:M,AM:AM,AM2769)+SUMIFS(O:O,AM:AM,AM2769)</f>
      </c>
      <c r="AQ2769" s="116">
        <f>SUMIFS(L:L,AM:AM,AM2769)</f>
      </c>
      <c r="AR2769" s="116">
        <f>AQ2769-AP2769</f>
      </c>
      <c r="AS2769" s="94" t="str">
        <f>IF(AN2769&gt;=AQ2769,"ok","ck")</f>
      </c>
      <c r="AT2769" s="116">
        <f>-P2769</f>
      </c>
      <c r="AU2769" s="115">
        <f>IF(SUMIFS(AT:AT,AM:AM,AM2769)&gt;AO2769,(SUMIFS(AT:AT,AM:AM,AM2769)-AO2769))</f>
      </c>
      <c r="AV2769" s="116">
        <v>4334.9</v>
      </c>
      <c r="AW2769" s="121">
        <v>0.942</v>
      </c>
      <c r="AX2769" s="115">
        <f>AN2769-AP2769</f>
      </c>
    </row>
    <row r="2770" spans="1:50" ht="15" hidden="1" customHeight="1" x14ac:dyDescent="0.3">
      <c r="A2770" s="94" t="s">
        <v>151</v>
      </c>
      <c r="B2770" s="94"/>
      <c r="C2770" s="94"/>
      <c r="D2770" s="94"/>
      <c r="E2770" s="94"/>
      <c r="F2770" s="94"/>
      <c r="G2770" s="112">
        <f>AU2770</f>
      </c>
      <c r="H2770" s="113"/>
      <c r="I2770" s="94" t="s">
        <v>152</v>
      </c>
      <c r="J2770" s="94" t="s">
        <v>156</v>
      </c>
      <c r="K2770" s="114">
        <f>P2770/3</f>
      </c>
      <c r="L2770" s="115">
        <v>426.95499999999998</v>
      </c>
      <c r="M2770" s="116">
        <v>426.95499999999998</v>
      </c>
      <c r="N2770" s="117">
        <f>M2770-L2770</f>
      </c>
      <c r="O2770" s="112"/>
      <c r="P2770" s="118">
        <f>N2770+O2770</f>
      </c>
      <c r="Q2770" s="94" t="s">
        <v>213</v>
      </c>
      <c r="R2770" s="94" t="s">
        <v>63</v>
      </c>
      <c r="S2770" s="119">
        <v>46334</v>
      </c>
      <c r="T2770" s="119"/>
      <c r="U2770" s="119">
        <v>46334</v>
      </c>
      <c r="V2770" s="94"/>
      <c r="W2770" s="94"/>
      <c r="X2770" s="94"/>
      <c r="Y2770" s="119">
        <v>46334</v>
      </c>
      <c r="Z2770" s="94"/>
      <c r="AA2770" s="120"/>
      <c r="AB2770" s="120"/>
      <c r="AC2770" s="120"/>
      <c r="AD2770" s="120"/>
      <c r="AE2770" s="120"/>
      <c r="AF2770" s="120"/>
      <c r="AG2770" s="94"/>
      <c r="AH2770" s="120"/>
      <c r="AI2770" s="94"/>
      <c r="AJ2770" s="94" t="s">
        <v>213</v>
      </c>
      <c r="AK2770" s="94" t="s">
        <v>158</v>
      </c>
      <c r="AL2770" s="94">
        <v>160</v>
      </c>
      <c r="AM2770" s="94" t="str">
        <f>TRIM(AJ2770)&amp;TRIM(AL2770)&amp;TRIM(AK2770)</f>
      </c>
      <c r="AN2770" s="116">
        <v>4334.9</v>
      </c>
      <c r="AO2770" s="116">
        <v>265.1</v>
      </c>
      <c r="AP2770" s="116">
        <f>SUMIFS(M:M,AM:AM,AM2770)+SUMIFS(O:O,AM:AM,AM2770)</f>
      </c>
      <c r="AQ2770" s="116">
        <f>SUMIFS(L:L,AM:AM,AM2770)</f>
      </c>
      <c r="AR2770" s="116">
        <f>AQ2770-AP2770</f>
      </c>
      <c r="AS2770" s="94" t="str">
        <f>IF(AN2770&gt;=AQ2770,"ok","ck")</f>
      </c>
      <c r="AT2770" s="116">
        <f>-P2770</f>
      </c>
      <c r="AU2770" s="115">
        <f>IF(SUMIFS(AT:AT,AM:AM,AM2770)&gt;AO2770,(SUMIFS(AT:AT,AM:AM,AM2770)-AO2770))</f>
      </c>
      <c r="AV2770" s="116">
        <v>4334.9</v>
      </c>
      <c r="AW2770" s="121">
        <v>0.942</v>
      </c>
      <c r="AX2770" s="115">
        <f>AN2770-AP2770</f>
      </c>
    </row>
    <row r="2771" spans="1:50" ht="15" hidden="1" customHeight="1" x14ac:dyDescent="0.3">
      <c r="A2771" s="94" t="s">
        <v>151</v>
      </c>
      <c r="B2771" s="94"/>
      <c r="C2771" s="94"/>
      <c r="D2771" s="94"/>
      <c r="E2771" s="94"/>
      <c r="F2771" s="94"/>
      <c r="G2771" s="112">
        <f>AU2771</f>
      </c>
      <c r="H2771" s="113"/>
      <c r="I2771" s="94" t="s">
        <v>152</v>
      </c>
      <c r="J2771" s="94" t="s">
        <v>114</v>
      </c>
      <c r="K2771" s="114">
        <f>P2771/3</f>
      </c>
      <c r="L2771" s="115">
        <v>925</v>
      </c>
      <c r="M2771" s="116"/>
      <c r="N2771" s="117">
        <f>M2771-L2771</f>
      </c>
      <c r="O2771" s="112"/>
      <c r="P2771" s="118">
        <f>N2771+O2771</f>
      </c>
      <c r="Q2771" s="94" t="s">
        <v>215</v>
      </c>
      <c r="R2771" s="94" t="s">
        <v>63</v>
      </c>
      <c r="S2771" s="119">
        <v>46351</v>
      </c>
      <c r="T2771" s="119"/>
      <c r="U2771" s="119">
        <v>46351</v>
      </c>
      <c r="V2771" s="94"/>
      <c r="W2771" s="94"/>
      <c r="X2771" s="94"/>
      <c r="Y2771" s="119">
        <v>46328</v>
      </c>
      <c r="Z2771" s="94"/>
      <c r="AA2771" s="120"/>
      <c r="AB2771" s="120"/>
      <c r="AC2771" s="120"/>
      <c r="AD2771" s="120"/>
      <c r="AE2771" s="120"/>
      <c r="AF2771" s="120"/>
      <c r="AG2771" s="94"/>
      <c r="AH2771" s="120"/>
      <c r="AI2771" s="94"/>
      <c r="AJ2771" s="94" t="s">
        <v>215</v>
      </c>
      <c r="AK2771" s="94" t="s">
        <v>191</v>
      </c>
      <c r="AL2771" s="94">
        <v>160</v>
      </c>
      <c r="AM2771" s="94" t="str">
        <f>TRIM(AJ2771)&amp;TRIM(AL2771)&amp;TRIM(AK2771)</f>
      </c>
      <c r="AN2771" s="116">
        <v>1637</v>
      </c>
      <c r="AO2771" s="116">
        <v>2063</v>
      </c>
      <c r="AP2771" s="116">
        <f>SUMIFS(M:M,AM:AM,AM2771)+SUMIFS(O:O,AM:AM,AM2771)</f>
      </c>
      <c r="AQ2771" s="116">
        <f>SUMIFS(L:L,AM:AM,AM2771)</f>
      </c>
      <c r="AR2771" s="116">
        <f>AQ2771-AP2771</f>
      </c>
      <c r="AS2771" s="94" t="str">
        <f>IF(AN2771&gt;=AQ2771,"ok","ck")</f>
      </c>
      <c r="AT2771" s="116">
        <f>-P2771</f>
      </c>
      <c r="AU2771" s="115">
        <f>IF(SUMIFS(AT:AT,AM:AM,AM2771)&gt;AO2771,(SUMIFS(AT:AT,AM:AM,AM2771)-AO2771))</f>
      </c>
      <c r="AV2771" s="116">
        <v>1637</v>
      </c>
      <c r="AW2771" s="121">
        <v>0.442</v>
      </c>
      <c r="AX2771" s="115">
        <f>AN2771-AP2771</f>
      </c>
    </row>
    <row r="2772" spans="1:50" ht="15" hidden="1" customHeight="1" x14ac:dyDescent="0.3">
      <c r="A2772" s="94" t="s">
        <v>151</v>
      </c>
      <c r="B2772" s="94"/>
      <c r="C2772" s="94"/>
      <c r="D2772" s="94"/>
      <c r="E2772" s="94"/>
      <c r="F2772" s="94"/>
      <c r="G2772" s="112">
        <f>AU2772</f>
      </c>
      <c r="H2772" s="113"/>
      <c r="I2772" s="94" t="s">
        <v>152</v>
      </c>
      <c r="J2772" s="94" t="s">
        <v>156</v>
      </c>
      <c r="K2772" s="114">
        <f>P2772/3</f>
      </c>
      <c r="L2772" s="115">
        <v>0</v>
      </c>
      <c r="M2772" s="116"/>
      <c r="N2772" s="117">
        <f>M2772-L2772</f>
      </c>
      <c r="O2772" s="112"/>
      <c r="P2772" s="118">
        <f>N2772+O2772</f>
      </c>
      <c r="Q2772" s="94" t="s">
        <v>215</v>
      </c>
      <c r="R2772" s="94" t="s">
        <v>63</v>
      </c>
      <c r="S2772" s="119">
        <v>46326</v>
      </c>
      <c r="T2772" s="119"/>
      <c r="U2772" s="119">
        <v>46326</v>
      </c>
      <c r="V2772" s="94"/>
      <c r="W2772" s="94"/>
      <c r="X2772" s="94"/>
      <c r="Y2772" s="119">
        <v>46326</v>
      </c>
      <c r="Z2772" s="94"/>
      <c r="AA2772" s="120"/>
      <c r="AB2772" s="120"/>
      <c r="AC2772" s="120"/>
      <c r="AD2772" s="120"/>
      <c r="AE2772" s="120"/>
      <c r="AF2772" s="120"/>
      <c r="AG2772" s="94"/>
      <c r="AH2772" s="120"/>
      <c r="AI2772" s="94"/>
      <c r="AJ2772" s="94" t="s">
        <v>215</v>
      </c>
      <c r="AK2772" s="94" t="s">
        <v>158</v>
      </c>
      <c r="AL2772" s="94">
        <v>160</v>
      </c>
      <c r="AM2772" s="94" t="str">
        <f>TRIM(AJ2772)&amp;TRIM(AL2772)&amp;TRIM(AK2772)</f>
      </c>
      <c r="AN2772" s="116">
        <v>6471.59</v>
      </c>
      <c r="AO2772" s="116">
        <v>298.41</v>
      </c>
      <c r="AP2772" s="116">
        <f>SUMIFS(M:M,AM:AM,AM2772)+SUMIFS(O:O,AM:AM,AM2772)</f>
      </c>
      <c r="AQ2772" s="116">
        <f>SUMIFS(L:L,AM:AM,AM2772)</f>
      </c>
      <c r="AR2772" s="116">
        <f>AQ2772-AP2772</f>
      </c>
      <c r="AS2772" s="94" t="str">
        <f>IF(AN2772&gt;=AQ2772,"ok","ck")</f>
      </c>
      <c r="AT2772" s="116">
        <f>-P2772</f>
      </c>
      <c r="AU2772" s="115">
        <f>IF(SUMIFS(AT:AT,AM:AM,AM2772)&gt;AO2772,(SUMIFS(AT:AT,AM:AM,AM2772)-AO2772))</f>
      </c>
      <c r="AV2772" s="116">
        <v>6471.59</v>
      </c>
      <c r="AW2772" s="121">
        <v>0.956</v>
      </c>
      <c r="AX2772" s="115">
        <f>AN2772-AP2772</f>
      </c>
    </row>
    <row r="2773" spans="1:50" ht="15" hidden="1" customHeight="1" x14ac:dyDescent="0.3">
      <c r="A2773" s="94" t="s">
        <v>151</v>
      </c>
      <c r="B2773" s="94"/>
      <c r="C2773" s="94"/>
      <c r="D2773" s="94"/>
      <c r="E2773" s="94"/>
      <c r="F2773" s="94"/>
      <c r="G2773" s="112">
        <f>AU2773</f>
      </c>
      <c r="H2773" s="113"/>
      <c r="I2773" s="94" t="s">
        <v>152</v>
      </c>
      <c r="J2773" s="94" t="s">
        <v>156</v>
      </c>
      <c r="K2773" s="114">
        <f>P2773/3</f>
      </c>
      <c r="L2773" s="115">
        <v>298.41000000000003</v>
      </c>
      <c r="M2773" s="116"/>
      <c r="N2773" s="117">
        <f>M2773-L2773</f>
      </c>
      <c r="O2773" s="112"/>
      <c r="P2773" s="118">
        <f>N2773+O2773</f>
      </c>
      <c r="Q2773" s="94" t="s">
        <v>215</v>
      </c>
      <c r="R2773" s="94" t="s">
        <v>63</v>
      </c>
      <c r="S2773" s="119">
        <v>46338</v>
      </c>
      <c r="T2773" s="119"/>
      <c r="U2773" s="119">
        <v>46338</v>
      </c>
      <c r="V2773" s="94"/>
      <c r="W2773" s="94"/>
      <c r="X2773" s="94"/>
      <c r="Y2773" s="119">
        <v>46329</v>
      </c>
      <c r="Z2773" s="94"/>
      <c r="AA2773" s="120"/>
      <c r="AB2773" s="120"/>
      <c r="AC2773" s="120"/>
      <c r="AD2773" s="120"/>
      <c r="AE2773" s="120"/>
      <c r="AF2773" s="120"/>
      <c r="AG2773" s="94"/>
      <c r="AH2773" s="120"/>
      <c r="AI2773" s="94"/>
      <c r="AJ2773" s="94" t="s">
        <v>215</v>
      </c>
      <c r="AK2773" s="94" t="s">
        <v>158</v>
      </c>
      <c r="AL2773" s="94">
        <v>160</v>
      </c>
      <c r="AM2773" s="94" t="str">
        <f>TRIM(AJ2773)&amp;TRIM(AL2773)&amp;TRIM(AK2773)</f>
      </c>
      <c r="AN2773" s="116">
        <v>6471.59</v>
      </c>
      <c r="AO2773" s="116">
        <v>298.41</v>
      </c>
      <c r="AP2773" s="116">
        <f>SUMIFS(M:M,AM:AM,AM2773)+SUMIFS(O:O,AM:AM,AM2773)</f>
      </c>
      <c r="AQ2773" s="116">
        <f>SUMIFS(L:L,AM:AM,AM2773)</f>
      </c>
      <c r="AR2773" s="116">
        <f>AQ2773-AP2773</f>
      </c>
      <c r="AS2773" s="94" t="str">
        <f>IF(AN2773&gt;=AQ2773,"ok","ck")</f>
      </c>
      <c r="AT2773" s="116">
        <f>-P2773</f>
      </c>
      <c r="AU2773" s="115">
        <f>IF(SUMIFS(AT:AT,AM:AM,AM2773)&gt;AO2773,(SUMIFS(AT:AT,AM:AM,AM2773)-AO2773))</f>
      </c>
      <c r="AV2773" s="116">
        <v>6471.59</v>
      </c>
      <c r="AW2773" s="121">
        <v>0.956</v>
      </c>
      <c r="AX2773" s="115">
        <f>AN2773-AP2773</f>
      </c>
    </row>
    <row r="2774" spans="1:50" ht="15" hidden="1" customHeight="1" x14ac:dyDescent="0.3">
      <c r="A2774" s="94" t="s">
        <v>151</v>
      </c>
      <c r="B2774" s="94"/>
      <c r="C2774" s="94"/>
      <c r="D2774" s="94"/>
      <c r="E2774" s="94"/>
      <c r="F2774" s="94"/>
      <c r="G2774" s="112">
        <f>AU2774</f>
      </c>
      <c r="H2774" s="113"/>
      <c r="I2774" s="94" t="s">
        <v>163</v>
      </c>
      <c r="J2774" s="94" t="s">
        <v>218</v>
      </c>
      <c r="K2774" s="114">
        <f>P2774/3</f>
      </c>
      <c r="L2774" s="115">
        <v>0</v>
      </c>
      <c r="M2774" s="116">
        <f>L2774</f>
      </c>
      <c r="N2774" s="117">
        <f>M2774-L2774</f>
      </c>
      <c r="O2774" s="112"/>
      <c r="P2774" s="118">
        <f>N2774+O2774</f>
      </c>
      <c r="Q2774" s="94" t="s">
        <v>183</v>
      </c>
      <c r="R2774" s="94" t="s">
        <v>63</v>
      </c>
      <c r="S2774" s="119">
        <v>46320</v>
      </c>
      <c r="T2774" s="119"/>
      <c r="U2774" s="119">
        <v>46320</v>
      </c>
      <c r="V2774" s="94"/>
      <c r="W2774" s="94"/>
      <c r="X2774" s="94"/>
      <c r="Y2774" s="119">
        <v>46320</v>
      </c>
      <c r="Z2774" s="94"/>
      <c r="AA2774" s="120"/>
      <c r="AB2774" s="120"/>
      <c r="AC2774" s="120"/>
      <c r="AD2774" s="120"/>
      <c r="AE2774" s="120"/>
      <c r="AF2774" s="120"/>
      <c r="AG2774" s="94"/>
      <c r="AH2774" s="120"/>
      <c r="AI2774" s="94"/>
      <c r="AJ2774" s="94" t="s">
        <v>183</v>
      </c>
      <c r="AK2774" s="94" t="s">
        <v>219</v>
      </c>
      <c r="AL2774" s="94">
        <v>160</v>
      </c>
      <c r="AM2774" s="94" t="str">
        <f>TRIM(AJ2774)&amp;TRIM(AL2774)&amp;TRIM(AK2774)</f>
      </c>
      <c r="AN2774" s="116">
        <v>824.05</v>
      </c>
      <c r="AO2774" s="116">
        <v>-16.47</v>
      </c>
      <c r="AP2774" s="116">
        <f>SUMIFS(M:M,AM:AM,AM2774)+SUMIFS(O:O,AM:AM,AM2774)</f>
      </c>
      <c r="AQ2774" s="116">
        <f>SUMIFS(L:L,AM:AM,AM2774)</f>
      </c>
      <c r="AR2774" s="116">
        <f>AQ2774-AP2774</f>
      </c>
      <c r="AS2774" s="94" t="str">
        <f>IF(AN2774&gt;=AQ2774,"ok","ck")</f>
      </c>
      <c r="AT2774" s="116">
        <f>-P2774</f>
      </c>
      <c r="AU2774" s="115">
        <f>IF(SUMIFS(AT:AT,AM:AM,AM2774)&gt;AO2774,(SUMIFS(AT:AT,AM:AM,AM2774)-AO2774))</f>
      </c>
      <c r="AV2774" s="116">
        <v>824.05</v>
      </c>
      <c r="AW2774" s="121">
        <v>1.02</v>
      </c>
      <c r="AX2774" s="115">
        <f>AN2774-AP2774</f>
      </c>
    </row>
    <row r="2775" spans="1:50" ht="15" hidden="1" customHeight="1" x14ac:dyDescent="0.3">
      <c r="A2775" s="94" t="s">
        <v>151</v>
      </c>
      <c r="B2775" s="94"/>
      <c r="C2775" s="94"/>
      <c r="D2775" s="94"/>
      <c r="E2775" s="94"/>
      <c r="F2775" s="94"/>
      <c r="G2775" s="112">
        <f>AU2775</f>
      </c>
      <c r="H2775" s="113"/>
      <c r="I2775" s="94" t="s">
        <v>163</v>
      </c>
      <c r="J2775" s="94" t="s">
        <v>218</v>
      </c>
      <c r="K2775" s="114">
        <f>P2775/3</f>
      </c>
      <c r="L2775" s="115">
        <v>0</v>
      </c>
      <c r="M2775" s="116">
        <f>L2775</f>
      </c>
      <c r="N2775" s="117">
        <f>M2775-L2775</f>
      </c>
      <c r="O2775" s="112"/>
      <c r="P2775" s="118">
        <f>N2775+O2775</f>
      </c>
      <c r="Q2775" s="94" t="s">
        <v>183</v>
      </c>
      <c r="R2775" s="94" t="s">
        <v>63</v>
      </c>
      <c r="S2775" s="119">
        <v>46328</v>
      </c>
      <c r="T2775" s="119"/>
      <c r="U2775" s="119">
        <v>46328</v>
      </c>
      <c r="V2775" s="94"/>
      <c r="W2775" s="94"/>
      <c r="X2775" s="94"/>
      <c r="Y2775" s="119">
        <v>46328</v>
      </c>
      <c r="Z2775" s="94"/>
      <c r="AA2775" s="120"/>
      <c r="AB2775" s="120"/>
      <c r="AC2775" s="120"/>
      <c r="AD2775" s="120"/>
      <c r="AE2775" s="120"/>
      <c r="AF2775" s="120"/>
      <c r="AG2775" s="94"/>
      <c r="AH2775" s="120"/>
      <c r="AI2775" s="94"/>
      <c r="AJ2775" s="94" t="s">
        <v>183</v>
      </c>
      <c r="AK2775" s="94" t="s">
        <v>219</v>
      </c>
      <c r="AL2775" s="94">
        <v>160</v>
      </c>
      <c r="AM2775" s="94" t="str">
        <f>TRIM(AJ2775)&amp;TRIM(AL2775)&amp;TRIM(AK2775)</f>
      </c>
      <c r="AN2775" s="116">
        <v>824.05</v>
      </c>
      <c r="AO2775" s="116">
        <v>-16.47</v>
      </c>
      <c r="AP2775" s="116">
        <f>SUMIFS(M:M,AM:AM,AM2775)+SUMIFS(O:O,AM:AM,AM2775)</f>
      </c>
      <c r="AQ2775" s="116">
        <f>SUMIFS(L:L,AM:AM,AM2775)</f>
      </c>
      <c r="AR2775" s="116">
        <f>AQ2775-AP2775</f>
      </c>
      <c r="AS2775" s="94" t="str">
        <f>IF(AN2775&gt;=AQ2775,"ok","ck")</f>
      </c>
      <c r="AT2775" s="116">
        <f>-P2775</f>
      </c>
      <c r="AU2775" s="115">
        <f>IF(SUMIFS(AT:AT,AM:AM,AM2775)&gt;AO2775,(SUMIFS(AT:AT,AM:AM,AM2775)-AO2775))</f>
      </c>
      <c r="AV2775" s="116">
        <v>824.05</v>
      </c>
      <c r="AW2775" s="121">
        <v>1.02</v>
      </c>
      <c r="AX2775" s="115">
        <f>AN2775-AP2775</f>
      </c>
    </row>
    <row r="2776" spans="1:50" ht="15" hidden="1" customHeight="1" x14ac:dyDescent="0.3">
      <c r="A2776" s="94" t="s">
        <v>151</v>
      </c>
      <c r="B2776" s="94"/>
      <c r="C2776" s="94"/>
      <c r="D2776" s="94"/>
      <c r="E2776" s="94"/>
      <c r="F2776" s="94"/>
      <c r="G2776" s="112">
        <f>AU2776</f>
      </c>
      <c r="H2776" s="113"/>
      <c r="I2776" s="94" t="s">
        <v>152</v>
      </c>
      <c r="J2776" s="94" t="s">
        <v>156</v>
      </c>
      <c r="K2776" s="114">
        <f>P2776/3</f>
      </c>
      <c r="L2776" s="115">
        <v>0</v>
      </c>
      <c r="M2776" s="116"/>
      <c r="N2776" s="117">
        <f>M2776-L2776</f>
      </c>
      <c r="O2776" s="112"/>
      <c r="P2776" s="118">
        <f>N2776+O2776</f>
      </c>
      <c r="Q2776" s="94" t="s">
        <v>213</v>
      </c>
      <c r="R2776" s="94" t="s">
        <v>63</v>
      </c>
      <c r="S2776" s="119">
        <v>46320</v>
      </c>
      <c r="T2776" s="119"/>
      <c r="U2776" s="119">
        <v>46320</v>
      </c>
      <c r="V2776" s="94"/>
      <c r="W2776" s="94"/>
      <c r="X2776" s="94"/>
      <c r="Y2776" s="119">
        <v>46320</v>
      </c>
      <c r="Z2776" s="94"/>
      <c r="AA2776" s="120"/>
      <c r="AB2776" s="120"/>
      <c r="AC2776" s="120"/>
      <c r="AD2776" s="120"/>
      <c r="AE2776" s="120"/>
      <c r="AF2776" s="120"/>
      <c r="AG2776" s="94"/>
      <c r="AH2776" s="120"/>
      <c r="AI2776" s="94"/>
      <c r="AJ2776" s="94" t="s">
        <v>213</v>
      </c>
      <c r="AK2776" s="94" t="s">
        <v>158</v>
      </c>
      <c r="AL2776" s="94">
        <v>160</v>
      </c>
      <c r="AM2776" s="94" t="str">
        <f>TRIM(AJ2776)&amp;TRIM(AL2776)&amp;TRIM(AK2776)</f>
      </c>
      <c r="AN2776" s="116">
        <v>4334.9</v>
      </c>
      <c r="AO2776" s="116">
        <v>265.1</v>
      </c>
      <c r="AP2776" s="116">
        <f>SUMIFS(M:M,AM:AM,AM2776)+SUMIFS(O:O,AM:AM,AM2776)</f>
      </c>
      <c r="AQ2776" s="116">
        <f>SUMIFS(L:L,AM:AM,AM2776)</f>
      </c>
      <c r="AR2776" s="116">
        <f>AQ2776-AP2776</f>
      </c>
      <c r="AS2776" s="94" t="str">
        <f>IF(AN2776&gt;=AQ2776,"ok","ck")</f>
      </c>
      <c r="AT2776" s="116">
        <f>-P2776</f>
      </c>
      <c r="AU2776" s="115">
        <f>IF(SUMIFS(AT:AT,AM:AM,AM2776)&gt;AO2776,(SUMIFS(AT:AT,AM:AM,AM2776)-AO2776))</f>
      </c>
      <c r="AV2776" s="116">
        <v>4334.9</v>
      </c>
      <c r="AW2776" s="121">
        <v>0.942</v>
      </c>
      <c r="AX2776" s="115">
        <f>AN2776-AP2776</f>
      </c>
    </row>
    <row r="2777" spans="1:50" ht="15" hidden="1" customHeight="1" x14ac:dyDescent="0.3">
      <c r="A2777" s="94" t="s">
        <v>151</v>
      </c>
      <c r="B2777" s="94"/>
      <c r="C2777" s="94"/>
      <c r="D2777" s="94"/>
      <c r="E2777" s="94"/>
      <c r="F2777" s="94"/>
      <c r="G2777" s="112">
        <f>AU2777</f>
      </c>
      <c r="H2777" s="113"/>
      <c r="I2777" s="94" t="s">
        <v>163</v>
      </c>
      <c r="J2777" s="94" t="s">
        <v>230</v>
      </c>
      <c r="K2777" s="114">
        <f>P2777/3</f>
      </c>
      <c r="L2777" s="115">
        <v>-0.35099999999999998</v>
      </c>
      <c r="M2777" s="116">
        <f>L2777</f>
      </c>
      <c r="N2777" s="117">
        <f>M2777-L2777</f>
      </c>
      <c r="O2777" s="112"/>
      <c r="P2777" s="118">
        <f>N2777+O2777</f>
      </c>
      <c r="Q2777" s="94" t="s">
        <v>183</v>
      </c>
      <c r="R2777" s="94" t="s">
        <v>63</v>
      </c>
      <c r="S2777" s="119">
        <v>46320</v>
      </c>
      <c r="T2777" s="119"/>
      <c r="U2777" s="119">
        <v>46320</v>
      </c>
      <c r="V2777" s="94"/>
      <c r="W2777" s="94"/>
      <c r="X2777" s="94"/>
      <c r="Y2777" s="119">
        <v>46320</v>
      </c>
      <c r="Z2777" s="94"/>
      <c r="AA2777" s="120"/>
      <c r="AB2777" s="120"/>
      <c r="AC2777" s="120"/>
      <c r="AD2777" s="120"/>
      <c r="AE2777" s="120"/>
      <c r="AF2777" s="120"/>
      <c r="AG2777" s="94"/>
      <c r="AH2777" s="120"/>
      <c r="AI2777" s="94"/>
      <c r="AJ2777" s="94" t="s">
        <v>183</v>
      </c>
      <c r="AK2777" s="94" t="s">
        <v>231</v>
      </c>
      <c r="AL2777" s="94">
        <v>160</v>
      </c>
      <c r="AM2777" s="94" t="str">
        <f>TRIM(AJ2777)&amp;TRIM(AL2777)&amp;TRIM(AK2777)</f>
      </c>
      <c r="AN2777" s="116">
        <v>814</v>
      </c>
      <c r="AO2777" s="116">
        <v>-1.69</v>
      </c>
      <c r="AP2777" s="116">
        <f>SUMIFS(M:M,AM:AM,AM2777)+SUMIFS(O:O,AM:AM,AM2777)</f>
      </c>
      <c r="AQ2777" s="116">
        <f>SUMIFS(L:L,AM:AM,AM2777)</f>
      </c>
      <c r="AR2777" s="116">
        <f>AQ2777-AP2777</f>
      </c>
      <c r="AS2777" s="94" t="str">
        <f>IF(AN2777&gt;=AQ2777,"ok","ck")</f>
      </c>
      <c r="AT2777" s="116">
        <f>-P2777</f>
      </c>
      <c r="AU2777" s="115">
        <f>IF(SUMIFS(AT:AT,AM:AM,AM2777)&gt;AO2777,(SUMIFS(AT:AT,AM:AM,AM2777)-AO2777))</f>
      </c>
      <c r="AV2777" s="116">
        <v>814</v>
      </c>
      <c r="AW2777" s="121">
        <v>1.002</v>
      </c>
      <c r="AX2777" s="115">
        <f>AN2777-AP2777</f>
      </c>
    </row>
    <row r="2778" spans="1:50" ht="15" hidden="1" customHeight="1" x14ac:dyDescent="0.3">
      <c r="A2778" s="94" t="s">
        <v>151</v>
      </c>
      <c r="B2778" s="94"/>
      <c r="C2778" s="94"/>
      <c r="D2778" s="94"/>
      <c r="E2778" s="94"/>
      <c r="F2778" s="94"/>
      <c r="G2778" s="112">
        <f>AU2778</f>
      </c>
      <c r="H2778" s="113"/>
      <c r="I2778" s="94" t="s">
        <v>163</v>
      </c>
      <c r="J2778" s="94" t="s">
        <v>230</v>
      </c>
      <c r="K2778" s="114">
        <f>P2778/3</f>
      </c>
      <c r="L2778" s="115">
        <v>-0.2</v>
      </c>
      <c r="M2778" s="116">
        <f>L2778</f>
      </c>
      <c r="N2778" s="117">
        <f>M2778-L2778</f>
      </c>
      <c r="O2778" s="112"/>
      <c r="P2778" s="118">
        <f>N2778+O2778</f>
      </c>
      <c r="Q2778" s="94" t="s">
        <v>183</v>
      </c>
      <c r="R2778" s="94" t="s">
        <v>63</v>
      </c>
      <c r="S2778" s="119">
        <v>46337</v>
      </c>
      <c r="T2778" s="119"/>
      <c r="U2778" s="119">
        <v>46337</v>
      </c>
      <c r="V2778" s="94"/>
      <c r="W2778" s="94"/>
      <c r="X2778" s="94"/>
      <c r="Y2778" s="119">
        <v>46337</v>
      </c>
      <c r="Z2778" s="94"/>
      <c r="AA2778" s="120"/>
      <c r="AB2778" s="120"/>
      <c r="AC2778" s="120"/>
      <c r="AD2778" s="120"/>
      <c r="AE2778" s="120"/>
      <c r="AF2778" s="120"/>
      <c r="AG2778" s="94"/>
      <c r="AH2778" s="120"/>
      <c r="AI2778" s="94"/>
      <c r="AJ2778" s="94" t="s">
        <v>183</v>
      </c>
      <c r="AK2778" s="94" t="s">
        <v>231</v>
      </c>
      <c r="AL2778" s="94">
        <v>160</v>
      </c>
      <c r="AM2778" s="94" t="str">
        <f>TRIM(AJ2778)&amp;TRIM(AL2778)&amp;TRIM(AK2778)</f>
      </c>
      <c r="AN2778" s="116">
        <v>814</v>
      </c>
      <c r="AO2778" s="116">
        <v>-1.69</v>
      </c>
      <c r="AP2778" s="116">
        <f>SUMIFS(M:M,AM:AM,AM2778)+SUMIFS(O:O,AM:AM,AM2778)</f>
      </c>
      <c r="AQ2778" s="116">
        <f>SUMIFS(L:L,AM:AM,AM2778)</f>
      </c>
      <c r="AR2778" s="116">
        <f>AQ2778-AP2778</f>
      </c>
      <c r="AS2778" s="94" t="str">
        <f>IF(AN2778&gt;=AQ2778,"ok","ck")</f>
      </c>
      <c r="AT2778" s="116">
        <f>-P2778</f>
      </c>
      <c r="AU2778" s="115">
        <f>IF(SUMIFS(AT:AT,AM:AM,AM2778)&gt;AO2778,(SUMIFS(AT:AT,AM:AM,AM2778)-AO2778))</f>
      </c>
      <c r="AV2778" s="116">
        <v>814</v>
      </c>
      <c r="AW2778" s="121">
        <v>1.002</v>
      </c>
      <c r="AX2778" s="115">
        <f>AN2778-AP2778</f>
      </c>
    </row>
    <row r="2779" spans="1:50" ht="15" hidden="1" customHeight="1" x14ac:dyDescent="0.3">
      <c r="A2779" s="94" t="s">
        <v>151</v>
      </c>
      <c r="B2779" s="94"/>
      <c r="C2779" s="94"/>
      <c r="D2779" s="94"/>
      <c r="E2779" s="94"/>
      <c r="F2779" s="94"/>
      <c r="G2779" s="112">
        <f>AU2779</f>
      </c>
      <c r="H2779" s="113"/>
      <c r="I2779" s="94" t="s">
        <v>163</v>
      </c>
      <c r="J2779" s="94" t="s">
        <v>230</v>
      </c>
      <c r="K2779" s="114">
        <f>P2779/3</f>
      </c>
      <c r="L2779" s="115">
        <v>-0.2</v>
      </c>
      <c r="M2779" s="116">
        <f>L2779</f>
      </c>
      <c r="N2779" s="117">
        <f>M2779-L2779</f>
      </c>
      <c r="O2779" s="112"/>
      <c r="P2779" s="118">
        <f>N2779+O2779</f>
      </c>
      <c r="Q2779" s="94" t="s">
        <v>183</v>
      </c>
      <c r="R2779" s="94" t="s">
        <v>63</v>
      </c>
      <c r="S2779" s="119">
        <v>46343</v>
      </c>
      <c r="T2779" s="119"/>
      <c r="U2779" s="119">
        <v>46343</v>
      </c>
      <c r="V2779" s="94"/>
      <c r="W2779" s="94"/>
      <c r="X2779" s="94"/>
      <c r="Y2779" s="119">
        <v>46343</v>
      </c>
      <c r="Z2779" s="94"/>
      <c r="AA2779" s="120"/>
      <c r="AB2779" s="120"/>
      <c r="AC2779" s="120"/>
      <c r="AD2779" s="120"/>
      <c r="AE2779" s="120"/>
      <c r="AF2779" s="120"/>
      <c r="AG2779" s="94"/>
      <c r="AH2779" s="120"/>
      <c r="AI2779" s="94"/>
      <c r="AJ2779" s="94" t="s">
        <v>183</v>
      </c>
      <c r="AK2779" s="94" t="s">
        <v>231</v>
      </c>
      <c r="AL2779" s="94">
        <v>160</v>
      </c>
      <c r="AM2779" s="94" t="str">
        <f>TRIM(AJ2779)&amp;TRIM(AL2779)&amp;TRIM(AK2779)</f>
      </c>
      <c r="AN2779" s="116">
        <v>814</v>
      </c>
      <c r="AO2779" s="116">
        <v>-1.69</v>
      </c>
      <c r="AP2779" s="116">
        <f>SUMIFS(M:M,AM:AM,AM2779)+SUMIFS(O:O,AM:AM,AM2779)</f>
      </c>
      <c r="AQ2779" s="116">
        <f>SUMIFS(L:L,AM:AM,AM2779)</f>
      </c>
      <c r="AR2779" s="116">
        <f>AQ2779-AP2779</f>
      </c>
      <c r="AS2779" s="94" t="str">
        <f>IF(AN2779&gt;=AQ2779,"ok","ck")</f>
      </c>
      <c r="AT2779" s="116">
        <f>-P2779</f>
      </c>
      <c r="AU2779" s="115">
        <f>IF(SUMIFS(AT:AT,AM:AM,AM2779)&gt;AO2779,(SUMIFS(AT:AT,AM:AM,AM2779)-AO2779))</f>
      </c>
      <c r="AV2779" s="116">
        <v>814</v>
      </c>
      <c r="AW2779" s="121">
        <v>1.002</v>
      </c>
      <c r="AX2779" s="115">
        <f>AN2779-AP2779</f>
      </c>
    </row>
    <row r="2780" spans="1:50" ht="15" hidden="1" customHeight="1" x14ac:dyDescent="0.3">
      <c r="A2780" s="94" t="s">
        <v>151</v>
      </c>
      <c r="B2780" s="94"/>
      <c r="C2780" s="94"/>
      <c r="D2780" s="94"/>
      <c r="E2780" s="94"/>
      <c r="F2780" s="94"/>
      <c r="G2780" s="112">
        <f>AU2780</f>
      </c>
      <c r="H2780" s="113"/>
      <c r="I2780" s="94" t="s">
        <v>163</v>
      </c>
      <c r="J2780" s="94" t="s">
        <v>230</v>
      </c>
      <c r="K2780" s="114">
        <f>P2780/3</f>
      </c>
      <c r="L2780" s="115">
        <v>-0.37</v>
      </c>
      <c r="M2780" s="116">
        <f>L2780</f>
      </c>
      <c r="N2780" s="117">
        <f>M2780-L2780</f>
      </c>
      <c r="O2780" s="112"/>
      <c r="P2780" s="118">
        <f>N2780+O2780</f>
      </c>
      <c r="Q2780" s="94" t="s">
        <v>183</v>
      </c>
      <c r="R2780" s="94" t="s">
        <v>63</v>
      </c>
      <c r="S2780" s="119">
        <v>46320</v>
      </c>
      <c r="T2780" s="119"/>
      <c r="U2780" s="119">
        <v>46320</v>
      </c>
      <c r="V2780" s="94"/>
      <c r="W2780" s="94"/>
      <c r="X2780" s="94"/>
      <c r="Y2780" s="119">
        <v>46320</v>
      </c>
      <c r="Z2780" s="94"/>
      <c r="AA2780" s="120"/>
      <c r="AB2780" s="120"/>
      <c r="AC2780" s="120"/>
      <c r="AD2780" s="120"/>
      <c r="AE2780" s="120"/>
      <c r="AF2780" s="120"/>
      <c r="AG2780" s="94"/>
      <c r="AH2780" s="120"/>
      <c r="AI2780" s="94"/>
      <c r="AJ2780" s="94" t="s">
        <v>183</v>
      </c>
      <c r="AK2780" s="94" t="s">
        <v>231</v>
      </c>
      <c r="AL2780" s="94">
        <v>160</v>
      </c>
      <c r="AM2780" s="94" t="str">
        <f>TRIM(AJ2780)&amp;TRIM(AL2780)&amp;TRIM(AK2780)</f>
      </c>
      <c r="AN2780" s="116">
        <v>814</v>
      </c>
      <c r="AO2780" s="116">
        <v>-1.69</v>
      </c>
      <c r="AP2780" s="116">
        <f>SUMIFS(M:M,AM:AM,AM2780)+SUMIFS(O:O,AM:AM,AM2780)</f>
      </c>
      <c r="AQ2780" s="116">
        <f>SUMIFS(L:L,AM:AM,AM2780)</f>
      </c>
      <c r="AR2780" s="116">
        <f>AQ2780-AP2780</f>
      </c>
      <c r="AS2780" s="94" t="str">
        <f>IF(AN2780&gt;=AQ2780,"ok","ck")</f>
      </c>
      <c r="AT2780" s="116">
        <f>-P2780</f>
      </c>
      <c r="AU2780" s="115">
        <f>IF(SUMIFS(AT:AT,AM:AM,AM2780)&gt;AO2780,(SUMIFS(AT:AT,AM:AM,AM2780)-AO2780))</f>
      </c>
      <c r="AV2780" s="116">
        <v>814</v>
      </c>
      <c r="AW2780" s="121">
        <v>1.002</v>
      </c>
      <c r="AX2780" s="115">
        <f>AN2780-AP2780</f>
      </c>
    </row>
    <row r="2781" spans="1:50" ht="15" hidden="1" customHeight="1" x14ac:dyDescent="0.3">
      <c r="A2781" s="94" t="s">
        <v>151</v>
      </c>
      <c r="B2781" s="94"/>
      <c r="C2781" s="94"/>
      <c r="D2781" s="94"/>
      <c r="E2781" s="94"/>
      <c r="F2781" s="94"/>
      <c r="G2781" s="112">
        <f>AU2781</f>
      </c>
      <c r="H2781" s="113"/>
      <c r="I2781" s="94" t="s">
        <v>163</v>
      </c>
      <c r="J2781" s="94" t="s">
        <v>230</v>
      </c>
      <c r="K2781" s="114">
        <f>P2781/3</f>
      </c>
      <c r="L2781" s="115">
        <v>-0.20799999999999999</v>
      </c>
      <c r="M2781" s="116">
        <f>L2781</f>
      </c>
      <c r="N2781" s="117">
        <f>M2781-L2781</f>
      </c>
      <c r="O2781" s="112"/>
      <c r="P2781" s="118">
        <f>N2781+O2781</f>
      </c>
      <c r="Q2781" s="94" t="s">
        <v>183</v>
      </c>
      <c r="R2781" s="94" t="s">
        <v>63</v>
      </c>
      <c r="S2781" s="119">
        <v>46334</v>
      </c>
      <c r="T2781" s="119"/>
      <c r="U2781" s="119">
        <v>46334</v>
      </c>
      <c r="V2781" s="94"/>
      <c r="W2781" s="94"/>
      <c r="X2781" s="94"/>
      <c r="Y2781" s="119">
        <v>46334</v>
      </c>
      <c r="Z2781" s="94"/>
      <c r="AA2781" s="120"/>
      <c r="AB2781" s="120"/>
      <c r="AC2781" s="120"/>
      <c r="AD2781" s="120"/>
      <c r="AE2781" s="120"/>
      <c r="AF2781" s="120"/>
      <c r="AG2781" s="94"/>
      <c r="AH2781" s="120"/>
      <c r="AI2781" s="94"/>
      <c r="AJ2781" s="94" t="s">
        <v>183</v>
      </c>
      <c r="AK2781" s="94" t="s">
        <v>231</v>
      </c>
      <c r="AL2781" s="94">
        <v>160</v>
      </c>
      <c r="AM2781" s="94" t="str">
        <f>TRIM(AJ2781)&amp;TRIM(AL2781)&amp;TRIM(AK2781)</f>
      </c>
      <c r="AN2781" s="116">
        <v>814</v>
      </c>
      <c r="AO2781" s="116">
        <v>-1.69</v>
      </c>
      <c r="AP2781" s="116">
        <f>SUMIFS(M:M,AM:AM,AM2781)+SUMIFS(O:O,AM:AM,AM2781)</f>
      </c>
      <c r="AQ2781" s="116">
        <f>SUMIFS(L:L,AM:AM,AM2781)</f>
      </c>
      <c r="AR2781" s="116">
        <f>AQ2781-AP2781</f>
      </c>
      <c r="AS2781" s="94" t="str">
        <f>IF(AN2781&gt;=AQ2781,"ok","ck")</f>
      </c>
      <c r="AT2781" s="116">
        <f>-P2781</f>
      </c>
      <c r="AU2781" s="115">
        <f>IF(SUMIFS(AT:AT,AM:AM,AM2781)&gt;AO2781,(SUMIFS(AT:AT,AM:AM,AM2781)-AO2781))</f>
      </c>
      <c r="AV2781" s="116">
        <v>814</v>
      </c>
      <c r="AW2781" s="121">
        <v>1.002</v>
      </c>
      <c r="AX2781" s="115">
        <f>AN2781-AP2781</f>
      </c>
    </row>
    <row r="2782" spans="1:50" ht="15" hidden="1" customHeight="1" x14ac:dyDescent="0.3">
      <c r="A2782" s="94" t="s">
        <v>151</v>
      </c>
      <c r="B2782" s="94"/>
      <c r="C2782" s="94"/>
      <c r="D2782" s="94"/>
      <c r="E2782" s="94"/>
      <c r="F2782" s="94"/>
      <c r="G2782" s="112">
        <f>AU2782</f>
      </c>
      <c r="H2782" s="113"/>
      <c r="I2782" s="94" t="s">
        <v>163</v>
      </c>
      <c r="J2782" s="94" t="s">
        <v>230</v>
      </c>
      <c r="K2782" s="114">
        <f>P2782/3</f>
      </c>
      <c r="L2782" s="115">
        <v>-0.20799999999999999</v>
      </c>
      <c r="M2782" s="116">
        <f>L2782</f>
      </c>
      <c r="N2782" s="117">
        <f>M2782-L2782</f>
      </c>
      <c r="O2782" s="112"/>
      <c r="P2782" s="118">
        <f>N2782+O2782</f>
      </c>
      <c r="Q2782" s="94" t="s">
        <v>183</v>
      </c>
      <c r="R2782" s="94" t="s">
        <v>63</v>
      </c>
      <c r="S2782" s="119">
        <v>46342</v>
      </c>
      <c r="T2782" s="119"/>
      <c r="U2782" s="119">
        <v>46342</v>
      </c>
      <c r="V2782" s="94"/>
      <c r="W2782" s="94"/>
      <c r="X2782" s="94"/>
      <c r="Y2782" s="119">
        <v>46342</v>
      </c>
      <c r="Z2782" s="94"/>
      <c r="AA2782" s="120"/>
      <c r="AB2782" s="120"/>
      <c r="AC2782" s="120"/>
      <c r="AD2782" s="120"/>
      <c r="AE2782" s="120"/>
      <c r="AF2782" s="120"/>
      <c r="AG2782" s="94"/>
      <c r="AH2782" s="120"/>
      <c r="AI2782" s="94"/>
      <c r="AJ2782" s="94" t="s">
        <v>183</v>
      </c>
      <c r="AK2782" s="94" t="s">
        <v>231</v>
      </c>
      <c r="AL2782" s="94">
        <v>160</v>
      </c>
      <c r="AM2782" s="94" t="str">
        <f>TRIM(AJ2782)&amp;TRIM(AL2782)&amp;TRIM(AK2782)</f>
      </c>
      <c r="AN2782" s="116">
        <v>814</v>
      </c>
      <c r="AO2782" s="116">
        <v>-1.69</v>
      </c>
      <c r="AP2782" s="116">
        <f>SUMIFS(M:M,AM:AM,AM2782)+SUMIFS(O:O,AM:AM,AM2782)</f>
      </c>
      <c r="AQ2782" s="116">
        <f>SUMIFS(L:L,AM:AM,AM2782)</f>
      </c>
      <c r="AR2782" s="116">
        <f>AQ2782-AP2782</f>
      </c>
      <c r="AS2782" s="94" t="str">
        <f>IF(AN2782&gt;=AQ2782,"ok","ck")</f>
      </c>
      <c r="AT2782" s="116">
        <f>-P2782</f>
      </c>
      <c r="AU2782" s="115">
        <f>IF(SUMIFS(AT:AT,AM:AM,AM2782)&gt;AO2782,(SUMIFS(AT:AT,AM:AM,AM2782)-AO2782))</f>
      </c>
      <c r="AV2782" s="116">
        <v>814</v>
      </c>
      <c r="AW2782" s="121">
        <v>1.002</v>
      </c>
      <c r="AX2782" s="115">
        <f>AN2782-AP2782</f>
      </c>
    </row>
    <row r="2783" spans="1:50" ht="15" hidden="1" customHeight="1" x14ac:dyDescent="0.3">
      <c r="A2783" s="94" t="s">
        <v>151</v>
      </c>
      <c r="B2783" s="94"/>
      <c r="C2783" s="94"/>
      <c r="D2783" s="94"/>
      <c r="E2783" s="94"/>
      <c r="F2783" s="94"/>
      <c r="G2783" s="112">
        <f>AU2783</f>
      </c>
      <c r="H2783" s="113"/>
      <c r="I2783" s="94" t="s">
        <v>152</v>
      </c>
      <c r="J2783" s="94" t="s">
        <v>228</v>
      </c>
      <c r="K2783" s="114">
        <f>P2783/3</f>
      </c>
      <c r="L2783" s="115">
        <v>0</v>
      </c>
      <c r="M2783" s="116">
        <f>L2783</f>
      </c>
      <c r="N2783" s="117">
        <f>M2783-L2783</f>
      </c>
      <c r="O2783" s="112"/>
      <c r="P2783" s="118">
        <f>N2783+O2783</f>
      </c>
      <c r="Q2783" s="94" t="s">
        <v>185</v>
      </c>
      <c r="R2783" s="94" t="s">
        <v>63</v>
      </c>
      <c r="S2783" s="119">
        <v>46320</v>
      </c>
      <c r="T2783" s="119"/>
      <c r="U2783" s="119">
        <v>46320</v>
      </c>
      <c r="V2783" s="94"/>
      <c r="W2783" s="94"/>
      <c r="X2783" s="94"/>
      <c r="Y2783" s="119">
        <v>46320</v>
      </c>
      <c r="Z2783" s="94"/>
      <c r="AA2783" s="120"/>
      <c r="AB2783" s="120"/>
      <c r="AC2783" s="120"/>
      <c r="AD2783" s="120"/>
      <c r="AE2783" s="120"/>
      <c r="AF2783" s="120"/>
      <c r="AG2783" s="94"/>
      <c r="AH2783" s="120"/>
      <c r="AI2783" s="94"/>
      <c r="AJ2783" s="94" t="s">
        <v>185</v>
      </c>
      <c r="AK2783" s="94" t="s">
        <v>229</v>
      </c>
      <c r="AL2783" s="94">
        <v>160</v>
      </c>
      <c r="AM2783" s="94" t="str">
        <f>TRIM(AJ2783)&amp;TRIM(AL2783)&amp;TRIM(AK2783)</f>
      </c>
      <c r="AN2783" s="116">
        <v>6435</v>
      </c>
      <c r="AO2783" s="116">
        <v>-120</v>
      </c>
      <c r="AP2783" s="116">
        <f>SUMIFS(M:M,AM:AM,AM2783)+SUMIFS(O:O,AM:AM,AM2783)</f>
      </c>
      <c r="AQ2783" s="116">
        <f>SUMIFS(L:L,AM:AM,AM2783)</f>
      </c>
      <c r="AR2783" s="116">
        <f>AQ2783-AP2783</f>
      </c>
      <c r="AS2783" s="94" t="str">
        <f>IF(AN2783&gt;=AQ2783,"ok","ck")</f>
      </c>
      <c r="AT2783" s="116">
        <f>-P2783</f>
      </c>
      <c r="AU2783" s="115">
        <f>IF(SUMIFS(AT:AT,AM:AM,AM2783)&gt;AO2783,(SUMIFS(AT:AT,AM:AM,AM2783)-AO2783))</f>
      </c>
      <c r="AV2783" s="116">
        <v>6435</v>
      </c>
      <c r="AW2783" s="121">
        <v>1.019</v>
      </c>
      <c r="AX2783" s="115">
        <f>AN2783-AP2783</f>
      </c>
    </row>
    <row r="2784" spans="1:50" ht="15" hidden="1" customHeight="1" x14ac:dyDescent="0.3">
      <c r="A2784" s="122" t="s">
        <v>151</v>
      </c>
      <c r="B2784" s="122"/>
      <c r="C2784" s="122"/>
      <c r="D2784" s="122"/>
      <c r="E2784" s="122"/>
      <c r="F2784" s="122"/>
      <c r="G2784" s="122"/>
      <c r="H2784" s="122"/>
      <c r="I2784" s="122" t="s">
        <v>152</v>
      </c>
      <c r="J2784" s="122" t="s">
        <v>228</v>
      </c>
      <c r="K2784" s="114">
        <f>P2784/3</f>
      </c>
      <c r="L2784" s="123">
        <v>0</v>
      </c>
      <c r="M2784" s="122">
        <f>L2784</f>
      </c>
      <c r="N2784" s="117">
        <f>M2784-L2784</f>
      </c>
      <c r="O2784" s="122"/>
      <c r="P2784" s="118">
        <f>N2784+O2784</f>
      </c>
      <c r="Q2784" s="122" t="s">
        <v>185</v>
      </c>
      <c r="R2784" s="122" t="s">
        <v>63</v>
      </c>
      <c r="S2784" s="122">
        <v>46320</v>
      </c>
      <c r="T2784" s="93"/>
      <c r="U2784" s="124">
        <v>46320</v>
      </c>
      <c r="V2784" s="92"/>
      <c r="W2784" s="122"/>
      <c r="X2784" s="122"/>
      <c r="Y2784" s="93">
        <v>46320</v>
      </c>
      <c r="Z2784" s="92"/>
      <c r="AA2784" s="93"/>
      <c r="AB2784" s="93"/>
      <c r="AC2784" s="93"/>
      <c r="AD2784" s="124"/>
      <c r="AE2784" s="93"/>
      <c r="AF2784" s="93"/>
      <c r="AG2784" s="122"/>
      <c r="AH2784" s="124"/>
      <c r="AI2784" s="92"/>
      <c r="AJ2784" s="92" t="s">
        <v>185</v>
      </c>
      <c r="AK2784" s="92" t="s">
        <v>229</v>
      </c>
      <c r="AL2784" s="92">
        <v>160</v>
      </c>
      <c r="AM2784" s="94" t="str">
        <f>TRIM(AJ2784)&amp;TRIM(AL2784)&amp;TRIM(AK2784)</f>
      </c>
      <c r="AN2784" s="116">
        <v>6435</v>
      </c>
      <c r="AO2784" s="116">
        <v>-120</v>
      </c>
      <c r="AP2784" s="116">
        <f>SUMIFS(M:M,AM:AM,AM2784)+SUMIFS(O:O,AM:AM,AM2784)</f>
      </c>
      <c r="AQ2784" s="116">
        <f>SUMIFS(L:L,AM:AM,AM2784)</f>
      </c>
      <c r="AR2784" s="116">
        <f>AQ2784-AP2784</f>
      </c>
      <c r="AS2784" s="94" t="str">
        <f>IF(AN2784&gt;=AQ2784,"ok","ck")</f>
      </c>
      <c r="AT2784" s="116">
        <f>-P2784</f>
      </c>
      <c r="AU2784" s="115">
        <f>IF(SUMIFS(AT:AT,AM:AM,AM2784)&gt;AO2784,(SUMIFS(AT:AT,AM:AM,AM2784)-AO2784))</f>
      </c>
      <c r="AV2784" s="116">
        <v>6435</v>
      </c>
      <c r="AW2784" s="121">
        <v>1.019</v>
      </c>
      <c r="AX2784" s="115">
        <f>AN2784-AP2784</f>
      </c>
    </row>
    <row r="2785" spans="1:50" ht="15" hidden="1" customHeight="1" x14ac:dyDescent="0.3">
      <c r="A2785" s="122" t="s">
        <v>151</v>
      </c>
      <c r="B2785" s="122"/>
      <c r="C2785" s="122"/>
      <c r="D2785" s="122"/>
      <c r="E2785" s="122"/>
      <c r="F2785" s="122"/>
      <c r="G2785" s="122"/>
      <c r="H2785" s="122"/>
      <c r="I2785" s="122" t="s">
        <v>152</v>
      </c>
      <c r="J2785" s="122" t="s">
        <v>228</v>
      </c>
      <c r="K2785" s="114">
        <f>P2785/3</f>
      </c>
      <c r="L2785" s="123">
        <v>0</v>
      </c>
      <c r="M2785" s="122">
        <f>L2785</f>
      </c>
      <c r="N2785" s="117">
        <f>M2785-L2785</f>
      </c>
      <c r="O2785" s="122"/>
      <c r="P2785" s="118">
        <f>N2785+O2785</f>
      </c>
      <c r="Q2785" s="122" t="s">
        <v>185</v>
      </c>
      <c r="R2785" s="122" t="s">
        <v>63</v>
      </c>
      <c r="S2785" s="122">
        <v>46327</v>
      </c>
      <c r="T2785" s="93"/>
      <c r="U2785" s="124">
        <v>46327</v>
      </c>
      <c r="V2785" s="92"/>
      <c r="W2785" s="122"/>
      <c r="X2785" s="122"/>
      <c r="Y2785" s="93">
        <v>46327</v>
      </c>
      <c r="Z2785" s="92"/>
      <c r="AA2785" s="93"/>
      <c r="AB2785" s="93"/>
      <c r="AC2785" s="93"/>
      <c r="AD2785" s="124"/>
      <c r="AE2785" s="93"/>
      <c r="AF2785" s="93"/>
      <c r="AG2785" s="122"/>
      <c r="AH2785" s="124"/>
      <c r="AI2785" s="92"/>
      <c r="AJ2785" s="92" t="s">
        <v>185</v>
      </c>
      <c r="AK2785" s="92" t="s">
        <v>229</v>
      </c>
      <c r="AL2785" s="92">
        <v>160</v>
      </c>
      <c r="AM2785" s="94" t="str">
        <f>TRIM(AJ2785)&amp;TRIM(AL2785)&amp;TRIM(AK2785)</f>
      </c>
      <c r="AN2785" s="116">
        <v>6435</v>
      </c>
      <c r="AO2785" s="116">
        <v>-120</v>
      </c>
      <c r="AP2785" s="116">
        <f>SUMIFS(M:M,AM:AM,AM2785)+SUMIFS(O:O,AM:AM,AM2785)</f>
      </c>
      <c r="AQ2785" s="116">
        <f>SUMIFS(L:L,AM:AM,AM2785)</f>
      </c>
      <c r="AR2785" s="116">
        <f>AQ2785-AP2785</f>
      </c>
      <c r="AS2785" s="94" t="str">
        <f>IF(AN2785&gt;=AQ2785,"ok","ck")</f>
      </c>
      <c r="AT2785" s="116">
        <f>-P2785</f>
      </c>
      <c r="AU2785" s="115">
        <f>IF(SUMIFS(AT:AT,AM:AM,AM2785)&gt;AO2785,(SUMIFS(AT:AT,AM:AM,AM2785)-AO2785))</f>
      </c>
      <c r="AV2785" s="116">
        <v>6435</v>
      </c>
      <c r="AW2785" s="121">
        <v>1.019</v>
      </c>
      <c r="AX2785" s="115">
        <f>AN2785-AP2785</f>
      </c>
    </row>
    <row r="2786" spans="1:50" ht="15" hidden="1" customHeight="1" x14ac:dyDescent="0.3">
      <c r="A2786" s="122" t="s">
        <v>151</v>
      </c>
      <c r="B2786" s="122"/>
      <c r="C2786" s="122"/>
      <c r="D2786" s="122"/>
      <c r="E2786" s="122"/>
      <c r="F2786" s="122"/>
      <c r="G2786" s="122"/>
      <c r="H2786" s="122"/>
      <c r="I2786" s="122" t="s">
        <v>152</v>
      </c>
      <c r="J2786" s="122" t="s">
        <v>228</v>
      </c>
      <c r="K2786" s="114">
        <f>P2786/3</f>
      </c>
      <c r="L2786" s="123">
        <v>0</v>
      </c>
      <c r="M2786" s="122">
        <f>L2786</f>
      </c>
      <c r="N2786" s="117">
        <f>M2786-L2786</f>
      </c>
      <c r="O2786" s="122"/>
      <c r="P2786" s="118">
        <f>N2786+O2786</f>
      </c>
      <c r="Q2786" s="122" t="s">
        <v>185</v>
      </c>
      <c r="R2786" s="122" t="s">
        <v>63</v>
      </c>
      <c r="S2786" s="122">
        <v>46330</v>
      </c>
      <c r="T2786" s="93"/>
      <c r="U2786" s="124">
        <v>46330</v>
      </c>
      <c r="V2786" s="92"/>
      <c r="W2786" s="122"/>
      <c r="X2786" s="122"/>
      <c r="Y2786" s="93">
        <v>46330</v>
      </c>
      <c r="Z2786" s="92"/>
      <c r="AA2786" s="93"/>
      <c r="AB2786" s="93"/>
      <c r="AC2786" s="93"/>
      <c r="AD2786" s="124"/>
      <c r="AE2786" s="93"/>
      <c r="AF2786" s="93"/>
      <c r="AG2786" s="122"/>
      <c r="AH2786" s="124"/>
      <c r="AI2786" s="92"/>
      <c r="AJ2786" s="92" t="s">
        <v>185</v>
      </c>
      <c r="AK2786" s="92" t="s">
        <v>229</v>
      </c>
      <c r="AL2786" s="92">
        <v>160</v>
      </c>
      <c r="AM2786" s="94" t="str">
        <f>TRIM(AJ2786)&amp;TRIM(AL2786)&amp;TRIM(AK2786)</f>
      </c>
      <c r="AN2786" s="116">
        <v>6435</v>
      </c>
      <c r="AO2786" s="116">
        <v>-120</v>
      </c>
      <c r="AP2786" s="116">
        <f>SUMIFS(M:M,AM:AM,AM2786)+SUMIFS(O:O,AM:AM,AM2786)</f>
      </c>
      <c r="AQ2786" s="116">
        <f>SUMIFS(L:L,AM:AM,AM2786)</f>
      </c>
      <c r="AR2786" s="116">
        <f>AQ2786-AP2786</f>
      </c>
      <c r="AS2786" s="94" t="str">
        <f>IF(AN2786&gt;=AQ2786,"ok","ck")</f>
      </c>
      <c r="AT2786" s="116">
        <f>-P2786</f>
      </c>
      <c r="AU2786" s="115">
        <f>IF(SUMIFS(AT:AT,AM:AM,AM2786)&gt;AO2786,(SUMIFS(AT:AT,AM:AM,AM2786)-AO2786))</f>
      </c>
      <c r="AV2786" s="116">
        <v>6435</v>
      </c>
      <c r="AW2786" s="121">
        <v>1.019</v>
      </c>
      <c r="AX2786" s="115">
        <f>AN2786-AP2786</f>
      </c>
    </row>
    <row r="2787" spans="1:50" ht="15" hidden="1" customHeight="1" x14ac:dyDescent="0.3">
      <c r="A2787" s="122" t="s">
        <v>151</v>
      </c>
      <c r="B2787" s="122"/>
      <c r="C2787" s="122"/>
      <c r="D2787" s="122"/>
      <c r="E2787" s="122"/>
      <c r="F2787" s="122"/>
      <c r="G2787" s="122"/>
      <c r="H2787" s="122"/>
      <c r="I2787" s="122" t="s">
        <v>226</v>
      </c>
      <c r="J2787" s="122" t="s">
        <v>217</v>
      </c>
      <c r="K2787" s="114">
        <f>P2787/3</f>
      </c>
      <c r="L2787" s="123">
        <v>950</v>
      </c>
      <c r="M2787" s="122"/>
      <c r="N2787" s="117">
        <f>M2787-L2787</f>
      </c>
      <c r="O2787" s="122"/>
      <c r="P2787" s="118">
        <f>N2787+O2787</f>
      </c>
      <c r="Q2787" s="122" t="s">
        <v>843</v>
      </c>
      <c r="R2787" s="122" t="s">
        <v>63</v>
      </c>
      <c r="S2787" s="122">
        <v>46347</v>
      </c>
      <c r="T2787" s="93"/>
      <c r="U2787" s="124">
        <v>46347</v>
      </c>
      <c r="V2787" s="92"/>
      <c r="W2787" s="122"/>
      <c r="X2787" s="122"/>
      <c r="Y2787" s="93">
        <v>46335</v>
      </c>
      <c r="Z2787" s="92"/>
      <c r="AA2787" s="93"/>
      <c r="AB2787" s="93"/>
      <c r="AC2787" s="93"/>
      <c r="AD2787" s="124"/>
      <c r="AE2787" s="93"/>
      <c r="AF2787" s="93"/>
      <c r="AG2787" s="122"/>
      <c r="AH2787" s="124"/>
      <c r="AI2787" s="92"/>
      <c r="AJ2787" s="92" t="s">
        <v>843</v>
      </c>
      <c r="AK2787" s="92" t="s">
        <v>217</v>
      </c>
      <c r="AL2787" s="92">
        <v>160</v>
      </c>
      <c r="AM2787" s="94" t="str">
        <f>TRIM(AJ2787)&amp;TRIM(AL2787)&amp;TRIM(AK2787)</f>
      </c>
      <c r="AN2787" s="116">
        <v>0</v>
      </c>
      <c r="AO2787" s="116" t="inlineStr">
        <is>
          <t>#NA</t>
        </is>
      </c>
      <c r="AP2787" s="116">
        <f>SUMIFS(M:M,AM:AM,AM2787)+SUMIFS(O:O,AM:AM,AM2787)</f>
      </c>
      <c r="AQ2787" s="116">
        <f>SUMIFS(L:L,AM:AM,AM2787)</f>
      </c>
      <c r="AR2787" s="116">
        <f>AQ2787-AP2787</f>
      </c>
      <c r="AS2787" s="94" t="str">
        <f>IF(AN2787&gt;=AQ2787,"ok","ck")</f>
      </c>
      <c r="AT2787" s="116">
        <f>-P2787</f>
      </c>
      <c r="AU2787" s="115">
        <f>IF(SUMIFS(AT:AT,AM:AM,AM2787)&gt;AO2787,(SUMIFS(AT:AT,AM:AM,AM2787)-AO2787))</f>
      </c>
      <c r="AV2787" s="116">
        <v>0</v>
      </c>
      <c r="AW2787" s="121">
        <v>0</v>
      </c>
      <c r="AX2787" s="115">
        <f>AN2787-AP2787</f>
      </c>
    </row>
    <row r="2788" spans="1:50" ht="15" hidden="1" customHeight="1" x14ac:dyDescent="0.3">
      <c r="A2788" s="122" t="s">
        <v>151</v>
      </c>
      <c r="B2788" s="122"/>
      <c r="C2788" s="122"/>
      <c r="D2788" s="122"/>
      <c r="E2788" s="122"/>
      <c r="F2788" s="122"/>
      <c r="G2788" s="122"/>
      <c r="H2788" s="122"/>
      <c r="I2788" s="122" t="s">
        <v>163</v>
      </c>
      <c r="J2788" s="122" t="s">
        <v>114</v>
      </c>
      <c r="K2788" s="114">
        <f>P2788/3</f>
      </c>
      <c r="L2788" s="123">
        <v>412.99299999999999</v>
      </c>
      <c r="M2788" s="122"/>
      <c r="N2788" s="117">
        <f>M2788-L2788</f>
      </c>
      <c r="O2788" s="122"/>
      <c r="P2788" s="118">
        <f>N2788+O2788</f>
      </c>
      <c r="Q2788" s="122" t="s">
        <v>843</v>
      </c>
      <c r="R2788" s="122" t="s">
        <v>63</v>
      </c>
      <c r="S2788" s="122">
        <v>46346</v>
      </c>
      <c r="T2788" s="93"/>
      <c r="U2788" s="124">
        <v>46346</v>
      </c>
      <c r="V2788" s="92"/>
      <c r="W2788" s="122"/>
      <c r="X2788" s="122"/>
      <c r="Y2788" s="93">
        <v>46343</v>
      </c>
      <c r="Z2788" s="92"/>
      <c r="AA2788" s="93"/>
      <c r="AB2788" s="93"/>
      <c r="AC2788" s="93"/>
      <c r="AD2788" s="124"/>
      <c r="AE2788" s="93"/>
      <c r="AF2788" s="93"/>
      <c r="AG2788" s="122"/>
      <c r="AH2788" s="124"/>
      <c r="AI2788" s="92"/>
      <c r="AJ2788" s="92" t="s">
        <v>843</v>
      </c>
      <c r="AK2788" s="92" t="s">
        <v>191</v>
      </c>
      <c r="AL2788" s="92">
        <v>160</v>
      </c>
      <c r="AM2788" s="94" t="str">
        <f>TRIM(AJ2788)&amp;TRIM(AL2788)&amp;TRIM(AK2788)</f>
      </c>
      <c r="AN2788" s="116">
        <v>0</v>
      </c>
      <c r="AO2788" s="116" t="inlineStr">
        <is>
          <t>#NA</t>
        </is>
      </c>
      <c r="AP2788" s="116">
        <f>SUMIFS(M:M,AM:AM,AM2788)+SUMIFS(O:O,AM:AM,AM2788)</f>
      </c>
      <c r="AQ2788" s="116">
        <f>SUMIFS(L:L,AM:AM,AM2788)</f>
      </c>
      <c r="AR2788" s="116">
        <f>AQ2788-AP2788</f>
      </c>
      <c r="AS2788" s="94" t="str">
        <f>IF(AN2788&gt;=AQ2788,"ok","ck")</f>
      </c>
      <c r="AT2788" s="116">
        <f>-P2788</f>
      </c>
      <c r="AU2788" s="115">
        <f>IF(SUMIFS(AT:AT,AM:AM,AM2788)&gt;AO2788,(SUMIFS(AT:AT,AM:AM,AM2788)-AO2788))</f>
      </c>
      <c r="AV2788" s="116">
        <v>0</v>
      </c>
      <c r="AW2788" s="121">
        <v>0</v>
      </c>
      <c r="AX2788" s="115">
        <f>AN2788-AP2788</f>
      </c>
    </row>
    <row r="2789" spans="1:50" ht="15" hidden="1" customHeight="1" x14ac:dyDescent="0.3">
      <c r="A2789" s="122" t="s">
        <v>151</v>
      </c>
      <c r="B2789" s="122"/>
      <c r="C2789" s="122"/>
      <c r="D2789" s="122"/>
      <c r="E2789" s="122"/>
      <c r="F2789" s="122"/>
      <c r="G2789" s="122"/>
      <c r="H2789" s="122"/>
      <c r="I2789" s="122" t="s">
        <v>163</v>
      </c>
      <c r="J2789" s="122" t="s">
        <v>114</v>
      </c>
      <c r="K2789" s="114">
        <f>P2789/3</f>
      </c>
      <c r="L2789" s="123">
        <v>140.68799999999999</v>
      </c>
      <c r="M2789" s="122"/>
      <c r="N2789" s="117">
        <f>M2789-L2789</f>
      </c>
      <c r="O2789" s="122"/>
      <c r="P2789" s="118">
        <f>N2789+O2789</f>
      </c>
      <c r="Q2789" s="122" t="s">
        <v>843</v>
      </c>
      <c r="R2789" s="122" t="s">
        <v>63</v>
      </c>
      <c r="S2789" s="122">
        <v>46346</v>
      </c>
      <c r="T2789" s="93"/>
      <c r="U2789" s="124">
        <v>46346</v>
      </c>
      <c r="V2789" s="92"/>
      <c r="W2789" s="122"/>
      <c r="X2789" s="122"/>
      <c r="Y2789" s="93">
        <v>46340</v>
      </c>
      <c r="Z2789" s="92"/>
      <c r="AA2789" s="93"/>
      <c r="AB2789" s="93"/>
      <c r="AC2789" s="93"/>
      <c r="AD2789" s="124"/>
      <c r="AE2789" s="93"/>
      <c r="AF2789" s="93"/>
      <c r="AG2789" s="122"/>
      <c r="AH2789" s="124"/>
      <c r="AI2789" s="92"/>
      <c r="AJ2789" s="92" t="s">
        <v>843</v>
      </c>
      <c r="AK2789" s="92" t="s">
        <v>191</v>
      </c>
      <c r="AL2789" s="92">
        <v>160</v>
      </c>
      <c r="AM2789" s="94" t="str">
        <f>TRIM(AJ2789)&amp;TRIM(AL2789)&amp;TRIM(AK2789)</f>
      </c>
      <c r="AN2789" s="116">
        <v>0</v>
      </c>
      <c r="AO2789" s="116" t="inlineStr">
        <is>
          <t>#NA</t>
        </is>
      </c>
      <c r="AP2789" s="116">
        <f>SUMIFS(M:M,AM:AM,AM2789)+SUMIFS(O:O,AM:AM,AM2789)</f>
      </c>
      <c r="AQ2789" s="116">
        <f>SUMIFS(L:L,AM:AM,AM2789)</f>
      </c>
      <c r="AR2789" s="116">
        <f>AQ2789-AP2789</f>
      </c>
      <c r="AS2789" s="94" t="str">
        <f>IF(AN2789&gt;=AQ2789,"ok","ck")</f>
      </c>
      <c r="AT2789" s="116">
        <f>-P2789</f>
      </c>
      <c r="AU2789" s="115">
        <f>IF(SUMIFS(AT:AT,AM:AM,AM2789)&gt;AO2789,(SUMIFS(AT:AT,AM:AM,AM2789)-AO2789))</f>
      </c>
      <c r="AV2789" s="116">
        <v>0</v>
      </c>
      <c r="AW2789" s="121">
        <v>0</v>
      </c>
      <c r="AX2789" s="115">
        <f>AN2789-AP2789</f>
      </c>
    </row>
    <row r="2790" spans="1:50" ht="15" hidden="1" customHeight="1" x14ac:dyDescent="0.3">
      <c r="A2790" s="122" t="s">
        <v>151</v>
      </c>
      <c r="B2790" s="122"/>
      <c r="C2790" s="122"/>
      <c r="D2790" s="122"/>
      <c r="E2790" s="122"/>
      <c r="F2790" s="122"/>
      <c r="G2790" s="122"/>
      <c r="H2790" s="122"/>
      <c r="I2790" s="122" t="s">
        <v>163</v>
      </c>
      <c r="J2790" s="122" t="s">
        <v>114</v>
      </c>
      <c r="K2790" s="114">
        <f>P2790/3</f>
      </c>
      <c r="L2790" s="123">
        <v>417.37</v>
      </c>
      <c r="M2790" s="122"/>
      <c r="N2790" s="117">
        <f>M2790-L2790</f>
      </c>
      <c r="O2790" s="122"/>
      <c r="P2790" s="118">
        <f>N2790+O2790</f>
      </c>
      <c r="Q2790" s="122" t="s">
        <v>843</v>
      </c>
      <c r="R2790" s="122" t="s">
        <v>63</v>
      </c>
      <c r="S2790" s="122">
        <v>46346</v>
      </c>
      <c r="T2790" s="93"/>
      <c r="U2790" s="124">
        <v>46346</v>
      </c>
      <c r="V2790" s="92"/>
      <c r="W2790" s="122"/>
      <c r="X2790" s="122"/>
      <c r="Y2790" s="93">
        <v>46342</v>
      </c>
      <c r="Z2790" s="92"/>
      <c r="AA2790" s="93"/>
      <c r="AB2790" s="93"/>
      <c r="AC2790" s="93"/>
      <c r="AD2790" s="124"/>
      <c r="AE2790" s="93"/>
      <c r="AF2790" s="93"/>
      <c r="AG2790" s="122"/>
      <c r="AH2790" s="124"/>
      <c r="AI2790" s="92"/>
      <c r="AJ2790" s="92" t="s">
        <v>843</v>
      </c>
      <c r="AK2790" s="92" t="s">
        <v>191</v>
      </c>
      <c r="AL2790" s="92">
        <v>160</v>
      </c>
      <c r="AM2790" s="94" t="str">
        <f>TRIM(AJ2790)&amp;TRIM(AL2790)&amp;TRIM(AK2790)</f>
      </c>
      <c r="AN2790" s="116">
        <v>0</v>
      </c>
      <c r="AO2790" s="116" t="inlineStr">
        <is>
          <t>#NA</t>
        </is>
      </c>
      <c r="AP2790" s="116">
        <f>SUMIFS(M:M,AM:AM,AM2790)+SUMIFS(O:O,AM:AM,AM2790)</f>
      </c>
      <c r="AQ2790" s="116">
        <f>SUMIFS(L:L,AM:AM,AM2790)</f>
      </c>
      <c r="AR2790" s="116">
        <f>AQ2790-AP2790</f>
      </c>
      <c r="AS2790" s="94" t="str">
        <f>IF(AN2790&gt;=AQ2790,"ok","ck")</f>
      </c>
      <c r="AT2790" s="116">
        <f>-P2790</f>
      </c>
      <c r="AU2790" s="115">
        <f>IF(SUMIFS(AT:AT,AM:AM,AM2790)&gt;AO2790,(SUMIFS(AT:AT,AM:AM,AM2790)-AO2790))</f>
      </c>
      <c r="AV2790" s="116">
        <v>0</v>
      </c>
      <c r="AW2790" s="121">
        <v>0</v>
      </c>
      <c r="AX2790" s="115">
        <f>AN2790-AP2790</f>
      </c>
    </row>
    <row r="2791" spans="1:50" ht="15" hidden="1" customHeight="1" x14ac:dyDescent="0.3">
      <c r="A2791" s="122" t="s">
        <v>151</v>
      </c>
      <c r="B2791" s="122"/>
      <c r="C2791" s="122"/>
      <c r="D2791" s="122"/>
      <c r="E2791" s="122"/>
      <c r="F2791" s="122"/>
      <c r="G2791" s="122"/>
      <c r="H2791" s="122"/>
      <c r="I2791" s="122" t="s">
        <v>163</v>
      </c>
      <c r="J2791" s="122" t="s">
        <v>114</v>
      </c>
      <c r="K2791" s="114">
        <f>P2791/3</f>
      </c>
      <c r="L2791" s="123">
        <v>278.94900000000001</v>
      </c>
      <c r="M2791" s="122"/>
      <c r="N2791" s="117">
        <f>M2791-L2791</f>
      </c>
      <c r="O2791" s="122"/>
      <c r="P2791" s="118">
        <f>N2791+O2791</f>
      </c>
      <c r="Q2791" s="122" t="s">
        <v>843</v>
      </c>
      <c r="R2791" s="122" t="s">
        <v>63</v>
      </c>
      <c r="S2791" s="122">
        <v>46346</v>
      </c>
      <c r="T2791" s="93"/>
      <c r="U2791" s="124">
        <v>46346</v>
      </c>
      <c r="V2791" s="92"/>
      <c r="W2791" s="122"/>
      <c r="X2791" s="122"/>
      <c r="Y2791" s="93">
        <v>46343</v>
      </c>
      <c r="Z2791" s="92"/>
      <c r="AA2791" s="93"/>
      <c r="AB2791" s="93"/>
      <c r="AC2791" s="93"/>
      <c r="AD2791" s="124"/>
      <c r="AE2791" s="93"/>
      <c r="AF2791" s="93"/>
      <c r="AG2791" s="122"/>
      <c r="AH2791" s="124"/>
      <c r="AI2791" s="92"/>
      <c r="AJ2791" s="92" t="s">
        <v>843</v>
      </c>
      <c r="AK2791" s="92" t="s">
        <v>191</v>
      </c>
      <c r="AL2791" s="92">
        <v>160</v>
      </c>
      <c r="AM2791" s="94" t="str">
        <f>TRIM(AJ2791)&amp;TRIM(AL2791)&amp;TRIM(AK2791)</f>
      </c>
      <c r="AN2791" s="116">
        <v>0</v>
      </c>
      <c r="AO2791" s="116" t="inlineStr">
        <is>
          <t>#NA</t>
        </is>
      </c>
      <c r="AP2791" s="116">
        <f>SUMIFS(M:M,AM:AM,AM2791)+SUMIFS(O:O,AM:AM,AM2791)</f>
      </c>
      <c r="AQ2791" s="116">
        <f>SUMIFS(L:L,AM:AM,AM2791)</f>
      </c>
      <c r="AR2791" s="116">
        <f>AQ2791-AP2791</f>
      </c>
      <c r="AS2791" s="94" t="str">
        <f>IF(AN2791&gt;=AQ2791,"ok","ck")</f>
      </c>
      <c r="AT2791" s="116">
        <f>-P2791</f>
      </c>
      <c r="AU2791" s="115">
        <f>IF(SUMIFS(AT:AT,AM:AM,AM2791)&gt;AO2791,(SUMIFS(AT:AT,AM:AM,AM2791)-AO2791))</f>
      </c>
      <c r="AV2791" s="116">
        <v>0</v>
      </c>
      <c r="AW2791" s="121">
        <v>0</v>
      </c>
      <c r="AX2791" s="115">
        <f>AN2791-AP2791</f>
      </c>
    </row>
    <row r="2792" spans="1:50" ht="15" hidden="1" customHeight="1" x14ac:dyDescent="0.3">
      <c r="A2792" s="122" t="s">
        <v>151</v>
      </c>
      <c r="B2792" s="122"/>
      <c r="C2792" s="122"/>
      <c r="D2792" s="122"/>
      <c r="E2792" s="122"/>
      <c r="F2792" s="122"/>
      <c r="G2792" s="122"/>
      <c r="H2792" s="122"/>
      <c r="I2792" s="122" t="s">
        <v>163</v>
      </c>
      <c r="J2792" s="122" t="s">
        <v>156</v>
      </c>
      <c r="K2792" s="114">
        <f>P2792/3</f>
      </c>
      <c r="L2792" s="123">
        <v>1037.04</v>
      </c>
      <c r="M2792" s="122"/>
      <c r="N2792" s="117">
        <f>M2792-L2792</f>
      </c>
      <c r="O2792" s="122"/>
      <c r="P2792" s="118">
        <f>N2792+O2792</f>
      </c>
      <c r="Q2792" s="122" t="s">
        <v>843</v>
      </c>
      <c r="R2792" s="122" t="s">
        <v>63</v>
      </c>
      <c r="S2792" s="122">
        <v>46348</v>
      </c>
      <c r="T2792" s="93"/>
      <c r="U2792" s="124">
        <v>46348</v>
      </c>
      <c r="V2792" s="92"/>
      <c r="W2792" s="122"/>
      <c r="X2792" s="122"/>
      <c r="Y2792" s="93">
        <v>46340</v>
      </c>
      <c r="Z2792" s="92"/>
      <c r="AA2792" s="93"/>
      <c r="AB2792" s="93"/>
      <c r="AC2792" s="93"/>
      <c r="AD2792" s="124"/>
      <c r="AE2792" s="93"/>
      <c r="AF2792" s="93"/>
      <c r="AG2792" s="122"/>
      <c r="AH2792" s="124"/>
      <c r="AI2792" s="92"/>
      <c r="AJ2792" s="92" t="s">
        <v>843</v>
      </c>
      <c r="AK2792" s="92" t="s">
        <v>158</v>
      </c>
      <c r="AL2792" s="92">
        <v>160</v>
      </c>
      <c r="AM2792" s="94" t="str">
        <f>TRIM(AJ2792)&amp;TRIM(AL2792)&amp;TRIM(AK2792)</f>
      </c>
      <c r="AN2792" s="116">
        <v>0</v>
      </c>
      <c r="AO2792" s="116" t="inlineStr">
        <is>
          <t>#NA</t>
        </is>
      </c>
      <c r="AP2792" s="116">
        <f>SUMIFS(M:M,AM:AM,AM2792)+SUMIFS(O:O,AM:AM,AM2792)</f>
      </c>
      <c r="AQ2792" s="116">
        <f>SUMIFS(L:L,AM:AM,AM2792)</f>
      </c>
      <c r="AR2792" s="116">
        <f>AQ2792-AP2792</f>
      </c>
      <c r="AS2792" s="94" t="str">
        <f>IF(AN2792&gt;=AQ2792,"ok","ck")</f>
      </c>
      <c r="AT2792" s="116">
        <f>-P2792</f>
      </c>
      <c r="AU2792" s="115">
        <f>IF(SUMIFS(AT:AT,AM:AM,AM2792)&gt;AO2792,(SUMIFS(AT:AT,AM:AM,AM2792)-AO2792))</f>
      </c>
      <c r="AV2792" s="116">
        <v>0</v>
      </c>
      <c r="AW2792" s="121">
        <v>0</v>
      </c>
      <c r="AX2792" s="115">
        <f>AN2792-AP2792</f>
      </c>
    </row>
    <row r="2793" spans="1:50" ht="15" hidden="1" customHeight="1" x14ac:dyDescent="0.3">
      <c r="A2793" s="122" t="s">
        <v>151</v>
      </c>
      <c r="B2793" s="122"/>
      <c r="C2793" s="122"/>
      <c r="D2793" s="122"/>
      <c r="E2793" s="122"/>
      <c r="F2793" s="122"/>
      <c r="G2793" s="122"/>
      <c r="H2793" s="122"/>
      <c r="I2793" s="122" t="s">
        <v>163</v>
      </c>
      <c r="J2793" s="122" t="s">
        <v>156</v>
      </c>
      <c r="K2793" s="114">
        <f>P2793/3</f>
      </c>
      <c r="L2793" s="123">
        <v>209.96</v>
      </c>
      <c r="M2793" s="122"/>
      <c r="N2793" s="117">
        <f>M2793-L2793</f>
      </c>
      <c r="O2793" s="122"/>
      <c r="P2793" s="118">
        <f>N2793+O2793</f>
      </c>
      <c r="Q2793" s="122" t="s">
        <v>843</v>
      </c>
      <c r="R2793" s="122" t="s">
        <v>63</v>
      </c>
      <c r="S2793" s="122">
        <v>46348</v>
      </c>
      <c r="T2793" s="93"/>
      <c r="U2793" s="124">
        <v>46348</v>
      </c>
      <c r="V2793" s="92"/>
      <c r="W2793" s="122"/>
      <c r="X2793" s="122"/>
      <c r="Y2793" s="93">
        <v>46342</v>
      </c>
      <c r="Z2793" s="92"/>
      <c r="AA2793" s="93"/>
      <c r="AB2793" s="93"/>
      <c r="AC2793" s="93"/>
      <c r="AD2793" s="124"/>
      <c r="AE2793" s="93"/>
      <c r="AF2793" s="93"/>
      <c r="AG2793" s="122"/>
      <c r="AH2793" s="124"/>
      <c r="AI2793" s="92"/>
      <c r="AJ2793" s="92" t="s">
        <v>843</v>
      </c>
      <c r="AK2793" s="92" t="s">
        <v>158</v>
      </c>
      <c r="AL2793" s="92">
        <v>160</v>
      </c>
      <c r="AM2793" s="94" t="str">
        <f>TRIM(AJ2793)&amp;TRIM(AL2793)&amp;TRIM(AK2793)</f>
      </c>
      <c r="AN2793" s="116">
        <v>0</v>
      </c>
      <c r="AO2793" s="116" t="inlineStr">
        <is>
          <t>#NA</t>
        </is>
      </c>
      <c r="AP2793" s="116">
        <f>SUMIFS(M:M,AM:AM,AM2793)+SUMIFS(O:O,AM:AM,AM2793)</f>
      </c>
      <c r="AQ2793" s="116">
        <f>SUMIFS(L:L,AM:AM,AM2793)</f>
      </c>
      <c r="AR2793" s="116">
        <f>AQ2793-AP2793</f>
      </c>
      <c r="AS2793" s="94" t="str">
        <f>IF(AN2793&gt;=AQ2793,"ok","ck")</f>
      </c>
      <c r="AT2793" s="116">
        <f>-P2793</f>
      </c>
      <c r="AU2793" s="115">
        <f>IF(SUMIFS(AT:AT,AM:AM,AM2793)&gt;AO2793,(SUMIFS(AT:AT,AM:AM,AM2793)-AO2793))</f>
      </c>
      <c r="AV2793" s="116">
        <v>0</v>
      </c>
      <c r="AW2793" s="121">
        <v>0</v>
      </c>
      <c r="AX2793" s="115">
        <f>AN2793-AP2793</f>
      </c>
    </row>
    <row r="2794" spans="1:50" ht="15" hidden="1" customHeight="1" x14ac:dyDescent="0.3">
      <c r="A2794" s="122" t="s">
        <v>151</v>
      </c>
      <c r="B2794" s="122"/>
      <c r="C2794" s="122"/>
      <c r="D2794" s="122"/>
      <c r="E2794" s="122"/>
      <c r="F2794" s="122"/>
      <c r="G2794" s="122"/>
      <c r="H2794" s="122"/>
      <c r="I2794" s="122" t="s">
        <v>163</v>
      </c>
      <c r="J2794" s="122" t="s">
        <v>224</v>
      </c>
      <c r="K2794" s="114">
        <f>P2794/3</f>
      </c>
      <c r="L2794" s="123">
        <v>337</v>
      </c>
      <c r="M2794" s="122"/>
      <c r="N2794" s="117">
        <f>M2794-L2794</f>
      </c>
      <c r="O2794" s="122"/>
      <c r="P2794" s="118">
        <f>N2794+O2794</f>
      </c>
      <c r="Q2794" s="122" t="s">
        <v>843</v>
      </c>
      <c r="R2794" s="122" t="s">
        <v>63</v>
      </c>
      <c r="S2794" s="122">
        <v>46349</v>
      </c>
      <c r="T2794" s="93"/>
      <c r="U2794" s="124" t="s">
        <v>689</v>
      </c>
      <c r="V2794" s="92"/>
      <c r="W2794" s="122"/>
      <c r="X2794" s="122"/>
      <c r="Y2794" s="93">
        <v>46343</v>
      </c>
      <c r="Z2794" s="92"/>
      <c r="AA2794" s="93"/>
      <c r="AB2794" s="93"/>
      <c r="AC2794" s="93"/>
      <c r="AD2794" s="124"/>
      <c r="AE2794" s="93"/>
      <c r="AF2794" s="93"/>
      <c r="AG2794" s="122"/>
      <c r="AH2794" s="124"/>
      <c r="AI2794" s="92"/>
      <c r="AJ2794" s="92" t="s">
        <v>843</v>
      </c>
      <c r="AK2794" s="92" t="s">
        <v>225</v>
      </c>
      <c r="AL2794" s="92">
        <v>160</v>
      </c>
      <c r="AM2794" s="94" t="str">
        <f>TRIM(AJ2794)&amp;TRIM(AL2794)&amp;TRIM(AK2794)</f>
      </c>
      <c r="AN2794" s="116">
        <v>0</v>
      </c>
      <c r="AO2794" s="116" t="inlineStr">
        <is>
          <t>#NA</t>
        </is>
      </c>
      <c r="AP2794" s="116">
        <f>SUMIFS(M:M,AM:AM,AM2794)+SUMIFS(O:O,AM:AM,AM2794)</f>
      </c>
      <c r="AQ2794" s="116">
        <f>SUMIFS(L:L,AM:AM,AM2794)</f>
      </c>
      <c r="AR2794" s="116">
        <f>AQ2794-AP2794</f>
      </c>
      <c r="AS2794" s="94" t="str">
        <f>IF(AN2794&gt;=AQ2794,"ok","ck")</f>
      </c>
      <c r="AT2794" s="116">
        <f>-P2794</f>
      </c>
      <c r="AU2794" s="115">
        <f>IF(SUMIFS(AT:AT,AM:AM,AM2794)&gt;AO2794,(SUMIFS(AT:AT,AM:AM,AM2794)-AO2794))</f>
      </c>
      <c r="AV2794" s="116">
        <v>0</v>
      </c>
      <c r="AW2794" s="121">
        <v>0</v>
      </c>
      <c r="AX2794" s="115">
        <f>AN2794-AP2794</f>
      </c>
    </row>
    <row r="2795" spans="1:50" ht="15" hidden="1" customHeight="1" x14ac:dyDescent="0.3">
      <c r="A2795" s="122" t="s">
        <v>151</v>
      </c>
      <c r="B2795" s="122"/>
      <c r="C2795" s="122"/>
      <c r="D2795" s="122"/>
      <c r="E2795" s="122"/>
      <c r="F2795" s="122"/>
      <c r="G2795" s="122"/>
      <c r="H2795" s="122"/>
      <c r="I2795" s="122" t="s">
        <v>152</v>
      </c>
      <c r="J2795" s="122" t="s">
        <v>186</v>
      </c>
      <c r="K2795" s="114">
        <f>P2795/3</f>
      </c>
      <c r="L2795" s="123">
        <v>0</v>
      </c>
      <c r="M2795" s="122"/>
      <c r="N2795" s="117">
        <f>M2795-L2795</f>
      </c>
      <c r="O2795" s="122"/>
      <c r="P2795" s="118">
        <f>N2795+O2795</f>
      </c>
      <c r="Q2795" s="122" t="s">
        <v>154</v>
      </c>
      <c r="R2795" s="122" t="s">
        <v>63</v>
      </c>
      <c r="S2795" s="122">
        <v>46320</v>
      </c>
      <c r="T2795" s="93"/>
      <c r="U2795" s="124">
        <v>46320</v>
      </c>
      <c r="V2795" s="92"/>
      <c r="W2795" s="122"/>
      <c r="X2795" s="122"/>
      <c r="Y2795" s="93">
        <v>46320</v>
      </c>
      <c r="Z2795" s="92"/>
      <c r="AA2795" s="93"/>
      <c r="AB2795" s="93"/>
      <c r="AC2795" s="93"/>
      <c r="AD2795" s="124"/>
      <c r="AE2795" s="93"/>
      <c r="AF2795" s="93"/>
      <c r="AG2795" s="122"/>
      <c r="AH2795" s="124"/>
      <c r="AI2795" s="92"/>
      <c r="AJ2795" s="92" t="s">
        <v>154</v>
      </c>
      <c r="AK2795" s="92" t="s">
        <v>187</v>
      </c>
      <c r="AL2795" s="92">
        <v>160</v>
      </c>
      <c r="AM2795" s="94" t="str">
        <f>TRIM(AJ2795)&amp;TRIM(AL2795)&amp;TRIM(AK2795)</f>
      </c>
      <c r="AN2795" s="116">
        <v>7786.29</v>
      </c>
      <c r="AO2795" s="116">
        <v>93.71</v>
      </c>
      <c r="AP2795" s="116">
        <f>SUMIFS(M:M,AM:AM,AM2795)+SUMIFS(O:O,AM:AM,AM2795)</f>
      </c>
      <c r="AQ2795" s="116">
        <f>SUMIFS(L:L,AM:AM,AM2795)</f>
      </c>
      <c r="AR2795" s="116">
        <f>AQ2795-AP2795</f>
      </c>
      <c r="AS2795" s="94" t="str">
        <f>IF(AN2795&gt;=AQ2795,"ok","ck")</f>
      </c>
      <c r="AT2795" s="116">
        <f>-P2795</f>
      </c>
      <c r="AU2795" s="115">
        <f>IF(SUMIFS(AT:AT,AM:AM,AM2795)&gt;AO2795,(SUMIFS(AT:AT,AM:AM,AM2795)-AO2795))</f>
      </c>
      <c r="AV2795" s="116">
        <v>7786.29</v>
      </c>
      <c r="AW2795" s="121">
        <v>0.988</v>
      </c>
      <c r="AX2795" s="115">
        <f>AN2795-AP2795</f>
      </c>
    </row>
    <row r="2796" spans="1:50" ht="15" hidden="1" customHeight="1" x14ac:dyDescent="0.3">
      <c r="A2796" s="122" t="s">
        <v>151</v>
      </c>
      <c r="B2796" s="122"/>
      <c r="C2796" s="122"/>
      <c r="D2796" s="122"/>
      <c r="E2796" s="122"/>
      <c r="F2796" s="122"/>
      <c r="G2796" s="122"/>
      <c r="H2796" s="122"/>
      <c r="I2796" s="122" t="s">
        <v>152</v>
      </c>
      <c r="J2796" s="122" t="s">
        <v>186</v>
      </c>
      <c r="K2796" s="114">
        <f>P2796/3</f>
      </c>
      <c r="L2796" s="123">
        <v>0</v>
      </c>
      <c r="M2796" s="122"/>
      <c r="N2796" s="117">
        <f>M2796-L2796</f>
      </c>
      <c r="O2796" s="122"/>
      <c r="P2796" s="118">
        <f>N2796+O2796</f>
      </c>
      <c r="Q2796" s="122" t="s">
        <v>154</v>
      </c>
      <c r="R2796" s="122" t="s">
        <v>63</v>
      </c>
      <c r="S2796" s="122">
        <v>46320</v>
      </c>
      <c r="T2796" s="93"/>
      <c r="U2796" s="124">
        <v>46320</v>
      </c>
      <c r="V2796" s="92"/>
      <c r="W2796" s="122"/>
      <c r="X2796" s="122"/>
      <c r="Y2796" s="93">
        <v>46320</v>
      </c>
      <c r="Z2796" s="92"/>
      <c r="AA2796" s="93"/>
      <c r="AB2796" s="93"/>
      <c r="AC2796" s="93"/>
      <c r="AD2796" s="124"/>
      <c r="AE2796" s="93"/>
      <c r="AF2796" s="93"/>
      <c r="AG2796" s="122"/>
      <c r="AH2796" s="124"/>
      <c r="AI2796" s="92"/>
      <c r="AJ2796" s="92" t="s">
        <v>154</v>
      </c>
      <c r="AK2796" s="92" t="s">
        <v>187</v>
      </c>
      <c r="AL2796" s="92">
        <v>160</v>
      </c>
      <c r="AM2796" s="94" t="str">
        <f>TRIM(AJ2796)&amp;TRIM(AL2796)&amp;TRIM(AK2796)</f>
      </c>
      <c r="AN2796" s="116">
        <v>7786.29</v>
      </c>
      <c r="AO2796" s="116">
        <v>93.71</v>
      </c>
      <c r="AP2796" s="116">
        <f>SUMIFS(M:M,AM:AM,AM2796)+SUMIFS(O:O,AM:AM,AM2796)</f>
      </c>
      <c r="AQ2796" s="116">
        <f>SUMIFS(L:L,AM:AM,AM2796)</f>
      </c>
      <c r="AR2796" s="116">
        <f>AQ2796-AP2796</f>
      </c>
      <c r="AS2796" s="94" t="str">
        <f>IF(AN2796&gt;=AQ2796,"ok","ck")</f>
      </c>
      <c r="AT2796" s="116">
        <f>-P2796</f>
      </c>
      <c r="AU2796" s="115">
        <f>IF(SUMIFS(AT:AT,AM:AM,AM2796)&gt;AO2796,(SUMIFS(AT:AT,AM:AM,AM2796)-AO2796))</f>
      </c>
      <c r="AV2796" s="116">
        <v>7786.29</v>
      </c>
      <c r="AW2796" s="121">
        <v>0.988</v>
      </c>
      <c r="AX2796" s="115">
        <f>AN2796-AP2796</f>
      </c>
    </row>
    <row r="2797" spans="1:50" ht="15" hidden="1" customHeight="1" x14ac:dyDescent="0.3">
      <c r="A2797" s="122" t="s">
        <v>151</v>
      </c>
      <c r="B2797" s="122"/>
      <c r="C2797" s="122"/>
      <c r="D2797" s="122"/>
      <c r="E2797" s="122"/>
      <c r="F2797" s="122"/>
      <c r="G2797" s="122"/>
      <c r="H2797" s="122"/>
      <c r="I2797" s="122" t="s">
        <v>152</v>
      </c>
      <c r="J2797" s="122" t="s">
        <v>186</v>
      </c>
      <c r="K2797" s="114">
        <f>P2797/3</f>
      </c>
      <c r="L2797" s="123">
        <v>0</v>
      </c>
      <c r="M2797" s="122"/>
      <c r="N2797" s="117">
        <f>M2797-L2797</f>
      </c>
      <c r="O2797" s="122"/>
      <c r="P2797" s="118">
        <f>N2797+O2797</f>
      </c>
      <c r="Q2797" s="122" t="s">
        <v>154</v>
      </c>
      <c r="R2797" s="122" t="s">
        <v>63</v>
      </c>
      <c r="S2797" s="122">
        <v>46328</v>
      </c>
      <c r="T2797" s="93"/>
      <c r="U2797" s="124">
        <v>46328</v>
      </c>
      <c r="V2797" s="92"/>
      <c r="W2797" s="122"/>
      <c r="X2797" s="122"/>
      <c r="Y2797" s="93">
        <v>46328</v>
      </c>
      <c r="Z2797" s="92"/>
      <c r="AA2797" s="93"/>
      <c r="AB2797" s="93"/>
      <c r="AC2797" s="93"/>
      <c r="AD2797" s="124"/>
      <c r="AE2797" s="93"/>
      <c r="AF2797" s="93"/>
      <c r="AG2797" s="122"/>
      <c r="AH2797" s="124"/>
      <c r="AI2797" s="92"/>
      <c r="AJ2797" s="92" t="s">
        <v>154</v>
      </c>
      <c r="AK2797" s="92" t="s">
        <v>187</v>
      </c>
      <c r="AL2797" s="92">
        <v>160</v>
      </c>
      <c r="AM2797" s="94" t="str">
        <f>TRIM(AJ2797)&amp;TRIM(AL2797)&amp;TRIM(AK2797)</f>
      </c>
      <c r="AN2797" s="116">
        <v>7786.29</v>
      </c>
      <c r="AO2797" s="116">
        <v>93.71</v>
      </c>
      <c r="AP2797" s="116">
        <f>SUMIFS(M:M,AM:AM,AM2797)+SUMIFS(O:O,AM:AM,AM2797)</f>
      </c>
      <c r="AQ2797" s="116">
        <f>SUMIFS(L:L,AM:AM,AM2797)</f>
      </c>
      <c r="AR2797" s="116">
        <f>AQ2797-AP2797</f>
      </c>
      <c r="AS2797" s="94" t="str">
        <f>IF(AN2797&gt;=AQ2797,"ok","ck")</f>
      </c>
      <c r="AT2797" s="116">
        <f>-P2797</f>
      </c>
      <c r="AU2797" s="115">
        <f>IF(SUMIFS(AT:AT,AM:AM,AM2797)&gt;AO2797,(SUMIFS(AT:AT,AM:AM,AM2797)-AO2797))</f>
      </c>
      <c r="AV2797" s="116">
        <v>7786.29</v>
      </c>
      <c r="AW2797" s="121">
        <v>0.988</v>
      </c>
      <c r="AX2797" s="115">
        <f>AN2797-AP2797</f>
      </c>
    </row>
    <row r="2798" spans="1:50" ht="15" hidden="1" customHeight="1" x14ac:dyDescent="0.3">
      <c r="A2798" s="122" t="s">
        <v>151</v>
      </c>
      <c r="B2798" s="122"/>
      <c r="C2798" s="122"/>
      <c r="D2798" s="122"/>
      <c r="E2798" s="122"/>
      <c r="F2798" s="122"/>
      <c r="G2798" s="122"/>
      <c r="H2798" s="122"/>
      <c r="I2798" s="122" t="s">
        <v>152</v>
      </c>
      <c r="J2798" s="122" t="s">
        <v>186</v>
      </c>
      <c r="K2798" s="114">
        <f>P2798/3</f>
      </c>
      <c r="L2798" s="123">
        <v>0</v>
      </c>
      <c r="M2798" s="122"/>
      <c r="N2798" s="117">
        <f>M2798-L2798</f>
      </c>
      <c r="O2798" s="122"/>
      <c r="P2798" s="118">
        <f>N2798+O2798</f>
      </c>
      <c r="Q2798" s="122" t="s">
        <v>154</v>
      </c>
      <c r="R2798" s="122" t="s">
        <v>63</v>
      </c>
      <c r="S2798" s="122">
        <v>46322</v>
      </c>
      <c r="T2798" s="93"/>
      <c r="U2798" s="124">
        <v>46322</v>
      </c>
      <c r="V2798" s="92"/>
      <c r="W2798" s="122"/>
      <c r="X2798" s="122"/>
      <c r="Y2798" s="93">
        <v>46322</v>
      </c>
      <c r="Z2798" s="92"/>
      <c r="AA2798" s="93"/>
      <c r="AB2798" s="93"/>
      <c r="AC2798" s="93"/>
      <c r="AD2798" s="124"/>
      <c r="AE2798" s="93"/>
      <c r="AF2798" s="93"/>
      <c r="AG2798" s="122"/>
      <c r="AH2798" s="124"/>
      <c r="AI2798" s="92"/>
      <c r="AJ2798" s="92" t="s">
        <v>154</v>
      </c>
      <c r="AK2798" s="92" t="s">
        <v>187</v>
      </c>
      <c r="AL2798" s="92">
        <v>160</v>
      </c>
      <c r="AM2798" s="94" t="str">
        <f>TRIM(AJ2798)&amp;TRIM(AL2798)&amp;TRIM(AK2798)</f>
      </c>
      <c r="AN2798" s="116">
        <v>7786.29</v>
      </c>
      <c r="AO2798" s="116">
        <v>93.71</v>
      </c>
      <c r="AP2798" s="116">
        <f>SUMIFS(M:M,AM:AM,AM2798)+SUMIFS(O:O,AM:AM,AM2798)</f>
      </c>
      <c r="AQ2798" s="116">
        <f>SUMIFS(L:L,AM:AM,AM2798)</f>
      </c>
      <c r="AR2798" s="116">
        <f>AQ2798-AP2798</f>
      </c>
      <c r="AS2798" s="94" t="str">
        <f>IF(AN2798&gt;=AQ2798,"ok","ck")</f>
      </c>
      <c r="AT2798" s="116">
        <f>-P2798</f>
      </c>
      <c r="AU2798" s="115">
        <f>IF(SUMIFS(AT:AT,AM:AM,AM2798)&gt;AO2798,(SUMIFS(AT:AT,AM:AM,AM2798)-AO2798))</f>
      </c>
      <c r="AV2798" s="116">
        <v>7786.29</v>
      </c>
      <c r="AW2798" s="121">
        <v>0.988</v>
      </c>
      <c r="AX2798" s="115">
        <f>AN2798-AP2798</f>
      </c>
    </row>
    <row r="2799" spans="1:50" ht="15" hidden="1" customHeight="1" x14ac:dyDescent="0.3">
      <c r="A2799" s="122" t="s">
        <v>151</v>
      </c>
      <c r="B2799" s="122"/>
      <c r="C2799" s="122"/>
      <c r="D2799" s="122"/>
      <c r="E2799" s="122"/>
      <c r="F2799" s="122"/>
      <c r="G2799" s="122"/>
      <c r="H2799" s="122"/>
      <c r="I2799" s="122" t="s">
        <v>152</v>
      </c>
      <c r="J2799" s="122" t="s">
        <v>186</v>
      </c>
      <c r="K2799" s="114">
        <f>P2799/3</f>
      </c>
      <c r="L2799" s="123">
        <v>0</v>
      </c>
      <c r="M2799" s="122"/>
      <c r="N2799" s="117">
        <f>M2799-L2799</f>
      </c>
      <c r="O2799" s="122"/>
      <c r="P2799" s="118">
        <f>N2799+O2799</f>
      </c>
      <c r="Q2799" s="122" t="s">
        <v>154</v>
      </c>
      <c r="R2799" s="122" t="s">
        <v>63</v>
      </c>
      <c r="S2799" s="122">
        <v>46335</v>
      </c>
      <c r="T2799" s="93"/>
      <c r="U2799" s="124">
        <v>46335</v>
      </c>
      <c r="V2799" s="92"/>
      <c r="W2799" s="122"/>
      <c r="X2799" s="122"/>
      <c r="Y2799" s="93">
        <v>46335</v>
      </c>
      <c r="Z2799" s="92"/>
      <c r="AA2799" s="93"/>
      <c r="AB2799" s="93"/>
      <c r="AC2799" s="93"/>
      <c r="AD2799" s="124"/>
      <c r="AE2799" s="93"/>
      <c r="AF2799" s="93"/>
      <c r="AG2799" s="122"/>
      <c r="AH2799" s="124"/>
      <c r="AI2799" s="92"/>
      <c r="AJ2799" s="92" t="s">
        <v>154</v>
      </c>
      <c r="AK2799" s="92" t="s">
        <v>187</v>
      </c>
      <c r="AL2799" s="92">
        <v>160</v>
      </c>
      <c r="AM2799" s="94" t="str">
        <f>TRIM(AJ2799)&amp;TRIM(AL2799)&amp;TRIM(AK2799)</f>
      </c>
      <c r="AN2799" s="116">
        <v>7786.29</v>
      </c>
      <c r="AO2799" s="116">
        <v>93.71</v>
      </c>
      <c r="AP2799" s="116">
        <f>SUMIFS(M:M,AM:AM,AM2799)+SUMIFS(O:O,AM:AM,AM2799)</f>
      </c>
      <c r="AQ2799" s="116">
        <f>SUMIFS(L:L,AM:AM,AM2799)</f>
      </c>
      <c r="AR2799" s="116">
        <f>AQ2799-AP2799</f>
      </c>
      <c r="AS2799" s="94" t="str">
        <f>IF(AN2799&gt;=AQ2799,"ok","ck")</f>
      </c>
      <c r="AT2799" s="116">
        <f>-P2799</f>
      </c>
      <c r="AU2799" s="115">
        <f>IF(SUMIFS(AT:AT,AM:AM,AM2799)&gt;AO2799,(SUMIFS(AT:AT,AM:AM,AM2799)-AO2799))</f>
      </c>
      <c r="AV2799" s="116">
        <v>7786.29</v>
      </c>
      <c r="AW2799" s="121">
        <v>0.988</v>
      </c>
      <c r="AX2799" s="115">
        <f>AN2799-AP2799</f>
      </c>
    </row>
    <row r="2800" spans="1:50" ht="15" hidden="1" customHeight="1" x14ac:dyDescent="0.3">
      <c r="A2800" s="122" t="s">
        <v>151</v>
      </c>
      <c r="B2800" s="122"/>
      <c r="C2800" s="122"/>
      <c r="D2800" s="122"/>
      <c r="E2800" s="122"/>
      <c r="F2800" s="122"/>
      <c r="G2800" s="122"/>
      <c r="H2800" s="122"/>
      <c r="I2800" s="122" t="s">
        <v>152</v>
      </c>
      <c r="J2800" s="122" t="s">
        <v>156</v>
      </c>
      <c r="K2800" s="114">
        <f>P2800/3</f>
      </c>
      <c r="L2800" s="123">
        <v>79.409000000000006</v>
      </c>
      <c r="M2800" s="122">
        <v>79.409000000000006</v>
      </c>
      <c r="N2800" s="117">
        <f>M2800-L2800</f>
      </c>
      <c r="O2800" s="122"/>
      <c r="P2800" s="118">
        <f>N2800+O2800</f>
      </c>
      <c r="Q2800" s="122" t="s">
        <v>157</v>
      </c>
      <c r="R2800" s="122" t="s">
        <v>63</v>
      </c>
      <c r="S2800" s="122">
        <v>46320</v>
      </c>
      <c r="T2800" s="93"/>
      <c r="U2800" s="124">
        <v>46320</v>
      </c>
      <c r="V2800" s="92"/>
      <c r="W2800" s="122"/>
      <c r="X2800" s="122"/>
      <c r="Y2800" s="93">
        <v>46320</v>
      </c>
      <c r="Z2800" s="92"/>
      <c r="AA2800" s="93"/>
      <c r="AB2800" s="93"/>
      <c r="AC2800" s="93"/>
      <c r="AD2800" s="124"/>
      <c r="AE2800" s="93"/>
      <c r="AF2800" s="93"/>
      <c r="AG2800" s="122"/>
      <c r="AH2800" s="124"/>
      <c r="AI2800" s="92"/>
      <c r="AJ2800" s="92" t="s">
        <v>157</v>
      </c>
      <c r="AK2800" s="92" t="s">
        <v>158</v>
      </c>
      <c r="AL2800" s="92">
        <v>160</v>
      </c>
      <c r="AM2800" s="94" t="str">
        <f>TRIM(AJ2800)&amp;TRIM(AL2800)&amp;TRIM(AK2800)</f>
      </c>
      <c r="AN2800" s="116">
        <v>4590.56</v>
      </c>
      <c r="AO2800" s="116">
        <v>89.44</v>
      </c>
      <c r="AP2800" s="116">
        <f>SUMIFS(M:M,AM:AM,AM2800)+SUMIFS(O:O,AM:AM,AM2800)</f>
      </c>
      <c r="AQ2800" s="116">
        <f>SUMIFS(L:L,AM:AM,AM2800)</f>
      </c>
      <c r="AR2800" s="116">
        <f>AQ2800-AP2800</f>
      </c>
      <c r="AS2800" s="94" t="str">
        <f>IF(AN2800&gt;=AQ2800,"ok","ck")</f>
      </c>
      <c r="AT2800" s="116">
        <f>-P2800</f>
      </c>
      <c r="AU2800" s="115">
        <f>IF(SUMIFS(AT:AT,AM:AM,AM2800)&gt;AO2800,(SUMIFS(AT:AT,AM:AM,AM2800)-AO2800))</f>
      </c>
      <c r="AV2800" s="116">
        <v>4590.56</v>
      </c>
      <c r="AW2800" s="121">
        <v>0.981</v>
      </c>
      <c r="AX2800" s="115">
        <f>AN2800-AP2800</f>
      </c>
    </row>
    <row r="2801" spans="1:50" ht="15" hidden="1" customHeight="1" x14ac:dyDescent="0.3">
      <c r="A2801" s="122" t="s">
        <v>151</v>
      </c>
      <c r="B2801" s="122"/>
      <c r="C2801" s="122"/>
      <c r="D2801" s="122"/>
      <c r="E2801" s="122"/>
      <c r="F2801" s="122"/>
      <c r="G2801" s="122"/>
      <c r="H2801" s="122"/>
      <c r="I2801" s="122" t="s">
        <v>152</v>
      </c>
      <c r="J2801" s="122" t="s">
        <v>156</v>
      </c>
      <c r="K2801" s="114">
        <f>P2801/3</f>
      </c>
      <c r="L2801" s="123">
        <v>792.48</v>
      </c>
      <c r="M2801" s="122">
        <v>703.04</v>
      </c>
      <c r="N2801" s="117">
        <f>M2801-L2801</f>
      </c>
      <c r="O2801" s="122"/>
      <c r="P2801" s="118">
        <f>N2801+O2801</f>
      </c>
      <c r="Q2801" s="122" t="s">
        <v>157</v>
      </c>
      <c r="R2801" s="122" t="s">
        <v>63</v>
      </c>
      <c r="S2801" s="122">
        <v>46338</v>
      </c>
      <c r="T2801" s="93"/>
      <c r="U2801" s="124">
        <v>46338</v>
      </c>
      <c r="V2801" s="92"/>
      <c r="W2801" s="122"/>
      <c r="X2801" s="122"/>
      <c r="Y2801" s="93">
        <v>46338</v>
      </c>
      <c r="Z2801" s="92"/>
      <c r="AA2801" s="93"/>
      <c r="AB2801" s="93"/>
      <c r="AC2801" s="93"/>
      <c r="AD2801" s="124"/>
      <c r="AE2801" s="93"/>
      <c r="AF2801" s="93"/>
      <c r="AG2801" s="122"/>
      <c r="AH2801" s="124"/>
      <c r="AI2801" s="92"/>
      <c r="AJ2801" s="92" t="s">
        <v>157</v>
      </c>
      <c r="AK2801" s="92" t="s">
        <v>158</v>
      </c>
      <c r="AL2801" s="92">
        <v>160</v>
      </c>
      <c r="AM2801" s="94" t="str">
        <f>TRIM(AJ2801)&amp;TRIM(AL2801)&amp;TRIM(AK2801)</f>
      </c>
      <c r="AN2801" s="116">
        <v>4590.56</v>
      </c>
      <c r="AO2801" s="116">
        <v>89.44</v>
      </c>
      <c r="AP2801" s="116">
        <f>SUMIFS(M:M,AM:AM,AM2801)+SUMIFS(O:O,AM:AM,AM2801)</f>
      </c>
      <c r="AQ2801" s="116">
        <f>SUMIFS(L:L,AM:AM,AM2801)</f>
      </c>
      <c r="AR2801" s="116">
        <f>AQ2801-AP2801</f>
      </c>
      <c r="AS2801" s="94" t="str">
        <f>IF(AN2801&gt;=AQ2801,"ok","ck")</f>
      </c>
      <c r="AT2801" s="116">
        <f>-P2801</f>
      </c>
      <c r="AU2801" s="115">
        <f>IF(SUMIFS(AT:AT,AM:AM,AM2801)&gt;AO2801,(SUMIFS(AT:AT,AM:AM,AM2801)-AO2801))</f>
      </c>
      <c r="AV2801" s="116">
        <v>4590.56</v>
      </c>
      <c r="AW2801" s="121">
        <v>0.981</v>
      </c>
      <c r="AX2801" s="115">
        <f>AN2801-AP2801</f>
      </c>
    </row>
    <row r="2802" spans="1:50" ht="15" hidden="1" customHeight="1" x14ac:dyDescent="0.3">
      <c r="A2802" s="122" t="s">
        <v>151</v>
      </c>
      <c r="B2802" s="122"/>
      <c r="C2802" s="122"/>
      <c r="D2802" s="122"/>
      <c r="E2802" s="122"/>
      <c r="F2802" s="122"/>
      <c r="G2802" s="122"/>
      <c r="H2802" s="122"/>
      <c r="I2802" s="122" t="s">
        <v>152</v>
      </c>
      <c r="J2802" s="122" t="s">
        <v>159</v>
      </c>
      <c r="K2802" s="114">
        <f>P2802/3</f>
      </c>
      <c r="L2802" s="123">
        <v>-1.234</v>
      </c>
      <c r="M2802" s="122">
        <f>L2802</f>
      </c>
      <c r="N2802" s="117">
        <f>M2802-L2802</f>
      </c>
      <c r="O2802" s="122"/>
      <c r="P2802" s="118">
        <f>N2802+O2802</f>
      </c>
      <c r="Q2802" s="122" t="s">
        <v>160</v>
      </c>
      <c r="R2802" s="122" t="s">
        <v>63</v>
      </c>
      <c r="S2802" s="122">
        <v>46320</v>
      </c>
      <c r="T2802" s="93"/>
      <c r="U2802" s="124">
        <v>46320</v>
      </c>
      <c r="V2802" s="92"/>
      <c r="W2802" s="122"/>
      <c r="X2802" s="122"/>
      <c r="Y2802" s="93">
        <v>46320</v>
      </c>
      <c r="Z2802" s="92"/>
      <c r="AA2802" s="93"/>
      <c r="AB2802" s="93"/>
      <c r="AC2802" s="93"/>
      <c r="AD2802" s="124"/>
      <c r="AE2802" s="93"/>
      <c r="AF2802" s="93"/>
      <c r="AG2802" s="122"/>
      <c r="AH2802" s="124"/>
      <c r="AI2802" s="92"/>
      <c r="AJ2802" s="92" t="s">
        <v>160</v>
      </c>
      <c r="AK2802" s="92" t="s">
        <v>159</v>
      </c>
      <c r="AL2802" s="92">
        <v>160</v>
      </c>
      <c r="AM2802" s="94" t="str">
        <f>TRIM(AJ2802)&amp;TRIM(AL2802)&amp;TRIM(AK2802)</f>
      </c>
      <c r="AN2802" s="116">
        <v>1264.17</v>
      </c>
      <c r="AO2802" s="116">
        <v>-24.17</v>
      </c>
      <c r="AP2802" s="116">
        <f>SUMIFS(M:M,AM:AM,AM2802)+SUMIFS(O:O,AM:AM,AM2802)</f>
      </c>
      <c r="AQ2802" s="116">
        <f>SUMIFS(L:L,AM:AM,AM2802)</f>
      </c>
      <c r="AR2802" s="116">
        <f>AQ2802-AP2802</f>
      </c>
      <c r="AS2802" s="94" t="str">
        <f>IF(AN2802&gt;=AQ2802,"ok","ck")</f>
      </c>
      <c r="AT2802" s="116">
        <f>-P2802</f>
      </c>
      <c r="AU2802" s="115">
        <f>IF(SUMIFS(AT:AT,AM:AM,AM2802)&gt;AO2802,(SUMIFS(AT:AT,AM:AM,AM2802)-AO2802))</f>
      </c>
      <c r="AV2802" s="116">
        <v>1264.17</v>
      </c>
      <c r="AW2802" s="121">
        <v>1.019</v>
      </c>
      <c r="AX2802" s="115">
        <f>AN2802-AP2802</f>
      </c>
    </row>
    <row r="2803" spans="1:50" ht="15" hidden="1" customHeight="1" x14ac:dyDescent="0.3">
      <c r="A2803" s="122" t="s">
        <v>151</v>
      </c>
      <c r="B2803" s="122"/>
      <c r="C2803" s="122"/>
      <c r="D2803" s="122"/>
      <c r="E2803" s="122"/>
      <c r="F2803" s="122"/>
      <c r="G2803" s="122"/>
      <c r="H2803" s="122"/>
      <c r="I2803" s="122" t="s">
        <v>152</v>
      </c>
      <c r="J2803" s="122" t="s">
        <v>159</v>
      </c>
      <c r="K2803" s="114">
        <f>P2803/3</f>
      </c>
      <c r="L2803" s="123">
        <v>-1.927</v>
      </c>
      <c r="M2803" s="122">
        <f>L2803</f>
      </c>
      <c r="N2803" s="117">
        <f>M2803-L2803</f>
      </c>
      <c r="O2803" s="122"/>
      <c r="P2803" s="118">
        <f>N2803+O2803</f>
      </c>
      <c r="Q2803" s="122" t="s">
        <v>160</v>
      </c>
      <c r="R2803" s="122" t="s">
        <v>63</v>
      </c>
      <c r="S2803" s="122">
        <v>46320</v>
      </c>
      <c r="T2803" s="93"/>
      <c r="U2803" s="124">
        <v>46320</v>
      </c>
      <c r="V2803" s="92"/>
      <c r="W2803" s="122"/>
      <c r="X2803" s="122"/>
      <c r="Y2803" s="93">
        <v>46320</v>
      </c>
      <c r="Z2803" s="92"/>
      <c r="AA2803" s="93"/>
      <c r="AB2803" s="93"/>
      <c r="AC2803" s="93"/>
      <c r="AD2803" s="124"/>
      <c r="AE2803" s="93"/>
      <c r="AF2803" s="93"/>
      <c r="AG2803" s="122"/>
      <c r="AH2803" s="124"/>
      <c r="AI2803" s="92"/>
      <c r="AJ2803" s="92" t="s">
        <v>160</v>
      </c>
      <c r="AK2803" s="92" t="s">
        <v>159</v>
      </c>
      <c r="AL2803" s="92">
        <v>160</v>
      </c>
      <c r="AM2803" s="94" t="str">
        <f>TRIM(AJ2803)&amp;TRIM(AL2803)&amp;TRIM(AK2803)</f>
      </c>
      <c r="AN2803" s="116">
        <v>1264.17</v>
      </c>
      <c r="AO2803" s="116">
        <v>-24.17</v>
      </c>
      <c r="AP2803" s="116">
        <f>SUMIFS(M:M,AM:AM,AM2803)+SUMIFS(O:O,AM:AM,AM2803)</f>
      </c>
      <c r="AQ2803" s="116">
        <f>SUMIFS(L:L,AM:AM,AM2803)</f>
      </c>
      <c r="AR2803" s="116">
        <f>AQ2803-AP2803</f>
      </c>
      <c r="AS2803" s="94" t="str">
        <f>IF(AN2803&gt;=AQ2803,"ok","ck")</f>
      </c>
      <c r="AT2803" s="116">
        <f>-P2803</f>
      </c>
      <c r="AU2803" s="115">
        <f>IF(SUMIFS(AT:AT,AM:AM,AM2803)&gt;AO2803,(SUMIFS(AT:AT,AM:AM,AM2803)-AO2803))</f>
      </c>
      <c r="AV2803" s="116">
        <v>1264.17</v>
      </c>
      <c r="AW2803" s="121">
        <v>1.019</v>
      </c>
      <c r="AX2803" s="115">
        <f>AN2803-AP2803</f>
      </c>
    </row>
    <row r="2804" spans="1:50" ht="15" hidden="1" customHeight="1" x14ac:dyDescent="0.3">
      <c r="A2804" s="122" t="s">
        <v>151</v>
      </c>
      <c r="B2804" s="122"/>
      <c r="C2804" s="122"/>
      <c r="D2804" s="122"/>
      <c r="E2804" s="122"/>
      <c r="F2804" s="122"/>
      <c r="G2804" s="122"/>
      <c r="H2804" s="122"/>
      <c r="I2804" s="122" t="s">
        <v>152</v>
      </c>
      <c r="J2804" s="122" t="s">
        <v>159</v>
      </c>
      <c r="K2804" s="114">
        <f>P2804/3</f>
      </c>
      <c r="L2804" s="123">
        <v>-1.1000000000000001</v>
      </c>
      <c r="M2804" s="122">
        <f>L2804</f>
      </c>
      <c r="N2804" s="117">
        <f>M2804-L2804</f>
      </c>
      <c r="O2804" s="122"/>
      <c r="P2804" s="118">
        <f>N2804+O2804</f>
      </c>
      <c r="Q2804" s="122" t="s">
        <v>160</v>
      </c>
      <c r="R2804" s="122" t="s">
        <v>63</v>
      </c>
      <c r="S2804" s="122">
        <v>46334</v>
      </c>
      <c r="T2804" s="93"/>
      <c r="U2804" s="124">
        <v>46334</v>
      </c>
      <c r="V2804" s="92"/>
      <c r="W2804" s="122"/>
      <c r="X2804" s="122"/>
      <c r="Y2804" s="93">
        <v>46334</v>
      </c>
      <c r="Z2804" s="92"/>
      <c r="AA2804" s="93"/>
      <c r="AB2804" s="93"/>
      <c r="AC2804" s="93"/>
      <c r="AD2804" s="124"/>
      <c r="AE2804" s="93"/>
      <c r="AF2804" s="93"/>
      <c r="AG2804" s="122"/>
      <c r="AH2804" s="124"/>
      <c r="AI2804" s="92"/>
      <c r="AJ2804" s="92" t="s">
        <v>160</v>
      </c>
      <c r="AK2804" s="92" t="s">
        <v>159</v>
      </c>
      <c r="AL2804" s="92">
        <v>160</v>
      </c>
      <c r="AM2804" s="94" t="str">
        <f>TRIM(AJ2804)&amp;TRIM(AL2804)&amp;TRIM(AK2804)</f>
      </c>
      <c r="AN2804" s="116">
        <v>1264.17</v>
      </c>
      <c r="AO2804" s="116">
        <v>-24.17</v>
      </c>
      <c r="AP2804" s="116">
        <f>SUMIFS(M:M,AM:AM,AM2804)+SUMIFS(O:O,AM:AM,AM2804)</f>
      </c>
      <c r="AQ2804" s="116">
        <f>SUMIFS(L:L,AM:AM,AM2804)</f>
      </c>
      <c r="AR2804" s="116">
        <f>AQ2804-AP2804</f>
      </c>
      <c r="AS2804" s="94" t="str">
        <f>IF(AN2804&gt;=AQ2804,"ok","ck")</f>
      </c>
      <c r="AT2804" s="116">
        <f>-P2804</f>
      </c>
      <c r="AU2804" s="115">
        <f>IF(SUMIFS(AT:AT,AM:AM,AM2804)&gt;AO2804,(SUMIFS(AT:AT,AM:AM,AM2804)-AO2804))</f>
      </c>
      <c r="AV2804" s="116">
        <v>1264.17</v>
      </c>
      <c r="AW2804" s="121">
        <v>1.019</v>
      </c>
      <c r="AX2804" s="115">
        <f>AN2804-AP2804</f>
      </c>
    </row>
    <row r="2805" spans="1:50" ht="15" hidden="1" customHeight="1" x14ac:dyDescent="0.3">
      <c r="A2805" s="122" t="s">
        <v>151</v>
      </c>
      <c r="B2805" s="122"/>
      <c r="C2805" s="122"/>
      <c r="D2805" s="122"/>
      <c r="E2805" s="122"/>
      <c r="F2805" s="122"/>
      <c r="G2805" s="122"/>
      <c r="H2805" s="122"/>
      <c r="I2805" s="122" t="s">
        <v>152</v>
      </c>
      <c r="J2805" s="122" t="s">
        <v>186</v>
      </c>
      <c r="K2805" s="114">
        <f>P2805/3</f>
      </c>
      <c r="L2805" s="123">
        <v>0</v>
      </c>
      <c r="M2805" s="122"/>
      <c r="N2805" s="117">
        <f>M2805-L2805</f>
      </c>
      <c r="O2805" s="122"/>
      <c r="P2805" s="118">
        <f>N2805+O2805</f>
      </c>
      <c r="Q2805" s="122" t="s">
        <v>154</v>
      </c>
      <c r="R2805" s="122" t="s">
        <v>63</v>
      </c>
      <c r="S2805" s="122">
        <v>46320</v>
      </c>
      <c r="T2805" s="93"/>
      <c r="U2805" s="124">
        <v>46320</v>
      </c>
      <c r="V2805" s="92"/>
      <c r="W2805" s="122"/>
      <c r="X2805" s="122"/>
      <c r="Y2805" s="93">
        <v>46320</v>
      </c>
      <c r="Z2805" s="92"/>
      <c r="AA2805" s="93"/>
      <c r="AB2805" s="93"/>
      <c r="AC2805" s="93"/>
      <c r="AD2805" s="124"/>
      <c r="AE2805" s="93"/>
      <c r="AF2805" s="93"/>
      <c r="AG2805" s="122"/>
      <c r="AH2805" s="124"/>
      <c r="AI2805" s="92"/>
      <c r="AJ2805" s="92" t="s">
        <v>154</v>
      </c>
      <c r="AK2805" s="92" t="s">
        <v>187</v>
      </c>
      <c r="AL2805" s="92">
        <v>160</v>
      </c>
      <c r="AM2805" s="94" t="str">
        <f>TRIM(AJ2805)&amp;TRIM(AL2805)&amp;TRIM(AK2805)</f>
      </c>
      <c r="AN2805" s="116">
        <v>7786.29</v>
      </c>
      <c r="AO2805" s="116">
        <v>93.71</v>
      </c>
      <c r="AP2805" s="116">
        <f>SUMIFS(M:M,AM:AM,AM2805)+SUMIFS(O:O,AM:AM,AM2805)</f>
      </c>
      <c r="AQ2805" s="116">
        <f>SUMIFS(L:L,AM:AM,AM2805)</f>
      </c>
      <c r="AR2805" s="116">
        <f>AQ2805-AP2805</f>
      </c>
      <c r="AS2805" s="94" t="str">
        <f>IF(AN2805&gt;=AQ2805,"ok","ck")</f>
      </c>
      <c r="AT2805" s="116">
        <f>-P2805</f>
      </c>
      <c r="AU2805" s="115">
        <f>IF(SUMIFS(AT:AT,AM:AM,AM2805)&gt;AO2805,(SUMIFS(AT:AT,AM:AM,AM2805)-AO2805))</f>
      </c>
      <c r="AV2805" s="116">
        <v>7786.29</v>
      </c>
      <c r="AW2805" s="121">
        <v>0.988</v>
      </c>
      <c r="AX2805" s="115">
        <f>AN2805-AP2805</f>
      </c>
    </row>
    <row r="2806" spans="1:50" ht="15" hidden="1" customHeight="1" x14ac:dyDescent="0.3">
      <c r="A2806" s="122" t="s">
        <v>151</v>
      </c>
      <c r="B2806" s="122"/>
      <c r="C2806" s="122"/>
      <c r="D2806" s="122"/>
      <c r="E2806" s="122"/>
      <c r="F2806" s="122"/>
      <c r="G2806" s="122"/>
      <c r="H2806" s="122"/>
      <c r="I2806" s="122" t="s">
        <v>209</v>
      </c>
      <c r="J2806" s="122" t="s">
        <v>627</v>
      </c>
      <c r="K2806" s="114">
        <f>P2806/3</f>
      </c>
      <c r="L2806" s="123">
        <v>549.33399999999995</v>
      </c>
      <c r="M2806" s="122"/>
      <c r="N2806" s="117">
        <f>M2806-L2806</f>
      </c>
      <c r="O2806" s="122"/>
      <c r="P2806" s="118">
        <f>N2806+O2806</f>
      </c>
      <c r="Q2806" s="122" t="s">
        <v>839</v>
      </c>
      <c r="R2806" s="122" t="s">
        <v>63</v>
      </c>
      <c r="S2806" s="122">
        <v>46345</v>
      </c>
      <c r="T2806" s="93"/>
      <c r="U2806" s="124">
        <v>46345</v>
      </c>
      <c r="V2806" s="92"/>
      <c r="W2806" s="122"/>
      <c r="X2806" s="122"/>
      <c r="Y2806" s="93">
        <v>46323</v>
      </c>
      <c r="Z2806" s="92"/>
      <c r="AA2806" s="93"/>
      <c r="AB2806" s="93"/>
      <c r="AC2806" s="93"/>
      <c r="AD2806" s="124"/>
      <c r="AE2806" s="93"/>
      <c r="AF2806" s="93"/>
      <c r="AG2806" s="122"/>
      <c r="AH2806" s="124"/>
      <c r="AI2806" s="92"/>
      <c r="AJ2806" s="92" t="s">
        <v>839</v>
      </c>
      <c r="AK2806" s="92" t="s">
        <v>770</v>
      </c>
      <c r="AL2806" s="92">
        <v>160</v>
      </c>
      <c r="AM2806" s="94" t="str">
        <f>TRIM(AJ2806)&amp;TRIM(AL2806)&amp;TRIM(AK2806)</f>
      </c>
      <c r="AN2806" s="116">
        <v>0</v>
      </c>
      <c r="AO2806" s="116" t="inlineStr">
        <is>
          <t>#NA</t>
        </is>
      </c>
      <c r="AP2806" s="116">
        <f>SUMIFS(M:M,AM:AM,AM2806)+SUMIFS(O:O,AM:AM,AM2806)</f>
      </c>
      <c r="AQ2806" s="116">
        <f>SUMIFS(L:L,AM:AM,AM2806)</f>
      </c>
      <c r="AR2806" s="116">
        <f>AQ2806-AP2806</f>
      </c>
      <c r="AS2806" s="94" t="str">
        <f>IF(AN2806&gt;=AQ2806,"ok","ck")</f>
      </c>
      <c r="AT2806" s="116">
        <f>-P2806</f>
      </c>
      <c r="AU2806" s="115">
        <f>IF(SUMIFS(AT:AT,AM:AM,AM2806)&gt;AO2806,(SUMIFS(AT:AT,AM:AM,AM2806)-AO2806))</f>
      </c>
      <c r="AV2806" s="116">
        <v>0</v>
      </c>
      <c r="AW2806" s="121">
        <v>0</v>
      </c>
      <c r="AX2806" s="115">
        <f>AN2806-AP2806</f>
      </c>
    </row>
    <row r="2807" spans="1:50" ht="15" hidden="1" customHeight="1" x14ac:dyDescent="0.3">
      <c r="A2807" s="122" t="s">
        <v>151</v>
      </c>
      <c r="B2807" s="122"/>
      <c r="C2807" s="122"/>
      <c r="D2807" s="122"/>
      <c r="E2807" s="122"/>
      <c r="F2807" s="122"/>
      <c r="G2807" s="122"/>
      <c r="H2807" s="122"/>
      <c r="I2807" s="122" t="s">
        <v>209</v>
      </c>
      <c r="J2807" s="122" t="s">
        <v>627</v>
      </c>
      <c r="K2807" s="114">
        <f>P2807/3</f>
      </c>
      <c r="L2807" s="123">
        <v>452.61799999999999</v>
      </c>
      <c r="M2807" s="122"/>
      <c r="N2807" s="117">
        <f>M2807-L2807</f>
      </c>
      <c r="O2807" s="122"/>
      <c r="P2807" s="118">
        <f>N2807+O2807</f>
      </c>
      <c r="Q2807" s="122" t="s">
        <v>839</v>
      </c>
      <c r="R2807" s="122" t="s">
        <v>63</v>
      </c>
      <c r="S2807" s="122">
        <v>46345</v>
      </c>
      <c r="T2807" s="93"/>
      <c r="U2807" s="124">
        <v>46345</v>
      </c>
      <c r="V2807" s="92"/>
      <c r="W2807" s="122"/>
      <c r="X2807" s="122"/>
      <c r="Y2807" s="93">
        <v>46323</v>
      </c>
      <c r="Z2807" s="92"/>
      <c r="AA2807" s="93"/>
      <c r="AB2807" s="93"/>
      <c r="AC2807" s="93"/>
      <c r="AD2807" s="124"/>
      <c r="AE2807" s="93"/>
      <c r="AF2807" s="93"/>
      <c r="AG2807" s="122"/>
      <c r="AH2807" s="124"/>
      <c r="AI2807" s="92"/>
      <c r="AJ2807" s="92" t="s">
        <v>839</v>
      </c>
      <c r="AK2807" s="92" t="s">
        <v>770</v>
      </c>
      <c r="AL2807" s="92">
        <v>160</v>
      </c>
      <c r="AM2807" s="94" t="str">
        <f>TRIM(AJ2807)&amp;TRIM(AL2807)&amp;TRIM(AK2807)</f>
      </c>
      <c r="AN2807" s="116">
        <v>0</v>
      </c>
      <c r="AO2807" s="116" t="inlineStr">
        <is>
          <t>#NA</t>
        </is>
      </c>
      <c r="AP2807" s="116">
        <f>SUMIFS(M:M,AM:AM,AM2807)+SUMIFS(O:O,AM:AM,AM2807)</f>
      </c>
      <c r="AQ2807" s="116">
        <f>SUMIFS(L:L,AM:AM,AM2807)</f>
      </c>
      <c r="AR2807" s="116">
        <f>AQ2807-AP2807</f>
      </c>
      <c r="AS2807" s="94" t="str">
        <f>IF(AN2807&gt;=AQ2807,"ok","ck")</f>
      </c>
      <c r="AT2807" s="116">
        <f>-P2807</f>
      </c>
      <c r="AU2807" s="115">
        <f>IF(SUMIFS(AT:AT,AM:AM,AM2807)&gt;AO2807,(SUMIFS(AT:AT,AM:AM,AM2807)-AO2807))</f>
      </c>
      <c r="AV2807" s="116">
        <v>0</v>
      </c>
      <c r="AW2807" s="121">
        <v>0</v>
      </c>
      <c r="AX2807" s="115">
        <f>AN2807-AP2807</f>
      </c>
    </row>
    <row r="2808" spans="1:50" ht="15" hidden="1" customHeight="1" x14ac:dyDescent="0.3">
      <c r="A2808" s="122" t="s">
        <v>151</v>
      </c>
      <c r="B2808" s="122"/>
      <c r="C2808" s="122"/>
      <c r="D2808" s="122"/>
      <c r="E2808" s="122"/>
      <c r="F2808" s="122"/>
      <c r="G2808" s="122"/>
      <c r="H2808" s="122"/>
      <c r="I2808" s="122" t="s">
        <v>209</v>
      </c>
      <c r="J2808" s="122" t="s">
        <v>627</v>
      </c>
      <c r="K2808" s="114">
        <f>P2808/3</f>
      </c>
      <c r="L2808" s="123">
        <v>388.21100000000001</v>
      </c>
      <c r="M2808" s="122"/>
      <c r="N2808" s="117">
        <f>M2808-L2808</f>
      </c>
      <c r="O2808" s="122"/>
      <c r="P2808" s="118">
        <f>N2808+O2808</f>
      </c>
      <c r="Q2808" s="122" t="s">
        <v>839</v>
      </c>
      <c r="R2808" s="122" t="s">
        <v>63</v>
      </c>
      <c r="S2808" s="122">
        <v>46345</v>
      </c>
      <c r="T2808" s="93"/>
      <c r="U2808" s="124">
        <v>46345</v>
      </c>
      <c r="V2808" s="92"/>
      <c r="W2808" s="122"/>
      <c r="X2808" s="122"/>
      <c r="Y2808" s="93">
        <v>46326</v>
      </c>
      <c r="Z2808" s="92"/>
      <c r="AA2808" s="93"/>
      <c r="AB2808" s="93"/>
      <c r="AC2808" s="93"/>
      <c r="AD2808" s="124"/>
      <c r="AE2808" s="93"/>
      <c r="AF2808" s="93"/>
      <c r="AG2808" s="122"/>
      <c r="AH2808" s="124"/>
      <c r="AI2808" s="92"/>
      <c r="AJ2808" s="92" t="s">
        <v>839</v>
      </c>
      <c r="AK2808" s="92" t="s">
        <v>770</v>
      </c>
      <c r="AL2808" s="92">
        <v>160</v>
      </c>
      <c r="AM2808" s="94" t="str">
        <f>TRIM(AJ2808)&amp;TRIM(AL2808)&amp;TRIM(AK2808)</f>
      </c>
      <c r="AN2808" s="116">
        <v>0</v>
      </c>
      <c r="AO2808" s="116" t="inlineStr">
        <is>
          <t>#NA</t>
        </is>
      </c>
      <c r="AP2808" s="116">
        <f>SUMIFS(M:M,AM:AM,AM2808)+SUMIFS(O:O,AM:AM,AM2808)</f>
      </c>
      <c r="AQ2808" s="116">
        <f>SUMIFS(L:L,AM:AM,AM2808)</f>
      </c>
      <c r="AR2808" s="116">
        <f>AQ2808-AP2808</f>
      </c>
      <c r="AS2808" s="94" t="str">
        <f>IF(AN2808&gt;=AQ2808,"ok","ck")</f>
      </c>
      <c r="AT2808" s="116">
        <f>-P2808</f>
      </c>
      <c r="AU2808" s="115">
        <f>IF(SUMIFS(AT:AT,AM:AM,AM2808)&gt;AO2808,(SUMIFS(AT:AT,AM:AM,AM2808)-AO2808))</f>
      </c>
      <c r="AV2808" s="116">
        <v>0</v>
      </c>
      <c r="AW2808" s="121">
        <v>0</v>
      </c>
      <c r="AX2808" s="115">
        <f>AN2808-AP2808</f>
      </c>
    </row>
    <row r="2809" spans="1:50" ht="15" hidden="1" customHeight="1" x14ac:dyDescent="0.3">
      <c r="A2809" s="122" t="s">
        <v>151</v>
      </c>
      <c r="B2809" s="122"/>
      <c r="C2809" s="122"/>
      <c r="D2809" s="122"/>
      <c r="E2809" s="122"/>
      <c r="F2809" s="122"/>
      <c r="G2809" s="122"/>
      <c r="H2809" s="122"/>
      <c r="I2809" s="122" t="s">
        <v>209</v>
      </c>
      <c r="J2809" s="122" t="s">
        <v>627</v>
      </c>
      <c r="K2809" s="114">
        <f>P2809/3</f>
      </c>
      <c r="L2809" s="123">
        <v>196.83699999999999</v>
      </c>
      <c r="M2809" s="122"/>
      <c r="N2809" s="117">
        <f>M2809-L2809</f>
      </c>
      <c r="O2809" s="122"/>
      <c r="P2809" s="118">
        <f>N2809+O2809</f>
      </c>
      <c r="Q2809" s="122" t="s">
        <v>839</v>
      </c>
      <c r="R2809" s="122" t="s">
        <v>63</v>
      </c>
      <c r="S2809" s="122">
        <v>46345</v>
      </c>
      <c r="T2809" s="93"/>
      <c r="U2809" s="124">
        <v>46345</v>
      </c>
      <c r="V2809" s="92"/>
      <c r="W2809" s="122"/>
      <c r="X2809" s="122"/>
      <c r="Y2809" s="93">
        <v>46333</v>
      </c>
      <c r="Z2809" s="92"/>
      <c r="AA2809" s="93"/>
      <c r="AB2809" s="93"/>
      <c r="AC2809" s="93"/>
      <c r="AD2809" s="124"/>
      <c r="AE2809" s="93"/>
      <c r="AF2809" s="93"/>
      <c r="AG2809" s="122"/>
      <c r="AH2809" s="124"/>
      <c r="AI2809" s="92"/>
      <c r="AJ2809" s="92" t="s">
        <v>839</v>
      </c>
      <c r="AK2809" s="92" t="s">
        <v>770</v>
      </c>
      <c r="AL2809" s="92">
        <v>160</v>
      </c>
      <c r="AM2809" s="94" t="str">
        <f>TRIM(AJ2809)&amp;TRIM(AL2809)&amp;TRIM(AK2809)</f>
      </c>
      <c r="AN2809" s="116">
        <v>0</v>
      </c>
      <c r="AO2809" s="116" t="inlineStr">
        <is>
          <t>#NA</t>
        </is>
      </c>
      <c r="AP2809" s="116">
        <f>SUMIFS(M:M,AM:AM,AM2809)+SUMIFS(O:O,AM:AM,AM2809)</f>
      </c>
      <c r="AQ2809" s="116">
        <f>SUMIFS(L:L,AM:AM,AM2809)</f>
      </c>
      <c r="AR2809" s="116">
        <f>AQ2809-AP2809</f>
      </c>
      <c r="AS2809" s="94" t="str">
        <f>IF(AN2809&gt;=AQ2809,"ok","ck")</f>
      </c>
      <c r="AT2809" s="116">
        <f>-P2809</f>
      </c>
      <c r="AU2809" s="115">
        <f>IF(SUMIFS(AT:AT,AM:AM,AM2809)&gt;AO2809,(SUMIFS(AT:AT,AM:AM,AM2809)-AO2809))</f>
      </c>
      <c r="AV2809" s="116">
        <v>0</v>
      </c>
      <c r="AW2809" s="121">
        <v>0</v>
      </c>
      <c r="AX2809" s="115">
        <f>AN2809-AP2809</f>
      </c>
    </row>
    <row r="2810" spans="1:50" ht="15" hidden="1" customHeight="1" x14ac:dyDescent="0.3">
      <c r="A2810" s="122" t="s">
        <v>151</v>
      </c>
      <c r="B2810" s="122"/>
      <c r="C2810" s="122"/>
      <c r="D2810" s="122"/>
      <c r="E2810" s="122"/>
      <c r="F2810" s="122"/>
      <c r="G2810" s="122"/>
      <c r="H2810" s="122"/>
      <c r="I2810" s="122" t="s">
        <v>209</v>
      </c>
      <c r="J2810" s="122" t="s">
        <v>628</v>
      </c>
      <c r="K2810" s="114">
        <f>P2810/3</f>
      </c>
      <c r="L2810" s="123">
        <v>925</v>
      </c>
      <c r="M2810" s="122"/>
      <c r="N2810" s="117">
        <f>M2810-L2810</f>
      </c>
      <c r="O2810" s="122"/>
      <c r="P2810" s="118">
        <f>N2810+O2810</f>
      </c>
      <c r="Q2810" s="122" t="s">
        <v>839</v>
      </c>
      <c r="R2810" s="122" t="s">
        <v>63</v>
      </c>
      <c r="S2810" s="122">
        <v>46345</v>
      </c>
      <c r="T2810" s="93"/>
      <c r="U2810" s="124">
        <v>46345</v>
      </c>
      <c r="V2810" s="92"/>
      <c r="W2810" s="122"/>
      <c r="X2810" s="122"/>
      <c r="Y2810" s="93">
        <v>46321</v>
      </c>
      <c r="Z2810" s="92"/>
      <c r="AA2810" s="93"/>
      <c r="AB2810" s="93"/>
      <c r="AC2810" s="93"/>
      <c r="AD2810" s="124"/>
      <c r="AE2810" s="93"/>
      <c r="AF2810" s="93"/>
      <c r="AG2810" s="122"/>
      <c r="AH2810" s="124"/>
      <c r="AI2810" s="92"/>
      <c r="AJ2810" s="92" t="s">
        <v>839</v>
      </c>
      <c r="AK2810" s="92" t="s">
        <v>770</v>
      </c>
      <c r="AL2810" s="92">
        <v>160</v>
      </c>
      <c r="AM2810" s="94" t="str">
        <f>TRIM(AJ2810)&amp;TRIM(AL2810)&amp;TRIM(AK2810)</f>
      </c>
      <c r="AN2810" s="116">
        <v>0</v>
      </c>
      <c r="AO2810" s="116" t="inlineStr">
        <is>
          <t>#NA</t>
        </is>
      </c>
      <c r="AP2810" s="116">
        <f>SUMIFS(M:M,AM:AM,AM2810)+SUMIFS(O:O,AM:AM,AM2810)</f>
      </c>
      <c r="AQ2810" s="116">
        <f>SUMIFS(L:L,AM:AM,AM2810)</f>
      </c>
      <c r="AR2810" s="116">
        <f>AQ2810-AP2810</f>
      </c>
      <c r="AS2810" s="94" t="str">
        <f>IF(AN2810&gt;=AQ2810,"ok","ck")</f>
      </c>
      <c r="AT2810" s="116">
        <f>-P2810</f>
      </c>
      <c r="AU2810" s="115">
        <f>IF(SUMIFS(AT:AT,AM:AM,AM2810)&gt;AO2810,(SUMIFS(AT:AT,AM:AM,AM2810)-AO2810))</f>
      </c>
      <c r="AV2810" s="116">
        <v>0</v>
      </c>
      <c r="AW2810" s="121">
        <v>0</v>
      </c>
      <c r="AX2810" s="115">
        <f>AN2810-AP2810</f>
      </c>
    </row>
    <row r="2811" spans="1:50" ht="15" hidden="1" customHeight="1" x14ac:dyDescent="0.3">
      <c r="A2811" s="122" t="s">
        <v>151</v>
      </c>
      <c r="B2811" s="122"/>
      <c r="C2811" s="122"/>
      <c r="D2811" s="122"/>
      <c r="E2811" s="122"/>
      <c r="F2811" s="122"/>
      <c r="G2811" s="122"/>
      <c r="H2811" s="122"/>
      <c r="I2811" s="122" t="s">
        <v>209</v>
      </c>
      <c r="J2811" s="122" t="s">
        <v>629</v>
      </c>
      <c r="K2811" s="114">
        <f>P2811/3</f>
      </c>
      <c r="L2811" s="123">
        <v>452.99799999999999</v>
      </c>
      <c r="M2811" s="122"/>
      <c r="N2811" s="117">
        <f>M2811-L2811</f>
      </c>
      <c r="O2811" s="122"/>
      <c r="P2811" s="118">
        <f>N2811+O2811</f>
      </c>
      <c r="Q2811" s="122" t="s">
        <v>839</v>
      </c>
      <c r="R2811" s="122" t="s">
        <v>63</v>
      </c>
      <c r="S2811" s="122">
        <v>46345</v>
      </c>
      <c r="T2811" s="93"/>
      <c r="U2811" s="124">
        <v>46345</v>
      </c>
      <c r="V2811" s="92"/>
      <c r="W2811" s="122"/>
      <c r="X2811" s="122"/>
      <c r="Y2811" s="93">
        <v>46323</v>
      </c>
      <c r="Z2811" s="92"/>
      <c r="AA2811" s="93"/>
      <c r="AB2811" s="93"/>
      <c r="AC2811" s="93"/>
      <c r="AD2811" s="124"/>
      <c r="AE2811" s="93"/>
      <c r="AF2811" s="93"/>
      <c r="AG2811" s="122"/>
      <c r="AH2811" s="124"/>
      <c r="AI2811" s="92"/>
      <c r="AJ2811" s="92" t="s">
        <v>839</v>
      </c>
      <c r="AK2811" s="92" t="s">
        <v>212</v>
      </c>
      <c r="AL2811" s="92">
        <v>160</v>
      </c>
      <c r="AM2811" s="94" t="str">
        <f>TRIM(AJ2811)&amp;TRIM(AL2811)&amp;TRIM(AK2811)</f>
      </c>
      <c r="AN2811" s="116">
        <v>0</v>
      </c>
      <c r="AO2811" s="116" t="inlineStr">
        <is>
          <t>#NA</t>
        </is>
      </c>
      <c r="AP2811" s="116">
        <f>SUMIFS(M:M,AM:AM,AM2811)+SUMIFS(O:O,AM:AM,AM2811)</f>
      </c>
      <c r="AQ2811" s="116">
        <f>SUMIFS(L:L,AM:AM,AM2811)</f>
      </c>
      <c r="AR2811" s="116">
        <f>AQ2811-AP2811</f>
      </c>
      <c r="AS2811" s="94" t="str">
        <f>IF(AN2811&gt;=AQ2811,"ok","ck")</f>
      </c>
      <c r="AT2811" s="116">
        <f>-P2811</f>
      </c>
      <c r="AU2811" s="115">
        <f>IF(SUMIFS(AT:AT,AM:AM,AM2811)&gt;AO2811,(SUMIFS(AT:AT,AM:AM,AM2811)-AO2811))</f>
      </c>
      <c r="AV2811" s="116">
        <v>0</v>
      </c>
      <c r="AW2811" s="121">
        <v>0</v>
      </c>
      <c r="AX2811" s="115">
        <f>AN2811-AP2811</f>
      </c>
    </row>
    <row r="2812" spans="1:50" ht="15" hidden="1" customHeight="1" x14ac:dyDescent="0.3">
      <c r="A2812" s="122" t="s">
        <v>151</v>
      </c>
      <c r="B2812" s="122"/>
      <c r="C2812" s="122"/>
      <c r="D2812" s="122"/>
      <c r="E2812" s="122"/>
      <c r="F2812" s="122"/>
      <c r="G2812" s="122"/>
      <c r="H2812" s="122"/>
      <c r="I2812" s="122" t="s">
        <v>209</v>
      </c>
      <c r="J2812" s="122" t="s">
        <v>629</v>
      </c>
      <c r="K2812" s="114">
        <f>P2812/3</f>
      </c>
      <c r="L2812" s="123">
        <v>197.00200000000001</v>
      </c>
      <c r="M2812" s="122"/>
      <c r="N2812" s="117">
        <f>M2812-L2812</f>
      </c>
      <c r="O2812" s="122"/>
      <c r="P2812" s="118">
        <f>N2812+O2812</f>
      </c>
      <c r="Q2812" s="122" t="s">
        <v>839</v>
      </c>
      <c r="R2812" s="122" t="s">
        <v>63</v>
      </c>
      <c r="S2812" s="122">
        <v>46345</v>
      </c>
      <c r="T2812" s="93"/>
      <c r="U2812" s="124">
        <v>46345</v>
      </c>
      <c r="V2812" s="92"/>
      <c r="W2812" s="122"/>
      <c r="X2812" s="122"/>
      <c r="Y2812" s="93">
        <v>46333</v>
      </c>
      <c r="Z2812" s="92"/>
      <c r="AA2812" s="93"/>
      <c r="AB2812" s="93"/>
      <c r="AC2812" s="93"/>
      <c r="AD2812" s="124"/>
      <c r="AE2812" s="93"/>
      <c r="AF2812" s="93"/>
      <c r="AG2812" s="122"/>
      <c r="AH2812" s="124"/>
      <c r="AI2812" s="92"/>
      <c r="AJ2812" s="92" t="s">
        <v>839</v>
      </c>
      <c r="AK2812" s="92" t="s">
        <v>212</v>
      </c>
      <c r="AL2812" s="92">
        <v>160</v>
      </c>
      <c r="AM2812" s="94" t="str">
        <f>TRIM(AJ2812)&amp;TRIM(AL2812)&amp;TRIM(AK2812)</f>
      </c>
      <c r="AN2812" s="116">
        <v>0</v>
      </c>
      <c r="AO2812" s="116" t="inlineStr">
        <is>
          <t>#NA</t>
        </is>
      </c>
      <c r="AP2812" s="116">
        <f>SUMIFS(M:M,AM:AM,AM2812)+SUMIFS(O:O,AM:AM,AM2812)</f>
      </c>
      <c r="AQ2812" s="116">
        <f>SUMIFS(L:L,AM:AM,AM2812)</f>
      </c>
      <c r="AR2812" s="116">
        <f>AQ2812-AP2812</f>
      </c>
      <c r="AS2812" s="94" t="str">
        <f>IF(AN2812&gt;=AQ2812,"ok","ck")</f>
      </c>
      <c r="AT2812" s="116">
        <f>-P2812</f>
      </c>
      <c r="AU2812" s="115">
        <f>IF(SUMIFS(AT:AT,AM:AM,AM2812)&gt;AO2812,(SUMIFS(AT:AT,AM:AM,AM2812)-AO2812))</f>
      </c>
      <c r="AV2812" s="116">
        <v>0</v>
      </c>
      <c r="AW2812" s="121">
        <v>0</v>
      </c>
      <c r="AX2812" s="115">
        <f>AN2812-AP2812</f>
      </c>
    </row>
    <row r="2813" spans="1:50" ht="15" hidden="1" customHeight="1" x14ac:dyDescent="0.3">
      <c r="A2813" s="122" t="s">
        <v>151</v>
      </c>
      <c r="B2813" s="122"/>
      <c r="C2813" s="122"/>
      <c r="D2813" s="122"/>
      <c r="E2813" s="122"/>
      <c r="F2813" s="122"/>
      <c r="G2813" s="122"/>
      <c r="H2813" s="122"/>
      <c r="I2813" s="122" t="s">
        <v>209</v>
      </c>
      <c r="J2813" s="122" t="s">
        <v>156</v>
      </c>
      <c r="K2813" s="114">
        <f>P2813/3</f>
      </c>
      <c r="L2813" s="123">
        <v>215</v>
      </c>
      <c r="M2813" s="122"/>
      <c r="N2813" s="117">
        <f>M2813-L2813</f>
      </c>
      <c r="O2813" s="122"/>
      <c r="P2813" s="118">
        <f>N2813+O2813</f>
      </c>
      <c r="Q2813" s="122" t="s">
        <v>839</v>
      </c>
      <c r="R2813" s="122" t="s">
        <v>63</v>
      </c>
      <c r="S2813" s="122">
        <v>46334</v>
      </c>
      <c r="T2813" s="93"/>
      <c r="U2813" s="124">
        <v>46334</v>
      </c>
      <c r="V2813" s="92"/>
      <c r="W2813" s="122"/>
      <c r="X2813" s="122"/>
      <c r="Y2813" s="93">
        <v>46330</v>
      </c>
      <c r="Z2813" s="92"/>
      <c r="AA2813" s="93"/>
      <c r="AB2813" s="93"/>
      <c r="AC2813" s="93"/>
      <c r="AD2813" s="124"/>
      <c r="AE2813" s="93"/>
      <c r="AF2813" s="93"/>
      <c r="AG2813" s="122"/>
      <c r="AH2813" s="124"/>
      <c r="AI2813" s="92"/>
      <c r="AJ2813" s="92" t="s">
        <v>839</v>
      </c>
      <c r="AK2813" s="92" t="s">
        <v>162</v>
      </c>
      <c r="AL2813" s="92">
        <v>160</v>
      </c>
      <c r="AM2813" s="94" t="str">
        <f>TRIM(AJ2813)&amp;TRIM(AL2813)&amp;TRIM(AK2813)</f>
      </c>
      <c r="AN2813" s="116">
        <v>0</v>
      </c>
      <c r="AO2813" s="116" t="inlineStr">
        <is>
          <t>#NA</t>
        </is>
      </c>
      <c r="AP2813" s="116">
        <f>SUMIFS(M:M,AM:AM,AM2813)+SUMIFS(O:O,AM:AM,AM2813)</f>
      </c>
      <c r="AQ2813" s="116">
        <f>SUMIFS(L:L,AM:AM,AM2813)</f>
      </c>
      <c r="AR2813" s="116">
        <f>AQ2813-AP2813</f>
      </c>
      <c r="AS2813" s="94" t="str">
        <f>IF(AN2813&gt;=AQ2813,"ok","ck")</f>
      </c>
      <c r="AT2813" s="116">
        <f>-P2813</f>
      </c>
      <c r="AU2813" s="115">
        <f>IF(SUMIFS(AT:AT,AM:AM,AM2813)&gt;AO2813,(SUMIFS(AT:AT,AM:AM,AM2813)-AO2813))</f>
      </c>
      <c r="AV2813" s="116">
        <v>0</v>
      </c>
      <c r="AW2813" s="121">
        <v>0</v>
      </c>
      <c r="AX2813" s="115">
        <f>AN2813-AP2813</f>
      </c>
    </row>
    <row r="2814" spans="1:50" ht="15" hidden="1" customHeight="1" x14ac:dyDescent="0.3">
      <c r="A2814" s="122" t="s">
        <v>151</v>
      </c>
      <c r="B2814" s="122"/>
      <c r="C2814" s="122"/>
      <c r="D2814" s="122"/>
      <c r="E2814" s="122"/>
      <c r="F2814" s="122"/>
      <c r="G2814" s="122"/>
      <c r="H2814" s="122"/>
      <c r="I2814" s="122" t="s">
        <v>209</v>
      </c>
      <c r="J2814" s="122" t="s">
        <v>207</v>
      </c>
      <c r="K2814" s="114">
        <f>P2814/3</f>
      </c>
      <c r="L2814" s="123">
        <v>446.38099999999997</v>
      </c>
      <c r="M2814" s="122"/>
      <c r="N2814" s="117">
        <f>M2814-L2814</f>
      </c>
      <c r="O2814" s="122"/>
      <c r="P2814" s="118">
        <f>N2814+O2814</f>
      </c>
      <c r="Q2814" s="122" t="s">
        <v>839</v>
      </c>
      <c r="R2814" s="122" t="s">
        <v>63</v>
      </c>
      <c r="S2814" s="122">
        <v>46346</v>
      </c>
      <c r="T2814" s="93"/>
      <c r="U2814" s="124">
        <v>46346</v>
      </c>
      <c r="V2814" s="92"/>
      <c r="W2814" s="122"/>
      <c r="X2814" s="122"/>
      <c r="Y2814" s="93">
        <v>46326</v>
      </c>
      <c r="Z2814" s="92"/>
      <c r="AA2814" s="93"/>
      <c r="AB2814" s="93"/>
      <c r="AC2814" s="93"/>
      <c r="AD2814" s="124"/>
      <c r="AE2814" s="93"/>
      <c r="AF2814" s="93"/>
      <c r="AG2814" s="122"/>
      <c r="AH2814" s="124"/>
      <c r="AI2814" s="92"/>
      <c r="AJ2814" s="92" t="s">
        <v>839</v>
      </c>
      <c r="AK2814" s="92" t="s">
        <v>208</v>
      </c>
      <c r="AL2814" s="92">
        <v>160</v>
      </c>
      <c r="AM2814" s="94" t="str">
        <f>TRIM(AJ2814)&amp;TRIM(AL2814)&amp;TRIM(AK2814)</f>
      </c>
      <c r="AN2814" s="116">
        <v>0</v>
      </c>
      <c r="AO2814" s="116" t="inlineStr">
        <is>
          <t>#NA</t>
        </is>
      </c>
      <c r="AP2814" s="116">
        <f>SUMIFS(M:M,AM:AM,AM2814)+SUMIFS(O:O,AM:AM,AM2814)</f>
      </c>
      <c r="AQ2814" s="116">
        <f>SUMIFS(L:L,AM:AM,AM2814)</f>
      </c>
      <c r="AR2814" s="116">
        <f>AQ2814-AP2814</f>
      </c>
      <c r="AS2814" s="94" t="str">
        <f>IF(AN2814&gt;=AQ2814,"ok","ck")</f>
      </c>
      <c r="AT2814" s="116">
        <f>-P2814</f>
      </c>
      <c r="AU2814" s="115">
        <f>IF(SUMIFS(AT:AT,AM:AM,AM2814)&gt;AO2814,(SUMIFS(AT:AT,AM:AM,AM2814)-AO2814))</f>
      </c>
      <c r="AV2814" s="116">
        <v>0</v>
      </c>
      <c r="AW2814" s="121">
        <v>0</v>
      </c>
      <c r="AX2814" s="115">
        <f>AN2814-AP2814</f>
      </c>
    </row>
    <row r="2815" spans="1:50" ht="15" hidden="1" customHeight="1" x14ac:dyDescent="0.3">
      <c r="A2815" s="122" t="s">
        <v>151</v>
      </c>
      <c r="B2815" s="122"/>
      <c r="C2815" s="122"/>
      <c r="D2815" s="122"/>
      <c r="E2815" s="122"/>
      <c r="F2815" s="122"/>
      <c r="G2815" s="122"/>
      <c r="H2815" s="122"/>
      <c r="I2815" s="122" t="s">
        <v>209</v>
      </c>
      <c r="J2815" s="122" t="s">
        <v>207</v>
      </c>
      <c r="K2815" s="114">
        <f>P2815/3</f>
      </c>
      <c r="L2815" s="123">
        <v>788.61900000000003</v>
      </c>
      <c r="M2815" s="122"/>
      <c r="N2815" s="117">
        <f>M2815-L2815</f>
      </c>
      <c r="O2815" s="122"/>
      <c r="P2815" s="118">
        <f>N2815+O2815</f>
      </c>
      <c r="Q2815" s="122" t="s">
        <v>839</v>
      </c>
      <c r="R2815" s="122" t="s">
        <v>63</v>
      </c>
      <c r="S2815" s="122">
        <v>46346</v>
      </c>
      <c r="T2815" s="93"/>
      <c r="U2815" s="124">
        <v>46346</v>
      </c>
      <c r="V2815" s="92"/>
      <c r="W2815" s="122"/>
      <c r="X2815" s="122"/>
      <c r="Y2815" s="93">
        <v>46320</v>
      </c>
      <c r="Z2815" s="92"/>
      <c r="AA2815" s="93"/>
      <c r="AB2815" s="93"/>
      <c r="AC2815" s="93"/>
      <c r="AD2815" s="124"/>
      <c r="AE2815" s="93"/>
      <c r="AF2815" s="93"/>
      <c r="AG2815" s="122"/>
      <c r="AH2815" s="124"/>
      <c r="AI2815" s="92"/>
      <c r="AJ2815" s="92" t="s">
        <v>839</v>
      </c>
      <c r="AK2815" s="92" t="s">
        <v>208</v>
      </c>
      <c r="AL2815" s="92">
        <v>160</v>
      </c>
      <c r="AM2815" s="94" t="str">
        <f>TRIM(AJ2815)&amp;TRIM(AL2815)&amp;TRIM(AK2815)</f>
      </c>
      <c r="AN2815" s="116">
        <v>0</v>
      </c>
      <c r="AO2815" s="116" t="inlineStr">
        <is>
          <t>#NA</t>
        </is>
      </c>
      <c r="AP2815" s="116">
        <f>SUMIFS(M:M,AM:AM,AM2815)+SUMIFS(O:O,AM:AM,AM2815)</f>
      </c>
      <c r="AQ2815" s="116">
        <f>SUMIFS(L:L,AM:AM,AM2815)</f>
      </c>
      <c r="AR2815" s="116">
        <f>AQ2815-AP2815</f>
      </c>
      <c r="AS2815" s="94" t="str">
        <f>IF(AN2815&gt;=AQ2815,"ok","ck")</f>
      </c>
      <c r="AT2815" s="116">
        <f>-P2815</f>
      </c>
      <c r="AU2815" s="115">
        <f>IF(SUMIFS(AT:AT,AM:AM,AM2815)&gt;AO2815,(SUMIFS(AT:AT,AM:AM,AM2815)-AO2815))</f>
      </c>
      <c r="AV2815" s="116">
        <v>0</v>
      </c>
      <c r="AW2815" s="121">
        <v>0</v>
      </c>
      <c r="AX2815" s="115">
        <f>AN2815-AP2815</f>
      </c>
    </row>
    <row r="2816" spans="1:50" ht="15" hidden="1" customHeight="1" x14ac:dyDescent="0.3">
      <c r="A2816" s="122" t="s">
        <v>151</v>
      </c>
      <c r="B2816" s="122"/>
      <c r="C2816" s="122"/>
      <c r="D2816" s="122"/>
      <c r="E2816" s="122"/>
      <c r="F2816" s="122"/>
      <c r="G2816" s="122"/>
      <c r="H2816" s="122"/>
      <c r="I2816" s="122" t="s">
        <v>209</v>
      </c>
      <c r="J2816" s="122" t="s">
        <v>210</v>
      </c>
      <c r="K2816" s="114">
        <f>P2816/3</f>
      </c>
      <c r="L2816" s="123">
        <v>549.17899999999997</v>
      </c>
      <c r="M2816" s="122"/>
      <c r="N2816" s="117">
        <f>M2816-L2816</f>
      </c>
      <c r="O2816" s="122"/>
      <c r="P2816" s="118">
        <f>N2816+O2816</f>
      </c>
      <c r="Q2816" s="122" t="s">
        <v>839</v>
      </c>
      <c r="R2816" s="122" t="s">
        <v>63</v>
      </c>
      <c r="S2816" s="122">
        <v>46345</v>
      </c>
      <c r="T2816" s="93"/>
      <c r="U2816" s="124">
        <v>46345</v>
      </c>
      <c r="V2816" s="92"/>
      <c r="W2816" s="122"/>
      <c r="X2816" s="122"/>
      <c r="Y2816" s="93">
        <v>46323</v>
      </c>
      <c r="Z2816" s="92"/>
      <c r="AA2816" s="93"/>
      <c r="AB2816" s="93"/>
      <c r="AC2816" s="93"/>
      <c r="AD2816" s="124"/>
      <c r="AE2816" s="93"/>
      <c r="AF2816" s="93"/>
      <c r="AG2816" s="122"/>
      <c r="AH2816" s="124"/>
      <c r="AI2816" s="92"/>
      <c r="AJ2816" s="92" t="s">
        <v>839</v>
      </c>
      <c r="AK2816" s="92" t="s">
        <v>212</v>
      </c>
      <c r="AL2816" s="92">
        <v>160</v>
      </c>
      <c r="AM2816" s="94" t="str">
        <f>TRIM(AJ2816)&amp;TRIM(AL2816)&amp;TRIM(AK2816)</f>
      </c>
      <c r="AN2816" s="116">
        <v>0</v>
      </c>
      <c r="AO2816" s="116" t="inlineStr">
        <is>
          <t>#NA</t>
        </is>
      </c>
      <c r="AP2816" s="116">
        <f>SUMIFS(M:M,AM:AM,AM2816)+SUMIFS(O:O,AM:AM,AM2816)</f>
      </c>
      <c r="AQ2816" s="116">
        <f>SUMIFS(L:L,AM:AM,AM2816)</f>
      </c>
      <c r="AR2816" s="116">
        <f>AQ2816-AP2816</f>
      </c>
      <c r="AS2816" s="94" t="str">
        <f>IF(AN2816&gt;=AQ2816,"ok","ck")</f>
      </c>
      <c r="AT2816" s="116">
        <f>-P2816</f>
      </c>
      <c r="AU2816" s="115">
        <f>IF(SUMIFS(AT:AT,AM:AM,AM2816)&gt;AO2816,(SUMIFS(AT:AT,AM:AM,AM2816)-AO2816))</f>
      </c>
      <c r="AV2816" s="116">
        <v>0</v>
      </c>
      <c r="AW2816" s="121">
        <v>0</v>
      </c>
      <c r="AX2816" s="115">
        <f>AN2816-AP2816</f>
      </c>
    </row>
    <row r="2817" spans="1:50" ht="15" hidden="1" customHeight="1" x14ac:dyDescent="0.3">
      <c r="A2817" s="122" t="s">
        <v>151</v>
      </c>
      <c r="B2817" s="122"/>
      <c r="C2817" s="122"/>
      <c r="D2817" s="122"/>
      <c r="E2817" s="122"/>
      <c r="F2817" s="122"/>
      <c r="G2817" s="122"/>
      <c r="H2817" s="122"/>
      <c r="I2817" s="122" t="s">
        <v>152</v>
      </c>
      <c r="J2817" s="122" t="s">
        <v>156</v>
      </c>
      <c r="K2817" s="114">
        <f>P2817/3</f>
      </c>
      <c r="L2817" s="123">
        <v>0</v>
      </c>
      <c r="M2817" s="122"/>
      <c r="N2817" s="117">
        <f>M2817-L2817</f>
      </c>
      <c r="O2817" s="122"/>
      <c r="P2817" s="118">
        <f>N2817+O2817</f>
      </c>
      <c r="Q2817" s="122" t="s">
        <v>185</v>
      </c>
      <c r="R2817" s="122" t="s">
        <v>63</v>
      </c>
      <c r="S2817" s="122">
        <v>46320</v>
      </c>
      <c r="T2817" s="93"/>
      <c r="U2817" s="124">
        <v>46320</v>
      </c>
      <c r="V2817" s="92"/>
      <c r="W2817" s="122"/>
      <c r="X2817" s="122"/>
      <c r="Y2817" s="93">
        <v>46320</v>
      </c>
      <c r="Z2817" s="92"/>
      <c r="AA2817" s="93"/>
      <c r="AB2817" s="93"/>
      <c r="AC2817" s="93"/>
      <c r="AD2817" s="124"/>
      <c r="AE2817" s="93"/>
      <c r="AF2817" s="93"/>
      <c r="AG2817" s="122"/>
      <c r="AH2817" s="124"/>
      <c r="AI2817" s="92"/>
      <c r="AJ2817" s="92" t="s">
        <v>185</v>
      </c>
      <c r="AK2817" s="92" t="s">
        <v>158</v>
      </c>
      <c r="AL2817" s="92">
        <v>160</v>
      </c>
      <c r="AM2817" s="94" t="str">
        <f>TRIM(AJ2817)&amp;TRIM(AL2817)&amp;TRIM(AK2817)</f>
      </c>
      <c r="AN2817" s="116">
        <v>3320.07</v>
      </c>
      <c r="AO2817" s="116">
        <v>149.93</v>
      </c>
      <c r="AP2817" s="116">
        <f>SUMIFS(M:M,AM:AM,AM2817)+SUMIFS(O:O,AM:AM,AM2817)</f>
      </c>
      <c r="AQ2817" s="116">
        <f>SUMIFS(L:L,AM:AM,AM2817)</f>
      </c>
      <c r="AR2817" s="116">
        <f>AQ2817-AP2817</f>
      </c>
      <c r="AS2817" s="94" t="str">
        <f>IF(AN2817&gt;=AQ2817,"ok","ck")</f>
      </c>
      <c r="AT2817" s="116">
        <f>-P2817</f>
      </c>
      <c r="AU2817" s="115">
        <f>IF(SUMIFS(AT:AT,AM:AM,AM2817)&gt;AO2817,(SUMIFS(AT:AT,AM:AM,AM2817)-AO2817))</f>
      </c>
      <c r="AV2817" s="116">
        <v>3320.07</v>
      </c>
      <c r="AW2817" s="121">
        <v>0.957</v>
      </c>
      <c r="AX2817" s="115">
        <f>AN2817-AP2817</f>
      </c>
    </row>
    <row r="2818" spans="1:50" ht="15" hidden="1" customHeight="1" x14ac:dyDescent="0.3">
      <c r="A2818" s="122" t="s">
        <v>151</v>
      </c>
      <c r="B2818" s="122"/>
      <c r="C2818" s="122"/>
      <c r="D2818" s="122"/>
      <c r="E2818" s="122"/>
      <c r="F2818" s="122"/>
      <c r="G2818" s="122"/>
      <c r="H2818" s="122"/>
      <c r="I2818" s="122" t="s">
        <v>152</v>
      </c>
      <c r="J2818" s="122" t="s">
        <v>156</v>
      </c>
      <c r="K2818" s="114">
        <f>P2818/3</f>
      </c>
      <c r="L2818" s="123">
        <v>0</v>
      </c>
      <c r="M2818" s="122"/>
      <c r="N2818" s="117">
        <f>M2818-L2818</f>
      </c>
      <c r="O2818" s="122"/>
      <c r="P2818" s="118">
        <f>N2818+O2818</f>
      </c>
      <c r="Q2818" s="122" t="s">
        <v>185</v>
      </c>
      <c r="R2818" s="122" t="s">
        <v>63</v>
      </c>
      <c r="S2818" s="122">
        <v>46321</v>
      </c>
      <c r="T2818" s="93"/>
      <c r="U2818" s="124">
        <v>46321</v>
      </c>
      <c r="V2818" s="92"/>
      <c r="W2818" s="122"/>
      <c r="X2818" s="122"/>
      <c r="Y2818" s="93">
        <v>46321</v>
      </c>
      <c r="Z2818" s="92"/>
      <c r="AA2818" s="93"/>
      <c r="AB2818" s="93"/>
      <c r="AC2818" s="93"/>
      <c r="AD2818" s="124"/>
      <c r="AE2818" s="93"/>
      <c r="AF2818" s="93"/>
      <c r="AG2818" s="122"/>
      <c r="AH2818" s="124"/>
      <c r="AI2818" s="92"/>
      <c r="AJ2818" s="92" t="s">
        <v>185</v>
      </c>
      <c r="AK2818" s="92" t="s">
        <v>158</v>
      </c>
      <c r="AL2818" s="92">
        <v>160</v>
      </c>
      <c r="AM2818" s="94" t="str">
        <f>TRIM(AJ2818)&amp;TRIM(AL2818)&amp;TRIM(AK2818)</f>
      </c>
      <c r="AN2818" s="116">
        <v>3320.07</v>
      </c>
      <c r="AO2818" s="116">
        <v>149.93</v>
      </c>
      <c r="AP2818" s="116">
        <f>SUMIFS(M:M,AM:AM,AM2818)+SUMIFS(O:O,AM:AM,AM2818)</f>
      </c>
      <c r="AQ2818" s="116">
        <f>SUMIFS(L:L,AM:AM,AM2818)</f>
      </c>
      <c r="AR2818" s="116">
        <f>AQ2818-AP2818</f>
      </c>
      <c r="AS2818" s="94" t="str">
        <f>IF(AN2818&gt;=AQ2818,"ok","ck")</f>
      </c>
      <c r="AT2818" s="116">
        <f>-P2818</f>
      </c>
      <c r="AU2818" s="115">
        <f>IF(SUMIFS(AT:AT,AM:AM,AM2818)&gt;AO2818,(SUMIFS(AT:AT,AM:AM,AM2818)-AO2818))</f>
      </c>
      <c r="AV2818" s="116">
        <v>3320.07</v>
      </c>
      <c r="AW2818" s="121">
        <v>0.957</v>
      </c>
      <c r="AX2818" s="115">
        <f>AN2818-AP2818</f>
      </c>
    </row>
    <row r="2819" spans="1:50" ht="15" hidden="1" customHeight="1" x14ac:dyDescent="0.3">
      <c r="A2819" s="122" t="s">
        <v>151</v>
      </c>
      <c r="B2819" s="122"/>
      <c r="C2819" s="122"/>
      <c r="D2819" s="122"/>
      <c r="E2819" s="122"/>
      <c r="F2819" s="122"/>
      <c r="G2819" s="122"/>
      <c r="H2819" s="122"/>
      <c r="I2819" s="122" t="s">
        <v>152</v>
      </c>
      <c r="J2819" s="122" t="s">
        <v>156</v>
      </c>
      <c r="K2819" s="114">
        <f>P2819/3</f>
      </c>
      <c r="L2819" s="123">
        <v>0</v>
      </c>
      <c r="M2819" s="122"/>
      <c r="N2819" s="117">
        <f>M2819-L2819</f>
      </c>
      <c r="O2819" s="122"/>
      <c r="P2819" s="118">
        <f>N2819+O2819</f>
      </c>
      <c r="Q2819" s="122" t="s">
        <v>185</v>
      </c>
      <c r="R2819" s="122" t="s">
        <v>63</v>
      </c>
      <c r="S2819" s="122">
        <v>46328</v>
      </c>
      <c r="T2819" s="93"/>
      <c r="U2819" s="124">
        <v>46328</v>
      </c>
      <c r="V2819" s="92"/>
      <c r="W2819" s="122"/>
      <c r="X2819" s="122"/>
      <c r="Y2819" s="93">
        <v>46328</v>
      </c>
      <c r="Z2819" s="92"/>
      <c r="AA2819" s="93"/>
      <c r="AB2819" s="93"/>
      <c r="AC2819" s="93"/>
      <c r="AD2819" s="124"/>
      <c r="AE2819" s="93"/>
      <c r="AF2819" s="93"/>
      <c r="AG2819" s="122"/>
      <c r="AH2819" s="124"/>
      <c r="AI2819" s="92"/>
      <c r="AJ2819" s="92" t="s">
        <v>185</v>
      </c>
      <c r="AK2819" s="92" t="s">
        <v>158</v>
      </c>
      <c r="AL2819" s="92">
        <v>160</v>
      </c>
      <c r="AM2819" s="94" t="str">
        <f>TRIM(AJ2819)&amp;TRIM(AL2819)&amp;TRIM(AK2819)</f>
      </c>
      <c r="AN2819" s="116">
        <v>3320.07</v>
      </c>
      <c r="AO2819" s="116">
        <v>149.93</v>
      </c>
      <c r="AP2819" s="116">
        <f>SUMIFS(M:M,AM:AM,AM2819)+SUMIFS(O:O,AM:AM,AM2819)</f>
      </c>
      <c r="AQ2819" s="116">
        <f>SUMIFS(L:L,AM:AM,AM2819)</f>
      </c>
      <c r="AR2819" s="116">
        <f>AQ2819-AP2819</f>
      </c>
      <c r="AS2819" s="94" t="str">
        <f>IF(AN2819&gt;=AQ2819,"ok","ck")</f>
      </c>
      <c r="AT2819" s="116">
        <f>-P2819</f>
      </c>
      <c r="AU2819" s="115">
        <f>IF(SUMIFS(AT:AT,AM:AM,AM2819)&gt;AO2819,(SUMIFS(AT:AT,AM:AM,AM2819)-AO2819))</f>
      </c>
      <c r="AV2819" s="116">
        <v>3320.07</v>
      </c>
      <c r="AW2819" s="121">
        <v>0.957</v>
      </c>
      <c r="AX2819" s="115">
        <f>AN2819-AP2819</f>
      </c>
    </row>
    <row r="2820" spans="1:50" ht="15" hidden="1" customHeight="1" x14ac:dyDescent="0.3">
      <c r="A2820" s="122" t="s">
        <v>151</v>
      </c>
      <c r="B2820" s="122"/>
      <c r="C2820" s="122"/>
      <c r="D2820" s="122"/>
      <c r="E2820" s="122"/>
      <c r="F2820" s="122"/>
      <c r="G2820" s="122"/>
      <c r="H2820" s="122"/>
      <c r="I2820" s="122" t="s">
        <v>152</v>
      </c>
      <c r="J2820" s="122" t="s">
        <v>153</v>
      </c>
      <c r="K2820" s="114">
        <f>P2820/3</f>
      </c>
      <c r="L2820" s="123">
        <v>2.7429999999999999</v>
      </c>
      <c r="M2820" s="122"/>
      <c r="N2820" s="117">
        <f>M2820-L2820</f>
      </c>
      <c r="O2820" s="122"/>
      <c r="P2820" s="118">
        <f>N2820+O2820</f>
      </c>
      <c r="Q2820" s="122" t="s">
        <v>185</v>
      </c>
      <c r="R2820" s="122" t="s">
        <v>63</v>
      </c>
      <c r="S2820" s="122">
        <v>46334</v>
      </c>
      <c r="T2820" s="93"/>
      <c r="U2820" s="124">
        <v>46334</v>
      </c>
      <c r="V2820" s="92"/>
      <c r="W2820" s="122"/>
      <c r="X2820" s="122"/>
      <c r="Y2820" s="93">
        <v>46320</v>
      </c>
      <c r="Z2820" s="92"/>
      <c r="AA2820" s="93"/>
      <c r="AB2820" s="93"/>
      <c r="AC2820" s="93"/>
      <c r="AD2820" s="124"/>
      <c r="AE2820" s="93"/>
      <c r="AF2820" s="93"/>
      <c r="AG2820" s="122"/>
      <c r="AH2820" s="124"/>
      <c r="AI2820" s="92"/>
      <c r="AJ2820" s="92" t="s">
        <v>185</v>
      </c>
      <c r="AK2820" s="92" t="s">
        <v>155</v>
      </c>
      <c r="AL2820" s="92">
        <v>160</v>
      </c>
      <c r="AM2820" s="94" t="str">
        <f>TRIM(AJ2820)&amp;TRIM(AL2820)&amp;TRIM(AK2820)</f>
      </c>
      <c r="AN2820" s="116">
        <v>2565.13</v>
      </c>
      <c r="AO2820" s="116">
        <v>279.87</v>
      </c>
      <c r="AP2820" s="116">
        <f>SUMIFS(M:M,AM:AM,AM2820)+SUMIFS(O:O,AM:AM,AM2820)</f>
      </c>
      <c r="AQ2820" s="116">
        <f>SUMIFS(L:L,AM:AM,AM2820)</f>
      </c>
      <c r="AR2820" s="116">
        <f>AQ2820-AP2820</f>
      </c>
      <c r="AS2820" s="94" t="str">
        <f>IF(AN2820&gt;=AQ2820,"ok","ck")</f>
      </c>
      <c r="AT2820" s="116">
        <f>-P2820</f>
      </c>
      <c r="AU2820" s="115">
        <f>IF(SUMIFS(AT:AT,AM:AM,AM2820)&gt;AO2820,(SUMIFS(AT:AT,AM:AM,AM2820)-AO2820))</f>
      </c>
      <c r="AV2820" s="116">
        <v>2565.13</v>
      </c>
      <c r="AW2820" s="121">
        <v>0.902</v>
      </c>
      <c r="AX2820" s="115">
        <f>AN2820-AP2820</f>
      </c>
    </row>
    <row r="2821" spans="1:50" ht="15" hidden="1" customHeight="1" x14ac:dyDescent="0.3">
      <c r="A2821" s="122" t="s">
        <v>151</v>
      </c>
      <c r="B2821" s="122"/>
      <c r="C2821" s="122"/>
      <c r="D2821" s="122"/>
      <c r="E2821" s="122"/>
      <c r="F2821" s="122"/>
      <c r="G2821" s="122"/>
      <c r="H2821" s="122"/>
      <c r="I2821" s="122" t="s">
        <v>152</v>
      </c>
      <c r="J2821" s="122" t="s">
        <v>153</v>
      </c>
      <c r="K2821" s="114">
        <f>P2821/3</f>
      </c>
      <c r="L2821" s="123">
        <v>236.423</v>
      </c>
      <c r="M2821" s="122"/>
      <c r="N2821" s="117">
        <f>M2821-L2821</f>
      </c>
      <c r="O2821" s="122"/>
      <c r="P2821" s="118">
        <f>N2821+O2821</f>
      </c>
      <c r="Q2821" s="122" t="s">
        <v>185</v>
      </c>
      <c r="R2821" s="122" t="s">
        <v>63</v>
      </c>
      <c r="S2821" s="122">
        <v>46334</v>
      </c>
      <c r="T2821" s="93"/>
      <c r="U2821" s="124">
        <v>46334</v>
      </c>
      <c r="V2821" s="92"/>
      <c r="W2821" s="122"/>
      <c r="X2821" s="122"/>
      <c r="Y2821" s="93">
        <v>46338</v>
      </c>
      <c r="Z2821" s="92"/>
      <c r="AA2821" s="93"/>
      <c r="AB2821" s="93"/>
      <c r="AC2821" s="93"/>
      <c r="AD2821" s="124"/>
      <c r="AE2821" s="93"/>
      <c r="AF2821" s="93"/>
      <c r="AG2821" s="122"/>
      <c r="AH2821" s="124"/>
      <c r="AI2821" s="92"/>
      <c r="AJ2821" s="92" t="s">
        <v>185</v>
      </c>
      <c r="AK2821" s="92" t="s">
        <v>155</v>
      </c>
      <c r="AL2821" s="92">
        <v>160</v>
      </c>
      <c r="AM2821" s="94" t="str">
        <f>TRIM(AJ2821)&amp;TRIM(AL2821)&amp;TRIM(AK2821)</f>
      </c>
      <c r="AN2821" s="116">
        <v>2565.13</v>
      </c>
      <c r="AO2821" s="116">
        <v>279.87</v>
      </c>
      <c r="AP2821" s="116">
        <f>SUMIFS(M:M,AM:AM,AM2821)+SUMIFS(O:O,AM:AM,AM2821)</f>
      </c>
      <c r="AQ2821" s="116">
        <f>SUMIFS(L:L,AM:AM,AM2821)</f>
      </c>
      <c r="AR2821" s="116">
        <f>AQ2821-AP2821</f>
      </c>
      <c r="AS2821" s="94" t="str">
        <f>IF(AN2821&gt;=AQ2821,"ok","ck")</f>
      </c>
      <c r="AT2821" s="116">
        <f>-P2821</f>
      </c>
      <c r="AU2821" s="115">
        <f>IF(SUMIFS(AT:AT,AM:AM,AM2821)&gt;AO2821,(SUMIFS(AT:AT,AM:AM,AM2821)-AO2821))</f>
      </c>
      <c r="AV2821" s="116">
        <v>2565.13</v>
      </c>
      <c r="AW2821" s="121">
        <v>0.902</v>
      </c>
      <c r="AX2821" s="115">
        <f>AN2821-AP2821</f>
      </c>
    </row>
    <row r="2822" spans="1:50" ht="15" hidden="1" customHeight="1" x14ac:dyDescent="0.3">
      <c r="A2822" s="122" t="s">
        <v>93</v>
      </c>
      <c r="B2822" s="122"/>
      <c r="C2822" s="122"/>
      <c r="D2822" s="122"/>
      <c r="E2822" s="122"/>
      <c r="F2822" s="122"/>
      <c r="G2822" s="122"/>
      <c r="H2822" s="122"/>
      <c r="I2822" s="122" t="s">
        <v>494</v>
      </c>
      <c r="J2822" s="122" t="s">
        <v>616</v>
      </c>
      <c r="K2822" s="114">
        <f>P2822/3</f>
      </c>
      <c r="L2822" s="123">
        <v>0</v>
      </c>
      <c r="M2822" s="122">
        <f>L2822</f>
      </c>
      <c r="N2822" s="117">
        <f>M2822-L2822</f>
      </c>
      <c r="O2822" s="122"/>
      <c r="P2822" s="118">
        <f>N2822+O2822</f>
      </c>
      <c r="Q2822" s="122" t="s">
        <v>846</v>
      </c>
      <c r="R2822" s="122" t="s">
        <v>63</v>
      </c>
      <c r="S2822" s="122">
        <v>46320</v>
      </c>
      <c r="T2822" s="93"/>
      <c r="U2822" s="124">
        <v>46320</v>
      </c>
      <c r="V2822" s="92"/>
      <c r="W2822" s="122"/>
      <c r="X2822" s="122"/>
      <c r="Y2822" s="93">
        <v>46320</v>
      </c>
      <c r="Z2822" s="92"/>
      <c r="AA2822" s="93"/>
      <c r="AB2822" s="93"/>
      <c r="AC2822" s="93"/>
      <c r="AD2822" s="124"/>
      <c r="AE2822" s="93"/>
      <c r="AF2822" s="93"/>
      <c r="AG2822" s="122"/>
      <c r="AH2822" s="124"/>
      <c r="AI2822" s="92"/>
      <c r="AJ2822" s="92" t="s">
        <v>846</v>
      </c>
      <c r="AK2822" s="92" t="s">
        <v>109</v>
      </c>
      <c r="AL2822" s="92">
        <v>210</v>
      </c>
      <c r="AM2822" s="94" t="str">
        <f>TRIM(AJ2822)&amp;TRIM(AL2822)&amp;TRIM(AK2822)</f>
      </c>
      <c r="AN2822" s="116">
        <v>41.9</v>
      </c>
      <c r="AO2822" s="116">
        <v>-3.9</v>
      </c>
      <c r="AP2822" s="116">
        <f>SUMIFS(M:M,AM:AM,AM2822)+SUMIFS(O:O,AM:AM,AM2822)</f>
      </c>
      <c r="AQ2822" s="116">
        <f>SUMIFS(L:L,AM:AM,AM2822)</f>
      </c>
      <c r="AR2822" s="116">
        <f>AQ2822-AP2822</f>
      </c>
      <c r="AS2822" s="94" t="str">
        <f>IF(AN2822&gt;=AQ2822,"ok","ck")</f>
      </c>
      <c r="AT2822" s="116">
        <f>-P2822</f>
      </c>
      <c r="AU2822" s="115">
        <f>IF(SUMIFS(AT:AT,AM:AM,AM2822)&gt;AO2822,(SUMIFS(AT:AT,AM:AM,AM2822)-AO2822))</f>
      </c>
      <c r="AV2822" s="116">
        <v>41.9</v>
      </c>
      <c r="AW2822" s="121">
        <v>1.103</v>
      </c>
      <c r="AX2822" s="115">
        <f>AN2822-AP2822</f>
      </c>
    </row>
    <row r="2823" spans="1:50" ht="15" hidden="1" customHeight="1" x14ac:dyDescent="0.3">
      <c r="A2823" s="122" t="s">
        <v>93</v>
      </c>
      <c r="B2823" s="122"/>
      <c r="C2823" s="122"/>
      <c r="D2823" s="122"/>
      <c r="E2823" s="122"/>
      <c r="F2823" s="122"/>
      <c r="G2823" s="122"/>
      <c r="H2823" s="122"/>
      <c r="I2823" s="122" t="s">
        <v>494</v>
      </c>
      <c r="J2823" s="122" t="s">
        <v>616</v>
      </c>
      <c r="K2823" s="114">
        <f>P2823/3</f>
      </c>
      <c r="L2823" s="123">
        <v>38</v>
      </c>
      <c r="M2823" s="122">
        <f>L2823</f>
      </c>
      <c r="N2823" s="117">
        <f>M2823-L2823</f>
      </c>
      <c r="O2823" s="122"/>
      <c r="P2823" s="118">
        <f>N2823+O2823</f>
      </c>
      <c r="Q2823" s="122" t="s">
        <v>846</v>
      </c>
      <c r="R2823" s="122" t="s">
        <v>63</v>
      </c>
      <c r="S2823" s="122">
        <v>46335</v>
      </c>
      <c r="T2823" s="93"/>
      <c r="U2823" s="124">
        <v>46335</v>
      </c>
      <c r="V2823" s="92"/>
      <c r="W2823" s="122"/>
      <c r="X2823" s="122"/>
      <c r="Y2823" s="93">
        <v>46320</v>
      </c>
      <c r="Z2823" s="92"/>
      <c r="AA2823" s="93"/>
      <c r="AB2823" s="93"/>
      <c r="AC2823" s="93"/>
      <c r="AD2823" s="124"/>
      <c r="AE2823" s="93"/>
      <c r="AF2823" s="93"/>
      <c r="AG2823" s="122"/>
      <c r="AH2823" s="124"/>
      <c r="AI2823" s="92"/>
      <c r="AJ2823" s="92" t="s">
        <v>846</v>
      </c>
      <c r="AK2823" s="92" t="s">
        <v>109</v>
      </c>
      <c r="AL2823" s="92">
        <v>210</v>
      </c>
      <c r="AM2823" s="94" t="str">
        <f>TRIM(AJ2823)&amp;TRIM(AL2823)&amp;TRIM(AK2823)</f>
      </c>
      <c r="AN2823" s="116">
        <v>41.9</v>
      </c>
      <c r="AO2823" s="116">
        <v>-3.9</v>
      </c>
      <c r="AP2823" s="116">
        <f>SUMIFS(M:M,AM:AM,AM2823)+SUMIFS(O:O,AM:AM,AM2823)</f>
      </c>
      <c r="AQ2823" s="116">
        <f>SUMIFS(L:L,AM:AM,AM2823)</f>
      </c>
      <c r="AR2823" s="116">
        <f>AQ2823-AP2823</f>
      </c>
      <c r="AS2823" s="94" t="str">
        <f>IF(AN2823&gt;=AQ2823,"ok","ck")</f>
      </c>
      <c r="AT2823" s="116">
        <f>-P2823</f>
      </c>
      <c r="AU2823" s="115">
        <f>IF(SUMIFS(AT:AT,AM:AM,AM2823)&gt;AO2823,(SUMIFS(AT:AT,AM:AM,AM2823)-AO2823))</f>
      </c>
      <c r="AV2823" s="116">
        <v>41.9</v>
      </c>
      <c r="AW2823" s="121">
        <v>1.103</v>
      </c>
      <c r="AX2823" s="115">
        <f>AN2823-AP2823</f>
      </c>
    </row>
    <row r="2824" spans="1:50" ht="15" hidden="1" customHeight="1" x14ac:dyDescent="0.3">
      <c r="A2824" s="122" t="s">
        <v>93</v>
      </c>
      <c r="B2824" s="122"/>
      <c r="C2824" s="122"/>
      <c r="D2824" s="122"/>
      <c r="E2824" s="122"/>
      <c r="F2824" s="122"/>
      <c r="G2824" s="122"/>
      <c r="H2824" s="122"/>
      <c r="I2824" s="122" t="s">
        <v>107</v>
      </c>
      <c r="J2824" s="122" t="s">
        <v>624</v>
      </c>
      <c r="K2824" s="114">
        <f>P2824/3</f>
      </c>
      <c r="L2824" s="123">
        <v>0</v>
      </c>
      <c r="M2824" s="122"/>
      <c r="N2824" s="117">
        <f>M2824-L2824</f>
      </c>
      <c r="O2824" s="122"/>
      <c r="P2824" s="118">
        <f>N2824+O2824</f>
      </c>
      <c r="Q2824" s="122" t="s">
        <v>846</v>
      </c>
      <c r="R2824" s="122" t="s">
        <v>63</v>
      </c>
      <c r="S2824" s="122">
        <v>46320</v>
      </c>
      <c r="T2824" s="93"/>
      <c r="U2824" s="124">
        <v>46320</v>
      </c>
      <c r="V2824" s="92"/>
      <c r="W2824" s="122"/>
      <c r="X2824" s="122"/>
      <c r="Y2824" s="93">
        <v>46320</v>
      </c>
      <c r="Z2824" s="92"/>
      <c r="AA2824" s="93"/>
      <c r="AB2824" s="93"/>
      <c r="AC2824" s="93"/>
      <c r="AD2824" s="124"/>
      <c r="AE2824" s="93"/>
      <c r="AF2824" s="93"/>
      <c r="AG2824" s="122"/>
      <c r="AH2824" s="124"/>
      <c r="AI2824" s="92"/>
      <c r="AJ2824" s="92" t="s">
        <v>846</v>
      </c>
      <c r="AK2824" s="92" t="s">
        <v>769</v>
      </c>
      <c r="AL2824" s="92">
        <v>140</v>
      </c>
      <c r="AM2824" s="94" t="str">
        <f>TRIM(AJ2824)&amp;TRIM(AL2824)&amp;TRIM(AK2824)</f>
      </c>
      <c r="AN2824" s="116">
        <v>0</v>
      </c>
      <c r="AO2824" s="116" t="inlineStr">
        <is>
          <t>#NA</t>
        </is>
      </c>
      <c r="AP2824" s="116">
        <f>SUMIFS(M:M,AM:AM,AM2824)+SUMIFS(O:O,AM:AM,AM2824)</f>
      </c>
      <c r="AQ2824" s="116">
        <f>SUMIFS(L:L,AM:AM,AM2824)</f>
      </c>
      <c r="AR2824" s="116">
        <f>AQ2824-AP2824</f>
      </c>
      <c r="AS2824" s="94" t="str">
        <f>IF(AN2824&gt;=AQ2824,"ok","ck")</f>
      </c>
      <c r="AT2824" s="116">
        <f>-P2824</f>
      </c>
      <c r="AU2824" s="115">
        <f>IF(SUMIFS(AT:AT,AM:AM,AM2824)&gt;AO2824,(SUMIFS(AT:AT,AM:AM,AM2824)-AO2824))</f>
      </c>
      <c r="AV2824" s="116">
        <v>0</v>
      </c>
      <c r="AW2824" s="121">
        <v>0</v>
      </c>
      <c r="AX2824" s="115">
        <f>AN2824-AP2824</f>
      </c>
    </row>
    <row r="2825" spans="1:50" ht="15" hidden="1" customHeight="1" x14ac:dyDescent="0.3">
      <c r="A2825" s="122" t="s">
        <v>93</v>
      </c>
      <c r="B2825" s="122"/>
      <c r="C2825" s="122"/>
      <c r="D2825" s="122"/>
      <c r="E2825" s="122"/>
      <c r="F2825" s="122"/>
      <c r="G2825" s="122"/>
      <c r="H2825" s="122"/>
      <c r="I2825" s="122" t="s">
        <v>494</v>
      </c>
      <c r="J2825" s="122" t="s">
        <v>621</v>
      </c>
      <c r="K2825" s="114">
        <f>P2825/3</f>
      </c>
      <c r="L2825" s="123">
        <v>43.746000000000002</v>
      </c>
      <c r="M2825" s="122"/>
      <c r="N2825" s="117">
        <f>M2825-L2825</f>
      </c>
      <c r="O2825" s="122"/>
      <c r="P2825" s="118">
        <f>N2825+O2825</f>
      </c>
      <c r="Q2825" s="122" t="s">
        <v>846</v>
      </c>
      <c r="R2825" s="122" t="s">
        <v>63</v>
      </c>
      <c r="S2825" s="122">
        <v>46335</v>
      </c>
      <c r="T2825" s="93"/>
      <c r="U2825" s="124">
        <v>46335</v>
      </c>
      <c r="V2825" s="92"/>
      <c r="W2825" s="122"/>
      <c r="X2825" s="122"/>
      <c r="Y2825" s="93">
        <v>46320</v>
      </c>
      <c r="Z2825" s="92"/>
      <c r="AA2825" s="93"/>
      <c r="AB2825" s="93"/>
      <c r="AC2825" s="93"/>
      <c r="AD2825" s="124"/>
      <c r="AE2825" s="93"/>
      <c r="AF2825" s="93"/>
      <c r="AG2825" s="122"/>
      <c r="AH2825" s="124"/>
      <c r="AI2825" s="92"/>
      <c r="AJ2825" s="92" t="s">
        <v>846</v>
      </c>
      <c r="AK2825" s="92" t="s">
        <v>768</v>
      </c>
      <c r="AL2825" s="92">
        <v>210</v>
      </c>
      <c r="AM2825" s="94" t="str">
        <f>TRIM(AJ2825)&amp;TRIM(AL2825)&amp;TRIM(AK2825)</f>
      </c>
      <c r="AN2825" s="116">
        <v>0</v>
      </c>
      <c r="AO2825" s="116" t="inlineStr">
        <is>
          <t>#NA</t>
        </is>
      </c>
      <c r="AP2825" s="116">
        <f>SUMIFS(M:M,AM:AM,AM2825)+SUMIFS(O:O,AM:AM,AM2825)</f>
      </c>
      <c r="AQ2825" s="116">
        <f>SUMIFS(L:L,AM:AM,AM2825)</f>
      </c>
      <c r="AR2825" s="116">
        <f>AQ2825-AP2825</f>
      </c>
      <c r="AS2825" s="94" t="str">
        <f>IF(AN2825&gt;=AQ2825,"ok","ck")</f>
      </c>
      <c r="AT2825" s="116">
        <f>-P2825</f>
      </c>
      <c r="AU2825" s="115">
        <f>IF(SUMIFS(AT:AT,AM:AM,AM2825)&gt;AO2825,(SUMIFS(AT:AT,AM:AM,AM2825)-AO2825))</f>
      </c>
      <c r="AV2825" s="116">
        <v>0</v>
      </c>
      <c r="AW2825" s="121">
        <v>0</v>
      </c>
      <c r="AX2825" s="115">
        <f>AN2825-AP2825</f>
      </c>
    </row>
    <row r="2826" spans="1:50" ht="15" hidden="1" customHeight="1" x14ac:dyDescent="0.3">
      <c r="A2826" s="122" t="s">
        <v>93</v>
      </c>
      <c r="B2826" s="122"/>
      <c r="C2826" s="122"/>
      <c r="D2826" s="122"/>
      <c r="E2826" s="122"/>
      <c r="F2826" s="122"/>
      <c r="G2826" s="122"/>
      <c r="H2826" s="122"/>
      <c r="I2826" s="122" t="s">
        <v>494</v>
      </c>
      <c r="J2826" s="122" t="s">
        <v>159</v>
      </c>
      <c r="K2826" s="114">
        <f>P2826/3</f>
      </c>
      <c r="L2826" s="123">
        <v>8</v>
      </c>
      <c r="M2826" s="122">
        <f>L2826</f>
      </c>
      <c r="N2826" s="117">
        <f>M2826-L2826</f>
      </c>
      <c r="O2826" s="122"/>
      <c r="P2826" s="118">
        <f>N2826+O2826</f>
      </c>
      <c r="Q2826" s="122" t="s">
        <v>846</v>
      </c>
      <c r="R2826" s="122" t="s">
        <v>63</v>
      </c>
      <c r="S2826" s="122">
        <v>46335</v>
      </c>
      <c r="T2826" s="93"/>
      <c r="U2826" s="124">
        <v>46335</v>
      </c>
      <c r="V2826" s="92"/>
      <c r="W2826" s="122"/>
      <c r="X2826" s="122"/>
      <c r="Y2826" s="93">
        <v>46320</v>
      </c>
      <c r="Z2826" s="92"/>
      <c r="AA2826" s="93"/>
      <c r="AB2826" s="93"/>
      <c r="AC2826" s="93"/>
      <c r="AD2826" s="124"/>
      <c r="AE2826" s="93"/>
      <c r="AF2826" s="93"/>
      <c r="AG2826" s="122"/>
      <c r="AH2826" s="124"/>
      <c r="AI2826" s="92"/>
      <c r="AJ2826" s="92" t="s">
        <v>846</v>
      </c>
      <c r="AK2826" s="92" t="s">
        <v>159</v>
      </c>
      <c r="AL2826" s="92">
        <v>210</v>
      </c>
      <c r="AM2826" s="94" t="str">
        <f>TRIM(AJ2826)&amp;TRIM(AL2826)&amp;TRIM(AK2826)</f>
      </c>
      <c r="AN2826" s="116">
        <v>11.41</v>
      </c>
      <c r="AO2826" s="116">
        <v>-1.41</v>
      </c>
      <c r="AP2826" s="116">
        <f>SUMIFS(M:M,AM:AM,AM2826)+SUMIFS(O:O,AM:AM,AM2826)</f>
      </c>
      <c r="AQ2826" s="116">
        <f>SUMIFS(L:L,AM:AM,AM2826)</f>
      </c>
      <c r="AR2826" s="116">
        <f>AQ2826-AP2826</f>
      </c>
      <c r="AS2826" s="94" t="str">
        <f>IF(AN2826&gt;=AQ2826,"ok","ck")</f>
      </c>
      <c r="AT2826" s="116">
        <f>-P2826</f>
      </c>
      <c r="AU2826" s="115">
        <f>IF(SUMIFS(AT:AT,AM:AM,AM2826)&gt;AO2826,(SUMIFS(AT:AT,AM:AM,AM2826)-AO2826))</f>
      </c>
      <c r="AV2826" s="116">
        <v>11.41</v>
      </c>
      <c r="AW2826" s="121">
        <v>1.141</v>
      </c>
      <c r="AX2826" s="115">
        <f>AN2826-AP2826</f>
      </c>
    </row>
    <row r="2827" spans="1:50" ht="15" hidden="1" customHeight="1" x14ac:dyDescent="0.3">
      <c r="A2827" s="122" t="s">
        <v>151</v>
      </c>
      <c r="B2827" s="122"/>
      <c r="C2827" s="122"/>
      <c r="D2827" s="122"/>
      <c r="E2827" s="122"/>
      <c r="F2827" s="122"/>
      <c r="G2827" s="122"/>
      <c r="H2827" s="122"/>
      <c r="I2827" s="122" t="s">
        <v>163</v>
      </c>
      <c r="J2827" s="122" t="s">
        <v>156</v>
      </c>
      <c r="K2827" s="114">
        <f>P2827/3</f>
      </c>
      <c r="L2827" s="123">
        <v>673.30799999999999</v>
      </c>
      <c r="M2827" s="122"/>
      <c r="N2827" s="117">
        <f>M2827-L2827</f>
      </c>
      <c r="O2827" s="122"/>
      <c r="P2827" s="118">
        <f>N2827+O2827</f>
      </c>
      <c r="Q2827" s="122" t="s">
        <v>847</v>
      </c>
      <c r="R2827" s="122" t="s">
        <v>63</v>
      </c>
      <c r="S2827" s="122">
        <v>46346</v>
      </c>
      <c r="T2827" s="93"/>
      <c r="U2827" s="124">
        <v>46346</v>
      </c>
      <c r="V2827" s="92"/>
      <c r="W2827" s="122"/>
      <c r="X2827" s="122"/>
      <c r="Y2827" s="93">
        <v>46331</v>
      </c>
      <c r="Z2827" s="92"/>
      <c r="AA2827" s="93"/>
      <c r="AB2827" s="93"/>
      <c r="AC2827" s="93"/>
      <c r="AD2827" s="124"/>
      <c r="AE2827" s="93"/>
      <c r="AF2827" s="93"/>
      <c r="AG2827" s="122"/>
      <c r="AH2827" s="124"/>
      <c r="AI2827" s="92"/>
      <c r="AJ2827" s="92" t="s">
        <v>847</v>
      </c>
      <c r="AK2827" s="92" t="s">
        <v>158</v>
      </c>
      <c r="AL2827" s="92">
        <v>160</v>
      </c>
      <c r="AM2827" s="94" t="str">
        <f>TRIM(AJ2827)&amp;TRIM(AL2827)&amp;TRIM(AK2827)</f>
      </c>
      <c r="AN2827" s="116">
        <v>0</v>
      </c>
      <c r="AO2827" s="116" t="inlineStr">
        <is>
          <t>#NA</t>
        </is>
      </c>
      <c r="AP2827" s="116">
        <f>SUMIFS(M:M,AM:AM,AM2827)+SUMIFS(O:O,AM:AM,AM2827)</f>
      </c>
      <c r="AQ2827" s="116">
        <f>SUMIFS(L:L,AM:AM,AM2827)</f>
      </c>
      <c r="AR2827" s="116">
        <f>AQ2827-AP2827</f>
      </c>
      <c r="AS2827" s="94" t="str">
        <f>IF(AN2827&gt;=AQ2827,"ok","ck")</f>
      </c>
      <c r="AT2827" s="116">
        <f>-P2827</f>
      </c>
      <c r="AU2827" s="115">
        <f>IF(SUMIFS(AT:AT,AM:AM,AM2827)&gt;AO2827,(SUMIFS(AT:AT,AM:AM,AM2827)-AO2827))</f>
      </c>
      <c r="AV2827" s="116">
        <v>0</v>
      </c>
      <c r="AW2827" s="121">
        <v>0</v>
      </c>
      <c r="AX2827" s="115">
        <f>AN2827-AP2827</f>
      </c>
    </row>
    <row r="2828" spans="1:50" ht="15" hidden="1" customHeight="1" x14ac:dyDescent="0.3">
      <c r="A2828" s="122" t="s">
        <v>151</v>
      </c>
      <c r="B2828" s="122"/>
      <c r="C2828" s="122"/>
      <c r="D2828" s="122"/>
      <c r="E2828" s="122"/>
      <c r="F2828" s="122"/>
      <c r="G2828" s="122"/>
      <c r="H2828" s="122"/>
      <c r="I2828" s="122" t="s">
        <v>163</v>
      </c>
      <c r="J2828" s="122" t="s">
        <v>156</v>
      </c>
      <c r="K2828" s="114">
        <f>P2828/3</f>
      </c>
      <c r="L2828" s="123">
        <v>426.69200000000001</v>
      </c>
      <c r="M2828" s="122"/>
      <c r="N2828" s="117">
        <f>M2828-L2828</f>
      </c>
      <c r="O2828" s="122"/>
      <c r="P2828" s="118">
        <f>N2828+O2828</f>
      </c>
      <c r="Q2828" s="122" t="s">
        <v>847</v>
      </c>
      <c r="R2828" s="122" t="s">
        <v>63</v>
      </c>
      <c r="S2828" s="122">
        <v>46346</v>
      </c>
      <c r="T2828" s="93"/>
      <c r="U2828" s="124">
        <v>46346</v>
      </c>
      <c r="V2828" s="92"/>
      <c r="W2828" s="122"/>
      <c r="X2828" s="122"/>
      <c r="Y2828" s="93">
        <v>46320</v>
      </c>
      <c r="Z2828" s="92"/>
      <c r="AA2828" s="93"/>
      <c r="AB2828" s="93"/>
      <c r="AC2828" s="93"/>
      <c r="AD2828" s="124"/>
      <c r="AE2828" s="93"/>
      <c r="AF2828" s="93"/>
      <c r="AG2828" s="122"/>
      <c r="AH2828" s="124"/>
      <c r="AI2828" s="92"/>
      <c r="AJ2828" s="92" t="s">
        <v>847</v>
      </c>
      <c r="AK2828" s="92" t="s">
        <v>158</v>
      </c>
      <c r="AL2828" s="92">
        <v>160</v>
      </c>
      <c r="AM2828" s="94" t="str">
        <f>TRIM(AJ2828)&amp;TRIM(AL2828)&amp;TRIM(AK2828)</f>
      </c>
      <c r="AN2828" s="116">
        <v>0</v>
      </c>
      <c r="AO2828" s="116" t="inlineStr">
        <is>
          <t>#NA</t>
        </is>
      </c>
      <c r="AP2828" s="116">
        <f>SUMIFS(M:M,AM:AM,AM2828)+SUMIFS(O:O,AM:AM,AM2828)</f>
      </c>
      <c r="AQ2828" s="116">
        <f>SUMIFS(L:L,AM:AM,AM2828)</f>
      </c>
      <c r="AR2828" s="116">
        <f>AQ2828-AP2828</f>
      </c>
      <c r="AS2828" s="94" t="str">
        <f>IF(AN2828&gt;=AQ2828,"ok","ck")</f>
      </c>
      <c r="AT2828" s="116">
        <f>-P2828</f>
      </c>
      <c r="AU2828" s="115">
        <f>IF(SUMIFS(AT:AT,AM:AM,AM2828)&gt;AO2828,(SUMIFS(AT:AT,AM:AM,AM2828)-AO2828))</f>
      </c>
      <c r="AV2828" s="116">
        <v>0</v>
      </c>
      <c r="AW2828" s="121">
        <v>0</v>
      </c>
      <c r="AX2828" s="115">
        <f>AN2828-AP2828</f>
      </c>
    </row>
    <row r="2829" spans="1:50" ht="15" hidden="1" customHeight="1" x14ac:dyDescent="0.3">
      <c r="A2829" s="122" t="s">
        <v>76</v>
      </c>
      <c r="B2829" s="122"/>
      <c r="C2829" s="122"/>
      <c r="D2829" s="122"/>
      <c r="E2829" s="122"/>
      <c r="F2829" s="122"/>
      <c r="G2829" s="122"/>
      <c r="H2829" s="122"/>
      <c r="I2829" s="122" t="s">
        <v>77</v>
      </c>
      <c r="J2829" s="122" t="s">
        <v>114</v>
      </c>
      <c r="K2829" s="114">
        <f>P2829/3</f>
      </c>
      <c r="L2829" s="123">
        <v>1.681</v>
      </c>
      <c r="M2829" s="122"/>
      <c r="N2829" s="117">
        <f>M2829-L2829</f>
      </c>
      <c r="O2829" s="122"/>
      <c r="P2829" s="118">
        <f>N2829+O2829</f>
      </c>
      <c r="Q2829" s="122" t="s">
        <v>834</v>
      </c>
      <c r="R2829" s="122" t="s">
        <v>63</v>
      </c>
      <c r="S2829" s="122">
        <v>46341</v>
      </c>
      <c r="T2829" s="93"/>
      <c r="U2829" s="124">
        <v>46341</v>
      </c>
      <c r="V2829" s="92"/>
      <c r="W2829" s="122"/>
      <c r="X2829" s="122"/>
      <c r="Y2829" s="93">
        <v>46340</v>
      </c>
      <c r="Z2829" s="92"/>
      <c r="AA2829" s="93"/>
      <c r="AB2829" s="93"/>
      <c r="AC2829" s="93"/>
      <c r="AD2829" s="124"/>
      <c r="AE2829" s="93"/>
      <c r="AF2829" s="93"/>
      <c r="AG2829" s="122"/>
      <c r="AH2829" s="124"/>
      <c r="AI2829" s="92"/>
      <c r="AJ2829" s="92" t="s">
        <v>834</v>
      </c>
      <c r="AK2829" s="92" t="s">
        <v>115</v>
      </c>
      <c r="AL2829" s="92">
        <v>150</v>
      </c>
      <c r="AM2829" s="94" t="str">
        <f>TRIM(AJ2829)&amp;TRIM(AL2829)&amp;TRIM(AK2829)</f>
      </c>
      <c r="AN2829" s="116">
        <v>0</v>
      </c>
      <c r="AO2829" s="116" t="inlineStr">
        <is>
          <t>#NA</t>
        </is>
      </c>
      <c r="AP2829" s="116">
        <f>SUMIFS(M:M,AM:AM,AM2829)+SUMIFS(O:O,AM:AM,AM2829)</f>
      </c>
      <c r="AQ2829" s="116">
        <f>SUMIFS(L:L,AM:AM,AM2829)</f>
      </c>
      <c r="AR2829" s="116">
        <f>AQ2829-AP2829</f>
      </c>
      <c r="AS2829" s="94" t="str">
        <f>IF(AN2829&gt;=AQ2829,"ok","ck")</f>
      </c>
      <c r="AT2829" s="116">
        <f>-P2829</f>
      </c>
      <c r="AU2829" s="115">
        <f>IF(SUMIFS(AT:AT,AM:AM,AM2829)&gt;AO2829,(SUMIFS(AT:AT,AM:AM,AM2829)-AO2829))</f>
      </c>
      <c r="AV2829" s="116">
        <v>0</v>
      </c>
      <c r="AW2829" s="121">
        <v>0</v>
      </c>
      <c r="AX2829" s="115">
        <f>AN2829-AP2829</f>
      </c>
    </row>
    <row r="2830" spans="1:50" ht="15" hidden="1" customHeight="1" x14ac:dyDescent="0.3">
      <c r="A2830" s="122" t="s">
        <v>76</v>
      </c>
      <c r="B2830" s="122"/>
      <c r="C2830" s="122"/>
      <c r="D2830" s="122"/>
      <c r="E2830" s="122"/>
      <c r="F2830" s="122"/>
      <c r="G2830" s="122"/>
      <c r="H2830" s="122"/>
      <c r="I2830" s="122" t="s">
        <v>77</v>
      </c>
      <c r="J2830" s="122" t="s">
        <v>114</v>
      </c>
      <c r="K2830" s="114">
        <f>P2830/3</f>
      </c>
      <c r="L2830" s="123">
        <v>330.80200000000002</v>
      </c>
      <c r="M2830" s="122"/>
      <c r="N2830" s="117">
        <f>M2830-L2830</f>
      </c>
      <c r="O2830" s="122"/>
      <c r="P2830" s="118">
        <f>N2830+O2830</f>
      </c>
      <c r="Q2830" s="122" t="s">
        <v>834</v>
      </c>
      <c r="R2830" s="122" t="s">
        <v>63</v>
      </c>
      <c r="S2830" s="122">
        <v>46341</v>
      </c>
      <c r="T2830" s="93"/>
      <c r="U2830" s="124">
        <v>46341</v>
      </c>
      <c r="V2830" s="92"/>
      <c r="W2830" s="122"/>
      <c r="X2830" s="122"/>
      <c r="Y2830" s="93">
        <v>46340</v>
      </c>
      <c r="Z2830" s="92"/>
      <c r="AA2830" s="93"/>
      <c r="AB2830" s="93"/>
      <c r="AC2830" s="93"/>
      <c r="AD2830" s="124"/>
      <c r="AE2830" s="93"/>
      <c r="AF2830" s="93"/>
      <c r="AG2830" s="122"/>
      <c r="AH2830" s="124"/>
      <c r="AI2830" s="92"/>
      <c r="AJ2830" s="92" t="s">
        <v>834</v>
      </c>
      <c r="AK2830" s="92" t="s">
        <v>115</v>
      </c>
      <c r="AL2830" s="92">
        <v>150</v>
      </c>
      <c r="AM2830" s="94" t="str">
        <f>TRIM(AJ2830)&amp;TRIM(AL2830)&amp;TRIM(AK2830)</f>
      </c>
      <c r="AN2830" s="116">
        <v>0</v>
      </c>
      <c r="AO2830" s="116" t="inlineStr">
        <is>
          <t>#NA</t>
        </is>
      </c>
      <c r="AP2830" s="116">
        <f>SUMIFS(M:M,AM:AM,AM2830)+SUMIFS(O:O,AM:AM,AM2830)</f>
      </c>
      <c r="AQ2830" s="116">
        <f>SUMIFS(L:L,AM:AM,AM2830)</f>
      </c>
      <c r="AR2830" s="116">
        <f>AQ2830-AP2830</f>
      </c>
      <c r="AS2830" s="94" t="str">
        <f>IF(AN2830&gt;=AQ2830,"ok","ck")</f>
      </c>
      <c r="AT2830" s="116">
        <f>-P2830</f>
      </c>
      <c r="AU2830" s="115">
        <f>IF(SUMIFS(AT:AT,AM:AM,AM2830)&gt;AO2830,(SUMIFS(AT:AT,AM:AM,AM2830)-AO2830))</f>
      </c>
      <c r="AV2830" s="116">
        <v>0</v>
      </c>
      <c r="AW2830" s="121">
        <v>0</v>
      </c>
      <c r="AX2830" s="115">
        <f>AN2830-AP2830</f>
      </c>
    </row>
    <row r="2831" spans="1:50" ht="15" hidden="1" customHeight="1" x14ac:dyDescent="0.3">
      <c r="A2831" s="122" t="s">
        <v>76</v>
      </c>
      <c r="B2831" s="122"/>
      <c r="C2831" s="122"/>
      <c r="D2831" s="122"/>
      <c r="E2831" s="122"/>
      <c r="F2831" s="122"/>
      <c r="G2831" s="122"/>
      <c r="H2831" s="122"/>
      <c r="I2831" s="122" t="s">
        <v>77</v>
      </c>
      <c r="J2831" s="122" t="s">
        <v>114</v>
      </c>
      <c r="K2831" s="114">
        <f>P2831/3</f>
      </c>
      <c r="L2831" s="123">
        <v>1.7370000000000001</v>
      </c>
      <c r="M2831" s="122"/>
      <c r="N2831" s="117">
        <f>M2831-L2831</f>
      </c>
      <c r="O2831" s="122"/>
      <c r="P2831" s="118">
        <f>N2831+O2831</f>
      </c>
      <c r="Q2831" s="122" t="s">
        <v>834</v>
      </c>
      <c r="R2831" s="122" t="s">
        <v>63</v>
      </c>
      <c r="S2831" s="122">
        <v>46341</v>
      </c>
      <c r="T2831" s="93"/>
      <c r="U2831" s="124">
        <v>46341</v>
      </c>
      <c r="V2831" s="92"/>
      <c r="W2831" s="122"/>
      <c r="X2831" s="122"/>
      <c r="Y2831" s="93">
        <v>46341</v>
      </c>
      <c r="Z2831" s="92"/>
      <c r="AA2831" s="93"/>
      <c r="AB2831" s="93"/>
      <c r="AC2831" s="93"/>
      <c r="AD2831" s="124"/>
      <c r="AE2831" s="93"/>
      <c r="AF2831" s="93"/>
      <c r="AG2831" s="122"/>
      <c r="AH2831" s="124"/>
      <c r="AI2831" s="92"/>
      <c r="AJ2831" s="92" t="s">
        <v>834</v>
      </c>
      <c r="AK2831" s="92" t="s">
        <v>115</v>
      </c>
      <c r="AL2831" s="92">
        <v>150</v>
      </c>
      <c r="AM2831" s="94" t="str">
        <f>TRIM(AJ2831)&amp;TRIM(AL2831)&amp;TRIM(AK2831)</f>
      </c>
      <c r="AN2831" s="116">
        <v>0</v>
      </c>
      <c r="AO2831" s="116" t="inlineStr">
        <is>
          <t>#NA</t>
        </is>
      </c>
      <c r="AP2831" s="116">
        <f>SUMIFS(M:M,AM:AM,AM2831)+SUMIFS(O:O,AM:AM,AM2831)</f>
      </c>
      <c r="AQ2831" s="116">
        <f>SUMIFS(L:L,AM:AM,AM2831)</f>
      </c>
      <c r="AR2831" s="116">
        <f>AQ2831-AP2831</f>
      </c>
      <c r="AS2831" s="94" t="str">
        <f>IF(AN2831&gt;=AQ2831,"ok","ck")</f>
      </c>
      <c r="AT2831" s="116">
        <f>-P2831</f>
      </c>
      <c r="AU2831" s="115">
        <f>IF(SUMIFS(AT:AT,AM:AM,AM2831)&gt;AO2831,(SUMIFS(AT:AT,AM:AM,AM2831)-AO2831))</f>
      </c>
      <c r="AV2831" s="116">
        <v>0</v>
      </c>
      <c r="AW2831" s="121">
        <v>0</v>
      </c>
      <c r="AX2831" s="115">
        <f>AN2831-AP2831</f>
      </c>
    </row>
    <row r="2832" spans="1:50" ht="15" hidden="1" customHeight="1" x14ac:dyDescent="0.3">
      <c r="A2832" s="122" t="s">
        <v>76</v>
      </c>
      <c r="B2832" s="122"/>
      <c r="C2832" s="122"/>
      <c r="D2832" s="122"/>
      <c r="E2832" s="122"/>
      <c r="F2832" s="122"/>
      <c r="G2832" s="122"/>
      <c r="H2832" s="122"/>
      <c r="I2832" s="122" t="s">
        <v>77</v>
      </c>
      <c r="J2832" s="122" t="s">
        <v>114</v>
      </c>
      <c r="K2832" s="114">
        <f>P2832/3</f>
      </c>
      <c r="L2832" s="123">
        <v>544.30100000000004</v>
      </c>
      <c r="M2832" s="122"/>
      <c r="N2832" s="117">
        <f>M2832-L2832</f>
      </c>
      <c r="O2832" s="122"/>
      <c r="P2832" s="118">
        <f>N2832+O2832</f>
      </c>
      <c r="Q2832" s="122" t="s">
        <v>834</v>
      </c>
      <c r="R2832" s="122" t="s">
        <v>63</v>
      </c>
      <c r="S2832" s="122">
        <v>46341</v>
      </c>
      <c r="T2832" s="93"/>
      <c r="U2832" s="124">
        <v>46341</v>
      </c>
      <c r="V2832" s="92"/>
      <c r="W2832" s="122"/>
      <c r="X2832" s="122"/>
      <c r="Y2832" s="93">
        <v>46341</v>
      </c>
      <c r="Z2832" s="92"/>
      <c r="AA2832" s="93"/>
      <c r="AB2832" s="93"/>
      <c r="AC2832" s="93"/>
      <c r="AD2832" s="124"/>
      <c r="AE2832" s="93"/>
      <c r="AF2832" s="93"/>
      <c r="AG2832" s="122"/>
      <c r="AH2832" s="124"/>
      <c r="AI2832" s="92"/>
      <c r="AJ2832" s="92" t="s">
        <v>834</v>
      </c>
      <c r="AK2832" s="92" t="s">
        <v>115</v>
      </c>
      <c r="AL2832" s="92">
        <v>150</v>
      </c>
      <c r="AM2832" s="94" t="str">
        <f>TRIM(AJ2832)&amp;TRIM(AL2832)&amp;TRIM(AK2832)</f>
      </c>
      <c r="AN2832" s="116">
        <v>0</v>
      </c>
      <c r="AO2832" s="116" t="inlineStr">
        <is>
          <t>#NA</t>
        </is>
      </c>
      <c r="AP2832" s="116">
        <f>SUMIFS(M:M,AM:AM,AM2832)+SUMIFS(O:O,AM:AM,AM2832)</f>
      </c>
      <c r="AQ2832" s="116">
        <f>SUMIFS(L:L,AM:AM,AM2832)</f>
      </c>
      <c r="AR2832" s="116">
        <f>AQ2832-AP2832</f>
      </c>
      <c r="AS2832" s="94" t="str">
        <f>IF(AN2832&gt;=AQ2832,"ok","ck")</f>
      </c>
      <c r="AT2832" s="116">
        <f>-P2832</f>
      </c>
      <c r="AU2832" s="115">
        <f>IF(SUMIFS(AT:AT,AM:AM,AM2832)&gt;AO2832,(SUMIFS(AT:AT,AM:AM,AM2832)-AO2832))</f>
      </c>
      <c r="AV2832" s="116">
        <v>0</v>
      </c>
      <c r="AW2832" s="121">
        <v>0</v>
      </c>
      <c r="AX2832" s="115">
        <f>AN2832-AP2832</f>
      </c>
    </row>
    <row r="2833" spans="1:50" ht="15" hidden="1" customHeight="1" x14ac:dyDescent="0.3">
      <c r="A2833" s="122" t="s">
        <v>76</v>
      </c>
      <c r="B2833" s="122"/>
      <c r="C2833" s="122"/>
      <c r="D2833" s="122"/>
      <c r="E2833" s="122"/>
      <c r="F2833" s="122"/>
      <c r="G2833" s="122"/>
      <c r="H2833" s="122"/>
      <c r="I2833" s="122" t="s">
        <v>77</v>
      </c>
      <c r="J2833" s="122" t="s">
        <v>114</v>
      </c>
      <c r="K2833" s="114">
        <f>P2833/3</f>
      </c>
      <c r="L2833" s="123">
        <v>3.577</v>
      </c>
      <c r="M2833" s="122"/>
      <c r="N2833" s="117">
        <f>M2833-L2833</f>
      </c>
      <c r="O2833" s="122"/>
      <c r="P2833" s="118">
        <f>N2833+O2833</f>
      </c>
      <c r="Q2833" s="122" t="s">
        <v>834</v>
      </c>
      <c r="R2833" s="122" t="s">
        <v>63</v>
      </c>
      <c r="S2833" s="122">
        <v>46341</v>
      </c>
      <c r="T2833" s="93"/>
      <c r="U2833" s="124">
        <v>46341</v>
      </c>
      <c r="V2833" s="92"/>
      <c r="W2833" s="122"/>
      <c r="X2833" s="122"/>
      <c r="Y2833" s="93">
        <v>46343</v>
      </c>
      <c r="Z2833" s="92"/>
      <c r="AA2833" s="93"/>
      <c r="AB2833" s="93"/>
      <c r="AC2833" s="93"/>
      <c r="AD2833" s="124"/>
      <c r="AE2833" s="93"/>
      <c r="AF2833" s="93"/>
      <c r="AG2833" s="122"/>
      <c r="AH2833" s="124"/>
      <c r="AI2833" s="92"/>
      <c r="AJ2833" s="92" t="s">
        <v>834</v>
      </c>
      <c r="AK2833" s="92" t="s">
        <v>115</v>
      </c>
      <c r="AL2833" s="92">
        <v>150</v>
      </c>
      <c r="AM2833" s="94" t="str">
        <f>TRIM(AJ2833)&amp;TRIM(AL2833)&amp;TRIM(AK2833)</f>
      </c>
      <c r="AN2833" s="116">
        <v>0</v>
      </c>
      <c r="AO2833" s="116" t="inlineStr">
        <is>
          <t>#NA</t>
        </is>
      </c>
      <c r="AP2833" s="116">
        <f>SUMIFS(M:M,AM:AM,AM2833)+SUMIFS(O:O,AM:AM,AM2833)</f>
      </c>
      <c r="AQ2833" s="116">
        <f>SUMIFS(L:L,AM:AM,AM2833)</f>
      </c>
      <c r="AR2833" s="116">
        <f>AQ2833-AP2833</f>
      </c>
      <c r="AS2833" s="94" t="str">
        <f>IF(AN2833&gt;=AQ2833,"ok","ck")</f>
      </c>
      <c r="AT2833" s="116">
        <f>-P2833</f>
      </c>
      <c r="AU2833" s="115">
        <f>IF(SUMIFS(AT:AT,AM:AM,AM2833)&gt;AO2833,(SUMIFS(AT:AT,AM:AM,AM2833)-AO2833))</f>
      </c>
      <c r="AV2833" s="116">
        <v>0</v>
      </c>
      <c r="AW2833" s="121">
        <v>0</v>
      </c>
      <c r="AX2833" s="115">
        <f>AN2833-AP2833</f>
      </c>
    </row>
    <row r="2834" spans="1:50" ht="15" hidden="1" customHeight="1" x14ac:dyDescent="0.3">
      <c r="A2834" s="122" t="s">
        <v>76</v>
      </c>
      <c r="B2834" s="122"/>
      <c r="C2834" s="122"/>
      <c r="D2834" s="122"/>
      <c r="E2834" s="122"/>
      <c r="F2834" s="122"/>
      <c r="G2834" s="122"/>
      <c r="H2834" s="122"/>
      <c r="I2834" s="122" t="s">
        <v>77</v>
      </c>
      <c r="J2834" s="122" t="s">
        <v>617</v>
      </c>
      <c r="K2834" s="114">
        <f>P2834/3</f>
      </c>
      <c r="L2834" s="123">
        <v>330.80200000000002</v>
      </c>
      <c r="M2834" s="122">
        <v>287.12900000000002</v>
      </c>
      <c r="N2834" s="117">
        <f>M2834-L2834</f>
      </c>
      <c r="O2834" s="122"/>
      <c r="P2834" s="118">
        <f>N2834+O2834</f>
      </c>
      <c r="Q2834" s="122" t="s">
        <v>834</v>
      </c>
      <c r="R2834" s="122" t="s">
        <v>63</v>
      </c>
      <c r="S2834" s="122">
        <v>46339</v>
      </c>
      <c r="T2834" s="93"/>
      <c r="U2834" s="124">
        <v>46339</v>
      </c>
      <c r="V2834" s="92"/>
      <c r="W2834" s="122"/>
      <c r="X2834" s="122"/>
      <c r="Y2834" s="93">
        <v>46337</v>
      </c>
      <c r="Z2834" s="92"/>
      <c r="AA2834" s="93"/>
      <c r="AB2834" s="93"/>
      <c r="AC2834" s="93"/>
      <c r="AD2834" s="124"/>
      <c r="AE2834" s="93"/>
      <c r="AF2834" s="93"/>
      <c r="AG2834" s="122"/>
      <c r="AH2834" s="124"/>
      <c r="AI2834" s="92"/>
      <c r="AJ2834" s="92" t="s">
        <v>834</v>
      </c>
      <c r="AK2834" s="92" t="s">
        <v>617</v>
      </c>
      <c r="AL2834" s="92">
        <v>150</v>
      </c>
      <c r="AM2834" s="94" t="str">
        <f>TRIM(AJ2834)&amp;TRIM(AL2834)&amp;TRIM(AK2834)</f>
      </c>
      <c r="AN2834" s="116">
        <v>835</v>
      </c>
      <c r="AO2834" s="116">
        <v>45.41</v>
      </c>
      <c r="AP2834" s="116">
        <f>SUMIFS(M:M,AM:AM,AM2834)+SUMIFS(O:O,AM:AM,AM2834)</f>
      </c>
      <c r="AQ2834" s="116">
        <f>SUMIFS(L:L,AM:AM,AM2834)</f>
      </c>
      <c r="AR2834" s="116">
        <f>AQ2834-AP2834</f>
      </c>
      <c r="AS2834" s="94" t="str">
        <f>IF(AN2834&gt;=AQ2834,"ok","ck")</f>
      </c>
      <c r="AT2834" s="116">
        <f>-P2834</f>
      </c>
      <c r="AU2834" s="115">
        <f>IF(SUMIFS(AT:AT,AM:AM,AM2834)&gt;AO2834,(SUMIFS(AT:AT,AM:AM,AM2834)-AO2834))</f>
      </c>
      <c r="AV2834" s="116">
        <v>835</v>
      </c>
      <c r="AW2834" s="121">
        <v>0.948</v>
      </c>
      <c r="AX2834" s="115">
        <f>AN2834-AP2834</f>
      </c>
    </row>
    <row r="2835" spans="1:50" ht="15" hidden="1" customHeight="1" x14ac:dyDescent="0.3">
      <c r="A2835" s="122" t="s">
        <v>76</v>
      </c>
      <c r="B2835" s="122"/>
      <c r="C2835" s="122"/>
      <c r="D2835" s="122"/>
      <c r="E2835" s="122"/>
      <c r="F2835" s="122"/>
      <c r="G2835" s="122"/>
      <c r="H2835" s="122"/>
      <c r="I2835" s="122" t="s">
        <v>77</v>
      </c>
      <c r="J2835" s="122" t="s">
        <v>617</v>
      </c>
      <c r="K2835" s="114">
        <f>P2835/3</f>
      </c>
      <c r="L2835" s="123">
        <v>1.7370000000000001</v>
      </c>
      <c r="M2835" s="122"/>
      <c r="N2835" s="117">
        <f>M2835-L2835</f>
      </c>
      <c r="O2835" s="122"/>
      <c r="P2835" s="118">
        <f>N2835+O2835</f>
      </c>
      <c r="Q2835" s="122" t="s">
        <v>834</v>
      </c>
      <c r="R2835" s="122" t="s">
        <v>63</v>
      </c>
      <c r="S2835" s="122">
        <v>46339</v>
      </c>
      <c r="T2835" s="93"/>
      <c r="U2835" s="124">
        <v>46339</v>
      </c>
      <c r="V2835" s="92"/>
      <c r="W2835" s="122"/>
      <c r="X2835" s="122"/>
      <c r="Y2835" s="93">
        <v>46340</v>
      </c>
      <c r="Z2835" s="92"/>
      <c r="AA2835" s="93"/>
      <c r="AB2835" s="93"/>
      <c r="AC2835" s="93"/>
      <c r="AD2835" s="124"/>
      <c r="AE2835" s="93"/>
      <c r="AF2835" s="93"/>
      <c r="AG2835" s="122"/>
      <c r="AH2835" s="124"/>
      <c r="AI2835" s="92"/>
      <c r="AJ2835" s="92" t="s">
        <v>834</v>
      </c>
      <c r="AK2835" s="92" t="s">
        <v>617</v>
      </c>
      <c r="AL2835" s="92">
        <v>150</v>
      </c>
      <c r="AM2835" s="94" t="str">
        <f>TRIM(AJ2835)&amp;TRIM(AL2835)&amp;TRIM(AK2835)</f>
      </c>
      <c r="AN2835" s="116">
        <v>835</v>
      </c>
      <c r="AO2835" s="116">
        <v>45.41</v>
      </c>
      <c r="AP2835" s="116">
        <f>SUMIFS(M:M,AM:AM,AM2835)+SUMIFS(O:O,AM:AM,AM2835)</f>
      </c>
      <c r="AQ2835" s="116">
        <f>SUMIFS(L:L,AM:AM,AM2835)</f>
      </c>
      <c r="AR2835" s="116">
        <f>AQ2835-AP2835</f>
      </c>
      <c r="AS2835" s="94" t="str">
        <f>IF(AN2835&gt;=AQ2835,"ok","ck")</f>
      </c>
      <c r="AT2835" s="116">
        <f>-P2835</f>
      </c>
      <c r="AU2835" s="115">
        <f>IF(SUMIFS(AT:AT,AM:AM,AM2835)&gt;AO2835,(SUMIFS(AT:AT,AM:AM,AM2835)-AO2835))</f>
      </c>
      <c r="AV2835" s="116">
        <v>835</v>
      </c>
      <c r="AW2835" s="121">
        <v>0.948</v>
      </c>
      <c r="AX2835" s="115">
        <f>AN2835-AP2835</f>
      </c>
    </row>
    <row r="2836" spans="1:50" ht="15" hidden="1" customHeight="1" x14ac:dyDescent="0.3">
      <c r="A2836" s="122" t="s">
        <v>93</v>
      </c>
      <c r="B2836" s="122"/>
      <c r="C2836" s="122"/>
      <c r="D2836" s="122"/>
      <c r="E2836" s="122"/>
      <c r="F2836" s="122"/>
      <c r="G2836" s="122"/>
      <c r="H2836" s="122"/>
      <c r="I2836" s="122" t="s">
        <v>494</v>
      </c>
      <c r="J2836" s="122" t="s">
        <v>615</v>
      </c>
      <c r="K2836" s="114">
        <f>P2836/3</f>
      </c>
      <c r="L2836" s="123">
        <v>0</v>
      </c>
      <c r="M2836" s="122"/>
      <c r="N2836" s="117">
        <f>M2836-L2836</f>
      </c>
      <c r="O2836" s="122"/>
      <c r="P2836" s="118">
        <f>N2836+O2836</f>
      </c>
      <c r="Q2836" s="122" t="s">
        <v>846</v>
      </c>
      <c r="R2836" s="122" t="s">
        <v>63</v>
      </c>
      <c r="S2836" s="122">
        <v>46320</v>
      </c>
      <c r="T2836" s="93"/>
      <c r="U2836" s="124">
        <v>46320</v>
      </c>
      <c r="V2836" s="92"/>
      <c r="W2836" s="122"/>
      <c r="X2836" s="122"/>
      <c r="Y2836" s="93">
        <v>46320</v>
      </c>
      <c r="Z2836" s="92"/>
      <c r="AA2836" s="93"/>
      <c r="AB2836" s="93"/>
      <c r="AC2836" s="93"/>
      <c r="AD2836" s="124"/>
      <c r="AE2836" s="93"/>
      <c r="AF2836" s="93"/>
      <c r="AG2836" s="122"/>
      <c r="AH2836" s="124"/>
      <c r="AI2836" s="92"/>
      <c r="AJ2836" s="92" t="s">
        <v>846</v>
      </c>
      <c r="AK2836" s="92" t="s">
        <v>767</v>
      </c>
      <c r="AL2836" s="92">
        <v>210</v>
      </c>
      <c r="AM2836" s="94" t="str">
        <f>TRIM(AJ2836)&amp;TRIM(AL2836)&amp;TRIM(AK2836)</f>
      </c>
      <c r="AN2836" s="116">
        <v>0</v>
      </c>
      <c r="AO2836" s="116" t="inlineStr">
        <is>
          <t>#NA</t>
        </is>
      </c>
      <c r="AP2836" s="116">
        <f>SUMIFS(M:M,AM:AM,AM2836)+SUMIFS(O:O,AM:AM,AM2836)</f>
      </c>
      <c r="AQ2836" s="116">
        <f>SUMIFS(L:L,AM:AM,AM2836)</f>
      </c>
      <c r="AR2836" s="116">
        <f>AQ2836-AP2836</f>
      </c>
      <c r="AS2836" s="94" t="str">
        <f>IF(AN2836&gt;=AQ2836,"ok","ck")</f>
      </c>
      <c r="AT2836" s="116">
        <f>-P2836</f>
      </c>
      <c r="AU2836" s="115">
        <f>IF(SUMIFS(AT:AT,AM:AM,AM2836)&gt;AO2836,(SUMIFS(AT:AT,AM:AM,AM2836)-AO2836))</f>
      </c>
      <c r="AV2836" s="116">
        <v>0</v>
      </c>
      <c r="AW2836" s="121">
        <v>0</v>
      </c>
      <c r="AX2836" s="115">
        <f>AN2836-AP2836</f>
      </c>
    </row>
    <row r="2837" spans="1:50" ht="15" hidden="1" customHeight="1" x14ac:dyDescent="0.3">
      <c r="A2837" s="122" t="s">
        <v>151</v>
      </c>
      <c r="B2837" s="122"/>
      <c r="C2837" s="122"/>
      <c r="D2837" s="122"/>
      <c r="E2837" s="122"/>
      <c r="F2837" s="122"/>
      <c r="G2837" s="122"/>
      <c r="H2837" s="122"/>
      <c r="I2837" s="122" t="s">
        <v>152</v>
      </c>
      <c r="J2837" s="122" t="s">
        <v>170</v>
      </c>
      <c r="K2837" s="114">
        <f>P2837/3</f>
      </c>
      <c r="L2837" s="123">
        <v>0</v>
      </c>
      <c r="M2837" s="122">
        <f>L2837</f>
      </c>
      <c r="N2837" s="117">
        <f>M2837-L2837</f>
      </c>
      <c r="O2837" s="122"/>
      <c r="P2837" s="118">
        <f>N2837+O2837</f>
      </c>
      <c r="Q2837" s="122" t="s">
        <v>154</v>
      </c>
      <c r="R2837" s="122" t="s">
        <v>63</v>
      </c>
      <c r="S2837" s="122">
        <v>46320</v>
      </c>
      <c r="T2837" s="93"/>
      <c r="U2837" s="124">
        <v>46320</v>
      </c>
      <c r="V2837" s="92"/>
      <c r="W2837" s="122"/>
      <c r="X2837" s="122"/>
      <c r="Y2837" s="93">
        <v>46320</v>
      </c>
      <c r="Z2837" s="92"/>
      <c r="AA2837" s="93"/>
      <c r="AB2837" s="93"/>
      <c r="AC2837" s="93"/>
      <c r="AD2837" s="124"/>
      <c r="AE2837" s="93"/>
      <c r="AF2837" s="93"/>
      <c r="AG2837" s="122"/>
      <c r="AH2837" s="124"/>
      <c r="AI2837" s="92"/>
      <c r="AJ2837" s="92" t="s">
        <v>154</v>
      </c>
      <c r="AK2837" s="92" t="s">
        <v>171</v>
      </c>
      <c r="AL2837" s="92">
        <v>160</v>
      </c>
      <c r="AM2837" s="94" t="str">
        <f>TRIM(AJ2837)&amp;TRIM(AL2837)&amp;TRIM(AK2837)</f>
      </c>
      <c r="AN2837" s="116">
        <v>9910.3</v>
      </c>
      <c r="AO2837" s="116">
        <v>-195.3</v>
      </c>
      <c r="AP2837" s="116">
        <f>SUMIFS(M:M,AM:AM,AM2837)+SUMIFS(O:O,AM:AM,AM2837)</f>
      </c>
      <c r="AQ2837" s="116">
        <f>SUMIFS(L:L,AM:AM,AM2837)</f>
      </c>
      <c r="AR2837" s="116">
        <f>AQ2837-AP2837</f>
      </c>
      <c r="AS2837" s="94" t="str">
        <f>IF(AN2837&gt;=AQ2837,"ok","ck")</f>
      </c>
      <c r="AT2837" s="116">
        <f>-P2837</f>
      </c>
      <c r="AU2837" s="115">
        <f>IF(SUMIFS(AT:AT,AM:AM,AM2837)&gt;AO2837,(SUMIFS(AT:AT,AM:AM,AM2837)-AO2837))</f>
      </c>
      <c r="AV2837" s="116">
        <v>9910.3</v>
      </c>
      <c r="AW2837" s="121">
        <v>1.02</v>
      </c>
      <c r="AX2837" s="115">
        <f>AN2837-AP2837</f>
      </c>
    </row>
    <row r="2838" spans="1:50" ht="15" hidden="1" customHeight="1" x14ac:dyDescent="0.3">
      <c r="A2838" s="122" t="s">
        <v>151</v>
      </c>
      <c r="B2838" s="122"/>
      <c r="C2838" s="122"/>
      <c r="D2838" s="122"/>
      <c r="E2838" s="122"/>
      <c r="F2838" s="122"/>
      <c r="G2838" s="122"/>
      <c r="H2838" s="122"/>
      <c r="I2838" s="122" t="s">
        <v>152</v>
      </c>
      <c r="J2838" s="122" t="s">
        <v>170</v>
      </c>
      <c r="K2838" s="114">
        <f>P2838/3</f>
      </c>
      <c r="L2838" s="123">
        <v>107.363</v>
      </c>
      <c r="M2838" s="122">
        <f>L2838</f>
      </c>
      <c r="N2838" s="117">
        <f>M2838-L2838</f>
      </c>
      <c r="O2838" s="122"/>
      <c r="P2838" s="118">
        <f>N2838+O2838</f>
      </c>
      <c r="Q2838" s="122" t="s">
        <v>154</v>
      </c>
      <c r="R2838" s="122" t="s">
        <v>63</v>
      </c>
      <c r="S2838" s="122">
        <v>46338</v>
      </c>
      <c r="T2838" s="93"/>
      <c r="U2838" s="124">
        <v>46338</v>
      </c>
      <c r="V2838" s="92"/>
      <c r="W2838" s="122"/>
      <c r="X2838" s="122"/>
      <c r="Y2838" s="93">
        <v>46338</v>
      </c>
      <c r="Z2838" s="92"/>
      <c r="AA2838" s="93"/>
      <c r="AB2838" s="93"/>
      <c r="AC2838" s="93"/>
      <c r="AD2838" s="124"/>
      <c r="AE2838" s="93"/>
      <c r="AF2838" s="93"/>
      <c r="AG2838" s="122"/>
      <c r="AH2838" s="124"/>
      <c r="AI2838" s="92"/>
      <c r="AJ2838" s="92" t="s">
        <v>154</v>
      </c>
      <c r="AK2838" s="92" t="s">
        <v>171</v>
      </c>
      <c r="AL2838" s="92">
        <v>160</v>
      </c>
      <c r="AM2838" s="94" t="str">
        <f>TRIM(AJ2838)&amp;TRIM(AL2838)&amp;TRIM(AK2838)</f>
      </c>
      <c r="AN2838" s="116">
        <v>9910.3</v>
      </c>
      <c r="AO2838" s="116">
        <v>-195.3</v>
      </c>
      <c r="AP2838" s="116">
        <f>SUMIFS(M:M,AM:AM,AM2838)+SUMIFS(O:O,AM:AM,AM2838)</f>
      </c>
      <c r="AQ2838" s="116">
        <f>SUMIFS(L:L,AM:AM,AM2838)</f>
      </c>
      <c r="AR2838" s="116">
        <f>AQ2838-AP2838</f>
      </c>
      <c r="AS2838" s="94" t="str">
        <f>IF(AN2838&gt;=AQ2838,"ok","ck")</f>
      </c>
      <c r="AT2838" s="116">
        <f>-P2838</f>
      </c>
      <c r="AU2838" s="115">
        <f>IF(SUMIFS(AT:AT,AM:AM,AM2838)&gt;AO2838,(SUMIFS(AT:AT,AM:AM,AM2838)-AO2838))</f>
      </c>
      <c r="AV2838" s="116">
        <v>9910.3</v>
      </c>
      <c r="AW2838" s="121">
        <v>1.02</v>
      </c>
      <c r="AX2838" s="115">
        <f>AN2838-AP2838</f>
      </c>
    </row>
    <row r="2839" spans="1:50" ht="15" hidden="1" customHeight="1" x14ac:dyDescent="0.3">
      <c r="A2839" s="122" t="s">
        <v>151</v>
      </c>
      <c r="B2839" s="122"/>
      <c r="C2839" s="122"/>
      <c r="D2839" s="122"/>
      <c r="E2839" s="122"/>
      <c r="F2839" s="122"/>
      <c r="G2839" s="122"/>
      <c r="H2839" s="122"/>
      <c r="I2839" s="122" t="s">
        <v>152</v>
      </c>
      <c r="J2839" s="122" t="s">
        <v>228</v>
      </c>
      <c r="K2839" s="114">
        <f>P2839/3</f>
      </c>
      <c r="L2839" s="123">
        <v>0</v>
      </c>
      <c r="M2839" s="122">
        <f>L2839</f>
      </c>
      <c r="N2839" s="117">
        <f>M2839-L2839</f>
      </c>
      <c r="O2839" s="122"/>
      <c r="P2839" s="118">
        <f>N2839+O2839</f>
      </c>
      <c r="Q2839" s="122" t="s">
        <v>154</v>
      </c>
      <c r="R2839" s="122" t="s">
        <v>63</v>
      </c>
      <c r="S2839" s="122">
        <v>46320</v>
      </c>
      <c r="T2839" s="93"/>
      <c r="U2839" s="124">
        <v>46320</v>
      </c>
      <c r="V2839" s="92"/>
      <c r="W2839" s="122"/>
      <c r="X2839" s="122"/>
      <c r="Y2839" s="93">
        <v>46320</v>
      </c>
      <c r="Z2839" s="92"/>
      <c r="AA2839" s="93"/>
      <c r="AB2839" s="93"/>
      <c r="AC2839" s="93"/>
      <c r="AD2839" s="124"/>
      <c r="AE2839" s="93"/>
      <c r="AF2839" s="93"/>
      <c r="AG2839" s="122"/>
      <c r="AH2839" s="124"/>
      <c r="AI2839" s="92"/>
      <c r="AJ2839" s="92" t="s">
        <v>154</v>
      </c>
      <c r="AK2839" s="92" t="s">
        <v>229</v>
      </c>
      <c r="AL2839" s="92">
        <v>160</v>
      </c>
      <c r="AM2839" s="94" t="str">
        <f>TRIM(AJ2839)&amp;TRIM(AL2839)&amp;TRIM(AK2839)</f>
      </c>
      <c r="AN2839" s="116">
        <v>8053.14</v>
      </c>
      <c r="AO2839" s="116">
        <v>-173.14</v>
      </c>
      <c r="AP2839" s="116">
        <f>SUMIFS(M:M,AM:AM,AM2839)+SUMIFS(O:O,AM:AM,AM2839)</f>
      </c>
      <c r="AQ2839" s="116">
        <f>SUMIFS(L:L,AM:AM,AM2839)</f>
      </c>
      <c r="AR2839" s="116">
        <f>AQ2839-AP2839</f>
      </c>
      <c r="AS2839" s="94" t="str">
        <f>IF(AN2839&gt;=AQ2839,"ok","ck")</f>
      </c>
      <c r="AT2839" s="116">
        <f>-P2839</f>
      </c>
      <c r="AU2839" s="115">
        <f>IF(SUMIFS(AT:AT,AM:AM,AM2839)&gt;AO2839,(SUMIFS(AT:AT,AM:AM,AM2839)-AO2839))</f>
      </c>
      <c r="AV2839" s="116">
        <v>8053.14</v>
      </c>
      <c r="AW2839" s="121">
        <v>1.022</v>
      </c>
      <c r="AX2839" s="115">
        <f>AN2839-AP2839</f>
      </c>
    </row>
    <row r="2840" spans="1:50" ht="15" hidden="1" customHeight="1" x14ac:dyDescent="0.3">
      <c r="A2840" s="122" t="s">
        <v>151</v>
      </c>
      <c r="B2840" s="122"/>
      <c r="C2840" s="122"/>
      <c r="D2840" s="122"/>
      <c r="E2840" s="122"/>
      <c r="F2840" s="122"/>
      <c r="G2840" s="122"/>
      <c r="H2840" s="122"/>
      <c r="I2840" s="122" t="s">
        <v>152</v>
      </c>
      <c r="J2840" s="122" t="s">
        <v>228</v>
      </c>
      <c r="K2840" s="114">
        <f>P2840/3</f>
      </c>
      <c r="L2840" s="123">
        <v>0</v>
      </c>
      <c r="M2840" s="122">
        <f>L2840</f>
      </c>
      <c r="N2840" s="117">
        <f>M2840-L2840</f>
      </c>
      <c r="O2840" s="122"/>
      <c r="P2840" s="118">
        <f>N2840+O2840</f>
      </c>
      <c r="Q2840" s="122" t="s">
        <v>154</v>
      </c>
      <c r="R2840" s="122" t="s">
        <v>63</v>
      </c>
      <c r="S2840" s="122">
        <v>46320</v>
      </c>
      <c r="T2840" s="93"/>
      <c r="U2840" s="124">
        <v>46320</v>
      </c>
      <c r="V2840" s="92"/>
      <c r="W2840" s="122"/>
      <c r="X2840" s="122"/>
      <c r="Y2840" s="93">
        <v>46320</v>
      </c>
      <c r="Z2840" s="92"/>
      <c r="AA2840" s="93"/>
      <c r="AB2840" s="93"/>
      <c r="AC2840" s="93"/>
      <c r="AD2840" s="124"/>
      <c r="AE2840" s="93"/>
      <c r="AF2840" s="93"/>
      <c r="AG2840" s="122"/>
      <c r="AH2840" s="124"/>
      <c r="AI2840" s="92"/>
      <c r="AJ2840" s="92" t="s">
        <v>154</v>
      </c>
      <c r="AK2840" s="92" t="s">
        <v>229</v>
      </c>
      <c r="AL2840" s="92">
        <v>160</v>
      </c>
      <c r="AM2840" s="94" t="str">
        <f>TRIM(AJ2840)&amp;TRIM(AL2840)&amp;TRIM(AK2840)</f>
      </c>
      <c r="AN2840" s="116">
        <v>8053.14</v>
      </c>
      <c r="AO2840" s="116">
        <v>-173.14</v>
      </c>
      <c r="AP2840" s="116">
        <f>SUMIFS(M:M,AM:AM,AM2840)+SUMIFS(O:O,AM:AM,AM2840)</f>
      </c>
      <c r="AQ2840" s="116">
        <f>SUMIFS(L:L,AM:AM,AM2840)</f>
      </c>
      <c r="AR2840" s="116">
        <f>AQ2840-AP2840</f>
      </c>
      <c r="AS2840" s="94" t="str">
        <f>IF(AN2840&gt;=AQ2840,"ok","ck")</f>
      </c>
      <c r="AT2840" s="116">
        <f>-P2840</f>
      </c>
      <c r="AU2840" s="115">
        <f>IF(SUMIFS(AT:AT,AM:AM,AM2840)&gt;AO2840,(SUMIFS(AT:AT,AM:AM,AM2840)-AO2840))</f>
      </c>
      <c r="AV2840" s="116">
        <v>8053.14</v>
      </c>
      <c r="AW2840" s="121">
        <v>1.022</v>
      </c>
      <c r="AX2840" s="115">
        <f>AN2840-AP2840</f>
      </c>
    </row>
    <row r="2841" spans="1:50" ht="15" hidden="1" customHeight="1" x14ac:dyDescent="0.3">
      <c r="A2841" s="122" t="s">
        <v>151</v>
      </c>
      <c r="B2841" s="122"/>
      <c r="C2841" s="122"/>
      <c r="D2841" s="122"/>
      <c r="E2841" s="122"/>
      <c r="F2841" s="122"/>
      <c r="G2841" s="122"/>
      <c r="H2841" s="122"/>
      <c r="I2841" s="122" t="s">
        <v>152</v>
      </c>
      <c r="J2841" s="122" t="s">
        <v>228</v>
      </c>
      <c r="K2841" s="114">
        <f>P2841/3</f>
      </c>
      <c r="L2841" s="123">
        <v>0</v>
      </c>
      <c r="M2841" s="122">
        <f>L2841</f>
      </c>
      <c r="N2841" s="117">
        <f>M2841-L2841</f>
      </c>
      <c r="O2841" s="122"/>
      <c r="P2841" s="118">
        <f>N2841+O2841</f>
      </c>
      <c r="Q2841" s="122" t="s">
        <v>154</v>
      </c>
      <c r="R2841" s="122" t="s">
        <v>63</v>
      </c>
      <c r="S2841" s="122">
        <v>46328</v>
      </c>
      <c r="T2841" s="93"/>
      <c r="U2841" s="124">
        <v>46328</v>
      </c>
      <c r="V2841" s="92"/>
      <c r="W2841" s="122"/>
      <c r="X2841" s="122"/>
      <c r="Y2841" s="93">
        <v>46328</v>
      </c>
      <c r="Z2841" s="92"/>
      <c r="AA2841" s="93"/>
      <c r="AB2841" s="93"/>
      <c r="AC2841" s="93"/>
      <c r="AD2841" s="124"/>
      <c r="AE2841" s="93"/>
      <c r="AF2841" s="93"/>
      <c r="AG2841" s="122"/>
      <c r="AH2841" s="124"/>
      <c r="AI2841" s="92"/>
      <c r="AJ2841" s="92" t="s">
        <v>154</v>
      </c>
      <c r="AK2841" s="92" t="s">
        <v>229</v>
      </c>
      <c r="AL2841" s="92">
        <v>160</v>
      </c>
      <c r="AM2841" s="94" t="str">
        <f>TRIM(AJ2841)&amp;TRIM(AL2841)&amp;TRIM(AK2841)</f>
      </c>
      <c r="AN2841" s="116">
        <v>8053.14</v>
      </c>
      <c r="AO2841" s="116">
        <v>-173.14</v>
      </c>
      <c r="AP2841" s="116">
        <f>SUMIFS(M:M,AM:AM,AM2841)+SUMIFS(O:O,AM:AM,AM2841)</f>
      </c>
      <c r="AQ2841" s="116">
        <f>SUMIFS(L:L,AM:AM,AM2841)</f>
      </c>
      <c r="AR2841" s="116">
        <f>AQ2841-AP2841</f>
      </c>
      <c r="AS2841" s="94" t="str">
        <f>IF(AN2841&gt;=AQ2841,"ok","ck")</f>
      </c>
      <c r="AT2841" s="116">
        <f>-P2841</f>
      </c>
      <c r="AU2841" s="115">
        <f>IF(SUMIFS(AT:AT,AM:AM,AM2841)&gt;AO2841,(SUMIFS(AT:AT,AM:AM,AM2841)-AO2841))</f>
      </c>
      <c r="AV2841" s="116">
        <v>8053.14</v>
      </c>
      <c r="AW2841" s="121">
        <v>1.022</v>
      </c>
      <c r="AX2841" s="115">
        <f>AN2841-AP2841</f>
      </c>
    </row>
    <row r="2842" spans="1:50" ht="15" hidden="1" customHeight="1" x14ac:dyDescent="0.3">
      <c r="A2842" s="122" t="s">
        <v>151</v>
      </c>
      <c r="B2842" s="122"/>
      <c r="C2842" s="122"/>
      <c r="D2842" s="122"/>
      <c r="E2842" s="122"/>
      <c r="F2842" s="122"/>
      <c r="G2842" s="122"/>
      <c r="H2842" s="122"/>
      <c r="I2842" s="122" t="s">
        <v>152</v>
      </c>
      <c r="J2842" s="122" t="s">
        <v>228</v>
      </c>
      <c r="K2842" s="114">
        <f>P2842/3</f>
      </c>
      <c r="L2842" s="123">
        <v>0</v>
      </c>
      <c r="M2842" s="122">
        <f>L2842</f>
      </c>
      <c r="N2842" s="117">
        <f>M2842-L2842</f>
      </c>
      <c r="O2842" s="122"/>
      <c r="P2842" s="118">
        <f>N2842+O2842</f>
      </c>
      <c r="Q2842" s="122" t="s">
        <v>154</v>
      </c>
      <c r="R2842" s="122" t="s">
        <v>63</v>
      </c>
      <c r="S2842" s="122">
        <v>46322</v>
      </c>
      <c r="T2842" s="93"/>
      <c r="U2842" s="124">
        <v>46322</v>
      </c>
      <c r="V2842" s="92"/>
      <c r="W2842" s="122"/>
      <c r="X2842" s="122"/>
      <c r="Y2842" s="93">
        <v>46322</v>
      </c>
      <c r="Z2842" s="92"/>
      <c r="AA2842" s="93"/>
      <c r="AB2842" s="93"/>
      <c r="AC2842" s="93"/>
      <c r="AD2842" s="124"/>
      <c r="AE2842" s="93"/>
      <c r="AF2842" s="93"/>
      <c r="AG2842" s="122"/>
      <c r="AH2842" s="124"/>
      <c r="AI2842" s="92"/>
      <c r="AJ2842" s="92" t="s">
        <v>154</v>
      </c>
      <c r="AK2842" s="92" t="s">
        <v>229</v>
      </c>
      <c r="AL2842" s="92">
        <v>160</v>
      </c>
      <c r="AM2842" s="94" t="str">
        <f>TRIM(AJ2842)&amp;TRIM(AL2842)&amp;TRIM(AK2842)</f>
      </c>
      <c r="AN2842" s="116">
        <v>8053.14</v>
      </c>
      <c r="AO2842" s="116">
        <v>-173.14</v>
      </c>
      <c r="AP2842" s="116">
        <f>SUMIFS(M:M,AM:AM,AM2842)+SUMIFS(O:O,AM:AM,AM2842)</f>
      </c>
      <c r="AQ2842" s="116">
        <f>SUMIFS(L:L,AM:AM,AM2842)</f>
      </c>
      <c r="AR2842" s="116">
        <f>AQ2842-AP2842</f>
      </c>
      <c r="AS2842" s="94" t="str">
        <f>IF(AN2842&gt;=AQ2842,"ok","ck")</f>
      </c>
      <c r="AT2842" s="116">
        <f>-P2842</f>
      </c>
      <c r="AU2842" s="115">
        <f>IF(SUMIFS(AT:AT,AM:AM,AM2842)&gt;AO2842,(SUMIFS(AT:AT,AM:AM,AM2842)-AO2842))</f>
      </c>
      <c r="AV2842" s="116">
        <v>8053.14</v>
      </c>
      <c r="AW2842" s="121">
        <v>1.022</v>
      </c>
      <c r="AX2842" s="115">
        <f>AN2842-AP2842</f>
      </c>
    </row>
    <row r="2843" spans="1:50" ht="15" hidden="1" customHeight="1" x14ac:dyDescent="0.3">
      <c r="A2843" s="122" t="s">
        <v>151</v>
      </c>
      <c r="B2843" s="122"/>
      <c r="C2843" s="122"/>
      <c r="D2843" s="122"/>
      <c r="E2843" s="122"/>
      <c r="F2843" s="122"/>
      <c r="G2843" s="122"/>
      <c r="H2843" s="122"/>
      <c r="I2843" s="122" t="s">
        <v>152</v>
      </c>
      <c r="J2843" s="122" t="s">
        <v>228</v>
      </c>
      <c r="K2843" s="114">
        <f>P2843/3</f>
      </c>
      <c r="L2843" s="123">
        <v>68.819999999999993</v>
      </c>
      <c r="M2843" s="122">
        <f>L2843</f>
      </c>
      <c r="N2843" s="117">
        <f>M2843-L2843</f>
      </c>
      <c r="O2843" s="122"/>
      <c r="P2843" s="118">
        <f>N2843+O2843</f>
      </c>
      <c r="Q2843" s="122" t="s">
        <v>154</v>
      </c>
      <c r="R2843" s="122" t="s">
        <v>63</v>
      </c>
      <c r="S2843" s="122">
        <v>46335</v>
      </c>
      <c r="T2843" s="93"/>
      <c r="U2843" s="124">
        <v>46335</v>
      </c>
      <c r="V2843" s="92"/>
      <c r="W2843" s="122"/>
      <c r="X2843" s="122"/>
      <c r="Y2843" s="93">
        <v>46335</v>
      </c>
      <c r="Z2843" s="92"/>
      <c r="AA2843" s="93"/>
      <c r="AB2843" s="93"/>
      <c r="AC2843" s="93"/>
      <c r="AD2843" s="124"/>
      <c r="AE2843" s="93"/>
      <c r="AF2843" s="93"/>
      <c r="AG2843" s="122"/>
      <c r="AH2843" s="124"/>
      <c r="AI2843" s="92"/>
      <c r="AJ2843" s="92" t="s">
        <v>154</v>
      </c>
      <c r="AK2843" s="92" t="s">
        <v>229</v>
      </c>
      <c r="AL2843" s="92">
        <v>160</v>
      </c>
      <c r="AM2843" s="94" t="str">
        <f>TRIM(AJ2843)&amp;TRIM(AL2843)&amp;TRIM(AK2843)</f>
      </c>
      <c r="AN2843" s="116">
        <v>8053.14</v>
      </c>
      <c r="AO2843" s="116">
        <v>-173.14</v>
      </c>
      <c r="AP2843" s="116">
        <f>SUMIFS(M:M,AM:AM,AM2843)+SUMIFS(O:O,AM:AM,AM2843)</f>
      </c>
      <c r="AQ2843" s="116">
        <f>SUMIFS(L:L,AM:AM,AM2843)</f>
      </c>
      <c r="AR2843" s="116">
        <f>AQ2843-AP2843</f>
      </c>
      <c r="AS2843" s="94" t="str">
        <f>IF(AN2843&gt;=AQ2843,"ok","ck")</f>
      </c>
      <c r="AT2843" s="116">
        <f>-P2843</f>
      </c>
      <c r="AU2843" s="115">
        <f>IF(SUMIFS(AT:AT,AM:AM,AM2843)&gt;AO2843,(SUMIFS(AT:AT,AM:AM,AM2843)-AO2843))</f>
      </c>
      <c r="AV2843" s="116">
        <v>8053.14</v>
      </c>
      <c r="AW2843" s="121">
        <v>1.022</v>
      </c>
      <c r="AX2843" s="115">
        <f>AN2843-AP2843</f>
      </c>
    </row>
    <row r="2844" spans="1:50" ht="15" hidden="1" customHeight="1" x14ac:dyDescent="0.3">
      <c r="A2844" s="122" t="s">
        <v>151</v>
      </c>
      <c r="B2844" s="122"/>
      <c r="C2844" s="122"/>
      <c r="D2844" s="122"/>
      <c r="E2844" s="122"/>
      <c r="F2844" s="122"/>
      <c r="G2844" s="122"/>
      <c r="H2844" s="122"/>
      <c r="I2844" s="122" t="s">
        <v>152</v>
      </c>
      <c r="J2844" s="122" t="s">
        <v>156</v>
      </c>
      <c r="K2844" s="114">
        <f>P2844/3</f>
      </c>
      <c r="L2844" s="123">
        <v>0</v>
      </c>
      <c r="M2844" s="122">
        <f>L2844</f>
      </c>
      <c r="N2844" s="117">
        <f>M2844-L2844</f>
      </c>
      <c r="O2844" s="122"/>
      <c r="P2844" s="118">
        <f>N2844+O2844</f>
      </c>
      <c r="Q2844" s="122" t="s">
        <v>161</v>
      </c>
      <c r="R2844" s="122" t="s">
        <v>63</v>
      </c>
      <c r="S2844" s="122">
        <v>46320</v>
      </c>
      <c r="T2844" s="93"/>
      <c r="U2844" s="124">
        <v>46320</v>
      </c>
      <c r="V2844" s="92"/>
      <c r="W2844" s="122"/>
      <c r="X2844" s="122"/>
      <c r="Y2844" s="93">
        <v>46320</v>
      </c>
      <c r="Z2844" s="92"/>
      <c r="AA2844" s="93"/>
      <c r="AB2844" s="93"/>
      <c r="AC2844" s="93"/>
      <c r="AD2844" s="124"/>
      <c r="AE2844" s="93"/>
      <c r="AF2844" s="93"/>
      <c r="AG2844" s="122"/>
      <c r="AH2844" s="124"/>
      <c r="AI2844" s="92"/>
      <c r="AJ2844" s="92" t="s">
        <v>161</v>
      </c>
      <c r="AK2844" s="92" t="s">
        <v>162</v>
      </c>
      <c r="AL2844" s="92">
        <v>160</v>
      </c>
      <c r="AM2844" s="94" t="str">
        <f>TRIM(AJ2844)&amp;TRIM(AL2844)&amp;TRIM(AK2844)</f>
      </c>
      <c r="AN2844" s="116">
        <v>121.15</v>
      </c>
      <c r="AO2844" s="116">
        <v>-1.15</v>
      </c>
      <c r="AP2844" s="116">
        <f>SUMIFS(M:M,AM:AM,AM2844)+SUMIFS(O:O,AM:AM,AM2844)</f>
      </c>
      <c r="AQ2844" s="116">
        <f>SUMIFS(L:L,AM:AM,AM2844)</f>
      </c>
      <c r="AR2844" s="116">
        <f>AQ2844-AP2844</f>
      </c>
      <c r="AS2844" s="94" t="str">
        <f>IF(AN2844&gt;=AQ2844,"ok","ck")</f>
      </c>
      <c r="AT2844" s="116">
        <f>-P2844</f>
      </c>
      <c r="AU2844" s="115">
        <f>IF(SUMIFS(AT:AT,AM:AM,AM2844)&gt;AO2844,(SUMIFS(AT:AT,AM:AM,AM2844)-AO2844))</f>
      </c>
      <c r="AV2844" s="116">
        <v>121.15</v>
      </c>
      <c r="AW2844" s="121">
        <v>1.01</v>
      </c>
      <c r="AX2844" s="115">
        <f>AN2844-AP2844</f>
      </c>
    </row>
  </sheetData>
  <autoFilter ref="A2:AX2844" xr:uid="{00000000-0001-0000-0100-000000000000}">
    <filterColumn colId="0">
      <filters>
        <filter val="M &amp; S - T61 (KPK)"/>
        <filter val="T61-KPK"/>
      </filters>
    </filterColumn>
    <filterColumn colId="16">
      <filters blank="1"/>
    </filterColumn>
  </autoFilter>
  <conditionalFormatting sqref="C723">
    <cfRule type="duplicateValues" dxfId="6" priority="9"/>
  </conditionalFormatting>
  <conditionalFormatting sqref="H1:H1048576">
    <cfRule type="duplicateValues" dxfId="5" priority="8"/>
  </conditionalFormatting>
  <conditionalFormatting sqref="I1">
    <cfRule type="duplicateValues" dxfId="4" priority="7"/>
  </conditionalFormatting>
  <conditionalFormatting sqref="W1:W1048576">
    <cfRule type="containsText" dxfId="3" priority="5" operator="containsText" text="RFD">
      <formula>NOT(ISERROR(SEARCH("RFD",W1)))</formula>
    </cfRule>
    <cfRule type="containsText" dxfId="2" priority="6" operator="containsText" text="CLOSED">
      <formula>NOT(ISERROR(SEARCH("CLOSED",W1)))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4356"/>
  </sheetPr>
  <dimension ref="A1:K97"/>
  <sheetViews>
    <sheetView showGridLines="0" zoomScaleNormal="110" workbookViewId="0">
      <pane xSplit="1" ySplit="4" topLeftCell="B50" activePane="bottomRight" state="frozen"/>
      <selection pane="topRight" activeCell="I77" sqref="I77:J88"/>
      <selection pane="bottomLeft" activeCell="I77" sqref="I77:J88"/>
      <selection pane="bottomRight" activeCell="E56" sqref="E56"/>
    </sheetView>
  </sheetViews>
  <sheetFormatPr defaultRowHeight="14.4" x14ac:dyDescent="0.3"/>
  <cols>
    <col min="1" max="1" width="22" style="10" customWidth="1"/>
    <col min="2" max="2" width="16" style="7" bestFit="1" customWidth="1"/>
    <col min="3" max="3" width="16" customWidth="1"/>
    <col min="4" max="4" width="16" bestFit="1" customWidth="1"/>
    <col min="5" max="5" width="16" customWidth="1"/>
    <col min="6" max="6" width="16" bestFit="1" customWidth="1"/>
    <col min="7" max="7" width="15" bestFit="1" customWidth="1"/>
    <col min="8" max="8" width="4" customWidth="1"/>
    <col min="9" max="9" width="8" bestFit="1" customWidth="1"/>
    <col min="10" max="11" width="4" customWidth="1"/>
  </cols>
  <sheetData>
    <row r="1" spans="1:7" ht="18" customHeight="1" x14ac:dyDescent="0.35">
      <c r="A1" s="35" t="s">
        <v>465</v>
      </c>
    </row>
    <row r="2" spans="1:7" x14ac:dyDescent="0.3">
      <c r="A2" s="36" t="s">
        <v>466</v>
      </c>
    </row>
    <row r="4" spans="1:7" ht="30" customHeight="1" x14ac:dyDescent="0.3">
      <c r="A4"/>
      <c r="B4" s="91" t="s">
        <v>474</v>
      </c>
      <c r="G4" s="33" t="s">
        <v>472</v>
      </c>
    </row>
    <row r="5" spans="1:7" x14ac:dyDescent="0.3">
      <c r="A5" s="11" t="s">
        <v>30</v>
      </c>
      <c r="B5" t="s">
        <v>467</v>
      </c>
      <c r="C5" t="s">
        <v>468</v>
      </c>
      <c r="D5" t="s">
        <v>469</v>
      </c>
      <c r="E5" t="s">
        <v>470</v>
      </c>
      <c r="F5" t="s">
        <v>471</v>
      </c>
      <c r="G5" s="37" t="str">
        <f t="shared" ref="G5:G36" si="0">IFERROR(C5/B5,"")</f>
        <v/>
      </c>
    </row>
    <row r="6" spans="1:7" x14ac:dyDescent="0.3">
      <c r="A6" s="5">
        <v>46296</v>
      </c>
      <c r="B6" s="7">
        <v>35895.565000000002</v>
      </c>
      <c r="C6" s="7">
        <v>35128.563000000002</v>
      </c>
      <c r="D6" s="7">
        <v>-767.00200000000007</v>
      </c>
      <c r="E6" s="7"/>
      <c r="F6" s="7">
        <v>-767.00200000000007</v>
      </c>
      <c r="G6" s="37">
        <f t="shared" si="0"/>
        <v>0.97863240208086988</v>
      </c>
    </row>
    <row r="7" spans="1:7" x14ac:dyDescent="0.3">
      <c r="A7" s="5">
        <v>46297</v>
      </c>
      <c r="B7" s="7">
        <v>29183.722000000002</v>
      </c>
      <c r="C7" s="7">
        <v>29183.722000000002</v>
      </c>
      <c r="D7" s="7">
        <v>0</v>
      </c>
      <c r="E7" s="7"/>
      <c r="F7" s="7">
        <v>0</v>
      </c>
      <c r="G7" s="37">
        <f t="shared" si="0"/>
        <v>1</v>
      </c>
    </row>
    <row r="8" spans="1:7" x14ac:dyDescent="0.3">
      <c r="A8" s="5">
        <v>46298</v>
      </c>
      <c r="B8" s="7">
        <v>40859.231999999996</v>
      </c>
      <c r="C8" s="7">
        <v>40369.291999999994</v>
      </c>
      <c r="D8" s="7">
        <v>-489.94</v>
      </c>
      <c r="E8" s="7"/>
      <c r="F8" s="7">
        <v>-489.94</v>
      </c>
      <c r="G8" s="37">
        <f t="shared" si="0"/>
        <v>0.98800907466885324</v>
      </c>
    </row>
    <row r="9" spans="1:7" ht="14.25" customHeight="1" x14ac:dyDescent="0.3">
      <c r="A9" s="5">
        <v>46299</v>
      </c>
      <c r="B9" s="7">
        <v>74983.186000000016</v>
      </c>
      <c r="C9" s="7">
        <v>72636.546000000031</v>
      </c>
      <c r="D9" s="7">
        <v>-2346.64</v>
      </c>
      <c r="E9" s="7"/>
      <c r="F9" s="7">
        <v>-2346.64</v>
      </c>
      <c r="G9" s="37">
        <f t="shared" si="0"/>
        <v>0.96870445062177024</v>
      </c>
    </row>
    <row r="10" spans="1:7" x14ac:dyDescent="0.3">
      <c r="A10" s="5">
        <v>46300</v>
      </c>
      <c r="B10" s="7">
        <v>49807.677000000003</v>
      </c>
      <c r="C10" s="7">
        <v>49443.964</v>
      </c>
      <c r="D10" s="7">
        <v>-363.71300000000002</v>
      </c>
      <c r="E10" s="7"/>
      <c r="F10" s="7">
        <v>-363.71300000000002</v>
      </c>
      <c r="G10" s="37">
        <f t="shared" si="0"/>
        <v>0.9926976518097802</v>
      </c>
    </row>
    <row r="11" spans="1:7" x14ac:dyDescent="0.3">
      <c r="A11" s="5">
        <v>46301</v>
      </c>
      <c r="B11" s="7">
        <v>20835.634000000002</v>
      </c>
      <c r="C11" s="7">
        <v>20716.874</v>
      </c>
      <c r="D11" s="7">
        <v>-118.75999999999999</v>
      </c>
      <c r="E11" s="7"/>
      <c r="F11" s="7">
        <v>-118.75999999999999</v>
      </c>
      <c r="G11" s="37">
        <f t="shared" si="0"/>
        <v>0.99430014944589629</v>
      </c>
    </row>
    <row r="12" spans="1:7" x14ac:dyDescent="0.3">
      <c r="A12" s="5">
        <v>46302</v>
      </c>
      <c r="B12" s="7">
        <v>45186.572000000007</v>
      </c>
      <c r="C12" s="7">
        <v>44162.392000000007</v>
      </c>
      <c r="D12" s="7">
        <v>-1024.1800000000003</v>
      </c>
      <c r="E12" s="7"/>
      <c r="F12" s="7">
        <v>-1024.1800000000003</v>
      </c>
      <c r="G12" s="37">
        <f t="shared" si="0"/>
        <v>0.97733441695909129</v>
      </c>
    </row>
    <row r="13" spans="1:7" x14ac:dyDescent="0.3">
      <c r="A13" s="5">
        <v>46303</v>
      </c>
      <c r="B13" s="7">
        <v>21927.651000000002</v>
      </c>
      <c r="C13" s="7">
        <v>20615.889999999996</v>
      </c>
      <c r="D13" s="7">
        <v>-1311.761</v>
      </c>
      <c r="E13" s="7"/>
      <c r="F13" s="7">
        <v>-1311.761</v>
      </c>
      <c r="G13" s="37">
        <f t="shared" si="0"/>
        <v>0.9401777691554829</v>
      </c>
    </row>
    <row r="14" spans="1:7" x14ac:dyDescent="0.3">
      <c r="A14" s="5">
        <v>46304</v>
      </c>
      <c r="B14" s="7">
        <v>25175.1</v>
      </c>
      <c r="C14" s="7">
        <v>25174.887999999999</v>
      </c>
      <c r="D14" s="7">
        <v>-0.21199999999998909</v>
      </c>
      <c r="E14" s="7"/>
      <c r="F14" s="7">
        <v>-0.21199999999998909</v>
      </c>
      <c r="G14" s="37">
        <f t="shared" si="0"/>
        <v>0.99999157898081836</v>
      </c>
    </row>
    <row r="15" spans="1:7" x14ac:dyDescent="0.3">
      <c r="A15" s="5">
        <v>46305</v>
      </c>
      <c r="B15" s="7">
        <v>54032.272000000004</v>
      </c>
      <c r="C15" s="7">
        <v>35099.635999999999</v>
      </c>
      <c r="D15" s="7">
        <v>-18932.636000000002</v>
      </c>
      <c r="E15" s="7"/>
      <c r="F15" s="7">
        <v>-18932.636000000002</v>
      </c>
      <c r="G15" s="37">
        <f t="shared" si="0"/>
        <v>0.6496050360421638</v>
      </c>
    </row>
    <row r="16" spans="1:7" x14ac:dyDescent="0.3">
      <c r="A16" s="5">
        <v>46306</v>
      </c>
      <c r="B16" s="7">
        <v>43780.515000000021</v>
      </c>
      <c r="C16" s="7">
        <v>42213.655000000021</v>
      </c>
      <c r="D16" s="7">
        <v>-1566.8600000000001</v>
      </c>
      <c r="E16" s="7"/>
      <c r="F16" s="7">
        <v>-1566.8600000000001</v>
      </c>
      <c r="G16" s="37">
        <f t="shared" si="0"/>
        <v>0.96421101944552279</v>
      </c>
    </row>
    <row r="17" spans="1:11" x14ac:dyDescent="0.3">
      <c r="A17" s="5">
        <v>46307</v>
      </c>
      <c r="B17" s="7">
        <v>24063.956999999999</v>
      </c>
      <c r="C17" s="7">
        <v>20445.178</v>
      </c>
      <c r="D17" s="7">
        <v>-3618.779</v>
      </c>
      <c r="E17" s="7"/>
      <c r="F17" s="7">
        <v>-3618.779</v>
      </c>
      <c r="G17" s="37">
        <f t="shared" si="0"/>
        <v>0.84961829012576784</v>
      </c>
    </row>
    <row r="18" spans="1:11" x14ac:dyDescent="0.3">
      <c r="A18" s="5">
        <v>46308</v>
      </c>
      <c r="B18" s="7">
        <v>35225.406999999992</v>
      </c>
      <c r="C18" s="7">
        <v>30612.254000000001</v>
      </c>
      <c r="D18" s="7">
        <v>-4613.1529999999993</v>
      </c>
      <c r="E18" s="7"/>
      <c r="F18" s="7">
        <v>-4613.1529999999993</v>
      </c>
      <c r="G18" s="37">
        <f t="shared" si="0"/>
        <v>0.86903904332460968</v>
      </c>
    </row>
    <row r="19" spans="1:11" ht="14.25" customHeight="1" x14ac:dyDescent="0.3">
      <c r="A19" s="5">
        <v>46309</v>
      </c>
      <c r="B19" s="7">
        <v>24300.256000000001</v>
      </c>
      <c r="C19" s="7">
        <v>20426.703000000005</v>
      </c>
      <c r="D19" s="7">
        <v>-3873.5529999999994</v>
      </c>
      <c r="E19" s="7"/>
      <c r="F19" s="7">
        <v>-3873.5529999999994</v>
      </c>
      <c r="G19" s="37">
        <f t="shared" si="0"/>
        <v>0.84059620606466057</v>
      </c>
    </row>
    <row r="20" spans="1:11" x14ac:dyDescent="0.3">
      <c r="A20" s="5">
        <v>46310</v>
      </c>
      <c r="B20" s="7">
        <v>53540.795999999973</v>
      </c>
      <c r="C20" s="7">
        <v>41291.312999999995</v>
      </c>
      <c r="D20" s="7">
        <v>-12249.483000000002</v>
      </c>
      <c r="E20" s="7"/>
      <c r="F20" s="7">
        <v>-12249.483000000002</v>
      </c>
      <c r="G20" s="37">
        <f t="shared" si="0"/>
        <v>0.77121216128351955</v>
      </c>
    </row>
    <row r="21" spans="1:11" x14ac:dyDescent="0.3">
      <c r="A21" s="5">
        <v>46311</v>
      </c>
      <c r="B21" s="7">
        <v>27694.829999999994</v>
      </c>
      <c r="C21" s="7">
        <v>17797.830999999998</v>
      </c>
      <c r="D21" s="7">
        <v>-9896.9989999999998</v>
      </c>
      <c r="E21" s="7"/>
      <c r="F21" s="7">
        <v>-9896.9989999999998</v>
      </c>
      <c r="G21" s="37">
        <f t="shared" si="0"/>
        <v>0.64264091890074793</v>
      </c>
    </row>
    <row r="22" spans="1:11" x14ac:dyDescent="0.3">
      <c r="A22" s="5">
        <v>46312</v>
      </c>
      <c r="B22" s="7">
        <v>20344.752000000004</v>
      </c>
      <c r="C22" s="7">
        <v>15564.035999999998</v>
      </c>
      <c r="D22" s="7">
        <v>-4780.7159999999994</v>
      </c>
      <c r="E22" s="7"/>
      <c r="F22" s="7">
        <v>-4780.7159999999994</v>
      </c>
      <c r="G22" s="37">
        <f t="shared" si="0"/>
        <v>0.76501478120745803</v>
      </c>
      <c r="K22" s="9"/>
    </row>
    <row r="23" spans="1:11" x14ac:dyDescent="0.3">
      <c r="A23" s="5">
        <v>46313</v>
      </c>
      <c r="B23" s="7">
        <v>43254.681000000019</v>
      </c>
      <c r="C23" s="7">
        <v>37414.256000000016</v>
      </c>
      <c r="D23" s="7">
        <v>-5840.4249999999993</v>
      </c>
      <c r="E23" s="7"/>
      <c r="F23" s="7">
        <v>-5840.4249999999993</v>
      </c>
      <c r="G23" s="37">
        <f t="shared" si="0"/>
        <v>0.86497588550011495</v>
      </c>
    </row>
    <row r="24" spans="1:11" ht="14.25" customHeight="1" x14ac:dyDescent="0.3">
      <c r="A24" s="5">
        <v>46314</v>
      </c>
      <c r="B24" s="7">
        <v>21483.275999999998</v>
      </c>
      <c r="C24" s="7">
        <v>15147.776</v>
      </c>
      <c r="D24" s="7">
        <v>-6335.5</v>
      </c>
      <c r="E24" s="7"/>
      <c r="F24" s="7">
        <v>-6335.5</v>
      </c>
      <c r="G24" s="37">
        <f t="shared" si="0"/>
        <v>0.70509618737849855</v>
      </c>
    </row>
    <row r="25" spans="1:11" x14ac:dyDescent="0.3">
      <c r="A25" s="5">
        <v>46315</v>
      </c>
      <c r="B25" s="7">
        <v>36924.30999999999</v>
      </c>
      <c r="C25" s="7">
        <v>11855.732000000002</v>
      </c>
      <c r="D25" s="7">
        <v>-25068.578000000005</v>
      </c>
      <c r="E25" s="7"/>
      <c r="F25" s="7">
        <v>-25068.578000000005</v>
      </c>
      <c r="G25" s="37">
        <f t="shared" si="0"/>
        <v>0.32108201886507848</v>
      </c>
    </row>
    <row r="26" spans="1:11" x14ac:dyDescent="0.3">
      <c r="A26" s="5">
        <v>46316</v>
      </c>
      <c r="B26" s="7">
        <v>24747.298999999999</v>
      </c>
      <c r="C26" s="7">
        <v>9419.7720000000008</v>
      </c>
      <c r="D26" s="7">
        <v>-15327.527</v>
      </c>
      <c r="E26" s="7"/>
      <c r="F26" s="7">
        <v>-15327.527</v>
      </c>
      <c r="G26" s="37">
        <f t="shared" si="0"/>
        <v>0.38063838805196482</v>
      </c>
    </row>
    <row r="27" spans="1:11" x14ac:dyDescent="0.3">
      <c r="A27" s="5">
        <v>46317</v>
      </c>
      <c r="B27" s="7">
        <v>33010.173000000003</v>
      </c>
      <c r="C27" s="7">
        <v>7500</v>
      </c>
      <c r="D27" s="7">
        <v>-25510.172999999992</v>
      </c>
      <c r="E27" s="7"/>
      <c r="F27" s="7">
        <v>-25510.172999999992</v>
      </c>
      <c r="G27" s="37">
        <f t="shared" si="0"/>
        <v>0.22720268688079881</v>
      </c>
    </row>
    <row r="28" spans="1:11" x14ac:dyDescent="0.3">
      <c r="A28" s="5">
        <v>46318</v>
      </c>
      <c r="B28" s="7">
        <v>167841.37900000004</v>
      </c>
      <c r="C28" s="7">
        <v>19361.114000000001</v>
      </c>
      <c r="D28" s="7">
        <v>-148480.26500000004</v>
      </c>
      <c r="E28" s="7"/>
      <c r="F28" s="7">
        <v>-148480.26500000004</v>
      </c>
      <c r="G28" s="37">
        <f t="shared" si="0"/>
        <v>0.11535363993881387</v>
      </c>
    </row>
    <row r="29" spans="1:11" x14ac:dyDescent="0.3">
      <c r="A29" s="5">
        <v>46319</v>
      </c>
      <c r="B29" s="7">
        <v>29721.760999999988</v>
      </c>
      <c r="C29" s="7">
        <v>4533.87</v>
      </c>
      <c r="D29" s="7">
        <v>-25187.890999999989</v>
      </c>
      <c r="E29" s="7"/>
      <c r="F29" s="7">
        <v>-25187.890999999989</v>
      </c>
      <c r="G29" s="37">
        <f t="shared" si="0"/>
        <v>0.1525437876981785</v>
      </c>
    </row>
    <row r="30" spans="1:11" x14ac:dyDescent="0.3">
      <c r="A30" s="5">
        <v>46320</v>
      </c>
      <c r="B30" s="7">
        <v>50081.795999999995</v>
      </c>
      <c r="C30" s="7">
        <v>10488.754000000003</v>
      </c>
      <c r="D30" s="7">
        <v>-39593.042000000009</v>
      </c>
      <c r="E30" s="7"/>
      <c r="F30" s="7">
        <v>-39593.042000000009</v>
      </c>
      <c r="G30" s="37">
        <f t="shared" si="0"/>
        <v>0.20943246524146225</v>
      </c>
    </row>
    <row r="31" spans="1:11" ht="14.25" customHeight="1" x14ac:dyDescent="0.3">
      <c r="A31" s="5">
        <v>46321</v>
      </c>
      <c r="B31" s="7">
        <v>31953.509999999995</v>
      </c>
      <c r="C31" s="7">
        <v>3058.69</v>
      </c>
      <c r="D31" s="7">
        <v>-28894.82</v>
      </c>
      <c r="E31" s="7"/>
      <c r="F31" s="7">
        <v>-28894.82</v>
      </c>
      <c r="G31" s="37">
        <f t="shared" si="0"/>
        <v>9.572313026018113E-2</v>
      </c>
    </row>
    <row r="32" spans="1:11" x14ac:dyDescent="0.3">
      <c r="A32" s="5">
        <v>46322</v>
      </c>
      <c r="B32" s="7">
        <v>24894.237000000008</v>
      </c>
      <c r="C32" s="7">
        <v>3084.01</v>
      </c>
      <c r="D32" s="7">
        <v>-21810.22700000001</v>
      </c>
      <c r="E32" s="7"/>
      <c r="F32" s="7">
        <v>-21810.22700000001</v>
      </c>
      <c r="G32" s="37">
        <f t="shared" si="0"/>
        <v>0.1238844958373297</v>
      </c>
    </row>
    <row r="33" spans="1:7" x14ac:dyDescent="0.3">
      <c r="A33" s="5">
        <v>46323</v>
      </c>
      <c r="B33" s="7">
        <v>33112.415999999997</v>
      </c>
      <c r="C33" s="7">
        <v>11641.58</v>
      </c>
      <c r="D33" s="7">
        <v>-21470.835999999999</v>
      </c>
      <c r="E33" s="7"/>
      <c r="F33" s="7">
        <v>-21470.835999999999</v>
      </c>
      <c r="G33" s="37">
        <f t="shared" si="0"/>
        <v>0.35157748682548567</v>
      </c>
    </row>
    <row r="34" spans="1:7" x14ac:dyDescent="0.3">
      <c r="A34" s="5">
        <v>46324</v>
      </c>
      <c r="B34" s="7">
        <v>23510.161999999997</v>
      </c>
      <c r="C34" s="7">
        <v>4211.7000000000007</v>
      </c>
      <c r="D34" s="7">
        <v>-19298.462</v>
      </c>
      <c r="E34" s="7"/>
      <c r="F34" s="7">
        <v>-19298.462</v>
      </c>
      <c r="G34" s="37">
        <f t="shared" si="0"/>
        <v>0.17914381023831316</v>
      </c>
    </row>
    <row r="35" spans="1:7" x14ac:dyDescent="0.3">
      <c r="A35" s="5">
        <v>46325</v>
      </c>
      <c r="B35" s="7">
        <v>39475.356000000014</v>
      </c>
      <c r="C35" s="7">
        <v>4000</v>
      </c>
      <c r="D35" s="7">
        <v>-35475.356000000014</v>
      </c>
      <c r="E35" s="7"/>
      <c r="F35" s="7">
        <v>-35475.356000000014</v>
      </c>
      <c r="G35" s="37">
        <f t="shared" si="0"/>
        <v>0.10132904184575305</v>
      </c>
    </row>
    <row r="36" spans="1:7" x14ac:dyDescent="0.3">
      <c r="A36" s="5">
        <v>46326</v>
      </c>
      <c r="B36" s="7">
        <v>33666.777999999998</v>
      </c>
      <c r="C36" s="7">
        <v>2500</v>
      </c>
      <c r="D36" s="7">
        <v>-31166.777999999988</v>
      </c>
      <c r="E36" s="7"/>
      <c r="F36" s="7">
        <v>-31166.777999999988</v>
      </c>
      <c r="G36" s="37">
        <f t="shared" si="0"/>
        <v>7.4257180179225946E-2</v>
      </c>
    </row>
    <row r="37" spans="1:7" x14ac:dyDescent="0.3">
      <c r="A37" s="5">
        <v>46327</v>
      </c>
      <c r="B37" s="7">
        <v>31724.488000000001</v>
      </c>
      <c r="C37" s="7">
        <v>10500</v>
      </c>
      <c r="D37" s="7">
        <v>-21224.488000000001</v>
      </c>
      <c r="E37" s="7"/>
      <c r="F37" s="7">
        <v>-21224.488000000001</v>
      </c>
      <c r="G37" s="37">
        <f t="shared" ref="G37:G63" si="1">IFERROR(C37/B37,"")</f>
        <v>0.33097460863670991</v>
      </c>
    </row>
    <row r="38" spans="1:7" x14ac:dyDescent="0.3">
      <c r="A38" s="5">
        <v>46328</v>
      </c>
      <c r="B38" s="7">
        <v>32726.200999999997</v>
      </c>
      <c r="C38" s="7">
        <v>10500</v>
      </c>
      <c r="D38" s="7">
        <v>-22226.200999999997</v>
      </c>
      <c r="E38" s="7"/>
      <c r="F38" s="7">
        <v>-22226.200999999997</v>
      </c>
      <c r="G38" s="37">
        <f t="shared" si="1"/>
        <v>0.32084384007786304</v>
      </c>
    </row>
    <row r="39" spans="1:7" x14ac:dyDescent="0.3">
      <c r="A39" s="5">
        <v>46329</v>
      </c>
      <c r="B39" s="7">
        <v>37265.488000000005</v>
      </c>
      <c r="C39" s="7">
        <v>10500</v>
      </c>
      <c r="D39" s="7">
        <v>-26765.487999999998</v>
      </c>
      <c r="E39" s="7"/>
      <c r="F39" s="7">
        <v>-26765.487999999998</v>
      </c>
      <c r="G39" s="37">
        <f t="shared" si="1"/>
        <v>0.28176204213399803</v>
      </c>
    </row>
    <row r="40" spans="1:7" x14ac:dyDescent="0.3">
      <c r="A40" s="5">
        <v>46330</v>
      </c>
      <c r="B40" s="7">
        <v>38043.488000000005</v>
      </c>
      <c r="C40" s="7">
        <v>10500</v>
      </c>
      <c r="D40" s="7">
        <v>-27543.487999999998</v>
      </c>
      <c r="E40" s="7"/>
      <c r="F40" s="7">
        <v>-27543.487999999998</v>
      </c>
      <c r="G40" s="37">
        <f t="shared" si="1"/>
        <v>0.27599992934401807</v>
      </c>
    </row>
    <row r="41" spans="1:7" x14ac:dyDescent="0.3">
      <c r="A41" s="5">
        <v>46331</v>
      </c>
      <c r="B41" s="7">
        <v>39890.491000000002</v>
      </c>
      <c r="C41" s="7">
        <v>8576.44</v>
      </c>
      <c r="D41" s="7">
        <v>-31314.050999999996</v>
      </c>
      <c r="E41" s="7"/>
      <c r="F41" s="7">
        <v>-31314.050999999996</v>
      </c>
      <c r="G41" s="37">
        <f t="shared" si="1"/>
        <v>0.21499960980675822</v>
      </c>
    </row>
    <row r="42" spans="1:7" x14ac:dyDescent="0.3">
      <c r="A42" s="5">
        <v>46332</v>
      </c>
      <c r="B42" s="7">
        <v>29406.714</v>
      </c>
      <c r="C42" s="7">
        <v>7500</v>
      </c>
      <c r="D42" s="7">
        <v>-21906.714</v>
      </c>
      <c r="E42" s="7"/>
      <c r="F42" s="7">
        <v>-21906.714</v>
      </c>
      <c r="G42" s="37">
        <f t="shared" si="1"/>
        <v>0.25504379714102027</v>
      </c>
    </row>
    <row r="43" spans="1:7" x14ac:dyDescent="0.3">
      <c r="A43" s="5">
        <v>46333</v>
      </c>
      <c r="B43" s="7">
        <v>23844.093999999997</v>
      </c>
      <c r="C43" s="7">
        <v>6990.42</v>
      </c>
      <c r="D43" s="7">
        <v>-16853.673999999999</v>
      </c>
      <c r="E43" s="7"/>
      <c r="F43" s="7">
        <v>-16853.673999999999</v>
      </c>
      <c r="G43" s="37">
        <f t="shared" si="1"/>
        <v>0.29317196954516289</v>
      </c>
    </row>
    <row r="44" spans="1:7" x14ac:dyDescent="0.3">
      <c r="A44" s="5">
        <v>46334</v>
      </c>
      <c r="B44" s="7">
        <v>22441.093999999997</v>
      </c>
      <c r="C44" s="7">
        <v>5000</v>
      </c>
      <c r="D44" s="7">
        <v>-17441.093999999997</v>
      </c>
      <c r="E44" s="7"/>
      <c r="F44" s="7">
        <v>-17441.093999999997</v>
      </c>
      <c r="G44" s="37">
        <f t="shared" si="1"/>
        <v>0.22280553702061051</v>
      </c>
    </row>
    <row r="45" spans="1:7" x14ac:dyDescent="0.3">
      <c r="A45" s="5">
        <v>46335</v>
      </c>
      <c r="B45" s="7">
        <v>20570.093999999997</v>
      </c>
      <c r="C45" s="7">
        <v>2250.52</v>
      </c>
      <c r="D45" s="7">
        <v>-18319.573999999997</v>
      </c>
      <c r="E45" s="7"/>
      <c r="F45" s="7">
        <v>-18319.573999999997</v>
      </c>
      <c r="G45" s="37">
        <f t="shared" si="1"/>
        <v>0.10940737558126863</v>
      </c>
    </row>
    <row r="46" spans="1:7" x14ac:dyDescent="0.3">
      <c r="A46" s="5">
        <v>46336</v>
      </c>
      <c r="B46" s="7">
        <v>22053.113999999998</v>
      </c>
      <c r="C46" s="7"/>
      <c r="D46" s="7">
        <v>-22053.113999999998</v>
      </c>
      <c r="E46" s="7"/>
      <c r="F46" s="7">
        <v>-22053.113999999998</v>
      </c>
      <c r="G46" s="37">
        <f t="shared" si="1"/>
        <v>0</v>
      </c>
    </row>
    <row r="47" spans="1:7" x14ac:dyDescent="0.3">
      <c r="A47" s="5">
        <v>46337</v>
      </c>
      <c r="B47" s="7">
        <v>8000</v>
      </c>
      <c r="C47" s="7"/>
      <c r="D47" s="7">
        <v>-8000</v>
      </c>
      <c r="E47" s="7"/>
      <c r="F47" s="7">
        <v>-8000</v>
      </c>
      <c r="G47" s="37">
        <f t="shared" si="1"/>
        <v>0</v>
      </c>
    </row>
    <row r="48" spans="1:7" x14ac:dyDescent="0.3">
      <c r="A48" s="5">
        <v>46338</v>
      </c>
      <c r="B48" s="7">
        <v>6670</v>
      </c>
      <c r="C48" s="7"/>
      <c r="D48" s="7">
        <v>-6670</v>
      </c>
      <c r="E48" s="7"/>
      <c r="F48" s="7">
        <v>-6670</v>
      </c>
      <c r="G48" s="37">
        <f t="shared" si="1"/>
        <v>0</v>
      </c>
    </row>
    <row r="49" spans="1:7" x14ac:dyDescent="0.3">
      <c r="A49" s="5">
        <v>46339</v>
      </c>
      <c r="B49" s="7">
        <v>5000</v>
      </c>
      <c r="C49" s="7"/>
      <c r="D49" s="7">
        <v>-5000</v>
      </c>
      <c r="E49" s="7"/>
      <c r="F49" s="7">
        <v>-5000</v>
      </c>
      <c r="G49" s="37">
        <f t="shared" si="1"/>
        <v>0</v>
      </c>
    </row>
    <row r="50" spans="1:7" x14ac:dyDescent="0.3">
      <c r="A50" s="5">
        <v>46340</v>
      </c>
      <c r="B50" s="7">
        <v>10366</v>
      </c>
      <c r="C50" s="7"/>
      <c r="D50" s="7">
        <v>-10366</v>
      </c>
      <c r="E50" s="7"/>
      <c r="F50" s="7">
        <v>-10366</v>
      </c>
      <c r="G50" s="37">
        <f t="shared" si="1"/>
        <v>0</v>
      </c>
    </row>
    <row r="51" spans="1:7" x14ac:dyDescent="0.3">
      <c r="A51" s="5">
        <v>46341</v>
      </c>
      <c r="B51" s="7">
        <v>5000</v>
      </c>
      <c r="C51" s="7"/>
      <c r="D51" s="7">
        <v>-5000</v>
      </c>
      <c r="E51" s="7"/>
      <c r="F51" s="7">
        <v>-5000</v>
      </c>
      <c r="G51" s="37">
        <f t="shared" si="1"/>
        <v>0</v>
      </c>
    </row>
    <row r="52" spans="1:7" x14ac:dyDescent="0.3">
      <c r="A52" s="5">
        <v>46342</v>
      </c>
      <c r="B52" s="7">
        <v>5000</v>
      </c>
      <c r="C52" s="7"/>
      <c r="D52" s="7">
        <v>-5000</v>
      </c>
      <c r="E52" s="7"/>
      <c r="F52" s="7">
        <v>-5000</v>
      </c>
      <c r="G52" s="37">
        <f t="shared" si="1"/>
        <v>0</v>
      </c>
    </row>
    <row r="53" spans="1:7" x14ac:dyDescent="0.3">
      <c r="A53" s="5">
        <v>46343</v>
      </c>
      <c r="B53" s="7">
        <v>5000</v>
      </c>
      <c r="C53" s="7"/>
      <c r="D53" s="7">
        <v>-5000</v>
      </c>
      <c r="E53" s="7"/>
      <c r="F53" s="7">
        <v>-5000</v>
      </c>
      <c r="G53" s="37">
        <f t="shared" si="1"/>
        <v>0</v>
      </c>
    </row>
    <row r="54" spans="1:7" x14ac:dyDescent="0.3">
      <c r="A54" s="5">
        <v>46344</v>
      </c>
      <c r="B54" s="7">
        <v>5000</v>
      </c>
      <c r="C54" s="7"/>
      <c r="D54" s="7">
        <v>-5000</v>
      </c>
      <c r="E54" s="7"/>
      <c r="F54" s="7">
        <v>-5000</v>
      </c>
      <c r="G54" s="37">
        <f t="shared" si="1"/>
        <v>0</v>
      </c>
    </row>
    <row r="55" spans="1:7" x14ac:dyDescent="0.3">
      <c r="A55" s="5">
        <v>46345</v>
      </c>
      <c r="B55" s="7">
        <v>5000</v>
      </c>
      <c r="C55" s="7"/>
      <c r="D55" s="7">
        <v>-5000</v>
      </c>
      <c r="E55" s="7"/>
      <c r="F55" s="7">
        <v>-5000</v>
      </c>
      <c r="G55" s="37">
        <f t="shared" si="1"/>
        <v>0</v>
      </c>
    </row>
    <row r="56" spans="1:7" x14ac:dyDescent="0.3">
      <c r="A56" s="5">
        <v>46346</v>
      </c>
      <c r="B56" s="7">
        <v>5000</v>
      </c>
      <c r="C56" s="7"/>
      <c r="D56" s="7">
        <v>-5000</v>
      </c>
      <c r="E56" s="7"/>
      <c r="F56" s="7">
        <v>-5000</v>
      </c>
      <c r="G56" s="37">
        <f t="shared" si="1"/>
        <v>0</v>
      </c>
    </row>
    <row r="57" spans="1:7" x14ac:dyDescent="0.3">
      <c r="A57" s="5">
        <v>46347</v>
      </c>
      <c r="B57" s="7">
        <v>5000</v>
      </c>
      <c r="C57" s="7"/>
      <c r="D57" s="7">
        <v>-5000</v>
      </c>
      <c r="E57" s="7"/>
      <c r="F57" s="7">
        <v>-5000</v>
      </c>
      <c r="G57" s="37">
        <f t="shared" si="1"/>
        <v>0</v>
      </c>
    </row>
    <row r="58" spans="1:7" x14ac:dyDescent="0.3">
      <c r="A58" s="5">
        <v>46348</v>
      </c>
      <c r="B58" s="7">
        <v>5000</v>
      </c>
      <c r="C58" s="7"/>
      <c r="D58" s="7">
        <v>-5000</v>
      </c>
      <c r="E58" s="7"/>
      <c r="F58" s="7">
        <v>-5000</v>
      </c>
      <c r="G58" s="37">
        <f t="shared" si="1"/>
        <v>0</v>
      </c>
    </row>
    <row r="59" spans="1:7" x14ac:dyDescent="0.3">
      <c r="A59" s="5">
        <v>46349</v>
      </c>
      <c r="B59" s="7">
        <v>5000</v>
      </c>
      <c r="C59" s="7"/>
      <c r="D59" s="7">
        <v>-5000</v>
      </c>
      <c r="E59" s="7"/>
      <c r="F59" s="7">
        <v>-5000</v>
      </c>
      <c r="G59" s="37">
        <f t="shared" si="1"/>
        <v>0</v>
      </c>
    </row>
    <row r="60" spans="1:7" x14ac:dyDescent="0.3">
      <c r="A60" s="5">
        <v>46350</v>
      </c>
      <c r="B60" s="7">
        <v>5000</v>
      </c>
      <c r="C60" s="7"/>
      <c r="D60" s="7">
        <v>-5000</v>
      </c>
      <c r="E60" s="7"/>
      <c r="F60" s="7">
        <v>-5000</v>
      </c>
      <c r="G60" s="37">
        <f t="shared" si="1"/>
        <v>0</v>
      </c>
    </row>
    <row r="61" spans="1:7" x14ac:dyDescent="0.3">
      <c r="A61" s="5">
        <v>46351</v>
      </c>
      <c r="B61" s="7">
        <v>47651</v>
      </c>
      <c r="C61" s="7"/>
      <c r="D61" s="7">
        <v>-47651</v>
      </c>
      <c r="E61" s="7"/>
      <c r="F61" s="7">
        <v>-47651</v>
      </c>
      <c r="G61" s="37">
        <f t="shared" si="1"/>
        <v>0</v>
      </c>
    </row>
    <row r="62" spans="1:7" x14ac:dyDescent="0.3">
      <c r="A62" s="5" t="s">
        <v>473</v>
      </c>
      <c r="C62" s="7"/>
      <c r="D62" s="7"/>
      <c r="E62" s="7"/>
      <c r="F62" s="7"/>
      <c r="G62" s="37" t="str">
        <f t="shared" si="1"/>
        <v/>
      </c>
    </row>
    <row r="63" spans="1:7" x14ac:dyDescent="0.3">
      <c r="A63" s="10" t="s">
        <v>464</v>
      </c>
      <c r="B63" s="7">
        <v>1646166.523999999</v>
      </c>
      <c r="C63" s="7">
        <v>777417.37099999993</v>
      </c>
      <c r="D63" s="7">
        <v>-868749.15300000017</v>
      </c>
      <c r="E63" s="7"/>
      <c r="F63" s="7">
        <v>-868749.15300000017</v>
      </c>
      <c r="G63" s="34">
        <f t="shared" si="1"/>
        <v>0.47225925182281275</v>
      </c>
    </row>
    <row r="64" spans="1:7" x14ac:dyDescent="0.3">
      <c r="A64"/>
      <c r="B64"/>
      <c r="G64" s="8"/>
    </row>
    <row r="65" spans="7:7" x14ac:dyDescent="0.3">
      <c r="G65" s="8"/>
    </row>
    <row r="66" spans="7:7" x14ac:dyDescent="0.3">
      <c r="G66" s="8"/>
    </row>
    <row r="67" spans="7:7" x14ac:dyDescent="0.3">
      <c r="G67" s="8"/>
    </row>
    <row r="68" spans="7:7" x14ac:dyDescent="0.3">
      <c r="G68" s="8"/>
    </row>
    <row r="69" spans="7:7" x14ac:dyDescent="0.3">
      <c r="G69" s="8"/>
    </row>
    <row r="70" spans="7:7" x14ac:dyDescent="0.3">
      <c r="G70" s="8"/>
    </row>
    <row r="71" spans="7:7" x14ac:dyDescent="0.3">
      <c r="G71" s="8"/>
    </row>
    <row r="72" spans="7:7" x14ac:dyDescent="0.3">
      <c r="G72" s="8"/>
    </row>
    <row r="73" spans="7:7" x14ac:dyDescent="0.3">
      <c r="G73" s="8"/>
    </row>
    <row r="74" spans="7:7" x14ac:dyDescent="0.3">
      <c r="G74" s="8"/>
    </row>
    <row r="75" spans="7:7" x14ac:dyDescent="0.3">
      <c r="G75" s="8"/>
    </row>
    <row r="76" spans="7:7" x14ac:dyDescent="0.3">
      <c r="G76" s="8"/>
    </row>
    <row r="77" spans="7:7" x14ac:dyDescent="0.3">
      <c r="G77" s="8"/>
    </row>
    <row r="78" spans="7:7" x14ac:dyDescent="0.3">
      <c r="G78" s="8"/>
    </row>
    <row r="79" spans="7:7" x14ac:dyDescent="0.3">
      <c r="G79" s="8"/>
    </row>
    <row r="80" spans="7:7" x14ac:dyDescent="0.3">
      <c r="G80" s="8"/>
    </row>
    <row r="81" spans="7:7" x14ac:dyDescent="0.3">
      <c r="G81" s="8"/>
    </row>
    <row r="82" spans="7:7" x14ac:dyDescent="0.3">
      <c r="G82" s="8"/>
    </row>
    <row r="83" spans="7:7" x14ac:dyDescent="0.3">
      <c r="G83" s="8"/>
    </row>
    <row r="84" spans="7:7" x14ac:dyDescent="0.3">
      <c r="G84" s="8"/>
    </row>
    <row r="85" spans="7:7" x14ac:dyDescent="0.3">
      <c r="G85" s="8"/>
    </row>
    <row r="86" spans="7:7" x14ac:dyDescent="0.3">
      <c r="G86" s="8"/>
    </row>
    <row r="87" spans="7:7" x14ac:dyDescent="0.3">
      <c r="G87" s="8"/>
    </row>
    <row r="88" spans="7:7" x14ac:dyDescent="0.3">
      <c r="G88" s="8"/>
    </row>
    <row r="89" spans="7:7" x14ac:dyDescent="0.3">
      <c r="G89" s="8"/>
    </row>
    <row r="90" spans="7:7" x14ac:dyDescent="0.3">
      <c r="G90" s="8"/>
    </row>
    <row r="91" spans="7:7" x14ac:dyDescent="0.3">
      <c r="G91" s="8"/>
    </row>
    <row r="92" spans="7:7" x14ac:dyDescent="0.3">
      <c r="G92" s="8"/>
    </row>
    <row r="93" spans="7:7" x14ac:dyDescent="0.3">
      <c r="G93" s="8"/>
    </row>
    <row r="94" spans="7:7" x14ac:dyDescent="0.3">
      <c r="G94" s="8"/>
    </row>
    <row r="95" spans="7:7" x14ac:dyDescent="0.3">
      <c r="G95" s="8"/>
    </row>
    <row r="96" spans="7:7" x14ac:dyDescent="0.3">
      <c r="G96" s="8"/>
    </row>
    <row r="97" spans="7:7" x14ac:dyDescent="0.3">
      <c r="G97" s="8"/>
    </row>
  </sheetData>
  <conditionalFormatting sqref="G5:G63">
    <cfRule type="cellIs" dxfId="1" priority="1" operator="greaterThanOrEqual">
      <formula>0.95</formula>
    </cfRule>
    <cfRule type="cellIs" dxfId="0" priority="2" operator="lessThan">
      <formula>0.95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 Wise OTT Hit Rate</vt:lpstr>
      <vt:lpstr>Fab Plan-Final</vt:lpstr>
      <vt:lpstr>Date Wise Pivot -Hues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Rakibul Hasan (Executive, Fabric Planning, SQ Hues Ltd.)</dc:creator>
  <cp:lastModifiedBy>Rakibul Hasan (Senior Executive, Planning, SQ Hues Ltd</cp:lastModifiedBy>
  <dcterms:created xsi:type="dcterms:W3CDTF">2025-10-01T02:10:39Z</dcterms:created>
  <dcterms:modified xsi:type="dcterms:W3CDTF">2026-10-30T09:51:18Z</dcterms:modified>
</cp:coreProperties>
</file>